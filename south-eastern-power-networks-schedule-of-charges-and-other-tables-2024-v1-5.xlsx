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defaultThemeVersion="124226"/>
  <mc:AlternateContent xmlns:mc="http://schemas.openxmlformats.org/markup-compatibility/2006">
    <mc:Choice Requires="x15">
      <x15ac:absPath xmlns:x15ac="http://schemas.microsoft.com/office/spreadsheetml/2010/11/ac" url="T:\Use of System\Price Reviews\2024-04-01\Statements\Excel documents\"/>
    </mc:Choice>
  </mc:AlternateContent>
  <xr:revisionPtr revIDLastSave="0" documentId="13_ncr:1_{FEDBFDAF-3585-4586-B87C-282BF397CEE0}"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charges'!$A$9:$Q$108</definedName>
    <definedName name="_xlnm._FilterDatabase" localSheetId="6" hidden="1">'Annex 4 LDNO charges'!$A$11:$J$201</definedName>
    <definedName name="_xlnm._FilterDatabase" localSheetId="7" hidden="1">'Annex 5 LLFs'!#REF!</definedName>
    <definedName name="_xlnm._FilterDatabase" localSheetId="9" hidden="1">'Annex 7 Pass-Through Costs'!$A$4:$F$165</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charges'!$A$2:$P$108</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LLFs'!$A$2:$G$199</definedName>
    <definedName name="_xlnm.Print_Area" localSheetId="8">'Annex 6 New or Amended EHV'!$A$2:$S$33</definedName>
    <definedName name="_xlnm.Print_Area" localSheetId="9">'Annex 7 Pass-Through Costs'!$A$2:$F$165</definedName>
    <definedName name="_xlnm.Print_Area" localSheetId="10">'Nodal prices'!$A$2:$D$26</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LLFs'!$24:$24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LLFs'!$A$3:$F$40</definedName>
    <definedName name="Z_5032A364_B81A_48DA_88DA_AB3B86B47EE9_.wvu.PrintArea" localSheetId="8" hidden="1">'Annex 6 New or Amended EHV'!$A$1:$P$33</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5" l="1"/>
  <c r="H9" i="15"/>
  <c r="G9" i="15"/>
  <c r="F9" i="15"/>
  <c r="E9" i="15"/>
  <c r="D9" i="15"/>
  <c r="C9" i="15"/>
  <c r="T10" i="15"/>
  <c r="S10" i="15"/>
  <c r="R10" i="15"/>
  <c r="Q10" i="15"/>
  <c r="P10" i="15"/>
  <c r="O10" i="15"/>
  <c r="N10" i="15"/>
  <c r="M10" i="15"/>
  <c r="H6" i="14" l="1"/>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H5" i="14"/>
  <c r="G5" i="14"/>
  <c r="F5" i="14"/>
  <c r="E5" i="14"/>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H5" i="13"/>
  <c r="G5" i="13"/>
  <c r="F5" i="13"/>
  <c r="E5" i="13"/>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A2" i="26"/>
  <c r="A2" i="24" l="1"/>
  <c r="E12" i="15" l="1"/>
  <c r="D12" i="15"/>
  <c r="C12" i="15"/>
  <c r="B13" i="1" l="1"/>
  <c r="I14" i="15" l="1"/>
  <c r="H14" i="15"/>
  <c r="B2" i="15" l="1"/>
  <c r="A2" i="7"/>
  <c r="A22" i="8"/>
  <c r="A4" i="8"/>
  <c r="A3" i="6"/>
  <c r="A2" i="5"/>
  <c r="A2" i="4" l="1"/>
  <c r="A2" i="14"/>
  <c r="A2" i="13"/>
  <c r="A2" i="12"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D5" i="14" l="1"/>
  <c r="A6" i="14" a="1"/>
  <c r="A6" i="14" s="1"/>
  <c r="B5" i="14"/>
  <c r="C5" i="14"/>
  <c r="D5" i="13"/>
  <c r="C5" i="13"/>
  <c r="B5" i="13"/>
  <c r="A6" i="13" a="1"/>
  <c r="A6" i="13" s="1"/>
  <c r="A7" i="14" l="1"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C7" i="14" l="1"/>
  <c r="D7" i="14"/>
  <c r="B7" i="14"/>
  <c r="A8" i="14" a="1"/>
  <c r="A8" i="14" s="1"/>
  <c r="C7" i="13"/>
  <c r="D7" i="13"/>
  <c r="A8" i="13" a="1"/>
  <c r="A8" i="13" s="1"/>
  <c r="B7" i="13"/>
  <c r="S17" i="15"/>
  <c r="T18" i="15"/>
  <c r="R17" i="15"/>
  <c r="P18" i="15"/>
  <c r="M21" i="15"/>
  <c r="T17" i="15"/>
  <c r="M18" i="15"/>
  <c r="Q18" i="15"/>
  <c r="N18" i="15"/>
  <c r="S18" i="15"/>
  <c r="O18" i="15"/>
  <c r="R18" i="15"/>
  <c r="D8" i="14" l="1"/>
  <c r="B8" i="14"/>
  <c r="C8" i="14"/>
  <c r="A9" i="14" a="1"/>
  <c r="A9" i="14" s="1"/>
  <c r="B8" i="13"/>
  <c r="D8" i="13"/>
  <c r="C8" i="13"/>
  <c r="A9" i="13" a="1"/>
  <c r="A9" i="13" s="1"/>
  <c r="N21" i="15"/>
  <c r="M22" i="15"/>
  <c r="N22" i="15"/>
  <c r="E10" i="15"/>
  <c r="C10" i="15"/>
  <c r="C17" i="15" s="1"/>
  <c r="F10" i="15"/>
  <c r="D10" i="15"/>
  <c r="B9" i="14" l="1"/>
  <c r="C9" i="14"/>
  <c r="D9" i="14"/>
  <c r="A10" i="14" a="1"/>
  <c r="A10" i="14" s="1"/>
  <c r="B9" i="13"/>
  <c r="D9" i="13"/>
  <c r="C9" i="13"/>
  <c r="A10" i="13" a="1"/>
  <c r="A10" i="13" s="1"/>
  <c r="B10" i="13" s="1"/>
  <c r="C18" i="15"/>
  <c r="G17" i="15"/>
  <c r="G18" i="15"/>
  <c r="D17" i="15"/>
  <c r="D18" i="15"/>
  <c r="E18" i="15"/>
  <c r="E17" i="15"/>
  <c r="F17" i="15"/>
  <c r="F18" i="15"/>
  <c r="I17" i="15"/>
  <c r="I18" i="15"/>
  <c r="C21" i="15" l="1"/>
  <c r="C22" i="15"/>
  <c r="B10" i="14"/>
  <c r="C10" i="14"/>
  <c r="D10" i="14"/>
  <c r="A11" i="14" a="1"/>
  <c r="A11" i="14" s="1"/>
  <c r="A12" i="14" s="1" a="1"/>
  <c r="A12" i="14" s="1"/>
  <c r="A11" i="13" a="1"/>
  <c r="A11" i="13" s="1"/>
  <c r="A12" i="13" s="1" a="1"/>
  <c r="A12" i="13" s="1"/>
  <c r="C10" i="13"/>
  <c r="D10" i="13"/>
  <c r="D12" i="14" l="1"/>
  <c r="B12" i="14"/>
  <c r="C12" i="14"/>
  <c r="A13" i="14" a="1"/>
  <c r="A13" i="14" s="1"/>
  <c r="C11" i="14"/>
  <c r="D11" i="14"/>
  <c r="B11" i="14"/>
  <c r="D12" i="13"/>
  <c r="C12" i="13"/>
  <c r="B11" i="13"/>
  <c r="C11" i="13"/>
  <c r="D11" i="13"/>
  <c r="B12" i="13"/>
  <c r="A13" i="13" a="1"/>
  <c r="A13" i="13" s="1"/>
  <c r="B13" i="14" l="1"/>
  <c r="C13" i="14"/>
  <c r="D13" i="14"/>
  <c r="A14" i="14" a="1"/>
  <c r="A14" i="14" s="1"/>
  <c r="D13" i="13"/>
  <c r="C13" i="13"/>
  <c r="B13" i="13"/>
  <c r="A14" i="13" a="1"/>
  <c r="A14" i="13" s="1"/>
  <c r="A15" i="14" l="1" a="1"/>
  <c r="A15" i="14" s="1"/>
  <c r="B14" i="14"/>
  <c r="C14" i="14"/>
  <c r="D14" i="14"/>
  <c r="C14" i="13"/>
  <c r="D14" i="13"/>
  <c r="A15" i="13" a="1"/>
  <c r="A15" i="13" s="1"/>
  <c r="B14" i="13"/>
  <c r="A16" i="14" l="1" a="1"/>
  <c r="A16" i="14" s="1"/>
  <c r="C15" i="14"/>
  <c r="D15" i="14"/>
  <c r="B15" i="14"/>
  <c r="C15" i="13"/>
  <c r="D15" i="13"/>
  <c r="A16" i="13" a="1"/>
  <c r="A16" i="13" s="1"/>
  <c r="B15" i="13"/>
  <c r="A17" i="14" l="1" a="1"/>
  <c r="A17" i="14" s="1"/>
  <c r="D16" i="14"/>
  <c r="B16" i="14"/>
  <c r="C16" i="14"/>
  <c r="B16" i="13"/>
  <c r="C16" i="13"/>
  <c r="D16" i="13"/>
  <c r="A17" i="13" a="1"/>
  <c r="A17" i="13" s="1"/>
  <c r="A18" i="14" l="1" a="1"/>
  <c r="A18" i="14" s="1"/>
  <c r="B17" i="14"/>
  <c r="C17" i="14"/>
  <c r="D17" i="14"/>
  <c r="B17" i="13"/>
  <c r="D17" i="13"/>
  <c r="C17" i="13"/>
  <c r="A18" i="13" a="1"/>
  <c r="A18" i="13" s="1"/>
  <c r="A19" i="14" l="1" a="1"/>
  <c r="A19" i="14" s="1"/>
  <c r="B18" i="14"/>
  <c r="C18" i="14"/>
  <c r="D18" i="14"/>
  <c r="B18" i="13"/>
  <c r="C18" i="13"/>
  <c r="D18" i="13"/>
  <c r="A19" i="13" a="1"/>
  <c r="A19" i="13" s="1"/>
  <c r="A20" i="14" l="1" a="1"/>
  <c r="A20" i="14" s="1"/>
  <c r="C19" i="14"/>
  <c r="D19" i="14"/>
  <c r="B19" i="14"/>
  <c r="B19" i="13"/>
  <c r="C19" i="13"/>
  <c r="D19" i="13"/>
  <c r="A20" i="13" a="1"/>
  <c r="A20" i="13" s="1"/>
  <c r="A21" i="14" l="1" a="1"/>
  <c r="A21" i="14" s="1"/>
  <c r="D20" i="14"/>
  <c r="B20" i="14"/>
  <c r="C20" i="14"/>
  <c r="D20" i="13"/>
  <c r="C20" i="13"/>
  <c r="B20" i="13"/>
  <c r="A21" i="13" a="1"/>
  <c r="A21" i="13" s="1"/>
  <c r="A22" i="14" l="1" a="1"/>
  <c r="A22" i="14" s="1"/>
  <c r="B21" i="14"/>
  <c r="C21" i="14"/>
  <c r="D21" i="14"/>
  <c r="B21" i="13"/>
  <c r="D21" i="13"/>
  <c r="C21" i="13"/>
  <c r="A22" i="13" a="1"/>
  <c r="A22" i="13" s="1"/>
  <c r="A23" i="14" l="1" a="1"/>
  <c r="A23" i="14" s="1"/>
  <c r="B22" i="14"/>
  <c r="C22" i="14"/>
  <c r="D22" i="14"/>
  <c r="C22" i="13"/>
  <c r="D22" i="13"/>
  <c r="B22" i="13"/>
  <c r="A23" i="13" a="1"/>
  <c r="A23" i="13" s="1"/>
  <c r="A24" i="14" l="1" a="1"/>
  <c r="A24" i="14" s="1"/>
  <c r="C23" i="14"/>
  <c r="D23" i="14"/>
  <c r="B23" i="14"/>
  <c r="B23" i="13"/>
  <c r="C23" i="13"/>
  <c r="D23" i="13"/>
  <c r="A24" i="13" a="1"/>
  <c r="A24" i="13" s="1"/>
  <c r="A25" i="13" s="1" a="1"/>
  <c r="A25" i="13" s="1"/>
  <c r="A25" i="14" l="1" a="1"/>
  <c r="A25" i="14" s="1"/>
  <c r="D24" i="14"/>
  <c r="B24" i="14"/>
  <c r="C24" i="14"/>
  <c r="A26" i="13" a="1"/>
  <c r="A26" i="13" s="1"/>
  <c r="C25" i="13"/>
  <c r="D25" i="13"/>
  <c r="B25" i="13"/>
  <c r="C24" i="13"/>
  <c r="D24" i="13"/>
  <c r="B24" i="13"/>
  <c r="D26" i="13" l="1"/>
  <c r="C26" i="13"/>
  <c r="A26" i="14" a="1"/>
  <c r="A26" i="14" s="1"/>
  <c r="B25" i="14"/>
  <c r="C25" i="14"/>
  <c r="D25" i="14"/>
  <c r="A27" i="13" a="1"/>
  <c r="A27" i="13" s="1"/>
  <c r="B26" i="13"/>
  <c r="C27" i="13" l="1"/>
  <c r="A27" i="14" a="1"/>
  <c r="A27" i="14" s="1"/>
  <c r="B26" i="14"/>
  <c r="C26" i="14"/>
  <c r="D26" i="14"/>
  <c r="A28" i="13" a="1"/>
  <c r="A28" i="13" s="1"/>
  <c r="B27" i="13"/>
  <c r="D27" i="13"/>
  <c r="A28" i="14" l="1" a="1"/>
  <c r="A28" i="14" s="1"/>
  <c r="C27" i="14"/>
  <c r="D27" i="14"/>
  <c r="B27" i="14"/>
  <c r="D28" i="13"/>
  <c r="B28" i="13"/>
  <c r="C28" i="13"/>
  <c r="A29" i="13" a="1"/>
  <c r="A29" i="13" s="1"/>
  <c r="A29" i="14" l="1" a="1"/>
  <c r="A29" i="14" s="1"/>
  <c r="D28" i="14"/>
  <c r="B28" i="14"/>
  <c r="C28" i="14"/>
  <c r="B29" i="13"/>
  <c r="C29" i="13"/>
  <c r="D29" i="13"/>
  <c r="A30" i="13" a="1"/>
  <c r="A30" i="13" s="1"/>
  <c r="A30" i="14" l="1" a="1"/>
  <c r="A30" i="14" s="1"/>
  <c r="B29" i="14"/>
  <c r="C29" i="14"/>
  <c r="D29" i="14"/>
  <c r="C30" i="13"/>
  <c r="D30" i="13"/>
  <c r="B30" i="13"/>
  <c r="A31" i="13" a="1"/>
  <c r="A31" i="13" s="1"/>
  <c r="B30" i="14" l="1"/>
  <c r="C30" i="14"/>
  <c r="D30" i="14"/>
  <c r="A31" i="14" a="1"/>
  <c r="A31" i="14" s="1"/>
  <c r="B31" i="13"/>
  <c r="C31" i="13"/>
  <c r="D31" i="13"/>
  <c r="A32" i="13" a="1"/>
  <c r="A32" i="13" s="1"/>
  <c r="A32" i="14" l="1" a="1"/>
  <c r="A32" i="14" s="1"/>
  <c r="C31" i="14"/>
  <c r="D31" i="14"/>
  <c r="B31" i="14"/>
  <c r="C32" i="13"/>
  <c r="D32" i="13"/>
  <c r="B32" i="13"/>
  <c r="A33" i="13" a="1"/>
  <c r="A33" i="13" s="1"/>
  <c r="A33" i="14" l="1" a="1"/>
  <c r="A33" i="14" s="1"/>
  <c r="D32" i="14"/>
  <c r="B32" i="14"/>
  <c r="C32" i="14"/>
  <c r="B33" i="13"/>
  <c r="C33" i="13"/>
  <c r="D33" i="13"/>
  <c r="A34" i="13" a="1"/>
  <c r="A34" i="13" s="1"/>
  <c r="A34" i="14" l="1" a="1"/>
  <c r="A34" i="14" s="1"/>
  <c r="B33" i="14"/>
  <c r="C33" i="14"/>
  <c r="D33" i="14"/>
  <c r="C34" i="13"/>
  <c r="D34" i="13"/>
  <c r="B34" i="13"/>
  <c r="A35" i="13" a="1"/>
  <c r="A35" i="13" s="1"/>
  <c r="A35" i="14" l="1" a="1"/>
  <c r="A35" i="14" s="1"/>
  <c r="B34" i="14"/>
  <c r="C34" i="14"/>
  <c r="D34" i="14"/>
  <c r="B35" i="13"/>
  <c r="C35" i="13"/>
  <c r="D35" i="13"/>
  <c r="A36" i="13" a="1"/>
  <c r="A36" i="13" s="1"/>
  <c r="A36" i="14" l="1" a="1"/>
  <c r="A36" i="14" s="1"/>
  <c r="C35" i="14"/>
  <c r="D35" i="14"/>
  <c r="B35" i="14"/>
  <c r="D36" i="13"/>
  <c r="C36" i="13"/>
  <c r="B36" i="13"/>
  <c r="A37" i="13" a="1"/>
  <c r="A37" i="13" s="1"/>
  <c r="A38" i="13" s="1" a="1"/>
  <c r="A38" i="13" s="1"/>
  <c r="A37" i="14" l="1" a="1"/>
  <c r="A37" i="14" s="1"/>
  <c r="D36" i="14"/>
  <c r="B36" i="14"/>
  <c r="C36" i="14"/>
  <c r="B38" i="13"/>
  <c r="C38" i="13"/>
  <c r="D38" i="13"/>
  <c r="A39" i="13" a="1"/>
  <c r="A39" i="13" s="1"/>
  <c r="D39" i="13" s="1"/>
  <c r="C37" i="13"/>
  <c r="B37" i="13"/>
  <c r="D37" i="13"/>
  <c r="B39" i="13" l="1"/>
  <c r="C39" i="13"/>
  <c r="A38" i="14" a="1"/>
  <c r="A38" i="14" s="1"/>
  <c r="B37" i="14"/>
  <c r="C37" i="14"/>
  <c r="D37" i="14"/>
  <c r="A40" i="13" a="1"/>
  <c r="A40" i="13" s="1"/>
  <c r="D40" i="13" l="1"/>
  <c r="B40" i="13"/>
  <c r="A39" i="14" a="1"/>
  <c r="A39" i="14" s="1"/>
  <c r="B38" i="14"/>
  <c r="C38" i="14"/>
  <c r="D38" i="14"/>
  <c r="C40" i="13"/>
  <c r="A41" i="13" a="1"/>
  <c r="A41" i="13" s="1"/>
  <c r="D41" i="13" s="1"/>
  <c r="A40" i="14" l="1" a="1"/>
  <c r="A40" i="14" s="1"/>
  <c r="C39" i="14"/>
  <c r="D39" i="14"/>
  <c r="B39" i="14"/>
  <c r="A42" i="13" a="1"/>
  <c r="A42" i="13" s="1"/>
  <c r="C41" i="13"/>
  <c r="B41" i="13"/>
  <c r="A41" i="14" l="1" a="1"/>
  <c r="A41" i="14" s="1"/>
  <c r="D40" i="14"/>
  <c r="B40" i="14"/>
  <c r="C40" i="14"/>
  <c r="C42" i="13"/>
  <c r="B42" i="13"/>
  <c r="D42" i="13"/>
  <c r="A43" i="13" a="1"/>
  <c r="A43" i="13" s="1"/>
  <c r="A42" i="14" l="1" a="1"/>
  <c r="A42" i="14" s="1"/>
  <c r="B41" i="14"/>
  <c r="C41" i="14"/>
  <c r="D41" i="14"/>
  <c r="D43" i="13"/>
  <c r="C43" i="13"/>
  <c r="B43" i="13"/>
  <c r="A44" i="13" a="1"/>
  <c r="A44" i="13" s="1"/>
  <c r="A43" i="14" l="1" a="1"/>
  <c r="A43" i="14" s="1"/>
  <c r="C42" i="14"/>
  <c r="B42" i="14"/>
  <c r="D42" i="14"/>
  <c r="B44" i="13"/>
  <c r="A45" i="13" a="1"/>
  <c r="A45" i="13" s="1"/>
  <c r="C45" i="13" s="1"/>
  <c r="C44" i="13"/>
  <c r="D44" i="13"/>
  <c r="B45" i="13" l="1"/>
  <c r="A44" i="14" a="1"/>
  <c r="A44" i="14" s="1"/>
  <c r="D43" i="14"/>
  <c r="C43" i="14"/>
  <c r="B43" i="14"/>
  <c r="D45" i="13"/>
  <c r="A46" i="13" a="1"/>
  <c r="A46" i="13" s="1"/>
  <c r="A45" i="14" l="1" a="1"/>
  <c r="A45" i="14" s="1"/>
  <c r="B44" i="14"/>
  <c r="C44" i="14"/>
  <c r="D44" i="14"/>
  <c r="C46" i="13"/>
  <c r="A47" i="13" a="1"/>
  <c r="A47" i="13" s="1"/>
  <c r="D47" i="13" s="1"/>
  <c r="D46" i="13"/>
  <c r="B46" i="13"/>
  <c r="A46" i="14" l="1" a="1"/>
  <c r="A46" i="14" s="1"/>
  <c r="B45" i="14"/>
  <c r="C45" i="14"/>
  <c r="D45" i="14"/>
  <c r="B47" i="13"/>
  <c r="A48" i="13" a="1"/>
  <c r="A48" i="13" s="1"/>
  <c r="C47" i="13"/>
  <c r="C48" i="13" l="1"/>
  <c r="D48" i="13"/>
  <c r="A47" i="14" a="1"/>
  <c r="A47" i="14" s="1"/>
  <c r="C46" i="14"/>
  <c r="D46" i="14"/>
  <c r="B46" i="14"/>
  <c r="B48" i="13"/>
  <c r="A49" i="13" a="1"/>
  <c r="A49" i="13" s="1"/>
  <c r="A48" i="14" l="1" a="1"/>
  <c r="A48" i="14" s="1"/>
  <c r="D47" i="14"/>
  <c r="B47" i="14"/>
  <c r="C47" i="14"/>
  <c r="D49" i="13"/>
  <c r="A50" i="13" a="1"/>
  <c r="A50" i="13" s="1"/>
  <c r="C49" i="13"/>
  <c r="B49" i="13"/>
  <c r="C50" i="13" l="1"/>
  <c r="B50" i="13"/>
  <c r="A49" i="14" a="1"/>
  <c r="A49" i="14" s="1"/>
  <c r="B48" i="14"/>
  <c r="C48" i="14"/>
  <c r="D48" i="14"/>
  <c r="A51" i="13" a="1"/>
  <c r="A51" i="13" s="1"/>
  <c r="C51" i="13" s="1"/>
  <c r="D50" i="13"/>
  <c r="A50" i="14" l="1" a="1"/>
  <c r="A50" i="14" s="1"/>
  <c r="B49" i="14"/>
  <c r="D49" i="14"/>
  <c r="C49" i="14"/>
  <c r="A52" i="13" a="1"/>
  <c r="A52" i="13" s="1"/>
  <c r="D51" i="13"/>
  <c r="B51" i="13"/>
  <c r="C52" i="13" l="1"/>
  <c r="B52" i="13"/>
  <c r="D52" i="13"/>
  <c r="A51" i="14" a="1"/>
  <c r="A51" i="14" s="1"/>
  <c r="C50" i="14"/>
  <c r="B50" i="14"/>
  <c r="D50" i="14"/>
  <c r="A53" i="13" a="1"/>
  <c r="A53" i="13" s="1"/>
  <c r="C53" i="13" l="1"/>
  <c r="A52" i="14" a="1"/>
  <c r="A52" i="14" s="1"/>
  <c r="D51" i="14"/>
  <c r="B51" i="14"/>
  <c r="C51" i="14"/>
  <c r="B53" i="13"/>
  <c r="A54" i="13" a="1"/>
  <c r="A54" i="13" s="1"/>
  <c r="C54" i="13" s="1"/>
  <c r="D53" i="13"/>
  <c r="A53" i="14" l="1" a="1"/>
  <c r="A53" i="14" s="1"/>
  <c r="D52" i="14"/>
  <c r="B52" i="14"/>
  <c r="C52" i="14"/>
  <c r="B54" i="13"/>
  <c r="A55" i="13" a="1"/>
  <c r="A55" i="13" s="1"/>
  <c r="C55" i="13" s="1"/>
  <c r="D54" i="13"/>
  <c r="A54" i="14" l="1" a="1"/>
  <c r="A54" i="14" s="1"/>
  <c r="B53" i="14"/>
  <c r="C53" i="14"/>
  <c r="D53" i="14"/>
  <c r="B55" i="13"/>
  <c r="A56" i="13" a="1"/>
  <c r="A56" i="13" s="1"/>
  <c r="C56" i="13" s="1"/>
  <c r="D55" i="13"/>
  <c r="D56" i="13" l="1"/>
  <c r="A55" i="14" a="1"/>
  <c r="A55" i="14" s="1"/>
  <c r="C54" i="14"/>
  <c r="B54" i="14"/>
  <c r="D54" i="14"/>
  <c r="B56" i="13"/>
  <c r="A57" i="13" a="1"/>
  <c r="A57" i="13" s="1"/>
  <c r="C57" i="13" s="1"/>
  <c r="D57" i="13" l="1"/>
  <c r="A56" i="14" a="1"/>
  <c r="A56" i="14" s="1"/>
  <c r="C55" i="14"/>
  <c r="D55" i="14"/>
  <c r="B55" i="14"/>
  <c r="B57" i="13"/>
  <c r="A58" i="13" a="1"/>
  <c r="A58" i="13" s="1"/>
  <c r="C58" i="13" s="1"/>
  <c r="D58" i="13" l="1"/>
  <c r="A57" i="14" a="1"/>
  <c r="A57" i="14" s="1"/>
  <c r="D56" i="14"/>
  <c r="B56" i="14"/>
  <c r="C56" i="14"/>
  <c r="B58" i="13"/>
  <c r="A59" i="13" a="1"/>
  <c r="A59" i="13" s="1"/>
  <c r="D59" i="13" s="1"/>
  <c r="C59" i="13" l="1"/>
  <c r="A58" i="14" a="1"/>
  <c r="A58" i="14" s="1"/>
  <c r="B57" i="14"/>
  <c r="C57" i="14"/>
  <c r="D57" i="14"/>
  <c r="B59" i="13"/>
  <c r="A60" i="13" a="1"/>
  <c r="A60" i="13" s="1"/>
  <c r="A59" i="14" l="1" a="1"/>
  <c r="A59" i="14" s="1"/>
  <c r="B58" i="14"/>
  <c r="C58" i="14"/>
  <c r="D58" i="14"/>
  <c r="B60" i="13"/>
  <c r="A61" i="13" a="1"/>
  <c r="A61" i="13" s="1"/>
  <c r="C61" i="13" s="1"/>
  <c r="C60" i="13"/>
  <c r="D60" i="13"/>
  <c r="A60" i="14" l="1" a="1"/>
  <c r="A60" i="14" s="1"/>
  <c r="C59" i="14"/>
  <c r="D59" i="14"/>
  <c r="B59" i="14"/>
  <c r="B61" i="13"/>
  <c r="A62" i="13" a="1"/>
  <c r="A62" i="13" s="1"/>
  <c r="C62" i="13" s="1"/>
  <c r="D61" i="13"/>
  <c r="A61" i="14" l="1" a="1"/>
  <c r="A61" i="14" s="1"/>
  <c r="D60" i="14"/>
  <c r="B60" i="14"/>
  <c r="C60" i="14"/>
  <c r="B62" i="13"/>
  <c r="A63" i="13" a="1"/>
  <c r="A63" i="13" s="1"/>
  <c r="C63" i="13" s="1"/>
  <c r="D62" i="13"/>
  <c r="B63" i="13" l="1"/>
  <c r="A62" i="14" a="1"/>
  <c r="A62" i="14" s="1"/>
  <c r="B61" i="14"/>
  <c r="C61" i="14"/>
  <c r="D61" i="14"/>
  <c r="A64" i="13" a="1"/>
  <c r="A64" i="13" s="1"/>
  <c r="D63" i="13"/>
  <c r="A63" i="14" l="1" a="1"/>
  <c r="A63" i="14" s="1"/>
  <c r="B62" i="14"/>
  <c r="C62" i="14"/>
  <c r="D62" i="14"/>
  <c r="B64" i="13"/>
  <c r="A65" i="13" a="1"/>
  <c r="A65" i="13" s="1"/>
  <c r="C64" i="13"/>
  <c r="D64" i="13"/>
  <c r="B65" i="13" l="1"/>
  <c r="D65" i="13"/>
  <c r="A64" i="14" a="1"/>
  <c r="A64" i="14" s="1"/>
  <c r="C63" i="14"/>
  <c r="D63" i="14"/>
  <c r="B63" i="14"/>
  <c r="A66" i="13" a="1"/>
  <c r="A66" i="13" s="1"/>
  <c r="C66" i="13" s="1"/>
  <c r="C65" i="13"/>
  <c r="A65" i="14" l="1" a="1"/>
  <c r="A65" i="14" s="1"/>
  <c r="D64" i="14"/>
  <c r="B64" i="14"/>
  <c r="C64" i="14"/>
  <c r="B66" i="13"/>
  <c r="A67" i="13" a="1"/>
  <c r="A67" i="13" s="1"/>
  <c r="C67" i="13" s="1"/>
  <c r="D66" i="13"/>
  <c r="B67" i="13" l="1"/>
  <c r="A66" i="14" a="1"/>
  <c r="A66" i="14" s="1"/>
  <c r="B65" i="14"/>
  <c r="C65" i="14"/>
  <c r="D65" i="14"/>
  <c r="A68" i="13" a="1"/>
  <c r="A68" i="13" s="1"/>
  <c r="C68" i="13" s="1"/>
  <c r="D67" i="13"/>
  <c r="A67" i="14" l="1" a="1"/>
  <c r="A67" i="14" s="1"/>
  <c r="B66" i="14"/>
  <c r="C66" i="14"/>
  <c r="D66" i="14"/>
  <c r="B68" i="13"/>
  <c r="A69" i="13" a="1"/>
  <c r="A69" i="13" s="1"/>
  <c r="D68" i="13"/>
  <c r="B69" i="13" l="1"/>
  <c r="A68" i="14" a="1"/>
  <c r="A68" i="14" s="1"/>
  <c r="C67" i="14"/>
  <c r="D67" i="14"/>
  <c r="B67" i="14"/>
  <c r="A70" i="13" a="1"/>
  <c r="A70" i="13" s="1"/>
  <c r="C70" i="13" s="1"/>
  <c r="C69" i="13"/>
  <c r="D69" i="13"/>
  <c r="A69" i="14" l="1" a="1"/>
  <c r="A69" i="14" s="1"/>
  <c r="D68" i="14"/>
  <c r="B68" i="14"/>
  <c r="C68" i="14"/>
  <c r="B70" i="13"/>
  <c r="A71" i="13" a="1"/>
  <c r="A71" i="13" s="1"/>
  <c r="D71" i="13" s="1"/>
  <c r="D70" i="13"/>
  <c r="B71" i="13" l="1"/>
  <c r="A70" i="14" a="1"/>
  <c r="A70" i="14" s="1"/>
  <c r="B69" i="14"/>
  <c r="C69" i="14"/>
  <c r="D69" i="14"/>
  <c r="A72" i="13" a="1"/>
  <c r="A72" i="13" s="1"/>
  <c r="C72" i="13" s="1"/>
  <c r="C71" i="13"/>
  <c r="A71" i="14" l="1" a="1"/>
  <c r="A71" i="14" s="1"/>
  <c r="B70" i="14"/>
  <c r="C70" i="14"/>
  <c r="D70" i="14"/>
  <c r="D72" i="13"/>
  <c r="B72" i="13"/>
  <c r="A73" i="13" a="1"/>
  <c r="A73" i="13" s="1"/>
  <c r="C73" i="13" s="1"/>
  <c r="B73" i="13" l="1"/>
  <c r="D73" i="13"/>
  <c r="A72" i="14" a="1"/>
  <c r="A72" i="14" s="1"/>
  <c r="C71" i="14"/>
  <c r="D71" i="14"/>
  <c r="B71" i="14"/>
  <c r="A74" i="13" a="1"/>
  <c r="A74" i="13" s="1"/>
  <c r="C74" i="13" s="1"/>
  <c r="A73" i="14" l="1" a="1"/>
  <c r="A73" i="14" s="1"/>
  <c r="D72" i="14"/>
  <c r="B72" i="14"/>
  <c r="C72" i="14"/>
  <c r="D74" i="13"/>
  <c r="B74" i="13"/>
  <c r="A75" i="13" a="1"/>
  <c r="A75" i="13" s="1"/>
  <c r="D75" i="13" s="1"/>
  <c r="B75" i="13" l="1"/>
  <c r="A74" i="14" a="1"/>
  <c r="A74" i="14" s="1"/>
  <c r="B73" i="14"/>
  <c r="C73" i="14"/>
  <c r="D73" i="14"/>
  <c r="A76" i="13" a="1"/>
  <c r="A76" i="13" s="1"/>
  <c r="C75" i="13"/>
  <c r="A75" i="14" l="1" a="1"/>
  <c r="A75" i="14" s="1"/>
  <c r="B74" i="14"/>
  <c r="C74" i="14"/>
  <c r="D74" i="14"/>
  <c r="C76" i="13"/>
  <c r="B76" i="13"/>
  <c r="A77" i="13" a="1"/>
  <c r="A77" i="13" s="1"/>
  <c r="C77" i="13" s="1"/>
  <c r="D76" i="13"/>
  <c r="B77" i="13" l="1"/>
  <c r="A76" i="14" a="1"/>
  <c r="A76" i="14" s="1"/>
  <c r="C75" i="14"/>
  <c r="D75" i="14"/>
  <c r="B75" i="14"/>
  <c r="A78" i="13" a="1"/>
  <c r="A78" i="13" s="1"/>
  <c r="C78" i="13" s="1"/>
  <c r="D77" i="13"/>
  <c r="B78" i="13" l="1"/>
  <c r="A77" i="14" a="1"/>
  <c r="A77" i="14" s="1"/>
  <c r="C76" i="14"/>
  <c r="D76" i="14"/>
  <c r="B76" i="14"/>
  <c r="A79" i="13" a="1"/>
  <c r="A79" i="13" s="1"/>
  <c r="C79" i="13" s="1"/>
  <c r="D78" i="13"/>
  <c r="A78" i="14" l="1" a="1"/>
  <c r="A78" i="14" s="1"/>
  <c r="B77" i="14"/>
  <c r="C77" i="14"/>
  <c r="D77" i="14"/>
  <c r="B79" i="13"/>
  <c r="A80" i="13" a="1"/>
  <c r="A80" i="13" s="1"/>
  <c r="D79" i="13"/>
  <c r="B80" i="13" l="1"/>
  <c r="A79" i="14" a="1"/>
  <c r="A79" i="14" s="1"/>
  <c r="C78" i="14"/>
  <c r="B78" i="14"/>
  <c r="D78" i="14"/>
  <c r="A81" i="13" a="1"/>
  <c r="A81" i="13" s="1"/>
  <c r="D80" i="13"/>
  <c r="C80" i="13"/>
  <c r="A80" i="14" l="1" a="1"/>
  <c r="A80" i="14" s="1"/>
  <c r="D79" i="14"/>
  <c r="C79" i="14"/>
  <c r="B79" i="14"/>
  <c r="B81" i="13"/>
  <c r="A82" i="13" a="1"/>
  <c r="A82" i="13" s="1"/>
  <c r="C81" i="13"/>
  <c r="D81" i="13"/>
  <c r="A81" i="14" l="1" a="1"/>
  <c r="A81" i="14" s="1"/>
  <c r="B80" i="14"/>
  <c r="C80" i="14"/>
  <c r="D80" i="14"/>
  <c r="A83" i="13" a="1"/>
  <c r="A83" i="13" s="1"/>
  <c r="C82" i="13"/>
  <c r="B82" i="13"/>
  <c r="D82" i="13"/>
  <c r="A82" i="14" l="1" a="1"/>
  <c r="A82" i="14" s="1"/>
  <c r="B81" i="14"/>
  <c r="C81" i="14"/>
  <c r="D81" i="14"/>
  <c r="A84" i="13" a="1"/>
  <c r="A84" i="13" s="1"/>
  <c r="D83" i="13"/>
  <c r="C83" i="13"/>
  <c r="B83" i="13"/>
  <c r="A83" i="14" l="1" a="1"/>
  <c r="A83" i="14" s="1"/>
  <c r="C82" i="14"/>
  <c r="D82" i="14"/>
  <c r="B82" i="14"/>
  <c r="D84" i="13"/>
  <c r="C84" i="13"/>
  <c r="B84" i="13"/>
  <c r="A85" i="13" a="1"/>
  <c r="A85" i="13" s="1"/>
  <c r="A84" i="14" l="1" a="1"/>
  <c r="A84" i="14" s="1"/>
  <c r="D83" i="14"/>
  <c r="B83" i="14"/>
  <c r="C83" i="14"/>
  <c r="A86" i="13" a="1"/>
  <c r="A86" i="13" s="1"/>
  <c r="D85" i="13"/>
  <c r="B85" i="13"/>
  <c r="C85" i="13"/>
  <c r="A85" i="14" l="1" a="1"/>
  <c r="A85" i="14" s="1"/>
  <c r="B84" i="14"/>
  <c r="C84" i="14"/>
  <c r="D84" i="14"/>
  <c r="D86" i="13"/>
  <c r="C86" i="13"/>
  <c r="B86" i="13"/>
  <c r="A87" i="13" a="1"/>
  <c r="A87" i="13" s="1"/>
  <c r="A86" i="14" l="1" a="1"/>
  <c r="A86" i="14" s="1"/>
  <c r="B85" i="14"/>
  <c r="D85" i="14"/>
  <c r="C85" i="14"/>
  <c r="C87" i="13"/>
  <c r="D87" i="13"/>
  <c r="B87" i="13"/>
  <c r="A88" i="13" a="1"/>
  <c r="A88" i="13" s="1"/>
  <c r="A87" i="14" l="1" a="1"/>
  <c r="A87" i="14" s="1"/>
  <c r="C86" i="14"/>
  <c r="B86" i="14"/>
  <c r="D86" i="14"/>
  <c r="C88" i="13"/>
  <c r="B88" i="13"/>
  <c r="A89" i="13" a="1"/>
  <c r="A89" i="13" s="1"/>
  <c r="D89" i="13" s="1"/>
  <c r="D88" i="13"/>
  <c r="A88" i="14" l="1" a="1"/>
  <c r="A88" i="14" s="1"/>
  <c r="D87" i="14"/>
  <c r="B87" i="14"/>
  <c r="C87" i="14"/>
  <c r="C89" i="13"/>
  <c r="B89" i="13"/>
  <c r="A90" i="13" a="1"/>
  <c r="A90" i="13" s="1"/>
  <c r="A89" i="14" l="1" a="1"/>
  <c r="A89" i="14" s="1"/>
  <c r="D88" i="14"/>
  <c r="B88" i="14"/>
  <c r="C88" i="14"/>
  <c r="C90" i="13"/>
  <c r="B90" i="13"/>
  <c r="A91" i="13" a="1"/>
  <c r="A91" i="13" s="1"/>
  <c r="C91" i="13" s="1"/>
  <c r="D90" i="13"/>
  <c r="A90" i="14" l="1" a="1"/>
  <c r="A90" i="14" s="1"/>
  <c r="B89" i="14"/>
  <c r="C89" i="14"/>
  <c r="D89" i="14"/>
  <c r="D91" i="13"/>
  <c r="B91" i="13"/>
  <c r="A92" i="13" a="1"/>
  <c r="A92" i="13" s="1"/>
  <c r="C92" i="13" s="1"/>
  <c r="A91" i="14" l="1" a="1"/>
  <c r="A91" i="14" s="1"/>
  <c r="C90" i="14"/>
  <c r="B90" i="14"/>
  <c r="D90" i="14"/>
  <c r="B92" i="13"/>
  <c r="D92" i="13"/>
  <c r="A93" i="13" a="1"/>
  <c r="A93" i="13" s="1"/>
  <c r="A92" i="14" l="1" a="1"/>
  <c r="A92" i="14" s="1"/>
  <c r="D91" i="14"/>
  <c r="B91" i="14"/>
  <c r="C91" i="14"/>
  <c r="D93" i="13"/>
  <c r="C93" i="13"/>
  <c r="B93" i="13"/>
  <c r="A94" i="13" a="1"/>
  <c r="A94" i="13" s="1"/>
  <c r="A93" i="14" l="1" a="1"/>
  <c r="A93" i="14" s="1"/>
  <c r="C92" i="14"/>
  <c r="D92" i="14"/>
  <c r="B92" i="14"/>
  <c r="D94" i="13"/>
  <c r="C94" i="13"/>
  <c r="B94" i="13"/>
  <c r="A95" i="13" a="1"/>
  <c r="A95" i="13" s="1"/>
  <c r="D95" i="13" s="1"/>
  <c r="A94" i="14" l="1" a="1"/>
  <c r="A94" i="14" s="1"/>
  <c r="B93" i="14"/>
  <c r="C93" i="14"/>
  <c r="D93" i="14"/>
  <c r="C95" i="13"/>
  <c r="B95" i="13"/>
  <c r="A96" i="13" a="1"/>
  <c r="A96" i="13" s="1"/>
  <c r="A95" i="14" l="1" a="1"/>
  <c r="A95" i="14" s="1"/>
  <c r="C94" i="14"/>
  <c r="B94" i="14"/>
  <c r="D94" i="14"/>
  <c r="D96" i="13"/>
  <c r="B96" i="13"/>
  <c r="C96" i="13"/>
  <c r="A97" i="13" a="1"/>
  <c r="A97" i="13" s="1"/>
  <c r="C97" i="13" s="1"/>
  <c r="A96" i="14" l="1" a="1"/>
  <c r="A96" i="14" s="1"/>
  <c r="D95" i="14"/>
  <c r="C95" i="14"/>
  <c r="B95" i="14"/>
  <c r="D97" i="13"/>
  <c r="B97" i="13"/>
  <c r="A98" i="13" a="1"/>
  <c r="A98" i="13" s="1"/>
  <c r="A97" i="14" l="1" a="1"/>
  <c r="A97" i="14" s="1"/>
  <c r="C96" i="14"/>
  <c r="D96" i="14"/>
  <c r="B96" i="14"/>
  <c r="D98" i="13"/>
  <c r="C98" i="13"/>
  <c r="B98" i="13"/>
  <c r="A99" i="13" a="1"/>
  <c r="A99" i="13" s="1"/>
  <c r="D99" i="13" s="1"/>
  <c r="A98" i="14" l="1" a="1"/>
  <c r="A98" i="14" s="1"/>
  <c r="B97" i="14"/>
  <c r="D97" i="14"/>
  <c r="C97" i="14"/>
  <c r="C99" i="13"/>
  <c r="B99" i="13"/>
  <c r="A100" i="13" a="1"/>
  <c r="A100" i="13" s="1"/>
  <c r="A99" i="14" l="1" a="1"/>
  <c r="A99" i="14" s="1"/>
  <c r="C98" i="14"/>
  <c r="D98" i="14"/>
  <c r="B98" i="14"/>
  <c r="A101" i="13" a="1"/>
  <c r="A101" i="13" s="1"/>
  <c r="D100" i="13"/>
  <c r="C100" i="13"/>
  <c r="B100" i="13"/>
  <c r="A100" i="14" l="1" a="1"/>
  <c r="A100" i="14" s="1"/>
  <c r="D99" i="14"/>
  <c r="C99" i="14"/>
  <c r="B99" i="14"/>
  <c r="A102" i="13" a="1"/>
  <c r="A102" i="13" s="1"/>
  <c r="C101" i="13"/>
  <c r="D101" i="13"/>
  <c r="B101" i="13"/>
  <c r="A101" i="14" l="1" a="1"/>
  <c r="A101" i="14" s="1"/>
  <c r="B100" i="14"/>
  <c r="D100" i="14"/>
  <c r="C100" i="14"/>
  <c r="C102" i="13"/>
  <c r="B102" i="13"/>
  <c r="D102" i="13"/>
  <c r="A103" i="13" a="1"/>
  <c r="A103" i="13" s="1"/>
  <c r="A102" i="14" l="1" a="1"/>
  <c r="A102" i="14" s="1"/>
  <c r="B101" i="14"/>
  <c r="D101" i="14"/>
  <c r="C101" i="14"/>
  <c r="B103" i="13"/>
  <c r="D103" i="13"/>
  <c r="A104" i="13" a="1"/>
  <c r="A104" i="13" s="1"/>
  <c r="D104" i="13" s="1"/>
  <c r="C103" i="13"/>
  <c r="A103" i="14" l="1" a="1"/>
  <c r="A103" i="14" s="1"/>
  <c r="C102" i="14"/>
  <c r="D102" i="14"/>
  <c r="B102" i="14"/>
  <c r="C104" i="13"/>
  <c r="B104" i="13"/>
  <c r="A105" i="13" a="1"/>
  <c r="A105" i="13" s="1"/>
  <c r="A104" i="14" l="1" a="1"/>
  <c r="A104" i="14" s="1"/>
  <c r="D103" i="14"/>
  <c r="B103" i="14"/>
  <c r="C103" i="14"/>
  <c r="A106" i="13" a="1"/>
  <c r="A106" i="13" s="1"/>
  <c r="D106" i="13" s="1"/>
  <c r="D105" i="13"/>
  <c r="C105" i="13"/>
  <c r="B105" i="13"/>
  <c r="A105" i="14" l="1" a="1"/>
  <c r="A105" i="14" s="1"/>
  <c r="D104" i="14"/>
  <c r="B104" i="14"/>
  <c r="C104" i="14"/>
  <c r="C106" i="13"/>
  <c r="B106" i="13"/>
  <c r="A107" i="13" a="1"/>
  <c r="A107" i="13" s="1"/>
  <c r="A106" i="14" l="1" a="1"/>
  <c r="A106" i="14" s="1"/>
  <c r="B105" i="14"/>
  <c r="D105" i="14"/>
  <c r="C105" i="14"/>
  <c r="A108" i="13" a="1"/>
  <c r="A108" i="13" s="1"/>
  <c r="D107" i="13"/>
  <c r="B107" i="13"/>
  <c r="C107" i="13"/>
  <c r="A107" i="14" l="1" a="1"/>
  <c r="A107" i="14" s="1"/>
  <c r="C106" i="14"/>
  <c r="B106" i="14"/>
  <c r="D106" i="14"/>
  <c r="C108" i="13"/>
  <c r="D108" i="13"/>
  <c r="B108" i="13"/>
  <c r="A109" i="13" a="1"/>
  <c r="A109" i="13" s="1"/>
  <c r="A108" i="14" l="1" a="1"/>
  <c r="A108" i="14" s="1"/>
  <c r="D107" i="14"/>
  <c r="B107" i="14"/>
  <c r="C107" i="14"/>
  <c r="C109" i="13"/>
  <c r="B109" i="13"/>
  <c r="D109" i="13"/>
  <c r="A110" i="13" a="1"/>
  <c r="A110" i="13" s="1"/>
  <c r="A109" i="14" l="1" a="1"/>
  <c r="A109" i="14" s="1"/>
  <c r="D108" i="14"/>
  <c r="B108" i="14"/>
  <c r="C108" i="14"/>
  <c r="D110" i="13"/>
  <c r="C110" i="13"/>
  <c r="B110" i="13"/>
  <c r="A111" i="13" a="1"/>
  <c r="A111" i="13" s="1"/>
  <c r="D111" i="13" s="1"/>
  <c r="A110" i="14" l="1" a="1"/>
  <c r="A110" i="14" s="1"/>
  <c r="B109" i="14"/>
  <c r="C109" i="14"/>
  <c r="D109" i="14"/>
  <c r="C111" i="13"/>
  <c r="B111" i="13"/>
  <c r="A112" i="13" a="1"/>
  <c r="A112" i="13" s="1"/>
  <c r="A111" i="14" l="1" a="1"/>
  <c r="A111" i="14" s="1"/>
  <c r="C110" i="14"/>
  <c r="B110" i="14"/>
  <c r="D110" i="14"/>
  <c r="D112" i="13"/>
  <c r="C112" i="13"/>
  <c r="B112" i="13"/>
  <c r="A113" i="13" a="1"/>
  <c r="A113" i="13" s="1"/>
  <c r="D113" i="13" s="1"/>
  <c r="A112" i="14" l="1" a="1"/>
  <c r="A112" i="14" s="1"/>
  <c r="D111" i="14"/>
  <c r="B111" i="14"/>
  <c r="C111" i="14"/>
  <c r="C113" i="13"/>
  <c r="B113" i="13"/>
  <c r="A114" i="13" a="1"/>
  <c r="A114" i="13" s="1"/>
  <c r="D114" i="13" s="1"/>
  <c r="A113" i="14" l="1" a="1"/>
  <c r="A113" i="14" s="1"/>
  <c r="C112" i="14"/>
  <c r="B112" i="14"/>
  <c r="D112" i="14"/>
  <c r="C114" i="13"/>
  <c r="B114" i="13"/>
  <c r="A115" i="13" a="1"/>
  <c r="A115" i="13" s="1"/>
  <c r="A114" i="14" l="1" a="1"/>
  <c r="A114" i="14" s="1"/>
  <c r="B113" i="14"/>
  <c r="C113" i="14"/>
  <c r="D113" i="14"/>
  <c r="C115" i="13"/>
  <c r="B115" i="13"/>
  <c r="D115" i="13"/>
  <c r="A116" i="13" a="1"/>
  <c r="A116" i="13" s="1"/>
  <c r="A115" i="14" l="1" a="1"/>
  <c r="A115" i="14" s="1"/>
  <c r="C114" i="14"/>
  <c r="B114" i="14"/>
  <c r="D114" i="14"/>
  <c r="A117" i="13" a="1"/>
  <c r="A117" i="13" s="1"/>
  <c r="D116" i="13"/>
  <c r="C116" i="13"/>
  <c r="B116" i="13"/>
  <c r="A116" i="14" l="1" a="1"/>
  <c r="A116" i="14" s="1"/>
  <c r="D115" i="14"/>
  <c r="C115" i="14"/>
  <c r="B115" i="14"/>
  <c r="D117" i="13"/>
  <c r="B117" i="13"/>
  <c r="C117" i="13"/>
  <c r="A118" i="13" a="1"/>
  <c r="A118" i="13" s="1"/>
  <c r="A117" i="14" l="1" a="1"/>
  <c r="A117" i="14" s="1"/>
  <c r="B116" i="14"/>
  <c r="C116" i="14"/>
  <c r="D116" i="14"/>
  <c r="A119" i="13" a="1"/>
  <c r="A119" i="13" s="1"/>
  <c r="A120" i="13" s="1" a="1"/>
  <c r="A120" i="13" s="1"/>
  <c r="C118" i="13"/>
  <c r="B118" i="13"/>
  <c r="D118" i="13"/>
  <c r="A118" i="14" l="1" a="1"/>
  <c r="A118" i="14" s="1"/>
  <c r="B117" i="14"/>
  <c r="C117" i="14"/>
  <c r="D117" i="14"/>
  <c r="C119" i="13"/>
  <c r="B119" i="13"/>
  <c r="D119" i="13"/>
  <c r="C120" i="13"/>
  <c r="D120" i="13"/>
  <c r="A121" i="13" a="1"/>
  <c r="A121" i="13" s="1"/>
  <c r="B120" i="13"/>
  <c r="A119" i="14" l="1" a="1"/>
  <c r="A119" i="14" s="1"/>
  <c r="C118" i="14"/>
  <c r="B118" i="14"/>
  <c r="D118" i="14"/>
  <c r="C121" i="13"/>
  <c r="D121" i="13"/>
  <c r="A122" i="13" a="1"/>
  <c r="A122" i="13" s="1"/>
  <c r="B121" i="13"/>
  <c r="A120" i="14" l="1" a="1"/>
  <c r="A120" i="14" s="1"/>
  <c r="D119" i="14"/>
  <c r="C119" i="14"/>
  <c r="B119" i="14"/>
  <c r="C122" i="13"/>
  <c r="D122" i="13"/>
  <c r="A123" i="13" a="1"/>
  <c r="A123" i="13" s="1"/>
  <c r="B122" i="13"/>
  <c r="A121" i="14" l="1" a="1"/>
  <c r="A121" i="14" s="1"/>
  <c r="B120" i="14"/>
  <c r="C120" i="14"/>
  <c r="D120" i="14"/>
  <c r="C123" i="13"/>
  <c r="D123" i="13"/>
  <c r="A124" i="13" a="1"/>
  <c r="A124" i="13" s="1"/>
  <c r="B123" i="13"/>
  <c r="A122" i="14" l="1" a="1"/>
  <c r="A122" i="14" s="1"/>
  <c r="B121" i="14"/>
  <c r="C121" i="14"/>
  <c r="D121" i="14"/>
  <c r="C124" i="13"/>
  <c r="D124" i="13"/>
  <c r="A125" i="13" a="1"/>
  <c r="A125" i="13" s="1"/>
  <c r="B124" i="13"/>
  <c r="A123" i="14" l="1" a="1"/>
  <c r="A123" i="14" s="1"/>
  <c r="C122" i="14"/>
  <c r="D122" i="14"/>
  <c r="B122" i="14"/>
  <c r="C125" i="13"/>
  <c r="D125" i="13"/>
  <c r="A126" i="13" a="1"/>
  <c r="A126" i="13" s="1"/>
  <c r="B125" i="13"/>
  <c r="A124" i="14" l="1" a="1"/>
  <c r="A124" i="14" s="1"/>
  <c r="D123" i="14"/>
  <c r="B123" i="14"/>
  <c r="C123" i="14"/>
  <c r="C126" i="13"/>
  <c r="D126" i="13"/>
  <c r="A127" i="13" a="1"/>
  <c r="A127" i="13" s="1"/>
  <c r="B126" i="13"/>
  <c r="A125" i="14" l="1" a="1"/>
  <c r="A125" i="14" s="1"/>
  <c r="B124" i="14"/>
  <c r="C124" i="14"/>
  <c r="D124" i="14"/>
  <c r="C127" i="13"/>
  <c r="D127" i="13"/>
  <c r="A128" i="13" a="1"/>
  <c r="A128" i="13" s="1"/>
  <c r="B127" i="13"/>
  <c r="A126" i="14" l="1" a="1"/>
  <c r="A126" i="14" s="1"/>
  <c r="B125" i="14"/>
  <c r="D125" i="14"/>
  <c r="C125" i="14"/>
  <c r="C128" i="13"/>
  <c r="D128" i="13"/>
  <c r="A129" i="13" a="1"/>
  <c r="A129" i="13" s="1"/>
  <c r="B128" i="13"/>
  <c r="A127" i="14" l="1" a="1"/>
  <c r="A127" i="14" s="1"/>
  <c r="C126" i="14"/>
  <c r="B126" i="14"/>
  <c r="D126" i="14"/>
  <c r="D129" i="13"/>
  <c r="C129" i="13"/>
  <c r="A130" i="13" a="1"/>
  <c r="A130" i="13" s="1"/>
  <c r="B129" i="13"/>
  <c r="A128" i="14" l="1" a="1"/>
  <c r="A128" i="14" s="1"/>
  <c r="D127" i="14"/>
  <c r="B127" i="14"/>
  <c r="C127" i="14"/>
  <c r="C130" i="13"/>
  <c r="D130" i="13"/>
  <c r="A131" i="13" a="1"/>
  <c r="A131" i="13" s="1"/>
  <c r="B130" i="13"/>
  <c r="A129" i="14" l="1" a="1"/>
  <c r="A129" i="14" s="1"/>
  <c r="D128" i="14"/>
  <c r="B128" i="14"/>
  <c r="C128" i="14"/>
  <c r="C131" i="13"/>
  <c r="D131" i="13"/>
  <c r="A132" i="13" a="1"/>
  <c r="A132" i="13" s="1"/>
  <c r="B131" i="13"/>
  <c r="A130" i="14" l="1" a="1"/>
  <c r="A130" i="14" s="1"/>
  <c r="B129" i="14"/>
  <c r="C129" i="14"/>
  <c r="D129" i="14"/>
  <c r="C132" i="13"/>
  <c r="D132" i="13"/>
  <c r="A133" i="13" a="1"/>
  <c r="A133" i="13" s="1"/>
  <c r="B132" i="13"/>
  <c r="A131" i="14" l="1" a="1"/>
  <c r="A131" i="14" s="1"/>
  <c r="C130" i="14"/>
  <c r="B130" i="14"/>
  <c r="D130" i="14"/>
  <c r="C133" i="13"/>
  <c r="D133" i="13"/>
  <c r="A134" i="13" a="1"/>
  <c r="A134" i="13" s="1"/>
  <c r="B133" i="13"/>
  <c r="A132" i="14" l="1" a="1"/>
  <c r="A132" i="14" s="1"/>
  <c r="D131" i="14"/>
  <c r="B131" i="14"/>
  <c r="C131" i="14"/>
  <c r="C134" i="13"/>
  <c r="D134" i="13"/>
  <c r="A135" i="13" a="1"/>
  <c r="A135" i="13" s="1"/>
  <c r="B134" i="13"/>
  <c r="A133" i="14" l="1" a="1"/>
  <c r="A133" i="14" s="1"/>
  <c r="C132" i="14"/>
  <c r="D132" i="14"/>
  <c r="B132" i="14"/>
  <c r="C135" i="13"/>
  <c r="D135" i="13"/>
  <c r="A136" i="13" a="1"/>
  <c r="A136" i="13" s="1"/>
  <c r="B135" i="13"/>
  <c r="A134" i="14" l="1" a="1"/>
  <c r="A134" i="14" s="1"/>
  <c r="B133" i="14"/>
  <c r="C133" i="14"/>
  <c r="D133" i="14"/>
  <c r="C136" i="13"/>
  <c r="D136" i="13"/>
  <c r="A137" i="13" a="1"/>
  <c r="A137" i="13" s="1"/>
  <c r="B136" i="13"/>
  <c r="A135" i="14" l="1" a="1"/>
  <c r="A135" i="14" s="1"/>
  <c r="C134" i="14"/>
  <c r="B134" i="14"/>
  <c r="D134" i="14"/>
  <c r="C137" i="13"/>
  <c r="D137" i="13"/>
  <c r="A138" i="13" a="1"/>
  <c r="A138" i="13" s="1"/>
  <c r="B137" i="13"/>
  <c r="A136" i="14" l="1" a="1"/>
  <c r="A136" i="14" s="1"/>
  <c r="D135" i="14"/>
  <c r="C135" i="14"/>
  <c r="B135" i="14"/>
  <c r="C138" i="13"/>
  <c r="D138" i="13"/>
  <c r="A139" i="13" a="1"/>
  <c r="A139" i="13" s="1"/>
  <c r="B138" i="13"/>
  <c r="A137" i="14" l="1" a="1"/>
  <c r="A137" i="14" s="1"/>
  <c r="B136" i="14"/>
  <c r="C136" i="14"/>
  <c r="D136" i="14"/>
  <c r="C139" i="13"/>
  <c r="D139" i="13"/>
  <c r="A140" i="13" a="1"/>
  <c r="A140" i="13" s="1"/>
  <c r="B139" i="13"/>
  <c r="A138" i="14" l="1" a="1"/>
  <c r="A138" i="14" s="1"/>
  <c r="B137" i="14"/>
  <c r="C137" i="14"/>
  <c r="D137" i="14"/>
  <c r="C140" i="13"/>
  <c r="D140" i="13"/>
  <c r="B140" i="13"/>
  <c r="A141" i="13" a="1"/>
  <c r="A141" i="13" s="1"/>
  <c r="A139" i="14" l="1" a="1"/>
  <c r="A139" i="14" s="1"/>
  <c r="C138" i="14"/>
  <c r="D138" i="14"/>
  <c r="B138" i="14"/>
  <c r="C141" i="13"/>
  <c r="D141" i="13"/>
  <c r="A142" i="13" a="1"/>
  <c r="A142" i="13" s="1"/>
  <c r="B141" i="13"/>
  <c r="A140" i="14" l="1" a="1"/>
  <c r="A140" i="14" s="1"/>
  <c r="D139" i="14"/>
  <c r="B139" i="14"/>
  <c r="C139" i="14"/>
  <c r="C142" i="13"/>
  <c r="D142" i="13"/>
  <c r="A143" i="13" a="1"/>
  <c r="A143" i="13" s="1"/>
  <c r="B142" i="13"/>
  <c r="A141" i="14" l="1" a="1"/>
  <c r="A141" i="14" s="1"/>
  <c r="B140" i="14"/>
  <c r="C140" i="14"/>
  <c r="D140" i="14"/>
  <c r="C143" i="13"/>
  <c r="D143" i="13"/>
  <c r="A144" i="13" a="1"/>
  <c r="A144" i="13" s="1"/>
  <c r="B143" i="13"/>
  <c r="A142" i="14" l="1" a="1"/>
  <c r="A142" i="14" s="1"/>
  <c r="B141" i="14"/>
  <c r="D141" i="14"/>
  <c r="C141" i="14"/>
  <c r="C144" i="13"/>
  <c r="D144" i="13"/>
  <c r="A145" i="13" a="1"/>
  <c r="A145" i="13" s="1"/>
  <c r="B144" i="13"/>
  <c r="A143" i="14" l="1" a="1"/>
  <c r="A143" i="14" s="1"/>
  <c r="C142" i="14"/>
  <c r="B142" i="14"/>
  <c r="D142" i="14"/>
  <c r="C145" i="13"/>
  <c r="D145" i="13"/>
  <c r="A146" i="13" a="1"/>
  <c r="A146" i="13" s="1"/>
  <c r="B145" i="13"/>
  <c r="A144" i="14" l="1" a="1"/>
  <c r="A144" i="14" s="1"/>
  <c r="D143" i="14"/>
  <c r="B143" i="14"/>
  <c r="C143" i="14"/>
  <c r="C146" i="13"/>
  <c r="D146" i="13"/>
  <c r="A147" i="13" a="1"/>
  <c r="A147" i="13" s="1"/>
  <c r="B146" i="13"/>
  <c r="A145" i="14" l="1" a="1"/>
  <c r="A145" i="14" s="1"/>
  <c r="D144" i="14"/>
  <c r="B144" i="14"/>
  <c r="C144" i="14"/>
  <c r="C147" i="13"/>
  <c r="D147" i="13"/>
  <c r="A148" i="13" a="1"/>
  <c r="A148" i="13" s="1"/>
  <c r="B147" i="13"/>
  <c r="A146" i="14" l="1" a="1"/>
  <c r="A146" i="14" s="1"/>
  <c r="B145" i="14"/>
  <c r="C145" i="14"/>
  <c r="D145" i="14"/>
  <c r="C148" i="13"/>
  <c r="D148" i="13"/>
  <c r="A149" i="13" a="1"/>
  <c r="A149" i="13" s="1"/>
  <c r="B148" i="13"/>
  <c r="A147" i="14" l="1" a="1"/>
  <c r="A147" i="14" s="1"/>
  <c r="C146" i="14"/>
  <c r="B146" i="14"/>
  <c r="D146" i="14"/>
  <c r="D149" i="13"/>
  <c r="C149" i="13"/>
  <c r="A150" i="13" a="1"/>
  <c r="A150" i="13" s="1"/>
  <c r="B149" i="13"/>
  <c r="A148" i="14" l="1" a="1"/>
  <c r="A148" i="14" s="1"/>
  <c r="D147" i="14"/>
  <c r="B147" i="14"/>
  <c r="C147" i="14"/>
  <c r="C150" i="13"/>
  <c r="D150" i="13"/>
  <c r="A151" i="13" a="1"/>
  <c r="A151" i="13" s="1"/>
  <c r="B150" i="13"/>
  <c r="A149" i="14" l="1" a="1"/>
  <c r="A149" i="14" s="1"/>
  <c r="C148" i="14"/>
  <c r="D148" i="14"/>
  <c r="B148" i="14"/>
  <c r="D151" i="13"/>
  <c r="C151" i="13"/>
  <c r="A152" i="13" a="1"/>
  <c r="A152" i="13" s="1"/>
  <c r="B151" i="13"/>
  <c r="A150" i="14" l="1" a="1"/>
  <c r="A150" i="14" s="1"/>
  <c r="B149" i="14"/>
  <c r="C149" i="14"/>
  <c r="D149" i="14"/>
  <c r="C152" i="13"/>
  <c r="D152" i="13"/>
  <c r="A153" i="13" a="1"/>
  <c r="A153" i="13" s="1"/>
  <c r="B152" i="13"/>
  <c r="A151" i="14" l="1" a="1"/>
  <c r="A151" i="14" s="1"/>
  <c r="C150" i="14"/>
  <c r="B150" i="14"/>
  <c r="D150" i="14"/>
  <c r="C153" i="13"/>
  <c r="D153" i="13"/>
  <c r="A154" i="13" a="1"/>
  <c r="A154" i="13" s="1"/>
  <c r="B153" i="13"/>
  <c r="A152" i="14" l="1" a="1"/>
  <c r="A152" i="14" s="1"/>
  <c r="D151" i="14"/>
  <c r="C151" i="14"/>
  <c r="B151" i="14"/>
  <c r="C154" i="13"/>
  <c r="D154" i="13"/>
  <c r="A155" i="13" a="1"/>
  <c r="A155" i="13" s="1"/>
  <c r="B154" i="13"/>
  <c r="A153" i="14" l="1" a="1"/>
  <c r="A153" i="14" s="1"/>
  <c r="B152" i="14"/>
  <c r="C152" i="14"/>
  <c r="D152" i="14"/>
  <c r="C155" i="13"/>
  <c r="D155" i="13"/>
  <c r="A156" i="13" a="1"/>
  <c r="A156" i="13" s="1"/>
  <c r="B155" i="13"/>
  <c r="A154" i="14" l="1" a="1"/>
  <c r="A154" i="14" s="1"/>
  <c r="B153" i="14"/>
  <c r="C153" i="14"/>
  <c r="D153" i="14"/>
  <c r="C156" i="13"/>
  <c r="D156" i="13"/>
  <c r="A157" i="13" a="1"/>
  <c r="A157" i="13" s="1"/>
  <c r="B156" i="13"/>
  <c r="A155" i="14" l="1" a="1"/>
  <c r="A155" i="14" s="1"/>
  <c r="C154" i="14"/>
  <c r="D154" i="14"/>
  <c r="B154" i="14"/>
  <c r="C157" i="13"/>
  <c r="D157" i="13"/>
  <c r="A158" i="13" a="1"/>
  <c r="A158" i="13" s="1"/>
  <c r="B157" i="13"/>
  <c r="A156" i="14" l="1" a="1"/>
  <c r="A156" i="14" s="1"/>
  <c r="D155" i="14"/>
  <c r="B155" i="14"/>
  <c r="C155" i="14"/>
  <c r="C158" i="13"/>
  <c r="D158" i="13"/>
  <c r="A159" i="13" a="1"/>
  <c r="A159" i="13" s="1"/>
  <c r="B158" i="13"/>
  <c r="A157" i="14" l="1" a="1"/>
  <c r="A157" i="14" s="1"/>
  <c r="B156" i="14"/>
  <c r="C156" i="14"/>
  <c r="D156" i="14"/>
  <c r="C159" i="13"/>
  <c r="D159" i="13"/>
  <c r="A160" i="13" a="1"/>
  <c r="A160" i="13" s="1"/>
  <c r="B159" i="13"/>
  <c r="A158" i="14" l="1" a="1"/>
  <c r="A158" i="14" s="1"/>
  <c r="B157" i="14"/>
  <c r="D157" i="14"/>
  <c r="C157" i="14"/>
  <c r="C160" i="13"/>
  <c r="D160" i="13"/>
  <c r="A161" i="13" a="1"/>
  <c r="A161" i="13" s="1"/>
  <c r="B160" i="13"/>
  <c r="A159" i="14" l="1" a="1"/>
  <c r="A159" i="14" s="1"/>
  <c r="C158" i="14"/>
  <c r="B158" i="14"/>
  <c r="D158" i="14"/>
  <c r="D161" i="13"/>
  <c r="C161" i="13"/>
  <c r="A162" i="13" a="1"/>
  <c r="A162" i="13" s="1"/>
  <c r="B161" i="13"/>
  <c r="A160" i="14" l="1" a="1"/>
  <c r="A160" i="14" s="1"/>
  <c r="B159" i="14"/>
  <c r="C159" i="14"/>
  <c r="D159" i="14"/>
  <c r="C162" i="13"/>
  <c r="D162" i="13"/>
  <c r="A163" i="13" a="1"/>
  <c r="A163" i="13" s="1"/>
  <c r="B162" i="13"/>
  <c r="A161" i="14" l="1" a="1"/>
  <c r="A161" i="14" s="1"/>
  <c r="B160" i="14"/>
  <c r="C160" i="14"/>
  <c r="D160" i="14"/>
  <c r="C163" i="13"/>
  <c r="D163" i="13"/>
  <c r="A164" i="13" a="1"/>
  <c r="A164" i="13" s="1"/>
  <c r="B163" i="13"/>
  <c r="A162" i="14" l="1" a="1"/>
  <c r="A162" i="14" s="1"/>
  <c r="C161" i="14"/>
  <c r="D161" i="14"/>
  <c r="B161" i="14"/>
  <c r="C164" i="13"/>
  <c r="D164" i="13"/>
  <c r="A165" i="13" a="1"/>
  <c r="A165" i="13" s="1"/>
  <c r="B164" i="13"/>
  <c r="A163" i="14" l="1" a="1"/>
  <c r="A163" i="14" s="1"/>
  <c r="D162" i="14"/>
  <c r="B162" i="14"/>
  <c r="C162" i="14"/>
  <c r="C165" i="13"/>
  <c r="D165" i="13"/>
  <c r="A166" i="13" a="1"/>
  <c r="A166" i="13" s="1"/>
  <c r="B165" i="13"/>
  <c r="A164" i="14" l="1" a="1"/>
  <c r="A164" i="14" s="1"/>
  <c r="B163" i="14"/>
  <c r="C163" i="14"/>
  <c r="D163" i="14"/>
  <c r="C166" i="13"/>
  <c r="D166" i="13"/>
  <c r="A167" i="13" a="1"/>
  <c r="A167" i="13" s="1"/>
  <c r="B166" i="13"/>
  <c r="A165" i="14" l="1" a="1"/>
  <c r="A165" i="14" s="1"/>
  <c r="B164" i="14"/>
  <c r="C164" i="14"/>
  <c r="D164" i="14"/>
  <c r="C167" i="13"/>
  <c r="D167" i="13"/>
  <c r="A168" i="13" a="1"/>
  <c r="A168" i="13" s="1"/>
  <c r="B167" i="13"/>
  <c r="A166" i="14" l="1" a="1"/>
  <c r="A166" i="14" s="1"/>
  <c r="C165" i="14"/>
  <c r="D165" i="14"/>
  <c r="B165" i="14"/>
  <c r="C168" i="13"/>
  <c r="D168" i="13"/>
  <c r="A169" i="13" a="1"/>
  <c r="A169" i="13" s="1"/>
  <c r="B168" i="13"/>
  <c r="A167" i="14" l="1" a="1"/>
  <c r="A167" i="14" s="1"/>
  <c r="D166" i="14"/>
  <c r="B166" i="14"/>
  <c r="C166" i="14"/>
  <c r="C169" i="13"/>
  <c r="D169" i="13"/>
  <c r="A170" i="13" a="1"/>
  <c r="A170" i="13" s="1"/>
  <c r="B169" i="13"/>
  <c r="A168" i="14" l="1" a="1"/>
  <c r="A168" i="14" s="1"/>
  <c r="B167" i="14"/>
  <c r="C167" i="14"/>
  <c r="D167" i="14"/>
  <c r="C170" i="13"/>
  <c r="D170" i="13"/>
  <c r="A171" i="13" a="1"/>
  <c r="A171" i="13" s="1"/>
  <c r="B170" i="13"/>
  <c r="A169" i="14" l="1" a="1"/>
  <c r="A169" i="14" s="1"/>
  <c r="B168" i="14"/>
  <c r="C168" i="14"/>
  <c r="D168" i="14"/>
  <c r="D171" i="13"/>
  <c r="C171" i="13"/>
  <c r="A172" i="13" a="1"/>
  <c r="A172" i="13" s="1"/>
  <c r="B171" i="13"/>
  <c r="A170" i="14" l="1" a="1"/>
  <c r="A170" i="14" s="1"/>
  <c r="C169" i="14"/>
  <c r="D169" i="14"/>
  <c r="B169" i="14"/>
  <c r="C172" i="13"/>
  <c r="D172" i="13"/>
  <c r="A173" i="13" a="1"/>
  <c r="A173" i="13" s="1"/>
  <c r="B172" i="13"/>
  <c r="A171" i="14" l="1" a="1"/>
  <c r="A171" i="14" s="1"/>
  <c r="D170" i="14"/>
  <c r="B170" i="14"/>
  <c r="C170" i="14"/>
  <c r="C173" i="13"/>
  <c r="D173" i="13"/>
  <c r="A174" i="13" a="1"/>
  <c r="A174" i="13" s="1"/>
  <c r="B173" i="13"/>
  <c r="A172" i="14" l="1" a="1"/>
  <c r="A172" i="14" s="1"/>
  <c r="B171" i="14"/>
  <c r="C171" i="14"/>
  <c r="D171" i="14"/>
  <c r="C174" i="13"/>
  <c r="D174" i="13"/>
  <c r="A175" i="13" a="1"/>
  <c r="A175" i="13" s="1"/>
  <c r="B174" i="13"/>
  <c r="A173" i="14" l="1" a="1"/>
  <c r="A173" i="14" s="1"/>
  <c r="B172" i="14"/>
  <c r="C172" i="14"/>
  <c r="D172" i="14"/>
  <c r="C175" i="13"/>
  <c r="D175" i="13"/>
  <c r="A176" i="13" a="1"/>
  <c r="A176" i="13" s="1"/>
  <c r="B175" i="13"/>
  <c r="A174" i="14" l="1" a="1"/>
  <c r="A174" i="14" s="1"/>
  <c r="C173" i="14"/>
  <c r="D173" i="14"/>
  <c r="B173" i="14"/>
  <c r="C176" i="13"/>
  <c r="D176" i="13"/>
  <c r="A177" i="13" a="1"/>
  <c r="A177" i="13" s="1"/>
  <c r="B176" i="13"/>
  <c r="A175" i="14" l="1" a="1"/>
  <c r="A175" i="14" s="1"/>
  <c r="D174" i="14"/>
  <c r="B174" i="14"/>
  <c r="C174" i="14"/>
  <c r="C177" i="13"/>
  <c r="D177" i="13"/>
  <c r="A178" i="13" a="1"/>
  <c r="A178" i="13" s="1"/>
  <c r="B177" i="13"/>
  <c r="A176" i="14" l="1" a="1"/>
  <c r="A176" i="14" s="1"/>
  <c r="B175" i="14"/>
  <c r="C175" i="14"/>
  <c r="D175" i="14"/>
  <c r="C178" i="13"/>
  <c r="D178" i="13"/>
  <c r="A179" i="13" a="1"/>
  <c r="A179" i="13" s="1"/>
  <c r="B178" i="13"/>
  <c r="A177" i="14" l="1" a="1"/>
  <c r="A177" i="14" s="1"/>
  <c r="B176" i="14"/>
  <c r="C176" i="14"/>
  <c r="D176" i="14"/>
  <c r="C179" i="13"/>
  <c r="D179" i="13"/>
  <c r="A180" i="13" a="1"/>
  <c r="A180" i="13" s="1"/>
  <c r="B179" i="13"/>
  <c r="A178" i="14" l="1" a="1"/>
  <c r="A178" i="14" s="1"/>
  <c r="C177" i="14"/>
  <c r="D177" i="14"/>
  <c r="B177" i="14"/>
  <c r="C180" i="13"/>
  <c r="D180" i="13"/>
  <c r="A181" i="13" a="1"/>
  <c r="A181" i="13" s="1"/>
  <c r="B180" i="13"/>
  <c r="A179" i="14" l="1" a="1"/>
  <c r="A179" i="14" s="1"/>
  <c r="D178" i="14"/>
  <c r="B178" i="14"/>
  <c r="C178" i="14"/>
  <c r="D181" i="13"/>
  <c r="C181" i="13"/>
  <c r="A182" i="13" a="1"/>
  <c r="A182" i="13" s="1"/>
  <c r="B181" i="13"/>
  <c r="A180" i="14" l="1" a="1"/>
  <c r="A180" i="14" s="1"/>
  <c r="B179" i="14"/>
  <c r="C179" i="14"/>
  <c r="D179" i="14"/>
  <c r="C182" i="13"/>
  <c r="D182" i="13"/>
  <c r="A183" i="13" a="1"/>
  <c r="A183" i="13" s="1"/>
  <c r="B182" i="13"/>
  <c r="A181" i="14" l="1" a="1"/>
  <c r="A181" i="14" s="1"/>
  <c r="B180" i="14"/>
  <c r="C180" i="14"/>
  <c r="D180" i="14"/>
  <c r="C183" i="13"/>
  <c r="D183" i="13"/>
  <c r="A184" i="13" a="1"/>
  <c r="A184" i="13" s="1"/>
  <c r="B183" i="13"/>
  <c r="A182" i="14" l="1" a="1"/>
  <c r="A182" i="14" s="1"/>
  <c r="C181" i="14"/>
  <c r="D181" i="14"/>
  <c r="B181" i="14"/>
  <c r="C184" i="13"/>
  <c r="D184" i="13"/>
  <c r="A185" i="13" a="1"/>
  <c r="A185" i="13" s="1"/>
  <c r="B184" i="13"/>
  <c r="A183" i="14" l="1" a="1"/>
  <c r="A183" i="14" s="1"/>
  <c r="D182" i="14"/>
  <c r="B182" i="14"/>
  <c r="C182" i="14"/>
  <c r="C185" i="13"/>
  <c r="D185" i="13"/>
  <c r="A186" i="13" a="1"/>
  <c r="A186" i="13" s="1"/>
  <c r="B185" i="13"/>
  <c r="A184" i="14" l="1" a="1"/>
  <c r="A184" i="14" s="1"/>
  <c r="B183" i="14"/>
  <c r="C183" i="14"/>
  <c r="D183" i="14"/>
  <c r="C186" i="13"/>
  <c r="D186" i="13"/>
  <c r="A187" i="13" a="1"/>
  <c r="A187" i="13" s="1"/>
  <c r="B186" i="13"/>
  <c r="A185" i="14" l="1" a="1"/>
  <c r="A185" i="14" s="1"/>
  <c r="B184" i="14"/>
  <c r="C184" i="14"/>
  <c r="D184" i="14"/>
  <c r="C187" i="13"/>
  <c r="D187" i="13"/>
  <c r="A188" i="13" a="1"/>
  <c r="A188" i="13" s="1"/>
  <c r="B187" i="13"/>
  <c r="A186" i="14" l="1" a="1"/>
  <c r="A186" i="14" s="1"/>
  <c r="C185" i="14"/>
  <c r="D185" i="14"/>
  <c r="B185" i="14"/>
  <c r="C188" i="13"/>
  <c r="D188" i="13"/>
  <c r="A189" i="13" a="1"/>
  <c r="A189" i="13" s="1"/>
  <c r="B188" i="13"/>
  <c r="A187" i="14" l="1" a="1"/>
  <c r="A187" i="14" s="1"/>
  <c r="D186" i="14"/>
  <c r="B186" i="14"/>
  <c r="C186" i="14"/>
  <c r="C189" i="13"/>
  <c r="D189" i="13"/>
  <c r="A190" i="13" a="1"/>
  <c r="A190" i="13" s="1"/>
  <c r="B189" i="13"/>
  <c r="A188" i="14" l="1" a="1"/>
  <c r="A188" i="14" s="1"/>
  <c r="B187" i="14"/>
  <c r="C187" i="14"/>
  <c r="D187" i="14"/>
  <c r="C190" i="13"/>
  <c r="D190" i="13"/>
  <c r="A191" i="13" a="1"/>
  <c r="A191" i="13" s="1"/>
  <c r="B190" i="13"/>
  <c r="A189" i="14" l="1" a="1"/>
  <c r="A189" i="14" s="1"/>
  <c r="B188" i="14"/>
  <c r="C188" i="14"/>
  <c r="D188" i="14"/>
  <c r="C191" i="13"/>
  <c r="D191" i="13"/>
  <c r="A192" i="13" a="1"/>
  <c r="A192" i="13" s="1"/>
  <c r="B191" i="13"/>
  <c r="A190" i="14" l="1" a="1"/>
  <c r="A190" i="14" s="1"/>
  <c r="C189" i="14"/>
  <c r="D189" i="14"/>
  <c r="B189" i="14"/>
  <c r="C192" i="13"/>
  <c r="D192" i="13"/>
  <c r="A193" i="13" a="1"/>
  <c r="A193" i="13" s="1"/>
  <c r="B192" i="13"/>
  <c r="A191" i="14" l="1" a="1"/>
  <c r="A191" i="14" s="1"/>
  <c r="D190" i="14"/>
  <c r="B190" i="14"/>
  <c r="C190" i="14"/>
  <c r="D193" i="13"/>
  <c r="C193" i="13"/>
  <c r="A194" i="13" a="1"/>
  <c r="A194" i="13" s="1"/>
  <c r="B193" i="13"/>
  <c r="A192" i="14" l="1" a="1"/>
  <c r="A192" i="14" s="1"/>
  <c r="B191" i="14"/>
  <c r="C191" i="14"/>
  <c r="D191" i="14"/>
  <c r="C194" i="13"/>
  <c r="D194" i="13"/>
  <c r="A195" i="13" a="1"/>
  <c r="A195" i="13" s="1"/>
  <c r="B194" i="13"/>
  <c r="A193" i="14" l="1" a="1"/>
  <c r="A193" i="14" s="1"/>
  <c r="B192" i="14"/>
  <c r="C192" i="14"/>
  <c r="D192" i="14"/>
  <c r="C195" i="13"/>
  <c r="D195" i="13"/>
  <c r="A196" i="13" a="1"/>
  <c r="A196" i="13" s="1"/>
  <c r="B195" i="13"/>
  <c r="A194" i="14" l="1" a="1"/>
  <c r="A194" i="14" s="1"/>
  <c r="D193" i="14"/>
  <c r="C193" i="14"/>
  <c r="B193" i="14"/>
  <c r="C196" i="13"/>
  <c r="D196" i="13"/>
  <c r="A197" i="13" a="1"/>
  <c r="A197" i="13" s="1"/>
  <c r="B196" i="13"/>
  <c r="A195" i="14" l="1" a="1"/>
  <c r="A195" i="14" s="1"/>
  <c r="B194" i="14"/>
  <c r="D194" i="14"/>
  <c r="C194" i="14"/>
  <c r="C197" i="13"/>
  <c r="D197" i="13"/>
  <c r="A198" i="13" a="1"/>
  <c r="A198" i="13" s="1"/>
  <c r="B197" i="13"/>
  <c r="A196" i="14" l="1" a="1"/>
  <c r="A196" i="14" s="1"/>
  <c r="B195" i="14"/>
  <c r="C195" i="14"/>
  <c r="D195" i="14"/>
  <c r="C198" i="13"/>
  <c r="D198" i="13"/>
  <c r="A199" i="13" a="1"/>
  <c r="A199" i="13" s="1"/>
  <c r="B198" i="13"/>
  <c r="A197" i="14" l="1" a="1"/>
  <c r="A197" i="14" s="1"/>
  <c r="C196" i="14"/>
  <c r="D196" i="14"/>
  <c r="B196" i="14"/>
  <c r="C199" i="13"/>
  <c r="D199" i="13"/>
  <c r="A200" i="13" a="1"/>
  <c r="A200" i="13" s="1"/>
  <c r="B199" i="13"/>
  <c r="A198" i="14" l="1" a="1"/>
  <c r="A198" i="14" s="1"/>
  <c r="D197" i="14"/>
  <c r="B197" i="14"/>
  <c r="C197" i="14"/>
  <c r="C200" i="13"/>
  <c r="D200" i="13"/>
  <c r="A201" i="13" a="1"/>
  <c r="A201" i="13" s="1"/>
  <c r="B200" i="13"/>
  <c r="A199" i="14" l="1" a="1"/>
  <c r="A199" i="14" s="1"/>
  <c r="C198" i="14"/>
  <c r="B198" i="14"/>
  <c r="D198" i="14"/>
  <c r="C201" i="13"/>
  <c r="D201" i="13"/>
  <c r="A202" i="13" a="1"/>
  <c r="A202" i="13" s="1"/>
  <c r="B201" i="13"/>
  <c r="A200" i="14" l="1" a="1"/>
  <c r="A200" i="14" s="1"/>
  <c r="B199" i="14"/>
  <c r="D199" i="14"/>
  <c r="C199" i="14"/>
  <c r="C202" i="13"/>
  <c r="D202" i="13"/>
  <c r="A203" i="13" a="1"/>
  <c r="A203" i="13" s="1"/>
  <c r="B202" i="13"/>
  <c r="A201" i="14" l="1" a="1"/>
  <c r="A201" i="14" s="1"/>
  <c r="C200" i="14"/>
  <c r="B200" i="14"/>
  <c r="D200" i="14"/>
  <c r="C203" i="13"/>
  <c r="D203" i="13"/>
  <c r="A204" i="13" a="1"/>
  <c r="A204" i="13" s="1"/>
  <c r="B203" i="13"/>
  <c r="A202" i="14" l="1" a="1"/>
  <c r="A202" i="14" s="1"/>
  <c r="D201" i="14"/>
  <c r="C201" i="14"/>
  <c r="B201" i="14"/>
  <c r="C204" i="13"/>
  <c r="D204" i="13"/>
  <c r="A205" i="13" a="1"/>
  <c r="A205" i="13" s="1"/>
  <c r="B204" i="13"/>
  <c r="A203" i="14" l="1" a="1"/>
  <c r="A203" i="14" s="1"/>
  <c r="D202" i="14"/>
  <c r="B202" i="14"/>
  <c r="C202" i="14"/>
  <c r="C205" i="13"/>
  <c r="D205" i="13"/>
  <c r="A206" i="13" a="1"/>
  <c r="A206" i="13" s="1"/>
  <c r="B205" i="13"/>
  <c r="A204" i="14" l="1" a="1"/>
  <c r="A204" i="14" s="1"/>
  <c r="B203" i="14"/>
  <c r="C203" i="14"/>
  <c r="D203" i="14"/>
  <c r="C206" i="13"/>
  <c r="D206" i="13"/>
  <c r="A207" i="13" a="1"/>
  <c r="A207" i="13" s="1"/>
  <c r="B206" i="13"/>
  <c r="A205" i="14" l="1" a="1"/>
  <c r="A205" i="14" s="1"/>
  <c r="C204" i="14"/>
  <c r="D204" i="14"/>
  <c r="B204" i="14"/>
  <c r="C207" i="13"/>
  <c r="D207" i="13"/>
  <c r="A208" i="13" a="1"/>
  <c r="A208" i="13" s="1"/>
  <c r="B207" i="13"/>
  <c r="A206" i="14" l="1" a="1"/>
  <c r="A206" i="14" s="1"/>
  <c r="D205" i="14"/>
  <c r="B205" i="14"/>
  <c r="C205" i="14"/>
  <c r="C208" i="13"/>
  <c r="D208" i="13"/>
  <c r="A209" i="13" a="1"/>
  <c r="A209" i="13" s="1"/>
  <c r="B208" i="13"/>
  <c r="A207" i="14" l="1" a="1"/>
  <c r="A207" i="14" s="1"/>
  <c r="C206" i="14"/>
  <c r="D206" i="14"/>
  <c r="B206" i="14"/>
  <c r="C209" i="13"/>
  <c r="D209" i="13"/>
  <c r="A210" i="13" a="1"/>
  <c r="A210" i="13" s="1"/>
  <c r="B209" i="13"/>
  <c r="A208" i="14" l="1" a="1"/>
  <c r="A208" i="14" s="1"/>
  <c r="B207" i="14"/>
  <c r="D207" i="14"/>
  <c r="C207" i="14"/>
  <c r="C210" i="13"/>
  <c r="D210" i="13"/>
  <c r="A211" i="13" a="1"/>
  <c r="A211" i="13" s="1"/>
  <c r="B210" i="13"/>
  <c r="A209" i="14" l="1" a="1"/>
  <c r="A209" i="14" s="1"/>
  <c r="C208" i="14"/>
  <c r="B208" i="14"/>
  <c r="D208" i="14"/>
  <c r="C211" i="13"/>
  <c r="D211" i="13"/>
  <c r="A212" i="13" a="1"/>
  <c r="A212" i="13" s="1"/>
  <c r="B211" i="13"/>
  <c r="A210" i="14" l="1" a="1"/>
  <c r="A210" i="14" s="1"/>
  <c r="D209" i="14"/>
  <c r="C209" i="14"/>
  <c r="B209" i="14"/>
  <c r="C212" i="13"/>
  <c r="D212" i="13"/>
  <c r="A213" i="13" a="1"/>
  <c r="A213" i="13" s="1"/>
  <c r="B212" i="13"/>
  <c r="A211" i="14" l="1" a="1"/>
  <c r="A211" i="14" s="1"/>
  <c r="B210" i="14"/>
  <c r="D210" i="14"/>
  <c r="C210" i="14"/>
  <c r="D213" i="13"/>
  <c r="C213" i="13"/>
  <c r="A214" i="13" a="1"/>
  <c r="A214" i="13" s="1"/>
  <c r="B213" i="13"/>
  <c r="A212" i="14" l="1" a="1"/>
  <c r="A212" i="14" s="1"/>
  <c r="B211" i="14"/>
  <c r="C211" i="14"/>
  <c r="D211" i="14"/>
  <c r="C214" i="13"/>
  <c r="D214" i="13"/>
  <c r="A215" i="13" a="1"/>
  <c r="A215" i="13" s="1"/>
  <c r="B214" i="13"/>
  <c r="A213" i="14" l="1" a="1"/>
  <c r="A213" i="14" s="1"/>
  <c r="C212" i="14"/>
  <c r="D212" i="14"/>
  <c r="B212" i="14"/>
  <c r="D215" i="13"/>
  <c r="C215" i="13"/>
  <c r="A216" i="13" a="1"/>
  <c r="A216" i="13" s="1"/>
  <c r="B215" i="13"/>
  <c r="A214" i="14" l="1" a="1"/>
  <c r="A214" i="14" s="1"/>
  <c r="D213" i="14"/>
  <c r="B213" i="14"/>
  <c r="C213" i="14"/>
  <c r="C216" i="13"/>
  <c r="D216" i="13"/>
  <c r="A217" i="13" a="1"/>
  <c r="A217" i="13" s="1"/>
  <c r="B216" i="13"/>
  <c r="A215" i="14" l="1" a="1"/>
  <c r="A215" i="14" s="1"/>
  <c r="C214" i="14"/>
  <c r="B214" i="14"/>
  <c r="D214" i="14"/>
  <c r="C217" i="13"/>
  <c r="D217" i="13"/>
  <c r="A218" i="13" a="1"/>
  <c r="A218" i="13" s="1"/>
  <c r="B217" i="13"/>
  <c r="A216" i="14" l="1" a="1"/>
  <c r="A216" i="14" s="1"/>
  <c r="B215" i="14"/>
  <c r="D215" i="14"/>
  <c r="C215" i="14"/>
  <c r="C218" i="13"/>
  <c r="D218" i="13"/>
  <c r="A219" i="13" a="1"/>
  <c r="A219" i="13" s="1"/>
  <c r="B218" i="13"/>
  <c r="A217" i="14" l="1" a="1"/>
  <c r="A217" i="14" s="1"/>
  <c r="C216" i="14"/>
  <c r="B216" i="14"/>
  <c r="D216" i="14"/>
  <c r="C219" i="13"/>
  <c r="D219" i="13"/>
  <c r="A220" i="13" a="1"/>
  <c r="A220" i="13" s="1"/>
  <c r="B219" i="13"/>
  <c r="A218" i="14" l="1" a="1"/>
  <c r="A218" i="14" s="1"/>
  <c r="D217" i="14"/>
  <c r="C217" i="14"/>
  <c r="B217" i="14"/>
  <c r="C220" i="13"/>
  <c r="D220" i="13"/>
  <c r="A221" i="13" a="1"/>
  <c r="A221" i="13" s="1"/>
  <c r="B220" i="13"/>
  <c r="A219" i="14" l="1" a="1"/>
  <c r="A219" i="14" s="1"/>
  <c r="D218" i="14"/>
  <c r="B218" i="14"/>
  <c r="C218" i="14"/>
  <c r="C221" i="13"/>
  <c r="D221" i="13"/>
  <c r="A222" i="13" a="1"/>
  <c r="A222" i="13" s="1"/>
  <c r="B221" i="13"/>
  <c r="A220" i="14" l="1" a="1"/>
  <c r="A220" i="14" s="1"/>
  <c r="B219" i="14"/>
  <c r="C219" i="14"/>
  <c r="D219" i="14"/>
  <c r="C222" i="13"/>
  <c r="D222" i="13"/>
  <c r="A223" i="13" a="1"/>
  <c r="A223" i="13" s="1"/>
  <c r="B222" i="13"/>
  <c r="A221" i="14" l="1" a="1"/>
  <c r="A221" i="14" s="1"/>
  <c r="C220" i="14"/>
  <c r="D220" i="14"/>
  <c r="B220" i="14"/>
  <c r="C223" i="13"/>
  <c r="D223" i="13"/>
  <c r="A224" i="13" a="1"/>
  <c r="A224" i="13" s="1"/>
  <c r="B223" i="13"/>
  <c r="A222" i="14" l="1" a="1"/>
  <c r="A222" i="14" s="1"/>
  <c r="D221" i="14"/>
  <c r="B221" i="14"/>
  <c r="C221" i="14"/>
  <c r="C224" i="13"/>
  <c r="D224" i="13"/>
  <c r="A225" i="13" a="1"/>
  <c r="A225" i="13" s="1"/>
  <c r="B224" i="13"/>
  <c r="A223" i="14" l="1" a="1"/>
  <c r="A223" i="14" s="1"/>
  <c r="C222" i="14"/>
  <c r="D222" i="14"/>
  <c r="B222" i="14"/>
  <c r="D225" i="13"/>
  <c r="C225" i="13"/>
  <c r="A226" i="13" a="1"/>
  <c r="A226" i="13" s="1"/>
  <c r="B225" i="13"/>
  <c r="A224" i="14" l="1" a="1"/>
  <c r="A224" i="14" s="1"/>
  <c r="B223" i="14"/>
  <c r="D223" i="14"/>
  <c r="C223" i="14"/>
  <c r="C226" i="13"/>
  <c r="D226" i="13"/>
  <c r="A227" i="13" a="1"/>
  <c r="A227" i="13" s="1"/>
  <c r="B226" i="13"/>
  <c r="A225" i="14" l="1" a="1"/>
  <c r="A225" i="14" s="1"/>
  <c r="C224" i="14"/>
  <c r="B224" i="14"/>
  <c r="D224" i="14"/>
  <c r="C227" i="13"/>
  <c r="D227" i="13"/>
  <c r="A228" i="13" a="1"/>
  <c r="A228" i="13" s="1"/>
  <c r="B227" i="13"/>
  <c r="A226" i="14" l="1" a="1"/>
  <c r="A226" i="14" s="1"/>
  <c r="D225" i="14"/>
  <c r="C225" i="14"/>
  <c r="B225" i="14"/>
  <c r="C228" i="13"/>
  <c r="D228" i="13"/>
  <c r="A229" i="13" a="1"/>
  <c r="A229" i="13" s="1"/>
  <c r="B228" i="13"/>
  <c r="A227" i="14" l="1" a="1"/>
  <c r="A227" i="14" s="1"/>
  <c r="B226" i="14"/>
  <c r="D226" i="14"/>
  <c r="C226" i="14"/>
  <c r="C229" i="13"/>
  <c r="D229" i="13"/>
  <c r="A230" i="13" a="1"/>
  <c r="A230" i="13" s="1"/>
  <c r="B229" i="13"/>
  <c r="A228" i="14" l="1" a="1"/>
  <c r="A228" i="14" s="1"/>
  <c r="B227" i="14"/>
  <c r="C227" i="14"/>
  <c r="D227" i="14"/>
  <c r="C230" i="13"/>
  <c r="D230" i="13"/>
  <c r="A231" i="13" a="1"/>
  <c r="A231" i="13" s="1"/>
  <c r="B230" i="13"/>
  <c r="A229" i="14" l="1" a="1"/>
  <c r="A229" i="14" s="1"/>
  <c r="C228" i="14"/>
  <c r="D228" i="14"/>
  <c r="B228" i="14"/>
  <c r="C231" i="13"/>
  <c r="D231" i="13"/>
  <c r="A232" i="13" a="1"/>
  <c r="A232" i="13" s="1"/>
  <c r="B231" i="13"/>
  <c r="A230" i="14" l="1" a="1"/>
  <c r="A230" i="14" s="1"/>
  <c r="D229" i="14"/>
  <c r="B229" i="14"/>
  <c r="C229" i="14"/>
  <c r="C232" i="13"/>
  <c r="D232" i="13"/>
  <c r="A233" i="13" a="1"/>
  <c r="A233" i="13" s="1"/>
  <c r="B232" i="13"/>
  <c r="A231" i="14" l="1" a="1"/>
  <c r="A231" i="14" s="1"/>
  <c r="C230" i="14"/>
  <c r="B230" i="14"/>
  <c r="D230" i="14"/>
  <c r="C233" i="13"/>
  <c r="D233" i="13"/>
  <c r="A234" i="13" a="1"/>
  <c r="A234" i="13" s="1"/>
  <c r="B233" i="13"/>
  <c r="A232" i="14" l="1" a="1"/>
  <c r="A232" i="14" s="1"/>
  <c r="B231" i="14"/>
  <c r="D231" i="14"/>
  <c r="C231" i="14"/>
  <c r="C234" i="13"/>
  <c r="D234" i="13"/>
  <c r="A235" i="13" a="1"/>
  <c r="A235" i="13" s="1"/>
  <c r="B234" i="13"/>
  <c r="A233" i="14" l="1" a="1"/>
  <c r="A233" i="14" s="1"/>
  <c r="C232" i="14"/>
  <c r="B232" i="14"/>
  <c r="D232" i="14"/>
  <c r="C235" i="13"/>
  <c r="D235" i="13"/>
  <c r="A236" i="13" a="1"/>
  <c r="A236" i="13" s="1"/>
  <c r="B235" i="13"/>
  <c r="A234" i="14" l="1" a="1"/>
  <c r="A234" i="14" s="1"/>
  <c r="D233" i="14"/>
  <c r="C233" i="14"/>
  <c r="B233" i="14"/>
  <c r="C236" i="13"/>
  <c r="D236" i="13"/>
  <c r="A237" i="13" a="1"/>
  <c r="A237" i="13" s="1"/>
  <c r="B236" i="13"/>
  <c r="A235" i="14" l="1" a="1"/>
  <c r="A235" i="14" s="1"/>
  <c r="D234" i="14"/>
  <c r="B234" i="14"/>
  <c r="C234" i="14"/>
  <c r="C237" i="13"/>
  <c r="D237" i="13"/>
  <c r="A238" i="13" a="1"/>
  <c r="A238" i="13" s="1"/>
  <c r="B237" i="13"/>
  <c r="A236" i="14" l="1" a="1"/>
  <c r="A236" i="14" s="1"/>
  <c r="B235" i="14"/>
  <c r="C235" i="14"/>
  <c r="D235" i="14"/>
  <c r="C238" i="13"/>
  <c r="D238" i="13"/>
  <c r="A239" i="13" a="1"/>
  <c r="A239" i="13" s="1"/>
  <c r="B238" i="13"/>
  <c r="A237" i="14" l="1" a="1"/>
  <c r="A237" i="14" s="1"/>
  <c r="C236" i="14"/>
  <c r="D236" i="14"/>
  <c r="B236" i="14"/>
  <c r="C239" i="13"/>
  <c r="D239" i="13"/>
  <c r="A240" i="13" a="1"/>
  <c r="A240" i="13" s="1"/>
  <c r="B239" i="13"/>
  <c r="A238" i="14" l="1" a="1"/>
  <c r="A238" i="14" s="1"/>
  <c r="D237" i="14"/>
  <c r="B237" i="14"/>
  <c r="C237" i="14"/>
  <c r="C240" i="13"/>
  <c r="D240" i="13"/>
  <c r="A241" i="13" a="1"/>
  <c r="A241" i="13" s="1"/>
  <c r="B240" i="13"/>
  <c r="A239" i="14" l="1" a="1"/>
  <c r="A239" i="14" s="1"/>
  <c r="C238" i="14"/>
  <c r="D238" i="14"/>
  <c r="B238" i="14"/>
  <c r="C241" i="13"/>
  <c r="D241" i="13"/>
  <c r="A242" i="13" a="1"/>
  <c r="A242" i="13" s="1"/>
  <c r="B241" i="13"/>
  <c r="A240" i="14" l="1" a="1"/>
  <c r="A240" i="14" s="1"/>
  <c r="B239" i="14"/>
  <c r="D239" i="14"/>
  <c r="C239" i="14"/>
  <c r="C242" i="13"/>
  <c r="D242" i="13"/>
  <c r="A243" i="13" a="1"/>
  <c r="A243" i="13" s="1"/>
  <c r="B242" i="13"/>
  <c r="A241" i="14" l="1" a="1"/>
  <c r="A241" i="14" s="1"/>
  <c r="C240" i="14"/>
  <c r="B240" i="14"/>
  <c r="D240" i="14"/>
  <c r="C243" i="13"/>
  <c r="D243" i="13"/>
  <c r="A244" i="13" a="1"/>
  <c r="A244" i="13" s="1"/>
  <c r="B243" i="13"/>
  <c r="A242" i="14" l="1" a="1"/>
  <c r="A242" i="14" s="1"/>
  <c r="B241" i="14"/>
  <c r="D241" i="14"/>
  <c r="C241" i="14"/>
  <c r="C244" i="13"/>
  <c r="D244" i="13"/>
  <c r="A245" i="13" a="1"/>
  <c r="A245" i="13" s="1"/>
  <c r="B244" i="13"/>
  <c r="A243" i="14" l="1" a="1"/>
  <c r="A243" i="14" s="1"/>
  <c r="C242" i="14"/>
  <c r="D242" i="14"/>
  <c r="B242" i="14"/>
  <c r="C245" i="13"/>
  <c r="D245" i="13"/>
  <c r="A246" i="13" a="1"/>
  <c r="A246" i="13" s="1"/>
  <c r="B245" i="13"/>
  <c r="A244" i="14" l="1" a="1"/>
  <c r="A244" i="14" s="1"/>
  <c r="D243" i="14"/>
  <c r="B243" i="14"/>
  <c r="C243" i="14"/>
  <c r="C246" i="13"/>
  <c r="D246" i="13"/>
  <c r="A247" i="13" a="1"/>
  <c r="A247" i="13" s="1"/>
  <c r="B246" i="13"/>
  <c r="A245" i="14" l="1" a="1"/>
  <c r="A245" i="14" s="1"/>
  <c r="C244" i="14"/>
  <c r="B244" i="14"/>
  <c r="D244" i="14"/>
  <c r="C247" i="13"/>
  <c r="D247" i="13"/>
  <c r="A248" i="13" a="1"/>
  <c r="A248" i="13" s="1"/>
  <c r="B247" i="13"/>
  <c r="A246" i="14" l="1" a="1"/>
  <c r="A246" i="14" s="1"/>
  <c r="B245" i="14"/>
  <c r="D245" i="14"/>
  <c r="C245" i="14"/>
  <c r="C248" i="13"/>
  <c r="D248" i="13"/>
  <c r="A249" i="13" a="1"/>
  <c r="A249" i="13" s="1"/>
  <c r="B248" i="13"/>
  <c r="A247" i="14" l="1" a="1"/>
  <c r="A247" i="14" s="1"/>
  <c r="C246" i="14"/>
  <c r="D246" i="14"/>
  <c r="B246" i="14"/>
  <c r="C249" i="13"/>
  <c r="D249" i="13"/>
  <c r="A250" i="13" a="1"/>
  <c r="A250" i="13" s="1"/>
  <c r="B249" i="13"/>
  <c r="A248" i="14" l="1" a="1"/>
  <c r="A248" i="14" s="1"/>
  <c r="D247" i="14"/>
  <c r="B247" i="14"/>
  <c r="C247" i="14"/>
  <c r="C250" i="13"/>
  <c r="D250" i="13"/>
  <c r="A251" i="13" a="1"/>
  <c r="A251" i="13" s="1"/>
  <c r="B250" i="13"/>
  <c r="A249" i="14" l="1" a="1"/>
  <c r="A249" i="14" s="1"/>
  <c r="C248" i="14"/>
  <c r="B248" i="14"/>
  <c r="D248" i="14"/>
  <c r="C251" i="13"/>
  <c r="D251" i="13"/>
  <c r="A252" i="13" a="1"/>
  <c r="A252" i="13" s="1"/>
  <c r="B251" i="13"/>
  <c r="A250" i="14" l="1" a="1"/>
  <c r="A250" i="14" s="1"/>
  <c r="B249" i="14"/>
  <c r="D249" i="14"/>
  <c r="C249" i="14"/>
  <c r="C252" i="13"/>
  <c r="D252" i="13"/>
  <c r="A253" i="13" a="1"/>
  <c r="A253" i="13" s="1"/>
  <c r="B252" i="13"/>
  <c r="A251" i="14" l="1" a="1"/>
  <c r="A251" i="14" s="1"/>
  <c r="C250" i="14"/>
  <c r="D250" i="14"/>
  <c r="B250" i="14"/>
  <c r="C253" i="13"/>
  <c r="D253" i="13"/>
  <c r="A254" i="13" a="1"/>
  <c r="A254" i="13" s="1"/>
  <c r="B253" i="13"/>
  <c r="A252" i="14" l="1" a="1"/>
  <c r="A252" i="14" s="1"/>
  <c r="D251" i="14"/>
  <c r="B251" i="14"/>
  <c r="C251" i="14"/>
  <c r="C254" i="13"/>
  <c r="D254" i="13"/>
  <c r="B254" i="13"/>
  <c r="A253" i="14" l="1" a="1"/>
  <c r="A253" i="14" s="1"/>
  <c r="B252" i="14"/>
  <c r="C252" i="14"/>
  <c r="D252" i="14"/>
  <c r="A254" i="14" l="1" a="1"/>
  <c r="A254" i="14" s="1"/>
  <c r="B253" i="14"/>
  <c r="C253" i="14"/>
  <c r="D253" i="14"/>
  <c r="C254" i="14" l="1"/>
  <c r="D254" i="14"/>
  <c r="B254" i="14"/>
</calcChain>
</file>

<file path=xl/sharedStrings.xml><?xml version="1.0" encoding="utf-8"?>
<sst xmlns="http://schemas.openxmlformats.org/spreadsheetml/2006/main" count="4139" uniqueCount="1951">
  <si>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</si>
  <si>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</si>
  <si>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</si>
  <si>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</si>
  <si>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</si>
  <si>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</si>
  <si>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</si>
  <si>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</si>
  <si>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</si>
  <si>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</si>
  <si>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</si>
  <si>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</si>
  <si>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</si>
  <si>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</si>
  <si>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</si>
  <si>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</si>
  <si>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</si>
  <si>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</si>
  <si>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</si>
  <si>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</si>
  <si>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</si>
  <si>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</si>
  <si>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</si>
  <si>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</si>
  <si>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</si>
  <si>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</si>
  <si>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</si>
  <si>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</si>
  <si>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</si>
  <si>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</si>
  <si>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</si>
  <si>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</si>
  <si>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</si>
  <si>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</si>
  <si>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</si>
  <si>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</si>
  <si>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</si>
  <si>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</si>
  <si>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</si>
  <si>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</si>
  <si>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</si>
  <si>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</si>
  <si>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</si>
  <si>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</si>
  <si>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</si>
  <si>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</si>
  <si>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</si>
  <si>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</si>
  <si>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</si>
  <si>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</si>
  <si>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</si>
  <si>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</si>
  <si>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</si>
  <si>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</si>
  <si>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</si>
  <si>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</si>
  <si>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</si>
  <si>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</si>
  <si>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</si>
  <si>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</si>
  <si>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</si>
  <si>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</si>
  <si>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</si>
  <si>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</si>
  <si>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</si>
  <si>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</si>
  <si>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</si>
  <si>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</si>
  <si>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</si>
  <si>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</si>
  <si>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</si>
  <si>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</si>
  <si>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</si>
  <si>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</si>
  <si>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</si>
  <si>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</si>
  <si>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</si>
  <si>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</si>
  <si>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</si>
  <si>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</si>
  <si>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</si>
  <si>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</si>
  <si>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</si>
  <si>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</si>
  <si>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</si>
  <si>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</si>
  <si>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</si>
  <si>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</si>
  <si>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</si>
  <si>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</si>
  <si>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</si>
  <si>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</si>
  <si>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</si>
  <si>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</si>
  <si>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</si>
  <si>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</si>
  <si>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</si>
  <si>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</si>
  <si>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</si>
  <si>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</si>
  <si>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</si>
  <si>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</si>
  <si>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</si>
  <si>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</si>
  <si>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</si>
  <si>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</si>
  <si>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</si>
  <si>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</si>
  <si>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</si>
  <si>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</si>
  <si>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</si>
  <si>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</si>
  <si>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</si>
  <si>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</si>
  <si>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</si>
  <si>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</si>
  <si>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</si>
  <si>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</si>
  <si>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</si>
  <si>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</si>
  <si>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</si>
  <si>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</si>
  <si>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</si>
  <si>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</si>
  <si>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</si>
  <si>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</si>
  <si>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</si>
  <si>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</si>
  <si>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</si>
  <si>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</si>
  <si>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</si>
  <si>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</si>
  <si>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</si>
  <si>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</si>
  <si>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</si>
  <si>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</si>
  <si>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</si>
  <si>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</si>
  <si>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</si>
  <si>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</si>
  <si>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</si>
  <si>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</si>
  <si>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</si>
  <si>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</si>
  <si>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</si>
  <si>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</si>
  <si>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</si>
  <si>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</si>
  <si>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</si>
  <si>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</si>
  <si>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</si>
  <si>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</si>
  <si>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</si>
  <si>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</si>
  <si>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</si>
  <si>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</si>
  <si>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</si>
  <si>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</si>
  <si>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</si>
  <si>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</si>
  <si>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</si>
  <si>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</si>
  <si>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</si>
  <si>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</si>
  <si>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</si>
  <si>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</si>
  <si>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</si>
  <si>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</si>
  <si>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</si>
  <si>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</si>
  <si>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</si>
  <si>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</si>
  <si>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</si>
  <si>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</si>
  <si>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</si>
  <si>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</si>
  <si>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</si>
  <si>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</si>
  <si>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</si>
  <si>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</si>
  <si>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</si>
  <si>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</si>
  <si>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</si>
  <si>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</si>
  <si>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</si>
  <si>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</si>
  <si>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</si>
  <si>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</si>
  <si>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</si>
  <si>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</si>
  <si>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</si>
  <si>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</si>
  <si>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</si>
  <si>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</si>
  <si>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</si>
  <si>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</si>
  <si>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</si>
  <si>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</si>
  <si>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</si>
  <si>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</si>
  <si>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</si>
  <si>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</si>
  <si>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</si>
  <si>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</si>
  <si>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</si>
  <si>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</si>
  <si>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</si>
  <si>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</si>
  <si>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</si>
  <si>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</si>
  <si>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</si>
  <si>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</si>
  <si>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</si>
  <si>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</si>
  <si>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</si>
  <si>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</si>
  <si>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</si>
  <si>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</si>
  <si>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</si>
  <si>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</si>
  <si>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</si>
  <si>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</si>
  <si>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</si>
  <si>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</si>
  <si>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</si>
  <si>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</si>
  <si>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</si>
  <si>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</si>
  <si>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</si>
  <si>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</si>
  <si>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</si>
  <si>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</si>
  <si>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</si>
  <si>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</si>
  <si>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</si>
  <si>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</si>
  <si>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</si>
  <si>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</si>
  <si>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</si>
  <si>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</si>
  <si>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</si>
  <si>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</si>
  <si>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</si>
  <si>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</si>
  <si>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</si>
  <si>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</si>
  <si>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</si>
  <si>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</si>
  <si>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</si>
  <si>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</si>
  <si>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</si>
  <si>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</si>
  <si>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</si>
  <si>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</si>
  <si>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</si>
  <si>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</si>
  <si>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</si>
  <si>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</si>
  <si>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</si>
  <si>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</si>
  <si>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</si>
  <si>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</si>
  <si>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</si>
  <si>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</si>
  <si>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</si>
  <si>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</si>
  <si>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</si>
  <si>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</si>
  <si>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</si>
  <si>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</si>
  <si>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</si>
  <si>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</si>
  <si>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</si>
  <si>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</si>
  <si>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</si>
  <si>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</si>
  <si>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</si>
  <si>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</si>
  <si>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</si>
  <si>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</si>
  <si>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</si>
  <si>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</si>
  <si>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</si>
  <si>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</si>
  <si>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</si>
  <si>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</si>
  <si>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</si>
  <si>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</si>
  <si>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</si>
  <si>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</si>
  <si>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</si>
  <si>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</si>
  <si>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</si>
  <si>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</si>
  <si>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</si>
  <si>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</si>
  <si>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</si>
  <si>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</si>
  <si>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</si>
  <si>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</si>
  <si>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</si>
  <si>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</si>
  <si>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</si>
  <si>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</si>
  <si>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</si>
  <si>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</si>
  <si>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</si>
  <si>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</si>
  <si>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</si>
  <si>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</si>
  <si>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</si>
  <si>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</si>
  <si>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</si>
  <si>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</si>
  <si>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</si>
  <si>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</si>
  <si>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</si>
  <si>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</si>
  <si>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</si>
  <si>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</si>
  <si>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</si>
  <si>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</si>
  <si>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</si>
  <si>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</si>
  <si>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</si>
  <si>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</si>
  <si>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</si>
  <si>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</si>
  <si>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</si>
  <si>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</si>
  <si>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</si>
  <si>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</si>
  <si>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</si>
  <si>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</si>
  <si>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</si>
  <si>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</si>
  <si>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</si>
  <si>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</si>
  <si>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</si>
  <si>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</si>
  <si>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</si>
  <si>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</si>
  <si>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</si>
  <si>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</si>
  <si>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</si>
  <si>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</si>
  <si>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</si>
  <si>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</si>
  <si>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</si>
  <si>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</si>
  <si>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</si>
  <si>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</si>
  <si>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</si>
  <si>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</si>
  <si>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</si>
  <si>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</si>
  <si>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</si>
  <si>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</si>
  <si>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</si>
  <si>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</si>
  <si>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</si>
  <si>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</si>
  <si>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</si>
  <si>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</si>
  <si>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</si>
  <si>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</si>
  <si>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</si>
  <si>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</si>
  <si>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</si>
  <si>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</si>
  <si>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</si>
  <si>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</si>
  <si>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</si>
  <si>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</si>
  <si>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</si>
  <si>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</si>
  <si>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</si>
  <si>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</si>
  <si>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</si>
  <si>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</si>
  <si>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</si>
  <si>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</si>
  <si>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</si>
  <si>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</si>
  <si>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</si>
  <si>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</si>
  <si>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</si>
  <si>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</si>
  <si>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</si>
  <si>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</si>
  <si>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</si>
  <si>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</si>
  <si>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</si>
  <si>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</si>
  <si>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</si>
  <si>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</si>
  <si>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</si>
  <si>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</si>
  <si>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</si>
  <si>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</si>
  <si>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</si>
  <si>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</si>
  <si>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</si>
  <si>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</si>
  <si>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</si>
  <si>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</si>
  <si>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</si>
  <si>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</si>
  <si>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</si>
  <si>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</si>
  <si>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</si>
  <si>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</si>
  <si>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</si>
  <si>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</si>
  <si>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</si>
  <si>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</si>
  <si>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</si>
  <si>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</si>
  <si>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</si>
  <si>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</si>
  <si>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</si>
  <si>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</si>
  <si>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</si>
  <si>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</si>
  <si>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</si>
  <si>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</si>
  <si>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</si>
  <si>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</si>
  <si>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</si>
  <si>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</si>
  <si>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</si>
  <si>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</si>
  <si>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</si>
  <si>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</si>
  <si>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</si>
  <si>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</si>
  <si>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</si>
  <si>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</si>
  <si>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</si>
  <si>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</si>
  <si>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</si>
  <si>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</si>
  <si>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</si>
  <si>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</si>
  <si>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</si>
  <si>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</si>
  <si>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</si>
  <si>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</si>
  <si>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</si>
  <si>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</si>
  <si>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</si>
  <si>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</si>
  <si>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</si>
  <si>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</si>
  <si>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</si>
  <si>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</si>
  <si>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</si>
  <si>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</si>
  <si>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</si>
  <si>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</si>
  <si>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</si>
  <si>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</si>
  <si>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</si>
  <si>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</si>
  <si>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</si>
  <si>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</si>
  <si>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</si>
  <si>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</si>
  <si>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</si>
  <si>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</si>
  <si>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</si>
  <si>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</si>
  <si>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</si>
  <si>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</si>
  <si>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</si>
  <si>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</si>
  <si>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</si>
  <si>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</si>
  <si>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</si>
  <si>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</si>
  <si>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</si>
  <si>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</si>
  <si>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</si>
  <si>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</si>
  <si>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</si>
  <si>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</si>
  <si>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</si>
  <si>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</si>
  <si>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</si>
  <si>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</si>
  <si>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</si>
  <si>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</si>
  <si>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</si>
  <si>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</si>
  <si>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</si>
  <si>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</si>
  <si>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</si>
  <si>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</si>
  <si>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</si>
  <si>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</si>
  <si>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</si>
  <si>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</si>
  <si>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</si>
  <si>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</si>
  <si>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</si>
  <si>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</si>
  <si>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</si>
  <si>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</si>
  <si>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</si>
  <si>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</si>
  <si>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</si>
  <si>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</si>
  <si>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</si>
  <si>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</si>
  <si>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</si>
  <si>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</si>
  <si>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</si>
  <si>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</si>
  <si>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</si>
  <si>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</si>
  <si>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</si>
  <si>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</si>
  <si>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</si>
  <si>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</si>
  <si>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</si>
  <si>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</si>
  <si>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</si>
  <si>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</si>
  <si>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</si>
  <si>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</si>
  <si>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</si>
  <si>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</si>
  <si>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</si>
  <si>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</si>
  <si>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</si>
  <si>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</si>
  <si>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</si>
  <si>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</si>
  <si>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</si>
  <si>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</si>
  <si>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</si>
  <si>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</si>
  <si>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</si>
  <si>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</si>
  <si>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</si>
  <si>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</si>
  <si>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</si>
  <si>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</si>
  <si>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</si>
  <si>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</si>
  <si>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</si>
  <si>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</si>
  <si>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</si>
  <si>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</si>
  <si>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</si>
  <si>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</si>
  <si>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</si>
  <si>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</si>
  <si>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</si>
  <si>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</si>
  <si>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</si>
  <si>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</si>
  <si>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</si>
  <si>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</si>
  <si>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</si>
  <si>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</si>
  <si>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</si>
  <si>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</si>
  <si>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</si>
  <si>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</si>
  <si>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</si>
  <si>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</si>
  <si>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</si>
  <si>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</si>
  <si>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</si>
  <si>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</si>
  <si>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</si>
  <si>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</si>
  <si>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</si>
  <si>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</si>
  <si>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</si>
  <si>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</si>
  <si>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</si>
  <si>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</si>
  <si>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</si>
  <si>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</si>
  <si>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</si>
  <si>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</si>
  <si>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</si>
  <si>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</si>
  <si>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</si>
  <si>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</si>
  <si>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</si>
  <si>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</si>
  <si>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</si>
  <si>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</si>
  <si>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</si>
  <si>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</si>
  <si>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</si>
  <si>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</si>
  <si>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</si>
  <si>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</si>
  <si>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</si>
  <si>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</si>
  <si>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</si>
  <si>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</si>
  <si>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</si>
  <si>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</si>
  <si>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South Eastern Power Networks</t>
  </si>
  <si>
    <t>2024/25</t>
  </si>
  <si>
    <t>1 April 2024</t>
  </si>
  <si>
    <t>16:00 - 19:00</t>
  </si>
  <si>
    <t>07:00 - 16:00
19:00 - 23:00</t>
  </si>
  <si>
    <t>00:00 - 07:00
23:00 - 24:00</t>
  </si>
  <si>
    <t>00:00 - 24:00</t>
  </si>
  <si>
    <t>Monday to Friday 
(Including Bank Holidays)
March to October Inclusive</t>
  </si>
  <si>
    <t>07:00 - 23:00</t>
  </si>
  <si>
    <t>South Eastern Power Networks has no Preserved NHH Tariffs/Additional LLFC classes</t>
  </si>
  <si>
    <t>South Eastern Power Networks has no Preserved HH Tariffs/Additional LLFC classes</t>
  </si>
  <si>
    <t>Period 5</t>
  </si>
  <si>
    <t>Winter Peak</t>
  </si>
  <si>
    <t>Summer Peak</t>
  </si>
  <si>
    <t>Winter Shoulder</t>
  </si>
  <si>
    <t>Night</t>
  </si>
  <si>
    <t>Other</t>
  </si>
  <si>
    <t>Monday to Friday 
November to February</t>
  </si>
  <si>
    <t>Monday to Friday
June to August</t>
  </si>
  <si>
    <t>Monday to Friday
March</t>
  </si>
  <si>
    <t>All Year</t>
  </si>
  <si>
    <t>All Other Times</t>
  </si>
  <si>
    <t xml:space="preserve">Contains the underlying nodal group costs used to calculate the current EDCM charges. </t>
  </si>
  <si>
    <t xml:space="preserve">350, 351, 352, 353, 354 </t>
  </si>
  <si>
    <t>355, 356, 357, 358, 359, 360, 361, 362, 363, 364, 365, 366</t>
  </si>
  <si>
    <t>16:00 - 20:00</t>
  </si>
  <si>
    <t>07:00 - 16:00</t>
  </si>
  <si>
    <t>07:00 - 20:00</t>
  </si>
  <si>
    <t>00:00 - 07:00</t>
  </si>
  <si>
    <t>100, 300</t>
  </si>
  <si>
    <t>200, 320</t>
  </si>
  <si>
    <t>Residual Charge per MPAN (£/year)</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</si>
  <si>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</si>
  <si>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</si>
  <si>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</si>
  <si>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</si>
  <si>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</si>
  <si>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</si>
  <si>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</si>
  <si>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</si>
  <si>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</si>
  <si>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</si>
  <si>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</si>
  <si>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</si>
  <si>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</si>
  <si>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</si>
  <si>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</si>
  <si>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</si>
  <si>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</si>
  <si>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</si>
  <si>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</si>
  <si>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</si>
  <si>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</si>
  <si>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</si>
  <si>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</si>
  <si>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</si>
  <si>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</si>
  <si>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</si>
  <si>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</si>
  <si>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</si>
  <si>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</si>
  <si>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</si>
  <si>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</si>
  <si>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</si>
  <si>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</si>
  <si>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</si>
  <si>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</si>
  <si>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</si>
  <si>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</si>
  <si>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</si>
  <si>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</si>
  <si>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</si>
  <si>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</si>
  <si>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</si>
  <si>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</si>
  <si>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</si>
  <si>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</si>
  <si>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</si>
  <si>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</si>
  <si>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</si>
  <si>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</si>
  <si>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</si>
  <si>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</si>
  <si>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</si>
  <si>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</si>
  <si>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</si>
  <si>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</si>
  <si>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</si>
  <si>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</si>
  <si>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</si>
  <si>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</si>
  <si>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</si>
  <si>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</si>
  <si>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</si>
  <si>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</si>
  <si>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</si>
  <si>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</si>
  <si>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</si>
  <si>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</si>
  <si>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</si>
  <si>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</si>
  <si>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</si>
  <si>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</si>
  <si>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</si>
  <si>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</si>
  <si>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</si>
  <si>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</si>
  <si>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</si>
  <si>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</si>
  <si>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</si>
  <si>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</si>
  <si>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</si>
  <si>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</si>
  <si>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</si>
  <si>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</si>
  <si>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</si>
  <si>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</si>
  <si>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</si>
  <si>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</si>
  <si>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</si>
  <si>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</si>
  <si>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</si>
  <si>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</si>
  <si>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</si>
  <si>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</si>
  <si>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</si>
  <si>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</si>
  <si>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</si>
  <si>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</si>
  <si>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</si>
  <si>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</si>
  <si>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</si>
  <si>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</si>
  <si>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</si>
  <si>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</si>
  <si>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</si>
  <si>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</si>
  <si>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</si>
  <si>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</si>
  <si>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</si>
  <si>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</si>
  <si>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</si>
  <si>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</si>
  <si>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</si>
  <si>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</si>
  <si>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</si>
  <si>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</si>
  <si>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</si>
  <si>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</si>
  <si>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</si>
  <si>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</si>
  <si>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</si>
  <si>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</si>
  <si>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</si>
  <si>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</si>
  <si>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</si>
  <si>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</si>
  <si>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</si>
  <si>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</si>
  <si>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</si>
  <si>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</si>
  <si>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</si>
  <si>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</si>
  <si>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</si>
  <si>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</si>
  <si>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</si>
  <si>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</si>
  <si>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</si>
  <si>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</si>
  <si>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</si>
  <si>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</si>
  <si>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</si>
  <si>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</si>
  <si>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</si>
  <si>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</si>
  <si>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</si>
  <si>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</si>
  <si>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</si>
  <si>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</si>
  <si>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</si>
  <si>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</si>
  <si>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</si>
  <si>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</si>
  <si>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</si>
  <si>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</si>
  <si>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</si>
  <si>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</si>
  <si>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</si>
  <si>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</si>
  <si>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</si>
  <si>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</si>
  <si>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</si>
  <si>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</si>
  <si>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</si>
  <si>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</si>
  <si>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</si>
  <si>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</si>
  <si>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</si>
  <si>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</si>
  <si>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</si>
  <si>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</si>
  <si>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</si>
  <si>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</si>
  <si>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</si>
  <si>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</si>
  <si>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</si>
  <si>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</si>
  <si>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</si>
  <si>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</si>
  <si>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</si>
  <si>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</si>
  <si>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</si>
  <si>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</si>
  <si>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</si>
  <si>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</si>
  <si>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</si>
  <si>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</si>
  <si>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</si>
  <si>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</si>
  <si>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</si>
  <si>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</si>
  <si>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</si>
  <si>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</si>
  <si>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</si>
  <si>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</si>
  <si>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</si>
  <si>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</si>
  <si>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</si>
  <si>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</si>
  <si>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</si>
  <si>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</si>
  <si>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</si>
  <si>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</si>
  <si>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</si>
  <si>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</si>
  <si>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</si>
  <si>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</si>
  <si>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</si>
  <si>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</si>
  <si>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</si>
  <si>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</si>
  <si>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</si>
  <si>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</si>
  <si>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</si>
  <si>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</si>
  <si>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</si>
  <si>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</si>
  <si>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</si>
  <si>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</si>
  <si>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</si>
  <si>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</si>
  <si>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</si>
  <si>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</si>
  <si>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</si>
  <si>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</si>
  <si>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</si>
  <si>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</si>
  <si>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AYLESF</t>
  </si>
  <si>
    <t>BEDERF</t>
  </si>
  <si>
    <t>BESAYL</t>
  </si>
  <si>
    <t>BNTLEY</t>
  </si>
  <si>
    <t>BNTLY2</t>
  </si>
  <si>
    <t>BOBBNG</t>
  </si>
  <si>
    <t>BRAMBS</t>
  </si>
  <si>
    <t>BRELLE</t>
  </si>
  <si>
    <t>BRETSH</t>
  </si>
  <si>
    <t>BRKHST</t>
  </si>
  <si>
    <t>BTBRKS</t>
  </si>
  <si>
    <t>CAPELG</t>
  </si>
  <si>
    <t>CLYHLL</t>
  </si>
  <si>
    <t>CRYENG</t>
  </si>
  <si>
    <t>CWSTBS</t>
  </si>
  <si>
    <t>DARENT</t>
  </si>
  <si>
    <t>DSCPRK</t>
  </si>
  <si>
    <t>FORDSF</t>
  </si>
  <si>
    <t>FRWOOD</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</si>
  <si>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</si>
  <si>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</si>
  <si>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</si>
  <si>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</si>
  <si>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</si>
  <si>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</si>
  <si>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</si>
  <si>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</si>
  <si>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</si>
  <si>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</si>
  <si>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</si>
  <si>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</si>
  <si>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</si>
  <si>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</si>
  <si>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</si>
  <si>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</si>
  <si>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</si>
  <si>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</si>
  <si>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</si>
  <si>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</si>
  <si>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</si>
  <si>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</si>
  <si>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</si>
  <si>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</si>
  <si>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</si>
  <si>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</si>
  <si>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</si>
  <si>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PRIORS</t>
  </si>
  <si>
    <t>PSHLEY</t>
  </si>
  <si>
    <t>SELLSF</t>
  </si>
  <si>
    <t>SEVIND</t>
  </si>
  <si>
    <t>SHEPHM</t>
  </si>
  <si>
    <t>SHORHM</t>
  </si>
  <si>
    <t>SOLEES</t>
  </si>
  <si>
    <t>STAREN</t>
  </si>
  <si>
    <t>SYCAMR</t>
  </si>
  <si>
    <t>THAEAR</t>
  </si>
  <si>
    <t>THANET</t>
  </si>
  <si>
    <t>THORNE</t>
  </si>
  <si>
    <t>TONGSF</t>
  </si>
  <si>
    <t>WDLNDS</t>
  </si>
  <si>
    <t>WIDHFM</t>
  </si>
  <si>
    <t>WLBEES</t>
  </si>
  <si>
    <t>WRGALL</t>
  </si>
  <si>
    <t>WSTWDX</t>
  </si>
  <si>
    <t>1900035000482;1900035425153</t>
  </si>
  <si>
    <t/>
  </si>
  <si>
    <t>1900070745640;1900070745650;1900070745669;1900070745678</t>
  </si>
  <si>
    <t>1900017426438;1900017426447</t>
  </si>
  <si>
    <t>1900091200323;1900091200332</t>
  </si>
  <si>
    <t>1900017427938;1900017427947;1900060576620</t>
  </si>
  <si>
    <t>1900060690231;1900060690240</t>
  </si>
  <si>
    <t>MSID: 1027</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</si>
  <si>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</si>
  <si>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</si>
  <si>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</si>
  <si>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</si>
  <si>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</si>
  <si>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</si>
  <si>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</si>
  <si>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MSID: 7441</t>
  </si>
  <si>
    <t>MSID: 7442</t>
  </si>
  <si>
    <t>1900091523301;1900092049178</t>
  </si>
  <si>
    <t>1900091523310;1900092037980</t>
  </si>
  <si>
    <t>1900004383769;1900031426056</t>
  </si>
  <si>
    <t>1900060442174;1900060512032</t>
  </si>
  <si>
    <t>MSID: 7435</t>
  </si>
  <si>
    <t>MSID: 7436</t>
  </si>
  <si>
    <t>1900091085110;1900091349724;1900091349733</t>
  </si>
  <si>
    <t>MSID: 7160</t>
  </si>
  <si>
    <t>MSID: 7104</t>
  </si>
  <si>
    <t>1900091121257;1900091121275</t>
  </si>
  <si>
    <t>1900091121266;1900091121284</t>
  </si>
  <si>
    <t>1900090417081;1900090417106;1900090417133;1900090417142;1900090417151</t>
  </si>
  <si>
    <t>1900090417160;1900090417189;1900090417212;1900090417221;1900090417230</t>
  </si>
  <si>
    <t>1900070394466;1900070467983</t>
  </si>
  <si>
    <t>ENET</t>
  </si>
  <si>
    <t>1900091718313;1900092210410</t>
  </si>
  <si>
    <t>1900091085120;1900091349715;1900091349706</t>
  </si>
  <si>
    <t>ABNR31</t>
  </si>
  <si>
    <t>SPN 0003</t>
  </si>
  <si>
    <t>ADDG51</t>
  </si>
  <si>
    <t>Addington Grid</t>
  </si>
  <si>
    <t>ADDL51</t>
  </si>
  <si>
    <t>Addington Local</t>
  </si>
  <si>
    <t>ADDL52</t>
  </si>
  <si>
    <t>ANGM51</t>
  </si>
  <si>
    <t>Angmering</t>
  </si>
  <si>
    <t>ANGM52</t>
  </si>
  <si>
    <t>AREP31</t>
  </si>
  <si>
    <t>SPN 0084</t>
  </si>
  <si>
    <t>ARLP31</t>
  </si>
  <si>
    <t>SPN 0067</t>
  </si>
  <si>
    <t>ASHG31</t>
  </si>
  <si>
    <t>SPN 0020</t>
  </si>
  <si>
    <t>ASHI51</t>
  </si>
  <si>
    <t>Ashington</t>
  </si>
  <si>
    <t>ASHP31</t>
  </si>
  <si>
    <t>SPN 0078</t>
  </si>
  <si>
    <t>ASNR31</t>
  </si>
  <si>
    <t>SPN 0049</t>
  </si>
  <si>
    <t>ASNR32</t>
  </si>
  <si>
    <t>ASTD51</t>
  </si>
  <si>
    <t>Ashtead</t>
  </si>
  <si>
    <t>ASWN91</t>
  </si>
  <si>
    <t>SPN 0092</t>
  </si>
  <si>
    <t>ASWP31</t>
  </si>
  <si>
    <t>SPN 0073</t>
  </si>
  <si>
    <t>AYBS31</t>
  </si>
  <si>
    <t>SPN 0095</t>
  </si>
  <si>
    <t>AYLF71</t>
  </si>
  <si>
    <t>Aylesford</t>
  </si>
  <si>
    <t>BALO51</t>
  </si>
  <si>
    <t>Baldslow</t>
  </si>
  <si>
    <t>BANS51</t>
  </si>
  <si>
    <t>Banstead</t>
  </si>
  <si>
    <t>BARM51</t>
  </si>
  <si>
    <t>Barming</t>
  </si>
  <si>
    <t>BEDD13</t>
  </si>
  <si>
    <t>Beddington</t>
  </si>
  <si>
    <t>BEDD14</t>
  </si>
  <si>
    <t>BEDD51</t>
  </si>
  <si>
    <t>BENR31</t>
  </si>
  <si>
    <t>Bengeworth Road</t>
  </si>
  <si>
    <t>BENR32</t>
  </si>
  <si>
    <t>BERF31</t>
  </si>
  <si>
    <t>SPN 0090</t>
  </si>
  <si>
    <t>BERR51</t>
  </si>
  <si>
    <t>Berrylands</t>
  </si>
  <si>
    <t>BETL51</t>
  </si>
  <si>
    <t>Betteshanger Local</t>
  </si>
  <si>
    <t>BEXH51</t>
  </si>
  <si>
    <t>Bexhill Town</t>
  </si>
  <si>
    <t>BHWG31</t>
  </si>
  <si>
    <t>SPN 0006</t>
  </si>
  <si>
    <t>BIGH51</t>
  </si>
  <si>
    <t>Biggin Hill</t>
  </si>
  <si>
    <t>BOBB31</t>
  </si>
  <si>
    <t>SPN 0079</t>
  </si>
  <si>
    <t>BRBS31</t>
  </si>
  <si>
    <t>SPN 0087</t>
  </si>
  <si>
    <t>BRDK51</t>
  </si>
  <si>
    <t>Broad Oak</t>
  </si>
  <si>
    <t>BRIL51</t>
  </si>
  <si>
    <t>Bridges Lane</t>
  </si>
  <si>
    <t>BROM31</t>
  </si>
  <si>
    <t>Bromley Grid</t>
  </si>
  <si>
    <t>BSMG71</t>
  </si>
  <si>
    <t>Bensham Grove</t>
  </si>
  <si>
    <t>BSMG72</t>
  </si>
  <si>
    <t>BTCH51</t>
  </si>
  <si>
    <t>Betchworth</t>
  </si>
  <si>
    <t>BTCH52</t>
  </si>
  <si>
    <t>BTWN51</t>
  </si>
  <si>
    <t>Brighton Town</t>
  </si>
  <si>
    <t>BTWN52</t>
  </si>
  <si>
    <t>BURA31</t>
  </si>
  <si>
    <t>SPN 0042</t>
  </si>
  <si>
    <t>BURG51</t>
  </si>
  <si>
    <t>Burgess Hill</t>
  </si>
  <si>
    <t>BUXT51</t>
  </si>
  <si>
    <t>Buxted</t>
  </si>
  <si>
    <t>BYFL51</t>
  </si>
  <si>
    <t>Byfleet</t>
  </si>
  <si>
    <t>BYNR31</t>
  </si>
  <si>
    <t>SPN 0051</t>
  </si>
  <si>
    <t>BYNR32</t>
  </si>
  <si>
    <t>BYNR33</t>
  </si>
  <si>
    <t>CALC31</t>
  </si>
  <si>
    <t>SPN 0062</t>
  </si>
  <si>
    <t>CANR31</t>
  </si>
  <si>
    <t>SPN 0014</t>
  </si>
  <si>
    <t>CANR32</t>
  </si>
  <si>
    <t>CANT51</t>
  </si>
  <si>
    <t>Canterbury</t>
  </si>
  <si>
    <t>CAPG31</t>
  </si>
  <si>
    <t>SPN 0081</t>
  </si>
  <si>
    <t>CAPL51</t>
  </si>
  <si>
    <t>Capel</t>
  </si>
  <si>
    <t>CAPL52</t>
  </si>
  <si>
    <t>CASH71</t>
  </si>
  <si>
    <t>Ashford Central</t>
  </si>
  <si>
    <t>CBHM51</t>
  </si>
  <si>
    <t>Cobham Kent</t>
  </si>
  <si>
    <t>CCRY51</t>
  </si>
  <si>
    <t>Croydon Central</t>
  </si>
  <si>
    <t>CERL51</t>
  </si>
  <si>
    <t>C.E.R.L.</t>
  </si>
  <si>
    <t>CHER51</t>
  </si>
  <si>
    <t>Chertsey</t>
  </si>
  <si>
    <t>CHES51</t>
  </si>
  <si>
    <t>SPN 0021</t>
  </si>
  <si>
    <t>CHRT51</t>
  </si>
  <si>
    <t>Chartham</t>
  </si>
  <si>
    <t>CHTH51</t>
  </si>
  <si>
    <t>Chatham Hill</t>
  </si>
  <si>
    <t>CHTW51</t>
  </si>
  <si>
    <t>Chatham West</t>
  </si>
  <si>
    <t>CHTW52</t>
  </si>
  <si>
    <t>CINE51</t>
  </si>
  <si>
    <t>Crawley Ind East</t>
  </si>
  <si>
    <t>CINW51</t>
  </si>
  <si>
    <t>Crawley Industrial West</t>
  </si>
  <si>
    <t>CLEW51</t>
  </si>
  <si>
    <t>Lewes Central</t>
  </si>
  <si>
    <t>CNTT51</t>
  </si>
  <si>
    <t>Canterbury Town</t>
  </si>
  <si>
    <t>CNTT52</t>
  </si>
  <si>
    <t>COBM51</t>
  </si>
  <si>
    <t>Cobham Surrey</t>
  </si>
  <si>
    <t>COUN51</t>
  </si>
  <si>
    <t>Coulsdon</t>
  </si>
  <si>
    <t>COWF51</t>
  </si>
  <si>
    <t>Cowfold</t>
  </si>
  <si>
    <t>CRAN51</t>
  </si>
  <si>
    <t>Cranleigh</t>
  </si>
  <si>
    <t>CREL51</t>
  </si>
  <si>
    <t>SPN 0001</t>
  </si>
  <si>
    <t>CRHM51</t>
  </si>
  <si>
    <t>Caterham</t>
  </si>
  <si>
    <t>CRNB51</t>
  </si>
  <si>
    <t>Cranbrook</t>
  </si>
  <si>
    <t>CRNR31</t>
  </si>
  <si>
    <t>SPN 0002</t>
  </si>
  <si>
    <t>CRNR32</t>
  </si>
  <si>
    <t>Croydon B</t>
  </si>
  <si>
    <t>CROW51</t>
  </si>
  <si>
    <t>Crowhurst</t>
  </si>
  <si>
    <t>CROY51</t>
  </si>
  <si>
    <t>Croydon Grid</t>
  </si>
  <si>
    <t>CROY52</t>
  </si>
  <si>
    <t>CRWT71</t>
  </si>
  <si>
    <t>Crowborough Town</t>
  </si>
  <si>
    <t>CTWN51</t>
  </si>
  <si>
    <t>Crawley Town</t>
  </si>
  <si>
    <t>CWDC11</t>
  </si>
  <si>
    <t>SPN 0085</t>
  </si>
  <si>
    <t>CWDC12</t>
  </si>
  <si>
    <t>DART31</t>
  </si>
  <si>
    <t>Dartford</t>
  </si>
  <si>
    <t>DART51</t>
  </si>
  <si>
    <t>DART52</t>
  </si>
  <si>
    <t>DEAL51</t>
  </si>
  <si>
    <t>Deal</t>
  </si>
  <si>
    <t>DEPD51</t>
  </si>
  <si>
    <t>Deptford Grid 11kV</t>
  </si>
  <si>
    <t>DEPD52</t>
  </si>
  <si>
    <t>Deptford  Grid</t>
  </si>
  <si>
    <t>DEPD53</t>
  </si>
  <si>
    <t>DONR31</t>
  </si>
  <si>
    <t>SPN 0043</t>
  </si>
  <si>
    <t>DONR32</t>
  </si>
  <si>
    <t>Dormansland</t>
  </si>
  <si>
    <t>DORT51</t>
  </si>
  <si>
    <t>Dorking Town</t>
  </si>
  <si>
    <t>DOVR51</t>
  </si>
  <si>
    <t>Dover</t>
  </si>
  <si>
    <t>DOVR52</t>
  </si>
  <si>
    <t>DROV51</t>
  </si>
  <si>
    <t>The Droveway</t>
  </si>
  <si>
    <t>DWSD71</t>
  </si>
  <si>
    <t>D.W.S.</t>
  </si>
  <si>
    <t>DYMC51</t>
  </si>
  <si>
    <t>Dymchurch</t>
  </si>
  <si>
    <t>EASH51</t>
  </si>
  <si>
    <t>Ashford East</t>
  </si>
  <si>
    <t>EBBS51</t>
  </si>
  <si>
    <t>Ebbsfleet</t>
  </si>
  <si>
    <t>EBNR31</t>
  </si>
  <si>
    <t>SPN 0038</t>
  </si>
  <si>
    <t>EBNR32</t>
  </si>
  <si>
    <t>EBOU51</t>
  </si>
  <si>
    <t>Eastbourne</t>
  </si>
  <si>
    <t>ECRY71</t>
  </si>
  <si>
    <t>East Croydon</t>
  </si>
  <si>
    <t>EDEN51</t>
  </si>
  <si>
    <t>Edenbridge</t>
  </si>
  <si>
    <t>EFFI51</t>
  </si>
  <si>
    <t>Effingham</t>
  </si>
  <si>
    <t>EFLK51</t>
  </si>
  <si>
    <t>Folkestone East</t>
  </si>
  <si>
    <t>EGRN51</t>
  </si>
  <si>
    <t>East Grinstead</t>
  </si>
  <si>
    <t>EGRN52</t>
  </si>
  <si>
    <t>ELMS51</t>
  </si>
  <si>
    <t>Four Elms</t>
  </si>
  <si>
    <t>EPRS71</t>
  </si>
  <si>
    <t>Eastchurch</t>
  </si>
  <si>
    <t>EPRS72</t>
  </si>
  <si>
    <t>EPSN51</t>
  </si>
  <si>
    <t>Epsom</t>
  </si>
  <si>
    <t>ESHR51</t>
  </si>
  <si>
    <t>Esher</t>
  </si>
  <si>
    <t>ETON71</t>
  </si>
  <si>
    <t>Tonbridge East</t>
  </si>
  <si>
    <t>ETON72</t>
  </si>
  <si>
    <t>EWEL51</t>
  </si>
  <si>
    <t>Ewell</t>
  </si>
  <si>
    <t>EWEL52</t>
  </si>
  <si>
    <t>FARN51</t>
  </si>
  <si>
    <t>Farningham</t>
  </si>
  <si>
    <t>FAVM51</t>
  </si>
  <si>
    <t>Faversham</t>
  </si>
  <si>
    <t>FAVM52</t>
  </si>
  <si>
    <t>FINR31</t>
  </si>
  <si>
    <t>SPN 0005</t>
  </si>
  <si>
    <t>FINR32</t>
  </si>
  <si>
    <t>FINR33</t>
  </si>
  <si>
    <t>Fishersgate</t>
  </si>
  <si>
    <t>FONR31</t>
  </si>
  <si>
    <t>SPN 0047</t>
  </si>
  <si>
    <t>FONR32</t>
  </si>
  <si>
    <t>Folkestone</t>
  </si>
  <si>
    <t>FROW51</t>
  </si>
  <si>
    <t>Forest Row</t>
  </si>
  <si>
    <t>GATA51</t>
  </si>
  <si>
    <t>SPN 0008</t>
  </si>
  <si>
    <t>GATB31</t>
  </si>
  <si>
    <t>GCAP31</t>
  </si>
  <si>
    <t>SPN 0074</t>
  </si>
  <si>
    <t>GODG51</t>
  </si>
  <si>
    <t>Goddards Green Grid</t>
  </si>
  <si>
    <t>GOUD51</t>
  </si>
  <si>
    <t>Goudhurst</t>
  </si>
  <si>
    <t>GRAN51</t>
  </si>
  <si>
    <t>Grain</t>
  </si>
  <si>
    <t>GROL51</t>
  </si>
  <si>
    <t>Grovehurst Local</t>
  </si>
  <si>
    <t>GRVS51</t>
  </si>
  <si>
    <t>Gravesend South</t>
  </si>
  <si>
    <t>GRVT71</t>
  </si>
  <si>
    <t>Gravesend Town</t>
  </si>
  <si>
    <t>GRVW51</t>
  </si>
  <si>
    <t>Gravesend West</t>
  </si>
  <si>
    <t>GUIA51</t>
  </si>
  <si>
    <t>Guildford 'A'</t>
  </si>
  <si>
    <t>GUIB51</t>
  </si>
  <si>
    <t>Guildford 'B'</t>
  </si>
  <si>
    <t>GUIL71</t>
  </si>
  <si>
    <t>Guildford</t>
  </si>
  <si>
    <t>HAIL51</t>
  </si>
  <si>
    <t>Hailsham</t>
  </si>
  <si>
    <t>HALL51</t>
  </si>
  <si>
    <t>Halling</t>
  </si>
  <si>
    <t>HAMM51</t>
  </si>
  <si>
    <t>Ham</t>
  </si>
  <si>
    <t>HAMP51</t>
  </si>
  <si>
    <t>Hampton</t>
  </si>
  <si>
    <t>HANG51</t>
  </si>
  <si>
    <t>Hangleton</t>
  </si>
  <si>
    <t>HANG52</t>
  </si>
  <si>
    <t>HARR51</t>
  </si>
  <si>
    <t>Harrietsham</t>
  </si>
  <si>
    <t>HASL51</t>
  </si>
  <si>
    <t>Hastings Local</t>
  </si>
  <si>
    <t>HASL52</t>
  </si>
  <si>
    <t>HASP31</t>
  </si>
  <si>
    <t>Hadlow PV</t>
  </si>
  <si>
    <t>HASP91</t>
  </si>
  <si>
    <t>SPN 0057</t>
  </si>
  <si>
    <t>HAWK51</t>
  </si>
  <si>
    <t>Hawkhurst</t>
  </si>
  <si>
    <t>HAYW51</t>
  </si>
  <si>
    <t>Haywards Heath</t>
  </si>
  <si>
    <t>HCRN71</t>
  </si>
  <si>
    <t>Headcorn</t>
  </si>
  <si>
    <t>HELI51</t>
  </si>
  <si>
    <t>St Helier</t>
  </si>
  <si>
    <t>HERB51</t>
  </si>
  <si>
    <t>Herne Bay</t>
  </si>
  <si>
    <t>HMDP51</t>
  </si>
  <si>
    <t>Hampden Park</t>
  </si>
  <si>
    <t>HORL51</t>
  </si>
  <si>
    <t>Horley</t>
  </si>
  <si>
    <t>HORM51</t>
  </si>
  <si>
    <t>Horam</t>
  </si>
  <si>
    <t>HORS51</t>
  </si>
  <si>
    <t>Horsham Grid</t>
  </si>
  <si>
    <t>HOSF31</t>
  </si>
  <si>
    <t>SPN 0065</t>
  </si>
  <si>
    <t>HOTF31</t>
  </si>
  <si>
    <t>SPN 0068</t>
  </si>
  <si>
    <t>HRSB51</t>
  </si>
  <si>
    <t>Horsebridge</t>
  </si>
  <si>
    <t>HRSL51</t>
  </si>
  <si>
    <t>Horsell</t>
  </si>
  <si>
    <t>HSPP51</t>
  </si>
  <si>
    <t>Hurstpierpoint</t>
  </si>
  <si>
    <t>HYTH51</t>
  </si>
  <si>
    <t>Hythe Main</t>
  </si>
  <si>
    <t>JARV71</t>
  </si>
  <si>
    <t>Jarvis Brook</t>
  </si>
  <si>
    <t>KEMP51</t>
  </si>
  <si>
    <t>Kemp Town</t>
  </si>
  <si>
    <t>KITO51</t>
  </si>
  <si>
    <t>Kingston</t>
  </si>
  <si>
    <t>KITO52</t>
  </si>
  <si>
    <t>KNPV31</t>
  </si>
  <si>
    <t>SPN 0015</t>
  </si>
  <si>
    <t>KNRD71</t>
  </si>
  <si>
    <t>Kenardington</t>
  </si>
  <si>
    <t>KRE551</t>
  </si>
  <si>
    <t>SPN 0012</t>
  </si>
  <si>
    <t>KRPV31</t>
  </si>
  <si>
    <t>SPN 0059</t>
  </si>
  <si>
    <t>LCHY31</t>
  </si>
  <si>
    <t>SPN 0039</t>
  </si>
  <si>
    <t>LEAD51</t>
  </si>
  <si>
    <t>Leatherhead Town</t>
  </si>
  <si>
    <t>LENR31</t>
  </si>
  <si>
    <t>Leatherhead</t>
  </si>
  <si>
    <t>LENR32</t>
  </si>
  <si>
    <t>SPN 0022</t>
  </si>
  <si>
    <t>LEYS71</t>
  </si>
  <si>
    <t>Leysdown</t>
  </si>
  <si>
    <t>LHPV31</t>
  </si>
  <si>
    <t>SPN 0048</t>
  </si>
  <si>
    <t>LIPV31</t>
  </si>
  <si>
    <t>SPN 0052</t>
  </si>
  <si>
    <t>LITC51</t>
  </si>
  <si>
    <t>Little Common</t>
  </si>
  <si>
    <t>LITC52</t>
  </si>
  <si>
    <t>LNGF51</t>
  </si>
  <si>
    <t>Longfield</t>
  </si>
  <si>
    <t>LRDW51</t>
  </si>
  <si>
    <t>Lordswood</t>
  </si>
  <si>
    <t>LTCH71</t>
  </si>
  <si>
    <t>Little Chart</t>
  </si>
  <si>
    <t>LTHA51</t>
  </si>
  <si>
    <t>Littlehampton</t>
  </si>
  <si>
    <t>LTHD31</t>
  </si>
  <si>
    <t>SPN 0075</t>
  </si>
  <si>
    <t>LTHP31</t>
  </si>
  <si>
    <t>LTWA51</t>
  </si>
  <si>
    <t>Lightweight Aggregates</t>
  </si>
  <si>
    <t>LTWN51</t>
  </si>
  <si>
    <t>Lewes Town</t>
  </si>
  <si>
    <t>MAHR31</t>
  </si>
  <si>
    <t>SPN 0064</t>
  </si>
  <si>
    <t>MAIN51</t>
  </si>
  <si>
    <t>Maidstone Grid</t>
  </si>
  <si>
    <t>MANR31</t>
  </si>
  <si>
    <t>SPN 0019</t>
  </si>
  <si>
    <t>MANR32</t>
  </si>
  <si>
    <t>Maidstone</t>
  </si>
  <si>
    <t>MANT51</t>
  </si>
  <si>
    <t>Manston</t>
  </si>
  <si>
    <t>MAPV31</t>
  </si>
  <si>
    <t>SPN 0054</t>
  </si>
  <si>
    <t>MARD51</t>
  </si>
  <si>
    <t>Marden</t>
  </si>
  <si>
    <t>MARG51</t>
  </si>
  <si>
    <t>Margate</t>
  </si>
  <si>
    <t>MARG52</t>
  </si>
  <si>
    <t>MBPV31</t>
  </si>
  <si>
    <t>SPN 0076</t>
  </si>
  <si>
    <t>MEAD51</t>
  </si>
  <si>
    <t>Meads</t>
  </si>
  <si>
    <t>MEDW51</t>
  </si>
  <si>
    <t>Medway</t>
  </si>
  <si>
    <t>MERR51</t>
  </si>
  <si>
    <t>Merrow</t>
  </si>
  <si>
    <t>MERW51</t>
  </si>
  <si>
    <t>Mereworth</t>
  </si>
  <si>
    <t>MNST71</t>
  </si>
  <si>
    <t>Minster</t>
  </si>
  <si>
    <t>MNST72</t>
  </si>
  <si>
    <t>MNTF51</t>
  </si>
  <si>
    <t>Mountfield</t>
  </si>
  <si>
    <t>MOLS51</t>
  </si>
  <si>
    <t>Molesey</t>
  </si>
  <si>
    <t>MONK51</t>
  </si>
  <si>
    <t>SPN 0053</t>
  </si>
  <si>
    <t>MORH51</t>
  </si>
  <si>
    <t>Morehall</t>
  </si>
  <si>
    <t>MOUL51</t>
  </si>
  <si>
    <t>Moulsecoomb</t>
  </si>
  <si>
    <t>NCHM51</t>
  </si>
  <si>
    <t>North Cheam</t>
  </si>
  <si>
    <t>NCHS51</t>
  </si>
  <si>
    <t>North Chessington</t>
  </si>
  <si>
    <t>NERF31</t>
  </si>
  <si>
    <t>SPN 0040</t>
  </si>
  <si>
    <t>NERF51</t>
  </si>
  <si>
    <t>NEWT51</t>
  </si>
  <si>
    <t>Newhaven Town</t>
  </si>
  <si>
    <t>NFNR31</t>
  </si>
  <si>
    <t>SPN 0044</t>
  </si>
  <si>
    <t>NFNR32</t>
  </si>
  <si>
    <t>NFNR33</t>
  </si>
  <si>
    <t>NFNR34</t>
  </si>
  <si>
    <t>NHEA31</t>
  </si>
  <si>
    <t>SPN 0029</t>
  </si>
  <si>
    <t>NHEB31</t>
  </si>
  <si>
    <t>SPN 0055</t>
  </si>
  <si>
    <t>NINL51</t>
  </si>
  <si>
    <t>Ninfield Local</t>
  </si>
  <si>
    <t>NINP31</t>
  </si>
  <si>
    <t>SPN 0058</t>
  </si>
  <si>
    <t>NORB71</t>
  </si>
  <si>
    <t>Norbury</t>
  </si>
  <si>
    <t>NORK51</t>
  </si>
  <si>
    <t>Nork</t>
  </si>
  <si>
    <t>NRWF31</t>
  </si>
  <si>
    <t>SPN 0099</t>
  </si>
  <si>
    <t>NSEV51</t>
  </si>
  <si>
    <t>North Sevenoaks</t>
  </si>
  <si>
    <t>NSHO51</t>
  </si>
  <si>
    <t>North Shoreham</t>
  </si>
  <si>
    <t>NTHM51</t>
  </si>
  <si>
    <t>Northiam</t>
  </si>
  <si>
    <t>NUTF51</t>
  </si>
  <si>
    <t>Nutfield</t>
  </si>
  <si>
    <t>NWIC51</t>
  </si>
  <si>
    <t>Newick</t>
  </si>
  <si>
    <t>NWOR51</t>
  </si>
  <si>
    <t>North Worthing</t>
  </si>
  <si>
    <t>OCKL51</t>
  </si>
  <si>
    <t>Ocklynge</t>
  </si>
  <si>
    <t>ORCF31</t>
  </si>
  <si>
    <t>SPN 0077</t>
  </si>
  <si>
    <t>ORMN31</t>
  </si>
  <si>
    <t>SPN 0050</t>
  </si>
  <si>
    <t>ORPI51</t>
  </si>
  <si>
    <t>Orpington</t>
  </si>
  <si>
    <t>ORPI52</t>
  </si>
  <si>
    <t>ORPV31</t>
  </si>
  <si>
    <t>SPN 0030</t>
  </si>
  <si>
    <t>OWOK51</t>
  </si>
  <si>
    <t>Old Woking</t>
  </si>
  <si>
    <t>OXTD51</t>
  </si>
  <si>
    <t>Oxted</t>
  </si>
  <si>
    <t>PADK31</t>
  </si>
  <si>
    <t>SPN 0063</t>
  </si>
  <si>
    <t>PADW51</t>
  </si>
  <si>
    <t>Paddock Wood</t>
  </si>
  <si>
    <t>PASF31</t>
  </si>
  <si>
    <t>SPN 0060</t>
  </si>
  <si>
    <t>PEAC51</t>
  </si>
  <si>
    <t>Peacehaven</t>
  </si>
  <si>
    <t>PENS51</t>
  </si>
  <si>
    <t>Penshurst</t>
  </si>
  <si>
    <t>PETW51</t>
  </si>
  <si>
    <t>Petts Wood</t>
  </si>
  <si>
    <t>PEVB51</t>
  </si>
  <si>
    <t>Pevensey Bay</t>
  </si>
  <si>
    <t>PFIZ51</t>
  </si>
  <si>
    <t>PLBG3A</t>
  </si>
  <si>
    <t>SPN 0007</t>
  </si>
  <si>
    <t>POLT51</t>
  </si>
  <si>
    <t>Polegate Town</t>
  </si>
  <si>
    <t>PORT51</t>
  </si>
  <si>
    <t>Portslade</t>
  </si>
  <si>
    <t>PRLG52</t>
  </si>
  <si>
    <t>Prologis</t>
  </si>
  <si>
    <t>PULB51</t>
  </si>
  <si>
    <t>Pulborough</t>
  </si>
  <si>
    <t>PULO51</t>
  </si>
  <si>
    <t>Purley Local</t>
  </si>
  <si>
    <t>QBNR31</t>
  </si>
  <si>
    <t>SPN 0028</t>
  </si>
  <si>
    <t>QNBR71</t>
  </si>
  <si>
    <t>Queenborough</t>
  </si>
  <si>
    <t>QPRK51</t>
  </si>
  <si>
    <t>Queens Park</t>
  </si>
  <si>
    <t>RAIN51</t>
  </si>
  <si>
    <t>Rainham</t>
  </si>
  <si>
    <t>RAMS51</t>
  </si>
  <si>
    <t>Ramsgate</t>
  </si>
  <si>
    <t>RAMS52</t>
  </si>
  <si>
    <t>RBTS51</t>
  </si>
  <si>
    <t>Robertsbridge</t>
  </si>
  <si>
    <t>REDH51</t>
  </si>
  <si>
    <t>Redhill Primary</t>
  </si>
  <si>
    <t>REIG51</t>
  </si>
  <si>
    <t>Reigate</t>
  </si>
  <si>
    <t>RGPV31</t>
  </si>
  <si>
    <t>SPN 0072</t>
  </si>
  <si>
    <t>RICH51</t>
  </si>
  <si>
    <t>Richborough</t>
  </si>
  <si>
    <t>RICM51</t>
  </si>
  <si>
    <t>Richmond</t>
  </si>
  <si>
    <t>RICM52</t>
  </si>
  <si>
    <t>RIPV31</t>
  </si>
  <si>
    <t>SPN 0069</t>
  </si>
  <si>
    <t>RNMK51</t>
  </si>
  <si>
    <t>Rainham Mark</t>
  </si>
  <si>
    <t>ROMN51</t>
  </si>
  <si>
    <t>Romney Warren</t>
  </si>
  <si>
    <t>ROTT51</t>
  </si>
  <si>
    <t>Rottingdean</t>
  </si>
  <si>
    <t>RSHV71</t>
  </si>
  <si>
    <t>Rosherville</t>
  </si>
  <si>
    <t>RUST51</t>
  </si>
  <si>
    <t>Rusthall</t>
  </si>
  <si>
    <t>RUXL51</t>
  </si>
  <si>
    <t>Ruxley</t>
  </si>
  <si>
    <t>RYEP51</t>
  </si>
  <si>
    <t>Rye</t>
  </si>
  <si>
    <t>SEAF51</t>
  </si>
  <si>
    <t>Seaford</t>
  </si>
  <si>
    <t>SELH71</t>
  </si>
  <si>
    <t>Selhurst</t>
  </si>
  <si>
    <t>SELH72</t>
  </si>
  <si>
    <t>SELS51</t>
  </si>
  <si>
    <t>Selsdon</t>
  </si>
  <si>
    <t>SESF31</t>
  </si>
  <si>
    <t>SPN 0080</t>
  </si>
  <si>
    <t>SEVI51</t>
  </si>
  <si>
    <t>Sevington</t>
  </si>
  <si>
    <t>SFRM51</t>
  </si>
  <si>
    <t>SPN 0016</t>
  </si>
  <si>
    <t>SHAL51</t>
  </si>
  <si>
    <t>Shalford</t>
  </si>
  <si>
    <t>SHAM81</t>
  </si>
  <si>
    <t>SPN 0004</t>
  </si>
  <si>
    <t>SHEE71</t>
  </si>
  <si>
    <t>Sheerness</t>
  </si>
  <si>
    <t>SHEP51</t>
  </si>
  <si>
    <t>Shepway</t>
  </si>
  <si>
    <t>SHOV51</t>
  </si>
  <si>
    <t>South Hove</t>
  </si>
  <si>
    <t>SHRL51</t>
  </si>
  <si>
    <t>Shirley</t>
  </si>
  <si>
    <t>SHWF31</t>
  </si>
  <si>
    <t>SPN 0086</t>
  </si>
  <si>
    <t>SING71</t>
  </si>
  <si>
    <t>Singleton</t>
  </si>
  <si>
    <t>SINR31</t>
  </si>
  <si>
    <t>Sittingbourne</t>
  </si>
  <si>
    <t>SINR32</t>
  </si>
  <si>
    <t>SPN 0026</t>
  </si>
  <si>
    <t>SITO51</t>
  </si>
  <si>
    <t>Sittingbourne Town</t>
  </si>
  <si>
    <t>SITW51</t>
  </si>
  <si>
    <t>Sittingbourne West</t>
  </si>
  <si>
    <t>SITW52</t>
  </si>
  <si>
    <t>SMRS51</t>
  </si>
  <si>
    <t>Stonemarshes</t>
  </si>
  <si>
    <t>SMTH51</t>
  </si>
  <si>
    <t>Smeeth</t>
  </si>
  <si>
    <t>SOMP51</t>
  </si>
  <si>
    <t>Sompting</t>
  </si>
  <si>
    <t>SORP51</t>
  </si>
  <si>
    <t>South Orpington</t>
  </si>
  <si>
    <t>SORP52</t>
  </si>
  <si>
    <t>SPET51</t>
  </si>
  <si>
    <t>St Peters</t>
  </si>
  <si>
    <t>SPET52</t>
  </si>
  <si>
    <t>SPRG71</t>
  </si>
  <si>
    <t>Spurgeons Bridge</t>
  </si>
  <si>
    <t>SPRG72</t>
  </si>
  <si>
    <t>SRAD51</t>
  </si>
  <si>
    <t>Stelrad</t>
  </si>
  <si>
    <t>STEY51</t>
  </si>
  <si>
    <t>Steyning</t>
  </si>
  <si>
    <t>STHG51</t>
  </si>
  <si>
    <t>Southgate</t>
  </si>
  <si>
    <t>STLX71</t>
  </si>
  <si>
    <t>Steel Cross</t>
  </si>
  <si>
    <t>STNE51</t>
  </si>
  <si>
    <t>Stone</t>
  </si>
  <si>
    <t>STNF51</t>
  </si>
  <si>
    <t>Stanford</t>
  </si>
  <si>
    <t>STPL71</t>
  </si>
  <si>
    <t>Staplehurst</t>
  </si>
  <si>
    <t>STSG51</t>
  </si>
  <si>
    <t>SPN 0101</t>
  </si>
  <si>
    <t>SUFK71</t>
  </si>
  <si>
    <t>Suffolk Road</t>
  </si>
  <si>
    <t>SUND51</t>
  </si>
  <si>
    <t>Sundridge</t>
  </si>
  <si>
    <t>SURB51</t>
  </si>
  <si>
    <t>Surbiton</t>
  </si>
  <si>
    <t>SUTA51</t>
  </si>
  <si>
    <t>Sutton A</t>
  </si>
  <si>
    <t>SUTA52</t>
  </si>
  <si>
    <t>SUTB51</t>
  </si>
  <si>
    <t>Sutton B</t>
  </si>
  <si>
    <t>SWAN51</t>
  </si>
  <si>
    <t>Swanscombe</t>
  </si>
  <si>
    <t>SWAT51</t>
  </si>
  <si>
    <t>Southwater</t>
  </si>
  <si>
    <t>SWIC51</t>
  </si>
  <si>
    <t>Southwick</t>
  </si>
  <si>
    <t>SWIC52</t>
  </si>
  <si>
    <t>SWNL51</t>
  </si>
  <si>
    <t>Swanley</t>
  </si>
  <si>
    <t>SWOR51</t>
  </si>
  <si>
    <t>South Worthing</t>
  </si>
  <si>
    <t>TBNR31</t>
  </si>
  <si>
    <t>SPN 0009</t>
  </si>
  <si>
    <t>TBNR32</t>
  </si>
  <si>
    <t>SPN 000</t>
  </si>
  <si>
    <t>TBNR33</t>
  </si>
  <si>
    <t>TEDD51</t>
  </si>
  <si>
    <t>Teddington</t>
  </si>
  <si>
    <t>TENT71</t>
  </si>
  <si>
    <t>Tenterden</t>
  </si>
  <si>
    <t>TGCP31</t>
  </si>
  <si>
    <t>SPN 0083</t>
  </si>
  <si>
    <t>THAN51</t>
  </si>
  <si>
    <t>Thanet</t>
  </si>
  <si>
    <t>THNR31</t>
  </si>
  <si>
    <t>THNR32</t>
  </si>
  <si>
    <t>SPN 0011</t>
  </si>
  <si>
    <t>THWO12</t>
  </si>
  <si>
    <t>SPN 0010</t>
  </si>
  <si>
    <t>TICH51</t>
  </si>
  <si>
    <t>Ticehurst</t>
  </si>
  <si>
    <t>TOWN71</t>
  </si>
  <si>
    <t>SPN 0032</t>
  </si>
  <si>
    <t>TTWN71</t>
  </si>
  <si>
    <t>Tonbridge Town</t>
  </si>
  <si>
    <t>TUNT71</t>
  </si>
  <si>
    <t>Tunbridge Wells</t>
  </si>
  <si>
    <t>TUWG51</t>
  </si>
  <si>
    <t>TWIC51</t>
  </si>
  <si>
    <t>Twickenham</t>
  </si>
  <si>
    <t>TWIC52</t>
  </si>
  <si>
    <t>TWNR31</t>
  </si>
  <si>
    <t>SPN 0045</t>
  </si>
  <si>
    <t>TWNR32</t>
  </si>
  <si>
    <t>UCKF51</t>
  </si>
  <si>
    <t>Uckfield</t>
  </si>
  <si>
    <t>VHGE51</t>
  </si>
  <si>
    <t>Van Heynigen</t>
  </si>
  <si>
    <t>WADH71</t>
  </si>
  <si>
    <t>Wadhurst</t>
  </si>
  <si>
    <t>WALT51</t>
  </si>
  <si>
    <t>Walton</t>
  </si>
  <si>
    <t>WARE51</t>
  </si>
  <si>
    <t>Warehorne</t>
  </si>
  <si>
    <t>WASH71</t>
  </si>
  <si>
    <t>West Ashford</t>
  </si>
  <si>
    <t>WATS51</t>
  </si>
  <si>
    <t>Waterside</t>
  </si>
  <si>
    <t>WCPV31</t>
  </si>
  <si>
    <t>SPN 0013</t>
  </si>
  <si>
    <t>WCRY51</t>
  </si>
  <si>
    <t>West Croydon</t>
  </si>
  <si>
    <t>WEYB51</t>
  </si>
  <si>
    <t>Weybridge</t>
  </si>
  <si>
    <t>WHIT51</t>
  </si>
  <si>
    <t>Whitstable</t>
  </si>
  <si>
    <t>WHSF31</t>
  </si>
  <si>
    <t>EPN 0148</t>
  </si>
  <si>
    <t>WHTH51</t>
  </si>
  <si>
    <t>West Hoathly</t>
  </si>
  <si>
    <t>WING51</t>
  </si>
  <si>
    <t>Wingham</t>
  </si>
  <si>
    <t>WITH51</t>
  </si>
  <si>
    <t>Withdean</t>
  </si>
  <si>
    <t>WOKG51</t>
  </si>
  <si>
    <t>Woking</t>
  </si>
  <si>
    <t>WOKS51</t>
  </si>
  <si>
    <t>Woking S</t>
  </si>
  <si>
    <t>WOKS52</t>
  </si>
  <si>
    <t>WRTM51</t>
  </si>
  <si>
    <t>Wrotham Heath</t>
  </si>
  <si>
    <t>WSTG51</t>
  </si>
  <si>
    <t>Westgate</t>
  </si>
  <si>
    <t>WTSM71</t>
  </si>
  <si>
    <t>Wittersham</t>
  </si>
  <si>
    <t>WTWN51</t>
  </si>
  <si>
    <t>Worthing Town</t>
  </si>
  <si>
    <t>WTWN52</t>
  </si>
  <si>
    <t>WWEY51</t>
  </si>
  <si>
    <t>West Weybridge</t>
  </si>
  <si>
    <t>WWIC51</t>
  </si>
  <si>
    <t>West Wickham</t>
  </si>
  <si>
    <t>WWOR51</t>
  </si>
  <si>
    <t>West Worthing</t>
  </si>
  <si>
    <t>XWAY51</t>
  </si>
  <si>
    <t>Crossways</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</si>
  <si>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</si>
  <si>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</si>
  <si>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t>
  </si>
  <si>
    <t>ABNR32</t>
  </si>
  <si>
    <t>ALLG51</t>
  </si>
  <si>
    <t>SPN 0018</t>
  </si>
  <si>
    <t>BKWD51</t>
  </si>
  <si>
    <t>Brookwood 11kV</t>
  </si>
  <si>
    <t>BRWG31</t>
  </si>
  <si>
    <t>SPN 0091</t>
  </si>
  <si>
    <t>COBS31</t>
  </si>
  <si>
    <t>SPN 0102</t>
  </si>
  <si>
    <t>EURO11</t>
  </si>
  <si>
    <t>SPN 0046</t>
  </si>
  <si>
    <t>GLBS11</t>
  </si>
  <si>
    <t>SPN 0094</t>
  </si>
  <si>
    <t>GROV31</t>
  </si>
  <si>
    <t>SPN 0025</t>
  </si>
  <si>
    <t>KING51</t>
  </si>
  <si>
    <t>Kingsnorth Grid 11kV</t>
  </si>
  <si>
    <t>KMAR11</t>
  </si>
  <si>
    <t>SPN 0100</t>
  </si>
  <si>
    <t>LITB51</t>
  </si>
  <si>
    <t>Littlebrook Park 11kV</t>
  </si>
  <si>
    <t>MAIS51</t>
  </si>
  <si>
    <t>Maidstone Grid South 11kV</t>
  </si>
  <si>
    <t>MOGD51</t>
  </si>
  <si>
    <t>SPN 0034</t>
  </si>
  <si>
    <t>PRLG51</t>
  </si>
  <si>
    <t>Prologis 11kV</t>
  </si>
  <si>
    <t>RDHG51</t>
  </si>
  <si>
    <t>SPN 0071</t>
  </si>
  <si>
    <t>RNMK52</t>
  </si>
  <si>
    <t>Rainham Mark 11kV</t>
  </si>
  <si>
    <t>SHEE31</t>
  </si>
  <si>
    <t>Sheerness Grid 33kV</t>
  </si>
  <si>
    <t>SHST11</t>
  </si>
  <si>
    <t>SPN 0023</t>
  </si>
  <si>
    <t>SRDW31</t>
  </si>
  <si>
    <t>SPN 0082</t>
  </si>
  <si>
    <t>STRD51</t>
  </si>
  <si>
    <t>Strood 11kV</t>
  </si>
  <si>
    <t>THWO11</t>
  </si>
  <si>
    <t>TICH52</t>
  </si>
  <si>
    <t>Ticehurst 11kV</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</si>
  <si>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</si>
  <si>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BROABS</t>
  </si>
  <si>
    <t>MSID: 7478</t>
  </si>
  <si>
    <t>MSID: 7479</t>
  </si>
  <si>
    <t>MSID: 7246</t>
  </si>
  <si>
    <t>POTMBS</t>
  </si>
  <si>
    <t>01/04/2024</t>
  </si>
  <si>
    <t>1, 2, 70, 71, 72, 73, 74, 100, 199, 200, 201, 202, 203, 204, 300, 350, 351, 352, 353, 354, 355, 356, 357, 358, 359, 360, 361, 362, 363, 364, 365, 366, 932, 980, 981</t>
  </si>
  <si>
    <t>80, 81, 82, 83, 84, 984, 985</t>
  </si>
  <si>
    <t>90, 91, 92, 93, 94, 988, 989</t>
  </si>
  <si>
    <t>771, 791, 792</t>
  </si>
  <si>
    <t>796, 797</t>
  </si>
  <si>
    <t>798, 799</t>
  </si>
  <si>
    <t>NEWHVN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</si>
  <si>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</si>
  <si>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</si>
  <si>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</si>
  <si>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</si>
  <si>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</si>
  <si>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</si>
  <si>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</si>
  <si>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</si>
  <si>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</si>
  <si>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</si>
  <si>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</si>
  <si>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</si>
  <si>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</si>
  <si>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</si>
  <si>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</si>
  <si>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</si>
  <si>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</si>
  <si>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</si>
  <si>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</si>
  <si>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</si>
  <si>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</si>
  <si>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</si>
  <si>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</si>
  <si>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</si>
  <si>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</si>
  <si>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</si>
  <si>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</si>
  <si>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</si>
  <si>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</si>
  <si>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</si>
  <si>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</si>
  <si>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</si>
  <si>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</si>
  <si>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</si>
  <si>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DARENT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</si>
  <si>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</si>
  <si>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</si>
  <si>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</si>
  <si>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</si>
  <si>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</si>
  <si>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</si>
  <si>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</si>
  <si>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</si>
  <si>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</si>
  <si>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</si>
  <si>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</si>
  <si>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</si>
  <si>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</si>
  <si>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</si>
  <si>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</si>
  <si>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</si>
  <si>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</si>
  <si>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</si>
  <si>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</si>
  <si>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</si>
  <si>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</si>
  <si>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</si>
  <si>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</si>
  <si>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</si>
  <si>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</si>
  <si>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</si>
  <si>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</si>
  <si>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</si>
  <si>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</si>
  <si>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</si>
  <si>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</si>
  <si>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</si>
  <si>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ANMSTR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</si>
  <si>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</si>
  <si>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</si>
  <si>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</si>
  <si>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</si>
  <si>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</si>
  <si>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</si>
  <si>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</si>
  <si>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</si>
  <si>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</si>
  <si>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</si>
  <si>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</si>
  <si>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</si>
  <si>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</si>
  <si>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</si>
  <si>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</si>
  <si>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</si>
  <si>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</si>
  <si>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</si>
  <si>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</si>
  <si>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</si>
  <si>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</si>
  <si>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</si>
  <si>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POTMBS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</si>
  <si>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</si>
  <si>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</si>
  <si>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</si>
  <si>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</si>
  <si>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</si>
  <si>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</si>
  <si>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</si>
  <si>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</si>
  <si>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</si>
  <si>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</si>
  <si>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</si>
  <si>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</si>
  <si>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</si>
  <si>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</si>
  <si>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</si>
  <si>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</si>
  <si>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</si>
  <si>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</si>
  <si>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</si>
  <si>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</si>
  <si>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</si>
  <si>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</si>
  <si>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</si>
  <si>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</si>
  <si>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</si>
  <si>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</si>
  <si>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</si>
  <si>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</si>
  <si>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</si>
  <si>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</si>
  <si>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</si>
  <si>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</si>
  <si>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</si>
  <si>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</si>
  <si>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</si>
  <si>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</si>
  <si>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</si>
  <si>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</si>
  <si>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WRGALL - Export</t>
  </si>
  <si>
    <t>THAMES - Export</t>
  </si>
  <si>
    <t>THAEAR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</si>
  <si>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</si>
  <si>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</si>
  <si>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</si>
  <si>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</si>
  <si>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</si>
  <si>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</si>
  <si>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</si>
  <si>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</si>
  <si>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</si>
  <si>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</si>
  <si>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</si>
  <si>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</si>
  <si>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</si>
  <si>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</si>
  <si>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</si>
  <si>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</si>
  <si>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</si>
  <si>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</si>
  <si>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</si>
  <si>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</si>
  <si>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</si>
  <si>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DARENT - Export</t>
  </si>
  <si>
    <t>ANMSTR - Export</t>
  </si>
  <si>
    <t>POTMBS - Export</t>
  </si>
  <si>
    <t>CVA site specific LLFs</t>
  </si>
  <si>
    <t>MSID</t>
  </si>
  <si>
    <t>Dartford _J DSCP</t>
  </si>
  <si>
    <t>Bromley DSCP</t>
  </si>
  <si>
    <t>Shoreham Power Station - Export</t>
  </si>
  <si>
    <t>Shoreham Power Station - Import</t>
  </si>
  <si>
    <t>Sevington District Energy</t>
  </si>
  <si>
    <t>Kents Farm Battery Storage - Import</t>
  </si>
  <si>
    <t>Kents Farm Battery Storage - Export</t>
  </si>
  <si>
    <t>Croydon Energy Limited - Factory Lane - Import</t>
  </si>
  <si>
    <t>Croydon Energy Limited - Factory Lane - Export</t>
  </si>
  <si>
    <t>Broadditch Energy Storage - Import</t>
  </si>
  <si>
    <t>Broadditch Energy Storage - Export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</si>
  <si>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</si>
  <si>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GATWEV</t>
  </si>
  <si>
    <t>GATWBS</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</si>
  <si>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</si>
  <si>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</si>
  <si>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</si>
  <si>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</si>
  <si>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</si>
  <si>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</si>
  <si>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</si>
  <si>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</si>
  <si>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</si>
  <si>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</si>
  <si>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</si>
  <si>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</si>
  <si>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</si>
  <si>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</si>
  <si>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</si>
  <si>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</si>
  <si>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</si>
  <si>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</si>
  <si>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</si>
  <si>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</si>
  <si>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</si>
  <si>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</si>
  <si>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</si>
  <si>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</si>
  <si>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</si>
  <si>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</si>
  <si>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</si>
  <si>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</si>
  <si>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</si>
  <si>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</si>
  <si>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</si>
  <si>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</si>
  <si>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</si>
  <si>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</si>
  <si>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</si>
  <si>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</si>
  <si>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</si>
  <si>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</si>
  <si>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</si>
  <si>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</si>
  <si>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</si>
  <si>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</si>
  <si>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</si>
  <si>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</si>
  <si>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</si>
  <si>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</si>
  <si>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</si>
  <si>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</si>
  <si>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</si>
  <si>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</si>
  <si>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</si>
  <si>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</si>
  <si>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</si>
  <si>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</si>
  <si>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THAER1</t>
  </si>
  <si>
    <t>THAER2</t>
  </si>
  <si>
    <t>THAER3</t>
  </si>
  <si>
    <t>THAER4</t>
  </si>
  <si>
    <t>LONGDC</t>
  </si>
  <si>
    <t>1900091637081;1900091057559</t>
  </si>
  <si>
    <t>1900091637072;1900091057568;1900060219544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</si>
</sst>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quot;£&quot;#,##0.00"/>
    <numFmt numFmtId="180" formatCode="#,##0_ ;\-#,##0\ "/>
    <numFmt numFmtId="181" formatCode="#,##0.000;[Red]\-#,##0.000;"/>
    <numFmt numFmtId="182" formatCode="#,##0.00;[Red]\-#,##0.00;"/>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8"/>
      <name val="Arial"/>
      <family val="2"/>
    </font>
    <font>
      <strike/>
      <sz val="10"/>
      <name val="Arial"/>
      <family val="2"/>
    </font>
    <font>
      <strike/>
      <sz val="10"/>
      <color indexed="8"/>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30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21" fillId="9" borderId="1" xfId="0" applyNumberFormat="1" applyFont="1" applyFill="1" applyBorder="1" applyAlignment="1" applyProtection="1">
      <alignment horizontal="center" vertical="center"/>
      <protection locked="0"/>
    </xf>
    <xf numFmtId="170"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0"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1" borderId="1" xfId="10" applyNumberFormat="1" applyFont="1" applyFill="1" applyBorder="1" applyAlignment="1" applyProtection="1">
      <alignment vertical="center"/>
      <protection locked="0"/>
    </xf>
    <xf numFmtId="171" fontId="3" fillId="30" borderId="1" xfId="9" applyNumberFormat="1" applyFill="1" applyBorder="1" applyAlignment="1" applyProtection="1">
      <alignment vertical="center"/>
    </xf>
    <xf numFmtId="172" fontId="6" fillId="30" borderId="1" xfId="9" applyNumberFormat="1" applyFont="1" applyFill="1" applyBorder="1" applyAlignment="1" applyProtection="1">
      <alignment vertical="center"/>
      <protection locked="0"/>
    </xf>
    <xf numFmtId="172" fontId="6" fillId="33" borderId="1" xfId="9" applyNumberFormat="1" applyFont="1" applyFill="1" applyBorder="1" applyAlignment="1" applyProtection="1">
      <alignment vertical="center"/>
      <protection locked="0"/>
    </xf>
    <xf numFmtId="172"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1"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30" borderId="1" xfId="9" applyNumberFormat="1" applyFill="1" applyBorder="1" applyAlignment="1" applyProtection="1">
      <alignment vertical="center"/>
      <protection locked="0"/>
    </xf>
    <xf numFmtId="174" fontId="3" fillId="30" borderId="1" xfId="9" applyNumberFormat="1" applyFill="1" applyBorder="1" applyAlignment="1" applyProtection="1">
      <alignment vertical="center"/>
    </xf>
    <xf numFmtId="174" fontId="3" fillId="33" borderId="1" xfId="9" applyNumberFormat="1" applyFill="1" applyBorder="1" applyAlignment="1" applyProtection="1">
      <alignment vertical="center"/>
    </xf>
    <xf numFmtId="174" fontId="6" fillId="31" borderId="1" xfId="10" applyNumberFormat="1" applyFont="1" applyFill="1" applyBorder="1" applyAlignment="1" applyProtection="1">
      <alignment vertical="center"/>
    </xf>
    <xf numFmtId="174" fontId="6" fillId="34" borderId="1" xfId="10" applyNumberFormat="1" applyFont="1" applyFill="1" applyBorder="1" applyAlignment="1" applyProtection="1">
      <alignment vertical="center"/>
    </xf>
    <xf numFmtId="175" fontId="3" fillId="30" borderId="5" xfId="9" applyNumberFormat="1" applyFill="1" applyBorder="1" applyAlignment="1" applyProtection="1">
      <alignment vertical="center"/>
    </xf>
    <xf numFmtId="175"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6" fontId="22"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2" fillId="20" borderId="1" xfId="0" applyNumberFormat="1" applyFont="1" applyFill="1" applyBorder="1" applyAlignment="1" applyProtection="1">
      <alignment horizontal="center" vertical="center"/>
      <protection locked="0"/>
    </xf>
    <xf numFmtId="176" fontId="22" fillId="21" borderId="1" xfId="0" applyNumberFormat="1" applyFont="1" applyFill="1" applyBorder="1" applyAlignment="1" applyProtection="1">
      <alignment horizontal="center" vertical="center"/>
      <protection locked="0"/>
    </xf>
    <xf numFmtId="176" fontId="21" fillId="22" borderId="1" xfId="0" applyNumberFormat="1" applyFont="1" applyFill="1" applyBorder="1" applyAlignment="1" applyProtection="1">
      <alignment horizontal="center" vertical="center"/>
      <protection locked="0"/>
    </xf>
    <xf numFmtId="176" fontId="30" fillId="18" borderId="1" xfId="0" applyNumberFormat="1" applyFont="1" applyFill="1" applyBorder="1" applyAlignment="1" applyProtection="1">
      <alignment horizontal="center" vertical="center" wrapText="1"/>
      <protection locked="0"/>
    </xf>
    <xf numFmtId="176" fontId="9" fillId="19" borderId="1" xfId="0" applyNumberFormat="1" applyFont="1" applyFill="1" applyBorder="1" applyAlignment="1" applyProtection="1">
      <alignment horizontal="center" vertical="center" wrapText="1"/>
      <protection locked="0"/>
    </xf>
    <xf numFmtId="176"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30" fillId="21" borderId="1" xfId="0" applyNumberFormat="1" applyFont="1" applyFill="1" applyBorder="1" applyAlignment="1" applyProtection="1">
      <alignment horizontal="center" vertical="center" wrapText="1"/>
      <protection locked="0"/>
    </xf>
    <xf numFmtId="176"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7"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78" fontId="21" fillId="3" borderId="1"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180" fontId="15" fillId="8" borderId="1" xfId="7"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173" fontId="6" fillId="9" borderId="1" xfId="6" applyNumberForma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172" fontId="6" fillId="9" borderId="1" xfId="6" applyNumberFormat="1" applyFill="1" applyBorder="1" applyAlignment="1" applyProtection="1">
      <alignment horizontal="center" vertical="center" wrapText="1"/>
      <protection locked="0"/>
    </xf>
    <xf numFmtId="181" fontId="4" fillId="12" borderId="1" xfId="6" applyNumberFormat="1" applyFont="1" applyFill="1" applyBorder="1" applyAlignment="1" applyProtection="1">
      <alignment horizontal="center" vertical="center"/>
      <protection locked="0"/>
    </xf>
    <xf numFmtId="182" fontId="4" fillId="12" borderId="1" xfId="6" applyNumberFormat="1" applyFont="1" applyFill="1" applyBorder="1" applyAlignment="1" applyProtection="1">
      <alignment horizontal="center" vertical="center"/>
      <protection locked="0"/>
    </xf>
    <xf numFmtId="181" fontId="4" fillId="9" borderId="1" xfId="6" applyNumberFormat="1" applyFont="1" applyFill="1" applyBorder="1" applyAlignment="1" applyProtection="1">
      <alignment horizontal="center" vertical="center"/>
      <protection locked="0"/>
    </xf>
    <xf numFmtId="182" fontId="4" fillId="9" borderId="1" xfId="6" applyNumberFormat="1" applyFont="1" applyFill="1" applyBorder="1" applyAlignment="1" applyProtection="1">
      <alignment horizontal="center" vertical="center"/>
      <protection locked="0"/>
    </xf>
    <xf numFmtId="179" fontId="15" fillId="8" borderId="1" xfId="0" applyNumberFormat="1" applyFont="1" applyFill="1" applyBorder="1" applyAlignment="1" applyProtection="1">
      <alignment horizontal="right" vertical="center" indent="1"/>
      <protection locked="0"/>
    </xf>
    <xf numFmtId="2" fontId="0" fillId="2" borderId="1" xfId="0" applyNumberForma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49" fontId="35" fillId="9" borderId="1" xfId="0" quotePrefix="1" applyNumberFormat="1" applyFont="1" applyFill="1" applyBorder="1" applyAlignment="1" applyProtection="1">
      <alignment horizontal="left" vertical="center" wrapText="1"/>
      <protection locked="0"/>
    </xf>
    <xf numFmtId="173"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2" fontId="35" fillId="9" borderId="1" xfId="6" applyNumberFormat="1" applyFont="1" applyFill="1" applyBorder="1" applyAlignment="1" applyProtection="1">
      <alignment horizontal="center" vertical="center" wrapText="1"/>
      <protection locked="0"/>
    </xf>
    <xf numFmtId="181" fontId="36" fillId="12" borderId="1" xfId="6" applyNumberFormat="1" applyFont="1" applyFill="1" applyBorder="1" applyAlignment="1" applyProtection="1">
      <alignment horizontal="center" vertical="center"/>
      <protection locked="0"/>
    </xf>
    <xf numFmtId="182" fontId="36" fillId="12" borderId="1" xfId="6" applyNumberFormat="1" applyFont="1" applyFill="1" applyBorder="1" applyAlignment="1" applyProtection="1">
      <alignment horizontal="center" vertical="center"/>
      <protection locked="0"/>
    </xf>
    <xf numFmtId="181" fontId="36" fillId="9" borderId="1" xfId="6" applyNumberFormat="1" applyFont="1" applyFill="1" applyBorder="1" applyAlignment="1" applyProtection="1">
      <alignment horizontal="center" vertical="center"/>
      <protection locked="0"/>
    </xf>
    <xf numFmtId="182" fontId="36" fillId="9" borderId="1" xfId="6"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9" borderId="1" xfId="6" applyFill="1" applyBorder="1" applyAlignment="1">
      <alignment horizontal="center" vertical="center" wrapText="1"/>
    </xf>
    <xf numFmtId="0" fontId="6" fillId="9" borderId="1" xfId="6" applyFill="1" applyBorder="1" applyAlignment="1" applyProtection="1">
      <alignment horizontal="center" vertical="center" wrapText="1"/>
      <protection locked="0"/>
    </xf>
    <xf numFmtId="165" fontId="0" fillId="14" borderId="1" xfId="0" applyNumberFormat="1" applyFill="1" applyBorder="1" applyAlignment="1" applyProtection="1">
      <alignment horizontal="center" vertical="center" wrapText="1"/>
      <protection locked="0"/>
    </xf>
    <xf numFmtId="165" fontId="18" fillId="14" borderId="1" xfId="0" applyNumberFormat="1" applyFont="1" applyFill="1" applyBorder="1" applyAlignment="1" applyProtection="1">
      <alignment horizontal="center" vertical="center"/>
      <protection locked="0"/>
    </xf>
    <xf numFmtId="165" fontId="18" fillId="15" borderId="1" xfId="0" applyNumberFormat="1" applyFont="1" applyFill="1" applyBorder="1" applyAlignment="1" applyProtection="1">
      <alignment horizontal="center" vertical="center"/>
      <protection locked="0"/>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0" fontId="35" fillId="9" borderId="1" xfId="6" applyFont="1" applyFill="1" applyBorder="1" applyAlignment="1" applyProtection="1">
      <alignment horizontal="center" vertical="center" wrapText="1"/>
      <protection locked="0"/>
    </xf>
    <xf numFmtId="0" fontId="35" fillId="9" borderId="1" xfId="6" applyFont="1" applyFill="1" applyBorder="1" applyAlignment="1">
      <alignment horizontal="center" vertical="center" wrapText="1"/>
    </xf>
    <xf numFmtId="49" fontId="6" fillId="9" borderId="1" xfId="0" quotePrefix="1" applyNumberFormat="1" applyFont="1" applyFill="1" applyBorder="1" applyAlignment="1" applyProtection="1">
      <alignment horizontal="center" vertical="center" wrapText="1"/>
      <protection locked="0"/>
    </xf>
    <xf numFmtId="0" fontId="35" fillId="9" borderId="1" xfId="0" quotePrefix="1" applyFont="1" applyFill="1" applyBorder="1" applyAlignment="1" applyProtection="1">
      <alignment horizontal="center" vertical="center" wrapText="1"/>
      <protection locked="0"/>
    </xf>
    <xf numFmtId="0" fontId="6" fillId="9" borderId="1" xfId="0" quotePrefix="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0" fontId="35" fillId="9" borderId="1" xfId="0" applyFont="1" applyFill="1" applyBorder="1" applyAlignment="1" applyProtection="1">
      <alignment horizontal="center" vertical="center" wrapText="1"/>
      <protection locked="0"/>
    </xf>
    <xf numFmtId="0" fontId="6" fillId="9" borderId="1" xfId="0" applyFont="1" applyFill="1" applyBorder="1" applyAlignment="1" applyProtection="1">
      <alignment horizontal="center"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8" xfId="6" quotePrefix="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1" fillId="19" borderId="3" xfId="0" applyNumberFormat="1" applyFont="1" applyFill="1" applyBorder="1" applyAlignment="1" applyProtection="1">
      <alignment horizontal="center" vertical="center"/>
      <protection locked="0"/>
    </xf>
    <xf numFmtId="170"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4"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0"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0"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0"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0" xfId="0" applyFont="1" applyAlignment="1">
      <alignment horizontal="left" vertical="center" wrapText="1"/>
    </xf>
    <xf numFmtId="0" fontId="7" fillId="7" borderId="4" xfId="0" applyFont="1" applyFill="1" applyBorder="1" applyAlignment="1" applyProtection="1">
      <alignment horizontal="center" vertical="center" wrapText="1"/>
      <protection locked="0"/>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21" t="s">
        <v>122</v>
      </c>
      <c r="B2" s="53"/>
      <c r="C2" s="53"/>
      <c r="D2" s="53"/>
      <c r="E2" s="53"/>
    </row>
    <row r="3" spans="1:8" ht="15" x14ac:dyDescent="0.2">
      <c r="A3" s="53"/>
      <c r="B3" s="118" t="s">
        <v>123</v>
      </c>
      <c r="C3" s="117" t="s">
        <v>126</v>
      </c>
      <c r="D3" s="117" t="s">
        <v>22</v>
      </c>
      <c r="E3" s="117" t="s">
        <v>21</v>
      </c>
    </row>
    <row r="4" spans="1:8" ht="15" x14ac:dyDescent="0.2">
      <c r="A4" s="54" t="s">
        <v>122</v>
      </c>
      <c r="B4" s="27" t="s">
        <v>608</v>
      </c>
      <c r="C4" s="27" t="s">
        <v>609</v>
      </c>
      <c r="D4" s="27" t="s">
        <v>610</v>
      </c>
      <c r="E4" s="27" t="s">
        <v>121</v>
      </c>
    </row>
    <row r="5" spans="1:8" x14ac:dyDescent="0.2">
      <c r="A5" s="53"/>
      <c r="B5" s="53"/>
      <c r="C5" s="53"/>
      <c r="D5" s="53"/>
      <c r="E5" s="53"/>
    </row>
    <row r="6" spans="1:8" ht="16.5" x14ac:dyDescent="0.2">
      <c r="A6" s="56" t="s">
        <v>16</v>
      </c>
      <c r="B6" s="53"/>
      <c r="C6" s="53"/>
      <c r="D6" s="53"/>
      <c r="E6" s="53"/>
    </row>
    <row r="7" spans="1:8" ht="15" x14ac:dyDescent="0.2">
      <c r="A7" s="57" t="s">
        <v>17</v>
      </c>
      <c r="B7" s="224" t="s">
        <v>18</v>
      </c>
      <c r="C7" s="224"/>
      <c r="D7" s="224"/>
      <c r="E7" s="224"/>
    </row>
    <row r="8" spans="1:8" ht="30" customHeight="1" x14ac:dyDescent="0.2">
      <c r="A8" s="61" t="s">
        <v>170</v>
      </c>
      <c r="B8" s="222" t="s">
        <v>159</v>
      </c>
      <c r="C8" s="222"/>
      <c r="D8" s="222"/>
      <c r="E8" s="222"/>
    </row>
    <row r="9" spans="1:8" ht="30" customHeight="1" x14ac:dyDescent="0.2">
      <c r="A9" s="61" t="s">
        <v>38</v>
      </c>
      <c r="B9" s="22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22"/>
      <c r="D9" s="222"/>
      <c r="E9" s="222"/>
    </row>
    <row r="10" spans="1:8" ht="30" customHeight="1" x14ac:dyDescent="0.2">
      <c r="A10" s="61" t="s">
        <v>39</v>
      </c>
      <c r="B10" s="222" t="s">
        <v>20</v>
      </c>
      <c r="C10" s="222"/>
      <c r="D10" s="222"/>
      <c r="E10" s="222"/>
    </row>
    <row r="11" spans="1:8" ht="61.5" customHeight="1" x14ac:dyDescent="0.2">
      <c r="A11" s="61" t="s">
        <v>40</v>
      </c>
      <c r="B11" s="22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2"/>
      <c r="D11" s="222"/>
      <c r="E11" s="222"/>
      <c r="F11" s="219"/>
      <c r="G11" s="219"/>
      <c r="H11" s="219"/>
    </row>
    <row r="12" spans="1:8" ht="86.25" customHeight="1" x14ac:dyDescent="0.2">
      <c r="A12" s="61" t="s">
        <v>29</v>
      </c>
      <c r="B12" s="222" t="s">
        <v>138</v>
      </c>
      <c r="C12" s="222"/>
      <c r="D12" s="222"/>
      <c r="E12" s="222"/>
    </row>
    <row r="13" spans="1:8" ht="44.25" customHeight="1" x14ac:dyDescent="0.2">
      <c r="A13" s="61" t="s">
        <v>139</v>
      </c>
      <c r="B13" s="222"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22"/>
      <c r="D13" s="222"/>
      <c r="E13" s="222"/>
    </row>
    <row r="14" spans="1:8" ht="33.75" customHeight="1" x14ac:dyDescent="0.2">
      <c r="A14" s="160" t="s">
        <v>468</v>
      </c>
      <c r="B14" s="222" t="s">
        <v>469</v>
      </c>
      <c r="C14" s="222"/>
      <c r="D14" s="222"/>
      <c r="E14" s="222"/>
    </row>
    <row r="15" spans="1:8" ht="29.25" customHeight="1" x14ac:dyDescent="0.2">
      <c r="A15" s="61" t="s">
        <v>31</v>
      </c>
      <c r="B15" s="222" t="s">
        <v>630</v>
      </c>
      <c r="C15" s="222"/>
      <c r="D15" s="222"/>
      <c r="E15" s="222"/>
    </row>
    <row r="16" spans="1:8" ht="29.25" customHeight="1" x14ac:dyDescent="0.2">
      <c r="A16" s="61" t="s">
        <v>588</v>
      </c>
      <c r="B16" s="222" t="s">
        <v>590</v>
      </c>
      <c r="C16" s="222"/>
      <c r="D16" s="222"/>
      <c r="E16" s="222"/>
    </row>
    <row r="17" spans="1:5" ht="30" customHeight="1" x14ac:dyDescent="0.2">
      <c r="A17" s="61" t="s">
        <v>82</v>
      </c>
      <c r="B17" s="222" t="s">
        <v>81</v>
      </c>
      <c r="C17" s="222"/>
      <c r="D17" s="222"/>
      <c r="E17" s="222"/>
    </row>
    <row r="18" spans="1:5" x14ac:dyDescent="0.2">
      <c r="A18" s="53"/>
      <c r="B18" s="53"/>
      <c r="C18" s="53"/>
      <c r="D18" s="53"/>
      <c r="E18" s="53"/>
    </row>
    <row r="19" spans="1:5" ht="15" x14ac:dyDescent="0.2">
      <c r="A19" s="58" t="s">
        <v>27</v>
      </c>
      <c r="B19" s="53"/>
      <c r="C19" s="53"/>
      <c r="D19" s="53"/>
      <c r="E19" s="53"/>
    </row>
    <row r="20" spans="1:5" ht="15" x14ac:dyDescent="0.2">
      <c r="A20" s="57"/>
      <c r="B20" s="223"/>
      <c r="C20" s="223"/>
      <c r="D20" s="223"/>
      <c r="E20" s="223"/>
    </row>
    <row r="21" spans="1:5" ht="32.25" customHeight="1" x14ac:dyDescent="0.2">
      <c r="A21" s="220" t="s">
        <v>66</v>
      </c>
      <c r="B21" s="221"/>
      <c r="C21" s="221"/>
      <c r="D21" s="221"/>
      <c r="E21" s="221"/>
    </row>
    <row r="22" spans="1:5" x14ac:dyDescent="0.2">
      <c r="A22" s="53"/>
      <c r="B22" s="53"/>
      <c r="C22" s="53"/>
      <c r="D22" s="53"/>
      <c r="E22" s="53"/>
    </row>
    <row r="23" spans="1:5" ht="15" x14ac:dyDescent="0.2">
      <c r="A23" s="59" t="s">
        <v>28</v>
      </c>
      <c r="B23" s="53"/>
      <c r="C23" s="53"/>
      <c r="D23" s="53"/>
      <c r="E23" s="53"/>
    </row>
    <row r="24" spans="1:5" ht="15" x14ac:dyDescent="0.2">
      <c r="A24" s="55"/>
      <c r="B24" s="223"/>
      <c r="C24" s="223"/>
      <c r="D24" s="223"/>
      <c r="E24" s="223"/>
    </row>
    <row r="25" spans="1:5" ht="28.5" customHeight="1" x14ac:dyDescent="0.2">
      <c r="A25" s="220" t="s">
        <v>41</v>
      </c>
      <c r="B25" s="221"/>
      <c r="C25" s="221"/>
      <c r="D25" s="221"/>
      <c r="E25" s="221"/>
    </row>
    <row r="26" spans="1:5" ht="28.5" customHeight="1" x14ac:dyDescent="0.2">
      <c r="A26" s="218" t="s">
        <v>120</v>
      </c>
      <c r="B26" s="218"/>
      <c r="C26" s="218"/>
      <c r="D26" s="218"/>
      <c r="E26" s="218"/>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79" t="s">
        <v>19</v>
      </c>
      <c r="B1" s="226" t="s">
        <v>136</v>
      </c>
      <c r="C1" s="227"/>
      <c r="D1" s="227"/>
      <c r="E1" s="225"/>
      <c r="F1" s="225"/>
      <c r="G1" s="225"/>
      <c r="H1" s="225"/>
      <c r="I1" s="225"/>
      <c r="J1" s="225"/>
      <c r="K1" s="225"/>
      <c r="L1" s="43"/>
      <c r="M1" s="43"/>
      <c r="N1" s="43"/>
    </row>
    <row r="2" spans="1:14" ht="27" customHeight="1" x14ac:dyDescent="0.2">
      <c r="A2" s="232" t="str">
        <f>Overview!B4&amp; " - Effective from "&amp;Overview!D4&amp;" - "&amp;Overview!E4&amp;" LV and HV charges"</f>
        <v>South Eastern Power Networks - Effective from 1 April 2024 - Final LV and HV charges</v>
      </c>
      <c r="B2" s="232"/>
      <c r="C2" s="232"/>
      <c r="D2" s="232"/>
      <c r="E2" s="232"/>
      <c r="F2" s="232"/>
      <c r="G2" s="232"/>
      <c r="H2" s="232"/>
      <c r="I2" s="232"/>
      <c r="J2" s="232"/>
      <c r="K2" s="232"/>
    </row>
    <row r="3" spans="1:14" s="63" customFormat="1" ht="15" customHeight="1" x14ac:dyDescent="0.2">
      <c r="A3" s="68"/>
      <c r="B3" s="68"/>
      <c r="C3" s="68"/>
      <c r="D3" s="68"/>
      <c r="E3" s="68"/>
      <c r="F3" s="68"/>
      <c r="G3" s="68"/>
      <c r="H3" s="68"/>
      <c r="I3" s="68"/>
      <c r="J3" s="68"/>
      <c r="K3" s="68"/>
      <c r="L3" s="41"/>
      <c r="M3" s="41"/>
    </row>
    <row r="4" spans="1:14" ht="27" customHeight="1" x14ac:dyDescent="0.2">
      <c r="A4" s="232" t="s">
        <v>153</v>
      </c>
      <c r="B4" s="232"/>
      <c r="C4" s="232"/>
      <c r="D4" s="232"/>
      <c r="E4" s="232"/>
      <c r="F4" s="68"/>
      <c r="G4" s="232" t="s">
        <v>154</v>
      </c>
      <c r="H4" s="232"/>
      <c r="I4" s="232"/>
      <c r="J4" s="232"/>
      <c r="K4" s="232"/>
    </row>
    <row r="5" spans="1:14" ht="28.5" customHeight="1" x14ac:dyDescent="0.2">
      <c r="A5" s="62" t="s">
        <v>12</v>
      </c>
      <c r="B5" s="65" t="s">
        <v>57</v>
      </c>
      <c r="C5" s="233" t="s">
        <v>58</v>
      </c>
      <c r="D5" s="234"/>
      <c r="E5" s="64" t="s">
        <v>59</v>
      </c>
      <c r="F5" s="68"/>
      <c r="G5" s="236"/>
      <c r="H5" s="237"/>
      <c r="I5" s="66" t="s">
        <v>63</v>
      </c>
      <c r="J5" s="67" t="s">
        <v>64</v>
      </c>
      <c r="K5" s="64" t="s">
        <v>59</v>
      </c>
      <c r="L5" s="68"/>
    </row>
    <row r="6" spans="1:14" ht="65.25" customHeight="1" x14ac:dyDescent="0.2">
      <c r="A6" s="175" t="s">
        <v>60</v>
      </c>
      <c r="B6" s="21" t="s">
        <v>611</v>
      </c>
      <c r="C6" s="235" t="s">
        <v>612</v>
      </c>
      <c r="D6" s="235"/>
      <c r="E6" s="171" t="s">
        <v>613</v>
      </c>
      <c r="F6" s="68"/>
      <c r="G6" s="238" t="s">
        <v>61</v>
      </c>
      <c r="H6" s="238"/>
      <c r="I6" s="21" t="s">
        <v>611</v>
      </c>
      <c r="J6" s="169" t="s">
        <v>612</v>
      </c>
      <c r="K6" s="171" t="s">
        <v>613</v>
      </c>
      <c r="L6" s="68"/>
    </row>
    <row r="7" spans="1:14" ht="65.25" customHeight="1" x14ac:dyDescent="0.2">
      <c r="A7" s="175" t="s">
        <v>15</v>
      </c>
      <c r="B7" s="170"/>
      <c r="C7" s="239"/>
      <c r="D7" s="239"/>
      <c r="E7" s="169" t="s">
        <v>614</v>
      </c>
      <c r="F7" s="68"/>
      <c r="G7" s="238" t="s">
        <v>615</v>
      </c>
      <c r="H7" s="238"/>
      <c r="I7" s="170"/>
      <c r="J7" s="169" t="s">
        <v>616</v>
      </c>
      <c r="K7" s="171" t="s">
        <v>613</v>
      </c>
      <c r="L7" s="68"/>
    </row>
    <row r="8" spans="1:14" ht="65.25" customHeight="1" x14ac:dyDescent="0.2">
      <c r="A8" s="174" t="s">
        <v>13</v>
      </c>
      <c r="B8" s="228" t="s">
        <v>14</v>
      </c>
      <c r="C8" s="229"/>
      <c r="D8" s="229"/>
      <c r="E8" s="230"/>
      <c r="F8" s="68"/>
      <c r="G8" s="240" t="s">
        <v>15</v>
      </c>
      <c r="H8" s="241"/>
      <c r="I8" s="170"/>
      <c r="J8" s="170"/>
      <c r="K8" s="169" t="s">
        <v>614</v>
      </c>
      <c r="L8" s="68"/>
    </row>
    <row r="9" spans="1:14" s="63" customFormat="1" ht="27" customHeight="1" x14ac:dyDescent="0.2">
      <c r="A9" s="68"/>
      <c r="B9" s="68"/>
      <c r="C9" s="68"/>
      <c r="D9" s="68"/>
      <c r="E9" s="68"/>
      <c r="F9" s="68"/>
      <c r="G9" s="231" t="s">
        <v>13</v>
      </c>
      <c r="H9" s="231"/>
      <c r="I9" s="228" t="s">
        <v>14</v>
      </c>
      <c r="J9" s="229"/>
      <c r="K9" s="230"/>
      <c r="L9" s="41"/>
      <c r="M9" s="41"/>
    </row>
    <row r="10" spans="1:14" s="63" customFormat="1" ht="12.75" customHeight="1" x14ac:dyDescent="0.2">
      <c r="A10" s="68"/>
      <c r="B10" s="68"/>
      <c r="C10" s="68"/>
      <c r="D10" s="68"/>
      <c r="E10" s="68"/>
      <c r="F10" s="68"/>
      <c r="G10" s="68"/>
      <c r="H10" s="68"/>
      <c r="I10" s="68"/>
      <c r="J10" s="68"/>
      <c r="K10" s="68"/>
      <c r="L10" s="41"/>
      <c r="M10" s="41"/>
    </row>
    <row r="11" spans="1:14" ht="78.75" customHeight="1" x14ac:dyDescent="0.2">
      <c r="A11" s="26" t="s">
        <v>127</v>
      </c>
      <c r="B11" s="14" t="s">
        <v>23</v>
      </c>
      <c r="C11" s="14" t="s">
        <v>24</v>
      </c>
      <c r="D11" s="46" t="s">
        <v>156</v>
      </c>
      <c r="E11" s="46" t="s">
        <v>158</v>
      </c>
      <c r="F11" s="46" t="s">
        <v>157</v>
      </c>
      <c r="G11" s="14" t="s">
        <v>25</v>
      </c>
      <c r="H11" s="14" t="s">
        <v>26</v>
      </c>
      <c r="I11" s="26" t="s">
        <v>129</v>
      </c>
      <c r="J11" s="14" t="s">
        <v>32</v>
      </c>
      <c r="K11" s="14" t="s">
        <v>0</v>
      </c>
    </row>
    <row r="12" spans="1:14" ht="32.25" customHeight="1" x14ac:dyDescent="0.2">
      <c r="A12" s="16" t="s">
        <v>1938</v>
      </c>
      <c r="B12" s="35">
        <v>1</v>
      </c>
      <c r="C12" s="166" t="s">
        <v>595</v>
      </c>
      <c r="D12" s="123">
        <v>17.48</v>
      </c>
      <c r="E12" s="124">
        <v>0.65600000000000003</v>
      </c>
      <c r="F12" s="125">
        <v>0.224</v>
      </c>
      <c r="G12" s="36">
        <v>20</v>
      </c>
      <c r="H12" s="37"/>
      <c r="I12" s="37"/>
      <c r="J12" s="33"/>
      <c r="K12" s="34" t="s">
        <v>637</v>
      </c>
    </row>
    <row r="13" spans="1:14" ht="32.25" customHeight="1" x14ac:dyDescent="0.2">
      <c r="A13" s="16" t="s">
        <v>471</v>
      </c>
      <c r="B13" s="35">
        <v>2</v>
      </c>
      <c r="C13" s="162">
        <v>2</v>
      </c>
      <c r="D13" s="123">
        <v>17.48</v>
      </c>
      <c r="E13" s="124">
        <v>0.65600000000000003</v>
      </c>
      <c r="F13" s="125">
        <v>0.224</v>
      </c>
      <c r="G13" s="37"/>
      <c r="H13" s="37"/>
      <c r="I13" s="37"/>
      <c r="J13" s="33"/>
      <c r="K13" s="34">
        <v>251</v>
      </c>
    </row>
    <row r="14" spans="1:14" ht="32.25" customHeight="1" x14ac:dyDescent="0.2">
      <c r="A14" s="16" t="s">
        <v>1939</v>
      </c>
      <c r="B14" s="35">
        <v>199</v>
      </c>
      <c r="C14" s="150" t="s">
        <v>594</v>
      </c>
      <c r="D14" s="123">
        <v>11.894</v>
      </c>
      <c r="E14" s="124">
        <v>0.44600000000000001</v>
      </c>
      <c r="F14" s="125">
        <v>0.152</v>
      </c>
      <c r="G14" s="36">
        <v>6.1</v>
      </c>
      <c r="H14" s="37"/>
      <c r="I14" s="37"/>
      <c r="J14" s="33"/>
      <c r="K14" s="34"/>
    </row>
    <row r="15" spans="1:14" ht="30" x14ac:dyDescent="0.2">
      <c r="A15" s="16" t="s">
        <v>1940</v>
      </c>
      <c r="B15" s="35">
        <v>201</v>
      </c>
      <c r="C15" s="150" t="s">
        <v>594</v>
      </c>
      <c r="D15" s="123">
        <v>11.894</v>
      </c>
      <c r="E15" s="124">
        <v>0.44600000000000001</v>
      </c>
      <c r="F15" s="125">
        <v>0.152</v>
      </c>
      <c r="G15" s="36">
        <v>11.78</v>
      </c>
      <c r="H15" s="37"/>
      <c r="I15" s="37"/>
      <c r="J15" s="33"/>
      <c r="K15" s="34" t="s">
        <v>638</v>
      </c>
    </row>
    <row r="16" spans="1:14" ht="32.25" customHeight="1" x14ac:dyDescent="0.2">
      <c r="A16" s="16" t="s">
        <v>1941</v>
      </c>
      <c r="B16" s="35">
        <v>202</v>
      </c>
      <c r="C16" s="150" t="s">
        <v>594</v>
      </c>
      <c r="D16" s="123">
        <v>11.894</v>
      </c>
      <c r="E16" s="124">
        <v>0.44600000000000001</v>
      </c>
      <c r="F16" s="125">
        <v>0.152</v>
      </c>
      <c r="G16" s="36">
        <v>37.159999999999997</v>
      </c>
      <c r="H16" s="37"/>
      <c r="I16" s="37"/>
      <c r="J16" s="33"/>
      <c r="K16" s="34"/>
    </row>
    <row r="17" spans="1:11" ht="32.25" customHeight="1" x14ac:dyDescent="0.2">
      <c r="A17" s="16" t="s">
        <v>1942</v>
      </c>
      <c r="B17" s="35">
        <v>203</v>
      </c>
      <c r="C17" s="150" t="s">
        <v>594</v>
      </c>
      <c r="D17" s="123">
        <v>11.894</v>
      </c>
      <c r="E17" s="124">
        <v>0.44600000000000001</v>
      </c>
      <c r="F17" s="125">
        <v>0.152</v>
      </c>
      <c r="G17" s="36">
        <v>78.22</v>
      </c>
      <c r="H17" s="37"/>
      <c r="I17" s="37"/>
      <c r="J17" s="33"/>
      <c r="K17" s="34"/>
    </row>
    <row r="18" spans="1:11" ht="32.25" customHeight="1" x14ac:dyDescent="0.2">
      <c r="A18" s="16" t="s">
        <v>1943</v>
      </c>
      <c r="B18" s="35">
        <v>204</v>
      </c>
      <c r="C18" s="150" t="s">
        <v>594</v>
      </c>
      <c r="D18" s="123">
        <v>11.894</v>
      </c>
      <c r="E18" s="124">
        <v>0.44600000000000001</v>
      </c>
      <c r="F18" s="125">
        <v>0.152</v>
      </c>
      <c r="G18" s="36">
        <v>229.77</v>
      </c>
      <c r="H18" s="37"/>
      <c r="I18" s="37"/>
      <c r="J18" s="33"/>
      <c r="K18" s="34"/>
    </row>
    <row r="19" spans="1:11" ht="32.25" customHeight="1" x14ac:dyDescent="0.2">
      <c r="A19" s="16" t="s">
        <v>142</v>
      </c>
      <c r="B19" s="35">
        <v>200</v>
      </c>
      <c r="C19" s="162">
        <v>4</v>
      </c>
      <c r="D19" s="123">
        <v>11.894</v>
      </c>
      <c r="E19" s="124">
        <v>0.44600000000000001</v>
      </c>
      <c r="F19" s="125">
        <v>0.152</v>
      </c>
      <c r="G19" s="37"/>
      <c r="H19" s="37"/>
      <c r="I19" s="37"/>
      <c r="J19" s="33"/>
      <c r="K19" s="34">
        <v>287</v>
      </c>
    </row>
    <row r="20" spans="1:11" ht="32.25" customHeight="1" x14ac:dyDescent="0.2">
      <c r="A20" s="16" t="s">
        <v>477</v>
      </c>
      <c r="B20" s="34">
        <v>70</v>
      </c>
      <c r="C20" s="162">
        <v>0</v>
      </c>
      <c r="D20" s="123">
        <v>9.8620000000000001</v>
      </c>
      <c r="E20" s="124">
        <v>0.35799999999999998</v>
      </c>
      <c r="F20" s="125">
        <v>0.12</v>
      </c>
      <c r="G20" s="36">
        <v>18.940000000000001</v>
      </c>
      <c r="H20" s="36">
        <v>4.34</v>
      </c>
      <c r="I20" s="122">
        <v>7.73</v>
      </c>
      <c r="J20" s="32">
        <v>0.32</v>
      </c>
      <c r="K20" s="34"/>
    </row>
    <row r="21" spans="1:11" ht="32.25" customHeight="1" x14ac:dyDescent="0.2">
      <c r="A21" s="16" t="s">
        <v>478</v>
      </c>
      <c r="B21" s="34">
        <v>71</v>
      </c>
      <c r="C21" s="162">
        <v>0</v>
      </c>
      <c r="D21" s="123">
        <v>9.8620000000000001</v>
      </c>
      <c r="E21" s="124">
        <v>0.35799999999999998</v>
      </c>
      <c r="F21" s="125">
        <v>0.12</v>
      </c>
      <c r="G21" s="36">
        <v>439.77</v>
      </c>
      <c r="H21" s="36">
        <v>4.34</v>
      </c>
      <c r="I21" s="122">
        <v>7.73</v>
      </c>
      <c r="J21" s="32">
        <v>0.32</v>
      </c>
      <c r="K21" s="34"/>
    </row>
    <row r="22" spans="1:11" ht="32.25" customHeight="1" x14ac:dyDescent="0.2">
      <c r="A22" s="16" t="s">
        <v>479</v>
      </c>
      <c r="B22" s="34">
        <v>72</v>
      </c>
      <c r="C22" s="162">
        <v>0</v>
      </c>
      <c r="D22" s="123">
        <v>9.8620000000000001</v>
      </c>
      <c r="E22" s="124">
        <v>0.35799999999999998</v>
      </c>
      <c r="F22" s="125">
        <v>0.12</v>
      </c>
      <c r="G22" s="36">
        <v>728.02</v>
      </c>
      <c r="H22" s="36">
        <v>4.34</v>
      </c>
      <c r="I22" s="122">
        <v>7.73</v>
      </c>
      <c r="J22" s="32">
        <v>0.32</v>
      </c>
      <c r="K22" s="34"/>
    </row>
    <row r="23" spans="1:11" ht="32.25" customHeight="1" x14ac:dyDescent="0.2">
      <c r="A23" s="16" t="s">
        <v>480</v>
      </c>
      <c r="B23" s="34">
        <v>73</v>
      </c>
      <c r="C23" s="162">
        <v>0</v>
      </c>
      <c r="D23" s="123">
        <v>9.8620000000000001</v>
      </c>
      <c r="E23" s="124">
        <v>0.35799999999999998</v>
      </c>
      <c r="F23" s="125">
        <v>0.12</v>
      </c>
      <c r="G23" s="36">
        <v>1176.8800000000001</v>
      </c>
      <c r="H23" s="36">
        <v>4.34</v>
      </c>
      <c r="I23" s="122">
        <v>7.73</v>
      </c>
      <c r="J23" s="32">
        <v>0.32</v>
      </c>
      <c r="K23" s="34"/>
    </row>
    <row r="24" spans="1:11" ht="32.25" customHeight="1" x14ac:dyDescent="0.2">
      <c r="A24" s="16" t="s">
        <v>481</v>
      </c>
      <c r="B24" s="34">
        <v>74</v>
      </c>
      <c r="C24" s="162">
        <v>0</v>
      </c>
      <c r="D24" s="123">
        <v>9.8620000000000001</v>
      </c>
      <c r="E24" s="124">
        <v>0.35799999999999998</v>
      </c>
      <c r="F24" s="125">
        <v>0.12</v>
      </c>
      <c r="G24" s="36">
        <v>2596.04</v>
      </c>
      <c r="H24" s="36">
        <v>4.34</v>
      </c>
      <c r="I24" s="122">
        <v>7.73</v>
      </c>
      <c r="J24" s="32">
        <v>0.32</v>
      </c>
      <c r="K24" s="34"/>
    </row>
    <row r="25" spans="1:11" ht="32.25" customHeight="1" x14ac:dyDescent="0.2">
      <c r="A25" s="16" t="s">
        <v>482</v>
      </c>
      <c r="B25" s="34">
        <v>80</v>
      </c>
      <c r="C25" s="162">
        <v>0</v>
      </c>
      <c r="D25" s="123">
        <v>6.35</v>
      </c>
      <c r="E25" s="124">
        <v>0.215</v>
      </c>
      <c r="F25" s="125">
        <v>6.9000000000000006E-2</v>
      </c>
      <c r="G25" s="36">
        <v>16.010000000000002</v>
      </c>
      <c r="H25" s="36">
        <v>6.32</v>
      </c>
      <c r="I25" s="122">
        <v>8.0299999999999994</v>
      </c>
      <c r="J25" s="32">
        <v>0.20100000000000001</v>
      </c>
      <c r="K25" s="34"/>
    </row>
    <row r="26" spans="1:11" ht="32.25" customHeight="1" x14ac:dyDescent="0.2">
      <c r="A26" s="16" t="s">
        <v>483</v>
      </c>
      <c r="B26" s="34">
        <v>81</v>
      </c>
      <c r="C26" s="162">
        <v>0</v>
      </c>
      <c r="D26" s="123">
        <v>6.35</v>
      </c>
      <c r="E26" s="124">
        <v>0.215</v>
      </c>
      <c r="F26" s="125">
        <v>6.9000000000000006E-2</v>
      </c>
      <c r="G26" s="36">
        <v>436.84</v>
      </c>
      <c r="H26" s="36">
        <v>6.32</v>
      </c>
      <c r="I26" s="122">
        <v>8.0299999999999994</v>
      </c>
      <c r="J26" s="32">
        <v>0.20100000000000001</v>
      </c>
      <c r="K26" s="34"/>
    </row>
    <row r="27" spans="1:11" ht="32.25" customHeight="1" x14ac:dyDescent="0.2">
      <c r="A27" s="16" t="s">
        <v>484</v>
      </c>
      <c r="B27" s="34">
        <v>82</v>
      </c>
      <c r="C27" s="162">
        <v>0</v>
      </c>
      <c r="D27" s="123">
        <v>6.35</v>
      </c>
      <c r="E27" s="124">
        <v>0.215</v>
      </c>
      <c r="F27" s="125">
        <v>6.9000000000000006E-2</v>
      </c>
      <c r="G27" s="36">
        <v>725.09</v>
      </c>
      <c r="H27" s="36">
        <v>6.32</v>
      </c>
      <c r="I27" s="122">
        <v>8.0299999999999994</v>
      </c>
      <c r="J27" s="32">
        <v>0.20100000000000001</v>
      </c>
      <c r="K27" s="34"/>
    </row>
    <row r="28" spans="1:11" ht="32.25" customHeight="1" x14ac:dyDescent="0.2">
      <c r="A28" s="16" t="s">
        <v>485</v>
      </c>
      <c r="B28" s="34">
        <v>83</v>
      </c>
      <c r="C28" s="162">
        <v>0</v>
      </c>
      <c r="D28" s="123">
        <v>6.35</v>
      </c>
      <c r="E28" s="124">
        <v>0.215</v>
      </c>
      <c r="F28" s="125">
        <v>6.9000000000000006E-2</v>
      </c>
      <c r="G28" s="36">
        <v>1173.95</v>
      </c>
      <c r="H28" s="36">
        <v>6.32</v>
      </c>
      <c r="I28" s="122">
        <v>8.0299999999999994</v>
      </c>
      <c r="J28" s="32">
        <v>0.20100000000000001</v>
      </c>
      <c r="K28" s="34"/>
    </row>
    <row r="29" spans="1:11" ht="32.25" customHeight="1" x14ac:dyDescent="0.2">
      <c r="A29" s="16" t="s">
        <v>486</v>
      </c>
      <c r="B29" s="34">
        <v>84</v>
      </c>
      <c r="C29" s="162">
        <v>0</v>
      </c>
      <c r="D29" s="123">
        <v>6.35</v>
      </c>
      <c r="E29" s="124">
        <v>0.215</v>
      </c>
      <c r="F29" s="125">
        <v>6.9000000000000006E-2</v>
      </c>
      <c r="G29" s="36">
        <v>2593.11</v>
      </c>
      <c r="H29" s="36">
        <v>6.32</v>
      </c>
      <c r="I29" s="122">
        <v>8.0299999999999994</v>
      </c>
      <c r="J29" s="32">
        <v>0.20100000000000001</v>
      </c>
      <c r="K29" s="34"/>
    </row>
    <row r="30" spans="1:11" ht="32.25" customHeight="1" x14ac:dyDescent="0.2">
      <c r="A30" s="16" t="s">
        <v>487</v>
      </c>
      <c r="B30" s="34">
        <v>90</v>
      </c>
      <c r="C30" s="162">
        <v>0</v>
      </c>
      <c r="D30" s="123">
        <v>5.569</v>
      </c>
      <c r="E30" s="124">
        <v>0.18099999999999999</v>
      </c>
      <c r="F30" s="125">
        <v>5.3999999999999999E-2</v>
      </c>
      <c r="G30" s="36">
        <v>180.95</v>
      </c>
      <c r="H30" s="36">
        <v>4.8600000000000003</v>
      </c>
      <c r="I30" s="122">
        <v>7.2</v>
      </c>
      <c r="J30" s="32">
        <v>0.17399999999999999</v>
      </c>
      <c r="K30" s="34"/>
    </row>
    <row r="31" spans="1:11" ht="32.25" customHeight="1" x14ac:dyDescent="0.2">
      <c r="A31" s="16" t="s">
        <v>488</v>
      </c>
      <c r="B31" s="34">
        <v>91</v>
      </c>
      <c r="C31" s="162">
        <v>0</v>
      </c>
      <c r="D31" s="123">
        <v>5.569</v>
      </c>
      <c r="E31" s="124">
        <v>0.18099999999999999</v>
      </c>
      <c r="F31" s="125">
        <v>5.3999999999999999E-2</v>
      </c>
      <c r="G31" s="36">
        <v>1874.44</v>
      </c>
      <c r="H31" s="36">
        <v>4.8600000000000003</v>
      </c>
      <c r="I31" s="122">
        <v>7.2</v>
      </c>
      <c r="J31" s="32">
        <v>0.17399999999999999</v>
      </c>
      <c r="K31" s="34"/>
    </row>
    <row r="32" spans="1:11" ht="32.25" customHeight="1" x14ac:dyDescent="0.2">
      <c r="A32" s="16" t="s">
        <v>489</v>
      </c>
      <c r="B32" s="34">
        <v>92</v>
      </c>
      <c r="C32" s="162">
        <v>0</v>
      </c>
      <c r="D32" s="123">
        <v>5.569</v>
      </c>
      <c r="E32" s="124">
        <v>0.18099999999999999</v>
      </c>
      <c r="F32" s="125">
        <v>5.3999999999999999E-2</v>
      </c>
      <c r="G32" s="36">
        <v>9743.8700000000008</v>
      </c>
      <c r="H32" s="36">
        <v>4.8600000000000003</v>
      </c>
      <c r="I32" s="122">
        <v>7.2</v>
      </c>
      <c r="J32" s="32">
        <v>0.17399999999999999</v>
      </c>
      <c r="K32" s="34"/>
    </row>
    <row r="33" spans="1:11" ht="32.25" customHeight="1" x14ac:dyDescent="0.2">
      <c r="A33" s="16" t="s">
        <v>490</v>
      </c>
      <c r="B33" s="34">
        <v>93</v>
      </c>
      <c r="C33" s="162">
        <v>0</v>
      </c>
      <c r="D33" s="123">
        <v>5.569</v>
      </c>
      <c r="E33" s="124">
        <v>0.18099999999999999</v>
      </c>
      <c r="F33" s="125">
        <v>5.3999999999999999E-2</v>
      </c>
      <c r="G33" s="36">
        <v>8514</v>
      </c>
      <c r="H33" s="36">
        <v>4.8600000000000003</v>
      </c>
      <c r="I33" s="122">
        <v>7.2</v>
      </c>
      <c r="J33" s="32">
        <v>0.17399999999999999</v>
      </c>
      <c r="K33" s="34"/>
    </row>
    <row r="34" spans="1:11" ht="32.25" customHeight="1" x14ac:dyDescent="0.2">
      <c r="A34" s="16" t="s">
        <v>491</v>
      </c>
      <c r="B34" s="34">
        <v>94</v>
      </c>
      <c r="C34" s="162">
        <v>0</v>
      </c>
      <c r="D34" s="123">
        <v>5.569</v>
      </c>
      <c r="E34" s="124">
        <v>0.18099999999999999</v>
      </c>
      <c r="F34" s="125">
        <v>5.3999999999999999E-2</v>
      </c>
      <c r="G34" s="36">
        <v>21672.59</v>
      </c>
      <c r="H34" s="36">
        <v>4.8600000000000003</v>
      </c>
      <c r="I34" s="122">
        <v>7.2</v>
      </c>
      <c r="J34" s="32">
        <v>0.17399999999999999</v>
      </c>
      <c r="K34" s="34"/>
    </row>
    <row r="35" spans="1:11" ht="60" x14ac:dyDescent="0.2">
      <c r="A35" s="16" t="s">
        <v>143</v>
      </c>
      <c r="B35" s="34" t="s">
        <v>631</v>
      </c>
      <c r="C35" s="162" t="s">
        <v>413</v>
      </c>
      <c r="D35" s="126">
        <v>46.082000000000001</v>
      </c>
      <c r="E35" s="127">
        <v>3.234</v>
      </c>
      <c r="F35" s="125">
        <v>2.919</v>
      </c>
      <c r="G35" s="37"/>
      <c r="H35" s="37"/>
      <c r="I35" s="37"/>
      <c r="J35" s="33"/>
      <c r="K35" s="34" t="s">
        <v>632</v>
      </c>
    </row>
    <row r="36" spans="1:11" ht="27.75" customHeight="1" x14ac:dyDescent="0.2">
      <c r="A36" s="16" t="s">
        <v>144</v>
      </c>
      <c r="B36" s="35">
        <v>932</v>
      </c>
      <c r="C36" s="161">
        <v>0</v>
      </c>
      <c r="D36" s="123">
        <v>-10.397</v>
      </c>
      <c r="E36" s="124">
        <v>-0.39</v>
      </c>
      <c r="F36" s="125">
        <v>-0.13300000000000001</v>
      </c>
      <c r="G36" s="36">
        <v>0</v>
      </c>
      <c r="H36" s="37"/>
      <c r="I36" s="37"/>
      <c r="J36" s="33"/>
      <c r="K36" s="34"/>
    </row>
    <row r="37" spans="1:11" ht="27.75" customHeight="1" x14ac:dyDescent="0.2">
      <c r="A37" s="16" t="s">
        <v>145</v>
      </c>
      <c r="B37" s="34"/>
      <c r="C37" s="162">
        <v>0</v>
      </c>
      <c r="D37" s="123">
        <v>-8.9789999999999992</v>
      </c>
      <c r="E37" s="124">
        <v>-0.33</v>
      </c>
      <c r="F37" s="125">
        <v>-0.111</v>
      </c>
      <c r="G37" s="36">
        <v>0</v>
      </c>
      <c r="H37" s="37"/>
      <c r="I37" s="37"/>
      <c r="J37" s="33"/>
      <c r="K37" s="34"/>
    </row>
    <row r="38" spans="1:11" ht="27.75" customHeight="1" x14ac:dyDescent="0.2">
      <c r="A38" s="16" t="s">
        <v>146</v>
      </c>
      <c r="B38" s="34">
        <v>980</v>
      </c>
      <c r="C38" s="162">
        <v>0</v>
      </c>
      <c r="D38" s="123">
        <v>-10.397</v>
      </c>
      <c r="E38" s="124">
        <v>-0.39</v>
      </c>
      <c r="F38" s="125">
        <v>-0.13300000000000001</v>
      </c>
      <c r="G38" s="36">
        <v>0</v>
      </c>
      <c r="H38" s="37"/>
      <c r="I38" s="37"/>
      <c r="J38" s="32">
        <v>0.311</v>
      </c>
      <c r="K38" s="34">
        <v>982</v>
      </c>
    </row>
    <row r="39" spans="1:11" ht="27.75" customHeight="1" x14ac:dyDescent="0.2">
      <c r="A39" s="16" t="s">
        <v>147</v>
      </c>
      <c r="B39" s="34">
        <v>981</v>
      </c>
      <c r="C39" s="162">
        <v>0</v>
      </c>
      <c r="D39" s="123">
        <v>-10.397</v>
      </c>
      <c r="E39" s="124">
        <v>-0.39</v>
      </c>
      <c r="F39" s="125">
        <v>-0.13300000000000001</v>
      </c>
      <c r="G39" s="36">
        <v>0</v>
      </c>
      <c r="H39" s="37"/>
      <c r="I39" s="37"/>
      <c r="J39" s="33"/>
      <c r="K39" s="34">
        <v>983</v>
      </c>
    </row>
    <row r="40" spans="1:11" ht="27.75" customHeight="1" x14ac:dyDescent="0.2">
      <c r="A40" s="16" t="s">
        <v>148</v>
      </c>
      <c r="B40" s="34">
        <v>984</v>
      </c>
      <c r="C40" s="162">
        <v>0</v>
      </c>
      <c r="D40" s="123">
        <v>-8.9789999999999992</v>
      </c>
      <c r="E40" s="124">
        <v>-0.33</v>
      </c>
      <c r="F40" s="125">
        <v>-0.111</v>
      </c>
      <c r="G40" s="36">
        <v>0</v>
      </c>
      <c r="H40" s="37"/>
      <c r="I40" s="37"/>
      <c r="J40" s="32">
        <v>0.27200000000000002</v>
      </c>
      <c r="K40" s="34">
        <v>986</v>
      </c>
    </row>
    <row r="41" spans="1:11" ht="27.75" customHeight="1" x14ac:dyDescent="0.2">
      <c r="A41" s="16" t="s">
        <v>149</v>
      </c>
      <c r="B41" s="34">
        <v>985</v>
      </c>
      <c r="C41" s="162">
        <v>0</v>
      </c>
      <c r="D41" s="123">
        <v>-8.9789999999999992</v>
      </c>
      <c r="E41" s="124">
        <v>-0.33</v>
      </c>
      <c r="F41" s="125">
        <v>-0.111</v>
      </c>
      <c r="G41" s="36">
        <v>0</v>
      </c>
      <c r="H41" s="37"/>
      <c r="I41" s="37"/>
      <c r="J41" s="33"/>
      <c r="K41" s="34">
        <v>987</v>
      </c>
    </row>
    <row r="42" spans="1:11" ht="27.75" customHeight="1" x14ac:dyDescent="0.2">
      <c r="A42" s="16" t="s">
        <v>150</v>
      </c>
      <c r="B42" s="34">
        <v>988</v>
      </c>
      <c r="C42" s="162">
        <v>0</v>
      </c>
      <c r="D42" s="123">
        <v>-6.173</v>
      </c>
      <c r="E42" s="124">
        <v>-0.20699999999999999</v>
      </c>
      <c r="F42" s="125">
        <v>-6.5000000000000002E-2</v>
      </c>
      <c r="G42" s="36">
        <v>13.66</v>
      </c>
      <c r="H42" s="37"/>
      <c r="I42" s="37"/>
      <c r="J42" s="32">
        <v>0.22</v>
      </c>
      <c r="K42" s="34">
        <v>990</v>
      </c>
    </row>
    <row r="43" spans="1:11" ht="27.75" customHeight="1" x14ac:dyDescent="0.2">
      <c r="A43" s="16" t="s">
        <v>151</v>
      </c>
      <c r="B43" s="34">
        <v>989</v>
      </c>
      <c r="C43" s="162">
        <v>0</v>
      </c>
      <c r="D43" s="123">
        <v>-6.173</v>
      </c>
      <c r="E43" s="124">
        <v>-0.20699999999999999</v>
      </c>
      <c r="F43" s="125">
        <v>-6.5000000000000002E-2</v>
      </c>
      <c r="G43" s="36">
        <v>13.66</v>
      </c>
      <c r="H43" s="37"/>
      <c r="I43" s="37"/>
      <c r="J43" s="33"/>
      <c r="K43" s="34">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08"/>
  <sheetViews>
    <sheetView zoomScale="85" zoomScaleNormal="85" zoomScaleSheetLayoutView="100" workbookViewId="0"/>
  </sheetViews>
  <sheetFormatPr defaultRowHeight="27.75" customHeight="1" x14ac:dyDescent="0.2"/>
  <cols>
    <col min="1" max="1" width="14.5703125" style="44" customWidth="1"/>
    <col min="2" max="2" width="7.28515625" style="44" customWidth="1"/>
    <col min="3" max="3" width="14.7109375" style="44" customWidth="1"/>
    <col min="4" max="4" width="14.7109375" style="50" customWidth="1"/>
    <col min="5" max="5" width="7.140625" style="50" customWidth="1"/>
    <col min="6" max="6" width="14.7109375" style="50" customWidth="1"/>
    <col min="7" max="7" width="50.7109375" style="50" customWidth="1"/>
    <col min="8" max="8" width="14.7109375" style="50" customWidth="1"/>
    <col min="9" max="9" width="14.7109375" style="51" customWidth="1"/>
    <col min="10" max="11" width="14.7109375" style="52" customWidth="1"/>
    <col min="12" max="15" width="14.7109375" style="44" customWidth="1"/>
    <col min="16" max="17" width="15.5703125" style="44" customWidth="1"/>
    <col min="18" max="16384" width="9.140625" style="44"/>
  </cols>
  <sheetData>
    <row r="1" spans="1:16" ht="66.75" customHeight="1" x14ac:dyDescent="0.2">
      <c r="A1" s="42" t="s">
        <v>19</v>
      </c>
      <c r="B1" s="42"/>
      <c r="C1" s="242" t="s">
        <v>124</v>
      </c>
      <c r="D1" s="242"/>
      <c r="E1" s="43"/>
      <c r="F1" s="245" t="s">
        <v>1661</v>
      </c>
      <c r="G1" s="245"/>
      <c r="H1" s="245"/>
      <c r="I1" s="245"/>
      <c r="J1" s="245"/>
      <c r="K1" s="245"/>
      <c r="L1" s="245"/>
      <c r="M1" s="245"/>
      <c r="N1" s="245"/>
      <c r="O1" s="245"/>
      <c r="P1" s="245"/>
    </row>
    <row r="2" spans="1:16" s="45" customFormat="1" ht="25.5" customHeight="1" x14ac:dyDescent="0.2">
      <c r="A2" s="243" t="str">
        <f>Overview!B4&amp; " - Effective from "&amp;Overview!D4&amp;" - "&amp;Overview!E4&amp;" EDCM charges"</f>
        <v>South Eastern Power Networks - Effective from 1 April 2024 - Final EDCM charges</v>
      </c>
      <c r="B2" s="244"/>
      <c r="C2" s="244"/>
      <c r="D2" s="244"/>
      <c r="E2" s="244"/>
      <c r="F2" s="244"/>
      <c r="G2" s="244"/>
      <c r="H2" s="244"/>
      <c r="I2" s="244"/>
      <c r="J2" s="244"/>
      <c r="K2" s="244"/>
      <c r="L2" s="244"/>
      <c r="M2" s="244"/>
      <c r="N2" s="244"/>
      <c r="O2" s="244"/>
      <c r="P2" s="244"/>
    </row>
    <row r="3" spans="1:16" s="69" customFormat="1" ht="10.5" customHeight="1" x14ac:dyDescent="0.2">
      <c r="A3" s="68"/>
      <c r="B3" s="68"/>
      <c r="C3" s="68"/>
      <c r="D3" s="68"/>
      <c r="E3" s="68"/>
      <c r="F3" s="68"/>
      <c r="G3" s="68"/>
      <c r="H3" s="68"/>
      <c r="I3" s="68"/>
      <c r="J3" s="68"/>
      <c r="K3" s="68"/>
      <c r="L3" s="68"/>
      <c r="M3" s="68"/>
      <c r="N3" s="68"/>
      <c r="O3" s="68"/>
    </row>
    <row r="4" spans="1:16" s="69" customFormat="1" ht="25.5" customHeight="1" x14ac:dyDescent="0.2">
      <c r="A4" s="232" t="s">
        <v>65</v>
      </c>
      <c r="B4" s="232"/>
      <c r="C4" s="232"/>
      <c r="D4" s="232"/>
      <c r="E4" s="232"/>
      <c r="F4" s="232"/>
      <c r="G4" s="68"/>
      <c r="H4" s="68"/>
      <c r="I4" s="68"/>
      <c r="J4" s="68"/>
      <c r="K4" s="68"/>
      <c r="L4" s="68"/>
      <c r="M4" s="68"/>
      <c r="N4" s="68"/>
      <c r="O4" s="68"/>
    </row>
    <row r="5" spans="1:16" s="69" customFormat="1" ht="25.5" customHeight="1" x14ac:dyDescent="0.2">
      <c r="A5" s="246" t="s">
        <v>12</v>
      </c>
      <c r="B5" s="247"/>
      <c r="C5" s="247"/>
      <c r="D5" s="249" t="s">
        <v>62</v>
      </c>
      <c r="E5" s="249"/>
      <c r="F5" s="249"/>
      <c r="G5" s="68"/>
      <c r="H5" s="68"/>
      <c r="I5" s="68"/>
      <c r="J5" s="68"/>
      <c r="K5" s="68"/>
      <c r="L5" s="68"/>
      <c r="M5" s="68"/>
      <c r="N5" s="68"/>
      <c r="O5" s="68"/>
    </row>
    <row r="6" spans="1:16" s="69" customFormat="1" ht="48" customHeight="1" x14ac:dyDescent="0.2">
      <c r="A6" s="240" t="s">
        <v>61</v>
      </c>
      <c r="B6" s="248"/>
      <c r="C6" s="241"/>
      <c r="D6" s="250" t="s">
        <v>611</v>
      </c>
      <c r="E6" s="251"/>
      <c r="F6" s="252"/>
      <c r="G6" s="68"/>
      <c r="H6" s="68"/>
      <c r="I6" s="68"/>
      <c r="J6" s="68"/>
      <c r="K6" s="68"/>
      <c r="L6" s="68"/>
      <c r="M6" s="68"/>
      <c r="N6" s="68"/>
      <c r="O6" s="68"/>
    </row>
    <row r="7" spans="1:16" s="69" customFormat="1" ht="25.5" customHeight="1" x14ac:dyDescent="0.2">
      <c r="A7" s="238" t="s">
        <v>13</v>
      </c>
      <c r="B7" s="238"/>
      <c r="C7" s="238"/>
      <c r="D7" s="235" t="s">
        <v>14</v>
      </c>
      <c r="E7" s="235"/>
      <c r="F7" s="235"/>
      <c r="G7" s="68"/>
      <c r="H7" s="68"/>
      <c r="I7" s="68"/>
      <c r="J7" s="68"/>
      <c r="K7" s="68"/>
      <c r="L7" s="68"/>
      <c r="M7" s="68"/>
      <c r="N7" s="68"/>
      <c r="O7" s="68"/>
    </row>
    <row r="8" spans="1:16" s="69" customFormat="1" ht="10.5" customHeight="1" x14ac:dyDescent="0.2">
      <c r="A8" s="68"/>
      <c r="B8" s="68"/>
      <c r="C8" s="68"/>
      <c r="D8" s="68"/>
      <c r="E8" s="68"/>
      <c r="F8" s="68"/>
      <c r="G8" s="68"/>
      <c r="H8" s="68"/>
      <c r="I8" s="68"/>
      <c r="J8" s="68"/>
      <c r="K8" s="68"/>
      <c r="L8" s="68"/>
      <c r="M8" s="68"/>
      <c r="N8" s="68"/>
      <c r="O8" s="68"/>
    </row>
    <row r="9" spans="1:16" ht="63.75" customHeight="1" x14ac:dyDescent="0.2">
      <c r="A9" s="46" t="s">
        <v>52</v>
      </c>
      <c r="B9" s="47" t="s">
        <v>35</v>
      </c>
      <c r="C9" s="46" t="s">
        <v>36</v>
      </c>
      <c r="D9" s="46" t="s">
        <v>54</v>
      </c>
      <c r="E9" s="47" t="s">
        <v>35</v>
      </c>
      <c r="F9" s="46" t="s">
        <v>37</v>
      </c>
      <c r="G9" s="48" t="s">
        <v>30</v>
      </c>
      <c r="H9" s="48" t="s">
        <v>607</v>
      </c>
      <c r="I9" s="49" t="s">
        <v>118</v>
      </c>
      <c r="J9" s="48" t="s">
        <v>55</v>
      </c>
      <c r="K9" s="48" t="s">
        <v>116</v>
      </c>
      <c r="L9" s="119" t="s">
        <v>130</v>
      </c>
      <c r="M9" s="49" t="s">
        <v>119</v>
      </c>
      <c r="N9" s="48" t="s">
        <v>56</v>
      </c>
      <c r="O9" s="48" t="s">
        <v>117</v>
      </c>
      <c r="P9" s="119" t="s">
        <v>131</v>
      </c>
    </row>
    <row r="10" spans="1:16" ht="30" customHeight="1" x14ac:dyDescent="0.2">
      <c r="A10" s="38" t="s">
        <v>830</v>
      </c>
      <c r="B10" s="176">
        <v>834</v>
      </c>
      <c r="C10" s="177" t="s">
        <v>929</v>
      </c>
      <c r="D10" s="39"/>
      <c r="E10" s="176"/>
      <c r="F10" s="177" t="s">
        <v>930</v>
      </c>
      <c r="G10" s="178" t="s">
        <v>830</v>
      </c>
      <c r="H10" s="179">
        <v>1</v>
      </c>
      <c r="I10" s="180">
        <v>1.8620000000000001</v>
      </c>
      <c r="J10" s="181">
        <v>2865.31</v>
      </c>
      <c r="K10" s="181">
        <v>2.97</v>
      </c>
      <c r="L10" s="181">
        <v>2.97</v>
      </c>
      <c r="M10" s="182">
        <v>0</v>
      </c>
      <c r="N10" s="183">
        <v>0</v>
      </c>
      <c r="O10" s="183">
        <v>0</v>
      </c>
      <c r="P10" s="183">
        <v>0</v>
      </c>
    </row>
    <row r="11" spans="1:16" ht="60" customHeight="1" x14ac:dyDescent="0.2">
      <c r="A11" s="38" t="s">
        <v>831</v>
      </c>
      <c r="B11" s="176">
        <v>889</v>
      </c>
      <c r="C11" s="177" t="s">
        <v>931</v>
      </c>
      <c r="D11" s="39"/>
      <c r="E11" s="176"/>
      <c r="F11" s="177" t="s">
        <v>930</v>
      </c>
      <c r="G11" s="178" t="s">
        <v>831</v>
      </c>
      <c r="H11" s="179">
        <v>2</v>
      </c>
      <c r="I11" s="180">
        <v>5.0000000000000001E-3</v>
      </c>
      <c r="J11" s="181">
        <v>16076.25</v>
      </c>
      <c r="K11" s="181">
        <v>1.45</v>
      </c>
      <c r="L11" s="181">
        <v>1.45</v>
      </c>
      <c r="M11" s="182">
        <v>0</v>
      </c>
      <c r="N11" s="183">
        <v>0</v>
      </c>
      <c r="O11" s="183">
        <v>0</v>
      </c>
      <c r="P11" s="183">
        <v>0</v>
      </c>
    </row>
    <row r="12" spans="1:16" ht="30" customHeight="1" x14ac:dyDescent="0.2">
      <c r="A12" s="38" t="s">
        <v>832</v>
      </c>
      <c r="B12" s="176">
        <v>835</v>
      </c>
      <c r="C12" s="177" t="s">
        <v>932</v>
      </c>
      <c r="D12" s="39"/>
      <c r="E12" s="176"/>
      <c r="F12" s="177" t="s">
        <v>930</v>
      </c>
      <c r="G12" s="178" t="s">
        <v>832</v>
      </c>
      <c r="H12" s="179">
        <v>1</v>
      </c>
      <c r="I12" s="180">
        <v>0.312</v>
      </c>
      <c r="J12" s="181">
        <v>2865.31</v>
      </c>
      <c r="K12" s="181">
        <v>1.43</v>
      </c>
      <c r="L12" s="181">
        <v>1.43</v>
      </c>
      <c r="M12" s="182">
        <v>0</v>
      </c>
      <c r="N12" s="183">
        <v>0</v>
      </c>
      <c r="O12" s="183">
        <v>0</v>
      </c>
      <c r="P12" s="183">
        <v>0</v>
      </c>
    </row>
    <row r="13" spans="1:16" ht="15" customHeight="1" x14ac:dyDescent="0.2">
      <c r="A13" s="38" t="s">
        <v>833</v>
      </c>
      <c r="B13" s="176"/>
      <c r="C13" s="177" t="s">
        <v>960</v>
      </c>
      <c r="D13" s="39"/>
      <c r="E13" s="176"/>
      <c r="F13" s="177" t="s">
        <v>930</v>
      </c>
      <c r="G13" s="178" t="s">
        <v>833</v>
      </c>
      <c r="H13" s="179">
        <v>3</v>
      </c>
      <c r="I13" s="180">
        <v>4.0000000000000001E-3</v>
      </c>
      <c r="J13" s="181">
        <v>33041.980000000003</v>
      </c>
      <c r="K13" s="181">
        <v>0.99</v>
      </c>
      <c r="L13" s="181">
        <v>0.99</v>
      </c>
      <c r="M13" s="182">
        <v>0</v>
      </c>
      <c r="N13" s="183">
        <v>0</v>
      </c>
      <c r="O13" s="183">
        <v>0</v>
      </c>
      <c r="P13" s="183">
        <v>0</v>
      </c>
    </row>
    <row r="14" spans="1:16" ht="30" customHeight="1" x14ac:dyDescent="0.2">
      <c r="A14" s="38" t="s">
        <v>834</v>
      </c>
      <c r="B14" s="176">
        <v>833</v>
      </c>
      <c r="C14" s="177" t="s">
        <v>933</v>
      </c>
      <c r="D14" s="39"/>
      <c r="E14" s="176"/>
      <c r="F14" s="177" t="s">
        <v>930</v>
      </c>
      <c r="G14" s="178" t="s">
        <v>834</v>
      </c>
      <c r="H14" s="179">
        <v>4</v>
      </c>
      <c r="I14" s="180">
        <v>0</v>
      </c>
      <c r="J14" s="181">
        <v>69548.53</v>
      </c>
      <c r="K14" s="181">
        <v>1.86</v>
      </c>
      <c r="L14" s="181">
        <v>1.86</v>
      </c>
      <c r="M14" s="182">
        <v>0</v>
      </c>
      <c r="N14" s="183">
        <v>0</v>
      </c>
      <c r="O14" s="183">
        <v>0</v>
      </c>
      <c r="P14" s="183">
        <v>0</v>
      </c>
    </row>
    <row r="15" spans="1:16" ht="15" customHeight="1" x14ac:dyDescent="0.2">
      <c r="A15" s="38" t="s">
        <v>835</v>
      </c>
      <c r="B15" s="176">
        <v>874</v>
      </c>
      <c r="C15" s="177">
        <v>1900060219605</v>
      </c>
      <c r="D15" s="39"/>
      <c r="E15" s="176"/>
      <c r="F15" s="177" t="s">
        <v>930</v>
      </c>
      <c r="G15" s="178" t="s">
        <v>835</v>
      </c>
      <c r="H15" s="179">
        <v>4</v>
      </c>
      <c r="I15" s="180">
        <v>0</v>
      </c>
      <c r="J15" s="181">
        <v>220981.93</v>
      </c>
      <c r="K15" s="181">
        <v>0.74</v>
      </c>
      <c r="L15" s="181">
        <v>0.74</v>
      </c>
      <c r="M15" s="182">
        <v>0</v>
      </c>
      <c r="N15" s="183">
        <v>0</v>
      </c>
      <c r="O15" s="183">
        <v>0</v>
      </c>
      <c r="P15" s="183">
        <v>0</v>
      </c>
    </row>
    <row r="16" spans="1:16" ht="45" customHeight="1" x14ac:dyDescent="0.2">
      <c r="A16" s="38" t="s">
        <v>836</v>
      </c>
      <c r="B16" s="176">
        <v>869</v>
      </c>
      <c r="C16" s="177" t="s">
        <v>934</v>
      </c>
      <c r="D16" s="39"/>
      <c r="E16" s="176"/>
      <c r="F16" s="177" t="s">
        <v>930</v>
      </c>
      <c r="G16" s="178" t="s">
        <v>836</v>
      </c>
      <c r="H16" s="179">
        <v>3</v>
      </c>
      <c r="I16" s="180">
        <v>0.746</v>
      </c>
      <c r="J16" s="181">
        <v>39690.720000000001</v>
      </c>
      <c r="K16" s="181">
        <v>1.78</v>
      </c>
      <c r="L16" s="181">
        <v>1.78</v>
      </c>
      <c r="M16" s="182">
        <v>0</v>
      </c>
      <c r="N16" s="183">
        <v>0</v>
      </c>
      <c r="O16" s="183">
        <v>0</v>
      </c>
      <c r="P16" s="183">
        <v>0</v>
      </c>
    </row>
    <row r="17" spans="1:16" ht="30" customHeight="1" x14ac:dyDescent="0.2">
      <c r="A17" s="38" t="s">
        <v>837</v>
      </c>
      <c r="B17" s="176">
        <v>870</v>
      </c>
      <c r="C17" s="177" t="s">
        <v>935</v>
      </c>
      <c r="D17" s="39"/>
      <c r="E17" s="176"/>
      <c r="F17" s="177" t="s">
        <v>930</v>
      </c>
      <c r="G17" s="178" t="s">
        <v>837</v>
      </c>
      <c r="H17" s="179">
        <v>3</v>
      </c>
      <c r="I17" s="180">
        <v>0.77600000000000002</v>
      </c>
      <c r="J17" s="181">
        <v>36594.39</v>
      </c>
      <c r="K17" s="181">
        <v>1.91</v>
      </c>
      <c r="L17" s="181">
        <v>1.91</v>
      </c>
      <c r="M17" s="182">
        <v>0</v>
      </c>
      <c r="N17" s="183">
        <v>0</v>
      </c>
      <c r="O17" s="183">
        <v>0</v>
      </c>
      <c r="P17" s="183">
        <v>0</v>
      </c>
    </row>
    <row r="18" spans="1:16" ht="15" customHeight="1" x14ac:dyDescent="0.2">
      <c r="A18" s="38" t="s">
        <v>838</v>
      </c>
      <c r="B18" s="176"/>
      <c r="C18" s="177" t="s">
        <v>936</v>
      </c>
      <c r="D18" s="39"/>
      <c r="E18" s="176"/>
      <c r="F18" s="177" t="s">
        <v>930</v>
      </c>
      <c r="G18" s="178" t="s">
        <v>838</v>
      </c>
      <c r="H18" s="179">
        <v>4</v>
      </c>
      <c r="I18" s="180">
        <v>0.13</v>
      </c>
      <c r="J18" s="181">
        <v>66928.990000000005</v>
      </c>
      <c r="K18" s="181">
        <v>2.16</v>
      </c>
      <c r="L18" s="181">
        <v>2.16</v>
      </c>
      <c r="M18" s="182">
        <v>0</v>
      </c>
      <c r="N18" s="183">
        <v>0</v>
      </c>
      <c r="O18" s="183">
        <v>0</v>
      </c>
      <c r="P18" s="183">
        <v>0</v>
      </c>
    </row>
    <row r="19" spans="1:16" ht="15" customHeight="1" x14ac:dyDescent="0.2">
      <c r="A19" s="38" t="s">
        <v>839</v>
      </c>
      <c r="B19" s="176">
        <v>837</v>
      </c>
      <c r="C19" s="177">
        <v>1900047386380</v>
      </c>
      <c r="D19" s="39"/>
      <c r="E19" s="176"/>
      <c r="F19" s="177" t="s">
        <v>930</v>
      </c>
      <c r="G19" s="178" t="s">
        <v>839</v>
      </c>
      <c r="H19" s="179">
        <v>1</v>
      </c>
      <c r="I19" s="180">
        <v>1.8879999999999999</v>
      </c>
      <c r="J19" s="181">
        <v>3238.38</v>
      </c>
      <c r="K19" s="181">
        <v>3.07</v>
      </c>
      <c r="L19" s="181">
        <v>3.07</v>
      </c>
      <c r="M19" s="182">
        <v>0</v>
      </c>
      <c r="N19" s="183">
        <v>0</v>
      </c>
      <c r="O19" s="183">
        <v>0</v>
      </c>
      <c r="P19" s="183">
        <v>0</v>
      </c>
    </row>
    <row r="20" spans="1:16" ht="15" customHeight="1" x14ac:dyDescent="0.2">
      <c r="A20" s="38" t="s">
        <v>840</v>
      </c>
      <c r="B20" s="176">
        <v>866</v>
      </c>
      <c r="C20" s="177">
        <v>1900060219145</v>
      </c>
      <c r="D20" s="39"/>
      <c r="E20" s="176"/>
      <c r="F20" s="177" t="s">
        <v>930</v>
      </c>
      <c r="G20" s="178" t="s">
        <v>840</v>
      </c>
      <c r="H20" s="179">
        <v>4</v>
      </c>
      <c r="I20" s="180">
        <v>0.81499999999999995</v>
      </c>
      <c r="J20" s="181">
        <v>68534.37</v>
      </c>
      <c r="K20" s="181">
        <v>2.73</v>
      </c>
      <c r="L20" s="181">
        <v>2.73</v>
      </c>
      <c r="M20" s="182">
        <v>0</v>
      </c>
      <c r="N20" s="183">
        <v>0</v>
      </c>
      <c r="O20" s="183">
        <v>0</v>
      </c>
      <c r="P20" s="183">
        <v>0</v>
      </c>
    </row>
    <row r="21" spans="1:16" ht="15" customHeight="1" x14ac:dyDescent="0.2">
      <c r="A21" s="38" t="s">
        <v>841</v>
      </c>
      <c r="B21" s="176">
        <v>851</v>
      </c>
      <c r="C21" s="177">
        <v>1900060219377</v>
      </c>
      <c r="D21" s="39"/>
      <c r="E21" s="176"/>
      <c r="F21" s="177" t="s">
        <v>930</v>
      </c>
      <c r="G21" s="178" t="s">
        <v>841</v>
      </c>
      <c r="H21" s="179">
        <v>3</v>
      </c>
      <c r="I21" s="180">
        <v>1.802</v>
      </c>
      <c r="J21" s="181">
        <v>36594.39</v>
      </c>
      <c r="K21" s="181">
        <v>2.42</v>
      </c>
      <c r="L21" s="181">
        <v>2.42</v>
      </c>
      <c r="M21" s="182">
        <v>0</v>
      </c>
      <c r="N21" s="183">
        <v>0</v>
      </c>
      <c r="O21" s="183">
        <v>0</v>
      </c>
      <c r="P21" s="183">
        <v>0</v>
      </c>
    </row>
    <row r="22" spans="1:16" ht="15" customHeight="1" x14ac:dyDescent="0.2">
      <c r="A22" s="38" t="s">
        <v>842</v>
      </c>
      <c r="B22" s="176">
        <v>879</v>
      </c>
      <c r="C22" s="177">
        <v>1900070068129</v>
      </c>
      <c r="D22" s="39"/>
      <c r="E22" s="176"/>
      <c r="F22" s="177" t="s">
        <v>930</v>
      </c>
      <c r="G22" s="178" t="s">
        <v>842</v>
      </c>
      <c r="H22" s="179">
        <v>3</v>
      </c>
      <c r="I22" s="180">
        <v>0.34100000000000003</v>
      </c>
      <c r="J22" s="181">
        <v>36594.39</v>
      </c>
      <c r="K22" s="181">
        <v>2.78</v>
      </c>
      <c r="L22" s="181">
        <v>2.78</v>
      </c>
      <c r="M22" s="182">
        <v>0</v>
      </c>
      <c r="N22" s="183">
        <v>0</v>
      </c>
      <c r="O22" s="183">
        <v>0</v>
      </c>
      <c r="P22" s="183">
        <v>0</v>
      </c>
    </row>
    <row r="23" spans="1:16" ht="15" customHeight="1" x14ac:dyDescent="0.2">
      <c r="A23" s="38" t="s">
        <v>843</v>
      </c>
      <c r="B23" s="176">
        <v>852</v>
      </c>
      <c r="C23" s="177">
        <v>1900060218675</v>
      </c>
      <c r="D23" s="39"/>
      <c r="E23" s="176"/>
      <c r="F23" s="177" t="s">
        <v>930</v>
      </c>
      <c r="G23" s="178" t="s">
        <v>843</v>
      </c>
      <c r="H23" s="179">
        <v>4</v>
      </c>
      <c r="I23" s="180">
        <v>0.40500000000000003</v>
      </c>
      <c r="J23" s="181">
        <v>68534.37</v>
      </c>
      <c r="K23" s="181">
        <v>2.2200000000000002</v>
      </c>
      <c r="L23" s="181">
        <v>2.2200000000000002</v>
      </c>
      <c r="M23" s="182">
        <v>0</v>
      </c>
      <c r="N23" s="183">
        <v>0</v>
      </c>
      <c r="O23" s="183">
        <v>0</v>
      </c>
      <c r="P23" s="183">
        <v>0</v>
      </c>
    </row>
    <row r="24" spans="1:16" ht="15" customHeight="1" x14ac:dyDescent="0.2">
      <c r="A24" s="38" t="s">
        <v>844</v>
      </c>
      <c r="B24" s="176">
        <v>853</v>
      </c>
      <c r="C24" s="177">
        <v>1900060218727</v>
      </c>
      <c r="D24" s="39"/>
      <c r="E24" s="176"/>
      <c r="F24" s="177" t="s">
        <v>930</v>
      </c>
      <c r="G24" s="178" t="s">
        <v>844</v>
      </c>
      <c r="H24" s="179">
        <v>4</v>
      </c>
      <c r="I24" s="180">
        <v>0.36399999999999999</v>
      </c>
      <c r="J24" s="181">
        <v>68534.37</v>
      </c>
      <c r="K24" s="181">
        <v>1.95</v>
      </c>
      <c r="L24" s="181">
        <v>1.95</v>
      </c>
      <c r="M24" s="182">
        <v>0</v>
      </c>
      <c r="N24" s="183">
        <v>0</v>
      </c>
      <c r="O24" s="183">
        <v>0</v>
      </c>
      <c r="P24" s="183">
        <v>0</v>
      </c>
    </row>
    <row r="25" spans="1:16" ht="15" customHeight="1" x14ac:dyDescent="0.2">
      <c r="A25" s="38" t="s">
        <v>845</v>
      </c>
      <c r="B25" s="176">
        <v>854</v>
      </c>
      <c r="C25" s="177">
        <v>1900060218790</v>
      </c>
      <c r="D25" s="39"/>
      <c r="E25" s="176"/>
      <c r="F25" s="177" t="s">
        <v>930</v>
      </c>
      <c r="G25" s="178" t="s">
        <v>845</v>
      </c>
      <c r="H25" s="179">
        <v>2</v>
      </c>
      <c r="I25" s="180">
        <v>1.4999999999999999E-2</v>
      </c>
      <c r="J25" s="181">
        <v>16959.97</v>
      </c>
      <c r="K25" s="181">
        <v>2.56</v>
      </c>
      <c r="L25" s="181">
        <v>2.56</v>
      </c>
      <c r="M25" s="182">
        <v>0</v>
      </c>
      <c r="N25" s="183">
        <v>0</v>
      </c>
      <c r="O25" s="183">
        <v>0</v>
      </c>
      <c r="P25" s="183">
        <v>0</v>
      </c>
    </row>
    <row r="26" spans="1:16" ht="15" customHeight="1" x14ac:dyDescent="0.2">
      <c r="A26" s="38" t="s">
        <v>846</v>
      </c>
      <c r="B26" s="176">
        <v>855</v>
      </c>
      <c r="C26" s="177">
        <v>1900060218815</v>
      </c>
      <c r="D26" s="39"/>
      <c r="E26" s="176"/>
      <c r="F26" s="177" t="s">
        <v>930</v>
      </c>
      <c r="G26" s="178" t="s">
        <v>846</v>
      </c>
      <c r="H26" s="179">
        <v>4</v>
      </c>
      <c r="I26" s="180">
        <v>2.1000000000000001E-2</v>
      </c>
      <c r="J26" s="181">
        <v>67999.240000000005</v>
      </c>
      <c r="K26" s="181">
        <v>2.11</v>
      </c>
      <c r="L26" s="181">
        <v>2.11</v>
      </c>
      <c r="M26" s="182">
        <v>0</v>
      </c>
      <c r="N26" s="183">
        <v>0</v>
      </c>
      <c r="O26" s="183">
        <v>0</v>
      </c>
      <c r="P26" s="183">
        <v>0</v>
      </c>
    </row>
    <row r="27" spans="1:16" ht="15" customHeight="1" x14ac:dyDescent="0.2">
      <c r="A27" s="38" t="s">
        <v>847</v>
      </c>
      <c r="B27" s="176">
        <v>856</v>
      </c>
      <c r="C27" s="177">
        <v>1900060219303</v>
      </c>
      <c r="D27" s="39"/>
      <c r="E27" s="176"/>
      <c r="F27" s="177" t="s">
        <v>930</v>
      </c>
      <c r="G27" s="178" t="s">
        <v>847</v>
      </c>
      <c r="H27" s="179">
        <v>2</v>
      </c>
      <c r="I27" s="180">
        <v>4.6230000000000002</v>
      </c>
      <c r="J27" s="181">
        <v>16959.97</v>
      </c>
      <c r="K27" s="181">
        <v>2.2999999999999998</v>
      </c>
      <c r="L27" s="181">
        <v>2.2999999999999998</v>
      </c>
      <c r="M27" s="182">
        <v>0</v>
      </c>
      <c r="N27" s="183">
        <v>0</v>
      </c>
      <c r="O27" s="183">
        <v>0</v>
      </c>
      <c r="P27" s="183">
        <v>0</v>
      </c>
    </row>
    <row r="28" spans="1:16" ht="15" customHeight="1" x14ac:dyDescent="0.2">
      <c r="A28" s="38" t="s">
        <v>848</v>
      </c>
      <c r="B28" s="176">
        <v>857</v>
      </c>
      <c r="C28" s="177">
        <v>1900060218912</v>
      </c>
      <c r="D28" s="39"/>
      <c r="E28" s="176"/>
      <c r="F28" s="177" t="s">
        <v>930</v>
      </c>
      <c r="G28" s="178" t="s">
        <v>848</v>
      </c>
      <c r="H28" s="179">
        <v>2</v>
      </c>
      <c r="I28" s="180">
        <v>1.26</v>
      </c>
      <c r="J28" s="181">
        <v>16959.97</v>
      </c>
      <c r="K28" s="181">
        <v>3.08</v>
      </c>
      <c r="L28" s="181">
        <v>3.08</v>
      </c>
      <c r="M28" s="182">
        <v>0</v>
      </c>
      <c r="N28" s="183">
        <v>0</v>
      </c>
      <c r="O28" s="183">
        <v>0</v>
      </c>
      <c r="P28" s="183">
        <v>0</v>
      </c>
    </row>
    <row r="29" spans="1:16" ht="15" customHeight="1" x14ac:dyDescent="0.2">
      <c r="A29" s="38" t="s">
        <v>849</v>
      </c>
      <c r="B29" s="176">
        <v>858</v>
      </c>
      <c r="C29" s="177">
        <v>1900060218959</v>
      </c>
      <c r="D29" s="39"/>
      <c r="E29" s="176"/>
      <c r="F29" s="177" t="s">
        <v>930</v>
      </c>
      <c r="G29" s="178" t="s">
        <v>849</v>
      </c>
      <c r="H29" s="179">
        <v>2</v>
      </c>
      <c r="I29" s="180">
        <v>1.4510000000000001</v>
      </c>
      <c r="J29" s="181">
        <v>16959.97</v>
      </c>
      <c r="K29" s="181">
        <v>1.97</v>
      </c>
      <c r="L29" s="181">
        <v>1.97</v>
      </c>
      <c r="M29" s="182">
        <v>0</v>
      </c>
      <c r="N29" s="183">
        <v>0</v>
      </c>
      <c r="O29" s="183">
        <v>0</v>
      </c>
      <c r="P29" s="183">
        <v>0</v>
      </c>
    </row>
    <row r="30" spans="1:16" ht="15" customHeight="1" x14ac:dyDescent="0.2">
      <c r="A30" s="38" t="s">
        <v>850</v>
      </c>
      <c r="B30" s="176">
        <v>859</v>
      </c>
      <c r="C30" s="177">
        <v>1900060218986</v>
      </c>
      <c r="D30" s="39"/>
      <c r="E30" s="176"/>
      <c r="F30" s="177" t="s">
        <v>930</v>
      </c>
      <c r="G30" s="178" t="s">
        <v>850</v>
      </c>
      <c r="H30" s="179">
        <v>2</v>
      </c>
      <c r="I30" s="180">
        <v>0</v>
      </c>
      <c r="J30" s="181">
        <v>22539.41</v>
      </c>
      <c r="K30" s="181">
        <v>2.92</v>
      </c>
      <c r="L30" s="181">
        <v>2.92</v>
      </c>
      <c r="M30" s="182">
        <v>0</v>
      </c>
      <c r="N30" s="183">
        <v>0</v>
      </c>
      <c r="O30" s="183">
        <v>0</v>
      </c>
      <c r="P30" s="183">
        <v>0</v>
      </c>
    </row>
    <row r="31" spans="1:16" ht="15" customHeight="1" x14ac:dyDescent="0.2">
      <c r="A31" s="38" t="s">
        <v>851</v>
      </c>
      <c r="B31" s="176">
        <v>860</v>
      </c>
      <c r="C31" s="177">
        <v>1900060219001</v>
      </c>
      <c r="D31" s="39"/>
      <c r="E31" s="176"/>
      <c r="F31" s="177" t="s">
        <v>930</v>
      </c>
      <c r="G31" s="178" t="s">
        <v>851</v>
      </c>
      <c r="H31" s="179">
        <v>4</v>
      </c>
      <c r="I31" s="180">
        <v>1.29</v>
      </c>
      <c r="J31" s="181">
        <v>67999.240000000005</v>
      </c>
      <c r="K31" s="181">
        <v>2.4300000000000002</v>
      </c>
      <c r="L31" s="181">
        <v>2.4300000000000002</v>
      </c>
      <c r="M31" s="182">
        <v>0</v>
      </c>
      <c r="N31" s="183">
        <v>0</v>
      </c>
      <c r="O31" s="183">
        <v>0</v>
      </c>
      <c r="P31" s="183">
        <v>0</v>
      </c>
    </row>
    <row r="32" spans="1:16" ht="15" customHeight="1" x14ac:dyDescent="0.2">
      <c r="A32" s="38" t="s">
        <v>852</v>
      </c>
      <c r="B32" s="176">
        <v>861</v>
      </c>
      <c r="C32" s="177">
        <v>1900060219535</v>
      </c>
      <c r="D32" s="39"/>
      <c r="E32" s="176"/>
      <c r="F32" s="177" t="s">
        <v>930</v>
      </c>
      <c r="G32" s="178" t="s">
        <v>852</v>
      </c>
      <c r="H32" s="179">
        <v>3</v>
      </c>
      <c r="I32" s="180">
        <v>3.5430000000000001</v>
      </c>
      <c r="J32" s="181">
        <v>36594.39</v>
      </c>
      <c r="K32" s="181">
        <v>2.17</v>
      </c>
      <c r="L32" s="181">
        <v>2.17</v>
      </c>
      <c r="M32" s="182">
        <v>0</v>
      </c>
      <c r="N32" s="183">
        <v>0</v>
      </c>
      <c r="O32" s="183">
        <v>0</v>
      </c>
      <c r="P32" s="183">
        <v>0</v>
      </c>
    </row>
    <row r="33" spans="1:16" ht="15" customHeight="1" x14ac:dyDescent="0.2">
      <c r="A33" s="38" t="s">
        <v>853</v>
      </c>
      <c r="B33" s="176">
        <v>862</v>
      </c>
      <c r="C33" s="177">
        <v>1900060219891</v>
      </c>
      <c r="D33" s="39"/>
      <c r="E33" s="176"/>
      <c r="F33" s="177" t="s">
        <v>930</v>
      </c>
      <c r="G33" s="178" t="s">
        <v>853</v>
      </c>
      <c r="H33" s="179">
        <v>4</v>
      </c>
      <c r="I33" s="180">
        <v>0</v>
      </c>
      <c r="J33" s="181">
        <v>69069.5</v>
      </c>
      <c r="K33" s="181">
        <v>1.79</v>
      </c>
      <c r="L33" s="181">
        <v>1.79</v>
      </c>
      <c r="M33" s="182">
        <v>0</v>
      </c>
      <c r="N33" s="183">
        <v>0</v>
      </c>
      <c r="O33" s="183">
        <v>0</v>
      </c>
      <c r="P33" s="183">
        <v>0</v>
      </c>
    </row>
    <row r="34" spans="1:16" ht="15" customHeight="1" x14ac:dyDescent="0.2">
      <c r="A34" s="38" t="s">
        <v>854</v>
      </c>
      <c r="B34" s="176">
        <v>863</v>
      </c>
      <c r="C34" s="177">
        <v>1900060219084</v>
      </c>
      <c r="D34" s="39"/>
      <c r="E34" s="176"/>
      <c r="F34" s="177" t="s">
        <v>930</v>
      </c>
      <c r="G34" s="178" t="s">
        <v>854</v>
      </c>
      <c r="H34" s="179">
        <v>1</v>
      </c>
      <c r="I34" s="180">
        <v>0</v>
      </c>
      <c r="J34" s="181">
        <v>3054.42</v>
      </c>
      <c r="K34" s="181">
        <v>1.33</v>
      </c>
      <c r="L34" s="181">
        <v>1.33</v>
      </c>
      <c r="M34" s="182">
        <v>0</v>
      </c>
      <c r="N34" s="183">
        <v>0</v>
      </c>
      <c r="O34" s="183">
        <v>0</v>
      </c>
      <c r="P34" s="183">
        <v>0</v>
      </c>
    </row>
    <row r="35" spans="1:16" ht="30" customHeight="1" x14ac:dyDescent="0.2">
      <c r="A35" s="38" t="s">
        <v>855</v>
      </c>
      <c r="B35" s="176">
        <v>864</v>
      </c>
      <c r="C35" s="177" t="s">
        <v>937</v>
      </c>
      <c r="D35" s="39"/>
      <c r="E35" s="176"/>
      <c r="F35" s="177" t="s">
        <v>930</v>
      </c>
      <c r="G35" s="178" t="s">
        <v>855</v>
      </c>
      <c r="H35" s="179">
        <v>3</v>
      </c>
      <c r="I35" s="180">
        <v>0</v>
      </c>
      <c r="J35" s="181">
        <v>36594.39</v>
      </c>
      <c r="K35" s="181">
        <v>1.82</v>
      </c>
      <c r="L35" s="181">
        <v>1.82</v>
      </c>
      <c r="M35" s="182">
        <v>0</v>
      </c>
      <c r="N35" s="183">
        <v>0</v>
      </c>
      <c r="O35" s="183">
        <v>0</v>
      </c>
      <c r="P35" s="183">
        <v>0</v>
      </c>
    </row>
    <row r="36" spans="1:16" ht="30" customHeight="1" x14ac:dyDescent="0.2">
      <c r="A36" s="38" t="s">
        <v>856</v>
      </c>
      <c r="B36" s="176">
        <v>865</v>
      </c>
      <c r="C36" s="177" t="s">
        <v>938</v>
      </c>
      <c r="D36" s="39"/>
      <c r="E36" s="176"/>
      <c r="F36" s="177" t="s">
        <v>930</v>
      </c>
      <c r="G36" s="178" t="s">
        <v>856</v>
      </c>
      <c r="H36" s="179">
        <v>2</v>
      </c>
      <c r="I36" s="180">
        <v>1.788</v>
      </c>
      <c r="J36" s="181">
        <v>16959.97</v>
      </c>
      <c r="K36" s="181">
        <v>2.4300000000000002</v>
      </c>
      <c r="L36" s="181">
        <v>2.4300000000000002</v>
      </c>
      <c r="M36" s="182">
        <v>0</v>
      </c>
      <c r="N36" s="183">
        <v>0</v>
      </c>
      <c r="O36" s="183">
        <v>0</v>
      </c>
      <c r="P36" s="183">
        <v>0</v>
      </c>
    </row>
    <row r="37" spans="1:16" ht="15" customHeight="1" x14ac:dyDescent="0.2">
      <c r="A37" s="38" t="s">
        <v>857</v>
      </c>
      <c r="B37" s="176">
        <v>867</v>
      </c>
      <c r="C37" s="177">
        <v>1900060219206</v>
      </c>
      <c r="D37" s="39"/>
      <c r="E37" s="176"/>
      <c r="F37" s="177" t="s">
        <v>930</v>
      </c>
      <c r="G37" s="178" t="s">
        <v>857</v>
      </c>
      <c r="H37" s="179">
        <v>3</v>
      </c>
      <c r="I37" s="180">
        <v>7.3410000000000002</v>
      </c>
      <c r="J37" s="181">
        <v>36594.39</v>
      </c>
      <c r="K37" s="181">
        <v>2.9</v>
      </c>
      <c r="L37" s="181">
        <v>2.9</v>
      </c>
      <c r="M37" s="182">
        <v>0</v>
      </c>
      <c r="N37" s="183">
        <v>0</v>
      </c>
      <c r="O37" s="183">
        <v>0</v>
      </c>
      <c r="P37" s="183">
        <v>0</v>
      </c>
    </row>
    <row r="38" spans="1:16" ht="15" customHeight="1" x14ac:dyDescent="0.2">
      <c r="A38" s="187" t="s">
        <v>858</v>
      </c>
      <c r="B38" s="188">
        <v>881</v>
      </c>
      <c r="C38" s="189">
        <v>1900060219544</v>
      </c>
      <c r="D38" s="190"/>
      <c r="E38" s="188"/>
      <c r="F38" s="189">
        <v>1900060858356</v>
      </c>
      <c r="G38" s="191" t="s">
        <v>858</v>
      </c>
      <c r="H38" s="192">
        <v>2</v>
      </c>
      <c r="I38" s="193">
        <v>0</v>
      </c>
      <c r="J38" s="194">
        <v>19440.830000000002</v>
      </c>
      <c r="K38" s="194">
        <v>1.1399999999999999</v>
      </c>
      <c r="L38" s="194">
        <v>1.1399999999999999</v>
      </c>
      <c r="M38" s="195">
        <v>0</v>
      </c>
      <c r="N38" s="196">
        <v>0</v>
      </c>
      <c r="O38" s="196">
        <v>0</v>
      </c>
      <c r="P38" s="196">
        <v>0</v>
      </c>
    </row>
    <row r="39" spans="1:16" ht="60" customHeight="1" x14ac:dyDescent="0.2">
      <c r="A39" s="38" t="s">
        <v>859</v>
      </c>
      <c r="B39" s="176">
        <v>888</v>
      </c>
      <c r="C39" s="177" t="s">
        <v>939</v>
      </c>
      <c r="D39" s="39"/>
      <c r="E39" s="176"/>
      <c r="F39" s="177" t="s">
        <v>930</v>
      </c>
      <c r="G39" s="178" t="s">
        <v>859</v>
      </c>
      <c r="H39" s="179">
        <v>4</v>
      </c>
      <c r="I39" s="180">
        <v>0.05</v>
      </c>
      <c r="J39" s="181">
        <v>183985.57</v>
      </c>
      <c r="K39" s="181">
        <v>1.39</v>
      </c>
      <c r="L39" s="181">
        <v>1.39</v>
      </c>
      <c r="M39" s="182">
        <v>0</v>
      </c>
      <c r="N39" s="183">
        <v>0</v>
      </c>
      <c r="O39" s="183">
        <v>0</v>
      </c>
      <c r="P39" s="183">
        <v>0</v>
      </c>
    </row>
    <row r="40" spans="1:16" ht="30" customHeight="1" x14ac:dyDescent="0.2">
      <c r="A40" s="38" t="s">
        <v>860</v>
      </c>
      <c r="B40" s="176">
        <v>838</v>
      </c>
      <c r="C40" s="177" t="s">
        <v>940</v>
      </c>
      <c r="D40" s="39" t="s">
        <v>860</v>
      </c>
      <c r="E40" s="176">
        <v>691</v>
      </c>
      <c r="F40" s="177" t="s">
        <v>941</v>
      </c>
      <c r="G40" s="178" t="s">
        <v>860</v>
      </c>
      <c r="H40" s="179">
        <v>4</v>
      </c>
      <c r="I40" s="180">
        <v>0</v>
      </c>
      <c r="J40" s="181">
        <v>73474.95</v>
      </c>
      <c r="K40" s="181">
        <v>1.6</v>
      </c>
      <c r="L40" s="181">
        <v>1.6</v>
      </c>
      <c r="M40" s="182">
        <v>0</v>
      </c>
      <c r="N40" s="183">
        <v>4909.47</v>
      </c>
      <c r="O40" s="183">
        <v>0.05</v>
      </c>
      <c r="P40" s="183">
        <v>0.05</v>
      </c>
    </row>
    <row r="41" spans="1:16" ht="15" customHeight="1" x14ac:dyDescent="0.2">
      <c r="A41" s="38" t="s">
        <v>861</v>
      </c>
      <c r="B41" s="176">
        <v>884</v>
      </c>
      <c r="C41" s="177">
        <v>1900016424857</v>
      </c>
      <c r="D41" s="39" t="s">
        <v>861</v>
      </c>
      <c r="E41" s="176">
        <v>732</v>
      </c>
      <c r="F41" s="177">
        <v>1900060576611</v>
      </c>
      <c r="G41" s="178" t="s">
        <v>861</v>
      </c>
      <c r="H41" s="179">
        <v>2</v>
      </c>
      <c r="I41" s="180">
        <v>0.75600000000000001</v>
      </c>
      <c r="J41" s="181">
        <v>20906.490000000002</v>
      </c>
      <c r="K41" s="181">
        <v>3.14</v>
      </c>
      <c r="L41" s="181">
        <v>3.14</v>
      </c>
      <c r="M41" s="182">
        <v>-0.48199999999999998</v>
      </c>
      <c r="N41" s="183">
        <v>2943.17</v>
      </c>
      <c r="O41" s="183">
        <v>0.05</v>
      </c>
      <c r="P41" s="183">
        <v>0.05</v>
      </c>
    </row>
    <row r="42" spans="1:16" ht="15" customHeight="1" x14ac:dyDescent="0.2">
      <c r="A42" s="38" t="s">
        <v>862</v>
      </c>
      <c r="B42" s="176">
        <v>839</v>
      </c>
      <c r="C42" s="177">
        <v>1900091206176</v>
      </c>
      <c r="D42" s="39" t="s">
        <v>862</v>
      </c>
      <c r="E42" s="176">
        <v>692</v>
      </c>
      <c r="F42" s="177">
        <v>1900091206194</v>
      </c>
      <c r="G42" s="178" t="s">
        <v>862</v>
      </c>
      <c r="H42" s="179">
        <v>2</v>
      </c>
      <c r="I42" s="180">
        <v>7.4290000000000003</v>
      </c>
      <c r="J42" s="181">
        <v>16211.32</v>
      </c>
      <c r="K42" s="181">
        <v>2.34</v>
      </c>
      <c r="L42" s="181">
        <v>2.34</v>
      </c>
      <c r="M42" s="182">
        <v>-8.0020000000000007</v>
      </c>
      <c r="N42" s="183">
        <v>51.46</v>
      </c>
      <c r="O42" s="183">
        <v>0.05</v>
      </c>
      <c r="P42" s="183">
        <v>0.05</v>
      </c>
    </row>
    <row r="43" spans="1:16" ht="15" customHeight="1" x14ac:dyDescent="0.2">
      <c r="A43" s="38" t="s">
        <v>863</v>
      </c>
      <c r="B43" s="176">
        <v>873</v>
      </c>
      <c r="C43" s="177">
        <v>1900091919588</v>
      </c>
      <c r="D43" s="39" t="s">
        <v>863</v>
      </c>
      <c r="E43" s="176">
        <v>780</v>
      </c>
      <c r="F43" s="177">
        <v>1900091919597</v>
      </c>
      <c r="G43" s="178" t="s">
        <v>863</v>
      </c>
      <c r="H43" s="179">
        <v>0</v>
      </c>
      <c r="I43" s="180">
        <v>2.153</v>
      </c>
      <c r="J43" s="181">
        <v>58.21</v>
      </c>
      <c r="K43" s="181">
        <v>1.02</v>
      </c>
      <c r="L43" s="181">
        <v>1.02</v>
      </c>
      <c r="M43" s="182">
        <v>-2.153</v>
      </c>
      <c r="N43" s="183">
        <v>1633.73</v>
      </c>
      <c r="O43" s="183">
        <v>0.05</v>
      </c>
      <c r="P43" s="183">
        <v>0.05</v>
      </c>
    </row>
    <row r="44" spans="1:16" ht="15" customHeight="1" x14ac:dyDescent="0.2">
      <c r="A44" s="38" t="s">
        <v>864</v>
      </c>
      <c r="B44" s="176">
        <v>809</v>
      </c>
      <c r="C44" s="177">
        <v>1900091216963</v>
      </c>
      <c r="D44" s="39" t="s">
        <v>864</v>
      </c>
      <c r="E44" s="176">
        <v>741</v>
      </c>
      <c r="F44" s="177">
        <v>1900091216972</v>
      </c>
      <c r="G44" s="178" t="s">
        <v>864</v>
      </c>
      <c r="H44" s="179">
        <v>0</v>
      </c>
      <c r="I44" s="180">
        <v>5.1429999999999998</v>
      </c>
      <c r="J44" s="181">
        <v>16.420000000000002</v>
      </c>
      <c r="K44" s="181">
        <v>1.9</v>
      </c>
      <c r="L44" s="181">
        <v>1.9</v>
      </c>
      <c r="M44" s="182">
        <v>0</v>
      </c>
      <c r="N44" s="183">
        <v>1674.86</v>
      </c>
      <c r="O44" s="183">
        <v>0.05</v>
      </c>
      <c r="P44" s="183">
        <v>0.05</v>
      </c>
    </row>
    <row r="45" spans="1:16" ht="15" customHeight="1" x14ac:dyDescent="0.2">
      <c r="A45" s="38" t="s">
        <v>865</v>
      </c>
      <c r="B45" s="176">
        <v>868</v>
      </c>
      <c r="C45" s="177">
        <v>1900060216613</v>
      </c>
      <c r="D45" s="39" t="s">
        <v>865</v>
      </c>
      <c r="E45" s="176">
        <v>725</v>
      </c>
      <c r="F45" s="177">
        <v>1900060436880</v>
      </c>
      <c r="G45" s="178" t="s">
        <v>865</v>
      </c>
      <c r="H45" s="179">
        <v>4</v>
      </c>
      <c r="I45" s="180">
        <v>4.4999999999999998E-2</v>
      </c>
      <c r="J45" s="181">
        <v>67518.210000000006</v>
      </c>
      <c r="K45" s="181">
        <v>0.8</v>
      </c>
      <c r="L45" s="181">
        <v>0.8</v>
      </c>
      <c r="M45" s="182">
        <v>0</v>
      </c>
      <c r="N45" s="183">
        <v>0</v>
      </c>
      <c r="O45" s="183">
        <v>0</v>
      </c>
      <c r="P45" s="183">
        <v>0</v>
      </c>
    </row>
    <row r="46" spans="1:16" ht="15" customHeight="1" x14ac:dyDescent="0.2">
      <c r="A46" s="38" t="s">
        <v>866</v>
      </c>
      <c r="B46" s="176">
        <v>840</v>
      </c>
      <c r="C46" s="177">
        <v>1900091482588</v>
      </c>
      <c r="D46" s="39" t="s">
        <v>866</v>
      </c>
      <c r="E46" s="176">
        <v>693</v>
      </c>
      <c r="F46" s="177">
        <v>1900091482597</v>
      </c>
      <c r="G46" s="178" t="s">
        <v>866</v>
      </c>
      <c r="H46" s="179">
        <v>0</v>
      </c>
      <c r="I46" s="180">
        <v>0.20100000000000001</v>
      </c>
      <c r="J46" s="181">
        <v>577.83000000000004</v>
      </c>
      <c r="K46" s="181">
        <v>1</v>
      </c>
      <c r="L46" s="181">
        <v>1</v>
      </c>
      <c r="M46" s="182">
        <v>-0.317</v>
      </c>
      <c r="N46" s="183">
        <v>4105.6400000000003</v>
      </c>
      <c r="O46" s="183">
        <v>0.05</v>
      </c>
      <c r="P46" s="183">
        <v>0.05</v>
      </c>
    </row>
    <row r="47" spans="1:16" ht="15" customHeight="1" x14ac:dyDescent="0.2">
      <c r="A47" s="38" t="s">
        <v>867</v>
      </c>
      <c r="B47" s="176">
        <v>841</v>
      </c>
      <c r="C47" s="177">
        <v>1900091632775</v>
      </c>
      <c r="D47" s="39" t="s">
        <v>867</v>
      </c>
      <c r="E47" s="176">
        <v>694</v>
      </c>
      <c r="F47" s="177">
        <v>1900091632784</v>
      </c>
      <c r="G47" s="178" t="s">
        <v>867</v>
      </c>
      <c r="H47" s="179">
        <v>0</v>
      </c>
      <c r="I47" s="180">
        <v>4.4999999999999998E-2</v>
      </c>
      <c r="J47" s="181">
        <v>589.22</v>
      </c>
      <c r="K47" s="181">
        <v>0.9</v>
      </c>
      <c r="L47" s="181">
        <v>0.9</v>
      </c>
      <c r="M47" s="182">
        <v>-8.6999999999999994E-2</v>
      </c>
      <c r="N47" s="183">
        <v>589.22</v>
      </c>
      <c r="O47" s="183">
        <v>0.05</v>
      </c>
      <c r="P47" s="183">
        <v>0.05</v>
      </c>
    </row>
    <row r="48" spans="1:16" ht="15" customHeight="1" x14ac:dyDescent="0.2">
      <c r="A48" s="38" t="s">
        <v>868</v>
      </c>
      <c r="B48" s="176">
        <v>890</v>
      </c>
      <c r="C48" s="177">
        <v>1900091343778</v>
      </c>
      <c r="D48" s="39" t="s">
        <v>868</v>
      </c>
      <c r="E48" s="176">
        <v>713</v>
      </c>
      <c r="F48" s="177">
        <v>1900091343787</v>
      </c>
      <c r="G48" s="178" t="s">
        <v>868</v>
      </c>
      <c r="H48" s="179">
        <v>0</v>
      </c>
      <c r="I48" s="180">
        <v>6.2859999999999996</v>
      </c>
      <c r="J48" s="181">
        <v>14.77</v>
      </c>
      <c r="K48" s="181">
        <v>1.3</v>
      </c>
      <c r="L48" s="181">
        <v>1.3</v>
      </c>
      <c r="M48" s="182">
        <v>0</v>
      </c>
      <c r="N48" s="183">
        <v>1477.43</v>
      </c>
      <c r="O48" s="183">
        <v>0.05</v>
      </c>
      <c r="P48" s="183">
        <v>0.05</v>
      </c>
    </row>
    <row r="49" spans="1:16" ht="15" customHeight="1" x14ac:dyDescent="0.2">
      <c r="A49" s="38" t="s">
        <v>869</v>
      </c>
      <c r="B49" s="176">
        <v>830</v>
      </c>
      <c r="C49" s="177">
        <v>1900091463646</v>
      </c>
      <c r="D49" s="39" t="s">
        <v>869</v>
      </c>
      <c r="E49" s="176">
        <v>712</v>
      </c>
      <c r="F49" s="177">
        <v>1900091463655</v>
      </c>
      <c r="G49" s="178" t="s">
        <v>869</v>
      </c>
      <c r="H49" s="179">
        <v>0</v>
      </c>
      <c r="I49" s="180">
        <v>6.2859999999999996</v>
      </c>
      <c r="J49" s="181">
        <v>11.26</v>
      </c>
      <c r="K49" s="181">
        <v>1.58</v>
      </c>
      <c r="L49" s="181">
        <v>1.58</v>
      </c>
      <c r="M49" s="182">
        <v>0</v>
      </c>
      <c r="N49" s="183">
        <v>945.82</v>
      </c>
      <c r="O49" s="183">
        <v>0.05</v>
      </c>
      <c r="P49" s="183">
        <v>0.05</v>
      </c>
    </row>
    <row r="50" spans="1:16" ht="15" customHeight="1" x14ac:dyDescent="0.2">
      <c r="A50" s="38" t="s">
        <v>870</v>
      </c>
      <c r="B50" s="176">
        <v>891</v>
      </c>
      <c r="C50" s="177">
        <v>1900091395508</v>
      </c>
      <c r="D50" s="39" t="s">
        <v>870</v>
      </c>
      <c r="E50" s="176">
        <v>705</v>
      </c>
      <c r="F50" s="177">
        <v>1900091395517</v>
      </c>
      <c r="G50" s="178" t="s">
        <v>870</v>
      </c>
      <c r="H50" s="179">
        <v>0</v>
      </c>
      <c r="I50" s="180">
        <v>0</v>
      </c>
      <c r="J50" s="181">
        <v>8.02</v>
      </c>
      <c r="K50" s="181">
        <v>2.63</v>
      </c>
      <c r="L50" s="181">
        <v>2.63</v>
      </c>
      <c r="M50" s="182">
        <v>0</v>
      </c>
      <c r="N50" s="183">
        <v>1603.2</v>
      </c>
      <c r="O50" s="183">
        <v>0.05</v>
      </c>
      <c r="P50" s="183">
        <v>0.05</v>
      </c>
    </row>
    <row r="51" spans="1:16" ht="15" customHeight="1" x14ac:dyDescent="0.2">
      <c r="A51" s="38" t="s">
        <v>871</v>
      </c>
      <c r="B51" s="176">
        <v>842</v>
      </c>
      <c r="C51" s="177">
        <v>1900091566810</v>
      </c>
      <c r="D51" s="39" t="s">
        <v>871</v>
      </c>
      <c r="E51" s="176">
        <v>695</v>
      </c>
      <c r="F51" s="177">
        <v>1900091566820</v>
      </c>
      <c r="G51" s="178" t="s">
        <v>871</v>
      </c>
      <c r="H51" s="179">
        <v>0</v>
      </c>
      <c r="I51" s="180">
        <v>0.28899999999999998</v>
      </c>
      <c r="J51" s="181">
        <v>589.22</v>
      </c>
      <c r="K51" s="181">
        <v>1.26</v>
      </c>
      <c r="L51" s="181">
        <v>1.26</v>
      </c>
      <c r="M51" s="182">
        <v>-0.6</v>
      </c>
      <c r="N51" s="183">
        <v>589.22</v>
      </c>
      <c r="O51" s="183">
        <v>0.05</v>
      </c>
      <c r="P51" s="183">
        <v>0.05</v>
      </c>
    </row>
    <row r="52" spans="1:16" ht="15" customHeight="1" x14ac:dyDescent="0.2">
      <c r="A52" s="187" t="s">
        <v>872</v>
      </c>
      <c r="B52" s="188">
        <v>843</v>
      </c>
      <c r="C52" s="189">
        <v>1900091523116</v>
      </c>
      <c r="D52" s="190" t="s">
        <v>872</v>
      </c>
      <c r="E52" s="188">
        <v>696</v>
      </c>
      <c r="F52" s="189">
        <v>1900091523125</v>
      </c>
      <c r="G52" s="191" t="s">
        <v>872</v>
      </c>
      <c r="H52" s="192">
        <v>1</v>
      </c>
      <c r="I52" s="193">
        <v>0</v>
      </c>
      <c r="J52" s="194">
        <v>2549.85</v>
      </c>
      <c r="K52" s="194">
        <v>1.34</v>
      </c>
      <c r="L52" s="194">
        <v>1.34</v>
      </c>
      <c r="M52" s="195">
        <v>0</v>
      </c>
      <c r="N52" s="196">
        <v>1229.03</v>
      </c>
      <c r="O52" s="196">
        <v>0.05</v>
      </c>
      <c r="P52" s="196">
        <v>0.05</v>
      </c>
    </row>
    <row r="53" spans="1:16" ht="30" customHeight="1" x14ac:dyDescent="0.2">
      <c r="A53" s="38" t="s">
        <v>873</v>
      </c>
      <c r="B53" s="176">
        <v>871</v>
      </c>
      <c r="C53" s="177" t="s">
        <v>942</v>
      </c>
      <c r="D53" s="39" t="s">
        <v>873</v>
      </c>
      <c r="E53" s="176">
        <v>726</v>
      </c>
      <c r="F53" s="177" t="s">
        <v>943</v>
      </c>
      <c r="G53" s="178" t="s">
        <v>873</v>
      </c>
      <c r="H53" s="179">
        <v>0</v>
      </c>
      <c r="I53" s="180">
        <v>1.4E-2</v>
      </c>
      <c r="J53" s="181">
        <v>38.36</v>
      </c>
      <c r="K53" s="181">
        <v>1.18</v>
      </c>
      <c r="L53" s="181">
        <v>1.18</v>
      </c>
      <c r="M53" s="182">
        <v>0</v>
      </c>
      <c r="N53" s="183">
        <v>0</v>
      </c>
      <c r="O53" s="183">
        <v>0</v>
      </c>
      <c r="P53" s="183">
        <v>0</v>
      </c>
    </row>
    <row r="54" spans="1:16" ht="15" customHeight="1" x14ac:dyDescent="0.2">
      <c r="A54" s="38" t="s">
        <v>874</v>
      </c>
      <c r="B54" s="176">
        <v>802</v>
      </c>
      <c r="C54" s="177">
        <v>1900090834409</v>
      </c>
      <c r="D54" s="39" t="s">
        <v>874</v>
      </c>
      <c r="E54" s="176">
        <v>738</v>
      </c>
      <c r="F54" s="177">
        <v>1900090834418</v>
      </c>
      <c r="G54" s="178" t="s">
        <v>874</v>
      </c>
      <c r="H54" s="179">
        <v>2</v>
      </c>
      <c r="I54" s="180">
        <v>1.52</v>
      </c>
      <c r="J54" s="181">
        <v>18665.830000000002</v>
      </c>
      <c r="K54" s="181">
        <v>3.84</v>
      </c>
      <c r="L54" s="181">
        <v>3.84</v>
      </c>
      <c r="M54" s="182">
        <v>-4.734</v>
      </c>
      <c r="N54" s="183">
        <v>8247.8700000000008</v>
      </c>
      <c r="O54" s="183">
        <v>0.05</v>
      </c>
      <c r="P54" s="183">
        <v>0.05</v>
      </c>
    </row>
    <row r="55" spans="1:16" ht="15" customHeight="1" x14ac:dyDescent="0.2">
      <c r="A55" s="187" t="s">
        <v>875</v>
      </c>
      <c r="B55" s="188">
        <v>810</v>
      </c>
      <c r="C55" s="189">
        <v>1900091199350</v>
      </c>
      <c r="D55" s="190" t="s">
        <v>875</v>
      </c>
      <c r="E55" s="188">
        <v>742</v>
      </c>
      <c r="F55" s="189">
        <v>1900091199379</v>
      </c>
      <c r="G55" s="191" t="s">
        <v>875</v>
      </c>
      <c r="H55" s="192">
        <v>1</v>
      </c>
      <c r="I55" s="193">
        <v>0.499</v>
      </c>
      <c r="J55" s="194">
        <v>2575.35</v>
      </c>
      <c r="K55" s="194">
        <v>1.51</v>
      </c>
      <c r="L55" s="194">
        <v>1.51</v>
      </c>
      <c r="M55" s="195">
        <v>0</v>
      </c>
      <c r="N55" s="196">
        <v>1846.86</v>
      </c>
      <c r="O55" s="196">
        <v>0.05</v>
      </c>
      <c r="P55" s="196">
        <v>0.05</v>
      </c>
    </row>
    <row r="56" spans="1:16" ht="15" customHeight="1" x14ac:dyDescent="0.2">
      <c r="A56" s="38" t="s">
        <v>876</v>
      </c>
      <c r="B56" s="176">
        <v>893</v>
      </c>
      <c r="C56" s="177">
        <v>1900091353298</v>
      </c>
      <c r="D56" s="39" t="s">
        <v>876</v>
      </c>
      <c r="E56" s="176">
        <v>706</v>
      </c>
      <c r="F56" s="177">
        <v>1900091353303</v>
      </c>
      <c r="G56" s="178" t="s">
        <v>876</v>
      </c>
      <c r="H56" s="179">
        <v>0</v>
      </c>
      <c r="I56" s="180">
        <v>7.5919999999999996</v>
      </c>
      <c r="J56" s="181">
        <v>1.47</v>
      </c>
      <c r="K56" s="181">
        <v>4.72</v>
      </c>
      <c r="L56" s="181">
        <v>4.72</v>
      </c>
      <c r="M56" s="182">
        <v>0</v>
      </c>
      <c r="N56" s="183">
        <v>1198.6199999999999</v>
      </c>
      <c r="O56" s="183">
        <v>0.05</v>
      </c>
      <c r="P56" s="183">
        <v>0.05</v>
      </c>
    </row>
    <row r="57" spans="1:16" ht="15" customHeight="1" x14ac:dyDescent="0.2">
      <c r="A57" s="38" t="s">
        <v>877</v>
      </c>
      <c r="B57" s="176">
        <v>894</v>
      </c>
      <c r="C57" s="177">
        <v>1900091343750</v>
      </c>
      <c r="D57" s="39" t="s">
        <v>877</v>
      </c>
      <c r="E57" s="176">
        <v>716</v>
      </c>
      <c r="F57" s="177">
        <v>1900091343769</v>
      </c>
      <c r="G57" s="178" t="s">
        <v>877</v>
      </c>
      <c r="H57" s="179">
        <v>0</v>
      </c>
      <c r="I57" s="180">
        <v>1.3680000000000001</v>
      </c>
      <c r="J57" s="181">
        <v>11.13</v>
      </c>
      <c r="K57" s="181">
        <v>3.46</v>
      </c>
      <c r="L57" s="181">
        <v>3.46</v>
      </c>
      <c r="M57" s="182">
        <v>0</v>
      </c>
      <c r="N57" s="183">
        <v>1113.22</v>
      </c>
      <c r="O57" s="183">
        <v>0.05</v>
      </c>
      <c r="P57" s="183">
        <v>0.05</v>
      </c>
    </row>
    <row r="58" spans="1:16" ht="15" customHeight="1" x14ac:dyDescent="0.2">
      <c r="A58" s="38" t="s">
        <v>878</v>
      </c>
      <c r="B58" s="176"/>
      <c r="C58" s="177" t="s">
        <v>944</v>
      </c>
      <c r="D58" s="39" t="s">
        <v>878</v>
      </c>
      <c r="E58" s="176"/>
      <c r="F58" s="177" t="s">
        <v>945</v>
      </c>
      <c r="G58" s="178" t="s">
        <v>878</v>
      </c>
      <c r="H58" s="179">
        <v>0</v>
      </c>
      <c r="I58" s="180">
        <v>0</v>
      </c>
      <c r="J58" s="181">
        <v>191.17</v>
      </c>
      <c r="K58" s="181">
        <v>0.92</v>
      </c>
      <c r="L58" s="181">
        <v>0.92</v>
      </c>
      <c r="M58" s="182">
        <v>-2E-3</v>
      </c>
      <c r="N58" s="183">
        <v>509.79</v>
      </c>
      <c r="O58" s="183">
        <v>0.05</v>
      </c>
      <c r="P58" s="183">
        <v>0.05</v>
      </c>
    </row>
    <row r="59" spans="1:16" ht="15" customHeight="1" x14ac:dyDescent="0.2">
      <c r="A59" s="38" t="s">
        <v>879</v>
      </c>
      <c r="B59" s="176"/>
      <c r="C59" s="177" t="s">
        <v>960</v>
      </c>
      <c r="D59" s="39" t="s">
        <v>879</v>
      </c>
      <c r="E59" s="176"/>
      <c r="F59" s="177" t="s">
        <v>960</v>
      </c>
      <c r="G59" s="178" t="s">
        <v>879</v>
      </c>
      <c r="H59" s="179">
        <v>0</v>
      </c>
      <c r="I59" s="180">
        <v>0</v>
      </c>
      <c r="J59" s="181">
        <v>28.81</v>
      </c>
      <c r="K59" s="181">
        <v>0.59</v>
      </c>
      <c r="L59" s="181">
        <v>0.59</v>
      </c>
      <c r="M59" s="182">
        <v>0</v>
      </c>
      <c r="N59" s="183">
        <v>28.81</v>
      </c>
      <c r="O59" s="183">
        <v>0.05</v>
      </c>
      <c r="P59" s="183">
        <v>0.05</v>
      </c>
    </row>
    <row r="60" spans="1:16" ht="15" customHeight="1" x14ac:dyDescent="0.2">
      <c r="A60" s="187" t="s">
        <v>880</v>
      </c>
      <c r="B60" s="188">
        <v>836</v>
      </c>
      <c r="C60" s="189">
        <v>1900091057568</v>
      </c>
      <c r="D60" s="190" t="s">
        <v>880</v>
      </c>
      <c r="E60" s="188">
        <v>767</v>
      </c>
      <c r="F60" s="189">
        <v>1900091057559</v>
      </c>
      <c r="G60" s="191" t="s">
        <v>880</v>
      </c>
      <c r="H60" s="192">
        <v>1</v>
      </c>
      <c r="I60" s="193">
        <v>0</v>
      </c>
      <c r="J60" s="194">
        <v>2712.53</v>
      </c>
      <c r="K60" s="194">
        <v>0.97</v>
      </c>
      <c r="L60" s="194">
        <v>0.97</v>
      </c>
      <c r="M60" s="195">
        <v>0</v>
      </c>
      <c r="N60" s="196">
        <v>3392.49</v>
      </c>
      <c r="O60" s="196">
        <v>0.05</v>
      </c>
      <c r="P60" s="196">
        <v>0.05</v>
      </c>
    </row>
    <row r="61" spans="1:16" ht="15" customHeight="1" x14ac:dyDescent="0.2">
      <c r="A61" s="187" t="s">
        <v>881</v>
      </c>
      <c r="B61" s="188">
        <v>804</v>
      </c>
      <c r="C61" s="189">
        <v>1900091637072</v>
      </c>
      <c r="D61" s="190" t="s">
        <v>881</v>
      </c>
      <c r="E61" s="188">
        <v>704</v>
      </c>
      <c r="F61" s="189">
        <v>1900091637081</v>
      </c>
      <c r="G61" s="191" t="s">
        <v>881</v>
      </c>
      <c r="H61" s="192">
        <v>3</v>
      </c>
      <c r="I61" s="193">
        <v>0</v>
      </c>
      <c r="J61" s="194">
        <v>37070.629999999997</v>
      </c>
      <c r="K61" s="194">
        <v>0.79</v>
      </c>
      <c r="L61" s="194">
        <v>0.79</v>
      </c>
      <c r="M61" s="195">
        <v>0</v>
      </c>
      <c r="N61" s="196">
        <v>2071.6999999999998</v>
      </c>
      <c r="O61" s="196">
        <v>0.05</v>
      </c>
      <c r="P61" s="196">
        <v>0.05</v>
      </c>
    </row>
    <row r="62" spans="1:16" ht="15" customHeight="1" x14ac:dyDescent="0.2">
      <c r="A62" s="38" t="s">
        <v>882</v>
      </c>
      <c r="B62" s="176">
        <v>895</v>
      </c>
      <c r="C62" s="177">
        <v>1900091361962</v>
      </c>
      <c r="D62" s="39" t="s">
        <v>882</v>
      </c>
      <c r="E62" s="176">
        <v>707</v>
      </c>
      <c r="F62" s="177">
        <v>1900091361971</v>
      </c>
      <c r="G62" s="178" t="s">
        <v>882</v>
      </c>
      <c r="H62" s="179">
        <v>0</v>
      </c>
      <c r="I62" s="180">
        <v>0.27500000000000002</v>
      </c>
      <c r="J62" s="181">
        <v>19.34</v>
      </c>
      <c r="K62" s="181">
        <v>1.92</v>
      </c>
      <c r="L62" s="181">
        <v>1.92</v>
      </c>
      <c r="M62" s="182">
        <v>0</v>
      </c>
      <c r="N62" s="183">
        <v>1105.02</v>
      </c>
      <c r="O62" s="183">
        <v>0.05</v>
      </c>
      <c r="P62" s="183">
        <v>0.05</v>
      </c>
    </row>
    <row r="63" spans="1:16" ht="15" customHeight="1" x14ac:dyDescent="0.2">
      <c r="A63" s="38" t="s">
        <v>883</v>
      </c>
      <c r="B63" s="176">
        <v>811</v>
      </c>
      <c r="C63" s="177">
        <v>1900091200388</v>
      </c>
      <c r="D63" s="39" t="s">
        <v>883</v>
      </c>
      <c r="E63" s="176">
        <v>743</v>
      </c>
      <c r="F63" s="177">
        <v>1900091200397</v>
      </c>
      <c r="G63" s="178" t="s">
        <v>883</v>
      </c>
      <c r="H63" s="179">
        <v>0</v>
      </c>
      <c r="I63" s="180">
        <v>0</v>
      </c>
      <c r="J63" s="181">
        <v>30.53</v>
      </c>
      <c r="K63" s="181">
        <v>1.38</v>
      </c>
      <c r="L63" s="181">
        <v>1.38</v>
      </c>
      <c r="M63" s="182">
        <v>0</v>
      </c>
      <c r="N63" s="183">
        <v>1526.59</v>
      </c>
      <c r="O63" s="183">
        <v>0.05</v>
      </c>
      <c r="P63" s="183">
        <v>0.05</v>
      </c>
    </row>
    <row r="64" spans="1:16" ht="30" customHeight="1" x14ac:dyDescent="0.2">
      <c r="A64" s="38" t="s">
        <v>884</v>
      </c>
      <c r="B64" s="176">
        <v>844</v>
      </c>
      <c r="C64" s="177" t="s">
        <v>946</v>
      </c>
      <c r="D64" s="39" t="s">
        <v>884</v>
      </c>
      <c r="E64" s="176">
        <v>697</v>
      </c>
      <c r="F64" s="177" t="s">
        <v>947</v>
      </c>
      <c r="G64" s="178" t="s">
        <v>884</v>
      </c>
      <c r="H64" s="179">
        <v>0</v>
      </c>
      <c r="I64" s="180">
        <v>0</v>
      </c>
      <c r="J64" s="181">
        <v>654.88</v>
      </c>
      <c r="K64" s="181">
        <v>1.6</v>
      </c>
      <c r="L64" s="181">
        <v>1.6</v>
      </c>
      <c r="M64" s="182">
        <v>-1.034</v>
      </c>
      <c r="N64" s="183">
        <v>654.88</v>
      </c>
      <c r="O64" s="183">
        <v>0.05</v>
      </c>
      <c r="P64" s="183">
        <v>0.05</v>
      </c>
    </row>
    <row r="65" spans="1:16" ht="15" customHeight="1" x14ac:dyDescent="0.2">
      <c r="A65" s="38" t="s">
        <v>885</v>
      </c>
      <c r="B65" s="176">
        <v>875</v>
      </c>
      <c r="C65" s="177">
        <v>1900060225185</v>
      </c>
      <c r="D65" s="39" t="s">
        <v>885</v>
      </c>
      <c r="E65" s="176">
        <v>727</v>
      </c>
      <c r="F65" s="177">
        <v>1900060225194</v>
      </c>
      <c r="G65" s="178" t="s">
        <v>885</v>
      </c>
      <c r="H65" s="179">
        <v>4</v>
      </c>
      <c r="I65" s="180">
        <v>0</v>
      </c>
      <c r="J65" s="181">
        <v>67630.789999999994</v>
      </c>
      <c r="K65" s="181">
        <v>1.27</v>
      </c>
      <c r="L65" s="181">
        <v>1.27</v>
      </c>
      <c r="M65" s="182">
        <v>0</v>
      </c>
      <c r="N65" s="183">
        <v>0</v>
      </c>
      <c r="O65" s="183">
        <v>0</v>
      </c>
      <c r="P65" s="183">
        <v>0</v>
      </c>
    </row>
    <row r="66" spans="1:16" ht="15" customHeight="1" x14ac:dyDescent="0.2">
      <c r="A66" s="38" t="s">
        <v>886</v>
      </c>
      <c r="B66" s="176">
        <v>831</v>
      </c>
      <c r="C66" s="177">
        <v>1900091338040</v>
      </c>
      <c r="D66" s="39" t="s">
        <v>886</v>
      </c>
      <c r="E66" s="176">
        <v>708</v>
      </c>
      <c r="F66" s="177">
        <v>1900091338059</v>
      </c>
      <c r="G66" s="178" t="s">
        <v>886</v>
      </c>
      <c r="H66" s="179">
        <v>0</v>
      </c>
      <c r="I66" s="180">
        <v>5.2249999999999996</v>
      </c>
      <c r="J66" s="181">
        <v>25.83</v>
      </c>
      <c r="K66" s="181">
        <v>1.45</v>
      </c>
      <c r="L66" s="181">
        <v>1.45</v>
      </c>
      <c r="M66" s="182">
        <v>0</v>
      </c>
      <c r="N66" s="183">
        <v>2582.9299999999998</v>
      </c>
      <c r="O66" s="183">
        <v>0.05</v>
      </c>
      <c r="P66" s="183">
        <v>0.05</v>
      </c>
    </row>
    <row r="67" spans="1:16" ht="15" customHeight="1" x14ac:dyDescent="0.2">
      <c r="A67" s="38" t="s">
        <v>887</v>
      </c>
      <c r="B67" s="176">
        <v>812</v>
      </c>
      <c r="C67" s="177">
        <v>1900091217043</v>
      </c>
      <c r="D67" s="39" t="s">
        <v>887</v>
      </c>
      <c r="E67" s="176">
        <v>744</v>
      </c>
      <c r="F67" s="177">
        <v>1900091217052</v>
      </c>
      <c r="G67" s="178" t="s">
        <v>887</v>
      </c>
      <c r="H67" s="179">
        <v>0</v>
      </c>
      <c r="I67" s="180">
        <v>4.1059999999999999</v>
      </c>
      <c r="J67" s="181">
        <v>3.11</v>
      </c>
      <c r="K67" s="181">
        <v>3.5</v>
      </c>
      <c r="L67" s="181">
        <v>3.5</v>
      </c>
      <c r="M67" s="182">
        <v>0</v>
      </c>
      <c r="N67" s="183">
        <v>1175.3399999999999</v>
      </c>
      <c r="O67" s="183">
        <v>0.05</v>
      </c>
      <c r="P67" s="183">
        <v>0.05</v>
      </c>
    </row>
    <row r="68" spans="1:16" ht="30" customHeight="1" x14ac:dyDescent="0.2">
      <c r="A68" s="38" t="s">
        <v>888</v>
      </c>
      <c r="B68" s="176">
        <v>876</v>
      </c>
      <c r="C68" s="177" t="s">
        <v>948</v>
      </c>
      <c r="D68" s="39" t="s">
        <v>888</v>
      </c>
      <c r="E68" s="176">
        <v>728</v>
      </c>
      <c r="F68" s="177" t="s">
        <v>949</v>
      </c>
      <c r="G68" s="178" t="s">
        <v>888</v>
      </c>
      <c r="H68" s="179">
        <v>0</v>
      </c>
      <c r="I68" s="180">
        <v>4.4459999999999997</v>
      </c>
      <c r="J68" s="181">
        <v>3.08</v>
      </c>
      <c r="K68" s="181">
        <v>0.92</v>
      </c>
      <c r="L68" s="181">
        <v>0.92</v>
      </c>
      <c r="M68" s="182">
        <v>0</v>
      </c>
      <c r="N68" s="183">
        <v>0</v>
      </c>
      <c r="O68" s="183">
        <v>0</v>
      </c>
      <c r="P68" s="183">
        <v>0</v>
      </c>
    </row>
    <row r="69" spans="1:16" ht="15" customHeight="1" x14ac:dyDescent="0.2">
      <c r="A69" s="38" t="s">
        <v>889</v>
      </c>
      <c r="B69" s="176">
        <v>813</v>
      </c>
      <c r="C69" s="177">
        <v>1900091217070</v>
      </c>
      <c r="D69" s="39" t="s">
        <v>889</v>
      </c>
      <c r="E69" s="176">
        <v>745</v>
      </c>
      <c r="F69" s="177">
        <v>1900091217080</v>
      </c>
      <c r="G69" s="178" t="s">
        <v>889</v>
      </c>
      <c r="H69" s="179">
        <v>0</v>
      </c>
      <c r="I69" s="180">
        <v>0</v>
      </c>
      <c r="J69" s="181">
        <v>16.05</v>
      </c>
      <c r="K69" s="181">
        <v>1.27</v>
      </c>
      <c r="L69" s="181">
        <v>1.27</v>
      </c>
      <c r="M69" s="182">
        <v>0</v>
      </c>
      <c r="N69" s="183">
        <v>1293.72</v>
      </c>
      <c r="O69" s="183">
        <v>0.05</v>
      </c>
      <c r="P69" s="183">
        <v>0.05</v>
      </c>
    </row>
    <row r="70" spans="1:16" ht="15" customHeight="1" x14ac:dyDescent="0.2">
      <c r="A70" s="38" t="s">
        <v>890</v>
      </c>
      <c r="B70" s="176">
        <v>824</v>
      </c>
      <c r="C70" s="177">
        <v>1900091200068</v>
      </c>
      <c r="D70" s="39" t="s">
        <v>890</v>
      </c>
      <c r="E70" s="176">
        <v>701</v>
      </c>
      <c r="F70" s="177">
        <v>1900091200077</v>
      </c>
      <c r="G70" s="178" t="s">
        <v>890</v>
      </c>
      <c r="H70" s="179">
        <v>0</v>
      </c>
      <c r="I70" s="180">
        <v>0</v>
      </c>
      <c r="J70" s="181">
        <v>22.46</v>
      </c>
      <c r="K70" s="181">
        <v>3.79</v>
      </c>
      <c r="L70" s="181">
        <v>3.79</v>
      </c>
      <c r="M70" s="182">
        <v>0</v>
      </c>
      <c r="N70" s="183">
        <v>2919.53</v>
      </c>
      <c r="O70" s="183">
        <v>0.05</v>
      </c>
      <c r="P70" s="183">
        <v>0.05</v>
      </c>
    </row>
    <row r="71" spans="1:16" ht="15" customHeight="1" x14ac:dyDescent="0.2">
      <c r="A71" s="38" t="s">
        <v>891</v>
      </c>
      <c r="B71" s="176">
        <v>814</v>
      </c>
      <c r="C71" s="177">
        <v>1900091199519</v>
      </c>
      <c r="D71" s="39" t="s">
        <v>891</v>
      </c>
      <c r="E71" s="176">
        <v>746</v>
      </c>
      <c r="F71" s="177">
        <v>1900091199528</v>
      </c>
      <c r="G71" s="178" t="s">
        <v>891</v>
      </c>
      <c r="H71" s="179">
        <v>1</v>
      </c>
      <c r="I71" s="180">
        <v>0</v>
      </c>
      <c r="J71" s="181">
        <v>2506.35</v>
      </c>
      <c r="K71" s="181">
        <v>0.87</v>
      </c>
      <c r="L71" s="181">
        <v>0.87</v>
      </c>
      <c r="M71" s="182">
        <v>0</v>
      </c>
      <c r="N71" s="183">
        <v>521.02</v>
      </c>
      <c r="O71" s="183">
        <v>0.05</v>
      </c>
      <c r="P71" s="183">
        <v>0.05</v>
      </c>
    </row>
    <row r="72" spans="1:16" ht="15" customHeight="1" x14ac:dyDescent="0.2">
      <c r="A72" s="38" t="s">
        <v>892</v>
      </c>
      <c r="B72" s="176">
        <v>877</v>
      </c>
      <c r="C72" s="177">
        <v>1900070122273</v>
      </c>
      <c r="D72" s="39" t="s">
        <v>892</v>
      </c>
      <c r="E72" s="176">
        <v>722</v>
      </c>
      <c r="F72" s="177">
        <v>1900070122343</v>
      </c>
      <c r="G72" s="178" t="s">
        <v>892</v>
      </c>
      <c r="H72" s="179">
        <v>1</v>
      </c>
      <c r="I72" s="180">
        <v>0</v>
      </c>
      <c r="J72" s="181">
        <v>2518.19</v>
      </c>
      <c r="K72" s="181">
        <v>0.87</v>
      </c>
      <c r="L72" s="181">
        <v>0.87</v>
      </c>
      <c r="M72" s="182">
        <v>0</v>
      </c>
      <c r="N72" s="183">
        <v>0</v>
      </c>
      <c r="O72" s="183">
        <v>0</v>
      </c>
      <c r="P72" s="183">
        <v>0</v>
      </c>
    </row>
    <row r="73" spans="1:16" ht="15" customHeight="1" x14ac:dyDescent="0.2">
      <c r="A73" s="38" t="s">
        <v>893</v>
      </c>
      <c r="B73" s="176">
        <v>846</v>
      </c>
      <c r="C73" s="177">
        <v>1900091669720</v>
      </c>
      <c r="D73" s="39" t="s">
        <v>893</v>
      </c>
      <c r="E73" s="176">
        <v>699</v>
      </c>
      <c r="F73" s="177">
        <v>1900091669739</v>
      </c>
      <c r="G73" s="178" t="s">
        <v>893</v>
      </c>
      <c r="H73" s="179">
        <v>2</v>
      </c>
      <c r="I73" s="180">
        <v>0</v>
      </c>
      <c r="J73" s="181">
        <v>16333.77</v>
      </c>
      <c r="K73" s="181">
        <v>0.89</v>
      </c>
      <c r="L73" s="181">
        <v>0.89</v>
      </c>
      <c r="M73" s="182">
        <v>0</v>
      </c>
      <c r="N73" s="183">
        <v>4207.5200000000004</v>
      </c>
      <c r="O73" s="183">
        <v>0.05</v>
      </c>
      <c r="P73" s="183">
        <v>0.05</v>
      </c>
    </row>
    <row r="74" spans="1:16" ht="15" customHeight="1" x14ac:dyDescent="0.2">
      <c r="A74" s="38" t="s">
        <v>894</v>
      </c>
      <c r="B74" s="176"/>
      <c r="C74" s="177" t="s">
        <v>950</v>
      </c>
      <c r="D74" s="39" t="s">
        <v>894</v>
      </c>
      <c r="E74" s="176"/>
      <c r="F74" s="177" t="s">
        <v>951</v>
      </c>
      <c r="G74" s="178" t="s">
        <v>894</v>
      </c>
      <c r="H74" s="179">
        <v>0</v>
      </c>
      <c r="I74" s="180">
        <v>0.82799999999999996</v>
      </c>
      <c r="J74" s="181">
        <v>1259.1500000000001</v>
      </c>
      <c r="K74" s="181">
        <v>0.8</v>
      </c>
      <c r="L74" s="181">
        <v>0.8</v>
      </c>
      <c r="M74" s="182">
        <v>-0.79600000000000004</v>
      </c>
      <c r="N74" s="183">
        <v>1325.81</v>
      </c>
      <c r="O74" s="183">
        <v>0.05</v>
      </c>
      <c r="P74" s="183">
        <v>0.05</v>
      </c>
    </row>
    <row r="75" spans="1:16" ht="15" customHeight="1" x14ac:dyDescent="0.2">
      <c r="A75" s="38" t="s">
        <v>895</v>
      </c>
      <c r="B75" s="176">
        <v>803</v>
      </c>
      <c r="C75" s="177">
        <v>1900091091930</v>
      </c>
      <c r="D75" s="39" t="s">
        <v>895</v>
      </c>
      <c r="E75" s="176">
        <v>735</v>
      </c>
      <c r="F75" s="177">
        <v>1900091091940</v>
      </c>
      <c r="G75" s="178" t="s">
        <v>895</v>
      </c>
      <c r="H75" s="179">
        <v>0</v>
      </c>
      <c r="I75" s="180">
        <v>0</v>
      </c>
      <c r="J75" s="181">
        <v>23.1</v>
      </c>
      <c r="K75" s="181">
        <v>5.05</v>
      </c>
      <c r="L75" s="181">
        <v>5.05</v>
      </c>
      <c r="M75" s="182">
        <v>0</v>
      </c>
      <c r="N75" s="183">
        <v>2183.1799999999998</v>
      </c>
      <c r="O75" s="183">
        <v>0.05</v>
      </c>
      <c r="P75" s="183">
        <v>0.05</v>
      </c>
    </row>
    <row r="76" spans="1:16" ht="15" customHeight="1" x14ac:dyDescent="0.2">
      <c r="A76" s="38" t="s">
        <v>896</v>
      </c>
      <c r="B76" s="176">
        <v>815</v>
      </c>
      <c r="C76" s="177">
        <v>1900091171267</v>
      </c>
      <c r="D76" s="39" t="s">
        <v>896</v>
      </c>
      <c r="E76" s="176">
        <v>747</v>
      </c>
      <c r="F76" s="177">
        <v>1900091171276</v>
      </c>
      <c r="G76" s="178" t="s">
        <v>896</v>
      </c>
      <c r="H76" s="179">
        <v>0</v>
      </c>
      <c r="I76" s="180">
        <v>0</v>
      </c>
      <c r="J76" s="181">
        <v>13.41</v>
      </c>
      <c r="K76" s="181">
        <v>3.41</v>
      </c>
      <c r="L76" s="181">
        <v>3.41</v>
      </c>
      <c r="M76" s="182">
        <v>0</v>
      </c>
      <c r="N76" s="183">
        <v>1257.01</v>
      </c>
      <c r="O76" s="183">
        <v>0.05</v>
      </c>
      <c r="P76" s="183">
        <v>0.05</v>
      </c>
    </row>
    <row r="77" spans="1:16" ht="15" customHeight="1" x14ac:dyDescent="0.2">
      <c r="A77" s="38" t="s">
        <v>897</v>
      </c>
      <c r="B77" s="176">
        <v>878</v>
      </c>
      <c r="C77" s="177">
        <v>1900090194653</v>
      </c>
      <c r="D77" s="39" t="s">
        <v>897</v>
      </c>
      <c r="E77" s="176">
        <v>721</v>
      </c>
      <c r="F77" s="177">
        <v>1900090194644</v>
      </c>
      <c r="G77" s="178" t="s">
        <v>897</v>
      </c>
      <c r="H77" s="179">
        <v>0</v>
      </c>
      <c r="I77" s="180">
        <v>0.15</v>
      </c>
      <c r="J77" s="181">
        <v>10.01</v>
      </c>
      <c r="K77" s="181">
        <v>2.93</v>
      </c>
      <c r="L77" s="181">
        <v>2.93</v>
      </c>
      <c r="M77" s="182">
        <v>0</v>
      </c>
      <c r="N77" s="183">
        <v>1299.75</v>
      </c>
      <c r="O77" s="183">
        <v>0.05</v>
      </c>
      <c r="P77" s="183">
        <v>0.05</v>
      </c>
    </row>
    <row r="78" spans="1:16" ht="15" customHeight="1" x14ac:dyDescent="0.2">
      <c r="A78" s="38" t="s">
        <v>898</v>
      </c>
      <c r="B78" s="176">
        <v>808</v>
      </c>
      <c r="C78" s="177">
        <v>1900091081560</v>
      </c>
      <c r="D78" s="39" t="s">
        <v>898</v>
      </c>
      <c r="E78" s="176">
        <v>736</v>
      </c>
      <c r="F78" s="177">
        <v>1900091081570</v>
      </c>
      <c r="G78" s="178" t="s">
        <v>898</v>
      </c>
      <c r="H78" s="179">
        <v>0</v>
      </c>
      <c r="I78" s="180">
        <v>6.39</v>
      </c>
      <c r="J78" s="181">
        <v>21.84</v>
      </c>
      <c r="K78" s="181">
        <v>1.83</v>
      </c>
      <c r="L78" s="181">
        <v>1.83</v>
      </c>
      <c r="M78" s="182">
        <v>0</v>
      </c>
      <c r="N78" s="183">
        <v>2184.44</v>
      </c>
      <c r="O78" s="183">
        <v>0.05</v>
      </c>
      <c r="P78" s="183">
        <v>0.05</v>
      </c>
    </row>
    <row r="79" spans="1:16" ht="15" customHeight="1" x14ac:dyDescent="0.2">
      <c r="A79" s="38" t="s">
        <v>899</v>
      </c>
      <c r="B79" s="176">
        <v>816</v>
      </c>
      <c r="C79" s="177">
        <v>1900091200138</v>
      </c>
      <c r="D79" s="39" t="s">
        <v>899</v>
      </c>
      <c r="E79" s="176">
        <v>748</v>
      </c>
      <c r="F79" s="177">
        <v>1900091200147</v>
      </c>
      <c r="G79" s="178" t="s">
        <v>899</v>
      </c>
      <c r="H79" s="179">
        <v>0</v>
      </c>
      <c r="I79" s="180">
        <v>3.8340000000000001</v>
      </c>
      <c r="J79" s="181">
        <v>18.73</v>
      </c>
      <c r="K79" s="181">
        <v>3.78</v>
      </c>
      <c r="L79" s="181">
        <v>3.78</v>
      </c>
      <c r="M79" s="182">
        <v>0</v>
      </c>
      <c r="N79" s="183">
        <v>1311.19</v>
      </c>
      <c r="O79" s="183">
        <v>0.05</v>
      </c>
      <c r="P79" s="183">
        <v>0.05</v>
      </c>
    </row>
    <row r="80" spans="1:16" ht="15" customHeight="1" x14ac:dyDescent="0.2">
      <c r="A80" s="38" t="s">
        <v>900</v>
      </c>
      <c r="B80" s="176">
        <v>896</v>
      </c>
      <c r="C80" s="177">
        <v>1900091310596</v>
      </c>
      <c r="D80" s="39" t="s">
        <v>900</v>
      </c>
      <c r="E80" s="176">
        <v>709</v>
      </c>
      <c r="F80" s="177">
        <v>1900091310601</v>
      </c>
      <c r="G80" s="178" t="s">
        <v>900</v>
      </c>
      <c r="H80" s="179">
        <v>0</v>
      </c>
      <c r="I80" s="180">
        <v>0</v>
      </c>
      <c r="J80" s="181">
        <v>34.15</v>
      </c>
      <c r="K80" s="181">
        <v>1.19</v>
      </c>
      <c r="L80" s="181">
        <v>1.19</v>
      </c>
      <c r="M80" s="182">
        <v>0</v>
      </c>
      <c r="N80" s="183">
        <v>1393.15</v>
      </c>
      <c r="O80" s="183">
        <v>0.05</v>
      </c>
      <c r="P80" s="183">
        <v>0.05</v>
      </c>
    </row>
    <row r="81" spans="1:16" ht="15" customHeight="1" x14ac:dyDescent="0.2">
      <c r="A81" s="38" t="s">
        <v>901</v>
      </c>
      <c r="B81" s="176">
        <v>819</v>
      </c>
      <c r="C81" s="177">
        <v>1900091183402</v>
      </c>
      <c r="D81" s="39" t="s">
        <v>901</v>
      </c>
      <c r="E81" s="176">
        <v>751</v>
      </c>
      <c r="F81" s="177">
        <v>1900091183411</v>
      </c>
      <c r="G81" s="178" t="s">
        <v>901</v>
      </c>
      <c r="H81" s="179">
        <v>0</v>
      </c>
      <c r="I81" s="180">
        <v>2E-3</v>
      </c>
      <c r="J81" s="181">
        <v>4.25</v>
      </c>
      <c r="K81" s="181">
        <v>1.71</v>
      </c>
      <c r="L81" s="181">
        <v>1.71</v>
      </c>
      <c r="M81" s="182">
        <v>0</v>
      </c>
      <c r="N81" s="183">
        <v>530.88</v>
      </c>
      <c r="O81" s="183">
        <v>0.05</v>
      </c>
      <c r="P81" s="183">
        <v>0.05</v>
      </c>
    </row>
    <row r="82" spans="1:16" ht="15" customHeight="1" x14ac:dyDescent="0.2">
      <c r="A82" s="38" t="s">
        <v>902</v>
      </c>
      <c r="B82" s="176">
        <v>817</v>
      </c>
      <c r="C82" s="177">
        <v>1900091079241</v>
      </c>
      <c r="D82" s="39" t="s">
        <v>902</v>
      </c>
      <c r="E82" s="176">
        <v>749</v>
      </c>
      <c r="F82" s="177">
        <v>1900091079232</v>
      </c>
      <c r="G82" s="178" t="s">
        <v>902</v>
      </c>
      <c r="H82" s="179">
        <v>0</v>
      </c>
      <c r="I82" s="180">
        <v>0</v>
      </c>
      <c r="J82" s="181">
        <v>2.34</v>
      </c>
      <c r="K82" s="181">
        <v>2.85</v>
      </c>
      <c r="L82" s="181">
        <v>2.85</v>
      </c>
      <c r="M82" s="182">
        <v>0</v>
      </c>
      <c r="N82" s="183">
        <v>1122.02</v>
      </c>
      <c r="O82" s="183">
        <v>0.05</v>
      </c>
      <c r="P82" s="183">
        <v>0.05</v>
      </c>
    </row>
    <row r="83" spans="1:16" ht="15" customHeight="1" x14ac:dyDescent="0.2">
      <c r="A83" s="38" t="s">
        <v>903</v>
      </c>
      <c r="B83" s="176">
        <v>897</v>
      </c>
      <c r="C83" s="177">
        <v>1900091199138</v>
      </c>
      <c r="D83" s="39" t="s">
        <v>903</v>
      </c>
      <c r="E83" s="176">
        <v>710</v>
      </c>
      <c r="F83" s="177">
        <v>1900091199147</v>
      </c>
      <c r="G83" s="178" t="s">
        <v>903</v>
      </c>
      <c r="H83" s="179">
        <v>0</v>
      </c>
      <c r="I83" s="180">
        <v>0</v>
      </c>
      <c r="J83" s="181">
        <v>2815.57</v>
      </c>
      <c r="K83" s="181">
        <v>0.71</v>
      </c>
      <c r="L83" s="181">
        <v>0.71</v>
      </c>
      <c r="M83" s="182">
        <v>0</v>
      </c>
      <c r="N83" s="183">
        <v>14809.91</v>
      </c>
      <c r="O83" s="183">
        <v>0.05</v>
      </c>
      <c r="P83" s="183">
        <v>0.05</v>
      </c>
    </row>
    <row r="84" spans="1:16" ht="15" customHeight="1" x14ac:dyDescent="0.2">
      <c r="A84" s="38" t="s">
        <v>904</v>
      </c>
      <c r="B84" s="176">
        <v>800</v>
      </c>
      <c r="C84" s="177">
        <v>1900090585014</v>
      </c>
      <c r="D84" s="39" t="s">
        <v>904</v>
      </c>
      <c r="E84" s="176">
        <v>700</v>
      </c>
      <c r="F84" s="177">
        <v>1900090585005</v>
      </c>
      <c r="G84" s="178" t="s">
        <v>904</v>
      </c>
      <c r="H84" s="179">
        <v>0</v>
      </c>
      <c r="I84" s="180">
        <v>1.53</v>
      </c>
      <c r="J84" s="181">
        <v>66.89</v>
      </c>
      <c r="K84" s="181">
        <v>1.05</v>
      </c>
      <c r="L84" s="181">
        <v>1.05</v>
      </c>
      <c r="M84" s="182">
        <v>-1.6679999999999999</v>
      </c>
      <c r="N84" s="183">
        <v>468.24</v>
      </c>
      <c r="O84" s="183">
        <v>0.05</v>
      </c>
      <c r="P84" s="183">
        <v>0.05</v>
      </c>
    </row>
    <row r="85" spans="1:16" ht="30" customHeight="1" x14ac:dyDescent="0.2">
      <c r="A85" s="38" t="s">
        <v>905</v>
      </c>
      <c r="B85" s="176">
        <v>845</v>
      </c>
      <c r="C85" s="177" t="s">
        <v>961</v>
      </c>
      <c r="D85" s="39" t="s">
        <v>905</v>
      </c>
      <c r="E85" s="176">
        <v>698</v>
      </c>
      <c r="F85" s="177">
        <v>1900091718322</v>
      </c>
      <c r="G85" s="178" t="s">
        <v>905</v>
      </c>
      <c r="H85" s="179">
        <v>1</v>
      </c>
      <c r="I85" s="180">
        <v>1.7999999999999999E-2</v>
      </c>
      <c r="J85" s="181">
        <v>2498.23</v>
      </c>
      <c r="K85" s="181">
        <v>1.59</v>
      </c>
      <c r="L85" s="181">
        <v>1.59</v>
      </c>
      <c r="M85" s="182">
        <v>0</v>
      </c>
      <c r="N85" s="183">
        <v>2395.04</v>
      </c>
      <c r="O85" s="183">
        <v>0.05</v>
      </c>
      <c r="P85" s="183">
        <v>0.05</v>
      </c>
    </row>
    <row r="86" spans="1:16" ht="15" customHeight="1" x14ac:dyDescent="0.2">
      <c r="A86" s="38" t="s">
        <v>906</v>
      </c>
      <c r="B86" s="176">
        <v>820</v>
      </c>
      <c r="C86" s="177">
        <v>1900091197414</v>
      </c>
      <c r="D86" s="39" t="s">
        <v>906</v>
      </c>
      <c r="E86" s="176">
        <v>752</v>
      </c>
      <c r="F86" s="177">
        <v>1900091197423</v>
      </c>
      <c r="G86" s="178" t="s">
        <v>906</v>
      </c>
      <c r="H86" s="179">
        <v>0</v>
      </c>
      <c r="I86" s="180">
        <v>1.744</v>
      </c>
      <c r="J86" s="181">
        <v>9.75</v>
      </c>
      <c r="K86" s="181">
        <v>3.77</v>
      </c>
      <c r="L86" s="181">
        <v>3.77</v>
      </c>
      <c r="M86" s="182">
        <v>0</v>
      </c>
      <c r="N86" s="183">
        <v>1071.33</v>
      </c>
      <c r="O86" s="183">
        <v>0.05</v>
      </c>
      <c r="P86" s="183">
        <v>0.05</v>
      </c>
    </row>
    <row r="87" spans="1:16" ht="15" customHeight="1" x14ac:dyDescent="0.2">
      <c r="A87" s="38" t="s">
        <v>907</v>
      </c>
      <c r="B87" s="176">
        <v>805</v>
      </c>
      <c r="C87" s="177">
        <v>1900091024517</v>
      </c>
      <c r="D87" s="39" t="s">
        <v>907</v>
      </c>
      <c r="E87" s="176">
        <v>739</v>
      </c>
      <c r="F87" s="177">
        <v>1900091024526</v>
      </c>
      <c r="G87" s="178" t="s">
        <v>907</v>
      </c>
      <c r="H87" s="179">
        <v>0</v>
      </c>
      <c r="I87" s="180">
        <v>0</v>
      </c>
      <c r="J87" s="181">
        <v>7.05</v>
      </c>
      <c r="K87" s="181">
        <v>2.04</v>
      </c>
      <c r="L87" s="181">
        <v>2.04</v>
      </c>
      <c r="M87" s="182">
        <v>0</v>
      </c>
      <c r="N87" s="183">
        <v>1409.43</v>
      </c>
      <c r="O87" s="183">
        <v>0.05</v>
      </c>
      <c r="P87" s="183">
        <v>0.05</v>
      </c>
    </row>
    <row r="88" spans="1:16" ht="45" customHeight="1" x14ac:dyDescent="0.2">
      <c r="A88" s="38" t="s">
        <v>908</v>
      </c>
      <c r="B88" s="176">
        <v>898</v>
      </c>
      <c r="C88" s="177" t="s">
        <v>962</v>
      </c>
      <c r="D88" s="39" t="s">
        <v>908</v>
      </c>
      <c r="E88" s="176">
        <v>753</v>
      </c>
      <c r="F88" s="177" t="s">
        <v>952</v>
      </c>
      <c r="G88" s="178" t="s">
        <v>908</v>
      </c>
      <c r="H88" s="179">
        <v>0</v>
      </c>
      <c r="I88" s="180">
        <v>0</v>
      </c>
      <c r="J88" s="181">
        <v>8.84</v>
      </c>
      <c r="K88" s="181">
        <v>2.4300000000000002</v>
      </c>
      <c r="L88" s="181">
        <v>2.4300000000000002</v>
      </c>
      <c r="M88" s="182">
        <v>0</v>
      </c>
      <c r="N88" s="183">
        <v>1591.56</v>
      </c>
      <c r="O88" s="183">
        <v>0.05</v>
      </c>
      <c r="P88" s="183">
        <v>0.05</v>
      </c>
    </row>
    <row r="89" spans="1:16" ht="15" customHeight="1" x14ac:dyDescent="0.2">
      <c r="A89" s="38" t="s">
        <v>909</v>
      </c>
      <c r="B89" s="176">
        <v>822</v>
      </c>
      <c r="C89" s="177">
        <v>1900091216634</v>
      </c>
      <c r="D89" s="39" t="s">
        <v>909</v>
      </c>
      <c r="E89" s="176">
        <v>754</v>
      </c>
      <c r="F89" s="177">
        <v>1900091216643</v>
      </c>
      <c r="G89" s="178" t="s">
        <v>909</v>
      </c>
      <c r="H89" s="179">
        <v>0</v>
      </c>
      <c r="I89" s="180">
        <v>12.693</v>
      </c>
      <c r="J89" s="181">
        <v>7.39</v>
      </c>
      <c r="K89" s="181">
        <v>1.51</v>
      </c>
      <c r="L89" s="181">
        <v>1.51</v>
      </c>
      <c r="M89" s="182">
        <v>0</v>
      </c>
      <c r="N89" s="183">
        <v>1171.06</v>
      </c>
      <c r="O89" s="183">
        <v>0.05</v>
      </c>
      <c r="P89" s="183">
        <v>0.05</v>
      </c>
    </row>
    <row r="90" spans="1:16" ht="15" customHeight="1" x14ac:dyDescent="0.2">
      <c r="A90" s="38" t="s">
        <v>910</v>
      </c>
      <c r="B90" s="176">
        <v>827</v>
      </c>
      <c r="C90" s="177">
        <v>1900091227307</v>
      </c>
      <c r="D90" s="39" t="s">
        <v>910</v>
      </c>
      <c r="E90" s="176">
        <v>719</v>
      </c>
      <c r="F90" s="177">
        <v>1900091227316</v>
      </c>
      <c r="G90" s="178" t="s">
        <v>910</v>
      </c>
      <c r="H90" s="179">
        <v>0</v>
      </c>
      <c r="I90" s="180">
        <v>0</v>
      </c>
      <c r="J90" s="181">
        <v>10.49</v>
      </c>
      <c r="K90" s="181">
        <v>0.95</v>
      </c>
      <c r="L90" s="181">
        <v>0.95</v>
      </c>
      <c r="M90" s="182">
        <v>0</v>
      </c>
      <c r="N90" s="183">
        <v>524.64</v>
      </c>
      <c r="O90" s="183">
        <v>0.05</v>
      </c>
      <c r="P90" s="183">
        <v>0.05</v>
      </c>
    </row>
    <row r="91" spans="1:16" ht="15" customHeight="1" x14ac:dyDescent="0.2">
      <c r="A91" s="38" t="s">
        <v>911</v>
      </c>
      <c r="B91" s="176">
        <v>899</v>
      </c>
      <c r="C91" s="177">
        <v>1900091319942</v>
      </c>
      <c r="D91" s="39" t="s">
        <v>911</v>
      </c>
      <c r="E91" s="176">
        <v>717</v>
      </c>
      <c r="F91" s="177">
        <v>1900091320006</v>
      </c>
      <c r="G91" s="178" t="s">
        <v>911</v>
      </c>
      <c r="H91" s="179">
        <v>0</v>
      </c>
      <c r="I91" s="180">
        <v>1.734</v>
      </c>
      <c r="J91" s="181">
        <v>7.35</v>
      </c>
      <c r="K91" s="181">
        <v>1.53</v>
      </c>
      <c r="L91" s="181">
        <v>1.53</v>
      </c>
      <c r="M91" s="182">
        <v>0</v>
      </c>
      <c r="N91" s="183">
        <v>1106.18</v>
      </c>
      <c r="O91" s="183">
        <v>0.05</v>
      </c>
      <c r="P91" s="183">
        <v>0.05</v>
      </c>
    </row>
    <row r="92" spans="1:16" ht="15" customHeight="1" x14ac:dyDescent="0.2">
      <c r="A92" s="38" t="s">
        <v>912</v>
      </c>
      <c r="B92" s="176">
        <v>826</v>
      </c>
      <c r="C92" s="177">
        <v>1900091178954</v>
      </c>
      <c r="D92" s="39" t="s">
        <v>912</v>
      </c>
      <c r="E92" s="176">
        <v>703</v>
      </c>
      <c r="F92" s="177">
        <v>1900091178963</v>
      </c>
      <c r="G92" s="178" t="s">
        <v>912</v>
      </c>
      <c r="H92" s="179">
        <v>0</v>
      </c>
      <c r="I92" s="180">
        <v>0</v>
      </c>
      <c r="J92" s="181">
        <v>19.97</v>
      </c>
      <c r="K92" s="181">
        <v>1.89</v>
      </c>
      <c r="L92" s="181">
        <v>1.89</v>
      </c>
      <c r="M92" s="182">
        <v>0</v>
      </c>
      <c r="N92" s="183">
        <v>1996.97</v>
      </c>
      <c r="O92" s="183">
        <v>0.05</v>
      </c>
      <c r="P92" s="183">
        <v>0.05</v>
      </c>
    </row>
    <row r="93" spans="1:16" ht="15" customHeight="1" x14ac:dyDescent="0.2">
      <c r="A93" s="38" t="s">
        <v>913</v>
      </c>
      <c r="B93" s="176">
        <v>900</v>
      </c>
      <c r="C93" s="177">
        <v>1900091360950</v>
      </c>
      <c r="D93" s="39" t="s">
        <v>913</v>
      </c>
      <c r="E93" s="176">
        <v>720</v>
      </c>
      <c r="F93" s="177">
        <v>1900091360969</v>
      </c>
      <c r="G93" s="178" t="s">
        <v>913</v>
      </c>
      <c r="H93" s="179">
        <v>0</v>
      </c>
      <c r="I93" s="180">
        <v>0.44900000000000001</v>
      </c>
      <c r="J93" s="181">
        <v>6.32</v>
      </c>
      <c r="K93" s="181">
        <v>1.57</v>
      </c>
      <c r="L93" s="181">
        <v>1.57</v>
      </c>
      <c r="M93" s="182">
        <v>0</v>
      </c>
      <c r="N93" s="183">
        <v>1226.22</v>
      </c>
      <c r="O93" s="183">
        <v>0.05</v>
      </c>
      <c r="P93" s="183">
        <v>0.05</v>
      </c>
    </row>
    <row r="94" spans="1:16" ht="15" customHeight="1" x14ac:dyDescent="0.2">
      <c r="A94" s="38" t="s">
        <v>914</v>
      </c>
      <c r="B94" s="176"/>
      <c r="C94" s="177" t="s">
        <v>953</v>
      </c>
      <c r="D94" s="39" t="s">
        <v>914</v>
      </c>
      <c r="E94" s="176"/>
      <c r="F94" s="177" t="s">
        <v>953</v>
      </c>
      <c r="G94" s="178" t="s">
        <v>914</v>
      </c>
      <c r="H94" s="179">
        <v>0</v>
      </c>
      <c r="I94" s="180">
        <v>3.7490000000000001</v>
      </c>
      <c r="J94" s="181">
        <v>2.2999999999999998</v>
      </c>
      <c r="K94" s="181">
        <v>2.84</v>
      </c>
      <c r="L94" s="181">
        <v>2.84</v>
      </c>
      <c r="M94" s="182">
        <v>-3.7490000000000001</v>
      </c>
      <c r="N94" s="183">
        <v>184.23</v>
      </c>
      <c r="O94" s="183">
        <v>0.05</v>
      </c>
      <c r="P94" s="183">
        <v>0.05</v>
      </c>
    </row>
    <row r="95" spans="1:16" ht="15" customHeight="1" x14ac:dyDescent="0.2">
      <c r="A95" s="38" t="s">
        <v>915</v>
      </c>
      <c r="B95" s="176">
        <v>832</v>
      </c>
      <c r="C95" s="177">
        <v>1900091420128</v>
      </c>
      <c r="D95" s="39" t="s">
        <v>915</v>
      </c>
      <c r="E95" s="176">
        <v>718</v>
      </c>
      <c r="F95" s="177">
        <v>1900091420137</v>
      </c>
      <c r="G95" s="178" t="s">
        <v>915</v>
      </c>
      <c r="H95" s="179">
        <v>0</v>
      </c>
      <c r="I95" s="180">
        <v>2.3660000000000001</v>
      </c>
      <c r="J95" s="181">
        <v>78.23</v>
      </c>
      <c r="K95" s="181">
        <v>1.4</v>
      </c>
      <c r="L95" s="181">
        <v>1.4</v>
      </c>
      <c r="M95" s="182">
        <v>0</v>
      </c>
      <c r="N95" s="183">
        <v>2933.66</v>
      </c>
      <c r="O95" s="183">
        <v>0.05</v>
      </c>
      <c r="P95" s="183">
        <v>0.05</v>
      </c>
    </row>
    <row r="96" spans="1:16" ht="15" customHeight="1" x14ac:dyDescent="0.2">
      <c r="A96" s="38" t="s">
        <v>916</v>
      </c>
      <c r="B96" s="176"/>
      <c r="C96" s="177" t="s">
        <v>954</v>
      </c>
      <c r="D96" s="39" t="s">
        <v>916</v>
      </c>
      <c r="E96" s="176"/>
      <c r="F96" s="177" t="s">
        <v>954</v>
      </c>
      <c r="G96" s="178" t="s">
        <v>916</v>
      </c>
      <c r="H96" s="179">
        <v>2</v>
      </c>
      <c r="I96" s="180">
        <v>5.0000000000000001E-3</v>
      </c>
      <c r="J96" s="181">
        <v>16376.02</v>
      </c>
      <c r="K96" s="181">
        <v>1.42</v>
      </c>
      <c r="L96" s="181">
        <v>1.42</v>
      </c>
      <c r="M96" s="182">
        <v>0</v>
      </c>
      <c r="N96" s="183">
        <v>0</v>
      </c>
      <c r="O96" s="183">
        <v>0</v>
      </c>
      <c r="P96" s="183">
        <v>0</v>
      </c>
    </row>
    <row r="97" spans="1:16" ht="30" customHeight="1" x14ac:dyDescent="0.2">
      <c r="A97" s="38" t="s">
        <v>917</v>
      </c>
      <c r="B97" s="176">
        <v>823</v>
      </c>
      <c r="C97" s="177" t="s">
        <v>955</v>
      </c>
      <c r="D97" s="39" t="s">
        <v>917</v>
      </c>
      <c r="E97" s="176">
        <v>755</v>
      </c>
      <c r="F97" s="177" t="s">
        <v>956</v>
      </c>
      <c r="G97" s="178" t="s">
        <v>917</v>
      </c>
      <c r="H97" s="179">
        <v>0</v>
      </c>
      <c r="I97" s="180">
        <v>8.9999999999999993E-3</v>
      </c>
      <c r="J97" s="181">
        <v>64.88</v>
      </c>
      <c r="K97" s="181">
        <v>1.26</v>
      </c>
      <c r="L97" s="181">
        <v>1.26</v>
      </c>
      <c r="M97" s="182">
        <v>0</v>
      </c>
      <c r="N97" s="183">
        <v>2724.79</v>
      </c>
      <c r="O97" s="183">
        <v>0.05</v>
      </c>
      <c r="P97" s="183">
        <v>0.05</v>
      </c>
    </row>
    <row r="98" spans="1:16" ht="15" customHeight="1" x14ac:dyDescent="0.2">
      <c r="A98" s="38" t="s">
        <v>918</v>
      </c>
      <c r="B98" s="176">
        <v>883</v>
      </c>
      <c r="C98" s="177">
        <v>1900060830217</v>
      </c>
      <c r="D98" s="39" t="s">
        <v>918</v>
      </c>
      <c r="E98" s="176">
        <v>729</v>
      </c>
      <c r="F98" s="177">
        <v>1900060830226</v>
      </c>
      <c r="G98" s="178" t="s">
        <v>918</v>
      </c>
      <c r="H98" s="179">
        <v>1</v>
      </c>
      <c r="I98" s="180">
        <v>4.093</v>
      </c>
      <c r="J98" s="181">
        <v>4707.2700000000004</v>
      </c>
      <c r="K98" s="181">
        <v>1.27</v>
      </c>
      <c r="L98" s="181">
        <v>1.27</v>
      </c>
      <c r="M98" s="182">
        <v>0</v>
      </c>
      <c r="N98" s="183">
        <v>0</v>
      </c>
      <c r="O98" s="183">
        <v>0</v>
      </c>
      <c r="P98" s="183">
        <v>0</v>
      </c>
    </row>
    <row r="99" spans="1:16" ht="15" customHeight="1" x14ac:dyDescent="0.2">
      <c r="A99" s="38" t="s">
        <v>919</v>
      </c>
      <c r="B99" s="176">
        <v>807</v>
      </c>
      <c r="C99" s="177">
        <v>1900091090096</v>
      </c>
      <c r="D99" s="39" t="s">
        <v>919</v>
      </c>
      <c r="E99" s="176">
        <v>737</v>
      </c>
      <c r="F99" s="177">
        <v>1900091090101</v>
      </c>
      <c r="G99" s="178" t="s">
        <v>919</v>
      </c>
      <c r="H99" s="179">
        <v>0</v>
      </c>
      <c r="I99" s="180">
        <v>1.518</v>
      </c>
      <c r="J99" s="181">
        <v>98.37</v>
      </c>
      <c r="K99" s="181">
        <v>2.75</v>
      </c>
      <c r="L99" s="181">
        <v>2.75</v>
      </c>
      <c r="M99" s="182">
        <v>0</v>
      </c>
      <c r="N99" s="183">
        <v>3541.46</v>
      </c>
      <c r="O99" s="183">
        <v>0.05</v>
      </c>
      <c r="P99" s="183">
        <v>0.05</v>
      </c>
    </row>
    <row r="100" spans="1:16" ht="75" customHeight="1" x14ac:dyDescent="0.2">
      <c r="A100" s="187" t="s">
        <v>920</v>
      </c>
      <c r="B100" s="188">
        <v>850</v>
      </c>
      <c r="C100" s="189" t="s">
        <v>957</v>
      </c>
      <c r="D100" s="190" t="s">
        <v>920</v>
      </c>
      <c r="E100" s="188">
        <v>733</v>
      </c>
      <c r="F100" s="189" t="s">
        <v>958</v>
      </c>
      <c r="G100" s="191" t="s">
        <v>920</v>
      </c>
      <c r="H100" s="192">
        <v>4</v>
      </c>
      <c r="I100" s="193">
        <v>0</v>
      </c>
      <c r="J100" s="194">
        <v>72404.61</v>
      </c>
      <c r="K100" s="194">
        <v>1.74</v>
      </c>
      <c r="L100" s="194">
        <v>1.74</v>
      </c>
      <c r="M100" s="195">
        <v>-1.2290000000000001</v>
      </c>
      <c r="N100" s="196">
        <v>5475.62</v>
      </c>
      <c r="O100" s="196">
        <v>0.05</v>
      </c>
      <c r="P100" s="196">
        <v>0.05</v>
      </c>
    </row>
    <row r="101" spans="1:16" ht="15" customHeight="1" x14ac:dyDescent="0.2">
      <c r="A101" s="38" t="s">
        <v>921</v>
      </c>
      <c r="B101" s="176"/>
      <c r="C101" s="177" t="s">
        <v>1708</v>
      </c>
      <c r="D101" s="39" t="s">
        <v>921</v>
      </c>
      <c r="E101" s="176"/>
      <c r="F101" s="177" t="s">
        <v>1708</v>
      </c>
      <c r="G101" s="178" t="s">
        <v>921</v>
      </c>
      <c r="H101" s="179">
        <v>1</v>
      </c>
      <c r="I101" s="180">
        <v>8.5999999999999993E-2</v>
      </c>
      <c r="J101" s="181">
        <v>2516.87</v>
      </c>
      <c r="K101" s="181">
        <v>1.75</v>
      </c>
      <c r="L101" s="181">
        <v>1.75</v>
      </c>
      <c r="M101" s="182">
        <v>0</v>
      </c>
      <c r="N101" s="183">
        <v>2594.9</v>
      </c>
      <c r="O101" s="183">
        <v>0.05</v>
      </c>
      <c r="P101" s="183">
        <v>0.05</v>
      </c>
    </row>
    <row r="102" spans="1:16" ht="15" customHeight="1" x14ac:dyDescent="0.2">
      <c r="A102" s="38" t="s">
        <v>922</v>
      </c>
      <c r="B102" s="176">
        <v>818</v>
      </c>
      <c r="C102" s="177">
        <v>1900091171364</v>
      </c>
      <c r="D102" s="39" t="s">
        <v>922</v>
      </c>
      <c r="E102" s="176">
        <v>750</v>
      </c>
      <c r="F102" s="177">
        <v>1900091171373</v>
      </c>
      <c r="G102" s="178" t="s">
        <v>922</v>
      </c>
      <c r="H102" s="179">
        <v>0</v>
      </c>
      <c r="I102" s="180">
        <v>0</v>
      </c>
      <c r="J102" s="181">
        <v>33.33</v>
      </c>
      <c r="K102" s="181">
        <v>1.61</v>
      </c>
      <c r="L102" s="181">
        <v>1.61</v>
      </c>
      <c r="M102" s="182">
        <v>0</v>
      </c>
      <c r="N102" s="183">
        <v>3465.86</v>
      </c>
      <c r="O102" s="183">
        <v>0.05</v>
      </c>
      <c r="P102" s="183">
        <v>0.05</v>
      </c>
    </row>
    <row r="103" spans="1:16" ht="15" customHeight="1" x14ac:dyDescent="0.2">
      <c r="A103" s="38" t="s">
        <v>923</v>
      </c>
      <c r="B103" s="176">
        <v>828</v>
      </c>
      <c r="C103" s="177">
        <v>1900091363000</v>
      </c>
      <c r="D103" s="39" t="s">
        <v>923</v>
      </c>
      <c r="E103" s="176">
        <v>711</v>
      </c>
      <c r="F103" s="177">
        <v>1900091363019</v>
      </c>
      <c r="G103" s="178" t="s">
        <v>923</v>
      </c>
      <c r="H103" s="179">
        <v>1</v>
      </c>
      <c r="I103" s="180">
        <v>0.68200000000000005</v>
      </c>
      <c r="J103" s="181">
        <v>2542.91</v>
      </c>
      <c r="K103" s="181">
        <v>1.3</v>
      </c>
      <c r="L103" s="181">
        <v>1.3</v>
      </c>
      <c r="M103" s="182">
        <v>0</v>
      </c>
      <c r="N103" s="183">
        <v>3940.79</v>
      </c>
      <c r="O103" s="183">
        <v>0.05</v>
      </c>
      <c r="P103" s="183">
        <v>0.05</v>
      </c>
    </row>
    <row r="104" spans="1:16" ht="15" customHeight="1" x14ac:dyDescent="0.2">
      <c r="A104" s="38" t="s">
        <v>924</v>
      </c>
      <c r="B104" s="176">
        <v>825</v>
      </c>
      <c r="C104" s="177">
        <v>1900091207124</v>
      </c>
      <c r="D104" s="39" t="s">
        <v>924</v>
      </c>
      <c r="E104" s="176">
        <v>702</v>
      </c>
      <c r="F104" s="177">
        <v>1900091207133</v>
      </c>
      <c r="G104" s="178" t="s">
        <v>924</v>
      </c>
      <c r="H104" s="179">
        <v>0</v>
      </c>
      <c r="I104" s="180">
        <v>1.4999999999999999E-2</v>
      </c>
      <c r="J104" s="181">
        <v>37.46</v>
      </c>
      <c r="K104" s="181">
        <v>1.7</v>
      </c>
      <c r="L104" s="181">
        <v>1.7</v>
      </c>
      <c r="M104" s="182">
        <v>0</v>
      </c>
      <c r="N104" s="183">
        <v>4494.97</v>
      </c>
      <c r="O104" s="183">
        <v>0.05</v>
      </c>
      <c r="P104" s="183">
        <v>0.05</v>
      </c>
    </row>
    <row r="105" spans="1:16" ht="15" customHeight="1" x14ac:dyDescent="0.2">
      <c r="A105" s="38" t="s">
        <v>925</v>
      </c>
      <c r="B105" s="176">
        <v>821</v>
      </c>
      <c r="C105" s="177">
        <v>1900091478493</v>
      </c>
      <c r="D105" s="39" t="s">
        <v>925</v>
      </c>
      <c r="E105" s="176">
        <v>714</v>
      </c>
      <c r="F105" s="177">
        <v>1900091478509</v>
      </c>
      <c r="G105" s="178" t="s">
        <v>925</v>
      </c>
      <c r="H105" s="179">
        <v>0</v>
      </c>
      <c r="I105" s="180">
        <v>4.8849999999999998</v>
      </c>
      <c r="J105" s="181">
        <v>29.24</v>
      </c>
      <c r="K105" s="181">
        <v>1.7</v>
      </c>
      <c r="L105" s="181">
        <v>1.7</v>
      </c>
      <c r="M105" s="182">
        <v>0</v>
      </c>
      <c r="N105" s="183">
        <v>2339.33</v>
      </c>
      <c r="O105" s="183">
        <v>0.05</v>
      </c>
      <c r="P105" s="183">
        <v>0.05</v>
      </c>
    </row>
    <row r="106" spans="1:16" ht="15" customHeight="1" x14ac:dyDescent="0.2">
      <c r="A106" s="38" t="s">
        <v>926</v>
      </c>
      <c r="B106" s="176">
        <v>829</v>
      </c>
      <c r="C106" s="177">
        <v>1900091315238</v>
      </c>
      <c r="D106" s="39" t="s">
        <v>926</v>
      </c>
      <c r="E106" s="176">
        <v>715</v>
      </c>
      <c r="F106" s="177">
        <v>1900091315229</v>
      </c>
      <c r="G106" s="178" t="s">
        <v>926</v>
      </c>
      <c r="H106" s="179">
        <v>0</v>
      </c>
      <c r="I106" s="180">
        <v>8.4619999999999997</v>
      </c>
      <c r="J106" s="181">
        <v>5.3</v>
      </c>
      <c r="K106" s="181">
        <v>1.47</v>
      </c>
      <c r="L106" s="181">
        <v>1.47</v>
      </c>
      <c r="M106" s="182">
        <v>0</v>
      </c>
      <c r="N106" s="183">
        <v>529.83000000000004</v>
      </c>
      <c r="O106" s="183">
        <v>0.05</v>
      </c>
      <c r="P106" s="183">
        <v>0.05</v>
      </c>
    </row>
    <row r="107" spans="1:16" ht="30" customHeight="1" x14ac:dyDescent="0.2">
      <c r="A107" s="38" t="s">
        <v>927</v>
      </c>
      <c r="B107" s="176">
        <v>887</v>
      </c>
      <c r="C107" s="177">
        <v>1900070394457</v>
      </c>
      <c r="D107" s="39" t="s">
        <v>927</v>
      </c>
      <c r="E107" s="176">
        <v>731</v>
      </c>
      <c r="F107" s="177" t="s">
        <v>959</v>
      </c>
      <c r="G107" s="178" t="s">
        <v>927</v>
      </c>
      <c r="H107" s="179">
        <v>0</v>
      </c>
      <c r="I107" s="180">
        <v>5.0190000000000001</v>
      </c>
      <c r="J107" s="181">
        <v>1234.5899999999999</v>
      </c>
      <c r="K107" s="181">
        <v>0.8</v>
      </c>
      <c r="L107" s="181">
        <v>0.8</v>
      </c>
      <c r="M107" s="182">
        <v>0</v>
      </c>
      <c r="N107" s="183">
        <v>0</v>
      </c>
      <c r="O107" s="183">
        <v>0</v>
      </c>
      <c r="P107" s="183">
        <v>0</v>
      </c>
    </row>
    <row r="108" spans="1:16" ht="15" customHeight="1" x14ac:dyDescent="0.2">
      <c r="A108" s="38" t="s">
        <v>928</v>
      </c>
      <c r="B108" s="176">
        <v>806</v>
      </c>
      <c r="C108" s="177">
        <v>1900091086531</v>
      </c>
      <c r="D108" s="39" t="s">
        <v>928</v>
      </c>
      <c r="E108" s="176">
        <v>740</v>
      </c>
      <c r="F108" s="177">
        <v>1900091086540</v>
      </c>
      <c r="G108" s="178" t="s">
        <v>928</v>
      </c>
      <c r="H108" s="179">
        <v>0</v>
      </c>
      <c r="I108" s="180">
        <v>0</v>
      </c>
      <c r="J108" s="181">
        <v>21.84</v>
      </c>
      <c r="K108" s="181">
        <v>1.87</v>
      </c>
      <c r="L108" s="181">
        <v>1.87</v>
      </c>
      <c r="M108" s="182">
        <v>0</v>
      </c>
      <c r="N108" s="183">
        <v>2184.44</v>
      </c>
      <c r="O108" s="183">
        <v>0.05</v>
      </c>
      <c r="P108" s="183">
        <v>0.05</v>
      </c>
    </row>
  </sheetData>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4" customWidth="1"/>
    <col min="2" max="2" width="8.7109375" style="44" customWidth="1"/>
    <col min="3" max="3" width="15.7109375" style="50" bestFit="1" customWidth="1"/>
    <col min="4" max="4" width="50.7109375" style="50" customWidth="1"/>
    <col min="5" max="5" width="14.7109375" style="51" customWidth="1"/>
    <col min="6" max="7" width="14.7109375" style="52" customWidth="1"/>
    <col min="8" max="8" width="14.7109375" style="44" customWidth="1"/>
    <col min="9" max="9" width="15.5703125" style="44" customWidth="1"/>
    <col min="10" max="13" width="9.140625" style="44"/>
    <col min="14" max="14" width="9.42578125" style="44" bestFit="1" customWidth="1"/>
    <col min="15" max="16384" width="9.140625" style="44"/>
  </cols>
  <sheetData>
    <row r="1" spans="1:14" ht="66.75" customHeight="1" x14ac:dyDescent="0.2">
      <c r="A1" s="256" t="s">
        <v>67</v>
      </c>
      <c r="B1" s="256"/>
      <c r="C1" s="256"/>
      <c r="D1" s="256"/>
      <c r="E1" s="256"/>
      <c r="F1" s="256"/>
      <c r="G1" s="256"/>
      <c r="H1" s="256"/>
    </row>
    <row r="2" spans="1:14" s="45" customFormat="1" ht="25.5" customHeight="1" x14ac:dyDescent="0.2">
      <c r="A2" s="253" t="str">
        <f>Overview!B4&amp; " - Effective from "&amp;Overview!D4&amp;" - "&amp;Overview!E4&amp;" EDCM import charges"</f>
        <v>South Eastern Power Networks - Effective from 1 April 2024 - Final EDCM import charges</v>
      </c>
      <c r="B2" s="254"/>
      <c r="C2" s="254"/>
      <c r="D2" s="254"/>
      <c r="E2" s="254"/>
      <c r="F2" s="254"/>
      <c r="G2" s="254"/>
      <c r="H2" s="255"/>
    </row>
    <row r="3" spans="1:14" s="69" customFormat="1" ht="18" x14ac:dyDescent="0.2">
      <c r="A3" s="73"/>
      <c r="B3" s="73"/>
      <c r="C3" s="73"/>
      <c r="D3" s="74"/>
      <c r="E3" s="75"/>
      <c r="F3" s="75"/>
      <c r="G3" s="76"/>
      <c r="H3" s="76"/>
      <c r="I3" s="68"/>
      <c r="J3" s="68"/>
      <c r="K3" s="68"/>
      <c r="L3" s="68"/>
      <c r="M3" s="68"/>
      <c r="N3" s="68"/>
    </row>
    <row r="4" spans="1:14" ht="60.75" customHeight="1" x14ac:dyDescent="0.2">
      <c r="A4" s="46" t="s">
        <v>52</v>
      </c>
      <c r="B4" s="47" t="s">
        <v>35</v>
      </c>
      <c r="C4" s="46" t="s">
        <v>36</v>
      </c>
      <c r="D4" s="48" t="s">
        <v>30</v>
      </c>
      <c r="E4" s="114" t="str">
        <f>'Annex 2 EHV charges'!I9</f>
        <v>Import
Super Red
unit charge
(p/kWh)</v>
      </c>
      <c r="F4" s="114" t="str">
        <f>'Annex 2 EHV charges'!J9</f>
        <v>Import
fixed charge
(p/day)</v>
      </c>
      <c r="G4" s="114" t="str">
        <f>'Annex 2 EHV charges'!K9</f>
        <v>Import
capacity charge
(p/kVA/day)</v>
      </c>
      <c r="H4" s="114" t="str">
        <f>'Annex 2 EHV charges'!L9</f>
        <v>Import
exceeded capacity charge
(p/kVA/day)</v>
      </c>
    </row>
    <row r="5" spans="1:14" ht="12.75" customHeight="1" x14ac:dyDescent="0.2">
      <c r="A5" s="80" t="str">
        <f t="array" ref="A5">IFERROR(INDEX('Annex 2 EHV charges'!$A$10:$A$108, MATCH(0, IF(ISBLANK('Annex 2 EHV charges'!$A$10:$A$108),1, COUNTIF(A$4:$A4, 'Annex 2 EHV charges'!$A$10:$A$108)), 0)),"")</f>
        <v>B&amp;RLTD</v>
      </c>
      <c r="B5" s="80">
        <f>IF($A5="","",VLOOKUP($A5,'Annex 2 EHV charges'!$A:$O,2,0))</f>
        <v>834</v>
      </c>
      <c r="C5" s="81" t="str">
        <f>IF($A5="","",VLOOKUP($A5,'Annex 2 EHV charges'!$A:$O,3,0))</f>
        <v>1900035000482;1900035425153</v>
      </c>
      <c r="D5" s="80" t="str">
        <f>IF($A5="","",VLOOKUP($A5,'Annex 2 EHV charges'!$A:$O,7,0))</f>
        <v>B&amp;RLTD</v>
      </c>
      <c r="E5" s="85">
        <f>IFERROR(IF(VLOOKUP($A5,'Annex 2 EHV charges'!$A:$O,9,FALSE)=0,"",VLOOKUP($A5,'Annex 2 EHV charges'!$A:$O,9,FALSE)),"")</f>
        <v>1.8620000000000001</v>
      </c>
      <c r="F5" s="86">
        <f>IFERROR(IF(VLOOKUP($A5,'Annex 2 EHV charges'!$A:$O,10,FALSE)=0,"",VLOOKUP($A5,'Annex 2 EHV charges'!$A:$O,10,FALSE)),"")</f>
        <v>2865.31</v>
      </c>
      <c r="G5" s="87">
        <f>IFERROR(IF(VLOOKUP($A5,'Annex 2 EHV charges'!$A:$O,11,FALSE)=0,"",VLOOKUP($A5,'Annex 2 EHV charges'!$A:$O,11,FALSE)),"")</f>
        <v>2.97</v>
      </c>
      <c r="H5" s="87">
        <f>IFERROR(IF(VLOOKUP($A5,'Annex 2 EHV charges'!$A:$O,12,FALSE)=0,"",VLOOKUP($A5,'Annex 2 EHV charges'!$A:$O,12,FALSE)),"")</f>
        <v>2.97</v>
      </c>
    </row>
    <row r="6" spans="1:14" ht="12.75" customHeight="1" x14ac:dyDescent="0.2">
      <c r="A6" s="80" t="str">
        <f t="array" ref="A6">IFERROR(INDEX('Annex 2 EHV charges'!$A$10:$A$108, MATCH(0, IF(ISBLANK('Annex 2 EHV charges'!$A$10:$A$108),1, COUNTIF(A$4:$A5, 'Annex 2 EHV charges'!$A$10:$A$108)), 0)),"")</f>
        <v>BEDDIN</v>
      </c>
      <c r="B6" s="80">
        <f>IF($A6="","",VLOOKUP($A6,'Annex 2 EHV charges'!$A:$O,2,0))</f>
        <v>889</v>
      </c>
      <c r="C6" s="81" t="str">
        <f>IF($A6="","",VLOOKUP($A6,'Annex 2 EHV charges'!$A:$O,3,0))</f>
        <v>1900070745640;1900070745650;1900070745669;1900070745678</v>
      </c>
      <c r="D6" s="80" t="str">
        <f>IF($A6="","",VLOOKUP($A6,'Annex 2 EHV charges'!$A:$O,7,0))</f>
        <v>BEDDIN</v>
      </c>
      <c r="E6" s="85">
        <f>IFERROR(IF(VLOOKUP($A6,'Annex 2 EHV charges'!$A:$O,9,FALSE)=0,"",VLOOKUP($A6,'Annex 2 EHV charges'!$A:$O,9,FALSE)),"")</f>
        <v>5.0000000000000001E-3</v>
      </c>
      <c r="F6" s="86">
        <f>IFERROR(IF(VLOOKUP($A6,'Annex 2 EHV charges'!$A:$O,10,FALSE)=0,"",VLOOKUP($A6,'Annex 2 EHV charges'!$A:$O,10,FALSE)),"")</f>
        <v>16076.25</v>
      </c>
      <c r="G6" s="87">
        <f>IFERROR(IF(VLOOKUP($A6,'Annex 2 EHV charges'!$A:$O,11,FALSE)=0,"",VLOOKUP($A6,'Annex 2 EHV charges'!$A:$O,11,FALSE)),"")</f>
        <v>1.45</v>
      </c>
      <c r="H6" s="87">
        <f>IFERROR(IF(VLOOKUP($A6,'Annex 2 EHV charges'!$A:$O,12,FALSE)=0,"",VLOOKUP($A6,'Annex 2 EHV charges'!$A:$O,12,FALSE)),"")</f>
        <v>1.45</v>
      </c>
    </row>
    <row r="7" spans="1:14" ht="12.75" customHeight="1" x14ac:dyDescent="0.2">
      <c r="A7" s="80" t="str">
        <f t="array" ref="A7">IFERROR(INDEX('Annex 2 EHV charges'!$A$10:$A$108, MATCH(0, IF(ISBLANK('Annex 2 EHV charges'!$A$10:$A$108),1, COUNTIF(A$4:$A6, 'Annex 2 EHV charges'!$A$10:$A$108)), 0)),"")</f>
        <v>BP_OIL</v>
      </c>
      <c r="B7" s="80">
        <f>IF($A7="","",VLOOKUP($A7,'Annex 2 EHV charges'!$A:$O,2,0))</f>
        <v>835</v>
      </c>
      <c r="C7" s="81" t="str">
        <f>IF($A7="","",VLOOKUP($A7,'Annex 2 EHV charges'!$A:$O,3,0))</f>
        <v>1900017426438;1900017426447</v>
      </c>
      <c r="D7" s="80" t="str">
        <f>IF($A7="","",VLOOKUP($A7,'Annex 2 EHV charges'!$A:$O,7,0))</f>
        <v>BP_OIL</v>
      </c>
      <c r="E7" s="85">
        <f>IFERROR(IF(VLOOKUP($A7,'Annex 2 EHV charges'!$A:$O,9,FALSE)=0,"",VLOOKUP($A7,'Annex 2 EHV charges'!$A:$O,9,FALSE)),"")</f>
        <v>0.312</v>
      </c>
      <c r="F7" s="86">
        <f>IFERROR(IF(VLOOKUP($A7,'Annex 2 EHV charges'!$A:$O,10,FALSE)=0,"",VLOOKUP($A7,'Annex 2 EHV charges'!$A:$O,10,FALSE)),"")</f>
        <v>2865.31</v>
      </c>
      <c r="G7" s="87">
        <f>IFERROR(IF(VLOOKUP($A7,'Annex 2 EHV charges'!$A:$O,11,FALSE)=0,"",VLOOKUP($A7,'Annex 2 EHV charges'!$A:$O,11,FALSE)),"")</f>
        <v>1.43</v>
      </c>
      <c r="H7" s="87">
        <f>IFERROR(IF(VLOOKUP($A7,'Annex 2 EHV charges'!$A:$O,12,FALSE)=0,"",VLOOKUP($A7,'Annex 2 EHV charges'!$A:$O,12,FALSE)),"")</f>
        <v>1.43</v>
      </c>
    </row>
    <row r="8" spans="1:14" ht="12.75" customHeight="1" x14ac:dyDescent="0.2">
      <c r="A8" s="80" t="str">
        <f t="array" ref="A8">IFERROR(INDEX('Annex 2 EHV charges'!$A$10:$A$108, MATCH(0, IF(ISBLANK('Annex 2 EHV charges'!$A$10:$A$108),1, COUNTIF(A$4:$A7, 'Annex 2 EHV charges'!$A$10:$A$108)), 0)),"")</f>
        <v>CHESDC</v>
      </c>
      <c r="B8" s="80">
        <f>IF($A8="","",VLOOKUP($A8,'Annex 2 EHV charges'!$A:$O,2,0))</f>
        <v>0</v>
      </c>
      <c r="C8" s="81" t="str">
        <f>IF($A8="","",VLOOKUP($A8,'Annex 2 EHV charges'!$A:$O,3,0))</f>
        <v>ENET</v>
      </c>
      <c r="D8" s="80" t="str">
        <f>IF($A8="","",VLOOKUP($A8,'Annex 2 EHV charges'!$A:$O,7,0))</f>
        <v>CHESDC</v>
      </c>
      <c r="E8" s="85">
        <f>IFERROR(IF(VLOOKUP($A8,'Annex 2 EHV charges'!$A:$O,9,FALSE)=0,"",VLOOKUP($A8,'Annex 2 EHV charges'!$A:$O,9,FALSE)),"")</f>
        <v>4.0000000000000001E-3</v>
      </c>
      <c r="F8" s="86">
        <f>IFERROR(IF(VLOOKUP($A8,'Annex 2 EHV charges'!$A:$O,10,FALSE)=0,"",VLOOKUP($A8,'Annex 2 EHV charges'!$A:$O,10,FALSE)),"")</f>
        <v>33041.980000000003</v>
      </c>
      <c r="G8" s="87">
        <f>IFERROR(IF(VLOOKUP($A8,'Annex 2 EHV charges'!$A:$O,11,FALSE)=0,"",VLOOKUP($A8,'Annex 2 EHV charges'!$A:$O,11,FALSE)),"")</f>
        <v>0.99</v>
      </c>
      <c r="H8" s="87">
        <f>IFERROR(IF(VLOOKUP($A8,'Annex 2 EHV charges'!$A:$O,12,FALSE)=0,"",VLOOKUP($A8,'Annex 2 EHV charges'!$A:$O,12,FALSE)),"")</f>
        <v>0.99</v>
      </c>
    </row>
    <row r="9" spans="1:14" ht="12.75" customHeight="1" x14ac:dyDescent="0.2">
      <c r="A9" s="80" t="str">
        <f t="array" ref="A9">IFERROR(INDEX('Annex 2 EHV charges'!$A$10:$A$108, MATCH(0, IF(ISBLANK('Annex 2 EHV charges'!$A$10:$A$108),1, COUNTIF(A$4:$A8, 'Annex 2 EHV charges'!$A$10:$A$108)), 0)),"")</f>
        <v>DIGREA</v>
      </c>
      <c r="B9" s="80">
        <f>IF($A9="","",VLOOKUP($A9,'Annex 2 EHV charges'!$A:$O,2,0))</f>
        <v>833</v>
      </c>
      <c r="C9" s="81" t="str">
        <f>IF($A9="","",VLOOKUP($A9,'Annex 2 EHV charges'!$A:$O,3,0))</f>
        <v>1900091200323;1900091200332</v>
      </c>
      <c r="D9" s="80" t="str">
        <f>IF($A9="","",VLOOKUP($A9,'Annex 2 EHV charges'!$A:$O,7,0))</f>
        <v>DIGREA</v>
      </c>
      <c r="E9" s="85" t="str">
        <f>IFERROR(IF(VLOOKUP($A9,'Annex 2 EHV charges'!$A:$O,9,FALSE)=0,"",VLOOKUP($A9,'Annex 2 EHV charges'!$A:$O,9,FALSE)),"")</f>
        <v/>
      </c>
      <c r="F9" s="86">
        <f>IFERROR(IF(VLOOKUP($A9,'Annex 2 EHV charges'!$A:$O,10,FALSE)=0,"",VLOOKUP($A9,'Annex 2 EHV charges'!$A:$O,10,FALSE)),"")</f>
        <v>69548.53</v>
      </c>
      <c r="G9" s="87">
        <f>IFERROR(IF(VLOOKUP($A9,'Annex 2 EHV charges'!$A:$O,11,FALSE)=0,"",VLOOKUP($A9,'Annex 2 EHV charges'!$A:$O,11,FALSE)),"")</f>
        <v>1.86</v>
      </c>
      <c r="H9" s="87">
        <f>IFERROR(IF(VLOOKUP($A9,'Annex 2 EHV charges'!$A:$O,12,FALSE)=0,"",VLOOKUP($A9,'Annex 2 EHV charges'!$A:$O,12,FALSE)),"")</f>
        <v>1.86</v>
      </c>
    </row>
    <row r="10" spans="1:14" ht="12.75" customHeight="1" x14ac:dyDescent="0.2">
      <c r="A10" s="80" t="str">
        <f t="array" ref="A10">IFERROR(INDEX('Annex 2 EHV charges'!$A$10:$A$108, MATCH(0, IF(ISBLANK('Annex 2 EHV charges'!$A$10:$A$108),1, COUNTIF(A$4:$A9, 'Annex 2 EHV charges'!$A$10:$A$108)), 0)),"")</f>
        <v>EUROTU</v>
      </c>
      <c r="B10" s="80">
        <f>IF($A10="","",VLOOKUP($A10,'Annex 2 EHV charges'!$A:$O,2,0))</f>
        <v>874</v>
      </c>
      <c r="C10" s="81">
        <f>IF($A10="","",VLOOKUP($A10,'Annex 2 EHV charges'!$A:$O,3,0))</f>
        <v>1900060219605</v>
      </c>
      <c r="D10" s="80" t="str">
        <f>IF($A10="","",VLOOKUP($A10,'Annex 2 EHV charges'!$A:$O,7,0))</f>
        <v>EUROTU</v>
      </c>
      <c r="E10" s="85" t="str">
        <f>IFERROR(IF(VLOOKUP($A10,'Annex 2 EHV charges'!$A:$O,9,FALSE)=0,"",VLOOKUP($A10,'Annex 2 EHV charges'!$A:$O,9,FALSE)),"")</f>
        <v/>
      </c>
      <c r="F10" s="86">
        <f>IFERROR(IF(VLOOKUP($A10,'Annex 2 EHV charges'!$A:$O,10,FALSE)=0,"",VLOOKUP($A10,'Annex 2 EHV charges'!$A:$O,10,FALSE)),"")</f>
        <v>220981.93</v>
      </c>
      <c r="G10" s="87">
        <f>IFERROR(IF(VLOOKUP($A10,'Annex 2 EHV charges'!$A:$O,11,FALSE)=0,"",VLOOKUP($A10,'Annex 2 EHV charges'!$A:$O,11,FALSE)),"")</f>
        <v>0.74</v>
      </c>
      <c r="H10" s="87">
        <f>IFERROR(IF(VLOOKUP($A10,'Annex 2 EHV charges'!$A:$O,12,FALSE)=0,"",VLOOKUP($A10,'Annex 2 EHV charges'!$A:$O,12,FALSE)),"")</f>
        <v>0.74</v>
      </c>
    </row>
    <row r="11" spans="1:14" ht="12.75" customHeight="1" x14ac:dyDescent="0.2">
      <c r="A11" s="80" t="str">
        <f t="array" ref="A11">IFERROR(INDEX('Annex 2 EHV charges'!$A$10:$A$108, MATCH(0, IF(ISBLANK('Annex 2 EHV charges'!$A$10:$A$108),1, COUNTIF(A$4:$A10, 'Annex 2 EHV charges'!$A$10:$A$108)), 0)),"")</f>
        <v>GAT_AF</v>
      </c>
      <c r="B11" s="80">
        <f>IF($A11="","",VLOOKUP($A11,'Annex 2 EHV charges'!$A:$O,2,0))</f>
        <v>869</v>
      </c>
      <c r="C11" s="81" t="str">
        <f>IF($A11="","",VLOOKUP($A11,'Annex 2 EHV charges'!$A:$O,3,0))</f>
        <v>1900017427938;1900017427947;1900060576620</v>
      </c>
      <c r="D11" s="80" t="str">
        <f>IF($A11="","",VLOOKUP($A11,'Annex 2 EHV charges'!$A:$O,7,0))</f>
        <v>GAT_AF</v>
      </c>
      <c r="E11" s="85">
        <f>IFERROR(IF(VLOOKUP($A11,'Annex 2 EHV charges'!$A:$O,9,FALSE)=0,"",VLOOKUP($A11,'Annex 2 EHV charges'!$A:$O,9,FALSE)),"")</f>
        <v>0.746</v>
      </c>
      <c r="F11" s="86">
        <f>IFERROR(IF(VLOOKUP($A11,'Annex 2 EHV charges'!$A:$O,10,FALSE)=0,"",VLOOKUP($A11,'Annex 2 EHV charges'!$A:$O,10,FALSE)),"")</f>
        <v>39690.720000000001</v>
      </c>
      <c r="G11" s="87">
        <f>IFERROR(IF(VLOOKUP($A11,'Annex 2 EHV charges'!$A:$O,11,FALSE)=0,"",VLOOKUP($A11,'Annex 2 EHV charges'!$A:$O,11,FALSE)),"")</f>
        <v>1.78</v>
      </c>
      <c r="H11" s="87">
        <f>IFERROR(IF(VLOOKUP($A11,'Annex 2 EHV charges'!$A:$O,12,FALSE)=0,"",VLOOKUP($A11,'Annex 2 EHV charges'!$A:$O,12,FALSE)),"")</f>
        <v>1.78</v>
      </c>
    </row>
    <row r="12" spans="1:14" ht="12.75" customHeight="1" x14ac:dyDescent="0.2">
      <c r="A12" s="80" t="str">
        <f t="array" ref="A12">IFERROR(INDEX('Annex 2 EHV charges'!$A$10:$A$108, MATCH(0, IF(ISBLANK('Annex 2 EHV charges'!$A$10:$A$108),1, COUNTIF(A$4:$A11, 'Annex 2 EHV charges'!$A$10:$A$108)), 0)),"")</f>
        <v>GAT_BF</v>
      </c>
      <c r="B12" s="80">
        <f>IF($A12="","",VLOOKUP($A12,'Annex 2 EHV charges'!$A:$O,2,0))</f>
        <v>870</v>
      </c>
      <c r="C12" s="81" t="str">
        <f>IF($A12="","",VLOOKUP($A12,'Annex 2 EHV charges'!$A:$O,3,0))</f>
        <v>1900060690231;1900060690240</v>
      </c>
      <c r="D12" s="80" t="str">
        <f>IF($A12="","",VLOOKUP($A12,'Annex 2 EHV charges'!$A:$O,7,0))</f>
        <v>GAT_BF</v>
      </c>
      <c r="E12" s="85">
        <f>IFERROR(IF(VLOOKUP($A12,'Annex 2 EHV charges'!$A:$O,9,FALSE)=0,"",VLOOKUP($A12,'Annex 2 EHV charges'!$A:$O,9,FALSE)),"")</f>
        <v>0.77600000000000002</v>
      </c>
      <c r="F12" s="86">
        <f>IFERROR(IF(VLOOKUP($A12,'Annex 2 EHV charges'!$A:$O,10,FALSE)=0,"",VLOOKUP($A12,'Annex 2 EHV charges'!$A:$O,10,FALSE)),"")</f>
        <v>36594.39</v>
      </c>
      <c r="G12" s="87">
        <f>IFERROR(IF(VLOOKUP($A12,'Annex 2 EHV charges'!$A:$O,11,FALSE)=0,"",VLOOKUP($A12,'Annex 2 EHV charges'!$A:$O,11,FALSE)),"")</f>
        <v>1.91</v>
      </c>
      <c r="H12" s="87">
        <f>IFERROR(IF(VLOOKUP($A12,'Annex 2 EHV charges'!$A:$O,12,FALSE)=0,"",VLOOKUP($A12,'Annex 2 EHV charges'!$A:$O,12,FALSE)),"")</f>
        <v>1.91</v>
      </c>
    </row>
    <row r="13" spans="1:14" ht="12.75" customHeight="1" x14ac:dyDescent="0.2">
      <c r="A13" s="80" t="str">
        <f t="array" ref="A13">IFERROR(INDEX('Annex 2 EHV charges'!$A$10:$A$108, MATCH(0, IF(ISBLANK('Annex 2 EHV charges'!$A$10:$A$108),1, COUNTIF(A$4:$A12, 'Annex 2 EHV charges'!$A$10:$A$108)), 0)),"")</f>
        <v>KNGSPN</v>
      </c>
      <c r="B13" s="80">
        <f>IF($A13="","",VLOOKUP($A13,'Annex 2 EHV charges'!$A:$O,2,0))</f>
        <v>0</v>
      </c>
      <c r="C13" s="81" t="str">
        <f>IF($A13="","",VLOOKUP($A13,'Annex 2 EHV charges'!$A:$O,3,0))</f>
        <v>MSID: 1027</v>
      </c>
      <c r="D13" s="80" t="str">
        <f>IF($A13="","",VLOOKUP($A13,'Annex 2 EHV charges'!$A:$O,7,0))</f>
        <v>KNGSPN</v>
      </c>
      <c r="E13" s="85">
        <f>IFERROR(IF(VLOOKUP($A13,'Annex 2 EHV charges'!$A:$O,9,FALSE)=0,"",VLOOKUP($A13,'Annex 2 EHV charges'!$A:$O,9,FALSE)),"")</f>
        <v>0.13</v>
      </c>
      <c r="F13" s="86">
        <f>IFERROR(IF(VLOOKUP($A13,'Annex 2 EHV charges'!$A:$O,10,FALSE)=0,"",VLOOKUP($A13,'Annex 2 EHV charges'!$A:$O,10,FALSE)),"")</f>
        <v>66928.990000000005</v>
      </c>
      <c r="G13" s="87">
        <f>IFERROR(IF(VLOOKUP($A13,'Annex 2 EHV charges'!$A:$O,11,FALSE)=0,"",VLOOKUP($A13,'Annex 2 EHV charges'!$A:$O,11,FALSE)),"")</f>
        <v>2.16</v>
      </c>
      <c r="H13" s="87">
        <f>IFERROR(IF(VLOOKUP($A13,'Annex 2 EHV charges'!$A:$O,12,FALSE)=0,"",VLOOKUP($A13,'Annex 2 EHV charges'!$A:$O,12,FALSE)),"")</f>
        <v>2.16</v>
      </c>
    </row>
    <row r="14" spans="1:14" ht="12.75" customHeight="1" x14ac:dyDescent="0.2">
      <c r="A14" s="80" t="str">
        <f t="array" ref="A14">IFERROR(INDEX('Annex 2 EHV charges'!$A$10:$A$108, MATCH(0, IF(ISBLANK('Annex 2 EHV charges'!$A$10:$A$108),1, COUNTIF(A$4:$A13, 'Annex 2 EHV charges'!$A$10:$A$108)), 0)),"")</f>
        <v>NP_LAB</v>
      </c>
      <c r="B14" s="80">
        <f>IF($A14="","",VLOOKUP($A14,'Annex 2 EHV charges'!$A:$O,2,0))</f>
        <v>837</v>
      </c>
      <c r="C14" s="81">
        <f>IF($A14="","",VLOOKUP($A14,'Annex 2 EHV charges'!$A:$O,3,0))</f>
        <v>1900047386380</v>
      </c>
      <c r="D14" s="80" t="str">
        <f>IF($A14="","",VLOOKUP($A14,'Annex 2 EHV charges'!$A:$O,7,0))</f>
        <v>NP_LAB</v>
      </c>
      <c r="E14" s="85">
        <f>IFERROR(IF(VLOOKUP($A14,'Annex 2 EHV charges'!$A:$O,9,FALSE)=0,"",VLOOKUP($A14,'Annex 2 EHV charges'!$A:$O,9,FALSE)),"")</f>
        <v>1.8879999999999999</v>
      </c>
      <c r="F14" s="86">
        <f>IFERROR(IF(VLOOKUP($A14,'Annex 2 EHV charges'!$A:$O,10,FALSE)=0,"",VLOOKUP($A14,'Annex 2 EHV charges'!$A:$O,10,FALSE)),"")</f>
        <v>3238.38</v>
      </c>
      <c r="G14" s="87">
        <f>IFERROR(IF(VLOOKUP($A14,'Annex 2 EHV charges'!$A:$O,11,FALSE)=0,"",VLOOKUP($A14,'Annex 2 EHV charges'!$A:$O,11,FALSE)),"")</f>
        <v>3.07</v>
      </c>
      <c r="H14" s="87">
        <f>IFERROR(IF(VLOOKUP($A14,'Annex 2 EHV charges'!$A:$O,12,FALSE)=0,"",VLOOKUP($A14,'Annex 2 EHV charges'!$A:$O,12,FALSE)),"")</f>
        <v>3.07</v>
      </c>
    </row>
    <row r="15" spans="1:14" ht="12.75" customHeight="1" x14ac:dyDescent="0.2">
      <c r="A15" s="80" t="str">
        <f t="array" ref="A15">IFERROR(INDEX('Annex 2 EHV charges'!$A$10:$A$108, MATCH(0, IF(ISBLANK('Annex 2 EHV charges'!$A$10:$A$108),1, COUNTIF(A$4:$A14, 'Annex 2 EHV charges'!$A$10:$A$108)), 0)),"")</f>
        <v>NR_3BR</v>
      </c>
      <c r="B15" s="80">
        <f>IF($A15="","",VLOOKUP($A15,'Annex 2 EHV charges'!$A:$O,2,0))</f>
        <v>866</v>
      </c>
      <c r="C15" s="81">
        <f>IF($A15="","",VLOOKUP($A15,'Annex 2 EHV charges'!$A:$O,3,0))</f>
        <v>1900060219145</v>
      </c>
      <c r="D15" s="80" t="str">
        <f>IF($A15="","",VLOOKUP($A15,'Annex 2 EHV charges'!$A:$O,7,0))</f>
        <v>NR_3BR</v>
      </c>
      <c r="E15" s="85">
        <f>IFERROR(IF(VLOOKUP($A15,'Annex 2 EHV charges'!$A:$O,9,FALSE)=0,"",VLOOKUP($A15,'Annex 2 EHV charges'!$A:$O,9,FALSE)),"")</f>
        <v>0.81499999999999995</v>
      </c>
      <c r="F15" s="86">
        <f>IFERROR(IF(VLOOKUP($A15,'Annex 2 EHV charges'!$A:$O,10,FALSE)=0,"",VLOOKUP($A15,'Annex 2 EHV charges'!$A:$O,10,FALSE)),"")</f>
        <v>68534.37</v>
      </c>
      <c r="G15" s="87">
        <f>IFERROR(IF(VLOOKUP($A15,'Annex 2 EHV charges'!$A:$O,11,FALSE)=0,"",VLOOKUP($A15,'Annex 2 EHV charges'!$A:$O,11,FALSE)),"")</f>
        <v>2.73</v>
      </c>
      <c r="H15" s="87">
        <f>IFERROR(IF(VLOOKUP($A15,'Annex 2 EHV charges'!$A:$O,12,FALSE)=0,"",VLOOKUP($A15,'Annex 2 EHV charges'!$A:$O,12,FALSE)),"")</f>
        <v>2.73</v>
      </c>
    </row>
    <row r="16" spans="1:14" ht="12.75" customHeight="1" x14ac:dyDescent="0.2">
      <c r="A16" s="80" t="str">
        <f t="array" ref="A16">IFERROR(INDEX('Annex 2 EHV charges'!$A$10:$A$108, MATCH(0, IF(ISBLANK('Annex 2 EHV charges'!$A$10:$A$108),1, COUNTIF(A$4:$A15, 'Annex 2 EHV charges'!$A$10:$A$108)), 0)),"")</f>
        <v>NR_AFD</v>
      </c>
      <c r="B16" s="80">
        <f>IF($A16="","",VLOOKUP($A16,'Annex 2 EHV charges'!$A:$O,2,0))</f>
        <v>851</v>
      </c>
      <c r="C16" s="81">
        <f>IF($A16="","",VLOOKUP($A16,'Annex 2 EHV charges'!$A:$O,3,0))</f>
        <v>1900060219377</v>
      </c>
      <c r="D16" s="80" t="str">
        <f>IF($A16="","",VLOOKUP($A16,'Annex 2 EHV charges'!$A:$O,7,0))</f>
        <v>NR_AFD</v>
      </c>
      <c r="E16" s="85">
        <f>IFERROR(IF(VLOOKUP($A16,'Annex 2 EHV charges'!$A:$O,9,FALSE)=0,"",VLOOKUP($A16,'Annex 2 EHV charges'!$A:$O,9,FALSE)),"")</f>
        <v>1.802</v>
      </c>
      <c r="F16" s="86">
        <f>IFERROR(IF(VLOOKUP($A16,'Annex 2 EHV charges'!$A:$O,10,FALSE)=0,"",VLOOKUP($A16,'Annex 2 EHV charges'!$A:$O,10,FALSE)),"")</f>
        <v>36594.39</v>
      </c>
      <c r="G16" s="87">
        <f>IFERROR(IF(VLOOKUP($A16,'Annex 2 EHV charges'!$A:$O,11,FALSE)=0,"",VLOOKUP($A16,'Annex 2 EHV charges'!$A:$O,11,FALSE)),"")</f>
        <v>2.42</v>
      </c>
      <c r="H16" s="87">
        <f>IFERROR(IF(VLOOKUP($A16,'Annex 2 EHV charges'!$A:$O,12,FALSE)=0,"",VLOOKUP($A16,'Annex 2 EHV charges'!$A:$O,12,FALSE)),"")</f>
        <v>2.42</v>
      </c>
    </row>
    <row r="17" spans="1:8" ht="12.75" customHeight="1" x14ac:dyDescent="0.2">
      <c r="A17" s="80" t="str">
        <f t="array" ref="A17">IFERROR(INDEX('Annex 2 EHV charges'!$A$10:$A$108, MATCH(0, IF(ISBLANK('Annex 2 EHV charges'!$A$10:$A$108),1, COUNTIF(A$4:$A16, 'Annex 2 EHV charges'!$A$10:$A$108)), 0)),"")</f>
        <v>NR_ASH</v>
      </c>
      <c r="B17" s="80">
        <f>IF($A17="","",VLOOKUP($A17,'Annex 2 EHV charges'!$A:$O,2,0))</f>
        <v>879</v>
      </c>
      <c r="C17" s="81">
        <f>IF($A17="","",VLOOKUP($A17,'Annex 2 EHV charges'!$A:$O,3,0))</f>
        <v>1900070068129</v>
      </c>
      <c r="D17" s="80" t="str">
        <f>IF($A17="","",VLOOKUP($A17,'Annex 2 EHV charges'!$A:$O,7,0))</f>
        <v>NR_ASH</v>
      </c>
      <c r="E17" s="85">
        <f>IFERROR(IF(VLOOKUP($A17,'Annex 2 EHV charges'!$A:$O,9,FALSE)=0,"",VLOOKUP($A17,'Annex 2 EHV charges'!$A:$O,9,FALSE)),"")</f>
        <v>0.34100000000000003</v>
      </c>
      <c r="F17" s="86">
        <f>IFERROR(IF(VLOOKUP($A17,'Annex 2 EHV charges'!$A:$O,10,FALSE)=0,"",VLOOKUP($A17,'Annex 2 EHV charges'!$A:$O,10,FALSE)),"")</f>
        <v>36594.39</v>
      </c>
      <c r="G17" s="87">
        <f>IFERROR(IF(VLOOKUP($A17,'Annex 2 EHV charges'!$A:$O,11,FALSE)=0,"",VLOOKUP($A17,'Annex 2 EHV charges'!$A:$O,11,FALSE)),"")</f>
        <v>2.78</v>
      </c>
      <c r="H17" s="87">
        <f>IFERROR(IF(VLOOKUP($A17,'Annex 2 EHV charges'!$A:$O,12,FALSE)=0,"",VLOOKUP($A17,'Annex 2 EHV charges'!$A:$O,12,FALSE)),"")</f>
        <v>2.78</v>
      </c>
    </row>
    <row r="18" spans="1:8" ht="12.75" customHeight="1" x14ac:dyDescent="0.2">
      <c r="A18" s="80" t="str">
        <f t="array" ref="A18">IFERROR(INDEX('Annex 2 EHV charges'!$A$10:$A$108, MATCH(0, IF(ISBLANK('Annex 2 EHV charges'!$A$10:$A$108),1, COUNTIF(A$4:$A17, 'Annex 2 EHV charges'!$A$10:$A$108)), 0)),"")</f>
        <v>NR_BRI</v>
      </c>
      <c r="B18" s="80">
        <f>IF($A18="","",VLOOKUP($A18,'Annex 2 EHV charges'!$A:$O,2,0))</f>
        <v>852</v>
      </c>
      <c r="C18" s="81">
        <f>IF($A18="","",VLOOKUP($A18,'Annex 2 EHV charges'!$A:$O,3,0))</f>
        <v>1900060218675</v>
      </c>
      <c r="D18" s="80" t="str">
        <f>IF($A18="","",VLOOKUP($A18,'Annex 2 EHV charges'!$A:$O,7,0))</f>
        <v>NR_BRI</v>
      </c>
      <c r="E18" s="85">
        <f>IFERROR(IF(VLOOKUP($A18,'Annex 2 EHV charges'!$A:$O,9,FALSE)=0,"",VLOOKUP($A18,'Annex 2 EHV charges'!$A:$O,9,FALSE)),"")</f>
        <v>0.40500000000000003</v>
      </c>
      <c r="F18" s="86">
        <f>IFERROR(IF(VLOOKUP($A18,'Annex 2 EHV charges'!$A:$O,10,FALSE)=0,"",VLOOKUP($A18,'Annex 2 EHV charges'!$A:$O,10,FALSE)),"")</f>
        <v>68534.37</v>
      </c>
      <c r="G18" s="87">
        <f>IFERROR(IF(VLOOKUP($A18,'Annex 2 EHV charges'!$A:$O,11,FALSE)=0,"",VLOOKUP($A18,'Annex 2 EHV charges'!$A:$O,11,FALSE)),"")</f>
        <v>2.2200000000000002</v>
      </c>
      <c r="H18" s="87">
        <f>IFERROR(IF(VLOOKUP($A18,'Annex 2 EHV charges'!$A:$O,12,FALSE)=0,"",VLOOKUP($A18,'Annex 2 EHV charges'!$A:$O,12,FALSE)),"")</f>
        <v>2.2200000000000002</v>
      </c>
    </row>
    <row r="19" spans="1:8" ht="12.75" customHeight="1" x14ac:dyDescent="0.2">
      <c r="A19" s="80" t="str">
        <f t="array" ref="A19">IFERROR(INDEX('Annex 2 EHV charges'!$A$10:$A$108, MATCH(0, IF(ISBLANK('Annex 2 EHV charges'!$A$10:$A$108),1, COUNTIF(A$4:$A18, 'Annex 2 EHV charges'!$A$10:$A$108)), 0)),"")</f>
        <v>NR_BYF</v>
      </c>
      <c r="B19" s="80">
        <f>IF($A19="","",VLOOKUP($A19,'Annex 2 EHV charges'!$A:$O,2,0))</f>
        <v>853</v>
      </c>
      <c r="C19" s="81">
        <f>IF($A19="","",VLOOKUP($A19,'Annex 2 EHV charges'!$A:$O,3,0))</f>
        <v>1900060218727</v>
      </c>
      <c r="D19" s="80" t="str">
        <f>IF($A19="","",VLOOKUP($A19,'Annex 2 EHV charges'!$A:$O,7,0))</f>
        <v>NR_BYF</v>
      </c>
      <c r="E19" s="85">
        <f>IFERROR(IF(VLOOKUP($A19,'Annex 2 EHV charges'!$A:$O,9,FALSE)=0,"",VLOOKUP($A19,'Annex 2 EHV charges'!$A:$O,9,FALSE)),"")</f>
        <v>0.36399999999999999</v>
      </c>
      <c r="F19" s="86">
        <f>IFERROR(IF(VLOOKUP($A19,'Annex 2 EHV charges'!$A:$O,10,FALSE)=0,"",VLOOKUP($A19,'Annex 2 EHV charges'!$A:$O,10,FALSE)),"")</f>
        <v>68534.37</v>
      </c>
      <c r="G19" s="87">
        <f>IFERROR(IF(VLOOKUP($A19,'Annex 2 EHV charges'!$A:$O,11,FALSE)=0,"",VLOOKUP($A19,'Annex 2 EHV charges'!$A:$O,11,FALSE)),"")</f>
        <v>1.95</v>
      </c>
      <c r="H19" s="87">
        <f>IFERROR(IF(VLOOKUP($A19,'Annex 2 EHV charges'!$A:$O,12,FALSE)=0,"",VLOOKUP($A19,'Annex 2 EHV charges'!$A:$O,12,FALSE)),"")</f>
        <v>1.95</v>
      </c>
    </row>
    <row r="20" spans="1:8" ht="12.75" customHeight="1" x14ac:dyDescent="0.2">
      <c r="A20" s="80" t="str">
        <f t="array" ref="A20">IFERROR(INDEX('Annex 2 EHV charges'!$A$10:$A$108, MATCH(0, IF(ISBLANK('Annex 2 EHV charges'!$A$10:$A$108),1, COUNTIF(A$4:$A19, 'Annex 2 EHV charges'!$A$10:$A$108)), 0)),"")</f>
        <v>NR_CAN</v>
      </c>
      <c r="B20" s="80">
        <f>IF($A20="","",VLOOKUP($A20,'Annex 2 EHV charges'!$A:$O,2,0))</f>
        <v>854</v>
      </c>
      <c r="C20" s="81">
        <f>IF($A20="","",VLOOKUP($A20,'Annex 2 EHV charges'!$A:$O,3,0))</f>
        <v>1900060218790</v>
      </c>
      <c r="D20" s="80" t="str">
        <f>IF($A20="","",VLOOKUP($A20,'Annex 2 EHV charges'!$A:$O,7,0))</f>
        <v>NR_CAN</v>
      </c>
      <c r="E20" s="85">
        <f>IFERROR(IF(VLOOKUP($A20,'Annex 2 EHV charges'!$A:$O,9,FALSE)=0,"",VLOOKUP($A20,'Annex 2 EHV charges'!$A:$O,9,FALSE)),"")</f>
        <v>1.4999999999999999E-2</v>
      </c>
      <c r="F20" s="86">
        <f>IFERROR(IF(VLOOKUP($A20,'Annex 2 EHV charges'!$A:$O,10,FALSE)=0,"",VLOOKUP($A20,'Annex 2 EHV charges'!$A:$O,10,FALSE)),"")</f>
        <v>16959.97</v>
      </c>
      <c r="G20" s="87">
        <f>IFERROR(IF(VLOOKUP($A20,'Annex 2 EHV charges'!$A:$O,11,FALSE)=0,"",VLOOKUP($A20,'Annex 2 EHV charges'!$A:$O,11,FALSE)),"")</f>
        <v>2.56</v>
      </c>
      <c r="H20" s="87">
        <f>IFERROR(IF(VLOOKUP($A20,'Annex 2 EHV charges'!$A:$O,12,FALSE)=0,"",VLOOKUP($A20,'Annex 2 EHV charges'!$A:$O,12,FALSE)),"")</f>
        <v>2.56</v>
      </c>
    </row>
    <row r="21" spans="1:8" ht="12.75" customHeight="1" x14ac:dyDescent="0.2">
      <c r="A21" s="80" t="str">
        <f t="array" ref="A21">IFERROR(INDEX('Annex 2 EHV charges'!$A$10:$A$108, MATCH(0, IF(ISBLANK('Annex 2 EHV charges'!$A$10:$A$108),1, COUNTIF(A$4:$A20, 'Annex 2 EHV charges'!$A$10:$A$108)), 0)),"")</f>
        <v>NR_CRO</v>
      </c>
      <c r="B21" s="80">
        <f>IF($A21="","",VLOOKUP($A21,'Annex 2 EHV charges'!$A:$O,2,0))</f>
        <v>855</v>
      </c>
      <c r="C21" s="81">
        <f>IF($A21="","",VLOOKUP($A21,'Annex 2 EHV charges'!$A:$O,3,0))</f>
        <v>1900060218815</v>
      </c>
      <c r="D21" s="80" t="str">
        <f>IF($A21="","",VLOOKUP($A21,'Annex 2 EHV charges'!$A:$O,7,0))</f>
        <v>NR_CRO</v>
      </c>
      <c r="E21" s="85">
        <f>IFERROR(IF(VLOOKUP($A21,'Annex 2 EHV charges'!$A:$O,9,FALSE)=0,"",VLOOKUP($A21,'Annex 2 EHV charges'!$A:$O,9,FALSE)),"")</f>
        <v>2.1000000000000001E-2</v>
      </c>
      <c r="F21" s="86">
        <f>IFERROR(IF(VLOOKUP($A21,'Annex 2 EHV charges'!$A:$O,10,FALSE)=0,"",VLOOKUP($A21,'Annex 2 EHV charges'!$A:$O,10,FALSE)),"")</f>
        <v>67999.240000000005</v>
      </c>
      <c r="G21" s="87">
        <f>IFERROR(IF(VLOOKUP($A21,'Annex 2 EHV charges'!$A:$O,11,FALSE)=0,"",VLOOKUP($A21,'Annex 2 EHV charges'!$A:$O,11,FALSE)),"")</f>
        <v>2.11</v>
      </c>
      <c r="H21" s="87">
        <f>IFERROR(IF(VLOOKUP($A21,'Annex 2 EHV charges'!$A:$O,12,FALSE)=0,"",VLOOKUP($A21,'Annex 2 EHV charges'!$A:$O,12,FALSE)),"")</f>
        <v>2.11</v>
      </c>
    </row>
    <row r="22" spans="1:8" ht="12.75" customHeight="1" x14ac:dyDescent="0.2">
      <c r="A22" s="80" t="str">
        <f t="array" ref="A22">IFERROR(INDEX('Annex 2 EHV charges'!$A$10:$A$108, MATCH(0, IF(ISBLANK('Annex 2 EHV charges'!$A$10:$A$108),1, COUNTIF(A$4:$A21, 'Annex 2 EHV charges'!$A$10:$A$108)), 0)),"")</f>
        <v>NR_DOR</v>
      </c>
      <c r="B22" s="80">
        <f>IF($A22="","",VLOOKUP($A22,'Annex 2 EHV charges'!$A:$O,2,0))</f>
        <v>856</v>
      </c>
      <c r="C22" s="81">
        <f>IF($A22="","",VLOOKUP($A22,'Annex 2 EHV charges'!$A:$O,3,0))</f>
        <v>1900060219303</v>
      </c>
      <c r="D22" s="80" t="str">
        <f>IF($A22="","",VLOOKUP($A22,'Annex 2 EHV charges'!$A:$O,7,0))</f>
        <v>NR_DOR</v>
      </c>
      <c r="E22" s="85">
        <f>IFERROR(IF(VLOOKUP($A22,'Annex 2 EHV charges'!$A:$O,9,FALSE)=0,"",VLOOKUP($A22,'Annex 2 EHV charges'!$A:$O,9,FALSE)),"")</f>
        <v>4.6230000000000002</v>
      </c>
      <c r="F22" s="86">
        <f>IFERROR(IF(VLOOKUP($A22,'Annex 2 EHV charges'!$A:$O,10,FALSE)=0,"",VLOOKUP($A22,'Annex 2 EHV charges'!$A:$O,10,FALSE)),"")</f>
        <v>16959.97</v>
      </c>
      <c r="G22" s="87">
        <f>IFERROR(IF(VLOOKUP($A22,'Annex 2 EHV charges'!$A:$O,11,FALSE)=0,"",VLOOKUP($A22,'Annex 2 EHV charges'!$A:$O,11,FALSE)),"")</f>
        <v>2.2999999999999998</v>
      </c>
      <c r="H22" s="87">
        <f>IFERROR(IF(VLOOKUP($A22,'Annex 2 EHV charges'!$A:$O,12,FALSE)=0,"",VLOOKUP($A22,'Annex 2 EHV charges'!$A:$O,12,FALSE)),"")</f>
        <v>2.2999999999999998</v>
      </c>
    </row>
    <row r="23" spans="1:8" ht="12.75" customHeight="1" x14ac:dyDescent="0.2">
      <c r="A23" s="80" t="str">
        <f t="array" ref="A23">IFERROR(INDEX('Annex 2 EHV charges'!$A$10:$A$108, MATCH(0, IF(ISBLANK('Annex 2 EHV charges'!$A$10:$A$108),1, COUNTIF(A$4:$A22, 'Annex 2 EHV charges'!$A$10:$A$108)), 0)),"")</f>
        <v>NR_EAS</v>
      </c>
      <c r="B23" s="80">
        <f>IF($A23="","",VLOOKUP($A23,'Annex 2 EHV charges'!$A:$O,2,0))</f>
        <v>857</v>
      </c>
      <c r="C23" s="81">
        <f>IF($A23="","",VLOOKUP($A23,'Annex 2 EHV charges'!$A:$O,3,0))</f>
        <v>1900060218912</v>
      </c>
      <c r="D23" s="80" t="str">
        <f>IF($A23="","",VLOOKUP($A23,'Annex 2 EHV charges'!$A:$O,7,0))</f>
        <v>NR_EAS</v>
      </c>
      <c r="E23" s="85">
        <f>IFERROR(IF(VLOOKUP($A23,'Annex 2 EHV charges'!$A:$O,9,FALSE)=0,"",VLOOKUP($A23,'Annex 2 EHV charges'!$A:$O,9,FALSE)),"")</f>
        <v>1.26</v>
      </c>
      <c r="F23" s="86">
        <f>IFERROR(IF(VLOOKUP($A23,'Annex 2 EHV charges'!$A:$O,10,FALSE)=0,"",VLOOKUP($A23,'Annex 2 EHV charges'!$A:$O,10,FALSE)),"")</f>
        <v>16959.97</v>
      </c>
      <c r="G23" s="87">
        <f>IFERROR(IF(VLOOKUP($A23,'Annex 2 EHV charges'!$A:$O,11,FALSE)=0,"",VLOOKUP($A23,'Annex 2 EHV charges'!$A:$O,11,FALSE)),"")</f>
        <v>3.08</v>
      </c>
      <c r="H23" s="87">
        <f>IFERROR(IF(VLOOKUP($A23,'Annex 2 EHV charges'!$A:$O,12,FALSE)=0,"",VLOOKUP($A23,'Annex 2 EHV charges'!$A:$O,12,FALSE)),"")</f>
        <v>3.08</v>
      </c>
    </row>
    <row r="24" spans="1:8" ht="12.75" customHeight="1" x14ac:dyDescent="0.2">
      <c r="A24" s="80" t="str">
        <f t="array" ref="A24">IFERROR(INDEX('Annex 2 EHV charges'!$A$10:$A$108, MATCH(0, IF(ISBLANK('Annex 2 EHV charges'!$A$10:$A$108),1, COUNTIF(A$4:$A23, 'Annex 2 EHV charges'!$A$10:$A$108)), 0)),"")</f>
        <v>NR_FOK</v>
      </c>
      <c r="B24" s="80">
        <f>IF($A24="","",VLOOKUP($A24,'Annex 2 EHV charges'!$A:$O,2,0))</f>
        <v>858</v>
      </c>
      <c r="C24" s="81">
        <f>IF($A24="","",VLOOKUP($A24,'Annex 2 EHV charges'!$A:$O,3,0))</f>
        <v>1900060218959</v>
      </c>
      <c r="D24" s="80" t="str">
        <f>IF($A24="","",VLOOKUP($A24,'Annex 2 EHV charges'!$A:$O,7,0))</f>
        <v>NR_FOK</v>
      </c>
      <c r="E24" s="85">
        <f>IFERROR(IF(VLOOKUP($A24,'Annex 2 EHV charges'!$A:$O,9,FALSE)=0,"",VLOOKUP($A24,'Annex 2 EHV charges'!$A:$O,9,FALSE)),"")</f>
        <v>1.4510000000000001</v>
      </c>
      <c r="F24" s="86">
        <f>IFERROR(IF(VLOOKUP($A24,'Annex 2 EHV charges'!$A:$O,10,FALSE)=0,"",VLOOKUP($A24,'Annex 2 EHV charges'!$A:$O,10,FALSE)),"")</f>
        <v>16959.97</v>
      </c>
      <c r="G24" s="87">
        <f>IFERROR(IF(VLOOKUP($A24,'Annex 2 EHV charges'!$A:$O,11,FALSE)=0,"",VLOOKUP($A24,'Annex 2 EHV charges'!$A:$O,11,FALSE)),"")</f>
        <v>1.97</v>
      </c>
      <c r="H24" s="87">
        <f>IFERROR(IF(VLOOKUP($A24,'Annex 2 EHV charges'!$A:$O,12,FALSE)=0,"",VLOOKUP($A24,'Annex 2 EHV charges'!$A:$O,12,FALSE)),"")</f>
        <v>1.97</v>
      </c>
    </row>
    <row r="25" spans="1:8" ht="12.75" customHeight="1" x14ac:dyDescent="0.2">
      <c r="A25" s="80" t="str">
        <f t="array" ref="A25">IFERROR(INDEX('Annex 2 EHV charges'!$A$10:$A$108, MATCH(0, IF(ISBLANK('Annex 2 EHV charges'!$A$10:$A$108),1, COUNTIF(A$4:$A24, 'Annex 2 EHV charges'!$A$10:$A$108)), 0)),"")</f>
        <v>NR_HAS</v>
      </c>
      <c r="B25" s="80">
        <f>IF($A25="","",VLOOKUP($A25,'Annex 2 EHV charges'!$A:$O,2,0))</f>
        <v>859</v>
      </c>
      <c r="C25" s="81">
        <f>IF($A25="","",VLOOKUP($A25,'Annex 2 EHV charges'!$A:$O,3,0))</f>
        <v>1900060218986</v>
      </c>
      <c r="D25" s="80" t="str">
        <f>IF($A25="","",VLOOKUP($A25,'Annex 2 EHV charges'!$A:$O,7,0))</f>
        <v>NR_HAS</v>
      </c>
      <c r="E25" s="85" t="str">
        <f>IFERROR(IF(VLOOKUP($A25,'Annex 2 EHV charges'!$A:$O,9,FALSE)=0,"",VLOOKUP($A25,'Annex 2 EHV charges'!$A:$O,9,FALSE)),"")</f>
        <v/>
      </c>
      <c r="F25" s="86">
        <f>IFERROR(IF(VLOOKUP($A25,'Annex 2 EHV charges'!$A:$O,10,FALSE)=0,"",VLOOKUP($A25,'Annex 2 EHV charges'!$A:$O,10,FALSE)),"")</f>
        <v>22539.41</v>
      </c>
      <c r="G25" s="87">
        <f>IFERROR(IF(VLOOKUP($A25,'Annex 2 EHV charges'!$A:$O,11,FALSE)=0,"",VLOOKUP($A25,'Annex 2 EHV charges'!$A:$O,11,FALSE)),"")</f>
        <v>2.92</v>
      </c>
      <c r="H25" s="87">
        <f>IFERROR(IF(VLOOKUP($A25,'Annex 2 EHV charges'!$A:$O,12,FALSE)=0,"",VLOOKUP($A25,'Annex 2 EHV charges'!$A:$O,12,FALSE)),"")</f>
        <v>2.92</v>
      </c>
    </row>
    <row r="26" spans="1:8" ht="12.75" customHeight="1" x14ac:dyDescent="0.2">
      <c r="A26" s="80" t="str">
        <f t="array" ref="A26">IFERROR(INDEX('Annex 2 EHV charges'!$A$10:$A$108, MATCH(0, IF(ISBLANK('Annex 2 EHV charges'!$A$10:$A$108),1, COUNTIF(A$4:$A25, 'Annex 2 EHV charges'!$A$10:$A$108)), 0)),"")</f>
        <v>NR_LEA</v>
      </c>
      <c r="B26" s="80">
        <f>IF($A26="","",VLOOKUP($A26,'Annex 2 EHV charges'!$A:$O,2,0))</f>
        <v>860</v>
      </c>
      <c r="C26" s="81">
        <f>IF($A26="","",VLOOKUP($A26,'Annex 2 EHV charges'!$A:$O,3,0))</f>
        <v>1900060219001</v>
      </c>
      <c r="D26" s="80" t="str">
        <f>IF($A26="","",VLOOKUP($A26,'Annex 2 EHV charges'!$A:$O,7,0))</f>
        <v>NR_LEA</v>
      </c>
      <c r="E26" s="85">
        <f>IFERROR(IF(VLOOKUP($A26,'Annex 2 EHV charges'!$A:$O,9,FALSE)=0,"",VLOOKUP($A26,'Annex 2 EHV charges'!$A:$O,9,FALSE)),"")</f>
        <v>1.29</v>
      </c>
      <c r="F26" s="86">
        <f>IFERROR(IF(VLOOKUP($A26,'Annex 2 EHV charges'!$A:$O,10,FALSE)=0,"",VLOOKUP($A26,'Annex 2 EHV charges'!$A:$O,10,FALSE)),"")</f>
        <v>67999.240000000005</v>
      </c>
      <c r="G26" s="87">
        <f>IFERROR(IF(VLOOKUP($A26,'Annex 2 EHV charges'!$A:$O,11,FALSE)=0,"",VLOOKUP($A26,'Annex 2 EHV charges'!$A:$O,11,FALSE)),"")</f>
        <v>2.4300000000000002</v>
      </c>
      <c r="H26" s="87">
        <f>IFERROR(IF(VLOOKUP($A26,'Annex 2 EHV charges'!$A:$O,12,FALSE)=0,"",VLOOKUP($A26,'Annex 2 EHV charges'!$A:$O,12,FALSE)),"")</f>
        <v>2.4300000000000002</v>
      </c>
    </row>
    <row r="27" spans="1:8" ht="12.75" customHeight="1" x14ac:dyDescent="0.2">
      <c r="A27" s="80" t="str">
        <f t="array" ref="A27">IFERROR(INDEX('Annex 2 EHV charges'!$A$10:$A$108, MATCH(0, IF(ISBLANK('Annex 2 EHV charges'!$A$10:$A$108),1, COUNTIF(A$4:$A26, 'Annex 2 EHV charges'!$A$10:$A$108)), 0)),"")</f>
        <v>NR_MAI</v>
      </c>
      <c r="B27" s="80">
        <f>IF($A27="","",VLOOKUP($A27,'Annex 2 EHV charges'!$A:$O,2,0))</f>
        <v>861</v>
      </c>
      <c r="C27" s="81">
        <f>IF($A27="","",VLOOKUP($A27,'Annex 2 EHV charges'!$A:$O,3,0))</f>
        <v>1900060219535</v>
      </c>
      <c r="D27" s="80" t="str">
        <f>IF($A27="","",VLOOKUP($A27,'Annex 2 EHV charges'!$A:$O,7,0))</f>
        <v>NR_MAI</v>
      </c>
      <c r="E27" s="85">
        <f>IFERROR(IF(VLOOKUP($A27,'Annex 2 EHV charges'!$A:$O,9,FALSE)=0,"",VLOOKUP($A27,'Annex 2 EHV charges'!$A:$O,9,FALSE)),"")</f>
        <v>3.5430000000000001</v>
      </c>
      <c r="F27" s="86">
        <f>IFERROR(IF(VLOOKUP($A27,'Annex 2 EHV charges'!$A:$O,10,FALSE)=0,"",VLOOKUP($A27,'Annex 2 EHV charges'!$A:$O,10,FALSE)),"")</f>
        <v>36594.39</v>
      </c>
      <c r="G27" s="87">
        <f>IFERROR(IF(VLOOKUP($A27,'Annex 2 EHV charges'!$A:$O,11,FALSE)=0,"",VLOOKUP($A27,'Annex 2 EHV charges'!$A:$O,11,FALSE)),"")</f>
        <v>2.17</v>
      </c>
      <c r="H27" s="87">
        <f>IFERROR(IF(VLOOKUP($A27,'Annex 2 EHV charges'!$A:$O,12,FALSE)=0,"",VLOOKUP($A27,'Annex 2 EHV charges'!$A:$O,12,FALSE)),"")</f>
        <v>2.17</v>
      </c>
    </row>
    <row r="28" spans="1:8" ht="12.75" customHeight="1" x14ac:dyDescent="0.2">
      <c r="A28" s="80" t="str">
        <f t="array" ref="A28">IFERROR(INDEX('Annex 2 EHV charges'!$A$10:$A$108, MATCH(0, IF(ISBLANK('Annex 2 EHV charges'!$A$10:$A$108),1, COUNTIF(A$4:$A27, 'Annex 2 EHV charges'!$A$10:$A$108)), 0)),"")</f>
        <v>NR_NOR</v>
      </c>
      <c r="B28" s="80">
        <f>IF($A28="","",VLOOKUP($A28,'Annex 2 EHV charges'!$A:$O,2,0))</f>
        <v>862</v>
      </c>
      <c r="C28" s="81">
        <f>IF($A28="","",VLOOKUP($A28,'Annex 2 EHV charges'!$A:$O,3,0))</f>
        <v>1900060219891</v>
      </c>
      <c r="D28" s="80" t="str">
        <f>IF($A28="","",VLOOKUP($A28,'Annex 2 EHV charges'!$A:$O,7,0))</f>
        <v>NR_NOR</v>
      </c>
      <c r="E28" s="85" t="str">
        <f>IFERROR(IF(VLOOKUP($A28,'Annex 2 EHV charges'!$A:$O,9,FALSE)=0,"",VLOOKUP($A28,'Annex 2 EHV charges'!$A:$O,9,FALSE)),"")</f>
        <v/>
      </c>
      <c r="F28" s="86">
        <f>IFERROR(IF(VLOOKUP($A28,'Annex 2 EHV charges'!$A:$O,10,FALSE)=0,"",VLOOKUP($A28,'Annex 2 EHV charges'!$A:$O,10,FALSE)),"")</f>
        <v>69069.5</v>
      </c>
      <c r="G28" s="87">
        <f>IFERROR(IF(VLOOKUP($A28,'Annex 2 EHV charges'!$A:$O,11,FALSE)=0,"",VLOOKUP($A28,'Annex 2 EHV charges'!$A:$O,11,FALSE)),"")</f>
        <v>1.79</v>
      </c>
      <c r="H28" s="87">
        <f>IFERROR(IF(VLOOKUP($A28,'Annex 2 EHV charges'!$A:$O,12,FALSE)=0,"",VLOOKUP($A28,'Annex 2 EHV charges'!$A:$O,12,FALSE)),"")</f>
        <v>1.79</v>
      </c>
    </row>
    <row r="29" spans="1:8" ht="12.75" customHeight="1" x14ac:dyDescent="0.2">
      <c r="A29" s="80" t="str">
        <f t="array" ref="A29">IFERROR(INDEX('Annex 2 EHV charges'!$A$10:$A$108, MATCH(0, IF(ISBLANK('Annex 2 EHV charges'!$A$10:$A$108),1, COUNTIF(A$4:$A28, 'Annex 2 EHV charges'!$A$10:$A$108)), 0)),"")</f>
        <v>NR_QUE</v>
      </c>
      <c r="B29" s="80">
        <f>IF($A29="","",VLOOKUP($A29,'Annex 2 EHV charges'!$A:$O,2,0))</f>
        <v>863</v>
      </c>
      <c r="C29" s="81">
        <f>IF($A29="","",VLOOKUP($A29,'Annex 2 EHV charges'!$A:$O,3,0))</f>
        <v>1900060219084</v>
      </c>
      <c r="D29" s="80" t="str">
        <f>IF($A29="","",VLOOKUP($A29,'Annex 2 EHV charges'!$A:$O,7,0))</f>
        <v>NR_QUE</v>
      </c>
      <c r="E29" s="85" t="str">
        <f>IFERROR(IF(VLOOKUP($A29,'Annex 2 EHV charges'!$A:$O,9,FALSE)=0,"",VLOOKUP($A29,'Annex 2 EHV charges'!$A:$O,9,FALSE)),"")</f>
        <v/>
      </c>
      <c r="F29" s="86">
        <f>IFERROR(IF(VLOOKUP($A29,'Annex 2 EHV charges'!$A:$O,10,FALSE)=0,"",VLOOKUP($A29,'Annex 2 EHV charges'!$A:$O,10,FALSE)),"")</f>
        <v>3054.42</v>
      </c>
      <c r="G29" s="87">
        <f>IFERROR(IF(VLOOKUP($A29,'Annex 2 EHV charges'!$A:$O,11,FALSE)=0,"",VLOOKUP($A29,'Annex 2 EHV charges'!$A:$O,11,FALSE)),"")</f>
        <v>1.33</v>
      </c>
      <c r="H29" s="87">
        <f>IFERROR(IF(VLOOKUP($A29,'Annex 2 EHV charges'!$A:$O,12,FALSE)=0,"",VLOOKUP($A29,'Annex 2 EHV charges'!$A:$O,12,FALSE)),"")</f>
        <v>1.33</v>
      </c>
    </row>
    <row r="30" spans="1:8" ht="12.75" customHeight="1" x14ac:dyDescent="0.2">
      <c r="A30" s="80" t="str">
        <f t="array" ref="A30">IFERROR(INDEX('Annex 2 EHV charges'!$A$10:$A$108, MATCH(0, IF(ISBLANK('Annex 2 EHV charges'!$A$10:$A$108),1, COUNTIF(A$4:$A29, 'Annex 2 EHV charges'!$A$10:$A$108)), 0)),"")</f>
        <v>NR_SIT</v>
      </c>
      <c r="B30" s="80">
        <f>IF($A30="","",VLOOKUP($A30,'Annex 2 EHV charges'!$A:$O,2,0))</f>
        <v>864</v>
      </c>
      <c r="C30" s="81" t="str">
        <f>IF($A30="","",VLOOKUP($A30,'Annex 2 EHV charges'!$A:$O,3,0))</f>
        <v>1900060219819;1900060219855</v>
      </c>
      <c r="D30" s="80" t="str">
        <f>IF($A30="","",VLOOKUP($A30,'Annex 2 EHV charges'!$A:$O,7,0))</f>
        <v>NR_SIT</v>
      </c>
      <c r="E30" s="85" t="str">
        <f>IFERROR(IF(VLOOKUP($A30,'Annex 2 EHV charges'!$A:$O,9,FALSE)=0,"",VLOOKUP($A30,'Annex 2 EHV charges'!$A:$O,9,FALSE)),"")</f>
        <v/>
      </c>
      <c r="F30" s="86">
        <f>IFERROR(IF(VLOOKUP($A30,'Annex 2 EHV charges'!$A:$O,10,FALSE)=0,"",VLOOKUP($A30,'Annex 2 EHV charges'!$A:$O,10,FALSE)),"")</f>
        <v>36594.39</v>
      </c>
      <c r="G30" s="87">
        <f>IFERROR(IF(VLOOKUP($A30,'Annex 2 EHV charges'!$A:$O,11,FALSE)=0,"",VLOOKUP($A30,'Annex 2 EHV charges'!$A:$O,11,FALSE)),"")</f>
        <v>1.82</v>
      </c>
      <c r="H30" s="87">
        <f>IFERROR(IF(VLOOKUP($A30,'Annex 2 EHV charges'!$A:$O,12,FALSE)=0,"",VLOOKUP($A30,'Annex 2 EHV charges'!$A:$O,12,FALSE)),"")</f>
        <v>1.82</v>
      </c>
    </row>
    <row r="31" spans="1:8" ht="12.75" customHeight="1" x14ac:dyDescent="0.2">
      <c r="A31" s="80" t="str">
        <f t="array" ref="A31">IFERROR(INDEX('Annex 2 EHV charges'!$A$10:$A$108, MATCH(0, IF(ISBLANK('Annex 2 EHV charges'!$A$10:$A$108),1, COUNTIF(A$4:$A30, 'Annex 2 EHV charges'!$A$10:$A$108)), 0)),"")</f>
        <v>NR_THA</v>
      </c>
      <c r="B31" s="80">
        <f>IF($A31="","",VLOOKUP($A31,'Annex 2 EHV charges'!$A:$O,2,0))</f>
        <v>865</v>
      </c>
      <c r="C31" s="81" t="str">
        <f>IF($A31="","",VLOOKUP($A31,'Annex 2 EHV charges'!$A:$O,3,0))</f>
        <v>1900060219720;1900060219794</v>
      </c>
      <c r="D31" s="80" t="str">
        <f>IF($A31="","",VLOOKUP($A31,'Annex 2 EHV charges'!$A:$O,7,0))</f>
        <v>NR_THA</v>
      </c>
      <c r="E31" s="85">
        <f>IFERROR(IF(VLOOKUP($A31,'Annex 2 EHV charges'!$A:$O,9,FALSE)=0,"",VLOOKUP($A31,'Annex 2 EHV charges'!$A:$O,9,FALSE)),"")</f>
        <v>1.788</v>
      </c>
      <c r="F31" s="86">
        <f>IFERROR(IF(VLOOKUP($A31,'Annex 2 EHV charges'!$A:$O,10,FALSE)=0,"",VLOOKUP($A31,'Annex 2 EHV charges'!$A:$O,10,FALSE)),"")</f>
        <v>16959.97</v>
      </c>
      <c r="G31" s="87">
        <f>IFERROR(IF(VLOOKUP($A31,'Annex 2 EHV charges'!$A:$O,11,FALSE)=0,"",VLOOKUP($A31,'Annex 2 EHV charges'!$A:$O,11,FALSE)),"")</f>
        <v>2.4300000000000002</v>
      </c>
      <c r="H31" s="87">
        <f>IFERROR(IF(VLOOKUP($A31,'Annex 2 EHV charges'!$A:$O,12,FALSE)=0,"",VLOOKUP($A31,'Annex 2 EHV charges'!$A:$O,12,FALSE)),"")</f>
        <v>2.4300000000000002</v>
      </c>
    </row>
    <row r="32" spans="1:8" ht="12.75" customHeight="1" x14ac:dyDescent="0.2">
      <c r="A32" s="80" t="str">
        <f t="array" ref="A32">IFERROR(INDEX('Annex 2 EHV charges'!$A$10:$A$108, MATCH(0, IF(ISBLANK('Annex 2 EHV charges'!$A$10:$A$108),1, COUNTIF(A$4:$A31, 'Annex 2 EHV charges'!$A$10:$A$108)), 0)),"")</f>
        <v>NR_TUN</v>
      </c>
      <c r="B32" s="80">
        <f>IF($A32="","",VLOOKUP($A32,'Annex 2 EHV charges'!$A:$O,2,0))</f>
        <v>867</v>
      </c>
      <c r="C32" s="81">
        <f>IF($A32="","",VLOOKUP($A32,'Annex 2 EHV charges'!$A:$O,3,0))</f>
        <v>1900060219206</v>
      </c>
      <c r="D32" s="80" t="str">
        <f>IF($A32="","",VLOOKUP($A32,'Annex 2 EHV charges'!$A:$O,7,0))</f>
        <v>NR_TUN</v>
      </c>
      <c r="E32" s="85">
        <f>IFERROR(IF(VLOOKUP($A32,'Annex 2 EHV charges'!$A:$O,9,FALSE)=0,"",VLOOKUP($A32,'Annex 2 EHV charges'!$A:$O,9,FALSE)),"")</f>
        <v>7.3410000000000002</v>
      </c>
      <c r="F32" s="86">
        <f>IFERROR(IF(VLOOKUP($A32,'Annex 2 EHV charges'!$A:$O,10,FALSE)=0,"",VLOOKUP($A32,'Annex 2 EHV charges'!$A:$O,10,FALSE)),"")</f>
        <v>36594.39</v>
      </c>
      <c r="G32" s="87">
        <f>IFERROR(IF(VLOOKUP($A32,'Annex 2 EHV charges'!$A:$O,11,FALSE)=0,"",VLOOKUP($A32,'Annex 2 EHV charges'!$A:$O,11,FALSE)),"")</f>
        <v>2.9</v>
      </c>
      <c r="H32" s="87">
        <f>IFERROR(IF(VLOOKUP($A32,'Annex 2 EHV charges'!$A:$O,12,FALSE)=0,"",VLOOKUP($A32,'Annex 2 EHV charges'!$A:$O,12,FALSE)),"")</f>
        <v>2.9</v>
      </c>
    </row>
    <row r="33" spans="1:8" ht="12.75" customHeight="1" x14ac:dyDescent="0.2">
      <c r="A33" s="80" t="str">
        <f t="array" ref="A33">IFERROR(INDEX('Annex 2 EHV charges'!$A$10:$A$108, MATCH(0, IF(ISBLANK('Annex 2 EHV charges'!$A$10:$A$108),1, COUNTIF(A$4:$A32, 'Annex 2 EHV charges'!$A$10:$A$108)), 0)),"")</f>
        <v>PFIZER</v>
      </c>
      <c r="B33" s="80">
        <f>IF($A33="","",VLOOKUP($A33,'Annex 2 EHV charges'!$A:$O,2,0))</f>
        <v>881</v>
      </c>
      <c r="C33" s="81">
        <f>IF($A33="","",VLOOKUP($A33,'Annex 2 EHV charges'!$A:$O,3,0))</f>
        <v>1900060219544</v>
      </c>
      <c r="D33" s="80" t="str">
        <f>IF($A33="","",VLOOKUP($A33,'Annex 2 EHV charges'!$A:$O,7,0))</f>
        <v>PFIZER</v>
      </c>
      <c r="E33" s="85" t="str">
        <f>IFERROR(IF(VLOOKUP($A33,'Annex 2 EHV charges'!$A:$O,9,FALSE)=0,"",VLOOKUP($A33,'Annex 2 EHV charges'!$A:$O,9,FALSE)),"")</f>
        <v/>
      </c>
      <c r="F33" s="86">
        <f>IFERROR(IF(VLOOKUP($A33,'Annex 2 EHV charges'!$A:$O,10,FALSE)=0,"",VLOOKUP($A33,'Annex 2 EHV charges'!$A:$O,10,FALSE)),"")</f>
        <v>19440.830000000002</v>
      </c>
      <c r="G33" s="87">
        <f>IFERROR(IF(VLOOKUP($A33,'Annex 2 EHV charges'!$A:$O,11,FALSE)=0,"",VLOOKUP($A33,'Annex 2 EHV charges'!$A:$O,11,FALSE)),"")</f>
        <v>1.1399999999999999</v>
      </c>
      <c r="H33" s="87">
        <f>IFERROR(IF(VLOOKUP($A33,'Annex 2 EHV charges'!$A:$O,12,FALSE)=0,"",VLOOKUP($A33,'Annex 2 EHV charges'!$A:$O,12,FALSE)),"")</f>
        <v>1.1399999999999999</v>
      </c>
    </row>
    <row r="34" spans="1:8" ht="12.75" customHeight="1" x14ac:dyDescent="0.2">
      <c r="A34" s="80" t="str">
        <f t="array" ref="A34">IFERROR(INDEX('Annex 2 EHV charges'!$A$10:$A$108, MATCH(0, IF(ISBLANK('Annex 2 EHV charges'!$A$10:$A$108),1, COUNTIF(A$4:$A33, 'Annex 2 EHV charges'!$A$10:$A$108)), 0)),"")</f>
        <v>SENTIV</v>
      </c>
      <c r="B34" s="80">
        <f>IF($A34="","",VLOOKUP($A34,'Annex 2 EHV charges'!$A:$O,2,0))</f>
        <v>888</v>
      </c>
      <c r="C34" s="81" t="str">
        <f>IF($A34="","",VLOOKUP($A34,'Annex 2 EHV charges'!$A:$O,3,0))</f>
        <v>1900090497281;1900090497290;1900090497306;1900090497315</v>
      </c>
      <c r="D34" s="80" t="str">
        <f>IF($A34="","",VLOOKUP($A34,'Annex 2 EHV charges'!$A:$O,7,0))</f>
        <v>SENTIV</v>
      </c>
      <c r="E34" s="85">
        <f>IFERROR(IF(VLOOKUP($A34,'Annex 2 EHV charges'!$A:$O,9,FALSE)=0,"",VLOOKUP($A34,'Annex 2 EHV charges'!$A:$O,9,FALSE)),"")</f>
        <v>0.05</v>
      </c>
      <c r="F34" s="86">
        <f>IFERROR(IF(VLOOKUP($A34,'Annex 2 EHV charges'!$A:$O,10,FALSE)=0,"",VLOOKUP($A34,'Annex 2 EHV charges'!$A:$O,10,FALSE)),"")</f>
        <v>183985.57</v>
      </c>
      <c r="G34" s="87">
        <f>IFERROR(IF(VLOOKUP($A34,'Annex 2 EHV charges'!$A:$O,11,FALSE)=0,"",VLOOKUP($A34,'Annex 2 EHV charges'!$A:$O,11,FALSE)),"")</f>
        <v>1.39</v>
      </c>
      <c r="H34" s="87">
        <f>IFERROR(IF(VLOOKUP($A34,'Annex 2 EHV charges'!$A:$O,12,FALSE)=0,"",VLOOKUP($A34,'Annex 2 EHV charges'!$A:$O,12,FALSE)),"")</f>
        <v>1.39</v>
      </c>
    </row>
    <row r="35" spans="1:8" ht="12.75" customHeight="1" x14ac:dyDescent="0.2">
      <c r="A35" s="80" t="str">
        <f t="array" ref="A35">IFERROR(INDEX('Annex 2 EHV charges'!$A$10:$A$108, MATCH(0, IF(ISBLANK('Annex 2 EHV charges'!$A$10:$A$108),1, COUNTIF(A$4:$A34, 'Annex 2 EHV charges'!$A$10:$A$108)), 0)),"")</f>
        <v>THAMEM</v>
      </c>
      <c r="B35" s="80">
        <f>IF($A35="","",VLOOKUP($A35,'Annex 2 EHV charges'!$A:$O,2,0))</f>
        <v>838</v>
      </c>
      <c r="C35" s="81" t="str">
        <f>IF($A35="","",VLOOKUP($A35,'Annex 2 EHV charges'!$A:$O,3,0))</f>
        <v>1900090872672;1900090872681</v>
      </c>
      <c r="D35" s="80" t="str">
        <f>IF($A35="","",VLOOKUP($A35,'Annex 2 EHV charges'!$A:$O,7,0))</f>
        <v>THAMEM</v>
      </c>
      <c r="E35" s="85" t="str">
        <f>IFERROR(IF(VLOOKUP($A35,'Annex 2 EHV charges'!$A:$O,9,FALSE)=0,"",VLOOKUP($A35,'Annex 2 EHV charges'!$A:$O,9,FALSE)),"")</f>
        <v/>
      </c>
      <c r="F35" s="86">
        <f>IFERROR(IF(VLOOKUP($A35,'Annex 2 EHV charges'!$A:$O,10,FALSE)=0,"",VLOOKUP($A35,'Annex 2 EHV charges'!$A:$O,10,FALSE)),"")</f>
        <v>73474.95</v>
      </c>
      <c r="G35" s="87">
        <f>IFERROR(IF(VLOOKUP($A35,'Annex 2 EHV charges'!$A:$O,11,FALSE)=0,"",VLOOKUP($A35,'Annex 2 EHV charges'!$A:$O,11,FALSE)),"")</f>
        <v>1.6</v>
      </c>
      <c r="H35" s="87">
        <f>IFERROR(IF(VLOOKUP($A35,'Annex 2 EHV charges'!$A:$O,12,FALSE)=0,"",VLOOKUP($A35,'Annex 2 EHV charges'!$A:$O,12,FALSE)),"")</f>
        <v>1.6</v>
      </c>
    </row>
    <row r="36" spans="1:8" ht="12.75" customHeight="1" x14ac:dyDescent="0.2">
      <c r="A36" s="80" t="str">
        <f t="array" ref="A36">IFERROR(INDEX('Annex 2 EHV charges'!$A$10:$A$108, MATCH(0, IF(ISBLANK('Annex 2 EHV charges'!$A$10:$A$108),1, COUNTIF(A$4:$A35, 'Annex 2 EHV charges'!$A$10:$A$108)), 0)),"")</f>
        <v>THAMES</v>
      </c>
      <c r="B36" s="80">
        <f>IF($A36="","",VLOOKUP($A36,'Annex 2 EHV charges'!$A:$O,2,0))</f>
        <v>884</v>
      </c>
      <c r="C36" s="81">
        <f>IF($A36="","",VLOOKUP($A36,'Annex 2 EHV charges'!$A:$O,3,0))</f>
        <v>1900016424857</v>
      </c>
      <c r="D36" s="80" t="str">
        <f>IF($A36="","",VLOOKUP($A36,'Annex 2 EHV charges'!$A:$O,7,0))</f>
        <v>THAMES</v>
      </c>
      <c r="E36" s="85">
        <f>IFERROR(IF(VLOOKUP($A36,'Annex 2 EHV charges'!$A:$O,9,FALSE)=0,"",VLOOKUP($A36,'Annex 2 EHV charges'!$A:$O,9,FALSE)),"")</f>
        <v>0.75600000000000001</v>
      </c>
      <c r="F36" s="86">
        <f>IFERROR(IF(VLOOKUP($A36,'Annex 2 EHV charges'!$A:$O,10,FALSE)=0,"",VLOOKUP($A36,'Annex 2 EHV charges'!$A:$O,10,FALSE)),"")</f>
        <v>20906.490000000002</v>
      </c>
      <c r="G36" s="87">
        <f>IFERROR(IF(VLOOKUP($A36,'Annex 2 EHV charges'!$A:$O,11,FALSE)=0,"",VLOOKUP($A36,'Annex 2 EHV charges'!$A:$O,11,FALSE)),"")</f>
        <v>3.14</v>
      </c>
      <c r="H36" s="87">
        <f>IFERROR(IF(VLOOKUP($A36,'Annex 2 EHV charges'!$A:$O,12,FALSE)=0,"",VLOOKUP($A36,'Annex 2 EHV charges'!$A:$O,12,FALSE)),"")</f>
        <v>3.14</v>
      </c>
    </row>
    <row r="37" spans="1:8" ht="12.75" customHeight="1" x14ac:dyDescent="0.2">
      <c r="A37" s="80" t="str">
        <f t="array" ref="A37">IFERROR(INDEX('Annex 2 EHV charges'!$A$10:$A$108, MATCH(0, IF(ISBLANK('Annex 2 EHV charges'!$A$10:$A$108),1, COUNTIF(A$4:$A36, 'Annex 2 EHV charges'!$A$10:$A$108)), 0)),"")</f>
        <v>TWHK66</v>
      </c>
      <c r="B37" s="80">
        <f>IF($A37="","",VLOOKUP($A37,'Annex 2 EHV charges'!$A:$O,2,0))</f>
        <v>839</v>
      </c>
      <c r="C37" s="81">
        <f>IF($A37="","",VLOOKUP($A37,'Annex 2 EHV charges'!$A:$O,3,0))</f>
        <v>1900091206176</v>
      </c>
      <c r="D37" s="80" t="str">
        <f>IF($A37="","",VLOOKUP($A37,'Annex 2 EHV charges'!$A:$O,7,0))</f>
        <v>TWHK66</v>
      </c>
      <c r="E37" s="85">
        <f>IFERROR(IF(VLOOKUP($A37,'Annex 2 EHV charges'!$A:$O,9,FALSE)=0,"",VLOOKUP($A37,'Annex 2 EHV charges'!$A:$O,9,FALSE)),"")</f>
        <v>7.4290000000000003</v>
      </c>
      <c r="F37" s="86">
        <f>IFERROR(IF(VLOOKUP($A37,'Annex 2 EHV charges'!$A:$O,10,FALSE)=0,"",VLOOKUP($A37,'Annex 2 EHV charges'!$A:$O,10,FALSE)),"")</f>
        <v>16211.32</v>
      </c>
      <c r="G37" s="87">
        <f>IFERROR(IF(VLOOKUP($A37,'Annex 2 EHV charges'!$A:$O,11,FALSE)=0,"",VLOOKUP($A37,'Annex 2 EHV charges'!$A:$O,11,FALSE)),"")</f>
        <v>2.34</v>
      </c>
      <c r="H37" s="87">
        <f>IFERROR(IF(VLOOKUP($A37,'Annex 2 EHV charges'!$A:$O,12,FALSE)=0,"",VLOOKUP($A37,'Annex 2 EHV charges'!$A:$O,12,FALSE)),"")</f>
        <v>2.34</v>
      </c>
    </row>
    <row r="38" spans="1:8" ht="12.75" customHeight="1" x14ac:dyDescent="0.2">
      <c r="A38" s="80" t="str">
        <f t="array" ref="A38">IFERROR(INDEX('Annex 2 EHV charges'!$A$10:$A$108, MATCH(0, IF(ISBLANK('Annex 2 EHV charges'!$A$10:$A$108),1, COUNTIF(A$4:$A37, 'Annex 2 EHV charges'!$A$10:$A$108)), 0)),"")</f>
        <v>ANMSTR</v>
      </c>
      <c r="B38" s="80">
        <f>IF($A38="","",VLOOKUP($A38,'Annex 2 EHV charges'!$A:$O,2,0))</f>
        <v>873</v>
      </c>
      <c r="C38" s="81">
        <f>IF($A38="","",VLOOKUP($A38,'Annex 2 EHV charges'!$A:$O,3,0))</f>
        <v>1900091919588</v>
      </c>
      <c r="D38" s="80" t="str">
        <f>IF($A38="","",VLOOKUP($A38,'Annex 2 EHV charges'!$A:$O,7,0))</f>
        <v>ANMSTR</v>
      </c>
      <c r="E38" s="85">
        <f>IFERROR(IF(VLOOKUP($A38,'Annex 2 EHV charges'!$A:$O,9,FALSE)=0,"",VLOOKUP($A38,'Annex 2 EHV charges'!$A:$O,9,FALSE)),"")</f>
        <v>2.153</v>
      </c>
      <c r="F38" s="86">
        <f>IFERROR(IF(VLOOKUP($A38,'Annex 2 EHV charges'!$A:$O,10,FALSE)=0,"",VLOOKUP($A38,'Annex 2 EHV charges'!$A:$O,10,FALSE)),"")</f>
        <v>58.21</v>
      </c>
      <c r="G38" s="87">
        <f>IFERROR(IF(VLOOKUP($A38,'Annex 2 EHV charges'!$A:$O,11,FALSE)=0,"",VLOOKUP($A38,'Annex 2 EHV charges'!$A:$O,11,FALSE)),"")</f>
        <v>1.02</v>
      </c>
      <c r="H38" s="87">
        <f>IFERROR(IF(VLOOKUP($A38,'Annex 2 EHV charges'!$A:$O,12,FALSE)=0,"",VLOOKUP($A38,'Annex 2 EHV charges'!$A:$O,12,FALSE)),"")</f>
        <v>1.02</v>
      </c>
    </row>
    <row r="39" spans="1:8" ht="12.75" customHeight="1" x14ac:dyDescent="0.2">
      <c r="A39" s="80" t="str">
        <f t="array" ref="A39">IFERROR(INDEX('Annex 2 EHV charges'!$A$10:$A$108, MATCH(0, IF(ISBLANK('Annex 2 EHV charges'!$A$10:$A$108),1, COUNTIF(A$4:$A38, 'Annex 2 EHV charges'!$A$10:$A$108)), 0)),"")</f>
        <v>ASHBYS</v>
      </c>
      <c r="B39" s="80">
        <f>IF($A39="","",VLOOKUP($A39,'Annex 2 EHV charges'!$A:$O,2,0))</f>
        <v>809</v>
      </c>
      <c r="C39" s="81">
        <f>IF($A39="","",VLOOKUP($A39,'Annex 2 EHV charges'!$A:$O,3,0))</f>
        <v>1900091216963</v>
      </c>
      <c r="D39" s="80" t="str">
        <f>IF($A39="","",VLOOKUP($A39,'Annex 2 EHV charges'!$A:$O,7,0))</f>
        <v>ASHBYS</v>
      </c>
      <c r="E39" s="85">
        <f>IFERROR(IF(VLOOKUP($A39,'Annex 2 EHV charges'!$A:$O,9,FALSE)=0,"",VLOOKUP($A39,'Annex 2 EHV charges'!$A:$O,9,FALSE)),"")</f>
        <v>5.1429999999999998</v>
      </c>
      <c r="F39" s="86">
        <f>IFERROR(IF(VLOOKUP($A39,'Annex 2 EHV charges'!$A:$O,10,FALSE)=0,"",VLOOKUP($A39,'Annex 2 EHV charges'!$A:$O,10,FALSE)),"")</f>
        <v>16.420000000000002</v>
      </c>
      <c r="G39" s="87">
        <f>IFERROR(IF(VLOOKUP($A39,'Annex 2 EHV charges'!$A:$O,11,FALSE)=0,"",VLOOKUP($A39,'Annex 2 EHV charges'!$A:$O,11,FALSE)),"")</f>
        <v>1.9</v>
      </c>
      <c r="H39" s="87">
        <f>IFERROR(IF(VLOOKUP($A39,'Annex 2 EHV charges'!$A:$O,12,FALSE)=0,"",VLOOKUP($A39,'Annex 2 EHV charges'!$A:$O,12,FALSE)),"")</f>
        <v>1.9</v>
      </c>
    </row>
    <row r="40" spans="1:8" ht="12.75" customHeight="1" x14ac:dyDescent="0.2">
      <c r="A40" s="80" t="str">
        <f t="array" ref="A40">IFERROR(INDEX('Annex 2 EHV charges'!$A$10:$A$108, MATCH(0, IF(ISBLANK('Annex 2 EHV charges'!$A$10:$A$108),1, COUNTIF(A$4:$A39, 'Annex 2 EHV charges'!$A$10:$A$108)), 0)),"")</f>
        <v>AYLESF</v>
      </c>
      <c r="B40" s="80">
        <f>IF($A40="","",VLOOKUP($A40,'Annex 2 EHV charges'!$A:$O,2,0))</f>
        <v>868</v>
      </c>
      <c r="C40" s="81">
        <f>IF($A40="","",VLOOKUP($A40,'Annex 2 EHV charges'!$A:$O,3,0))</f>
        <v>1900060216613</v>
      </c>
      <c r="D40" s="80" t="str">
        <f>IF($A40="","",VLOOKUP($A40,'Annex 2 EHV charges'!$A:$O,7,0))</f>
        <v>AYLESF</v>
      </c>
      <c r="E40" s="85">
        <f>IFERROR(IF(VLOOKUP($A40,'Annex 2 EHV charges'!$A:$O,9,FALSE)=0,"",VLOOKUP($A40,'Annex 2 EHV charges'!$A:$O,9,FALSE)),"")</f>
        <v>4.4999999999999998E-2</v>
      </c>
      <c r="F40" s="86">
        <f>IFERROR(IF(VLOOKUP($A40,'Annex 2 EHV charges'!$A:$O,10,FALSE)=0,"",VLOOKUP($A40,'Annex 2 EHV charges'!$A:$O,10,FALSE)),"")</f>
        <v>67518.210000000006</v>
      </c>
      <c r="G40" s="87">
        <f>IFERROR(IF(VLOOKUP($A40,'Annex 2 EHV charges'!$A:$O,11,FALSE)=0,"",VLOOKUP($A40,'Annex 2 EHV charges'!$A:$O,11,FALSE)),"")</f>
        <v>0.8</v>
      </c>
      <c r="H40" s="87">
        <f>IFERROR(IF(VLOOKUP($A40,'Annex 2 EHV charges'!$A:$O,12,FALSE)=0,"",VLOOKUP($A40,'Annex 2 EHV charges'!$A:$O,12,FALSE)),"")</f>
        <v>0.8</v>
      </c>
    </row>
    <row r="41" spans="1:8" ht="12.75" customHeight="1" x14ac:dyDescent="0.2">
      <c r="A41" s="80" t="str">
        <f t="array" ref="A41">IFERROR(INDEX('Annex 2 EHV charges'!$A$10:$A$108, MATCH(0, IF(ISBLANK('Annex 2 EHV charges'!$A$10:$A$108),1, COUNTIF(A$4:$A40, 'Annex 2 EHV charges'!$A$10:$A$108)), 0)),"")</f>
        <v>BEDERF</v>
      </c>
      <c r="B41" s="80">
        <f>IF($A41="","",VLOOKUP($A41,'Annex 2 EHV charges'!$A:$O,2,0))</f>
        <v>840</v>
      </c>
      <c r="C41" s="81">
        <f>IF($A41="","",VLOOKUP($A41,'Annex 2 EHV charges'!$A:$O,3,0))</f>
        <v>1900091482588</v>
      </c>
      <c r="D41" s="80" t="str">
        <f>IF($A41="","",VLOOKUP($A41,'Annex 2 EHV charges'!$A:$O,7,0))</f>
        <v>BEDERF</v>
      </c>
      <c r="E41" s="85">
        <f>IFERROR(IF(VLOOKUP($A41,'Annex 2 EHV charges'!$A:$O,9,FALSE)=0,"",VLOOKUP($A41,'Annex 2 EHV charges'!$A:$O,9,FALSE)),"")</f>
        <v>0.20100000000000001</v>
      </c>
      <c r="F41" s="86">
        <f>IFERROR(IF(VLOOKUP($A41,'Annex 2 EHV charges'!$A:$O,10,FALSE)=0,"",VLOOKUP($A41,'Annex 2 EHV charges'!$A:$O,10,FALSE)),"")</f>
        <v>577.83000000000004</v>
      </c>
      <c r="G41" s="87">
        <f>IFERROR(IF(VLOOKUP($A41,'Annex 2 EHV charges'!$A:$O,11,FALSE)=0,"",VLOOKUP($A41,'Annex 2 EHV charges'!$A:$O,11,FALSE)),"")</f>
        <v>1</v>
      </c>
      <c r="H41" s="87">
        <f>IFERROR(IF(VLOOKUP($A41,'Annex 2 EHV charges'!$A:$O,12,FALSE)=0,"",VLOOKUP($A41,'Annex 2 EHV charges'!$A:$O,12,FALSE)),"")</f>
        <v>1</v>
      </c>
    </row>
    <row r="42" spans="1:8" ht="12.75" customHeight="1" x14ac:dyDescent="0.2">
      <c r="A42" s="80" t="str">
        <f t="array" ref="A42">IFERROR(INDEX('Annex 2 EHV charges'!$A$10:$A$108, MATCH(0, IF(ISBLANK('Annex 2 EHV charges'!$A$10:$A$108),1, COUNTIF(A$4:$A41, 'Annex 2 EHV charges'!$A$10:$A$108)), 0)),"")</f>
        <v>BESAYL</v>
      </c>
      <c r="B42" s="80">
        <f>IF($A42="","",VLOOKUP($A42,'Annex 2 EHV charges'!$A:$O,2,0))</f>
        <v>841</v>
      </c>
      <c r="C42" s="81">
        <f>IF($A42="","",VLOOKUP($A42,'Annex 2 EHV charges'!$A:$O,3,0))</f>
        <v>1900091632775</v>
      </c>
      <c r="D42" s="80" t="str">
        <f>IF($A42="","",VLOOKUP($A42,'Annex 2 EHV charges'!$A:$O,7,0))</f>
        <v>BESAYL</v>
      </c>
      <c r="E42" s="85">
        <f>IFERROR(IF(VLOOKUP($A42,'Annex 2 EHV charges'!$A:$O,9,FALSE)=0,"",VLOOKUP($A42,'Annex 2 EHV charges'!$A:$O,9,FALSE)),"")</f>
        <v>4.4999999999999998E-2</v>
      </c>
      <c r="F42" s="86">
        <f>IFERROR(IF(VLOOKUP($A42,'Annex 2 EHV charges'!$A:$O,10,FALSE)=0,"",VLOOKUP($A42,'Annex 2 EHV charges'!$A:$O,10,FALSE)),"")</f>
        <v>589.22</v>
      </c>
      <c r="G42" s="87">
        <f>IFERROR(IF(VLOOKUP($A42,'Annex 2 EHV charges'!$A:$O,11,FALSE)=0,"",VLOOKUP($A42,'Annex 2 EHV charges'!$A:$O,11,FALSE)),"")</f>
        <v>0.9</v>
      </c>
      <c r="H42" s="87">
        <f>IFERROR(IF(VLOOKUP($A42,'Annex 2 EHV charges'!$A:$O,12,FALSE)=0,"",VLOOKUP($A42,'Annex 2 EHV charges'!$A:$O,12,FALSE)),"")</f>
        <v>0.9</v>
      </c>
    </row>
    <row r="43" spans="1:8" ht="12.75" customHeight="1" x14ac:dyDescent="0.2">
      <c r="A43" s="80" t="str">
        <f t="array" ref="A43">IFERROR(INDEX('Annex 2 EHV charges'!$A$10:$A$108, MATCH(0, IF(ISBLANK('Annex 2 EHV charges'!$A$10:$A$108),1, COUNTIF(A$4:$A42, 'Annex 2 EHV charges'!$A$10:$A$108)), 0)),"")</f>
        <v>BNTLEY</v>
      </c>
      <c r="B43" s="80">
        <f>IF($A43="","",VLOOKUP($A43,'Annex 2 EHV charges'!$A:$O,2,0))</f>
        <v>890</v>
      </c>
      <c r="C43" s="81">
        <f>IF($A43="","",VLOOKUP($A43,'Annex 2 EHV charges'!$A:$O,3,0))</f>
        <v>1900091343778</v>
      </c>
      <c r="D43" s="80" t="str">
        <f>IF($A43="","",VLOOKUP($A43,'Annex 2 EHV charges'!$A:$O,7,0))</f>
        <v>BNTLEY</v>
      </c>
      <c r="E43" s="85">
        <f>IFERROR(IF(VLOOKUP($A43,'Annex 2 EHV charges'!$A:$O,9,FALSE)=0,"",VLOOKUP($A43,'Annex 2 EHV charges'!$A:$O,9,FALSE)),"")</f>
        <v>6.2859999999999996</v>
      </c>
      <c r="F43" s="86">
        <f>IFERROR(IF(VLOOKUP($A43,'Annex 2 EHV charges'!$A:$O,10,FALSE)=0,"",VLOOKUP($A43,'Annex 2 EHV charges'!$A:$O,10,FALSE)),"")</f>
        <v>14.77</v>
      </c>
      <c r="G43" s="87">
        <f>IFERROR(IF(VLOOKUP($A43,'Annex 2 EHV charges'!$A:$O,11,FALSE)=0,"",VLOOKUP($A43,'Annex 2 EHV charges'!$A:$O,11,FALSE)),"")</f>
        <v>1.3</v>
      </c>
      <c r="H43" s="87">
        <f>IFERROR(IF(VLOOKUP($A43,'Annex 2 EHV charges'!$A:$O,12,FALSE)=0,"",VLOOKUP($A43,'Annex 2 EHV charges'!$A:$O,12,FALSE)),"")</f>
        <v>1.3</v>
      </c>
    </row>
    <row r="44" spans="1:8" ht="12.75" customHeight="1" x14ac:dyDescent="0.2">
      <c r="A44" s="80" t="str">
        <f t="array" ref="A44">IFERROR(INDEX('Annex 2 EHV charges'!$A$10:$A$108, MATCH(0, IF(ISBLANK('Annex 2 EHV charges'!$A$10:$A$108),1, COUNTIF(A$4:$A43, 'Annex 2 EHV charges'!$A$10:$A$108)), 0)),"")</f>
        <v>BNTLY2</v>
      </c>
      <c r="B44" s="80">
        <f>IF($A44="","",VLOOKUP($A44,'Annex 2 EHV charges'!$A:$O,2,0))</f>
        <v>830</v>
      </c>
      <c r="C44" s="81">
        <f>IF($A44="","",VLOOKUP($A44,'Annex 2 EHV charges'!$A:$O,3,0))</f>
        <v>1900091463646</v>
      </c>
      <c r="D44" s="80" t="str">
        <f>IF($A44="","",VLOOKUP($A44,'Annex 2 EHV charges'!$A:$O,7,0))</f>
        <v>BNTLY2</v>
      </c>
      <c r="E44" s="85">
        <f>IFERROR(IF(VLOOKUP($A44,'Annex 2 EHV charges'!$A:$O,9,FALSE)=0,"",VLOOKUP($A44,'Annex 2 EHV charges'!$A:$O,9,FALSE)),"")</f>
        <v>6.2859999999999996</v>
      </c>
      <c r="F44" s="86">
        <f>IFERROR(IF(VLOOKUP($A44,'Annex 2 EHV charges'!$A:$O,10,FALSE)=0,"",VLOOKUP($A44,'Annex 2 EHV charges'!$A:$O,10,FALSE)),"")</f>
        <v>11.26</v>
      </c>
      <c r="G44" s="87">
        <f>IFERROR(IF(VLOOKUP($A44,'Annex 2 EHV charges'!$A:$O,11,FALSE)=0,"",VLOOKUP($A44,'Annex 2 EHV charges'!$A:$O,11,FALSE)),"")</f>
        <v>1.58</v>
      </c>
      <c r="H44" s="87">
        <f>IFERROR(IF(VLOOKUP($A44,'Annex 2 EHV charges'!$A:$O,12,FALSE)=0,"",VLOOKUP($A44,'Annex 2 EHV charges'!$A:$O,12,FALSE)),"")</f>
        <v>1.58</v>
      </c>
    </row>
    <row r="45" spans="1:8" ht="12.75" customHeight="1" x14ac:dyDescent="0.2">
      <c r="A45" s="80" t="str">
        <f t="array" ref="A45">IFERROR(INDEX('Annex 2 EHV charges'!$A$10:$A$108, MATCH(0, IF(ISBLANK('Annex 2 EHV charges'!$A$10:$A$108),1, COUNTIF(A$4:$A44, 'Annex 2 EHV charges'!$A$10:$A$108)), 0)),"")</f>
        <v>BOBBNG</v>
      </c>
      <c r="B45" s="80">
        <f>IF($A45="","",VLOOKUP($A45,'Annex 2 EHV charges'!$A:$O,2,0))</f>
        <v>891</v>
      </c>
      <c r="C45" s="81">
        <f>IF($A45="","",VLOOKUP($A45,'Annex 2 EHV charges'!$A:$O,3,0))</f>
        <v>1900091395508</v>
      </c>
      <c r="D45" s="80" t="str">
        <f>IF($A45="","",VLOOKUP($A45,'Annex 2 EHV charges'!$A:$O,7,0))</f>
        <v>BOBBNG</v>
      </c>
      <c r="E45" s="85" t="str">
        <f>IFERROR(IF(VLOOKUP($A45,'Annex 2 EHV charges'!$A:$O,9,FALSE)=0,"",VLOOKUP($A45,'Annex 2 EHV charges'!$A:$O,9,FALSE)),"")</f>
        <v/>
      </c>
      <c r="F45" s="86">
        <f>IFERROR(IF(VLOOKUP($A45,'Annex 2 EHV charges'!$A:$O,10,FALSE)=0,"",VLOOKUP($A45,'Annex 2 EHV charges'!$A:$O,10,FALSE)),"")</f>
        <v>8.02</v>
      </c>
      <c r="G45" s="87">
        <f>IFERROR(IF(VLOOKUP($A45,'Annex 2 EHV charges'!$A:$O,11,FALSE)=0,"",VLOOKUP($A45,'Annex 2 EHV charges'!$A:$O,11,FALSE)),"")</f>
        <v>2.63</v>
      </c>
      <c r="H45" s="87">
        <f>IFERROR(IF(VLOOKUP($A45,'Annex 2 EHV charges'!$A:$O,12,FALSE)=0,"",VLOOKUP($A45,'Annex 2 EHV charges'!$A:$O,12,FALSE)),"")</f>
        <v>2.63</v>
      </c>
    </row>
    <row r="46" spans="1:8" ht="12.75" customHeight="1" x14ac:dyDescent="0.2">
      <c r="A46" s="80" t="str">
        <f t="array" ref="A46">IFERROR(INDEX('Annex 2 EHV charges'!$A$10:$A$108, MATCH(0, IF(ISBLANK('Annex 2 EHV charges'!$A$10:$A$108),1, COUNTIF(A$4:$A45, 'Annex 2 EHV charges'!$A$10:$A$108)), 0)),"")</f>
        <v>BRAMBS</v>
      </c>
      <c r="B46" s="80">
        <f>IF($A46="","",VLOOKUP($A46,'Annex 2 EHV charges'!$A:$O,2,0))</f>
        <v>842</v>
      </c>
      <c r="C46" s="81">
        <f>IF($A46="","",VLOOKUP($A46,'Annex 2 EHV charges'!$A:$O,3,0))</f>
        <v>1900091566810</v>
      </c>
      <c r="D46" s="80" t="str">
        <f>IF($A46="","",VLOOKUP($A46,'Annex 2 EHV charges'!$A:$O,7,0))</f>
        <v>BRAMBS</v>
      </c>
      <c r="E46" s="85">
        <f>IFERROR(IF(VLOOKUP($A46,'Annex 2 EHV charges'!$A:$O,9,FALSE)=0,"",VLOOKUP($A46,'Annex 2 EHV charges'!$A:$O,9,FALSE)),"")</f>
        <v>0.28899999999999998</v>
      </c>
      <c r="F46" s="86">
        <f>IFERROR(IF(VLOOKUP($A46,'Annex 2 EHV charges'!$A:$O,10,FALSE)=0,"",VLOOKUP($A46,'Annex 2 EHV charges'!$A:$O,10,FALSE)),"")</f>
        <v>589.22</v>
      </c>
      <c r="G46" s="87">
        <f>IFERROR(IF(VLOOKUP($A46,'Annex 2 EHV charges'!$A:$O,11,FALSE)=0,"",VLOOKUP($A46,'Annex 2 EHV charges'!$A:$O,11,FALSE)),"")</f>
        <v>1.26</v>
      </c>
      <c r="H46" s="87">
        <f>IFERROR(IF(VLOOKUP($A46,'Annex 2 EHV charges'!$A:$O,12,FALSE)=0,"",VLOOKUP($A46,'Annex 2 EHV charges'!$A:$O,12,FALSE)),"")</f>
        <v>1.26</v>
      </c>
    </row>
    <row r="47" spans="1:8" ht="12.75" customHeight="1" x14ac:dyDescent="0.2">
      <c r="A47" s="80" t="str">
        <f t="array" ref="A47">IFERROR(INDEX('Annex 2 EHV charges'!$A$10:$A$108, MATCH(0, IF(ISBLANK('Annex 2 EHV charges'!$A$10:$A$108),1, COUNTIF(A$4:$A46, 'Annex 2 EHV charges'!$A$10:$A$108)), 0)),"")</f>
        <v>BRELLE</v>
      </c>
      <c r="B47" s="80">
        <f>IF($A47="","",VLOOKUP($A47,'Annex 2 EHV charges'!$A:$O,2,0))</f>
        <v>843</v>
      </c>
      <c r="C47" s="81">
        <f>IF($A47="","",VLOOKUP($A47,'Annex 2 EHV charges'!$A:$O,3,0))</f>
        <v>1900091523116</v>
      </c>
      <c r="D47" s="80" t="str">
        <f>IF($A47="","",VLOOKUP($A47,'Annex 2 EHV charges'!$A:$O,7,0))</f>
        <v>BRELLE</v>
      </c>
      <c r="E47" s="85" t="str">
        <f>IFERROR(IF(VLOOKUP($A47,'Annex 2 EHV charges'!$A:$O,9,FALSE)=0,"",VLOOKUP($A47,'Annex 2 EHV charges'!$A:$O,9,FALSE)),"")</f>
        <v/>
      </c>
      <c r="F47" s="86">
        <f>IFERROR(IF(VLOOKUP($A47,'Annex 2 EHV charges'!$A:$O,10,FALSE)=0,"",VLOOKUP($A47,'Annex 2 EHV charges'!$A:$O,10,FALSE)),"")</f>
        <v>2549.85</v>
      </c>
      <c r="G47" s="87">
        <f>IFERROR(IF(VLOOKUP($A47,'Annex 2 EHV charges'!$A:$O,11,FALSE)=0,"",VLOOKUP($A47,'Annex 2 EHV charges'!$A:$O,11,FALSE)),"")</f>
        <v>1.34</v>
      </c>
      <c r="H47" s="87">
        <f>IFERROR(IF(VLOOKUP($A47,'Annex 2 EHV charges'!$A:$O,12,FALSE)=0,"",VLOOKUP($A47,'Annex 2 EHV charges'!$A:$O,12,FALSE)),"")</f>
        <v>1.34</v>
      </c>
    </row>
    <row r="48" spans="1:8" ht="12.75" customHeight="1" x14ac:dyDescent="0.2">
      <c r="A48" s="80" t="str">
        <f t="array" ref="A48">IFERROR(INDEX('Annex 2 EHV charges'!$A$10:$A$108, MATCH(0, IF(ISBLANK('Annex 2 EHV charges'!$A$10:$A$108),1, COUNTIF(A$4:$A47, 'Annex 2 EHV charges'!$A$10:$A$108)), 0)),"")</f>
        <v>BRETSH</v>
      </c>
      <c r="B48" s="80">
        <f>IF($A48="","",VLOOKUP($A48,'Annex 2 EHV charges'!$A:$O,2,0))</f>
        <v>871</v>
      </c>
      <c r="C48" s="81" t="str">
        <f>IF($A48="","",VLOOKUP($A48,'Annex 2 EHV charges'!$A:$O,3,0))</f>
        <v>1900061003393;1900090466576</v>
      </c>
      <c r="D48" s="80" t="str">
        <f>IF($A48="","",VLOOKUP($A48,'Annex 2 EHV charges'!$A:$O,7,0))</f>
        <v>BRETSH</v>
      </c>
      <c r="E48" s="85">
        <f>IFERROR(IF(VLOOKUP($A48,'Annex 2 EHV charges'!$A:$O,9,FALSE)=0,"",VLOOKUP($A48,'Annex 2 EHV charges'!$A:$O,9,FALSE)),"")</f>
        <v>1.4E-2</v>
      </c>
      <c r="F48" s="86">
        <f>IFERROR(IF(VLOOKUP($A48,'Annex 2 EHV charges'!$A:$O,10,FALSE)=0,"",VLOOKUP($A48,'Annex 2 EHV charges'!$A:$O,10,FALSE)),"")</f>
        <v>38.36</v>
      </c>
      <c r="G48" s="87">
        <f>IFERROR(IF(VLOOKUP($A48,'Annex 2 EHV charges'!$A:$O,11,FALSE)=0,"",VLOOKUP($A48,'Annex 2 EHV charges'!$A:$O,11,FALSE)),"")</f>
        <v>1.18</v>
      </c>
      <c r="H48" s="87">
        <f>IFERROR(IF(VLOOKUP($A48,'Annex 2 EHV charges'!$A:$O,12,FALSE)=0,"",VLOOKUP($A48,'Annex 2 EHV charges'!$A:$O,12,FALSE)),"")</f>
        <v>1.18</v>
      </c>
    </row>
    <row r="49" spans="1:8" ht="12.75" customHeight="1" x14ac:dyDescent="0.2">
      <c r="A49" s="80" t="str">
        <f t="array" ref="A49">IFERROR(INDEX('Annex 2 EHV charges'!$A$10:$A$108, MATCH(0, IF(ISBLANK('Annex 2 EHV charges'!$A$10:$A$108),1, COUNTIF(A$4:$A48, 'Annex 2 EHV charges'!$A$10:$A$108)), 0)),"")</f>
        <v>BRKHST</v>
      </c>
      <c r="B49" s="80">
        <f>IF($A49="","",VLOOKUP($A49,'Annex 2 EHV charges'!$A:$O,2,0))</f>
        <v>802</v>
      </c>
      <c r="C49" s="81">
        <f>IF($A49="","",VLOOKUP($A49,'Annex 2 EHV charges'!$A:$O,3,0))</f>
        <v>1900090834409</v>
      </c>
      <c r="D49" s="80" t="str">
        <f>IF($A49="","",VLOOKUP($A49,'Annex 2 EHV charges'!$A:$O,7,0))</f>
        <v>BRKHST</v>
      </c>
      <c r="E49" s="85">
        <f>IFERROR(IF(VLOOKUP($A49,'Annex 2 EHV charges'!$A:$O,9,FALSE)=0,"",VLOOKUP($A49,'Annex 2 EHV charges'!$A:$O,9,FALSE)),"")</f>
        <v>1.52</v>
      </c>
      <c r="F49" s="86">
        <f>IFERROR(IF(VLOOKUP($A49,'Annex 2 EHV charges'!$A:$O,10,FALSE)=0,"",VLOOKUP($A49,'Annex 2 EHV charges'!$A:$O,10,FALSE)),"")</f>
        <v>18665.830000000002</v>
      </c>
      <c r="G49" s="87">
        <f>IFERROR(IF(VLOOKUP($A49,'Annex 2 EHV charges'!$A:$O,11,FALSE)=0,"",VLOOKUP($A49,'Annex 2 EHV charges'!$A:$O,11,FALSE)),"")</f>
        <v>3.84</v>
      </c>
      <c r="H49" s="87">
        <f>IFERROR(IF(VLOOKUP($A49,'Annex 2 EHV charges'!$A:$O,12,FALSE)=0,"",VLOOKUP($A49,'Annex 2 EHV charges'!$A:$O,12,FALSE)),"")</f>
        <v>3.84</v>
      </c>
    </row>
    <row r="50" spans="1:8" ht="12.75" customHeight="1" x14ac:dyDescent="0.2">
      <c r="A50" s="80" t="str">
        <f t="array" ref="A50">IFERROR(INDEX('Annex 2 EHV charges'!$A$10:$A$108, MATCH(0, IF(ISBLANK('Annex 2 EHV charges'!$A$10:$A$108),1, COUNTIF(A$4:$A49, 'Annex 2 EHV charges'!$A$10:$A$108)), 0)),"")</f>
        <v>BTBRKS</v>
      </c>
      <c r="B50" s="80">
        <f>IF($A50="","",VLOOKUP($A50,'Annex 2 EHV charges'!$A:$O,2,0))</f>
        <v>810</v>
      </c>
      <c r="C50" s="81">
        <f>IF($A50="","",VLOOKUP($A50,'Annex 2 EHV charges'!$A:$O,3,0))</f>
        <v>1900091199350</v>
      </c>
      <c r="D50" s="80" t="str">
        <f>IF($A50="","",VLOOKUP($A50,'Annex 2 EHV charges'!$A:$O,7,0))</f>
        <v>BTBRKS</v>
      </c>
      <c r="E50" s="85">
        <f>IFERROR(IF(VLOOKUP($A50,'Annex 2 EHV charges'!$A:$O,9,FALSE)=0,"",VLOOKUP($A50,'Annex 2 EHV charges'!$A:$O,9,FALSE)),"")</f>
        <v>0.499</v>
      </c>
      <c r="F50" s="86">
        <f>IFERROR(IF(VLOOKUP($A50,'Annex 2 EHV charges'!$A:$O,10,FALSE)=0,"",VLOOKUP($A50,'Annex 2 EHV charges'!$A:$O,10,FALSE)),"")</f>
        <v>2575.35</v>
      </c>
      <c r="G50" s="87">
        <f>IFERROR(IF(VLOOKUP($A50,'Annex 2 EHV charges'!$A:$O,11,FALSE)=0,"",VLOOKUP($A50,'Annex 2 EHV charges'!$A:$O,11,FALSE)),"")</f>
        <v>1.51</v>
      </c>
      <c r="H50" s="87">
        <f>IFERROR(IF(VLOOKUP($A50,'Annex 2 EHV charges'!$A:$O,12,FALSE)=0,"",VLOOKUP($A50,'Annex 2 EHV charges'!$A:$O,12,FALSE)),"")</f>
        <v>1.51</v>
      </c>
    </row>
    <row r="51" spans="1:8" ht="12.75" customHeight="1" x14ac:dyDescent="0.2">
      <c r="A51" s="80" t="str">
        <f t="array" ref="A51">IFERROR(INDEX('Annex 2 EHV charges'!$A$10:$A$108, MATCH(0, IF(ISBLANK('Annex 2 EHV charges'!$A$10:$A$108),1, COUNTIF(A$4:$A50, 'Annex 2 EHV charges'!$A$10:$A$108)), 0)),"")</f>
        <v>CAPELG</v>
      </c>
      <c r="B51" s="80">
        <f>IF($A51="","",VLOOKUP($A51,'Annex 2 EHV charges'!$A:$O,2,0))</f>
        <v>893</v>
      </c>
      <c r="C51" s="81">
        <f>IF($A51="","",VLOOKUP($A51,'Annex 2 EHV charges'!$A:$O,3,0))</f>
        <v>1900091353298</v>
      </c>
      <c r="D51" s="80" t="str">
        <f>IF($A51="","",VLOOKUP($A51,'Annex 2 EHV charges'!$A:$O,7,0))</f>
        <v>CAPELG</v>
      </c>
      <c r="E51" s="85">
        <f>IFERROR(IF(VLOOKUP($A51,'Annex 2 EHV charges'!$A:$O,9,FALSE)=0,"",VLOOKUP($A51,'Annex 2 EHV charges'!$A:$O,9,FALSE)),"")</f>
        <v>7.5919999999999996</v>
      </c>
      <c r="F51" s="86">
        <f>IFERROR(IF(VLOOKUP($A51,'Annex 2 EHV charges'!$A:$O,10,FALSE)=0,"",VLOOKUP($A51,'Annex 2 EHV charges'!$A:$O,10,FALSE)),"")</f>
        <v>1.47</v>
      </c>
      <c r="G51" s="87">
        <f>IFERROR(IF(VLOOKUP($A51,'Annex 2 EHV charges'!$A:$O,11,FALSE)=0,"",VLOOKUP($A51,'Annex 2 EHV charges'!$A:$O,11,FALSE)),"")</f>
        <v>4.72</v>
      </c>
      <c r="H51" s="87">
        <f>IFERROR(IF(VLOOKUP($A51,'Annex 2 EHV charges'!$A:$O,12,FALSE)=0,"",VLOOKUP($A51,'Annex 2 EHV charges'!$A:$O,12,FALSE)),"")</f>
        <v>4.72</v>
      </c>
    </row>
    <row r="52" spans="1:8" ht="12.75" customHeight="1" x14ac:dyDescent="0.2">
      <c r="A52" s="80" t="str">
        <f t="array" ref="A52">IFERROR(INDEX('Annex 2 EHV charges'!$A$10:$A$108, MATCH(0, IF(ISBLANK('Annex 2 EHV charges'!$A$10:$A$108),1, COUNTIF(A$4:$A51, 'Annex 2 EHV charges'!$A$10:$A$108)), 0)),"")</f>
        <v>CLYHLL</v>
      </c>
      <c r="B52" s="80">
        <f>IF($A52="","",VLOOKUP($A52,'Annex 2 EHV charges'!$A:$O,2,0))</f>
        <v>894</v>
      </c>
      <c r="C52" s="81">
        <f>IF($A52="","",VLOOKUP($A52,'Annex 2 EHV charges'!$A:$O,3,0))</f>
        <v>1900091343750</v>
      </c>
      <c r="D52" s="80" t="str">
        <f>IF($A52="","",VLOOKUP($A52,'Annex 2 EHV charges'!$A:$O,7,0))</f>
        <v>CLYHLL</v>
      </c>
      <c r="E52" s="85">
        <f>IFERROR(IF(VLOOKUP($A52,'Annex 2 EHV charges'!$A:$O,9,FALSE)=0,"",VLOOKUP($A52,'Annex 2 EHV charges'!$A:$O,9,FALSE)),"")</f>
        <v>1.3680000000000001</v>
      </c>
      <c r="F52" s="86">
        <f>IFERROR(IF(VLOOKUP($A52,'Annex 2 EHV charges'!$A:$O,10,FALSE)=0,"",VLOOKUP($A52,'Annex 2 EHV charges'!$A:$O,10,FALSE)),"")</f>
        <v>11.13</v>
      </c>
      <c r="G52" s="87">
        <f>IFERROR(IF(VLOOKUP($A52,'Annex 2 EHV charges'!$A:$O,11,FALSE)=0,"",VLOOKUP($A52,'Annex 2 EHV charges'!$A:$O,11,FALSE)),"")</f>
        <v>3.46</v>
      </c>
      <c r="H52" s="87">
        <f>IFERROR(IF(VLOOKUP($A52,'Annex 2 EHV charges'!$A:$O,12,FALSE)=0,"",VLOOKUP($A52,'Annex 2 EHV charges'!$A:$O,12,FALSE)),"")</f>
        <v>3.46</v>
      </c>
    </row>
    <row r="53" spans="1:8" ht="12.75" customHeight="1" x14ac:dyDescent="0.2">
      <c r="A53" s="80" t="str">
        <f t="array" ref="A53">IFERROR(INDEX('Annex 2 EHV charges'!$A$10:$A$108, MATCH(0, IF(ISBLANK('Annex 2 EHV charges'!$A$10:$A$108),1, COUNTIF(A$4:$A52, 'Annex 2 EHV charges'!$A$10:$A$108)), 0)),"")</f>
        <v>CRYENG</v>
      </c>
      <c r="B53" s="80">
        <f>IF($A53="","",VLOOKUP($A53,'Annex 2 EHV charges'!$A:$O,2,0))</f>
        <v>0</v>
      </c>
      <c r="C53" s="81" t="str">
        <f>IF($A53="","",VLOOKUP($A53,'Annex 2 EHV charges'!$A:$O,3,0))</f>
        <v>MSID: 7441</v>
      </c>
      <c r="D53" s="80" t="str">
        <f>IF($A53="","",VLOOKUP($A53,'Annex 2 EHV charges'!$A:$O,7,0))</f>
        <v>CRYENG</v>
      </c>
      <c r="E53" s="85" t="str">
        <f>IFERROR(IF(VLOOKUP($A53,'Annex 2 EHV charges'!$A:$O,9,FALSE)=0,"",VLOOKUP($A53,'Annex 2 EHV charges'!$A:$O,9,FALSE)),"")</f>
        <v/>
      </c>
      <c r="F53" s="86">
        <f>IFERROR(IF(VLOOKUP($A53,'Annex 2 EHV charges'!$A:$O,10,FALSE)=0,"",VLOOKUP($A53,'Annex 2 EHV charges'!$A:$O,10,FALSE)),"")</f>
        <v>191.17</v>
      </c>
      <c r="G53" s="87">
        <f>IFERROR(IF(VLOOKUP($A53,'Annex 2 EHV charges'!$A:$O,11,FALSE)=0,"",VLOOKUP($A53,'Annex 2 EHV charges'!$A:$O,11,FALSE)),"")</f>
        <v>0.92</v>
      </c>
      <c r="H53" s="87">
        <f>IFERROR(IF(VLOOKUP($A53,'Annex 2 EHV charges'!$A:$O,12,FALSE)=0,"",VLOOKUP($A53,'Annex 2 EHV charges'!$A:$O,12,FALSE)),"")</f>
        <v>0.92</v>
      </c>
    </row>
    <row r="54" spans="1:8" ht="12.75" customHeight="1" x14ac:dyDescent="0.2">
      <c r="A54" s="80" t="str">
        <f t="array" ref="A54">IFERROR(INDEX('Annex 2 EHV charges'!$A$10:$A$108, MATCH(0, IF(ISBLANK('Annex 2 EHV charges'!$A$10:$A$108),1, COUNTIF(A$4:$A53, 'Annex 2 EHV charges'!$A$10:$A$108)), 0)),"")</f>
        <v>CWSTBS</v>
      </c>
      <c r="B54" s="80">
        <f>IF($A54="","",VLOOKUP($A54,'Annex 2 EHV charges'!$A:$O,2,0))</f>
        <v>0</v>
      </c>
      <c r="C54" s="81" t="str">
        <f>IF($A54="","",VLOOKUP($A54,'Annex 2 EHV charges'!$A:$O,3,0))</f>
        <v>ENET</v>
      </c>
      <c r="D54" s="80" t="str">
        <f>IF($A54="","",VLOOKUP($A54,'Annex 2 EHV charges'!$A:$O,7,0))</f>
        <v>CWSTBS</v>
      </c>
      <c r="E54" s="85" t="str">
        <f>IFERROR(IF(VLOOKUP($A54,'Annex 2 EHV charges'!$A:$O,9,FALSE)=0,"",VLOOKUP($A54,'Annex 2 EHV charges'!$A:$O,9,FALSE)),"")</f>
        <v/>
      </c>
      <c r="F54" s="86">
        <f>IFERROR(IF(VLOOKUP($A54,'Annex 2 EHV charges'!$A:$O,10,FALSE)=0,"",VLOOKUP($A54,'Annex 2 EHV charges'!$A:$O,10,FALSE)),"")</f>
        <v>28.81</v>
      </c>
      <c r="G54" s="87">
        <f>IFERROR(IF(VLOOKUP($A54,'Annex 2 EHV charges'!$A:$O,11,FALSE)=0,"",VLOOKUP($A54,'Annex 2 EHV charges'!$A:$O,11,FALSE)),"")</f>
        <v>0.59</v>
      </c>
      <c r="H54" s="87">
        <f>IFERROR(IF(VLOOKUP($A54,'Annex 2 EHV charges'!$A:$O,12,FALSE)=0,"",VLOOKUP($A54,'Annex 2 EHV charges'!$A:$O,12,FALSE)),"")</f>
        <v>0.59</v>
      </c>
    </row>
    <row r="55" spans="1:8" ht="12.75" customHeight="1" x14ac:dyDescent="0.2">
      <c r="A55" s="80" t="str">
        <f t="array" ref="A55">IFERROR(INDEX('Annex 2 EHV charges'!$A$10:$A$108, MATCH(0, IF(ISBLANK('Annex 2 EHV charges'!$A$10:$A$108),1, COUNTIF(A$4:$A54, 'Annex 2 EHV charges'!$A$10:$A$108)), 0)),"")</f>
        <v>DARENT</v>
      </c>
      <c r="B55" s="80">
        <f>IF($A55="","",VLOOKUP($A55,'Annex 2 EHV charges'!$A:$O,2,0))</f>
        <v>836</v>
      </c>
      <c r="C55" s="81">
        <f>IF($A55="","",VLOOKUP($A55,'Annex 2 EHV charges'!$A:$O,3,0))</f>
        <v>1900091057568</v>
      </c>
      <c r="D55" s="80" t="str">
        <f>IF($A55="","",VLOOKUP($A55,'Annex 2 EHV charges'!$A:$O,7,0))</f>
        <v>DARENT</v>
      </c>
      <c r="E55" s="85" t="str">
        <f>IFERROR(IF(VLOOKUP($A55,'Annex 2 EHV charges'!$A:$O,9,FALSE)=0,"",VLOOKUP($A55,'Annex 2 EHV charges'!$A:$O,9,FALSE)),"")</f>
        <v/>
      </c>
      <c r="F55" s="86">
        <f>IFERROR(IF(VLOOKUP($A55,'Annex 2 EHV charges'!$A:$O,10,FALSE)=0,"",VLOOKUP($A55,'Annex 2 EHV charges'!$A:$O,10,FALSE)),"")</f>
        <v>2712.53</v>
      </c>
      <c r="G55" s="87">
        <f>IFERROR(IF(VLOOKUP($A55,'Annex 2 EHV charges'!$A:$O,11,FALSE)=0,"",VLOOKUP($A55,'Annex 2 EHV charges'!$A:$O,11,FALSE)),"")</f>
        <v>0.97</v>
      </c>
      <c r="H55" s="87">
        <f>IFERROR(IF(VLOOKUP($A55,'Annex 2 EHV charges'!$A:$O,12,FALSE)=0,"",VLOOKUP($A55,'Annex 2 EHV charges'!$A:$O,12,FALSE)),"")</f>
        <v>0.97</v>
      </c>
    </row>
    <row r="56" spans="1:8" ht="12.75" customHeight="1" x14ac:dyDescent="0.2">
      <c r="A56" s="80" t="str">
        <f t="array" ref="A56">IFERROR(INDEX('Annex 2 EHV charges'!$A$10:$A$108, MATCH(0, IF(ISBLANK('Annex 2 EHV charges'!$A$10:$A$108),1, COUNTIF(A$4:$A55, 'Annex 2 EHV charges'!$A$10:$A$108)), 0)),"")</f>
        <v>DSCPRK</v>
      </c>
      <c r="B56" s="80">
        <f>IF($A56="","",VLOOKUP($A56,'Annex 2 EHV charges'!$A:$O,2,0))</f>
        <v>804</v>
      </c>
      <c r="C56" s="81">
        <f>IF($A56="","",VLOOKUP($A56,'Annex 2 EHV charges'!$A:$O,3,0))</f>
        <v>1900091637072</v>
      </c>
      <c r="D56" s="80" t="str">
        <f>IF($A56="","",VLOOKUP($A56,'Annex 2 EHV charges'!$A:$O,7,0))</f>
        <v>DSCPRK</v>
      </c>
      <c r="E56" s="85" t="str">
        <f>IFERROR(IF(VLOOKUP($A56,'Annex 2 EHV charges'!$A:$O,9,FALSE)=0,"",VLOOKUP($A56,'Annex 2 EHV charges'!$A:$O,9,FALSE)),"")</f>
        <v/>
      </c>
      <c r="F56" s="86">
        <f>IFERROR(IF(VLOOKUP($A56,'Annex 2 EHV charges'!$A:$O,10,FALSE)=0,"",VLOOKUP($A56,'Annex 2 EHV charges'!$A:$O,10,FALSE)),"")</f>
        <v>37070.629999999997</v>
      </c>
      <c r="G56" s="87">
        <f>IFERROR(IF(VLOOKUP($A56,'Annex 2 EHV charges'!$A:$O,11,FALSE)=0,"",VLOOKUP($A56,'Annex 2 EHV charges'!$A:$O,11,FALSE)),"")</f>
        <v>0.79</v>
      </c>
      <c r="H56" s="87">
        <f>IFERROR(IF(VLOOKUP($A56,'Annex 2 EHV charges'!$A:$O,12,FALSE)=0,"",VLOOKUP($A56,'Annex 2 EHV charges'!$A:$O,12,FALSE)),"")</f>
        <v>0.79</v>
      </c>
    </row>
    <row r="57" spans="1:8" ht="12.75" customHeight="1" x14ac:dyDescent="0.2">
      <c r="A57" s="80" t="str">
        <f t="array" ref="A57">IFERROR(INDEX('Annex 2 EHV charges'!$A$10:$A$108, MATCH(0, IF(ISBLANK('Annex 2 EHV charges'!$A$10:$A$108),1, COUNTIF(A$4:$A56, 'Annex 2 EHV charges'!$A$10:$A$108)), 0)),"")</f>
        <v>FORDSF</v>
      </c>
      <c r="B57" s="80">
        <f>IF($A57="","",VLOOKUP($A57,'Annex 2 EHV charges'!$A:$O,2,0))</f>
        <v>895</v>
      </c>
      <c r="C57" s="81">
        <f>IF($A57="","",VLOOKUP($A57,'Annex 2 EHV charges'!$A:$O,3,0))</f>
        <v>1900091361962</v>
      </c>
      <c r="D57" s="80" t="str">
        <f>IF($A57="","",VLOOKUP($A57,'Annex 2 EHV charges'!$A:$O,7,0))</f>
        <v>FORDSF</v>
      </c>
      <c r="E57" s="85">
        <f>IFERROR(IF(VLOOKUP($A57,'Annex 2 EHV charges'!$A:$O,9,FALSE)=0,"",VLOOKUP($A57,'Annex 2 EHV charges'!$A:$O,9,FALSE)),"")</f>
        <v>0.27500000000000002</v>
      </c>
      <c r="F57" s="86">
        <f>IFERROR(IF(VLOOKUP($A57,'Annex 2 EHV charges'!$A:$O,10,FALSE)=0,"",VLOOKUP($A57,'Annex 2 EHV charges'!$A:$O,10,FALSE)),"")</f>
        <v>19.34</v>
      </c>
      <c r="G57" s="87">
        <f>IFERROR(IF(VLOOKUP($A57,'Annex 2 EHV charges'!$A:$O,11,FALSE)=0,"",VLOOKUP($A57,'Annex 2 EHV charges'!$A:$O,11,FALSE)),"")</f>
        <v>1.92</v>
      </c>
      <c r="H57" s="87">
        <f>IFERROR(IF(VLOOKUP($A57,'Annex 2 EHV charges'!$A:$O,12,FALSE)=0,"",VLOOKUP($A57,'Annex 2 EHV charges'!$A:$O,12,FALSE)),"")</f>
        <v>1.92</v>
      </c>
    </row>
    <row r="58" spans="1:8" ht="12.75" customHeight="1" x14ac:dyDescent="0.2">
      <c r="A58" s="80" t="str">
        <f t="array" ref="A58">IFERROR(INDEX('Annex 2 EHV charges'!$A$10:$A$108, MATCH(0, IF(ISBLANK('Annex 2 EHV charges'!$A$10:$A$108),1, COUNTIF(A$4:$A57, 'Annex 2 EHV charges'!$A$10:$A$108)), 0)),"")</f>
        <v>FRWOOD</v>
      </c>
      <c r="B58" s="80">
        <f>IF($A58="","",VLOOKUP($A58,'Annex 2 EHV charges'!$A:$O,2,0))</f>
        <v>811</v>
      </c>
      <c r="C58" s="81">
        <f>IF($A58="","",VLOOKUP($A58,'Annex 2 EHV charges'!$A:$O,3,0))</f>
        <v>1900091200388</v>
      </c>
      <c r="D58" s="80" t="str">
        <f>IF($A58="","",VLOOKUP($A58,'Annex 2 EHV charges'!$A:$O,7,0))</f>
        <v>FRWOOD</v>
      </c>
      <c r="E58" s="85" t="str">
        <f>IFERROR(IF(VLOOKUP($A58,'Annex 2 EHV charges'!$A:$O,9,FALSE)=0,"",VLOOKUP($A58,'Annex 2 EHV charges'!$A:$O,9,FALSE)),"")</f>
        <v/>
      </c>
      <c r="F58" s="86">
        <f>IFERROR(IF(VLOOKUP($A58,'Annex 2 EHV charges'!$A:$O,10,FALSE)=0,"",VLOOKUP($A58,'Annex 2 EHV charges'!$A:$O,10,FALSE)),"")</f>
        <v>30.53</v>
      </c>
      <c r="G58" s="87">
        <f>IFERROR(IF(VLOOKUP($A58,'Annex 2 EHV charges'!$A:$O,11,FALSE)=0,"",VLOOKUP($A58,'Annex 2 EHV charges'!$A:$O,11,FALSE)),"")</f>
        <v>1.38</v>
      </c>
      <c r="H58" s="87">
        <f>IFERROR(IF(VLOOKUP($A58,'Annex 2 EHV charges'!$A:$O,12,FALSE)=0,"",VLOOKUP($A58,'Annex 2 EHV charges'!$A:$O,12,FALSE)),"")</f>
        <v>1.38</v>
      </c>
    </row>
    <row r="59" spans="1:8" ht="12.75" customHeight="1" x14ac:dyDescent="0.2">
      <c r="A59" s="80" t="str">
        <f t="array" ref="A59">IFERROR(INDEX('Annex 2 EHV charges'!$A$10:$A$108, MATCH(0, IF(ISBLANK('Annex 2 EHV charges'!$A$10:$A$108),1, COUNTIF(A$4:$A58, 'Annex 2 EHV charges'!$A$10:$A$108)), 0)),"")</f>
        <v>GLASSN</v>
      </c>
      <c r="B59" s="80">
        <f>IF($A59="","",VLOOKUP($A59,'Annex 2 EHV charges'!$A:$O,2,0))</f>
        <v>844</v>
      </c>
      <c r="C59" s="81" t="str">
        <f>IF($A59="","",VLOOKUP($A59,'Annex 2 EHV charges'!$A:$O,3,0))</f>
        <v>1900091523301;1900092049178</v>
      </c>
      <c r="D59" s="80" t="str">
        <f>IF($A59="","",VLOOKUP($A59,'Annex 2 EHV charges'!$A:$O,7,0))</f>
        <v>GLASSN</v>
      </c>
      <c r="E59" s="85" t="str">
        <f>IFERROR(IF(VLOOKUP($A59,'Annex 2 EHV charges'!$A:$O,9,FALSE)=0,"",VLOOKUP($A59,'Annex 2 EHV charges'!$A:$O,9,FALSE)),"")</f>
        <v/>
      </c>
      <c r="F59" s="86">
        <f>IFERROR(IF(VLOOKUP($A59,'Annex 2 EHV charges'!$A:$O,10,FALSE)=0,"",VLOOKUP($A59,'Annex 2 EHV charges'!$A:$O,10,FALSE)),"")</f>
        <v>654.88</v>
      </c>
      <c r="G59" s="87">
        <f>IFERROR(IF(VLOOKUP($A59,'Annex 2 EHV charges'!$A:$O,11,FALSE)=0,"",VLOOKUP($A59,'Annex 2 EHV charges'!$A:$O,11,FALSE)),"")</f>
        <v>1.6</v>
      </c>
      <c r="H59" s="87">
        <f>IFERROR(IF(VLOOKUP($A59,'Annex 2 EHV charges'!$A:$O,12,FALSE)=0,"",VLOOKUP($A59,'Annex 2 EHV charges'!$A:$O,12,FALSE)),"")</f>
        <v>1.6</v>
      </c>
    </row>
    <row r="60" spans="1:8" ht="12.75" customHeight="1" x14ac:dyDescent="0.2">
      <c r="A60" s="80" t="str">
        <f t="array" ref="A60">IFERROR(INDEX('Annex 2 EHV charges'!$A$10:$A$108, MATCH(0, IF(ISBLANK('Annex 2 EHV charges'!$A$10:$A$108),1, COUNTIF(A$4:$A59, 'Annex 2 EHV charges'!$A$10:$A$108)), 0)),"")</f>
        <v>GROVEH</v>
      </c>
      <c r="B60" s="80">
        <f>IF($A60="","",VLOOKUP($A60,'Annex 2 EHV charges'!$A:$O,2,0))</f>
        <v>875</v>
      </c>
      <c r="C60" s="81">
        <f>IF($A60="","",VLOOKUP($A60,'Annex 2 EHV charges'!$A:$O,3,0))</f>
        <v>1900060225185</v>
      </c>
      <c r="D60" s="80" t="str">
        <f>IF($A60="","",VLOOKUP($A60,'Annex 2 EHV charges'!$A:$O,7,0))</f>
        <v>GROVEH</v>
      </c>
      <c r="E60" s="85" t="str">
        <f>IFERROR(IF(VLOOKUP($A60,'Annex 2 EHV charges'!$A:$O,9,FALSE)=0,"",VLOOKUP($A60,'Annex 2 EHV charges'!$A:$O,9,FALSE)),"")</f>
        <v/>
      </c>
      <c r="F60" s="86">
        <f>IFERROR(IF(VLOOKUP($A60,'Annex 2 EHV charges'!$A:$O,10,FALSE)=0,"",VLOOKUP($A60,'Annex 2 EHV charges'!$A:$O,10,FALSE)),"")</f>
        <v>67630.789999999994</v>
      </c>
      <c r="G60" s="87">
        <f>IFERROR(IF(VLOOKUP($A60,'Annex 2 EHV charges'!$A:$O,11,FALSE)=0,"",VLOOKUP($A60,'Annex 2 EHV charges'!$A:$O,11,FALSE)),"")</f>
        <v>1.27</v>
      </c>
      <c r="H60" s="87">
        <f>IFERROR(IF(VLOOKUP($A60,'Annex 2 EHV charges'!$A:$O,12,FALSE)=0,"",VLOOKUP($A60,'Annex 2 EHV charges'!$A:$O,12,FALSE)),"")</f>
        <v>1.27</v>
      </c>
    </row>
    <row r="61" spans="1:8" ht="12.75" customHeight="1" x14ac:dyDescent="0.2">
      <c r="A61" s="80" t="str">
        <f t="array" ref="A61">IFERROR(INDEX('Annex 2 EHV charges'!$A$10:$A$108, MATCH(0, IF(ISBLANK('Annex 2 EHV charges'!$A$10:$A$108),1, COUNTIF(A$4:$A60, 'Annex 2 EHV charges'!$A$10:$A$108)), 0)),"")</f>
        <v>GUSTON</v>
      </c>
      <c r="B61" s="80">
        <f>IF($A61="","",VLOOKUP($A61,'Annex 2 EHV charges'!$A:$O,2,0))</f>
        <v>831</v>
      </c>
      <c r="C61" s="81">
        <f>IF($A61="","",VLOOKUP($A61,'Annex 2 EHV charges'!$A:$O,3,0))</f>
        <v>1900091338040</v>
      </c>
      <c r="D61" s="80" t="str">
        <f>IF($A61="","",VLOOKUP($A61,'Annex 2 EHV charges'!$A:$O,7,0))</f>
        <v>GUSTON</v>
      </c>
      <c r="E61" s="85">
        <f>IFERROR(IF(VLOOKUP($A61,'Annex 2 EHV charges'!$A:$O,9,FALSE)=0,"",VLOOKUP($A61,'Annex 2 EHV charges'!$A:$O,9,FALSE)),"")</f>
        <v>5.2249999999999996</v>
      </c>
      <c r="F61" s="86">
        <f>IFERROR(IF(VLOOKUP($A61,'Annex 2 EHV charges'!$A:$O,10,FALSE)=0,"",VLOOKUP($A61,'Annex 2 EHV charges'!$A:$O,10,FALSE)),"")</f>
        <v>25.83</v>
      </c>
      <c r="G61" s="87">
        <f>IFERROR(IF(VLOOKUP($A61,'Annex 2 EHV charges'!$A:$O,11,FALSE)=0,"",VLOOKUP($A61,'Annex 2 EHV charges'!$A:$O,11,FALSE)),"")</f>
        <v>1.45</v>
      </c>
      <c r="H61" s="87">
        <f>IFERROR(IF(VLOOKUP($A61,'Annex 2 EHV charges'!$A:$O,12,FALSE)=0,"",VLOOKUP($A61,'Annex 2 EHV charges'!$A:$O,12,FALSE)),"")</f>
        <v>1.45</v>
      </c>
    </row>
    <row r="62" spans="1:8" ht="12.75" customHeight="1" x14ac:dyDescent="0.2">
      <c r="A62" s="80" t="str">
        <f t="array" ref="A62">IFERROR(INDEX('Annex 2 EHV charges'!$A$10:$A$108, MATCH(0, IF(ISBLANK('Annex 2 EHV charges'!$A$10:$A$108),1, COUNTIF(A$4:$A61, 'Annex 2 EHV charges'!$A$10:$A$108)), 0)),"")</f>
        <v>HADLOW</v>
      </c>
      <c r="B62" s="80">
        <f>IF($A62="","",VLOOKUP($A62,'Annex 2 EHV charges'!$A:$O,2,0))</f>
        <v>812</v>
      </c>
      <c r="C62" s="81">
        <f>IF($A62="","",VLOOKUP($A62,'Annex 2 EHV charges'!$A:$O,3,0))</f>
        <v>1900091217043</v>
      </c>
      <c r="D62" s="80" t="str">
        <f>IF($A62="","",VLOOKUP($A62,'Annex 2 EHV charges'!$A:$O,7,0))</f>
        <v>HADLOW</v>
      </c>
      <c r="E62" s="85">
        <f>IFERROR(IF(VLOOKUP($A62,'Annex 2 EHV charges'!$A:$O,9,FALSE)=0,"",VLOOKUP($A62,'Annex 2 EHV charges'!$A:$O,9,FALSE)),"")</f>
        <v>4.1059999999999999</v>
      </c>
      <c r="F62" s="86">
        <f>IFERROR(IF(VLOOKUP($A62,'Annex 2 EHV charges'!$A:$O,10,FALSE)=0,"",VLOOKUP($A62,'Annex 2 EHV charges'!$A:$O,10,FALSE)),"")</f>
        <v>3.11</v>
      </c>
      <c r="G62" s="87">
        <f>IFERROR(IF(VLOOKUP($A62,'Annex 2 EHV charges'!$A:$O,11,FALSE)=0,"",VLOOKUP($A62,'Annex 2 EHV charges'!$A:$O,11,FALSE)),"")</f>
        <v>3.5</v>
      </c>
      <c r="H62" s="87">
        <f>IFERROR(IF(VLOOKUP($A62,'Annex 2 EHV charges'!$A:$O,12,FALSE)=0,"",VLOOKUP($A62,'Annex 2 EHV charges'!$A:$O,12,FALSE)),"")</f>
        <v>3.5</v>
      </c>
    </row>
    <row r="63" spans="1:8" ht="12.75" customHeight="1" x14ac:dyDescent="0.2">
      <c r="A63" s="80" t="str">
        <f t="array" ref="A63">IFERROR(INDEX('Annex 2 EHV charges'!$A$10:$A$108, MATCH(0, IF(ISBLANK('Annex 2 EHV charges'!$A$10:$A$108),1, COUNTIF(A$4:$A62, 'Annex 2 EHV charges'!$A$10:$A$108)), 0)),"")</f>
        <v>HANSTA</v>
      </c>
      <c r="B63" s="80">
        <f>IF($A63="","",VLOOKUP($A63,'Annex 2 EHV charges'!$A:$O,2,0))</f>
        <v>876</v>
      </c>
      <c r="C63" s="81" t="str">
        <f>IF($A63="","",VLOOKUP($A63,'Annex 2 EHV charges'!$A:$O,3,0))</f>
        <v>1900004383769;1900031426056</v>
      </c>
      <c r="D63" s="80" t="str">
        <f>IF($A63="","",VLOOKUP($A63,'Annex 2 EHV charges'!$A:$O,7,0))</f>
        <v>HANSTA</v>
      </c>
      <c r="E63" s="85">
        <f>IFERROR(IF(VLOOKUP($A63,'Annex 2 EHV charges'!$A:$O,9,FALSE)=0,"",VLOOKUP($A63,'Annex 2 EHV charges'!$A:$O,9,FALSE)),"")</f>
        <v>4.4459999999999997</v>
      </c>
      <c r="F63" s="86">
        <f>IFERROR(IF(VLOOKUP($A63,'Annex 2 EHV charges'!$A:$O,10,FALSE)=0,"",VLOOKUP($A63,'Annex 2 EHV charges'!$A:$O,10,FALSE)),"")</f>
        <v>3.08</v>
      </c>
      <c r="G63" s="87">
        <f>IFERROR(IF(VLOOKUP($A63,'Annex 2 EHV charges'!$A:$O,11,FALSE)=0,"",VLOOKUP($A63,'Annex 2 EHV charges'!$A:$O,11,FALSE)),"")</f>
        <v>0.92</v>
      </c>
      <c r="H63" s="87">
        <f>IFERROR(IF(VLOOKUP($A63,'Annex 2 EHV charges'!$A:$O,12,FALSE)=0,"",VLOOKUP($A63,'Annex 2 EHV charges'!$A:$O,12,FALSE)),"")</f>
        <v>0.92</v>
      </c>
    </row>
    <row r="64" spans="1:8" ht="12.75" customHeight="1" x14ac:dyDescent="0.2">
      <c r="A64" s="80" t="str">
        <f t="array" ref="A64">IFERROR(INDEX('Annex 2 EHV charges'!$A$10:$A$108, MATCH(0, IF(ISBLANK('Annex 2 EHV charges'!$A$10:$A$108),1, COUNTIF(A$4:$A63, 'Annex 2 EHV charges'!$A$10:$A$108)), 0)),"")</f>
        <v>HLLMBY</v>
      </c>
      <c r="B64" s="80">
        <f>IF($A64="","",VLOOKUP($A64,'Annex 2 EHV charges'!$A:$O,2,0))</f>
        <v>813</v>
      </c>
      <c r="C64" s="81">
        <f>IF($A64="","",VLOOKUP($A64,'Annex 2 EHV charges'!$A:$O,3,0))</f>
        <v>1900091217070</v>
      </c>
      <c r="D64" s="80" t="str">
        <f>IF($A64="","",VLOOKUP($A64,'Annex 2 EHV charges'!$A:$O,7,0))</f>
        <v>HLLMBY</v>
      </c>
      <c r="E64" s="85" t="str">
        <f>IFERROR(IF(VLOOKUP($A64,'Annex 2 EHV charges'!$A:$O,9,FALSE)=0,"",VLOOKUP($A64,'Annex 2 EHV charges'!$A:$O,9,FALSE)),"")</f>
        <v/>
      </c>
      <c r="F64" s="86">
        <f>IFERROR(IF(VLOOKUP($A64,'Annex 2 EHV charges'!$A:$O,10,FALSE)=0,"",VLOOKUP($A64,'Annex 2 EHV charges'!$A:$O,10,FALSE)),"")</f>
        <v>16.05</v>
      </c>
      <c r="G64" s="87">
        <f>IFERROR(IF(VLOOKUP($A64,'Annex 2 EHV charges'!$A:$O,11,FALSE)=0,"",VLOOKUP($A64,'Annex 2 EHV charges'!$A:$O,11,FALSE)),"")</f>
        <v>1.27</v>
      </c>
      <c r="H64" s="87">
        <f>IFERROR(IF(VLOOKUP($A64,'Annex 2 EHV charges'!$A:$O,12,FALSE)=0,"",VLOOKUP($A64,'Annex 2 EHV charges'!$A:$O,12,FALSE)),"")</f>
        <v>1.27</v>
      </c>
    </row>
    <row r="65" spans="1:8" ht="12.75" customHeight="1" x14ac:dyDescent="0.2">
      <c r="A65" s="80" t="str">
        <f t="array" ref="A65">IFERROR(INDEX('Annex 2 EHV charges'!$A$10:$A$108, MATCH(0, IF(ISBLANK('Annex 2 EHV charges'!$A$10:$A$108),1, COUNTIF(A$4:$A64, 'Annex 2 EHV charges'!$A$10:$A$108)), 0)),"")</f>
        <v>HORAMS</v>
      </c>
      <c r="B65" s="80">
        <f>IF($A65="","",VLOOKUP($A65,'Annex 2 EHV charges'!$A:$O,2,0))</f>
        <v>824</v>
      </c>
      <c r="C65" s="81">
        <f>IF($A65="","",VLOOKUP($A65,'Annex 2 EHV charges'!$A:$O,3,0))</f>
        <v>1900091200068</v>
      </c>
      <c r="D65" s="80" t="str">
        <f>IF($A65="","",VLOOKUP($A65,'Annex 2 EHV charges'!$A:$O,7,0))</f>
        <v>HORAMS</v>
      </c>
      <c r="E65" s="85" t="str">
        <f>IFERROR(IF(VLOOKUP($A65,'Annex 2 EHV charges'!$A:$O,9,FALSE)=0,"",VLOOKUP($A65,'Annex 2 EHV charges'!$A:$O,9,FALSE)),"")</f>
        <v/>
      </c>
      <c r="F65" s="86">
        <f>IFERROR(IF(VLOOKUP($A65,'Annex 2 EHV charges'!$A:$O,10,FALSE)=0,"",VLOOKUP($A65,'Annex 2 EHV charges'!$A:$O,10,FALSE)),"")</f>
        <v>22.46</v>
      </c>
      <c r="G65" s="87">
        <f>IFERROR(IF(VLOOKUP($A65,'Annex 2 EHV charges'!$A:$O,11,FALSE)=0,"",VLOOKUP($A65,'Annex 2 EHV charges'!$A:$O,11,FALSE)),"")</f>
        <v>3.79</v>
      </c>
      <c r="H65" s="87">
        <f>IFERROR(IF(VLOOKUP($A65,'Annex 2 EHV charges'!$A:$O,12,FALSE)=0,"",VLOOKUP($A65,'Annex 2 EHV charges'!$A:$O,12,FALSE)),"")</f>
        <v>3.79</v>
      </c>
    </row>
    <row r="66" spans="1:8" ht="12.75" customHeight="1" x14ac:dyDescent="0.2">
      <c r="A66" s="80" t="str">
        <f t="array" ref="A66">IFERROR(INDEX('Annex 2 EHV charges'!$A$10:$A$108, MATCH(0, IF(ISBLANK('Annex 2 EHV charges'!$A$10:$A$108),1, COUNTIF(A$4:$A65, 'Annex 2 EHV charges'!$A$10:$A$108)), 0)),"")</f>
        <v>KENTI2</v>
      </c>
      <c r="B66" s="80">
        <f>IF($A66="","",VLOOKUP($A66,'Annex 2 EHV charges'!$A:$O,2,0))</f>
        <v>814</v>
      </c>
      <c r="C66" s="81">
        <f>IF($A66="","",VLOOKUP($A66,'Annex 2 EHV charges'!$A:$O,3,0))</f>
        <v>1900091199519</v>
      </c>
      <c r="D66" s="80" t="str">
        <f>IF($A66="","",VLOOKUP($A66,'Annex 2 EHV charges'!$A:$O,7,0))</f>
        <v>KENTI2</v>
      </c>
      <c r="E66" s="85" t="str">
        <f>IFERROR(IF(VLOOKUP($A66,'Annex 2 EHV charges'!$A:$O,9,FALSE)=0,"",VLOOKUP($A66,'Annex 2 EHV charges'!$A:$O,9,FALSE)),"")</f>
        <v/>
      </c>
      <c r="F66" s="86">
        <f>IFERROR(IF(VLOOKUP($A66,'Annex 2 EHV charges'!$A:$O,10,FALSE)=0,"",VLOOKUP($A66,'Annex 2 EHV charges'!$A:$O,10,FALSE)),"")</f>
        <v>2506.35</v>
      </c>
      <c r="G66" s="87">
        <f>IFERROR(IF(VLOOKUP($A66,'Annex 2 EHV charges'!$A:$O,11,FALSE)=0,"",VLOOKUP($A66,'Annex 2 EHV charges'!$A:$O,11,FALSE)),"")</f>
        <v>0.87</v>
      </c>
      <c r="H66" s="87">
        <f>IFERROR(IF(VLOOKUP($A66,'Annex 2 EHV charges'!$A:$O,12,FALSE)=0,"",VLOOKUP($A66,'Annex 2 EHV charges'!$A:$O,12,FALSE)),"")</f>
        <v>0.87</v>
      </c>
    </row>
    <row r="67" spans="1:8" ht="12.75" customHeight="1" x14ac:dyDescent="0.2">
      <c r="A67" s="80" t="str">
        <f t="array" ref="A67">IFERROR(INDEX('Annex 2 EHV charges'!$A$10:$A$108, MATCH(0, IF(ISBLANK('Annex 2 EHV charges'!$A$10:$A$108),1, COUNTIF(A$4:$A66, 'Annex 2 EHV charges'!$A$10:$A$108)), 0)),"")</f>
        <v>KENTIS</v>
      </c>
      <c r="B67" s="80">
        <f>IF($A67="","",VLOOKUP($A67,'Annex 2 EHV charges'!$A:$O,2,0))</f>
        <v>877</v>
      </c>
      <c r="C67" s="81">
        <f>IF($A67="","",VLOOKUP($A67,'Annex 2 EHV charges'!$A:$O,3,0))</f>
        <v>1900070122273</v>
      </c>
      <c r="D67" s="80" t="str">
        <f>IF($A67="","",VLOOKUP($A67,'Annex 2 EHV charges'!$A:$O,7,0))</f>
        <v>KENTIS</v>
      </c>
      <c r="E67" s="85" t="str">
        <f>IFERROR(IF(VLOOKUP($A67,'Annex 2 EHV charges'!$A:$O,9,FALSE)=0,"",VLOOKUP($A67,'Annex 2 EHV charges'!$A:$O,9,FALSE)),"")</f>
        <v/>
      </c>
      <c r="F67" s="86">
        <f>IFERROR(IF(VLOOKUP($A67,'Annex 2 EHV charges'!$A:$O,10,FALSE)=0,"",VLOOKUP($A67,'Annex 2 EHV charges'!$A:$O,10,FALSE)),"")</f>
        <v>2518.19</v>
      </c>
      <c r="G67" s="87">
        <f>IFERROR(IF(VLOOKUP($A67,'Annex 2 EHV charges'!$A:$O,11,FALSE)=0,"",VLOOKUP($A67,'Annex 2 EHV charges'!$A:$O,11,FALSE)),"")</f>
        <v>0.87</v>
      </c>
      <c r="H67" s="87">
        <f>IFERROR(IF(VLOOKUP($A67,'Annex 2 EHV charges'!$A:$O,12,FALSE)=0,"",VLOOKUP($A67,'Annex 2 EHV charges'!$A:$O,12,FALSE)),"")</f>
        <v>0.87</v>
      </c>
    </row>
    <row r="68" spans="1:8" ht="12.75" customHeight="1" x14ac:dyDescent="0.2">
      <c r="A68" s="80" t="str">
        <f t="array" ref="A68">IFERROR(INDEX('Annex 2 EHV charges'!$A$10:$A$108, MATCH(0, IF(ISBLANK('Annex 2 EHV charges'!$A$10:$A$108),1, COUNTIF(A$4:$A67, 'Annex 2 EHV charges'!$A$10:$A$108)), 0)),"")</f>
        <v>KM3CHP</v>
      </c>
      <c r="B68" s="80">
        <f>IF($A68="","",VLOOKUP($A68,'Annex 2 EHV charges'!$A:$O,2,0))</f>
        <v>846</v>
      </c>
      <c r="C68" s="81">
        <f>IF($A68="","",VLOOKUP($A68,'Annex 2 EHV charges'!$A:$O,3,0))</f>
        <v>1900091669720</v>
      </c>
      <c r="D68" s="80" t="str">
        <f>IF($A68="","",VLOOKUP($A68,'Annex 2 EHV charges'!$A:$O,7,0))</f>
        <v>KM3CHP</v>
      </c>
      <c r="E68" s="85" t="str">
        <f>IFERROR(IF(VLOOKUP($A68,'Annex 2 EHV charges'!$A:$O,9,FALSE)=0,"",VLOOKUP($A68,'Annex 2 EHV charges'!$A:$O,9,FALSE)),"")</f>
        <v/>
      </c>
      <c r="F68" s="86">
        <f>IFERROR(IF(VLOOKUP($A68,'Annex 2 EHV charges'!$A:$O,10,FALSE)=0,"",VLOOKUP($A68,'Annex 2 EHV charges'!$A:$O,10,FALSE)),"")</f>
        <v>16333.77</v>
      </c>
      <c r="G68" s="87">
        <f>IFERROR(IF(VLOOKUP($A68,'Annex 2 EHV charges'!$A:$O,11,FALSE)=0,"",VLOOKUP($A68,'Annex 2 EHV charges'!$A:$O,11,FALSE)),"")</f>
        <v>0.89</v>
      </c>
      <c r="H68" s="87">
        <f>IFERROR(IF(VLOOKUP($A68,'Annex 2 EHV charges'!$A:$O,12,FALSE)=0,"",VLOOKUP($A68,'Annex 2 EHV charges'!$A:$O,12,FALSE)),"")</f>
        <v>0.89</v>
      </c>
    </row>
    <row r="69" spans="1:8" ht="12.75" customHeight="1" x14ac:dyDescent="0.2">
      <c r="A69" s="80" t="str">
        <f t="array" ref="A69">IFERROR(INDEX('Annex 2 EHV charges'!$A$10:$A$108, MATCH(0, IF(ISBLANK('Annex 2 EHV charges'!$A$10:$A$108),1, COUNTIF(A$4:$A68, 'Annex 2 EHV charges'!$A$10:$A$108)), 0)),"")</f>
        <v>KNTSFM</v>
      </c>
      <c r="B69" s="80">
        <f>IF($A69="","",VLOOKUP($A69,'Annex 2 EHV charges'!$A:$O,2,0))</f>
        <v>0</v>
      </c>
      <c r="C69" s="81" t="str">
        <f>IF($A69="","",VLOOKUP($A69,'Annex 2 EHV charges'!$A:$O,3,0))</f>
        <v>MSID: 7435</v>
      </c>
      <c r="D69" s="80" t="str">
        <f>IF($A69="","",VLOOKUP($A69,'Annex 2 EHV charges'!$A:$O,7,0))</f>
        <v>KNTSFM</v>
      </c>
      <c r="E69" s="85">
        <f>IFERROR(IF(VLOOKUP($A69,'Annex 2 EHV charges'!$A:$O,9,FALSE)=0,"",VLOOKUP($A69,'Annex 2 EHV charges'!$A:$O,9,FALSE)),"")</f>
        <v>0.82799999999999996</v>
      </c>
      <c r="F69" s="86">
        <f>IFERROR(IF(VLOOKUP($A69,'Annex 2 EHV charges'!$A:$O,10,FALSE)=0,"",VLOOKUP($A69,'Annex 2 EHV charges'!$A:$O,10,FALSE)),"")</f>
        <v>1259.1500000000001</v>
      </c>
      <c r="G69" s="87">
        <f>IFERROR(IF(VLOOKUP($A69,'Annex 2 EHV charges'!$A:$O,11,FALSE)=0,"",VLOOKUP($A69,'Annex 2 EHV charges'!$A:$O,11,FALSE)),"")</f>
        <v>0.8</v>
      </c>
      <c r="H69" s="87">
        <f>IFERROR(IF(VLOOKUP($A69,'Annex 2 EHV charges'!$A:$O,12,FALSE)=0,"",VLOOKUP($A69,'Annex 2 EHV charges'!$A:$O,12,FALSE)),"")</f>
        <v>0.8</v>
      </c>
    </row>
    <row r="70" spans="1:8" ht="12.75" customHeight="1" x14ac:dyDescent="0.2">
      <c r="A70" s="80" t="str">
        <f t="array" ref="A70">IFERROR(INDEX('Annex 2 EHV charges'!$A$10:$A$108, MATCH(0, IF(ISBLANK('Annex 2 EHV charges'!$A$10:$A$108),1, COUNTIF(A$4:$A69, 'Annex 2 EHV charges'!$A$10:$A$108)), 0)),"")</f>
        <v>KNWLTN</v>
      </c>
      <c r="B70" s="80">
        <f>IF($A70="","",VLOOKUP($A70,'Annex 2 EHV charges'!$A:$O,2,0))</f>
        <v>803</v>
      </c>
      <c r="C70" s="81">
        <f>IF($A70="","",VLOOKUP($A70,'Annex 2 EHV charges'!$A:$O,3,0))</f>
        <v>1900091091930</v>
      </c>
      <c r="D70" s="80" t="str">
        <f>IF($A70="","",VLOOKUP($A70,'Annex 2 EHV charges'!$A:$O,7,0))</f>
        <v>KNWLTN</v>
      </c>
      <c r="E70" s="85" t="str">
        <f>IFERROR(IF(VLOOKUP($A70,'Annex 2 EHV charges'!$A:$O,9,FALSE)=0,"",VLOOKUP($A70,'Annex 2 EHV charges'!$A:$O,9,FALSE)),"")</f>
        <v/>
      </c>
      <c r="F70" s="86">
        <f>IFERROR(IF(VLOOKUP($A70,'Annex 2 EHV charges'!$A:$O,10,FALSE)=0,"",VLOOKUP($A70,'Annex 2 EHV charges'!$A:$O,10,FALSE)),"")</f>
        <v>23.1</v>
      </c>
      <c r="G70" s="87">
        <f>IFERROR(IF(VLOOKUP($A70,'Annex 2 EHV charges'!$A:$O,11,FALSE)=0,"",VLOOKUP($A70,'Annex 2 EHV charges'!$A:$O,11,FALSE)),"")</f>
        <v>5.05</v>
      </c>
      <c r="H70" s="87">
        <f>IFERROR(IF(VLOOKUP($A70,'Annex 2 EHV charges'!$A:$O,12,FALSE)=0,"",VLOOKUP($A70,'Annex 2 EHV charges'!$A:$O,12,FALSE)),"")</f>
        <v>5.05</v>
      </c>
    </row>
    <row r="71" spans="1:8" ht="12.75" customHeight="1" x14ac:dyDescent="0.2">
      <c r="A71" s="80" t="str">
        <f t="array" ref="A71">IFERROR(INDEX('Annex 2 EHV charges'!$A$10:$A$108, MATCH(0, IF(ISBLANK('Annex 2 EHV charges'!$A$10:$A$108),1, COUNTIF(A$4:$A70, 'Annex 2 EHV charges'!$A$10:$A$108)), 0)),"")</f>
        <v>LBOURN</v>
      </c>
      <c r="B71" s="80">
        <f>IF($A71="","",VLOOKUP($A71,'Annex 2 EHV charges'!$A:$O,2,0))</f>
        <v>815</v>
      </c>
      <c r="C71" s="81">
        <f>IF($A71="","",VLOOKUP($A71,'Annex 2 EHV charges'!$A:$O,3,0))</f>
        <v>1900091171267</v>
      </c>
      <c r="D71" s="80" t="str">
        <f>IF($A71="","",VLOOKUP($A71,'Annex 2 EHV charges'!$A:$O,7,0))</f>
        <v>LBOURN</v>
      </c>
      <c r="E71" s="85" t="str">
        <f>IFERROR(IF(VLOOKUP($A71,'Annex 2 EHV charges'!$A:$O,9,FALSE)=0,"",VLOOKUP($A71,'Annex 2 EHV charges'!$A:$O,9,FALSE)),"")</f>
        <v/>
      </c>
      <c r="F71" s="86">
        <f>IFERROR(IF(VLOOKUP($A71,'Annex 2 EHV charges'!$A:$O,10,FALSE)=0,"",VLOOKUP($A71,'Annex 2 EHV charges'!$A:$O,10,FALSE)),"")</f>
        <v>13.41</v>
      </c>
      <c r="G71" s="87">
        <f>IFERROR(IF(VLOOKUP($A71,'Annex 2 EHV charges'!$A:$O,11,FALSE)=0,"",VLOOKUP($A71,'Annex 2 EHV charges'!$A:$O,11,FALSE)),"")</f>
        <v>3.41</v>
      </c>
      <c r="H71" s="87">
        <f>IFERROR(IF(VLOOKUP($A71,'Annex 2 EHV charges'!$A:$O,12,FALSE)=0,"",VLOOKUP($A71,'Annex 2 EHV charges'!$A:$O,12,FALSE)),"")</f>
        <v>3.41</v>
      </c>
    </row>
    <row r="72" spans="1:8" ht="12.75" customHeight="1" x14ac:dyDescent="0.2">
      <c r="A72" s="80" t="str">
        <f t="array" ref="A72">IFERROR(INDEX('Annex 2 EHV charges'!$A$10:$A$108, MATCH(0, IF(ISBLANK('Annex 2 EHV charges'!$A$10:$A$108),1, COUNTIF(A$4:$A71, 'Annex 2 EHV charges'!$A$10:$A$108)), 0)),"")</f>
        <v>LCHEYI</v>
      </c>
      <c r="B72" s="80">
        <f>IF($A72="","",VLOOKUP($A72,'Annex 2 EHV charges'!$A:$O,2,0))</f>
        <v>878</v>
      </c>
      <c r="C72" s="81">
        <f>IF($A72="","",VLOOKUP($A72,'Annex 2 EHV charges'!$A:$O,3,0))</f>
        <v>1900090194653</v>
      </c>
      <c r="D72" s="80" t="str">
        <f>IF($A72="","",VLOOKUP($A72,'Annex 2 EHV charges'!$A:$O,7,0))</f>
        <v>LCHEYI</v>
      </c>
      <c r="E72" s="85">
        <f>IFERROR(IF(VLOOKUP($A72,'Annex 2 EHV charges'!$A:$O,9,FALSE)=0,"",VLOOKUP($A72,'Annex 2 EHV charges'!$A:$O,9,FALSE)),"")</f>
        <v>0.15</v>
      </c>
      <c r="F72" s="86">
        <f>IFERROR(IF(VLOOKUP($A72,'Annex 2 EHV charges'!$A:$O,10,FALSE)=0,"",VLOOKUP($A72,'Annex 2 EHV charges'!$A:$O,10,FALSE)),"")</f>
        <v>10.01</v>
      </c>
      <c r="G72" s="87">
        <f>IFERROR(IF(VLOOKUP($A72,'Annex 2 EHV charges'!$A:$O,11,FALSE)=0,"",VLOOKUP($A72,'Annex 2 EHV charges'!$A:$O,11,FALSE)),"")</f>
        <v>2.93</v>
      </c>
      <c r="H72" s="87">
        <f>IFERROR(IF(VLOOKUP($A72,'Annex 2 EHV charges'!$A:$O,12,FALSE)=0,"",VLOOKUP($A72,'Annex 2 EHV charges'!$A:$O,12,FALSE)),"")</f>
        <v>2.93</v>
      </c>
    </row>
    <row r="73" spans="1:8" ht="12.75" customHeight="1" x14ac:dyDescent="0.2">
      <c r="A73" s="80" t="str">
        <f t="array" ref="A73">IFERROR(INDEX('Annex 2 EHV charges'!$A$10:$A$108, MATCH(0, IF(ISBLANK('Annex 2 EHV charges'!$A$10:$A$108),1, COUNTIF(A$4:$A72, 'Annex 2 EHV charges'!$A$10:$A$108)), 0)),"")</f>
        <v>LENHAM</v>
      </c>
      <c r="B73" s="80">
        <f>IF($A73="","",VLOOKUP($A73,'Annex 2 EHV charges'!$A:$O,2,0))</f>
        <v>808</v>
      </c>
      <c r="C73" s="81">
        <f>IF($A73="","",VLOOKUP($A73,'Annex 2 EHV charges'!$A:$O,3,0))</f>
        <v>1900091081560</v>
      </c>
      <c r="D73" s="80" t="str">
        <f>IF($A73="","",VLOOKUP($A73,'Annex 2 EHV charges'!$A:$O,7,0))</f>
        <v>LENHAM</v>
      </c>
      <c r="E73" s="85">
        <f>IFERROR(IF(VLOOKUP($A73,'Annex 2 EHV charges'!$A:$O,9,FALSE)=0,"",VLOOKUP($A73,'Annex 2 EHV charges'!$A:$O,9,FALSE)),"")</f>
        <v>6.39</v>
      </c>
      <c r="F73" s="86">
        <f>IFERROR(IF(VLOOKUP($A73,'Annex 2 EHV charges'!$A:$O,10,FALSE)=0,"",VLOOKUP($A73,'Annex 2 EHV charges'!$A:$O,10,FALSE)),"")</f>
        <v>21.84</v>
      </c>
      <c r="G73" s="87">
        <f>IFERROR(IF(VLOOKUP($A73,'Annex 2 EHV charges'!$A:$O,11,FALSE)=0,"",VLOOKUP($A73,'Annex 2 EHV charges'!$A:$O,11,FALSE)),"")</f>
        <v>1.83</v>
      </c>
      <c r="H73" s="87">
        <f>IFERROR(IF(VLOOKUP($A73,'Annex 2 EHV charges'!$A:$O,12,FALSE)=0,"",VLOOKUP($A73,'Annex 2 EHV charges'!$A:$O,12,FALSE)),"")</f>
        <v>1.83</v>
      </c>
    </row>
    <row r="74" spans="1:8" ht="12.75" customHeight="1" x14ac:dyDescent="0.2">
      <c r="A74" s="80" t="str">
        <f t="array" ref="A74">IFERROR(INDEX('Annex 2 EHV charges'!$A$10:$A$108, MATCH(0, IF(ISBLANK('Annex 2 EHV charges'!$A$10:$A$108),1, COUNTIF(A$4:$A73, 'Annex 2 EHV charges'!$A$10:$A$108)), 0)),"")</f>
        <v>LGHTON</v>
      </c>
      <c r="B74" s="80">
        <f>IF($A74="","",VLOOKUP($A74,'Annex 2 EHV charges'!$A:$O,2,0))</f>
        <v>816</v>
      </c>
      <c r="C74" s="81">
        <f>IF($A74="","",VLOOKUP($A74,'Annex 2 EHV charges'!$A:$O,3,0))</f>
        <v>1900091200138</v>
      </c>
      <c r="D74" s="80" t="str">
        <f>IF($A74="","",VLOOKUP($A74,'Annex 2 EHV charges'!$A:$O,7,0))</f>
        <v>LGHTON</v>
      </c>
      <c r="E74" s="85">
        <f>IFERROR(IF(VLOOKUP($A74,'Annex 2 EHV charges'!$A:$O,9,FALSE)=0,"",VLOOKUP($A74,'Annex 2 EHV charges'!$A:$O,9,FALSE)),"")</f>
        <v>3.8340000000000001</v>
      </c>
      <c r="F74" s="86">
        <f>IFERROR(IF(VLOOKUP($A74,'Annex 2 EHV charges'!$A:$O,10,FALSE)=0,"",VLOOKUP($A74,'Annex 2 EHV charges'!$A:$O,10,FALSE)),"")</f>
        <v>18.73</v>
      </c>
      <c r="G74" s="87">
        <f>IFERROR(IF(VLOOKUP($A74,'Annex 2 EHV charges'!$A:$O,11,FALSE)=0,"",VLOOKUP($A74,'Annex 2 EHV charges'!$A:$O,11,FALSE)),"")</f>
        <v>3.78</v>
      </c>
      <c r="H74" s="87">
        <f>IFERROR(IF(VLOOKUP($A74,'Annex 2 EHV charges'!$A:$O,12,FALSE)=0,"",VLOOKUP($A74,'Annex 2 EHV charges'!$A:$O,12,FALSE)),"")</f>
        <v>3.78</v>
      </c>
    </row>
    <row r="75" spans="1:8" ht="12.75" customHeight="1" x14ac:dyDescent="0.2">
      <c r="A75" s="80" t="str">
        <f t="array" ref="A75">IFERROR(INDEX('Annex 2 EHV charges'!$A$10:$A$108, MATCH(0, IF(ISBLANK('Annex 2 EHV charges'!$A$10:$A$108),1, COUNTIF(A$4:$A74, 'Annex 2 EHV charges'!$A$10:$A$108)), 0)),"")</f>
        <v>MARSHB</v>
      </c>
      <c r="B75" s="80">
        <f>IF($A75="","",VLOOKUP($A75,'Annex 2 EHV charges'!$A:$O,2,0))</f>
        <v>896</v>
      </c>
      <c r="C75" s="81">
        <f>IF($A75="","",VLOOKUP($A75,'Annex 2 EHV charges'!$A:$O,3,0))</f>
        <v>1900091310596</v>
      </c>
      <c r="D75" s="80" t="str">
        <f>IF($A75="","",VLOOKUP($A75,'Annex 2 EHV charges'!$A:$O,7,0))</f>
        <v>MARSHB</v>
      </c>
      <c r="E75" s="85" t="str">
        <f>IFERROR(IF(VLOOKUP($A75,'Annex 2 EHV charges'!$A:$O,9,FALSE)=0,"",VLOOKUP($A75,'Annex 2 EHV charges'!$A:$O,9,FALSE)),"")</f>
        <v/>
      </c>
      <c r="F75" s="86">
        <f>IFERROR(IF(VLOOKUP($A75,'Annex 2 EHV charges'!$A:$O,10,FALSE)=0,"",VLOOKUP($A75,'Annex 2 EHV charges'!$A:$O,10,FALSE)),"")</f>
        <v>34.15</v>
      </c>
      <c r="G75" s="87">
        <f>IFERROR(IF(VLOOKUP($A75,'Annex 2 EHV charges'!$A:$O,11,FALSE)=0,"",VLOOKUP($A75,'Annex 2 EHV charges'!$A:$O,11,FALSE)),"")</f>
        <v>1.19</v>
      </c>
      <c r="H75" s="87">
        <f>IFERROR(IF(VLOOKUP($A75,'Annex 2 EHV charges'!$A:$O,12,FALSE)=0,"",VLOOKUP($A75,'Annex 2 EHV charges'!$A:$O,12,FALSE)),"")</f>
        <v>1.19</v>
      </c>
    </row>
    <row r="76" spans="1:8" ht="12.75" customHeight="1" x14ac:dyDescent="0.2">
      <c r="A76" s="80" t="str">
        <f t="array" ref="A76">IFERROR(INDEX('Annex 2 EHV charges'!$A$10:$A$108, MATCH(0, IF(ISBLANK('Annex 2 EHV charges'!$A$10:$A$108),1, COUNTIF(A$4:$A75, 'Annex 2 EHV charges'!$A$10:$A$108)), 0)),"")</f>
        <v>MLEHLL</v>
      </c>
      <c r="B76" s="80">
        <f>IF($A76="","",VLOOKUP($A76,'Annex 2 EHV charges'!$A:$O,2,0))</f>
        <v>819</v>
      </c>
      <c r="C76" s="81">
        <f>IF($A76="","",VLOOKUP($A76,'Annex 2 EHV charges'!$A:$O,3,0))</f>
        <v>1900091183402</v>
      </c>
      <c r="D76" s="80" t="str">
        <f>IF($A76="","",VLOOKUP($A76,'Annex 2 EHV charges'!$A:$O,7,0))</f>
        <v>MLEHLL</v>
      </c>
      <c r="E76" s="85">
        <f>IFERROR(IF(VLOOKUP($A76,'Annex 2 EHV charges'!$A:$O,9,FALSE)=0,"",VLOOKUP($A76,'Annex 2 EHV charges'!$A:$O,9,FALSE)),"")</f>
        <v>2E-3</v>
      </c>
      <c r="F76" s="86">
        <f>IFERROR(IF(VLOOKUP($A76,'Annex 2 EHV charges'!$A:$O,10,FALSE)=0,"",VLOOKUP($A76,'Annex 2 EHV charges'!$A:$O,10,FALSE)),"")</f>
        <v>4.25</v>
      </c>
      <c r="G76" s="87">
        <f>IFERROR(IF(VLOOKUP($A76,'Annex 2 EHV charges'!$A:$O,11,FALSE)=0,"",VLOOKUP($A76,'Annex 2 EHV charges'!$A:$O,11,FALSE)),"")</f>
        <v>1.71</v>
      </c>
      <c r="H76" s="87">
        <f>IFERROR(IF(VLOOKUP($A76,'Annex 2 EHV charges'!$A:$O,12,FALSE)=0,"",VLOOKUP($A76,'Annex 2 EHV charges'!$A:$O,12,FALSE)),"")</f>
        <v>1.71</v>
      </c>
    </row>
    <row r="77" spans="1:8" ht="12.75" customHeight="1" x14ac:dyDescent="0.2">
      <c r="A77" s="80" t="str">
        <f t="array" ref="A77">IFERROR(INDEX('Annex 2 EHV charges'!$A$10:$A$108, MATCH(0, IF(ISBLANK('Annex 2 EHV charges'!$A$10:$A$108),1, COUNTIF(A$4:$A76, 'Annex 2 EHV charges'!$A$10:$A$108)), 0)),"")</f>
        <v>MLMAYN</v>
      </c>
      <c r="B77" s="80">
        <f>IF($A77="","",VLOOKUP($A77,'Annex 2 EHV charges'!$A:$O,2,0))</f>
        <v>817</v>
      </c>
      <c r="C77" s="81">
        <f>IF($A77="","",VLOOKUP($A77,'Annex 2 EHV charges'!$A:$O,3,0))</f>
        <v>1900091079241</v>
      </c>
      <c r="D77" s="80" t="str">
        <f>IF($A77="","",VLOOKUP($A77,'Annex 2 EHV charges'!$A:$O,7,0))</f>
        <v>MLMAYN</v>
      </c>
      <c r="E77" s="85" t="str">
        <f>IFERROR(IF(VLOOKUP($A77,'Annex 2 EHV charges'!$A:$O,9,FALSE)=0,"",VLOOKUP($A77,'Annex 2 EHV charges'!$A:$O,9,FALSE)),"")</f>
        <v/>
      </c>
      <c r="F77" s="86">
        <f>IFERROR(IF(VLOOKUP($A77,'Annex 2 EHV charges'!$A:$O,10,FALSE)=0,"",VLOOKUP($A77,'Annex 2 EHV charges'!$A:$O,10,FALSE)),"")</f>
        <v>2.34</v>
      </c>
      <c r="G77" s="87">
        <f>IFERROR(IF(VLOOKUP($A77,'Annex 2 EHV charges'!$A:$O,11,FALSE)=0,"",VLOOKUP($A77,'Annex 2 EHV charges'!$A:$O,11,FALSE)),"")</f>
        <v>2.85</v>
      </c>
      <c r="H77" s="87">
        <f>IFERROR(IF(VLOOKUP($A77,'Annex 2 EHV charges'!$A:$O,12,FALSE)=0,"",VLOOKUP($A77,'Annex 2 EHV charges'!$A:$O,12,FALSE)),"")</f>
        <v>2.85</v>
      </c>
    </row>
    <row r="78" spans="1:8" ht="12.75" customHeight="1" x14ac:dyDescent="0.2">
      <c r="A78" s="80" t="str">
        <f t="array" ref="A78">IFERROR(INDEX('Annex 2 EHV charges'!$A$10:$A$108, MATCH(0, IF(ISBLANK('Annex 2 EHV charges'!$A$10:$A$108),1, COUNTIF(A$4:$A77, 'Annex 2 EHV charges'!$A$10:$A$108)), 0)),"")</f>
        <v>MVVRID</v>
      </c>
      <c r="B78" s="80">
        <f>IF($A78="","",VLOOKUP($A78,'Annex 2 EHV charges'!$A:$O,2,0))</f>
        <v>897</v>
      </c>
      <c r="C78" s="81">
        <f>IF($A78="","",VLOOKUP($A78,'Annex 2 EHV charges'!$A:$O,3,0))</f>
        <v>1900091199138</v>
      </c>
      <c r="D78" s="80" t="str">
        <f>IF($A78="","",VLOOKUP($A78,'Annex 2 EHV charges'!$A:$O,7,0))</f>
        <v>MVVRID</v>
      </c>
      <c r="E78" s="85" t="str">
        <f>IFERROR(IF(VLOOKUP($A78,'Annex 2 EHV charges'!$A:$O,9,FALSE)=0,"",VLOOKUP($A78,'Annex 2 EHV charges'!$A:$O,9,FALSE)),"")</f>
        <v/>
      </c>
      <c r="F78" s="86">
        <f>IFERROR(IF(VLOOKUP($A78,'Annex 2 EHV charges'!$A:$O,10,FALSE)=0,"",VLOOKUP($A78,'Annex 2 EHV charges'!$A:$O,10,FALSE)),"")</f>
        <v>2815.57</v>
      </c>
      <c r="G78" s="87">
        <f>IFERROR(IF(VLOOKUP($A78,'Annex 2 EHV charges'!$A:$O,11,FALSE)=0,"",VLOOKUP($A78,'Annex 2 EHV charges'!$A:$O,11,FALSE)),"")</f>
        <v>0.71</v>
      </c>
      <c r="H78" s="87">
        <f>IFERROR(IF(VLOOKUP($A78,'Annex 2 EHV charges'!$A:$O,12,FALSE)=0,"",VLOOKUP($A78,'Annex 2 EHV charges'!$A:$O,12,FALSE)),"")</f>
        <v>0.71</v>
      </c>
    </row>
    <row r="79" spans="1:8" ht="12.75" customHeight="1" x14ac:dyDescent="0.2">
      <c r="A79" s="80" t="str">
        <f t="array" ref="A79">IFERROR(INDEX('Annex 2 EHV charges'!$A$10:$A$108, MATCH(0, IF(ISBLANK('Annex 2 EHV charges'!$A$10:$A$108),1, COUNTIF(A$4:$A78, 'Annex 2 EHV charges'!$A$10:$A$108)), 0)),"")</f>
        <v>NEWHVN</v>
      </c>
      <c r="B79" s="80">
        <f>IF($A79="","",VLOOKUP($A79,'Annex 2 EHV charges'!$A:$O,2,0))</f>
        <v>800</v>
      </c>
      <c r="C79" s="81">
        <f>IF($A79="","",VLOOKUP($A79,'Annex 2 EHV charges'!$A:$O,3,0))</f>
        <v>1900090585014</v>
      </c>
      <c r="D79" s="80" t="str">
        <f>IF($A79="","",VLOOKUP($A79,'Annex 2 EHV charges'!$A:$O,7,0))</f>
        <v>NEWHVN</v>
      </c>
      <c r="E79" s="85">
        <f>IFERROR(IF(VLOOKUP($A79,'Annex 2 EHV charges'!$A:$O,9,FALSE)=0,"",VLOOKUP($A79,'Annex 2 EHV charges'!$A:$O,9,FALSE)),"")</f>
        <v>1.53</v>
      </c>
      <c r="F79" s="86">
        <f>IFERROR(IF(VLOOKUP($A79,'Annex 2 EHV charges'!$A:$O,10,FALSE)=0,"",VLOOKUP($A79,'Annex 2 EHV charges'!$A:$O,10,FALSE)),"")</f>
        <v>66.89</v>
      </c>
      <c r="G79" s="87">
        <f>IFERROR(IF(VLOOKUP($A79,'Annex 2 EHV charges'!$A:$O,11,FALSE)=0,"",VLOOKUP($A79,'Annex 2 EHV charges'!$A:$O,11,FALSE)),"")</f>
        <v>1.05</v>
      </c>
      <c r="H79" s="87">
        <f>IFERROR(IF(VLOOKUP($A79,'Annex 2 EHV charges'!$A:$O,12,FALSE)=0,"",VLOOKUP($A79,'Annex 2 EHV charges'!$A:$O,12,FALSE)),"")</f>
        <v>1.05</v>
      </c>
    </row>
    <row r="80" spans="1:8" ht="12.75" customHeight="1" x14ac:dyDescent="0.2">
      <c r="A80" s="80" t="str">
        <f t="array" ref="A80">IFERROR(INDEX('Annex 2 EHV charges'!$A$10:$A$108, MATCH(0, IF(ISBLANK('Annex 2 EHV charges'!$A$10:$A$108),1, COUNTIF(A$4:$A79, 'Annex 2 EHV charges'!$A$10:$A$108)), 0)),"")</f>
        <v>NEWRID</v>
      </c>
      <c r="B80" s="80">
        <f>IF($A80="","",VLOOKUP($A80,'Annex 2 EHV charges'!$A:$O,2,0))</f>
        <v>845</v>
      </c>
      <c r="C80" s="81" t="str">
        <f>IF($A80="","",VLOOKUP($A80,'Annex 2 EHV charges'!$A:$O,3,0))</f>
        <v>1900091718313;1900092210410</v>
      </c>
      <c r="D80" s="80" t="str">
        <f>IF($A80="","",VLOOKUP($A80,'Annex 2 EHV charges'!$A:$O,7,0))</f>
        <v>NEWRID</v>
      </c>
      <c r="E80" s="85">
        <f>IFERROR(IF(VLOOKUP($A80,'Annex 2 EHV charges'!$A:$O,9,FALSE)=0,"",VLOOKUP($A80,'Annex 2 EHV charges'!$A:$O,9,FALSE)),"")</f>
        <v>1.7999999999999999E-2</v>
      </c>
      <c r="F80" s="86">
        <f>IFERROR(IF(VLOOKUP($A80,'Annex 2 EHV charges'!$A:$O,10,FALSE)=0,"",VLOOKUP($A80,'Annex 2 EHV charges'!$A:$O,10,FALSE)),"")</f>
        <v>2498.23</v>
      </c>
      <c r="G80" s="87">
        <f>IFERROR(IF(VLOOKUP($A80,'Annex 2 EHV charges'!$A:$O,11,FALSE)=0,"",VLOOKUP($A80,'Annex 2 EHV charges'!$A:$O,11,FALSE)),"")</f>
        <v>1.59</v>
      </c>
      <c r="H80" s="87">
        <f>IFERROR(IF(VLOOKUP($A80,'Annex 2 EHV charges'!$A:$O,12,FALSE)=0,"",VLOOKUP($A80,'Annex 2 EHV charges'!$A:$O,12,FALSE)),"")</f>
        <v>1.59</v>
      </c>
    </row>
    <row r="81" spans="1:8" ht="12.75" customHeight="1" x14ac:dyDescent="0.2">
      <c r="A81" s="80" t="str">
        <f t="array" ref="A81">IFERROR(INDEX('Annex 2 EHV charges'!$A$10:$A$108, MATCH(0, IF(ISBLANK('Annex 2 EHV charges'!$A$10:$A$108),1, COUNTIF(A$4:$A80, 'Annex 2 EHV charges'!$A$10:$A$108)), 0)),"")</f>
        <v>OAKLND</v>
      </c>
      <c r="B81" s="80">
        <f>IF($A81="","",VLOOKUP($A81,'Annex 2 EHV charges'!$A:$O,2,0))</f>
        <v>820</v>
      </c>
      <c r="C81" s="81">
        <f>IF($A81="","",VLOOKUP($A81,'Annex 2 EHV charges'!$A:$O,3,0))</f>
        <v>1900091197414</v>
      </c>
      <c r="D81" s="80" t="str">
        <f>IF($A81="","",VLOOKUP($A81,'Annex 2 EHV charges'!$A:$O,7,0))</f>
        <v>OAKLND</v>
      </c>
      <c r="E81" s="85">
        <f>IFERROR(IF(VLOOKUP($A81,'Annex 2 EHV charges'!$A:$O,9,FALSE)=0,"",VLOOKUP($A81,'Annex 2 EHV charges'!$A:$O,9,FALSE)),"")</f>
        <v>1.744</v>
      </c>
      <c r="F81" s="86">
        <f>IFERROR(IF(VLOOKUP($A81,'Annex 2 EHV charges'!$A:$O,10,FALSE)=0,"",VLOOKUP($A81,'Annex 2 EHV charges'!$A:$O,10,FALSE)),"")</f>
        <v>9.75</v>
      </c>
      <c r="G81" s="87">
        <f>IFERROR(IF(VLOOKUP($A81,'Annex 2 EHV charges'!$A:$O,11,FALSE)=0,"",VLOOKUP($A81,'Annex 2 EHV charges'!$A:$O,11,FALSE)),"")</f>
        <v>3.77</v>
      </c>
      <c r="H81" s="87">
        <f>IFERROR(IF(VLOOKUP($A81,'Annex 2 EHV charges'!$A:$O,12,FALSE)=0,"",VLOOKUP($A81,'Annex 2 EHV charges'!$A:$O,12,FALSE)),"")</f>
        <v>3.77</v>
      </c>
    </row>
    <row r="82" spans="1:8" ht="12.75" customHeight="1" x14ac:dyDescent="0.2">
      <c r="A82" s="80" t="str">
        <f t="array" ref="A82">IFERROR(INDEX('Annex 2 EHV charges'!$A$10:$A$108, MATCH(0, IF(ISBLANK('Annex 2 EHV charges'!$A$10:$A$108),1, COUNTIF(A$4:$A81, 'Annex 2 EHV charges'!$A$10:$A$108)), 0)),"")</f>
        <v>OLDRSF</v>
      </c>
      <c r="B82" s="80">
        <f>IF($A82="","",VLOOKUP($A82,'Annex 2 EHV charges'!$A:$O,2,0))</f>
        <v>805</v>
      </c>
      <c r="C82" s="81">
        <f>IF($A82="","",VLOOKUP($A82,'Annex 2 EHV charges'!$A:$O,3,0))</f>
        <v>1900091024517</v>
      </c>
      <c r="D82" s="80" t="str">
        <f>IF($A82="","",VLOOKUP($A82,'Annex 2 EHV charges'!$A:$O,7,0))</f>
        <v>OLDRSF</v>
      </c>
      <c r="E82" s="85" t="str">
        <f>IFERROR(IF(VLOOKUP($A82,'Annex 2 EHV charges'!$A:$O,9,FALSE)=0,"",VLOOKUP($A82,'Annex 2 EHV charges'!$A:$O,9,FALSE)),"")</f>
        <v/>
      </c>
      <c r="F82" s="86">
        <f>IFERROR(IF(VLOOKUP($A82,'Annex 2 EHV charges'!$A:$O,10,FALSE)=0,"",VLOOKUP($A82,'Annex 2 EHV charges'!$A:$O,10,FALSE)),"")</f>
        <v>7.05</v>
      </c>
      <c r="G82" s="87">
        <f>IFERROR(IF(VLOOKUP($A82,'Annex 2 EHV charges'!$A:$O,11,FALSE)=0,"",VLOOKUP($A82,'Annex 2 EHV charges'!$A:$O,11,FALSE)),"")</f>
        <v>2.04</v>
      </c>
      <c r="H82" s="87">
        <f>IFERROR(IF(VLOOKUP($A82,'Annex 2 EHV charges'!$A:$O,12,FALSE)=0,"",VLOOKUP($A82,'Annex 2 EHV charges'!$A:$O,12,FALSE)),"")</f>
        <v>2.04</v>
      </c>
    </row>
    <row r="83" spans="1:8" ht="12.75" customHeight="1" x14ac:dyDescent="0.2">
      <c r="A83" s="80" t="str">
        <f t="array" ref="A83">IFERROR(INDEX('Annex 2 EHV charges'!$A$10:$A$108, MATCH(0, IF(ISBLANK('Annex 2 EHV charges'!$A$10:$A$108),1, COUNTIF(A$4:$A82, 'Annex 2 EHV charges'!$A$10:$A$108)), 0)),"")</f>
        <v>ORCHRD</v>
      </c>
      <c r="B83" s="80">
        <f>IF($A83="","",VLOOKUP($A83,'Annex 2 EHV charges'!$A:$O,2,0))</f>
        <v>898</v>
      </c>
      <c r="C83" s="81" t="str">
        <f>IF($A83="","",VLOOKUP($A83,'Annex 2 EHV charges'!$A:$O,3,0))</f>
        <v>1900091085120;1900091349715;1900091349706</v>
      </c>
      <c r="D83" s="80" t="str">
        <f>IF($A83="","",VLOOKUP($A83,'Annex 2 EHV charges'!$A:$O,7,0))</f>
        <v>ORCHRD</v>
      </c>
      <c r="E83" s="85" t="str">
        <f>IFERROR(IF(VLOOKUP($A83,'Annex 2 EHV charges'!$A:$O,9,FALSE)=0,"",VLOOKUP($A83,'Annex 2 EHV charges'!$A:$O,9,FALSE)),"")</f>
        <v/>
      </c>
      <c r="F83" s="86">
        <f>IFERROR(IF(VLOOKUP($A83,'Annex 2 EHV charges'!$A:$O,10,FALSE)=0,"",VLOOKUP($A83,'Annex 2 EHV charges'!$A:$O,10,FALSE)),"")</f>
        <v>8.84</v>
      </c>
      <c r="G83" s="87">
        <f>IFERROR(IF(VLOOKUP($A83,'Annex 2 EHV charges'!$A:$O,11,FALSE)=0,"",VLOOKUP($A83,'Annex 2 EHV charges'!$A:$O,11,FALSE)),"")</f>
        <v>2.4300000000000002</v>
      </c>
      <c r="H83" s="87">
        <f>IFERROR(IF(VLOOKUP($A83,'Annex 2 EHV charges'!$A:$O,12,FALSE)=0,"",VLOOKUP($A83,'Annex 2 EHV charges'!$A:$O,12,FALSE)),"")</f>
        <v>2.4300000000000002</v>
      </c>
    </row>
    <row r="84" spans="1:8" ht="12.75" customHeight="1" x14ac:dyDescent="0.2">
      <c r="A84" s="80" t="str">
        <f t="array" ref="A84">IFERROR(INDEX('Annex 2 EHV charges'!$A$10:$A$108, MATCH(0, IF(ISBLANK('Annex 2 EHV charges'!$A$10:$A$108),1, COUNTIF(A$4:$A83, 'Annex 2 EHV charges'!$A$10:$A$108)), 0)),"")</f>
        <v>PADWSF</v>
      </c>
      <c r="B84" s="80">
        <f>IF($A84="","",VLOOKUP($A84,'Annex 2 EHV charges'!$A:$O,2,0))</f>
        <v>822</v>
      </c>
      <c r="C84" s="81">
        <f>IF($A84="","",VLOOKUP($A84,'Annex 2 EHV charges'!$A:$O,3,0))</f>
        <v>1900091216634</v>
      </c>
      <c r="D84" s="80" t="str">
        <f>IF($A84="","",VLOOKUP($A84,'Annex 2 EHV charges'!$A:$O,7,0))</f>
        <v>PADWSF</v>
      </c>
      <c r="E84" s="85">
        <f>IFERROR(IF(VLOOKUP($A84,'Annex 2 EHV charges'!$A:$O,9,FALSE)=0,"",VLOOKUP($A84,'Annex 2 EHV charges'!$A:$O,9,FALSE)),"")</f>
        <v>12.693</v>
      </c>
      <c r="F84" s="86">
        <f>IFERROR(IF(VLOOKUP($A84,'Annex 2 EHV charges'!$A:$O,10,FALSE)=0,"",VLOOKUP($A84,'Annex 2 EHV charges'!$A:$O,10,FALSE)),"")</f>
        <v>7.39</v>
      </c>
      <c r="G84" s="87">
        <f>IFERROR(IF(VLOOKUP($A84,'Annex 2 EHV charges'!$A:$O,11,FALSE)=0,"",VLOOKUP($A84,'Annex 2 EHV charges'!$A:$O,11,FALSE)),"")</f>
        <v>1.51</v>
      </c>
      <c r="H84" s="87">
        <f>IFERROR(IF(VLOOKUP($A84,'Annex 2 EHV charges'!$A:$O,12,FALSE)=0,"",VLOOKUP($A84,'Annex 2 EHV charges'!$A:$O,12,FALSE)),"")</f>
        <v>1.51</v>
      </c>
    </row>
    <row r="85" spans="1:8" ht="12.75" customHeight="1" x14ac:dyDescent="0.2">
      <c r="A85" s="80" t="str">
        <f t="array" ref="A85">IFERROR(INDEX('Annex 2 EHV charges'!$A$10:$A$108, MATCH(0, IF(ISBLANK('Annex 2 EHV charges'!$A$10:$A$108),1, COUNTIF(A$4:$A84, 'Annex 2 EHV charges'!$A$10:$A$108)), 0)),"")</f>
        <v>POSHWF</v>
      </c>
      <c r="B85" s="80">
        <f>IF($A85="","",VLOOKUP($A85,'Annex 2 EHV charges'!$A:$O,2,0))</f>
        <v>827</v>
      </c>
      <c r="C85" s="81">
        <f>IF($A85="","",VLOOKUP($A85,'Annex 2 EHV charges'!$A:$O,3,0))</f>
        <v>1900091227307</v>
      </c>
      <c r="D85" s="80" t="str">
        <f>IF($A85="","",VLOOKUP($A85,'Annex 2 EHV charges'!$A:$O,7,0))</f>
        <v>POSHWF</v>
      </c>
      <c r="E85" s="85" t="str">
        <f>IFERROR(IF(VLOOKUP($A85,'Annex 2 EHV charges'!$A:$O,9,FALSE)=0,"",VLOOKUP($A85,'Annex 2 EHV charges'!$A:$O,9,FALSE)),"")</f>
        <v/>
      </c>
      <c r="F85" s="86">
        <f>IFERROR(IF(VLOOKUP($A85,'Annex 2 EHV charges'!$A:$O,10,FALSE)=0,"",VLOOKUP($A85,'Annex 2 EHV charges'!$A:$O,10,FALSE)),"")</f>
        <v>10.49</v>
      </c>
      <c r="G85" s="87">
        <f>IFERROR(IF(VLOOKUP($A85,'Annex 2 EHV charges'!$A:$O,11,FALSE)=0,"",VLOOKUP($A85,'Annex 2 EHV charges'!$A:$O,11,FALSE)),"")</f>
        <v>0.95</v>
      </c>
      <c r="H85" s="87">
        <f>IFERROR(IF(VLOOKUP($A85,'Annex 2 EHV charges'!$A:$O,12,FALSE)=0,"",VLOOKUP($A85,'Annex 2 EHV charges'!$A:$O,12,FALSE)),"")</f>
        <v>0.95</v>
      </c>
    </row>
    <row r="86" spans="1:8" ht="12.75" customHeight="1" x14ac:dyDescent="0.2">
      <c r="A86" s="80" t="str">
        <f t="array" ref="A86">IFERROR(INDEX('Annex 2 EHV charges'!$A$10:$A$108, MATCH(0, IF(ISBLANK('Annex 2 EHV charges'!$A$10:$A$108),1, COUNTIF(A$4:$A85, 'Annex 2 EHV charges'!$A$10:$A$108)), 0)),"")</f>
        <v>PRIORS</v>
      </c>
      <c r="B86" s="80">
        <f>IF($A86="","",VLOOKUP($A86,'Annex 2 EHV charges'!$A:$O,2,0))</f>
        <v>899</v>
      </c>
      <c r="C86" s="81">
        <f>IF($A86="","",VLOOKUP($A86,'Annex 2 EHV charges'!$A:$O,3,0))</f>
        <v>1900091319942</v>
      </c>
      <c r="D86" s="80" t="str">
        <f>IF($A86="","",VLOOKUP($A86,'Annex 2 EHV charges'!$A:$O,7,0))</f>
        <v>PRIORS</v>
      </c>
      <c r="E86" s="85">
        <f>IFERROR(IF(VLOOKUP($A86,'Annex 2 EHV charges'!$A:$O,9,FALSE)=0,"",VLOOKUP($A86,'Annex 2 EHV charges'!$A:$O,9,FALSE)),"")</f>
        <v>1.734</v>
      </c>
      <c r="F86" s="86">
        <f>IFERROR(IF(VLOOKUP($A86,'Annex 2 EHV charges'!$A:$O,10,FALSE)=0,"",VLOOKUP($A86,'Annex 2 EHV charges'!$A:$O,10,FALSE)),"")</f>
        <v>7.35</v>
      </c>
      <c r="G86" s="87">
        <f>IFERROR(IF(VLOOKUP($A86,'Annex 2 EHV charges'!$A:$O,11,FALSE)=0,"",VLOOKUP($A86,'Annex 2 EHV charges'!$A:$O,11,FALSE)),"")</f>
        <v>1.53</v>
      </c>
      <c r="H86" s="87">
        <f>IFERROR(IF(VLOOKUP($A86,'Annex 2 EHV charges'!$A:$O,12,FALSE)=0,"",VLOOKUP($A86,'Annex 2 EHV charges'!$A:$O,12,FALSE)),"")</f>
        <v>1.53</v>
      </c>
    </row>
    <row r="87" spans="1:8" ht="12.75" customHeight="1" x14ac:dyDescent="0.2">
      <c r="A87" s="80" t="str">
        <f t="array" ref="A87">IFERROR(INDEX('Annex 2 EHV charges'!$A$10:$A$108, MATCH(0, IF(ISBLANK('Annex 2 EHV charges'!$A$10:$A$108),1, COUNTIF(A$4:$A86, 'Annex 2 EHV charges'!$A$10:$A$108)), 0)),"")</f>
        <v>PSHLEY</v>
      </c>
      <c r="B87" s="80">
        <f>IF($A87="","",VLOOKUP($A87,'Annex 2 EHV charges'!$A:$O,2,0))</f>
        <v>826</v>
      </c>
      <c r="C87" s="81">
        <f>IF($A87="","",VLOOKUP($A87,'Annex 2 EHV charges'!$A:$O,3,0))</f>
        <v>1900091178954</v>
      </c>
      <c r="D87" s="80" t="str">
        <f>IF($A87="","",VLOOKUP($A87,'Annex 2 EHV charges'!$A:$O,7,0))</f>
        <v>PSHLEY</v>
      </c>
      <c r="E87" s="85" t="str">
        <f>IFERROR(IF(VLOOKUP($A87,'Annex 2 EHV charges'!$A:$O,9,FALSE)=0,"",VLOOKUP($A87,'Annex 2 EHV charges'!$A:$O,9,FALSE)),"")</f>
        <v/>
      </c>
      <c r="F87" s="86">
        <f>IFERROR(IF(VLOOKUP($A87,'Annex 2 EHV charges'!$A:$O,10,FALSE)=0,"",VLOOKUP($A87,'Annex 2 EHV charges'!$A:$O,10,FALSE)),"")</f>
        <v>19.97</v>
      </c>
      <c r="G87" s="87">
        <f>IFERROR(IF(VLOOKUP($A87,'Annex 2 EHV charges'!$A:$O,11,FALSE)=0,"",VLOOKUP($A87,'Annex 2 EHV charges'!$A:$O,11,FALSE)),"")</f>
        <v>1.89</v>
      </c>
      <c r="H87" s="87">
        <f>IFERROR(IF(VLOOKUP($A87,'Annex 2 EHV charges'!$A:$O,12,FALSE)=0,"",VLOOKUP($A87,'Annex 2 EHV charges'!$A:$O,12,FALSE)),"")</f>
        <v>1.89</v>
      </c>
    </row>
    <row r="88" spans="1:8" ht="12.75" customHeight="1" x14ac:dyDescent="0.2">
      <c r="A88" s="80" t="str">
        <f t="array" ref="A88">IFERROR(INDEX('Annex 2 EHV charges'!$A$10:$A$108, MATCH(0, IF(ISBLANK('Annex 2 EHV charges'!$A$10:$A$108),1, COUNTIF(A$4:$A87, 'Annex 2 EHV charges'!$A$10:$A$108)), 0)),"")</f>
        <v>SELLSF</v>
      </c>
      <c r="B88" s="80">
        <f>IF($A88="","",VLOOKUP($A88,'Annex 2 EHV charges'!$A:$O,2,0))</f>
        <v>900</v>
      </c>
      <c r="C88" s="81">
        <f>IF($A88="","",VLOOKUP($A88,'Annex 2 EHV charges'!$A:$O,3,0))</f>
        <v>1900091360950</v>
      </c>
      <c r="D88" s="80" t="str">
        <f>IF($A88="","",VLOOKUP($A88,'Annex 2 EHV charges'!$A:$O,7,0))</f>
        <v>SELLSF</v>
      </c>
      <c r="E88" s="85">
        <f>IFERROR(IF(VLOOKUP($A88,'Annex 2 EHV charges'!$A:$O,9,FALSE)=0,"",VLOOKUP($A88,'Annex 2 EHV charges'!$A:$O,9,FALSE)),"")</f>
        <v>0.44900000000000001</v>
      </c>
      <c r="F88" s="86">
        <f>IFERROR(IF(VLOOKUP($A88,'Annex 2 EHV charges'!$A:$O,10,FALSE)=0,"",VLOOKUP($A88,'Annex 2 EHV charges'!$A:$O,10,FALSE)),"")</f>
        <v>6.32</v>
      </c>
      <c r="G88" s="87">
        <f>IFERROR(IF(VLOOKUP($A88,'Annex 2 EHV charges'!$A:$O,11,FALSE)=0,"",VLOOKUP($A88,'Annex 2 EHV charges'!$A:$O,11,FALSE)),"")</f>
        <v>1.57</v>
      </c>
      <c r="H88" s="87">
        <f>IFERROR(IF(VLOOKUP($A88,'Annex 2 EHV charges'!$A:$O,12,FALSE)=0,"",VLOOKUP($A88,'Annex 2 EHV charges'!$A:$O,12,FALSE)),"")</f>
        <v>1.57</v>
      </c>
    </row>
    <row r="89" spans="1:8" ht="12.75" customHeight="1" x14ac:dyDescent="0.2">
      <c r="A89" s="80" t="str">
        <f t="array" ref="A89">IFERROR(INDEX('Annex 2 EHV charges'!$A$10:$A$108, MATCH(0, IF(ISBLANK('Annex 2 EHV charges'!$A$10:$A$108),1, COUNTIF(A$4:$A88, 'Annex 2 EHV charges'!$A$10:$A$108)), 0)),"")</f>
        <v>SEVIND</v>
      </c>
      <c r="B89" s="80">
        <f>IF($A89="","",VLOOKUP($A89,'Annex 2 EHV charges'!$A:$O,2,0))</f>
        <v>0</v>
      </c>
      <c r="C89" s="81" t="str">
        <f>IF($A89="","",VLOOKUP($A89,'Annex 2 EHV charges'!$A:$O,3,0))</f>
        <v>MSID: 7160</v>
      </c>
      <c r="D89" s="80" t="str">
        <f>IF($A89="","",VLOOKUP($A89,'Annex 2 EHV charges'!$A:$O,7,0))</f>
        <v>SEVIND</v>
      </c>
      <c r="E89" s="85">
        <f>IFERROR(IF(VLOOKUP($A89,'Annex 2 EHV charges'!$A:$O,9,FALSE)=0,"",VLOOKUP($A89,'Annex 2 EHV charges'!$A:$O,9,FALSE)),"")</f>
        <v>3.7490000000000001</v>
      </c>
      <c r="F89" s="86">
        <f>IFERROR(IF(VLOOKUP($A89,'Annex 2 EHV charges'!$A:$O,10,FALSE)=0,"",VLOOKUP($A89,'Annex 2 EHV charges'!$A:$O,10,FALSE)),"")</f>
        <v>2.2999999999999998</v>
      </c>
      <c r="G89" s="87">
        <f>IFERROR(IF(VLOOKUP($A89,'Annex 2 EHV charges'!$A:$O,11,FALSE)=0,"",VLOOKUP($A89,'Annex 2 EHV charges'!$A:$O,11,FALSE)),"")</f>
        <v>2.84</v>
      </c>
      <c r="H89" s="87">
        <f>IFERROR(IF(VLOOKUP($A89,'Annex 2 EHV charges'!$A:$O,12,FALSE)=0,"",VLOOKUP($A89,'Annex 2 EHV charges'!$A:$O,12,FALSE)),"")</f>
        <v>2.84</v>
      </c>
    </row>
    <row r="90" spans="1:8" ht="12.75" customHeight="1" x14ac:dyDescent="0.2">
      <c r="A90" s="80" t="str">
        <f t="array" ref="A90">IFERROR(INDEX('Annex 2 EHV charges'!$A$10:$A$108, MATCH(0, IF(ISBLANK('Annex 2 EHV charges'!$A$10:$A$108),1, COUNTIF(A$4:$A89, 'Annex 2 EHV charges'!$A$10:$A$108)), 0)),"")</f>
        <v>SHEPHM</v>
      </c>
      <c r="B90" s="80">
        <f>IF($A90="","",VLOOKUP($A90,'Annex 2 EHV charges'!$A:$O,2,0))</f>
        <v>832</v>
      </c>
      <c r="C90" s="81">
        <f>IF($A90="","",VLOOKUP($A90,'Annex 2 EHV charges'!$A:$O,3,0))</f>
        <v>1900091420128</v>
      </c>
      <c r="D90" s="80" t="str">
        <f>IF($A90="","",VLOOKUP($A90,'Annex 2 EHV charges'!$A:$O,7,0))</f>
        <v>SHEPHM</v>
      </c>
      <c r="E90" s="85">
        <f>IFERROR(IF(VLOOKUP($A90,'Annex 2 EHV charges'!$A:$O,9,FALSE)=0,"",VLOOKUP($A90,'Annex 2 EHV charges'!$A:$O,9,FALSE)),"")</f>
        <v>2.3660000000000001</v>
      </c>
      <c r="F90" s="86">
        <f>IFERROR(IF(VLOOKUP($A90,'Annex 2 EHV charges'!$A:$O,10,FALSE)=0,"",VLOOKUP($A90,'Annex 2 EHV charges'!$A:$O,10,FALSE)),"")</f>
        <v>78.23</v>
      </c>
      <c r="G90" s="87">
        <f>IFERROR(IF(VLOOKUP($A90,'Annex 2 EHV charges'!$A:$O,11,FALSE)=0,"",VLOOKUP($A90,'Annex 2 EHV charges'!$A:$O,11,FALSE)),"")</f>
        <v>1.4</v>
      </c>
      <c r="H90" s="87">
        <f>IFERROR(IF(VLOOKUP($A90,'Annex 2 EHV charges'!$A:$O,12,FALSE)=0,"",VLOOKUP($A90,'Annex 2 EHV charges'!$A:$O,12,FALSE)),"")</f>
        <v>1.4</v>
      </c>
    </row>
    <row r="91" spans="1:8" ht="12.75" customHeight="1" x14ac:dyDescent="0.2">
      <c r="A91" s="80" t="str">
        <f t="array" ref="A91">IFERROR(INDEX('Annex 2 EHV charges'!$A$10:$A$108, MATCH(0, IF(ISBLANK('Annex 2 EHV charges'!$A$10:$A$108),1, COUNTIF(A$4:$A90, 'Annex 2 EHV charges'!$A$10:$A$108)), 0)),"")</f>
        <v>SHORHM</v>
      </c>
      <c r="B91" s="80">
        <f>IF($A91="","",VLOOKUP($A91,'Annex 2 EHV charges'!$A:$O,2,0))</f>
        <v>0</v>
      </c>
      <c r="C91" s="81" t="str">
        <f>IF($A91="","",VLOOKUP($A91,'Annex 2 EHV charges'!$A:$O,3,0))</f>
        <v>MSID: 7104</v>
      </c>
      <c r="D91" s="80" t="str">
        <f>IF($A91="","",VLOOKUP($A91,'Annex 2 EHV charges'!$A:$O,7,0))</f>
        <v>SHORHM</v>
      </c>
      <c r="E91" s="85">
        <f>IFERROR(IF(VLOOKUP($A91,'Annex 2 EHV charges'!$A:$O,9,FALSE)=0,"",VLOOKUP($A91,'Annex 2 EHV charges'!$A:$O,9,FALSE)),"")</f>
        <v>5.0000000000000001E-3</v>
      </c>
      <c r="F91" s="86">
        <f>IFERROR(IF(VLOOKUP($A91,'Annex 2 EHV charges'!$A:$O,10,FALSE)=0,"",VLOOKUP($A91,'Annex 2 EHV charges'!$A:$O,10,FALSE)),"")</f>
        <v>16376.02</v>
      </c>
      <c r="G91" s="87">
        <f>IFERROR(IF(VLOOKUP($A91,'Annex 2 EHV charges'!$A:$O,11,FALSE)=0,"",VLOOKUP($A91,'Annex 2 EHV charges'!$A:$O,11,FALSE)),"")</f>
        <v>1.42</v>
      </c>
      <c r="H91" s="87">
        <f>IFERROR(IF(VLOOKUP($A91,'Annex 2 EHV charges'!$A:$O,12,FALSE)=0,"",VLOOKUP($A91,'Annex 2 EHV charges'!$A:$O,12,FALSE)),"")</f>
        <v>1.42</v>
      </c>
    </row>
    <row r="92" spans="1:8" ht="12.75" customHeight="1" x14ac:dyDescent="0.2">
      <c r="A92" s="80" t="str">
        <f t="array" ref="A92">IFERROR(INDEX('Annex 2 EHV charges'!$A$10:$A$108, MATCH(0, IF(ISBLANK('Annex 2 EHV charges'!$A$10:$A$108),1, COUNTIF(A$4:$A91, 'Annex 2 EHV charges'!$A$10:$A$108)), 0)),"")</f>
        <v>SOLEES</v>
      </c>
      <c r="B92" s="80">
        <f>IF($A92="","",VLOOKUP($A92,'Annex 2 EHV charges'!$A:$O,2,0))</f>
        <v>823</v>
      </c>
      <c r="C92" s="81" t="str">
        <f>IF($A92="","",VLOOKUP($A92,'Annex 2 EHV charges'!$A:$O,3,0))</f>
        <v>1900091121257;1900091121275</v>
      </c>
      <c r="D92" s="80" t="str">
        <f>IF($A92="","",VLOOKUP($A92,'Annex 2 EHV charges'!$A:$O,7,0))</f>
        <v>SOLEES</v>
      </c>
      <c r="E92" s="85">
        <f>IFERROR(IF(VLOOKUP($A92,'Annex 2 EHV charges'!$A:$O,9,FALSE)=0,"",VLOOKUP($A92,'Annex 2 EHV charges'!$A:$O,9,FALSE)),"")</f>
        <v>8.9999999999999993E-3</v>
      </c>
      <c r="F92" s="86">
        <f>IFERROR(IF(VLOOKUP($A92,'Annex 2 EHV charges'!$A:$O,10,FALSE)=0,"",VLOOKUP($A92,'Annex 2 EHV charges'!$A:$O,10,FALSE)),"")</f>
        <v>64.88</v>
      </c>
      <c r="G92" s="87">
        <f>IFERROR(IF(VLOOKUP($A92,'Annex 2 EHV charges'!$A:$O,11,FALSE)=0,"",VLOOKUP($A92,'Annex 2 EHV charges'!$A:$O,11,FALSE)),"")</f>
        <v>1.26</v>
      </c>
      <c r="H92" s="87">
        <f>IFERROR(IF(VLOOKUP($A92,'Annex 2 EHV charges'!$A:$O,12,FALSE)=0,"",VLOOKUP($A92,'Annex 2 EHV charges'!$A:$O,12,FALSE)),"")</f>
        <v>1.26</v>
      </c>
    </row>
    <row r="93" spans="1:8" ht="12.75" customHeight="1" x14ac:dyDescent="0.2">
      <c r="A93" s="80" t="str">
        <f t="array" ref="A93">IFERROR(INDEX('Annex 2 EHV charges'!$A$10:$A$108, MATCH(0, IF(ISBLANK('Annex 2 EHV charges'!$A$10:$A$108),1, COUNTIF(A$4:$A92, 'Annex 2 EHV charges'!$A$10:$A$108)), 0)),"")</f>
        <v>STAREN</v>
      </c>
      <c r="B93" s="80">
        <f>IF($A93="","",VLOOKUP($A93,'Annex 2 EHV charges'!$A:$O,2,0))</f>
        <v>883</v>
      </c>
      <c r="C93" s="81">
        <f>IF($A93="","",VLOOKUP($A93,'Annex 2 EHV charges'!$A:$O,3,0))</f>
        <v>1900060830217</v>
      </c>
      <c r="D93" s="80" t="str">
        <f>IF($A93="","",VLOOKUP($A93,'Annex 2 EHV charges'!$A:$O,7,0))</f>
        <v>STAREN</v>
      </c>
      <c r="E93" s="85">
        <f>IFERROR(IF(VLOOKUP($A93,'Annex 2 EHV charges'!$A:$O,9,FALSE)=0,"",VLOOKUP($A93,'Annex 2 EHV charges'!$A:$O,9,FALSE)),"")</f>
        <v>4.093</v>
      </c>
      <c r="F93" s="86">
        <f>IFERROR(IF(VLOOKUP($A93,'Annex 2 EHV charges'!$A:$O,10,FALSE)=0,"",VLOOKUP($A93,'Annex 2 EHV charges'!$A:$O,10,FALSE)),"")</f>
        <v>4707.2700000000004</v>
      </c>
      <c r="G93" s="87">
        <f>IFERROR(IF(VLOOKUP($A93,'Annex 2 EHV charges'!$A:$O,11,FALSE)=0,"",VLOOKUP($A93,'Annex 2 EHV charges'!$A:$O,11,FALSE)),"")</f>
        <v>1.27</v>
      </c>
      <c r="H93" s="87">
        <f>IFERROR(IF(VLOOKUP($A93,'Annex 2 EHV charges'!$A:$O,12,FALSE)=0,"",VLOOKUP($A93,'Annex 2 EHV charges'!$A:$O,12,FALSE)),"")</f>
        <v>1.27</v>
      </c>
    </row>
    <row r="94" spans="1:8" ht="12.75" customHeight="1" x14ac:dyDescent="0.2">
      <c r="A94" s="80" t="str">
        <f t="array" ref="A94">IFERROR(INDEX('Annex 2 EHV charges'!$A$10:$A$108, MATCH(0, IF(ISBLANK('Annex 2 EHV charges'!$A$10:$A$108),1, COUNTIF(A$4:$A93, 'Annex 2 EHV charges'!$A$10:$A$108)), 0)),"")</f>
        <v>SYCAMR</v>
      </c>
      <c r="B94" s="80">
        <f>IF($A94="","",VLOOKUP($A94,'Annex 2 EHV charges'!$A:$O,2,0))</f>
        <v>807</v>
      </c>
      <c r="C94" s="81">
        <f>IF($A94="","",VLOOKUP($A94,'Annex 2 EHV charges'!$A:$O,3,0))</f>
        <v>1900091090096</v>
      </c>
      <c r="D94" s="80" t="str">
        <f>IF($A94="","",VLOOKUP($A94,'Annex 2 EHV charges'!$A:$O,7,0))</f>
        <v>SYCAMR</v>
      </c>
      <c r="E94" s="85">
        <f>IFERROR(IF(VLOOKUP($A94,'Annex 2 EHV charges'!$A:$O,9,FALSE)=0,"",VLOOKUP($A94,'Annex 2 EHV charges'!$A:$O,9,FALSE)),"")</f>
        <v>1.518</v>
      </c>
      <c r="F94" s="86">
        <f>IFERROR(IF(VLOOKUP($A94,'Annex 2 EHV charges'!$A:$O,10,FALSE)=0,"",VLOOKUP($A94,'Annex 2 EHV charges'!$A:$O,10,FALSE)),"")</f>
        <v>98.37</v>
      </c>
      <c r="G94" s="87">
        <f>IFERROR(IF(VLOOKUP($A94,'Annex 2 EHV charges'!$A:$O,11,FALSE)=0,"",VLOOKUP($A94,'Annex 2 EHV charges'!$A:$O,11,FALSE)),"")</f>
        <v>2.75</v>
      </c>
      <c r="H94" s="87">
        <f>IFERROR(IF(VLOOKUP($A94,'Annex 2 EHV charges'!$A:$O,12,FALSE)=0,"",VLOOKUP($A94,'Annex 2 EHV charges'!$A:$O,12,FALSE)),"")</f>
        <v>2.75</v>
      </c>
    </row>
    <row r="95" spans="1:8" ht="12.75" customHeight="1" x14ac:dyDescent="0.2">
      <c r="A95" s="80" t="str">
        <f t="array" ref="A95">IFERROR(INDEX('Annex 2 EHV charges'!$A$10:$A$108, MATCH(0, IF(ISBLANK('Annex 2 EHV charges'!$A$10:$A$108),1, COUNTIF(A$4:$A94, 'Annex 2 EHV charges'!$A$10:$A$108)), 0)),"")</f>
        <v>THAEAR</v>
      </c>
      <c r="B95" s="80">
        <f>IF($A95="","",VLOOKUP($A95,'Annex 2 EHV charges'!$A:$O,2,0))</f>
        <v>850</v>
      </c>
      <c r="C95" s="81" t="str">
        <f>IF($A95="","",VLOOKUP($A95,'Annex 2 EHV charges'!$A:$O,3,0))</f>
        <v>1900090417081;1900090417106;1900090417133;1900090417142;1900090417151</v>
      </c>
      <c r="D95" s="80" t="str">
        <f>IF($A95="","",VLOOKUP($A95,'Annex 2 EHV charges'!$A:$O,7,0))</f>
        <v>THAEAR</v>
      </c>
      <c r="E95" s="85" t="str">
        <f>IFERROR(IF(VLOOKUP($A95,'Annex 2 EHV charges'!$A:$O,9,FALSE)=0,"",VLOOKUP($A95,'Annex 2 EHV charges'!$A:$O,9,FALSE)),"")</f>
        <v/>
      </c>
      <c r="F95" s="86">
        <f>IFERROR(IF(VLOOKUP($A95,'Annex 2 EHV charges'!$A:$O,10,FALSE)=0,"",VLOOKUP($A95,'Annex 2 EHV charges'!$A:$O,10,FALSE)),"")</f>
        <v>72404.61</v>
      </c>
      <c r="G95" s="87">
        <f>IFERROR(IF(VLOOKUP($A95,'Annex 2 EHV charges'!$A:$O,11,FALSE)=0,"",VLOOKUP($A95,'Annex 2 EHV charges'!$A:$O,11,FALSE)),"")</f>
        <v>1.74</v>
      </c>
      <c r="H95" s="87">
        <f>IFERROR(IF(VLOOKUP($A95,'Annex 2 EHV charges'!$A:$O,12,FALSE)=0,"",VLOOKUP($A95,'Annex 2 EHV charges'!$A:$O,12,FALSE)),"")</f>
        <v>1.74</v>
      </c>
    </row>
    <row r="96" spans="1:8" ht="12.75" customHeight="1" x14ac:dyDescent="0.2">
      <c r="A96" s="80" t="str">
        <f t="array" ref="A96">IFERROR(INDEX('Annex 2 EHV charges'!$A$10:$A$108, MATCH(0, IF(ISBLANK('Annex 2 EHV charges'!$A$10:$A$108),1, COUNTIF(A$4:$A95, 'Annex 2 EHV charges'!$A$10:$A$108)), 0)),"")</f>
        <v>THANET</v>
      </c>
      <c r="B96" s="80">
        <f>IF($A96="","",VLOOKUP($A96,'Annex 2 EHV charges'!$A:$O,2,0))</f>
        <v>0</v>
      </c>
      <c r="C96" s="81" t="str">
        <f>IF($A96="","",VLOOKUP($A96,'Annex 2 EHV charges'!$A:$O,3,0))</f>
        <v>MSID: 7246</v>
      </c>
      <c r="D96" s="80" t="str">
        <f>IF($A96="","",VLOOKUP($A96,'Annex 2 EHV charges'!$A:$O,7,0))</f>
        <v>THANET</v>
      </c>
      <c r="E96" s="85">
        <f>IFERROR(IF(VLOOKUP($A96,'Annex 2 EHV charges'!$A:$O,9,FALSE)=0,"",VLOOKUP($A96,'Annex 2 EHV charges'!$A:$O,9,FALSE)),"")</f>
        <v>8.5999999999999993E-2</v>
      </c>
      <c r="F96" s="86">
        <f>IFERROR(IF(VLOOKUP($A96,'Annex 2 EHV charges'!$A:$O,10,FALSE)=0,"",VLOOKUP($A96,'Annex 2 EHV charges'!$A:$O,10,FALSE)),"")</f>
        <v>2516.87</v>
      </c>
      <c r="G96" s="87">
        <f>IFERROR(IF(VLOOKUP($A96,'Annex 2 EHV charges'!$A:$O,11,FALSE)=0,"",VLOOKUP($A96,'Annex 2 EHV charges'!$A:$O,11,FALSE)),"")</f>
        <v>1.75</v>
      </c>
      <c r="H96" s="87">
        <f>IFERROR(IF(VLOOKUP($A96,'Annex 2 EHV charges'!$A:$O,12,FALSE)=0,"",VLOOKUP($A96,'Annex 2 EHV charges'!$A:$O,12,FALSE)),"")</f>
        <v>1.75</v>
      </c>
    </row>
    <row r="97" spans="1:8" ht="12.75" customHeight="1" x14ac:dyDescent="0.2">
      <c r="A97" s="80" t="str">
        <f t="array" ref="A97">IFERROR(INDEX('Annex 2 EHV charges'!$A$10:$A$108, MATCH(0, IF(ISBLANK('Annex 2 EHV charges'!$A$10:$A$108),1, COUNTIF(A$4:$A96, 'Annex 2 EHV charges'!$A$10:$A$108)), 0)),"")</f>
        <v>THORNE</v>
      </c>
      <c r="B97" s="80">
        <f>IF($A97="","",VLOOKUP($A97,'Annex 2 EHV charges'!$A:$O,2,0))</f>
        <v>818</v>
      </c>
      <c r="C97" s="81">
        <f>IF($A97="","",VLOOKUP($A97,'Annex 2 EHV charges'!$A:$O,3,0))</f>
        <v>1900091171364</v>
      </c>
      <c r="D97" s="80" t="str">
        <f>IF($A97="","",VLOOKUP($A97,'Annex 2 EHV charges'!$A:$O,7,0))</f>
        <v>THORNE</v>
      </c>
      <c r="E97" s="85" t="str">
        <f>IFERROR(IF(VLOOKUP($A97,'Annex 2 EHV charges'!$A:$O,9,FALSE)=0,"",VLOOKUP($A97,'Annex 2 EHV charges'!$A:$O,9,FALSE)),"")</f>
        <v/>
      </c>
      <c r="F97" s="86">
        <f>IFERROR(IF(VLOOKUP($A97,'Annex 2 EHV charges'!$A:$O,10,FALSE)=0,"",VLOOKUP($A97,'Annex 2 EHV charges'!$A:$O,10,FALSE)),"")</f>
        <v>33.33</v>
      </c>
      <c r="G97" s="87">
        <f>IFERROR(IF(VLOOKUP($A97,'Annex 2 EHV charges'!$A:$O,11,FALSE)=0,"",VLOOKUP($A97,'Annex 2 EHV charges'!$A:$O,11,FALSE)),"")</f>
        <v>1.61</v>
      </c>
      <c r="H97" s="87">
        <f>IFERROR(IF(VLOOKUP($A97,'Annex 2 EHV charges'!$A:$O,12,FALSE)=0,"",VLOOKUP($A97,'Annex 2 EHV charges'!$A:$O,12,FALSE)),"")</f>
        <v>1.61</v>
      </c>
    </row>
    <row r="98" spans="1:8" ht="12.75" customHeight="1" x14ac:dyDescent="0.2">
      <c r="A98" s="80" t="str">
        <f t="array" ref="A98">IFERROR(INDEX('Annex 2 EHV charges'!$A$10:$A$108, MATCH(0, IF(ISBLANK('Annex 2 EHV charges'!$A$10:$A$108),1, COUNTIF(A$4:$A97, 'Annex 2 EHV charges'!$A$10:$A$108)), 0)),"")</f>
        <v>TONGSF</v>
      </c>
      <c r="B98" s="80">
        <f>IF($A98="","",VLOOKUP($A98,'Annex 2 EHV charges'!$A:$O,2,0))</f>
        <v>828</v>
      </c>
      <c r="C98" s="81">
        <f>IF($A98="","",VLOOKUP($A98,'Annex 2 EHV charges'!$A:$O,3,0))</f>
        <v>1900091363000</v>
      </c>
      <c r="D98" s="80" t="str">
        <f>IF($A98="","",VLOOKUP($A98,'Annex 2 EHV charges'!$A:$O,7,0))</f>
        <v>TONGSF</v>
      </c>
      <c r="E98" s="85">
        <f>IFERROR(IF(VLOOKUP($A98,'Annex 2 EHV charges'!$A:$O,9,FALSE)=0,"",VLOOKUP($A98,'Annex 2 EHV charges'!$A:$O,9,FALSE)),"")</f>
        <v>0.68200000000000005</v>
      </c>
      <c r="F98" s="86">
        <f>IFERROR(IF(VLOOKUP($A98,'Annex 2 EHV charges'!$A:$O,10,FALSE)=0,"",VLOOKUP($A98,'Annex 2 EHV charges'!$A:$O,10,FALSE)),"")</f>
        <v>2542.91</v>
      </c>
      <c r="G98" s="87">
        <f>IFERROR(IF(VLOOKUP($A98,'Annex 2 EHV charges'!$A:$O,11,FALSE)=0,"",VLOOKUP($A98,'Annex 2 EHV charges'!$A:$O,11,FALSE)),"")</f>
        <v>1.3</v>
      </c>
      <c r="H98" s="87">
        <f>IFERROR(IF(VLOOKUP($A98,'Annex 2 EHV charges'!$A:$O,12,FALSE)=0,"",VLOOKUP($A98,'Annex 2 EHV charges'!$A:$O,12,FALSE)),"")</f>
        <v>1.3</v>
      </c>
    </row>
    <row r="99" spans="1:8" ht="12.75" customHeight="1" x14ac:dyDescent="0.2">
      <c r="A99" s="80" t="str">
        <f t="array" ref="A99">IFERROR(INDEX('Annex 2 EHV charges'!$A$10:$A$108, MATCH(0, IF(ISBLANK('Annex 2 EHV charges'!$A$10:$A$108),1, COUNTIF(A$4:$A98, 'Annex 2 EHV charges'!$A$10:$A$108)), 0)),"")</f>
        <v>WDLNDS</v>
      </c>
      <c r="B99" s="80">
        <f>IF($A99="","",VLOOKUP($A99,'Annex 2 EHV charges'!$A:$O,2,0))</f>
        <v>825</v>
      </c>
      <c r="C99" s="81">
        <f>IF($A99="","",VLOOKUP($A99,'Annex 2 EHV charges'!$A:$O,3,0))</f>
        <v>1900091207124</v>
      </c>
      <c r="D99" s="80" t="str">
        <f>IF($A99="","",VLOOKUP($A99,'Annex 2 EHV charges'!$A:$O,7,0))</f>
        <v>WDLNDS</v>
      </c>
      <c r="E99" s="85">
        <f>IFERROR(IF(VLOOKUP($A99,'Annex 2 EHV charges'!$A:$O,9,FALSE)=0,"",VLOOKUP($A99,'Annex 2 EHV charges'!$A:$O,9,FALSE)),"")</f>
        <v>1.4999999999999999E-2</v>
      </c>
      <c r="F99" s="86">
        <f>IFERROR(IF(VLOOKUP($A99,'Annex 2 EHV charges'!$A:$O,10,FALSE)=0,"",VLOOKUP($A99,'Annex 2 EHV charges'!$A:$O,10,FALSE)),"")</f>
        <v>37.46</v>
      </c>
      <c r="G99" s="87">
        <f>IFERROR(IF(VLOOKUP($A99,'Annex 2 EHV charges'!$A:$O,11,FALSE)=0,"",VLOOKUP($A99,'Annex 2 EHV charges'!$A:$O,11,FALSE)),"")</f>
        <v>1.7</v>
      </c>
      <c r="H99" s="87">
        <f>IFERROR(IF(VLOOKUP($A99,'Annex 2 EHV charges'!$A:$O,12,FALSE)=0,"",VLOOKUP($A99,'Annex 2 EHV charges'!$A:$O,12,FALSE)),"")</f>
        <v>1.7</v>
      </c>
    </row>
    <row r="100" spans="1:8" ht="12.75" customHeight="1" x14ac:dyDescent="0.2">
      <c r="A100" s="80" t="str">
        <f t="array" ref="A100">IFERROR(INDEX('Annex 2 EHV charges'!$A$10:$A$108, MATCH(0, IF(ISBLANK('Annex 2 EHV charges'!$A$10:$A$108),1, COUNTIF(A$4:$A99, 'Annex 2 EHV charges'!$A$10:$A$108)), 0)),"")</f>
        <v>WIDHFM</v>
      </c>
      <c r="B100" s="80">
        <f>IF($A100="","",VLOOKUP($A100,'Annex 2 EHV charges'!$A:$O,2,0))</f>
        <v>821</v>
      </c>
      <c r="C100" s="81">
        <f>IF($A100="","",VLOOKUP($A100,'Annex 2 EHV charges'!$A:$O,3,0))</f>
        <v>1900091478493</v>
      </c>
      <c r="D100" s="80" t="str">
        <f>IF($A100="","",VLOOKUP($A100,'Annex 2 EHV charges'!$A:$O,7,0))</f>
        <v>WIDHFM</v>
      </c>
      <c r="E100" s="85">
        <f>IFERROR(IF(VLOOKUP($A100,'Annex 2 EHV charges'!$A:$O,9,FALSE)=0,"",VLOOKUP($A100,'Annex 2 EHV charges'!$A:$O,9,FALSE)),"")</f>
        <v>4.8849999999999998</v>
      </c>
      <c r="F100" s="86">
        <f>IFERROR(IF(VLOOKUP($A100,'Annex 2 EHV charges'!$A:$O,10,FALSE)=0,"",VLOOKUP($A100,'Annex 2 EHV charges'!$A:$O,10,FALSE)),"")</f>
        <v>29.24</v>
      </c>
      <c r="G100" s="87">
        <f>IFERROR(IF(VLOOKUP($A100,'Annex 2 EHV charges'!$A:$O,11,FALSE)=0,"",VLOOKUP($A100,'Annex 2 EHV charges'!$A:$O,11,FALSE)),"")</f>
        <v>1.7</v>
      </c>
      <c r="H100" s="87">
        <f>IFERROR(IF(VLOOKUP($A100,'Annex 2 EHV charges'!$A:$O,12,FALSE)=0,"",VLOOKUP($A100,'Annex 2 EHV charges'!$A:$O,12,FALSE)),"")</f>
        <v>1.7</v>
      </c>
    </row>
    <row r="101" spans="1:8" ht="12.75" customHeight="1" x14ac:dyDescent="0.2">
      <c r="A101" s="80" t="str">
        <f t="array" ref="A101">IFERROR(INDEX('Annex 2 EHV charges'!$A$10:$A$108, MATCH(0, IF(ISBLANK('Annex 2 EHV charges'!$A$10:$A$108),1, COUNTIF(A$4:$A100, 'Annex 2 EHV charges'!$A$10:$A$108)), 0)),"")</f>
        <v>WLBEES</v>
      </c>
      <c r="B101" s="80">
        <f>IF($A101="","",VLOOKUP($A101,'Annex 2 EHV charges'!$A:$O,2,0))</f>
        <v>829</v>
      </c>
      <c r="C101" s="81">
        <f>IF($A101="","",VLOOKUP($A101,'Annex 2 EHV charges'!$A:$O,3,0))</f>
        <v>1900091315238</v>
      </c>
      <c r="D101" s="80" t="str">
        <f>IF($A101="","",VLOOKUP($A101,'Annex 2 EHV charges'!$A:$O,7,0))</f>
        <v>WLBEES</v>
      </c>
      <c r="E101" s="85">
        <f>IFERROR(IF(VLOOKUP($A101,'Annex 2 EHV charges'!$A:$O,9,FALSE)=0,"",VLOOKUP($A101,'Annex 2 EHV charges'!$A:$O,9,FALSE)),"")</f>
        <v>8.4619999999999997</v>
      </c>
      <c r="F101" s="86">
        <f>IFERROR(IF(VLOOKUP($A101,'Annex 2 EHV charges'!$A:$O,10,FALSE)=0,"",VLOOKUP($A101,'Annex 2 EHV charges'!$A:$O,10,FALSE)),"")</f>
        <v>5.3</v>
      </c>
      <c r="G101" s="87">
        <f>IFERROR(IF(VLOOKUP($A101,'Annex 2 EHV charges'!$A:$O,11,FALSE)=0,"",VLOOKUP($A101,'Annex 2 EHV charges'!$A:$O,11,FALSE)),"")</f>
        <v>1.47</v>
      </c>
      <c r="H101" s="87">
        <f>IFERROR(IF(VLOOKUP($A101,'Annex 2 EHV charges'!$A:$O,12,FALSE)=0,"",VLOOKUP($A101,'Annex 2 EHV charges'!$A:$O,12,FALSE)),"")</f>
        <v>1.47</v>
      </c>
    </row>
    <row r="102" spans="1:8" ht="12.75" customHeight="1" x14ac:dyDescent="0.2">
      <c r="A102" s="80" t="str">
        <f t="array" ref="A102">IFERROR(INDEX('Annex 2 EHV charges'!$A$10:$A$108, MATCH(0, IF(ISBLANK('Annex 2 EHV charges'!$A$10:$A$108),1, COUNTIF(A$4:$A101, 'Annex 2 EHV charges'!$A$10:$A$108)), 0)),"")</f>
        <v>WRGALL</v>
      </c>
      <c r="B102" s="80">
        <f>IF($A102="","",VLOOKUP($A102,'Annex 2 EHV charges'!$A:$O,2,0))</f>
        <v>887</v>
      </c>
      <c r="C102" s="81">
        <f>IF($A102="","",VLOOKUP($A102,'Annex 2 EHV charges'!$A:$O,3,0))</f>
        <v>1900070394457</v>
      </c>
      <c r="D102" s="80" t="str">
        <f>IF($A102="","",VLOOKUP($A102,'Annex 2 EHV charges'!$A:$O,7,0))</f>
        <v>WRGALL</v>
      </c>
      <c r="E102" s="85">
        <f>IFERROR(IF(VLOOKUP($A102,'Annex 2 EHV charges'!$A:$O,9,FALSE)=0,"",VLOOKUP($A102,'Annex 2 EHV charges'!$A:$O,9,FALSE)),"")</f>
        <v>5.0190000000000001</v>
      </c>
      <c r="F102" s="86">
        <f>IFERROR(IF(VLOOKUP($A102,'Annex 2 EHV charges'!$A:$O,10,FALSE)=0,"",VLOOKUP($A102,'Annex 2 EHV charges'!$A:$O,10,FALSE)),"")</f>
        <v>1234.5899999999999</v>
      </c>
      <c r="G102" s="87">
        <f>IFERROR(IF(VLOOKUP($A102,'Annex 2 EHV charges'!$A:$O,11,FALSE)=0,"",VLOOKUP($A102,'Annex 2 EHV charges'!$A:$O,11,FALSE)),"")</f>
        <v>0.8</v>
      </c>
      <c r="H102" s="87">
        <f>IFERROR(IF(VLOOKUP($A102,'Annex 2 EHV charges'!$A:$O,12,FALSE)=0,"",VLOOKUP($A102,'Annex 2 EHV charges'!$A:$O,12,FALSE)),"")</f>
        <v>0.8</v>
      </c>
    </row>
    <row r="103" spans="1:8" ht="12.75" customHeight="1" x14ac:dyDescent="0.2">
      <c r="A103" s="80" t="str">
        <f t="array" ref="A103">IFERROR(INDEX('Annex 2 EHV charges'!$A$10:$A$108, MATCH(0, IF(ISBLANK('Annex 2 EHV charges'!$A$10:$A$108),1, COUNTIF(A$4:$A102, 'Annex 2 EHV charges'!$A$10:$A$108)), 0)),"")</f>
        <v>WSTWDX</v>
      </c>
      <c r="B103" s="80">
        <f>IF($A103="","",VLOOKUP($A103,'Annex 2 EHV charges'!$A:$O,2,0))</f>
        <v>806</v>
      </c>
      <c r="C103" s="81">
        <f>IF($A103="","",VLOOKUP($A103,'Annex 2 EHV charges'!$A:$O,3,0))</f>
        <v>1900091086531</v>
      </c>
      <c r="D103" s="80" t="str">
        <f>IF($A103="","",VLOOKUP($A103,'Annex 2 EHV charges'!$A:$O,7,0))</f>
        <v>WSTWDX</v>
      </c>
      <c r="E103" s="85" t="str">
        <f>IFERROR(IF(VLOOKUP($A103,'Annex 2 EHV charges'!$A:$O,9,FALSE)=0,"",VLOOKUP($A103,'Annex 2 EHV charges'!$A:$O,9,FALSE)),"")</f>
        <v/>
      </c>
      <c r="F103" s="86">
        <f>IFERROR(IF(VLOOKUP($A103,'Annex 2 EHV charges'!$A:$O,10,FALSE)=0,"",VLOOKUP($A103,'Annex 2 EHV charges'!$A:$O,10,FALSE)),"")</f>
        <v>21.84</v>
      </c>
      <c r="G103" s="87">
        <f>IFERROR(IF(VLOOKUP($A103,'Annex 2 EHV charges'!$A:$O,11,FALSE)=0,"",VLOOKUP($A103,'Annex 2 EHV charges'!$A:$O,11,FALSE)),"")</f>
        <v>1.87</v>
      </c>
      <c r="H103" s="87">
        <f>IFERROR(IF(VLOOKUP($A103,'Annex 2 EHV charges'!$A:$O,12,FALSE)=0,"",VLOOKUP($A103,'Annex 2 EHV charges'!$A:$O,12,FALSE)),"")</f>
        <v>1.87</v>
      </c>
    </row>
    <row r="104" spans="1:8" ht="12.75" customHeight="1" x14ac:dyDescent="0.2">
      <c r="A104" s="80" t="str">
        <f t="array" ref="A104">IFERROR(INDEX('Annex 2 EHV charges'!$A$10:$A$108, MATCH(0, IF(ISBLANK('Annex 2 EHV charges'!$A$10:$A$108),1, COUNTIF(A$4:$A103, 'Annex 2 EHV charges'!$A$10:$A$108)), 0)),"")</f>
        <v/>
      </c>
      <c r="B104" s="80" t="str">
        <f>IF($A104="","",VLOOKUP($A104,'Annex 2 EHV charges'!$A:$O,2,0))</f>
        <v/>
      </c>
      <c r="C104" s="81" t="str">
        <f>IF($A104="","",VLOOKUP($A104,'Annex 2 EHV charges'!$A:$O,3,0))</f>
        <v/>
      </c>
      <c r="D104" s="80" t="str">
        <f>IF($A104="","",VLOOKUP($A104,'Annex 2 EHV charges'!$A:$O,7,0))</f>
        <v/>
      </c>
      <c r="E104" s="85" t="str">
        <f>IFERROR(IF(VLOOKUP($A104,'Annex 2 EHV charges'!$A:$O,9,FALSE)=0,"",VLOOKUP($A104,'Annex 2 EHV charges'!$A:$O,9,FALSE)),"")</f>
        <v/>
      </c>
      <c r="F104" s="86" t="str">
        <f>IFERROR(IF(VLOOKUP($A104,'Annex 2 EHV charges'!$A:$O,10,FALSE)=0,"",VLOOKUP($A104,'Annex 2 EHV charges'!$A:$O,10,FALSE)),"")</f>
        <v/>
      </c>
      <c r="G104" s="87" t="str">
        <f>IFERROR(IF(VLOOKUP($A104,'Annex 2 EHV charges'!$A:$O,11,FALSE)=0,"",VLOOKUP($A104,'Annex 2 EHV charges'!$A:$O,11,FALSE)),"")</f>
        <v/>
      </c>
      <c r="H104" s="87" t="str">
        <f>IFERROR(IF(VLOOKUP($A104,'Annex 2 EHV charges'!$A:$O,12,FALSE)=0,"",VLOOKUP($A104,'Annex 2 EHV charges'!$A:$O,12,FALSE)),"")</f>
        <v/>
      </c>
    </row>
    <row r="105" spans="1:8" ht="12.75" customHeight="1" x14ac:dyDescent="0.2">
      <c r="A105" s="80" t="str">
        <f t="array" ref="A105">IFERROR(INDEX('Annex 2 EHV charges'!$A$10:$A$108, MATCH(0, IF(ISBLANK('Annex 2 EHV charges'!$A$10:$A$108),1, COUNTIF(A$4:$A104, 'Annex 2 EHV charges'!$A$10:$A$108)), 0)),"")</f>
        <v/>
      </c>
      <c r="B105" s="80" t="str">
        <f>IF($A105="","",VLOOKUP($A105,'Annex 2 EHV charges'!$A:$O,2,0))</f>
        <v/>
      </c>
      <c r="C105" s="81" t="str">
        <f>IF($A105="","",VLOOKUP($A105,'Annex 2 EHV charges'!$A:$O,3,0))</f>
        <v/>
      </c>
      <c r="D105" s="80" t="str">
        <f>IF($A105="","",VLOOKUP($A105,'Annex 2 EHV charges'!$A:$O,7,0))</f>
        <v/>
      </c>
      <c r="E105" s="85" t="str">
        <f>IFERROR(IF(VLOOKUP($A105,'Annex 2 EHV charges'!$A:$O,9,FALSE)=0,"",VLOOKUP($A105,'Annex 2 EHV charges'!$A:$O,9,FALSE)),"")</f>
        <v/>
      </c>
      <c r="F105" s="86" t="str">
        <f>IFERROR(IF(VLOOKUP($A105,'Annex 2 EHV charges'!$A:$O,10,FALSE)=0,"",VLOOKUP($A105,'Annex 2 EHV charges'!$A:$O,10,FALSE)),"")</f>
        <v/>
      </c>
      <c r="G105" s="87" t="str">
        <f>IFERROR(IF(VLOOKUP($A105,'Annex 2 EHV charges'!$A:$O,11,FALSE)=0,"",VLOOKUP($A105,'Annex 2 EHV charges'!$A:$O,11,FALSE)),"")</f>
        <v/>
      </c>
      <c r="H105" s="87" t="str">
        <f>IFERROR(IF(VLOOKUP($A105,'Annex 2 EHV charges'!$A:$O,12,FALSE)=0,"",VLOOKUP($A105,'Annex 2 EHV charges'!$A:$O,12,FALSE)),"")</f>
        <v/>
      </c>
    </row>
    <row r="106" spans="1:8" ht="12.75" customHeight="1" x14ac:dyDescent="0.2">
      <c r="A106" s="80" t="str">
        <f t="array" ref="A106">IFERROR(INDEX('Annex 2 EHV charges'!$A$10:$A$108, MATCH(0, IF(ISBLANK('Annex 2 EHV charges'!$A$10:$A$108),1, COUNTIF(A$4:$A105, 'Annex 2 EHV charges'!$A$10:$A$108)), 0)),"")</f>
        <v/>
      </c>
      <c r="B106" s="80" t="str">
        <f>IF($A106="","",VLOOKUP($A106,'Annex 2 EHV charges'!$A:$O,2,0))</f>
        <v/>
      </c>
      <c r="C106" s="81" t="str">
        <f>IF($A106="","",VLOOKUP($A106,'Annex 2 EHV charges'!$A:$O,3,0))</f>
        <v/>
      </c>
      <c r="D106" s="80" t="str">
        <f>IF($A106="","",VLOOKUP($A106,'Annex 2 EHV charges'!$A:$O,7,0))</f>
        <v/>
      </c>
      <c r="E106" s="85" t="str">
        <f>IFERROR(IF(VLOOKUP($A106,'Annex 2 EHV charges'!$A:$O,9,FALSE)=0,"",VLOOKUP($A106,'Annex 2 EHV charges'!$A:$O,9,FALSE)),"")</f>
        <v/>
      </c>
      <c r="F106" s="86" t="str">
        <f>IFERROR(IF(VLOOKUP($A106,'Annex 2 EHV charges'!$A:$O,10,FALSE)=0,"",VLOOKUP($A106,'Annex 2 EHV charges'!$A:$O,10,FALSE)),"")</f>
        <v/>
      </c>
      <c r="G106" s="87" t="str">
        <f>IFERROR(IF(VLOOKUP($A106,'Annex 2 EHV charges'!$A:$O,11,FALSE)=0,"",VLOOKUP($A106,'Annex 2 EHV charges'!$A:$O,11,FALSE)),"")</f>
        <v/>
      </c>
      <c r="H106" s="87" t="str">
        <f>IFERROR(IF(VLOOKUP($A106,'Annex 2 EHV charges'!$A:$O,12,FALSE)=0,"",VLOOKUP($A106,'Annex 2 EHV charges'!$A:$O,12,FALSE)),"")</f>
        <v/>
      </c>
    </row>
    <row r="107" spans="1:8" ht="12.75" customHeight="1" x14ac:dyDescent="0.2">
      <c r="A107" s="80" t="str">
        <f t="array" ref="A107">IFERROR(INDEX('Annex 2 EHV charges'!$A$10:$A$108, MATCH(0, IF(ISBLANK('Annex 2 EHV charges'!$A$10:$A$108),1, COUNTIF(A$4:$A106, 'Annex 2 EHV charges'!$A$10:$A$108)), 0)),"")</f>
        <v/>
      </c>
      <c r="B107" s="80" t="str">
        <f>IF($A107="","",VLOOKUP($A107,'Annex 2 EHV charges'!$A:$O,2,0))</f>
        <v/>
      </c>
      <c r="C107" s="81" t="str">
        <f>IF($A107="","",VLOOKUP($A107,'Annex 2 EHV charges'!$A:$O,3,0))</f>
        <v/>
      </c>
      <c r="D107" s="80" t="str">
        <f>IF($A107="","",VLOOKUP($A107,'Annex 2 EHV charges'!$A:$O,7,0))</f>
        <v/>
      </c>
      <c r="E107" s="85" t="str">
        <f>IFERROR(IF(VLOOKUP($A107,'Annex 2 EHV charges'!$A:$O,9,FALSE)=0,"",VLOOKUP($A107,'Annex 2 EHV charges'!$A:$O,9,FALSE)),"")</f>
        <v/>
      </c>
      <c r="F107" s="86" t="str">
        <f>IFERROR(IF(VLOOKUP($A107,'Annex 2 EHV charges'!$A:$O,10,FALSE)=0,"",VLOOKUP($A107,'Annex 2 EHV charges'!$A:$O,10,FALSE)),"")</f>
        <v/>
      </c>
      <c r="G107" s="87" t="str">
        <f>IFERROR(IF(VLOOKUP($A107,'Annex 2 EHV charges'!$A:$O,11,FALSE)=0,"",VLOOKUP($A107,'Annex 2 EHV charges'!$A:$O,11,FALSE)),"")</f>
        <v/>
      </c>
      <c r="H107" s="87" t="str">
        <f>IFERROR(IF(VLOOKUP($A107,'Annex 2 EHV charges'!$A:$O,12,FALSE)=0,"",VLOOKUP($A107,'Annex 2 EHV charges'!$A:$O,12,FALSE)),"")</f>
        <v/>
      </c>
    </row>
    <row r="108" spans="1:8" ht="12.75" customHeight="1" x14ac:dyDescent="0.2">
      <c r="A108" s="80" t="str">
        <f t="array" ref="A108">IFERROR(INDEX('Annex 2 EHV charges'!$A$10:$A$108, MATCH(0, IF(ISBLANK('Annex 2 EHV charges'!$A$10:$A$108),1, COUNTIF(A$4:$A107, 'Annex 2 EHV charges'!$A$10:$A$108)), 0)),"")</f>
        <v/>
      </c>
      <c r="B108" s="80" t="str">
        <f>IF($A108="","",VLOOKUP($A108,'Annex 2 EHV charges'!$A:$O,2,0))</f>
        <v/>
      </c>
      <c r="C108" s="81" t="str">
        <f>IF($A108="","",VLOOKUP($A108,'Annex 2 EHV charges'!$A:$O,3,0))</f>
        <v/>
      </c>
      <c r="D108" s="80" t="str">
        <f>IF($A108="","",VLOOKUP($A108,'Annex 2 EHV charges'!$A:$O,7,0))</f>
        <v/>
      </c>
      <c r="E108" s="85" t="str">
        <f>IFERROR(IF(VLOOKUP($A108,'Annex 2 EHV charges'!$A:$O,9,FALSE)=0,"",VLOOKUP($A108,'Annex 2 EHV charges'!$A:$O,9,FALSE)),"")</f>
        <v/>
      </c>
      <c r="F108" s="86" t="str">
        <f>IFERROR(IF(VLOOKUP($A108,'Annex 2 EHV charges'!$A:$O,10,FALSE)=0,"",VLOOKUP($A108,'Annex 2 EHV charges'!$A:$O,10,FALSE)),"")</f>
        <v/>
      </c>
      <c r="G108" s="87" t="str">
        <f>IFERROR(IF(VLOOKUP($A108,'Annex 2 EHV charges'!$A:$O,11,FALSE)=0,"",VLOOKUP($A108,'Annex 2 EHV charges'!$A:$O,11,FALSE)),"")</f>
        <v/>
      </c>
      <c r="H108" s="87" t="str">
        <f>IFERROR(IF(VLOOKUP($A108,'Annex 2 EHV charges'!$A:$O,12,FALSE)=0,"",VLOOKUP($A108,'Annex 2 EHV charges'!$A:$O,12,FALSE)),"")</f>
        <v/>
      </c>
    </row>
    <row r="109" spans="1:8" ht="12.75" customHeight="1" x14ac:dyDescent="0.2">
      <c r="A109" s="80" t="str">
        <f t="array" ref="A109">IFERROR(INDEX('Annex 2 EHV charges'!$A$10:$A$108, MATCH(0, IF(ISBLANK('Annex 2 EHV charges'!$A$10:$A$108),1, COUNTIF(A$4:$A108, 'Annex 2 EHV charges'!$A$10:$A$108)), 0)),"")</f>
        <v/>
      </c>
      <c r="B109" s="80" t="str">
        <f>IF($A109="","",VLOOKUP($A109,'Annex 2 EHV charges'!$A:$O,2,0))</f>
        <v/>
      </c>
      <c r="C109" s="81" t="str">
        <f>IF($A109="","",VLOOKUP($A109,'Annex 2 EHV charges'!$A:$O,3,0))</f>
        <v/>
      </c>
      <c r="D109" s="80" t="str">
        <f>IF($A109="","",VLOOKUP($A109,'Annex 2 EHV charges'!$A:$O,7,0))</f>
        <v/>
      </c>
      <c r="E109" s="85" t="str">
        <f>IFERROR(IF(VLOOKUP($A109,'Annex 2 EHV charges'!$A:$O,9,FALSE)=0,"",VLOOKUP($A109,'Annex 2 EHV charges'!$A:$O,9,FALSE)),"")</f>
        <v/>
      </c>
      <c r="F109" s="86" t="str">
        <f>IFERROR(IF(VLOOKUP($A109,'Annex 2 EHV charges'!$A:$O,10,FALSE)=0,"",VLOOKUP($A109,'Annex 2 EHV charges'!$A:$O,10,FALSE)),"")</f>
        <v/>
      </c>
      <c r="G109" s="87" t="str">
        <f>IFERROR(IF(VLOOKUP($A109,'Annex 2 EHV charges'!$A:$O,11,FALSE)=0,"",VLOOKUP($A109,'Annex 2 EHV charges'!$A:$O,11,FALSE)),"")</f>
        <v/>
      </c>
      <c r="H109" s="87" t="str">
        <f>IFERROR(IF(VLOOKUP($A109,'Annex 2 EHV charges'!$A:$O,12,FALSE)=0,"",VLOOKUP($A109,'Annex 2 EHV charges'!$A:$O,12,FALSE)),"")</f>
        <v/>
      </c>
    </row>
    <row r="110" spans="1:8" ht="12.75" customHeight="1" x14ac:dyDescent="0.2">
      <c r="A110" s="80" t="str">
        <f t="array" ref="A110">IFERROR(INDEX('Annex 2 EHV charges'!$A$10:$A$108, MATCH(0, IF(ISBLANK('Annex 2 EHV charges'!$A$10:$A$108),1, COUNTIF(A$4:$A109, 'Annex 2 EHV charges'!$A$10:$A$108)), 0)),"")</f>
        <v/>
      </c>
      <c r="B110" s="80" t="str">
        <f>IF($A110="","",VLOOKUP($A110,'Annex 2 EHV charges'!$A:$O,2,0))</f>
        <v/>
      </c>
      <c r="C110" s="81" t="str">
        <f>IF($A110="","",VLOOKUP($A110,'Annex 2 EHV charges'!$A:$O,3,0))</f>
        <v/>
      </c>
      <c r="D110" s="80" t="str">
        <f>IF($A110="","",VLOOKUP($A110,'Annex 2 EHV charges'!$A:$O,7,0))</f>
        <v/>
      </c>
      <c r="E110" s="85" t="str">
        <f>IFERROR(IF(VLOOKUP($A110,'Annex 2 EHV charges'!$A:$O,9,FALSE)=0,"",VLOOKUP($A110,'Annex 2 EHV charges'!$A:$O,9,FALSE)),"")</f>
        <v/>
      </c>
      <c r="F110" s="86" t="str">
        <f>IFERROR(IF(VLOOKUP($A110,'Annex 2 EHV charges'!$A:$O,10,FALSE)=0,"",VLOOKUP($A110,'Annex 2 EHV charges'!$A:$O,10,FALSE)),"")</f>
        <v/>
      </c>
      <c r="G110" s="87" t="str">
        <f>IFERROR(IF(VLOOKUP($A110,'Annex 2 EHV charges'!$A:$O,11,FALSE)=0,"",VLOOKUP($A110,'Annex 2 EHV charges'!$A:$O,11,FALSE)),"")</f>
        <v/>
      </c>
      <c r="H110" s="87" t="str">
        <f>IFERROR(IF(VLOOKUP($A110,'Annex 2 EHV charges'!$A:$O,12,FALSE)=0,"",VLOOKUP($A110,'Annex 2 EHV charges'!$A:$O,12,FALSE)),"")</f>
        <v/>
      </c>
    </row>
    <row r="111" spans="1:8" ht="12.75" customHeight="1" x14ac:dyDescent="0.2">
      <c r="A111" s="80" t="str">
        <f t="array" ref="A111">IFERROR(INDEX('Annex 2 EHV charges'!$A$10:$A$108, MATCH(0, IF(ISBLANK('Annex 2 EHV charges'!$A$10:$A$108),1, COUNTIF(A$4:$A110, 'Annex 2 EHV charges'!$A$10:$A$108)), 0)),"")</f>
        <v/>
      </c>
      <c r="B111" s="80" t="str">
        <f>IF($A111="","",VLOOKUP($A111,'Annex 2 EHV charges'!$A:$O,2,0))</f>
        <v/>
      </c>
      <c r="C111" s="81" t="str">
        <f>IF($A111="","",VLOOKUP($A111,'Annex 2 EHV charges'!$A:$O,3,0))</f>
        <v/>
      </c>
      <c r="D111" s="80" t="str">
        <f>IF($A111="","",VLOOKUP($A111,'Annex 2 EHV charges'!$A:$O,7,0))</f>
        <v/>
      </c>
      <c r="E111" s="85" t="str">
        <f>IFERROR(IF(VLOOKUP($A111,'Annex 2 EHV charges'!$A:$O,9,FALSE)=0,"",VLOOKUP($A111,'Annex 2 EHV charges'!$A:$O,9,FALSE)),"")</f>
        <v/>
      </c>
      <c r="F111" s="86" t="str">
        <f>IFERROR(IF(VLOOKUP($A111,'Annex 2 EHV charges'!$A:$O,10,FALSE)=0,"",VLOOKUP($A111,'Annex 2 EHV charges'!$A:$O,10,FALSE)),"")</f>
        <v/>
      </c>
      <c r="G111" s="87" t="str">
        <f>IFERROR(IF(VLOOKUP($A111,'Annex 2 EHV charges'!$A:$O,11,FALSE)=0,"",VLOOKUP($A111,'Annex 2 EHV charges'!$A:$O,11,FALSE)),"")</f>
        <v/>
      </c>
      <c r="H111" s="87" t="str">
        <f>IFERROR(IF(VLOOKUP($A111,'Annex 2 EHV charges'!$A:$O,12,FALSE)=0,"",VLOOKUP($A111,'Annex 2 EHV charges'!$A:$O,12,FALSE)),"")</f>
        <v/>
      </c>
    </row>
    <row r="112" spans="1:8" ht="12.75" customHeight="1" x14ac:dyDescent="0.2">
      <c r="A112" s="80" t="str">
        <f t="array" ref="A112">IFERROR(INDEX('Annex 2 EHV charges'!$A$10:$A$108, MATCH(0, IF(ISBLANK('Annex 2 EHV charges'!$A$10:$A$108),1, COUNTIF(A$4:$A111, 'Annex 2 EHV charges'!$A$10:$A$108)), 0)),"")</f>
        <v/>
      </c>
      <c r="B112" s="80" t="str">
        <f>IF($A112="","",VLOOKUP($A112,'Annex 2 EHV charges'!$A:$O,2,0))</f>
        <v/>
      </c>
      <c r="C112" s="81" t="str">
        <f>IF($A112="","",VLOOKUP($A112,'Annex 2 EHV charges'!$A:$O,3,0))</f>
        <v/>
      </c>
      <c r="D112" s="80" t="str">
        <f>IF($A112="","",VLOOKUP($A112,'Annex 2 EHV charges'!$A:$O,7,0))</f>
        <v/>
      </c>
      <c r="E112" s="85" t="str">
        <f>IFERROR(IF(VLOOKUP($A112,'Annex 2 EHV charges'!$A:$O,9,FALSE)=0,"",VLOOKUP($A112,'Annex 2 EHV charges'!$A:$O,9,FALSE)),"")</f>
        <v/>
      </c>
      <c r="F112" s="86" t="str">
        <f>IFERROR(IF(VLOOKUP($A112,'Annex 2 EHV charges'!$A:$O,10,FALSE)=0,"",VLOOKUP($A112,'Annex 2 EHV charges'!$A:$O,10,FALSE)),"")</f>
        <v/>
      </c>
      <c r="G112" s="87" t="str">
        <f>IFERROR(IF(VLOOKUP($A112,'Annex 2 EHV charges'!$A:$O,11,FALSE)=0,"",VLOOKUP($A112,'Annex 2 EHV charges'!$A:$O,11,FALSE)),"")</f>
        <v/>
      </c>
      <c r="H112" s="87" t="str">
        <f>IFERROR(IF(VLOOKUP($A112,'Annex 2 EHV charges'!$A:$O,12,FALSE)=0,"",VLOOKUP($A112,'Annex 2 EHV charges'!$A:$O,12,FALSE)),"")</f>
        <v/>
      </c>
    </row>
    <row r="113" spans="1:8" ht="12.75" customHeight="1" x14ac:dyDescent="0.2">
      <c r="A113" s="80" t="str">
        <f t="array" ref="A113">IFERROR(INDEX('Annex 2 EHV charges'!$A$10:$A$108, MATCH(0, IF(ISBLANK('Annex 2 EHV charges'!$A$10:$A$108),1, COUNTIF(A$4:$A112, 'Annex 2 EHV charges'!$A$10:$A$108)), 0)),"")</f>
        <v/>
      </c>
      <c r="B113" s="80" t="str">
        <f>IF($A113="","",VLOOKUP($A113,'Annex 2 EHV charges'!$A:$O,2,0))</f>
        <v/>
      </c>
      <c r="C113" s="81" t="str">
        <f>IF($A113="","",VLOOKUP($A113,'Annex 2 EHV charges'!$A:$O,3,0))</f>
        <v/>
      </c>
      <c r="D113" s="80" t="str">
        <f>IF($A113="","",VLOOKUP($A113,'Annex 2 EHV charges'!$A:$O,7,0))</f>
        <v/>
      </c>
      <c r="E113" s="85" t="str">
        <f>IFERROR(IF(VLOOKUP($A113,'Annex 2 EHV charges'!$A:$O,9,FALSE)=0,"",VLOOKUP($A113,'Annex 2 EHV charges'!$A:$O,9,FALSE)),"")</f>
        <v/>
      </c>
      <c r="F113" s="86" t="str">
        <f>IFERROR(IF(VLOOKUP($A113,'Annex 2 EHV charges'!$A:$O,10,FALSE)=0,"",VLOOKUP($A113,'Annex 2 EHV charges'!$A:$O,10,FALSE)),"")</f>
        <v/>
      </c>
      <c r="G113" s="87" t="str">
        <f>IFERROR(IF(VLOOKUP($A113,'Annex 2 EHV charges'!$A:$O,11,FALSE)=0,"",VLOOKUP($A113,'Annex 2 EHV charges'!$A:$O,11,FALSE)),"")</f>
        <v/>
      </c>
      <c r="H113" s="87" t="str">
        <f>IFERROR(IF(VLOOKUP($A113,'Annex 2 EHV charges'!$A:$O,12,FALSE)=0,"",VLOOKUP($A113,'Annex 2 EHV charges'!$A:$O,12,FALSE)),"")</f>
        <v/>
      </c>
    </row>
    <row r="114" spans="1:8" ht="12.75" customHeight="1" x14ac:dyDescent="0.2">
      <c r="A114" s="80" t="str">
        <f t="array" ref="A114">IFERROR(INDEX('Annex 2 EHV charges'!$A$10:$A$108, MATCH(0, IF(ISBLANK('Annex 2 EHV charges'!$A$10:$A$108),1, COUNTIF(A$4:$A113, 'Annex 2 EHV charges'!$A$10:$A$108)), 0)),"")</f>
        <v/>
      </c>
      <c r="B114" s="80" t="str">
        <f>IF($A114="","",VLOOKUP($A114,'Annex 2 EHV charges'!$A:$O,2,0))</f>
        <v/>
      </c>
      <c r="C114" s="81" t="str">
        <f>IF($A114="","",VLOOKUP($A114,'Annex 2 EHV charges'!$A:$O,3,0))</f>
        <v/>
      </c>
      <c r="D114" s="80" t="str">
        <f>IF($A114="","",VLOOKUP($A114,'Annex 2 EHV charges'!$A:$O,7,0))</f>
        <v/>
      </c>
      <c r="E114" s="85" t="str">
        <f>IFERROR(IF(VLOOKUP($A114,'Annex 2 EHV charges'!$A:$O,9,FALSE)=0,"",VLOOKUP($A114,'Annex 2 EHV charges'!$A:$O,9,FALSE)),"")</f>
        <v/>
      </c>
      <c r="F114" s="86" t="str">
        <f>IFERROR(IF(VLOOKUP($A114,'Annex 2 EHV charges'!$A:$O,10,FALSE)=0,"",VLOOKUP($A114,'Annex 2 EHV charges'!$A:$O,10,FALSE)),"")</f>
        <v/>
      </c>
      <c r="G114" s="87" t="str">
        <f>IFERROR(IF(VLOOKUP($A114,'Annex 2 EHV charges'!$A:$O,11,FALSE)=0,"",VLOOKUP($A114,'Annex 2 EHV charges'!$A:$O,11,FALSE)),"")</f>
        <v/>
      </c>
      <c r="H114" s="87" t="str">
        <f>IFERROR(IF(VLOOKUP($A114,'Annex 2 EHV charges'!$A:$O,12,FALSE)=0,"",VLOOKUP($A114,'Annex 2 EHV charges'!$A:$O,12,FALSE)),"")</f>
        <v/>
      </c>
    </row>
    <row r="115" spans="1:8" ht="12.75" customHeight="1" x14ac:dyDescent="0.2">
      <c r="A115" s="80" t="str">
        <f t="array" ref="A115">IFERROR(INDEX('Annex 2 EHV charges'!$A$10:$A$108, MATCH(0, IF(ISBLANK('Annex 2 EHV charges'!$A$10:$A$108),1, COUNTIF(A$4:$A114, 'Annex 2 EHV charges'!$A$10:$A$108)), 0)),"")</f>
        <v/>
      </c>
      <c r="B115" s="80" t="str">
        <f>IF($A115="","",VLOOKUP($A115,'Annex 2 EHV charges'!$A:$O,2,0))</f>
        <v/>
      </c>
      <c r="C115" s="81" t="str">
        <f>IF($A115="","",VLOOKUP($A115,'Annex 2 EHV charges'!$A:$O,3,0))</f>
        <v/>
      </c>
      <c r="D115" s="80" t="str">
        <f>IF($A115="","",VLOOKUP($A115,'Annex 2 EHV charges'!$A:$O,7,0))</f>
        <v/>
      </c>
      <c r="E115" s="85" t="str">
        <f>IFERROR(IF(VLOOKUP($A115,'Annex 2 EHV charges'!$A:$O,9,FALSE)=0,"",VLOOKUP($A115,'Annex 2 EHV charges'!$A:$O,9,FALSE)),"")</f>
        <v/>
      </c>
      <c r="F115" s="86" t="str">
        <f>IFERROR(IF(VLOOKUP($A115,'Annex 2 EHV charges'!$A:$O,10,FALSE)=0,"",VLOOKUP($A115,'Annex 2 EHV charges'!$A:$O,10,FALSE)),"")</f>
        <v/>
      </c>
      <c r="G115" s="87" t="str">
        <f>IFERROR(IF(VLOOKUP($A115,'Annex 2 EHV charges'!$A:$O,11,FALSE)=0,"",VLOOKUP($A115,'Annex 2 EHV charges'!$A:$O,11,FALSE)),"")</f>
        <v/>
      </c>
      <c r="H115" s="87" t="str">
        <f>IFERROR(IF(VLOOKUP($A115,'Annex 2 EHV charges'!$A:$O,12,FALSE)=0,"",VLOOKUP($A115,'Annex 2 EHV charges'!$A:$O,12,FALSE)),"")</f>
        <v/>
      </c>
    </row>
    <row r="116" spans="1:8" ht="12.75" customHeight="1" x14ac:dyDescent="0.2">
      <c r="A116" s="80" t="str">
        <f t="array" ref="A116">IFERROR(INDEX('Annex 2 EHV charges'!$A$10:$A$108, MATCH(0, IF(ISBLANK('Annex 2 EHV charges'!$A$10:$A$108),1, COUNTIF(A$4:$A115, 'Annex 2 EHV charges'!$A$10:$A$108)), 0)),"")</f>
        <v/>
      </c>
      <c r="B116" s="80" t="str">
        <f>IF($A116="","",VLOOKUP($A116,'Annex 2 EHV charges'!$A:$O,2,0))</f>
        <v/>
      </c>
      <c r="C116" s="81" t="str">
        <f>IF($A116="","",VLOOKUP($A116,'Annex 2 EHV charges'!$A:$O,3,0))</f>
        <v/>
      </c>
      <c r="D116" s="80" t="str">
        <f>IF($A116="","",VLOOKUP($A116,'Annex 2 EHV charges'!$A:$O,7,0))</f>
        <v/>
      </c>
      <c r="E116" s="85" t="str">
        <f>IFERROR(IF(VLOOKUP($A116,'Annex 2 EHV charges'!$A:$O,9,FALSE)=0,"",VLOOKUP($A116,'Annex 2 EHV charges'!$A:$O,9,FALSE)),"")</f>
        <v/>
      </c>
      <c r="F116" s="86" t="str">
        <f>IFERROR(IF(VLOOKUP($A116,'Annex 2 EHV charges'!$A:$O,10,FALSE)=0,"",VLOOKUP($A116,'Annex 2 EHV charges'!$A:$O,10,FALSE)),"")</f>
        <v/>
      </c>
      <c r="G116" s="87" t="str">
        <f>IFERROR(IF(VLOOKUP($A116,'Annex 2 EHV charges'!$A:$O,11,FALSE)=0,"",VLOOKUP($A116,'Annex 2 EHV charges'!$A:$O,11,FALSE)),"")</f>
        <v/>
      </c>
      <c r="H116" s="87" t="str">
        <f>IFERROR(IF(VLOOKUP($A116,'Annex 2 EHV charges'!$A:$O,12,FALSE)=0,"",VLOOKUP($A116,'Annex 2 EHV charges'!$A:$O,12,FALSE)),"")</f>
        <v/>
      </c>
    </row>
    <row r="117" spans="1:8" ht="12.75" customHeight="1" x14ac:dyDescent="0.2">
      <c r="A117" s="80" t="str">
        <f t="array" ref="A117">IFERROR(INDEX('Annex 2 EHV charges'!$A$10:$A$108, MATCH(0, IF(ISBLANK('Annex 2 EHV charges'!$A$10:$A$108),1, COUNTIF(A$4:$A116, 'Annex 2 EHV charges'!$A$10:$A$108)), 0)),"")</f>
        <v/>
      </c>
      <c r="B117" s="80" t="str">
        <f>IF($A117="","",VLOOKUP($A117,'Annex 2 EHV charges'!$A:$O,2,0))</f>
        <v/>
      </c>
      <c r="C117" s="81" t="str">
        <f>IF($A117="","",VLOOKUP($A117,'Annex 2 EHV charges'!$A:$O,3,0))</f>
        <v/>
      </c>
      <c r="D117" s="80" t="str">
        <f>IF($A117="","",VLOOKUP($A117,'Annex 2 EHV charges'!$A:$O,7,0))</f>
        <v/>
      </c>
      <c r="E117" s="85" t="str">
        <f>IFERROR(IF(VLOOKUP($A117,'Annex 2 EHV charges'!$A:$O,9,FALSE)=0,"",VLOOKUP($A117,'Annex 2 EHV charges'!$A:$O,9,FALSE)),"")</f>
        <v/>
      </c>
      <c r="F117" s="86" t="str">
        <f>IFERROR(IF(VLOOKUP($A117,'Annex 2 EHV charges'!$A:$O,10,FALSE)=0,"",VLOOKUP($A117,'Annex 2 EHV charges'!$A:$O,10,FALSE)),"")</f>
        <v/>
      </c>
      <c r="G117" s="87" t="str">
        <f>IFERROR(IF(VLOOKUP($A117,'Annex 2 EHV charges'!$A:$O,11,FALSE)=0,"",VLOOKUP($A117,'Annex 2 EHV charges'!$A:$O,11,FALSE)),"")</f>
        <v/>
      </c>
      <c r="H117" s="87" t="str">
        <f>IFERROR(IF(VLOOKUP($A117,'Annex 2 EHV charges'!$A:$O,12,FALSE)=0,"",VLOOKUP($A117,'Annex 2 EHV charges'!$A:$O,12,FALSE)),"")</f>
        <v/>
      </c>
    </row>
    <row r="118" spans="1:8" ht="12.75" customHeight="1" x14ac:dyDescent="0.2">
      <c r="A118" s="80" t="str">
        <f t="array" ref="A118">IFERROR(INDEX('Annex 2 EHV charges'!$A$10:$A$108, MATCH(0, IF(ISBLANK('Annex 2 EHV charges'!$A$10:$A$108),1, COUNTIF(A$4:$A117, 'Annex 2 EHV charges'!$A$10:$A$108)), 0)),"")</f>
        <v/>
      </c>
      <c r="B118" s="80" t="str">
        <f>IF($A118="","",VLOOKUP($A118,'Annex 2 EHV charges'!$A:$O,2,0))</f>
        <v/>
      </c>
      <c r="C118" s="81" t="str">
        <f>IF($A118="","",VLOOKUP($A118,'Annex 2 EHV charges'!$A:$O,3,0))</f>
        <v/>
      </c>
      <c r="D118" s="80" t="str">
        <f>IF($A118="","",VLOOKUP($A118,'Annex 2 EHV charges'!$A:$O,7,0))</f>
        <v/>
      </c>
      <c r="E118" s="85" t="str">
        <f>IFERROR(IF(VLOOKUP($A118,'Annex 2 EHV charges'!$A:$O,9,FALSE)=0,"",VLOOKUP($A118,'Annex 2 EHV charges'!$A:$O,9,FALSE)),"")</f>
        <v/>
      </c>
      <c r="F118" s="86" t="str">
        <f>IFERROR(IF(VLOOKUP($A118,'Annex 2 EHV charges'!$A:$O,10,FALSE)=0,"",VLOOKUP($A118,'Annex 2 EHV charges'!$A:$O,10,FALSE)),"")</f>
        <v/>
      </c>
      <c r="G118" s="87" t="str">
        <f>IFERROR(IF(VLOOKUP($A118,'Annex 2 EHV charges'!$A:$O,11,FALSE)=0,"",VLOOKUP($A118,'Annex 2 EHV charges'!$A:$O,11,FALSE)),"")</f>
        <v/>
      </c>
      <c r="H118" s="87" t="str">
        <f>IFERROR(IF(VLOOKUP($A118,'Annex 2 EHV charges'!$A:$O,12,FALSE)=0,"",VLOOKUP($A118,'Annex 2 EHV charges'!$A:$O,12,FALSE)),"")</f>
        <v/>
      </c>
    </row>
    <row r="119" spans="1:8" ht="12.75" customHeight="1" x14ac:dyDescent="0.2">
      <c r="A119" s="80" t="str">
        <f t="array" ref="A119">IFERROR(INDEX('Annex 2 EHV charges'!$A$10:$A$108, MATCH(0, IF(ISBLANK('Annex 2 EHV charges'!$A$10:$A$108),1, COUNTIF(A$4:$A118, 'Annex 2 EHV charges'!$A$10:$A$108)), 0)),"")</f>
        <v/>
      </c>
      <c r="B119" s="80" t="str">
        <f>IF($A119="","",VLOOKUP($A119,'Annex 2 EHV charges'!$A:$O,2,0))</f>
        <v/>
      </c>
      <c r="C119" s="81" t="str">
        <f>IF($A119="","",VLOOKUP($A119,'Annex 2 EHV charges'!$A:$O,3,0))</f>
        <v/>
      </c>
      <c r="D119" s="80" t="str">
        <f>IF($A119="","",VLOOKUP($A119,'Annex 2 EHV charges'!$A:$O,7,0))</f>
        <v/>
      </c>
      <c r="E119" s="85" t="str">
        <f>IFERROR(IF(VLOOKUP($A119,'Annex 2 EHV charges'!$A:$O,9,FALSE)=0,"",VLOOKUP($A119,'Annex 2 EHV charges'!$A:$O,9,FALSE)),"")</f>
        <v/>
      </c>
      <c r="F119" s="86" t="str">
        <f>IFERROR(IF(VLOOKUP($A119,'Annex 2 EHV charges'!$A:$O,10,FALSE)=0,"",VLOOKUP($A119,'Annex 2 EHV charges'!$A:$O,10,FALSE)),"")</f>
        <v/>
      </c>
      <c r="G119" s="87" t="str">
        <f>IFERROR(IF(VLOOKUP($A119,'Annex 2 EHV charges'!$A:$O,11,FALSE)=0,"",VLOOKUP($A119,'Annex 2 EHV charges'!$A:$O,11,FALSE)),"")</f>
        <v/>
      </c>
      <c r="H119" s="87" t="str">
        <f>IFERROR(IF(VLOOKUP($A119,'Annex 2 EHV charges'!$A:$O,12,FALSE)=0,"",VLOOKUP($A119,'Annex 2 EHV charges'!$A:$O,12,FALSE)),"")</f>
        <v/>
      </c>
    </row>
    <row r="120" spans="1:8" ht="12.75" customHeight="1" x14ac:dyDescent="0.2">
      <c r="A120" s="80" t="str">
        <f t="array" ref="A120">IFERROR(INDEX('Annex 2 EHV charges'!$A$10:$A$108, MATCH(0, IF(ISBLANK('Annex 2 EHV charges'!$A$10:$A$108),1, COUNTIF(A$4:$A119, 'Annex 2 EHV charges'!$A$10:$A$108)), 0)),"")</f>
        <v/>
      </c>
      <c r="B120" s="80" t="str">
        <f>IF($A120="","",VLOOKUP($A120,'Annex 2 EHV charges'!$A:$O,2,0))</f>
        <v/>
      </c>
      <c r="C120" s="81" t="str">
        <f>IF($A120="","",VLOOKUP($A120,'Annex 2 EHV charges'!$A:$O,3,0))</f>
        <v/>
      </c>
      <c r="D120" s="80" t="str">
        <f>IF($A120="","",VLOOKUP($A120,'Annex 2 EHV charges'!$A:$O,7,0))</f>
        <v/>
      </c>
      <c r="E120" s="85" t="str">
        <f>IFERROR(IF(VLOOKUP($A120,'Annex 2 EHV charges'!$A:$O,9,FALSE)=0,"",VLOOKUP($A120,'Annex 2 EHV charges'!$A:$O,9,FALSE)),"")</f>
        <v/>
      </c>
      <c r="F120" s="86" t="str">
        <f>IFERROR(IF(VLOOKUP($A120,'Annex 2 EHV charges'!$A:$O,10,FALSE)=0,"",VLOOKUP($A120,'Annex 2 EHV charges'!$A:$O,10,FALSE)),"")</f>
        <v/>
      </c>
      <c r="G120" s="87" t="str">
        <f>IFERROR(IF(VLOOKUP($A120,'Annex 2 EHV charges'!$A:$O,11,FALSE)=0,"",VLOOKUP($A120,'Annex 2 EHV charges'!$A:$O,11,FALSE)),"")</f>
        <v/>
      </c>
      <c r="H120" s="87" t="str">
        <f>IFERROR(IF(VLOOKUP($A120,'Annex 2 EHV charges'!$A:$O,12,FALSE)=0,"",VLOOKUP($A120,'Annex 2 EHV charges'!$A:$O,12,FALSE)),"")</f>
        <v/>
      </c>
    </row>
    <row r="121" spans="1:8" ht="12.75" customHeight="1" x14ac:dyDescent="0.2">
      <c r="A121" s="80" t="str">
        <f t="array" ref="A121">IFERROR(INDEX('Annex 2 EHV charges'!$A$10:$A$108, MATCH(0, IF(ISBLANK('Annex 2 EHV charges'!$A$10:$A$108),1, COUNTIF(A$4:$A120, 'Annex 2 EHV charges'!$A$10:$A$108)), 0)),"")</f>
        <v/>
      </c>
      <c r="B121" s="80" t="str">
        <f>IF($A121="","",VLOOKUP($A121,'Annex 2 EHV charges'!$A:$O,2,0))</f>
        <v/>
      </c>
      <c r="C121" s="81" t="str">
        <f>IF($A121="","",VLOOKUP($A121,'Annex 2 EHV charges'!$A:$O,3,0))</f>
        <v/>
      </c>
      <c r="D121" s="80" t="str">
        <f>IF($A121="","",VLOOKUP($A121,'Annex 2 EHV charges'!$A:$O,7,0))</f>
        <v/>
      </c>
      <c r="E121" s="85" t="str">
        <f>IFERROR(IF(VLOOKUP($A121,'Annex 2 EHV charges'!$A:$O,9,FALSE)=0,"",VLOOKUP($A121,'Annex 2 EHV charges'!$A:$O,9,FALSE)),"")</f>
        <v/>
      </c>
      <c r="F121" s="86" t="str">
        <f>IFERROR(IF(VLOOKUP($A121,'Annex 2 EHV charges'!$A:$O,10,FALSE)=0,"",VLOOKUP($A121,'Annex 2 EHV charges'!$A:$O,10,FALSE)),"")</f>
        <v/>
      </c>
      <c r="G121" s="87" t="str">
        <f>IFERROR(IF(VLOOKUP($A121,'Annex 2 EHV charges'!$A:$O,11,FALSE)=0,"",VLOOKUP($A121,'Annex 2 EHV charges'!$A:$O,11,FALSE)),"")</f>
        <v/>
      </c>
      <c r="H121" s="87" t="str">
        <f>IFERROR(IF(VLOOKUP($A121,'Annex 2 EHV charges'!$A:$O,12,FALSE)=0,"",VLOOKUP($A121,'Annex 2 EHV charges'!$A:$O,12,FALSE)),"")</f>
        <v/>
      </c>
    </row>
    <row r="122" spans="1:8" ht="12.75" customHeight="1" x14ac:dyDescent="0.2">
      <c r="A122" s="80" t="str">
        <f t="array" ref="A122">IFERROR(INDEX('Annex 2 EHV charges'!$A$10:$A$108, MATCH(0, IF(ISBLANK('Annex 2 EHV charges'!$A$10:$A$108),1, COUNTIF(A$4:$A121, 'Annex 2 EHV charges'!$A$10:$A$108)), 0)),"")</f>
        <v/>
      </c>
      <c r="B122" s="80" t="str">
        <f>IF($A122="","",VLOOKUP($A122,'Annex 2 EHV charges'!$A:$O,2,0))</f>
        <v/>
      </c>
      <c r="C122" s="81" t="str">
        <f>IF($A122="","",VLOOKUP($A122,'Annex 2 EHV charges'!$A:$O,3,0))</f>
        <v/>
      </c>
      <c r="D122" s="80" t="str">
        <f>IF($A122="","",VLOOKUP($A122,'Annex 2 EHV charges'!$A:$O,7,0))</f>
        <v/>
      </c>
      <c r="E122" s="85" t="str">
        <f>IFERROR(IF(VLOOKUP($A122,'Annex 2 EHV charges'!$A:$O,9,FALSE)=0,"",VLOOKUP($A122,'Annex 2 EHV charges'!$A:$O,9,FALSE)),"")</f>
        <v/>
      </c>
      <c r="F122" s="86" t="str">
        <f>IFERROR(IF(VLOOKUP($A122,'Annex 2 EHV charges'!$A:$O,10,FALSE)=0,"",VLOOKUP($A122,'Annex 2 EHV charges'!$A:$O,10,FALSE)),"")</f>
        <v/>
      </c>
      <c r="G122" s="87" t="str">
        <f>IFERROR(IF(VLOOKUP($A122,'Annex 2 EHV charges'!$A:$O,11,FALSE)=0,"",VLOOKUP($A122,'Annex 2 EHV charges'!$A:$O,11,FALSE)),"")</f>
        <v/>
      </c>
      <c r="H122" s="87" t="str">
        <f>IFERROR(IF(VLOOKUP($A122,'Annex 2 EHV charges'!$A:$O,12,FALSE)=0,"",VLOOKUP($A122,'Annex 2 EHV charges'!$A:$O,12,FALSE)),"")</f>
        <v/>
      </c>
    </row>
    <row r="123" spans="1:8" ht="12.75" customHeight="1" x14ac:dyDescent="0.2">
      <c r="A123" s="80" t="str">
        <f t="array" ref="A123">IFERROR(INDEX('Annex 2 EHV charges'!$A$10:$A$108, MATCH(0, IF(ISBLANK('Annex 2 EHV charges'!$A$10:$A$108),1, COUNTIF(A$4:$A122, 'Annex 2 EHV charges'!$A$10:$A$108)), 0)),"")</f>
        <v/>
      </c>
      <c r="B123" s="80" t="str">
        <f>IF($A123="","",VLOOKUP($A123,'Annex 2 EHV charges'!$A:$O,2,0))</f>
        <v/>
      </c>
      <c r="C123" s="81" t="str">
        <f>IF($A123="","",VLOOKUP($A123,'Annex 2 EHV charges'!$A:$O,3,0))</f>
        <v/>
      </c>
      <c r="D123" s="80" t="str">
        <f>IF($A123="","",VLOOKUP($A123,'Annex 2 EHV charges'!$A:$O,7,0))</f>
        <v/>
      </c>
      <c r="E123" s="85" t="str">
        <f>IFERROR(IF(VLOOKUP($A123,'Annex 2 EHV charges'!$A:$O,9,FALSE)=0,"",VLOOKUP($A123,'Annex 2 EHV charges'!$A:$O,9,FALSE)),"")</f>
        <v/>
      </c>
      <c r="F123" s="86" t="str">
        <f>IFERROR(IF(VLOOKUP($A123,'Annex 2 EHV charges'!$A:$O,10,FALSE)=0,"",VLOOKUP($A123,'Annex 2 EHV charges'!$A:$O,10,FALSE)),"")</f>
        <v/>
      </c>
      <c r="G123" s="87" t="str">
        <f>IFERROR(IF(VLOOKUP($A123,'Annex 2 EHV charges'!$A:$O,11,FALSE)=0,"",VLOOKUP($A123,'Annex 2 EHV charges'!$A:$O,11,FALSE)),"")</f>
        <v/>
      </c>
      <c r="H123" s="87" t="str">
        <f>IFERROR(IF(VLOOKUP($A123,'Annex 2 EHV charges'!$A:$O,12,FALSE)=0,"",VLOOKUP($A123,'Annex 2 EHV charges'!$A:$O,12,FALSE)),"")</f>
        <v/>
      </c>
    </row>
    <row r="124" spans="1:8" ht="12.75" customHeight="1" x14ac:dyDescent="0.2">
      <c r="A124" s="80" t="str">
        <f t="array" ref="A124">IFERROR(INDEX('Annex 2 EHV charges'!$A$10:$A$108, MATCH(0, IF(ISBLANK('Annex 2 EHV charges'!$A$10:$A$108),1, COUNTIF(A$4:$A123, 'Annex 2 EHV charges'!$A$10:$A$108)), 0)),"")</f>
        <v/>
      </c>
      <c r="B124" s="80" t="str">
        <f>IF($A124="","",VLOOKUP($A124,'Annex 2 EHV charges'!$A:$O,2,0))</f>
        <v/>
      </c>
      <c r="C124" s="81" t="str">
        <f>IF($A124="","",VLOOKUP($A124,'Annex 2 EHV charges'!$A:$O,3,0))</f>
        <v/>
      </c>
      <c r="D124" s="80" t="str">
        <f>IF($A124="","",VLOOKUP($A124,'Annex 2 EHV charges'!$A:$O,7,0))</f>
        <v/>
      </c>
      <c r="E124" s="85" t="str">
        <f>IFERROR(IF(VLOOKUP($A124,'Annex 2 EHV charges'!$A:$O,9,FALSE)=0,"",VLOOKUP($A124,'Annex 2 EHV charges'!$A:$O,9,FALSE)),"")</f>
        <v/>
      </c>
      <c r="F124" s="86" t="str">
        <f>IFERROR(IF(VLOOKUP($A124,'Annex 2 EHV charges'!$A:$O,10,FALSE)=0,"",VLOOKUP($A124,'Annex 2 EHV charges'!$A:$O,10,FALSE)),"")</f>
        <v/>
      </c>
      <c r="G124" s="87" t="str">
        <f>IFERROR(IF(VLOOKUP($A124,'Annex 2 EHV charges'!$A:$O,11,FALSE)=0,"",VLOOKUP($A124,'Annex 2 EHV charges'!$A:$O,11,FALSE)),"")</f>
        <v/>
      </c>
      <c r="H124" s="87" t="str">
        <f>IFERROR(IF(VLOOKUP($A124,'Annex 2 EHV charges'!$A:$O,12,FALSE)=0,"",VLOOKUP($A124,'Annex 2 EHV charges'!$A:$O,12,FALSE)),"")</f>
        <v/>
      </c>
    </row>
    <row r="125" spans="1:8" ht="12.75" customHeight="1" x14ac:dyDescent="0.2">
      <c r="A125" s="80" t="str">
        <f t="array" ref="A125">IFERROR(INDEX('Annex 2 EHV charges'!$A$10:$A$108, MATCH(0, IF(ISBLANK('Annex 2 EHV charges'!$A$10:$A$108),1, COUNTIF(A$4:$A124, 'Annex 2 EHV charges'!$A$10:$A$108)), 0)),"")</f>
        <v/>
      </c>
      <c r="B125" s="80" t="str">
        <f>IF($A125="","",VLOOKUP($A125,'Annex 2 EHV charges'!$A:$O,2,0))</f>
        <v/>
      </c>
      <c r="C125" s="81" t="str">
        <f>IF($A125="","",VLOOKUP($A125,'Annex 2 EHV charges'!$A:$O,3,0))</f>
        <v/>
      </c>
      <c r="D125" s="80" t="str">
        <f>IF($A125="","",VLOOKUP($A125,'Annex 2 EHV charges'!$A:$O,7,0))</f>
        <v/>
      </c>
      <c r="E125" s="85" t="str">
        <f>IFERROR(IF(VLOOKUP($A125,'Annex 2 EHV charges'!$A:$O,9,FALSE)=0,"",VLOOKUP($A125,'Annex 2 EHV charges'!$A:$O,9,FALSE)),"")</f>
        <v/>
      </c>
      <c r="F125" s="86" t="str">
        <f>IFERROR(IF(VLOOKUP($A125,'Annex 2 EHV charges'!$A:$O,10,FALSE)=0,"",VLOOKUP($A125,'Annex 2 EHV charges'!$A:$O,10,FALSE)),"")</f>
        <v/>
      </c>
      <c r="G125" s="87" t="str">
        <f>IFERROR(IF(VLOOKUP($A125,'Annex 2 EHV charges'!$A:$O,11,FALSE)=0,"",VLOOKUP($A125,'Annex 2 EHV charges'!$A:$O,11,FALSE)),"")</f>
        <v/>
      </c>
      <c r="H125" s="87" t="str">
        <f>IFERROR(IF(VLOOKUP($A125,'Annex 2 EHV charges'!$A:$O,12,FALSE)=0,"",VLOOKUP($A125,'Annex 2 EHV charges'!$A:$O,12,FALSE)),"")</f>
        <v/>
      </c>
    </row>
    <row r="126" spans="1:8" ht="12.75" customHeight="1" x14ac:dyDescent="0.2">
      <c r="A126" s="80" t="str">
        <f t="array" ref="A126">IFERROR(INDEX('Annex 2 EHV charges'!$A$10:$A$108, MATCH(0, IF(ISBLANK('Annex 2 EHV charges'!$A$10:$A$108),1, COUNTIF(A$4:$A125, 'Annex 2 EHV charges'!$A$10:$A$108)), 0)),"")</f>
        <v/>
      </c>
      <c r="B126" s="80" t="str">
        <f>IF($A126="","",VLOOKUP($A126,'Annex 2 EHV charges'!$A:$O,2,0))</f>
        <v/>
      </c>
      <c r="C126" s="81" t="str">
        <f>IF($A126="","",VLOOKUP($A126,'Annex 2 EHV charges'!$A:$O,3,0))</f>
        <v/>
      </c>
      <c r="D126" s="80" t="str">
        <f>IF($A126="","",VLOOKUP($A126,'Annex 2 EHV charges'!$A:$O,7,0))</f>
        <v/>
      </c>
      <c r="E126" s="85" t="str">
        <f>IFERROR(IF(VLOOKUP($A126,'Annex 2 EHV charges'!$A:$O,9,FALSE)=0,"",VLOOKUP($A126,'Annex 2 EHV charges'!$A:$O,9,FALSE)),"")</f>
        <v/>
      </c>
      <c r="F126" s="86" t="str">
        <f>IFERROR(IF(VLOOKUP($A126,'Annex 2 EHV charges'!$A:$O,10,FALSE)=0,"",VLOOKUP($A126,'Annex 2 EHV charges'!$A:$O,10,FALSE)),"")</f>
        <v/>
      </c>
      <c r="G126" s="87" t="str">
        <f>IFERROR(IF(VLOOKUP($A126,'Annex 2 EHV charges'!$A:$O,11,FALSE)=0,"",VLOOKUP($A126,'Annex 2 EHV charges'!$A:$O,11,FALSE)),"")</f>
        <v/>
      </c>
      <c r="H126" s="87" t="str">
        <f>IFERROR(IF(VLOOKUP($A126,'Annex 2 EHV charges'!$A:$O,12,FALSE)=0,"",VLOOKUP($A126,'Annex 2 EHV charges'!$A:$O,12,FALSE)),"")</f>
        <v/>
      </c>
    </row>
    <row r="127" spans="1:8" ht="12.75" customHeight="1" x14ac:dyDescent="0.2">
      <c r="A127" s="80" t="str">
        <f t="array" ref="A127">IFERROR(INDEX('Annex 2 EHV charges'!$A$10:$A$108, MATCH(0, IF(ISBLANK('Annex 2 EHV charges'!$A$10:$A$108),1, COUNTIF(A$4:$A126, 'Annex 2 EHV charges'!$A$10:$A$108)), 0)),"")</f>
        <v/>
      </c>
      <c r="B127" s="80" t="str">
        <f>IF($A127="","",VLOOKUP($A127,'Annex 2 EHV charges'!$A:$O,2,0))</f>
        <v/>
      </c>
      <c r="C127" s="81" t="str">
        <f>IF($A127="","",VLOOKUP($A127,'Annex 2 EHV charges'!$A:$O,3,0))</f>
        <v/>
      </c>
      <c r="D127" s="80" t="str">
        <f>IF($A127="","",VLOOKUP($A127,'Annex 2 EHV charges'!$A:$O,7,0))</f>
        <v/>
      </c>
      <c r="E127" s="85" t="str">
        <f>IFERROR(IF(VLOOKUP($A127,'Annex 2 EHV charges'!$A:$O,9,FALSE)=0,"",VLOOKUP($A127,'Annex 2 EHV charges'!$A:$O,9,FALSE)),"")</f>
        <v/>
      </c>
      <c r="F127" s="86" t="str">
        <f>IFERROR(IF(VLOOKUP($A127,'Annex 2 EHV charges'!$A:$O,10,FALSE)=0,"",VLOOKUP($A127,'Annex 2 EHV charges'!$A:$O,10,FALSE)),"")</f>
        <v/>
      </c>
      <c r="G127" s="87" t="str">
        <f>IFERROR(IF(VLOOKUP($A127,'Annex 2 EHV charges'!$A:$O,11,FALSE)=0,"",VLOOKUP($A127,'Annex 2 EHV charges'!$A:$O,11,FALSE)),"")</f>
        <v/>
      </c>
      <c r="H127" s="87" t="str">
        <f>IFERROR(IF(VLOOKUP($A127,'Annex 2 EHV charges'!$A:$O,12,FALSE)=0,"",VLOOKUP($A127,'Annex 2 EHV charges'!$A:$O,12,FALSE)),"")</f>
        <v/>
      </c>
    </row>
    <row r="128" spans="1:8" ht="12.75" customHeight="1" x14ac:dyDescent="0.2">
      <c r="A128" s="80" t="str">
        <f t="array" ref="A128">IFERROR(INDEX('Annex 2 EHV charges'!$A$10:$A$108, MATCH(0, IF(ISBLANK('Annex 2 EHV charges'!$A$10:$A$108),1, COUNTIF(A$4:$A127, 'Annex 2 EHV charges'!$A$10:$A$108)), 0)),"")</f>
        <v/>
      </c>
      <c r="B128" s="80" t="str">
        <f>IF($A128="","",VLOOKUP($A128,'Annex 2 EHV charges'!$A:$O,2,0))</f>
        <v/>
      </c>
      <c r="C128" s="81" t="str">
        <f>IF($A128="","",VLOOKUP($A128,'Annex 2 EHV charges'!$A:$O,3,0))</f>
        <v/>
      </c>
      <c r="D128" s="80" t="str">
        <f>IF($A128="","",VLOOKUP($A128,'Annex 2 EHV charges'!$A:$O,7,0))</f>
        <v/>
      </c>
      <c r="E128" s="85" t="str">
        <f>IFERROR(IF(VLOOKUP($A128,'Annex 2 EHV charges'!$A:$O,9,FALSE)=0,"",VLOOKUP($A128,'Annex 2 EHV charges'!$A:$O,9,FALSE)),"")</f>
        <v/>
      </c>
      <c r="F128" s="86" t="str">
        <f>IFERROR(IF(VLOOKUP($A128,'Annex 2 EHV charges'!$A:$O,10,FALSE)=0,"",VLOOKUP($A128,'Annex 2 EHV charges'!$A:$O,10,FALSE)),"")</f>
        <v/>
      </c>
      <c r="G128" s="87" t="str">
        <f>IFERROR(IF(VLOOKUP($A128,'Annex 2 EHV charges'!$A:$O,11,FALSE)=0,"",VLOOKUP($A128,'Annex 2 EHV charges'!$A:$O,11,FALSE)),"")</f>
        <v/>
      </c>
      <c r="H128" s="87" t="str">
        <f>IFERROR(IF(VLOOKUP($A128,'Annex 2 EHV charges'!$A:$O,12,FALSE)=0,"",VLOOKUP($A128,'Annex 2 EHV charges'!$A:$O,12,FALSE)),"")</f>
        <v/>
      </c>
    </row>
    <row r="129" spans="1:8" ht="12.75" customHeight="1" x14ac:dyDescent="0.2">
      <c r="A129" s="80" t="str">
        <f t="array" ref="A129">IFERROR(INDEX('Annex 2 EHV charges'!$A$10:$A$108, MATCH(0, IF(ISBLANK('Annex 2 EHV charges'!$A$10:$A$108),1, COUNTIF(A$4:$A128, 'Annex 2 EHV charges'!$A$10:$A$108)), 0)),"")</f>
        <v/>
      </c>
      <c r="B129" s="80" t="str">
        <f>IF($A129="","",VLOOKUP($A129,'Annex 2 EHV charges'!$A:$O,2,0))</f>
        <v/>
      </c>
      <c r="C129" s="81" t="str">
        <f>IF($A129="","",VLOOKUP($A129,'Annex 2 EHV charges'!$A:$O,3,0))</f>
        <v/>
      </c>
      <c r="D129" s="80" t="str">
        <f>IF($A129="","",VLOOKUP($A129,'Annex 2 EHV charges'!$A:$O,7,0))</f>
        <v/>
      </c>
      <c r="E129" s="85" t="str">
        <f>IFERROR(IF(VLOOKUP($A129,'Annex 2 EHV charges'!$A:$O,9,FALSE)=0,"",VLOOKUP($A129,'Annex 2 EHV charges'!$A:$O,9,FALSE)),"")</f>
        <v/>
      </c>
      <c r="F129" s="86" t="str">
        <f>IFERROR(IF(VLOOKUP($A129,'Annex 2 EHV charges'!$A:$O,10,FALSE)=0,"",VLOOKUP($A129,'Annex 2 EHV charges'!$A:$O,10,FALSE)),"")</f>
        <v/>
      </c>
      <c r="G129" s="87" t="str">
        <f>IFERROR(IF(VLOOKUP($A129,'Annex 2 EHV charges'!$A:$O,11,FALSE)=0,"",VLOOKUP($A129,'Annex 2 EHV charges'!$A:$O,11,FALSE)),"")</f>
        <v/>
      </c>
      <c r="H129" s="87" t="str">
        <f>IFERROR(IF(VLOOKUP($A129,'Annex 2 EHV charges'!$A:$O,12,FALSE)=0,"",VLOOKUP($A129,'Annex 2 EHV charges'!$A:$O,12,FALSE)),"")</f>
        <v/>
      </c>
    </row>
    <row r="130" spans="1:8" ht="12.75" customHeight="1" x14ac:dyDescent="0.2">
      <c r="A130" s="80" t="str">
        <f t="array" ref="A130">IFERROR(INDEX('Annex 2 EHV charges'!$A$10:$A$108, MATCH(0, IF(ISBLANK('Annex 2 EHV charges'!$A$10:$A$108),1, COUNTIF(A$4:$A129, 'Annex 2 EHV charges'!$A$10:$A$108)), 0)),"")</f>
        <v/>
      </c>
      <c r="B130" s="80" t="str">
        <f>IF($A130="","",VLOOKUP($A130,'Annex 2 EHV charges'!$A:$O,2,0))</f>
        <v/>
      </c>
      <c r="C130" s="81" t="str">
        <f>IF($A130="","",VLOOKUP($A130,'Annex 2 EHV charges'!$A:$O,3,0))</f>
        <v/>
      </c>
      <c r="D130" s="80" t="str">
        <f>IF($A130="","",VLOOKUP($A130,'Annex 2 EHV charges'!$A:$O,7,0))</f>
        <v/>
      </c>
      <c r="E130" s="85" t="str">
        <f>IFERROR(IF(VLOOKUP($A130,'Annex 2 EHV charges'!$A:$O,9,FALSE)=0,"",VLOOKUP($A130,'Annex 2 EHV charges'!$A:$O,9,FALSE)),"")</f>
        <v/>
      </c>
      <c r="F130" s="86" t="str">
        <f>IFERROR(IF(VLOOKUP($A130,'Annex 2 EHV charges'!$A:$O,10,FALSE)=0,"",VLOOKUP($A130,'Annex 2 EHV charges'!$A:$O,10,FALSE)),"")</f>
        <v/>
      </c>
      <c r="G130" s="87" t="str">
        <f>IFERROR(IF(VLOOKUP($A130,'Annex 2 EHV charges'!$A:$O,11,FALSE)=0,"",VLOOKUP($A130,'Annex 2 EHV charges'!$A:$O,11,FALSE)),"")</f>
        <v/>
      </c>
      <c r="H130" s="87" t="str">
        <f>IFERROR(IF(VLOOKUP($A130,'Annex 2 EHV charges'!$A:$O,12,FALSE)=0,"",VLOOKUP($A130,'Annex 2 EHV charges'!$A:$O,12,FALSE)),"")</f>
        <v/>
      </c>
    </row>
    <row r="131" spans="1:8" ht="12.75" customHeight="1" x14ac:dyDescent="0.2">
      <c r="A131" s="80" t="str">
        <f t="array" ref="A131">IFERROR(INDEX('Annex 2 EHV charges'!$A$10:$A$108, MATCH(0, IF(ISBLANK('Annex 2 EHV charges'!$A$10:$A$108),1, COUNTIF(A$4:$A130, 'Annex 2 EHV charges'!$A$10:$A$108)), 0)),"")</f>
        <v/>
      </c>
      <c r="B131" s="80" t="str">
        <f>IF($A131="","",VLOOKUP($A131,'Annex 2 EHV charges'!$A:$O,2,0))</f>
        <v/>
      </c>
      <c r="C131" s="81" t="str">
        <f>IF($A131="","",VLOOKUP($A131,'Annex 2 EHV charges'!$A:$O,3,0))</f>
        <v/>
      </c>
      <c r="D131" s="80" t="str">
        <f>IF($A131="","",VLOOKUP($A131,'Annex 2 EHV charges'!$A:$O,7,0))</f>
        <v/>
      </c>
      <c r="E131" s="85" t="str">
        <f>IFERROR(IF(VLOOKUP($A131,'Annex 2 EHV charges'!$A:$O,9,FALSE)=0,"",VLOOKUP($A131,'Annex 2 EHV charges'!$A:$O,9,FALSE)),"")</f>
        <v/>
      </c>
      <c r="F131" s="86" t="str">
        <f>IFERROR(IF(VLOOKUP($A131,'Annex 2 EHV charges'!$A:$O,10,FALSE)=0,"",VLOOKUP($A131,'Annex 2 EHV charges'!$A:$O,10,FALSE)),"")</f>
        <v/>
      </c>
      <c r="G131" s="87" t="str">
        <f>IFERROR(IF(VLOOKUP($A131,'Annex 2 EHV charges'!$A:$O,11,FALSE)=0,"",VLOOKUP($A131,'Annex 2 EHV charges'!$A:$O,11,FALSE)),"")</f>
        <v/>
      </c>
      <c r="H131" s="87" t="str">
        <f>IFERROR(IF(VLOOKUP($A131,'Annex 2 EHV charges'!$A:$O,12,FALSE)=0,"",VLOOKUP($A131,'Annex 2 EHV charges'!$A:$O,12,FALSE)),"")</f>
        <v/>
      </c>
    </row>
    <row r="132" spans="1:8" ht="12.75" customHeight="1" x14ac:dyDescent="0.2">
      <c r="A132" s="80" t="str">
        <f t="array" ref="A132">IFERROR(INDEX('Annex 2 EHV charges'!$A$10:$A$108, MATCH(0, IF(ISBLANK('Annex 2 EHV charges'!$A$10:$A$108),1, COUNTIF(A$4:$A131, 'Annex 2 EHV charges'!$A$10:$A$108)), 0)),"")</f>
        <v/>
      </c>
      <c r="B132" s="80" t="str">
        <f>IF($A132="","",VLOOKUP($A132,'Annex 2 EHV charges'!$A:$O,2,0))</f>
        <v/>
      </c>
      <c r="C132" s="81" t="str">
        <f>IF($A132="","",VLOOKUP($A132,'Annex 2 EHV charges'!$A:$O,3,0))</f>
        <v/>
      </c>
      <c r="D132" s="80" t="str">
        <f>IF($A132="","",VLOOKUP($A132,'Annex 2 EHV charges'!$A:$O,7,0))</f>
        <v/>
      </c>
      <c r="E132" s="85" t="str">
        <f>IFERROR(IF(VLOOKUP($A132,'Annex 2 EHV charges'!$A:$O,9,FALSE)=0,"",VLOOKUP($A132,'Annex 2 EHV charges'!$A:$O,9,FALSE)),"")</f>
        <v/>
      </c>
      <c r="F132" s="86" t="str">
        <f>IFERROR(IF(VLOOKUP($A132,'Annex 2 EHV charges'!$A:$O,10,FALSE)=0,"",VLOOKUP($A132,'Annex 2 EHV charges'!$A:$O,10,FALSE)),"")</f>
        <v/>
      </c>
      <c r="G132" s="87" t="str">
        <f>IFERROR(IF(VLOOKUP($A132,'Annex 2 EHV charges'!$A:$O,11,FALSE)=0,"",VLOOKUP($A132,'Annex 2 EHV charges'!$A:$O,11,FALSE)),"")</f>
        <v/>
      </c>
      <c r="H132" s="87" t="str">
        <f>IFERROR(IF(VLOOKUP($A132,'Annex 2 EHV charges'!$A:$O,12,FALSE)=0,"",VLOOKUP($A132,'Annex 2 EHV charges'!$A:$O,12,FALSE)),"")</f>
        <v/>
      </c>
    </row>
    <row r="133" spans="1:8" ht="12.75" customHeight="1" x14ac:dyDescent="0.2">
      <c r="A133" s="80" t="str">
        <f t="array" ref="A133">IFERROR(INDEX('Annex 2 EHV charges'!$A$10:$A$108, MATCH(0, IF(ISBLANK('Annex 2 EHV charges'!$A$10:$A$108),1, COUNTIF(A$4:$A132, 'Annex 2 EHV charges'!$A$10:$A$108)), 0)),"")</f>
        <v/>
      </c>
      <c r="B133" s="80" t="str">
        <f>IF($A133="","",VLOOKUP($A133,'Annex 2 EHV charges'!$A:$O,2,0))</f>
        <v/>
      </c>
      <c r="C133" s="81" t="str">
        <f>IF($A133="","",VLOOKUP($A133,'Annex 2 EHV charges'!$A:$O,3,0))</f>
        <v/>
      </c>
      <c r="D133" s="80" t="str">
        <f>IF($A133="","",VLOOKUP($A133,'Annex 2 EHV charges'!$A:$O,7,0))</f>
        <v/>
      </c>
      <c r="E133" s="85" t="str">
        <f>IFERROR(IF(VLOOKUP($A133,'Annex 2 EHV charges'!$A:$O,9,FALSE)=0,"",VLOOKUP($A133,'Annex 2 EHV charges'!$A:$O,9,FALSE)),"")</f>
        <v/>
      </c>
      <c r="F133" s="86" t="str">
        <f>IFERROR(IF(VLOOKUP($A133,'Annex 2 EHV charges'!$A:$O,10,FALSE)=0,"",VLOOKUP($A133,'Annex 2 EHV charges'!$A:$O,10,FALSE)),"")</f>
        <v/>
      </c>
      <c r="G133" s="87" t="str">
        <f>IFERROR(IF(VLOOKUP($A133,'Annex 2 EHV charges'!$A:$O,11,FALSE)=0,"",VLOOKUP($A133,'Annex 2 EHV charges'!$A:$O,11,FALSE)),"")</f>
        <v/>
      </c>
      <c r="H133" s="87" t="str">
        <f>IFERROR(IF(VLOOKUP($A133,'Annex 2 EHV charges'!$A:$O,12,FALSE)=0,"",VLOOKUP($A133,'Annex 2 EHV charges'!$A:$O,12,FALSE)),"")</f>
        <v/>
      </c>
    </row>
    <row r="134" spans="1:8" ht="12.75" customHeight="1" x14ac:dyDescent="0.2">
      <c r="A134" s="80" t="str">
        <f t="array" ref="A134">IFERROR(INDEX('Annex 2 EHV charges'!$A$10:$A$108, MATCH(0, IF(ISBLANK('Annex 2 EHV charges'!$A$10:$A$108),1, COUNTIF(A$4:$A133, 'Annex 2 EHV charges'!$A$10:$A$108)), 0)),"")</f>
        <v/>
      </c>
      <c r="B134" s="80" t="str">
        <f>IF($A134="","",VLOOKUP($A134,'Annex 2 EHV charges'!$A:$O,2,0))</f>
        <v/>
      </c>
      <c r="C134" s="81" t="str">
        <f>IF($A134="","",VLOOKUP($A134,'Annex 2 EHV charges'!$A:$O,3,0))</f>
        <v/>
      </c>
      <c r="D134" s="80" t="str">
        <f>IF($A134="","",VLOOKUP($A134,'Annex 2 EHV charges'!$A:$O,7,0))</f>
        <v/>
      </c>
      <c r="E134" s="85" t="str">
        <f>IFERROR(IF(VLOOKUP($A134,'Annex 2 EHV charges'!$A:$O,9,FALSE)=0,"",VLOOKUP($A134,'Annex 2 EHV charges'!$A:$O,9,FALSE)),"")</f>
        <v/>
      </c>
      <c r="F134" s="86" t="str">
        <f>IFERROR(IF(VLOOKUP($A134,'Annex 2 EHV charges'!$A:$O,10,FALSE)=0,"",VLOOKUP($A134,'Annex 2 EHV charges'!$A:$O,10,FALSE)),"")</f>
        <v/>
      </c>
      <c r="G134" s="87" t="str">
        <f>IFERROR(IF(VLOOKUP($A134,'Annex 2 EHV charges'!$A:$O,11,FALSE)=0,"",VLOOKUP($A134,'Annex 2 EHV charges'!$A:$O,11,FALSE)),"")</f>
        <v/>
      </c>
      <c r="H134" s="87" t="str">
        <f>IFERROR(IF(VLOOKUP($A134,'Annex 2 EHV charges'!$A:$O,12,FALSE)=0,"",VLOOKUP($A134,'Annex 2 EHV charges'!$A:$O,12,FALSE)),"")</f>
        <v/>
      </c>
    </row>
    <row r="135" spans="1:8" ht="12.75" customHeight="1" x14ac:dyDescent="0.2">
      <c r="A135" s="80" t="str">
        <f t="array" ref="A135">IFERROR(INDEX('Annex 2 EHV charges'!$A$10:$A$108, MATCH(0, IF(ISBLANK('Annex 2 EHV charges'!$A$10:$A$108),1, COUNTIF(A$4:$A134, 'Annex 2 EHV charges'!$A$10:$A$108)), 0)),"")</f>
        <v/>
      </c>
      <c r="B135" s="80" t="str">
        <f>IF($A135="","",VLOOKUP($A135,'Annex 2 EHV charges'!$A:$O,2,0))</f>
        <v/>
      </c>
      <c r="C135" s="81" t="str">
        <f>IF($A135="","",VLOOKUP($A135,'Annex 2 EHV charges'!$A:$O,3,0))</f>
        <v/>
      </c>
      <c r="D135" s="80" t="str">
        <f>IF($A135="","",VLOOKUP($A135,'Annex 2 EHV charges'!$A:$O,7,0))</f>
        <v/>
      </c>
      <c r="E135" s="85" t="str">
        <f>IFERROR(IF(VLOOKUP($A135,'Annex 2 EHV charges'!$A:$O,9,FALSE)=0,"",VLOOKUP($A135,'Annex 2 EHV charges'!$A:$O,9,FALSE)),"")</f>
        <v/>
      </c>
      <c r="F135" s="86" t="str">
        <f>IFERROR(IF(VLOOKUP($A135,'Annex 2 EHV charges'!$A:$O,10,FALSE)=0,"",VLOOKUP($A135,'Annex 2 EHV charges'!$A:$O,10,FALSE)),"")</f>
        <v/>
      </c>
      <c r="G135" s="87" t="str">
        <f>IFERROR(IF(VLOOKUP($A135,'Annex 2 EHV charges'!$A:$O,11,FALSE)=0,"",VLOOKUP($A135,'Annex 2 EHV charges'!$A:$O,11,FALSE)),"")</f>
        <v/>
      </c>
      <c r="H135" s="87" t="str">
        <f>IFERROR(IF(VLOOKUP($A135,'Annex 2 EHV charges'!$A:$O,12,FALSE)=0,"",VLOOKUP($A135,'Annex 2 EHV charges'!$A:$O,12,FALSE)),"")</f>
        <v/>
      </c>
    </row>
    <row r="136" spans="1:8" ht="12.75" customHeight="1" x14ac:dyDescent="0.2">
      <c r="A136" s="80" t="str">
        <f t="array" ref="A136">IFERROR(INDEX('Annex 2 EHV charges'!$A$10:$A$108, MATCH(0, IF(ISBLANK('Annex 2 EHV charges'!$A$10:$A$108),1, COUNTIF(A$4:$A135, 'Annex 2 EHV charges'!$A$10:$A$108)), 0)),"")</f>
        <v/>
      </c>
      <c r="B136" s="80" t="str">
        <f>IF($A136="","",VLOOKUP($A136,'Annex 2 EHV charges'!$A:$O,2,0))</f>
        <v/>
      </c>
      <c r="C136" s="81" t="str">
        <f>IF($A136="","",VLOOKUP($A136,'Annex 2 EHV charges'!$A:$O,3,0))</f>
        <v/>
      </c>
      <c r="D136" s="80" t="str">
        <f>IF($A136="","",VLOOKUP($A136,'Annex 2 EHV charges'!$A:$O,7,0))</f>
        <v/>
      </c>
      <c r="E136" s="85" t="str">
        <f>IFERROR(IF(VLOOKUP($A136,'Annex 2 EHV charges'!$A:$O,9,FALSE)=0,"",VLOOKUP($A136,'Annex 2 EHV charges'!$A:$O,9,FALSE)),"")</f>
        <v/>
      </c>
      <c r="F136" s="86" t="str">
        <f>IFERROR(IF(VLOOKUP($A136,'Annex 2 EHV charges'!$A:$O,10,FALSE)=0,"",VLOOKUP($A136,'Annex 2 EHV charges'!$A:$O,10,FALSE)),"")</f>
        <v/>
      </c>
      <c r="G136" s="87" t="str">
        <f>IFERROR(IF(VLOOKUP($A136,'Annex 2 EHV charges'!$A:$O,11,FALSE)=0,"",VLOOKUP($A136,'Annex 2 EHV charges'!$A:$O,11,FALSE)),"")</f>
        <v/>
      </c>
      <c r="H136" s="87" t="str">
        <f>IFERROR(IF(VLOOKUP($A136,'Annex 2 EHV charges'!$A:$O,12,FALSE)=0,"",VLOOKUP($A136,'Annex 2 EHV charges'!$A:$O,12,FALSE)),"")</f>
        <v/>
      </c>
    </row>
    <row r="137" spans="1:8" ht="12.75" customHeight="1" x14ac:dyDescent="0.2">
      <c r="A137" s="80" t="str">
        <f t="array" ref="A137">IFERROR(INDEX('Annex 2 EHV charges'!$A$10:$A$108, MATCH(0, IF(ISBLANK('Annex 2 EHV charges'!$A$10:$A$108),1, COUNTIF(A$4:$A136, 'Annex 2 EHV charges'!$A$10:$A$108)), 0)),"")</f>
        <v/>
      </c>
      <c r="B137" s="80" t="str">
        <f>IF($A137="","",VLOOKUP($A137,'Annex 2 EHV charges'!$A:$O,2,0))</f>
        <v/>
      </c>
      <c r="C137" s="81" t="str">
        <f>IF($A137="","",VLOOKUP($A137,'Annex 2 EHV charges'!$A:$O,3,0))</f>
        <v/>
      </c>
      <c r="D137" s="80" t="str">
        <f>IF($A137="","",VLOOKUP($A137,'Annex 2 EHV charges'!$A:$O,7,0))</f>
        <v/>
      </c>
      <c r="E137" s="85" t="str">
        <f>IFERROR(IF(VLOOKUP($A137,'Annex 2 EHV charges'!$A:$O,9,FALSE)=0,"",VLOOKUP($A137,'Annex 2 EHV charges'!$A:$O,9,FALSE)),"")</f>
        <v/>
      </c>
      <c r="F137" s="86" t="str">
        <f>IFERROR(IF(VLOOKUP($A137,'Annex 2 EHV charges'!$A:$O,10,FALSE)=0,"",VLOOKUP($A137,'Annex 2 EHV charges'!$A:$O,10,FALSE)),"")</f>
        <v/>
      </c>
      <c r="G137" s="87" t="str">
        <f>IFERROR(IF(VLOOKUP($A137,'Annex 2 EHV charges'!$A:$O,11,FALSE)=0,"",VLOOKUP($A137,'Annex 2 EHV charges'!$A:$O,11,FALSE)),"")</f>
        <v/>
      </c>
      <c r="H137" s="87" t="str">
        <f>IFERROR(IF(VLOOKUP($A137,'Annex 2 EHV charges'!$A:$O,12,FALSE)=0,"",VLOOKUP($A137,'Annex 2 EHV charges'!$A:$O,12,FALSE)),"")</f>
        <v/>
      </c>
    </row>
    <row r="138" spans="1:8" ht="12.75" customHeight="1" x14ac:dyDescent="0.2">
      <c r="A138" s="80" t="str">
        <f t="array" ref="A138">IFERROR(INDEX('Annex 2 EHV charges'!$A$10:$A$108, MATCH(0, IF(ISBLANK('Annex 2 EHV charges'!$A$10:$A$108),1, COUNTIF(A$4:$A137, 'Annex 2 EHV charges'!$A$10:$A$108)), 0)),"")</f>
        <v/>
      </c>
      <c r="B138" s="80" t="str">
        <f>IF($A138="","",VLOOKUP($A138,'Annex 2 EHV charges'!$A:$O,2,0))</f>
        <v/>
      </c>
      <c r="C138" s="81" t="str">
        <f>IF($A138="","",VLOOKUP($A138,'Annex 2 EHV charges'!$A:$O,3,0))</f>
        <v/>
      </c>
      <c r="D138" s="80" t="str">
        <f>IF($A138="","",VLOOKUP($A138,'Annex 2 EHV charges'!$A:$O,7,0))</f>
        <v/>
      </c>
      <c r="E138" s="85" t="str">
        <f>IFERROR(IF(VLOOKUP($A138,'Annex 2 EHV charges'!$A:$O,9,FALSE)=0,"",VLOOKUP($A138,'Annex 2 EHV charges'!$A:$O,9,FALSE)),"")</f>
        <v/>
      </c>
      <c r="F138" s="86" t="str">
        <f>IFERROR(IF(VLOOKUP($A138,'Annex 2 EHV charges'!$A:$O,10,FALSE)=0,"",VLOOKUP($A138,'Annex 2 EHV charges'!$A:$O,10,FALSE)),"")</f>
        <v/>
      </c>
      <c r="G138" s="87" t="str">
        <f>IFERROR(IF(VLOOKUP($A138,'Annex 2 EHV charges'!$A:$O,11,FALSE)=0,"",VLOOKUP($A138,'Annex 2 EHV charges'!$A:$O,11,FALSE)),"")</f>
        <v/>
      </c>
      <c r="H138" s="87" t="str">
        <f>IFERROR(IF(VLOOKUP($A138,'Annex 2 EHV charges'!$A:$O,12,FALSE)=0,"",VLOOKUP($A138,'Annex 2 EHV charges'!$A:$O,12,FALSE)),"")</f>
        <v/>
      </c>
    </row>
    <row r="139" spans="1:8" ht="12.75" customHeight="1" x14ac:dyDescent="0.2">
      <c r="A139" s="80" t="str">
        <f t="array" ref="A139">IFERROR(INDEX('Annex 2 EHV charges'!$A$10:$A$108, MATCH(0, IF(ISBLANK('Annex 2 EHV charges'!$A$10:$A$108),1, COUNTIF(A$4:$A138, 'Annex 2 EHV charges'!$A$10:$A$108)), 0)),"")</f>
        <v/>
      </c>
      <c r="B139" s="80" t="str">
        <f>IF($A139="","",VLOOKUP($A139,'Annex 2 EHV charges'!$A:$O,2,0))</f>
        <v/>
      </c>
      <c r="C139" s="81" t="str">
        <f>IF($A139="","",VLOOKUP($A139,'Annex 2 EHV charges'!$A:$O,3,0))</f>
        <v/>
      </c>
      <c r="D139" s="80" t="str">
        <f>IF($A139="","",VLOOKUP($A139,'Annex 2 EHV charges'!$A:$O,7,0))</f>
        <v/>
      </c>
      <c r="E139" s="85" t="str">
        <f>IFERROR(IF(VLOOKUP($A139,'Annex 2 EHV charges'!$A:$O,9,FALSE)=0,"",VLOOKUP($A139,'Annex 2 EHV charges'!$A:$O,9,FALSE)),"")</f>
        <v/>
      </c>
      <c r="F139" s="86" t="str">
        <f>IFERROR(IF(VLOOKUP($A139,'Annex 2 EHV charges'!$A:$O,10,FALSE)=0,"",VLOOKUP($A139,'Annex 2 EHV charges'!$A:$O,10,FALSE)),"")</f>
        <v/>
      </c>
      <c r="G139" s="87" t="str">
        <f>IFERROR(IF(VLOOKUP($A139,'Annex 2 EHV charges'!$A:$O,11,FALSE)=0,"",VLOOKUP($A139,'Annex 2 EHV charges'!$A:$O,11,FALSE)),"")</f>
        <v/>
      </c>
      <c r="H139" s="87" t="str">
        <f>IFERROR(IF(VLOOKUP($A139,'Annex 2 EHV charges'!$A:$O,12,FALSE)=0,"",VLOOKUP($A139,'Annex 2 EHV charges'!$A:$O,12,FALSE)),"")</f>
        <v/>
      </c>
    </row>
    <row r="140" spans="1:8" ht="12.75" customHeight="1" x14ac:dyDescent="0.2">
      <c r="A140" s="80" t="str">
        <f t="array" ref="A140">IFERROR(INDEX('Annex 2 EHV charges'!$A$10:$A$108, MATCH(0, IF(ISBLANK('Annex 2 EHV charges'!$A$10:$A$108),1, COUNTIF(A$4:$A139, 'Annex 2 EHV charges'!$A$10:$A$108)), 0)),"")</f>
        <v/>
      </c>
      <c r="B140" s="80" t="str">
        <f>IF($A140="","",VLOOKUP($A140,'Annex 2 EHV charges'!$A:$O,2,0))</f>
        <v/>
      </c>
      <c r="C140" s="81" t="str">
        <f>IF($A140="","",VLOOKUP($A140,'Annex 2 EHV charges'!$A:$O,3,0))</f>
        <v/>
      </c>
      <c r="D140" s="80" t="str">
        <f>IF($A140="","",VLOOKUP($A140,'Annex 2 EHV charges'!$A:$O,7,0))</f>
        <v/>
      </c>
      <c r="E140" s="85" t="str">
        <f>IFERROR(IF(VLOOKUP($A140,'Annex 2 EHV charges'!$A:$O,9,FALSE)=0,"",VLOOKUP($A140,'Annex 2 EHV charges'!$A:$O,9,FALSE)),"")</f>
        <v/>
      </c>
      <c r="F140" s="86" t="str">
        <f>IFERROR(IF(VLOOKUP($A140,'Annex 2 EHV charges'!$A:$O,10,FALSE)=0,"",VLOOKUP($A140,'Annex 2 EHV charges'!$A:$O,10,FALSE)),"")</f>
        <v/>
      </c>
      <c r="G140" s="87" t="str">
        <f>IFERROR(IF(VLOOKUP($A140,'Annex 2 EHV charges'!$A:$O,11,FALSE)=0,"",VLOOKUP($A140,'Annex 2 EHV charges'!$A:$O,11,FALSE)),"")</f>
        <v/>
      </c>
      <c r="H140" s="87" t="str">
        <f>IFERROR(IF(VLOOKUP($A140,'Annex 2 EHV charges'!$A:$O,12,FALSE)=0,"",VLOOKUP($A140,'Annex 2 EHV charges'!$A:$O,12,FALSE)),"")</f>
        <v/>
      </c>
    </row>
    <row r="141" spans="1:8" ht="12.75" customHeight="1" x14ac:dyDescent="0.2">
      <c r="A141" s="80" t="str">
        <f t="array" ref="A141">IFERROR(INDEX('Annex 2 EHV charges'!$A$10:$A$108, MATCH(0, IF(ISBLANK('Annex 2 EHV charges'!$A$10:$A$108),1, COUNTIF(A$4:$A140, 'Annex 2 EHV charges'!$A$10:$A$108)), 0)),"")</f>
        <v/>
      </c>
      <c r="B141" s="80" t="str">
        <f>IF($A141="","",VLOOKUP($A141,'Annex 2 EHV charges'!$A:$O,2,0))</f>
        <v/>
      </c>
      <c r="C141" s="81" t="str">
        <f>IF($A141="","",VLOOKUP($A141,'Annex 2 EHV charges'!$A:$O,3,0))</f>
        <v/>
      </c>
      <c r="D141" s="80" t="str">
        <f>IF($A141="","",VLOOKUP($A141,'Annex 2 EHV charges'!$A:$O,7,0))</f>
        <v/>
      </c>
      <c r="E141" s="85" t="str">
        <f>IFERROR(IF(VLOOKUP($A141,'Annex 2 EHV charges'!$A:$O,9,FALSE)=0,"",VLOOKUP($A141,'Annex 2 EHV charges'!$A:$O,9,FALSE)),"")</f>
        <v/>
      </c>
      <c r="F141" s="86" t="str">
        <f>IFERROR(IF(VLOOKUP($A141,'Annex 2 EHV charges'!$A:$O,10,FALSE)=0,"",VLOOKUP($A141,'Annex 2 EHV charges'!$A:$O,10,FALSE)),"")</f>
        <v/>
      </c>
      <c r="G141" s="87" t="str">
        <f>IFERROR(IF(VLOOKUP($A141,'Annex 2 EHV charges'!$A:$O,11,FALSE)=0,"",VLOOKUP($A141,'Annex 2 EHV charges'!$A:$O,11,FALSE)),"")</f>
        <v/>
      </c>
      <c r="H141" s="87" t="str">
        <f>IFERROR(IF(VLOOKUP($A141,'Annex 2 EHV charges'!$A:$O,12,FALSE)=0,"",VLOOKUP($A141,'Annex 2 EHV charges'!$A:$O,12,FALSE)),"")</f>
        <v/>
      </c>
    </row>
    <row r="142" spans="1:8" ht="12.75" customHeight="1" x14ac:dyDescent="0.2">
      <c r="A142" s="80" t="str">
        <f t="array" ref="A142">IFERROR(INDEX('Annex 2 EHV charges'!$A$10:$A$108, MATCH(0, IF(ISBLANK('Annex 2 EHV charges'!$A$10:$A$108),1, COUNTIF(A$4:$A141, 'Annex 2 EHV charges'!$A$10:$A$108)), 0)),"")</f>
        <v/>
      </c>
      <c r="B142" s="80" t="str">
        <f>IF($A142="","",VLOOKUP($A142,'Annex 2 EHV charges'!$A:$O,2,0))</f>
        <v/>
      </c>
      <c r="C142" s="81" t="str">
        <f>IF($A142="","",VLOOKUP($A142,'Annex 2 EHV charges'!$A:$O,3,0))</f>
        <v/>
      </c>
      <c r="D142" s="80" t="str">
        <f>IF($A142="","",VLOOKUP($A142,'Annex 2 EHV charges'!$A:$O,7,0))</f>
        <v/>
      </c>
      <c r="E142" s="85" t="str">
        <f>IFERROR(IF(VLOOKUP($A142,'Annex 2 EHV charges'!$A:$O,9,FALSE)=0,"",VLOOKUP($A142,'Annex 2 EHV charges'!$A:$O,9,FALSE)),"")</f>
        <v/>
      </c>
      <c r="F142" s="86" t="str">
        <f>IFERROR(IF(VLOOKUP($A142,'Annex 2 EHV charges'!$A:$O,10,FALSE)=0,"",VLOOKUP($A142,'Annex 2 EHV charges'!$A:$O,10,FALSE)),"")</f>
        <v/>
      </c>
      <c r="G142" s="87" t="str">
        <f>IFERROR(IF(VLOOKUP($A142,'Annex 2 EHV charges'!$A:$O,11,FALSE)=0,"",VLOOKUP($A142,'Annex 2 EHV charges'!$A:$O,11,FALSE)),"")</f>
        <v/>
      </c>
      <c r="H142" s="87" t="str">
        <f>IFERROR(IF(VLOOKUP($A142,'Annex 2 EHV charges'!$A:$O,12,FALSE)=0,"",VLOOKUP($A142,'Annex 2 EHV charges'!$A:$O,12,FALSE)),"")</f>
        <v/>
      </c>
    </row>
    <row r="143" spans="1:8" ht="12.75" customHeight="1" x14ac:dyDescent="0.2">
      <c r="A143" s="80" t="str">
        <f t="array" ref="A143">IFERROR(INDEX('Annex 2 EHV charges'!$A$10:$A$108, MATCH(0, IF(ISBLANK('Annex 2 EHV charges'!$A$10:$A$108),1, COUNTIF(A$4:$A142, 'Annex 2 EHV charges'!$A$10:$A$108)), 0)),"")</f>
        <v/>
      </c>
      <c r="B143" s="80" t="str">
        <f>IF($A143="","",VLOOKUP($A143,'Annex 2 EHV charges'!$A:$O,2,0))</f>
        <v/>
      </c>
      <c r="C143" s="81" t="str">
        <f>IF($A143="","",VLOOKUP($A143,'Annex 2 EHV charges'!$A:$O,3,0))</f>
        <v/>
      </c>
      <c r="D143" s="80" t="str">
        <f>IF($A143="","",VLOOKUP($A143,'Annex 2 EHV charges'!$A:$O,7,0))</f>
        <v/>
      </c>
      <c r="E143" s="85" t="str">
        <f>IFERROR(IF(VLOOKUP($A143,'Annex 2 EHV charges'!$A:$O,9,FALSE)=0,"",VLOOKUP($A143,'Annex 2 EHV charges'!$A:$O,9,FALSE)),"")</f>
        <v/>
      </c>
      <c r="F143" s="86" t="str">
        <f>IFERROR(IF(VLOOKUP($A143,'Annex 2 EHV charges'!$A:$O,10,FALSE)=0,"",VLOOKUP($A143,'Annex 2 EHV charges'!$A:$O,10,FALSE)),"")</f>
        <v/>
      </c>
      <c r="G143" s="87" t="str">
        <f>IFERROR(IF(VLOOKUP($A143,'Annex 2 EHV charges'!$A:$O,11,FALSE)=0,"",VLOOKUP($A143,'Annex 2 EHV charges'!$A:$O,11,FALSE)),"")</f>
        <v/>
      </c>
      <c r="H143" s="87" t="str">
        <f>IFERROR(IF(VLOOKUP($A143,'Annex 2 EHV charges'!$A:$O,12,FALSE)=0,"",VLOOKUP($A143,'Annex 2 EHV charges'!$A:$O,12,FALSE)),"")</f>
        <v/>
      </c>
    </row>
    <row r="144" spans="1:8" x14ac:dyDescent="0.2">
      <c r="A144" s="80" t="str">
        <f t="array" ref="A144">IFERROR(INDEX('Annex 2 EHV charges'!$A$10:$A$108, MATCH(0, IF(ISBLANK('Annex 2 EHV charges'!$A$10:$A$108),1, COUNTIF(A$4:$A143, 'Annex 2 EHV charges'!$A$10:$A$108)), 0)),"")</f>
        <v/>
      </c>
      <c r="B144" s="80" t="str">
        <f>IF($A144="","",VLOOKUP($A144,'Annex 2 EHV charges'!$A:$O,2,0))</f>
        <v/>
      </c>
      <c r="C144" s="81" t="str">
        <f>IF($A144="","",VLOOKUP($A144,'Annex 2 EHV charges'!$A:$O,3,0))</f>
        <v/>
      </c>
      <c r="D144" s="80" t="str">
        <f>IF($A144="","",VLOOKUP($A144,'Annex 2 EHV charges'!$A:$O,7,0))</f>
        <v/>
      </c>
      <c r="E144" s="85" t="str">
        <f>IFERROR(IF(VLOOKUP($A144,'Annex 2 EHV charges'!$A:$O,9,FALSE)=0,"",VLOOKUP($A144,'Annex 2 EHV charges'!$A:$O,9,FALSE)),"")</f>
        <v/>
      </c>
      <c r="F144" s="86" t="str">
        <f>IFERROR(IF(VLOOKUP($A144,'Annex 2 EHV charges'!$A:$O,10,FALSE)=0,"",VLOOKUP($A144,'Annex 2 EHV charges'!$A:$O,10,FALSE)),"")</f>
        <v/>
      </c>
      <c r="G144" s="87" t="str">
        <f>IFERROR(IF(VLOOKUP($A144,'Annex 2 EHV charges'!$A:$O,11,FALSE)=0,"",VLOOKUP($A144,'Annex 2 EHV charges'!$A:$O,11,FALSE)),"")</f>
        <v/>
      </c>
      <c r="H144" s="87" t="str">
        <f>IFERROR(IF(VLOOKUP($A144,'Annex 2 EHV charges'!$A:$O,12,FALSE)=0,"",VLOOKUP($A144,'Annex 2 EHV charges'!$A:$O,12,FALSE)),"")</f>
        <v/>
      </c>
    </row>
    <row r="145" spans="1:8" x14ac:dyDescent="0.2">
      <c r="A145" s="80" t="str">
        <f t="array" ref="A145">IFERROR(INDEX('Annex 2 EHV charges'!$A$10:$A$108, MATCH(0, IF(ISBLANK('Annex 2 EHV charges'!$A$10:$A$108),1, COUNTIF(A$4:$A144, 'Annex 2 EHV charges'!$A$10:$A$108)), 0)),"")</f>
        <v/>
      </c>
      <c r="B145" s="80" t="str">
        <f>IF($A145="","",VLOOKUP($A145,'Annex 2 EHV charges'!$A:$O,2,0))</f>
        <v/>
      </c>
      <c r="C145" s="81" t="str">
        <f>IF($A145="","",VLOOKUP($A145,'Annex 2 EHV charges'!$A:$O,3,0))</f>
        <v/>
      </c>
      <c r="D145" s="80" t="str">
        <f>IF($A145="","",VLOOKUP($A145,'Annex 2 EHV charges'!$A:$O,7,0))</f>
        <v/>
      </c>
      <c r="E145" s="85" t="str">
        <f>IFERROR(IF(VLOOKUP($A145,'Annex 2 EHV charges'!$A:$O,9,FALSE)=0,"",VLOOKUP($A145,'Annex 2 EHV charges'!$A:$O,9,FALSE)),"")</f>
        <v/>
      </c>
      <c r="F145" s="86" t="str">
        <f>IFERROR(IF(VLOOKUP($A145,'Annex 2 EHV charges'!$A:$O,10,FALSE)=0,"",VLOOKUP($A145,'Annex 2 EHV charges'!$A:$O,10,FALSE)),"")</f>
        <v/>
      </c>
      <c r="G145" s="87" t="str">
        <f>IFERROR(IF(VLOOKUP($A145,'Annex 2 EHV charges'!$A:$O,11,FALSE)=0,"",VLOOKUP($A145,'Annex 2 EHV charges'!$A:$O,11,FALSE)),"")</f>
        <v/>
      </c>
      <c r="H145" s="87" t="str">
        <f>IFERROR(IF(VLOOKUP($A145,'Annex 2 EHV charges'!$A:$O,12,FALSE)=0,"",VLOOKUP($A145,'Annex 2 EHV charges'!$A:$O,12,FALSE)),"")</f>
        <v/>
      </c>
    </row>
    <row r="146" spans="1:8" x14ac:dyDescent="0.2">
      <c r="A146" s="80" t="str">
        <f t="array" ref="A146">IFERROR(INDEX('Annex 2 EHV charges'!$A$10:$A$108, MATCH(0, IF(ISBLANK('Annex 2 EHV charges'!$A$10:$A$108),1, COUNTIF(A$4:$A145, 'Annex 2 EHV charges'!$A$10:$A$108)), 0)),"")</f>
        <v/>
      </c>
      <c r="B146" s="80" t="str">
        <f>IF($A146="","",VLOOKUP($A146,'Annex 2 EHV charges'!$A:$O,2,0))</f>
        <v/>
      </c>
      <c r="C146" s="81" t="str">
        <f>IF($A146="","",VLOOKUP($A146,'Annex 2 EHV charges'!$A:$O,3,0))</f>
        <v/>
      </c>
      <c r="D146" s="80" t="str">
        <f>IF($A146="","",VLOOKUP($A146,'Annex 2 EHV charges'!$A:$O,7,0))</f>
        <v/>
      </c>
      <c r="E146" s="85" t="str">
        <f>IFERROR(IF(VLOOKUP($A146,'Annex 2 EHV charges'!$A:$O,9,FALSE)=0,"",VLOOKUP($A146,'Annex 2 EHV charges'!$A:$O,9,FALSE)),"")</f>
        <v/>
      </c>
      <c r="F146" s="86" t="str">
        <f>IFERROR(IF(VLOOKUP($A146,'Annex 2 EHV charges'!$A:$O,10,FALSE)=0,"",VLOOKUP($A146,'Annex 2 EHV charges'!$A:$O,10,FALSE)),"")</f>
        <v/>
      </c>
      <c r="G146" s="87" t="str">
        <f>IFERROR(IF(VLOOKUP($A146,'Annex 2 EHV charges'!$A:$O,11,FALSE)=0,"",VLOOKUP($A146,'Annex 2 EHV charges'!$A:$O,11,FALSE)),"")</f>
        <v/>
      </c>
      <c r="H146" s="87" t="str">
        <f>IFERROR(IF(VLOOKUP($A146,'Annex 2 EHV charges'!$A:$O,12,FALSE)=0,"",VLOOKUP($A146,'Annex 2 EHV charges'!$A:$O,12,FALSE)),"")</f>
        <v/>
      </c>
    </row>
    <row r="147" spans="1:8" x14ac:dyDescent="0.2">
      <c r="A147" s="80" t="str">
        <f t="array" ref="A147">IFERROR(INDEX('Annex 2 EHV charges'!$A$10:$A$108, MATCH(0, IF(ISBLANK('Annex 2 EHV charges'!$A$10:$A$108),1, COUNTIF(A$4:$A146, 'Annex 2 EHV charges'!$A$10:$A$108)), 0)),"")</f>
        <v/>
      </c>
      <c r="B147" s="80" t="str">
        <f>IF($A147="","",VLOOKUP($A147,'Annex 2 EHV charges'!$A:$O,2,0))</f>
        <v/>
      </c>
      <c r="C147" s="81" t="str">
        <f>IF($A147="","",VLOOKUP($A147,'Annex 2 EHV charges'!$A:$O,3,0))</f>
        <v/>
      </c>
      <c r="D147" s="80" t="str">
        <f>IF($A147="","",VLOOKUP($A147,'Annex 2 EHV charges'!$A:$O,7,0))</f>
        <v/>
      </c>
      <c r="E147" s="85" t="str">
        <f>IFERROR(IF(VLOOKUP($A147,'Annex 2 EHV charges'!$A:$O,9,FALSE)=0,"",VLOOKUP($A147,'Annex 2 EHV charges'!$A:$O,9,FALSE)),"")</f>
        <v/>
      </c>
      <c r="F147" s="86" t="str">
        <f>IFERROR(IF(VLOOKUP($A147,'Annex 2 EHV charges'!$A:$O,10,FALSE)=0,"",VLOOKUP($A147,'Annex 2 EHV charges'!$A:$O,10,FALSE)),"")</f>
        <v/>
      </c>
      <c r="G147" s="87" t="str">
        <f>IFERROR(IF(VLOOKUP($A147,'Annex 2 EHV charges'!$A:$O,11,FALSE)=0,"",VLOOKUP($A147,'Annex 2 EHV charges'!$A:$O,11,FALSE)),"")</f>
        <v/>
      </c>
      <c r="H147" s="87" t="str">
        <f>IFERROR(IF(VLOOKUP($A147,'Annex 2 EHV charges'!$A:$O,12,FALSE)=0,"",VLOOKUP($A147,'Annex 2 EHV charges'!$A:$O,12,FALSE)),"")</f>
        <v/>
      </c>
    </row>
    <row r="148" spans="1:8" x14ac:dyDescent="0.2">
      <c r="A148" s="80" t="str">
        <f t="array" ref="A148">IFERROR(INDEX('Annex 2 EHV charges'!$A$10:$A$108, MATCH(0, IF(ISBLANK('Annex 2 EHV charges'!$A$10:$A$108),1, COUNTIF(A$4:$A147, 'Annex 2 EHV charges'!$A$10:$A$108)), 0)),"")</f>
        <v/>
      </c>
      <c r="B148" s="80" t="str">
        <f>IF($A148="","",VLOOKUP($A148,'Annex 2 EHV charges'!$A:$O,2,0))</f>
        <v/>
      </c>
      <c r="C148" s="81" t="str">
        <f>IF($A148="","",VLOOKUP($A148,'Annex 2 EHV charges'!$A:$O,3,0))</f>
        <v/>
      </c>
      <c r="D148" s="80" t="str">
        <f>IF($A148="","",VLOOKUP($A148,'Annex 2 EHV charges'!$A:$O,7,0))</f>
        <v/>
      </c>
      <c r="E148" s="85" t="str">
        <f>IFERROR(IF(VLOOKUP($A148,'Annex 2 EHV charges'!$A:$O,9,FALSE)=0,"",VLOOKUP($A148,'Annex 2 EHV charges'!$A:$O,9,FALSE)),"")</f>
        <v/>
      </c>
      <c r="F148" s="86" t="str">
        <f>IFERROR(IF(VLOOKUP($A148,'Annex 2 EHV charges'!$A:$O,10,FALSE)=0,"",VLOOKUP($A148,'Annex 2 EHV charges'!$A:$O,10,FALSE)),"")</f>
        <v/>
      </c>
      <c r="G148" s="87" t="str">
        <f>IFERROR(IF(VLOOKUP($A148,'Annex 2 EHV charges'!$A:$O,11,FALSE)=0,"",VLOOKUP($A148,'Annex 2 EHV charges'!$A:$O,11,FALSE)),"")</f>
        <v/>
      </c>
      <c r="H148" s="87" t="str">
        <f>IFERROR(IF(VLOOKUP($A148,'Annex 2 EHV charges'!$A:$O,12,FALSE)=0,"",VLOOKUP($A148,'Annex 2 EHV charges'!$A:$O,12,FALSE)),"")</f>
        <v/>
      </c>
    </row>
    <row r="149" spans="1:8" x14ac:dyDescent="0.2">
      <c r="A149" s="80" t="str">
        <f t="array" ref="A149">IFERROR(INDEX('Annex 2 EHV charges'!$A$10:$A$108, MATCH(0, IF(ISBLANK('Annex 2 EHV charges'!$A$10:$A$108),1, COUNTIF(A$4:$A148, 'Annex 2 EHV charges'!$A$10:$A$108)), 0)),"")</f>
        <v/>
      </c>
      <c r="B149" s="80" t="str">
        <f>IF($A149="","",VLOOKUP($A149,'Annex 2 EHV charges'!$A:$O,2,0))</f>
        <v/>
      </c>
      <c r="C149" s="81" t="str">
        <f>IF($A149="","",VLOOKUP($A149,'Annex 2 EHV charges'!$A:$O,3,0))</f>
        <v/>
      </c>
      <c r="D149" s="80" t="str">
        <f>IF($A149="","",VLOOKUP($A149,'Annex 2 EHV charges'!$A:$O,7,0))</f>
        <v/>
      </c>
      <c r="E149" s="85" t="str">
        <f>IFERROR(IF(VLOOKUP($A149,'Annex 2 EHV charges'!$A:$O,9,FALSE)=0,"",VLOOKUP($A149,'Annex 2 EHV charges'!$A:$O,9,FALSE)),"")</f>
        <v/>
      </c>
      <c r="F149" s="86" t="str">
        <f>IFERROR(IF(VLOOKUP($A149,'Annex 2 EHV charges'!$A:$O,10,FALSE)=0,"",VLOOKUP($A149,'Annex 2 EHV charges'!$A:$O,10,FALSE)),"")</f>
        <v/>
      </c>
      <c r="G149" s="87" t="str">
        <f>IFERROR(IF(VLOOKUP($A149,'Annex 2 EHV charges'!$A:$O,11,FALSE)=0,"",VLOOKUP($A149,'Annex 2 EHV charges'!$A:$O,11,FALSE)),"")</f>
        <v/>
      </c>
      <c r="H149" s="87" t="str">
        <f>IFERROR(IF(VLOOKUP($A149,'Annex 2 EHV charges'!$A:$O,12,FALSE)=0,"",VLOOKUP($A149,'Annex 2 EHV charges'!$A:$O,12,FALSE)),"")</f>
        <v/>
      </c>
    </row>
    <row r="150" spans="1:8" x14ac:dyDescent="0.2">
      <c r="A150" s="80" t="str">
        <f t="array" ref="A150">IFERROR(INDEX('Annex 2 EHV charges'!$A$10:$A$108, MATCH(0, IF(ISBLANK('Annex 2 EHV charges'!$A$10:$A$108),1, COUNTIF(A$4:$A149, 'Annex 2 EHV charges'!$A$10:$A$108)), 0)),"")</f>
        <v/>
      </c>
      <c r="B150" s="80" t="str">
        <f>IF($A150="","",VLOOKUP($A150,'Annex 2 EHV charges'!$A:$O,2,0))</f>
        <v/>
      </c>
      <c r="C150" s="81" t="str">
        <f>IF($A150="","",VLOOKUP($A150,'Annex 2 EHV charges'!$A:$O,3,0))</f>
        <v/>
      </c>
      <c r="D150" s="80" t="str">
        <f>IF($A150="","",VLOOKUP($A150,'Annex 2 EHV charges'!$A:$O,7,0))</f>
        <v/>
      </c>
      <c r="E150" s="85" t="str">
        <f>IFERROR(IF(VLOOKUP($A150,'Annex 2 EHV charges'!$A:$O,9,FALSE)=0,"",VLOOKUP($A150,'Annex 2 EHV charges'!$A:$O,9,FALSE)),"")</f>
        <v/>
      </c>
      <c r="F150" s="86" t="str">
        <f>IFERROR(IF(VLOOKUP($A150,'Annex 2 EHV charges'!$A:$O,10,FALSE)=0,"",VLOOKUP($A150,'Annex 2 EHV charges'!$A:$O,10,FALSE)),"")</f>
        <v/>
      </c>
      <c r="G150" s="87" t="str">
        <f>IFERROR(IF(VLOOKUP($A150,'Annex 2 EHV charges'!$A:$O,11,FALSE)=0,"",VLOOKUP($A150,'Annex 2 EHV charges'!$A:$O,11,FALSE)),"")</f>
        <v/>
      </c>
      <c r="H150" s="87" t="str">
        <f>IFERROR(IF(VLOOKUP($A150,'Annex 2 EHV charges'!$A:$O,12,FALSE)=0,"",VLOOKUP($A150,'Annex 2 EHV charges'!$A:$O,12,FALSE)),"")</f>
        <v/>
      </c>
    </row>
    <row r="151" spans="1:8" x14ac:dyDescent="0.2">
      <c r="A151" s="80" t="str">
        <f t="array" ref="A151">IFERROR(INDEX('Annex 2 EHV charges'!$A$10:$A$108, MATCH(0, IF(ISBLANK('Annex 2 EHV charges'!$A$10:$A$108),1, COUNTIF(A$4:$A150, 'Annex 2 EHV charges'!$A$10:$A$108)), 0)),"")</f>
        <v/>
      </c>
      <c r="B151" s="80" t="str">
        <f>IF($A151="","",VLOOKUP($A151,'Annex 2 EHV charges'!$A:$O,2,0))</f>
        <v/>
      </c>
      <c r="C151" s="81" t="str">
        <f>IF($A151="","",VLOOKUP($A151,'Annex 2 EHV charges'!$A:$O,3,0))</f>
        <v/>
      </c>
      <c r="D151" s="80" t="str">
        <f>IF($A151="","",VLOOKUP($A151,'Annex 2 EHV charges'!$A:$O,7,0))</f>
        <v/>
      </c>
      <c r="E151" s="85" t="str">
        <f>IFERROR(IF(VLOOKUP($A151,'Annex 2 EHV charges'!$A:$O,9,FALSE)=0,"",VLOOKUP($A151,'Annex 2 EHV charges'!$A:$O,9,FALSE)),"")</f>
        <v/>
      </c>
      <c r="F151" s="86" t="str">
        <f>IFERROR(IF(VLOOKUP($A151,'Annex 2 EHV charges'!$A:$O,10,FALSE)=0,"",VLOOKUP($A151,'Annex 2 EHV charges'!$A:$O,10,FALSE)),"")</f>
        <v/>
      </c>
      <c r="G151" s="87" t="str">
        <f>IFERROR(IF(VLOOKUP($A151,'Annex 2 EHV charges'!$A:$O,11,FALSE)=0,"",VLOOKUP($A151,'Annex 2 EHV charges'!$A:$O,11,FALSE)),"")</f>
        <v/>
      </c>
      <c r="H151" s="87" t="str">
        <f>IFERROR(IF(VLOOKUP($A151,'Annex 2 EHV charges'!$A:$O,12,FALSE)=0,"",VLOOKUP($A151,'Annex 2 EHV charges'!$A:$O,12,FALSE)),"")</f>
        <v/>
      </c>
    </row>
    <row r="152" spans="1:8" x14ac:dyDescent="0.2">
      <c r="A152" s="80" t="str">
        <f t="array" ref="A152">IFERROR(INDEX('Annex 2 EHV charges'!$A$10:$A$108, MATCH(0, IF(ISBLANK('Annex 2 EHV charges'!$A$10:$A$108),1, COUNTIF(A$4:$A151, 'Annex 2 EHV charges'!$A$10:$A$108)), 0)),"")</f>
        <v/>
      </c>
      <c r="B152" s="80" t="str">
        <f>IF($A152="","",VLOOKUP($A152,'Annex 2 EHV charges'!$A:$O,2,0))</f>
        <v/>
      </c>
      <c r="C152" s="81" t="str">
        <f>IF($A152="","",VLOOKUP($A152,'Annex 2 EHV charges'!$A:$O,3,0))</f>
        <v/>
      </c>
      <c r="D152" s="80" t="str">
        <f>IF($A152="","",VLOOKUP($A152,'Annex 2 EHV charges'!$A:$O,7,0))</f>
        <v/>
      </c>
      <c r="E152" s="85" t="str">
        <f>IFERROR(IF(VLOOKUP($A152,'Annex 2 EHV charges'!$A:$O,9,FALSE)=0,"",VLOOKUP($A152,'Annex 2 EHV charges'!$A:$O,9,FALSE)),"")</f>
        <v/>
      </c>
      <c r="F152" s="86" t="str">
        <f>IFERROR(IF(VLOOKUP($A152,'Annex 2 EHV charges'!$A:$O,10,FALSE)=0,"",VLOOKUP($A152,'Annex 2 EHV charges'!$A:$O,10,FALSE)),"")</f>
        <v/>
      </c>
      <c r="G152" s="87" t="str">
        <f>IFERROR(IF(VLOOKUP($A152,'Annex 2 EHV charges'!$A:$O,11,FALSE)=0,"",VLOOKUP($A152,'Annex 2 EHV charges'!$A:$O,11,FALSE)),"")</f>
        <v/>
      </c>
      <c r="H152" s="87" t="str">
        <f>IFERROR(IF(VLOOKUP($A152,'Annex 2 EHV charges'!$A:$O,12,FALSE)=0,"",VLOOKUP($A152,'Annex 2 EHV charges'!$A:$O,12,FALSE)),"")</f>
        <v/>
      </c>
    </row>
    <row r="153" spans="1:8" x14ac:dyDescent="0.2">
      <c r="A153" s="80" t="str">
        <f t="array" ref="A153">IFERROR(INDEX('Annex 2 EHV charges'!$A$10:$A$108, MATCH(0, IF(ISBLANK('Annex 2 EHV charges'!$A$10:$A$108),1, COUNTIF(A$4:$A152, 'Annex 2 EHV charges'!$A$10:$A$108)), 0)),"")</f>
        <v/>
      </c>
      <c r="B153" s="80" t="str">
        <f>IF($A153="","",VLOOKUP($A153,'Annex 2 EHV charges'!$A:$O,2,0))</f>
        <v/>
      </c>
      <c r="C153" s="81" t="str">
        <f>IF($A153="","",VLOOKUP($A153,'Annex 2 EHV charges'!$A:$O,3,0))</f>
        <v/>
      </c>
      <c r="D153" s="80" t="str">
        <f>IF($A153="","",VLOOKUP($A153,'Annex 2 EHV charges'!$A:$O,7,0))</f>
        <v/>
      </c>
      <c r="E153" s="85" t="str">
        <f>IFERROR(IF(VLOOKUP($A153,'Annex 2 EHV charges'!$A:$O,9,FALSE)=0,"",VLOOKUP($A153,'Annex 2 EHV charges'!$A:$O,9,FALSE)),"")</f>
        <v/>
      </c>
      <c r="F153" s="86" t="str">
        <f>IFERROR(IF(VLOOKUP($A153,'Annex 2 EHV charges'!$A:$O,10,FALSE)=0,"",VLOOKUP($A153,'Annex 2 EHV charges'!$A:$O,10,FALSE)),"")</f>
        <v/>
      </c>
      <c r="G153" s="87" t="str">
        <f>IFERROR(IF(VLOOKUP($A153,'Annex 2 EHV charges'!$A:$O,11,FALSE)=0,"",VLOOKUP($A153,'Annex 2 EHV charges'!$A:$O,11,FALSE)),"")</f>
        <v/>
      </c>
      <c r="H153" s="87" t="str">
        <f>IFERROR(IF(VLOOKUP($A153,'Annex 2 EHV charges'!$A:$O,12,FALSE)=0,"",VLOOKUP($A153,'Annex 2 EHV charges'!$A:$O,12,FALSE)),"")</f>
        <v/>
      </c>
    </row>
    <row r="154" spans="1:8" x14ac:dyDescent="0.2">
      <c r="A154" s="80" t="str">
        <f t="array" ref="A154">IFERROR(INDEX('Annex 2 EHV charges'!$A$10:$A$108, MATCH(0, IF(ISBLANK('Annex 2 EHV charges'!$A$10:$A$108),1, COUNTIF(A$4:$A153, 'Annex 2 EHV charges'!$A$10:$A$108)), 0)),"")</f>
        <v/>
      </c>
      <c r="B154" s="80" t="str">
        <f>IF($A154="","",VLOOKUP($A154,'Annex 2 EHV charges'!$A:$O,2,0))</f>
        <v/>
      </c>
      <c r="C154" s="81" t="str">
        <f>IF($A154="","",VLOOKUP($A154,'Annex 2 EHV charges'!$A:$O,3,0))</f>
        <v/>
      </c>
      <c r="D154" s="80" t="str">
        <f>IF($A154="","",VLOOKUP($A154,'Annex 2 EHV charges'!$A:$O,7,0))</f>
        <v/>
      </c>
      <c r="E154" s="85" t="str">
        <f>IFERROR(IF(VLOOKUP($A154,'Annex 2 EHV charges'!$A:$O,9,FALSE)=0,"",VLOOKUP($A154,'Annex 2 EHV charges'!$A:$O,9,FALSE)),"")</f>
        <v/>
      </c>
      <c r="F154" s="86" t="str">
        <f>IFERROR(IF(VLOOKUP($A154,'Annex 2 EHV charges'!$A:$O,10,FALSE)=0,"",VLOOKUP($A154,'Annex 2 EHV charges'!$A:$O,10,FALSE)),"")</f>
        <v/>
      </c>
      <c r="G154" s="87" t="str">
        <f>IFERROR(IF(VLOOKUP($A154,'Annex 2 EHV charges'!$A:$O,11,FALSE)=0,"",VLOOKUP($A154,'Annex 2 EHV charges'!$A:$O,11,FALSE)),"")</f>
        <v/>
      </c>
      <c r="H154" s="87" t="str">
        <f>IFERROR(IF(VLOOKUP($A154,'Annex 2 EHV charges'!$A:$O,12,FALSE)=0,"",VLOOKUP($A154,'Annex 2 EHV charges'!$A:$O,12,FALSE)),"")</f>
        <v/>
      </c>
    </row>
    <row r="155" spans="1:8" x14ac:dyDescent="0.2">
      <c r="A155" s="80" t="str">
        <f t="array" ref="A155">IFERROR(INDEX('Annex 2 EHV charges'!$A$10:$A$108, MATCH(0, IF(ISBLANK('Annex 2 EHV charges'!$A$10:$A$108),1, COUNTIF(A$4:$A154, 'Annex 2 EHV charges'!$A$10:$A$108)), 0)),"")</f>
        <v/>
      </c>
      <c r="B155" s="80" t="str">
        <f>IF($A155="","",VLOOKUP($A155,'Annex 2 EHV charges'!$A:$O,2,0))</f>
        <v/>
      </c>
      <c r="C155" s="81" t="str">
        <f>IF($A155="","",VLOOKUP($A155,'Annex 2 EHV charges'!$A:$O,3,0))</f>
        <v/>
      </c>
      <c r="D155" s="80" t="str">
        <f>IF($A155="","",VLOOKUP($A155,'Annex 2 EHV charges'!$A:$O,7,0))</f>
        <v/>
      </c>
      <c r="E155" s="85" t="str">
        <f>IFERROR(IF(VLOOKUP($A155,'Annex 2 EHV charges'!$A:$O,9,FALSE)=0,"",VLOOKUP($A155,'Annex 2 EHV charges'!$A:$O,9,FALSE)),"")</f>
        <v/>
      </c>
      <c r="F155" s="86" t="str">
        <f>IFERROR(IF(VLOOKUP($A155,'Annex 2 EHV charges'!$A:$O,10,FALSE)=0,"",VLOOKUP($A155,'Annex 2 EHV charges'!$A:$O,10,FALSE)),"")</f>
        <v/>
      </c>
      <c r="G155" s="87" t="str">
        <f>IFERROR(IF(VLOOKUP($A155,'Annex 2 EHV charges'!$A:$O,11,FALSE)=0,"",VLOOKUP($A155,'Annex 2 EHV charges'!$A:$O,11,FALSE)),"")</f>
        <v/>
      </c>
      <c r="H155" s="87" t="str">
        <f>IFERROR(IF(VLOOKUP($A155,'Annex 2 EHV charges'!$A:$O,12,FALSE)=0,"",VLOOKUP($A155,'Annex 2 EHV charges'!$A:$O,12,FALSE)),"")</f>
        <v/>
      </c>
    </row>
    <row r="156" spans="1:8" x14ac:dyDescent="0.2">
      <c r="A156" s="80" t="str">
        <f t="array" ref="A156">IFERROR(INDEX('Annex 2 EHV charges'!$A$10:$A$108, MATCH(0, IF(ISBLANK('Annex 2 EHV charges'!$A$10:$A$108),1, COUNTIF(A$4:$A155, 'Annex 2 EHV charges'!$A$10:$A$108)), 0)),"")</f>
        <v/>
      </c>
      <c r="B156" s="80" t="str">
        <f>IF($A156="","",VLOOKUP($A156,'Annex 2 EHV charges'!$A:$O,2,0))</f>
        <v/>
      </c>
      <c r="C156" s="81" t="str">
        <f>IF($A156="","",VLOOKUP($A156,'Annex 2 EHV charges'!$A:$O,3,0))</f>
        <v/>
      </c>
      <c r="D156" s="80" t="str">
        <f>IF($A156="","",VLOOKUP($A156,'Annex 2 EHV charges'!$A:$O,7,0))</f>
        <v/>
      </c>
      <c r="E156" s="85" t="str">
        <f>IFERROR(IF(VLOOKUP($A156,'Annex 2 EHV charges'!$A:$O,9,FALSE)=0,"",VLOOKUP($A156,'Annex 2 EHV charges'!$A:$O,9,FALSE)),"")</f>
        <v/>
      </c>
      <c r="F156" s="86" t="str">
        <f>IFERROR(IF(VLOOKUP($A156,'Annex 2 EHV charges'!$A:$O,10,FALSE)=0,"",VLOOKUP($A156,'Annex 2 EHV charges'!$A:$O,10,FALSE)),"")</f>
        <v/>
      </c>
      <c r="G156" s="87" t="str">
        <f>IFERROR(IF(VLOOKUP($A156,'Annex 2 EHV charges'!$A:$O,11,FALSE)=0,"",VLOOKUP($A156,'Annex 2 EHV charges'!$A:$O,11,FALSE)),"")</f>
        <v/>
      </c>
      <c r="H156" s="87" t="str">
        <f>IFERROR(IF(VLOOKUP($A156,'Annex 2 EHV charges'!$A:$O,12,FALSE)=0,"",VLOOKUP($A156,'Annex 2 EHV charges'!$A:$O,12,FALSE)),"")</f>
        <v/>
      </c>
    </row>
    <row r="157" spans="1:8" x14ac:dyDescent="0.2">
      <c r="A157" s="80" t="str">
        <f t="array" ref="A157">IFERROR(INDEX('Annex 2 EHV charges'!$A$10:$A$108, MATCH(0, IF(ISBLANK('Annex 2 EHV charges'!$A$10:$A$108),1, COUNTIF(A$4:$A156, 'Annex 2 EHV charges'!$A$10:$A$108)), 0)),"")</f>
        <v/>
      </c>
      <c r="B157" s="80" t="str">
        <f>IF($A157="","",VLOOKUP($A157,'Annex 2 EHV charges'!$A:$O,2,0))</f>
        <v/>
      </c>
      <c r="C157" s="81" t="str">
        <f>IF($A157="","",VLOOKUP($A157,'Annex 2 EHV charges'!$A:$O,3,0))</f>
        <v/>
      </c>
      <c r="D157" s="80" t="str">
        <f>IF($A157="","",VLOOKUP($A157,'Annex 2 EHV charges'!$A:$O,7,0))</f>
        <v/>
      </c>
      <c r="E157" s="85" t="str">
        <f>IFERROR(IF(VLOOKUP($A157,'Annex 2 EHV charges'!$A:$O,9,FALSE)=0,"",VLOOKUP($A157,'Annex 2 EHV charges'!$A:$O,9,FALSE)),"")</f>
        <v/>
      </c>
      <c r="F157" s="86" t="str">
        <f>IFERROR(IF(VLOOKUP($A157,'Annex 2 EHV charges'!$A:$O,10,FALSE)=0,"",VLOOKUP($A157,'Annex 2 EHV charges'!$A:$O,10,FALSE)),"")</f>
        <v/>
      </c>
      <c r="G157" s="87" t="str">
        <f>IFERROR(IF(VLOOKUP($A157,'Annex 2 EHV charges'!$A:$O,11,FALSE)=0,"",VLOOKUP($A157,'Annex 2 EHV charges'!$A:$O,11,FALSE)),"")</f>
        <v/>
      </c>
      <c r="H157" s="87" t="str">
        <f>IFERROR(IF(VLOOKUP($A157,'Annex 2 EHV charges'!$A:$O,12,FALSE)=0,"",VLOOKUP($A157,'Annex 2 EHV charges'!$A:$O,12,FALSE)),"")</f>
        <v/>
      </c>
    </row>
    <row r="158" spans="1:8" x14ac:dyDescent="0.2">
      <c r="A158" s="80" t="str">
        <f t="array" ref="A158">IFERROR(INDEX('Annex 2 EHV charges'!$A$10:$A$108, MATCH(0, IF(ISBLANK('Annex 2 EHV charges'!$A$10:$A$108),1, COUNTIF(A$4:$A157, 'Annex 2 EHV charges'!$A$10:$A$108)), 0)),"")</f>
        <v/>
      </c>
      <c r="B158" s="80" t="str">
        <f>IF($A158="","",VLOOKUP($A158,'Annex 2 EHV charges'!$A:$O,2,0))</f>
        <v/>
      </c>
      <c r="C158" s="81" t="str">
        <f>IF($A158="","",VLOOKUP($A158,'Annex 2 EHV charges'!$A:$O,3,0))</f>
        <v/>
      </c>
      <c r="D158" s="80" t="str">
        <f>IF($A158="","",VLOOKUP($A158,'Annex 2 EHV charges'!$A:$O,7,0))</f>
        <v/>
      </c>
      <c r="E158" s="85" t="str">
        <f>IFERROR(IF(VLOOKUP($A158,'Annex 2 EHV charges'!$A:$O,9,FALSE)=0,"",VLOOKUP($A158,'Annex 2 EHV charges'!$A:$O,9,FALSE)),"")</f>
        <v/>
      </c>
      <c r="F158" s="86" t="str">
        <f>IFERROR(IF(VLOOKUP($A158,'Annex 2 EHV charges'!$A:$O,10,FALSE)=0,"",VLOOKUP($A158,'Annex 2 EHV charges'!$A:$O,10,FALSE)),"")</f>
        <v/>
      </c>
      <c r="G158" s="87" t="str">
        <f>IFERROR(IF(VLOOKUP($A158,'Annex 2 EHV charges'!$A:$O,11,FALSE)=0,"",VLOOKUP($A158,'Annex 2 EHV charges'!$A:$O,11,FALSE)),"")</f>
        <v/>
      </c>
      <c r="H158" s="87" t="str">
        <f>IFERROR(IF(VLOOKUP($A158,'Annex 2 EHV charges'!$A:$O,12,FALSE)=0,"",VLOOKUP($A158,'Annex 2 EHV charges'!$A:$O,12,FALSE)),"")</f>
        <v/>
      </c>
    </row>
    <row r="159" spans="1:8" x14ac:dyDescent="0.2">
      <c r="A159" s="80" t="str">
        <f t="array" ref="A159">IFERROR(INDEX('Annex 2 EHV charges'!$A$10:$A$108, MATCH(0, IF(ISBLANK('Annex 2 EHV charges'!$A$10:$A$108),1, COUNTIF(A$4:$A158, 'Annex 2 EHV charges'!$A$10:$A$108)), 0)),"")</f>
        <v/>
      </c>
      <c r="B159" s="80" t="str">
        <f>IF($A159="","",VLOOKUP($A159,'Annex 2 EHV charges'!$A:$O,2,0))</f>
        <v/>
      </c>
      <c r="C159" s="81" t="str">
        <f>IF($A159="","",VLOOKUP($A159,'Annex 2 EHV charges'!$A:$O,3,0))</f>
        <v/>
      </c>
      <c r="D159" s="80" t="str">
        <f>IF($A159="","",VLOOKUP($A159,'Annex 2 EHV charges'!$A:$O,7,0))</f>
        <v/>
      </c>
      <c r="E159" s="85" t="str">
        <f>IFERROR(IF(VLOOKUP($A159,'Annex 2 EHV charges'!$A:$O,9,FALSE)=0,"",VLOOKUP($A159,'Annex 2 EHV charges'!$A:$O,9,FALSE)),"")</f>
        <v/>
      </c>
      <c r="F159" s="86" t="str">
        <f>IFERROR(IF(VLOOKUP($A159,'Annex 2 EHV charges'!$A:$O,10,FALSE)=0,"",VLOOKUP($A159,'Annex 2 EHV charges'!$A:$O,10,FALSE)),"")</f>
        <v/>
      </c>
      <c r="G159" s="87" t="str">
        <f>IFERROR(IF(VLOOKUP($A159,'Annex 2 EHV charges'!$A:$O,11,FALSE)=0,"",VLOOKUP($A159,'Annex 2 EHV charges'!$A:$O,11,FALSE)),"")</f>
        <v/>
      </c>
      <c r="H159" s="87" t="str">
        <f>IFERROR(IF(VLOOKUP($A159,'Annex 2 EHV charges'!$A:$O,12,FALSE)=0,"",VLOOKUP($A159,'Annex 2 EHV charges'!$A:$O,12,FALSE)),"")</f>
        <v/>
      </c>
    </row>
    <row r="160" spans="1:8" x14ac:dyDescent="0.2">
      <c r="A160" s="80" t="str">
        <f t="array" ref="A160">IFERROR(INDEX('Annex 2 EHV charges'!$A$10:$A$108, MATCH(0, IF(ISBLANK('Annex 2 EHV charges'!$A$10:$A$108),1, COUNTIF(A$4:$A159, 'Annex 2 EHV charges'!$A$10:$A$108)), 0)),"")</f>
        <v/>
      </c>
      <c r="B160" s="80" t="str">
        <f>IF($A160="","",VLOOKUP($A160,'Annex 2 EHV charges'!$A:$O,2,0))</f>
        <v/>
      </c>
      <c r="C160" s="81" t="str">
        <f>IF($A160="","",VLOOKUP($A160,'Annex 2 EHV charges'!$A:$O,3,0))</f>
        <v/>
      </c>
      <c r="D160" s="80" t="str">
        <f>IF($A160="","",VLOOKUP($A160,'Annex 2 EHV charges'!$A:$O,7,0))</f>
        <v/>
      </c>
      <c r="E160" s="85" t="str">
        <f>IFERROR(IF(VLOOKUP($A160,'Annex 2 EHV charges'!$A:$O,9,FALSE)=0,"",VLOOKUP($A160,'Annex 2 EHV charges'!$A:$O,9,FALSE)),"")</f>
        <v/>
      </c>
      <c r="F160" s="86" t="str">
        <f>IFERROR(IF(VLOOKUP($A160,'Annex 2 EHV charges'!$A:$O,10,FALSE)=0,"",VLOOKUP($A160,'Annex 2 EHV charges'!$A:$O,10,FALSE)),"")</f>
        <v/>
      </c>
      <c r="G160" s="87" t="str">
        <f>IFERROR(IF(VLOOKUP($A160,'Annex 2 EHV charges'!$A:$O,11,FALSE)=0,"",VLOOKUP($A160,'Annex 2 EHV charges'!$A:$O,11,FALSE)),"")</f>
        <v/>
      </c>
      <c r="H160" s="87" t="str">
        <f>IFERROR(IF(VLOOKUP($A160,'Annex 2 EHV charges'!$A:$O,12,FALSE)=0,"",VLOOKUP($A160,'Annex 2 EHV charges'!$A:$O,12,FALSE)),"")</f>
        <v/>
      </c>
    </row>
    <row r="161" spans="1:8" x14ac:dyDescent="0.2">
      <c r="A161" s="80" t="str">
        <f t="array" ref="A161">IFERROR(INDEX('Annex 2 EHV charges'!$A$10:$A$108, MATCH(0, IF(ISBLANK('Annex 2 EHV charges'!$A$10:$A$108),1, COUNTIF(A$4:$A160, 'Annex 2 EHV charges'!$A$10:$A$108)), 0)),"")</f>
        <v/>
      </c>
      <c r="B161" s="80" t="str">
        <f>IF($A161="","",VLOOKUP($A161,'Annex 2 EHV charges'!$A:$O,2,0))</f>
        <v/>
      </c>
      <c r="C161" s="81" t="str">
        <f>IF($A161="","",VLOOKUP($A161,'Annex 2 EHV charges'!$A:$O,3,0))</f>
        <v/>
      </c>
      <c r="D161" s="80" t="str">
        <f>IF($A161="","",VLOOKUP($A161,'Annex 2 EHV charges'!$A:$O,7,0))</f>
        <v/>
      </c>
      <c r="E161" s="85" t="str">
        <f>IFERROR(IF(VLOOKUP($A161,'Annex 2 EHV charges'!$A:$O,9,FALSE)=0,"",VLOOKUP($A161,'Annex 2 EHV charges'!$A:$O,9,FALSE)),"")</f>
        <v/>
      </c>
      <c r="F161" s="86" t="str">
        <f>IFERROR(IF(VLOOKUP($A161,'Annex 2 EHV charges'!$A:$O,10,FALSE)=0,"",VLOOKUP($A161,'Annex 2 EHV charges'!$A:$O,10,FALSE)),"")</f>
        <v/>
      </c>
      <c r="G161" s="87" t="str">
        <f>IFERROR(IF(VLOOKUP($A161,'Annex 2 EHV charges'!$A:$O,11,FALSE)=0,"",VLOOKUP($A161,'Annex 2 EHV charges'!$A:$O,11,FALSE)),"")</f>
        <v/>
      </c>
      <c r="H161" s="87" t="str">
        <f>IFERROR(IF(VLOOKUP($A161,'Annex 2 EHV charges'!$A:$O,12,FALSE)=0,"",VLOOKUP($A161,'Annex 2 EHV charges'!$A:$O,12,FALSE)),"")</f>
        <v/>
      </c>
    </row>
    <row r="162" spans="1:8" x14ac:dyDescent="0.2">
      <c r="A162" s="80" t="str">
        <f t="array" ref="A162">IFERROR(INDEX('Annex 2 EHV charges'!$A$10:$A$108, MATCH(0, IF(ISBLANK('Annex 2 EHV charges'!$A$10:$A$108),1, COUNTIF(A$4:$A161, 'Annex 2 EHV charges'!$A$10:$A$108)), 0)),"")</f>
        <v/>
      </c>
      <c r="B162" s="80" t="str">
        <f>IF($A162="","",VLOOKUP($A162,'Annex 2 EHV charges'!$A:$O,2,0))</f>
        <v/>
      </c>
      <c r="C162" s="81" t="str">
        <f>IF($A162="","",VLOOKUP($A162,'Annex 2 EHV charges'!$A:$O,3,0))</f>
        <v/>
      </c>
      <c r="D162" s="80" t="str">
        <f>IF($A162="","",VLOOKUP($A162,'Annex 2 EHV charges'!$A:$O,7,0))</f>
        <v/>
      </c>
      <c r="E162" s="85" t="str">
        <f>IFERROR(IF(VLOOKUP($A162,'Annex 2 EHV charges'!$A:$O,9,FALSE)=0,"",VLOOKUP($A162,'Annex 2 EHV charges'!$A:$O,9,FALSE)),"")</f>
        <v/>
      </c>
      <c r="F162" s="86" t="str">
        <f>IFERROR(IF(VLOOKUP($A162,'Annex 2 EHV charges'!$A:$O,10,FALSE)=0,"",VLOOKUP($A162,'Annex 2 EHV charges'!$A:$O,10,FALSE)),"")</f>
        <v/>
      </c>
      <c r="G162" s="87" t="str">
        <f>IFERROR(IF(VLOOKUP($A162,'Annex 2 EHV charges'!$A:$O,11,FALSE)=0,"",VLOOKUP($A162,'Annex 2 EHV charges'!$A:$O,11,FALSE)),"")</f>
        <v/>
      </c>
      <c r="H162" s="87" t="str">
        <f>IFERROR(IF(VLOOKUP($A162,'Annex 2 EHV charges'!$A:$O,12,FALSE)=0,"",VLOOKUP($A162,'Annex 2 EHV charges'!$A:$O,12,FALSE)),"")</f>
        <v/>
      </c>
    </row>
    <row r="163" spans="1:8" x14ac:dyDescent="0.2">
      <c r="A163" s="80" t="str">
        <f t="array" ref="A163">IFERROR(INDEX('Annex 2 EHV charges'!$A$10:$A$108, MATCH(0, IF(ISBLANK('Annex 2 EHV charges'!$A$10:$A$108),1, COUNTIF(A$4:$A162, 'Annex 2 EHV charges'!$A$10:$A$108)), 0)),"")</f>
        <v/>
      </c>
      <c r="B163" s="80" t="str">
        <f>IF($A163="","",VLOOKUP($A163,'Annex 2 EHV charges'!$A:$O,2,0))</f>
        <v/>
      </c>
      <c r="C163" s="81" t="str">
        <f>IF($A163="","",VLOOKUP($A163,'Annex 2 EHV charges'!$A:$O,3,0))</f>
        <v/>
      </c>
      <c r="D163" s="80" t="str">
        <f>IF($A163="","",VLOOKUP($A163,'Annex 2 EHV charges'!$A:$O,7,0))</f>
        <v/>
      </c>
      <c r="E163" s="85" t="str">
        <f>IFERROR(IF(VLOOKUP($A163,'Annex 2 EHV charges'!$A:$O,9,FALSE)=0,"",VLOOKUP($A163,'Annex 2 EHV charges'!$A:$O,9,FALSE)),"")</f>
        <v/>
      </c>
      <c r="F163" s="86" t="str">
        <f>IFERROR(IF(VLOOKUP($A163,'Annex 2 EHV charges'!$A:$O,10,FALSE)=0,"",VLOOKUP($A163,'Annex 2 EHV charges'!$A:$O,10,FALSE)),"")</f>
        <v/>
      </c>
      <c r="G163" s="87" t="str">
        <f>IFERROR(IF(VLOOKUP($A163,'Annex 2 EHV charges'!$A:$O,11,FALSE)=0,"",VLOOKUP($A163,'Annex 2 EHV charges'!$A:$O,11,FALSE)),"")</f>
        <v/>
      </c>
      <c r="H163" s="87" t="str">
        <f>IFERROR(IF(VLOOKUP($A163,'Annex 2 EHV charges'!$A:$O,12,FALSE)=0,"",VLOOKUP($A163,'Annex 2 EHV charges'!$A:$O,12,FALSE)),"")</f>
        <v/>
      </c>
    </row>
    <row r="164" spans="1:8" x14ac:dyDescent="0.2">
      <c r="A164" s="80" t="str">
        <f t="array" ref="A164">IFERROR(INDEX('Annex 2 EHV charges'!$A$10:$A$108, MATCH(0, IF(ISBLANK('Annex 2 EHV charges'!$A$10:$A$108),1, COUNTIF(A$4:$A163, 'Annex 2 EHV charges'!$A$10:$A$108)), 0)),"")</f>
        <v/>
      </c>
      <c r="B164" s="80" t="str">
        <f>IF($A164="","",VLOOKUP($A164,'Annex 2 EHV charges'!$A:$O,2,0))</f>
        <v/>
      </c>
      <c r="C164" s="81" t="str">
        <f>IF($A164="","",VLOOKUP($A164,'Annex 2 EHV charges'!$A:$O,3,0))</f>
        <v/>
      </c>
      <c r="D164" s="80" t="str">
        <f>IF($A164="","",VLOOKUP($A164,'Annex 2 EHV charges'!$A:$O,7,0))</f>
        <v/>
      </c>
      <c r="E164" s="85" t="str">
        <f>IFERROR(IF(VLOOKUP($A164,'Annex 2 EHV charges'!$A:$O,9,FALSE)=0,"",VLOOKUP($A164,'Annex 2 EHV charges'!$A:$O,9,FALSE)),"")</f>
        <v/>
      </c>
      <c r="F164" s="86" t="str">
        <f>IFERROR(IF(VLOOKUP($A164,'Annex 2 EHV charges'!$A:$O,10,FALSE)=0,"",VLOOKUP($A164,'Annex 2 EHV charges'!$A:$O,10,FALSE)),"")</f>
        <v/>
      </c>
      <c r="G164" s="87" t="str">
        <f>IFERROR(IF(VLOOKUP($A164,'Annex 2 EHV charges'!$A:$O,11,FALSE)=0,"",VLOOKUP($A164,'Annex 2 EHV charges'!$A:$O,11,FALSE)),"")</f>
        <v/>
      </c>
      <c r="H164" s="87" t="str">
        <f>IFERROR(IF(VLOOKUP($A164,'Annex 2 EHV charges'!$A:$O,12,FALSE)=0,"",VLOOKUP($A164,'Annex 2 EHV charges'!$A:$O,12,FALSE)),"")</f>
        <v/>
      </c>
    </row>
    <row r="165" spans="1:8" x14ac:dyDescent="0.2">
      <c r="A165" s="80" t="str">
        <f t="array" ref="A165">IFERROR(INDEX('Annex 2 EHV charges'!$A$10:$A$108, MATCH(0, IF(ISBLANK('Annex 2 EHV charges'!$A$10:$A$108),1, COUNTIF(A$4:$A164, 'Annex 2 EHV charges'!$A$10:$A$108)), 0)),"")</f>
        <v/>
      </c>
      <c r="B165" s="80" t="str">
        <f>IF($A165="","",VLOOKUP($A165,'Annex 2 EHV charges'!$A:$O,2,0))</f>
        <v/>
      </c>
      <c r="C165" s="81" t="str">
        <f>IF($A165="","",VLOOKUP($A165,'Annex 2 EHV charges'!$A:$O,3,0))</f>
        <v/>
      </c>
      <c r="D165" s="80" t="str">
        <f>IF($A165="","",VLOOKUP($A165,'Annex 2 EHV charges'!$A:$O,7,0))</f>
        <v/>
      </c>
      <c r="E165" s="85" t="str">
        <f>IFERROR(IF(VLOOKUP($A165,'Annex 2 EHV charges'!$A:$O,9,FALSE)=0,"",VLOOKUP($A165,'Annex 2 EHV charges'!$A:$O,9,FALSE)),"")</f>
        <v/>
      </c>
      <c r="F165" s="86" t="str">
        <f>IFERROR(IF(VLOOKUP($A165,'Annex 2 EHV charges'!$A:$O,10,FALSE)=0,"",VLOOKUP($A165,'Annex 2 EHV charges'!$A:$O,10,FALSE)),"")</f>
        <v/>
      </c>
      <c r="G165" s="87" t="str">
        <f>IFERROR(IF(VLOOKUP($A165,'Annex 2 EHV charges'!$A:$O,11,FALSE)=0,"",VLOOKUP($A165,'Annex 2 EHV charges'!$A:$O,11,FALSE)),"")</f>
        <v/>
      </c>
      <c r="H165" s="87" t="str">
        <f>IFERROR(IF(VLOOKUP($A165,'Annex 2 EHV charges'!$A:$O,12,FALSE)=0,"",VLOOKUP($A165,'Annex 2 EHV charges'!$A:$O,12,FALSE)),"")</f>
        <v/>
      </c>
    </row>
    <row r="166" spans="1:8" x14ac:dyDescent="0.2">
      <c r="A166" s="80" t="str">
        <f t="array" ref="A166">IFERROR(INDEX('Annex 2 EHV charges'!$A$10:$A$108, MATCH(0, IF(ISBLANK('Annex 2 EHV charges'!$A$10:$A$108),1, COUNTIF(A$4:$A165, 'Annex 2 EHV charges'!$A$10:$A$108)), 0)),"")</f>
        <v/>
      </c>
      <c r="B166" s="80" t="str">
        <f>IF($A166="","",VLOOKUP($A166,'Annex 2 EHV charges'!$A:$O,2,0))</f>
        <v/>
      </c>
      <c r="C166" s="81" t="str">
        <f>IF($A166="","",VLOOKUP($A166,'Annex 2 EHV charges'!$A:$O,3,0))</f>
        <v/>
      </c>
      <c r="D166" s="80" t="str">
        <f>IF($A166="","",VLOOKUP($A166,'Annex 2 EHV charges'!$A:$O,7,0))</f>
        <v/>
      </c>
      <c r="E166" s="85" t="str">
        <f>IFERROR(IF(VLOOKUP($A166,'Annex 2 EHV charges'!$A:$O,9,FALSE)=0,"",VLOOKUP($A166,'Annex 2 EHV charges'!$A:$O,9,FALSE)),"")</f>
        <v/>
      </c>
      <c r="F166" s="86" t="str">
        <f>IFERROR(IF(VLOOKUP($A166,'Annex 2 EHV charges'!$A:$O,10,FALSE)=0,"",VLOOKUP($A166,'Annex 2 EHV charges'!$A:$O,10,FALSE)),"")</f>
        <v/>
      </c>
      <c r="G166" s="87" t="str">
        <f>IFERROR(IF(VLOOKUP($A166,'Annex 2 EHV charges'!$A:$O,11,FALSE)=0,"",VLOOKUP($A166,'Annex 2 EHV charges'!$A:$O,11,FALSE)),"")</f>
        <v/>
      </c>
      <c r="H166" s="87" t="str">
        <f>IFERROR(IF(VLOOKUP($A166,'Annex 2 EHV charges'!$A:$O,12,FALSE)=0,"",VLOOKUP($A166,'Annex 2 EHV charges'!$A:$O,12,FALSE)),"")</f>
        <v/>
      </c>
    </row>
    <row r="167" spans="1:8" x14ac:dyDescent="0.2">
      <c r="A167" s="80" t="str">
        <f t="array" ref="A167">IFERROR(INDEX('Annex 2 EHV charges'!$A$10:$A$108, MATCH(0, IF(ISBLANK('Annex 2 EHV charges'!$A$10:$A$108),1, COUNTIF(A$4:$A166, 'Annex 2 EHV charges'!$A$10:$A$108)), 0)),"")</f>
        <v/>
      </c>
      <c r="B167" s="80" t="str">
        <f>IF($A167="","",VLOOKUP($A167,'Annex 2 EHV charges'!$A:$O,2,0))</f>
        <v/>
      </c>
      <c r="C167" s="81" t="str">
        <f>IF($A167="","",VLOOKUP($A167,'Annex 2 EHV charges'!$A:$O,3,0))</f>
        <v/>
      </c>
      <c r="D167" s="80" t="str">
        <f>IF($A167="","",VLOOKUP($A167,'Annex 2 EHV charges'!$A:$O,7,0))</f>
        <v/>
      </c>
      <c r="E167" s="85" t="str">
        <f>IFERROR(IF(VLOOKUP($A167,'Annex 2 EHV charges'!$A:$O,9,FALSE)=0,"",VLOOKUP($A167,'Annex 2 EHV charges'!$A:$O,9,FALSE)),"")</f>
        <v/>
      </c>
      <c r="F167" s="86" t="str">
        <f>IFERROR(IF(VLOOKUP($A167,'Annex 2 EHV charges'!$A:$O,10,FALSE)=0,"",VLOOKUP($A167,'Annex 2 EHV charges'!$A:$O,10,FALSE)),"")</f>
        <v/>
      </c>
      <c r="G167" s="87" t="str">
        <f>IFERROR(IF(VLOOKUP($A167,'Annex 2 EHV charges'!$A:$O,11,FALSE)=0,"",VLOOKUP($A167,'Annex 2 EHV charges'!$A:$O,11,FALSE)),"")</f>
        <v/>
      </c>
      <c r="H167" s="87" t="str">
        <f>IFERROR(IF(VLOOKUP($A167,'Annex 2 EHV charges'!$A:$O,12,FALSE)=0,"",VLOOKUP($A167,'Annex 2 EHV charges'!$A:$O,12,FALSE)),"")</f>
        <v/>
      </c>
    </row>
    <row r="168" spans="1:8" x14ac:dyDescent="0.2">
      <c r="A168" s="80" t="str">
        <f t="array" ref="A168">IFERROR(INDEX('Annex 2 EHV charges'!$A$10:$A$108, MATCH(0, IF(ISBLANK('Annex 2 EHV charges'!$A$10:$A$108),1, COUNTIF(A$4:$A167, 'Annex 2 EHV charges'!$A$10:$A$108)), 0)),"")</f>
        <v/>
      </c>
      <c r="B168" s="80" t="str">
        <f>IF($A168="","",VLOOKUP($A168,'Annex 2 EHV charges'!$A:$O,2,0))</f>
        <v/>
      </c>
      <c r="C168" s="81" t="str">
        <f>IF($A168="","",VLOOKUP($A168,'Annex 2 EHV charges'!$A:$O,3,0))</f>
        <v/>
      </c>
      <c r="D168" s="80" t="str">
        <f>IF($A168="","",VLOOKUP($A168,'Annex 2 EHV charges'!$A:$O,7,0))</f>
        <v/>
      </c>
      <c r="E168" s="85" t="str">
        <f>IFERROR(IF(VLOOKUP($A168,'Annex 2 EHV charges'!$A:$O,9,FALSE)=0,"",VLOOKUP($A168,'Annex 2 EHV charges'!$A:$O,9,FALSE)),"")</f>
        <v/>
      </c>
      <c r="F168" s="86" t="str">
        <f>IFERROR(IF(VLOOKUP($A168,'Annex 2 EHV charges'!$A:$O,10,FALSE)=0,"",VLOOKUP($A168,'Annex 2 EHV charges'!$A:$O,10,FALSE)),"")</f>
        <v/>
      </c>
      <c r="G168" s="87" t="str">
        <f>IFERROR(IF(VLOOKUP($A168,'Annex 2 EHV charges'!$A:$O,11,FALSE)=0,"",VLOOKUP($A168,'Annex 2 EHV charges'!$A:$O,11,FALSE)),"")</f>
        <v/>
      </c>
      <c r="H168" s="87" t="str">
        <f>IFERROR(IF(VLOOKUP($A168,'Annex 2 EHV charges'!$A:$O,12,FALSE)=0,"",VLOOKUP($A168,'Annex 2 EHV charges'!$A:$O,12,FALSE)),"")</f>
        <v/>
      </c>
    </row>
    <row r="169" spans="1:8" x14ac:dyDescent="0.2">
      <c r="A169" s="80" t="str">
        <f t="array" ref="A169">IFERROR(INDEX('Annex 2 EHV charges'!$A$10:$A$108, MATCH(0, IF(ISBLANK('Annex 2 EHV charges'!$A$10:$A$108),1, COUNTIF(A$4:$A168, 'Annex 2 EHV charges'!$A$10:$A$108)), 0)),"")</f>
        <v/>
      </c>
      <c r="B169" s="80" t="str">
        <f>IF($A169="","",VLOOKUP($A169,'Annex 2 EHV charges'!$A:$O,2,0))</f>
        <v/>
      </c>
      <c r="C169" s="81" t="str">
        <f>IF($A169="","",VLOOKUP($A169,'Annex 2 EHV charges'!$A:$O,3,0))</f>
        <v/>
      </c>
      <c r="D169" s="80" t="str">
        <f>IF($A169="","",VLOOKUP($A169,'Annex 2 EHV charges'!$A:$O,7,0))</f>
        <v/>
      </c>
      <c r="E169" s="85" t="str">
        <f>IFERROR(IF(VLOOKUP($A169,'Annex 2 EHV charges'!$A:$O,9,FALSE)=0,"",VLOOKUP($A169,'Annex 2 EHV charges'!$A:$O,9,FALSE)),"")</f>
        <v/>
      </c>
      <c r="F169" s="86" t="str">
        <f>IFERROR(IF(VLOOKUP($A169,'Annex 2 EHV charges'!$A:$O,10,FALSE)=0,"",VLOOKUP($A169,'Annex 2 EHV charges'!$A:$O,10,FALSE)),"")</f>
        <v/>
      </c>
      <c r="G169" s="87" t="str">
        <f>IFERROR(IF(VLOOKUP($A169,'Annex 2 EHV charges'!$A:$O,11,FALSE)=0,"",VLOOKUP($A169,'Annex 2 EHV charges'!$A:$O,11,FALSE)),"")</f>
        <v/>
      </c>
      <c r="H169" s="87" t="str">
        <f>IFERROR(IF(VLOOKUP($A169,'Annex 2 EHV charges'!$A:$O,12,FALSE)=0,"",VLOOKUP($A169,'Annex 2 EHV charges'!$A:$O,12,FALSE)),"")</f>
        <v/>
      </c>
    </row>
    <row r="170" spans="1:8" x14ac:dyDescent="0.2">
      <c r="A170" s="80" t="str">
        <f t="array" ref="A170">IFERROR(INDEX('Annex 2 EHV charges'!$A$10:$A$108, MATCH(0, IF(ISBLANK('Annex 2 EHV charges'!$A$10:$A$108),1, COUNTIF(A$4:$A169, 'Annex 2 EHV charges'!$A$10:$A$108)), 0)),"")</f>
        <v/>
      </c>
      <c r="B170" s="80" t="str">
        <f>IF($A170="","",VLOOKUP($A170,'Annex 2 EHV charges'!$A:$O,2,0))</f>
        <v/>
      </c>
      <c r="C170" s="81" t="str">
        <f>IF($A170="","",VLOOKUP($A170,'Annex 2 EHV charges'!$A:$O,3,0))</f>
        <v/>
      </c>
      <c r="D170" s="80" t="str">
        <f>IF($A170="","",VLOOKUP($A170,'Annex 2 EHV charges'!$A:$O,7,0))</f>
        <v/>
      </c>
      <c r="E170" s="85" t="str">
        <f>IFERROR(IF(VLOOKUP($A170,'Annex 2 EHV charges'!$A:$O,9,FALSE)=0,"",VLOOKUP($A170,'Annex 2 EHV charges'!$A:$O,9,FALSE)),"")</f>
        <v/>
      </c>
      <c r="F170" s="86" t="str">
        <f>IFERROR(IF(VLOOKUP($A170,'Annex 2 EHV charges'!$A:$O,10,FALSE)=0,"",VLOOKUP($A170,'Annex 2 EHV charges'!$A:$O,10,FALSE)),"")</f>
        <v/>
      </c>
      <c r="G170" s="87" t="str">
        <f>IFERROR(IF(VLOOKUP($A170,'Annex 2 EHV charges'!$A:$O,11,FALSE)=0,"",VLOOKUP($A170,'Annex 2 EHV charges'!$A:$O,11,FALSE)),"")</f>
        <v/>
      </c>
      <c r="H170" s="87" t="str">
        <f>IFERROR(IF(VLOOKUP($A170,'Annex 2 EHV charges'!$A:$O,12,FALSE)=0,"",VLOOKUP($A170,'Annex 2 EHV charges'!$A:$O,12,FALSE)),"")</f>
        <v/>
      </c>
    </row>
    <row r="171" spans="1:8" x14ac:dyDescent="0.2">
      <c r="A171" s="80" t="str">
        <f t="array" ref="A171">IFERROR(INDEX('Annex 2 EHV charges'!$A$10:$A$108, MATCH(0, IF(ISBLANK('Annex 2 EHV charges'!$A$10:$A$108),1, COUNTIF(A$4:$A170, 'Annex 2 EHV charges'!$A$10:$A$108)), 0)),"")</f>
        <v/>
      </c>
      <c r="B171" s="80" t="str">
        <f>IF($A171="","",VLOOKUP($A171,'Annex 2 EHV charges'!$A:$O,2,0))</f>
        <v/>
      </c>
      <c r="C171" s="81" t="str">
        <f>IF($A171="","",VLOOKUP($A171,'Annex 2 EHV charges'!$A:$O,3,0))</f>
        <v/>
      </c>
      <c r="D171" s="80" t="str">
        <f>IF($A171="","",VLOOKUP($A171,'Annex 2 EHV charges'!$A:$O,7,0))</f>
        <v/>
      </c>
      <c r="E171" s="85" t="str">
        <f>IFERROR(IF(VLOOKUP($A171,'Annex 2 EHV charges'!$A:$O,9,FALSE)=0,"",VLOOKUP($A171,'Annex 2 EHV charges'!$A:$O,9,FALSE)),"")</f>
        <v/>
      </c>
      <c r="F171" s="86" t="str">
        <f>IFERROR(IF(VLOOKUP($A171,'Annex 2 EHV charges'!$A:$O,10,FALSE)=0,"",VLOOKUP($A171,'Annex 2 EHV charges'!$A:$O,10,FALSE)),"")</f>
        <v/>
      </c>
      <c r="G171" s="87" t="str">
        <f>IFERROR(IF(VLOOKUP($A171,'Annex 2 EHV charges'!$A:$O,11,FALSE)=0,"",VLOOKUP($A171,'Annex 2 EHV charges'!$A:$O,11,FALSE)),"")</f>
        <v/>
      </c>
      <c r="H171" s="87" t="str">
        <f>IFERROR(IF(VLOOKUP($A171,'Annex 2 EHV charges'!$A:$O,12,FALSE)=0,"",VLOOKUP($A171,'Annex 2 EHV charges'!$A:$O,12,FALSE)),"")</f>
        <v/>
      </c>
    </row>
    <row r="172" spans="1:8" x14ac:dyDescent="0.2">
      <c r="A172" s="80" t="str">
        <f t="array" ref="A172">IFERROR(INDEX('Annex 2 EHV charges'!$A$10:$A$108, MATCH(0, IF(ISBLANK('Annex 2 EHV charges'!$A$10:$A$108),1, COUNTIF(A$4:$A171, 'Annex 2 EHV charges'!$A$10:$A$108)), 0)),"")</f>
        <v/>
      </c>
      <c r="B172" s="80" t="str">
        <f>IF($A172="","",VLOOKUP($A172,'Annex 2 EHV charges'!$A:$O,2,0))</f>
        <v/>
      </c>
      <c r="C172" s="81" t="str">
        <f>IF($A172="","",VLOOKUP($A172,'Annex 2 EHV charges'!$A:$O,3,0))</f>
        <v/>
      </c>
      <c r="D172" s="80" t="str">
        <f>IF($A172="","",VLOOKUP($A172,'Annex 2 EHV charges'!$A:$O,7,0))</f>
        <v/>
      </c>
      <c r="E172" s="85" t="str">
        <f>IFERROR(IF(VLOOKUP($A172,'Annex 2 EHV charges'!$A:$O,9,FALSE)=0,"",VLOOKUP($A172,'Annex 2 EHV charges'!$A:$O,9,FALSE)),"")</f>
        <v/>
      </c>
      <c r="F172" s="86" t="str">
        <f>IFERROR(IF(VLOOKUP($A172,'Annex 2 EHV charges'!$A:$O,10,FALSE)=0,"",VLOOKUP($A172,'Annex 2 EHV charges'!$A:$O,10,FALSE)),"")</f>
        <v/>
      </c>
      <c r="G172" s="87" t="str">
        <f>IFERROR(IF(VLOOKUP($A172,'Annex 2 EHV charges'!$A:$O,11,FALSE)=0,"",VLOOKUP($A172,'Annex 2 EHV charges'!$A:$O,11,FALSE)),"")</f>
        <v/>
      </c>
      <c r="H172" s="87" t="str">
        <f>IFERROR(IF(VLOOKUP($A172,'Annex 2 EHV charges'!$A:$O,12,FALSE)=0,"",VLOOKUP($A172,'Annex 2 EHV charges'!$A:$O,12,FALSE)),"")</f>
        <v/>
      </c>
    </row>
    <row r="173" spans="1:8" x14ac:dyDescent="0.2">
      <c r="A173" s="80" t="str">
        <f t="array" ref="A173">IFERROR(INDEX('Annex 2 EHV charges'!$A$10:$A$108, MATCH(0, IF(ISBLANK('Annex 2 EHV charges'!$A$10:$A$108),1, COUNTIF(A$4:$A172, 'Annex 2 EHV charges'!$A$10:$A$108)), 0)),"")</f>
        <v/>
      </c>
      <c r="B173" s="80" t="str">
        <f>IF($A173="","",VLOOKUP($A173,'Annex 2 EHV charges'!$A:$O,2,0))</f>
        <v/>
      </c>
      <c r="C173" s="81" t="str">
        <f>IF($A173="","",VLOOKUP($A173,'Annex 2 EHV charges'!$A:$O,3,0))</f>
        <v/>
      </c>
      <c r="D173" s="80" t="str">
        <f>IF($A173="","",VLOOKUP($A173,'Annex 2 EHV charges'!$A:$O,7,0))</f>
        <v/>
      </c>
      <c r="E173" s="85" t="str">
        <f>IFERROR(IF(VLOOKUP($A173,'Annex 2 EHV charges'!$A:$O,9,FALSE)=0,"",VLOOKUP($A173,'Annex 2 EHV charges'!$A:$O,9,FALSE)),"")</f>
        <v/>
      </c>
      <c r="F173" s="86" t="str">
        <f>IFERROR(IF(VLOOKUP($A173,'Annex 2 EHV charges'!$A:$O,10,FALSE)=0,"",VLOOKUP($A173,'Annex 2 EHV charges'!$A:$O,10,FALSE)),"")</f>
        <v/>
      </c>
      <c r="G173" s="87" t="str">
        <f>IFERROR(IF(VLOOKUP($A173,'Annex 2 EHV charges'!$A:$O,11,FALSE)=0,"",VLOOKUP($A173,'Annex 2 EHV charges'!$A:$O,11,FALSE)),"")</f>
        <v/>
      </c>
      <c r="H173" s="87" t="str">
        <f>IFERROR(IF(VLOOKUP($A173,'Annex 2 EHV charges'!$A:$O,12,FALSE)=0,"",VLOOKUP($A173,'Annex 2 EHV charges'!$A:$O,12,FALSE)),"")</f>
        <v/>
      </c>
    </row>
    <row r="174" spans="1:8" x14ac:dyDescent="0.2">
      <c r="A174" s="80" t="str">
        <f t="array" ref="A174">IFERROR(INDEX('Annex 2 EHV charges'!$A$10:$A$108, MATCH(0, IF(ISBLANK('Annex 2 EHV charges'!$A$10:$A$108),1, COUNTIF(A$4:$A173, 'Annex 2 EHV charges'!$A$10:$A$108)), 0)),"")</f>
        <v/>
      </c>
      <c r="B174" s="80" t="str">
        <f>IF($A174="","",VLOOKUP($A174,'Annex 2 EHV charges'!$A:$O,2,0))</f>
        <v/>
      </c>
      <c r="C174" s="81" t="str">
        <f>IF($A174="","",VLOOKUP($A174,'Annex 2 EHV charges'!$A:$O,3,0))</f>
        <v/>
      </c>
      <c r="D174" s="80" t="str">
        <f>IF($A174="","",VLOOKUP($A174,'Annex 2 EHV charges'!$A:$O,7,0))</f>
        <v/>
      </c>
      <c r="E174" s="85" t="str">
        <f>IFERROR(IF(VLOOKUP($A174,'Annex 2 EHV charges'!$A:$O,9,FALSE)=0,"",VLOOKUP($A174,'Annex 2 EHV charges'!$A:$O,9,FALSE)),"")</f>
        <v/>
      </c>
      <c r="F174" s="86" t="str">
        <f>IFERROR(IF(VLOOKUP($A174,'Annex 2 EHV charges'!$A:$O,10,FALSE)=0,"",VLOOKUP($A174,'Annex 2 EHV charges'!$A:$O,10,FALSE)),"")</f>
        <v/>
      </c>
      <c r="G174" s="87" t="str">
        <f>IFERROR(IF(VLOOKUP($A174,'Annex 2 EHV charges'!$A:$O,11,FALSE)=0,"",VLOOKUP($A174,'Annex 2 EHV charges'!$A:$O,11,FALSE)),"")</f>
        <v/>
      </c>
      <c r="H174" s="87" t="str">
        <f>IFERROR(IF(VLOOKUP($A174,'Annex 2 EHV charges'!$A:$O,12,FALSE)=0,"",VLOOKUP($A174,'Annex 2 EHV charges'!$A:$O,12,FALSE)),"")</f>
        <v/>
      </c>
    </row>
    <row r="175" spans="1:8" x14ac:dyDescent="0.2">
      <c r="A175" s="80" t="str">
        <f t="array" ref="A175">IFERROR(INDEX('Annex 2 EHV charges'!$A$10:$A$108, MATCH(0, IF(ISBLANK('Annex 2 EHV charges'!$A$10:$A$108),1, COUNTIF(A$4:$A174, 'Annex 2 EHV charges'!$A$10:$A$108)), 0)),"")</f>
        <v/>
      </c>
      <c r="B175" s="80" t="str">
        <f>IF($A175="","",VLOOKUP($A175,'Annex 2 EHV charges'!$A:$O,2,0))</f>
        <v/>
      </c>
      <c r="C175" s="81" t="str">
        <f>IF($A175="","",VLOOKUP($A175,'Annex 2 EHV charges'!$A:$O,3,0))</f>
        <v/>
      </c>
      <c r="D175" s="80" t="str">
        <f>IF($A175="","",VLOOKUP($A175,'Annex 2 EHV charges'!$A:$O,7,0))</f>
        <v/>
      </c>
      <c r="E175" s="85" t="str">
        <f>IFERROR(IF(VLOOKUP($A175,'Annex 2 EHV charges'!$A:$O,9,FALSE)=0,"",VLOOKUP($A175,'Annex 2 EHV charges'!$A:$O,9,FALSE)),"")</f>
        <v/>
      </c>
      <c r="F175" s="86" t="str">
        <f>IFERROR(IF(VLOOKUP($A175,'Annex 2 EHV charges'!$A:$O,10,FALSE)=0,"",VLOOKUP($A175,'Annex 2 EHV charges'!$A:$O,10,FALSE)),"")</f>
        <v/>
      </c>
      <c r="G175" s="87" t="str">
        <f>IFERROR(IF(VLOOKUP($A175,'Annex 2 EHV charges'!$A:$O,11,FALSE)=0,"",VLOOKUP($A175,'Annex 2 EHV charges'!$A:$O,11,FALSE)),"")</f>
        <v/>
      </c>
      <c r="H175" s="87" t="str">
        <f>IFERROR(IF(VLOOKUP($A175,'Annex 2 EHV charges'!$A:$O,12,FALSE)=0,"",VLOOKUP($A175,'Annex 2 EHV charges'!$A:$O,12,FALSE)),"")</f>
        <v/>
      </c>
    </row>
    <row r="176" spans="1:8" x14ac:dyDescent="0.2">
      <c r="A176" s="80" t="str">
        <f t="array" ref="A176">IFERROR(INDEX('Annex 2 EHV charges'!$A$10:$A$108, MATCH(0, IF(ISBLANK('Annex 2 EHV charges'!$A$10:$A$108),1, COUNTIF(A$4:$A175, 'Annex 2 EHV charges'!$A$10:$A$108)), 0)),"")</f>
        <v/>
      </c>
      <c r="B176" s="80" t="str">
        <f>IF($A176="","",VLOOKUP($A176,'Annex 2 EHV charges'!$A:$O,2,0))</f>
        <v/>
      </c>
      <c r="C176" s="81" t="str">
        <f>IF($A176="","",VLOOKUP($A176,'Annex 2 EHV charges'!$A:$O,3,0))</f>
        <v/>
      </c>
      <c r="D176" s="80" t="str">
        <f>IF($A176="","",VLOOKUP($A176,'Annex 2 EHV charges'!$A:$O,7,0))</f>
        <v/>
      </c>
      <c r="E176" s="85" t="str">
        <f>IFERROR(IF(VLOOKUP($A176,'Annex 2 EHV charges'!$A:$O,9,FALSE)=0,"",VLOOKUP($A176,'Annex 2 EHV charges'!$A:$O,9,FALSE)),"")</f>
        <v/>
      </c>
      <c r="F176" s="86" t="str">
        <f>IFERROR(IF(VLOOKUP($A176,'Annex 2 EHV charges'!$A:$O,10,FALSE)=0,"",VLOOKUP($A176,'Annex 2 EHV charges'!$A:$O,10,FALSE)),"")</f>
        <v/>
      </c>
      <c r="G176" s="87" t="str">
        <f>IFERROR(IF(VLOOKUP($A176,'Annex 2 EHV charges'!$A:$O,11,FALSE)=0,"",VLOOKUP($A176,'Annex 2 EHV charges'!$A:$O,11,FALSE)),"")</f>
        <v/>
      </c>
      <c r="H176" s="87" t="str">
        <f>IFERROR(IF(VLOOKUP($A176,'Annex 2 EHV charges'!$A:$O,12,FALSE)=0,"",VLOOKUP($A176,'Annex 2 EHV charges'!$A:$O,12,FALSE)),"")</f>
        <v/>
      </c>
    </row>
    <row r="177" spans="1:8" x14ac:dyDescent="0.2">
      <c r="A177" s="80" t="str">
        <f t="array" ref="A177">IFERROR(INDEX('Annex 2 EHV charges'!$A$10:$A$108, MATCH(0, IF(ISBLANK('Annex 2 EHV charges'!$A$10:$A$108),1, COUNTIF(A$4:$A176, 'Annex 2 EHV charges'!$A$10:$A$108)), 0)),"")</f>
        <v/>
      </c>
      <c r="B177" s="80" t="str">
        <f>IF($A177="","",VLOOKUP($A177,'Annex 2 EHV charges'!$A:$O,2,0))</f>
        <v/>
      </c>
      <c r="C177" s="81" t="str">
        <f>IF($A177="","",VLOOKUP($A177,'Annex 2 EHV charges'!$A:$O,3,0))</f>
        <v/>
      </c>
      <c r="D177" s="80" t="str">
        <f>IF($A177="","",VLOOKUP($A177,'Annex 2 EHV charges'!$A:$O,7,0))</f>
        <v/>
      </c>
      <c r="E177" s="85" t="str">
        <f>IFERROR(IF(VLOOKUP($A177,'Annex 2 EHV charges'!$A:$O,9,FALSE)=0,"",VLOOKUP($A177,'Annex 2 EHV charges'!$A:$O,9,FALSE)),"")</f>
        <v/>
      </c>
      <c r="F177" s="86" t="str">
        <f>IFERROR(IF(VLOOKUP($A177,'Annex 2 EHV charges'!$A:$O,10,FALSE)=0,"",VLOOKUP($A177,'Annex 2 EHV charges'!$A:$O,10,FALSE)),"")</f>
        <v/>
      </c>
      <c r="G177" s="87" t="str">
        <f>IFERROR(IF(VLOOKUP($A177,'Annex 2 EHV charges'!$A:$O,11,FALSE)=0,"",VLOOKUP($A177,'Annex 2 EHV charges'!$A:$O,11,FALSE)),"")</f>
        <v/>
      </c>
      <c r="H177" s="87" t="str">
        <f>IFERROR(IF(VLOOKUP($A177,'Annex 2 EHV charges'!$A:$O,12,FALSE)=0,"",VLOOKUP($A177,'Annex 2 EHV charges'!$A:$O,12,FALSE)),"")</f>
        <v/>
      </c>
    </row>
    <row r="178" spans="1:8" x14ac:dyDescent="0.2">
      <c r="A178" s="80" t="str">
        <f t="array" ref="A178">IFERROR(INDEX('Annex 2 EHV charges'!$A$10:$A$108, MATCH(0, IF(ISBLANK('Annex 2 EHV charges'!$A$10:$A$108),1, COUNTIF(A$4:$A177, 'Annex 2 EHV charges'!$A$10:$A$108)), 0)),"")</f>
        <v/>
      </c>
      <c r="B178" s="80" t="str">
        <f>IF($A178="","",VLOOKUP($A178,'Annex 2 EHV charges'!$A:$O,2,0))</f>
        <v/>
      </c>
      <c r="C178" s="81" t="str">
        <f>IF($A178="","",VLOOKUP($A178,'Annex 2 EHV charges'!$A:$O,3,0))</f>
        <v/>
      </c>
      <c r="D178" s="80" t="str">
        <f>IF($A178="","",VLOOKUP($A178,'Annex 2 EHV charges'!$A:$O,7,0))</f>
        <v/>
      </c>
      <c r="E178" s="85" t="str">
        <f>IFERROR(IF(VLOOKUP($A178,'Annex 2 EHV charges'!$A:$O,9,FALSE)=0,"",VLOOKUP($A178,'Annex 2 EHV charges'!$A:$O,9,FALSE)),"")</f>
        <v/>
      </c>
      <c r="F178" s="86" t="str">
        <f>IFERROR(IF(VLOOKUP($A178,'Annex 2 EHV charges'!$A:$O,10,FALSE)=0,"",VLOOKUP($A178,'Annex 2 EHV charges'!$A:$O,10,FALSE)),"")</f>
        <v/>
      </c>
      <c r="G178" s="87" t="str">
        <f>IFERROR(IF(VLOOKUP($A178,'Annex 2 EHV charges'!$A:$O,11,FALSE)=0,"",VLOOKUP($A178,'Annex 2 EHV charges'!$A:$O,11,FALSE)),"")</f>
        <v/>
      </c>
      <c r="H178" s="87" t="str">
        <f>IFERROR(IF(VLOOKUP($A178,'Annex 2 EHV charges'!$A:$O,12,FALSE)=0,"",VLOOKUP($A178,'Annex 2 EHV charges'!$A:$O,12,FALSE)),"")</f>
        <v/>
      </c>
    </row>
    <row r="179" spans="1:8" x14ac:dyDescent="0.2">
      <c r="A179" s="80" t="str">
        <f t="array" ref="A179">IFERROR(INDEX('Annex 2 EHV charges'!$A$10:$A$108, MATCH(0, IF(ISBLANK('Annex 2 EHV charges'!$A$10:$A$108),1, COUNTIF(A$4:$A178, 'Annex 2 EHV charges'!$A$10:$A$108)), 0)),"")</f>
        <v/>
      </c>
      <c r="B179" s="80" t="str">
        <f>IF($A179="","",VLOOKUP($A179,'Annex 2 EHV charges'!$A:$O,2,0))</f>
        <v/>
      </c>
      <c r="C179" s="81" t="str">
        <f>IF($A179="","",VLOOKUP($A179,'Annex 2 EHV charges'!$A:$O,3,0))</f>
        <v/>
      </c>
      <c r="D179" s="80" t="str">
        <f>IF($A179="","",VLOOKUP($A179,'Annex 2 EHV charges'!$A:$O,7,0))</f>
        <v/>
      </c>
      <c r="E179" s="85" t="str">
        <f>IFERROR(IF(VLOOKUP($A179,'Annex 2 EHV charges'!$A:$O,9,FALSE)=0,"",VLOOKUP($A179,'Annex 2 EHV charges'!$A:$O,9,FALSE)),"")</f>
        <v/>
      </c>
      <c r="F179" s="86" t="str">
        <f>IFERROR(IF(VLOOKUP($A179,'Annex 2 EHV charges'!$A:$O,10,FALSE)=0,"",VLOOKUP($A179,'Annex 2 EHV charges'!$A:$O,10,FALSE)),"")</f>
        <v/>
      </c>
      <c r="G179" s="87" t="str">
        <f>IFERROR(IF(VLOOKUP($A179,'Annex 2 EHV charges'!$A:$O,11,FALSE)=0,"",VLOOKUP($A179,'Annex 2 EHV charges'!$A:$O,11,FALSE)),"")</f>
        <v/>
      </c>
      <c r="H179" s="87" t="str">
        <f>IFERROR(IF(VLOOKUP($A179,'Annex 2 EHV charges'!$A:$O,12,FALSE)=0,"",VLOOKUP($A179,'Annex 2 EHV charges'!$A:$O,12,FALSE)),"")</f>
        <v/>
      </c>
    </row>
    <row r="180" spans="1:8" x14ac:dyDescent="0.2">
      <c r="A180" s="80" t="str">
        <f t="array" ref="A180">IFERROR(INDEX('Annex 2 EHV charges'!$A$10:$A$108, MATCH(0, IF(ISBLANK('Annex 2 EHV charges'!$A$10:$A$108),1, COUNTIF(A$4:$A179, 'Annex 2 EHV charges'!$A$10:$A$108)), 0)),"")</f>
        <v/>
      </c>
      <c r="B180" s="80" t="str">
        <f>IF($A180="","",VLOOKUP($A180,'Annex 2 EHV charges'!$A:$O,2,0))</f>
        <v/>
      </c>
      <c r="C180" s="81" t="str">
        <f>IF($A180="","",VLOOKUP($A180,'Annex 2 EHV charges'!$A:$O,3,0))</f>
        <v/>
      </c>
      <c r="D180" s="80" t="str">
        <f>IF($A180="","",VLOOKUP($A180,'Annex 2 EHV charges'!$A:$O,7,0))</f>
        <v/>
      </c>
      <c r="E180" s="85" t="str">
        <f>IFERROR(IF(VLOOKUP($A180,'Annex 2 EHV charges'!$A:$O,9,FALSE)=0,"",VLOOKUP($A180,'Annex 2 EHV charges'!$A:$O,9,FALSE)),"")</f>
        <v/>
      </c>
      <c r="F180" s="86" t="str">
        <f>IFERROR(IF(VLOOKUP($A180,'Annex 2 EHV charges'!$A:$O,10,FALSE)=0,"",VLOOKUP($A180,'Annex 2 EHV charges'!$A:$O,10,FALSE)),"")</f>
        <v/>
      </c>
      <c r="G180" s="87" t="str">
        <f>IFERROR(IF(VLOOKUP($A180,'Annex 2 EHV charges'!$A:$O,11,FALSE)=0,"",VLOOKUP($A180,'Annex 2 EHV charges'!$A:$O,11,FALSE)),"")</f>
        <v/>
      </c>
      <c r="H180" s="87" t="str">
        <f>IFERROR(IF(VLOOKUP($A180,'Annex 2 EHV charges'!$A:$O,12,FALSE)=0,"",VLOOKUP($A180,'Annex 2 EHV charges'!$A:$O,12,FALSE)),"")</f>
        <v/>
      </c>
    </row>
    <row r="181" spans="1:8" x14ac:dyDescent="0.2">
      <c r="A181" s="80" t="str">
        <f t="array" ref="A181">IFERROR(INDEX('Annex 2 EHV charges'!$A$10:$A$108, MATCH(0, IF(ISBLANK('Annex 2 EHV charges'!$A$10:$A$108),1, COUNTIF(A$4:$A180, 'Annex 2 EHV charges'!$A$10:$A$108)), 0)),"")</f>
        <v/>
      </c>
      <c r="B181" s="80" t="str">
        <f>IF($A181="","",VLOOKUP($A181,'Annex 2 EHV charges'!$A:$O,2,0))</f>
        <v/>
      </c>
      <c r="C181" s="81" t="str">
        <f>IF($A181="","",VLOOKUP($A181,'Annex 2 EHV charges'!$A:$O,3,0))</f>
        <v/>
      </c>
      <c r="D181" s="80" t="str">
        <f>IF($A181="","",VLOOKUP($A181,'Annex 2 EHV charges'!$A:$O,7,0))</f>
        <v/>
      </c>
      <c r="E181" s="85" t="str">
        <f>IFERROR(IF(VLOOKUP($A181,'Annex 2 EHV charges'!$A:$O,9,FALSE)=0,"",VLOOKUP($A181,'Annex 2 EHV charges'!$A:$O,9,FALSE)),"")</f>
        <v/>
      </c>
      <c r="F181" s="86" t="str">
        <f>IFERROR(IF(VLOOKUP($A181,'Annex 2 EHV charges'!$A:$O,10,FALSE)=0,"",VLOOKUP($A181,'Annex 2 EHV charges'!$A:$O,10,FALSE)),"")</f>
        <v/>
      </c>
      <c r="G181" s="87" t="str">
        <f>IFERROR(IF(VLOOKUP($A181,'Annex 2 EHV charges'!$A:$O,11,FALSE)=0,"",VLOOKUP($A181,'Annex 2 EHV charges'!$A:$O,11,FALSE)),"")</f>
        <v/>
      </c>
      <c r="H181" s="87" t="str">
        <f>IFERROR(IF(VLOOKUP($A181,'Annex 2 EHV charges'!$A:$O,12,FALSE)=0,"",VLOOKUP($A181,'Annex 2 EHV charges'!$A:$O,12,FALSE)),"")</f>
        <v/>
      </c>
    </row>
    <row r="182" spans="1:8" x14ac:dyDescent="0.2">
      <c r="A182" s="80" t="str">
        <f t="array" ref="A182">IFERROR(INDEX('Annex 2 EHV charges'!$A$10:$A$108, MATCH(0, IF(ISBLANK('Annex 2 EHV charges'!$A$10:$A$108),1, COUNTIF(A$4:$A181, 'Annex 2 EHV charges'!$A$10:$A$108)), 0)),"")</f>
        <v/>
      </c>
      <c r="B182" s="80" t="str">
        <f>IF($A182="","",VLOOKUP($A182,'Annex 2 EHV charges'!$A:$O,2,0))</f>
        <v/>
      </c>
      <c r="C182" s="81" t="str">
        <f>IF($A182="","",VLOOKUP($A182,'Annex 2 EHV charges'!$A:$O,3,0))</f>
        <v/>
      </c>
      <c r="D182" s="80" t="str">
        <f>IF($A182="","",VLOOKUP($A182,'Annex 2 EHV charges'!$A:$O,7,0))</f>
        <v/>
      </c>
      <c r="E182" s="85" t="str">
        <f>IFERROR(IF(VLOOKUP($A182,'Annex 2 EHV charges'!$A:$O,9,FALSE)=0,"",VLOOKUP($A182,'Annex 2 EHV charges'!$A:$O,9,FALSE)),"")</f>
        <v/>
      </c>
      <c r="F182" s="86" t="str">
        <f>IFERROR(IF(VLOOKUP($A182,'Annex 2 EHV charges'!$A:$O,10,FALSE)=0,"",VLOOKUP($A182,'Annex 2 EHV charges'!$A:$O,10,FALSE)),"")</f>
        <v/>
      </c>
      <c r="G182" s="87" t="str">
        <f>IFERROR(IF(VLOOKUP($A182,'Annex 2 EHV charges'!$A:$O,11,FALSE)=0,"",VLOOKUP($A182,'Annex 2 EHV charges'!$A:$O,11,FALSE)),"")</f>
        <v/>
      </c>
      <c r="H182" s="87" t="str">
        <f>IFERROR(IF(VLOOKUP($A182,'Annex 2 EHV charges'!$A:$O,12,FALSE)=0,"",VLOOKUP($A182,'Annex 2 EHV charges'!$A:$O,12,FALSE)),"")</f>
        <v/>
      </c>
    </row>
    <row r="183" spans="1:8" x14ac:dyDescent="0.2">
      <c r="A183" s="80" t="str">
        <f t="array" ref="A183">IFERROR(INDEX('Annex 2 EHV charges'!$A$10:$A$108, MATCH(0, IF(ISBLANK('Annex 2 EHV charges'!$A$10:$A$108),1, COUNTIF(A$4:$A182, 'Annex 2 EHV charges'!$A$10:$A$108)), 0)),"")</f>
        <v/>
      </c>
      <c r="B183" s="80" t="str">
        <f>IF($A183="","",VLOOKUP($A183,'Annex 2 EHV charges'!$A:$O,2,0))</f>
        <v/>
      </c>
      <c r="C183" s="81" t="str">
        <f>IF($A183="","",VLOOKUP($A183,'Annex 2 EHV charges'!$A:$O,3,0))</f>
        <v/>
      </c>
      <c r="D183" s="80" t="str">
        <f>IF($A183="","",VLOOKUP($A183,'Annex 2 EHV charges'!$A:$O,7,0))</f>
        <v/>
      </c>
      <c r="E183" s="85" t="str">
        <f>IFERROR(IF(VLOOKUP($A183,'Annex 2 EHV charges'!$A:$O,9,FALSE)=0,"",VLOOKUP($A183,'Annex 2 EHV charges'!$A:$O,9,FALSE)),"")</f>
        <v/>
      </c>
      <c r="F183" s="86" t="str">
        <f>IFERROR(IF(VLOOKUP($A183,'Annex 2 EHV charges'!$A:$O,10,FALSE)=0,"",VLOOKUP($A183,'Annex 2 EHV charges'!$A:$O,10,FALSE)),"")</f>
        <v/>
      </c>
      <c r="G183" s="87" t="str">
        <f>IFERROR(IF(VLOOKUP($A183,'Annex 2 EHV charges'!$A:$O,11,FALSE)=0,"",VLOOKUP($A183,'Annex 2 EHV charges'!$A:$O,11,FALSE)),"")</f>
        <v/>
      </c>
      <c r="H183" s="87" t="str">
        <f>IFERROR(IF(VLOOKUP($A183,'Annex 2 EHV charges'!$A:$O,12,FALSE)=0,"",VLOOKUP($A183,'Annex 2 EHV charges'!$A:$O,12,FALSE)),"")</f>
        <v/>
      </c>
    </row>
    <row r="184" spans="1:8" x14ac:dyDescent="0.2">
      <c r="A184" s="80" t="str">
        <f t="array" ref="A184">IFERROR(INDEX('Annex 2 EHV charges'!$A$10:$A$108, MATCH(0, IF(ISBLANK('Annex 2 EHV charges'!$A$10:$A$108),1, COUNTIF(A$4:$A183, 'Annex 2 EHV charges'!$A$10:$A$108)), 0)),"")</f>
        <v/>
      </c>
      <c r="B184" s="80" t="str">
        <f>IF($A184="","",VLOOKUP($A184,'Annex 2 EHV charges'!$A:$O,2,0))</f>
        <v/>
      </c>
      <c r="C184" s="81" t="str">
        <f>IF($A184="","",VLOOKUP($A184,'Annex 2 EHV charges'!$A:$O,3,0))</f>
        <v/>
      </c>
      <c r="D184" s="80" t="str">
        <f>IF($A184="","",VLOOKUP($A184,'Annex 2 EHV charges'!$A:$O,7,0))</f>
        <v/>
      </c>
      <c r="E184" s="85" t="str">
        <f>IFERROR(IF(VLOOKUP($A184,'Annex 2 EHV charges'!$A:$O,9,FALSE)=0,"",VLOOKUP($A184,'Annex 2 EHV charges'!$A:$O,9,FALSE)),"")</f>
        <v/>
      </c>
      <c r="F184" s="86" t="str">
        <f>IFERROR(IF(VLOOKUP($A184,'Annex 2 EHV charges'!$A:$O,10,FALSE)=0,"",VLOOKUP($A184,'Annex 2 EHV charges'!$A:$O,10,FALSE)),"")</f>
        <v/>
      </c>
      <c r="G184" s="87" t="str">
        <f>IFERROR(IF(VLOOKUP($A184,'Annex 2 EHV charges'!$A:$O,11,FALSE)=0,"",VLOOKUP($A184,'Annex 2 EHV charges'!$A:$O,11,FALSE)),"")</f>
        <v/>
      </c>
      <c r="H184" s="87" t="str">
        <f>IFERROR(IF(VLOOKUP($A184,'Annex 2 EHV charges'!$A:$O,12,FALSE)=0,"",VLOOKUP($A184,'Annex 2 EHV charges'!$A:$O,12,FALSE)),"")</f>
        <v/>
      </c>
    </row>
    <row r="185" spans="1:8" x14ac:dyDescent="0.2">
      <c r="A185" s="80" t="str">
        <f t="array" ref="A185">IFERROR(INDEX('Annex 2 EHV charges'!$A$10:$A$108, MATCH(0, IF(ISBLANK('Annex 2 EHV charges'!$A$10:$A$108),1, COUNTIF(A$4:$A184, 'Annex 2 EHV charges'!$A$10:$A$108)), 0)),"")</f>
        <v/>
      </c>
      <c r="B185" s="80" t="str">
        <f>IF($A185="","",VLOOKUP($A185,'Annex 2 EHV charges'!$A:$O,2,0))</f>
        <v/>
      </c>
      <c r="C185" s="81" t="str">
        <f>IF($A185="","",VLOOKUP($A185,'Annex 2 EHV charges'!$A:$O,3,0))</f>
        <v/>
      </c>
      <c r="D185" s="80" t="str">
        <f>IF($A185="","",VLOOKUP($A185,'Annex 2 EHV charges'!$A:$O,7,0))</f>
        <v/>
      </c>
      <c r="E185" s="85" t="str">
        <f>IFERROR(IF(VLOOKUP($A185,'Annex 2 EHV charges'!$A:$O,9,FALSE)=0,"",VLOOKUP($A185,'Annex 2 EHV charges'!$A:$O,9,FALSE)),"")</f>
        <v/>
      </c>
      <c r="F185" s="86" t="str">
        <f>IFERROR(IF(VLOOKUP($A185,'Annex 2 EHV charges'!$A:$O,10,FALSE)=0,"",VLOOKUP($A185,'Annex 2 EHV charges'!$A:$O,10,FALSE)),"")</f>
        <v/>
      </c>
      <c r="G185" s="87" t="str">
        <f>IFERROR(IF(VLOOKUP($A185,'Annex 2 EHV charges'!$A:$O,11,FALSE)=0,"",VLOOKUP($A185,'Annex 2 EHV charges'!$A:$O,11,FALSE)),"")</f>
        <v/>
      </c>
      <c r="H185" s="87" t="str">
        <f>IFERROR(IF(VLOOKUP($A185,'Annex 2 EHV charges'!$A:$O,12,FALSE)=0,"",VLOOKUP($A185,'Annex 2 EHV charges'!$A:$O,12,FALSE)),"")</f>
        <v/>
      </c>
    </row>
    <row r="186" spans="1:8" x14ac:dyDescent="0.2">
      <c r="A186" s="80" t="str">
        <f t="array" ref="A186">IFERROR(INDEX('Annex 2 EHV charges'!$A$10:$A$108, MATCH(0, IF(ISBLANK('Annex 2 EHV charges'!$A$10:$A$108),1, COUNTIF(A$4:$A185, 'Annex 2 EHV charges'!$A$10:$A$108)), 0)),"")</f>
        <v/>
      </c>
      <c r="B186" s="80" t="str">
        <f>IF($A186="","",VLOOKUP($A186,'Annex 2 EHV charges'!$A:$O,2,0))</f>
        <v/>
      </c>
      <c r="C186" s="81" t="str">
        <f>IF($A186="","",VLOOKUP($A186,'Annex 2 EHV charges'!$A:$O,3,0))</f>
        <v/>
      </c>
      <c r="D186" s="80" t="str">
        <f>IF($A186="","",VLOOKUP($A186,'Annex 2 EHV charges'!$A:$O,7,0))</f>
        <v/>
      </c>
      <c r="E186" s="85" t="str">
        <f>IFERROR(IF(VLOOKUP($A186,'Annex 2 EHV charges'!$A:$O,9,FALSE)=0,"",VLOOKUP($A186,'Annex 2 EHV charges'!$A:$O,9,FALSE)),"")</f>
        <v/>
      </c>
      <c r="F186" s="86" t="str">
        <f>IFERROR(IF(VLOOKUP($A186,'Annex 2 EHV charges'!$A:$O,10,FALSE)=0,"",VLOOKUP($A186,'Annex 2 EHV charges'!$A:$O,10,FALSE)),"")</f>
        <v/>
      </c>
      <c r="G186" s="87" t="str">
        <f>IFERROR(IF(VLOOKUP($A186,'Annex 2 EHV charges'!$A:$O,11,FALSE)=0,"",VLOOKUP($A186,'Annex 2 EHV charges'!$A:$O,11,FALSE)),"")</f>
        <v/>
      </c>
      <c r="H186" s="87" t="str">
        <f>IFERROR(IF(VLOOKUP($A186,'Annex 2 EHV charges'!$A:$O,12,FALSE)=0,"",VLOOKUP($A186,'Annex 2 EHV charges'!$A:$O,12,FALSE)),"")</f>
        <v/>
      </c>
    </row>
    <row r="187" spans="1:8" x14ac:dyDescent="0.2">
      <c r="A187" s="80" t="str">
        <f t="array" ref="A187">IFERROR(INDEX('Annex 2 EHV charges'!$A$10:$A$108, MATCH(0, IF(ISBLANK('Annex 2 EHV charges'!$A$10:$A$108),1, COUNTIF(A$4:$A186, 'Annex 2 EHV charges'!$A$10:$A$108)), 0)),"")</f>
        <v/>
      </c>
      <c r="B187" s="80" t="str">
        <f>IF($A187="","",VLOOKUP($A187,'Annex 2 EHV charges'!$A:$O,2,0))</f>
        <v/>
      </c>
      <c r="C187" s="81" t="str">
        <f>IF($A187="","",VLOOKUP($A187,'Annex 2 EHV charges'!$A:$O,3,0))</f>
        <v/>
      </c>
      <c r="D187" s="80" t="str">
        <f>IF($A187="","",VLOOKUP($A187,'Annex 2 EHV charges'!$A:$O,7,0))</f>
        <v/>
      </c>
      <c r="E187" s="85" t="str">
        <f>IFERROR(IF(VLOOKUP($A187,'Annex 2 EHV charges'!$A:$O,9,FALSE)=0,"",VLOOKUP($A187,'Annex 2 EHV charges'!$A:$O,9,FALSE)),"")</f>
        <v/>
      </c>
      <c r="F187" s="86" t="str">
        <f>IFERROR(IF(VLOOKUP($A187,'Annex 2 EHV charges'!$A:$O,10,FALSE)=0,"",VLOOKUP($A187,'Annex 2 EHV charges'!$A:$O,10,FALSE)),"")</f>
        <v/>
      </c>
      <c r="G187" s="87" t="str">
        <f>IFERROR(IF(VLOOKUP($A187,'Annex 2 EHV charges'!$A:$O,11,FALSE)=0,"",VLOOKUP($A187,'Annex 2 EHV charges'!$A:$O,11,FALSE)),"")</f>
        <v/>
      </c>
      <c r="H187" s="87" t="str">
        <f>IFERROR(IF(VLOOKUP($A187,'Annex 2 EHV charges'!$A:$O,12,FALSE)=0,"",VLOOKUP($A187,'Annex 2 EHV charges'!$A:$O,12,FALSE)),"")</f>
        <v/>
      </c>
    </row>
    <row r="188" spans="1:8" x14ac:dyDescent="0.2">
      <c r="A188" s="80" t="str">
        <f t="array" ref="A188">IFERROR(INDEX('Annex 2 EHV charges'!$A$10:$A$108, MATCH(0, IF(ISBLANK('Annex 2 EHV charges'!$A$10:$A$108),1, COUNTIF(A$4:$A187, 'Annex 2 EHV charges'!$A$10:$A$108)), 0)),"")</f>
        <v/>
      </c>
      <c r="B188" s="80" t="str">
        <f>IF($A188="","",VLOOKUP($A188,'Annex 2 EHV charges'!$A:$O,2,0))</f>
        <v/>
      </c>
      <c r="C188" s="81" t="str">
        <f>IF($A188="","",VLOOKUP($A188,'Annex 2 EHV charges'!$A:$O,3,0))</f>
        <v/>
      </c>
      <c r="D188" s="80" t="str">
        <f>IF($A188="","",VLOOKUP($A188,'Annex 2 EHV charges'!$A:$O,7,0))</f>
        <v/>
      </c>
      <c r="E188" s="85" t="str">
        <f>IFERROR(IF(VLOOKUP($A188,'Annex 2 EHV charges'!$A:$O,9,FALSE)=0,"",VLOOKUP($A188,'Annex 2 EHV charges'!$A:$O,9,FALSE)),"")</f>
        <v/>
      </c>
      <c r="F188" s="86" t="str">
        <f>IFERROR(IF(VLOOKUP($A188,'Annex 2 EHV charges'!$A:$O,10,FALSE)=0,"",VLOOKUP($A188,'Annex 2 EHV charges'!$A:$O,10,FALSE)),"")</f>
        <v/>
      </c>
      <c r="G188" s="87" t="str">
        <f>IFERROR(IF(VLOOKUP($A188,'Annex 2 EHV charges'!$A:$O,11,FALSE)=0,"",VLOOKUP($A188,'Annex 2 EHV charges'!$A:$O,11,FALSE)),"")</f>
        <v/>
      </c>
      <c r="H188" s="87" t="str">
        <f>IFERROR(IF(VLOOKUP($A188,'Annex 2 EHV charges'!$A:$O,12,FALSE)=0,"",VLOOKUP($A188,'Annex 2 EHV charges'!$A:$O,12,FALSE)),"")</f>
        <v/>
      </c>
    </row>
    <row r="189" spans="1:8" x14ac:dyDescent="0.2">
      <c r="A189" s="80" t="str">
        <f t="array" ref="A189">IFERROR(INDEX('Annex 2 EHV charges'!$A$10:$A$108, MATCH(0, IF(ISBLANK('Annex 2 EHV charges'!$A$10:$A$108),1, COUNTIF(A$4:$A188, 'Annex 2 EHV charges'!$A$10:$A$108)), 0)),"")</f>
        <v/>
      </c>
      <c r="B189" s="80" t="str">
        <f>IF($A189="","",VLOOKUP($A189,'Annex 2 EHV charges'!$A:$O,2,0))</f>
        <v/>
      </c>
      <c r="C189" s="81" t="str">
        <f>IF($A189="","",VLOOKUP($A189,'Annex 2 EHV charges'!$A:$O,3,0))</f>
        <v/>
      </c>
      <c r="D189" s="80" t="str">
        <f>IF($A189="","",VLOOKUP($A189,'Annex 2 EHV charges'!$A:$O,7,0))</f>
        <v/>
      </c>
      <c r="E189" s="85" t="str">
        <f>IFERROR(IF(VLOOKUP($A189,'Annex 2 EHV charges'!$A:$O,9,FALSE)=0,"",VLOOKUP($A189,'Annex 2 EHV charges'!$A:$O,9,FALSE)),"")</f>
        <v/>
      </c>
      <c r="F189" s="86" t="str">
        <f>IFERROR(IF(VLOOKUP($A189,'Annex 2 EHV charges'!$A:$O,10,FALSE)=0,"",VLOOKUP($A189,'Annex 2 EHV charges'!$A:$O,10,FALSE)),"")</f>
        <v/>
      </c>
      <c r="G189" s="87" t="str">
        <f>IFERROR(IF(VLOOKUP($A189,'Annex 2 EHV charges'!$A:$O,11,FALSE)=0,"",VLOOKUP($A189,'Annex 2 EHV charges'!$A:$O,11,FALSE)),"")</f>
        <v/>
      </c>
      <c r="H189" s="87" t="str">
        <f>IFERROR(IF(VLOOKUP($A189,'Annex 2 EHV charges'!$A:$O,12,FALSE)=0,"",VLOOKUP($A189,'Annex 2 EHV charges'!$A:$O,12,FALSE)),"")</f>
        <v/>
      </c>
    </row>
    <row r="190" spans="1:8" x14ac:dyDescent="0.2">
      <c r="A190" s="80" t="str">
        <f t="array" ref="A190">IFERROR(INDEX('Annex 2 EHV charges'!$A$10:$A$108, MATCH(0, IF(ISBLANK('Annex 2 EHV charges'!$A$10:$A$108),1, COUNTIF(A$4:$A189, 'Annex 2 EHV charges'!$A$10:$A$108)), 0)),"")</f>
        <v/>
      </c>
      <c r="B190" s="80" t="str">
        <f>IF($A190="","",VLOOKUP($A190,'Annex 2 EHV charges'!$A:$O,2,0))</f>
        <v/>
      </c>
      <c r="C190" s="81" t="str">
        <f>IF($A190="","",VLOOKUP($A190,'Annex 2 EHV charges'!$A:$O,3,0))</f>
        <v/>
      </c>
      <c r="D190" s="80" t="str">
        <f>IF($A190="","",VLOOKUP($A190,'Annex 2 EHV charges'!$A:$O,7,0))</f>
        <v/>
      </c>
      <c r="E190" s="85" t="str">
        <f>IFERROR(IF(VLOOKUP($A190,'Annex 2 EHV charges'!$A:$O,9,FALSE)=0,"",VLOOKUP($A190,'Annex 2 EHV charges'!$A:$O,9,FALSE)),"")</f>
        <v/>
      </c>
      <c r="F190" s="86" t="str">
        <f>IFERROR(IF(VLOOKUP($A190,'Annex 2 EHV charges'!$A:$O,10,FALSE)=0,"",VLOOKUP($A190,'Annex 2 EHV charges'!$A:$O,10,FALSE)),"")</f>
        <v/>
      </c>
      <c r="G190" s="87" t="str">
        <f>IFERROR(IF(VLOOKUP($A190,'Annex 2 EHV charges'!$A:$O,11,FALSE)=0,"",VLOOKUP($A190,'Annex 2 EHV charges'!$A:$O,11,FALSE)),"")</f>
        <v/>
      </c>
      <c r="H190" s="87" t="str">
        <f>IFERROR(IF(VLOOKUP($A190,'Annex 2 EHV charges'!$A:$O,12,FALSE)=0,"",VLOOKUP($A190,'Annex 2 EHV charges'!$A:$O,12,FALSE)),"")</f>
        <v/>
      </c>
    </row>
    <row r="191" spans="1:8" x14ac:dyDescent="0.2">
      <c r="A191" s="80" t="str">
        <f t="array" ref="A191">IFERROR(INDEX('Annex 2 EHV charges'!$A$10:$A$108, MATCH(0, IF(ISBLANK('Annex 2 EHV charges'!$A$10:$A$108),1, COUNTIF(A$4:$A190, 'Annex 2 EHV charges'!$A$10:$A$108)), 0)),"")</f>
        <v/>
      </c>
      <c r="B191" s="80" t="str">
        <f>IF($A191="","",VLOOKUP($A191,'Annex 2 EHV charges'!$A:$O,2,0))</f>
        <v/>
      </c>
      <c r="C191" s="81" t="str">
        <f>IF($A191="","",VLOOKUP($A191,'Annex 2 EHV charges'!$A:$O,3,0))</f>
        <v/>
      </c>
      <c r="D191" s="80" t="str">
        <f>IF($A191="","",VLOOKUP($A191,'Annex 2 EHV charges'!$A:$O,7,0))</f>
        <v/>
      </c>
      <c r="E191" s="85" t="str">
        <f>IFERROR(IF(VLOOKUP($A191,'Annex 2 EHV charges'!$A:$O,9,FALSE)=0,"",VLOOKUP($A191,'Annex 2 EHV charges'!$A:$O,9,FALSE)),"")</f>
        <v/>
      </c>
      <c r="F191" s="86" t="str">
        <f>IFERROR(IF(VLOOKUP($A191,'Annex 2 EHV charges'!$A:$O,10,FALSE)=0,"",VLOOKUP($A191,'Annex 2 EHV charges'!$A:$O,10,FALSE)),"")</f>
        <v/>
      </c>
      <c r="G191" s="87" t="str">
        <f>IFERROR(IF(VLOOKUP($A191,'Annex 2 EHV charges'!$A:$O,11,FALSE)=0,"",VLOOKUP($A191,'Annex 2 EHV charges'!$A:$O,11,FALSE)),"")</f>
        <v/>
      </c>
      <c r="H191" s="87" t="str">
        <f>IFERROR(IF(VLOOKUP($A191,'Annex 2 EHV charges'!$A:$O,12,FALSE)=0,"",VLOOKUP($A191,'Annex 2 EHV charges'!$A:$O,12,FALSE)),"")</f>
        <v/>
      </c>
    </row>
    <row r="192" spans="1:8" x14ac:dyDescent="0.2">
      <c r="A192" s="80" t="str">
        <f t="array" ref="A192">IFERROR(INDEX('Annex 2 EHV charges'!$A$10:$A$108, MATCH(0, IF(ISBLANK('Annex 2 EHV charges'!$A$10:$A$108),1, COUNTIF(A$4:$A191, 'Annex 2 EHV charges'!$A$10:$A$108)), 0)),"")</f>
        <v/>
      </c>
      <c r="B192" s="80" t="str">
        <f>IF($A192="","",VLOOKUP($A192,'Annex 2 EHV charges'!$A:$O,2,0))</f>
        <v/>
      </c>
      <c r="C192" s="81" t="str">
        <f>IF($A192="","",VLOOKUP($A192,'Annex 2 EHV charges'!$A:$O,3,0))</f>
        <v/>
      </c>
      <c r="D192" s="80" t="str">
        <f>IF($A192="","",VLOOKUP($A192,'Annex 2 EHV charges'!$A:$O,7,0))</f>
        <v/>
      </c>
      <c r="E192" s="85" t="str">
        <f>IFERROR(IF(VLOOKUP($A192,'Annex 2 EHV charges'!$A:$O,9,FALSE)=0,"",VLOOKUP($A192,'Annex 2 EHV charges'!$A:$O,9,FALSE)),"")</f>
        <v/>
      </c>
      <c r="F192" s="86" t="str">
        <f>IFERROR(IF(VLOOKUP($A192,'Annex 2 EHV charges'!$A:$O,10,FALSE)=0,"",VLOOKUP($A192,'Annex 2 EHV charges'!$A:$O,10,FALSE)),"")</f>
        <v/>
      </c>
      <c r="G192" s="87" t="str">
        <f>IFERROR(IF(VLOOKUP($A192,'Annex 2 EHV charges'!$A:$O,11,FALSE)=0,"",VLOOKUP($A192,'Annex 2 EHV charges'!$A:$O,11,FALSE)),"")</f>
        <v/>
      </c>
      <c r="H192" s="87" t="str">
        <f>IFERROR(IF(VLOOKUP($A192,'Annex 2 EHV charges'!$A:$O,12,FALSE)=0,"",VLOOKUP($A192,'Annex 2 EHV charges'!$A:$O,12,FALSE)),"")</f>
        <v/>
      </c>
    </row>
    <row r="193" spans="1:8" x14ac:dyDescent="0.2">
      <c r="A193" s="80" t="str">
        <f t="array" ref="A193">IFERROR(INDEX('Annex 2 EHV charges'!$A$10:$A$108, MATCH(0, IF(ISBLANK('Annex 2 EHV charges'!$A$10:$A$108),1, COUNTIF(A$4:$A192, 'Annex 2 EHV charges'!$A$10:$A$108)), 0)),"")</f>
        <v/>
      </c>
      <c r="B193" s="80" t="str">
        <f>IF($A193="","",VLOOKUP($A193,'Annex 2 EHV charges'!$A:$O,2,0))</f>
        <v/>
      </c>
      <c r="C193" s="81" t="str">
        <f>IF($A193="","",VLOOKUP($A193,'Annex 2 EHV charges'!$A:$O,3,0))</f>
        <v/>
      </c>
      <c r="D193" s="80" t="str">
        <f>IF($A193="","",VLOOKUP($A193,'Annex 2 EHV charges'!$A:$O,7,0))</f>
        <v/>
      </c>
      <c r="E193" s="85" t="str">
        <f>IFERROR(IF(VLOOKUP($A193,'Annex 2 EHV charges'!$A:$O,9,FALSE)=0,"",VLOOKUP($A193,'Annex 2 EHV charges'!$A:$O,9,FALSE)),"")</f>
        <v/>
      </c>
      <c r="F193" s="86" t="str">
        <f>IFERROR(IF(VLOOKUP($A193,'Annex 2 EHV charges'!$A:$O,10,FALSE)=0,"",VLOOKUP($A193,'Annex 2 EHV charges'!$A:$O,10,FALSE)),"")</f>
        <v/>
      </c>
      <c r="G193" s="87" t="str">
        <f>IFERROR(IF(VLOOKUP($A193,'Annex 2 EHV charges'!$A:$O,11,FALSE)=0,"",VLOOKUP($A193,'Annex 2 EHV charges'!$A:$O,11,FALSE)),"")</f>
        <v/>
      </c>
      <c r="H193" s="87" t="str">
        <f>IFERROR(IF(VLOOKUP($A193,'Annex 2 EHV charges'!$A:$O,12,FALSE)=0,"",VLOOKUP($A193,'Annex 2 EHV charges'!$A:$O,12,FALSE)),"")</f>
        <v/>
      </c>
    </row>
    <row r="194" spans="1:8" x14ac:dyDescent="0.2">
      <c r="A194" s="80" t="str">
        <f t="array" ref="A194">IFERROR(INDEX('Annex 2 EHV charges'!$A$10:$A$108, MATCH(0, IF(ISBLANK('Annex 2 EHV charges'!$A$10:$A$108),1, COUNTIF(A$4:$A193, 'Annex 2 EHV charges'!$A$10:$A$108)), 0)),"")</f>
        <v/>
      </c>
      <c r="B194" s="80" t="str">
        <f>IF($A194="","",VLOOKUP($A194,'Annex 2 EHV charges'!$A:$O,2,0))</f>
        <v/>
      </c>
      <c r="C194" s="81" t="str">
        <f>IF($A194="","",VLOOKUP($A194,'Annex 2 EHV charges'!$A:$O,3,0))</f>
        <v/>
      </c>
      <c r="D194" s="80" t="str">
        <f>IF($A194="","",VLOOKUP($A194,'Annex 2 EHV charges'!$A:$O,7,0))</f>
        <v/>
      </c>
      <c r="E194" s="85" t="str">
        <f>IFERROR(IF(VLOOKUP($A194,'Annex 2 EHV charges'!$A:$O,9,FALSE)=0,"",VLOOKUP($A194,'Annex 2 EHV charges'!$A:$O,9,FALSE)),"")</f>
        <v/>
      </c>
      <c r="F194" s="86" t="str">
        <f>IFERROR(IF(VLOOKUP($A194,'Annex 2 EHV charges'!$A:$O,10,FALSE)=0,"",VLOOKUP($A194,'Annex 2 EHV charges'!$A:$O,10,FALSE)),"")</f>
        <v/>
      </c>
      <c r="G194" s="87" t="str">
        <f>IFERROR(IF(VLOOKUP($A194,'Annex 2 EHV charges'!$A:$O,11,FALSE)=0,"",VLOOKUP($A194,'Annex 2 EHV charges'!$A:$O,11,FALSE)),"")</f>
        <v/>
      </c>
      <c r="H194" s="87" t="str">
        <f>IFERROR(IF(VLOOKUP($A194,'Annex 2 EHV charges'!$A:$O,12,FALSE)=0,"",VLOOKUP($A194,'Annex 2 EHV charges'!$A:$O,12,FALSE)),"")</f>
        <v/>
      </c>
    </row>
    <row r="195" spans="1:8" x14ac:dyDescent="0.2">
      <c r="A195" s="80" t="str">
        <f t="array" ref="A195">IFERROR(INDEX('Annex 2 EHV charges'!$A$10:$A$108, MATCH(0, IF(ISBLANK('Annex 2 EHV charges'!$A$10:$A$108),1, COUNTIF(A$4:$A194, 'Annex 2 EHV charges'!$A$10:$A$108)), 0)),"")</f>
        <v/>
      </c>
      <c r="B195" s="80" t="str">
        <f>IF($A195="","",VLOOKUP($A195,'Annex 2 EHV charges'!$A:$O,2,0))</f>
        <v/>
      </c>
      <c r="C195" s="81" t="str">
        <f>IF($A195="","",VLOOKUP($A195,'Annex 2 EHV charges'!$A:$O,3,0))</f>
        <v/>
      </c>
      <c r="D195" s="80" t="str">
        <f>IF($A195="","",VLOOKUP($A195,'Annex 2 EHV charges'!$A:$O,7,0))</f>
        <v/>
      </c>
      <c r="E195" s="85" t="str">
        <f>IFERROR(IF(VLOOKUP($A195,'Annex 2 EHV charges'!$A:$O,9,FALSE)=0,"",VLOOKUP($A195,'Annex 2 EHV charges'!$A:$O,9,FALSE)),"")</f>
        <v/>
      </c>
      <c r="F195" s="86" t="str">
        <f>IFERROR(IF(VLOOKUP($A195,'Annex 2 EHV charges'!$A:$O,10,FALSE)=0,"",VLOOKUP($A195,'Annex 2 EHV charges'!$A:$O,10,FALSE)),"")</f>
        <v/>
      </c>
      <c r="G195" s="87" t="str">
        <f>IFERROR(IF(VLOOKUP($A195,'Annex 2 EHV charges'!$A:$O,11,FALSE)=0,"",VLOOKUP($A195,'Annex 2 EHV charges'!$A:$O,11,FALSE)),"")</f>
        <v/>
      </c>
      <c r="H195" s="87" t="str">
        <f>IFERROR(IF(VLOOKUP($A195,'Annex 2 EHV charges'!$A:$O,12,FALSE)=0,"",VLOOKUP($A195,'Annex 2 EHV charges'!$A:$O,12,FALSE)),"")</f>
        <v/>
      </c>
    </row>
    <row r="196" spans="1:8" x14ac:dyDescent="0.2">
      <c r="A196" s="80" t="str">
        <f t="array" ref="A196">IFERROR(INDEX('Annex 2 EHV charges'!$A$10:$A$108, MATCH(0, IF(ISBLANK('Annex 2 EHV charges'!$A$10:$A$108),1, COUNTIF(A$4:$A195, 'Annex 2 EHV charges'!$A$10:$A$108)), 0)),"")</f>
        <v/>
      </c>
      <c r="B196" s="80" t="str">
        <f>IF($A196="","",VLOOKUP($A196,'Annex 2 EHV charges'!$A:$O,2,0))</f>
        <v/>
      </c>
      <c r="C196" s="81" t="str">
        <f>IF($A196="","",VLOOKUP($A196,'Annex 2 EHV charges'!$A:$O,3,0))</f>
        <v/>
      </c>
      <c r="D196" s="80" t="str">
        <f>IF($A196="","",VLOOKUP($A196,'Annex 2 EHV charges'!$A:$O,7,0))</f>
        <v/>
      </c>
      <c r="E196" s="85" t="str">
        <f>IFERROR(IF(VLOOKUP($A196,'Annex 2 EHV charges'!$A:$O,9,FALSE)=0,"",VLOOKUP($A196,'Annex 2 EHV charges'!$A:$O,9,FALSE)),"")</f>
        <v/>
      </c>
      <c r="F196" s="86" t="str">
        <f>IFERROR(IF(VLOOKUP($A196,'Annex 2 EHV charges'!$A:$O,10,FALSE)=0,"",VLOOKUP($A196,'Annex 2 EHV charges'!$A:$O,10,FALSE)),"")</f>
        <v/>
      </c>
      <c r="G196" s="87" t="str">
        <f>IFERROR(IF(VLOOKUP($A196,'Annex 2 EHV charges'!$A:$O,11,FALSE)=0,"",VLOOKUP($A196,'Annex 2 EHV charges'!$A:$O,11,FALSE)),"")</f>
        <v/>
      </c>
      <c r="H196" s="87" t="str">
        <f>IFERROR(IF(VLOOKUP($A196,'Annex 2 EHV charges'!$A:$O,12,FALSE)=0,"",VLOOKUP($A196,'Annex 2 EHV charges'!$A:$O,12,FALSE)),"")</f>
        <v/>
      </c>
    </row>
    <row r="197" spans="1:8" x14ac:dyDescent="0.2">
      <c r="A197" s="80" t="str">
        <f t="array" ref="A197">IFERROR(INDEX('Annex 2 EHV charges'!$A$10:$A$108, MATCH(0, IF(ISBLANK('Annex 2 EHV charges'!$A$10:$A$108),1, COUNTIF(A$4:$A196, 'Annex 2 EHV charges'!$A$10:$A$108)), 0)),"")</f>
        <v/>
      </c>
      <c r="B197" s="80" t="str">
        <f>IF($A197="","",VLOOKUP($A197,'Annex 2 EHV charges'!$A:$O,2,0))</f>
        <v/>
      </c>
      <c r="C197" s="81" t="str">
        <f>IF($A197="","",VLOOKUP($A197,'Annex 2 EHV charges'!$A:$O,3,0))</f>
        <v/>
      </c>
      <c r="D197" s="80" t="str">
        <f>IF($A197="","",VLOOKUP($A197,'Annex 2 EHV charges'!$A:$O,7,0))</f>
        <v/>
      </c>
      <c r="E197" s="85" t="str">
        <f>IFERROR(IF(VLOOKUP($A197,'Annex 2 EHV charges'!$A:$O,9,FALSE)=0,"",VLOOKUP($A197,'Annex 2 EHV charges'!$A:$O,9,FALSE)),"")</f>
        <v/>
      </c>
      <c r="F197" s="86" t="str">
        <f>IFERROR(IF(VLOOKUP($A197,'Annex 2 EHV charges'!$A:$O,10,FALSE)=0,"",VLOOKUP($A197,'Annex 2 EHV charges'!$A:$O,10,FALSE)),"")</f>
        <v/>
      </c>
      <c r="G197" s="87" t="str">
        <f>IFERROR(IF(VLOOKUP($A197,'Annex 2 EHV charges'!$A:$O,11,FALSE)=0,"",VLOOKUP($A197,'Annex 2 EHV charges'!$A:$O,11,FALSE)),"")</f>
        <v/>
      </c>
      <c r="H197" s="87" t="str">
        <f>IFERROR(IF(VLOOKUP($A197,'Annex 2 EHV charges'!$A:$O,12,FALSE)=0,"",VLOOKUP($A197,'Annex 2 EHV charges'!$A:$O,12,FALSE)),"")</f>
        <v/>
      </c>
    </row>
    <row r="198" spans="1:8" x14ac:dyDescent="0.2">
      <c r="A198" s="80" t="str">
        <f t="array" ref="A198">IFERROR(INDEX('Annex 2 EHV charges'!$A$10:$A$108, MATCH(0, IF(ISBLANK('Annex 2 EHV charges'!$A$10:$A$108),1, COUNTIF(A$4:$A197, 'Annex 2 EHV charges'!$A$10:$A$108)), 0)),"")</f>
        <v/>
      </c>
      <c r="B198" s="80" t="str">
        <f>IF($A198="","",VLOOKUP($A198,'Annex 2 EHV charges'!$A:$O,2,0))</f>
        <v/>
      </c>
      <c r="C198" s="81" t="str">
        <f>IF($A198="","",VLOOKUP($A198,'Annex 2 EHV charges'!$A:$O,3,0))</f>
        <v/>
      </c>
      <c r="D198" s="80" t="str">
        <f>IF($A198="","",VLOOKUP($A198,'Annex 2 EHV charges'!$A:$O,7,0))</f>
        <v/>
      </c>
      <c r="E198" s="85" t="str">
        <f>IFERROR(IF(VLOOKUP($A198,'Annex 2 EHV charges'!$A:$O,9,FALSE)=0,"",VLOOKUP($A198,'Annex 2 EHV charges'!$A:$O,9,FALSE)),"")</f>
        <v/>
      </c>
      <c r="F198" s="86" t="str">
        <f>IFERROR(IF(VLOOKUP($A198,'Annex 2 EHV charges'!$A:$O,10,FALSE)=0,"",VLOOKUP($A198,'Annex 2 EHV charges'!$A:$O,10,FALSE)),"")</f>
        <v/>
      </c>
      <c r="G198" s="87" t="str">
        <f>IFERROR(IF(VLOOKUP($A198,'Annex 2 EHV charges'!$A:$O,11,FALSE)=0,"",VLOOKUP($A198,'Annex 2 EHV charges'!$A:$O,11,FALSE)),"")</f>
        <v/>
      </c>
      <c r="H198" s="87" t="str">
        <f>IFERROR(IF(VLOOKUP($A198,'Annex 2 EHV charges'!$A:$O,12,FALSE)=0,"",VLOOKUP($A198,'Annex 2 EHV charges'!$A:$O,12,FALSE)),"")</f>
        <v/>
      </c>
    </row>
    <row r="199" spans="1:8" x14ac:dyDescent="0.2">
      <c r="A199" s="80" t="str">
        <f t="array" ref="A199">IFERROR(INDEX('Annex 2 EHV charges'!$A$10:$A$108, MATCH(0, IF(ISBLANK('Annex 2 EHV charges'!$A$10:$A$108),1, COUNTIF(A$4:$A198, 'Annex 2 EHV charges'!$A$10:$A$108)), 0)),"")</f>
        <v/>
      </c>
      <c r="B199" s="80" t="str">
        <f>IF($A199="","",VLOOKUP($A199,'Annex 2 EHV charges'!$A:$O,2,0))</f>
        <v/>
      </c>
      <c r="C199" s="81" t="str">
        <f>IF($A199="","",VLOOKUP($A199,'Annex 2 EHV charges'!$A:$O,3,0))</f>
        <v/>
      </c>
      <c r="D199" s="80" t="str">
        <f>IF($A199="","",VLOOKUP($A199,'Annex 2 EHV charges'!$A:$O,7,0))</f>
        <v/>
      </c>
      <c r="E199" s="85" t="str">
        <f>IFERROR(IF(VLOOKUP($A199,'Annex 2 EHV charges'!$A:$O,9,FALSE)=0,"",VLOOKUP($A199,'Annex 2 EHV charges'!$A:$O,9,FALSE)),"")</f>
        <v/>
      </c>
      <c r="F199" s="86" t="str">
        <f>IFERROR(IF(VLOOKUP($A199,'Annex 2 EHV charges'!$A:$O,10,FALSE)=0,"",VLOOKUP($A199,'Annex 2 EHV charges'!$A:$O,10,FALSE)),"")</f>
        <v/>
      </c>
      <c r="G199" s="87" t="str">
        <f>IFERROR(IF(VLOOKUP($A199,'Annex 2 EHV charges'!$A:$O,11,FALSE)=0,"",VLOOKUP($A199,'Annex 2 EHV charges'!$A:$O,11,FALSE)),"")</f>
        <v/>
      </c>
      <c r="H199" s="87" t="str">
        <f>IFERROR(IF(VLOOKUP($A199,'Annex 2 EHV charges'!$A:$O,12,FALSE)=0,"",VLOOKUP($A199,'Annex 2 EHV charges'!$A:$O,12,FALSE)),"")</f>
        <v/>
      </c>
    </row>
    <row r="200" spans="1:8" x14ac:dyDescent="0.2">
      <c r="A200" s="80" t="str">
        <f t="array" ref="A200">IFERROR(INDEX('Annex 2 EHV charges'!$A$10:$A$108, MATCH(0, IF(ISBLANK('Annex 2 EHV charges'!$A$10:$A$108),1, COUNTIF(A$4:$A199, 'Annex 2 EHV charges'!$A$10:$A$108)), 0)),"")</f>
        <v/>
      </c>
      <c r="B200" s="80" t="str">
        <f>IF($A200="","",VLOOKUP($A200,'Annex 2 EHV charges'!$A:$O,2,0))</f>
        <v/>
      </c>
      <c r="C200" s="81" t="str">
        <f>IF($A200="","",VLOOKUP($A200,'Annex 2 EHV charges'!$A:$O,3,0))</f>
        <v/>
      </c>
      <c r="D200" s="80" t="str">
        <f>IF($A200="","",VLOOKUP($A200,'Annex 2 EHV charges'!$A:$O,7,0))</f>
        <v/>
      </c>
      <c r="E200" s="85" t="str">
        <f>IFERROR(IF(VLOOKUP($A200,'Annex 2 EHV charges'!$A:$O,9,FALSE)=0,"",VLOOKUP($A200,'Annex 2 EHV charges'!$A:$O,9,FALSE)),"")</f>
        <v/>
      </c>
      <c r="F200" s="86" t="str">
        <f>IFERROR(IF(VLOOKUP($A200,'Annex 2 EHV charges'!$A:$O,10,FALSE)=0,"",VLOOKUP($A200,'Annex 2 EHV charges'!$A:$O,10,FALSE)),"")</f>
        <v/>
      </c>
      <c r="G200" s="87" t="str">
        <f>IFERROR(IF(VLOOKUP($A200,'Annex 2 EHV charges'!$A:$O,11,FALSE)=0,"",VLOOKUP($A200,'Annex 2 EHV charges'!$A:$O,11,FALSE)),"")</f>
        <v/>
      </c>
      <c r="H200" s="87" t="str">
        <f>IFERROR(IF(VLOOKUP($A200,'Annex 2 EHV charges'!$A:$O,12,FALSE)=0,"",VLOOKUP($A200,'Annex 2 EHV charges'!$A:$O,12,FALSE)),"")</f>
        <v/>
      </c>
    </row>
    <row r="201" spans="1:8" x14ac:dyDescent="0.2">
      <c r="A201" s="80" t="str">
        <f t="array" ref="A201">IFERROR(INDEX('Annex 2 EHV charges'!$A$10:$A$108, MATCH(0, IF(ISBLANK('Annex 2 EHV charges'!$A$10:$A$108),1, COUNTIF(A$4:$A200, 'Annex 2 EHV charges'!$A$10:$A$108)), 0)),"")</f>
        <v/>
      </c>
      <c r="B201" s="80" t="str">
        <f>IF($A201="","",VLOOKUP($A201,'Annex 2 EHV charges'!$A:$O,2,0))</f>
        <v/>
      </c>
      <c r="C201" s="81" t="str">
        <f>IF($A201="","",VLOOKUP($A201,'Annex 2 EHV charges'!$A:$O,3,0))</f>
        <v/>
      </c>
      <c r="D201" s="80" t="str">
        <f>IF($A201="","",VLOOKUP($A201,'Annex 2 EHV charges'!$A:$O,7,0))</f>
        <v/>
      </c>
      <c r="E201" s="85" t="str">
        <f>IFERROR(IF(VLOOKUP($A201,'Annex 2 EHV charges'!$A:$O,9,FALSE)=0,"",VLOOKUP($A201,'Annex 2 EHV charges'!$A:$O,9,FALSE)),"")</f>
        <v/>
      </c>
      <c r="F201" s="86" t="str">
        <f>IFERROR(IF(VLOOKUP($A201,'Annex 2 EHV charges'!$A:$O,10,FALSE)=0,"",VLOOKUP($A201,'Annex 2 EHV charges'!$A:$O,10,FALSE)),"")</f>
        <v/>
      </c>
      <c r="G201" s="87" t="str">
        <f>IFERROR(IF(VLOOKUP($A201,'Annex 2 EHV charges'!$A:$O,11,FALSE)=0,"",VLOOKUP($A201,'Annex 2 EHV charges'!$A:$O,11,FALSE)),"")</f>
        <v/>
      </c>
      <c r="H201" s="87" t="str">
        <f>IFERROR(IF(VLOOKUP($A201,'Annex 2 EHV charges'!$A:$O,12,FALSE)=0,"",VLOOKUP($A201,'Annex 2 EHV charges'!$A:$O,12,FALSE)),"")</f>
        <v/>
      </c>
    </row>
    <row r="202" spans="1:8" x14ac:dyDescent="0.2">
      <c r="A202" s="80" t="str">
        <f t="array" ref="A202">IFERROR(INDEX('Annex 2 EHV charges'!$A$10:$A$108, MATCH(0, IF(ISBLANK('Annex 2 EHV charges'!$A$10:$A$108),1, COUNTIF(A$4:$A201, 'Annex 2 EHV charges'!$A$10:$A$108)), 0)),"")</f>
        <v/>
      </c>
      <c r="B202" s="80" t="str">
        <f>IF($A202="","",VLOOKUP($A202,'Annex 2 EHV charges'!$A:$O,2,0))</f>
        <v/>
      </c>
      <c r="C202" s="81" t="str">
        <f>IF($A202="","",VLOOKUP($A202,'Annex 2 EHV charges'!$A:$O,3,0))</f>
        <v/>
      </c>
      <c r="D202" s="80" t="str">
        <f>IF($A202="","",VLOOKUP($A202,'Annex 2 EHV charges'!$A:$O,7,0))</f>
        <v/>
      </c>
      <c r="E202" s="85" t="str">
        <f>IFERROR(IF(VLOOKUP($A202,'Annex 2 EHV charges'!$A:$O,9,FALSE)=0,"",VLOOKUP($A202,'Annex 2 EHV charges'!$A:$O,9,FALSE)),"")</f>
        <v/>
      </c>
      <c r="F202" s="86" t="str">
        <f>IFERROR(IF(VLOOKUP($A202,'Annex 2 EHV charges'!$A:$O,10,FALSE)=0,"",VLOOKUP($A202,'Annex 2 EHV charges'!$A:$O,10,FALSE)),"")</f>
        <v/>
      </c>
      <c r="G202" s="87" t="str">
        <f>IFERROR(IF(VLOOKUP($A202,'Annex 2 EHV charges'!$A:$O,11,FALSE)=0,"",VLOOKUP($A202,'Annex 2 EHV charges'!$A:$O,11,FALSE)),"")</f>
        <v/>
      </c>
      <c r="H202" s="87" t="str">
        <f>IFERROR(IF(VLOOKUP($A202,'Annex 2 EHV charges'!$A:$O,12,FALSE)=0,"",VLOOKUP($A202,'Annex 2 EHV charges'!$A:$O,12,FALSE)),"")</f>
        <v/>
      </c>
    </row>
    <row r="203" spans="1:8" x14ac:dyDescent="0.2">
      <c r="A203" s="80" t="str">
        <f t="array" ref="A203">IFERROR(INDEX('Annex 2 EHV charges'!$A$10:$A$108, MATCH(0, IF(ISBLANK('Annex 2 EHV charges'!$A$10:$A$108),1, COUNTIF(A$4:$A202, 'Annex 2 EHV charges'!$A$10:$A$108)), 0)),"")</f>
        <v/>
      </c>
      <c r="B203" s="80" t="str">
        <f>IF($A203="","",VLOOKUP($A203,'Annex 2 EHV charges'!$A:$O,2,0))</f>
        <v/>
      </c>
      <c r="C203" s="81" t="str">
        <f>IF($A203="","",VLOOKUP($A203,'Annex 2 EHV charges'!$A:$O,3,0))</f>
        <v/>
      </c>
      <c r="D203" s="80" t="str">
        <f>IF($A203="","",VLOOKUP($A203,'Annex 2 EHV charges'!$A:$O,7,0))</f>
        <v/>
      </c>
      <c r="E203" s="85" t="str">
        <f>IFERROR(IF(VLOOKUP($A203,'Annex 2 EHV charges'!$A:$O,9,FALSE)=0,"",VLOOKUP($A203,'Annex 2 EHV charges'!$A:$O,9,FALSE)),"")</f>
        <v/>
      </c>
      <c r="F203" s="86" t="str">
        <f>IFERROR(IF(VLOOKUP($A203,'Annex 2 EHV charges'!$A:$O,10,FALSE)=0,"",VLOOKUP($A203,'Annex 2 EHV charges'!$A:$O,10,FALSE)),"")</f>
        <v/>
      </c>
      <c r="G203" s="87" t="str">
        <f>IFERROR(IF(VLOOKUP($A203,'Annex 2 EHV charges'!$A:$O,11,FALSE)=0,"",VLOOKUP($A203,'Annex 2 EHV charges'!$A:$O,11,FALSE)),"")</f>
        <v/>
      </c>
      <c r="H203" s="87" t="str">
        <f>IFERROR(IF(VLOOKUP($A203,'Annex 2 EHV charges'!$A:$O,12,FALSE)=0,"",VLOOKUP($A203,'Annex 2 EHV charges'!$A:$O,12,FALSE)),"")</f>
        <v/>
      </c>
    </row>
    <row r="204" spans="1:8" x14ac:dyDescent="0.2">
      <c r="A204" s="80" t="str">
        <f t="array" ref="A204">IFERROR(INDEX('Annex 2 EHV charges'!$A$10:$A$108, MATCH(0, IF(ISBLANK('Annex 2 EHV charges'!$A$10:$A$108),1, COUNTIF(A$4:$A203, 'Annex 2 EHV charges'!$A$10:$A$108)), 0)),"")</f>
        <v/>
      </c>
      <c r="B204" s="80" t="str">
        <f>IF($A204="","",VLOOKUP($A204,'Annex 2 EHV charges'!$A:$O,2,0))</f>
        <v/>
      </c>
      <c r="C204" s="81" t="str">
        <f>IF($A204="","",VLOOKUP($A204,'Annex 2 EHV charges'!$A:$O,3,0))</f>
        <v/>
      </c>
      <c r="D204" s="80" t="str">
        <f>IF($A204="","",VLOOKUP($A204,'Annex 2 EHV charges'!$A:$O,7,0))</f>
        <v/>
      </c>
      <c r="E204" s="85" t="str">
        <f>IFERROR(IF(VLOOKUP($A204,'Annex 2 EHV charges'!$A:$O,9,FALSE)=0,"",VLOOKUP($A204,'Annex 2 EHV charges'!$A:$O,9,FALSE)),"")</f>
        <v/>
      </c>
      <c r="F204" s="86" t="str">
        <f>IFERROR(IF(VLOOKUP($A204,'Annex 2 EHV charges'!$A:$O,10,FALSE)=0,"",VLOOKUP($A204,'Annex 2 EHV charges'!$A:$O,10,FALSE)),"")</f>
        <v/>
      </c>
      <c r="G204" s="87" t="str">
        <f>IFERROR(IF(VLOOKUP($A204,'Annex 2 EHV charges'!$A:$O,11,FALSE)=0,"",VLOOKUP($A204,'Annex 2 EHV charges'!$A:$O,11,FALSE)),"")</f>
        <v/>
      </c>
      <c r="H204" s="87" t="str">
        <f>IFERROR(IF(VLOOKUP($A204,'Annex 2 EHV charges'!$A:$O,12,FALSE)=0,"",VLOOKUP($A204,'Annex 2 EHV charges'!$A:$O,12,FALSE)),"")</f>
        <v/>
      </c>
    </row>
    <row r="205" spans="1:8" x14ac:dyDescent="0.2">
      <c r="A205" s="80" t="str">
        <f t="array" ref="A205">IFERROR(INDEX('Annex 2 EHV charges'!$A$10:$A$108, MATCH(0, IF(ISBLANK('Annex 2 EHV charges'!$A$10:$A$108),1, COUNTIF(A$4:$A204, 'Annex 2 EHV charges'!$A$10:$A$108)), 0)),"")</f>
        <v/>
      </c>
      <c r="B205" s="80" t="str">
        <f>IF($A205="","",VLOOKUP($A205,'Annex 2 EHV charges'!$A:$O,2,0))</f>
        <v/>
      </c>
      <c r="C205" s="81" t="str">
        <f>IF($A205="","",VLOOKUP($A205,'Annex 2 EHV charges'!$A:$O,3,0))</f>
        <v/>
      </c>
      <c r="D205" s="80" t="str">
        <f>IF($A205="","",VLOOKUP($A205,'Annex 2 EHV charges'!$A:$O,7,0))</f>
        <v/>
      </c>
      <c r="E205" s="85" t="str">
        <f>IFERROR(IF(VLOOKUP($A205,'Annex 2 EHV charges'!$A:$O,9,FALSE)=0,"",VLOOKUP($A205,'Annex 2 EHV charges'!$A:$O,9,FALSE)),"")</f>
        <v/>
      </c>
      <c r="F205" s="86" t="str">
        <f>IFERROR(IF(VLOOKUP($A205,'Annex 2 EHV charges'!$A:$O,10,FALSE)=0,"",VLOOKUP($A205,'Annex 2 EHV charges'!$A:$O,10,FALSE)),"")</f>
        <v/>
      </c>
      <c r="G205" s="87" t="str">
        <f>IFERROR(IF(VLOOKUP($A205,'Annex 2 EHV charges'!$A:$O,11,FALSE)=0,"",VLOOKUP($A205,'Annex 2 EHV charges'!$A:$O,11,FALSE)),"")</f>
        <v/>
      </c>
      <c r="H205" s="87" t="str">
        <f>IFERROR(IF(VLOOKUP($A205,'Annex 2 EHV charges'!$A:$O,12,FALSE)=0,"",VLOOKUP($A205,'Annex 2 EHV charges'!$A:$O,12,FALSE)),"")</f>
        <v/>
      </c>
    </row>
    <row r="206" spans="1:8" x14ac:dyDescent="0.2">
      <c r="A206" s="80" t="str">
        <f t="array" ref="A206">IFERROR(INDEX('Annex 2 EHV charges'!$A$10:$A$108, MATCH(0, IF(ISBLANK('Annex 2 EHV charges'!$A$10:$A$108),1, COUNTIF(A$4:$A205, 'Annex 2 EHV charges'!$A$10:$A$108)), 0)),"")</f>
        <v/>
      </c>
      <c r="B206" s="80" t="str">
        <f>IF($A206="","",VLOOKUP($A206,'Annex 2 EHV charges'!$A:$O,2,0))</f>
        <v/>
      </c>
      <c r="C206" s="81" t="str">
        <f>IF($A206="","",VLOOKUP($A206,'Annex 2 EHV charges'!$A:$O,3,0))</f>
        <v/>
      </c>
      <c r="D206" s="80" t="str">
        <f>IF($A206="","",VLOOKUP($A206,'Annex 2 EHV charges'!$A:$O,7,0))</f>
        <v/>
      </c>
      <c r="E206" s="85" t="str">
        <f>IFERROR(IF(VLOOKUP($A206,'Annex 2 EHV charges'!$A:$O,9,FALSE)=0,"",VLOOKUP($A206,'Annex 2 EHV charges'!$A:$O,9,FALSE)),"")</f>
        <v/>
      </c>
      <c r="F206" s="86" t="str">
        <f>IFERROR(IF(VLOOKUP($A206,'Annex 2 EHV charges'!$A:$O,10,FALSE)=0,"",VLOOKUP($A206,'Annex 2 EHV charges'!$A:$O,10,FALSE)),"")</f>
        <v/>
      </c>
      <c r="G206" s="87" t="str">
        <f>IFERROR(IF(VLOOKUP($A206,'Annex 2 EHV charges'!$A:$O,11,FALSE)=0,"",VLOOKUP($A206,'Annex 2 EHV charges'!$A:$O,11,FALSE)),"")</f>
        <v/>
      </c>
      <c r="H206" s="87" t="str">
        <f>IFERROR(IF(VLOOKUP($A206,'Annex 2 EHV charges'!$A:$O,12,FALSE)=0,"",VLOOKUP($A206,'Annex 2 EHV charges'!$A:$O,12,FALSE)),"")</f>
        <v/>
      </c>
    </row>
    <row r="207" spans="1:8" x14ac:dyDescent="0.2">
      <c r="A207" s="80" t="str">
        <f t="array" ref="A207">IFERROR(INDEX('Annex 2 EHV charges'!$A$10:$A$108, MATCH(0, IF(ISBLANK('Annex 2 EHV charges'!$A$10:$A$108),1, COUNTIF(A$4:$A206, 'Annex 2 EHV charges'!$A$10:$A$108)), 0)),"")</f>
        <v/>
      </c>
      <c r="B207" s="80" t="str">
        <f>IF($A207="","",VLOOKUP($A207,'Annex 2 EHV charges'!$A:$O,2,0))</f>
        <v/>
      </c>
      <c r="C207" s="81" t="str">
        <f>IF($A207="","",VLOOKUP($A207,'Annex 2 EHV charges'!$A:$O,3,0))</f>
        <v/>
      </c>
      <c r="D207" s="80" t="str">
        <f>IF($A207="","",VLOOKUP($A207,'Annex 2 EHV charges'!$A:$O,7,0))</f>
        <v/>
      </c>
      <c r="E207" s="85" t="str">
        <f>IFERROR(IF(VLOOKUP($A207,'Annex 2 EHV charges'!$A:$O,9,FALSE)=0,"",VLOOKUP($A207,'Annex 2 EHV charges'!$A:$O,9,FALSE)),"")</f>
        <v/>
      </c>
      <c r="F207" s="86" t="str">
        <f>IFERROR(IF(VLOOKUP($A207,'Annex 2 EHV charges'!$A:$O,10,FALSE)=0,"",VLOOKUP($A207,'Annex 2 EHV charges'!$A:$O,10,FALSE)),"")</f>
        <v/>
      </c>
      <c r="G207" s="87" t="str">
        <f>IFERROR(IF(VLOOKUP($A207,'Annex 2 EHV charges'!$A:$O,11,FALSE)=0,"",VLOOKUP($A207,'Annex 2 EHV charges'!$A:$O,11,FALSE)),"")</f>
        <v/>
      </c>
      <c r="H207" s="87" t="str">
        <f>IFERROR(IF(VLOOKUP($A207,'Annex 2 EHV charges'!$A:$O,12,FALSE)=0,"",VLOOKUP($A207,'Annex 2 EHV charges'!$A:$O,12,FALSE)),"")</f>
        <v/>
      </c>
    </row>
    <row r="208" spans="1:8" x14ac:dyDescent="0.2">
      <c r="A208" s="80" t="str">
        <f t="array" ref="A208">IFERROR(INDEX('Annex 2 EHV charges'!$A$10:$A$108, MATCH(0, IF(ISBLANK('Annex 2 EHV charges'!$A$10:$A$108),1, COUNTIF(A$4:$A207, 'Annex 2 EHV charges'!$A$10:$A$108)), 0)),"")</f>
        <v/>
      </c>
      <c r="B208" s="80" t="str">
        <f>IF($A208="","",VLOOKUP($A208,'Annex 2 EHV charges'!$A:$O,2,0))</f>
        <v/>
      </c>
      <c r="C208" s="81" t="str">
        <f>IF($A208="","",VLOOKUP($A208,'Annex 2 EHV charges'!$A:$O,3,0))</f>
        <v/>
      </c>
      <c r="D208" s="80" t="str">
        <f>IF($A208="","",VLOOKUP($A208,'Annex 2 EHV charges'!$A:$O,7,0))</f>
        <v/>
      </c>
      <c r="E208" s="85" t="str">
        <f>IFERROR(IF(VLOOKUP($A208,'Annex 2 EHV charges'!$A:$O,9,FALSE)=0,"",VLOOKUP($A208,'Annex 2 EHV charges'!$A:$O,9,FALSE)),"")</f>
        <v/>
      </c>
      <c r="F208" s="86" t="str">
        <f>IFERROR(IF(VLOOKUP($A208,'Annex 2 EHV charges'!$A:$O,10,FALSE)=0,"",VLOOKUP($A208,'Annex 2 EHV charges'!$A:$O,10,FALSE)),"")</f>
        <v/>
      </c>
      <c r="G208" s="87" t="str">
        <f>IFERROR(IF(VLOOKUP($A208,'Annex 2 EHV charges'!$A:$O,11,FALSE)=0,"",VLOOKUP($A208,'Annex 2 EHV charges'!$A:$O,11,FALSE)),"")</f>
        <v/>
      </c>
      <c r="H208" s="87" t="str">
        <f>IFERROR(IF(VLOOKUP($A208,'Annex 2 EHV charges'!$A:$O,12,FALSE)=0,"",VLOOKUP($A208,'Annex 2 EHV charges'!$A:$O,12,FALSE)),"")</f>
        <v/>
      </c>
    </row>
    <row r="209" spans="1:8" x14ac:dyDescent="0.2">
      <c r="A209" s="80" t="str">
        <f t="array" ref="A209">IFERROR(INDEX('Annex 2 EHV charges'!$A$10:$A$108, MATCH(0, IF(ISBLANK('Annex 2 EHV charges'!$A$10:$A$108),1, COUNTIF(A$4:$A208, 'Annex 2 EHV charges'!$A$10:$A$108)), 0)),"")</f>
        <v/>
      </c>
      <c r="B209" s="80" t="str">
        <f>IF($A209="","",VLOOKUP($A209,'Annex 2 EHV charges'!$A:$O,2,0))</f>
        <v/>
      </c>
      <c r="C209" s="81" t="str">
        <f>IF($A209="","",VLOOKUP($A209,'Annex 2 EHV charges'!$A:$O,3,0))</f>
        <v/>
      </c>
      <c r="D209" s="80" t="str">
        <f>IF($A209="","",VLOOKUP($A209,'Annex 2 EHV charges'!$A:$O,7,0))</f>
        <v/>
      </c>
      <c r="E209" s="85" t="str">
        <f>IFERROR(IF(VLOOKUP($A209,'Annex 2 EHV charges'!$A:$O,9,FALSE)=0,"",VLOOKUP($A209,'Annex 2 EHV charges'!$A:$O,9,FALSE)),"")</f>
        <v/>
      </c>
      <c r="F209" s="86" t="str">
        <f>IFERROR(IF(VLOOKUP($A209,'Annex 2 EHV charges'!$A:$O,10,FALSE)=0,"",VLOOKUP($A209,'Annex 2 EHV charges'!$A:$O,10,FALSE)),"")</f>
        <v/>
      </c>
      <c r="G209" s="87" t="str">
        <f>IFERROR(IF(VLOOKUP($A209,'Annex 2 EHV charges'!$A:$O,11,FALSE)=0,"",VLOOKUP($A209,'Annex 2 EHV charges'!$A:$O,11,FALSE)),"")</f>
        <v/>
      </c>
      <c r="H209" s="87" t="str">
        <f>IFERROR(IF(VLOOKUP($A209,'Annex 2 EHV charges'!$A:$O,12,FALSE)=0,"",VLOOKUP($A209,'Annex 2 EHV charges'!$A:$O,12,FALSE)),"")</f>
        <v/>
      </c>
    </row>
    <row r="210" spans="1:8" x14ac:dyDescent="0.2">
      <c r="A210" s="80" t="str">
        <f t="array" ref="A210">IFERROR(INDEX('Annex 2 EHV charges'!$A$10:$A$108, MATCH(0, IF(ISBLANK('Annex 2 EHV charges'!$A$10:$A$108),1, COUNTIF(A$4:$A209, 'Annex 2 EHV charges'!$A$10:$A$108)), 0)),"")</f>
        <v/>
      </c>
      <c r="B210" s="80" t="str">
        <f>IF($A210="","",VLOOKUP($A210,'Annex 2 EHV charges'!$A:$O,2,0))</f>
        <v/>
      </c>
      <c r="C210" s="81" t="str">
        <f>IF($A210="","",VLOOKUP($A210,'Annex 2 EHV charges'!$A:$O,3,0))</f>
        <v/>
      </c>
      <c r="D210" s="80" t="str">
        <f>IF($A210="","",VLOOKUP($A210,'Annex 2 EHV charges'!$A:$O,7,0))</f>
        <v/>
      </c>
      <c r="E210" s="85" t="str">
        <f>IFERROR(IF(VLOOKUP($A210,'Annex 2 EHV charges'!$A:$O,9,FALSE)=0,"",VLOOKUP($A210,'Annex 2 EHV charges'!$A:$O,9,FALSE)),"")</f>
        <v/>
      </c>
      <c r="F210" s="86" t="str">
        <f>IFERROR(IF(VLOOKUP($A210,'Annex 2 EHV charges'!$A:$O,10,FALSE)=0,"",VLOOKUP($A210,'Annex 2 EHV charges'!$A:$O,10,FALSE)),"")</f>
        <v/>
      </c>
      <c r="G210" s="87" t="str">
        <f>IFERROR(IF(VLOOKUP($A210,'Annex 2 EHV charges'!$A:$O,11,FALSE)=0,"",VLOOKUP($A210,'Annex 2 EHV charges'!$A:$O,11,FALSE)),"")</f>
        <v/>
      </c>
      <c r="H210" s="87" t="str">
        <f>IFERROR(IF(VLOOKUP($A210,'Annex 2 EHV charges'!$A:$O,12,FALSE)=0,"",VLOOKUP($A210,'Annex 2 EHV charges'!$A:$O,12,FALSE)),"")</f>
        <v/>
      </c>
    </row>
    <row r="211" spans="1:8" x14ac:dyDescent="0.2">
      <c r="A211" s="80" t="str">
        <f t="array" ref="A211">IFERROR(INDEX('Annex 2 EHV charges'!$A$10:$A$108, MATCH(0, IF(ISBLANK('Annex 2 EHV charges'!$A$10:$A$108),1, COUNTIF(A$4:$A210, 'Annex 2 EHV charges'!$A$10:$A$108)), 0)),"")</f>
        <v/>
      </c>
      <c r="B211" s="80" t="str">
        <f>IF($A211="","",VLOOKUP($A211,'Annex 2 EHV charges'!$A:$O,2,0))</f>
        <v/>
      </c>
      <c r="C211" s="81" t="str">
        <f>IF($A211="","",VLOOKUP($A211,'Annex 2 EHV charges'!$A:$O,3,0))</f>
        <v/>
      </c>
      <c r="D211" s="80" t="str">
        <f>IF($A211="","",VLOOKUP($A211,'Annex 2 EHV charges'!$A:$O,7,0))</f>
        <v/>
      </c>
      <c r="E211" s="85" t="str">
        <f>IFERROR(IF(VLOOKUP($A211,'Annex 2 EHV charges'!$A:$O,9,FALSE)=0,"",VLOOKUP($A211,'Annex 2 EHV charges'!$A:$O,9,FALSE)),"")</f>
        <v/>
      </c>
      <c r="F211" s="86" t="str">
        <f>IFERROR(IF(VLOOKUP($A211,'Annex 2 EHV charges'!$A:$O,10,FALSE)=0,"",VLOOKUP($A211,'Annex 2 EHV charges'!$A:$O,10,FALSE)),"")</f>
        <v/>
      </c>
      <c r="G211" s="87" t="str">
        <f>IFERROR(IF(VLOOKUP($A211,'Annex 2 EHV charges'!$A:$O,11,FALSE)=0,"",VLOOKUP($A211,'Annex 2 EHV charges'!$A:$O,11,FALSE)),"")</f>
        <v/>
      </c>
      <c r="H211" s="87" t="str">
        <f>IFERROR(IF(VLOOKUP($A211,'Annex 2 EHV charges'!$A:$O,12,FALSE)=0,"",VLOOKUP($A211,'Annex 2 EHV charges'!$A:$O,12,FALSE)),"")</f>
        <v/>
      </c>
    </row>
    <row r="212" spans="1:8" x14ac:dyDescent="0.2">
      <c r="A212" s="80" t="str">
        <f t="array" ref="A212">IFERROR(INDEX('Annex 2 EHV charges'!$A$10:$A$108, MATCH(0, IF(ISBLANK('Annex 2 EHV charges'!$A$10:$A$108),1, COUNTIF(A$4:$A211, 'Annex 2 EHV charges'!$A$10:$A$108)), 0)),"")</f>
        <v/>
      </c>
      <c r="B212" s="80" t="str">
        <f>IF($A212="","",VLOOKUP($A212,'Annex 2 EHV charges'!$A:$O,2,0))</f>
        <v/>
      </c>
      <c r="C212" s="81" t="str">
        <f>IF($A212="","",VLOOKUP($A212,'Annex 2 EHV charges'!$A:$O,3,0))</f>
        <v/>
      </c>
      <c r="D212" s="80" t="str">
        <f>IF($A212="","",VLOOKUP($A212,'Annex 2 EHV charges'!$A:$O,7,0))</f>
        <v/>
      </c>
      <c r="E212" s="85" t="str">
        <f>IFERROR(IF(VLOOKUP($A212,'Annex 2 EHV charges'!$A:$O,9,FALSE)=0,"",VLOOKUP($A212,'Annex 2 EHV charges'!$A:$O,9,FALSE)),"")</f>
        <v/>
      </c>
      <c r="F212" s="86" t="str">
        <f>IFERROR(IF(VLOOKUP($A212,'Annex 2 EHV charges'!$A:$O,10,FALSE)=0,"",VLOOKUP($A212,'Annex 2 EHV charges'!$A:$O,10,FALSE)),"")</f>
        <v/>
      </c>
      <c r="G212" s="87" t="str">
        <f>IFERROR(IF(VLOOKUP($A212,'Annex 2 EHV charges'!$A:$O,11,FALSE)=0,"",VLOOKUP($A212,'Annex 2 EHV charges'!$A:$O,11,FALSE)),"")</f>
        <v/>
      </c>
      <c r="H212" s="87" t="str">
        <f>IFERROR(IF(VLOOKUP($A212,'Annex 2 EHV charges'!$A:$O,12,FALSE)=0,"",VLOOKUP($A212,'Annex 2 EHV charges'!$A:$O,12,FALSE)),"")</f>
        <v/>
      </c>
    </row>
    <row r="213" spans="1:8" x14ac:dyDescent="0.2">
      <c r="A213" s="80" t="str">
        <f t="array" ref="A213">IFERROR(INDEX('Annex 2 EHV charges'!$A$10:$A$108, MATCH(0, IF(ISBLANK('Annex 2 EHV charges'!$A$10:$A$108),1, COUNTIF(A$4:$A212, 'Annex 2 EHV charges'!$A$10:$A$108)), 0)),"")</f>
        <v/>
      </c>
      <c r="B213" s="80" t="str">
        <f>IF($A213="","",VLOOKUP($A213,'Annex 2 EHV charges'!$A:$O,2,0))</f>
        <v/>
      </c>
      <c r="C213" s="81" t="str">
        <f>IF($A213="","",VLOOKUP($A213,'Annex 2 EHV charges'!$A:$O,3,0))</f>
        <v/>
      </c>
      <c r="D213" s="80" t="str">
        <f>IF($A213="","",VLOOKUP($A213,'Annex 2 EHV charges'!$A:$O,7,0))</f>
        <v/>
      </c>
      <c r="E213" s="85" t="str">
        <f>IFERROR(IF(VLOOKUP($A213,'Annex 2 EHV charges'!$A:$O,9,FALSE)=0,"",VLOOKUP($A213,'Annex 2 EHV charges'!$A:$O,9,FALSE)),"")</f>
        <v/>
      </c>
      <c r="F213" s="86" t="str">
        <f>IFERROR(IF(VLOOKUP($A213,'Annex 2 EHV charges'!$A:$O,10,FALSE)=0,"",VLOOKUP($A213,'Annex 2 EHV charges'!$A:$O,10,FALSE)),"")</f>
        <v/>
      </c>
      <c r="G213" s="87" t="str">
        <f>IFERROR(IF(VLOOKUP($A213,'Annex 2 EHV charges'!$A:$O,11,FALSE)=0,"",VLOOKUP($A213,'Annex 2 EHV charges'!$A:$O,11,FALSE)),"")</f>
        <v/>
      </c>
      <c r="H213" s="87" t="str">
        <f>IFERROR(IF(VLOOKUP($A213,'Annex 2 EHV charges'!$A:$O,12,FALSE)=0,"",VLOOKUP($A213,'Annex 2 EHV charges'!$A:$O,12,FALSE)),"")</f>
        <v/>
      </c>
    </row>
    <row r="214" spans="1:8" x14ac:dyDescent="0.2">
      <c r="A214" s="80" t="str">
        <f t="array" ref="A214">IFERROR(INDEX('Annex 2 EHV charges'!$A$10:$A$108, MATCH(0, IF(ISBLANK('Annex 2 EHV charges'!$A$10:$A$108),1, COUNTIF(A$4:$A213, 'Annex 2 EHV charges'!$A$10:$A$108)), 0)),"")</f>
        <v/>
      </c>
      <c r="B214" s="80" t="str">
        <f>IF($A214="","",VLOOKUP($A214,'Annex 2 EHV charges'!$A:$O,2,0))</f>
        <v/>
      </c>
      <c r="C214" s="81" t="str">
        <f>IF($A214="","",VLOOKUP($A214,'Annex 2 EHV charges'!$A:$O,3,0))</f>
        <v/>
      </c>
      <c r="D214" s="80" t="str">
        <f>IF($A214="","",VLOOKUP($A214,'Annex 2 EHV charges'!$A:$O,7,0))</f>
        <v/>
      </c>
      <c r="E214" s="85" t="str">
        <f>IFERROR(IF(VLOOKUP($A214,'Annex 2 EHV charges'!$A:$O,9,FALSE)=0,"",VLOOKUP($A214,'Annex 2 EHV charges'!$A:$O,9,FALSE)),"")</f>
        <v/>
      </c>
      <c r="F214" s="86" t="str">
        <f>IFERROR(IF(VLOOKUP($A214,'Annex 2 EHV charges'!$A:$O,10,FALSE)=0,"",VLOOKUP($A214,'Annex 2 EHV charges'!$A:$O,10,FALSE)),"")</f>
        <v/>
      </c>
      <c r="G214" s="87" t="str">
        <f>IFERROR(IF(VLOOKUP($A214,'Annex 2 EHV charges'!$A:$O,11,FALSE)=0,"",VLOOKUP($A214,'Annex 2 EHV charges'!$A:$O,11,FALSE)),"")</f>
        <v/>
      </c>
      <c r="H214" s="87" t="str">
        <f>IFERROR(IF(VLOOKUP($A214,'Annex 2 EHV charges'!$A:$O,12,FALSE)=0,"",VLOOKUP($A214,'Annex 2 EHV charges'!$A:$O,12,FALSE)),"")</f>
        <v/>
      </c>
    </row>
    <row r="215" spans="1:8" x14ac:dyDescent="0.2">
      <c r="A215" s="80" t="str">
        <f t="array" ref="A215">IFERROR(INDEX('Annex 2 EHV charges'!$A$10:$A$108, MATCH(0, IF(ISBLANK('Annex 2 EHV charges'!$A$10:$A$108),1, COUNTIF(A$4:$A214, 'Annex 2 EHV charges'!$A$10:$A$108)), 0)),"")</f>
        <v/>
      </c>
      <c r="B215" s="80" t="str">
        <f>IF($A215="","",VLOOKUP($A215,'Annex 2 EHV charges'!$A:$O,2,0))</f>
        <v/>
      </c>
      <c r="C215" s="81" t="str">
        <f>IF($A215="","",VLOOKUP($A215,'Annex 2 EHV charges'!$A:$O,3,0))</f>
        <v/>
      </c>
      <c r="D215" s="80" t="str">
        <f>IF($A215="","",VLOOKUP($A215,'Annex 2 EHV charges'!$A:$O,7,0))</f>
        <v/>
      </c>
      <c r="E215" s="85" t="str">
        <f>IFERROR(IF(VLOOKUP($A215,'Annex 2 EHV charges'!$A:$O,9,FALSE)=0,"",VLOOKUP($A215,'Annex 2 EHV charges'!$A:$O,9,FALSE)),"")</f>
        <v/>
      </c>
      <c r="F215" s="86" t="str">
        <f>IFERROR(IF(VLOOKUP($A215,'Annex 2 EHV charges'!$A:$O,10,FALSE)=0,"",VLOOKUP($A215,'Annex 2 EHV charges'!$A:$O,10,FALSE)),"")</f>
        <v/>
      </c>
      <c r="G215" s="87" t="str">
        <f>IFERROR(IF(VLOOKUP($A215,'Annex 2 EHV charges'!$A:$O,11,FALSE)=0,"",VLOOKUP($A215,'Annex 2 EHV charges'!$A:$O,11,FALSE)),"")</f>
        <v/>
      </c>
      <c r="H215" s="87" t="str">
        <f>IFERROR(IF(VLOOKUP($A215,'Annex 2 EHV charges'!$A:$O,12,FALSE)=0,"",VLOOKUP($A215,'Annex 2 EHV charges'!$A:$O,12,FALSE)),"")</f>
        <v/>
      </c>
    </row>
    <row r="216" spans="1:8" x14ac:dyDescent="0.2">
      <c r="A216" s="80" t="str">
        <f t="array" ref="A216">IFERROR(INDEX('Annex 2 EHV charges'!$A$10:$A$108, MATCH(0, IF(ISBLANK('Annex 2 EHV charges'!$A$10:$A$108),1, COUNTIF(A$4:$A215, 'Annex 2 EHV charges'!$A$10:$A$108)), 0)),"")</f>
        <v/>
      </c>
      <c r="B216" s="80" t="str">
        <f>IF($A216="","",VLOOKUP($A216,'Annex 2 EHV charges'!$A:$O,2,0))</f>
        <v/>
      </c>
      <c r="C216" s="81" t="str">
        <f>IF($A216="","",VLOOKUP($A216,'Annex 2 EHV charges'!$A:$O,3,0))</f>
        <v/>
      </c>
      <c r="D216" s="80" t="str">
        <f>IF($A216="","",VLOOKUP($A216,'Annex 2 EHV charges'!$A:$O,7,0))</f>
        <v/>
      </c>
      <c r="E216" s="85" t="str">
        <f>IFERROR(IF(VLOOKUP($A216,'Annex 2 EHV charges'!$A:$O,9,FALSE)=0,"",VLOOKUP($A216,'Annex 2 EHV charges'!$A:$O,9,FALSE)),"")</f>
        <v/>
      </c>
      <c r="F216" s="86" t="str">
        <f>IFERROR(IF(VLOOKUP($A216,'Annex 2 EHV charges'!$A:$O,10,FALSE)=0,"",VLOOKUP($A216,'Annex 2 EHV charges'!$A:$O,10,FALSE)),"")</f>
        <v/>
      </c>
      <c r="G216" s="87" t="str">
        <f>IFERROR(IF(VLOOKUP($A216,'Annex 2 EHV charges'!$A:$O,11,FALSE)=0,"",VLOOKUP($A216,'Annex 2 EHV charges'!$A:$O,11,FALSE)),"")</f>
        <v/>
      </c>
      <c r="H216" s="87" t="str">
        <f>IFERROR(IF(VLOOKUP($A216,'Annex 2 EHV charges'!$A:$O,12,FALSE)=0,"",VLOOKUP($A216,'Annex 2 EHV charges'!$A:$O,12,FALSE)),"")</f>
        <v/>
      </c>
    </row>
    <row r="217" spans="1:8" x14ac:dyDescent="0.2">
      <c r="A217" s="80" t="str">
        <f t="array" ref="A217">IFERROR(INDEX('Annex 2 EHV charges'!$A$10:$A$108, MATCH(0, IF(ISBLANK('Annex 2 EHV charges'!$A$10:$A$108),1, COUNTIF(A$4:$A216, 'Annex 2 EHV charges'!$A$10:$A$108)), 0)),"")</f>
        <v/>
      </c>
      <c r="B217" s="80" t="str">
        <f>IF($A217="","",VLOOKUP($A217,'Annex 2 EHV charges'!$A:$O,2,0))</f>
        <v/>
      </c>
      <c r="C217" s="81" t="str">
        <f>IF($A217="","",VLOOKUP($A217,'Annex 2 EHV charges'!$A:$O,3,0))</f>
        <v/>
      </c>
      <c r="D217" s="80" t="str">
        <f>IF($A217="","",VLOOKUP($A217,'Annex 2 EHV charges'!$A:$O,7,0))</f>
        <v/>
      </c>
      <c r="E217" s="85" t="str">
        <f>IFERROR(IF(VLOOKUP($A217,'Annex 2 EHV charges'!$A:$O,9,FALSE)=0,"",VLOOKUP($A217,'Annex 2 EHV charges'!$A:$O,9,FALSE)),"")</f>
        <v/>
      </c>
      <c r="F217" s="86" t="str">
        <f>IFERROR(IF(VLOOKUP($A217,'Annex 2 EHV charges'!$A:$O,10,FALSE)=0,"",VLOOKUP($A217,'Annex 2 EHV charges'!$A:$O,10,FALSE)),"")</f>
        <v/>
      </c>
      <c r="G217" s="87" t="str">
        <f>IFERROR(IF(VLOOKUP($A217,'Annex 2 EHV charges'!$A:$O,11,FALSE)=0,"",VLOOKUP($A217,'Annex 2 EHV charges'!$A:$O,11,FALSE)),"")</f>
        <v/>
      </c>
      <c r="H217" s="87" t="str">
        <f>IFERROR(IF(VLOOKUP($A217,'Annex 2 EHV charges'!$A:$O,12,FALSE)=0,"",VLOOKUP($A217,'Annex 2 EHV charges'!$A:$O,12,FALSE)),"")</f>
        <v/>
      </c>
    </row>
    <row r="218" spans="1:8" x14ac:dyDescent="0.2">
      <c r="A218" s="80" t="str">
        <f t="array" ref="A218">IFERROR(INDEX('Annex 2 EHV charges'!$A$10:$A$108, MATCH(0, IF(ISBLANK('Annex 2 EHV charges'!$A$10:$A$108),1, COUNTIF(A$4:$A217, 'Annex 2 EHV charges'!$A$10:$A$108)), 0)),"")</f>
        <v/>
      </c>
      <c r="B218" s="80" t="str">
        <f>IF($A218="","",VLOOKUP($A218,'Annex 2 EHV charges'!$A:$O,2,0))</f>
        <v/>
      </c>
      <c r="C218" s="81" t="str">
        <f>IF($A218="","",VLOOKUP($A218,'Annex 2 EHV charges'!$A:$O,3,0))</f>
        <v/>
      </c>
      <c r="D218" s="80" t="str">
        <f>IF($A218="","",VLOOKUP($A218,'Annex 2 EHV charges'!$A:$O,7,0))</f>
        <v/>
      </c>
      <c r="E218" s="85" t="str">
        <f>IFERROR(IF(VLOOKUP($A218,'Annex 2 EHV charges'!$A:$O,9,FALSE)=0,"",VLOOKUP($A218,'Annex 2 EHV charges'!$A:$O,9,FALSE)),"")</f>
        <v/>
      </c>
      <c r="F218" s="86" t="str">
        <f>IFERROR(IF(VLOOKUP($A218,'Annex 2 EHV charges'!$A:$O,10,FALSE)=0,"",VLOOKUP($A218,'Annex 2 EHV charges'!$A:$O,10,FALSE)),"")</f>
        <v/>
      </c>
      <c r="G218" s="87" t="str">
        <f>IFERROR(IF(VLOOKUP($A218,'Annex 2 EHV charges'!$A:$O,11,FALSE)=0,"",VLOOKUP($A218,'Annex 2 EHV charges'!$A:$O,11,FALSE)),"")</f>
        <v/>
      </c>
      <c r="H218" s="87" t="str">
        <f>IFERROR(IF(VLOOKUP($A218,'Annex 2 EHV charges'!$A:$O,12,FALSE)=0,"",VLOOKUP($A218,'Annex 2 EHV charges'!$A:$O,12,FALSE)),"")</f>
        <v/>
      </c>
    </row>
    <row r="219" spans="1:8" x14ac:dyDescent="0.2">
      <c r="A219" s="80" t="str">
        <f t="array" ref="A219">IFERROR(INDEX('Annex 2 EHV charges'!$A$10:$A$108, MATCH(0, IF(ISBLANK('Annex 2 EHV charges'!$A$10:$A$108),1, COUNTIF(A$4:$A218, 'Annex 2 EHV charges'!$A$10:$A$108)), 0)),"")</f>
        <v/>
      </c>
      <c r="B219" s="80" t="str">
        <f>IF($A219="","",VLOOKUP($A219,'Annex 2 EHV charges'!$A:$O,2,0))</f>
        <v/>
      </c>
      <c r="C219" s="81" t="str">
        <f>IF($A219="","",VLOOKUP($A219,'Annex 2 EHV charges'!$A:$O,3,0))</f>
        <v/>
      </c>
      <c r="D219" s="80" t="str">
        <f>IF($A219="","",VLOOKUP($A219,'Annex 2 EHV charges'!$A:$O,7,0))</f>
        <v/>
      </c>
      <c r="E219" s="85" t="str">
        <f>IFERROR(IF(VLOOKUP($A219,'Annex 2 EHV charges'!$A:$O,9,FALSE)=0,"",VLOOKUP($A219,'Annex 2 EHV charges'!$A:$O,9,FALSE)),"")</f>
        <v/>
      </c>
      <c r="F219" s="86" t="str">
        <f>IFERROR(IF(VLOOKUP($A219,'Annex 2 EHV charges'!$A:$O,10,FALSE)=0,"",VLOOKUP($A219,'Annex 2 EHV charges'!$A:$O,10,FALSE)),"")</f>
        <v/>
      </c>
      <c r="G219" s="87" t="str">
        <f>IFERROR(IF(VLOOKUP($A219,'Annex 2 EHV charges'!$A:$O,11,FALSE)=0,"",VLOOKUP($A219,'Annex 2 EHV charges'!$A:$O,11,FALSE)),"")</f>
        <v/>
      </c>
      <c r="H219" s="87" t="str">
        <f>IFERROR(IF(VLOOKUP($A219,'Annex 2 EHV charges'!$A:$O,12,FALSE)=0,"",VLOOKUP($A219,'Annex 2 EHV charges'!$A:$O,12,FALSE)),"")</f>
        <v/>
      </c>
    </row>
    <row r="220" spans="1:8" x14ac:dyDescent="0.2">
      <c r="A220" s="80" t="str">
        <f t="array" ref="A220">IFERROR(INDEX('Annex 2 EHV charges'!$A$10:$A$108, MATCH(0, IF(ISBLANK('Annex 2 EHV charges'!$A$10:$A$108),1, COUNTIF(A$4:$A219, 'Annex 2 EHV charges'!$A$10:$A$108)), 0)),"")</f>
        <v/>
      </c>
      <c r="B220" s="80" t="str">
        <f>IF($A220="","",VLOOKUP($A220,'Annex 2 EHV charges'!$A:$O,2,0))</f>
        <v/>
      </c>
      <c r="C220" s="81" t="str">
        <f>IF($A220="","",VLOOKUP($A220,'Annex 2 EHV charges'!$A:$O,3,0))</f>
        <v/>
      </c>
      <c r="D220" s="80" t="str">
        <f>IF($A220="","",VLOOKUP($A220,'Annex 2 EHV charges'!$A:$O,7,0))</f>
        <v/>
      </c>
      <c r="E220" s="85" t="str">
        <f>IFERROR(IF(VLOOKUP($A220,'Annex 2 EHV charges'!$A:$O,9,FALSE)=0,"",VLOOKUP($A220,'Annex 2 EHV charges'!$A:$O,9,FALSE)),"")</f>
        <v/>
      </c>
      <c r="F220" s="86" t="str">
        <f>IFERROR(IF(VLOOKUP($A220,'Annex 2 EHV charges'!$A:$O,10,FALSE)=0,"",VLOOKUP($A220,'Annex 2 EHV charges'!$A:$O,10,FALSE)),"")</f>
        <v/>
      </c>
      <c r="G220" s="87" t="str">
        <f>IFERROR(IF(VLOOKUP($A220,'Annex 2 EHV charges'!$A:$O,11,FALSE)=0,"",VLOOKUP($A220,'Annex 2 EHV charges'!$A:$O,11,FALSE)),"")</f>
        <v/>
      </c>
      <c r="H220" s="87" t="str">
        <f>IFERROR(IF(VLOOKUP($A220,'Annex 2 EHV charges'!$A:$O,12,FALSE)=0,"",VLOOKUP($A220,'Annex 2 EHV charges'!$A:$O,12,FALSE)),"")</f>
        <v/>
      </c>
    </row>
    <row r="221" spans="1:8" x14ac:dyDescent="0.2">
      <c r="A221" s="80" t="str">
        <f t="array" ref="A221">IFERROR(INDEX('Annex 2 EHV charges'!$A$10:$A$108, MATCH(0, IF(ISBLANK('Annex 2 EHV charges'!$A$10:$A$108),1, COUNTIF(A$4:$A220, 'Annex 2 EHV charges'!$A$10:$A$108)), 0)),"")</f>
        <v/>
      </c>
      <c r="B221" s="80" t="str">
        <f>IF($A221="","",VLOOKUP($A221,'Annex 2 EHV charges'!$A:$O,2,0))</f>
        <v/>
      </c>
      <c r="C221" s="81" t="str">
        <f>IF($A221="","",VLOOKUP($A221,'Annex 2 EHV charges'!$A:$O,3,0))</f>
        <v/>
      </c>
      <c r="D221" s="80" t="str">
        <f>IF($A221="","",VLOOKUP($A221,'Annex 2 EHV charges'!$A:$O,7,0))</f>
        <v/>
      </c>
      <c r="E221" s="85" t="str">
        <f>IFERROR(IF(VLOOKUP($A221,'Annex 2 EHV charges'!$A:$O,9,FALSE)=0,"",VLOOKUP($A221,'Annex 2 EHV charges'!$A:$O,9,FALSE)),"")</f>
        <v/>
      </c>
      <c r="F221" s="86" t="str">
        <f>IFERROR(IF(VLOOKUP($A221,'Annex 2 EHV charges'!$A:$O,10,FALSE)=0,"",VLOOKUP($A221,'Annex 2 EHV charges'!$A:$O,10,FALSE)),"")</f>
        <v/>
      </c>
      <c r="G221" s="87" t="str">
        <f>IFERROR(IF(VLOOKUP($A221,'Annex 2 EHV charges'!$A:$O,11,FALSE)=0,"",VLOOKUP($A221,'Annex 2 EHV charges'!$A:$O,11,FALSE)),"")</f>
        <v/>
      </c>
      <c r="H221" s="87" t="str">
        <f>IFERROR(IF(VLOOKUP($A221,'Annex 2 EHV charges'!$A:$O,12,FALSE)=0,"",VLOOKUP($A221,'Annex 2 EHV charges'!$A:$O,12,FALSE)),"")</f>
        <v/>
      </c>
    </row>
    <row r="222" spans="1:8" x14ac:dyDescent="0.2">
      <c r="A222" s="80" t="str">
        <f t="array" ref="A222">IFERROR(INDEX('Annex 2 EHV charges'!$A$10:$A$108, MATCH(0, IF(ISBLANK('Annex 2 EHV charges'!$A$10:$A$108),1, COUNTIF(A$4:$A221, 'Annex 2 EHV charges'!$A$10:$A$108)), 0)),"")</f>
        <v/>
      </c>
      <c r="B222" s="80" t="str">
        <f>IF($A222="","",VLOOKUP($A222,'Annex 2 EHV charges'!$A:$O,2,0))</f>
        <v/>
      </c>
      <c r="C222" s="81" t="str">
        <f>IF($A222="","",VLOOKUP($A222,'Annex 2 EHV charges'!$A:$O,3,0))</f>
        <v/>
      </c>
      <c r="D222" s="80" t="str">
        <f>IF($A222="","",VLOOKUP($A222,'Annex 2 EHV charges'!$A:$O,7,0))</f>
        <v/>
      </c>
      <c r="E222" s="85" t="str">
        <f>IFERROR(IF(VLOOKUP($A222,'Annex 2 EHV charges'!$A:$O,9,FALSE)=0,"",VLOOKUP($A222,'Annex 2 EHV charges'!$A:$O,9,FALSE)),"")</f>
        <v/>
      </c>
      <c r="F222" s="86" t="str">
        <f>IFERROR(IF(VLOOKUP($A222,'Annex 2 EHV charges'!$A:$O,10,FALSE)=0,"",VLOOKUP($A222,'Annex 2 EHV charges'!$A:$O,10,FALSE)),"")</f>
        <v/>
      </c>
      <c r="G222" s="87" t="str">
        <f>IFERROR(IF(VLOOKUP($A222,'Annex 2 EHV charges'!$A:$O,11,FALSE)=0,"",VLOOKUP($A222,'Annex 2 EHV charges'!$A:$O,11,FALSE)),"")</f>
        <v/>
      </c>
      <c r="H222" s="87" t="str">
        <f>IFERROR(IF(VLOOKUP($A222,'Annex 2 EHV charges'!$A:$O,12,FALSE)=0,"",VLOOKUP($A222,'Annex 2 EHV charges'!$A:$O,12,FALSE)),"")</f>
        <v/>
      </c>
    </row>
    <row r="223" spans="1:8" x14ac:dyDescent="0.2">
      <c r="A223" s="80" t="str">
        <f t="array" ref="A223">IFERROR(INDEX('Annex 2 EHV charges'!$A$10:$A$108, MATCH(0, IF(ISBLANK('Annex 2 EHV charges'!$A$10:$A$108),1, COUNTIF(A$4:$A222, 'Annex 2 EHV charges'!$A$10:$A$108)), 0)),"")</f>
        <v/>
      </c>
      <c r="B223" s="80" t="str">
        <f>IF($A223="","",VLOOKUP($A223,'Annex 2 EHV charges'!$A:$O,2,0))</f>
        <v/>
      </c>
      <c r="C223" s="81" t="str">
        <f>IF($A223="","",VLOOKUP($A223,'Annex 2 EHV charges'!$A:$O,3,0))</f>
        <v/>
      </c>
      <c r="D223" s="80" t="str">
        <f>IF($A223="","",VLOOKUP($A223,'Annex 2 EHV charges'!$A:$O,7,0))</f>
        <v/>
      </c>
      <c r="E223" s="85" t="str">
        <f>IFERROR(IF(VLOOKUP($A223,'Annex 2 EHV charges'!$A:$O,9,FALSE)=0,"",VLOOKUP($A223,'Annex 2 EHV charges'!$A:$O,9,FALSE)),"")</f>
        <v/>
      </c>
      <c r="F223" s="86" t="str">
        <f>IFERROR(IF(VLOOKUP($A223,'Annex 2 EHV charges'!$A:$O,10,FALSE)=0,"",VLOOKUP($A223,'Annex 2 EHV charges'!$A:$O,10,FALSE)),"")</f>
        <v/>
      </c>
      <c r="G223" s="87" t="str">
        <f>IFERROR(IF(VLOOKUP($A223,'Annex 2 EHV charges'!$A:$O,11,FALSE)=0,"",VLOOKUP($A223,'Annex 2 EHV charges'!$A:$O,11,FALSE)),"")</f>
        <v/>
      </c>
      <c r="H223" s="87" t="str">
        <f>IFERROR(IF(VLOOKUP($A223,'Annex 2 EHV charges'!$A:$O,12,FALSE)=0,"",VLOOKUP($A223,'Annex 2 EHV charges'!$A:$O,12,FALSE)),"")</f>
        <v/>
      </c>
    </row>
    <row r="224" spans="1:8" x14ac:dyDescent="0.2">
      <c r="A224" s="80" t="str">
        <f t="array" ref="A224">IFERROR(INDEX('Annex 2 EHV charges'!$A$10:$A$108, MATCH(0, IF(ISBLANK('Annex 2 EHV charges'!$A$10:$A$108),1, COUNTIF(A$4:$A223, 'Annex 2 EHV charges'!$A$10:$A$108)), 0)),"")</f>
        <v/>
      </c>
      <c r="B224" s="80" t="str">
        <f>IF($A224="","",VLOOKUP($A224,'Annex 2 EHV charges'!$A:$O,2,0))</f>
        <v/>
      </c>
      <c r="C224" s="81" t="str">
        <f>IF($A224="","",VLOOKUP($A224,'Annex 2 EHV charges'!$A:$O,3,0))</f>
        <v/>
      </c>
      <c r="D224" s="80" t="str">
        <f>IF($A224="","",VLOOKUP($A224,'Annex 2 EHV charges'!$A:$O,7,0))</f>
        <v/>
      </c>
      <c r="E224" s="85" t="str">
        <f>IFERROR(IF(VLOOKUP($A224,'Annex 2 EHV charges'!$A:$O,9,FALSE)=0,"",VLOOKUP($A224,'Annex 2 EHV charges'!$A:$O,9,FALSE)),"")</f>
        <v/>
      </c>
      <c r="F224" s="86" t="str">
        <f>IFERROR(IF(VLOOKUP($A224,'Annex 2 EHV charges'!$A:$O,10,FALSE)=0,"",VLOOKUP($A224,'Annex 2 EHV charges'!$A:$O,10,FALSE)),"")</f>
        <v/>
      </c>
      <c r="G224" s="87" t="str">
        <f>IFERROR(IF(VLOOKUP($A224,'Annex 2 EHV charges'!$A:$O,11,FALSE)=0,"",VLOOKUP($A224,'Annex 2 EHV charges'!$A:$O,11,FALSE)),"")</f>
        <v/>
      </c>
      <c r="H224" s="87" t="str">
        <f>IFERROR(IF(VLOOKUP($A224,'Annex 2 EHV charges'!$A:$O,12,FALSE)=0,"",VLOOKUP($A224,'Annex 2 EHV charges'!$A:$O,12,FALSE)),"")</f>
        <v/>
      </c>
    </row>
    <row r="225" spans="1:8" x14ac:dyDescent="0.2">
      <c r="A225" s="80" t="str">
        <f t="array" ref="A225">IFERROR(INDEX('Annex 2 EHV charges'!$A$10:$A$108, MATCH(0, IF(ISBLANK('Annex 2 EHV charges'!$A$10:$A$108),1, COUNTIF(A$4:$A224, 'Annex 2 EHV charges'!$A$10:$A$108)), 0)),"")</f>
        <v/>
      </c>
      <c r="B225" s="80" t="str">
        <f>IF($A225="","",VLOOKUP($A225,'Annex 2 EHV charges'!$A:$O,2,0))</f>
        <v/>
      </c>
      <c r="C225" s="81" t="str">
        <f>IF($A225="","",VLOOKUP($A225,'Annex 2 EHV charges'!$A:$O,3,0))</f>
        <v/>
      </c>
      <c r="D225" s="80" t="str">
        <f>IF($A225="","",VLOOKUP($A225,'Annex 2 EHV charges'!$A:$O,7,0))</f>
        <v/>
      </c>
      <c r="E225" s="85" t="str">
        <f>IFERROR(IF(VLOOKUP($A225,'Annex 2 EHV charges'!$A:$O,9,FALSE)=0,"",VLOOKUP($A225,'Annex 2 EHV charges'!$A:$O,9,FALSE)),"")</f>
        <v/>
      </c>
      <c r="F225" s="86" t="str">
        <f>IFERROR(IF(VLOOKUP($A225,'Annex 2 EHV charges'!$A:$O,10,FALSE)=0,"",VLOOKUP($A225,'Annex 2 EHV charges'!$A:$O,10,FALSE)),"")</f>
        <v/>
      </c>
      <c r="G225" s="87" t="str">
        <f>IFERROR(IF(VLOOKUP($A225,'Annex 2 EHV charges'!$A:$O,11,FALSE)=0,"",VLOOKUP($A225,'Annex 2 EHV charges'!$A:$O,11,FALSE)),"")</f>
        <v/>
      </c>
      <c r="H225" s="87" t="str">
        <f>IFERROR(IF(VLOOKUP($A225,'Annex 2 EHV charges'!$A:$O,12,FALSE)=0,"",VLOOKUP($A225,'Annex 2 EHV charges'!$A:$O,12,FALSE)),"")</f>
        <v/>
      </c>
    </row>
    <row r="226" spans="1:8" x14ac:dyDescent="0.2">
      <c r="A226" s="80" t="str">
        <f t="array" ref="A226">IFERROR(INDEX('Annex 2 EHV charges'!$A$10:$A$108, MATCH(0, IF(ISBLANK('Annex 2 EHV charges'!$A$10:$A$108),1, COUNTIF(A$4:$A225, 'Annex 2 EHV charges'!$A$10:$A$108)), 0)),"")</f>
        <v/>
      </c>
      <c r="B226" s="80" t="str">
        <f>IF($A226="","",VLOOKUP($A226,'Annex 2 EHV charges'!$A:$O,2,0))</f>
        <v/>
      </c>
      <c r="C226" s="81" t="str">
        <f>IF($A226="","",VLOOKUP($A226,'Annex 2 EHV charges'!$A:$O,3,0))</f>
        <v/>
      </c>
      <c r="D226" s="80" t="str">
        <f>IF($A226="","",VLOOKUP($A226,'Annex 2 EHV charges'!$A:$O,7,0))</f>
        <v/>
      </c>
      <c r="E226" s="85" t="str">
        <f>IFERROR(IF(VLOOKUP($A226,'Annex 2 EHV charges'!$A:$O,9,FALSE)=0,"",VLOOKUP($A226,'Annex 2 EHV charges'!$A:$O,9,FALSE)),"")</f>
        <v/>
      </c>
      <c r="F226" s="86" t="str">
        <f>IFERROR(IF(VLOOKUP($A226,'Annex 2 EHV charges'!$A:$O,10,FALSE)=0,"",VLOOKUP($A226,'Annex 2 EHV charges'!$A:$O,10,FALSE)),"")</f>
        <v/>
      </c>
      <c r="G226" s="87" t="str">
        <f>IFERROR(IF(VLOOKUP($A226,'Annex 2 EHV charges'!$A:$O,11,FALSE)=0,"",VLOOKUP($A226,'Annex 2 EHV charges'!$A:$O,11,FALSE)),"")</f>
        <v/>
      </c>
      <c r="H226" s="87" t="str">
        <f>IFERROR(IF(VLOOKUP($A226,'Annex 2 EHV charges'!$A:$O,12,FALSE)=0,"",VLOOKUP($A226,'Annex 2 EHV charges'!$A:$O,12,FALSE)),"")</f>
        <v/>
      </c>
    </row>
    <row r="227" spans="1:8" x14ac:dyDescent="0.2">
      <c r="A227" s="80" t="str">
        <f t="array" ref="A227">IFERROR(INDEX('Annex 2 EHV charges'!$A$10:$A$108, MATCH(0, IF(ISBLANK('Annex 2 EHV charges'!$A$10:$A$108),1, COUNTIF(A$4:$A226, 'Annex 2 EHV charges'!$A$10:$A$108)), 0)),"")</f>
        <v/>
      </c>
      <c r="B227" s="80" t="str">
        <f>IF($A227="","",VLOOKUP($A227,'Annex 2 EHV charges'!$A:$O,2,0))</f>
        <v/>
      </c>
      <c r="C227" s="81" t="str">
        <f>IF($A227="","",VLOOKUP($A227,'Annex 2 EHV charges'!$A:$O,3,0))</f>
        <v/>
      </c>
      <c r="D227" s="80" t="str">
        <f>IF($A227="","",VLOOKUP($A227,'Annex 2 EHV charges'!$A:$O,7,0))</f>
        <v/>
      </c>
      <c r="E227" s="85" t="str">
        <f>IFERROR(IF(VLOOKUP($A227,'Annex 2 EHV charges'!$A:$O,9,FALSE)=0,"",VLOOKUP($A227,'Annex 2 EHV charges'!$A:$O,9,FALSE)),"")</f>
        <v/>
      </c>
      <c r="F227" s="86" t="str">
        <f>IFERROR(IF(VLOOKUP($A227,'Annex 2 EHV charges'!$A:$O,10,FALSE)=0,"",VLOOKUP($A227,'Annex 2 EHV charges'!$A:$O,10,FALSE)),"")</f>
        <v/>
      </c>
      <c r="G227" s="87" t="str">
        <f>IFERROR(IF(VLOOKUP($A227,'Annex 2 EHV charges'!$A:$O,11,FALSE)=0,"",VLOOKUP($A227,'Annex 2 EHV charges'!$A:$O,11,FALSE)),"")</f>
        <v/>
      </c>
      <c r="H227" s="87" t="str">
        <f>IFERROR(IF(VLOOKUP($A227,'Annex 2 EHV charges'!$A:$O,12,FALSE)=0,"",VLOOKUP($A227,'Annex 2 EHV charges'!$A:$O,12,FALSE)),"")</f>
        <v/>
      </c>
    </row>
    <row r="228" spans="1:8" x14ac:dyDescent="0.2">
      <c r="A228" s="80" t="str">
        <f t="array" ref="A228">IFERROR(INDEX('Annex 2 EHV charges'!$A$10:$A$108, MATCH(0, IF(ISBLANK('Annex 2 EHV charges'!$A$10:$A$108),1, COUNTIF(A$4:$A227, 'Annex 2 EHV charges'!$A$10:$A$108)), 0)),"")</f>
        <v/>
      </c>
      <c r="B228" s="80" t="str">
        <f>IF($A228="","",VLOOKUP($A228,'Annex 2 EHV charges'!$A:$O,2,0))</f>
        <v/>
      </c>
      <c r="C228" s="81" t="str">
        <f>IF($A228="","",VLOOKUP($A228,'Annex 2 EHV charges'!$A:$O,3,0))</f>
        <v/>
      </c>
      <c r="D228" s="80" t="str">
        <f>IF($A228="","",VLOOKUP($A228,'Annex 2 EHV charges'!$A:$O,7,0))</f>
        <v/>
      </c>
      <c r="E228" s="85" t="str">
        <f>IFERROR(IF(VLOOKUP($A228,'Annex 2 EHV charges'!$A:$O,9,FALSE)=0,"",VLOOKUP($A228,'Annex 2 EHV charges'!$A:$O,9,FALSE)),"")</f>
        <v/>
      </c>
      <c r="F228" s="86" t="str">
        <f>IFERROR(IF(VLOOKUP($A228,'Annex 2 EHV charges'!$A:$O,10,FALSE)=0,"",VLOOKUP($A228,'Annex 2 EHV charges'!$A:$O,10,FALSE)),"")</f>
        <v/>
      </c>
      <c r="G228" s="87" t="str">
        <f>IFERROR(IF(VLOOKUP($A228,'Annex 2 EHV charges'!$A:$O,11,FALSE)=0,"",VLOOKUP($A228,'Annex 2 EHV charges'!$A:$O,11,FALSE)),"")</f>
        <v/>
      </c>
      <c r="H228" s="87" t="str">
        <f>IFERROR(IF(VLOOKUP($A228,'Annex 2 EHV charges'!$A:$O,12,FALSE)=0,"",VLOOKUP($A228,'Annex 2 EHV charges'!$A:$O,12,FALSE)),"")</f>
        <v/>
      </c>
    </row>
    <row r="229" spans="1:8" x14ac:dyDescent="0.2">
      <c r="A229" s="80" t="str">
        <f t="array" ref="A229">IFERROR(INDEX('Annex 2 EHV charges'!$A$10:$A$108, MATCH(0, IF(ISBLANK('Annex 2 EHV charges'!$A$10:$A$108),1, COUNTIF(A$4:$A228, 'Annex 2 EHV charges'!$A$10:$A$108)), 0)),"")</f>
        <v/>
      </c>
      <c r="B229" s="80" t="str">
        <f>IF($A229="","",VLOOKUP($A229,'Annex 2 EHV charges'!$A:$O,2,0))</f>
        <v/>
      </c>
      <c r="C229" s="81" t="str">
        <f>IF($A229="","",VLOOKUP($A229,'Annex 2 EHV charges'!$A:$O,3,0))</f>
        <v/>
      </c>
      <c r="D229" s="80" t="str">
        <f>IF($A229="","",VLOOKUP($A229,'Annex 2 EHV charges'!$A:$O,7,0))</f>
        <v/>
      </c>
      <c r="E229" s="85" t="str">
        <f>IFERROR(IF(VLOOKUP($A229,'Annex 2 EHV charges'!$A:$O,9,FALSE)=0,"",VLOOKUP($A229,'Annex 2 EHV charges'!$A:$O,9,FALSE)),"")</f>
        <v/>
      </c>
      <c r="F229" s="86" t="str">
        <f>IFERROR(IF(VLOOKUP($A229,'Annex 2 EHV charges'!$A:$O,10,FALSE)=0,"",VLOOKUP($A229,'Annex 2 EHV charges'!$A:$O,10,FALSE)),"")</f>
        <v/>
      </c>
      <c r="G229" s="87" t="str">
        <f>IFERROR(IF(VLOOKUP($A229,'Annex 2 EHV charges'!$A:$O,11,FALSE)=0,"",VLOOKUP($A229,'Annex 2 EHV charges'!$A:$O,11,FALSE)),"")</f>
        <v/>
      </c>
      <c r="H229" s="87" t="str">
        <f>IFERROR(IF(VLOOKUP($A229,'Annex 2 EHV charges'!$A:$O,12,FALSE)=0,"",VLOOKUP($A229,'Annex 2 EHV charges'!$A:$O,12,FALSE)),"")</f>
        <v/>
      </c>
    </row>
    <row r="230" spans="1:8" x14ac:dyDescent="0.2">
      <c r="A230" s="80" t="str">
        <f t="array" ref="A230">IFERROR(INDEX('Annex 2 EHV charges'!$A$10:$A$108, MATCH(0, IF(ISBLANK('Annex 2 EHV charges'!$A$10:$A$108),1, COUNTIF(A$4:$A229, 'Annex 2 EHV charges'!$A$10:$A$108)), 0)),"")</f>
        <v/>
      </c>
      <c r="B230" s="80" t="str">
        <f>IF($A230="","",VLOOKUP($A230,'Annex 2 EHV charges'!$A:$O,2,0))</f>
        <v/>
      </c>
      <c r="C230" s="81" t="str">
        <f>IF($A230="","",VLOOKUP($A230,'Annex 2 EHV charges'!$A:$O,3,0))</f>
        <v/>
      </c>
      <c r="D230" s="80" t="str">
        <f>IF($A230="","",VLOOKUP($A230,'Annex 2 EHV charges'!$A:$O,7,0))</f>
        <v/>
      </c>
      <c r="E230" s="85" t="str">
        <f>IFERROR(IF(VLOOKUP($A230,'Annex 2 EHV charges'!$A:$O,9,FALSE)=0,"",VLOOKUP($A230,'Annex 2 EHV charges'!$A:$O,9,FALSE)),"")</f>
        <v/>
      </c>
      <c r="F230" s="86" t="str">
        <f>IFERROR(IF(VLOOKUP($A230,'Annex 2 EHV charges'!$A:$O,10,FALSE)=0,"",VLOOKUP($A230,'Annex 2 EHV charges'!$A:$O,10,FALSE)),"")</f>
        <v/>
      </c>
      <c r="G230" s="87" t="str">
        <f>IFERROR(IF(VLOOKUP($A230,'Annex 2 EHV charges'!$A:$O,11,FALSE)=0,"",VLOOKUP($A230,'Annex 2 EHV charges'!$A:$O,11,FALSE)),"")</f>
        <v/>
      </c>
      <c r="H230" s="87" t="str">
        <f>IFERROR(IF(VLOOKUP($A230,'Annex 2 EHV charges'!$A:$O,12,FALSE)=0,"",VLOOKUP($A230,'Annex 2 EHV charges'!$A:$O,12,FALSE)),"")</f>
        <v/>
      </c>
    </row>
    <row r="231" spans="1:8" x14ac:dyDescent="0.2">
      <c r="A231" s="80" t="str">
        <f t="array" ref="A231">IFERROR(INDEX('Annex 2 EHV charges'!$A$10:$A$108, MATCH(0, IF(ISBLANK('Annex 2 EHV charges'!$A$10:$A$108),1, COUNTIF(A$4:$A230, 'Annex 2 EHV charges'!$A$10:$A$108)), 0)),"")</f>
        <v/>
      </c>
      <c r="B231" s="80" t="str">
        <f>IF($A231="","",VLOOKUP($A231,'Annex 2 EHV charges'!$A:$O,2,0))</f>
        <v/>
      </c>
      <c r="C231" s="81" t="str">
        <f>IF($A231="","",VLOOKUP($A231,'Annex 2 EHV charges'!$A:$O,3,0))</f>
        <v/>
      </c>
      <c r="D231" s="80" t="str">
        <f>IF($A231="","",VLOOKUP($A231,'Annex 2 EHV charges'!$A:$O,7,0))</f>
        <v/>
      </c>
      <c r="E231" s="85" t="str">
        <f>IFERROR(IF(VLOOKUP($A231,'Annex 2 EHV charges'!$A:$O,9,FALSE)=0,"",VLOOKUP($A231,'Annex 2 EHV charges'!$A:$O,9,FALSE)),"")</f>
        <v/>
      </c>
      <c r="F231" s="86" t="str">
        <f>IFERROR(IF(VLOOKUP($A231,'Annex 2 EHV charges'!$A:$O,10,FALSE)=0,"",VLOOKUP($A231,'Annex 2 EHV charges'!$A:$O,10,FALSE)),"")</f>
        <v/>
      </c>
      <c r="G231" s="87" t="str">
        <f>IFERROR(IF(VLOOKUP($A231,'Annex 2 EHV charges'!$A:$O,11,FALSE)=0,"",VLOOKUP($A231,'Annex 2 EHV charges'!$A:$O,11,FALSE)),"")</f>
        <v/>
      </c>
      <c r="H231" s="87" t="str">
        <f>IFERROR(IF(VLOOKUP($A231,'Annex 2 EHV charges'!$A:$O,12,FALSE)=0,"",VLOOKUP($A231,'Annex 2 EHV charges'!$A:$O,12,FALSE)),"")</f>
        <v/>
      </c>
    </row>
    <row r="232" spans="1:8" x14ac:dyDescent="0.2">
      <c r="A232" s="80" t="str">
        <f t="array" ref="A232">IFERROR(INDEX('Annex 2 EHV charges'!$A$10:$A$108, MATCH(0, IF(ISBLANK('Annex 2 EHV charges'!$A$10:$A$108),1, COUNTIF(A$4:$A231, 'Annex 2 EHV charges'!$A$10:$A$108)), 0)),"")</f>
        <v/>
      </c>
      <c r="B232" s="80" t="str">
        <f>IF($A232="","",VLOOKUP($A232,'Annex 2 EHV charges'!$A:$O,2,0))</f>
        <v/>
      </c>
      <c r="C232" s="81" t="str">
        <f>IF($A232="","",VLOOKUP($A232,'Annex 2 EHV charges'!$A:$O,3,0))</f>
        <v/>
      </c>
      <c r="D232" s="80" t="str">
        <f>IF($A232="","",VLOOKUP($A232,'Annex 2 EHV charges'!$A:$O,7,0))</f>
        <v/>
      </c>
      <c r="E232" s="85" t="str">
        <f>IFERROR(IF(VLOOKUP($A232,'Annex 2 EHV charges'!$A:$O,9,FALSE)=0,"",VLOOKUP($A232,'Annex 2 EHV charges'!$A:$O,9,FALSE)),"")</f>
        <v/>
      </c>
      <c r="F232" s="86" t="str">
        <f>IFERROR(IF(VLOOKUP($A232,'Annex 2 EHV charges'!$A:$O,10,FALSE)=0,"",VLOOKUP($A232,'Annex 2 EHV charges'!$A:$O,10,FALSE)),"")</f>
        <v/>
      </c>
      <c r="G232" s="87" t="str">
        <f>IFERROR(IF(VLOOKUP($A232,'Annex 2 EHV charges'!$A:$O,11,FALSE)=0,"",VLOOKUP($A232,'Annex 2 EHV charges'!$A:$O,11,FALSE)),"")</f>
        <v/>
      </c>
      <c r="H232" s="87" t="str">
        <f>IFERROR(IF(VLOOKUP($A232,'Annex 2 EHV charges'!$A:$O,12,FALSE)=0,"",VLOOKUP($A232,'Annex 2 EHV charges'!$A:$O,12,FALSE)),"")</f>
        <v/>
      </c>
    </row>
    <row r="233" spans="1:8" x14ac:dyDescent="0.2">
      <c r="A233" s="80" t="str">
        <f t="array" ref="A233">IFERROR(INDEX('Annex 2 EHV charges'!$A$10:$A$108, MATCH(0, IF(ISBLANK('Annex 2 EHV charges'!$A$10:$A$108),1, COUNTIF(A$4:$A232, 'Annex 2 EHV charges'!$A$10:$A$108)), 0)),"")</f>
        <v/>
      </c>
      <c r="B233" s="80" t="str">
        <f>IF($A233="","",VLOOKUP($A233,'Annex 2 EHV charges'!$A:$O,2,0))</f>
        <v/>
      </c>
      <c r="C233" s="81" t="str">
        <f>IF($A233="","",VLOOKUP($A233,'Annex 2 EHV charges'!$A:$O,3,0))</f>
        <v/>
      </c>
      <c r="D233" s="80" t="str">
        <f>IF($A233="","",VLOOKUP($A233,'Annex 2 EHV charges'!$A:$O,7,0))</f>
        <v/>
      </c>
      <c r="E233" s="85" t="str">
        <f>IFERROR(IF(VLOOKUP($A233,'Annex 2 EHV charges'!$A:$O,9,FALSE)=0,"",VLOOKUP($A233,'Annex 2 EHV charges'!$A:$O,9,FALSE)),"")</f>
        <v/>
      </c>
      <c r="F233" s="86" t="str">
        <f>IFERROR(IF(VLOOKUP($A233,'Annex 2 EHV charges'!$A:$O,10,FALSE)=0,"",VLOOKUP($A233,'Annex 2 EHV charges'!$A:$O,10,FALSE)),"")</f>
        <v/>
      </c>
      <c r="G233" s="87" t="str">
        <f>IFERROR(IF(VLOOKUP($A233,'Annex 2 EHV charges'!$A:$O,11,FALSE)=0,"",VLOOKUP($A233,'Annex 2 EHV charges'!$A:$O,11,FALSE)),"")</f>
        <v/>
      </c>
      <c r="H233" s="87" t="str">
        <f>IFERROR(IF(VLOOKUP($A233,'Annex 2 EHV charges'!$A:$O,12,FALSE)=0,"",VLOOKUP($A233,'Annex 2 EHV charges'!$A:$O,12,FALSE)),"")</f>
        <v/>
      </c>
    </row>
    <row r="234" spans="1:8" x14ac:dyDescent="0.2">
      <c r="A234" s="80" t="str">
        <f t="array" ref="A234">IFERROR(INDEX('Annex 2 EHV charges'!$A$10:$A$108, MATCH(0, IF(ISBLANK('Annex 2 EHV charges'!$A$10:$A$108),1, COUNTIF(A$4:$A233, 'Annex 2 EHV charges'!$A$10:$A$108)), 0)),"")</f>
        <v/>
      </c>
      <c r="B234" s="80" t="str">
        <f>IF($A234="","",VLOOKUP($A234,'Annex 2 EHV charges'!$A:$O,2,0))</f>
        <v/>
      </c>
      <c r="C234" s="81" t="str">
        <f>IF($A234="","",VLOOKUP($A234,'Annex 2 EHV charges'!$A:$O,3,0))</f>
        <v/>
      </c>
      <c r="D234" s="80" t="str">
        <f>IF($A234="","",VLOOKUP($A234,'Annex 2 EHV charges'!$A:$O,7,0))</f>
        <v/>
      </c>
      <c r="E234" s="85" t="str">
        <f>IFERROR(IF(VLOOKUP($A234,'Annex 2 EHV charges'!$A:$O,9,FALSE)=0,"",VLOOKUP($A234,'Annex 2 EHV charges'!$A:$O,9,FALSE)),"")</f>
        <v/>
      </c>
      <c r="F234" s="86" t="str">
        <f>IFERROR(IF(VLOOKUP($A234,'Annex 2 EHV charges'!$A:$O,10,FALSE)=0,"",VLOOKUP($A234,'Annex 2 EHV charges'!$A:$O,10,FALSE)),"")</f>
        <v/>
      </c>
      <c r="G234" s="87" t="str">
        <f>IFERROR(IF(VLOOKUP($A234,'Annex 2 EHV charges'!$A:$O,11,FALSE)=0,"",VLOOKUP($A234,'Annex 2 EHV charges'!$A:$O,11,FALSE)),"")</f>
        <v/>
      </c>
      <c r="H234" s="87" t="str">
        <f>IFERROR(IF(VLOOKUP($A234,'Annex 2 EHV charges'!$A:$O,12,FALSE)=0,"",VLOOKUP($A234,'Annex 2 EHV charges'!$A:$O,12,FALSE)),"")</f>
        <v/>
      </c>
    </row>
    <row r="235" spans="1:8" x14ac:dyDescent="0.2">
      <c r="A235" s="80" t="str">
        <f t="array" ref="A235">IFERROR(INDEX('Annex 2 EHV charges'!$A$10:$A$108, MATCH(0, IF(ISBLANK('Annex 2 EHV charges'!$A$10:$A$108),1, COUNTIF(A$4:$A234, 'Annex 2 EHV charges'!$A$10:$A$108)), 0)),"")</f>
        <v/>
      </c>
      <c r="B235" s="80" t="str">
        <f>IF($A235="","",VLOOKUP($A235,'Annex 2 EHV charges'!$A:$O,2,0))</f>
        <v/>
      </c>
      <c r="C235" s="81" t="str">
        <f>IF($A235="","",VLOOKUP($A235,'Annex 2 EHV charges'!$A:$O,3,0))</f>
        <v/>
      </c>
      <c r="D235" s="80" t="str">
        <f>IF($A235="","",VLOOKUP($A235,'Annex 2 EHV charges'!$A:$O,7,0))</f>
        <v/>
      </c>
      <c r="E235" s="85" t="str">
        <f>IFERROR(IF(VLOOKUP($A235,'Annex 2 EHV charges'!$A:$O,9,FALSE)=0,"",VLOOKUP($A235,'Annex 2 EHV charges'!$A:$O,9,FALSE)),"")</f>
        <v/>
      </c>
      <c r="F235" s="86" t="str">
        <f>IFERROR(IF(VLOOKUP($A235,'Annex 2 EHV charges'!$A:$O,10,FALSE)=0,"",VLOOKUP($A235,'Annex 2 EHV charges'!$A:$O,10,FALSE)),"")</f>
        <v/>
      </c>
      <c r="G235" s="87" t="str">
        <f>IFERROR(IF(VLOOKUP($A235,'Annex 2 EHV charges'!$A:$O,11,FALSE)=0,"",VLOOKUP($A235,'Annex 2 EHV charges'!$A:$O,11,FALSE)),"")</f>
        <v/>
      </c>
      <c r="H235" s="87" t="str">
        <f>IFERROR(IF(VLOOKUP($A235,'Annex 2 EHV charges'!$A:$O,12,FALSE)=0,"",VLOOKUP($A235,'Annex 2 EHV charges'!$A:$O,12,FALSE)),"")</f>
        <v/>
      </c>
    </row>
    <row r="236" spans="1:8" x14ac:dyDescent="0.2">
      <c r="A236" s="80" t="str">
        <f t="array" ref="A236">IFERROR(INDEX('Annex 2 EHV charges'!$A$10:$A$108, MATCH(0, IF(ISBLANK('Annex 2 EHV charges'!$A$10:$A$108),1, COUNTIF(A$4:$A235, 'Annex 2 EHV charges'!$A$10:$A$108)), 0)),"")</f>
        <v/>
      </c>
      <c r="B236" s="80" t="str">
        <f>IF($A236="","",VLOOKUP($A236,'Annex 2 EHV charges'!$A:$O,2,0))</f>
        <v/>
      </c>
      <c r="C236" s="81" t="str">
        <f>IF($A236="","",VLOOKUP($A236,'Annex 2 EHV charges'!$A:$O,3,0))</f>
        <v/>
      </c>
      <c r="D236" s="80" t="str">
        <f>IF($A236="","",VLOOKUP($A236,'Annex 2 EHV charges'!$A:$O,7,0))</f>
        <v/>
      </c>
      <c r="E236" s="85" t="str">
        <f>IFERROR(IF(VLOOKUP($A236,'Annex 2 EHV charges'!$A:$O,9,FALSE)=0,"",VLOOKUP($A236,'Annex 2 EHV charges'!$A:$O,9,FALSE)),"")</f>
        <v/>
      </c>
      <c r="F236" s="86" t="str">
        <f>IFERROR(IF(VLOOKUP($A236,'Annex 2 EHV charges'!$A:$O,10,FALSE)=0,"",VLOOKUP($A236,'Annex 2 EHV charges'!$A:$O,10,FALSE)),"")</f>
        <v/>
      </c>
      <c r="G236" s="87" t="str">
        <f>IFERROR(IF(VLOOKUP($A236,'Annex 2 EHV charges'!$A:$O,11,FALSE)=0,"",VLOOKUP($A236,'Annex 2 EHV charges'!$A:$O,11,FALSE)),"")</f>
        <v/>
      </c>
      <c r="H236" s="87" t="str">
        <f>IFERROR(IF(VLOOKUP($A236,'Annex 2 EHV charges'!$A:$O,12,FALSE)=0,"",VLOOKUP($A236,'Annex 2 EHV charges'!$A:$O,12,FALSE)),"")</f>
        <v/>
      </c>
    </row>
    <row r="237" spans="1:8" x14ac:dyDescent="0.2">
      <c r="A237" s="80" t="str">
        <f t="array" ref="A237">IFERROR(INDEX('Annex 2 EHV charges'!$A$10:$A$108, MATCH(0, IF(ISBLANK('Annex 2 EHV charges'!$A$10:$A$108),1, COUNTIF(A$4:$A236, 'Annex 2 EHV charges'!$A$10:$A$108)), 0)),"")</f>
        <v/>
      </c>
      <c r="B237" s="80" t="str">
        <f>IF($A237="","",VLOOKUP($A237,'Annex 2 EHV charges'!$A:$O,2,0))</f>
        <v/>
      </c>
      <c r="C237" s="81" t="str">
        <f>IF($A237="","",VLOOKUP($A237,'Annex 2 EHV charges'!$A:$O,3,0))</f>
        <v/>
      </c>
      <c r="D237" s="80" t="str">
        <f>IF($A237="","",VLOOKUP($A237,'Annex 2 EHV charges'!$A:$O,7,0))</f>
        <v/>
      </c>
      <c r="E237" s="85" t="str">
        <f>IFERROR(IF(VLOOKUP($A237,'Annex 2 EHV charges'!$A:$O,9,FALSE)=0,"",VLOOKUP($A237,'Annex 2 EHV charges'!$A:$O,9,FALSE)),"")</f>
        <v/>
      </c>
      <c r="F237" s="86" t="str">
        <f>IFERROR(IF(VLOOKUP($A237,'Annex 2 EHV charges'!$A:$O,10,FALSE)=0,"",VLOOKUP($A237,'Annex 2 EHV charges'!$A:$O,10,FALSE)),"")</f>
        <v/>
      </c>
      <c r="G237" s="87" t="str">
        <f>IFERROR(IF(VLOOKUP($A237,'Annex 2 EHV charges'!$A:$O,11,FALSE)=0,"",VLOOKUP($A237,'Annex 2 EHV charges'!$A:$O,11,FALSE)),"")</f>
        <v/>
      </c>
      <c r="H237" s="87" t="str">
        <f>IFERROR(IF(VLOOKUP($A237,'Annex 2 EHV charges'!$A:$O,12,FALSE)=0,"",VLOOKUP($A237,'Annex 2 EHV charges'!$A:$O,12,FALSE)),"")</f>
        <v/>
      </c>
    </row>
    <row r="238" spans="1:8" x14ac:dyDescent="0.2">
      <c r="A238" s="80" t="str">
        <f t="array" ref="A238">IFERROR(INDEX('Annex 2 EHV charges'!$A$10:$A$108, MATCH(0, IF(ISBLANK('Annex 2 EHV charges'!$A$10:$A$108),1, COUNTIF(A$4:$A237, 'Annex 2 EHV charges'!$A$10:$A$108)), 0)),"")</f>
        <v/>
      </c>
      <c r="B238" s="80" t="str">
        <f>IF($A238="","",VLOOKUP($A238,'Annex 2 EHV charges'!$A:$O,2,0))</f>
        <v/>
      </c>
      <c r="C238" s="81" t="str">
        <f>IF($A238="","",VLOOKUP($A238,'Annex 2 EHV charges'!$A:$O,3,0))</f>
        <v/>
      </c>
      <c r="D238" s="80" t="str">
        <f>IF($A238="","",VLOOKUP($A238,'Annex 2 EHV charges'!$A:$O,7,0))</f>
        <v/>
      </c>
      <c r="E238" s="85" t="str">
        <f>IFERROR(IF(VLOOKUP($A238,'Annex 2 EHV charges'!$A:$O,9,FALSE)=0,"",VLOOKUP($A238,'Annex 2 EHV charges'!$A:$O,9,FALSE)),"")</f>
        <v/>
      </c>
      <c r="F238" s="86" t="str">
        <f>IFERROR(IF(VLOOKUP($A238,'Annex 2 EHV charges'!$A:$O,10,FALSE)=0,"",VLOOKUP($A238,'Annex 2 EHV charges'!$A:$O,10,FALSE)),"")</f>
        <v/>
      </c>
      <c r="G238" s="87" t="str">
        <f>IFERROR(IF(VLOOKUP($A238,'Annex 2 EHV charges'!$A:$O,11,FALSE)=0,"",VLOOKUP($A238,'Annex 2 EHV charges'!$A:$O,11,FALSE)),"")</f>
        <v/>
      </c>
      <c r="H238" s="87" t="str">
        <f>IFERROR(IF(VLOOKUP($A238,'Annex 2 EHV charges'!$A:$O,12,FALSE)=0,"",VLOOKUP($A238,'Annex 2 EHV charges'!$A:$O,12,FALSE)),"")</f>
        <v/>
      </c>
    </row>
    <row r="239" spans="1:8" x14ac:dyDescent="0.2">
      <c r="A239" s="80" t="str">
        <f t="array" ref="A239">IFERROR(INDEX('Annex 2 EHV charges'!$A$10:$A$108, MATCH(0, IF(ISBLANK('Annex 2 EHV charges'!$A$10:$A$108),1, COUNTIF(A$4:$A238, 'Annex 2 EHV charges'!$A$10:$A$108)), 0)),"")</f>
        <v/>
      </c>
      <c r="B239" s="80" t="str">
        <f>IF($A239="","",VLOOKUP($A239,'Annex 2 EHV charges'!$A:$O,2,0))</f>
        <v/>
      </c>
      <c r="C239" s="81" t="str">
        <f>IF($A239="","",VLOOKUP($A239,'Annex 2 EHV charges'!$A:$O,3,0))</f>
        <v/>
      </c>
      <c r="D239" s="80" t="str">
        <f>IF($A239="","",VLOOKUP($A239,'Annex 2 EHV charges'!$A:$O,7,0))</f>
        <v/>
      </c>
      <c r="E239" s="85" t="str">
        <f>IFERROR(IF(VLOOKUP($A239,'Annex 2 EHV charges'!$A:$O,9,FALSE)=0,"",VLOOKUP($A239,'Annex 2 EHV charges'!$A:$O,9,FALSE)),"")</f>
        <v/>
      </c>
      <c r="F239" s="86" t="str">
        <f>IFERROR(IF(VLOOKUP($A239,'Annex 2 EHV charges'!$A:$O,10,FALSE)=0,"",VLOOKUP($A239,'Annex 2 EHV charges'!$A:$O,10,FALSE)),"")</f>
        <v/>
      </c>
      <c r="G239" s="87" t="str">
        <f>IFERROR(IF(VLOOKUP($A239,'Annex 2 EHV charges'!$A:$O,11,FALSE)=0,"",VLOOKUP($A239,'Annex 2 EHV charges'!$A:$O,11,FALSE)),"")</f>
        <v/>
      </c>
      <c r="H239" s="87" t="str">
        <f>IFERROR(IF(VLOOKUP($A239,'Annex 2 EHV charges'!$A:$O,12,FALSE)=0,"",VLOOKUP($A239,'Annex 2 EHV charges'!$A:$O,12,FALSE)),"")</f>
        <v/>
      </c>
    </row>
    <row r="240" spans="1:8" x14ac:dyDescent="0.2">
      <c r="A240" s="80" t="str">
        <f t="array" ref="A240">IFERROR(INDEX('Annex 2 EHV charges'!$A$10:$A$108, MATCH(0, IF(ISBLANK('Annex 2 EHV charges'!$A$10:$A$108),1, COUNTIF(A$4:$A239, 'Annex 2 EHV charges'!$A$10:$A$108)), 0)),"")</f>
        <v/>
      </c>
      <c r="B240" s="80" t="str">
        <f>IF($A240="","",VLOOKUP($A240,'Annex 2 EHV charges'!$A:$O,2,0))</f>
        <v/>
      </c>
      <c r="C240" s="81" t="str">
        <f>IF($A240="","",VLOOKUP($A240,'Annex 2 EHV charges'!$A:$O,3,0))</f>
        <v/>
      </c>
      <c r="D240" s="80" t="str">
        <f>IF($A240="","",VLOOKUP($A240,'Annex 2 EHV charges'!$A:$O,7,0))</f>
        <v/>
      </c>
      <c r="E240" s="85" t="str">
        <f>IFERROR(IF(VLOOKUP($A240,'Annex 2 EHV charges'!$A:$O,9,FALSE)=0,"",VLOOKUP($A240,'Annex 2 EHV charges'!$A:$O,9,FALSE)),"")</f>
        <v/>
      </c>
      <c r="F240" s="86" t="str">
        <f>IFERROR(IF(VLOOKUP($A240,'Annex 2 EHV charges'!$A:$O,10,FALSE)=0,"",VLOOKUP($A240,'Annex 2 EHV charges'!$A:$O,10,FALSE)),"")</f>
        <v/>
      </c>
      <c r="G240" s="87" t="str">
        <f>IFERROR(IF(VLOOKUP($A240,'Annex 2 EHV charges'!$A:$O,11,FALSE)=0,"",VLOOKUP($A240,'Annex 2 EHV charges'!$A:$O,11,FALSE)),"")</f>
        <v/>
      </c>
      <c r="H240" s="87" t="str">
        <f>IFERROR(IF(VLOOKUP($A240,'Annex 2 EHV charges'!$A:$O,12,FALSE)=0,"",VLOOKUP($A240,'Annex 2 EHV charges'!$A:$O,12,FALSE)),"")</f>
        <v/>
      </c>
    </row>
    <row r="241" spans="1:8" x14ac:dyDescent="0.2">
      <c r="A241" s="80" t="str">
        <f t="array" ref="A241">IFERROR(INDEX('Annex 2 EHV charges'!$A$10:$A$108, MATCH(0, IF(ISBLANK('Annex 2 EHV charges'!$A$10:$A$108),1, COUNTIF(A$4:$A240, 'Annex 2 EHV charges'!$A$10:$A$108)), 0)),"")</f>
        <v/>
      </c>
      <c r="B241" s="80" t="str">
        <f>IF($A241="","",VLOOKUP($A241,'Annex 2 EHV charges'!$A:$O,2,0))</f>
        <v/>
      </c>
      <c r="C241" s="81" t="str">
        <f>IF($A241="","",VLOOKUP($A241,'Annex 2 EHV charges'!$A:$O,3,0))</f>
        <v/>
      </c>
      <c r="D241" s="80" t="str">
        <f>IF($A241="","",VLOOKUP($A241,'Annex 2 EHV charges'!$A:$O,7,0))</f>
        <v/>
      </c>
      <c r="E241" s="85" t="str">
        <f>IFERROR(IF(VLOOKUP($A241,'Annex 2 EHV charges'!$A:$O,9,FALSE)=0,"",VLOOKUP($A241,'Annex 2 EHV charges'!$A:$O,9,FALSE)),"")</f>
        <v/>
      </c>
      <c r="F241" s="86" t="str">
        <f>IFERROR(IF(VLOOKUP($A241,'Annex 2 EHV charges'!$A:$O,10,FALSE)=0,"",VLOOKUP($A241,'Annex 2 EHV charges'!$A:$O,10,FALSE)),"")</f>
        <v/>
      </c>
      <c r="G241" s="87" t="str">
        <f>IFERROR(IF(VLOOKUP($A241,'Annex 2 EHV charges'!$A:$O,11,FALSE)=0,"",VLOOKUP($A241,'Annex 2 EHV charges'!$A:$O,11,FALSE)),"")</f>
        <v/>
      </c>
      <c r="H241" s="87" t="str">
        <f>IFERROR(IF(VLOOKUP($A241,'Annex 2 EHV charges'!$A:$O,12,FALSE)=0,"",VLOOKUP($A241,'Annex 2 EHV charges'!$A:$O,12,FALSE)),"")</f>
        <v/>
      </c>
    </row>
    <row r="242" spans="1:8" x14ac:dyDescent="0.2">
      <c r="A242" s="80" t="str">
        <f t="array" ref="A242">IFERROR(INDEX('Annex 2 EHV charges'!$A$10:$A$108, MATCH(0, IF(ISBLANK('Annex 2 EHV charges'!$A$10:$A$108),1, COUNTIF(A$4:$A241, 'Annex 2 EHV charges'!$A$10:$A$108)), 0)),"")</f>
        <v/>
      </c>
      <c r="B242" s="80" t="str">
        <f>IF($A242="","",VLOOKUP($A242,'Annex 2 EHV charges'!$A:$O,2,0))</f>
        <v/>
      </c>
      <c r="C242" s="81" t="str">
        <f>IF($A242="","",VLOOKUP($A242,'Annex 2 EHV charges'!$A:$O,3,0))</f>
        <v/>
      </c>
      <c r="D242" s="80" t="str">
        <f>IF($A242="","",VLOOKUP($A242,'Annex 2 EHV charges'!$A:$O,7,0))</f>
        <v/>
      </c>
      <c r="E242" s="85" t="str">
        <f>IFERROR(IF(VLOOKUP($A242,'Annex 2 EHV charges'!$A:$O,9,FALSE)=0,"",VLOOKUP($A242,'Annex 2 EHV charges'!$A:$O,9,FALSE)),"")</f>
        <v/>
      </c>
      <c r="F242" s="86" t="str">
        <f>IFERROR(IF(VLOOKUP($A242,'Annex 2 EHV charges'!$A:$O,10,FALSE)=0,"",VLOOKUP($A242,'Annex 2 EHV charges'!$A:$O,10,FALSE)),"")</f>
        <v/>
      </c>
      <c r="G242" s="87" t="str">
        <f>IFERROR(IF(VLOOKUP($A242,'Annex 2 EHV charges'!$A:$O,11,FALSE)=0,"",VLOOKUP($A242,'Annex 2 EHV charges'!$A:$O,11,FALSE)),"")</f>
        <v/>
      </c>
      <c r="H242" s="87" t="str">
        <f>IFERROR(IF(VLOOKUP($A242,'Annex 2 EHV charges'!$A:$O,12,FALSE)=0,"",VLOOKUP($A242,'Annex 2 EHV charges'!$A:$O,12,FALSE)),"")</f>
        <v/>
      </c>
    </row>
    <row r="243" spans="1:8" x14ac:dyDescent="0.2">
      <c r="A243" s="80" t="str">
        <f t="array" ref="A243">IFERROR(INDEX('Annex 2 EHV charges'!$A$10:$A$108, MATCH(0, IF(ISBLANK('Annex 2 EHV charges'!$A$10:$A$108),1, COUNTIF(A$4:$A242, 'Annex 2 EHV charges'!$A$10:$A$108)), 0)),"")</f>
        <v/>
      </c>
      <c r="B243" s="80" t="str">
        <f>IF($A243="","",VLOOKUP($A243,'Annex 2 EHV charges'!$A:$O,2,0))</f>
        <v/>
      </c>
      <c r="C243" s="81" t="str">
        <f>IF($A243="","",VLOOKUP($A243,'Annex 2 EHV charges'!$A:$O,3,0))</f>
        <v/>
      </c>
      <c r="D243" s="80" t="str">
        <f>IF($A243="","",VLOOKUP($A243,'Annex 2 EHV charges'!$A:$O,7,0))</f>
        <v/>
      </c>
      <c r="E243" s="85" t="str">
        <f>IFERROR(IF(VLOOKUP($A243,'Annex 2 EHV charges'!$A:$O,9,FALSE)=0,"",VLOOKUP($A243,'Annex 2 EHV charges'!$A:$O,9,FALSE)),"")</f>
        <v/>
      </c>
      <c r="F243" s="86" t="str">
        <f>IFERROR(IF(VLOOKUP($A243,'Annex 2 EHV charges'!$A:$O,10,FALSE)=0,"",VLOOKUP($A243,'Annex 2 EHV charges'!$A:$O,10,FALSE)),"")</f>
        <v/>
      </c>
      <c r="G243" s="87" t="str">
        <f>IFERROR(IF(VLOOKUP($A243,'Annex 2 EHV charges'!$A:$O,11,FALSE)=0,"",VLOOKUP($A243,'Annex 2 EHV charges'!$A:$O,11,FALSE)),"")</f>
        <v/>
      </c>
      <c r="H243" s="87" t="str">
        <f>IFERROR(IF(VLOOKUP($A243,'Annex 2 EHV charges'!$A:$O,12,FALSE)=0,"",VLOOKUP($A243,'Annex 2 EHV charges'!$A:$O,12,FALSE)),"")</f>
        <v/>
      </c>
    </row>
    <row r="244" spans="1:8" x14ac:dyDescent="0.2">
      <c r="A244" s="80" t="str">
        <f t="array" ref="A244">IFERROR(INDEX('Annex 2 EHV charges'!$A$10:$A$108, MATCH(0, IF(ISBLANK('Annex 2 EHV charges'!$A$10:$A$108),1, COUNTIF(A$4:$A243, 'Annex 2 EHV charges'!$A$10:$A$108)), 0)),"")</f>
        <v/>
      </c>
      <c r="B244" s="80" t="str">
        <f>IF($A244="","",VLOOKUP($A244,'Annex 2 EHV charges'!$A:$O,2,0))</f>
        <v/>
      </c>
      <c r="C244" s="81" t="str">
        <f>IF($A244="","",VLOOKUP($A244,'Annex 2 EHV charges'!$A:$O,3,0))</f>
        <v/>
      </c>
      <c r="D244" s="80" t="str">
        <f>IF($A244="","",VLOOKUP($A244,'Annex 2 EHV charges'!$A:$O,7,0))</f>
        <v/>
      </c>
      <c r="E244" s="85" t="str">
        <f>IFERROR(IF(VLOOKUP($A244,'Annex 2 EHV charges'!$A:$O,9,FALSE)=0,"",VLOOKUP($A244,'Annex 2 EHV charges'!$A:$O,9,FALSE)),"")</f>
        <v/>
      </c>
      <c r="F244" s="86" t="str">
        <f>IFERROR(IF(VLOOKUP($A244,'Annex 2 EHV charges'!$A:$O,10,FALSE)=0,"",VLOOKUP($A244,'Annex 2 EHV charges'!$A:$O,10,FALSE)),"")</f>
        <v/>
      </c>
      <c r="G244" s="87" t="str">
        <f>IFERROR(IF(VLOOKUP($A244,'Annex 2 EHV charges'!$A:$O,11,FALSE)=0,"",VLOOKUP($A244,'Annex 2 EHV charges'!$A:$O,11,FALSE)),"")</f>
        <v/>
      </c>
      <c r="H244" s="87" t="str">
        <f>IFERROR(IF(VLOOKUP($A244,'Annex 2 EHV charges'!$A:$O,12,FALSE)=0,"",VLOOKUP($A244,'Annex 2 EHV charges'!$A:$O,12,FALSE)),"")</f>
        <v/>
      </c>
    </row>
    <row r="245" spans="1:8" x14ac:dyDescent="0.2">
      <c r="A245" s="80" t="str">
        <f t="array" ref="A245">IFERROR(INDEX('Annex 2 EHV charges'!$A$10:$A$108, MATCH(0, IF(ISBLANK('Annex 2 EHV charges'!$A$10:$A$108),1, COUNTIF(A$4:$A244, 'Annex 2 EHV charges'!$A$10:$A$108)), 0)),"")</f>
        <v/>
      </c>
      <c r="B245" s="80" t="str">
        <f>IF($A245="","",VLOOKUP($A245,'Annex 2 EHV charges'!$A:$O,2,0))</f>
        <v/>
      </c>
      <c r="C245" s="81" t="str">
        <f>IF($A245="","",VLOOKUP($A245,'Annex 2 EHV charges'!$A:$O,3,0))</f>
        <v/>
      </c>
      <c r="D245" s="80" t="str">
        <f>IF($A245="","",VLOOKUP($A245,'Annex 2 EHV charges'!$A:$O,7,0))</f>
        <v/>
      </c>
      <c r="E245" s="85" t="str">
        <f>IFERROR(IF(VLOOKUP($A245,'Annex 2 EHV charges'!$A:$O,9,FALSE)=0,"",VLOOKUP($A245,'Annex 2 EHV charges'!$A:$O,9,FALSE)),"")</f>
        <v/>
      </c>
      <c r="F245" s="86" t="str">
        <f>IFERROR(IF(VLOOKUP($A245,'Annex 2 EHV charges'!$A:$O,10,FALSE)=0,"",VLOOKUP($A245,'Annex 2 EHV charges'!$A:$O,10,FALSE)),"")</f>
        <v/>
      </c>
      <c r="G245" s="87" t="str">
        <f>IFERROR(IF(VLOOKUP($A245,'Annex 2 EHV charges'!$A:$O,11,FALSE)=0,"",VLOOKUP($A245,'Annex 2 EHV charges'!$A:$O,11,FALSE)),"")</f>
        <v/>
      </c>
      <c r="H245" s="87" t="str">
        <f>IFERROR(IF(VLOOKUP($A245,'Annex 2 EHV charges'!$A:$O,12,FALSE)=0,"",VLOOKUP($A245,'Annex 2 EHV charges'!$A:$O,12,FALSE)),"")</f>
        <v/>
      </c>
    </row>
    <row r="246" spans="1:8" x14ac:dyDescent="0.2">
      <c r="A246" s="80" t="str">
        <f t="array" ref="A246">IFERROR(INDEX('Annex 2 EHV charges'!$A$10:$A$108, MATCH(0, IF(ISBLANK('Annex 2 EHV charges'!$A$10:$A$108),1, COUNTIF(A$4:$A245, 'Annex 2 EHV charges'!$A$10:$A$108)), 0)),"")</f>
        <v/>
      </c>
      <c r="B246" s="80" t="str">
        <f>IF($A246="","",VLOOKUP($A246,'Annex 2 EHV charges'!$A:$O,2,0))</f>
        <v/>
      </c>
      <c r="C246" s="81" t="str">
        <f>IF($A246="","",VLOOKUP($A246,'Annex 2 EHV charges'!$A:$O,3,0))</f>
        <v/>
      </c>
      <c r="D246" s="80" t="str">
        <f>IF($A246="","",VLOOKUP($A246,'Annex 2 EHV charges'!$A:$O,7,0))</f>
        <v/>
      </c>
      <c r="E246" s="85" t="str">
        <f>IFERROR(IF(VLOOKUP($A246,'Annex 2 EHV charges'!$A:$O,9,FALSE)=0,"",VLOOKUP($A246,'Annex 2 EHV charges'!$A:$O,9,FALSE)),"")</f>
        <v/>
      </c>
      <c r="F246" s="86" t="str">
        <f>IFERROR(IF(VLOOKUP($A246,'Annex 2 EHV charges'!$A:$O,10,FALSE)=0,"",VLOOKUP($A246,'Annex 2 EHV charges'!$A:$O,10,FALSE)),"")</f>
        <v/>
      </c>
      <c r="G246" s="87" t="str">
        <f>IFERROR(IF(VLOOKUP($A246,'Annex 2 EHV charges'!$A:$O,11,FALSE)=0,"",VLOOKUP($A246,'Annex 2 EHV charges'!$A:$O,11,FALSE)),"")</f>
        <v/>
      </c>
      <c r="H246" s="87" t="str">
        <f>IFERROR(IF(VLOOKUP($A246,'Annex 2 EHV charges'!$A:$O,12,FALSE)=0,"",VLOOKUP($A246,'Annex 2 EHV charges'!$A:$O,12,FALSE)),"")</f>
        <v/>
      </c>
    </row>
    <row r="247" spans="1:8" x14ac:dyDescent="0.2">
      <c r="A247" s="80" t="str">
        <f t="array" ref="A247">IFERROR(INDEX('Annex 2 EHV charges'!$A$10:$A$108, MATCH(0, IF(ISBLANK('Annex 2 EHV charges'!$A$10:$A$108),1, COUNTIF(A$4:$A246, 'Annex 2 EHV charges'!$A$10:$A$108)), 0)),"")</f>
        <v/>
      </c>
      <c r="B247" s="80" t="str">
        <f>IF($A247="","",VLOOKUP($A247,'Annex 2 EHV charges'!$A:$O,2,0))</f>
        <v/>
      </c>
      <c r="C247" s="81" t="str">
        <f>IF($A247="","",VLOOKUP($A247,'Annex 2 EHV charges'!$A:$O,3,0))</f>
        <v/>
      </c>
      <c r="D247" s="80" t="str">
        <f>IF($A247="","",VLOOKUP($A247,'Annex 2 EHV charges'!$A:$O,7,0))</f>
        <v/>
      </c>
      <c r="E247" s="85" t="str">
        <f>IFERROR(IF(VLOOKUP($A247,'Annex 2 EHV charges'!$A:$O,9,FALSE)=0,"",VLOOKUP($A247,'Annex 2 EHV charges'!$A:$O,9,FALSE)),"")</f>
        <v/>
      </c>
      <c r="F247" s="86" t="str">
        <f>IFERROR(IF(VLOOKUP($A247,'Annex 2 EHV charges'!$A:$O,10,FALSE)=0,"",VLOOKUP($A247,'Annex 2 EHV charges'!$A:$O,10,FALSE)),"")</f>
        <v/>
      </c>
      <c r="G247" s="87" t="str">
        <f>IFERROR(IF(VLOOKUP($A247,'Annex 2 EHV charges'!$A:$O,11,FALSE)=0,"",VLOOKUP($A247,'Annex 2 EHV charges'!$A:$O,11,FALSE)),"")</f>
        <v/>
      </c>
      <c r="H247" s="87" t="str">
        <f>IFERROR(IF(VLOOKUP($A247,'Annex 2 EHV charges'!$A:$O,12,FALSE)=0,"",VLOOKUP($A247,'Annex 2 EHV charges'!$A:$O,12,FALSE)),"")</f>
        <v/>
      </c>
    </row>
    <row r="248" spans="1:8" x14ac:dyDescent="0.2">
      <c r="A248" s="80" t="str">
        <f t="array" ref="A248">IFERROR(INDEX('Annex 2 EHV charges'!$A$10:$A$108, MATCH(0, IF(ISBLANK('Annex 2 EHV charges'!$A$10:$A$108),1, COUNTIF(A$4:$A247, 'Annex 2 EHV charges'!$A$10:$A$108)), 0)),"")</f>
        <v/>
      </c>
      <c r="B248" s="80" t="str">
        <f>IF($A248="","",VLOOKUP($A248,'Annex 2 EHV charges'!$A:$O,2,0))</f>
        <v/>
      </c>
      <c r="C248" s="81" t="str">
        <f>IF($A248="","",VLOOKUP($A248,'Annex 2 EHV charges'!$A:$O,3,0))</f>
        <v/>
      </c>
      <c r="D248" s="80" t="str">
        <f>IF($A248="","",VLOOKUP($A248,'Annex 2 EHV charges'!$A:$O,7,0))</f>
        <v/>
      </c>
      <c r="E248" s="85" t="str">
        <f>IFERROR(IF(VLOOKUP($A248,'Annex 2 EHV charges'!$A:$O,9,FALSE)=0,"",VLOOKUP($A248,'Annex 2 EHV charges'!$A:$O,9,FALSE)),"")</f>
        <v/>
      </c>
      <c r="F248" s="86" t="str">
        <f>IFERROR(IF(VLOOKUP($A248,'Annex 2 EHV charges'!$A:$O,10,FALSE)=0,"",VLOOKUP($A248,'Annex 2 EHV charges'!$A:$O,10,FALSE)),"")</f>
        <v/>
      </c>
      <c r="G248" s="87" t="str">
        <f>IFERROR(IF(VLOOKUP($A248,'Annex 2 EHV charges'!$A:$O,11,FALSE)=0,"",VLOOKUP($A248,'Annex 2 EHV charges'!$A:$O,11,FALSE)),"")</f>
        <v/>
      </c>
      <c r="H248" s="87" t="str">
        <f>IFERROR(IF(VLOOKUP($A248,'Annex 2 EHV charges'!$A:$O,12,FALSE)=0,"",VLOOKUP($A248,'Annex 2 EHV charges'!$A:$O,12,FALSE)),"")</f>
        <v/>
      </c>
    </row>
    <row r="249" spans="1:8" x14ac:dyDescent="0.2">
      <c r="A249" s="80" t="str">
        <f t="array" ref="A249">IFERROR(INDEX('Annex 2 EHV charges'!$A$10:$A$108, MATCH(0, IF(ISBLANK('Annex 2 EHV charges'!$A$10:$A$108),1, COUNTIF(A$4:$A248, 'Annex 2 EHV charges'!$A$10:$A$108)), 0)),"")</f>
        <v/>
      </c>
      <c r="B249" s="80" t="str">
        <f>IF($A249="","",VLOOKUP($A249,'Annex 2 EHV charges'!$A:$O,2,0))</f>
        <v/>
      </c>
      <c r="C249" s="81" t="str">
        <f>IF($A249="","",VLOOKUP($A249,'Annex 2 EHV charges'!$A:$O,3,0))</f>
        <v/>
      </c>
      <c r="D249" s="80" t="str">
        <f>IF($A249="","",VLOOKUP($A249,'Annex 2 EHV charges'!$A:$O,7,0))</f>
        <v/>
      </c>
      <c r="E249" s="85" t="str">
        <f>IFERROR(IF(VLOOKUP($A249,'Annex 2 EHV charges'!$A:$O,9,FALSE)=0,"",VLOOKUP($A249,'Annex 2 EHV charges'!$A:$O,9,FALSE)),"")</f>
        <v/>
      </c>
      <c r="F249" s="86" t="str">
        <f>IFERROR(IF(VLOOKUP($A249,'Annex 2 EHV charges'!$A:$O,10,FALSE)=0,"",VLOOKUP($A249,'Annex 2 EHV charges'!$A:$O,10,FALSE)),"")</f>
        <v/>
      </c>
      <c r="G249" s="87" t="str">
        <f>IFERROR(IF(VLOOKUP($A249,'Annex 2 EHV charges'!$A:$O,11,FALSE)=0,"",VLOOKUP($A249,'Annex 2 EHV charges'!$A:$O,11,FALSE)),"")</f>
        <v/>
      </c>
      <c r="H249" s="87" t="str">
        <f>IFERROR(IF(VLOOKUP($A249,'Annex 2 EHV charges'!$A:$O,12,FALSE)=0,"",VLOOKUP($A249,'Annex 2 EHV charges'!$A:$O,12,FALSE)),"")</f>
        <v/>
      </c>
    </row>
    <row r="250" spans="1:8" x14ac:dyDescent="0.2">
      <c r="A250" s="80" t="str">
        <f t="array" ref="A250">IFERROR(INDEX('Annex 2 EHV charges'!$A$10:$A$108, MATCH(0, IF(ISBLANK('Annex 2 EHV charges'!$A$10:$A$108),1, COUNTIF(A$4:$A249, 'Annex 2 EHV charges'!$A$10:$A$108)), 0)),"")</f>
        <v/>
      </c>
      <c r="B250" s="80" t="str">
        <f>IF($A250="","",VLOOKUP($A250,'Annex 2 EHV charges'!$A:$O,2,0))</f>
        <v/>
      </c>
      <c r="C250" s="81" t="str">
        <f>IF($A250="","",VLOOKUP($A250,'Annex 2 EHV charges'!$A:$O,3,0))</f>
        <v/>
      </c>
      <c r="D250" s="80" t="str">
        <f>IF($A250="","",VLOOKUP($A250,'Annex 2 EHV charges'!$A:$O,7,0))</f>
        <v/>
      </c>
      <c r="E250" s="85" t="str">
        <f>IFERROR(IF(VLOOKUP($A250,'Annex 2 EHV charges'!$A:$O,9,FALSE)=0,"",VLOOKUP($A250,'Annex 2 EHV charges'!$A:$O,9,FALSE)),"")</f>
        <v/>
      </c>
      <c r="F250" s="86" t="str">
        <f>IFERROR(IF(VLOOKUP($A250,'Annex 2 EHV charges'!$A:$O,10,FALSE)=0,"",VLOOKUP($A250,'Annex 2 EHV charges'!$A:$O,10,FALSE)),"")</f>
        <v/>
      </c>
      <c r="G250" s="87" t="str">
        <f>IFERROR(IF(VLOOKUP($A250,'Annex 2 EHV charges'!$A:$O,11,FALSE)=0,"",VLOOKUP($A250,'Annex 2 EHV charges'!$A:$O,11,FALSE)),"")</f>
        <v/>
      </c>
      <c r="H250" s="87" t="str">
        <f>IFERROR(IF(VLOOKUP($A250,'Annex 2 EHV charges'!$A:$O,12,FALSE)=0,"",VLOOKUP($A250,'Annex 2 EHV charges'!$A:$O,12,FALSE)),"")</f>
        <v/>
      </c>
    </row>
    <row r="251" spans="1:8" x14ac:dyDescent="0.2">
      <c r="A251" s="80" t="str">
        <f t="array" ref="A251">IFERROR(INDEX('Annex 2 EHV charges'!$A$10:$A$108, MATCH(0, IF(ISBLANK('Annex 2 EHV charges'!$A$10:$A$108),1, COUNTIF(A$4:$A250, 'Annex 2 EHV charges'!$A$10:$A$108)), 0)),"")</f>
        <v/>
      </c>
      <c r="B251" s="80" t="str">
        <f>IF($A251="","",VLOOKUP($A251,'Annex 2 EHV charges'!$A:$O,2,0))</f>
        <v/>
      </c>
      <c r="C251" s="81" t="str">
        <f>IF($A251="","",VLOOKUP($A251,'Annex 2 EHV charges'!$A:$O,3,0))</f>
        <v/>
      </c>
      <c r="D251" s="80" t="str">
        <f>IF($A251="","",VLOOKUP($A251,'Annex 2 EHV charges'!$A:$O,7,0))</f>
        <v/>
      </c>
      <c r="E251" s="85" t="str">
        <f>IFERROR(IF(VLOOKUP($A251,'Annex 2 EHV charges'!$A:$O,9,FALSE)=0,"",VLOOKUP($A251,'Annex 2 EHV charges'!$A:$O,9,FALSE)),"")</f>
        <v/>
      </c>
      <c r="F251" s="86" t="str">
        <f>IFERROR(IF(VLOOKUP($A251,'Annex 2 EHV charges'!$A:$O,10,FALSE)=0,"",VLOOKUP($A251,'Annex 2 EHV charges'!$A:$O,10,FALSE)),"")</f>
        <v/>
      </c>
      <c r="G251" s="87" t="str">
        <f>IFERROR(IF(VLOOKUP($A251,'Annex 2 EHV charges'!$A:$O,11,FALSE)=0,"",VLOOKUP($A251,'Annex 2 EHV charges'!$A:$O,11,FALSE)),"")</f>
        <v/>
      </c>
      <c r="H251" s="87" t="str">
        <f>IFERROR(IF(VLOOKUP($A251,'Annex 2 EHV charges'!$A:$O,12,FALSE)=0,"",VLOOKUP($A251,'Annex 2 EHV charges'!$A:$O,12,FALSE)),"")</f>
        <v/>
      </c>
    </row>
    <row r="252" spans="1:8" x14ac:dyDescent="0.2">
      <c r="A252" s="80" t="str">
        <f t="array" ref="A252">IFERROR(INDEX('Annex 2 EHV charges'!$A$10:$A$108, MATCH(0, IF(ISBLANK('Annex 2 EHV charges'!$A$10:$A$108),1, COUNTIF(A$4:$A251, 'Annex 2 EHV charges'!$A$10:$A$108)), 0)),"")</f>
        <v/>
      </c>
      <c r="B252" s="80" t="str">
        <f>IF($A252="","",VLOOKUP($A252,'Annex 2 EHV charges'!$A:$O,2,0))</f>
        <v/>
      </c>
      <c r="C252" s="81" t="str">
        <f>IF($A252="","",VLOOKUP($A252,'Annex 2 EHV charges'!$A:$O,3,0))</f>
        <v/>
      </c>
      <c r="D252" s="80" t="str">
        <f>IF($A252="","",VLOOKUP($A252,'Annex 2 EHV charges'!$A:$O,7,0))</f>
        <v/>
      </c>
      <c r="E252" s="85" t="str">
        <f>IFERROR(IF(VLOOKUP($A252,'Annex 2 EHV charges'!$A:$O,9,FALSE)=0,"",VLOOKUP($A252,'Annex 2 EHV charges'!$A:$O,9,FALSE)),"")</f>
        <v/>
      </c>
      <c r="F252" s="86" t="str">
        <f>IFERROR(IF(VLOOKUP($A252,'Annex 2 EHV charges'!$A:$O,10,FALSE)=0,"",VLOOKUP($A252,'Annex 2 EHV charges'!$A:$O,10,FALSE)),"")</f>
        <v/>
      </c>
      <c r="G252" s="87" t="str">
        <f>IFERROR(IF(VLOOKUP($A252,'Annex 2 EHV charges'!$A:$O,11,FALSE)=0,"",VLOOKUP($A252,'Annex 2 EHV charges'!$A:$O,11,FALSE)),"")</f>
        <v/>
      </c>
      <c r="H252" s="87" t="str">
        <f>IFERROR(IF(VLOOKUP($A252,'Annex 2 EHV charges'!$A:$O,12,FALSE)=0,"",VLOOKUP($A252,'Annex 2 EHV charges'!$A:$O,12,FALSE)),"")</f>
        <v/>
      </c>
    </row>
    <row r="253" spans="1:8" x14ac:dyDescent="0.2">
      <c r="A253" s="80" t="str">
        <f t="array" ref="A253">IFERROR(INDEX('Annex 2 EHV charges'!$A$10:$A$108, MATCH(0, IF(ISBLANK('Annex 2 EHV charges'!$A$10:$A$108),1, COUNTIF(A$4:$A252, 'Annex 2 EHV charges'!$A$10:$A$108)), 0)),"")</f>
        <v/>
      </c>
      <c r="B253" s="80" t="str">
        <f>IF($A253="","",VLOOKUP($A253,'Annex 2 EHV charges'!$A:$O,2,0))</f>
        <v/>
      </c>
      <c r="C253" s="81" t="str">
        <f>IF($A253="","",VLOOKUP($A253,'Annex 2 EHV charges'!$A:$O,3,0))</f>
        <v/>
      </c>
      <c r="D253" s="80" t="str">
        <f>IF($A253="","",VLOOKUP($A253,'Annex 2 EHV charges'!$A:$O,7,0))</f>
        <v/>
      </c>
      <c r="E253" s="85" t="str">
        <f>IFERROR(IF(VLOOKUP($A253,'Annex 2 EHV charges'!$A:$O,9,FALSE)=0,"",VLOOKUP($A253,'Annex 2 EHV charges'!$A:$O,9,FALSE)),"")</f>
        <v/>
      </c>
      <c r="F253" s="86" t="str">
        <f>IFERROR(IF(VLOOKUP($A253,'Annex 2 EHV charges'!$A:$O,10,FALSE)=0,"",VLOOKUP($A253,'Annex 2 EHV charges'!$A:$O,10,FALSE)),"")</f>
        <v/>
      </c>
      <c r="G253" s="87" t="str">
        <f>IFERROR(IF(VLOOKUP($A253,'Annex 2 EHV charges'!$A:$O,11,FALSE)=0,"",VLOOKUP($A253,'Annex 2 EHV charges'!$A:$O,11,FALSE)),"")</f>
        <v/>
      </c>
      <c r="H253" s="87" t="str">
        <f>IFERROR(IF(VLOOKUP($A253,'Annex 2 EHV charges'!$A:$O,12,FALSE)=0,"",VLOOKUP($A253,'Annex 2 EHV charges'!$A:$O,12,FALSE)),"")</f>
        <v/>
      </c>
    </row>
    <row r="254" spans="1:8" x14ac:dyDescent="0.2">
      <c r="A254" s="80" t="str">
        <f t="array" ref="A254">IFERROR(INDEX('Annex 2 EHV charges'!$A$10:$A$108, MATCH(0, IF(ISBLANK('Annex 2 EHV charges'!$A$10:$A$108),1, COUNTIF(A$4:$A253, 'Annex 2 EHV charges'!$A$10:$A$108)), 0)),"")</f>
        <v/>
      </c>
      <c r="B254" s="80" t="str">
        <f>IF($A254="","",VLOOKUP($A254,'Annex 2 EHV charges'!$A:$O,2,0))</f>
        <v/>
      </c>
      <c r="C254" s="81" t="str">
        <f>IF($A254="","",VLOOKUP($A254,'Annex 2 EHV charges'!$A:$O,3,0))</f>
        <v/>
      </c>
      <c r="D254" s="80" t="str">
        <f>IF($A254="","",VLOOKUP($A254,'Annex 2 EHV charges'!$A:$O,7,0))</f>
        <v/>
      </c>
      <c r="E254" s="85" t="str">
        <f>IFERROR(IF(VLOOKUP($A254,'Annex 2 EHV charges'!$A:$O,9,FALSE)=0,"",VLOOKUP($A254,'Annex 2 EHV charges'!$A:$O,9,FALSE)),"")</f>
        <v/>
      </c>
      <c r="F254" s="86" t="str">
        <f>IFERROR(IF(VLOOKUP($A254,'Annex 2 EHV charges'!$A:$O,10,FALSE)=0,"",VLOOKUP($A254,'Annex 2 EHV charges'!$A:$O,10,FALSE)),"")</f>
        <v/>
      </c>
      <c r="G254" s="87" t="str">
        <f>IFERROR(IF(VLOOKUP($A254,'Annex 2 EHV charges'!$A:$O,11,FALSE)=0,"",VLOOKUP($A254,'Annex 2 EHV charges'!$A:$O,11,FALSE)),"")</f>
        <v/>
      </c>
      <c r="H254" s="87" t="str">
        <f>IFERROR(IF(VLOOKUP($A254,'Annex 2 EHV charges'!$A:$O,12,FALSE)=0,"",VLOOKUP($A254,'Annex 2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4" customWidth="1"/>
    <col min="2" max="2" width="8.7109375" style="44" customWidth="1"/>
    <col min="3" max="3" width="15.7109375" style="50" bestFit="1" customWidth="1"/>
    <col min="4" max="4" width="50.7109375" style="50" customWidth="1"/>
    <col min="5" max="5" width="14.7109375" style="51" customWidth="1"/>
    <col min="6" max="7" width="14.7109375" style="52" customWidth="1"/>
    <col min="8" max="8" width="14.7109375" style="44" customWidth="1"/>
    <col min="9" max="9" width="15.5703125" style="44" customWidth="1"/>
    <col min="10" max="16384" width="9.140625" style="44"/>
  </cols>
  <sheetData>
    <row r="1" spans="1:15" ht="66.75" customHeight="1" x14ac:dyDescent="0.2">
      <c r="A1" s="256" t="s">
        <v>67</v>
      </c>
      <c r="B1" s="256"/>
      <c r="C1" s="256"/>
      <c r="D1" s="256"/>
      <c r="E1" s="256"/>
      <c r="F1" s="256"/>
      <c r="G1" s="256"/>
      <c r="H1" s="256"/>
    </row>
    <row r="2" spans="1:15" s="45" customFormat="1" ht="25.5" customHeight="1" x14ac:dyDescent="0.2">
      <c r="A2" s="253" t="str">
        <f>Overview!B4&amp; " - Effective from "&amp;Overview!D4&amp;" - "&amp;Overview!E4&amp;" EDCM export charges"</f>
        <v>South Eastern Power Networks - Effective from 1 April 2024 - Final EDCM export charges</v>
      </c>
      <c r="B2" s="254"/>
      <c r="C2" s="254"/>
      <c r="D2" s="254"/>
      <c r="E2" s="254"/>
      <c r="F2" s="254"/>
      <c r="G2" s="254"/>
      <c r="H2" s="255"/>
    </row>
    <row r="3" spans="1:15" s="69" customFormat="1" ht="18" x14ac:dyDescent="0.2">
      <c r="A3" s="73"/>
      <c r="B3" s="73"/>
      <c r="C3" s="73"/>
      <c r="D3" s="74"/>
      <c r="E3" s="75"/>
      <c r="F3" s="75"/>
      <c r="G3" s="76"/>
      <c r="H3" s="76"/>
      <c r="I3" s="68"/>
      <c r="J3" s="68"/>
      <c r="K3" s="68"/>
      <c r="L3" s="68"/>
      <c r="M3" s="68"/>
      <c r="N3" s="68"/>
      <c r="O3" s="68"/>
    </row>
    <row r="4" spans="1:15" ht="60.75" customHeight="1" x14ac:dyDescent="0.2">
      <c r="A4" s="46" t="s">
        <v>53</v>
      </c>
      <c r="B4" s="47" t="s">
        <v>35</v>
      </c>
      <c r="C4" s="46" t="s">
        <v>37</v>
      </c>
      <c r="D4" s="48" t="s">
        <v>30</v>
      </c>
      <c r="E4" s="48" t="str">
        <f>'Annex 2 EHV charges'!M9</f>
        <v>Export
Super Red
unit charge
(p/kWh)</v>
      </c>
      <c r="F4" s="48" t="str">
        <f>'Annex 2 EHV charges'!N9</f>
        <v>Export
fixed charge
(p/day)</v>
      </c>
      <c r="G4" s="48" t="str">
        <f>'Annex 2 EHV charges'!O9</f>
        <v>Export
capacity charge
(p/kVA/day)</v>
      </c>
      <c r="H4" s="48" t="str">
        <f>'Annex 2 EHV charges'!P9</f>
        <v>Export
exceeded capacity charge
(p/kVA/day)</v>
      </c>
    </row>
    <row r="5" spans="1:15" ht="12.75" customHeight="1" x14ac:dyDescent="0.2">
      <c r="A5" s="81" t="str">
        <f t="array" ref="A5">IFERROR(INDEX('Annex 2 EHV charges'!$D$10:$D$108, MATCH(0, IF(ISBLANK('Annex 2 EHV charges'!$D$10:$D$108),1, COUNTIF(A$4:$A4, 'Annex 2 EHV charges'!$D$10:$D$108)), 0)),"")</f>
        <v>THAMEM</v>
      </c>
      <c r="B5" s="80">
        <f>IF($A5="","",VLOOKUP($A5,'Annex 2 EHV charges'!$D:$O,2,0))</f>
        <v>691</v>
      </c>
      <c r="C5" s="81" t="str">
        <f>IF($A5="","",VLOOKUP($A5,'Annex 2 EHV charges'!$D:$O,3,0))</f>
        <v>1900090876979;1900090876988</v>
      </c>
      <c r="D5" s="80" t="str">
        <f>IF($A5="","",VLOOKUP($A5,'Annex 2 EHV charges'!$D:$O,4,0))</f>
        <v>THAMEM</v>
      </c>
      <c r="E5" s="82" t="str">
        <f>IFERROR(IF(VLOOKUP($A5,'Annex 2 EHV charges'!$D:$O,10,FALSE)=0,"",VLOOKUP($A5,'Annex 2 EHV charges'!$D:$O,10,FALSE)),"")</f>
        <v/>
      </c>
      <c r="F5" s="83">
        <f>IFERROR(IF(VLOOKUP($A5,'Annex 2 EHV charges'!$D:$O,11,FALSE)=0,"",VLOOKUP($A5,'Annex 2 EHV charges'!$D:$O,11,FALSE)),"")</f>
        <v>4909.47</v>
      </c>
      <c r="G5" s="84">
        <f>IFERROR(IF(VLOOKUP($A5,'Annex 2 EHV charges'!$D:$O,12,FALSE)=0,"",VLOOKUP($A5,'Annex 2 EHV charges'!$D:$O,12,FALSE)),"")</f>
        <v>0.05</v>
      </c>
      <c r="H5" s="84">
        <f>IFERROR(IF(VLOOKUP($A5,'Annex 2 EHV charges'!$D:$P,13,FALSE)=0,"",VLOOKUP($A5,'Annex 2 EHV charges'!$D:$P,13,FALSE)),"")</f>
        <v>0.05</v>
      </c>
    </row>
    <row r="6" spans="1:15" ht="12.75" customHeight="1" x14ac:dyDescent="0.2">
      <c r="A6" s="81" t="str">
        <f t="array" ref="A6">IFERROR(INDEX('Annex 2 EHV charges'!$D$10:$D$108, MATCH(0, IF(ISBLANK('Annex 2 EHV charges'!$D$10:$D$108),1, COUNTIF(A$4:$A5, 'Annex 2 EHV charges'!$D$10:$D$108)), 0)),"")</f>
        <v>THAMES</v>
      </c>
      <c r="B6" s="80">
        <f>IF($A6="","",VLOOKUP($A6,'Annex 2 EHV charges'!$D:$O,2,0))</f>
        <v>732</v>
      </c>
      <c r="C6" s="81">
        <f>IF($A6="","",VLOOKUP($A6,'Annex 2 EHV charges'!$D:$O,3,0))</f>
        <v>1900060576611</v>
      </c>
      <c r="D6" s="80" t="str">
        <f>IF($A6="","",VLOOKUP($A6,'Annex 2 EHV charges'!$D:$O,4,0))</f>
        <v>THAMES</v>
      </c>
      <c r="E6" s="82">
        <f>IFERROR(IF(VLOOKUP($A6,'Annex 2 EHV charges'!$D:$O,10,FALSE)=0,"",VLOOKUP($A6,'Annex 2 EHV charges'!$D:$O,10,FALSE)),"")</f>
        <v>-0.48199999999999998</v>
      </c>
      <c r="F6" s="83">
        <f>IFERROR(IF(VLOOKUP($A6,'Annex 2 EHV charges'!$D:$O,11,FALSE)=0,"",VLOOKUP($A6,'Annex 2 EHV charges'!$D:$O,11,FALSE)),"")</f>
        <v>2943.17</v>
      </c>
      <c r="G6" s="84">
        <f>IFERROR(IF(VLOOKUP($A6,'Annex 2 EHV charges'!$D:$O,12,FALSE)=0,"",VLOOKUP($A6,'Annex 2 EHV charges'!$D:$O,12,FALSE)),"")</f>
        <v>0.05</v>
      </c>
      <c r="H6" s="84">
        <f>IFERROR(IF(VLOOKUP($A6,'Annex 2 EHV charges'!$D:$P,13,FALSE)=0,"",VLOOKUP($A6,'Annex 2 EHV charges'!$D:$P,13,FALSE)),"")</f>
        <v>0.05</v>
      </c>
    </row>
    <row r="7" spans="1:15" ht="12.75" customHeight="1" x14ac:dyDescent="0.2">
      <c r="A7" s="81" t="str">
        <f t="array" ref="A7">IFERROR(INDEX('Annex 2 EHV charges'!$D$10:$D$108, MATCH(0, IF(ISBLANK('Annex 2 EHV charges'!$D$10:$D$108),1, COUNTIF(A$4:$A6, 'Annex 2 EHV charges'!$D$10:$D$108)), 0)),"")</f>
        <v>TWHK66</v>
      </c>
      <c r="B7" s="80">
        <f>IF($A7="","",VLOOKUP($A7,'Annex 2 EHV charges'!$D:$O,2,0))</f>
        <v>692</v>
      </c>
      <c r="C7" s="81">
        <f>IF($A7="","",VLOOKUP($A7,'Annex 2 EHV charges'!$D:$O,3,0))</f>
        <v>1900091206194</v>
      </c>
      <c r="D7" s="80" t="str">
        <f>IF($A7="","",VLOOKUP($A7,'Annex 2 EHV charges'!$D:$O,4,0))</f>
        <v>TWHK66</v>
      </c>
      <c r="E7" s="82">
        <f>IFERROR(IF(VLOOKUP($A7,'Annex 2 EHV charges'!$D:$O,10,FALSE)=0,"",VLOOKUP($A7,'Annex 2 EHV charges'!$D:$O,10,FALSE)),"")</f>
        <v>-8.0020000000000007</v>
      </c>
      <c r="F7" s="83">
        <f>IFERROR(IF(VLOOKUP($A7,'Annex 2 EHV charges'!$D:$O,11,FALSE)=0,"",VLOOKUP($A7,'Annex 2 EHV charges'!$D:$O,11,FALSE)),"")</f>
        <v>51.46</v>
      </c>
      <c r="G7" s="84">
        <f>IFERROR(IF(VLOOKUP($A7,'Annex 2 EHV charges'!$D:$O,12,FALSE)=0,"",VLOOKUP($A7,'Annex 2 EHV charges'!$D:$O,12,FALSE)),"")</f>
        <v>0.05</v>
      </c>
      <c r="H7" s="84">
        <f>IFERROR(IF(VLOOKUP($A7,'Annex 2 EHV charges'!$D:$P,13,FALSE)=0,"",VLOOKUP($A7,'Annex 2 EHV charges'!$D:$P,13,FALSE)),"")</f>
        <v>0.05</v>
      </c>
    </row>
    <row r="8" spans="1:15" ht="12.75" customHeight="1" x14ac:dyDescent="0.2">
      <c r="A8" s="81" t="str">
        <f t="array" ref="A8">IFERROR(INDEX('Annex 2 EHV charges'!$D$10:$D$108, MATCH(0, IF(ISBLANK('Annex 2 EHV charges'!$D$10:$D$108),1, COUNTIF(A$4:$A7, 'Annex 2 EHV charges'!$D$10:$D$108)), 0)),"")</f>
        <v>ANMSTR</v>
      </c>
      <c r="B8" s="80">
        <f>IF($A8="","",VLOOKUP($A8,'Annex 2 EHV charges'!$D:$O,2,0))</f>
        <v>780</v>
      </c>
      <c r="C8" s="81">
        <f>IF($A8="","",VLOOKUP($A8,'Annex 2 EHV charges'!$D:$O,3,0))</f>
        <v>1900091919597</v>
      </c>
      <c r="D8" s="80" t="str">
        <f>IF($A8="","",VLOOKUP($A8,'Annex 2 EHV charges'!$D:$O,4,0))</f>
        <v>ANMSTR</v>
      </c>
      <c r="E8" s="82">
        <f>IFERROR(IF(VLOOKUP($A8,'Annex 2 EHV charges'!$D:$O,10,FALSE)=0,"",VLOOKUP($A8,'Annex 2 EHV charges'!$D:$O,10,FALSE)),"")</f>
        <v>-2.153</v>
      </c>
      <c r="F8" s="83">
        <f>IFERROR(IF(VLOOKUP($A8,'Annex 2 EHV charges'!$D:$O,11,FALSE)=0,"",VLOOKUP($A8,'Annex 2 EHV charges'!$D:$O,11,FALSE)),"")</f>
        <v>1633.73</v>
      </c>
      <c r="G8" s="84">
        <f>IFERROR(IF(VLOOKUP($A8,'Annex 2 EHV charges'!$D:$O,12,FALSE)=0,"",VLOOKUP($A8,'Annex 2 EHV charges'!$D:$O,12,FALSE)),"")</f>
        <v>0.05</v>
      </c>
      <c r="H8" s="84">
        <f>IFERROR(IF(VLOOKUP($A8,'Annex 2 EHV charges'!$D:$P,13,FALSE)=0,"",VLOOKUP($A8,'Annex 2 EHV charges'!$D:$P,13,FALSE)),"")</f>
        <v>0.05</v>
      </c>
    </row>
    <row r="9" spans="1:15" ht="12.75" customHeight="1" x14ac:dyDescent="0.2">
      <c r="A9" s="81" t="str">
        <f t="array" ref="A9">IFERROR(INDEX('Annex 2 EHV charges'!$D$10:$D$108, MATCH(0, IF(ISBLANK('Annex 2 EHV charges'!$D$10:$D$108),1, COUNTIF(A$4:$A8, 'Annex 2 EHV charges'!$D$10:$D$108)), 0)),"")</f>
        <v>ASHBYS</v>
      </c>
      <c r="B9" s="80">
        <f>IF($A9="","",VLOOKUP($A9,'Annex 2 EHV charges'!$D:$O,2,0))</f>
        <v>741</v>
      </c>
      <c r="C9" s="81">
        <f>IF($A9="","",VLOOKUP($A9,'Annex 2 EHV charges'!$D:$O,3,0))</f>
        <v>1900091216972</v>
      </c>
      <c r="D9" s="80" t="str">
        <f>IF($A9="","",VLOOKUP($A9,'Annex 2 EHV charges'!$D:$O,4,0))</f>
        <v>ASHBYS</v>
      </c>
      <c r="E9" s="82" t="str">
        <f>IFERROR(IF(VLOOKUP($A9,'Annex 2 EHV charges'!$D:$O,10,FALSE)=0,"",VLOOKUP($A9,'Annex 2 EHV charges'!$D:$O,10,FALSE)),"")</f>
        <v/>
      </c>
      <c r="F9" s="83">
        <f>IFERROR(IF(VLOOKUP($A9,'Annex 2 EHV charges'!$D:$O,11,FALSE)=0,"",VLOOKUP($A9,'Annex 2 EHV charges'!$D:$O,11,FALSE)),"")</f>
        <v>1674.86</v>
      </c>
      <c r="G9" s="84">
        <f>IFERROR(IF(VLOOKUP($A9,'Annex 2 EHV charges'!$D:$O,12,FALSE)=0,"",VLOOKUP($A9,'Annex 2 EHV charges'!$D:$O,12,FALSE)),"")</f>
        <v>0.05</v>
      </c>
      <c r="H9" s="84">
        <f>IFERROR(IF(VLOOKUP($A9,'Annex 2 EHV charges'!$D:$P,13,FALSE)=0,"",VLOOKUP($A9,'Annex 2 EHV charges'!$D:$P,13,FALSE)),"")</f>
        <v>0.05</v>
      </c>
    </row>
    <row r="10" spans="1:15" ht="12.75" customHeight="1" x14ac:dyDescent="0.2">
      <c r="A10" s="81" t="str">
        <f t="array" ref="A10">IFERROR(INDEX('Annex 2 EHV charges'!$D$10:$D$108, MATCH(0, IF(ISBLANK('Annex 2 EHV charges'!$D$10:$D$108),1, COUNTIF(A$4:$A9, 'Annex 2 EHV charges'!$D$10:$D$108)), 0)),"")</f>
        <v>AYLESF</v>
      </c>
      <c r="B10" s="80">
        <f>IF($A10="","",VLOOKUP($A10,'Annex 2 EHV charges'!$D:$O,2,0))</f>
        <v>725</v>
      </c>
      <c r="C10" s="81">
        <f>IF($A10="","",VLOOKUP($A10,'Annex 2 EHV charges'!$D:$O,3,0))</f>
        <v>1900060436880</v>
      </c>
      <c r="D10" s="80" t="str">
        <f>IF($A10="","",VLOOKUP($A10,'Annex 2 EHV charges'!$D:$O,4,0))</f>
        <v>AYLESF</v>
      </c>
      <c r="E10" s="82" t="str">
        <f>IFERROR(IF(VLOOKUP($A10,'Annex 2 EHV charges'!$D:$O,10,FALSE)=0,"",VLOOKUP($A10,'Annex 2 EHV charges'!$D:$O,10,FALSE)),"")</f>
        <v/>
      </c>
      <c r="F10" s="83" t="str">
        <f>IFERROR(IF(VLOOKUP($A10,'Annex 2 EHV charges'!$D:$O,11,FALSE)=0,"",VLOOKUP($A10,'Annex 2 EHV charges'!$D:$O,11,FALSE)),"")</f>
        <v/>
      </c>
      <c r="G10" s="84" t="str">
        <f>IFERROR(IF(VLOOKUP($A10,'Annex 2 EHV charges'!$D:$O,12,FALSE)=0,"",VLOOKUP($A10,'Annex 2 EHV charges'!$D:$O,12,FALSE)),"")</f>
        <v/>
      </c>
      <c r="H10" s="84" t="str">
        <f>IFERROR(IF(VLOOKUP($A10,'Annex 2 EHV charges'!$D:$P,13,FALSE)=0,"",VLOOKUP($A10,'Annex 2 EHV charges'!$D:$P,13,FALSE)),"")</f>
        <v/>
      </c>
    </row>
    <row r="11" spans="1:15" ht="12.75" customHeight="1" x14ac:dyDescent="0.2">
      <c r="A11" s="81" t="str">
        <f t="array" ref="A11">IFERROR(INDEX('Annex 2 EHV charges'!$D$10:$D$108, MATCH(0, IF(ISBLANK('Annex 2 EHV charges'!$D$10:$D$108),1, COUNTIF(A$4:$A10, 'Annex 2 EHV charges'!$D$10:$D$108)), 0)),"")</f>
        <v>BEDERF</v>
      </c>
      <c r="B11" s="80">
        <f>IF($A11="","",VLOOKUP($A11,'Annex 2 EHV charges'!$D:$O,2,0))</f>
        <v>693</v>
      </c>
      <c r="C11" s="81">
        <f>IF($A11="","",VLOOKUP($A11,'Annex 2 EHV charges'!$D:$O,3,0))</f>
        <v>1900091482597</v>
      </c>
      <c r="D11" s="80" t="str">
        <f>IF($A11="","",VLOOKUP($A11,'Annex 2 EHV charges'!$D:$O,4,0))</f>
        <v>BEDERF</v>
      </c>
      <c r="E11" s="82">
        <f>IFERROR(IF(VLOOKUP($A11,'Annex 2 EHV charges'!$D:$O,10,FALSE)=0,"",VLOOKUP($A11,'Annex 2 EHV charges'!$D:$O,10,FALSE)),"")</f>
        <v>-0.317</v>
      </c>
      <c r="F11" s="83">
        <f>IFERROR(IF(VLOOKUP($A11,'Annex 2 EHV charges'!$D:$O,11,FALSE)=0,"",VLOOKUP($A11,'Annex 2 EHV charges'!$D:$O,11,FALSE)),"")</f>
        <v>4105.6400000000003</v>
      </c>
      <c r="G11" s="84">
        <f>IFERROR(IF(VLOOKUP($A11,'Annex 2 EHV charges'!$D:$O,12,FALSE)=0,"",VLOOKUP($A11,'Annex 2 EHV charges'!$D:$O,12,FALSE)),"")</f>
        <v>0.05</v>
      </c>
      <c r="H11" s="84">
        <f>IFERROR(IF(VLOOKUP($A11,'Annex 2 EHV charges'!$D:$P,13,FALSE)=0,"",VLOOKUP($A11,'Annex 2 EHV charges'!$D:$P,13,FALSE)),"")</f>
        <v>0.05</v>
      </c>
    </row>
    <row r="12" spans="1:15" ht="12.75" customHeight="1" x14ac:dyDescent="0.2">
      <c r="A12" s="81" t="str">
        <f t="array" ref="A12">IFERROR(INDEX('Annex 2 EHV charges'!$D$10:$D$108, MATCH(0, IF(ISBLANK('Annex 2 EHV charges'!$D$10:$D$108),1, COUNTIF(A$4:$A11, 'Annex 2 EHV charges'!$D$10:$D$108)), 0)),"")</f>
        <v>BESAYL</v>
      </c>
      <c r="B12" s="80">
        <f>IF($A12="","",VLOOKUP($A12,'Annex 2 EHV charges'!$D:$O,2,0))</f>
        <v>694</v>
      </c>
      <c r="C12" s="81">
        <f>IF($A12="","",VLOOKUP($A12,'Annex 2 EHV charges'!$D:$O,3,0))</f>
        <v>1900091632784</v>
      </c>
      <c r="D12" s="80" t="str">
        <f>IF($A12="","",VLOOKUP($A12,'Annex 2 EHV charges'!$D:$O,4,0))</f>
        <v>BESAYL</v>
      </c>
      <c r="E12" s="82">
        <f>IFERROR(IF(VLOOKUP($A12,'Annex 2 EHV charges'!$D:$O,10,FALSE)=0,"",VLOOKUP($A12,'Annex 2 EHV charges'!$D:$O,10,FALSE)),"")</f>
        <v>-8.6999999999999994E-2</v>
      </c>
      <c r="F12" s="83">
        <f>IFERROR(IF(VLOOKUP($A12,'Annex 2 EHV charges'!$D:$O,11,FALSE)=0,"",VLOOKUP($A12,'Annex 2 EHV charges'!$D:$O,11,FALSE)),"")</f>
        <v>589.22</v>
      </c>
      <c r="G12" s="84">
        <f>IFERROR(IF(VLOOKUP($A12,'Annex 2 EHV charges'!$D:$O,12,FALSE)=0,"",VLOOKUP($A12,'Annex 2 EHV charges'!$D:$O,12,FALSE)),"")</f>
        <v>0.05</v>
      </c>
      <c r="H12" s="84">
        <f>IFERROR(IF(VLOOKUP($A12,'Annex 2 EHV charges'!$D:$P,13,FALSE)=0,"",VLOOKUP($A12,'Annex 2 EHV charges'!$D:$P,13,FALSE)),"")</f>
        <v>0.05</v>
      </c>
    </row>
    <row r="13" spans="1:15" ht="12.75" customHeight="1" x14ac:dyDescent="0.2">
      <c r="A13" s="81" t="str">
        <f t="array" ref="A13">IFERROR(INDEX('Annex 2 EHV charges'!$D$10:$D$108, MATCH(0, IF(ISBLANK('Annex 2 EHV charges'!$D$10:$D$108),1, COUNTIF(A$4:$A12, 'Annex 2 EHV charges'!$D$10:$D$108)), 0)),"")</f>
        <v>BNTLEY</v>
      </c>
      <c r="B13" s="80">
        <f>IF($A13="","",VLOOKUP($A13,'Annex 2 EHV charges'!$D:$O,2,0))</f>
        <v>713</v>
      </c>
      <c r="C13" s="81">
        <f>IF($A13="","",VLOOKUP($A13,'Annex 2 EHV charges'!$D:$O,3,0))</f>
        <v>1900091343787</v>
      </c>
      <c r="D13" s="80" t="str">
        <f>IF($A13="","",VLOOKUP($A13,'Annex 2 EHV charges'!$D:$O,4,0))</f>
        <v>BNTLEY</v>
      </c>
      <c r="E13" s="82" t="str">
        <f>IFERROR(IF(VLOOKUP($A13,'Annex 2 EHV charges'!$D:$O,10,FALSE)=0,"",VLOOKUP($A13,'Annex 2 EHV charges'!$D:$O,10,FALSE)),"")</f>
        <v/>
      </c>
      <c r="F13" s="83">
        <f>IFERROR(IF(VLOOKUP($A13,'Annex 2 EHV charges'!$D:$O,11,FALSE)=0,"",VLOOKUP($A13,'Annex 2 EHV charges'!$D:$O,11,FALSE)),"")</f>
        <v>1477.43</v>
      </c>
      <c r="G13" s="84">
        <f>IFERROR(IF(VLOOKUP($A13,'Annex 2 EHV charges'!$D:$O,12,FALSE)=0,"",VLOOKUP($A13,'Annex 2 EHV charges'!$D:$O,12,FALSE)),"")</f>
        <v>0.05</v>
      </c>
      <c r="H13" s="84">
        <f>IFERROR(IF(VLOOKUP($A13,'Annex 2 EHV charges'!$D:$P,13,FALSE)=0,"",VLOOKUP($A13,'Annex 2 EHV charges'!$D:$P,13,FALSE)),"")</f>
        <v>0.05</v>
      </c>
    </row>
    <row r="14" spans="1:15" ht="12.75" customHeight="1" x14ac:dyDescent="0.2">
      <c r="A14" s="81" t="str">
        <f t="array" ref="A14">IFERROR(INDEX('Annex 2 EHV charges'!$D$10:$D$108, MATCH(0, IF(ISBLANK('Annex 2 EHV charges'!$D$10:$D$108),1, COUNTIF(A$4:$A13, 'Annex 2 EHV charges'!$D$10:$D$108)), 0)),"")</f>
        <v>BNTLY2</v>
      </c>
      <c r="B14" s="80">
        <f>IF($A14="","",VLOOKUP($A14,'Annex 2 EHV charges'!$D:$O,2,0))</f>
        <v>712</v>
      </c>
      <c r="C14" s="81">
        <f>IF($A14="","",VLOOKUP($A14,'Annex 2 EHV charges'!$D:$O,3,0))</f>
        <v>1900091463655</v>
      </c>
      <c r="D14" s="80" t="str">
        <f>IF($A14="","",VLOOKUP($A14,'Annex 2 EHV charges'!$D:$O,4,0))</f>
        <v>BNTLY2</v>
      </c>
      <c r="E14" s="82" t="str">
        <f>IFERROR(IF(VLOOKUP($A14,'Annex 2 EHV charges'!$D:$O,10,FALSE)=0,"",VLOOKUP($A14,'Annex 2 EHV charges'!$D:$O,10,FALSE)),"")</f>
        <v/>
      </c>
      <c r="F14" s="83">
        <f>IFERROR(IF(VLOOKUP($A14,'Annex 2 EHV charges'!$D:$O,11,FALSE)=0,"",VLOOKUP($A14,'Annex 2 EHV charges'!$D:$O,11,FALSE)),"")</f>
        <v>945.82</v>
      </c>
      <c r="G14" s="84">
        <f>IFERROR(IF(VLOOKUP($A14,'Annex 2 EHV charges'!$D:$O,12,FALSE)=0,"",VLOOKUP($A14,'Annex 2 EHV charges'!$D:$O,12,FALSE)),"")</f>
        <v>0.05</v>
      </c>
      <c r="H14" s="84">
        <f>IFERROR(IF(VLOOKUP($A14,'Annex 2 EHV charges'!$D:$P,13,FALSE)=0,"",VLOOKUP($A14,'Annex 2 EHV charges'!$D:$P,13,FALSE)),"")</f>
        <v>0.05</v>
      </c>
    </row>
    <row r="15" spans="1:15" ht="12.75" customHeight="1" x14ac:dyDescent="0.2">
      <c r="A15" s="81" t="str">
        <f t="array" ref="A15">IFERROR(INDEX('Annex 2 EHV charges'!$D$10:$D$108, MATCH(0, IF(ISBLANK('Annex 2 EHV charges'!$D$10:$D$108),1, COUNTIF(A$4:$A14, 'Annex 2 EHV charges'!$D$10:$D$108)), 0)),"")</f>
        <v>BOBBNG</v>
      </c>
      <c r="B15" s="80">
        <f>IF($A15="","",VLOOKUP($A15,'Annex 2 EHV charges'!$D:$O,2,0))</f>
        <v>705</v>
      </c>
      <c r="C15" s="81">
        <f>IF($A15="","",VLOOKUP($A15,'Annex 2 EHV charges'!$D:$O,3,0))</f>
        <v>1900091395517</v>
      </c>
      <c r="D15" s="80" t="str">
        <f>IF($A15="","",VLOOKUP($A15,'Annex 2 EHV charges'!$D:$O,4,0))</f>
        <v>BOBBNG</v>
      </c>
      <c r="E15" s="82" t="str">
        <f>IFERROR(IF(VLOOKUP($A15,'Annex 2 EHV charges'!$D:$O,10,FALSE)=0,"",VLOOKUP($A15,'Annex 2 EHV charges'!$D:$O,10,FALSE)),"")</f>
        <v/>
      </c>
      <c r="F15" s="83">
        <f>IFERROR(IF(VLOOKUP($A15,'Annex 2 EHV charges'!$D:$O,11,FALSE)=0,"",VLOOKUP($A15,'Annex 2 EHV charges'!$D:$O,11,FALSE)),"")</f>
        <v>1603.2</v>
      </c>
      <c r="G15" s="84">
        <f>IFERROR(IF(VLOOKUP($A15,'Annex 2 EHV charges'!$D:$O,12,FALSE)=0,"",VLOOKUP($A15,'Annex 2 EHV charges'!$D:$O,12,FALSE)),"")</f>
        <v>0.05</v>
      </c>
      <c r="H15" s="84">
        <f>IFERROR(IF(VLOOKUP($A15,'Annex 2 EHV charges'!$D:$P,13,FALSE)=0,"",VLOOKUP($A15,'Annex 2 EHV charges'!$D:$P,13,FALSE)),"")</f>
        <v>0.05</v>
      </c>
    </row>
    <row r="16" spans="1:15" ht="12.75" customHeight="1" x14ac:dyDescent="0.2">
      <c r="A16" s="81" t="str">
        <f t="array" ref="A16">IFERROR(INDEX('Annex 2 EHV charges'!$D$10:$D$108, MATCH(0, IF(ISBLANK('Annex 2 EHV charges'!$D$10:$D$108),1, COUNTIF(A$4:$A15, 'Annex 2 EHV charges'!$D$10:$D$108)), 0)),"")</f>
        <v>BRAMBS</v>
      </c>
      <c r="B16" s="80">
        <f>IF($A16="","",VLOOKUP($A16,'Annex 2 EHV charges'!$D:$O,2,0))</f>
        <v>695</v>
      </c>
      <c r="C16" s="81">
        <f>IF($A16="","",VLOOKUP($A16,'Annex 2 EHV charges'!$D:$O,3,0))</f>
        <v>1900091566820</v>
      </c>
      <c r="D16" s="80" t="str">
        <f>IF($A16="","",VLOOKUP($A16,'Annex 2 EHV charges'!$D:$O,4,0))</f>
        <v>BRAMBS</v>
      </c>
      <c r="E16" s="82">
        <f>IFERROR(IF(VLOOKUP($A16,'Annex 2 EHV charges'!$D:$O,10,FALSE)=0,"",VLOOKUP($A16,'Annex 2 EHV charges'!$D:$O,10,FALSE)),"")</f>
        <v>-0.6</v>
      </c>
      <c r="F16" s="83">
        <f>IFERROR(IF(VLOOKUP($A16,'Annex 2 EHV charges'!$D:$O,11,FALSE)=0,"",VLOOKUP($A16,'Annex 2 EHV charges'!$D:$O,11,FALSE)),"")</f>
        <v>589.22</v>
      </c>
      <c r="G16" s="84">
        <f>IFERROR(IF(VLOOKUP($A16,'Annex 2 EHV charges'!$D:$O,12,FALSE)=0,"",VLOOKUP($A16,'Annex 2 EHV charges'!$D:$O,12,FALSE)),"")</f>
        <v>0.05</v>
      </c>
      <c r="H16" s="84">
        <f>IFERROR(IF(VLOOKUP($A16,'Annex 2 EHV charges'!$D:$P,13,FALSE)=0,"",VLOOKUP($A16,'Annex 2 EHV charges'!$D:$P,13,FALSE)),"")</f>
        <v>0.05</v>
      </c>
    </row>
    <row r="17" spans="1:8" ht="12.75" customHeight="1" x14ac:dyDescent="0.2">
      <c r="A17" s="81" t="str">
        <f t="array" ref="A17">IFERROR(INDEX('Annex 2 EHV charges'!$D$10:$D$108, MATCH(0, IF(ISBLANK('Annex 2 EHV charges'!$D$10:$D$108),1, COUNTIF(A$4:$A16, 'Annex 2 EHV charges'!$D$10:$D$108)), 0)),"")</f>
        <v>BRELLE</v>
      </c>
      <c r="B17" s="80">
        <f>IF($A17="","",VLOOKUP($A17,'Annex 2 EHV charges'!$D:$O,2,0))</f>
        <v>696</v>
      </c>
      <c r="C17" s="81">
        <f>IF($A17="","",VLOOKUP($A17,'Annex 2 EHV charges'!$D:$O,3,0))</f>
        <v>1900091523125</v>
      </c>
      <c r="D17" s="80" t="str">
        <f>IF($A17="","",VLOOKUP($A17,'Annex 2 EHV charges'!$D:$O,4,0))</f>
        <v>BRELLE</v>
      </c>
      <c r="E17" s="82" t="str">
        <f>IFERROR(IF(VLOOKUP($A17,'Annex 2 EHV charges'!$D:$O,10,FALSE)=0,"",VLOOKUP($A17,'Annex 2 EHV charges'!$D:$O,10,FALSE)),"")</f>
        <v/>
      </c>
      <c r="F17" s="83">
        <f>IFERROR(IF(VLOOKUP($A17,'Annex 2 EHV charges'!$D:$O,11,FALSE)=0,"",VLOOKUP($A17,'Annex 2 EHV charges'!$D:$O,11,FALSE)),"")</f>
        <v>1229.03</v>
      </c>
      <c r="G17" s="84">
        <f>IFERROR(IF(VLOOKUP($A17,'Annex 2 EHV charges'!$D:$O,12,FALSE)=0,"",VLOOKUP($A17,'Annex 2 EHV charges'!$D:$O,12,FALSE)),"")</f>
        <v>0.05</v>
      </c>
      <c r="H17" s="84">
        <f>IFERROR(IF(VLOOKUP($A17,'Annex 2 EHV charges'!$D:$P,13,FALSE)=0,"",VLOOKUP($A17,'Annex 2 EHV charges'!$D:$P,13,FALSE)),"")</f>
        <v>0.05</v>
      </c>
    </row>
    <row r="18" spans="1:8" ht="12.75" customHeight="1" x14ac:dyDescent="0.2">
      <c r="A18" s="81" t="str">
        <f t="array" ref="A18">IFERROR(INDEX('Annex 2 EHV charges'!$D$10:$D$108, MATCH(0, IF(ISBLANK('Annex 2 EHV charges'!$D$10:$D$108),1, COUNTIF(A$4:$A17, 'Annex 2 EHV charges'!$D$10:$D$108)), 0)),"")</f>
        <v>BRETSH</v>
      </c>
      <c r="B18" s="80">
        <f>IF($A18="","",VLOOKUP($A18,'Annex 2 EHV charges'!$D:$O,2,0))</f>
        <v>726</v>
      </c>
      <c r="C18" s="81" t="str">
        <f>IF($A18="","",VLOOKUP($A18,'Annex 2 EHV charges'!$D:$O,3,0))</f>
        <v>1900060866064;1900060866082</v>
      </c>
      <c r="D18" s="80" t="str">
        <f>IF($A18="","",VLOOKUP($A18,'Annex 2 EHV charges'!$D:$O,4,0))</f>
        <v>BRETSH</v>
      </c>
      <c r="E18" s="82" t="str">
        <f>IFERROR(IF(VLOOKUP($A18,'Annex 2 EHV charges'!$D:$O,10,FALSE)=0,"",VLOOKUP($A18,'Annex 2 EHV charges'!$D:$O,10,FALSE)),"")</f>
        <v/>
      </c>
      <c r="F18" s="83" t="str">
        <f>IFERROR(IF(VLOOKUP($A18,'Annex 2 EHV charges'!$D:$O,11,FALSE)=0,"",VLOOKUP($A18,'Annex 2 EHV charges'!$D:$O,11,FALSE)),"")</f>
        <v/>
      </c>
      <c r="G18" s="84" t="str">
        <f>IFERROR(IF(VLOOKUP($A18,'Annex 2 EHV charges'!$D:$O,12,FALSE)=0,"",VLOOKUP($A18,'Annex 2 EHV charges'!$D:$O,12,FALSE)),"")</f>
        <v/>
      </c>
      <c r="H18" s="84" t="str">
        <f>IFERROR(IF(VLOOKUP($A18,'Annex 2 EHV charges'!$D:$P,13,FALSE)=0,"",VLOOKUP($A18,'Annex 2 EHV charges'!$D:$P,13,FALSE)),"")</f>
        <v/>
      </c>
    </row>
    <row r="19" spans="1:8" ht="12.75" customHeight="1" x14ac:dyDescent="0.2">
      <c r="A19" s="81" t="str">
        <f t="array" ref="A19">IFERROR(INDEX('Annex 2 EHV charges'!$D$10:$D$108, MATCH(0, IF(ISBLANK('Annex 2 EHV charges'!$D$10:$D$108),1, COUNTIF(A$4:$A18, 'Annex 2 EHV charges'!$D$10:$D$108)), 0)),"")</f>
        <v>BRKHST</v>
      </c>
      <c r="B19" s="80">
        <f>IF($A19="","",VLOOKUP($A19,'Annex 2 EHV charges'!$D:$O,2,0))</f>
        <v>738</v>
      </c>
      <c r="C19" s="81">
        <f>IF($A19="","",VLOOKUP($A19,'Annex 2 EHV charges'!$D:$O,3,0))</f>
        <v>1900090834418</v>
      </c>
      <c r="D19" s="80" t="str">
        <f>IF($A19="","",VLOOKUP($A19,'Annex 2 EHV charges'!$D:$O,4,0))</f>
        <v>BRKHST</v>
      </c>
      <c r="E19" s="82">
        <f>IFERROR(IF(VLOOKUP($A19,'Annex 2 EHV charges'!$D:$O,10,FALSE)=0,"",VLOOKUP($A19,'Annex 2 EHV charges'!$D:$O,10,FALSE)),"")</f>
        <v>-4.734</v>
      </c>
      <c r="F19" s="83">
        <f>IFERROR(IF(VLOOKUP($A19,'Annex 2 EHV charges'!$D:$O,11,FALSE)=0,"",VLOOKUP($A19,'Annex 2 EHV charges'!$D:$O,11,FALSE)),"")</f>
        <v>8247.8700000000008</v>
      </c>
      <c r="G19" s="84">
        <f>IFERROR(IF(VLOOKUP($A19,'Annex 2 EHV charges'!$D:$O,12,FALSE)=0,"",VLOOKUP($A19,'Annex 2 EHV charges'!$D:$O,12,FALSE)),"")</f>
        <v>0.05</v>
      </c>
      <c r="H19" s="84">
        <f>IFERROR(IF(VLOOKUP($A19,'Annex 2 EHV charges'!$D:$P,13,FALSE)=0,"",VLOOKUP($A19,'Annex 2 EHV charges'!$D:$P,13,FALSE)),"")</f>
        <v>0.05</v>
      </c>
    </row>
    <row r="20" spans="1:8" ht="12.75" customHeight="1" x14ac:dyDescent="0.2">
      <c r="A20" s="81" t="str">
        <f t="array" ref="A20">IFERROR(INDEX('Annex 2 EHV charges'!$D$10:$D$108, MATCH(0, IF(ISBLANK('Annex 2 EHV charges'!$D$10:$D$108),1, COUNTIF(A$4:$A19, 'Annex 2 EHV charges'!$D$10:$D$108)), 0)),"")</f>
        <v>BTBRKS</v>
      </c>
      <c r="B20" s="80">
        <f>IF($A20="","",VLOOKUP($A20,'Annex 2 EHV charges'!$D:$O,2,0))</f>
        <v>742</v>
      </c>
      <c r="C20" s="81">
        <f>IF($A20="","",VLOOKUP($A20,'Annex 2 EHV charges'!$D:$O,3,0))</f>
        <v>1900091199379</v>
      </c>
      <c r="D20" s="80" t="str">
        <f>IF($A20="","",VLOOKUP($A20,'Annex 2 EHV charges'!$D:$O,4,0))</f>
        <v>BTBRKS</v>
      </c>
      <c r="E20" s="82" t="str">
        <f>IFERROR(IF(VLOOKUP($A20,'Annex 2 EHV charges'!$D:$O,10,FALSE)=0,"",VLOOKUP($A20,'Annex 2 EHV charges'!$D:$O,10,FALSE)),"")</f>
        <v/>
      </c>
      <c r="F20" s="83">
        <f>IFERROR(IF(VLOOKUP($A20,'Annex 2 EHV charges'!$D:$O,11,FALSE)=0,"",VLOOKUP($A20,'Annex 2 EHV charges'!$D:$O,11,FALSE)),"")</f>
        <v>1846.86</v>
      </c>
      <c r="G20" s="84">
        <f>IFERROR(IF(VLOOKUP($A20,'Annex 2 EHV charges'!$D:$O,12,FALSE)=0,"",VLOOKUP($A20,'Annex 2 EHV charges'!$D:$O,12,FALSE)),"")</f>
        <v>0.05</v>
      </c>
      <c r="H20" s="84">
        <f>IFERROR(IF(VLOOKUP($A20,'Annex 2 EHV charges'!$D:$P,13,FALSE)=0,"",VLOOKUP($A20,'Annex 2 EHV charges'!$D:$P,13,FALSE)),"")</f>
        <v>0.05</v>
      </c>
    </row>
    <row r="21" spans="1:8" ht="12.75" customHeight="1" x14ac:dyDescent="0.2">
      <c r="A21" s="81" t="str">
        <f t="array" ref="A21">IFERROR(INDEX('Annex 2 EHV charges'!$D$10:$D$108, MATCH(0, IF(ISBLANK('Annex 2 EHV charges'!$D$10:$D$108),1, COUNTIF(A$4:$A20, 'Annex 2 EHV charges'!$D$10:$D$108)), 0)),"")</f>
        <v>CAPELG</v>
      </c>
      <c r="B21" s="80">
        <f>IF($A21="","",VLOOKUP($A21,'Annex 2 EHV charges'!$D:$O,2,0))</f>
        <v>706</v>
      </c>
      <c r="C21" s="81">
        <f>IF($A21="","",VLOOKUP($A21,'Annex 2 EHV charges'!$D:$O,3,0))</f>
        <v>1900091353303</v>
      </c>
      <c r="D21" s="80" t="str">
        <f>IF($A21="","",VLOOKUP($A21,'Annex 2 EHV charges'!$D:$O,4,0))</f>
        <v>CAPELG</v>
      </c>
      <c r="E21" s="82" t="str">
        <f>IFERROR(IF(VLOOKUP($A21,'Annex 2 EHV charges'!$D:$O,10,FALSE)=0,"",VLOOKUP($A21,'Annex 2 EHV charges'!$D:$O,10,FALSE)),"")</f>
        <v/>
      </c>
      <c r="F21" s="83">
        <f>IFERROR(IF(VLOOKUP($A21,'Annex 2 EHV charges'!$D:$O,11,FALSE)=0,"",VLOOKUP($A21,'Annex 2 EHV charges'!$D:$O,11,FALSE)),"")</f>
        <v>1198.6199999999999</v>
      </c>
      <c r="G21" s="84">
        <f>IFERROR(IF(VLOOKUP($A21,'Annex 2 EHV charges'!$D:$O,12,FALSE)=0,"",VLOOKUP($A21,'Annex 2 EHV charges'!$D:$O,12,FALSE)),"")</f>
        <v>0.05</v>
      </c>
      <c r="H21" s="84">
        <f>IFERROR(IF(VLOOKUP($A21,'Annex 2 EHV charges'!$D:$P,13,FALSE)=0,"",VLOOKUP($A21,'Annex 2 EHV charges'!$D:$P,13,FALSE)),"")</f>
        <v>0.05</v>
      </c>
    </row>
    <row r="22" spans="1:8" ht="12.75" customHeight="1" x14ac:dyDescent="0.2">
      <c r="A22" s="81" t="str">
        <f t="array" ref="A22">IFERROR(INDEX('Annex 2 EHV charges'!$D$10:$D$108, MATCH(0, IF(ISBLANK('Annex 2 EHV charges'!$D$10:$D$108),1, COUNTIF(A$4:$A21, 'Annex 2 EHV charges'!$D$10:$D$108)), 0)),"")</f>
        <v>CLYHLL</v>
      </c>
      <c r="B22" s="80">
        <f>IF($A22="","",VLOOKUP($A22,'Annex 2 EHV charges'!$D:$O,2,0))</f>
        <v>716</v>
      </c>
      <c r="C22" s="81">
        <f>IF($A22="","",VLOOKUP($A22,'Annex 2 EHV charges'!$D:$O,3,0))</f>
        <v>1900091343769</v>
      </c>
      <c r="D22" s="80" t="str">
        <f>IF($A22="","",VLOOKUP($A22,'Annex 2 EHV charges'!$D:$O,4,0))</f>
        <v>CLYHLL</v>
      </c>
      <c r="E22" s="82" t="str">
        <f>IFERROR(IF(VLOOKUP($A22,'Annex 2 EHV charges'!$D:$O,10,FALSE)=0,"",VLOOKUP($A22,'Annex 2 EHV charges'!$D:$O,10,FALSE)),"")</f>
        <v/>
      </c>
      <c r="F22" s="83">
        <f>IFERROR(IF(VLOOKUP($A22,'Annex 2 EHV charges'!$D:$O,11,FALSE)=0,"",VLOOKUP($A22,'Annex 2 EHV charges'!$D:$O,11,FALSE)),"")</f>
        <v>1113.22</v>
      </c>
      <c r="G22" s="84">
        <f>IFERROR(IF(VLOOKUP($A22,'Annex 2 EHV charges'!$D:$O,12,FALSE)=0,"",VLOOKUP($A22,'Annex 2 EHV charges'!$D:$O,12,FALSE)),"")</f>
        <v>0.05</v>
      </c>
      <c r="H22" s="84">
        <f>IFERROR(IF(VLOOKUP($A22,'Annex 2 EHV charges'!$D:$P,13,FALSE)=0,"",VLOOKUP($A22,'Annex 2 EHV charges'!$D:$P,13,FALSE)),"")</f>
        <v>0.05</v>
      </c>
    </row>
    <row r="23" spans="1:8" ht="12.75" customHeight="1" x14ac:dyDescent="0.2">
      <c r="A23" s="81" t="str">
        <f t="array" ref="A23">IFERROR(INDEX('Annex 2 EHV charges'!$D$10:$D$108, MATCH(0, IF(ISBLANK('Annex 2 EHV charges'!$D$10:$D$108),1, COUNTIF(A$4:$A22, 'Annex 2 EHV charges'!$D$10:$D$108)), 0)),"")</f>
        <v>CRYENG</v>
      </c>
      <c r="B23" s="80">
        <f>IF($A23="","",VLOOKUP($A23,'Annex 2 EHV charges'!$D:$O,2,0))</f>
        <v>0</v>
      </c>
      <c r="C23" s="81" t="str">
        <f>IF($A23="","",VLOOKUP($A23,'Annex 2 EHV charges'!$D:$O,3,0))</f>
        <v>MSID: 7442</v>
      </c>
      <c r="D23" s="80" t="str">
        <f>IF($A23="","",VLOOKUP($A23,'Annex 2 EHV charges'!$D:$O,4,0))</f>
        <v>CRYENG</v>
      </c>
      <c r="E23" s="82">
        <f>IFERROR(IF(VLOOKUP($A23,'Annex 2 EHV charges'!$D:$O,10,FALSE)=0,"",VLOOKUP($A23,'Annex 2 EHV charges'!$D:$O,10,FALSE)),"")</f>
        <v>-2E-3</v>
      </c>
      <c r="F23" s="83">
        <f>IFERROR(IF(VLOOKUP($A23,'Annex 2 EHV charges'!$D:$O,11,FALSE)=0,"",VLOOKUP($A23,'Annex 2 EHV charges'!$D:$O,11,FALSE)),"")</f>
        <v>509.79</v>
      </c>
      <c r="G23" s="84">
        <f>IFERROR(IF(VLOOKUP($A23,'Annex 2 EHV charges'!$D:$O,12,FALSE)=0,"",VLOOKUP($A23,'Annex 2 EHV charges'!$D:$O,12,FALSE)),"")</f>
        <v>0.05</v>
      </c>
      <c r="H23" s="84">
        <f>IFERROR(IF(VLOOKUP($A23,'Annex 2 EHV charges'!$D:$P,13,FALSE)=0,"",VLOOKUP($A23,'Annex 2 EHV charges'!$D:$P,13,FALSE)),"")</f>
        <v>0.05</v>
      </c>
    </row>
    <row r="24" spans="1:8" ht="12.75" customHeight="1" x14ac:dyDescent="0.2">
      <c r="A24" s="81" t="str">
        <f t="array" ref="A24">IFERROR(INDEX('Annex 2 EHV charges'!$D$10:$D$108, MATCH(0, IF(ISBLANK('Annex 2 EHV charges'!$D$10:$D$108),1, COUNTIF(A$4:$A23, 'Annex 2 EHV charges'!$D$10:$D$108)), 0)),"")</f>
        <v>CWSTBS</v>
      </c>
      <c r="B24" s="80">
        <f>IF($A24="","",VLOOKUP($A24,'Annex 2 EHV charges'!$D:$O,2,0))</f>
        <v>0</v>
      </c>
      <c r="C24" s="81" t="str">
        <f>IF($A24="","",VLOOKUP($A24,'Annex 2 EHV charges'!$D:$O,3,0))</f>
        <v>ENET</v>
      </c>
      <c r="D24" s="80" t="str">
        <f>IF($A24="","",VLOOKUP($A24,'Annex 2 EHV charges'!$D:$O,4,0))</f>
        <v>CWSTBS</v>
      </c>
      <c r="E24" s="82" t="str">
        <f>IFERROR(IF(VLOOKUP($A24,'Annex 2 EHV charges'!$D:$O,10,FALSE)=0,"",VLOOKUP($A24,'Annex 2 EHV charges'!$D:$O,10,FALSE)),"")</f>
        <v/>
      </c>
      <c r="F24" s="83">
        <f>IFERROR(IF(VLOOKUP($A24,'Annex 2 EHV charges'!$D:$O,11,FALSE)=0,"",VLOOKUP($A24,'Annex 2 EHV charges'!$D:$O,11,FALSE)),"")</f>
        <v>28.81</v>
      </c>
      <c r="G24" s="84">
        <f>IFERROR(IF(VLOOKUP($A24,'Annex 2 EHV charges'!$D:$O,12,FALSE)=0,"",VLOOKUP($A24,'Annex 2 EHV charges'!$D:$O,12,FALSE)),"")</f>
        <v>0.05</v>
      </c>
      <c r="H24" s="84">
        <f>IFERROR(IF(VLOOKUP($A24,'Annex 2 EHV charges'!$D:$P,13,FALSE)=0,"",VLOOKUP($A24,'Annex 2 EHV charges'!$D:$P,13,FALSE)),"")</f>
        <v>0.05</v>
      </c>
    </row>
    <row r="25" spans="1:8" ht="12.75" customHeight="1" x14ac:dyDescent="0.2">
      <c r="A25" s="81" t="str">
        <f t="array" ref="A25">IFERROR(INDEX('Annex 2 EHV charges'!$D$10:$D$108, MATCH(0, IF(ISBLANK('Annex 2 EHV charges'!$D$10:$D$108),1, COUNTIF(A$4:$A24, 'Annex 2 EHV charges'!$D$10:$D$108)), 0)),"")</f>
        <v>DARENT</v>
      </c>
      <c r="B25" s="80">
        <f>IF($A25="","",VLOOKUP($A25,'Annex 2 EHV charges'!$D:$O,2,0))</f>
        <v>767</v>
      </c>
      <c r="C25" s="81">
        <f>IF($A25="","",VLOOKUP($A25,'Annex 2 EHV charges'!$D:$O,3,0))</f>
        <v>1900091057559</v>
      </c>
      <c r="D25" s="80" t="str">
        <f>IF($A25="","",VLOOKUP($A25,'Annex 2 EHV charges'!$D:$O,4,0))</f>
        <v>DARENT</v>
      </c>
      <c r="E25" s="82" t="str">
        <f>IFERROR(IF(VLOOKUP($A25,'Annex 2 EHV charges'!$D:$O,10,FALSE)=0,"",VLOOKUP($A25,'Annex 2 EHV charges'!$D:$O,10,FALSE)),"")</f>
        <v/>
      </c>
      <c r="F25" s="83">
        <f>IFERROR(IF(VLOOKUP($A25,'Annex 2 EHV charges'!$D:$O,11,FALSE)=0,"",VLOOKUP($A25,'Annex 2 EHV charges'!$D:$O,11,FALSE)),"")</f>
        <v>3392.49</v>
      </c>
      <c r="G25" s="84">
        <f>IFERROR(IF(VLOOKUP($A25,'Annex 2 EHV charges'!$D:$O,12,FALSE)=0,"",VLOOKUP($A25,'Annex 2 EHV charges'!$D:$O,12,FALSE)),"")</f>
        <v>0.05</v>
      </c>
      <c r="H25" s="84">
        <f>IFERROR(IF(VLOOKUP($A25,'Annex 2 EHV charges'!$D:$P,13,FALSE)=0,"",VLOOKUP($A25,'Annex 2 EHV charges'!$D:$P,13,FALSE)),"")</f>
        <v>0.05</v>
      </c>
    </row>
    <row r="26" spans="1:8" ht="12.75" customHeight="1" x14ac:dyDescent="0.2">
      <c r="A26" s="81" t="str">
        <f t="array" ref="A26">IFERROR(INDEX('Annex 2 EHV charges'!$D$10:$D$108, MATCH(0, IF(ISBLANK('Annex 2 EHV charges'!$D$10:$D$108),1, COUNTIF(A$4:$A25, 'Annex 2 EHV charges'!$D$10:$D$108)), 0)),"")</f>
        <v>DSCPRK</v>
      </c>
      <c r="B26" s="80">
        <f>IF($A26="","",VLOOKUP($A26,'Annex 2 EHV charges'!$D:$O,2,0))</f>
        <v>704</v>
      </c>
      <c r="C26" s="81">
        <f>IF($A26="","",VLOOKUP($A26,'Annex 2 EHV charges'!$D:$O,3,0))</f>
        <v>1900091637081</v>
      </c>
      <c r="D26" s="80" t="str">
        <f>IF($A26="","",VLOOKUP($A26,'Annex 2 EHV charges'!$D:$O,4,0))</f>
        <v>DSCPRK</v>
      </c>
      <c r="E26" s="82" t="str">
        <f>IFERROR(IF(VLOOKUP($A26,'Annex 2 EHV charges'!$D:$O,10,FALSE)=0,"",VLOOKUP($A26,'Annex 2 EHV charges'!$D:$O,10,FALSE)),"")</f>
        <v/>
      </c>
      <c r="F26" s="83">
        <f>IFERROR(IF(VLOOKUP($A26,'Annex 2 EHV charges'!$D:$O,11,FALSE)=0,"",VLOOKUP($A26,'Annex 2 EHV charges'!$D:$O,11,FALSE)),"")</f>
        <v>2071.6999999999998</v>
      </c>
      <c r="G26" s="84">
        <f>IFERROR(IF(VLOOKUP($A26,'Annex 2 EHV charges'!$D:$O,12,FALSE)=0,"",VLOOKUP($A26,'Annex 2 EHV charges'!$D:$O,12,FALSE)),"")</f>
        <v>0.05</v>
      </c>
      <c r="H26" s="84">
        <f>IFERROR(IF(VLOOKUP($A26,'Annex 2 EHV charges'!$D:$P,13,FALSE)=0,"",VLOOKUP($A26,'Annex 2 EHV charges'!$D:$P,13,FALSE)),"")</f>
        <v>0.05</v>
      </c>
    </row>
    <row r="27" spans="1:8" ht="12.75" customHeight="1" x14ac:dyDescent="0.2">
      <c r="A27" s="81" t="str">
        <f t="array" ref="A27">IFERROR(INDEX('Annex 2 EHV charges'!$D$10:$D$108, MATCH(0, IF(ISBLANK('Annex 2 EHV charges'!$D$10:$D$108),1, COUNTIF(A$4:$A26, 'Annex 2 EHV charges'!$D$10:$D$108)), 0)),"")</f>
        <v>FORDSF</v>
      </c>
      <c r="B27" s="80">
        <f>IF($A27="","",VLOOKUP($A27,'Annex 2 EHV charges'!$D:$O,2,0))</f>
        <v>707</v>
      </c>
      <c r="C27" s="81">
        <f>IF($A27="","",VLOOKUP($A27,'Annex 2 EHV charges'!$D:$O,3,0))</f>
        <v>1900091361971</v>
      </c>
      <c r="D27" s="80" t="str">
        <f>IF($A27="","",VLOOKUP($A27,'Annex 2 EHV charges'!$D:$O,4,0))</f>
        <v>FORDSF</v>
      </c>
      <c r="E27" s="82" t="str">
        <f>IFERROR(IF(VLOOKUP($A27,'Annex 2 EHV charges'!$D:$O,10,FALSE)=0,"",VLOOKUP($A27,'Annex 2 EHV charges'!$D:$O,10,FALSE)),"")</f>
        <v/>
      </c>
      <c r="F27" s="83">
        <f>IFERROR(IF(VLOOKUP($A27,'Annex 2 EHV charges'!$D:$O,11,FALSE)=0,"",VLOOKUP($A27,'Annex 2 EHV charges'!$D:$O,11,FALSE)),"")</f>
        <v>1105.02</v>
      </c>
      <c r="G27" s="84">
        <f>IFERROR(IF(VLOOKUP($A27,'Annex 2 EHV charges'!$D:$O,12,FALSE)=0,"",VLOOKUP($A27,'Annex 2 EHV charges'!$D:$O,12,FALSE)),"")</f>
        <v>0.05</v>
      </c>
      <c r="H27" s="84">
        <f>IFERROR(IF(VLOOKUP($A27,'Annex 2 EHV charges'!$D:$P,13,FALSE)=0,"",VLOOKUP($A27,'Annex 2 EHV charges'!$D:$P,13,FALSE)),"")</f>
        <v>0.05</v>
      </c>
    </row>
    <row r="28" spans="1:8" ht="12.75" customHeight="1" x14ac:dyDescent="0.2">
      <c r="A28" s="81" t="str">
        <f t="array" ref="A28">IFERROR(INDEX('Annex 2 EHV charges'!$D$10:$D$108, MATCH(0, IF(ISBLANK('Annex 2 EHV charges'!$D$10:$D$108),1, COUNTIF(A$4:$A27, 'Annex 2 EHV charges'!$D$10:$D$108)), 0)),"")</f>
        <v>FRWOOD</v>
      </c>
      <c r="B28" s="80">
        <f>IF($A28="","",VLOOKUP($A28,'Annex 2 EHV charges'!$D:$O,2,0))</f>
        <v>743</v>
      </c>
      <c r="C28" s="81">
        <f>IF($A28="","",VLOOKUP($A28,'Annex 2 EHV charges'!$D:$O,3,0))</f>
        <v>1900091200397</v>
      </c>
      <c r="D28" s="80" t="str">
        <f>IF($A28="","",VLOOKUP($A28,'Annex 2 EHV charges'!$D:$O,4,0))</f>
        <v>FRWOOD</v>
      </c>
      <c r="E28" s="82" t="str">
        <f>IFERROR(IF(VLOOKUP($A28,'Annex 2 EHV charges'!$D:$O,10,FALSE)=0,"",VLOOKUP($A28,'Annex 2 EHV charges'!$D:$O,10,FALSE)),"")</f>
        <v/>
      </c>
      <c r="F28" s="83">
        <f>IFERROR(IF(VLOOKUP($A28,'Annex 2 EHV charges'!$D:$O,11,FALSE)=0,"",VLOOKUP($A28,'Annex 2 EHV charges'!$D:$O,11,FALSE)),"")</f>
        <v>1526.59</v>
      </c>
      <c r="G28" s="84">
        <f>IFERROR(IF(VLOOKUP($A28,'Annex 2 EHV charges'!$D:$O,12,FALSE)=0,"",VLOOKUP($A28,'Annex 2 EHV charges'!$D:$O,12,FALSE)),"")</f>
        <v>0.05</v>
      </c>
      <c r="H28" s="84">
        <f>IFERROR(IF(VLOOKUP($A28,'Annex 2 EHV charges'!$D:$P,13,FALSE)=0,"",VLOOKUP($A28,'Annex 2 EHV charges'!$D:$P,13,FALSE)),"")</f>
        <v>0.05</v>
      </c>
    </row>
    <row r="29" spans="1:8" ht="12.75" customHeight="1" x14ac:dyDescent="0.2">
      <c r="A29" s="81" t="str">
        <f t="array" ref="A29">IFERROR(INDEX('Annex 2 EHV charges'!$D$10:$D$108, MATCH(0, IF(ISBLANK('Annex 2 EHV charges'!$D$10:$D$108),1, COUNTIF(A$4:$A28, 'Annex 2 EHV charges'!$D$10:$D$108)), 0)),"")</f>
        <v>GLASSN</v>
      </c>
      <c r="B29" s="80">
        <f>IF($A29="","",VLOOKUP($A29,'Annex 2 EHV charges'!$D:$O,2,0))</f>
        <v>697</v>
      </c>
      <c r="C29" s="81" t="str">
        <f>IF($A29="","",VLOOKUP($A29,'Annex 2 EHV charges'!$D:$O,3,0))</f>
        <v>1900091523310;1900092037980</v>
      </c>
      <c r="D29" s="80" t="str">
        <f>IF($A29="","",VLOOKUP($A29,'Annex 2 EHV charges'!$D:$O,4,0))</f>
        <v>GLASSN</v>
      </c>
      <c r="E29" s="82">
        <f>IFERROR(IF(VLOOKUP($A29,'Annex 2 EHV charges'!$D:$O,10,FALSE)=0,"",VLOOKUP($A29,'Annex 2 EHV charges'!$D:$O,10,FALSE)),"")</f>
        <v>-1.034</v>
      </c>
      <c r="F29" s="83">
        <f>IFERROR(IF(VLOOKUP($A29,'Annex 2 EHV charges'!$D:$O,11,FALSE)=0,"",VLOOKUP($A29,'Annex 2 EHV charges'!$D:$O,11,FALSE)),"")</f>
        <v>654.88</v>
      </c>
      <c r="G29" s="84">
        <f>IFERROR(IF(VLOOKUP($A29,'Annex 2 EHV charges'!$D:$O,12,FALSE)=0,"",VLOOKUP($A29,'Annex 2 EHV charges'!$D:$O,12,FALSE)),"")</f>
        <v>0.05</v>
      </c>
      <c r="H29" s="84">
        <f>IFERROR(IF(VLOOKUP($A29,'Annex 2 EHV charges'!$D:$P,13,FALSE)=0,"",VLOOKUP($A29,'Annex 2 EHV charges'!$D:$P,13,FALSE)),"")</f>
        <v>0.05</v>
      </c>
    </row>
    <row r="30" spans="1:8" ht="12.75" customHeight="1" x14ac:dyDescent="0.2">
      <c r="A30" s="81" t="str">
        <f t="array" ref="A30">IFERROR(INDEX('Annex 2 EHV charges'!$D$10:$D$108, MATCH(0, IF(ISBLANK('Annex 2 EHV charges'!$D$10:$D$108),1, COUNTIF(A$4:$A29, 'Annex 2 EHV charges'!$D$10:$D$108)), 0)),"")</f>
        <v>GROVEH</v>
      </c>
      <c r="B30" s="80">
        <f>IF($A30="","",VLOOKUP($A30,'Annex 2 EHV charges'!$D:$O,2,0))</f>
        <v>727</v>
      </c>
      <c r="C30" s="81">
        <f>IF($A30="","",VLOOKUP($A30,'Annex 2 EHV charges'!$D:$O,3,0))</f>
        <v>1900060225194</v>
      </c>
      <c r="D30" s="80" t="str">
        <f>IF($A30="","",VLOOKUP($A30,'Annex 2 EHV charges'!$D:$O,4,0))</f>
        <v>GROVEH</v>
      </c>
      <c r="E30" s="82" t="str">
        <f>IFERROR(IF(VLOOKUP($A30,'Annex 2 EHV charges'!$D:$O,10,FALSE)=0,"",VLOOKUP($A30,'Annex 2 EHV charges'!$D:$O,10,FALSE)),"")</f>
        <v/>
      </c>
      <c r="F30" s="83" t="str">
        <f>IFERROR(IF(VLOOKUP($A30,'Annex 2 EHV charges'!$D:$O,11,FALSE)=0,"",VLOOKUP($A30,'Annex 2 EHV charges'!$D:$O,11,FALSE)),"")</f>
        <v/>
      </c>
      <c r="G30" s="84" t="str">
        <f>IFERROR(IF(VLOOKUP($A30,'Annex 2 EHV charges'!$D:$O,12,FALSE)=0,"",VLOOKUP($A30,'Annex 2 EHV charges'!$D:$O,12,FALSE)),"")</f>
        <v/>
      </c>
      <c r="H30" s="84" t="str">
        <f>IFERROR(IF(VLOOKUP($A30,'Annex 2 EHV charges'!$D:$P,13,FALSE)=0,"",VLOOKUP($A30,'Annex 2 EHV charges'!$D:$P,13,FALSE)),"")</f>
        <v/>
      </c>
    </row>
    <row r="31" spans="1:8" ht="12.75" customHeight="1" x14ac:dyDescent="0.2">
      <c r="A31" s="81" t="str">
        <f t="array" ref="A31">IFERROR(INDEX('Annex 2 EHV charges'!$D$10:$D$108, MATCH(0, IF(ISBLANK('Annex 2 EHV charges'!$D$10:$D$108),1, COUNTIF(A$4:$A30, 'Annex 2 EHV charges'!$D$10:$D$108)), 0)),"")</f>
        <v>GUSTON</v>
      </c>
      <c r="B31" s="80">
        <f>IF($A31="","",VLOOKUP($A31,'Annex 2 EHV charges'!$D:$O,2,0))</f>
        <v>708</v>
      </c>
      <c r="C31" s="81">
        <f>IF($A31="","",VLOOKUP($A31,'Annex 2 EHV charges'!$D:$O,3,0))</f>
        <v>1900091338059</v>
      </c>
      <c r="D31" s="80" t="str">
        <f>IF($A31="","",VLOOKUP($A31,'Annex 2 EHV charges'!$D:$O,4,0))</f>
        <v>GUSTON</v>
      </c>
      <c r="E31" s="82" t="str">
        <f>IFERROR(IF(VLOOKUP($A31,'Annex 2 EHV charges'!$D:$O,10,FALSE)=0,"",VLOOKUP($A31,'Annex 2 EHV charges'!$D:$O,10,FALSE)),"")</f>
        <v/>
      </c>
      <c r="F31" s="83">
        <f>IFERROR(IF(VLOOKUP($A31,'Annex 2 EHV charges'!$D:$O,11,FALSE)=0,"",VLOOKUP($A31,'Annex 2 EHV charges'!$D:$O,11,FALSE)),"")</f>
        <v>2582.9299999999998</v>
      </c>
      <c r="G31" s="84">
        <f>IFERROR(IF(VLOOKUP($A31,'Annex 2 EHV charges'!$D:$O,12,FALSE)=0,"",VLOOKUP($A31,'Annex 2 EHV charges'!$D:$O,12,FALSE)),"")</f>
        <v>0.05</v>
      </c>
      <c r="H31" s="84">
        <f>IFERROR(IF(VLOOKUP($A31,'Annex 2 EHV charges'!$D:$P,13,FALSE)=0,"",VLOOKUP($A31,'Annex 2 EHV charges'!$D:$P,13,FALSE)),"")</f>
        <v>0.05</v>
      </c>
    </row>
    <row r="32" spans="1:8" ht="12.75" customHeight="1" x14ac:dyDescent="0.2">
      <c r="A32" s="81" t="str">
        <f t="array" ref="A32">IFERROR(INDEX('Annex 2 EHV charges'!$D$10:$D$108, MATCH(0, IF(ISBLANK('Annex 2 EHV charges'!$D$10:$D$108),1, COUNTIF(A$4:$A31, 'Annex 2 EHV charges'!$D$10:$D$108)), 0)),"")</f>
        <v>HADLOW</v>
      </c>
      <c r="B32" s="80">
        <f>IF($A32="","",VLOOKUP($A32,'Annex 2 EHV charges'!$D:$O,2,0))</f>
        <v>744</v>
      </c>
      <c r="C32" s="81">
        <f>IF($A32="","",VLOOKUP($A32,'Annex 2 EHV charges'!$D:$O,3,0))</f>
        <v>1900091217052</v>
      </c>
      <c r="D32" s="80" t="str">
        <f>IF($A32="","",VLOOKUP($A32,'Annex 2 EHV charges'!$D:$O,4,0))</f>
        <v>HADLOW</v>
      </c>
      <c r="E32" s="82" t="str">
        <f>IFERROR(IF(VLOOKUP($A32,'Annex 2 EHV charges'!$D:$O,10,FALSE)=0,"",VLOOKUP($A32,'Annex 2 EHV charges'!$D:$O,10,FALSE)),"")</f>
        <v/>
      </c>
      <c r="F32" s="83">
        <f>IFERROR(IF(VLOOKUP($A32,'Annex 2 EHV charges'!$D:$O,11,FALSE)=0,"",VLOOKUP($A32,'Annex 2 EHV charges'!$D:$O,11,FALSE)),"")</f>
        <v>1175.3399999999999</v>
      </c>
      <c r="G32" s="84">
        <f>IFERROR(IF(VLOOKUP($A32,'Annex 2 EHV charges'!$D:$O,12,FALSE)=0,"",VLOOKUP($A32,'Annex 2 EHV charges'!$D:$O,12,FALSE)),"")</f>
        <v>0.05</v>
      </c>
      <c r="H32" s="84">
        <f>IFERROR(IF(VLOOKUP($A32,'Annex 2 EHV charges'!$D:$P,13,FALSE)=0,"",VLOOKUP($A32,'Annex 2 EHV charges'!$D:$P,13,FALSE)),"")</f>
        <v>0.05</v>
      </c>
    </row>
    <row r="33" spans="1:8" ht="12.75" customHeight="1" x14ac:dyDescent="0.2">
      <c r="A33" s="81" t="str">
        <f t="array" ref="A33">IFERROR(INDEX('Annex 2 EHV charges'!$D$10:$D$108, MATCH(0, IF(ISBLANK('Annex 2 EHV charges'!$D$10:$D$108),1, COUNTIF(A$4:$A32, 'Annex 2 EHV charges'!$D$10:$D$108)), 0)),"")</f>
        <v>HANSTA</v>
      </c>
      <c r="B33" s="80">
        <f>IF($A33="","",VLOOKUP($A33,'Annex 2 EHV charges'!$D:$O,2,0))</f>
        <v>728</v>
      </c>
      <c r="C33" s="81" t="str">
        <f>IF($A33="","",VLOOKUP($A33,'Annex 2 EHV charges'!$D:$O,3,0))</f>
        <v>1900060442174;1900060512032</v>
      </c>
      <c r="D33" s="80" t="str">
        <f>IF($A33="","",VLOOKUP($A33,'Annex 2 EHV charges'!$D:$O,4,0))</f>
        <v>HANSTA</v>
      </c>
      <c r="E33" s="82" t="str">
        <f>IFERROR(IF(VLOOKUP($A33,'Annex 2 EHV charges'!$D:$O,10,FALSE)=0,"",VLOOKUP($A33,'Annex 2 EHV charges'!$D:$O,10,FALSE)),"")</f>
        <v/>
      </c>
      <c r="F33" s="83" t="str">
        <f>IFERROR(IF(VLOOKUP($A33,'Annex 2 EHV charges'!$D:$O,11,FALSE)=0,"",VLOOKUP($A33,'Annex 2 EHV charges'!$D:$O,11,FALSE)),"")</f>
        <v/>
      </c>
      <c r="G33" s="84" t="str">
        <f>IFERROR(IF(VLOOKUP($A33,'Annex 2 EHV charges'!$D:$O,12,FALSE)=0,"",VLOOKUP($A33,'Annex 2 EHV charges'!$D:$O,12,FALSE)),"")</f>
        <v/>
      </c>
      <c r="H33" s="84" t="str">
        <f>IFERROR(IF(VLOOKUP($A33,'Annex 2 EHV charges'!$D:$P,13,FALSE)=0,"",VLOOKUP($A33,'Annex 2 EHV charges'!$D:$P,13,FALSE)),"")</f>
        <v/>
      </c>
    </row>
    <row r="34" spans="1:8" ht="12.75" customHeight="1" x14ac:dyDescent="0.2">
      <c r="A34" s="81" t="str">
        <f t="array" ref="A34">IFERROR(INDEX('Annex 2 EHV charges'!$D$10:$D$108, MATCH(0, IF(ISBLANK('Annex 2 EHV charges'!$D$10:$D$108),1, COUNTIF(A$4:$A33, 'Annex 2 EHV charges'!$D$10:$D$108)), 0)),"")</f>
        <v>HLLMBY</v>
      </c>
      <c r="B34" s="80">
        <f>IF($A34="","",VLOOKUP($A34,'Annex 2 EHV charges'!$D:$O,2,0))</f>
        <v>745</v>
      </c>
      <c r="C34" s="81">
        <f>IF($A34="","",VLOOKUP($A34,'Annex 2 EHV charges'!$D:$O,3,0))</f>
        <v>1900091217080</v>
      </c>
      <c r="D34" s="80" t="str">
        <f>IF($A34="","",VLOOKUP($A34,'Annex 2 EHV charges'!$D:$O,4,0))</f>
        <v>HLLMBY</v>
      </c>
      <c r="E34" s="82" t="str">
        <f>IFERROR(IF(VLOOKUP($A34,'Annex 2 EHV charges'!$D:$O,10,FALSE)=0,"",VLOOKUP($A34,'Annex 2 EHV charges'!$D:$O,10,FALSE)),"")</f>
        <v/>
      </c>
      <c r="F34" s="83">
        <f>IFERROR(IF(VLOOKUP($A34,'Annex 2 EHV charges'!$D:$O,11,FALSE)=0,"",VLOOKUP($A34,'Annex 2 EHV charges'!$D:$O,11,FALSE)),"")</f>
        <v>1293.72</v>
      </c>
      <c r="G34" s="84">
        <f>IFERROR(IF(VLOOKUP($A34,'Annex 2 EHV charges'!$D:$O,12,FALSE)=0,"",VLOOKUP($A34,'Annex 2 EHV charges'!$D:$O,12,FALSE)),"")</f>
        <v>0.05</v>
      </c>
      <c r="H34" s="84">
        <f>IFERROR(IF(VLOOKUP($A34,'Annex 2 EHV charges'!$D:$P,13,FALSE)=0,"",VLOOKUP($A34,'Annex 2 EHV charges'!$D:$P,13,FALSE)),"")</f>
        <v>0.05</v>
      </c>
    </row>
    <row r="35" spans="1:8" ht="12.75" customHeight="1" x14ac:dyDescent="0.2">
      <c r="A35" s="81" t="str">
        <f t="array" ref="A35">IFERROR(INDEX('Annex 2 EHV charges'!$D$10:$D$108, MATCH(0, IF(ISBLANK('Annex 2 EHV charges'!$D$10:$D$108),1, COUNTIF(A$4:$A34, 'Annex 2 EHV charges'!$D$10:$D$108)), 0)),"")</f>
        <v>HORAMS</v>
      </c>
      <c r="B35" s="80">
        <f>IF($A35="","",VLOOKUP($A35,'Annex 2 EHV charges'!$D:$O,2,0))</f>
        <v>701</v>
      </c>
      <c r="C35" s="81">
        <f>IF($A35="","",VLOOKUP($A35,'Annex 2 EHV charges'!$D:$O,3,0))</f>
        <v>1900091200077</v>
      </c>
      <c r="D35" s="80" t="str">
        <f>IF($A35="","",VLOOKUP($A35,'Annex 2 EHV charges'!$D:$O,4,0))</f>
        <v>HORAMS</v>
      </c>
      <c r="E35" s="82" t="str">
        <f>IFERROR(IF(VLOOKUP($A35,'Annex 2 EHV charges'!$D:$O,10,FALSE)=0,"",VLOOKUP($A35,'Annex 2 EHV charges'!$D:$O,10,FALSE)),"")</f>
        <v/>
      </c>
      <c r="F35" s="83">
        <f>IFERROR(IF(VLOOKUP($A35,'Annex 2 EHV charges'!$D:$O,11,FALSE)=0,"",VLOOKUP($A35,'Annex 2 EHV charges'!$D:$O,11,FALSE)),"")</f>
        <v>2919.53</v>
      </c>
      <c r="G35" s="84">
        <f>IFERROR(IF(VLOOKUP($A35,'Annex 2 EHV charges'!$D:$O,12,FALSE)=0,"",VLOOKUP($A35,'Annex 2 EHV charges'!$D:$O,12,FALSE)),"")</f>
        <v>0.05</v>
      </c>
      <c r="H35" s="84">
        <f>IFERROR(IF(VLOOKUP($A35,'Annex 2 EHV charges'!$D:$P,13,FALSE)=0,"",VLOOKUP($A35,'Annex 2 EHV charges'!$D:$P,13,FALSE)),"")</f>
        <v>0.05</v>
      </c>
    </row>
    <row r="36" spans="1:8" ht="12.75" customHeight="1" x14ac:dyDescent="0.2">
      <c r="A36" s="81" t="str">
        <f t="array" ref="A36">IFERROR(INDEX('Annex 2 EHV charges'!$D$10:$D$108, MATCH(0, IF(ISBLANK('Annex 2 EHV charges'!$D$10:$D$108),1, COUNTIF(A$4:$A35, 'Annex 2 EHV charges'!$D$10:$D$108)), 0)),"")</f>
        <v>KENTI2</v>
      </c>
      <c r="B36" s="80">
        <f>IF($A36="","",VLOOKUP($A36,'Annex 2 EHV charges'!$D:$O,2,0))</f>
        <v>746</v>
      </c>
      <c r="C36" s="81">
        <f>IF($A36="","",VLOOKUP($A36,'Annex 2 EHV charges'!$D:$O,3,0))</f>
        <v>1900091199528</v>
      </c>
      <c r="D36" s="80" t="str">
        <f>IF($A36="","",VLOOKUP($A36,'Annex 2 EHV charges'!$D:$O,4,0))</f>
        <v>KENTI2</v>
      </c>
      <c r="E36" s="82" t="str">
        <f>IFERROR(IF(VLOOKUP($A36,'Annex 2 EHV charges'!$D:$O,10,FALSE)=0,"",VLOOKUP($A36,'Annex 2 EHV charges'!$D:$O,10,FALSE)),"")</f>
        <v/>
      </c>
      <c r="F36" s="83">
        <f>IFERROR(IF(VLOOKUP($A36,'Annex 2 EHV charges'!$D:$O,11,FALSE)=0,"",VLOOKUP($A36,'Annex 2 EHV charges'!$D:$O,11,FALSE)),"")</f>
        <v>521.02</v>
      </c>
      <c r="G36" s="84">
        <f>IFERROR(IF(VLOOKUP($A36,'Annex 2 EHV charges'!$D:$O,12,FALSE)=0,"",VLOOKUP($A36,'Annex 2 EHV charges'!$D:$O,12,FALSE)),"")</f>
        <v>0.05</v>
      </c>
      <c r="H36" s="84">
        <f>IFERROR(IF(VLOOKUP($A36,'Annex 2 EHV charges'!$D:$P,13,FALSE)=0,"",VLOOKUP($A36,'Annex 2 EHV charges'!$D:$P,13,FALSE)),"")</f>
        <v>0.05</v>
      </c>
    </row>
    <row r="37" spans="1:8" ht="12.75" customHeight="1" x14ac:dyDescent="0.2">
      <c r="A37" s="81" t="str">
        <f t="array" ref="A37">IFERROR(INDEX('Annex 2 EHV charges'!$D$10:$D$108, MATCH(0, IF(ISBLANK('Annex 2 EHV charges'!$D$10:$D$108),1, COUNTIF(A$4:$A36, 'Annex 2 EHV charges'!$D$10:$D$108)), 0)),"")</f>
        <v>KENTIS</v>
      </c>
      <c r="B37" s="80">
        <f>IF($A37="","",VLOOKUP($A37,'Annex 2 EHV charges'!$D:$O,2,0))</f>
        <v>722</v>
      </c>
      <c r="C37" s="81">
        <f>IF($A37="","",VLOOKUP($A37,'Annex 2 EHV charges'!$D:$O,3,0))</f>
        <v>1900070122343</v>
      </c>
      <c r="D37" s="80" t="str">
        <f>IF($A37="","",VLOOKUP($A37,'Annex 2 EHV charges'!$D:$O,4,0))</f>
        <v>KENTIS</v>
      </c>
      <c r="E37" s="82" t="str">
        <f>IFERROR(IF(VLOOKUP($A37,'Annex 2 EHV charges'!$D:$O,10,FALSE)=0,"",VLOOKUP($A37,'Annex 2 EHV charges'!$D:$O,10,FALSE)),"")</f>
        <v/>
      </c>
      <c r="F37" s="83" t="str">
        <f>IFERROR(IF(VLOOKUP($A37,'Annex 2 EHV charges'!$D:$O,11,FALSE)=0,"",VLOOKUP($A37,'Annex 2 EHV charges'!$D:$O,11,FALSE)),"")</f>
        <v/>
      </c>
      <c r="G37" s="84" t="str">
        <f>IFERROR(IF(VLOOKUP($A37,'Annex 2 EHV charges'!$D:$O,12,FALSE)=0,"",VLOOKUP($A37,'Annex 2 EHV charges'!$D:$O,12,FALSE)),"")</f>
        <v/>
      </c>
      <c r="H37" s="84" t="str">
        <f>IFERROR(IF(VLOOKUP($A37,'Annex 2 EHV charges'!$D:$P,13,FALSE)=0,"",VLOOKUP($A37,'Annex 2 EHV charges'!$D:$P,13,FALSE)),"")</f>
        <v/>
      </c>
    </row>
    <row r="38" spans="1:8" ht="12.75" customHeight="1" x14ac:dyDescent="0.2">
      <c r="A38" s="81" t="str">
        <f t="array" ref="A38">IFERROR(INDEX('Annex 2 EHV charges'!$D$10:$D$108, MATCH(0, IF(ISBLANK('Annex 2 EHV charges'!$D$10:$D$108),1, COUNTIF(A$4:$A37, 'Annex 2 EHV charges'!$D$10:$D$108)), 0)),"")</f>
        <v>KM3CHP</v>
      </c>
      <c r="B38" s="80">
        <f>IF($A38="","",VLOOKUP($A38,'Annex 2 EHV charges'!$D:$O,2,0))</f>
        <v>699</v>
      </c>
      <c r="C38" s="81">
        <f>IF($A38="","",VLOOKUP($A38,'Annex 2 EHV charges'!$D:$O,3,0))</f>
        <v>1900091669739</v>
      </c>
      <c r="D38" s="80" t="str">
        <f>IF($A38="","",VLOOKUP($A38,'Annex 2 EHV charges'!$D:$O,4,0))</f>
        <v>KM3CHP</v>
      </c>
      <c r="E38" s="82" t="str">
        <f>IFERROR(IF(VLOOKUP($A38,'Annex 2 EHV charges'!$D:$O,10,FALSE)=0,"",VLOOKUP($A38,'Annex 2 EHV charges'!$D:$O,10,FALSE)),"")</f>
        <v/>
      </c>
      <c r="F38" s="83">
        <f>IFERROR(IF(VLOOKUP($A38,'Annex 2 EHV charges'!$D:$O,11,FALSE)=0,"",VLOOKUP($A38,'Annex 2 EHV charges'!$D:$O,11,FALSE)),"")</f>
        <v>4207.5200000000004</v>
      </c>
      <c r="G38" s="84">
        <f>IFERROR(IF(VLOOKUP($A38,'Annex 2 EHV charges'!$D:$O,12,FALSE)=0,"",VLOOKUP($A38,'Annex 2 EHV charges'!$D:$O,12,FALSE)),"")</f>
        <v>0.05</v>
      </c>
      <c r="H38" s="84">
        <f>IFERROR(IF(VLOOKUP($A38,'Annex 2 EHV charges'!$D:$P,13,FALSE)=0,"",VLOOKUP($A38,'Annex 2 EHV charges'!$D:$P,13,FALSE)),"")</f>
        <v>0.05</v>
      </c>
    </row>
    <row r="39" spans="1:8" ht="12.75" customHeight="1" x14ac:dyDescent="0.2">
      <c r="A39" s="81" t="str">
        <f t="array" ref="A39">IFERROR(INDEX('Annex 2 EHV charges'!$D$10:$D$108, MATCH(0, IF(ISBLANK('Annex 2 EHV charges'!$D$10:$D$108),1, COUNTIF(A$4:$A38, 'Annex 2 EHV charges'!$D$10:$D$108)), 0)),"")</f>
        <v>KNTSFM</v>
      </c>
      <c r="B39" s="80">
        <f>IF($A39="","",VLOOKUP($A39,'Annex 2 EHV charges'!$D:$O,2,0))</f>
        <v>0</v>
      </c>
      <c r="C39" s="81" t="str">
        <f>IF($A39="","",VLOOKUP($A39,'Annex 2 EHV charges'!$D:$O,3,0))</f>
        <v>MSID: 7436</v>
      </c>
      <c r="D39" s="80" t="str">
        <f>IF($A39="","",VLOOKUP($A39,'Annex 2 EHV charges'!$D:$O,4,0))</f>
        <v>KNTSFM</v>
      </c>
      <c r="E39" s="82">
        <f>IFERROR(IF(VLOOKUP($A39,'Annex 2 EHV charges'!$D:$O,10,FALSE)=0,"",VLOOKUP($A39,'Annex 2 EHV charges'!$D:$O,10,FALSE)),"")</f>
        <v>-0.79600000000000004</v>
      </c>
      <c r="F39" s="83">
        <f>IFERROR(IF(VLOOKUP($A39,'Annex 2 EHV charges'!$D:$O,11,FALSE)=0,"",VLOOKUP($A39,'Annex 2 EHV charges'!$D:$O,11,FALSE)),"")</f>
        <v>1325.81</v>
      </c>
      <c r="G39" s="84">
        <f>IFERROR(IF(VLOOKUP($A39,'Annex 2 EHV charges'!$D:$O,12,FALSE)=0,"",VLOOKUP($A39,'Annex 2 EHV charges'!$D:$O,12,FALSE)),"")</f>
        <v>0.05</v>
      </c>
      <c r="H39" s="84">
        <f>IFERROR(IF(VLOOKUP($A39,'Annex 2 EHV charges'!$D:$P,13,FALSE)=0,"",VLOOKUP($A39,'Annex 2 EHV charges'!$D:$P,13,FALSE)),"")</f>
        <v>0.05</v>
      </c>
    </row>
    <row r="40" spans="1:8" ht="12.75" customHeight="1" x14ac:dyDescent="0.2">
      <c r="A40" s="81" t="str">
        <f t="array" ref="A40">IFERROR(INDEX('Annex 2 EHV charges'!$D$10:$D$108, MATCH(0, IF(ISBLANK('Annex 2 EHV charges'!$D$10:$D$108),1, COUNTIF(A$4:$A39, 'Annex 2 EHV charges'!$D$10:$D$108)), 0)),"")</f>
        <v>KNWLTN</v>
      </c>
      <c r="B40" s="80">
        <f>IF($A40="","",VLOOKUP($A40,'Annex 2 EHV charges'!$D:$O,2,0))</f>
        <v>735</v>
      </c>
      <c r="C40" s="81">
        <f>IF($A40="","",VLOOKUP($A40,'Annex 2 EHV charges'!$D:$O,3,0))</f>
        <v>1900091091940</v>
      </c>
      <c r="D40" s="80" t="str">
        <f>IF($A40="","",VLOOKUP($A40,'Annex 2 EHV charges'!$D:$O,4,0))</f>
        <v>KNWLTN</v>
      </c>
      <c r="E40" s="82" t="str">
        <f>IFERROR(IF(VLOOKUP($A40,'Annex 2 EHV charges'!$D:$O,10,FALSE)=0,"",VLOOKUP($A40,'Annex 2 EHV charges'!$D:$O,10,FALSE)),"")</f>
        <v/>
      </c>
      <c r="F40" s="83">
        <f>IFERROR(IF(VLOOKUP($A40,'Annex 2 EHV charges'!$D:$O,11,FALSE)=0,"",VLOOKUP($A40,'Annex 2 EHV charges'!$D:$O,11,FALSE)),"")</f>
        <v>2183.1799999999998</v>
      </c>
      <c r="G40" s="84">
        <f>IFERROR(IF(VLOOKUP($A40,'Annex 2 EHV charges'!$D:$O,12,FALSE)=0,"",VLOOKUP($A40,'Annex 2 EHV charges'!$D:$O,12,FALSE)),"")</f>
        <v>0.05</v>
      </c>
      <c r="H40" s="84">
        <f>IFERROR(IF(VLOOKUP($A40,'Annex 2 EHV charges'!$D:$P,13,FALSE)=0,"",VLOOKUP($A40,'Annex 2 EHV charges'!$D:$P,13,FALSE)),"")</f>
        <v>0.05</v>
      </c>
    </row>
    <row r="41" spans="1:8" ht="12.75" customHeight="1" x14ac:dyDescent="0.2">
      <c r="A41" s="81" t="str">
        <f t="array" ref="A41">IFERROR(INDEX('Annex 2 EHV charges'!$D$10:$D$108, MATCH(0, IF(ISBLANK('Annex 2 EHV charges'!$D$10:$D$108),1, COUNTIF(A$4:$A40, 'Annex 2 EHV charges'!$D$10:$D$108)), 0)),"")</f>
        <v>LBOURN</v>
      </c>
      <c r="B41" s="80">
        <f>IF($A41="","",VLOOKUP($A41,'Annex 2 EHV charges'!$D:$O,2,0))</f>
        <v>747</v>
      </c>
      <c r="C41" s="81">
        <f>IF($A41="","",VLOOKUP($A41,'Annex 2 EHV charges'!$D:$O,3,0))</f>
        <v>1900091171276</v>
      </c>
      <c r="D41" s="80" t="str">
        <f>IF($A41="","",VLOOKUP($A41,'Annex 2 EHV charges'!$D:$O,4,0))</f>
        <v>LBOURN</v>
      </c>
      <c r="E41" s="82" t="str">
        <f>IFERROR(IF(VLOOKUP($A41,'Annex 2 EHV charges'!$D:$O,10,FALSE)=0,"",VLOOKUP($A41,'Annex 2 EHV charges'!$D:$O,10,FALSE)),"")</f>
        <v/>
      </c>
      <c r="F41" s="83">
        <f>IFERROR(IF(VLOOKUP($A41,'Annex 2 EHV charges'!$D:$O,11,FALSE)=0,"",VLOOKUP($A41,'Annex 2 EHV charges'!$D:$O,11,FALSE)),"")</f>
        <v>1257.01</v>
      </c>
      <c r="G41" s="84">
        <f>IFERROR(IF(VLOOKUP($A41,'Annex 2 EHV charges'!$D:$O,12,FALSE)=0,"",VLOOKUP($A41,'Annex 2 EHV charges'!$D:$O,12,FALSE)),"")</f>
        <v>0.05</v>
      </c>
      <c r="H41" s="84">
        <f>IFERROR(IF(VLOOKUP($A41,'Annex 2 EHV charges'!$D:$P,13,FALSE)=0,"",VLOOKUP($A41,'Annex 2 EHV charges'!$D:$P,13,FALSE)),"")</f>
        <v>0.05</v>
      </c>
    </row>
    <row r="42" spans="1:8" ht="12.75" customHeight="1" x14ac:dyDescent="0.2">
      <c r="A42" s="81" t="str">
        <f t="array" ref="A42">IFERROR(INDEX('Annex 2 EHV charges'!$D$10:$D$108, MATCH(0, IF(ISBLANK('Annex 2 EHV charges'!$D$10:$D$108),1, COUNTIF(A$4:$A41, 'Annex 2 EHV charges'!$D$10:$D$108)), 0)),"")</f>
        <v>LCHEYI</v>
      </c>
      <c r="B42" s="80">
        <f>IF($A42="","",VLOOKUP($A42,'Annex 2 EHV charges'!$D:$O,2,0))</f>
        <v>721</v>
      </c>
      <c r="C42" s="81">
        <f>IF($A42="","",VLOOKUP($A42,'Annex 2 EHV charges'!$D:$O,3,0))</f>
        <v>1900090194644</v>
      </c>
      <c r="D42" s="80" t="str">
        <f>IF($A42="","",VLOOKUP($A42,'Annex 2 EHV charges'!$D:$O,4,0))</f>
        <v>LCHEYI</v>
      </c>
      <c r="E42" s="82" t="str">
        <f>IFERROR(IF(VLOOKUP($A42,'Annex 2 EHV charges'!$D:$O,10,FALSE)=0,"",VLOOKUP($A42,'Annex 2 EHV charges'!$D:$O,10,FALSE)),"")</f>
        <v/>
      </c>
      <c r="F42" s="83">
        <f>IFERROR(IF(VLOOKUP($A42,'Annex 2 EHV charges'!$D:$O,11,FALSE)=0,"",VLOOKUP($A42,'Annex 2 EHV charges'!$D:$O,11,FALSE)),"")</f>
        <v>1299.75</v>
      </c>
      <c r="G42" s="84">
        <f>IFERROR(IF(VLOOKUP($A42,'Annex 2 EHV charges'!$D:$O,12,FALSE)=0,"",VLOOKUP($A42,'Annex 2 EHV charges'!$D:$O,12,FALSE)),"")</f>
        <v>0.05</v>
      </c>
      <c r="H42" s="84">
        <f>IFERROR(IF(VLOOKUP($A42,'Annex 2 EHV charges'!$D:$P,13,FALSE)=0,"",VLOOKUP($A42,'Annex 2 EHV charges'!$D:$P,13,FALSE)),"")</f>
        <v>0.05</v>
      </c>
    </row>
    <row r="43" spans="1:8" ht="12.75" customHeight="1" x14ac:dyDescent="0.2">
      <c r="A43" s="81" t="str">
        <f t="array" ref="A43">IFERROR(INDEX('Annex 2 EHV charges'!$D$10:$D$108, MATCH(0, IF(ISBLANK('Annex 2 EHV charges'!$D$10:$D$108),1, COUNTIF(A$4:$A42, 'Annex 2 EHV charges'!$D$10:$D$108)), 0)),"")</f>
        <v>LENHAM</v>
      </c>
      <c r="B43" s="80">
        <f>IF($A43="","",VLOOKUP($A43,'Annex 2 EHV charges'!$D:$O,2,0))</f>
        <v>736</v>
      </c>
      <c r="C43" s="81">
        <f>IF($A43="","",VLOOKUP($A43,'Annex 2 EHV charges'!$D:$O,3,0))</f>
        <v>1900091081570</v>
      </c>
      <c r="D43" s="80" t="str">
        <f>IF($A43="","",VLOOKUP($A43,'Annex 2 EHV charges'!$D:$O,4,0))</f>
        <v>LENHAM</v>
      </c>
      <c r="E43" s="82" t="str">
        <f>IFERROR(IF(VLOOKUP($A43,'Annex 2 EHV charges'!$D:$O,10,FALSE)=0,"",VLOOKUP($A43,'Annex 2 EHV charges'!$D:$O,10,FALSE)),"")</f>
        <v/>
      </c>
      <c r="F43" s="83">
        <f>IFERROR(IF(VLOOKUP($A43,'Annex 2 EHV charges'!$D:$O,11,FALSE)=0,"",VLOOKUP($A43,'Annex 2 EHV charges'!$D:$O,11,FALSE)),"")</f>
        <v>2184.44</v>
      </c>
      <c r="G43" s="84">
        <f>IFERROR(IF(VLOOKUP($A43,'Annex 2 EHV charges'!$D:$O,12,FALSE)=0,"",VLOOKUP($A43,'Annex 2 EHV charges'!$D:$O,12,FALSE)),"")</f>
        <v>0.05</v>
      </c>
      <c r="H43" s="84">
        <f>IFERROR(IF(VLOOKUP($A43,'Annex 2 EHV charges'!$D:$P,13,FALSE)=0,"",VLOOKUP($A43,'Annex 2 EHV charges'!$D:$P,13,FALSE)),"")</f>
        <v>0.05</v>
      </c>
    </row>
    <row r="44" spans="1:8" ht="12.75" customHeight="1" x14ac:dyDescent="0.2">
      <c r="A44" s="81" t="str">
        <f t="array" ref="A44">IFERROR(INDEX('Annex 2 EHV charges'!$D$10:$D$108, MATCH(0, IF(ISBLANK('Annex 2 EHV charges'!$D$10:$D$108),1, COUNTIF(A$4:$A43, 'Annex 2 EHV charges'!$D$10:$D$108)), 0)),"")</f>
        <v>LGHTON</v>
      </c>
      <c r="B44" s="80">
        <f>IF($A44="","",VLOOKUP($A44,'Annex 2 EHV charges'!$D:$O,2,0))</f>
        <v>748</v>
      </c>
      <c r="C44" s="81">
        <f>IF($A44="","",VLOOKUP($A44,'Annex 2 EHV charges'!$D:$O,3,0))</f>
        <v>1900091200147</v>
      </c>
      <c r="D44" s="80" t="str">
        <f>IF($A44="","",VLOOKUP($A44,'Annex 2 EHV charges'!$D:$O,4,0))</f>
        <v>LGHTON</v>
      </c>
      <c r="E44" s="82" t="str">
        <f>IFERROR(IF(VLOOKUP($A44,'Annex 2 EHV charges'!$D:$O,10,FALSE)=0,"",VLOOKUP($A44,'Annex 2 EHV charges'!$D:$O,10,FALSE)),"")</f>
        <v/>
      </c>
      <c r="F44" s="83">
        <f>IFERROR(IF(VLOOKUP($A44,'Annex 2 EHV charges'!$D:$O,11,FALSE)=0,"",VLOOKUP($A44,'Annex 2 EHV charges'!$D:$O,11,FALSE)),"")</f>
        <v>1311.19</v>
      </c>
      <c r="G44" s="84">
        <f>IFERROR(IF(VLOOKUP($A44,'Annex 2 EHV charges'!$D:$O,12,FALSE)=0,"",VLOOKUP($A44,'Annex 2 EHV charges'!$D:$O,12,FALSE)),"")</f>
        <v>0.05</v>
      </c>
      <c r="H44" s="84">
        <f>IFERROR(IF(VLOOKUP($A44,'Annex 2 EHV charges'!$D:$P,13,FALSE)=0,"",VLOOKUP($A44,'Annex 2 EHV charges'!$D:$P,13,FALSE)),"")</f>
        <v>0.05</v>
      </c>
    </row>
    <row r="45" spans="1:8" ht="12.75" customHeight="1" x14ac:dyDescent="0.2">
      <c r="A45" s="81" t="str">
        <f t="array" ref="A45">IFERROR(INDEX('Annex 2 EHV charges'!$D$10:$D$108, MATCH(0, IF(ISBLANK('Annex 2 EHV charges'!$D$10:$D$108),1, COUNTIF(A$4:$A44, 'Annex 2 EHV charges'!$D$10:$D$108)), 0)),"")</f>
        <v>MARSHB</v>
      </c>
      <c r="B45" s="80">
        <f>IF($A45="","",VLOOKUP($A45,'Annex 2 EHV charges'!$D:$O,2,0))</f>
        <v>709</v>
      </c>
      <c r="C45" s="81">
        <f>IF($A45="","",VLOOKUP($A45,'Annex 2 EHV charges'!$D:$O,3,0))</f>
        <v>1900091310601</v>
      </c>
      <c r="D45" s="80" t="str">
        <f>IF($A45="","",VLOOKUP($A45,'Annex 2 EHV charges'!$D:$O,4,0))</f>
        <v>MARSHB</v>
      </c>
      <c r="E45" s="82" t="str">
        <f>IFERROR(IF(VLOOKUP($A45,'Annex 2 EHV charges'!$D:$O,10,FALSE)=0,"",VLOOKUP($A45,'Annex 2 EHV charges'!$D:$O,10,FALSE)),"")</f>
        <v/>
      </c>
      <c r="F45" s="83">
        <f>IFERROR(IF(VLOOKUP($A45,'Annex 2 EHV charges'!$D:$O,11,FALSE)=0,"",VLOOKUP($A45,'Annex 2 EHV charges'!$D:$O,11,FALSE)),"")</f>
        <v>1393.15</v>
      </c>
      <c r="G45" s="84">
        <f>IFERROR(IF(VLOOKUP($A45,'Annex 2 EHV charges'!$D:$O,12,FALSE)=0,"",VLOOKUP($A45,'Annex 2 EHV charges'!$D:$O,12,FALSE)),"")</f>
        <v>0.05</v>
      </c>
      <c r="H45" s="84">
        <f>IFERROR(IF(VLOOKUP($A45,'Annex 2 EHV charges'!$D:$P,13,FALSE)=0,"",VLOOKUP($A45,'Annex 2 EHV charges'!$D:$P,13,FALSE)),"")</f>
        <v>0.05</v>
      </c>
    </row>
    <row r="46" spans="1:8" ht="12.75" customHeight="1" x14ac:dyDescent="0.2">
      <c r="A46" s="81" t="str">
        <f t="array" ref="A46">IFERROR(INDEX('Annex 2 EHV charges'!$D$10:$D$108, MATCH(0, IF(ISBLANK('Annex 2 EHV charges'!$D$10:$D$108),1, COUNTIF(A$4:$A45, 'Annex 2 EHV charges'!$D$10:$D$108)), 0)),"")</f>
        <v>MLEHLL</v>
      </c>
      <c r="B46" s="80">
        <f>IF($A46="","",VLOOKUP($A46,'Annex 2 EHV charges'!$D:$O,2,0))</f>
        <v>751</v>
      </c>
      <c r="C46" s="81">
        <f>IF($A46="","",VLOOKUP($A46,'Annex 2 EHV charges'!$D:$O,3,0))</f>
        <v>1900091183411</v>
      </c>
      <c r="D46" s="80" t="str">
        <f>IF($A46="","",VLOOKUP($A46,'Annex 2 EHV charges'!$D:$O,4,0))</f>
        <v>MLEHLL</v>
      </c>
      <c r="E46" s="82" t="str">
        <f>IFERROR(IF(VLOOKUP($A46,'Annex 2 EHV charges'!$D:$O,10,FALSE)=0,"",VLOOKUP($A46,'Annex 2 EHV charges'!$D:$O,10,FALSE)),"")</f>
        <v/>
      </c>
      <c r="F46" s="83">
        <f>IFERROR(IF(VLOOKUP($A46,'Annex 2 EHV charges'!$D:$O,11,FALSE)=0,"",VLOOKUP($A46,'Annex 2 EHV charges'!$D:$O,11,FALSE)),"")</f>
        <v>530.88</v>
      </c>
      <c r="G46" s="84">
        <f>IFERROR(IF(VLOOKUP($A46,'Annex 2 EHV charges'!$D:$O,12,FALSE)=0,"",VLOOKUP($A46,'Annex 2 EHV charges'!$D:$O,12,FALSE)),"")</f>
        <v>0.05</v>
      </c>
      <c r="H46" s="84">
        <f>IFERROR(IF(VLOOKUP($A46,'Annex 2 EHV charges'!$D:$P,13,FALSE)=0,"",VLOOKUP($A46,'Annex 2 EHV charges'!$D:$P,13,FALSE)),"")</f>
        <v>0.05</v>
      </c>
    </row>
    <row r="47" spans="1:8" ht="12.75" customHeight="1" x14ac:dyDescent="0.2">
      <c r="A47" s="81" t="str">
        <f t="array" ref="A47">IFERROR(INDEX('Annex 2 EHV charges'!$D$10:$D$108, MATCH(0, IF(ISBLANK('Annex 2 EHV charges'!$D$10:$D$108),1, COUNTIF(A$4:$A46, 'Annex 2 EHV charges'!$D$10:$D$108)), 0)),"")</f>
        <v>MLMAYN</v>
      </c>
      <c r="B47" s="80">
        <f>IF($A47="","",VLOOKUP($A47,'Annex 2 EHV charges'!$D:$O,2,0))</f>
        <v>749</v>
      </c>
      <c r="C47" s="81">
        <f>IF($A47="","",VLOOKUP($A47,'Annex 2 EHV charges'!$D:$O,3,0))</f>
        <v>1900091079232</v>
      </c>
      <c r="D47" s="80" t="str">
        <f>IF($A47="","",VLOOKUP($A47,'Annex 2 EHV charges'!$D:$O,4,0))</f>
        <v>MLMAYN</v>
      </c>
      <c r="E47" s="82" t="str">
        <f>IFERROR(IF(VLOOKUP($A47,'Annex 2 EHV charges'!$D:$O,10,FALSE)=0,"",VLOOKUP($A47,'Annex 2 EHV charges'!$D:$O,10,FALSE)),"")</f>
        <v/>
      </c>
      <c r="F47" s="83">
        <f>IFERROR(IF(VLOOKUP($A47,'Annex 2 EHV charges'!$D:$O,11,FALSE)=0,"",VLOOKUP($A47,'Annex 2 EHV charges'!$D:$O,11,FALSE)),"")</f>
        <v>1122.02</v>
      </c>
      <c r="G47" s="84">
        <f>IFERROR(IF(VLOOKUP($A47,'Annex 2 EHV charges'!$D:$O,12,FALSE)=0,"",VLOOKUP($A47,'Annex 2 EHV charges'!$D:$O,12,FALSE)),"")</f>
        <v>0.05</v>
      </c>
      <c r="H47" s="84">
        <f>IFERROR(IF(VLOOKUP($A47,'Annex 2 EHV charges'!$D:$P,13,FALSE)=0,"",VLOOKUP($A47,'Annex 2 EHV charges'!$D:$P,13,FALSE)),"")</f>
        <v>0.05</v>
      </c>
    </row>
    <row r="48" spans="1:8" ht="12.75" customHeight="1" x14ac:dyDescent="0.2">
      <c r="A48" s="81" t="str">
        <f t="array" ref="A48">IFERROR(INDEX('Annex 2 EHV charges'!$D$10:$D$108, MATCH(0, IF(ISBLANK('Annex 2 EHV charges'!$D$10:$D$108),1, COUNTIF(A$4:$A47, 'Annex 2 EHV charges'!$D$10:$D$108)), 0)),"")</f>
        <v>MVVRID</v>
      </c>
      <c r="B48" s="80">
        <f>IF($A48="","",VLOOKUP($A48,'Annex 2 EHV charges'!$D:$O,2,0))</f>
        <v>710</v>
      </c>
      <c r="C48" s="81">
        <f>IF($A48="","",VLOOKUP($A48,'Annex 2 EHV charges'!$D:$O,3,0))</f>
        <v>1900091199147</v>
      </c>
      <c r="D48" s="80" t="str">
        <f>IF($A48="","",VLOOKUP($A48,'Annex 2 EHV charges'!$D:$O,4,0))</f>
        <v>MVVRID</v>
      </c>
      <c r="E48" s="82" t="str">
        <f>IFERROR(IF(VLOOKUP($A48,'Annex 2 EHV charges'!$D:$O,10,FALSE)=0,"",VLOOKUP($A48,'Annex 2 EHV charges'!$D:$O,10,FALSE)),"")</f>
        <v/>
      </c>
      <c r="F48" s="83">
        <f>IFERROR(IF(VLOOKUP($A48,'Annex 2 EHV charges'!$D:$O,11,FALSE)=0,"",VLOOKUP($A48,'Annex 2 EHV charges'!$D:$O,11,FALSE)),"")</f>
        <v>14809.91</v>
      </c>
      <c r="G48" s="84">
        <f>IFERROR(IF(VLOOKUP($A48,'Annex 2 EHV charges'!$D:$O,12,FALSE)=0,"",VLOOKUP($A48,'Annex 2 EHV charges'!$D:$O,12,FALSE)),"")</f>
        <v>0.05</v>
      </c>
      <c r="H48" s="84">
        <f>IFERROR(IF(VLOOKUP($A48,'Annex 2 EHV charges'!$D:$P,13,FALSE)=0,"",VLOOKUP($A48,'Annex 2 EHV charges'!$D:$P,13,FALSE)),"")</f>
        <v>0.05</v>
      </c>
    </row>
    <row r="49" spans="1:8" ht="12.75" customHeight="1" x14ac:dyDescent="0.2">
      <c r="A49" s="81" t="str">
        <f t="array" ref="A49">IFERROR(INDEX('Annex 2 EHV charges'!$D$10:$D$108, MATCH(0, IF(ISBLANK('Annex 2 EHV charges'!$D$10:$D$108),1, COUNTIF(A$4:$A48, 'Annex 2 EHV charges'!$D$10:$D$108)), 0)),"")</f>
        <v>NEWHVN</v>
      </c>
      <c r="B49" s="80">
        <f>IF($A49="","",VLOOKUP($A49,'Annex 2 EHV charges'!$D:$O,2,0))</f>
        <v>700</v>
      </c>
      <c r="C49" s="81">
        <f>IF($A49="","",VLOOKUP($A49,'Annex 2 EHV charges'!$D:$O,3,0))</f>
        <v>1900090585005</v>
      </c>
      <c r="D49" s="80" t="str">
        <f>IF($A49="","",VLOOKUP($A49,'Annex 2 EHV charges'!$D:$O,4,0))</f>
        <v>NEWHVN</v>
      </c>
      <c r="E49" s="82">
        <f>IFERROR(IF(VLOOKUP($A49,'Annex 2 EHV charges'!$D:$O,10,FALSE)=0,"",VLOOKUP($A49,'Annex 2 EHV charges'!$D:$O,10,FALSE)),"")</f>
        <v>-1.6679999999999999</v>
      </c>
      <c r="F49" s="83">
        <f>IFERROR(IF(VLOOKUP($A49,'Annex 2 EHV charges'!$D:$O,11,FALSE)=0,"",VLOOKUP($A49,'Annex 2 EHV charges'!$D:$O,11,FALSE)),"")</f>
        <v>468.24</v>
      </c>
      <c r="G49" s="84">
        <f>IFERROR(IF(VLOOKUP($A49,'Annex 2 EHV charges'!$D:$O,12,FALSE)=0,"",VLOOKUP($A49,'Annex 2 EHV charges'!$D:$O,12,FALSE)),"")</f>
        <v>0.05</v>
      </c>
      <c r="H49" s="84">
        <f>IFERROR(IF(VLOOKUP($A49,'Annex 2 EHV charges'!$D:$P,13,FALSE)=0,"",VLOOKUP($A49,'Annex 2 EHV charges'!$D:$P,13,FALSE)),"")</f>
        <v>0.05</v>
      </c>
    </row>
    <row r="50" spans="1:8" ht="12.75" customHeight="1" x14ac:dyDescent="0.2">
      <c r="A50" s="81" t="str">
        <f t="array" ref="A50">IFERROR(INDEX('Annex 2 EHV charges'!$D$10:$D$108, MATCH(0, IF(ISBLANK('Annex 2 EHV charges'!$D$10:$D$108),1, COUNTIF(A$4:$A49, 'Annex 2 EHV charges'!$D$10:$D$108)), 0)),"")</f>
        <v>NEWRID</v>
      </c>
      <c r="B50" s="80">
        <f>IF($A50="","",VLOOKUP($A50,'Annex 2 EHV charges'!$D:$O,2,0))</f>
        <v>698</v>
      </c>
      <c r="C50" s="81">
        <f>IF($A50="","",VLOOKUP($A50,'Annex 2 EHV charges'!$D:$O,3,0))</f>
        <v>1900091718322</v>
      </c>
      <c r="D50" s="80" t="str">
        <f>IF($A50="","",VLOOKUP($A50,'Annex 2 EHV charges'!$D:$O,4,0))</f>
        <v>NEWRID</v>
      </c>
      <c r="E50" s="82" t="str">
        <f>IFERROR(IF(VLOOKUP($A50,'Annex 2 EHV charges'!$D:$O,10,FALSE)=0,"",VLOOKUP($A50,'Annex 2 EHV charges'!$D:$O,10,FALSE)),"")</f>
        <v/>
      </c>
      <c r="F50" s="83">
        <f>IFERROR(IF(VLOOKUP($A50,'Annex 2 EHV charges'!$D:$O,11,FALSE)=0,"",VLOOKUP($A50,'Annex 2 EHV charges'!$D:$O,11,FALSE)),"")</f>
        <v>2395.04</v>
      </c>
      <c r="G50" s="84">
        <f>IFERROR(IF(VLOOKUP($A50,'Annex 2 EHV charges'!$D:$O,12,FALSE)=0,"",VLOOKUP($A50,'Annex 2 EHV charges'!$D:$O,12,FALSE)),"")</f>
        <v>0.05</v>
      </c>
      <c r="H50" s="84">
        <f>IFERROR(IF(VLOOKUP($A50,'Annex 2 EHV charges'!$D:$P,13,FALSE)=0,"",VLOOKUP($A50,'Annex 2 EHV charges'!$D:$P,13,FALSE)),"")</f>
        <v>0.05</v>
      </c>
    </row>
    <row r="51" spans="1:8" ht="12.75" customHeight="1" x14ac:dyDescent="0.2">
      <c r="A51" s="81" t="str">
        <f t="array" ref="A51">IFERROR(INDEX('Annex 2 EHV charges'!$D$10:$D$108, MATCH(0, IF(ISBLANK('Annex 2 EHV charges'!$D$10:$D$108),1, COUNTIF(A$4:$A50, 'Annex 2 EHV charges'!$D$10:$D$108)), 0)),"")</f>
        <v>OAKLND</v>
      </c>
      <c r="B51" s="80">
        <f>IF($A51="","",VLOOKUP($A51,'Annex 2 EHV charges'!$D:$O,2,0))</f>
        <v>752</v>
      </c>
      <c r="C51" s="81">
        <f>IF($A51="","",VLOOKUP($A51,'Annex 2 EHV charges'!$D:$O,3,0))</f>
        <v>1900091197423</v>
      </c>
      <c r="D51" s="80" t="str">
        <f>IF($A51="","",VLOOKUP($A51,'Annex 2 EHV charges'!$D:$O,4,0))</f>
        <v>OAKLND</v>
      </c>
      <c r="E51" s="82" t="str">
        <f>IFERROR(IF(VLOOKUP($A51,'Annex 2 EHV charges'!$D:$O,10,FALSE)=0,"",VLOOKUP($A51,'Annex 2 EHV charges'!$D:$O,10,FALSE)),"")</f>
        <v/>
      </c>
      <c r="F51" s="83">
        <f>IFERROR(IF(VLOOKUP($A51,'Annex 2 EHV charges'!$D:$O,11,FALSE)=0,"",VLOOKUP($A51,'Annex 2 EHV charges'!$D:$O,11,FALSE)),"")</f>
        <v>1071.33</v>
      </c>
      <c r="G51" s="84">
        <f>IFERROR(IF(VLOOKUP($A51,'Annex 2 EHV charges'!$D:$O,12,FALSE)=0,"",VLOOKUP($A51,'Annex 2 EHV charges'!$D:$O,12,FALSE)),"")</f>
        <v>0.05</v>
      </c>
      <c r="H51" s="84">
        <f>IFERROR(IF(VLOOKUP($A51,'Annex 2 EHV charges'!$D:$P,13,FALSE)=0,"",VLOOKUP($A51,'Annex 2 EHV charges'!$D:$P,13,FALSE)),"")</f>
        <v>0.05</v>
      </c>
    </row>
    <row r="52" spans="1:8" ht="12.75" customHeight="1" x14ac:dyDescent="0.2">
      <c r="A52" s="81" t="str">
        <f t="array" ref="A52">IFERROR(INDEX('Annex 2 EHV charges'!$D$10:$D$108, MATCH(0, IF(ISBLANK('Annex 2 EHV charges'!$D$10:$D$108),1, COUNTIF(A$4:$A51, 'Annex 2 EHV charges'!$D$10:$D$108)), 0)),"")</f>
        <v>OLDRSF</v>
      </c>
      <c r="B52" s="80">
        <f>IF($A52="","",VLOOKUP($A52,'Annex 2 EHV charges'!$D:$O,2,0))</f>
        <v>739</v>
      </c>
      <c r="C52" s="81">
        <f>IF($A52="","",VLOOKUP($A52,'Annex 2 EHV charges'!$D:$O,3,0))</f>
        <v>1900091024526</v>
      </c>
      <c r="D52" s="80" t="str">
        <f>IF($A52="","",VLOOKUP($A52,'Annex 2 EHV charges'!$D:$O,4,0))</f>
        <v>OLDRSF</v>
      </c>
      <c r="E52" s="82" t="str">
        <f>IFERROR(IF(VLOOKUP($A52,'Annex 2 EHV charges'!$D:$O,10,FALSE)=0,"",VLOOKUP($A52,'Annex 2 EHV charges'!$D:$O,10,FALSE)),"")</f>
        <v/>
      </c>
      <c r="F52" s="83">
        <f>IFERROR(IF(VLOOKUP($A52,'Annex 2 EHV charges'!$D:$O,11,FALSE)=0,"",VLOOKUP($A52,'Annex 2 EHV charges'!$D:$O,11,FALSE)),"")</f>
        <v>1409.43</v>
      </c>
      <c r="G52" s="84">
        <f>IFERROR(IF(VLOOKUP($A52,'Annex 2 EHV charges'!$D:$O,12,FALSE)=0,"",VLOOKUP($A52,'Annex 2 EHV charges'!$D:$O,12,FALSE)),"")</f>
        <v>0.05</v>
      </c>
      <c r="H52" s="84">
        <f>IFERROR(IF(VLOOKUP($A52,'Annex 2 EHV charges'!$D:$P,13,FALSE)=0,"",VLOOKUP($A52,'Annex 2 EHV charges'!$D:$P,13,FALSE)),"")</f>
        <v>0.05</v>
      </c>
    </row>
    <row r="53" spans="1:8" ht="12.75" customHeight="1" x14ac:dyDescent="0.2">
      <c r="A53" s="81" t="str">
        <f t="array" ref="A53">IFERROR(INDEX('Annex 2 EHV charges'!$D$10:$D$108, MATCH(0, IF(ISBLANK('Annex 2 EHV charges'!$D$10:$D$108),1, COUNTIF(A$4:$A52, 'Annex 2 EHV charges'!$D$10:$D$108)), 0)),"")</f>
        <v>ORCHRD</v>
      </c>
      <c r="B53" s="80">
        <f>IF($A53="","",VLOOKUP($A53,'Annex 2 EHV charges'!$D:$O,2,0))</f>
        <v>753</v>
      </c>
      <c r="C53" s="81" t="str">
        <f>IF($A53="","",VLOOKUP($A53,'Annex 2 EHV charges'!$D:$O,3,0))</f>
        <v>1900091085110;1900091349724;1900091349733</v>
      </c>
      <c r="D53" s="80" t="str">
        <f>IF($A53="","",VLOOKUP($A53,'Annex 2 EHV charges'!$D:$O,4,0))</f>
        <v>ORCHRD</v>
      </c>
      <c r="E53" s="82" t="str">
        <f>IFERROR(IF(VLOOKUP($A53,'Annex 2 EHV charges'!$D:$O,10,FALSE)=0,"",VLOOKUP($A53,'Annex 2 EHV charges'!$D:$O,10,FALSE)),"")</f>
        <v/>
      </c>
      <c r="F53" s="83">
        <f>IFERROR(IF(VLOOKUP($A53,'Annex 2 EHV charges'!$D:$O,11,FALSE)=0,"",VLOOKUP($A53,'Annex 2 EHV charges'!$D:$O,11,FALSE)),"")</f>
        <v>1591.56</v>
      </c>
      <c r="G53" s="84">
        <f>IFERROR(IF(VLOOKUP($A53,'Annex 2 EHV charges'!$D:$O,12,FALSE)=0,"",VLOOKUP($A53,'Annex 2 EHV charges'!$D:$O,12,FALSE)),"")</f>
        <v>0.05</v>
      </c>
      <c r="H53" s="84">
        <f>IFERROR(IF(VLOOKUP($A53,'Annex 2 EHV charges'!$D:$P,13,FALSE)=0,"",VLOOKUP($A53,'Annex 2 EHV charges'!$D:$P,13,FALSE)),"")</f>
        <v>0.05</v>
      </c>
    </row>
    <row r="54" spans="1:8" ht="12.75" customHeight="1" x14ac:dyDescent="0.2">
      <c r="A54" s="81" t="str">
        <f t="array" ref="A54">IFERROR(INDEX('Annex 2 EHV charges'!$D$10:$D$108, MATCH(0, IF(ISBLANK('Annex 2 EHV charges'!$D$10:$D$108),1, COUNTIF(A$4:$A53, 'Annex 2 EHV charges'!$D$10:$D$108)), 0)),"")</f>
        <v>PADWSF</v>
      </c>
      <c r="B54" s="80">
        <f>IF($A54="","",VLOOKUP($A54,'Annex 2 EHV charges'!$D:$O,2,0))</f>
        <v>754</v>
      </c>
      <c r="C54" s="81">
        <f>IF($A54="","",VLOOKUP($A54,'Annex 2 EHV charges'!$D:$O,3,0))</f>
        <v>1900091216643</v>
      </c>
      <c r="D54" s="80" t="str">
        <f>IF($A54="","",VLOOKUP($A54,'Annex 2 EHV charges'!$D:$O,4,0))</f>
        <v>PADWSF</v>
      </c>
      <c r="E54" s="82" t="str">
        <f>IFERROR(IF(VLOOKUP($A54,'Annex 2 EHV charges'!$D:$O,10,FALSE)=0,"",VLOOKUP($A54,'Annex 2 EHV charges'!$D:$O,10,FALSE)),"")</f>
        <v/>
      </c>
      <c r="F54" s="83">
        <f>IFERROR(IF(VLOOKUP($A54,'Annex 2 EHV charges'!$D:$O,11,FALSE)=0,"",VLOOKUP($A54,'Annex 2 EHV charges'!$D:$O,11,FALSE)),"")</f>
        <v>1171.06</v>
      </c>
      <c r="G54" s="84">
        <f>IFERROR(IF(VLOOKUP($A54,'Annex 2 EHV charges'!$D:$O,12,FALSE)=0,"",VLOOKUP($A54,'Annex 2 EHV charges'!$D:$O,12,FALSE)),"")</f>
        <v>0.05</v>
      </c>
      <c r="H54" s="84">
        <f>IFERROR(IF(VLOOKUP($A54,'Annex 2 EHV charges'!$D:$P,13,FALSE)=0,"",VLOOKUP($A54,'Annex 2 EHV charges'!$D:$P,13,FALSE)),"")</f>
        <v>0.05</v>
      </c>
    </row>
    <row r="55" spans="1:8" ht="12.75" customHeight="1" x14ac:dyDescent="0.2">
      <c r="A55" s="81" t="str">
        <f t="array" ref="A55">IFERROR(INDEX('Annex 2 EHV charges'!$D$10:$D$108, MATCH(0, IF(ISBLANK('Annex 2 EHV charges'!$D$10:$D$108),1, COUNTIF(A$4:$A54, 'Annex 2 EHV charges'!$D$10:$D$108)), 0)),"")</f>
        <v>POSHWF</v>
      </c>
      <c r="B55" s="80">
        <f>IF($A55="","",VLOOKUP($A55,'Annex 2 EHV charges'!$D:$O,2,0))</f>
        <v>719</v>
      </c>
      <c r="C55" s="81">
        <f>IF($A55="","",VLOOKUP($A55,'Annex 2 EHV charges'!$D:$O,3,0))</f>
        <v>1900091227316</v>
      </c>
      <c r="D55" s="80" t="str">
        <f>IF($A55="","",VLOOKUP($A55,'Annex 2 EHV charges'!$D:$O,4,0))</f>
        <v>POSHWF</v>
      </c>
      <c r="E55" s="82" t="str">
        <f>IFERROR(IF(VLOOKUP($A55,'Annex 2 EHV charges'!$D:$O,10,FALSE)=0,"",VLOOKUP($A55,'Annex 2 EHV charges'!$D:$O,10,FALSE)),"")</f>
        <v/>
      </c>
      <c r="F55" s="83">
        <f>IFERROR(IF(VLOOKUP($A55,'Annex 2 EHV charges'!$D:$O,11,FALSE)=0,"",VLOOKUP($A55,'Annex 2 EHV charges'!$D:$O,11,FALSE)),"")</f>
        <v>524.64</v>
      </c>
      <c r="G55" s="84">
        <f>IFERROR(IF(VLOOKUP($A55,'Annex 2 EHV charges'!$D:$O,12,FALSE)=0,"",VLOOKUP($A55,'Annex 2 EHV charges'!$D:$O,12,FALSE)),"")</f>
        <v>0.05</v>
      </c>
      <c r="H55" s="84">
        <f>IFERROR(IF(VLOOKUP($A55,'Annex 2 EHV charges'!$D:$P,13,FALSE)=0,"",VLOOKUP($A55,'Annex 2 EHV charges'!$D:$P,13,FALSE)),"")</f>
        <v>0.05</v>
      </c>
    </row>
    <row r="56" spans="1:8" ht="12.75" customHeight="1" x14ac:dyDescent="0.2">
      <c r="A56" s="81" t="str">
        <f t="array" ref="A56">IFERROR(INDEX('Annex 2 EHV charges'!$D$10:$D$108, MATCH(0, IF(ISBLANK('Annex 2 EHV charges'!$D$10:$D$108),1, COUNTIF(A$4:$A55, 'Annex 2 EHV charges'!$D$10:$D$108)), 0)),"")</f>
        <v>PRIORS</v>
      </c>
      <c r="B56" s="80">
        <f>IF($A56="","",VLOOKUP($A56,'Annex 2 EHV charges'!$D:$O,2,0))</f>
        <v>717</v>
      </c>
      <c r="C56" s="81">
        <f>IF($A56="","",VLOOKUP($A56,'Annex 2 EHV charges'!$D:$O,3,0))</f>
        <v>1900091320006</v>
      </c>
      <c r="D56" s="80" t="str">
        <f>IF($A56="","",VLOOKUP($A56,'Annex 2 EHV charges'!$D:$O,4,0))</f>
        <v>PRIORS</v>
      </c>
      <c r="E56" s="82" t="str">
        <f>IFERROR(IF(VLOOKUP($A56,'Annex 2 EHV charges'!$D:$O,10,FALSE)=0,"",VLOOKUP($A56,'Annex 2 EHV charges'!$D:$O,10,FALSE)),"")</f>
        <v/>
      </c>
      <c r="F56" s="83">
        <f>IFERROR(IF(VLOOKUP($A56,'Annex 2 EHV charges'!$D:$O,11,FALSE)=0,"",VLOOKUP($A56,'Annex 2 EHV charges'!$D:$O,11,FALSE)),"")</f>
        <v>1106.18</v>
      </c>
      <c r="G56" s="84">
        <f>IFERROR(IF(VLOOKUP($A56,'Annex 2 EHV charges'!$D:$O,12,FALSE)=0,"",VLOOKUP($A56,'Annex 2 EHV charges'!$D:$O,12,FALSE)),"")</f>
        <v>0.05</v>
      </c>
      <c r="H56" s="84">
        <f>IFERROR(IF(VLOOKUP($A56,'Annex 2 EHV charges'!$D:$P,13,FALSE)=0,"",VLOOKUP($A56,'Annex 2 EHV charges'!$D:$P,13,FALSE)),"")</f>
        <v>0.05</v>
      </c>
    </row>
    <row r="57" spans="1:8" ht="12.75" customHeight="1" x14ac:dyDescent="0.2">
      <c r="A57" s="81" t="str">
        <f t="array" ref="A57">IFERROR(INDEX('Annex 2 EHV charges'!$D$10:$D$108, MATCH(0, IF(ISBLANK('Annex 2 EHV charges'!$D$10:$D$108),1, COUNTIF(A$4:$A56, 'Annex 2 EHV charges'!$D$10:$D$108)), 0)),"")</f>
        <v>PSHLEY</v>
      </c>
      <c r="B57" s="80">
        <f>IF($A57="","",VLOOKUP($A57,'Annex 2 EHV charges'!$D:$O,2,0))</f>
        <v>703</v>
      </c>
      <c r="C57" s="81">
        <f>IF($A57="","",VLOOKUP($A57,'Annex 2 EHV charges'!$D:$O,3,0))</f>
        <v>1900091178963</v>
      </c>
      <c r="D57" s="80" t="str">
        <f>IF($A57="","",VLOOKUP($A57,'Annex 2 EHV charges'!$D:$O,4,0))</f>
        <v>PSHLEY</v>
      </c>
      <c r="E57" s="82" t="str">
        <f>IFERROR(IF(VLOOKUP($A57,'Annex 2 EHV charges'!$D:$O,10,FALSE)=0,"",VLOOKUP($A57,'Annex 2 EHV charges'!$D:$O,10,FALSE)),"")</f>
        <v/>
      </c>
      <c r="F57" s="83">
        <f>IFERROR(IF(VLOOKUP($A57,'Annex 2 EHV charges'!$D:$O,11,FALSE)=0,"",VLOOKUP($A57,'Annex 2 EHV charges'!$D:$O,11,FALSE)),"")</f>
        <v>1996.97</v>
      </c>
      <c r="G57" s="84">
        <f>IFERROR(IF(VLOOKUP($A57,'Annex 2 EHV charges'!$D:$O,12,FALSE)=0,"",VLOOKUP($A57,'Annex 2 EHV charges'!$D:$O,12,FALSE)),"")</f>
        <v>0.05</v>
      </c>
      <c r="H57" s="84">
        <f>IFERROR(IF(VLOOKUP($A57,'Annex 2 EHV charges'!$D:$P,13,FALSE)=0,"",VLOOKUP($A57,'Annex 2 EHV charges'!$D:$P,13,FALSE)),"")</f>
        <v>0.05</v>
      </c>
    </row>
    <row r="58" spans="1:8" ht="12.75" customHeight="1" x14ac:dyDescent="0.2">
      <c r="A58" s="81" t="str">
        <f t="array" ref="A58">IFERROR(INDEX('Annex 2 EHV charges'!$D$10:$D$108, MATCH(0, IF(ISBLANK('Annex 2 EHV charges'!$D$10:$D$108),1, COUNTIF(A$4:$A57, 'Annex 2 EHV charges'!$D$10:$D$108)), 0)),"")</f>
        <v>SELLSF</v>
      </c>
      <c r="B58" s="80">
        <f>IF($A58="","",VLOOKUP($A58,'Annex 2 EHV charges'!$D:$O,2,0))</f>
        <v>720</v>
      </c>
      <c r="C58" s="81">
        <f>IF($A58="","",VLOOKUP($A58,'Annex 2 EHV charges'!$D:$O,3,0))</f>
        <v>1900091360969</v>
      </c>
      <c r="D58" s="80" t="str">
        <f>IF($A58="","",VLOOKUP($A58,'Annex 2 EHV charges'!$D:$O,4,0))</f>
        <v>SELLSF</v>
      </c>
      <c r="E58" s="82" t="str">
        <f>IFERROR(IF(VLOOKUP($A58,'Annex 2 EHV charges'!$D:$O,10,FALSE)=0,"",VLOOKUP($A58,'Annex 2 EHV charges'!$D:$O,10,FALSE)),"")</f>
        <v/>
      </c>
      <c r="F58" s="83">
        <f>IFERROR(IF(VLOOKUP($A58,'Annex 2 EHV charges'!$D:$O,11,FALSE)=0,"",VLOOKUP($A58,'Annex 2 EHV charges'!$D:$O,11,FALSE)),"")</f>
        <v>1226.22</v>
      </c>
      <c r="G58" s="84">
        <f>IFERROR(IF(VLOOKUP($A58,'Annex 2 EHV charges'!$D:$O,12,FALSE)=0,"",VLOOKUP($A58,'Annex 2 EHV charges'!$D:$O,12,FALSE)),"")</f>
        <v>0.05</v>
      </c>
      <c r="H58" s="84">
        <f>IFERROR(IF(VLOOKUP($A58,'Annex 2 EHV charges'!$D:$P,13,FALSE)=0,"",VLOOKUP($A58,'Annex 2 EHV charges'!$D:$P,13,FALSE)),"")</f>
        <v>0.05</v>
      </c>
    </row>
    <row r="59" spans="1:8" ht="12.75" customHeight="1" x14ac:dyDescent="0.2">
      <c r="A59" s="81" t="str">
        <f t="array" ref="A59">IFERROR(INDEX('Annex 2 EHV charges'!$D$10:$D$108, MATCH(0, IF(ISBLANK('Annex 2 EHV charges'!$D$10:$D$108),1, COUNTIF(A$4:$A58, 'Annex 2 EHV charges'!$D$10:$D$108)), 0)),"")</f>
        <v>SEVIND</v>
      </c>
      <c r="B59" s="80">
        <f>IF($A59="","",VLOOKUP($A59,'Annex 2 EHV charges'!$D:$O,2,0))</f>
        <v>0</v>
      </c>
      <c r="C59" s="81" t="str">
        <f>IF($A59="","",VLOOKUP($A59,'Annex 2 EHV charges'!$D:$O,3,0))</f>
        <v>MSID: 7160</v>
      </c>
      <c r="D59" s="80" t="str">
        <f>IF($A59="","",VLOOKUP($A59,'Annex 2 EHV charges'!$D:$O,4,0))</f>
        <v>SEVIND</v>
      </c>
      <c r="E59" s="82">
        <f>IFERROR(IF(VLOOKUP($A59,'Annex 2 EHV charges'!$D:$O,10,FALSE)=0,"",VLOOKUP($A59,'Annex 2 EHV charges'!$D:$O,10,FALSE)),"")</f>
        <v>-3.7490000000000001</v>
      </c>
      <c r="F59" s="83">
        <f>IFERROR(IF(VLOOKUP($A59,'Annex 2 EHV charges'!$D:$O,11,FALSE)=0,"",VLOOKUP($A59,'Annex 2 EHV charges'!$D:$O,11,FALSE)),"")</f>
        <v>184.23</v>
      </c>
      <c r="G59" s="84">
        <f>IFERROR(IF(VLOOKUP($A59,'Annex 2 EHV charges'!$D:$O,12,FALSE)=0,"",VLOOKUP($A59,'Annex 2 EHV charges'!$D:$O,12,FALSE)),"")</f>
        <v>0.05</v>
      </c>
      <c r="H59" s="84">
        <f>IFERROR(IF(VLOOKUP($A59,'Annex 2 EHV charges'!$D:$P,13,FALSE)=0,"",VLOOKUP($A59,'Annex 2 EHV charges'!$D:$P,13,FALSE)),"")</f>
        <v>0.05</v>
      </c>
    </row>
    <row r="60" spans="1:8" ht="12.75" customHeight="1" x14ac:dyDescent="0.2">
      <c r="A60" s="81" t="str">
        <f t="array" ref="A60">IFERROR(INDEX('Annex 2 EHV charges'!$D$10:$D$108, MATCH(0, IF(ISBLANK('Annex 2 EHV charges'!$D$10:$D$108),1, COUNTIF(A$4:$A59, 'Annex 2 EHV charges'!$D$10:$D$108)), 0)),"")</f>
        <v>SHEPHM</v>
      </c>
      <c r="B60" s="80">
        <f>IF($A60="","",VLOOKUP($A60,'Annex 2 EHV charges'!$D:$O,2,0))</f>
        <v>718</v>
      </c>
      <c r="C60" s="81">
        <f>IF($A60="","",VLOOKUP($A60,'Annex 2 EHV charges'!$D:$O,3,0))</f>
        <v>1900091420137</v>
      </c>
      <c r="D60" s="80" t="str">
        <f>IF($A60="","",VLOOKUP($A60,'Annex 2 EHV charges'!$D:$O,4,0))</f>
        <v>SHEPHM</v>
      </c>
      <c r="E60" s="82" t="str">
        <f>IFERROR(IF(VLOOKUP($A60,'Annex 2 EHV charges'!$D:$O,10,FALSE)=0,"",VLOOKUP($A60,'Annex 2 EHV charges'!$D:$O,10,FALSE)),"")</f>
        <v/>
      </c>
      <c r="F60" s="83">
        <f>IFERROR(IF(VLOOKUP($A60,'Annex 2 EHV charges'!$D:$O,11,FALSE)=0,"",VLOOKUP($A60,'Annex 2 EHV charges'!$D:$O,11,FALSE)),"")</f>
        <v>2933.66</v>
      </c>
      <c r="G60" s="84">
        <f>IFERROR(IF(VLOOKUP($A60,'Annex 2 EHV charges'!$D:$O,12,FALSE)=0,"",VLOOKUP($A60,'Annex 2 EHV charges'!$D:$O,12,FALSE)),"")</f>
        <v>0.05</v>
      </c>
      <c r="H60" s="84">
        <f>IFERROR(IF(VLOOKUP($A60,'Annex 2 EHV charges'!$D:$P,13,FALSE)=0,"",VLOOKUP($A60,'Annex 2 EHV charges'!$D:$P,13,FALSE)),"")</f>
        <v>0.05</v>
      </c>
    </row>
    <row r="61" spans="1:8" ht="12.75" customHeight="1" x14ac:dyDescent="0.2">
      <c r="A61" s="81" t="str">
        <f t="array" ref="A61">IFERROR(INDEX('Annex 2 EHV charges'!$D$10:$D$108, MATCH(0, IF(ISBLANK('Annex 2 EHV charges'!$D$10:$D$108),1, COUNTIF(A$4:$A60, 'Annex 2 EHV charges'!$D$10:$D$108)), 0)),"")</f>
        <v>SHORHM</v>
      </c>
      <c r="B61" s="80">
        <f>IF($A61="","",VLOOKUP($A61,'Annex 2 EHV charges'!$D:$O,2,0))</f>
        <v>0</v>
      </c>
      <c r="C61" s="81" t="str">
        <f>IF($A61="","",VLOOKUP($A61,'Annex 2 EHV charges'!$D:$O,3,0))</f>
        <v>MSID: 7104</v>
      </c>
      <c r="D61" s="80" t="str">
        <f>IF($A61="","",VLOOKUP($A61,'Annex 2 EHV charges'!$D:$O,4,0))</f>
        <v>SHORHM</v>
      </c>
      <c r="E61" s="82" t="str">
        <f>IFERROR(IF(VLOOKUP($A61,'Annex 2 EHV charges'!$D:$O,10,FALSE)=0,"",VLOOKUP($A61,'Annex 2 EHV charges'!$D:$O,10,FALSE)),"")</f>
        <v/>
      </c>
      <c r="F61" s="83" t="str">
        <f>IFERROR(IF(VLOOKUP($A61,'Annex 2 EHV charges'!$D:$O,11,FALSE)=0,"",VLOOKUP($A61,'Annex 2 EHV charges'!$D:$O,11,FALSE)),"")</f>
        <v/>
      </c>
      <c r="G61" s="84" t="str">
        <f>IFERROR(IF(VLOOKUP($A61,'Annex 2 EHV charges'!$D:$O,12,FALSE)=0,"",VLOOKUP($A61,'Annex 2 EHV charges'!$D:$O,12,FALSE)),"")</f>
        <v/>
      </c>
      <c r="H61" s="84" t="str">
        <f>IFERROR(IF(VLOOKUP($A61,'Annex 2 EHV charges'!$D:$P,13,FALSE)=0,"",VLOOKUP($A61,'Annex 2 EHV charges'!$D:$P,13,FALSE)),"")</f>
        <v/>
      </c>
    </row>
    <row r="62" spans="1:8" ht="12.75" customHeight="1" x14ac:dyDescent="0.2">
      <c r="A62" s="81" t="str">
        <f t="array" ref="A62">IFERROR(INDEX('Annex 2 EHV charges'!$D$10:$D$108, MATCH(0, IF(ISBLANK('Annex 2 EHV charges'!$D$10:$D$108),1, COUNTIF(A$4:$A61, 'Annex 2 EHV charges'!$D$10:$D$108)), 0)),"")</f>
        <v>SOLEES</v>
      </c>
      <c r="B62" s="80">
        <f>IF($A62="","",VLOOKUP($A62,'Annex 2 EHV charges'!$D:$O,2,0))</f>
        <v>755</v>
      </c>
      <c r="C62" s="81" t="str">
        <f>IF($A62="","",VLOOKUP($A62,'Annex 2 EHV charges'!$D:$O,3,0))</f>
        <v>1900091121266;1900091121284</v>
      </c>
      <c r="D62" s="80" t="str">
        <f>IF($A62="","",VLOOKUP($A62,'Annex 2 EHV charges'!$D:$O,4,0))</f>
        <v>SOLEES</v>
      </c>
      <c r="E62" s="82" t="str">
        <f>IFERROR(IF(VLOOKUP($A62,'Annex 2 EHV charges'!$D:$O,10,FALSE)=0,"",VLOOKUP($A62,'Annex 2 EHV charges'!$D:$O,10,FALSE)),"")</f>
        <v/>
      </c>
      <c r="F62" s="83">
        <f>IFERROR(IF(VLOOKUP($A62,'Annex 2 EHV charges'!$D:$O,11,FALSE)=0,"",VLOOKUP($A62,'Annex 2 EHV charges'!$D:$O,11,FALSE)),"")</f>
        <v>2724.79</v>
      </c>
      <c r="G62" s="84">
        <f>IFERROR(IF(VLOOKUP($A62,'Annex 2 EHV charges'!$D:$O,12,FALSE)=0,"",VLOOKUP($A62,'Annex 2 EHV charges'!$D:$O,12,FALSE)),"")</f>
        <v>0.05</v>
      </c>
      <c r="H62" s="84">
        <f>IFERROR(IF(VLOOKUP($A62,'Annex 2 EHV charges'!$D:$P,13,FALSE)=0,"",VLOOKUP($A62,'Annex 2 EHV charges'!$D:$P,13,FALSE)),"")</f>
        <v>0.05</v>
      </c>
    </row>
    <row r="63" spans="1:8" ht="12.75" customHeight="1" x14ac:dyDescent="0.2">
      <c r="A63" s="81" t="str">
        <f t="array" ref="A63">IFERROR(INDEX('Annex 2 EHV charges'!$D$10:$D$108, MATCH(0, IF(ISBLANK('Annex 2 EHV charges'!$D$10:$D$108),1, COUNTIF(A$4:$A62, 'Annex 2 EHV charges'!$D$10:$D$108)), 0)),"")</f>
        <v>STAREN</v>
      </c>
      <c r="B63" s="80">
        <f>IF($A63="","",VLOOKUP($A63,'Annex 2 EHV charges'!$D:$O,2,0))</f>
        <v>729</v>
      </c>
      <c r="C63" s="81">
        <f>IF($A63="","",VLOOKUP($A63,'Annex 2 EHV charges'!$D:$O,3,0))</f>
        <v>1900060830226</v>
      </c>
      <c r="D63" s="80" t="str">
        <f>IF($A63="","",VLOOKUP($A63,'Annex 2 EHV charges'!$D:$O,4,0))</f>
        <v>STAREN</v>
      </c>
      <c r="E63" s="82" t="str">
        <f>IFERROR(IF(VLOOKUP($A63,'Annex 2 EHV charges'!$D:$O,10,FALSE)=0,"",VLOOKUP($A63,'Annex 2 EHV charges'!$D:$O,10,FALSE)),"")</f>
        <v/>
      </c>
      <c r="F63" s="83" t="str">
        <f>IFERROR(IF(VLOOKUP($A63,'Annex 2 EHV charges'!$D:$O,11,FALSE)=0,"",VLOOKUP($A63,'Annex 2 EHV charges'!$D:$O,11,FALSE)),"")</f>
        <v/>
      </c>
      <c r="G63" s="84" t="str">
        <f>IFERROR(IF(VLOOKUP($A63,'Annex 2 EHV charges'!$D:$O,12,FALSE)=0,"",VLOOKUP($A63,'Annex 2 EHV charges'!$D:$O,12,FALSE)),"")</f>
        <v/>
      </c>
      <c r="H63" s="84" t="str">
        <f>IFERROR(IF(VLOOKUP($A63,'Annex 2 EHV charges'!$D:$P,13,FALSE)=0,"",VLOOKUP($A63,'Annex 2 EHV charges'!$D:$P,13,FALSE)),"")</f>
        <v/>
      </c>
    </row>
    <row r="64" spans="1:8" ht="12.75" customHeight="1" x14ac:dyDescent="0.2">
      <c r="A64" s="81" t="str">
        <f t="array" ref="A64">IFERROR(INDEX('Annex 2 EHV charges'!$D$10:$D$108, MATCH(0, IF(ISBLANK('Annex 2 EHV charges'!$D$10:$D$108),1, COUNTIF(A$4:$A63, 'Annex 2 EHV charges'!$D$10:$D$108)), 0)),"")</f>
        <v>SYCAMR</v>
      </c>
      <c r="B64" s="80">
        <f>IF($A64="","",VLOOKUP($A64,'Annex 2 EHV charges'!$D:$O,2,0))</f>
        <v>737</v>
      </c>
      <c r="C64" s="81">
        <f>IF($A64="","",VLOOKUP($A64,'Annex 2 EHV charges'!$D:$O,3,0))</f>
        <v>1900091090101</v>
      </c>
      <c r="D64" s="80" t="str">
        <f>IF($A64="","",VLOOKUP($A64,'Annex 2 EHV charges'!$D:$O,4,0))</f>
        <v>SYCAMR</v>
      </c>
      <c r="E64" s="82" t="str">
        <f>IFERROR(IF(VLOOKUP($A64,'Annex 2 EHV charges'!$D:$O,10,FALSE)=0,"",VLOOKUP($A64,'Annex 2 EHV charges'!$D:$O,10,FALSE)),"")</f>
        <v/>
      </c>
      <c r="F64" s="83">
        <f>IFERROR(IF(VLOOKUP($A64,'Annex 2 EHV charges'!$D:$O,11,FALSE)=0,"",VLOOKUP($A64,'Annex 2 EHV charges'!$D:$O,11,FALSE)),"")</f>
        <v>3541.46</v>
      </c>
      <c r="G64" s="84">
        <f>IFERROR(IF(VLOOKUP($A64,'Annex 2 EHV charges'!$D:$O,12,FALSE)=0,"",VLOOKUP($A64,'Annex 2 EHV charges'!$D:$O,12,FALSE)),"")</f>
        <v>0.05</v>
      </c>
      <c r="H64" s="84">
        <f>IFERROR(IF(VLOOKUP($A64,'Annex 2 EHV charges'!$D:$P,13,FALSE)=0,"",VLOOKUP($A64,'Annex 2 EHV charges'!$D:$P,13,FALSE)),"")</f>
        <v>0.05</v>
      </c>
    </row>
    <row r="65" spans="1:8" ht="12.75" customHeight="1" x14ac:dyDescent="0.2">
      <c r="A65" s="81" t="str">
        <f t="array" ref="A65">IFERROR(INDEX('Annex 2 EHV charges'!$D$10:$D$108, MATCH(0, IF(ISBLANK('Annex 2 EHV charges'!$D$10:$D$108),1, COUNTIF(A$4:$A64, 'Annex 2 EHV charges'!$D$10:$D$108)), 0)),"")</f>
        <v>THAEAR</v>
      </c>
      <c r="B65" s="80">
        <f>IF($A65="","",VLOOKUP($A65,'Annex 2 EHV charges'!$D:$O,2,0))</f>
        <v>733</v>
      </c>
      <c r="C65" s="81" t="str">
        <f>IF($A65="","",VLOOKUP($A65,'Annex 2 EHV charges'!$D:$O,3,0))</f>
        <v>1900090417160;1900090417189;1900090417212;1900090417221;1900090417230</v>
      </c>
      <c r="D65" s="80" t="str">
        <f>IF($A65="","",VLOOKUP($A65,'Annex 2 EHV charges'!$D:$O,4,0))</f>
        <v>THAEAR</v>
      </c>
      <c r="E65" s="82">
        <f>IFERROR(IF(VLOOKUP($A65,'Annex 2 EHV charges'!$D:$O,10,FALSE)=0,"",VLOOKUP($A65,'Annex 2 EHV charges'!$D:$O,10,FALSE)),"")</f>
        <v>-1.2290000000000001</v>
      </c>
      <c r="F65" s="83">
        <f>IFERROR(IF(VLOOKUP($A65,'Annex 2 EHV charges'!$D:$O,11,FALSE)=0,"",VLOOKUP($A65,'Annex 2 EHV charges'!$D:$O,11,FALSE)),"")</f>
        <v>5475.62</v>
      </c>
      <c r="G65" s="84">
        <f>IFERROR(IF(VLOOKUP($A65,'Annex 2 EHV charges'!$D:$O,12,FALSE)=0,"",VLOOKUP($A65,'Annex 2 EHV charges'!$D:$O,12,FALSE)),"")</f>
        <v>0.05</v>
      </c>
      <c r="H65" s="84">
        <f>IFERROR(IF(VLOOKUP($A65,'Annex 2 EHV charges'!$D:$P,13,FALSE)=0,"",VLOOKUP($A65,'Annex 2 EHV charges'!$D:$P,13,FALSE)),"")</f>
        <v>0.05</v>
      </c>
    </row>
    <row r="66" spans="1:8" ht="12.75" customHeight="1" x14ac:dyDescent="0.2">
      <c r="A66" s="81" t="str">
        <f t="array" ref="A66">IFERROR(INDEX('Annex 2 EHV charges'!$D$10:$D$108, MATCH(0, IF(ISBLANK('Annex 2 EHV charges'!$D$10:$D$108),1, COUNTIF(A$4:$A65, 'Annex 2 EHV charges'!$D$10:$D$108)), 0)),"")</f>
        <v>THANET</v>
      </c>
      <c r="B66" s="80">
        <f>IF($A66="","",VLOOKUP($A66,'Annex 2 EHV charges'!$D:$O,2,0))</f>
        <v>0</v>
      </c>
      <c r="C66" s="81" t="str">
        <f>IF($A66="","",VLOOKUP($A66,'Annex 2 EHV charges'!$D:$O,3,0))</f>
        <v>MSID: 7246</v>
      </c>
      <c r="D66" s="80" t="str">
        <f>IF($A66="","",VLOOKUP($A66,'Annex 2 EHV charges'!$D:$O,4,0))</f>
        <v>THANET</v>
      </c>
      <c r="E66" s="82" t="str">
        <f>IFERROR(IF(VLOOKUP($A66,'Annex 2 EHV charges'!$D:$O,10,FALSE)=0,"",VLOOKUP($A66,'Annex 2 EHV charges'!$D:$O,10,FALSE)),"")</f>
        <v/>
      </c>
      <c r="F66" s="83">
        <f>IFERROR(IF(VLOOKUP($A66,'Annex 2 EHV charges'!$D:$O,11,FALSE)=0,"",VLOOKUP($A66,'Annex 2 EHV charges'!$D:$O,11,FALSE)),"")</f>
        <v>2594.9</v>
      </c>
      <c r="G66" s="84">
        <f>IFERROR(IF(VLOOKUP($A66,'Annex 2 EHV charges'!$D:$O,12,FALSE)=0,"",VLOOKUP($A66,'Annex 2 EHV charges'!$D:$O,12,FALSE)),"")</f>
        <v>0.05</v>
      </c>
      <c r="H66" s="84">
        <f>IFERROR(IF(VLOOKUP($A66,'Annex 2 EHV charges'!$D:$P,13,FALSE)=0,"",VLOOKUP($A66,'Annex 2 EHV charges'!$D:$P,13,FALSE)),"")</f>
        <v>0.05</v>
      </c>
    </row>
    <row r="67" spans="1:8" ht="12.75" customHeight="1" x14ac:dyDescent="0.2">
      <c r="A67" s="81" t="str">
        <f t="array" ref="A67">IFERROR(INDEX('Annex 2 EHV charges'!$D$10:$D$108, MATCH(0, IF(ISBLANK('Annex 2 EHV charges'!$D$10:$D$108),1, COUNTIF(A$4:$A66, 'Annex 2 EHV charges'!$D$10:$D$108)), 0)),"")</f>
        <v>THORNE</v>
      </c>
      <c r="B67" s="80">
        <f>IF($A67="","",VLOOKUP($A67,'Annex 2 EHV charges'!$D:$O,2,0))</f>
        <v>750</v>
      </c>
      <c r="C67" s="81">
        <f>IF($A67="","",VLOOKUP($A67,'Annex 2 EHV charges'!$D:$O,3,0))</f>
        <v>1900091171373</v>
      </c>
      <c r="D67" s="80" t="str">
        <f>IF($A67="","",VLOOKUP($A67,'Annex 2 EHV charges'!$D:$O,4,0))</f>
        <v>THORNE</v>
      </c>
      <c r="E67" s="82" t="str">
        <f>IFERROR(IF(VLOOKUP($A67,'Annex 2 EHV charges'!$D:$O,10,FALSE)=0,"",VLOOKUP($A67,'Annex 2 EHV charges'!$D:$O,10,FALSE)),"")</f>
        <v/>
      </c>
      <c r="F67" s="83">
        <f>IFERROR(IF(VLOOKUP($A67,'Annex 2 EHV charges'!$D:$O,11,FALSE)=0,"",VLOOKUP($A67,'Annex 2 EHV charges'!$D:$O,11,FALSE)),"")</f>
        <v>3465.86</v>
      </c>
      <c r="G67" s="84">
        <f>IFERROR(IF(VLOOKUP($A67,'Annex 2 EHV charges'!$D:$O,12,FALSE)=0,"",VLOOKUP($A67,'Annex 2 EHV charges'!$D:$O,12,FALSE)),"")</f>
        <v>0.05</v>
      </c>
      <c r="H67" s="84">
        <f>IFERROR(IF(VLOOKUP($A67,'Annex 2 EHV charges'!$D:$P,13,FALSE)=0,"",VLOOKUP($A67,'Annex 2 EHV charges'!$D:$P,13,FALSE)),"")</f>
        <v>0.05</v>
      </c>
    </row>
    <row r="68" spans="1:8" ht="12.75" customHeight="1" x14ac:dyDescent="0.2">
      <c r="A68" s="81" t="str">
        <f t="array" ref="A68">IFERROR(INDEX('Annex 2 EHV charges'!$D$10:$D$108, MATCH(0, IF(ISBLANK('Annex 2 EHV charges'!$D$10:$D$108),1, COUNTIF(A$4:$A67, 'Annex 2 EHV charges'!$D$10:$D$108)), 0)),"")</f>
        <v>TONGSF</v>
      </c>
      <c r="B68" s="80">
        <f>IF($A68="","",VLOOKUP($A68,'Annex 2 EHV charges'!$D:$O,2,0))</f>
        <v>711</v>
      </c>
      <c r="C68" s="81">
        <f>IF($A68="","",VLOOKUP($A68,'Annex 2 EHV charges'!$D:$O,3,0))</f>
        <v>1900091363019</v>
      </c>
      <c r="D68" s="80" t="str">
        <f>IF($A68="","",VLOOKUP($A68,'Annex 2 EHV charges'!$D:$O,4,0))</f>
        <v>TONGSF</v>
      </c>
      <c r="E68" s="82" t="str">
        <f>IFERROR(IF(VLOOKUP($A68,'Annex 2 EHV charges'!$D:$O,10,FALSE)=0,"",VLOOKUP($A68,'Annex 2 EHV charges'!$D:$O,10,FALSE)),"")</f>
        <v/>
      </c>
      <c r="F68" s="83">
        <f>IFERROR(IF(VLOOKUP($A68,'Annex 2 EHV charges'!$D:$O,11,FALSE)=0,"",VLOOKUP($A68,'Annex 2 EHV charges'!$D:$O,11,FALSE)),"")</f>
        <v>3940.79</v>
      </c>
      <c r="G68" s="84">
        <f>IFERROR(IF(VLOOKUP($A68,'Annex 2 EHV charges'!$D:$O,12,FALSE)=0,"",VLOOKUP($A68,'Annex 2 EHV charges'!$D:$O,12,FALSE)),"")</f>
        <v>0.05</v>
      </c>
      <c r="H68" s="84">
        <f>IFERROR(IF(VLOOKUP($A68,'Annex 2 EHV charges'!$D:$P,13,FALSE)=0,"",VLOOKUP($A68,'Annex 2 EHV charges'!$D:$P,13,FALSE)),"")</f>
        <v>0.05</v>
      </c>
    </row>
    <row r="69" spans="1:8" ht="12.75" customHeight="1" x14ac:dyDescent="0.2">
      <c r="A69" s="81" t="str">
        <f t="array" ref="A69">IFERROR(INDEX('Annex 2 EHV charges'!$D$10:$D$108, MATCH(0, IF(ISBLANK('Annex 2 EHV charges'!$D$10:$D$108),1, COUNTIF(A$4:$A68, 'Annex 2 EHV charges'!$D$10:$D$108)), 0)),"")</f>
        <v>WDLNDS</v>
      </c>
      <c r="B69" s="80">
        <f>IF($A69="","",VLOOKUP($A69,'Annex 2 EHV charges'!$D:$O,2,0))</f>
        <v>702</v>
      </c>
      <c r="C69" s="81">
        <f>IF($A69="","",VLOOKUP($A69,'Annex 2 EHV charges'!$D:$O,3,0))</f>
        <v>1900091207133</v>
      </c>
      <c r="D69" s="80" t="str">
        <f>IF($A69="","",VLOOKUP($A69,'Annex 2 EHV charges'!$D:$O,4,0))</f>
        <v>WDLNDS</v>
      </c>
      <c r="E69" s="82" t="str">
        <f>IFERROR(IF(VLOOKUP($A69,'Annex 2 EHV charges'!$D:$O,10,FALSE)=0,"",VLOOKUP($A69,'Annex 2 EHV charges'!$D:$O,10,FALSE)),"")</f>
        <v/>
      </c>
      <c r="F69" s="83">
        <f>IFERROR(IF(VLOOKUP($A69,'Annex 2 EHV charges'!$D:$O,11,FALSE)=0,"",VLOOKUP($A69,'Annex 2 EHV charges'!$D:$O,11,FALSE)),"")</f>
        <v>4494.97</v>
      </c>
      <c r="G69" s="84">
        <f>IFERROR(IF(VLOOKUP($A69,'Annex 2 EHV charges'!$D:$O,12,FALSE)=0,"",VLOOKUP($A69,'Annex 2 EHV charges'!$D:$O,12,FALSE)),"")</f>
        <v>0.05</v>
      </c>
      <c r="H69" s="84">
        <f>IFERROR(IF(VLOOKUP($A69,'Annex 2 EHV charges'!$D:$P,13,FALSE)=0,"",VLOOKUP($A69,'Annex 2 EHV charges'!$D:$P,13,FALSE)),"")</f>
        <v>0.05</v>
      </c>
    </row>
    <row r="70" spans="1:8" ht="12.75" customHeight="1" x14ac:dyDescent="0.2">
      <c r="A70" s="81" t="str">
        <f t="array" ref="A70">IFERROR(INDEX('Annex 2 EHV charges'!$D$10:$D$108, MATCH(0, IF(ISBLANK('Annex 2 EHV charges'!$D$10:$D$108),1, COUNTIF(A$4:$A69, 'Annex 2 EHV charges'!$D$10:$D$108)), 0)),"")</f>
        <v>WIDHFM</v>
      </c>
      <c r="B70" s="80">
        <f>IF($A70="","",VLOOKUP($A70,'Annex 2 EHV charges'!$D:$O,2,0))</f>
        <v>714</v>
      </c>
      <c r="C70" s="81">
        <f>IF($A70="","",VLOOKUP($A70,'Annex 2 EHV charges'!$D:$O,3,0))</f>
        <v>1900091478509</v>
      </c>
      <c r="D70" s="80" t="str">
        <f>IF($A70="","",VLOOKUP($A70,'Annex 2 EHV charges'!$D:$O,4,0))</f>
        <v>WIDHFM</v>
      </c>
      <c r="E70" s="82" t="str">
        <f>IFERROR(IF(VLOOKUP($A70,'Annex 2 EHV charges'!$D:$O,10,FALSE)=0,"",VLOOKUP($A70,'Annex 2 EHV charges'!$D:$O,10,FALSE)),"")</f>
        <v/>
      </c>
      <c r="F70" s="83">
        <f>IFERROR(IF(VLOOKUP($A70,'Annex 2 EHV charges'!$D:$O,11,FALSE)=0,"",VLOOKUP($A70,'Annex 2 EHV charges'!$D:$O,11,FALSE)),"")</f>
        <v>2339.33</v>
      </c>
      <c r="G70" s="84">
        <f>IFERROR(IF(VLOOKUP($A70,'Annex 2 EHV charges'!$D:$O,12,FALSE)=0,"",VLOOKUP($A70,'Annex 2 EHV charges'!$D:$O,12,FALSE)),"")</f>
        <v>0.05</v>
      </c>
      <c r="H70" s="84">
        <f>IFERROR(IF(VLOOKUP($A70,'Annex 2 EHV charges'!$D:$P,13,FALSE)=0,"",VLOOKUP($A70,'Annex 2 EHV charges'!$D:$P,13,FALSE)),"")</f>
        <v>0.05</v>
      </c>
    </row>
    <row r="71" spans="1:8" ht="12.75" customHeight="1" x14ac:dyDescent="0.2">
      <c r="A71" s="81" t="str">
        <f t="array" ref="A71">IFERROR(INDEX('Annex 2 EHV charges'!$D$10:$D$108, MATCH(0, IF(ISBLANK('Annex 2 EHV charges'!$D$10:$D$108),1, COUNTIF(A$4:$A70, 'Annex 2 EHV charges'!$D$10:$D$108)), 0)),"")</f>
        <v>WLBEES</v>
      </c>
      <c r="B71" s="80">
        <f>IF($A71="","",VLOOKUP($A71,'Annex 2 EHV charges'!$D:$O,2,0))</f>
        <v>715</v>
      </c>
      <c r="C71" s="81">
        <f>IF($A71="","",VLOOKUP($A71,'Annex 2 EHV charges'!$D:$O,3,0))</f>
        <v>1900091315229</v>
      </c>
      <c r="D71" s="80" t="str">
        <f>IF($A71="","",VLOOKUP($A71,'Annex 2 EHV charges'!$D:$O,4,0))</f>
        <v>WLBEES</v>
      </c>
      <c r="E71" s="82" t="str">
        <f>IFERROR(IF(VLOOKUP($A71,'Annex 2 EHV charges'!$D:$O,10,FALSE)=0,"",VLOOKUP($A71,'Annex 2 EHV charges'!$D:$O,10,FALSE)),"")</f>
        <v/>
      </c>
      <c r="F71" s="83">
        <f>IFERROR(IF(VLOOKUP($A71,'Annex 2 EHV charges'!$D:$O,11,FALSE)=0,"",VLOOKUP($A71,'Annex 2 EHV charges'!$D:$O,11,FALSE)),"")</f>
        <v>529.83000000000004</v>
      </c>
      <c r="G71" s="84">
        <f>IFERROR(IF(VLOOKUP($A71,'Annex 2 EHV charges'!$D:$O,12,FALSE)=0,"",VLOOKUP($A71,'Annex 2 EHV charges'!$D:$O,12,FALSE)),"")</f>
        <v>0.05</v>
      </c>
      <c r="H71" s="84">
        <f>IFERROR(IF(VLOOKUP($A71,'Annex 2 EHV charges'!$D:$P,13,FALSE)=0,"",VLOOKUP($A71,'Annex 2 EHV charges'!$D:$P,13,FALSE)),"")</f>
        <v>0.05</v>
      </c>
    </row>
    <row r="72" spans="1:8" ht="12.75" customHeight="1" x14ac:dyDescent="0.2">
      <c r="A72" s="81" t="str">
        <f t="array" ref="A72">IFERROR(INDEX('Annex 2 EHV charges'!$D$10:$D$108, MATCH(0, IF(ISBLANK('Annex 2 EHV charges'!$D$10:$D$108),1, COUNTIF(A$4:$A71, 'Annex 2 EHV charges'!$D$10:$D$108)), 0)),"")</f>
        <v>WRGALL</v>
      </c>
      <c r="B72" s="80">
        <f>IF($A72="","",VLOOKUP($A72,'Annex 2 EHV charges'!$D:$O,2,0))</f>
        <v>731</v>
      </c>
      <c r="C72" s="81" t="str">
        <f>IF($A72="","",VLOOKUP($A72,'Annex 2 EHV charges'!$D:$O,3,0))</f>
        <v>1900070394466;1900070467983</v>
      </c>
      <c r="D72" s="80" t="str">
        <f>IF($A72="","",VLOOKUP($A72,'Annex 2 EHV charges'!$D:$O,4,0))</f>
        <v>WRGALL</v>
      </c>
      <c r="E72" s="82" t="str">
        <f>IFERROR(IF(VLOOKUP($A72,'Annex 2 EHV charges'!$D:$O,10,FALSE)=0,"",VLOOKUP($A72,'Annex 2 EHV charges'!$D:$O,10,FALSE)),"")</f>
        <v/>
      </c>
      <c r="F72" s="83" t="str">
        <f>IFERROR(IF(VLOOKUP($A72,'Annex 2 EHV charges'!$D:$O,11,FALSE)=0,"",VLOOKUP($A72,'Annex 2 EHV charges'!$D:$O,11,FALSE)),"")</f>
        <v/>
      </c>
      <c r="G72" s="84" t="str">
        <f>IFERROR(IF(VLOOKUP($A72,'Annex 2 EHV charges'!$D:$O,12,FALSE)=0,"",VLOOKUP($A72,'Annex 2 EHV charges'!$D:$O,12,FALSE)),"")</f>
        <v/>
      </c>
      <c r="H72" s="84" t="str">
        <f>IFERROR(IF(VLOOKUP($A72,'Annex 2 EHV charges'!$D:$P,13,FALSE)=0,"",VLOOKUP($A72,'Annex 2 EHV charges'!$D:$P,13,FALSE)),"")</f>
        <v/>
      </c>
    </row>
    <row r="73" spans="1:8" ht="12.75" customHeight="1" x14ac:dyDescent="0.2">
      <c r="A73" s="81" t="str">
        <f t="array" ref="A73">IFERROR(INDEX('Annex 2 EHV charges'!$D$10:$D$108, MATCH(0, IF(ISBLANK('Annex 2 EHV charges'!$D$10:$D$108),1, COUNTIF(A$4:$A72, 'Annex 2 EHV charges'!$D$10:$D$108)), 0)),"")</f>
        <v>WSTWDX</v>
      </c>
      <c r="B73" s="80">
        <f>IF($A73="","",VLOOKUP($A73,'Annex 2 EHV charges'!$D:$O,2,0))</f>
        <v>740</v>
      </c>
      <c r="C73" s="81">
        <f>IF($A73="","",VLOOKUP($A73,'Annex 2 EHV charges'!$D:$O,3,0))</f>
        <v>1900091086540</v>
      </c>
      <c r="D73" s="80" t="str">
        <f>IF($A73="","",VLOOKUP($A73,'Annex 2 EHV charges'!$D:$O,4,0))</f>
        <v>WSTWDX</v>
      </c>
      <c r="E73" s="82" t="str">
        <f>IFERROR(IF(VLOOKUP($A73,'Annex 2 EHV charges'!$D:$O,10,FALSE)=0,"",VLOOKUP($A73,'Annex 2 EHV charges'!$D:$O,10,FALSE)),"")</f>
        <v/>
      </c>
      <c r="F73" s="83">
        <f>IFERROR(IF(VLOOKUP($A73,'Annex 2 EHV charges'!$D:$O,11,FALSE)=0,"",VLOOKUP($A73,'Annex 2 EHV charges'!$D:$O,11,FALSE)),"")</f>
        <v>2184.44</v>
      </c>
      <c r="G73" s="84">
        <f>IFERROR(IF(VLOOKUP($A73,'Annex 2 EHV charges'!$D:$O,12,FALSE)=0,"",VLOOKUP($A73,'Annex 2 EHV charges'!$D:$O,12,FALSE)),"")</f>
        <v>0.05</v>
      </c>
      <c r="H73" s="84">
        <f>IFERROR(IF(VLOOKUP($A73,'Annex 2 EHV charges'!$D:$P,13,FALSE)=0,"",VLOOKUP($A73,'Annex 2 EHV charges'!$D:$P,13,FALSE)),"")</f>
        <v>0.05</v>
      </c>
    </row>
    <row r="74" spans="1:8" ht="12.75" customHeight="1" x14ac:dyDescent="0.2">
      <c r="A74" s="81" t="str">
        <f t="array" ref="A74">IFERROR(INDEX('Annex 2 EHV charges'!$D$10:$D$108, MATCH(0, IF(ISBLANK('Annex 2 EHV charges'!$D$10:$D$108),1, COUNTIF(A$4:$A73, 'Annex 2 EHV charges'!$D$10:$D$108)), 0)),"")</f>
        <v/>
      </c>
      <c r="B74" s="80" t="str">
        <f>IF($A74="","",VLOOKUP($A74,'Annex 2 EHV charges'!$D:$O,2,0))</f>
        <v/>
      </c>
      <c r="C74" s="81" t="str">
        <f>IF($A74="","",VLOOKUP($A74,'Annex 2 EHV charges'!$D:$O,3,0))</f>
        <v/>
      </c>
      <c r="D74" s="80" t="str">
        <f>IF($A74="","",VLOOKUP($A74,'Annex 2 EHV charges'!$D:$O,4,0))</f>
        <v/>
      </c>
      <c r="E74" s="82" t="str">
        <f>IFERROR(IF(VLOOKUP($A74,'Annex 2 EHV charges'!$D:$O,10,FALSE)=0,"",VLOOKUP($A74,'Annex 2 EHV charges'!$D:$O,10,FALSE)),"")</f>
        <v/>
      </c>
      <c r="F74" s="83" t="str">
        <f>IFERROR(IF(VLOOKUP($A74,'Annex 2 EHV charges'!$D:$O,11,FALSE)=0,"",VLOOKUP($A74,'Annex 2 EHV charges'!$D:$O,11,FALSE)),"")</f>
        <v/>
      </c>
      <c r="G74" s="84" t="str">
        <f>IFERROR(IF(VLOOKUP($A74,'Annex 2 EHV charges'!$D:$O,12,FALSE)=0,"",VLOOKUP($A74,'Annex 2 EHV charges'!$D:$O,12,FALSE)),"")</f>
        <v/>
      </c>
      <c r="H74" s="84" t="str">
        <f>IFERROR(IF(VLOOKUP($A74,'Annex 2 EHV charges'!$D:$P,13,FALSE)=0,"",VLOOKUP($A74,'Annex 2 EHV charges'!$D:$P,13,FALSE)),"")</f>
        <v/>
      </c>
    </row>
    <row r="75" spans="1:8" ht="12.75" customHeight="1" x14ac:dyDescent="0.2">
      <c r="A75" s="81" t="str">
        <f t="array" ref="A75">IFERROR(INDEX('Annex 2 EHV charges'!$D$10:$D$108, MATCH(0, IF(ISBLANK('Annex 2 EHV charges'!$D$10:$D$108),1, COUNTIF(A$4:$A74, 'Annex 2 EHV charges'!$D$10:$D$108)), 0)),"")</f>
        <v/>
      </c>
      <c r="B75" s="80" t="str">
        <f>IF($A75="","",VLOOKUP($A75,'Annex 2 EHV charges'!$D:$O,2,0))</f>
        <v/>
      </c>
      <c r="C75" s="81" t="str">
        <f>IF($A75="","",VLOOKUP($A75,'Annex 2 EHV charges'!$D:$O,3,0))</f>
        <v/>
      </c>
      <c r="D75" s="80" t="str">
        <f>IF($A75="","",VLOOKUP($A75,'Annex 2 EHV charges'!$D:$O,4,0))</f>
        <v/>
      </c>
      <c r="E75" s="82" t="str">
        <f>IFERROR(IF(VLOOKUP($A75,'Annex 2 EHV charges'!$D:$O,10,FALSE)=0,"",VLOOKUP($A75,'Annex 2 EHV charges'!$D:$O,10,FALSE)),"")</f>
        <v/>
      </c>
      <c r="F75" s="83" t="str">
        <f>IFERROR(IF(VLOOKUP($A75,'Annex 2 EHV charges'!$D:$O,11,FALSE)=0,"",VLOOKUP($A75,'Annex 2 EHV charges'!$D:$O,11,FALSE)),"")</f>
        <v/>
      </c>
      <c r="G75" s="84" t="str">
        <f>IFERROR(IF(VLOOKUP($A75,'Annex 2 EHV charges'!$D:$O,12,FALSE)=0,"",VLOOKUP($A75,'Annex 2 EHV charges'!$D:$O,12,FALSE)),"")</f>
        <v/>
      </c>
      <c r="H75" s="84" t="str">
        <f>IFERROR(IF(VLOOKUP($A75,'Annex 2 EHV charges'!$D:$P,13,FALSE)=0,"",VLOOKUP($A75,'Annex 2 EHV charges'!$D:$P,13,FALSE)),"")</f>
        <v/>
      </c>
    </row>
    <row r="76" spans="1:8" ht="12.75" customHeight="1" x14ac:dyDescent="0.2">
      <c r="A76" s="81" t="str">
        <f t="array" ref="A76">IFERROR(INDEX('Annex 2 EHV charges'!$D$10:$D$108, MATCH(0, IF(ISBLANK('Annex 2 EHV charges'!$D$10:$D$108),1, COUNTIF(A$4:$A75, 'Annex 2 EHV charges'!$D$10:$D$108)), 0)),"")</f>
        <v/>
      </c>
      <c r="B76" s="80" t="str">
        <f>IF($A76="","",VLOOKUP($A76,'Annex 2 EHV charges'!$D:$O,2,0))</f>
        <v/>
      </c>
      <c r="C76" s="81" t="str">
        <f>IF($A76="","",VLOOKUP($A76,'Annex 2 EHV charges'!$D:$O,3,0))</f>
        <v/>
      </c>
      <c r="D76" s="80" t="str">
        <f>IF($A76="","",VLOOKUP($A76,'Annex 2 EHV charges'!$D:$O,4,0))</f>
        <v/>
      </c>
      <c r="E76" s="82" t="str">
        <f>IFERROR(IF(VLOOKUP($A76,'Annex 2 EHV charges'!$D:$O,10,FALSE)=0,"",VLOOKUP($A76,'Annex 2 EHV charges'!$D:$O,10,FALSE)),"")</f>
        <v/>
      </c>
      <c r="F76" s="83" t="str">
        <f>IFERROR(IF(VLOOKUP($A76,'Annex 2 EHV charges'!$D:$O,11,FALSE)=0,"",VLOOKUP($A76,'Annex 2 EHV charges'!$D:$O,11,FALSE)),"")</f>
        <v/>
      </c>
      <c r="G76" s="84" t="str">
        <f>IFERROR(IF(VLOOKUP($A76,'Annex 2 EHV charges'!$D:$O,12,FALSE)=0,"",VLOOKUP($A76,'Annex 2 EHV charges'!$D:$O,12,FALSE)),"")</f>
        <v/>
      </c>
      <c r="H76" s="84" t="str">
        <f>IFERROR(IF(VLOOKUP($A76,'Annex 2 EHV charges'!$D:$P,13,FALSE)=0,"",VLOOKUP($A76,'Annex 2 EHV charges'!$D:$P,13,FALSE)),"")</f>
        <v/>
      </c>
    </row>
    <row r="77" spans="1:8" ht="12.75" customHeight="1" x14ac:dyDescent="0.2">
      <c r="A77" s="81" t="str">
        <f t="array" ref="A77">IFERROR(INDEX('Annex 2 EHV charges'!$D$10:$D$108, MATCH(0, IF(ISBLANK('Annex 2 EHV charges'!$D$10:$D$108),1, COUNTIF(A$4:$A76, 'Annex 2 EHV charges'!$D$10:$D$108)), 0)),"")</f>
        <v/>
      </c>
      <c r="B77" s="80" t="str">
        <f>IF($A77="","",VLOOKUP($A77,'Annex 2 EHV charges'!$D:$O,2,0))</f>
        <v/>
      </c>
      <c r="C77" s="81" t="str">
        <f>IF($A77="","",VLOOKUP($A77,'Annex 2 EHV charges'!$D:$O,3,0))</f>
        <v/>
      </c>
      <c r="D77" s="80" t="str">
        <f>IF($A77="","",VLOOKUP($A77,'Annex 2 EHV charges'!$D:$O,4,0))</f>
        <v/>
      </c>
      <c r="E77" s="82" t="str">
        <f>IFERROR(IF(VLOOKUP($A77,'Annex 2 EHV charges'!$D:$O,10,FALSE)=0,"",VLOOKUP($A77,'Annex 2 EHV charges'!$D:$O,10,FALSE)),"")</f>
        <v/>
      </c>
      <c r="F77" s="83" t="str">
        <f>IFERROR(IF(VLOOKUP($A77,'Annex 2 EHV charges'!$D:$O,11,FALSE)=0,"",VLOOKUP($A77,'Annex 2 EHV charges'!$D:$O,11,FALSE)),"")</f>
        <v/>
      </c>
      <c r="G77" s="84" t="str">
        <f>IFERROR(IF(VLOOKUP($A77,'Annex 2 EHV charges'!$D:$O,12,FALSE)=0,"",VLOOKUP($A77,'Annex 2 EHV charges'!$D:$O,12,FALSE)),"")</f>
        <v/>
      </c>
      <c r="H77" s="84" t="str">
        <f>IFERROR(IF(VLOOKUP($A77,'Annex 2 EHV charges'!$D:$P,13,FALSE)=0,"",VLOOKUP($A77,'Annex 2 EHV charges'!$D:$P,13,FALSE)),"")</f>
        <v/>
      </c>
    </row>
    <row r="78" spans="1:8" ht="12.75" customHeight="1" x14ac:dyDescent="0.2">
      <c r="A78" s="81" t="str">
        <f t="array" ref="A78">IFERROR(INDEX('Annex 2 EHV charges'!$D$10:$D$108, MATCH(0, IF(ISBLANK('Annex 2 EHV charges'!$D$10:$D$108),1, COUNTIF(A$4:$A77, 'Annex 2 EHV charges'!$D$10:$D$108)), 0)),"")</f>
        <v/>
      </c>
      <c r="B78" s="80" t="str">
        <f>IF($A78="","",VLOOKUP($A78,'Annex 2 EHV charges'!$D:$O,2,0))</f>
        <v/>
      </c>
      <c r="C78" s="81" t="str">
        <f>IF($A78="","",VLOOKUP($A78,'Annex 2 EHV charges'!$D:$O,3,0))</f>
        <v/>
      </c>
      <c r="D78" s="80" t="str">
        <f>IF($A78="","",VLOOKUP($A78,'Annex 2 EHV charges'!$D:$O,4,0))</f>
        <v/>
      </c>
      <c r="E78" s="82" t="str">
        <f>IFERROR(IF(VLOOKUP($A78,'Annex 2 EHV charges'!$D:$O,10,FALSE)=0,"",VLOOKUP($A78,'Annex 2 EHV charges'!$D:$O,10,FALSE)),"")</f>
        <v/>
      </c>
      <c r="F78" s="83" t="str">
        <f>IFERROR(IF(VLOOKUP($A78,'Annex 2 EHV charges'!$D:$O,11,FALSE)=0,"",VLOOKUP($A78,'Annex 2 EHV charges'!$D:$O,11,FALSE)),"")</f>
        <v/>
      </c>
      <c r="G78" s="84" t="str">
        <f>IFERROR(IF(VLOOKUP($A78,'Annex 2 EHV charges'!$D:$O,12,FALSE)=0,"",VLOOKUP($A78,'Annex 2 EHV charges'!$D:$O,12,FALSE)),"")</f>
        <v/>
      </c>
      <c r="H78" s="84" t="str">
        <f>IFERROR(IF(VLOOKUP($A78,'Annex 2 EHV charges'!$D:$P,13,FALSE)=0,"",VLOOKUP($A78,'Annex 2 EHV charges'!$D:$P,13,FALSE)),"")</f>
        <v/>
      </c>
    </row>
    <row r="79" spans="1:8" ht="12.75" customHeight="1" x14ac:dyDescent="0.2">
      <c r="A79" s="81" t="str">
        <f t="array" ref="A79">IFERROR(INDEX('Annex 2 EHV charges'!$D$10:$D$108, MATCH(0, IF(ISBLANK('Annex 2 EHV charges'!$D$10:$D$108),1, COUNTIF(A$4:$A78, 'Annex 2 EHV charges'!$D$10:$D$108)), 0)),"")</f>
        <v/>
      </c>
      <c r="B79" s="80" t="str">
        <f>IF($A79="","",VLOOKUP($A79,'Annex 2 EHV charges'!$D:$O,2,0))</f>
        <v/>
      </c>
      <c r="C79" s="81" t="str">
        <f>IF($A79="","",VLOOKUP($A79,'Annex 2 EHV charges'!$D:$O,3,0))</f>
        <v/>
      </c>
      <c r="D79" s="80" t="str">
        <f>IF($A79="","",VLOOKUP($A79,'Annex 2 EHV charges'!$D:$O,4,0))</f>
        <v/>
      </c>
      <c r="E79" s="82" t="str">
        <f>IFERROR(IF(VLOOKUP($A79,'Annex 2 EHV charges'!$D:$O,10,FALSE)=0,"",VLOOKUP($A79,'Annex 2 EHV charges'!$D:$O,10,FALSE)),"")</f>
        <v/>
      </c>
      <c r="F79" s="83" t="str">
        <f>IFERROR(IF(VLOOKUP($A79,'Annex 2 EHV charges'!$D:$O,11,FALSE)=0,"",VLOOKUP($A79,'Annex 2 EHV charges'!$D:$O,11,FALSE)),"")</f>
        <v/>
      </c>
      <c r="G79" s="84" t="str">
        <f>IFERROR(IF(VLOOKUP($A79,'Annex 2 EHV charges'!$D:$O,12,FALSE)=0,"",VLOOKUP($A79,'Annex 2 EHV charges'!$D:$O,12,FALSE)),"")</f>
        <v/>
      </c>
      <c r="H79" s="84" t="str">
        <f>IFERROR(IF(VLOOKUP($A79,'Annex 2 EHV charges'!$D:$P,13,FALSE)=0,"",VLOOKUP($A79,'Annex 2 EHV charges'!$D:$P,13,FALSE)),"")</f>
        <v/>
      </c>
    </row>
    <row r="80" spans="1:8" ht="12.75" customHeight="1" x14ac:dyDescent="0.2">
      <c r="A80" s="81" t="str">
        <f t="array" ref="A80">IFERROR(INDEX('Annex 2 EHV charges'!$D$10:$D$108, MATCH(0, IF(ISBLANK('Annex 2 EHV charges'!$D$10:$D$108),1, COUNTIF(A$4:$A79, 'Annex 2 EHV charges'!$D$10:$D$108)), 0)),"")</f>
        <v/>
      </c>
      <c r="B80" s="80" t="str">
        <f>IF($A80="","",VLOOKUP($A80,'Annex 2 EHV charges'!$D:$O,2,0))</f>
        <v/>
      </c>
      <c r="C80" s="81" t="str">
        <f>IF($A80="","",VLOOKUP($A80,'Annex 2 EHV charges'!$D:$O,3,0))</f>
        <v/>
      </c>
      <c r="D80" s="80" t="str">
        <f>IF($A80="","",VLOOKUP($A80,'Annex 2 EHV charges'!$D:$O,4,0))</f>
        <v/>
      </c>
      <c r="E80" s="82" t="str">
        <f>IFERROR(IF(VLOOKUP($A80,'Annex 2 EHV charges'!$D:$O,10,FALSE)=0,"",VLOOKUP($A80,'Annex 2 EHV charges'!$D:$O,10,FALSE)),"")</f>
        <v/>
      </c>
      <c r="F80" s="83" t="str">
        <f>IFERROR(IF(VLOOKUP($A80,'Annex 2 EHV charges'!$D:$O,11,FALSE)=0,"",VLOOKUP($A80,'Annex 2 EHV charges'!$D:$O,11,FALSE)),"")</f>
        <v/>
      </c>
      <c r="G80" s="84" t="str">
        <f>IFERROR(IF(VLOOKUP($A80,'Annex 2 EHV charges'!$D:$O,12,FALSE)=0,"",VLOOKUP($A80,'Annex 2 EHV charges'!$D:$O,12,FALSE)),"")</f>
        <v/>
      </c>
      <c r="H80" s="84" t="str">
        <f>IFERROR(IF(VLOOKUP($A80,'Annex 2 EHV charges'!$D:$P,13,FALSE)=0,"",VLOOKUP($A80,'Annex 2 EHV charges'!$D:$P,13,FALSE)),"")</f>
        <v/>
      </c>
    </row>
    <row r="81" spans="1:8" ht="12.75" customHeight="1" x14ac:dyDescent="0.2">
      <c r="A81" s="81" t="str">
        <f t="array" ref="A81">IFERROR(INDEX('Annex 2 EHV charges'!$D$10:$D$108, MATCH(0, IF(ISBLANK('Annex 2 EHV charges'!$D$10:$D$108),1, COUNTIF(A$4:$A80, 'Annex 2 EHV charges'!$D$10:$D$108)), 0)),"")</f>
        <v/>
      </c>
      <c r="B81" s="80" t="str">
        <f>IF($A81="","",VLOOKUP($A81,'Annex 2 EHV charges'!$D:$O,2,0))</f>
        <v/>
      </c>
      <c r="C81" s="81" t="str">
        <f>IF($A81="","",VLOOKUP($A81,'Annex 2 EHV charges'!$D:$O,3,0))</f>
        <v/>
      </c>
      <c r="D81" s="80" t="str">
        <f>IF($A81="","",VLOOKUP($A81,'Annex 2 EHV charges'!$D:$O,4,0))</f>
        <v/>
      </c>
      <c r="E81" s="82" t="str">
        <f>IFERROR(IF(VLOOKUP($A81,'Annex 2 EHV charges'!$D:$O,10,FALSE)=0,"",VLOOKUP($A81,'Annex 2 EHV charges'!$D:$O,10,FALSE)),"")</f>
        <v/>
      </c>
      <c r="F81" s="83" t="str">
        <f>IFERROR(IF(VLOOKUP($A81,'Annex 2 EHV charges'!$D:$O,11,FALSE)=0,"",VLOOKUP($A81,'Annex 2 EHV charges'!$D:$O,11,FALSE)),"")</f>
        <v/>
      </c>
      <c r="G81" s="84" t="str">
        <f>IFERROR(IF(VLOOKUP($A81,'Annex 2 EHV charges'!$D:$O,12,FALSE)=0,"",VLOOKUP($A81,'Annex 2 EHV charges'!$D:$O,12,FALSE)),"")</f>
        <v/>
      </c>
      <c r="H81" s="84" t="str">
        <f>IFERROR(IF(VLOOKUP($A81,'Annex 2 EHV charges'!$D:$P,13,FALSE)=0,"",VLOOKUP($A81,'Annex 2 EHV charges'!$D:$P,13,FALSE)),"")</f>
        <v/>
      </c>
    </row>
    <row r="82" spans="1:8" ht="12.75" customHeight="1" x14ac:dyDescent="0.2">
      <c r="A82" s="81" t="str">
        <f t="array" ref="A82">IFERROR(INDEX('Annex 2 EHV charges'!$D$10:$D$108, MATCH(0, IF(ISBLANK('Annex 2 EHV charges'!$D$10:$D$108),1, COUNTIF(A$4:$A81, 'Annex 2 EHV charges'!$D$10:$D$108)), 0)),"")</f>
        <v/>
      </c>
      <c r="B82" s="80" t="str">
        <f>IF($A82="","",VLOOKUP($A82,'Annex 2 EHV charges'!$D:$O,2,0))</f>
        <v/>
      </c>
      <c r="C82" s="81" t="str">
        <f>IF($A82="","",VLOOKUP($A82,'Annex 2 EHV charges'!$D:$O,3,0))</f>
        <v/>
      </c>
      <c r="D82" s="80" t="str">
        <f>IF($A82="","",VLOOKUP($A82,'Annex 2 EHV charges'!$D:$O,4,0))</f>
        <v/>
      </c>
      <c r="E82" s="82" t="str">
        <f>IFERROR(IF(VLOOKUP($A82,'Annex 2 EHV charges'!$D:$O,10,FALSE)=0,"",VLOOKUP($A82,'Annex 2 EHV charges'!$D:$O,10,FALSE)),"")</f>
        <v/>
      </c>
      <c r="F82" s="83" t="str">
        <f>IFERROR(IF(VLOOKUP($A82,'Annex 2 EHV charges'!$D:$O,11,FALSE)=0,"",VLOOKUP($A82,'Annex 2 EHV charges'!$D:$O,11,FALSE)),"")</f>
        <v/>
      </c>
      <c r="G82" s="84" t="str">
        <f>IFERROR(IF(VLOOKUP($A82,'Annex 2 EHV charges'!$D:$O,12,FALSE)=0,"",VLOOKUP($A82,'Annex 2 EHV charges'!$D:$O,12,FALSE)),"")</f>
        <v/>
      </c>
      <c r="H82" s="84" t="str">
        <f>IFERROR(IF(VLOOKUP($A82,'Annex 2 EHV charges'!$D:$P,13,FALSE)=0,"",VLOOKUP($A82,'Annex 2 EHV charges'!$D:$P,13,FALSE)),"")</f>
        <v/>
      </c>
    </row>
    <row r="83" spans="1:8" ht="12.75" customHeight="1" x14ac:dyDescent="0.2">
      <c r="A83" s="81" t="str">
        <f t="array" ref="A83">IFERROR(INDEX('Annex 2 EHV charges'!$D$10:$D$108, MATCH(0, IF(ISBLANK('Annex 2 EHV charges'!$D$10:$D$108),1, COUNTIF(A$4:$A82, 'Annex 2 EHV charges'!$D$10:$D$108)), 0)),"")</f>
        <v/>
      </c>
      <c r="B83" s="80" t="str">
        <f>IF($A83="","",VLOOKUP($A83,'Annex 2 EHV charges'!$D:$O,2,0))</f>
        <v/>
      </c>
      <c r="C83" s="81" t="str">
        <f>IF($A83="","",VLOOKUP($A83,'Annex 2 EHV charges'!$D:$O,3,0))</f>
        <v/>
      </c>
      <c r="D83" s="80" t="str">
        <f>IF($A83="","",VLOOKUP($A83,'Annex 2 EHV charges'!$D:$O,4,0))</f>
        <v/>
      </c>
      <c r="E83" s="82" t="str">
        <f>IFERROR(IF(VLOOKUP($A83,'Annex 2 EHV charges'!$D:$O,10,FALSE)=0,"",VLOOKUP($A83,'Annex 2 EHV charges'!$D:$O,10,FALSE)),"")</f>
        <v/>
      </c>
      <c r="F83" s="83" t="str">
        <f>IFERROR(IF(VLOOKUP($A83,'Annex 2 EHV charges'!$D:$O,11,FALSE)=0,"",VLOOKUP($A83,'Annex 2 EHV charges'!$D:$O,11,FALSE)),"")</f>
        <v/>
      </c>
      <c r="G83" s="84" t="str">
        <f>IFERROR(IF(VLOOKUP($A83,'Annex 2 EHV charges'!$D:$O,12,FALSE)=0,"",VLOOKUP($A83,'Annex 2 EHV charges'!$D:$O,12,FALSE)),"")</f>
        <v/>
      </c>
      <c r="H83" s="84" t="str">
        <f>IFERROR(IF(VLOOKUP($A83,'Annex 2 EHV charges'!$D:$P,13,FALSE)=0,"",VLOOKUP($A83,'Annex 2 EHV charges'!$D:$P,13,FALSE)),"")</f>
        <v/>
      </c>
    </row>
    <row r="84" spans="1:8" ht="12.75" customHeight="1" x14ac:dyDescent="0.2">
      <c r="A84" s="81" t="str">
        <f t="array" ref="A84">IFERROR(INDEX('Annex 2 EHV charges'!$D$10:$D$108, MATCH(0, IF(ISBLANK('Annex 2 EHV charges'!$D$10:$D$108),1, COUNTIF(A$4:$A83, 'Annex 2 EHV charges'!$D$10:$D$108)), 0)),"")</f>
        <v/>
      </c>
      <c r="B84" s="80" t="str">
        <f>IF($A84="","",VLOOKUP($A84,'Annex 2 EHV charges'!$D:$O,2,0))</f>
        <v/>
      </c>
      <c r="C84" s="81" t="str">
        <f>IF($A84="","",VLOOKUP($A84,'Annex 2 EHV charges'!$D:$O,3,0))</f>
        <v/>
      </c>
      <c r="D84" s="80" t="str">
        <f>IF($A84="","",VLOOKUP($A84,'Annex 2 EHV charges'!$D:$O,4,0))</f>
        <v/>
      </c>
      <c r="E84" s="82" t="str">
        <f>IFERROR(IF(VLOOKUP($A84,'Annex 2 EHV charges'!$D:$O,10,FALSE)=0,"",VLOOKUP($A84,'Annex 2 EHV charges'!$D:$O,10,FALSE)),"")</f>
        <v/>
      </c>
      <c r="F84" s="83" t="str">
        <f>IFERROR(IF(VLOOKUP($A84,'Annex 2 EHV charges'!$D:$O,11,FALSE)=0,"",VLOOKUP($A84,'Annex 2 EHV charges'!$D:$O,11,FALSE)),"")</f>
        <v/>
      </c>
      <c r="G84" s="84" t="str">
        <f>IFERROR(IF(VLOOKUP($A84,'Annex 2 EHV charges'!$D:$O,12,FALSE)=0,"",VLOOKUP($A84,'Annex 2 EHV charges'!$D:$O,12,FALSE)),"")</f>
        <v/>
      </c>
      <c r="H84" s="84" t="str">
        <f>IFERROR(IF(VLOOKUP($A84,'Annex 2 EHV charges'!$D:$P,13,FALSE)=0,"",VLOOKUP($A84,'Annex 2 EHV charges'!$D:$P,13,FALSE)),"")</f>
        <v/>
      </c>
    </row>
    <row r="85" spans="1:8" ht="12.75" customHeight="1" x14ac:dyDescent="0.2">
      <c r="A85" s="81" t="str">
        <f t="array" ref="A85">IFERROR(INDEX('Annex 2 EHV charges'!$D$10:$D$108, MATCH(0, IF(ISBLANK('Annex 2 EHV charges'!$D$10:$D$108),1, COUNTIF(A$4:$A84, 'Annex 2 EHV charges'!$D$10:$D$108)), 0)),"")</f>
        <v/>
      </c>
      <c r="B85" s="80" t="str">
        <f>IF($A85="","",VLOOKUP($A85,'Annex 2 EHV charges'!$D:$O,2,0))</f>
        <v/>
      </c>
      <c r="C85" s="81" t="str">
        <f>IF($A85="","",VLOOKUP($A85,'Annex 2 EHV charges'!$D:$O,3,0))</f>
        <v/>
      </c>
      <c r="D85" s="80" t="str">
        <f>IF($A85="","",VLOOKUP($A85,'Annex 2 EHV charges'!$D:$O,4,0))</f>
        <v/>
      </c>
      <c r="E85" s="82" t="str">
        <f>IFERROR(IF(VLOOKUP($A85,'Annex 2 EHV charges'!$D:$O,10,FALSE)=0,"",VLOOKUP($A85,'Annex 2 EHV charges'!$D:$O,10,FALSE)),"")</f>
        <v/>
      </c>
      <c r="F85" s="83" t="str">
        <f>IFERROR(IF(VLOOKUP($A85,'Annex 2 EHV charges'!$D:$O,11,FALSE)=0,"",VLOOKUP($A85,'Annex 2 EHV charges'!$D:$O,11,FALSE)),"")</f>
        <v/>
      </c>
      <c r="G85" s="84" t="str">
        <f>IFERROR(IF(VLOOKUP($A85,'Annex 2 EHV charges'!$D:$O,12,FALSE)=0,"",VLOOKUP($A85,'Annex 2 EHV charges'!$D:$O,12,FALSE)),"")</f>
        <v/>
      </c>
      <c r="H85" s="84" t="str">
        <f>IFERROR(IF(VLOOKUP($A85,'Annex 2 EHV charges'!$D:$P,13,FALSE)=0,"",VLOOKUP($A85,'Annex 2 EHV charges'!$D:$P,13,FALSE)),"")</f>
        <v/>
      </c>
    </row>
    <row r="86" spans="1:8" ht="12.75" customHeight="1" x14ac:dyDescent="0.2">
      <c r="A86" s="81" t="str">
        <f t="array" ref="A86">IFERROR(INDEX('Annex 2 EHV charges'!$D$10:$D$108, MATCH(0, IF(ISBLANK('Annex 2 EHV charges'!$D$10:$D$108),1, COUNTIF(A$4:$A85, 'Annex 2 EHV charges'!$D$10:$D$108)), 0)),"")</f>
        <v/>
      </c>
      <c r="B86" s="80" t="str">
        <f>IF($A86="","",VLOOKUP($A86,'Annex 2 EHV charges'!$D:$O,2,0))</f>
        <v/>
      </c>
      <c r="C86" s="81" t="str">
        <f>IF($A86="","",VLOOKUP($A86,'Annex 2 EHV charges'!$D:$O,3,0))</f>
        <v/>
      </c>
      <c r="D86" s="80" t="str">
        <f>IF($A86="","",VLOOKUP($A86,'Annex 2 EHV charges'!$D:$O,4,0))</f>
        <v/>
      </c>
      <c r="E86" s="82" t="str">
        <f>IFERROR(IF(VLOOKUP($A86,'Annex 2 EHV charges'!$D:$O,10,FALSE)=0,"",VLOOKUP($A86,'Annex 2 EHV charges'!$D:$O,10,FALSE)),"")</f>
        <v/>
      </c>
      <c r="F86" s="83" t="str">
        <f>IFERROR(IF(VLOOKUP($A86,'Annex 2 EHV charges'!$D:$O,11,FALSE)=0,"",VLOOKUP($A86,'Annex 2 EHV charges'!$D:$O,11,FALSE)),"")</f>
        <v/>
      </c>
      <c r="G86" s="84" t="str">
        <f>IFERROR(IF(VLOOKUP($A86,'Annex 2 EHV charges'!$D:$O,12,FALSE)=0,"",VLOOKUP($A86,'Annex 2 EHV charges'!$D:$O,12,FALSE)),"")</f>
        <v/>
      </c>
      <c r="H86" s="84" t="str">
        <f>IFERROR(IF(VLOOKUP($A86,'Annex 2 EHV charges'!$D:$P,13,FALSE)=0,"",VLOOKUP($A86,'Annex 2 EHV charges'!$D:$P,13,FALSE)),"")</f>
        <v/>
      </c>
    </row>
    <row r="87" spans="1:8" ht="12.75" customHeight="1" x14ac:dyDescent="0.2">
      <c r="A87" s="81" t="str">
        <f t="array" ref="A87">IFERROR(INDEX('Annex 2 EHV charges'!$D$10:$D$108, MATCH(0, IF(ISBLANK('Annex 2 EHV charges'!$D$10:$D$108),1, COUNTIF(A$4:$A86, 'Annex 2 EHV charges'!$D$10:$D$108)), 0)),"")</f>
        <v/>
      </c>
      <c r="B87" s="80" t="str">
        <f>IF($A87="","",VLOOKUP($A87,'Annex 2 EHV charges'!$D:$O,2,0))</f>
        <v/>
      </c>
      <c r="C87" s="81" t="str">
        <f>IF($A87="","",VLOOKUP($A87,'Annex 2 EHV charges'!$D:$O,3,0))</f>
        <v/>
      </c>
      <c r="D87" s="80" t="str">
        <f>IF($A87="","",VLOOKUP($A87,'Annex 2 EHV charges'!$D:$O,4,0))</f>
        <v/>
      </c>
      <c r="E87" s="82" t="str">
        <f>IFERROR(IF(VLOOKUP($A87,'Annex 2 EHV charges'!$D:$O,10,FALSE)=0,"",VLOOKUP($A87,'Annex 2 EHV charges'!$D:$O,10,FALSE)),"")</f>
        <v/>
      </c>
      <c r="F87" s="83" t="str">
        <f>IFERROR(IF(VLOOKUP($A87,'Annex 2 EHV charges'!$D:$O,11,FALSE)=0,"",VLOOKUP($A87,'Annex 2 EHV charges'!$D:$O,11,FALSE)),"")</f>
        <v/>
      </c>
      <c r="G87" s="84" t="str">
        <f>IFERROR(IF(VLOOKUP($A87,'Annex 2 EHV charges'!$D:$O,12,FALSE)=0,"",VLOOKUP($A87,'Annex 2 EHV charges'!$D:$O,12,FALSE)),"")</f>
        <v/>
      </c>
      <c r="H87" s="84" t="str">
        <f>IFERROR(IF(VLOOKUP($A87,'Annex 2 EHV charges'!$D:$P,13,FALSE)=0,"",VLOOKUP($A87,'Annex 2 EHV charges'!$D:$P,13,FALSE)),"")</f>
        <v/>
      </c>
    </row>
    <row r="88" spans="1:8" ht="12.75" customHeight="1" x14ac:dyDescent="0.2">
      <c r="A88" s="81" t="str">
        <f t="array" ref="A88">IFERROR(INDEX('Annex 2 EHV charges'!$D$10:$D$108, MATCH(0, IF(ISBLANK('Annex 2 EHV charges'!$D$10:$D$108),1, COUNTIF(A$4:$A87, 'Annex 2 EHV charges'!$D$10:$D$108)), 0)),"")</f>
        <v/>
      </c>
      <c r="B88" s="80" t="str">
        <f>IF($A88="","",VLOOKUP($A88,'Annex 2 EHV charges'!$D:$O,2,0))</f>
        <v/>
      </c>
      <c r="C88" s="81" t="str">
        <f>IF($A88="","",VLOOKUP($A88,'Annex 2 EHV charges'!$D:$O,3,0))</f>
        <v/>
      </c>
      <c r="D88" s="80" t="str">
        <f>IF($A88="","",VLOOKUP($A88,'Annex 2 EHV charges'!$D:$O,4,0))</f>
        <v/>
      </c>
      <c r="E88" s="82" t="str">
        <f>IFERROR(IF(VLOOKUP($A88,'Annex 2 EHV charges'!$D:$O,10,FALSE)=0,"",VLOOKUP($A88,'Annex 2 EHV charges'!$D:$O,10,FALSE)),"")</f>
        <v/>
      </c>
      <c r="F88" s="83" t="str">
        <f>IFERROR(IF(VLOOKUP($A88,'Annex 2 EHV charges'!$D:$O,11,FALSE)=0,"",VLOOKUP($A88,'Annex 2 EHV charges'!$D:$O,11,FALSE)),"")</f>
        <v/>
      </c>
      <c r="G88" s="84" t="str">
        <f>IFERROR(IF(VLOOKUP($A88,'Annex 2 EHV charges'!$D:$O,12,FALSE)=0,"",VLOOKUP($A88,'Annex 2 EHV charges'!$D:$O,12,FALSE)),"")</f>
        <v/>
      </c>
      <c r="H88" s="84" t="str">
        <f>IFERROR(IF(VLOOKUP($A88,'Annex 2 EHV charges'!$D:$P,13,FALSE)=0,"",VLOOKUP($A88,'Annex 2 EHV charges'!$D:$P,13,FALSE)),"")</f>
        <v/>
      </c>
    </row>
    <row r="89" spans="1:8" ht="12.75" customHeight="1" x14ac:dyDescent="0.2">
      <c r="A89" s="81" t="str">
        <f t="array" ref="A89">IFERROR(INDEX('Annex 2 EHV charges'!$D$10:$D$108, MATCH(0, IF(ISBLANK('Annex 2 EHV charges'!$D$10:$D$108),1, COUNTIF(A$4:$A88, 'Annex 2 EHV charges'!$D$10:$D$108)), 0)),"")</f>
        <v/>
      </c>
      <c r="B89" s="80" t="str">
        <f>IF($A89="","",VLOOKUP($A89,'Annex 2 EHV charges'!$D:$O,2,0))</f>
        <v/>
      </c>
      <c r="C89" s="81" t="str">
        <f>IF($A89="","",VLOOKUP($A89,'Annex 2 EHV charges'!$D:$O,3,0))</f>
        <v/>
      </c>
      <c r="D89" s="80" t="str">
        <f>IF($A89="","",VLOOKUP($A89,'Annex 2 EHV charges'!$D:$O,4,0))</f>
        <v/>
      </c>
      <c r="E89" s="82" t="str">
        <f>IFERROR(IF(VLOOKUP($A89,'Annex 2 EHV charges'!$D:$O,10,FALSE)=0,"",VLOOKUP($A89,'Annex 2 EHV charges'!$D:$O,10,FALSE)),"")</f>
        <v/>
      </c>
      <c r="F89" s="83" t="str">
        <f>IFERROR(IF(VLOOKUP($A89,'Annex 2 EHV charges'!$D:$O,11,FALSE)=0,"",VLOOKUP($A89,'Annex 2 EHV charges'!$D:$O,11,FALSE)),"")</f>
        <v/>
      </c>
      <c r="G89" s="84" t="str">
        <f>IFERROR(IF(VLOOKUP($A89,'Annex 2 EHV charges'!$D:$O,12,FALSE)=0,"",VLOOKUP($A89,'Annex 2 EHV charges'!$D:$O,12,FALSE)),"")</f>
        <v/>
      </c>
      <c r="H89" s="84" t="str">
        <f>IFERROR(IF(VLOOKUP($A89,'Annex 2 EHV charges'!$D:$P,13,FALSE)=0,"",VLOOKUP($A89,'Annex 2 EHV charges'!$D:$P,13,FALSE)),"")</f>
        <v/>
      </c>
    </row>
    <row r="90" spans="1:8" ht="12.75" customHeight="1" x14ac:dyDescent="0.2">
      <c r="A90" s="81" t="str">
        <f t="array" ref="A90">IFERROR(INDEX('Annex 2 EHV charges'!$D$10:$D$108, MATCH(0, IF(ISBLANK('Annex 2 EHV charges'!$D$10:$D$108),1, COUNTIF(A$4:$A89, 'Annex 2 EHV charges'!$D$10:$D$108)), 0)),"")</f>
        <v/>
      </c>
      <c r="B90" s="80" t="str">
        <f>IF($A90="","",VLOOKUP($A90,'Annex 2 EHV charges'!$D:$O,2,0))</f>
        <v/>
      </c>
      <c r="C90" s="81" t="str">
        <f>IF($A90="","",VLOOKUP($A90,'Annex 2 EHV charges'!$D:$O,3,0))</f>
        <v/>
      </c>
      <c r="D90" s="80" t="str">
        <f>IF($A90="","",VLOOKUP($A90,'Annex 2 EHV charges'!$D:$O,4,0))</f>
        <v/>
      </c>
      <c r="E90" s="82" t="str">
        <f>IFERROR(IF(VLOOKUP($A90,'Annex 2 EHV charges'!$D:$O,10,FALSE)=0,"",VLOOKUP($A90,'Annex 2 EHV charges'!$D:$O,10,FALSE)),"")</f>
        <v/>
      </c>
      <c r="F90" s="83" t="str">
        <f>IFERROR(IF(VLOOKUP($A90,'Annex 2 EHV charges'!$D:$O,11,FALSE)=0,"",VLOOKUP($A90,'Annex 2 EHV charges'!$D:$O,11,FALSE)),"")</f>
        <v/>
      </c>
      <c r="G90" s="84" t="str">
        <f>IFERROR(IF(VLOOKUP($A90,'Annex 2 EHV charges'!$D:$O,12,FALSE)=0,"",VLOOKUP($A90,'Annex 2 EHV charges'!$D:$O,12,FALSE)),"")</f>
        <v/>
      </c>
      <c r="H90" s="84" t="str">
        <f>IFERROR(IF(VLOOKUP($A90,'Annex 2 EHV charges'!$D:$P,13,FALSE)=0,"",VLOOKUP($A90,'Annex 2 EHV charges'!$D:$P,13,FALSE)),"")</f>
        <v/>
      </c>
    </row>
    <row r="91" spans="1:8" ht="12.75" customHeight="1" x14ac:dyDescent="0.2">
      <c r="A91" s="81" t="str">
        <f t="array" ref="A91">IFERROR(INDEX('Annex 2 EHV charges'!$D$10:$D$108, MATCH(0, IF(ISBLANK('Annex 2 EHV charges'!$D$10:$D$108),1, COUNTIF(A$4:$A90, 'Annex 2 EHV charges'!$D$10:$D$108)), 0)),"")</f>
        <v/>
      </c>
      <c r="B91" s="80" t="str">
        <f>IF($A91="","",VLOOKUP($A91,'Annex 2 EHV charges'!$D:$O,2,0))</f>
        <v/>
      </c>
      <c r="C91" s="81" t="str">
        <f>IF($A91="","",VLOOKUP($A91,'Annex 2 EHV charges'!$D:$O,3,0))</f>
        <v/>
      </c>
      <c r="D91" s="80" t="str">
        <f>IF($A91="","",VLOOKUP($A91,'Annex 2 EHV charges'!$D:$O,4,0))</f>
        <v/>
      </c>
      <c r="E91" s="82" t="str">
        <f>IFERROR(IF(VLOOKUP($A91,'Annex 2 EHV charges'!$D:$O,10,FALSE)=0,"",VLOOKUP($A91,'Annex 2 EHV charges'!$D:$O,10,FALSE)),"")</f>
        <v/>
      </c>
      <c r="F91" s="83" t="str">
        <f>IFERROR(IF(VLOOKUP($A91,'Annex 2 EHV charges'!$D:$O,11,FALSE)=0,"",VLOOKUP($A91,'Annex 2 EHV charges'!$D:$O,11,FALSE)),"")</f>
        <v/>
      </c>
      <c r="G91" s="84" t="str">
        <f>IFERROR(IF(VLOOKUP($A91,'Annex 2 EHV charges'!$D:$O,12,FALSE)=0,"",VLOOKUP($A91,'Annex 2 EHV charges'!$D:$O,12,FALSE)),"")</f>
        <v/>
      </c>
      <c r="H91" s="84" t="str">
        <f>IFERROR(IF(VLOOKUP($A91,'Annex 2 EHV charges'!$D:$P,13,FALSE)=0,"",VLOOKUP($A91,'Annex 2 EHV charges'!$D:$P,13,FALSE)),"")</f>
        <v/>
      </c>
    </row>
    <row r="92" spans="1:8" ht="12.75" customHeight="1" x14ac:dyDescent="0.2">
      <c r="A92" s="81" t="str">
        <f t="array" ref="A92">IFERROR(INDEX('Annex 2 EHV charges'!$D$10:$D$108, MATCH(0, IF(ISBLANK('Annex 2 EHV charges'!$D$10:$D$108),1, COUNTIF(A$4:$A91, 'Annex 2 EHV charges'!$D$10:$D$108)), 0)),"")</f>
        <v/>
      </c>
      <c r="B92" s="80" t="str">
        <f>IF($A92="","",VLOOKUP($A92,'Annex 2 EHV charges'!$D:$O,2,0))</f>
        <v/>
      </c>
      <c r="C92" s="81" t="str">
        <f>IF($A92="","",VLOOKUP($A92,'Annex 2 EHV charges'!$D:$O,3,0))</f>
        <v/>
      </c>
      <c r="D92" s="80" t="str">
        <f>IF($A92="","",VLOOKUP($A92,'Annex 2 EHV charges'!$D:$O,4,0))</f>
        <v/>
      </c>
      <c r="E92" s="82" t="str">
        <f>IFERROR(IF(VLOOKUP($A92,'Annex 2 EHV charges'!$D:$O,10,FALSE)=0,"",VLOOKUP($A92,'Annex 2 EHV charges'!$D:$O,10,FALSE)),"")</f>
        <v/>
      </c>
      <c r="F92" s="83" t="str">
        <f>IFERROR(IF(VLOOKUP($A92,'Annex 2 EHV charges'!$D:$O,11,FALSE)=0,"",VLOOKUP($A92,'Annex 2 EHV charges'!$D:$O,11,FALSE)),"")</f>
        <v/>
      </c>
      <c r="G92" s="84" t="str">
        <f>IFERROR(IF(VLOOKUP($A92,'Annex 2 EHV charges'!$D:$O,12,FALSE)=0,"",VLOOKUP($A92,'Annex 2 EHV charges'!$D:$O,12,FALSE)),"")</f>
        <v/>
      </c>
      <c r="H92" s="84" t="str">
        <f>IFERROR(IF(VLOOKUP($A92,'Annex 2 EHV charges'!$D:$P,13,FALSE)=0,"",VLOOKUP($A92,'Annex 2 EHV charges'!$D:$P,13,FALSE)),"")</f>
        <v/>
      </c>
    </row>
    <row r="93" spans="1:8" ht="12.75" customHeight="1" x14ac:dyDescent="0.2">
      <c r="A93" s="81" t="str">
        <f t="array" ref="A93">IFERROR(INDEX('Annex 2 EHV charges'!$D$10:$D$108, MATCH(0, IF(ISBLANK('Annex 2 EHV charges'!$D$10:$D$108),1, COUNTIF(A$4:$A92, 'Annex 2 EHV charges'!$D$10:$D$108)), 0)),"")</f>
        <v/>
      </c>
      <c r="B93" s="80" t="str">
        <f>IF($A93="","",VLOOKUP($A93,'Annex 2 EHV charges'!$D:$O,2,0))</f>
        <v/>
      </c>
      <c r="C93" s="81" t="str">
        <f>IF($A93="","",VLOOKUP($A93,'Annex 2 EHV charges'!$D:$O,3,0))</f>
        <v/>
      </c>
      <c r="D93" s="80" t="str">
        <f>IF($A93="","",VLOOKUP($A93,'Annex 2 EHV charges'!$D:$O,4,0))</f>
        <v/>
      </c>
      <c r="E93" s="82" t="str">
        <f>IFERROR(IF(VLOOKUP($A93,'Annex 2 EHV charges'!$D:$O,10,FALSE)=0,"",VLOOKUP($A93,'Annex 2 EHV charges'!$D:$O,10,FALSE)),"")</f>
        <v/>
      </c>
      <c r="F93" s="83" t="str">
        <f>IFERROR(IF(VLOOKUP($A93,'Annex 2 EHV charges'!$D:$O,11,FALSE)=0,"",VLOOKUP($A93,'Annex 2 EHV charges'!$D:$O,11,FALSE)),"")</f>
        <v/>
      </c>
      <c r="G93" s="84" t="str">
        <f>IFERROR(IF(VLOOKUP($A93,'Annex 2 EHV charges'!$D:$O,12,FALSE)=0,"",VLOOKUP($A93,'Annex 2 EHV charges'!$D:$O,12,FALSE)),"")</f>
        <v/>
      </c>
      <c r="H93" s="84" t="str">
        <f>IFERROR(IF(VLOOKUP($A93,'Annex 2 EHV charges'!$D:$P,13,FALSE)=0,"",VLOOKUP($A93,'Annex 2 EHV charges'!$D:$P,13,FALSE)),"")</f>
        <v/>
      </c>
    </row>
    <row r="94" spans="1:8" ht="12.75" customHeight="1" x14ac:dyDescent="0.2">
      <c r="A94" s="81" t="str">
        <f t="array" ref="A94">IFERROR(INDEX('Annex 2 EHV charges'!$D$10:$D$108, MATCH(0, IF(ISBLANK('Annex 2 EHV charges'!$D$10:$D$108),1, COUNTIF(A$4:$A93, 'Annex 2 EHV charges'!$D$10:$D$108)), 0)),"")</f>
        <v/>
      </c>
      <c r="B94" s="80" t="str">
        <f>IF($A94="","",VLOOKUP($A94,'Annex 2 EHV charges'!$D:$O,2,0))</f>
        <v/>
      </c>
      <c r="C94" s="81" t="str">
        <f>IF($A94="","",VLOOKUP($A94,'Annex 2 EHV charges'!$D:$O,3,0))</f>
        <v/>
      </c>
      <c r="D94" s="80" t="str">
        <f>IF($A94="","",VLOOKUP($A94,'Annex 2 EHV charges'!$D:$O,4,0))</f>
        <v/>
      </c>
      <c r="E94" s="82" t="str">
        <f>IFERROR(IF(VLOOKUP($A94,'Annex 2 EHV charges'!$D:$O,10,FALSE)=0,"",VLOOKUP($A94,'Annex 2 EHV charges'!$D:$O,10,FALSE)),"")</f>
        <v/>
      </c>
      <c r="F94" s="83" t="str">
        <f>IFERROR(IF(VLOOKUP($A94,'Annex 2 EHV charges'!$D:$O,11,FALSE)=0,"",VLOOKUP($A94,'Annex 2 EHV charges'!$D:$O,11,FALSE)),"")</f>
        <v/>
      </c>
      <c r="G94" s="84" t="str">
        <f>IFERROR(IF(VLOOKUP($A94,'Annex 2 EHV charges'!$D:$O,12,FALSE)=0,"",VLOOKUP($A94,'Annex 2 EHV charges'!$D:$O,12,FALSE)),"")</f>
        <v/>
      </c>
      <c r="H94" s="84" t="str">
        <f>IFERROR(IF(VLOOKUP($A94,'Annex 2 EHV charges'!$D:$P,13,FALSE)=0,"",VLOOKUP($A94,'Annex 2 EHV charges'!$D:$P,13,FALSE)),"")</f>
        <v/>
      </c>
    </row>
    <row r="95" spans="1:8" ht="12.75" customHeight="1" x14ac:dyDescent="0.2">
      <c r="A95" s="81" t="str">
        <f t="array" ref="A95">IFERROR(INDEX('Annex 2 EHV charges'!$D$10:$D$108, MATCH(0, IF(ISBLANK('Annex 2 EHV charges'!$D$10:$D$108),1, COUNTIF(A$4:$A94, 'Annex 2 EHV charges'!$D$10:$D$108)), 0)),"")</f>
        <v/>
      </c>
      <c r="B95" s="80" t="str">
        <f>IF($A95="","",VLOOKUP($A95,'Annex 2 EHV charges'!$D:$O,2,0))</f>
        <v/>
      </c>
      <c r="C95" s="81" t="str">
        <f>IF($A95="","",VLOOKUP($A95,'Annex 2 EHV charges'!$D:$O,3,0))</f>
        <v/>
      </c>
      <c r="D95" s="80" t="str">
        <f>IF($A95="","",VLOOKUP($A95,'Annex 2 EHV charges'!$D:$O,4,0))</f>
        <v/>
      </c>
      <c r="E95" s="82" t="str">
        <f>IFERROR(IF(VLOOKUP($A95,'Annex 2 EHV charges'!$D:$O,10,FALSE)=0,"",VLOOKUP($A95,'Annex 2 EHV charges'!$D:$O,10,FALSE)),"")</f>
        <v/>
      </c>
      <c r="F95" s="83" t="str">
        <f>IFERROR(IF(VLOOKUP($A95,'Annex 2 EHV charges'!$D:$O,11,FALSE)=0,"",VLOOKUP($A95,'Annex 2 EHV charges'!$D:$O,11,FALSE)),"")</f>
        <v/>
      </c>
      <c r="G95" s="84" t="str">
        <f>IFERROR(IF(VLOOKUP($A95,'Annex 2 EHV charges'!$D:$O,12,FALSE)=0,"",VLOOKUP($A95,'Annex 2 EHV charges'!$D:$O,12,FALSE)),"")</f>
        <v/>
      </c>
      <c r="H95" s="84" t="str">
        <f>IFERROR(IF(VLOOKUP($A95,'Annex 2 EHV charges'!$D:$P,13,FALSE)=0,"",VLOOKUP($A95,'Annex 2 EHV charges'!$D:$P,13,FALSE)),"")</f>
        <v/>
      </c>
    </row>
    <row r="96" spans="1:8" ht="12.75" customHeight="1" x14ac:dyDescent="0.2">
      <c r="A96" s="81" t="str">
        <f t="array" ref="A96">IFERROR(INDEX('Annex 2 EHV charges'!$D$10:$D$108, MATCH(0, IF(ISBLANK('Annex 2 EHV charges'!$D$10:$D$108),1, COUNTIF(A$4:$A95, 'Annex 2 EHV charges'!$D$10:$D$108)), 0)),"")</f>
        <v/>
      </c>
      <c r="B96" s="80" t="str">
        <f>IF($A96="","",VLOOKUP($A96,'Annex 2 EHV charges'!$D:$O,2,0))</f>
        <v/>
      </c>
      <c r="C96" s="81" t="str">
        <f>IF($A96="","",VLOOKUP($A96,'Annex 2 EHV charges'!$D:$O,3,0))</f>
        <v/>
      </c>
      <c r="D96" s="80" t="str">
        <f>IF($A96="","",VLOOKUP($A96,'Annex 2 EHV charges'!$D:$O,4,0))</f>
        <v/>
      </c>
      <c r="E96" s="82" t="str">
        <f>IFERROR(IF(VLOOKUP($A96,'Annex 2 EHV charges'!$D:$O,10,FALSE)=0,"",VLOOKUP($A96,'Annex 2 EHV charges'!$D:$O,10,FALSE)),"")</f>
        <v/>
      </c>
      <c r="F96" s="83" t="str">
        <f>IFERROR(IF(VLOOKUP($A96,'Annex 2 EHV charges'!$D:$O,11,FALSE)=0,"",VLOOKUP($A96,'Annex 2 EHV charges'!$D:$O,11,FALSE)),"")</f>
        <v/>
      </c>
      <c r="G96" s="84" t="str">
        <f>IFERROR(IF(VLOOKUP($A96,'Annex 2 EHV charges'!$D:$O,12,FALSE)=0,"",VLOOKUP($A96,'Annex 2 EHV charges'!$D:$O,12,FALSE)),"")</f>
        <v/>
      </c>
      <c r="H96" s="84" t="str">
        <f>IFERROR(IF(VLOOKUP($A96,'Annex 2 EHV charges'!$D:$P,13,FALSE)=0,"",VLOOKUP($A96,'Annex 2 EHV charges'!$D:$P,13,FALSE)),"")</f>
        <v/>
      </c>
    </row>
    <row r="97" spans="1:8" ht="12.75" customHeight="1" x14ac:dyDescent="0.2">
      <c r="A97" s="81" t="str">
        <f t="array" ref="A97">IFERROR(INDEX('Annex 2 EHV charges'!$D$10:$D$108, MATCH(0, IF(ISBLANK('Annex 2 EHV charges'!$D$10:$D$108),1, COUNTIF(A$4:$A96, 'Annex 2 EHV charges'!$D$10:$D$108)), 0)),"")</f>
        <v/>
      </c>
      <c r="B97" s="80" t="str">
        <f>IF($A97="","",VLOOKUP($A97,'Annex 2 EHV charges'!$D:$O,2,0))</f>
        <v/>
      </c>
      <c r="C97" s="81" t="str">
        <f>IF($A97="","",VLOOKUP($A97,'Annex 2 EHV charges'!$D:$O,3,0))</f>
        <v/>
      </c>
      <c r="D97" s="80" t="str">
        <f>IF($A97="","",VLOOKUP($A97,'Annex 2 EHV charges'!$D:$O,4,0))</f>
        <v/>
      </c>
      <c r="E97" s="82" t="str">
        <f>IFERROR(IF(VLOOKUP($A97,'Annex 2 EHV charges'!$D:$O,10,FALSE)=0,"",VLOOKUP($A97,'Annex 2 EHV charges'!$D:$O,10,FALSE)),"")</f>
        <v/>
      </c>
      <c r="F97" s="83" t="str">
        <f>IFERROR(IF(VLOOKUP($A97,'Annex 2 EHV charges'!$D:$O,11,FALSE)=0,"",VLOOKUP($A97,'Annex 2 EHV charges'!$D:$O,11,FALSE)),"")</f>
        <v/>
      </c>
      <c r="G97" s="84" t="str">
        <f>IFERROR(IF(VLOOKUP($A97,'Annex 2 EHV charges'!$D:$O,12,FALSE)=0,"",VLOOKUP($A97,'Annex 2 EHV charges'!$D:$O,12,FALSE)),"")</f>
        <v/>
      </c>
      <c r="H97" s="84" t="str">
        <f>IFERROR(IF(VLOOKUP($A97,'Annex 2 EHV charges'!$D:$P,13,FALSE)=0,"",VLOOKUP($A97,'Annex 2 EHV charges'!$D:$P,13,FALSE)),"")</f>
        <v/>
      </c>
    </row>
    <row r="98" spans="1:8" ht="12.75" customHeight="1" x14ac:dyDescent="0.2">
      <c r="A98" s="81" t="str">
        <f t="array" ref="A98">IFERROR(INDEX('Annex 2 EHV charges'!$D$10:$D$108, MATCH(0, IF(ISBLANK('Annex 2 EHV charges'!$D$10:$D$108),1, COUNTIF(A$4:$A97, 'Annex 2 EHV charges'!$D$10:$D$108)), 0)),"")</f>
        <v/>
      </c>
      <c r="B98" s="80" t="str">
        <f>IF($A98="","",VLOOKUP($A98,'Annex 2 EHV charges'!$D:$O,2,0))</f>
        <v/>
      </c>
      <c r="C98" s="81" t="str">
        <f>IF($A98="","",VLOOKUP($A98,'Annex 2 EHV charges'!$D:$O,3,0))</f>
        <v/>
      </c>
      <c r="D98" s="80" t="str">
        <f>IF($A98="","",VLOOKUP($A98,'Annex 2 EHV charges'!$D:$O,4,0))</f>
        <v/>
      </c>
      <c r="E98" s="82" t="str">
        <f>IFERROR(IF(VLOOKUP($A98,'Annex 2 EHV charges'!$D:$O,10,FALSE)=0,"",VLOOKUP($A98,'Annex 2 EHV charges'!$D:$O,10,FALSE)),"")</f>
        <v/>
      </c>
      <c r="F98" s="83" t="str">
        <f>IFERROR(IF(VLOOKUP($A98,'Annex 2 EHV charges'!$D:$O,11,FALSE)=0,"",VLOOKUP($A98,'Annex 2 EHV charges'!$D:$O,11,FALSE)),"")</f>
        <v/>
      </c>
      <c r="G98" s="84" t="str">
        <f>IFERROR(IF(VLOOKUP($A98,'Annex 2 EHV charges'!$D:$O,12,FALSE)=0,"",VLOOKUP($A98,'Annex 2 EHV charges'!$D:$O,12,FALSE)),"")</f>
        <v/>
      </c>
      <c r="H98" s="84" t="str">
        <f>IFERROR(IF(VLOOKUP($A98,'Annex 2 EHV charges'!$D:$P,13,FALSE)=0,"",VLOOKUP($A98,'Annex 2 EHV charges'!$D:$P,13,FALSE)),"")</f>
        <v/>
      </c>
    </row>
    <row r="99" spans="1:8" ht="12.75" customHeight="1" x14ac:dyDescent="0.2">
      <c r="A99" s="81" t="str">
        <f t="array" ref="A99">IFERROR(INDEX('Annex 2 EHV charges'!$D$10:$D$108, MATCH(0, IF(ISBLANK('Annex 2 EHV charges'!$D$10:$D$108),1, COUNTIF(A$4:$A98, 'Annex 2 EHV charges'!$D$10:$D$108)), 0)),"")</f>
        <v/>
      </c>
      <c r="B99" s="80" t="str">
        <f>IF($A99="","",VLOOKUP($A99,'Annex 2 EHV charges'!$D:$O,2,0))</f>
        <v/>
      </c>
      <c r="C99" s="81" t="str">
        <f>IF($A99="","",VLOOKUP($A99,'Annex 2 EHV charges'!$D:$O,3,0))</f>
        <v/>
      </c>
      <c r="D99" s="80" t="str">
        <f>IF($A99="","",VLOOKUP($A99,'Annex 2 EHV charges'!$D:$O,4,0))</f>
        <v/>
      </c>
      <c r="E99" s="82" t="str">
        <f>IFERROR(IF(VLOOKUP($A99,'Annex 2 EHV charges'!$D:$O,10,FALSE)=0,"",VLOOKUP($A99,'Annex 2 EHV charges'!$D:$O,10,FALSE)),"")</f>
        <v/>
      </c>
      <c r="F99" s="83" t="str">
        <f>IFERROR(IF(VLOOKUP($A99,'Annex 2 EHV charges'!$D:$O,11,FALSE)=0,"",VLOOKUP($A99,'Annex 2 EHV charges'!$D:$O,11,FALSE)),"")</f>
        <v/>
      </c>
      <c r="G99" s="84" t="str">
        <f>IFERROR(IF(VLOOKUP($A99,'Annex 2 EHV charges'!$D:$O,12,FALSE)=0,"",VLOOKUP($A99,'Annex 2 EHV charges'!$D:$O,12,FALSE)),"")</f>
        <v/>
      </c>
      <c r="H99" s="84" t="str">
        <f>IFERROR(IF(VLOOKUP($A99,'Annex 2 EHV charges'!$D:$P,13,FALSE)=0,"",VLOOKUP($A99,'Annex 2 EHV charges'!$D:$P,13,FALSE)),"")</f>
        <v/>
      </c>
    </row>
    <row r="100" spans="1:8" ht="12.75" customHeight="1" x14ac:dyDescent="0.2">
      <c r="A100" s="81" t="str">
        <f t="array" ref="A100">IFERROR(INDEX('Annex 2 EHV charges'!$D$10:$D$108, MATCH(0, IF(ISBLANK('Annex 2 EHV charges'!$D$10:$D$108),1, COUNTIF(A$4:$A99, 'Annex 2 EHV charges'!$D$10:$D$108)), 0)),"")</f>
        <v/>
      </c>
      <c r="B100" s="80" t="str">
        <f>IF($A100="","",VLOOKUP($A100,'Annex 2 EHV charges'!$D:$O,2,0))</f>
        <v/>
      </c>
      <c r="C100" s="81" t="str">
        <f>IF($A100="","",VLOOKUP($A100,'Annex 2 EHV charges'!$D:$O,3,0))</f>
        <v/>
      </c>
      <c r="D100" s="80" t="str">
        <f>IF($A100="","",VLOOKUP($A100,'Annex 2 EHV charges'!$D:$O,4,0))</f>
        <v/>
      </c>
      <c r="E100" s="82" t="str">
        <f>IFERROR(IF(VLOOKUP($A100,'Annex 2 EHV charges'!$D:$O,10,FALSE)=0,"",VLOOKUP($A100,'Annex 2 EHV charges'!$D:$O,10,FALSE)),"")</f>
        <v/>
      </c>
      <c r="F100" s="83" t="str">
        <f>IFERROR(IF(VLOOKUP($A100,'Annex 2 EHV charges'!$D:$O,11,FALSE)=0,"",VLOOKUP($A100,'Annex 2 EHV charges'!$D:$O,11,FALSE)),"")</f>
        <v/>
      </c>
      <c r="G100" s="84" t="str">
        <f>IFERROR(IF(VLOOKUP($A100,'Annex 2 EHV charges'!$D:$O,12,FALSE)=0,"",VLOOKUP($A100,'Annex 2 EHV charges'!$D:$O,12,FALSE)),"")</f>
        <v/>
      </c>
      <c r="H100" s="84" t="str">
        <f>IFERROR(IF(VLOOKUP($A100,'Annex 2 EHV charges'!$D:$P,13,FALSE)=0,"",VLOOKUP($A100,'Annex 2 EHV charges'!$D:$P,13,FALSE)),"")</f>
        <v/>
      </c>
    </row>
    <row r="101" spans="1:8" ht="12.75" customHeight="1" x14ac:dyDescent="0.2">
      <c r="A101" s="81" t="str">
        <f t="array" ref="A101">IFERROR(INDEX('Annex 2 EHV charges'!$D$10:$D$108, MATCH(0, IF(ISBLANK('Annex 2 EHV charges'!$D$10:$D$108),1, COUNTIF(A$4:$A100, 'Annex 2 EHV charges'!$D$10:$D$108)), 0)),"")</f>
        <v/>
      </c>
      <c r="B101" s="80" t="str">
        <f>IF($A101="","",VLOOKUP($A101,'Annex 2 EHV charges'!$D:$O,2,0))</f>
        <v/>
      </c>
      <c r="C101" s="81" t="str">
        <f>IF($A101="","",VLOOKUP($A101,'Annex 2 EHV charges'!$D:$O,3,0))</f>
        <v/>
      </c>
      <c r="D101" s="80" t="str">
        <f>IF($A101="","",VLOOKUP($A101,'Annex 2 EHV charges'!$D:$O,4,0))</f>
        <v/>
      </c>
      <c r="E101" s="82" t="str">
        <f>IFERROR(IF(VLOOKUP($A101,'Annex 2 EHV charges'!$D:$O,10,FALSE)=0,"",VLOOKUP($A101,'Annex 2 EHV charges'!$D:$O,10,FALSE)),"")</f>
        <v/>
      </c>
      <c r="F101" s="83" t="str">
        <f>IFERROR(IF(VLOOKUP($A101,'Annex 2 EHV charges'!$D:$O,11,FALSE)=0,"",VLOOKUP($A101,'Annex 2 EHV charges'!$D:$O,11,FALSE)),"")</f>
        <v/>
      </c>
      <c r="G101" s="84" t="str">
        <f>IFERROR(IF(VLOOKUP($A101,'Annex 2 EHV charges'!$D:$O,12,FALSE)=0,"",VLOOKUP($A101,'Annex 2 EHV charges'!$D:$O,12,FALSE)),"")</f>
        <v/>
      </c>
      <c r="H101" s="84" t="str">
        <f>IFERROR(IF(VLOOKUP($A101,'Annex 2 EHV charges'!$D:$P,13,FALSE)=0,"",VLOOKUP($A101,'Annex 2 EHV charges'!$D:$P,13,FALSE)),"")</f>
        <v/>
      </c>
    </row>
    <row r="102" spans="1:8" ht="12.75" customHeight="1" x14ac:dyDescent="0.2">
      <c r="A102" s="81" t="str">
        <f t="array" ref="A102">IFERROR(INDEX('Annex 2 EHV charges'!$D$10:$D$108, MATCH(0, IF(ISBLANK('Annex 2 EHV charges'!$D$10:$D$108),1, COUNTIF(A$4:$A101, 'Annex 2 EHV charges'!$D$10:$D$108)), 0)),"")</f>
        <v/>
      </c>
      <c r="B102" s="80" t="str">
        <f>IF($A102="","",VLOOKUP($A102,'Annex 2 EHV charges'!$D:$O,2,0))</f>
        <v/>
      </c>
      <c r="C102" s="81" t="str">
        <f>IF($A102="","",VLOOKUP($A102,'Annex 2 EHV charges'!$D:$O,3,0))</f>
        <v/>
      </c>
      <c r="D102" s="80" t="str">
        <f>IF($A102="","",VLOOKUP($A102,'Annex 2 EHV charges'!$D:$O,4,0))</f>
        <v/>
      </c>
      <c r="E102" s="82" t="str">
        <f>IFERROR(IF(VLOOKUP($A102,'Annex 2 EHV charges'!$D:$O,10,FALSE)=0,"",VLOOKUP($A102,'Annex 2 EHV charges'!$D:$O,10,FALSE)),"")</f>
        <v/>
      </c>
      <c r="F102" s="83" t="str">
        <f>IFERROR(IF(VLOOKUP($A102,'Annex 2 EHV charges'!$D:$O,11,FALSE)=0,"",VLOOKUP($A102,'Annex 2 EHV charges'!$D:$O,11,FALSE)),"")</f>
        <v/>
      </c>
      <c r="G102" s="84" t="str">
        <f>IFERROR(IF(VLOOKUP($A102,'Annex 2 EHV charges'!$D:$O,12,FALSE)=0,"",VLOOKUP($A102,'Annex 2 EHV charges'!$D:$O,12,FALSE)),"")</f>
        <v/>
      </c>
      <c r="H102" s="84" t="str">
        <f>IFERROR(IF(VLOOKUP($A102,'Annex 2 EHV charges'!$D:$P,13,FALSE)=0,"",VLOOKUP($A102,'Annex 2 EHV charges'!$D:$P,13,FALSE)),"")</f>
        <v/>
      </c>
    </row>
    <row r="103" spans="1:8" ht="12.75" customHeight="1" x14ac:dyDescent="0.2">
      <c r="A103" s="81" t="str">
        <f t="array" ref="A103">IFERROR(INDEX('Annex 2 EHV charges'!$D$10:$D$108, MATCH(0, IF(ISBLANK('Annex 2 EHV charges'!$D$10:$D$108),1, COUNTIF(A$4:$A102, 'Annex 2 EHV charges'!$D$10:$D$108)), 0)),"")</f>
        <v/>
      </c>
      <c r="B103" s="80" t="str">
        <f>IF($A103="","",VLOOKUP($A103,'Annex 2 EHV charges'!$D:$O,2,0))</f>
        <v/>
      </c>
      <c r="C103" s="81" t="str">
        <f>IF($A103="","",VLOOKUP($A103,'Annex 2 EHV charges'!$D:$O,3,0))</f>
        <v/>
      </c>
      <c r="D103" s="80" t="str">
        <f>IF($A103="","",VLOOKUP($A103,'Annex 2 EHV charges'!$D:$O,4,0))</f>
        <v/>
      </c>
      <c r="E103" s="82" t="str">
        <f>IFERROR(IF(VLOOKUP($A103,'Annex 2 EHV charges'!$D:$O,10,FALSE)=0,"",VLOOKUP($A103,'Annex 2 EHV charges'!$D:$O,10,FALSE)),"")</f>
        <v/>
      </c>
      <c r="F103" s="83" t="str">
        <f>IFERROR(IF(VLOOKUP($A103,'Annex 2 EHV charges'!$D:$O,11,FALSE)=0,"",VLOOKUP($A103,'Annex 2 EHV charges'!$D:$O,11,FALSE)),"")</f>
        <v/>
      </c>
      <c r="G103" s="84" t="str">
        <f>IFERROR(IF(VLOOKUP($A103,'Annex 2 EHV charges'!$D:$O,12,FALSE)=0,"",VLOOKUP($A103,'Annex 2 EHV charges'!$D:$O,12,FALSE)),"")</f>
        <v/>
      </c>
      <c r="H103" s="84" t="str">
        <f>IFERROR(IF(VLOOKUP($A103,'Annex 2 EHV charges'!$D:$P,13,FALSE)=0,"",VLOOKUP($A103,'Annex 2 EHV charges'!$D:$P,13,FALSE)),"")</f>
        <v/>
      </c>
    </row>
    <row r="104" spans="1:8" ht="12.75" customHeight="1" x14ac:dyDescent="0.2">
      <c r="A104" s="81" t="str">
        <f t="array" ref="A104">IFERROR(INDEX('Annex 2 EHV charges'!$D$10:$D$108, MATCH(0, IF(ISBLANK('Annex 2 EHV charges'!$D$10:$D$108),1, COUNTIF(A$4:$A103, 'Annex 2 EHV charges'!$D$10:$D$108)), 0)),"")</f>
        <v/>
      </c>
      <c r="B104" s="80" t="str">
        <f>IF($A104="","",VLOOKUP($A104,'Annex 2 EHV charges'!$D:$O,2,0))</f>
        <v/>
      </c>
      <c r="C104" s="81" t="str">
        <f>IF($A104="","",VLOOKUP($A104,'Annex 2 EHV charges'!$D:$O,3,0))</f>
        <v/>
      </c>
      <c r="D104" s="80" t="str">
        <f>IF($A104="","",VLOOKUP($A104,'Annex 2 EHV charges'!$D:$O,4,0))</f>
        <v/>
      </c>
      <c r="E104" s="82" t="str">
        <f>IFERROR(IF(VLOOKUP($A104,'Annex 2 EHV charges'!$D:$O,10,FALSE)=0,"",VLOOKUP($A104,'Annex 2 EHV charges'!$D:$O,10,FALSE)),"")</f>
        <v/>
      </c>
      <c r="F104" s="83" t="str">
        <f>IFERROR(IF(VLOOKUP($A104,'Annex 2 EHV charges'!$D:$O,11,FALSE)=0,"",VLOOKUP($A104,'Annex 2 EHV charges'!$D:$O,11,FALSE)),"")</f>
        <v/>
      </c>
      <c r="G104" s="84" t="str">
        <f>IFERROR(IF(VLOOKUP($A104,'Annex 2 EHV charges'!$D:$O,12,FALSE)=0,"",VLOOKUP($A104,'Annex 2 EHV charges'!$D:$O,12,FALSE)),"")</f>
        <v/>
      </c>
      <c r="H104" s="84" t="str">
        <f>IFERROR(IF(VLOOKUP($A104,'Annex 2 EHV charges'!$D:$P,13,FALSE)=0,"",VLOOKUP($A104,'Annex 2 EHV charges'!$D:$P,13,FALSE)),"")</f>
        <v/>
      </c>
    </row>
    <row r="105" spans="1:8" ht="12.75" customHeight="1" x14ac:dyDescent="0.2">
      <c r="A105" s="81" t="str">
        <f t="array" ref="A105">IFERROR(INDEX('Annex 2 EHV charges'!$D$10:$D$108, MATCH(0, IF(ISBLANK('Annex 2 EHV charges'!$D$10:$D$108),1, COUNTIF(A$4:$A104, 'Annex 2 EHV charges'!$D$10:$D$108)), 0)),"")</f>
        <v/>
      </c>
      <c r="B105" s="80" t="str">
        <f>IF($A105="","",VLOOKUP($A105,'Annex 2 EHV charges'!$D:$O,2,0))</f>
        <v/>
      </c>
      <c r="C105" s="81" t="str">
        <f>IF($A105="","",VLOOKUP($A105,'Annex 2 EHV charges'!$D:$O,3,0))</f>
        <v/>
      </c>
      <c r="D105" s="80" t="str">
        <f>IF($A105="","",VLOOKUP($A105,'Annex 2 EHV charges'!$D:$O,4,0))</f>
        <v/>
      </c>
      <c r="E105" s="82" t="str">
        <f>IFERROR(IF(VLOOKUP($A105,'Annex 2 EHV charges'!$D:$O,10,FALSE)=0,"",VLOOKUP($A105,'Annex 2 EHV charges'!$D:$O,10,FALSE)),"")</f>
        <v/>
      </c>
      <c r="F105" s="83" t="str">
        <f>IFERROR(IF(VLOOKUP($A105,'Annex 2 EHV charges'!$D:$O,11,FALSE)=0,"",VLOOKUP($A105,'Annex 2 EHV charges'!$D:$O,11,FALSE)),"")</f>
        <v/>
      </c>
      <c r="G105" s="84" t="str">
        <f>IFERROR(IF(VLOOKUP($A105,'Annex 2 EHV charges'!$D:$O,12,FALSE)=0,"",VLOOKUP($A105,'Annex 2 EHV charges'!$D:$O,12,FALSE)),"")</f>
        <v/>
      </c>
      <c r="H105" s="84" t="str">
        <f>IFERROR(IF(VLOOKUP($A105,'Annex 2 EHV charges'!$D:$P,13,FALSE)=0,"",VLOOKUP($A105,'Annex 2 EHV charges'!$D:$P,13,FALSE)),"")</f>
        <v/>
      </c>
    </row>
    <row r="106" spans="1:8" ht="12.75" customHeight="1" x14ac:dyDescent="0.2">
      <c r="A106" s="81" t="str">
        <f t="array" ref="A106">IFERROR(INDEX('Annex 2 EHV charges'!$D$10:$D$108, MATCH(0, IF(ISBLANK('Annex 2 EHV charges'!$D$10:$D$108),1, COUNTIF(A$4:$A105, 'Annex 2 EHV charges'!$D$10:$D$108)), 0)),"")</f>
        <v/>
      </c>
      <c r="B106" s="80" t="str">
        <f>IF($A106="","",VLOOKUP($A106,'Annex 2 EHV charges'!$D:$O,2,0))</f>
        <v/>
      </c>
      <c r="C106" s="81" t="str">
        <f>IF($A106="","",VLOOKUP($A106,'Annex 2 EHV charges'!$D:$O,3,0))</f>
        <v/>
      </c>
      <c r="D106" s="80" t="str">
        <f>IF($A106="","",VLOOKUP($A106,'Annex 2 EHV charges'!$D:$O,4,0))</f>
        <v/>
      </c>
      <c r="E106" s="82" t="str">
        <f>IFERROR(IF(VLOOKUP($A106,'Annex 2 EHV charges'!$D:$O,10,FALSE)=0,"",VLOOKUP($A106,'Annex 2 EHV charges'!$D:$O,10,FALSE)),"")</f>
        <v/>
      </c>
      <c r="F106" s="83" t="str">
        <f>IFERROR(IF(VLOOKUP($A106,'Annex 2 EHV charges'!$D:$O,11,FALSE)=0,"",VLOOKUP($A106,'Annex 2 EHV charges'!$D:$O,11,FALSE)),"")</f>
        <v/>
      </c>
      <c r="G106" s="84" t="str">
        <f>IFERROR(IF(VLOOKUP($A106,'Annex 2 EHV charges'!$D:$O,12,FALSE)=0,"",VLOOKUP($A106,'Annex 2 EHV charges'!$D:$O,12,FALSE)),"")</f>
        <v/>
      </c>
      <c r="H106" s="84" t="str">
        <f>IFERROR(IF(VLOOKUP($A106,'Annex 2 EHV charges'!$D:$P,13,FALSE)=0,"",VLOOKUP($A106,'Annex 2 EHV charges'!$D:$P,13,FALSE)),"")</f>
        <v/>
      </c>
    </row>
    <row r="107" spans="1:8" ht="12.75" customHeight="1" x14ac:dyDescent="0.2">
      <c r="A107" s="81" t="str">
        <f t="array" ref="A107">IFERROR(INDEX('Annex 2 EHV charges'!$D$10:$D$108, MATCH(0, IF(ISBLANK('Annex 2 EHV charges'!$D$10:$D$108),1, COUNTIF(A$4:$A106, 'Annex 2 EHV charges'!$D$10:$D$108)), 0)),"")</f>
        <v/>
      </c>
      <c r="B107" s="80" t="str">
        <f>IF($A107="","",VLOOKUP($A107,'Annex 2 EHV charges'!$D:$O,2,0))</f>
        <v/>
      </c>
      <c r="C107" s="81" t="str">
        <f>IF($A107="","",VLOOKUP($A107,'Annex 2 EHV charges'!$D:$O,3,0))</f>
        <v/>
      </c>
      <c r="D107" s="80" t="str">
        <f>IF($A107="","",VLOOKUP($A107,'Annex 2 EHV charges'!$D:$O,4,0))</f>
        <v/>
      </c>
      <c r="E107" s="82" t="str">
        <f>IFERROR(IF(VLOOKUP($A107,'Annex 2 EHV charges'!$D:$O,10,FALSE)=0,"",VLOOKUP($A107,'Annex 2 EHV charges'!$D:$O,10,FALSE)),"")</f>
        <v/>
      </c>
      <c r="F107" s="83" t="str">
        <f>IFERROR(IF(VLOOKUP($A107,'Annex 2 EHV charges'!$D:$O,11,FALSE)=0,"",VLOOKUP($A107,'Annex 2 EHV charges'!$D:$O,11,FALSE)),"")</f>
        <v/>
      </c>
      <c r="G107" s="84" t="str">
        <f>IFERROR(IF(VLOOKUP($A107,'Annex 2 EHV charges'!$D:$O,12,FALSE)=0,"",VLOOKUP($A107,'Annex 2 EHV charges'!$D:$O,12,FALSE)),"")</f>
        <v/>
      </c>
      <c r="H107" s="84" t="str">
        <f>IFERROR(IF(VLOOKUP($A107,'Annex 2 EHV charges'!$D:$P,13,FALSE)=0,"",VLOOKUP($A107,'Annex 2 EHV charges'!$D:$P,13,FALSE)),"")</f>
        <v/>
      </c>
    </row>
    <row r="108" spans="1:8" ht="12.75" customHeight="1" x14ac:dyDescent="0.2">
      <c r="A108" s="81" t="str">
        <f t="array" ref="A108">IFERROR(INDEX('Annex 2 EHV charges'!$D$10:$D$108, MATCH(0, IF(ISBLANK('Annex 2 EHV charges'!$D$10:$D$108),1, COUNTIF(A$4:$A107, 'Annex 2 EHV charges'!$D$10:$D$108)), 0)),"")</f>
        <v/>
      </c>
      <c r="B108" s="80" t="str">
        <f>IF($A108="","",VLOOKUP($A108,'Annex 2 EHV charges'!$D:$O,2,0))</f>
        <v/>
      </c>
      <c r="C108" s="81" t="str">
        <f>IF($A108="","",VLOOKUP($A108,'Annex 2 EHV charges'!$D:$O,3,0))</f>
        <v/>
      </c>
      <c r="D108" s="80" t="str">
        <f>IF($A108="","",VLOOKUP($A108,'Annex 2 EHV charges'!$D:$O,4,0))</f>
        <v/>
      </c>
      <c r="E108" s="82" t="str">
        <f>IFERROR(IF(VLOOKUP($A108,'Annex 2 EHV charges'!$D:$O,10,FALSE)=0,"",VLOOKUP($A108,'Annex 2 EHV charges'!$D:$O,10,FALSE)),"")</f>
        <v/>
      </c>
      <c r="F108" s="83" t="str">
        <f>IFERROR(IF(VLOOKUP($A108,'Annex 2 EHV charges'!$D:$O,11,FALSE)=0,"",VLOOKUP($A108,'Annex 2 EHV charges'!$D:$O,11,FALSE)),"")</f>
        <v/>
      </c>
      <c r="G108" s="84" t="str">
        <f>IFERROR(IF(VLOOKUP($A108,'Annex 2 EHV charges'!$D:$O,12,FALSE)=0,"",VLOOKUP($A108,'Annex 2 EHV charges'!$D:$O,12,FALSE)),"")</f>
        <v/>
      </c>
      <c r="H108" s="84" t="str">
        <f>IFERROR(IF(VLOOKUP($A108,'Annex 2 EHV charges'!$D:$P,13,FALSE)=0,"",VLOOKUP($A108,'Annex 2 EHV charges'!$D:$P,13,FALSE)),"")</f>
        <v/>
      </c>
    </row>
    <row r="109" spans="1:8" ht="12.75" customHeight="1" x14ac:dyDescent="0.2">
      <c r="A109" s="81" t="str">
        <f t="array" ref="A109">IFERROR(INDEX('Annex 2 EHV charges'!$D$10:$D$108, MATCH(0, IF(ISBLANK('Annex 2 EHV charges'!$D$10:$D$108),1, COUNTIF(A$4:$A108, 'Annex 2 EHV charges'!$D$10:$D$108)), 0)),"")</f>
        <v/>
      </c>
      <c r="B109" s="80" t="str">
        <f>IF($A109="","",VLOOKUP($A109,'Annex 2 EHV charges'!$D:$O,2,0))</f>
        <v/>
      </c>
      <c r="C109" s="81" t="str">
        <f>IF($A109="","",VLOOKUP($A109,'Annex 2 EHV charges'!$D:$O,3,0))</f>
        <v/>
      </c>
      <c r="D109" s="80" t="str">
        <f>IF($A109="","",VLOOKUP($A109,'Annex 2 EHV charges'!$D:$O,4,0))</f>
        <v/>
      </c>
      <c r="E109" s="82" t="str">
        <f>IFERROR(IF(VLOOKUP($A109,'Annex 2 EHV charges'!$D:$O,10,FALSE)=0,"",VLOOKUP($A109,'Annex 2 EHV charges'!$D:$O,10,FALSE)),"")</f>
        <v/>
      </c>
      <c r="F109" s="83" t="str">
        <f>IFERROR(IF(VLOOKUP($A109,'Annex 2 EHV charges'!$D:$O,11,FALSE)=0,"",VLOOKUP($A109,'Annex 2 EHV charges'!$D:$O,11,FALSE)),"")</f>
        <v/>
      </c>
      <c r="G109" s="84" t="str">
        <f>IFERROR(IF(VLOOKUP($A109,'Annex 2 EHV charges'!$D:$O,12,FALSE)=0,"",VLOOKUP($A109,'Annex 2 EHV charges'!$D:$O,12,FALSE)),"")</f>
        <v/>
      </c>
      <c r="H109" s="84" t="str">
        <f>IFERROR(IF(VLOOKUP($A109,'Annex 2 EHV charges'!$D:$P,13,FALSE)=0,"",VLOOKUP($A109,'Annex 2 EHV charges'!$D:$P,13,FALSE)),"")</f>
        <v/>
      </c>
    </row>
    <row r="110" spans="1:8" ht="12.75" customHeight="1" x14ac:dyDescent="0.2">
      <c r="A110" s="81" t="str">
        <f t="array" ref="A110">IFERROR(INDEX('Annex 2 EHV charges'!$D$10:$D$108, MATCH(0, IF(ISBLANK('Annex 2 EHV charges'!$D$10:$D$108),1, COUNTIF(A$4:$A109, 'Annex 2 EHV charges'!$D$10:$D$108)), 0)),"")</f>
        <v/>
      </c>
      <c r="B110" s="80" t="str">
        <f>IF($A110="","",VLOOKUP($A110,'Annex 2 EHV charges'!$D:$O,2,0))</f>
        <v/>
      </c>
      <c r="C110" s="81" t="str">
        <f>IF($A110="","",VLOOKUP($A110,'Annex 2 EHV charges'!$D:$O,3,0))</f>
        <v/>
      </c>
      <c r="D110" s="80" t="str">
        <f>IF($A110="","",VLOOKUP($A110,'Annex 2 EHV charges'!$D:$O,4,0))</f>
        <v/>
      </c>
      <c r="E110" s="82" t="str">
        <f>IFERROR(IF(VLOOKUP($A110,'Annex 2 EHV charges'!$D:$O,10,FALSE)=0,"",VLOOKUP($A110,'Annex 2 EHV charges'!$D:$O,10,FALSE)),"")</f>
        <v/>
      </c>
      <c r="F110" s="83" t="str">
        <f>IFERROR(IF(VLOOKUP($A110,'Annex 2 EHV charges'!$D:$O,11,FALSE)=0,"",VLOOKUP($A110,'Annex 2 EHV charges'!$D:$O,11,FALSE)),"")</f>
        <v/>
      </c>
      <c r="G110" s="84" t="str">
        <f>IFERROR(IF(VLOOKUP($A110,'Annex 2 EHV charges'!$D:$O,12,FALSE)=0,"",VLOOKUP($A110,'Annex 2 EHV charges'!$D:$O,12,FALSE)),"")</f>
        <v/>
      </c>
      <c r="H110" s="84" t="str">
        <f>IFERROR(IF(VLOOKUP($A110,'Annex 2 EHV charges'!$D:$P,13,FALSE)=0,"",VLOOKUP($A110,'Annex 2 EHV charges'!$D:$P,13,FALSE)),"")</f>
        <v/>
      </c>
    </row>
    <row r="111" spans="1:8" ht="12.75" customHeight="1" x14ac:dyDescent="0.2">
      <c r="A111" s="81" t="str">
        <f t="array" ref="A111">IFERROR(INDEX('Annex 2 EHV charges'!$D$10:$D$108, MATCH(0, IF(ISBLANK('Annex 2 EHV charges'!$D$10:$D$108),1, COUNTIF(A$4:$A110, 'Annex 2 EHV charges'!$D$10:$D$108)), 0)),"")</f>
        <v/>
      </c>
      <c r="B111" s="80" t="str">
        <f>IF($A111="","",VLOOKUP($A111,'Annex 2 EHV charges'!$D:$O,2,0))</f>
        <v/>
      </c>
      <c r="C111" s="81" t="str">
        <f>IF($A111="","",VLOOKUP($A111,'Annex 2 EHV charges'!$D:$O,3,0))</f>
        <v/>
      </c>
      <c r="D111" s="80" t="str">
        <f>IF($A111="","",VLOOKUP($A111,'Annex 2 EHV charges'!$D:$O,4,0))</f>
        <v/>
      </c>
      <c r="E111" s="82" t="str">
        <f>IFERROR(IF(VLOOKUP($A111,'Annex 2 EHV charges'!$D:$O,10,FALSE)=0,"",VLOOKUP($A111,'Annex 2 EHV charges'!$D:$O,10,FALSE)),"")</f>
        <v/>
      </c>
      <c r="F111" s="83" t="str">
        <f>IFERROR(IF(VLOOKUP($A111,'Annex 2 EHV charges'!$D:$O,11,FALSE)=0,"",VLOOKUP($A111,'Annex 2 EHV charges'!$D:$O,11,FALSE)),"")</f>
        <v/>
      </c>
      <c r="G111" s="84" t="str">
        <f>IFERROR(IF(VLOOKUP($A111,'Annex 2 EHV charges'!$D:$O,12,FALSE)=0,"",VLOOKUP($A111,'Annex 2 EHV charges'!$D:$O,12,FALSE)),"")</f>
        <v/>
      </c>
      <c r="H111" s="84" t="str">
        <f>IFERROR(IF(VLOOKUP($A111,'Annex 2 EHV charges'!$D:$P,13,FALSE)=0,"",VLOOKUP($A111,'Annex 2 EHV charges'!$D:$P,13,FALSE)),"")</f>
        <v/>
      </c>
    </row>
    <row r="112" spans="1:8" ht="12.75" customHeight="1" x14ac:dyDescent="0.2">
      <c r="A112" s="81" t="str">
        <f t="array" ref="A112">IFERROR(INDEX('Annex 2 EHV charges'!$D$10:$D$108, MATCH(0, IF(ISBLANK('Annex 2 EHV charges'!$D$10:$D$108),1, COUNTIF(A$4:$A111, 'Annex 2 EHV charges'!$D$10:$D$108)), 0)),"")</f>
        <v/>
      </c>
      <c r="B112" s="80" t="str">
        <f>IF($A112="","",VLOOKUP($A112,'Annex 2 EHV charges'!$D:$O,2,0))</f>
        <v/>
      </c>
      <c r="C112" s="81" t="str">
        <f>IF($A112="","",VLOOKUP($A112,'Annex 2 EHV charges'!$D:$O,3,0))</f>
        <v/>
      </c>
      <c r="D112" s="80" t="str">
        <f>IF($A112="","",VLOOKUP($A112,'Annex 2 EHV charges'!$D:$O,4,0))</f>
        <v/>
      </c>
      <c r="E112" s="82" t="str">
        <f>IFERROR(IF(VLOOKUP($A112,'Annex 2 EHV charges'!$D:$O,10,FALSE)=0,"",VLOOKUP($A112,'Annex 2 EHV charges'!$D:$O,10,FALSE)),"")</f>
        <v/>
      </c>
      <c r="F112" s="83" t="str">
        <f>IFERROR(IF(VLOOKUP($A112,'Annex 2 EHV charges'!$D:$O,11,FALSE)=0,"",VLOOKUP($A112,'Annex 2 EHV charges'!$D:$O,11,FALSE)),"")</f>
        <v/>
      </c>
      <c r="G112" s="84" t="str">
        <f>IFERROR(IF(VLOOKUP($A112,'Annex 2 EHV charges'!$D:$O,12,FALSE)=0,"",VLOOKUP($A112,'Annex 2 EHV charges'!$D:$O,12,FALSE)),"")</f>
        <v/>
      </c>
      <c r="H112" s="84" t="str">
        <f>IFERROR(IF(VLOOKUP($A112,'Annex 2 EHV charges'!$D:$P,13,FALSE)=0,"",VLOOKUP($A112,'Annex 2 EHV charges'!$D:$P,13,FALSE)),"")</f>
        <v/>
      </c>
    </row>
    <row r="113" spans="1:8" ht="12.75" customHeight="1" x14ac:dyDescent="0.2">
      <c r="A113" s="81" t="str">
        <f t="array" ref="A113">IFERROR(INDEX('Annex 2 EHV charges'!$D$10:$D$108, MATCH(0, IF(ISBLANK('Annex 2 EHV charges'!$D$10:$D$108),1, COUNTIF(A$4:$A112, 'Annex 2 EHV charges'!$D$10:$D$108)), 0)),"")</f>
        <v/>
      </c>
      <c r="B113" s="80" t="str">
        <f>IF($A113="","",VLOOKUP($A113,'Annex 2 EHV charges'!$D:$O,2,0))</f>
        <v/>
      </c>
      <c r="C113" s="81" t="str">
        <f>IF($A113="","",VLOOKUP($A113,'Annex 2 EHV charges'!$D:$O,3,0))</f>
        <v/>
      </c>
      <c r="D113" s="80" t="str">
        <f>IF($A113="","",VLOOKUP($A113,'Annex 2 EHV charges'!$D:$O,4,0))</f>
        <v/>
      </c>
      <c r="E113" s="82" t="str">
        <f>IFERROR(IF(VLOOKUP($A113,'Annex 2 EHV charges'!$D:$O,10,FALSE)=0,"",VLOOKUP($A113,'Annex 2 EHV charges'!$D:$O,10,FALSE)),"")</f>
        <v/>
      </c>
      <c r="F113" s="83" t="str">
        <f>IFERROR(IF(VLOOKUP($A113,'Annex 2 EHV charges'!$D:$O,11,FALSE)=0,"",VLOOKUP($A113,'Annex 2 EHV charges'!$D:$O,11,FALSE)),"")</f>
        <v/>
      </c>
      <c r="G113" s="84" t="str">
        <f>IFERROR(IF(VLOOKUP($A113,'Annex 2 EHV charges'!$D:$O,12,FALSE)=0,"",VLOOKUP($A113,'Annex 2 EHV charges'!$D:$O,12,FALSE)),"")</f>
        <v/>
      </c>
      <c r="H113" s="84" t="str">
        <f>IFERROR(IF(VLOOKUP($A113,'Annex 2 EHV charges'!$D:$P,13,FALSE)=0,"",VLOOKUP($A113,'Annex 2 EHV charges'!$D:$P,13,FALSE)),"")</f>
        <v/>
      </c>
    </row>
    <row r="114" spans="1:8" ht="12.75" customHeight="1" x14ac:dyDescent="0.2">
      <c r="A114" s="81" t="str">
        <f t="array" ref="A114">IFERROR(INDEX('Annex 2 EHV charges'!$D$10:$D$108, MATCH(0, IF(ISBLANK('Annex 2 EHV charges'!$D$10:$D$108),1, COUNTIF(A$4:$A113, 'Annex 2 EHV charges'!$D$10:$D$108)), 0)),"")</f>
        <v/>
      </c>
      <c r="B114" s="80" t="str">
        <f>IF($A114="","",VLOOKUP($A114,'Annex 2 EHV charges'!$D:$O,2,0))</f>
        <v/>
      </c>
      <c r="C114" s="81" t="str">
        <f>IF($A114="","",VLOOKUP($A114,'Annex 2 EHV charges'!$D:$O,3,0))</f>
        <v/>
      </c>
      <c r="D114" s="80" t="str">
        <f>IF($A114="","",VLOOKUP($A114,'Annex 2 EHV charges'!$D:$O,4,0))</f>
        <v/>
      </c>
      <c r="E114" s="82" t="str">
        <f>IFERROR(IF(VLOOKUP($A114,'Annex 2 EHV charges'!$D:$O,10,FALSE)=0,"",VLOOKUP($A114,'Annex 2 EHV charges'!$D:$O,10,FALSE)),"")</f>
        <v/>
      </c>
      <c r="F114" s="83" t="str">
        <f>IFERROR(IF(VLOOKUP($A114,'Annex 2 EHV charges'!$D:$O,11,FALSE)=0,"",VLOOKUP($A114,'Annex 2 EHV charges'!$D:$O,11,FALSE)),"")</f>
        <v/>
      </c>
      <c r="G114" s="84" t="str">
        <f>IFERROR(IF(VLOOKUP($A114,'Annex 2 EHV charges'!$D:$O,12,FALSE)=0,"",VLOOKUP($A114,'Annex 2 EHV charges'!$D:$O,12,FALSE)),"")</f>
        <v/>
      </c>
      <c r="H114" s="84" t="str">
        <f>IFERROR(IF(VLOOKUP($A114,'Annex 2 EHV charges'!$D:$P,13,FALSE)=0,"",VLOOKUP($A114,'Annex 2 EHV charges'!$D:$P,13,FALSE)),"")</f>
        <v/>
      </c>
    </row>
    <row r="115" spans="1:8" ht="12.75" customHeight="1" x14ac:dyDescent="0.2">
      <c r="A115" s="81" t="str">
        <f t="array" ref="A115">IFERROR(INDEX('Annex 2 EHV charges'!$D$10:$D$108, MATCH(0, IF(ISBLANK('Annex 2 EHV charges'!$D$10:$D$108),1, COUNTIF(A$4:$A114, 'Annex 2 EHV charges'!$D$10:$D$108)), 0)),"")</f>
        <v/>
      </c>
      <c r="B115" s="80" t="str">
        <f>IF($A115="","",VLOOKUP($A115,'Annex 2 EHV charges'!$D:$O,2,0))</f>
        <v/>
      </c>
      <c r="C115" s="81" t="str">
        <f>IF($A115="","",VLOOKUP($A115,'Annex 2 EHV charges'!$D:$O,3,0))</f>
        <v/>
      </c>
      <c r="D115" s="80" t="str">
        <f>IF($A115="","",VLOOKUP($A115,'Annex 2 EHV charges'!$D:$O,4,0))</f>
        <v/>
      </c>
      <c r="E115" s="82" t="str">
        <f>IFERROR(IF(VLOOKUP($A115,'Annex 2 EHV charges'!$D:$O,10,FALSE)=0,"",VLOOKUP($A115,'Annex 2 EHV charges'!$D:$O,10,FALSE)),"")</f>
        <v/>
      </c>
      <c r="F115" s="83" t="str">
        <f>IFERROR(IF(VLOOKUP($A115,'Annex 2 EHV charges'!$D:$O,11,FALSE)=0,"",VLOOKUP($A115,'Annex 2 EHV charges'!$D:$O,11,FALSE)),"")</f>
        <v/>
      </c>
      <c r="G115" s="84" t="str">
        <f>IFERROR(IF(VLOOKUP($A115,'Annex 2 EHV charges'!$D:$O,12,FALSE)=0,"",VLOOKUP($A115,'Annex 2 EHV charges'!$D:$O,12,FALSE)),"")</f>
        <v/>
      </c>
      <c r="H115" s="84" t="str">
        <f>IFERROR(IF(VLOOKUP($A115,'Annex 2 EHV charges'!$D:$P,13,FALSE)=0,"",VLOOKUP($A115,'Annex 2 EHV charges'!$D:$P,13,FALSE)),"")</f>
        <v/>
      </c>
    </row>
    <row r="116" spans="1:8" ht="12.75" customHeight="1" x14ac:dyDescent="0.2">
      <c r="A116" s="81" t="str">
        <f t="array" ref="A116">IFERROR(INDEX('Annex 2 EHV charges'!$D$10:$D$108, MATCH(0, IF(ISBLANK('Annex 2 EHV charges'!$D$10:$D$108),1, COUNTIF(A$4:$A115, 'Annex 2 EHV charges'!$D$10:$D$108)), 0)),"")</f>
        <v/>
      </c>
      <c r="B116" s="80" t="str">
        <f>IF($A116="","",VLOOKUP($A116,'Annex 2 EHV charges'!$D:$O,2,0))</f>
        <v/>
      </c>
      <c r="C116" s="81" t="str">
        <f>IF($A116="","",VLOOKUP($A116,'Annex 2 EHV charges'!$D:$O,3,0))</f>
        <v/>
      </c>
      <c r="D116" s="80" t="str">
        <f>IF($A116="","",VLOOKUP($A116,'Annex 2 EHV charges'!$D:$O,4,0))</f>
        <v/>
      </c>
      <c r="E116" s="82" t="str">
        <f>IFERROR(IF(VLOOKUP($A116,'Annex 2 EHV charges'!$D:$O,10,FALSE)=0,"",VLOOKUP($A116,'Annex 2 EHV charges'!$D:$O,10,FALSE)),"")</f>
        <v/>
      </c>
      <c r="F116" s="83" t="str">
        <f>IFERROR(IF(VLOOKUP($A116,'Annex 2 EHV charges'!$D:$O,11,FALSE)=0,"",VLOOKUP($A116,'Annex 2 EHV charges'!$D:$O,11,FALSE)),"")</f>
        <v/>
      </c>
      <c r="G116" s="84" t="str">
        <f>IFERROR(IF(VLOOKUP($A116,'Annex 2 EHV charges'!$D:$O,12,FALSE)=0,"",VLOOKUP($A116,'Annex 2 EHV charges'!$D:$O,12,FALSE)),"")</f>
        <v/>
      </c>
      <c r="H116" s="84" t="str">
        <f>IFERROR(IF(VLOOKUP($A116,'Annex 2 EHV charges'!$D:$P,13,FALSE)=0,"",VLOOKUP($A116,'Annex 2 EHV charges'!$D:$P,13,FALSE)),"")</f>
        <v/>
      </c>
    </row>
    <row r="117" spans="1:8" ht="12.75" customHeight="1" x14ac:dyDescent="0.2">
      <c r="A117" s="81" t="str">
        <f t="array" ref="A117">IFERROR(INDEX('Annex 2 EHV charges'!$D$10:$D$108, MATCH(0, IF(ISBLANK('Annex 2 EHV charges'!$D$10:$D$108),1, COUNTIF(A$4:$A116, 'Annex 2 EHV charges'!$D$10:$D$108)), 0)),"")</f>
        <v/>
      </c>
      <c r="B117" s="80" t="str">
        <f>IF($A117="","",VLOOKUP($A117,'Annex 2 EHV charges'!$D:$O,2,0))</f>
        <v/>
      </c>
      <c r="C117" s="81" t="str">
        <f>IF($A117="","",VLOOKUP($A117,'Annex 2 EHV charges'!$D:$O,3,0))</f>
        <v/>
      </c>
      <c r="D117" s="80" t="str">
        <f>IF($A117="","",VLOOKUP($A117,'Annex 2 EHV charges'!$D:$O,4,0))</f>
        <v/>
      </c>
      <c r="E117" s="82" t="str">
        <f>IFERROR(IF(VLOOKUP($A117,'Annex 2 EHV charges'!$D:$O,10,FALSE)=0,"",VLOOKUP($A117,'Annex 2 EHV charges'!$D:$O,10,FALSE)),"")</f>
        <v/>
      </c>
      <c r="F117" s="83" t="str">
        <f>IFERROR(IF(VLOOKUP($A117,'Annex 2 EHV charges'!$D:$O,11,FALSE)=0,"",VLOOKUP($A117,'Annex 2 EHV charges'!$D:$O,11,FALSE)),"")</f>
        <v/>
      </c>
      <c r="G117" s="84" t="str">
        <f>IFERROR(IF(VLOOKUP($A117,'Annex 2 EHV charges'!$D:$O,12,FALSE)=0,"",VLOOKUP($A117,'Annex 2 EHV charges'!$D:$O,12,FALSE)),"")</f>
        <v/>
      </c>
      <c r="H117" s="84" t="str">
        <f>IFERROR(IF(VLOOKUP($A117,'Annex 2 EHV charges'!$D:$P,13,FALSE)=0,"",VLOOKUP($A117,'Annex 2 EHV charges'!$D:$P,13,FALSE)),"")</f>
        <v/>
      </c>
    </row>
    <row r="118" spans="1:8" ht="12.75" customHeight="1" x14ac:dyDescent="0.2">
      <c r="A118" s="81" t="str">
        <f t="array" ref="A118">IFERROR(INDEX('Annex 2 EHV charges'!$D$10:$D$108, MATCH(0, IF(ISBLANK('Annex 2 EHV charges'!$D$10:$D$108),1, COUNTIF(A$4:$A117, 'Annex 2 EHV charges'!$D$10:$D$108)), 0)),"")</f>
        <v/>
      </c>
      <c r="B118" s="80" t="str">
        <f>IF($A118="","",VLOOKUP($A118,'Annex 2 EHV charges'!$D:$O,2,0))</f>
        <v/>
      </c>
      <c r="C118" s="81" t="str">
        <f>IF($A118="","",VLOOKUP($A118,'Annex 2 EHV charges'!$D:$O,3,0))</f>
        <v/>
      </c>
      <c r="D118" s="80" t="str">
        <f>IF($A118="","",VLOOKUP($A118,'Annex 2 EHV charges'!$D:$O,4,0))</f>
        <v/>
      </c>
      <c r="E118" s="82" t="str">
        <f>IFERROR(IF(VLOOKUP($A118,'Annex 2 EHV charges'!$D:$O,10,FALSE)=0,"",VLOOKUP($A118,'Annex 2 EHV charges'!$D:$O,10,FALSE)),"")</f>
        <v/>
      </c>
      <c r="F118" s="83" t="str">
        <f>IFERROR(IF(VLOOKUP($A118,'Annex 2 EHV charges'!$D:$O,11,FALSE)=0,"",VLOOKUP($A118,'Annex 2 EHV charges'!$D:$O,11,FALSE)),"")</f>
        <v/>
      </c>
      <c r="G118" s="84" t="str">
        <f>IFERROR(IF(VLOOKUP($A118,'Annex 2 EHV charges'!$D:$O,12,FALSE)=0,"",VLOOKUP($A118,'Annex 2 EHV charges'!$D:$O,12,FALSE)),"")</f>
        <v/>
      </c>
      <c r="H118" s="84" t="str">
        <f>IFERROR(IF(VLOOKUP($A118,'Annex 2 EHV charges'!$D:$P,13,FALSE)=0,"",VLOOKUP($A118,'Annex 2 EHV charges'!$D:$P,13,FALSE)),"")</f>
        <v/>
      </c>
    </row>
    <row r="119" spans="1:8" ht="12.75" customHeight="1" x14ac:dyDescent="0.2">
      <c r="A119" s="81" t="str">
        <f t="array" ref="A119">IFERROR(INDEX('Annex 2 EHV charges'!$D$10:$D$108, MATCH(0, IF(ISBLANK('Annex 2 EHV charges'!$D$10:$D$108),1, COUNTIF(A$4:$A118, 'Annex 2 EHV charges'!$D$10:$D$108)), 0)),"")</f>
        <v/>
      </c>
      <c r="B119" s="80" t="str">
        <f>IF($A119="","",VLOOKUP($A119,'Annex 2 EHV charges'!$D:$O,2,0))</f>
        <v/>
      </c>
      <c r="C119" s="81" t="str">
        <f>IF($A119="","",VLOOKUP($A119,'Annex 2 EHV charges'!$D:$O,3,0))</f>
        <v/>
      </c>
      <c r="D119" s="80" t="str">
        <f>IF($A119="","",VLOOKUP($A119,'Annex 2 EHV charges'!$D:$O,4,0))</f>
        <v/>
      </c>
      <c r="E119" s="82" t="str">
        <f>IFERROR(IF(VLOOKUP($A119,'Annex 2 EHV charges'!$D:$O,10,FALSE)=0,"",VLOOKUP($A119,'Annex 2 EHV charges'!$D:$O,10,FALSE)),"")</f>
        <v/>
      </c>
      <c r="F119" s="83" t="str">
        <f>IFERROR(IF(VLOOKUP($A119,'Annex 2 EHV charges'!$D:$O,11,FALSE)=0,"",VLOOKUP($A119,'Annex 2 EHV charges'!$D:$O,11,FALSE)),"")</f>
        <v/>
      </c>
      <c r="G119" s="84" t="str">
        <f>IFERROR(IF(VLOOKUP($A119,'Annex 2 EHV charges'!$D:$O,12,FALSE)=0,"",VLOOKUP($A119,'Annex 2 EHV charges'!$D:$O,12,FALSE)),"")</f>
        <v/>
      </c>
      <c r="H119" s="84" t="str">
        <f>IFERROR(IF(VLOOKUP($A119,'Annex 2 EHV charges'!$D:$P,13,FALSE)=0,"",VLOOKUP($A119,'Annex 2 EHV charges'!$D:$P,13,FALSE)),"")</f>
        <v/>
      </c>
    </row>
    <row r="120" spans="1:8" ht="12.75" customHeight="1" x14ac:dyDescent="0.2">
      <c r="A120" s="81" t="str">
        <f t="array" ref="A120">IFERROR(INDEX('Annex 2 EHV charges'!$D$10:$D$108, MATCH(0, IF(ISBLANK('Annex 2 EHV charges'!$D$10:$D$108),1, COUNTIF(A$4:$A119, 'Annex 2 EHV charges'!$D$10:$D$108)), 0)),"")</f>
        <v/>
      </c>
      <c r="B120" s="80" t="str">
        <f>IF($A120="","",VLOOKUP($A120,'Annex 2 EHV charges'!$D:$O,2,0))</f>
        <v/>
      </c>
      <c r="C120" s="81" t="str">
        <f>IF($A120="","",VLOOKUP($A120,'Annex 2 EHV charges'!$D:$O,3,0))</f>
        <v/>
      </c>
      <c r="D120" s="80" t="str">
        <f>IF($A120="","",VLOOKUP($A120,'Annex 2 EHV charges'!$D:$O,4,0))</f>
        <v/>
      </c>
      <c r="E120" s="82" t="str">
        <f>IFERROR(IF(VLOOKUP($A120,'Annex 2 EHV charges'!$D:$O,10,FALSE)=0,"",VLOOKUP($A120,'Annex 2 EHV charges'!$D:$O,10,FALSE)),"")</f>
        <v/>
      </c>
      <c r="F120" s="83" t="str">
        <f>IFERROR(IF(VLOOKUP($A120,'Annex 2 EHV charges'!$D:$O,11,FALSE)=0,"",VLOOKUP($A120,'Annex 2 EHV charges'!$D:$O,11,FALSE)),"")</f>
        <v/>
      </c>
      <c r="G120" s="84" t="str">
        <f>IFERROR(IF(VLOOKUP($A120,'Annex 2 EHV charges'!$D:$O,12,FALSE)=0,"",VLOOKUP($A120,'Annex 2 EHV charges'!$D:$O,12,FALSE)),"")</f>
        <v/>
      </c>
      <c r="H120" s="84" t="str">
        <f>IFERROR(IF(VLOOKUP($A120,'Annex 2 EHV charges'!$D:$P,13,FALSE)=0,"",VLOOKUP($A120,'Annex 2 EHV charges'!$D:$P,13,FALSE)),"")</f>
        <v/>
      </c>
    </row>
    <row r="121" spans="1:8" ht="12.75" customHeight="1" x14ac:dyDescent="0.2">
      <c r="A121" s="81" t="str">
        <f t="array" ref="A121">IFERROR(INDEX('Annex 2 EHV charges'!$D$10:$D$108, MATCH(0, IF(ISBLANK('Annex 2 EHV charges'!$D$10:$D$108),1, COUNTIF(A$4:$A120, 'Annex 2 EHV charges'!$D$10:$D$108)), 0)),"")</f>
        <v/>
      </c>
      <c r="B121" s="80" t="str">
        <f>IF($A121="","",VLOOKUP($A121,'Annex 2 EHV charges'!$D:$O,2,0))</f>
        <v/>
      </c>
      <c r="C121" s="81" t="str">
        <f>IF($A121="","",VLOOKUP($A121,'Annex 2 EHV charges'!$D:$O,3,0))</f>
        <v/>
      </c>
      <c r="D121" s="80" t="str">
        <f>IF($A121="","",VLOOKUP($A121,'Annex 2 EHV charges'!$D:$O,4,0))</f>
        <v/>
      </c>
      <c r="E121" s="82" t="str">
        <f>IFERROR(IF(VLOOKUP($A121,'Annex 2 EHV charges'!$D:$O,10,FALSE)=0,"",VLOOKUP($A121,'Annex 2 EHV charges'!$D:$O,10,FALSE)),"")</f>
        <v/>
      </c>
      <c r="F121" s="83" t="str">
        <f>IFERROR(IF(VLOOKUP($A121,'Annex 2 EHV charges'!$D:$O,11,FALSE)=0,"",VLOOKUP($A121,'Annex 2 EHV charges'!$D:$O,11,FALSE)),"")</f>
        <v/>
      </c>
      <c r="G121" s="84" t="str">
        <f>IFERROR(IF(VLOOKUP($A121,'Annex 2 EHV charges'!$D:$O,12,FALSE)=0,"",VLOOKUP($A121,'Annex 2 EHV charges'!$D:$O,12,FALSE)),"")</f>
        <v/>
      </c>
      <c r="H121" s="84" t="str">
        <f>IFERROR(IF(VLOOKUP($A121,'Annex 2 EHV charges'!$D:$P,13,FALSE)=0,"",VLOOKUP($A121,'Annex 2 EHV charges'!$D:$P,13,FALSE)),"")</f>
        <v/>
      </c>
    </row>
    <row r="122" spans="1:8" ht="12.75" customHeight="1" x14ac:dyDescent="0.2">
      <c r="A122" s="81" t="str">
        <f t="array" ref="A122">IFERROR(INDEX('Annex 2 EHV charges'!$D$10:$D$108, MATCH(0, IF(ISBLANK('Annex 2 EHV charges'!$D$10:$D$108),1, COUNTIF(A$4:$A121, 'Annex 2 EHV charges'!$D$10:$D$108)), 0)),"")</f>
        <v/>
      </c>
      <c r="B122" s="80" t="str">
        <f>IF($A122="","",VLOOKUP($A122,'Annex 2 EHV charges'!$D:$O,2,0))</f>
        <v/>
      </c>
      <c r="C122" s="81" t="str">
        <f>IF($A122="","",VLOOKUP($A122,'Annex 2 EHV charges'!$D:$O,3,0))</f>
        <v/>
      </c>
      <c r="D122" s="80" t="str">
        <f>IF($A122="","",VLOOKUP($A122,'Annex 2 EHV charges'!$D:$O,4,0))</f>
        <v/>
      </c>
      <c r="E122" s="82" t="str">
        <f>IFERROR(IF(VLOOKUP($A122,'Annex 2 EHV charges'!$D:$O,10,FALSE)=0,"",VLOOKUP($A122,'Annex 2 EHV charges'!$D:$O,10,FALSE)),"")</f>
        <v/>
      </c>
      <c r="F122" s="83" t="str">
        <f>IFERROR(IF(VLOOKUP($A122,'Annex 2 EHV charges'!$D:$O,11,FALSE)=0,"",VLOOKUP($A122,'Annex 2 EHV charges'!$D:$O,11,FALSE)),"")</f>
        <v/>
      </c>
      <c r="G122" s="84" t="str">
        <f>IFERROR(IF(VLOOKUP($A122,'Annex 2 EHV charges'!$D:$O,12,FALSE)=0,"",VLOOKUP($A122,'Annex 2 EHV charges'!$D:$O,12,FALSE)),"")</f>
        <v/>
      </c>
      <c r="H122" s="84" t="str">
        <f>IFERROR(IF(VLOOKUP($A122,'Annex 2 EHV charges'!$D:$P,13,FALSE)=0,"",VLOOKUP($A122,'Annex 2 EHV charges'!$D:$P,13,FALSE)),"")</f>
        <v/>
      </c>
    </row>
    <row r="123" spans="1:8" ht="12.75" customHeight="1" x14ac:dyDescent="0.2">
      <c r="A123" s="81" t="str">
        <f t="array" ref="A123">IFERROR(INDEX('Annex 2 EHV charges'!$D$10:$D$108, MATCH(0, IF(ISBLANK('Annex 2 EHV charges'!$D$10:$D$108),1, COUNTIF(A$4:$A122, 'Annex 2 EHV charges'!$D$10:$D$108)), 0)),"")</f>
        <v/>
      </c>
      <c r="B123" s="80" t="str">
        <f>IF($A123="","",VLOOKUP($A123,'Annex 2 EHV charges'!$D:$O,2,0))</f>
        <v/>
      </c>
      <c r="C123" s="81" t="str">
        <f>IF($A123="","",VLOOKUP($A123,'Annex 2 EHV charges'!$D:$O,3,0))</f>
        <v/>
      </c>
      <c r="D123" s="80" t="str">
        <f>IF($A123="","",VLOOKUP($A123,'Annex 2 EHV charges'!$D:$O,4,0))</f>
        <v/>
      </c>
      <c r="E123" s="82" t="str">
        <f>IFERROR(IF(VLOOKUP($A123,'Annex 2 EHV charges'!$D:$O,10,FALSE)=0,"",VLOOKUP($A123,'Annex 2 EHV charges'!$D:$O,10,FALSE)),"")</f>
        <v/>
      </c>
      <c r="F123" s="83" t="str">
        <f>IFERROR(IF(VLOOKUP($A123,'Annex 2 EHV charges'!$D:$O,11,FALSE)=0,"",VLOOKUP($A123,'Annex 2 EHV charges'!$D:$O,11,FALSE)),"")</f>
        <v/>
      </c>
      <c r="G123" s="84" t="str">
        <f>IFERROR(IF(VLOOKUP($A123,'Annex 2 EHV charges'!$D:$O,12,FALSE)=0,"",VLOOKUP($A123,'Annex 2 EHV charges'!$D:$O,12,FALSE)),"")</f>
        <v/>
      </c>
      <c r="H123" s="84" t="str">
        <f>IFERROR(IF(VLOOKUP($A123,'Annex 2 EHV charges'!$D:$P,13,FALSE)=0,"",VLOOKUP($A123,'Annex 2 EHV charges'!$D:$P,13,FALSE)),"")</f>
        <v/>
      </c>
    </row>
    <row r="124" spans="1:8" ht="12.75" customHeight="1" x14ac:dyDescent="0.2">
      <c r="A124" s="81" t="str">
        <f t="array" ref="A124">IFERROR(INDEX('Annex 2 EHV charges'!$D$10:$D$108, MATCH(0, IF(ISBLANK('Annex 2 EHV charges'!$D$10:$D$108),1, COUNTIF(A$4:$A123, 'Annex 2 EHV charges'!$D$10:$D$108)), 0)),"")</f>
        <v/>
      </c>
      <c r="B124" s="80" t="str">
        <f>IF($A124="","",VLOOKUP($A124,'Annex 2 EHV charges'!$D:$O,2,0))</f>
        <v/>
      </c>
      <c r="C124" s="81" t="str">
        <f>IF($A124="","",VLOOKUP($A124,'Annex 2 EHV charges'!$D:$O,3,0))</f>
        <v/>
      </c>
      <c r="D124" s="80" t="str">
        <f>IF($A124="","",VLOOKUP($A124,'Annex 2 EHV charges'!$D:$O,4,0))</f>
        <v/>
      </c>
      <c r="E124" s="82" t="str">
        <f>IFERROR(IF(VLOOKUP($A124,'Annex 2 EHV charges'!$D:$O,10,FALSE)=0,"",VLOOKUP($A124,'Annex 2 EHV charges'!$D:$O,10,FALSE)),"")</f>
        <v/>
      </c>
      <c r="F124" s="83" t="str">
        <f>IFERROR(IF(VLOOKUP($A124,'Annex 2 EHV charges'!$D:$O,11,FALSE)=0,"",VLOOKUP($A124,'Annex 2 EHV charges'!$D:$O,11,FALSE)),"")</f>
        <v/>
      </c>
      <c r="G124" s="84" t="str">
        <f>IFERROR(IF(VLOOKUP($A124,'Annex 2 EHV charges'!$D:$O,12,FALSE)=0,"",VLOOKUP($A124,'Annex 2 EHV charges'!$D:$O,12,FALSE)),"")</f>
        <v/>
      </c>
      <c r="H124" s="84" t="str">
        <f>IFERROR(IF(VLOOKUP($A124,'Annex 2 EHV charges'!$D:$P,13,FALSE)=0,"",VLOOKUP($A124,'Annex 2 EHV charges'!$D:$P,13,FALSE)),"")</f>
        <v/>
      </c>
    </row>
    <row r="125" spans="1:8" ht="12.75" customHeight="1" x14ac:dyDescent="0.2">
      <c r="A125" s="81" t="str">
        <f t="array" ref="A125">IFERROR(INDEX('Annex 2 EHV charges'!$D$10:$D$108, MATCH(0, IF(ISBLANK('Annex 2 EHV charges'!$D$10:$D$108),1, COUNTIF(A$4:$A124, 'Annex 2 EHV charges'!$D$10:$D$108)), 0)),"")</f>
        <v/>
      </c>
      <c r="B125" s="80" t="str">
        <f>IF($A125="","",VLOOKUP($A125,'Annex 2 EHV charges'!$D:$O,2,0))</f>
        <v/>
      </c>
      <c r="C125" s="81" t="str">
        <f>IF($A125="","",VLOOKUP($A125,'Annex 2 EHV charges'!$D:$O,3,0))</f>
        <v/>
      </c>
      <c r="D125" s="80" t="str">
        <f>IF($A125="","",VLOOKUP($A125,'Annex 2 EHV charges'!$D:$O,4,0))</f>
        <v/>
      </c>
      <c r="E125" s="82" t="str">
        <f>IFERROR(IF(VLOOKUP($A125,'Annex 2 EHV charges'!$D:$O,10,FALSE)=0,"",VLOOKUP($A125,'Annex 2 EHV charges'!$D:$O,10,FALSE)),"")</f>
        <v/>
      </c>
      <c r="F125" s="83" t="str">
        <f>IFERROR(IF(VLOOKUP($A125,'Annex 2 EHV charges'!$D:$O,11,FALSE)=0,"",VLOOKUP($A125,'Annex 2 EHV charges'!$D:$O,11,FALSE)),"")</f>
        <v/>
      </c>
      <c r="G125" s="84" t="str">
        <f>IFERROR(IF(VLOOKUP($A125,'Annex 2 EHV charges'!$D:$O,12,FALSE)=0,"",VLOOKUP($A125,'Annex 2 EHV charges'!$D:$O,12,FALSE)),"")</f>
        <v/>
      </c>
      <c r="H125" s="84" t="str">
        <f>IFERROR(IF(VLOOKUP($A125,'Annex 2 EHV charges'!$D:$P,13,FALSE)=0,"",VLOOKUP($A125,'Annex 2 EHV charges'!$D:$P,13,FALSE)),"")</f>
        <v/>
      </c>
    </row>
    <row r="126" spans="1:8" ht="12.75" customHeight="1" x14ac:dyDescent="0.2">
      <c r="A126" s="81" t="str">
        <f t="array" ref="A126">IFERROR(INDEX('Annex 2 EHV charges'!$D$10:$D$108, MATCH(0, IF(ISBLANK('Annex 2 EHV charges'!$D$10:$D$108),1, COUNTIF(A$4:$A125, 'Annex 2 EHV charges'!$D$10:$D$108)), 0)),"")</f>
        <v/>
      </c>
      <c r="B126" s="80" t="str">
        <f>IF($A126="","",VLOOKUP($A126,'Annex 2 EHV charges'!$D:$O,2,0))</f>
        <v/>
      </c>
      <c r="C126" s="81" t="str">
        <f>IF($A126="","",VLOOKUP($A126,'Annex 2 EHV charges'!$D:$O,3,0))</f>
        <v/>
      </c>
      <c r="D126" s="80" t="str">
        <f>IF($A126="","",VLOOKUP($A126,'Annex 2 EHV charges'!$D:$O,4,0))</f>
        <v/>
      </c>
      <c r="E126" s="82" t="str">
        <f>IFERROR(IF(VLOOKUP($A126,'Annex 2 EHV charges'!$D:$O,10,FALSE)=0,"",VLOOKUP($A126,'Annex 2 EHV charges'!$D:$O,10,FALSE)),"")</f>
        <v/>
      </c>
      <c r="F126" s="83" t="str">
        <f>IFERROR(IF(VLOOKUP($A126,'Annex 2 EHV charges'!$D:$O,11,FALSE)=0,"",VLOOKUP($A126,'Annex 2 EHV charges'!$D:$O,11,FALSE)),"")</f>
        <v/>
      </c>
      <c r="G126" s="84" t="str">
        <f>IFERROR(IF(VLOOKUP($A126,'Annex 2 EHV charges'!$D:$O,12,FALSE)=0,"",VLOOKUP($A126,'Annex 2 EHV charges'!$D:$O,12,FALSE)),"")</f>
        <v/>
      </c>
      <c r="H126" s="84" t="str">
        <f>IFERROR(IF(VLOOKUP($A126,'Annex 2 EHV charges'!$D:$P,13,FALSE)=0,"",VLOOKUP($A126,'Annex 2 EHV charges'!$D:$P,13,FALSE)),"")</f>
        <v/>
      </c>
    </row>
    <row r="127" spans="1:8" ht="12.75" customHeight="1" x14ac:dyDescent="0.2">
      <c r="A127" s="81" t="str">
        <f t="array" ref="A127">IFERROR(INDEX('Annex 2 EHV charges'!$D$10:$D$108, MATCH(0, IF(ISBLANK('Annex 2 EHV charges'!$D$10:$D$108),1, COUNTIF(A$4:$A126, 'Annex 2 EHV charges'!$D$10:$D$108)), 0)),"")</f>
        <v/>
      </c>
      <c r="B127" s="80" t="str">
        <f>IF($A127="","",VLOOKUP($A127,'Annex 2 EHV charges'!$D:$O,2,0))</f>
        <v/>
      </c>
      <c r="C127" s="81" t="str">
        <f>IF($A127="","",VLOOKUP($A127,'Annex 2 EHV charges'!$D:$O,3,0))</f>
        <v/>
      </c>
      <c r="D127" s="80" t="str">
        <f>IF($A127="","",VLOOKUP($A127,'Annex 2 EHV charges'!$D:$O,4,0))</f>
        <v/>
      </c>
      <c r="E127" s="82" t="str">
        <f>IFERROR(IF(VLOOKUP($A127,'Annex 2 EHV charges'!$D:$O,10,FALSE)=0,"",VLOOKUP($A127,'Annex 2 EHV charges'!$D:$O,10,FALSE)),"")</f>
        <v/>
      </c>
      <c r="F127" s="83" t="str">
        <f>IFERROR(IF(VLOOKUP($A127,'Annex 2 EHV charges'!$D:$O,11,FALSE)=0,"",VLOOKUP($A127,'Annex 2 EHV charges'!$D:$O,11,FALSE)),"")</f>
        <v/>
      </c>
      <c r="G127" s="84" t="str">
        <f>IFERROR(IF(VLOOKUP($A127,'Annex 2 EHV charges'!$D:$O,12,FALSE)=0,"",VLOOKUP($A127,'Annex 2 EHV charges'!$D:$O,12,FALSE)),"")</f>
        <v/>
      </c>
      <c r="H127" s="84" t="str">
        <f>IFERROR(IF(VLOOKUP($A127,'Annex 2 EHV charges'!$D:$P,13,FALSE)=0,"",VLOOKUP($A127,'Annex 2 EHV charges'!$D:$P,13,FALSE)),"")</f>
        <v/>
      </c>
    </row>
    <row r="128" spans="1:8" ht="12.75" customHeight="1" x14ac:dyDescent="0.2">
      <c r="A128" s="81" t="str">
        <f t="array" ref="A128">IFERROR(INDEX('Annex 2 EHV charges'!$D$10:$D$108, MATCH(0, IF(ISBLANK('Annex 2 EHV charges'!$D$10:$D$108),1, COUNTIF(A$4:$A127, 'Annex 2 EHV charges'!$D$10:$D$108)), 0)),"")</f>
        <v/>
      </c>
      <c r="B128" s="80" t="str">
        <f>IF($A128="","",VLOOKUP($A128,'Annex 2 EHV charges'!$D:$O,2,0))</f>
        <v/>
      </c>
      <c r="C128" s="81" t="str">
        <f>IF($A128="","",VLOOKUP($A128,'Annex 2 EHV charges'!$D:$O,3,0))</f>
        <v/>
      </c>
      <c r="D128" s="80" t="str">
        <f>IF($A128="","",VLOOKUP($A128,'Annex 2 EHV charges'!$D:$O,4,0))</f>
        <v/>
      </c>
      <c r="E128" s="82" t="str">
        <f>IFERROR(IF(VLOOKUP($A128,'Annex 2 EHV charges'!$D:$O,10,FALSE)=0,"",VLOOKUP($A128,'Annex 2 EHV charges'!$D:$O,10,FALSE)),"")</f>
        <v/>
      </c>
      <c r="F128" s="83" t="str">
        <f>IFERROR(IF(VLOOKUP($A128,'Annex 2 EHV charges'!$D:$O,11,FALSE)=0,"",VLOOKUP($A128,'Annex 2 EHV charges'!$D:$O,11,FALSE)),"")</f>
        <v/>
      </c>
      <c r="G128" s="84" t="str">
        <f>IFERROR(IF(VLOOKUP($A128,'Annex 2 EHV charges'!$D:$O,12,FALSE)=0,"",VLOOKUP($A128,'Annex 2 EHV charges'!$D:$O,12,FALSE)),"")</f>
        <v/>
      </c>
      <c r="H128" s="84" t="str">
        <f>IFERROR(IF(VLOOKUP($A128,'Annex 2 EHV charges'!$D:$P,13,FALSE)=0,"",VLOOKUP($A128,'Annex 2 EHV charges'!$D:$P,13,FALSE)),"")</f>
        <v/>
      </c>
    </row>
    <row r="129" spans="1:8" ht="12.75" customHeight="1" x14ac:dyDescent="0.2">
      <c r="A129" s="81" t="str">
        <f t="array" ref="A129">IFERROR(INDEX('Annex 2 EHV charges'!$D$10:$D$108, MATCH(0, IF(ISBLANK('Annex 2 EHV charges'!$D$10:$D$108),1, COUNTIF(A$4:$A128, 'Annex 2 EHV charges'!$D$10:$D$108)), 0)),"")</f>
        <v/>
      </c>
      <c r="B129" s="80" t="str">
        <f>IF($A129="","",VLOOKUP($A129,'Annex 2 EHV charges'!$D:$O,2,0))</f>
        <v/>
      </c>
      <c r="C129" s="81" t="str">
        <f>IF($A129="","",VLOOKUP($A129,'Annex 2 EHV charges'!$D:$O,3,0))</f>
        <v/>
      </c>
      <c r="D129" s="80" t="str">
        <f>IF($A129="","",VLOOKUP($A129,'Annex 2 EHV charges'!$D:$O,4,0))</f>
        <v/>
      </c>
      <c r="E129" s="82" t="str">
        <f>IFERROR(IF(VLOOKUP($A129,'Annex 2 EHV charges'!$D:$O,10,FALSE)=0,"",VLOOKUP($A129,'Annex 2 EHV charges'!$D:$O,10,FALSE)),"")</f>
        <v/>
      </c>
      <c r="F129" s="83" t="str">
        <f>IFERROR(IF(VLOOKUP($A129,'Annex 2 EHV charges'!$D:$O,11,FALSE)=0,"",VLOOKUP($A129,'Annex 2 EHV charges'!$D:$O,11,FALSE)),"")</f>
        <v/>
      </c>
      <c r="G129" s="84" t="str">
        <f>IFERROR(IF(VLOOKUP($A129,'Annex 2 EHV charges'!$D:$O,12,FALSE)=0,"",VLOOKUP($A129,'Annex 2 EHV charges'!$D:$O,12,FALSE)),"")</f>
        <v/>
      </c>
      <c r="H129" s="84" t="str">
        <f>IFERROR(IF(VLOOKUP($A129,'Annex 2 EHV charges'!$D:$P,13,FALSE)=0,"",VLOOKUP($A129,'Annex 2 EHV charges'!$D:$P,13,FALSE)),"")</f>
        <v/>
      </c>
    </row>
    <row r="130" spans="1:8" ht="12.75" customHeight="1" x14ac:dyDescent="0.2">
      <c r="A130" s="81" t="str">
        <f t="array" ref="A130">IFERROR(INDEX('Annex 2 EHV charges'!$D$10:$D$108, MATCH(0, IF(ISBLANK('Annex 2 EHV charges'!$D$10:$D$108),1, COUNTIF(A$4:$A129, 'Annex 2 EHV charges'!$D$10:$D$108)), 0)),"")</f>
        <v/>
      </c>
      <c r="B130" s="80" t="str">
        <f>IF($A130="","",VLOOKUP($A130,'Annex 2 EHV charges'!$D:$O,2,0))</f>
        <v/>
      </c>
      <c r="C130" s="81" t="str">
        <f>IF($A130="","",VLOOKUP($A130,'Annex 2 EHV charges'!$D:$O,3,0))</f>
        <v/>
      </c>
      <c r="D130" s="80" t="str">
        <f>IF($A130="","",VLOOKUP($A130,'Annex 2 EHV charges'!$D:$O,4,0))</f>
        <v/>
      </c>
      <c r="E130" s="82" t="str">
        <f>IFERROR(IF(VLOOKUP($A130,'Annex 2 EHV charges'!$D:$O,10,FALSE)=0,"",VLOOKUP($A130,'Annex 2 EHV charges'!$D:$O,10,FALSE)),"")</f>
        <v/>
      </c>
      <c r="F130" s="83" t="str">
        <f>IFERROR(IF(VLOOKUP($A130,'Annex 2 EHV charges'!$D:$O,11,FALSE)=0,"",VLOOKUP($A130,'Annex 2 EHV charges'!$D:$O,11,FALSE)),"")</f>
        <v/>
      </c>
      <c r="G130" s="84" t="str">
        <f>IFERROR(IF(VLOOKUP($A130,'Annex 2 EHV charges'!$D:$O,12,FALSE)=0,"",VLOOKUP($A130,'Annex 2 EHV charges'!$D:$O,12,FALSE)),"")</f>
        <v/>
      </c>
      <c r="H130" s="84" t="str">
        <f>IFERROR(IF(VLOOKUP($A130,'Annex 2 EHV charges'!$D:$P,13,FALSE)=0,"",VLOOKUP($A130,'Annex 2 EHV charges'!$D:$P,13,FALSE)),"")</f>
        <v/>
      </c>
    </row>
    <row r="131" spans="1:8" ht="12.75" customHeight="1" x14ac:dyDescent="0.2">
      <c r="A131" s="81" t="str">
        <f t="array" ref="A131">IFERROR(INDEX('Annex 2 EHV charges'!$D$10:$D$108, MATCH(0, IF(ISBLANK('Annex 2 EHV charges'!$D$10:$D$108),1, COUNTIF(A$4:$A130, 'Annex 2 EHV charges'!$D$10:$D$108)), 0)),"")</f>
        <v/>
      </c>
      <c r="B131" s="80" t="str">
        <f>IF($A131="","",VLOOKUP($A131,'Annex 2 EHV charges'!$D:$O,2,0))</f>
        <v/>
      </c>
      <c r="C131" s="81" t="str">
        <f>IF($A131="","",VLOOKUP($A131,'Annex 2 EHV charges'!$D:$O,3,0))</f>
        <v/>
      </c>
      <c r="D131" s="80" t="str">
        <f>IF($A131="","",VLOOKUP($A131,'Annex 2 EHV charges'!$D:$O,4,0))</f>
        <v/>
      </c>
      <c r="E131" s="82" t="str">
        <f>IFERROR(IF(VLOOKUP($A131,'Annex 2 EHV charges'!$D:$O,10,FALSE)=0,"",VLOOKUP($A131,'Annex 2 EHV charges'!$D:$O,10,FALSE)),"")</f>
        <v/>
      </c>
      <c r="F131" s="83" t="str">
        <f>IFERROR(IF(VLOOKUP($A131,'Annex 2 EHV charges'!$D:$O,11,FALSE)=0,"",VLOOKUP($A131,'Annex 2 EHV charges'!$D:$O,11,FALSE)),"")</f>
        <v/>
      </c>
      <c r="G131" s="84" t="str">
        <f>IFERROR(IF(VLOOKUP($A131,'Annex 2 EHV charges'!$D:$O,12,FALSE)=0,"",VLOOKUP($A131,'Annex 2 EHV charges'!$D:$O,12,FALSE)),"")</f>
        <v/>
      </c>
      <c r="H131" s="84" t="str">
        <f>IFERROR(IF(VLOOKUP($A131,'Annex 2 EHV charges'!$D:$P,13,FALSE)=0,"",VLOOKUP($A131,'Annex 2 EHV charges'!$D:$P,13,FALSE)),"")</f>
        <v/>
      </c>
    </row>
    <row r="132" spans="1:8" ht="12.75" customHeight="1" x14ac:dyDescent="0.2">
      <c r="A132" s="81" t="str">
        <f t="array" ref="A132">IFERROR(INDEX('Annex 2 EHV charges'!$D$10:$D$108, MATCH(0, IF(ISBLANK('Annex 2 EHV charges'!$D$10:$D$108),1, COUNTIF(A$4:$A131, 'Annex 2 EHV charges'!$D$10:$D$108)), 0)),"")</f>
        <v/>
      </c>
      <c r="B132" s="80" t="str">
        <f>IF($A132="","",VLOOKUP($A132,'Annex 2 EHV charges'!$D:$O,2,0))</f>
        <v/>
      </c>
      <c r="C132" s="81" t="str">
        <f>IF($A132="","",VLOOKUP($A132,'Annex 2 EHV charges'!$D:$O,3,0))</f>
        <v/>
      </c>
      <c r="D132" s="80" t="str">
        <f>IF($A132="","",VLOOKUP($A132,'Annex 2 EHV charges'!$D:$O,4,0))</f>
        <v/>
      </c>
      <c r="E132" s="82" t="str">
        <f>IFERROR(IF(VLOOKUP($A132,'Annex 2 EHV charges'!$D:$O,10,FALSE)=0,"",VLOOKUP($A132,'Annex 2 EHV charges'!$D:$O,10,FALSE)),"")</f>
        <v/>
      </c>
      <c r="F132" s="83" t="str">
        <f>IFERROR(IF(VLOOKUP($A132,'Annex 2 EHV charges'!$D:$O,11,FALSE)=0,"",VLOOKUP($A132,'Annex 2 EHV charges'!$D:$O,11,FALSE)),"")</f>
        <v/>
      </c>
      <c r="G132" s="84" t="str">
        <f>IFERROR(IF(VLOOKUP($A132,'Annex 2 EHV charges'!$D:$O,12,FALSE)=0,"",VLOOKUP($A132,'Annex 2 EHV charges'!$D:$O,12,FALSE)),"")</f>
        <v/>
      </c>
      <c r="H132" s="84" t="str">
        <f>IFERROR(IF(VLOOKUP($A132,'Annex 2 EHV charges'!$D:$P,13,FALSE)=0,"",VLOOKUP($A132,'Annex 2 EHV charges'!$D:$P,13,FALSE)),"")</f>
        <v/>
      </c>
    </row>
    <row r="133" spans="1:8" ht="12.75" customHeight="1" x14ac:dyDescent="0.2">
      <c r="A133" s="81" t="str">
        <f t="array" ref="A133">IFERROR(INDEX('Annex 2 EHV charges'!$D$10:$D$108, MATCH(0, IF(ISBLANK('Annex 2 EHV charges'!$D$10:$D$108),1, COUNTIF(A$4:$A132, 'Annex 2 EHV charges'!$D$10:$D$108)), 0)),"")</f>
        <v/>
      </c>
      <c r="B133" s="80" t="str">
        <f>IF($A133="","",VLOOKUP($A133,'Annex 2 EHV charges'!$D:$O,2,0))</f>
        <v/>
      </c>
      <c r="C133" s="81" t="str">
        <f>IF($A133="","",VLOOKUP($A133,'Annex 2 EHV charges'!$D:$O,3,0))</f>
        <v/>
      </c>
      <c r="D133" s="80" t="str">
        <f>IF($A133="","",VLOOKUP($A133,'Annex 2 EHV charges'!$D:$O,4,0))</f>
        <v/>
      </c>
      <c r="E133" s="82" t="str">
        <f>IFERROR(IF(VLOOKUP($A133,'Annex 2 EHV charges'!$D:$O,10,FALSE)=0,"",VLOOKUP($A133,'Annex 2 EHV charges'!$D:$O,10,FALSE)),"")</f>
        <v/>
      </c>
      <c r="F133" s="83" t="str">
        <f>IFERROR(IF(VLOOKUP($A133,'Annex 2 EHV charges'!$D:$O,11,FALSE)=0,"",VLOOKUP($A133,'Annex 2 EHV charges'!$D:$O,11,FALSE)),"")</f>
        <v/>
      </c>
      <c r="G133" s="84" t="str">
        <f>IFERROR(IF(VLOOKUP($A133,'Annex 2 EHV charges'!$D:$O,12,FALSE)=0,"",VLOOKUP($A133,'Annex 2 EHV charges'!$D:$O,12,FALSE)),"")</f>
        <v/>
      </c>
      <c r="H133" s="84" t="str">
        <f>IFERROR(IF(VLOOKUP($A133,'Annex 2 EHV charges'!$D:$P,13,FALSE)=0,"",VLOOKUP($A133,'Annex 2 EHV charges'!$D:$P,13,FALSE)),"")</f>
        <v/>
      </c>
    </row>
    <row r="134" spans="1:8" ht="12.75" customHeight="1" x14ac:dyDescent="0.2">
      <c r="A134" s="81" t="str">
        <f t="array" ref="A134">IFERROR(INDEX('Annex 2 EHV charges'!$D$10:$D$108, MATCH(0, IF(ISBLANK('Annex 2 EHV charges'!$D$10:$D$108),1, COUNTIF(A$4:$A133, 'Annex 2 EHV charges'!$D$10:$D$108)), 0)),"")</f>
        <v/>
      </c>
      <c r="B134" s="80" t="str">
        <f>IF($A134="","",VLOOKUP($A134,'Annex 2 EHV charges'!$D:$O,2,0))</f>
        <v/>
      </c>
      <c r="C134" s="81" t="str">
        <f>IF($A134="","",VLOOKUP($A134,'Annex 2 EHV charges'!$D:$O,3,0))</f>
        <v/>
      </c>
      <c r="D134" s="80" t="str">
        <f>IF($A134="","",VLOOKUP($A134,'Annex 2 EHV charges'!$D:$O,4,0))</f>
        <v/>
      </c>
      <c r="E134" s="82" t="str">
        <f>IFERROR(IF(VLOOKUP($A134,'Annex 2 EHV charges'!$D:$O,10,FALSE)=0,"",VLOOKUP($A134,'Annex 2 EHV charges'!$D:$O,10,FALSE)),"")</f>
        <v/>
      </c>
      <c r="F134" s="83" t="str">
        <f>IFERROR(IF(VLOOKUP($A134,'Annex 2 EHV charges'!$D:$O,11,FALSE)=0,"",VLOOKUP($A134,'Annex 2 EHV charges'!$D:$O,11,FALSE)),"")</f>
        <v/>
      </c>
      <c r="G134" s="84" t="str">
        <f>IFERROR(IF(VLOOKUP($A134,'Annex 2 EHV charges'!$D:$O,12,FALSE)=0,"",VLOOKUP($A134,'Annex 2 EHV charges'!$D:$O,12,FALSE)),"")</f>
        <v/>
      </c>
      <c r="H134" s="84" t="str">
        <f>IFERROR(IF(VLOOKUP($A134,'Annex 2 EHV charges'!$D:$P,13,FALSE)=0,"",VLOOKUP($A134,'Annex 2 EHV charges'!$D:$P,13,FALSE)),"")</f>
        <v/>
      </c>
    </row>
    <row r="135" spans="1:8" ht="12.75" customHeight="1" x14ac:dyDescent="0.2">
      <c r="A135" s="81" t="str">
        <f t="array" ref="A135">IFERROR(INDEX('Annex 2 EHV charges'!$D$10:$D$108, MATCH(0, IF(ISBLANK('Annex 2 EHV charges'!$D$10:$D$108),1, COUNTIF(A$4:$A134, 'Annex 2 EHV charges'!$D$10:$D$108)), 0)),"")</f>
        <v/>
      </c>
      <c r="B135" s="80" t="str">
        <f>IF($A135="","",VLOOKUP($A135,'Annex 2 EHV charges'!$D:$O,2,0))</f>
        <v/>
      </c>
      <c r="C135" s="81" t="str">
        <f>IF($A135="","",VLOOKUP($A135,'Annex 2 EHV charges'!$D:$O,3,0))</f>
        <v/>
      </c>
      <c r="D135" s="80" t="str">
        <f>IF($A135="","",VLOOKUP($A135,'Annex 2 EHV charges'!$D:$O,4,0))</f>
        <v/>
      </c>
      <c r="E135" s="82" t="str">
        <f>IFERROR(IF(VLOOKUP($A135,'Annex 2 EHV charges'!$D:$O,10,FALSE)=0,"",VLOOKUP($A135,'Annex 2 EHV charges'!$D:$O,10,FALSE)),"")</f>
        <v/>
      </c>
      <c r="F135" s="83" t="str">
        <f>IFERROR(IF(VLOOKUP($A135,'Annex 2 EHV charges'!$D:$O,11,FALSE)=0,"",VLOOKUP($A135,'Annex 2 EHV charges'!$D:$O,11,FALSE)),"")</f>
        <v/>
      </c>
      <c r="G135" s="84" t="str">
        <f>IFERROR(IF(VLOOKUP($A135,'Annex 2 EHV charges'!$D:$O,12,FALSE)=0,"",VLOOKUP($A135,'Annex 2 EHV charges'!$D:$O,12,FALSE)),"")</f>
        <v/>
      </c>
      <c r="H135" s="84" t="str">
        <f>IFERROR(IF(VLOOKUP($A135,'Annex 2 EHV charges'!$D:$P,13,FALSE)=0,"",VLOOKUP($A135,'Annex 2 EHV charges'!$D:$P,13,FALSE)),"")</f>
        <v/>
      </c>
    </row>
    <row r="136" spans="1:8" ht="12.75" customHeight="1" x14ac:dyDescent="0.2">
      <c r="A136" s="81" t="str">
        <f t="array" ref="A136">IFERROR(INDEX('Annex 2 EHV charges'!$D$10:$D$108, MATCH(0, IF(ISBLANK('Annex 2 EHV charges'!$D$10:$D$108),1, COUNTIF(A$4:$A135, 'Annex 2 EHV charges'!$D$10:$D$108)), 0)),"")</f>
        <v/>
      </c>
      <c r="B136" s="80" t="str">
        <f>IF($A136="","",VLOOKUP($A136,'Annex 2 EHV charges'!$D:$O,2,0))</f>
        <v/>
      </c>
      <c r="C136" s="81" t="str">
        <f>IF($A136="","",VLOOKUP($A136,'Annex 2 EHV charges'!$D:$O,3,0))</f>
        <v/>
      </c>
      <c r="D136" s="80" t="str">
        <f>IF($A136="","",VLOOKUP($A136,'Annex 2 EHV charges'!$D:$O,4,0))</f>
        <v/>
      </c>
      <c r="E136" s="82" t="str">
        <f>IFERROR(IF(VLOOKUP($A136,'Annex 2 EHV charges'!$D:$O,10,FALSE)=0,"",VLOOKUP($A136,'Annex 2 EHV charges'!$D:$O,10,FALSE)),"")</f>
        <v/>
      </c>
      <c r="F136" s="83" t="str">
        <f>IFERROR(IF(VLOOKUP($A136,'Annex 2 EHV charges'!$D:$O,11,FALSE)=0,"",VLOOKUP($A136,'Annex 2 EHV charges'!$D:$O,11,FALSE)),"")</f>
        <v/>
      </c>
      <c r="G136" s="84" t="str">
        <f>IFERROR(IF(VLOOKUP($A136,'Annex 2 EHV charges'!$D:$O,12,FALSE)=0,"",VLOOKUP($A136,'Annex 2 EHV charges'!$D:$O,12,FALSE)),"")</f>
        <v/>
      </c>
      <c r="H136" s="84" t="str">
        <f>IFERROR(IF(VLOOKUP($A136,'Annex 2 EHV charges'!$D:$P,13,FALSE)=0,"",VLOOKUP($A136,'Annex 2 EHV charges'!$D:$P,13,FALSE)),"")</f>
        <v/>
      </c>
    </row>
    <row r="137" spans="1:8" ht="12.75" customHeight="1" x14ac:dyDescent="0.2">
      <c r="A137" s="81" t="str">
        <f t="array" ref="A137">IFERROR(INDEX('Annex 2 EHV charges'!$D$10:$D$108, MATCH(0, IF(ISBLANK('Annex 2 EHV charges'!$D$10:$D$108),1, COUNTIF(A$4:$A136, 'Annex 2 EHV charges'!$D$10:$D$108)), 0)),"")</f>
        <v/>
      </c>
      <c r="B137" s="80" t="str">
        <f>IF($A137="","",VLOOKUP($A137,'Annex 2 EHV charges'!$D:$O,2,0))</f>
        <v/>
      </c>
      <c r="C137" s="81" t="str">
        <f>IF($A137="","",VLOOKUP($A137,'Annex 2 EHV charges'!$D:$O,3,0))</f>
        <v/>
      </c>
      <c r="D137" s="80" t="str">
        <f>IF($A137="","",VLOOKUP($A137,'Annex 2 EHV charges'!$D:$O,4,0))</f>
        <v/>
      </c>
      <c r="E137" s="82" t="str">
        <f>IFERROR(IF(VLOOKUP($A137,'Annex 2 EHV charges'!$D:$O,10,FALSE)=0,"",VLOOKUP($A137,'Annex 2 EHV charges'!$D:$O,10,FALSE)),"")</f>
        <v/>
      </c>
      <c r="F137" s="83" t="str">
        <f>IFERROR(IF(VLOOKUP($A137,'Annex 2 EHV charges'!$D:$O,11,FALSE)=0,"",VLOOKUP($A137,'Annex 2 EHV charges'!$D:$O,11,FALSE)),"")</f>
        <v/>
      </c>
      <c r="G137" s="84" t="str">
        <f>IFERROR(IF(VLOOKUP($A137,'Annex 2 EHV charges'!$D:$O,12,FALSE)=0,"",VLOOKUP($A137,'Annex 2 EHV charges'!$D:$O,12,FALSE)),"")</f>
        <v/>
      </c>
      <c r="H137" s="84" t="str">
        <f>IFERROR(IF(VLOOKUP($A137,'Annex 2 EHV charges'!$D:$P,13,FALSE)=0,"",VLOOKUP($A137,'Annex 2 EHV charges'!$D:$P,13,FALSE)),"")</f>
        <v/>
      </c>
    </row>
    <row r="138" spans="1:8" ht="12.75" customHeight="1" x14ac:dyDescent="0.2">
      <c r="A138" s="81" t="str">
        <f t="array" ref="A138">IFERROR(INDEX('Annex 2 EHV charges'!$D$10:$D$108, MATCH(0, IF(ISBLANK('Annex 2 EHV charges'!$D$10:$D$108),1, COUNTIF(A$4:$A137, 'Annex 2 EHV charges'!$D$10:$D$108)), 0)),"")</f>
        <v/>
      </c>
      <c r="B138" s="80" t="str">
        <f>IF($A138="","",VLOOKUP($A138,'Annex 2 EHV charges'!$D:$O,2,0))</f>
        <v/>
      </c>
      <c r="C138" s="81" t="str">
        <f>IF($A138="","",VLOOKUP($A138,'Annex 2 EHV charges'!$D:$O,3,0))</f>
        <v/>
      </c>
      <c r="D138" s="80" t="str">
        <f>IF($A138="","",VLOOKUP($A138,'Annex 2 EHV charges'!$D:$O,4,0))</f>
        <v/>
      </c>
      <c r="E138" s="82" t="str">
        <f>IFERROR(IF(VLOOKUP($A138,'Annex 2 EHV charges'!$D:$O,10,FALSE)=0,"",VLOOKUP($A138,'Annex 2 EHV charges'!$D:$O,10,FALSE)),"")</f>
        <v/>
      </c>
      <c r="F138" s="83" t="str">
        <f>IFERROR(IF(VLOOKUP($A138,'Annex 2 EHV charges'!$D:$O,11,FALSE)=0,"",VLOOKUP($A138,'Annex 2 EHV charges'!$D:$O,11,FALSE)),"")</f>
        <v/>
      </c>
      <c r="G138" s="84" t="str">
        <f>IFERROR(IF(VLOOKUP($A138,'Annex 2 EHV charges'!$D:$O,12,FALSE)=0,"",VLOOKUP($A138,'Annex 2 EHV charges'!$D:$O,12,FALSE)),"")</f>
        <v/>
      </c>
      <c r="H138" s="84" t="str">
        <f>IFERROR(IF(VLOOKUP($A138,'Annex 2 EHV charges'!$D:$P,13,FALSE)=0,"",VLOOKUP($A138,'Annex 2 EHV charges'!$D:$P,13,FALSE)),"")</f>
        <v/>
      </c>
    </row>
    <row r="139" spans="1:8" ht="12.75" customHeight="1" x14ac:dyDescent="0.2">
      <c r="A139" s="81" t="str">
        <f t="array" ref="A139">IFERROR(INDEX('Annex 2 EHV charges'!$D$10:$D$108, MATCH(0, IF(ISBLANK('Annex 2 EHV charges'!$D$10:$D$108),1, COUNTIF(A$4:$A138, 'Annex 2 EHV charges'!$D$10:$D$108)), 0)),"")</f>
        <v/>
      </c>
      <c r="B139" s="80" t="str">
        <f>IF($A139="","",VLOOKUP($A139,'Annex 2 EHV charges'!$D:$O,2,0))</f>
        <v/>
      </c>
      <c r="C139" s="81" t="str">
        <f>IF($A139="","",VLOOKUP($A139,'Annex 2 EHV charges'!$D:$O,3,0))</f>
        <v/>
      </c>
      <c r="D139" s="80" t="str">
        <f>IF($A139="","",VLOOKUP($A139,'Annex 2 EHV charges'!$D:$O,4,0))</f>
        <v/>
      </c>
      <c r="E139" s="82" t="str">
        <f>IFERROR(IF(VLOOKUP($A139,'Annex 2 EHV charges'!$D:$O,10,FALSE)=0,"",VLOOKUP($A139,'Annex 2 EHV charges'!$D:$O,10,FALSE)),"")</f>
        <v/>
      </c>
      <c r="F139" s="83" t="str">
        <f>IFERROR(IF(VLOOKUP($A139,'Annex 2 EHV charges'!$D:$O,11,FALSE)=0,"",VLOOKUP($A139,'Annex 2 EHV charges'!$D:$O,11,FALSE)),"")</f>
        <v/>
      </c>
      <c r="G139" s="84" t="str">
        <f>IFERROR(IF(VLOOKUP($A139,'Annex 2 EHV charges'!$D:$O,12,FALSE)=0,"",VLOOKUP($A139,'Annex 2 EHV charges'!$D:$O,12,FALSE)),"")</f>
        <v/>
      </c>
      <c r="H139" s="84" t="str">
        <f>IFERROR(IF(VLOOKUP($A139,'Annex 2 EHV charges'!$D:$P,13,FALSE)=0,"",VLOOKUP($A139,'Annex 2 EHV charges'!$D:$P,13,FALSE)),"")</f>
        <v/>
      </c>
    </row>
    <row r="140" spans="1:8" ht="12.75" customHeight="1" x14ac:dyDescent="0.2">
      <c r="A140" s="81" t="str">
        <f t="array" ref="A140">IFERROR(INDEX('Annex 2 EHV charges'!$D$10:$D$108, MATCH(0, IF(ISBLANK('Annex 2 EHV charges'!$D$10:$D$108),1, COUNTIF(A$4:$A139, 'Annex 2 EHV charges'!$D$10:$D$108)), 0)),"")</f>
        <v/>
      </c>
      <c r="B140" s="80" t="str">
        <f>IF($A140="","",VLOOKUP($A140,'Annex 2 EHV charges'!$D:$O,2,0))</f>
        <v/>
      </c>
      <c r="C140" s="81" t="str">
        <f>IF($A140="","",VLOOKUP($A140,'Annex 2 EHV charges'!$D:$O,3,0))</f>
        <v/>
      </c>
      <c r="D140" s="80" t="str">
        <f>IF($A140="","",VLOOKUP($A140,'Annex 2 EHV charges'!$D:$O,4,0))</f>
        <v/>
      </c>
      <c r="E140" s="82" t="str">
        <f>IFERROR(IF(VLOOKUP($A140,'Annex 2 EHV charges'!$D:$O,10,FALSE)=0,"",VLOOKUP($A140,'Annex 2 EHV charges'!$D:$O,10,FALSE)),"")</f>
        <v/>
      </c>
      <c r="F140" s="83" t="str">
        <f>IFERROR(IF(VLOOKUP($A140,'Annex 2 EHV charges'!$D:$O,11,FALSE)=0,"",VLOOKUP($A140,'Annex 2 EHV charges'!$D:$O,11,FALSE)),"")</f>
        <v/>
      </c>
      <c r="G140" s="84" t="str">
        <f>IFERROR(IF(VLOOKUP($A140,'Annex 2 EHV charges'!$D:$O,12,FALSE)=0,"",VLOOKUP($A140,'Annex 2 EHV charges'!$D:$O,12,FALSE)),"")</f>
        <v/>
      </c>
      <c r="H140" s="84" t="str">
        <f>IFERROR(IF(VLOOKUP($A140,'Annex 2 EHV charges'!$D:$P,13,FALSE)=0,"",VLOOKUP($A140,'Annex 2 EHV charges'!$D:$P,13,FALSE)),"")</f>
        <v/>
      </c>
    </row>
    <row r="141" spans="1:8" ht="12.75" customHeight="1" x14ac:dyDescent="0.2">
      <c r="A141" s="81" t="str">
        <f t="array" ref="A141">IFERROR(INDEX('Annex 2 EHV charges'!$D$10:$D$108, MATCH(0, IF(ISBLANK('Annex 2 EHV charges'!$D$10:$D$108),1, COUNTIF(A$4:$A140, 'Annex 2 EHV charges'!$D$10:$D$108)), 0)),"")</f>
        <v/>
      </c>
      <c r="B141" s="80" t="str">
        <f>IF($A141="","",VLOOKUP($A141,'Annex 2 EHV charges'!$D:$O,2,0))</f>
        <v/>
      </c>
      <c r="C141" s="81" t="str">
        <f>IF($A141="","",VLOOKUP($A141,'Annex 2 EHV charges'!$D:$O,3,0))</f>
        <v/>
      </c>
      <c r="D141" s="80" t="str">
        <f>IF($A141="","",VLOOKUP($A141,'Annex 2 EHV charges'!$D:$O,4,0))</f>
        <v/>
      </c>
      <c r="E141" s="82" t="str">
        <f>IFERROR(IF(VLOOKUP($A141,'Annex 2 EHV charges'!$D:$O,10,FALSE)=0,"",VLOOKUP($A141,'Annex 2 EHV charges'!$D:$O,10,FALSE)),"")</f>
        <v/>
      </c>
      <c r="F141" s="83" t="str">
        <f>IFERROR(IF(VLOOKUP($A141,'Annex 2 EHV charges'!$D:$O,11,FALSE)=0,"",VLOOKUP($A141,'Annex 2 EHV charges'!$D:$O,11,FALSE)),"")</f>
        <v/>
      </c>
      <c r="G141" s="84" t="str">
        <f>IFERROR(IF(VLOOKUP($A141,'Annex 2 EHV charges'!$D:$O,12,FALSE)=0,"",VLOOKUP($A141,'Annex 2 EHV charges'!$D:$O,12,FALSE)),"")</f>
        <v/>
      </c>
      <c r="H141" s="84" t="str">
        <f>IFERROR(IF(VLOOKUP($A141,'Annex 2 EHV charges'!$D:$P,13,FALSE)=0,"",VLOOKUP($A141,'Annex 2 EHV charges'!$D:$P,13,FALSE)),"")</f>
        <v/>
      </c>
    </row>
    <row r="142" spans="1:8" ht="12.75" customHeight="1" x14ac:dyDescent="0.2">
      <c r="A142" s="81" t="str">
        <f t="array" ref="A142">IFERROR(INDEX('Annex 2 EHV charges'!$D$10:$D$108, MATCH(0, IF(ISBLANK('Annex 2 EHV charges'!$D$10:$D$108),1, COUNTIF(A$4:$A141, 'Annex 2 EHV charges'!$D$10:$D$108)), 0)),"")</f>
        <v/>
      </c>
      <c r="B142" s="80" t="str">
        <f>IF($A142="","",VLOOKUP($A142,'Annex 2 EHV charges'!$D:$O,2,0))</f>
        <v/>
      </c>
      <c r="C142" s="81" t="str">
        <f>IF($A142="","",VLOOKUP($A142,'Annex 2 EHV charges'!$D:$O,3,0))</f>
        <v/>
      </c>
      <c r="D142" s="80" t="str">
        <f>IF($A142="","",VLOOKUP($A142,'Annex 2 EHV charges'!$D:$O,4,0))</f>
        <v/>
      </c>
      <c r="E142" s="82" t="str">
        <f>IFERROR(IF(VLOOKUP($A142,'Annex 2 EHV charges'!$D:$O,10,FALSE)=0,"",VLOOKUP($A142,'Annex 2 EHV charges'!$D:$O,10,FALSE)),"")</f>
        <v/>
      </c>
      <c r="F142" s="83" t="str">
        <f>IFERROR(IF(VLOOKUP($A142,'Annex 2 EHV charges'!$D:$O,11,FALSE)=0,"",VLOOKUP($A142,'Annex 2 EHV charges'!$D:$O,11,FALSE)),"")</f>
        <v/>
      </c>
      <c r="G142" s="84" t="str">
        <f>IFERROR(IF(VLOOKUP($A142,'Annex 2 EHV charges'!$D:$O,12,FALSE)=0,"",VLOOKUP($A142,'Annex 2 EHV charges'!$D:$O,12,FALSE)),"")</f>
        <v/>
      </c>
      <c r="H142" s="84" t="str">
        <f>IFERROR(IF(VLOOKUP($A142,'Annex 2 EHV charges'!$D:$P,13,FALSE)=0,"",VLOOKUP($A142,'Annex 2 EHV charges'!$D:$P,13,FALSE)),"")</f>
        <v/>
      </c>
    </row>
    <row r="143" spans="1:8" ht="12.75" customHeight="1" x14ac:dyDescent="0.2">
      <c r="A143" s="81" t="str">
        <f t="array" ref="A143">IFERROR(INDEX('Annex 2 EHV charges'!$D$10:$D$108, MATCH(0, IF(ISBLANK('Annex 2 EHV charges'!$D$10:$D$108),1, COUNTIF(A$4:$A142, 'Annex 2 EHV charges'!$D$10:$D$108)), 0)),"")</f>
        <v/>
      </c>
      <c r="B143" s="80" t="str">
        <f>IF($A143="","",VLOOKUP($A143,'Annex 2 EHV charges'!$D:$O,2,0))</f>
        <v/>
      </c>
      <c r="C143" s="81" t="str">
        <f>IF($A143="","",VLOOKUP($A143,'Annex 2 EHV charges'!$D:$O,3,0))</f>
        <v/>
      </c>
      <c r="D143" s="80" t="str">
        <f>IF($A143="","",VLOOKUP($A143,'Annex 2 EHV charges'!$D:$O,4,0))</f>
        <v/>
      </c>
      <c r="E143" s="82" t="str">
        <f>IFERROR(IF(VLOOKUP($A143,'Annex 2 EHV charges'!$D:$O,10,FALSE)=0,"",VLOOKUP($A143,'Annex 2 EHV charges'!$D:$O,10,FALSE)),"")</f>
        <v/>
      </c>
      <c r="F143" s="83" t="str">
        <f>IFERROR(IF(VLOOKUP($A143,'Annex 2 EHV charges'!$D:$O,11,FALSE)=0,"",VLOOKUP($A143,'Annex 2 EHV charges'!$D:$O,11,FALSE)),"")</f>
        <v/>
      </c>
      <c r="G143" s="84" t="str">
        <f>IFERROR(IF(VLOOKUP($A143,'Annex 2 EHV charges'!$D:$O,12,FALSE)=0,"",VLOOKUP($A143,'Annex 2 EHV charges'!$D:$O,12,FALSE)),"")</f>
        <v/>
      </c>
      <c r="H143" s="84" t="str">
        <f>IFERROR(IF(VLOOKUP($A143,'Annex 2 EHV charges'!$D:$P,13,FALSE)=0,"",VLOOKUP($A143,'Annex 2 EHV charges'!$D:$P,13,FALSE)),"")</f>
        <v/>
      </c>
    </row>
    <row r="144" spans="1:8" ht="12.75" customHeight="1" x14ac:dyDescent="0.2">
      <c r="A144" s="81" t="str">
        <f t="array" ref="A144">IFERROR(INDEX('Annex 2 EHV charges'!$D$10:$D$108, MATCH(0, IF(ISBLANK('Annex 2 EHV charges'!$D$10:$D$108),1, COUNTIF(A$4:$A143, 'Annex 2 EHV charges'!$D$10:$D$108)), 0)),"")</f>
        <v/>
      </c>
      <c r="B144" s="80" t="str">
        <f>IF($A144="","",VLOOKUP($A144,'Annex 2 EHV charges'!$D:$O,2,0))</f>
        <v/>
      </c>
      <c r="C144" s="81" t="str">
        <f>IF($A144="","",VLOOKUP($A144,'Annex 2 EHV charges'!$D:$O,3,0))</f>
        <v/>
      </c>
      <c r="D144" s="80" t="str">
        <f>IF($A144="","",VLOOKUP($A144,'Annex 2 EHV charges'!$D:$O,4,0))</f>
        <v/>
      </c>
      <c r="E144" s="82" t="str">
        <f>IFERROR(IF(VLOOKUP($A144,'Annex 2 EHV charges'!$D:$O,10,FALSE)=0,"",VLOOKUP($A144,'Annex 2 EHV charges'!$D:$O,10,FALSE)),"")</f>
        <v/>
      </c>
      <c r="F144" s="83" t="str">
        <f>IFERROR(IF(VLOOKUP($A144,'Annex 2 EHV charges'!$D:$O,11,FALSE)=0,"",VLOOKUP($A144,'Annex 2 EHV charges'!$D:$O,11,FALSE)),"")</f>
        <v/>
      </c>
      <c r="G144" s="84" t="str">
        <f>IFERROR(IF(VLOOKUP($A144,'Annex 2 EHV charges'!$D:$O,12,FALSE)=0,"",VLOOKUP($A144,'Annex 2 EHV charges'!$D:$O,12,FALSE)),"")</f>
        <v/>
      </c>
      <c r="H144" s="84" t="str">
        <f>IFERROR(IF(VLOOKUP($A144,'Annex 2 EHV charges'!$D:$P,13,FALSE)=0,"",VLOOKUP($A144,'Annex 2 EHV charges'!$D:$P,13,FALSE)),"")</f>
        <v/>
      </c>
    </row>
    <row r="145" spans="1:8" ht="12.75" customHeight="1" x14ac:dyDescent="0.2">
      <c r="A145" s="81" t="str">
        <f t="array" ref="A145">IFERROR(INDEX('Annex 2 EHV charges'!$D$10:$D$108, MATCH(0, IF(ISBLANK('Annex 2 EHV charges'!$D$10:$D$108),1, COUNTIF(A$4:$A144, 'Annex 2 EHV charges'!$D$10:$D$108)), 0)),"")</f>
        <v/>
      </c>
      <c r="B145" s="80" t="str">
        <f>IF($A145="","",VLOOKUP($A145,'Annex 2 EHV charges'!$D:$O,2,0))</f>
        <v/>
      </c>
      <c r="C145" s="81" t="str">
        <f>IF($A145="","",VLOOKUP($A145,'Annex 2 EHV charges'!$D:$O,3,0))</f>
        <v/>
      </c>
      <c r="D145" s="80" t="str">
        <f>IF($A145="","",VLOOKUP($A145,'Annex 2 EHV charges'!$D:$O,4,0))</f>
        <v/>
      </c>
      <c r="E145" s="82" t="str">
        <f>IFERROR(IF(VLOOKUP($A145,'Annex 2 EHV charges'!$D:$O,10,FALSE)=0,"",VLOOKUP($A145,'Annex 2 EHV charges'!$D:$O,10,FALSE)),"")</f>
        <v/>
      </c>
      <c r="F145" s="83" t="str">
        <f>IFERROR(IF(VLOOKUP($A145,'Annex 2 EHV charges'!$D:$O,11,FALSE)=0,"",VLOOKUP($A145,'Annex 2 EHV charges'!$D:$O,11,FALSE)),"")</f>
        <v/>
      </c>
      <c r="G145" s="84" t="str">
        <f>IFERROR(IF(VLOOKUP($A145,'Annex 2 EHV charges'!$D:$O,12,FALSE)=0,"",VLOOKUP($A145,'Annex 2 EHV charges'!$D:$O,12,FALSE)),"")</f>
        <v/>
      </c>
      <c r="H145" s="84" t="str">
        <f>IFERROR(IF(VLOOKUP($A145,'Annex 2 EHV charges'!$D:$P,13,FALSE)=0,"",VLOOKUP($A145,'Annex 2 EHV charges'!$D:$P,13,FALSE)),"")</f>
        <v/>
      </c>
    </row>
    <row r="146" spans="1:8" ht="12.75" customHeight="1" x14ac:dyDescent="0.2">
      <c r="A146" s="81" t="str">
        <f t="array" ref="A146">IFERROR(INDEX('Annex 2 EHV charges'!$D$10:$D$108, MATCH(0, IF(ISBLANK('Annex 2 EHV charges'!$D$10:$D$108),1, COUNTIF(A$4:$A145, 'Annex 2 EHV charges'!$D$10:$D$108)), 0)),"")</f>
        <v/>
      </c>
      <c r="B146" s="80" t="str">
        <f>IF($A146="","",VLOOKUP($A146,'Annex 2 EHV charges'!$D:$O,2,0))</f>
        <v/>
      </c>
      <c r="C146" s="81" t="str">
        <f>IF($A146="","",VLOOKUP($A146,'Annex 2 EHV charges'!$D:$O,3,0))</f>
        <v/>
      </c>
      <c r="D146" s="80" t="str">
        <f>IF($A146="","",VLOOKUP($A146,'Annex 2 EHV charges'!$D:$O,4,0))</f>
        <v/>
      </c>
      <c r="E146" s="82" t="str">
        <f>IFERROR(IF(VLOOKUP($A146,'Annex 2 EHV charges'!$D:$O,10,FALSE)=0,"",VLOOKUP($A146,'Annex 2 EHV charges'!$D:$O,10,FALSE)),"")</f>
        <v/>
      </c>
      <c r="F146" s="83" t="str">
        <f>IFERROR(IF(VLOOKUP($A146,'Annex 2 EHV charges'!$D:$O,11,FALSE)=0,"",VLOOKUP($A146,'Annex 2 EHV charges'!$D:$O,11,FALSE)),"")</f>
        <v/>
      </c>
      <c r="G146" s="84" t="str">
        <f>IFERROR(IF(VLOOKUP($A146,'Annex 2 EHV charges'!$D:$O,12,FALSE)=0,"",VLOOKUP($A146,'Annex 2 EHV charges'!$D:$O,12,FALSE)),"")</f>
        <v/>
      </c>
      <c r="H146" s="84" t="str">
        <f>IFERROR(IF(VLOOKUP($A146,'Annex 2 EHV charges'!$D:$P,13,FALSE)=0,"",VLOOKUP($A146,'Annex 2 EHV charges'!$D:$P,13,FALSE)),"")</f>
        <v/>
      </c>
    </row>
    <row r="147" spans="1:8" ht="12.75" customHeight="1" x14ac:dyDescent="0.2">
      <c r="A147" s="81" t="str">
        <f t="array" ref="A147">IFERROR(INDEX('Annex 2 EHV charges'!$D$10:$D$108, MATCH(0, IF(ISBLANK('Annex 2 EHV charges'!$D$10:$D$108),1, COUNTIF(A$4:$A146, 'Annex 2 EHV charges'!$D$10:$D$108)), 0)),"")</f>
        <v/>
      </c>
      <c r="B147" s="80" t="str">
        <f>IF($A147="","",VLOOKUP($A147,'Annex 2 EHV charges'!$D:$O,2,0))</f>
        <v/>
      </c>
      <c r="C147" s="81" t="str">
        <f>IF($A147="","",VLOOKUP($A147,'Annex 2 EHV charges'!$D:$O,3,0))</f>
        <v/>
      </c>
      <c r="D147" s="80" t="str">
        <f>IF($A147="","",VLOOKUP($A147,'Annex 2 EHV charges'!$D:$O,4,0))</f>
        <v/>
      </c>
      <c r="E147" s="82" t="str">
        <f>IFERROR(IF(VLOOKUP($A147,'Annex 2 EHV charges'!$D:$O,10,FALSE)=0,"",VLOOKUP($A147,'Annex 2 EHV charges'!$D:$O,10,FALSE)),"")</f>
        <v/>
      </c>
      <c r="F147" s="83" t="str">
        <f>IFERROR(IF(VLOOKUP($A147,'Annex 2 EHV charges'!$D:$O,11,FALSE)=0,"",VLOOKUP($A147,'Annex 2 EHV charges'!$D:$O,11,FALSE)),"")</f>
        <v/>
      </c>
      <c r="G147" s="84" t="str">
        <f>IFERROR(IF(VLOOKUP($A147,'Annex 2 EHV charges'!$D:$O,12,FALSE)=0,"",VLOOKUP($A147,'Annex 2 EHV charges'!$D:$O,12,FALSE)),"")</f>
        <v/>
      </c>
      <c r="H147" s="84" t="str">
        <f>IFERROR(IF(VLOOKUP($A147,'Annex 2 EHV charges'!$D:$P,13,FALSE)=0,"",VLOOKUP($A147,'Annex 2 EHV charges'!$D:$P,13,FALSE)),"")</f>
        <v/>
      </c>
    </row>
    <row r="148" spans="1:8" ht="12.75" customHeight="1" x14ac:dyDescent="0.2">
      <c r="A148" s="81" t="str">
        <f t="array" ref="A148">IFERROR(INDEX('Annex 2 EHV charges'!$D$10:$D$108, MATCH(0, IF(ISBLANK('Annex 2 EHV charges'!$D$10:$D$108),1, COUNTIF(A$4:$A147, 'Annex 2 EHV charges'!$D$10:$D$108)), 0)),"")</f>
        <v/>
      </c>
      <c r="B148" s="80" t="str">
        <f>IF($A148="","",VLOOKUP($A148,'Annex 2 EHV charges'!$D:$O,2,0))</f>
        <v/>
      </c>
      <c r="C148" s="81" t="str">
        <f>IF($A148="","",VLOOKUP($A148,'Annex 2 EHV charges'!$D:$O,3,0))</f>
        <v/>
      </c>
      <c r="D148" s="80" t="str">
        <f>IF($A148="","",VLOOKUP($A148,'Annex 2 EHV charges'!$D:$O,4,0))</f>
        <v/>
      </c>
      <c r="E148" s="82" t="str">
        <f>IFERROR(IF(VLOOKUP($A148,'Annex 2 EHV charges'!$D:$O,10,FALSE)=0,"",VLOOKUP($A148,'Annex 2 EHV charges'!$D:$O,10,FALSE)),"")</f>
        <v/>
      </c>
      <c r="F148" s="83" t="str">
        <f>IFERROR(IF(VLOOKUP($A148,'Annex 2 EHV charges'!$D:$O,11,FALSE)=0,"",VLOOKUP($A148,'Annex 2 EHV charges'!$D:$O,11,FALSE)),"")</f>
        <v/>
      </c>
      <c r="G148" s="84" t="str">
        <f>IFERROR(IF(VLOOKUP($A148,'Annex 2 EHV charges'!$D:$O,12,FALSE)=0,"",VLOOKUP($A148,'Annex 2 EHV charges'!$D:$O,12,FALSE)),"")</f>
        <v/>
      </c>
      <c r="H148" s="84" t="str">
        <f>IFERROR(IF(VLOOKUP($A148,'Annex 2 EHV charges'!$D:$P,13,FALSE)=0,"",VLOOKUP($A148,'Annex 2 EHV charges'!$D:$P,13,FALSE)),"")</f>
        <v/>
      </c>
    </row>
    <row r="149" spans="1:8" ht="12.75" customHeight="1" x14ac:dyDescent="0.2">
      <c r="A149" s="81" t="str">
        <f t="array" ref="A149">IFERROR(INDEX('Annex 2 EHV charges'!$D$10:$D$108, MATCH(0, IF(ISBLANK('Annex 2 EHV charges'!$D$10:$D$108),1, COUNTIF(A$4:$A148, 'Annex 2 EHV charges'!$D$10:$D$108)), 0)),"")</f>
        <v/>
      </c>
      <c r="B149" s="80" t="str">
        <f>IF($A149="","",VLOOKUP($A149,'Annex 2 EHV charges'!$D:$O,2,0))</f>
        <v/>
      </c>
      <c r="C149" s="81" t="str">
        <f>IF($A149="","",VLOOKUP($A149,'Annex 2 EHV charges'!$D:$O,3,0))</f>
        <v/>
      </c>
      <c r="D149" s="80" t="str">
        <f>IF($A149="","",VLOOKUP($A149,'Annex 2 EHV charges'!$D:$O,4,0))</f>
        <v/>
      </c>
      <c r="E149" s="82" t="str">
        <f>IFERROR(IF(VLOOKUP($A149,'Annex 2 EHV charges'!$D:$O,10,FALSE)=0,"",VLOOKUP($A149,'Annex 2 EHV charges'!$D:$O,10,FALSE)),"")</f>
        <v/>
      </c>
      <c r="F149" s="83" t="str">
        <f>IFERROR(IF(VLOOKUP($A149,'Annex 2 EHV charges'!$D:$O,11,FALSE)=0,"",VLOOKUP($A149,'Annex 2 EHV charges'!$D:$O,11,FALSE)),"")</f>
        <v/>
      </c>
      <c r="G149" s="84" t="str">
        <f>IFERROR(IF(VLOOKUP($A149,'Annex 2 EHV charges'!$D:$O,12,FALSE)=0,"",VLOOKUP($A149,'Annex 2 EHV charges'!$D:$O,12,FALSE)),"")</f>
        <v/>
      </c>
      <c r="H149" s="84" t="str">
        <f>IFERROR(IF(VLOOKUP($A149,'Annex 2 EHV charges'!$D:$P,13,FALSE)=0,"",VLOOKUP($A149,'Annex 2 EHV charges'!$D:$P,13,FALSE)),"")</f>
        <v/>
      </c>
    </row>
    <row r="150" spans="1:8" ht="12.75" customHeight="1" x14ac:dyDescent="0.2">
      <c r="A150" s="81" t="str">
        <f t="array" ref="A150">IFERROR(INDEX('Annex 2 EHV charges'!$D$10:$D$108, MATCH(0, IF(ISBLANK('Annex 2 EHV charges'!$D$10:$D$108),1, COUNTIF(A$4:$A149, 'Annex 2 EHV charges'!$D$10:$D$108)), 0)),"")</f>
        <v/>
      </c>
      <c r="B150" s="80" t="str">
        <f>IF($A150="","",VLOOKUP($A150,'Annex 2 EHV charges'!$D:$O,2,0))</f>
        <v/>
      </c>
      <c r="C150" s="81" t="str">
        <f>IF($A150="","",VLOOKUP($A150,'Annex 2 EHV charges'!$D:$O,3,0))</f>
        <v/>
      </c>
      <c r="D150" s="80" t="str">
        <f>IF($A150="","",VLOOKUP($A150,'Annex 2 EHV charges'!$D:$O,4,0))</f>
        <v/>
      </c>
      <c r="E150" s="82" t="str">
        <f>IFERROR(IF(VLOOKUP($A150,'Annex 2 EHV charges'!$D:$O,10,FALSE)=0,"",VLOOKUP($A150,'Annex 2 EHV charges'!$D:$O,10,FALSE)),"")</f>
        <v/>
      </c>
      <c r="F150" s="83" t="str">
        <f>IFERROR(IF(VLOOKUP($A150,'Annex 2 EHV charges'!$D:$O,11,FALSE)=0,"",VLOOKUP($A150,'Annex 2 EHV charges'!$D:$O,11,FALSE)),"")</f>
        <v/>
      </c>
      <c r="G150" s="84" t="str">
        <f>IFERROR(IF(VLOOKUP($A150,'Annex 2 EHV charges'!$D:$O,12,FALSE)=0,"",VLOOKUP($A150,'Annex 2 EHV charges'!$D:$O,12,FALSE)),"")</f>
        <v/>
      </c>
      <c r="H150" s="84" t="str">
        <f>IFERROR(IF(VLOOKUP($A150,'Annex 2 EHV charges'!$D:$P,13,FALSE)=0,"",VLOOKUP($A150,'Annex 2 EHV charges'!$D:$P,13,FALSE)),"")</f>
        <v/>
      </c>
    </row>
    <row r="151" spans="1:8" ht="12.75" customHeight="1" x14ac:dyDescent="0.2">
      <c r="A151" s="81" t="str">
        <f t="array" ref="A151">IFERROR(INDEX('Annex 2 EHV charges'!$D$10:$D$108, MATCH(0, IF(ISBLANK('Annex 2 EHV charges'!$D$10:$D$108),1, COUNTIF(A$4:$A150, 'Annex 2 EHV charges'!$D$10:$D$108)), 0)),"")</f>
        <v/>
      </c>
      <c r="B151" s="80" t="str">
        <f>IF($A151="","",VLOOKUP($A151,'Annex 2 EHV charges'!$D:$O,2,0))</f>
        <v/>
      </c>
      <c r="C151" s="81" t="str">
        <f>IF($A151="","",VLOOKUP($A151,'Annex 2 EHV charges'!$D:$O,3,0))</f>
        <v/>
      </c>
      <c r="D151" s="80" t="str">
        <f>IF($A151="","",VLOOKUP($A151,'Annex 2 EHV charges'!$D:$O,4,0))</f>
        <v/>
      </c>
      <c r="E151" s="82" t="str">
        <f>IFERROR(IF(VLOOKUP($A151,'Annex 2 EHV charges'!$D:$O,10,FALSE)=0,"",VLOOKUP($A151,'Annex 2 EHV charges'!$D:$O,10,FALSE)),"")</f>
        <v/>
      </c>
      <c r="F151" s="83" t="str">
        <f>IFERROR(IF(VLOOKUP($A151,'Annex 2 EHV charges'!$D:$O,11,FALSE)=0,"",VLOOKUP($A151,'Annex 2 EHV charges'!$D:$O,11,FALSE)),"")</f>
        <v/>
      </c>
      <c r="G151" s="84" t="str">
        <f>IFERROR(IF(VLOOKUP($A151,'Annex 2 EHV charges'!$D:$O,12,FALSE)=0,"",VLOOKUP($A151,'Annex 2 EHV charges'!$D:$O,12,FALSE)),"")</f>
        <v/>
      </c>
      <c r="H151" s="84" t="str">
        <f>IFERROR(IF(VLOOKUP($A151,'Annex 2 EHV charges'!$D:$P,13,FALSE)=0,"",VLOOKUP($A151,'Annex 2 EHV charges'!$D:$P,13,FALSE)),"")</f>
        <v/>
      </c>
    </row>
    <row r="152" spans="1:8" x14ac:dyDescent="0.2">
      <c r="A152" s="81" t="str">
        <f t="array" ref="A152">IFERROR(INDEX('Annex 2 EHV charges'!$D$10:$D$108, MATCH(0, IF(ISBLANK('Annex 2 EHV charges'!$D$10:$D$108),1, COUNTIF(A$4:$A151, 'Annex 2 EHV charges'!$D$10:$D$108)), 0)),"")</f>
        <v/>
      </c>
      <c r="B152" s="80" t="str">
        <f>IF($A152="","",VLOOKUP($A152,'Annex 2 EHV charges'!$D:$O,2,0))</f>
        <v/>
      </c>
      <c r="C152" s="81" t="str">
        <f>IF($A152="","",VLOOKUP($A152,'Annex 2 EHV charges'!$D:$O,3,0))</f>
        <v/>
      </c>
      <c r="D152" s="80" t="str">
        <f>IF($A152="","",VLOOKUP($A152,'Annex 2 EHV charges'!$D:$O,4,0))</f>
        <v/>
      </c>
      <c r="E152" s="82" t="str">
        <f>IFERROR(IF(VLOOKUP($A152,'Annex 2 EHV charges'!$D:$O,10,FALSE)=0,"",VLOOKUP($A152,'Annex 2 EHV charges'!$D:$O,10,FALSE)),"")</f>
        <v/>
      </c>
      <c r="F152" s="83" t="str">
        <f>IFERROR(IF(VLOOKUP($A152,'Annex 2 EHV charges'!$D:$O,11,FALSE)=0,"",VLOOKUP($A152,'Annex 2 EHV charges'!$D:$O,11,FALSE)),"")</f>
        <v/>
      </c>
      <c r="G152" s="84" t="str">
        <f>IFERROR(IF(VLOOKUP($A152,'Annex 2 EHV charges'!$D:$O,12,FALSE)=0,"",VLOOKUP($A152,'Annex 2 EHV charges'!$D:$O,12,FALSE)),"")</f>
        <v/>
      </c>
      <c r="H152" s="84" t="str">
        <f>IFERROR(IF(VLOOKUP($A152,'Annex 2 EHV charges'!$D:$P,13,FALSE)=0,"",VLOOKUP($A152,'Annex 2 EHV charges'!$D:$P,13,FALSE)),"")</f>
        <v/>
      </c>
    </row>
    <row r="153" spans="1:8" x14ac:dyDescent="0.2">
      <c r="A153" s="81" t="str">
        <f t="array" ref="A153">IFERROR(INDEX('Annex 2 EHV charges'!$D$10:$D$108, MATCH(0, IF(ISBLANK('Annex 2 EHV charges'!$D$10:$D$108),1, COUNTIF(A$4:$A152, 'Annex 2 EHV charges'!$D$10:$D$108)), 0)),"")</f>
        <v/>
      </c>
      <c r="B153" s="80" t="str">
        <f>IF($A153="","",VLOOKUP($A153,'Annex 2 EHV charges'!$D:$O,2,0))</f>
        <v/>
      </c>
      <c r="C153" s="81" t="str">
        <f>IF($A153="","",VLOOKUP($A153,'Annex 2 EHV charges'!$D:$O,3,0))</f>
        <v/>
      </c>
      <c r="D153" s="80" t="str">
        <f>IF($A153="","",VLOOKUP($A153,'Annex 2 EHV charges'!$D:$O,4,0))</f>
        <v/>
      </c>
      <c r="E153" s="82" t="str">
        <f>IFERROR(IF(VLOOKUP($A153,'Annex 2 EHV charges'!$D:$O,10,FALSE)=0,"",VLOOKUP($A153,'Annex 2 EHV charges'!$D:$O,10,FALSE)),"")</f>
        <v/>
      </c>
      <c r="F153" s="83" t="str">
        <f>IFERROR(IF(VLOOKUP($A153,'Annex 2 EHV charges'!$D:$O,11,FALSE)=0,"",VLOOKUP($A153,'Annex 2 EHV charges'!$D:$O,11,FALSE)),"")</f>
        <v/>
      </c>
      <c r="G153" s="84" t="str">
        <f>IFERROR(IF(VLOOKUP($A153,'Annex 2 EHV charges'!$D:$O,12,FALSE)=0,"",VLOOKUP($A153,'Annex 2 EHV charges'!$D:$O,12,FALSE)),"")</f>
        <v/>
      </c>
      <c r="H153" s="84" t="str">
        <f>IFERROR(IF(VLOOKUP($A153,'Annex 2 EHV charges'!$D:$P,13,FALSE)=0,"",VLOOKUP($A153,'Annex 2 EHV charges'!$D:$P,13,FALSE)),"")</f>
        <v/>
      </c>
    </row>
    <row r="154" spans="1:8" x14ac:dyDescent="0.2">
      <c r="A154" s="81" t="str">
        <f t="array" ref="A154">IFERROR(INDEX('Annex 2 EHV charges'!$D$10:$D$108, MATCH(0, IF(ISBLANK('Annex 2 EHV charges'!$D$10:$D$108),1, COUNTIF(A$4:$A153, 'Annex 2 EHV charges'!$D$10:$D$108)), 0)),"")</f>
        <v/>
      </c>
      <c r="B154" s="80" t="str">
        <f>IF($A154="","",VLOOKUP($A154,'Annex 2 EHV charges'!$D:$O,2,0))</f>
        <v/>
      </c>
      <c r="C154" s="81" t="str">
        <f>IF($A154="","",VLOOKUP($A154,'Annex 2 EHV charges'!$D:$O,3,0))</f>
        <v/>
      </c>
      <c r="D154" s="80" t="str">
        <f>IF($A154="","",VLOOKUP($A154,'Annex 2 EHV charges'!$D:$O,4,0))</f>
        <v/>
      </c>
      <c r="E154" s="82" t="str">
        <f>IFERROR(IF(VLOOKUP($A154,'Annex 2 EHV charges'!$D:$O,10,FALSE)=0,"",VLOOKUP($A154,'Annex 2 EHV charges'!$D:$O,10,FALSE)),"")</f>
        <v/>
      </c>
      <c r="F154" s="83" t="str">
        <f>IFERROR(IF(VLOOKUP($A154,'Annex 2 EHV charges'!$D:$O,11,FALSE)=0,"",VLOOKUP($A154,'Annex 2 EHV charges'!$D:$O,11,FALSE)),"")</f>
        <v/>
      </c>
      <c r="G154" s="84" t="str">
        <f>IFERROR(IF(VLOOKUP($A154,'Annex 2 EHV charges'!$D:$O,12,FALSE)=0,"",VLOOKUP($A154,'Annex 2 EHV charges'!$D:$O,12,FALSE)),"")</f>
        <v/>
      </c>
      <c r="H154" s="84" t="str">
        <f>IFERROR(IF(VLOOKUP($A154,'Annex 2 EHV charges'!$D:$P,13,FALSE)=0,"",VLOOKUP($A154,'Annex 2 EHV charges'!$D:$P,13,FALSE)),"")</f>
        <v/>
      </c>
    </row>
    <row r="155" spans="1:8" x14ac:dyDescent="0.2">
      <c r="A155" s="81" t="str">
        <f t="array" ref="A155">IFERROR(INDEX('Annex 2 EHV charges'!$D$10:$D$108, MATCH(0, IF(ISBLANK('Annex 2 EHV charges'!$D$10:$D$108),1, COUNTIF(A$4:$A154, 'Annex 2 EHV charges'!$D$10:$D$108)), 0)),"")</f>
        <v/>
      </c>
      <c r="B155" s="80" t="str">
        <f>IF($A155="","",VLOOKUP($A155,'Annex 2 EHV charges'!$D:$O,2,0))</f>
        <v/>
      </c>
      <c r="C155" s="81" t="str">
        <f>IF($A155="","",VLOOKUP($A155,'Annex 2 EHV charges'!$D:$O,3,0))</f>
        <v/>
      </c>
      <c r="D155" s="80" t="str">
        <f>IF($A155="","",VLOOKUP($A155,'Annex 2 EHV charges'!$D:$O,4,0))</f>
        <v/>
      </c>
      <c r="E155" s="82" t="str">
        <f>IFERROR(IF(VLOOKUP($A155,'Annex 2 EHV charges'!$D:$O,10,FALSE)=0,"",VLOOKUP($A155,'Annex 2 EHV charges'!$D:$O,10,FALSE)),"")</f>
        <v/>
      </c>
      <c r="F155" s="83" t="str">
        <f>IFERROR(IF(VLOOKUP($A155,'Annex 2 EHV charges'!$D:$O,11,FALSE)=0,"",VLOOKUP($A155,'Annex 2 EHV charges'!$D:$O,11,FALSE)),"")</f>
        <v/>
      </c>
      <c r="G155" s="84" t="str">
        <f>IFERROR(IF(VLOOKUP($A155,'Annex 2 EHV charges'!$D:$O,12,FALSE)=0,"",VLOOKUP($A155,'Annex 2 EHV charges'!$D:$O,12,FALSE)),"")</f>
        <v/>
      </c>
      <c r="H155" s="84" t="str">
        <f>IFERROR(IF(VLOOKUP($A155,'Annex 2 EHV charges'!$D:$P,13,FALSE)=0,"",VLOOKUP($A155,'Annex 2 EHV charges'!$D:$P,13,FALSE)),"")</f>
        <v/>
      </c>
    </row>
    <row r="156" spans="1:8" x14ac:dyDescent="0.2">
      <c r="A156" s="81" t="str">
        <f t="array" ref="A156">IFERROR(INDEX('Annex 2 EHV charges'!$D$10:$D$108, MATCH(0, IF(ISBLANK('Annex 2 EHV charges'!$D$10:$D$108),1, COUNTIF(A$4:$A155, 'Annex 2 EHV charges'!$D$10:$D$108)), 0)),"")</f>
        <v/>
      </c>
      <c r="B156" s="80" t="str">
        <f>IF($A156="","",VLOOKUP($A156,'Annex 2 EHV charges'!$D:$O,2,0))</f>
        <v/>
      </c>
      <c r="C156" s="81" t="str">
        <f>IF($A156="","",VLOOKUP($A156,'Annex 2 EHV charges'!$D:$O,3,0))</f>
        <v/>
      </c>
      <c r="D156" s="80" t="str">
        <f>IF($A156="","",VLOOKUP($A156,'Annex 2 EHV charges'!$D:$O,4,0))</f>
        <v/>
      </c>
      <c r="E156" s="82" t="str">
        <f>IFERROR(IF(VLOOKUP($A156,'Annex 2 EHV charges'!$D:$O,10,FALSE)=0,"",VLOOKUP($A156,'Annex 2 EHV charges'!$D:$O,10,FALSE)),"")</f>
        <v/>
      </c>
      <c r="F156" s="83" t="str">
        <f>IFERROR(IF(VLOOKUP($A156,'Annex 2 EHV charges'!$D:$O,11,FALSE)=0,"",VLOOKUP($A156,'Annex 2 EHV charges'!$D:$O,11,FALSE)),"")</f>
        <v/>
      </c>
      <c r="G156" s="84" t="str">
        <f>IFERROR(IF(VLOOKUP($A156,'Annex 2 EHV charges'!$D:$O,12,FALSE)=0,"",VLOOKUP($A156,'Annex 2 EHV charges'!$D:$O,12,FALSE)),"")</f>
        <v/>
      </c>
      <c r="H156" s="84" t="str">
        <f>IFERROR(IF(VLOOKUP($A156,'Annex 2 EHV charges'!$D:$P,13,FALSE)=0,"",VLOOKUP($A156,'Annex 2 EHV charges'!$D:$P,13,FALSE)),"")</f>
        <v/>
      </c>
    </row>
    <row r="157" spans="1:8" x14ac:dyDescent="0.2">
      <c r="A157" s="81" t="str">
        <f t="array" ref="A157">IFERROR(INDEX('Annex 2 EHV charges'!$D$10:$D$108, MATCH(0, IF(ISBLANK('Annex 2 EHV charges'!$D$10:$D$108),1, COUNTIF(A$4:$A156, 'Annex 2 EHV charges'!$D$10:$D$108)), 0)),"")</f>
        <v/>
      </c>
      <c r="B157" s="80" t="str">
        <f>IF($A157="","",VLOOKUP($A157,'Annex 2 EHV charges'!$D:$O,2,0))</f>
        <v/>
      </c>
      <c r="C157" s="81" t="str">
        <f>IF($A157="","",VLOOKUP($A157,'Annex 2 EHV charges'!$D:$O,3,0))</f>
        <v/>
      </c>
      <c r="D157" s="80" t="str">
        <f>IF($A157="","",VLOOKUP($A157,'Annex 2 EHV charges'!$D:$O,4,0))</f>
        <v/>
      </c>
      <c r="E157" s="82" t="str">
        <f>IFERROR(IF(VLOOKUP($A157,'Annex 2 EHV charges'!$D:$O,10,FALSE)=0,"",VLOOKUP($A157,'Annex 2 EHV charges'!$D:$O,10,FALSE)),"")</f>
        <v/>
      </c>
      <c r="F157" s="83" t="str">
        <f>IFERROR(IF(VLOOKUP($A157,'Annex 2 EHV charges'!$D:$O,11,FALSE)=0,"",VLOOKUP($A157,'Annex 2 EHV charges'!$D:$O,11,FALSE)),"")</f>
        <v/>
      </c>
      <c r="G157" s="84" t="str">
        <f>IFERROR(IF(VLOOKUP($A157,'Annex 2 EHV charges'!$D:$O,12,FALSE)=0,"",VLOOKUP($A157,'Annex 2 EHV charges'!$D:$O,12,FALSE)),"")</f>
        <v/>
      </c>
      <c r="H157" s="84" t="str">
        <f>IFERROR(IF(VLOOKUP($A157,'Annex 2 EHV charges'!$D:$P,13,FALSE)=0,"",VLOOKUP($A157,'Annex 2 EHV charges'!$D:$P,13,FALSE)),"")</f>
        <v/>
      </c>
    </row>
    <row r="158" spans="1:8" x14ac:dyDescent="0.2">
      <c r="A158" s="81" t="str">
        <f t="array" ref="A158">IFERROR(INDEX('Annex 2 EHV charges'!$D$10:$D$108, MATCH(0, IF(ISBLANK('Annex 2 EHV charges'!$D$10:$D$108),1, COUNTIF(A$4:$A157, 'Annex 2 EHV charges'!$D$10:$D$108)), 0)),"")</f>
        <v/>
      </c>
      <c r="B158" s="80" t="str">
        <f>IF($A158="","",VLOOKUP($A158,'Annex 2 EHV charges'!$D:$O,2,0))</f>
        <v/>
      </c>
      <c r="C158" s="81" t="str">
        <f>IF($A158="","",VLOOKUP($A158,'Annex 2 EHV charges'!$D:$O,3,0))</f>
        <v/>
      </c>
      <c r="D158" s="80" t="str">
        <f>IF($A158="","",VLOOKUP($A158,'Annex 2 EHV charges'!$D:$O,4,0))</f>
        <v/>
      </c>
      <c r="E158" s="82" t="str">
        <f>IFERROR(IF(VLOOKUP($A158,'Annex 2 EHV charges'!$D:$O,10,FALSE)=0,"",VLOOKUP($A158,'Annex 2 EHV charges'!$D:$O,10,FALSE)),"")</f>
        <v/>
      </c>
      <c r="F158" s="83" t="str">
        <f>IFERROR(IF(VLOOKUP($A158,'Annex 2 EHV charges'!$D:$O,11,FALSE)=0,"",VLOOKUP($A158,'Annex 2 EHV charges'!$D:$O,11,FALSE)),"")</f>
        <v/>
      </c>
      <c r="G158" s="84" t="str">
        <f>IFERROR(IF(VLOOKUP($A158,'Annex 2 EHV charges'!$D:$O,12,FALSE)=0,"",VLOOKUP($A158,'Annex 2 EHV charges'!$D:$O,12,FALSE)),"")</f>
        <v/>
      </c>
      <c r="H158" s="84" t="str">
        <f>IFERROR(IF(VLOOKUP($A158,'Annex 2 EHV charges'!$D:$P,13,FALSE)=0,"",VLOOKUP($A158,'Annex 2 EHV charges'!$D:$P,13,FALSE)),"")</f>
        <v/>
      </c>
    </row>
    <row r="159" spans="1:8" x14ac:dyDescent="0.2">
      <c r="A159" s="81" t="str">
        <f t="array" ref="A159">IFERROR(INDEX('Annex 2 EHV charges'!$D$10:$D$108, MATCH(0, IF(ISBLANK('Annex 2 EHV charges'!$D$10:$D$108),1, COUNTIF(A$4:$A158, 'Annex 2 EHV charges'!$D$10:$D$108)), 0)),"")</f>
        <v/>
      </c>
      <c r="B159" s="80" t="str">
        <f>IF($A159="","",VLOOKUP($A159,'Annex 2 EHV charges'!$D:$O,2,0))</f>
        <v/>
      </c>
      <c r="C159" s="81" t="str">
        <f>IF($A159="","",VLOOKUP($A159,'Annex 2 EHV charges'!$D:$O,3,0))</f>
        <v/>
      </c>
      <c r="D159" s="80" t="str">
        <f>IF($A159="","",VLOOKUP($A159,'Annex 2 EHV charges'!$D:$O,4,0))</f>
        <v/>
      </c>
      <c r="E159" s="82" t="str">
        <f>IFERROR(IF(VLOOKUP($A159,'Annex 2 EHV charges'!$D:$O,10,FALSE)=0,"",VLOOKUP($A159,'Annex 2 EHV charges'!$D:$O,10,FALSE)),"")</f>
        <v/>
      </c>
      <c r="F159" s="83" t="str">
        <f>IFERROR(IF(VLOOKUP($A159,'Annex 2 EHV charges'!$D:$O,11,FALSE)=0,"",VLOOKUP($A159,'Annex 2 EHV charges'!$D:$O,11,FALSE)),"")</f>
        <v/>
      </c>
      <c r="G159" s="84" t="str">
        <f>IFERROR(IF(VLOOKUP($A159,'Annex 2 EHV charges'!$D:$O,12,FALSE)=0,"",VLOOKUP($A159,'Annex 2 EHV charges'!$D:$O,12,FALSE)),"")</f>
        <v/>
      </c>
      <c r="H159" s="84" t="str">
        <f>IFERROR(IF(VLOOKUP($A159,'Annex 2 EHV charges'!$D:$P,13,FALSE)=0,"",VLOOKUP($A159,'Annex 2 EHV charges'!$D:$P,13,FALSE)),"")</f>
        <v/>
      </c>
    </row>
    <row r="160" spans="1:8" x14ac:dyDescent="0.2">
      <c r="A160" s="81" t="str">
        <f t="array" ref="A160">IFERROR(INDEX('Annex 2 EHV charges'!$D$10:$D$108, MATCH(0, IF(ISBLANK('Annex 2 EHV charges'!$D$10:$D$108),1, COUNTIF(A$4:$A159, 'Annex 2 EHV charges'!$D$10:$D$108)), 0)),"")</f>
        <v/>
      </c>
      <c r="B160" s="80" t="str">
        <f>IF($A160="","",VLOOKUP($A160,'Annex 2 EHV charges'!$D:$O,2,0))</f>
        <v/>
      </c>
      <c r="C160" s="81" t="str">
        <f>IF($A160="","",VLOOKUP($A160,'Annex 2 EHV charges'!$D:$O,3,0))</f>
        <v/>
      </c>
      <c r="D160" s="80" t="str">
        <f>IF($A160="","",VLOOKUP($A160,'Annex 2 EHV charges'!$D:$O,4,0))</f>
        <v/>
      </c>
      <c r="E160" s="82" t="str">
        <f>IFERROR(IF(VLOOKUP($A160,'Annex 2 EHV charges'!$D:$O,10,FALSE)=0,"",VLOOKUP($A160,'Annex 2 EHV charges'!$D:$O,10,FALSE)),"")</f>
        <v/>
      </c>
      <c r="F160" s="83" t="str">
        <f>IFERROR(IF(VLOOKUP($A160,'Annex 2 EHV charges'!$D:$O,11,FALSE)=0,"",VLOOKUP($A160,'Annex 2 EHV charges'!$D:$O,11,FALSE)),"")</f>
        <v/>
      </c>
      <c r="G160" s="84" t="str">
        <f>IFERROR(IF(VLOOKUP($A160,'Annex 2 EHV charges'!$D:$O,12,FALSE)=0,"",VLOOKUP($A160,'Annex 2 EHV charges'!$D:$O,12,FALSE)),"")</f>
        <v/>
      </c>
      <c r="H160" s="84" t="str">
        <f>IFERROR(IF(VLOOKUP($A160,'Annex 2 EHV charges'!$D:$P,13,FALSE)=0,"",VLOOKUP($A160,'Annex 2 EHV charges'!$D:$P,13,FALSE)),"")</f>
        <v/>
      </c>
    </row>
    <row r="161" spans="1:8" x14ac:dyDescent="0.2">
      <c r="A161" s="81" t="str">
        <f t="array" ref="A161">IFERROR(INDEX('Annex 2 EHV charges'!$D$10:$D$108, MATCH(0, IF(ISBLANK('Annex 2 EHV charges'!$D$10:$D$108),1, COUNTIF(A$4:$A160, 'Annex 2 EHV charges'!$D$10:$D$108)), 0)),"")</f>
        <v/>
      </c>
      <c r="B161" s="80" t="str">
        <f>IF($A161="","",VLOOKUP($A161,'Annex 2 EHV charges'!$D:$O,2,0))</f>
        <v/>
      </c>
      <c r="C161" s="81" t="str">
        <f>IF($A161="","",VLOOKUP($A161,'Annex 2 EHV charges'!$D:$O,3,0))</f>
        <v/>
      </c>
      <c r="D161" s="80" t="str">
        <f>IF($A161="","",VLOOKUP($A161,'Annex 2 EHV charges'!$D:$O,4,0))</f>
        <v/>
      </c>
      <c r="E161" s="82" t="str">
        <f>IFERROR(IF(VLOOKUP($A161,'Annex 2 EHV charges'!$D:$O,10,FALSE)=0,"",VLOOKUP($A161,'Annex 2 EHV charges'!$D:$O,10,FALSE)),"")</f>
        <v/>
      </c>
      <c r="F161" s="83" t="str">
        <f>IFERROR(IF(VLOOKUP($A161,'Annex 2 EHV charges'!$D:$O,11,FALSE)=0,"",VLOOKUP($A161,'Annex 2 EHV charges'!$D:$O,11,FALSE)),"")</f>
        <v/>
      </c>
      <c r="G161" s="84" t="str">
        <f>IFERROR(IF(VLOOKUP($A161,'Annex 2 EHV charges'!$D:$O,12,FALSE)=0,"",VLOOKUP($A161,'Annex 2 EHV charges'!$D:$O,12,FALSE)),"")</f>
        <v/>
      </c>
      <c r="H161" s="84" t="str">
        <f>IFERROR(IF(VLOOKUP($A161,'Annex 2 EHV charges'!$D:$P,13,FALSE)=0,"",VLOOKUP($A161,'Annex 2 EHV charges'!$D:$P,13,FALSE)),"")</f>
        <v/>
      </c>
    </row>
    <row r="162" spans="1:8" x14ac:dyDescent="0.2">
      <c r="A162" s="81" t="str">
        <f t="array" ref="A162">IFERROR(INDEX('Annex 2 EHV charges'!$D$10:$D$108, MATCH(0, IF(ISBLANK('Annex 2 EHV charges'!$D$10:$D$108),1, COUNTIF(A$4:$A161, 'Annex 2 EHV charges'!$D$10:$D$108)), 0)),"")</f>
        <v/>
      </c>
      <c r="B162" s="80" t="str">
        <f>IF($A162="","",VLOOKUP($A162,'Annex 2 EHV charges'!$D:$O,2,0))</f>
        <v/>
      </c>
      <c r="C162" s="81" t="str">
        <f>IF($A162="","",VLOOKUP($A162,'Annex 2 EHV charges'!$D:$O,3,0))</f>
        <v/>
      </c>
      <c r="D162" s="80" t="str">
        <f>IF($A162="","",VLOOKUP($A162,'Annex 2 EHV charges'!$D:$O,4,0))</f>
        <v/>
      </c>
      <c r="E162" s="82" t="str">
        <f>IFERROR(IF(VLOOKUP($A162,'Annex 2 EHV charges'!$D:$O,10,FALSE)=0,"",VLOOKUP($A162,'Annex 2 EHV charges'!$D:$O,10,FALSE)),"")</f>
        <v/>
      </c>
      <c r="F162" s="83" t="str">
        <f>IFERROR(IF(VLOOKUP($A162,'Annex 2 EHV charges'!$D:$O,11,FALSE)=0,"",VLOOKUP($A162,'Annex 2 EHV charges'!$D:$O,11,FALSE)),"")</f>
        <v/>
      </c>
      <c r="G162" s="84" t="str">
        <f>IFERROR(IF(VLOOKUP($A162,'Annex 2 EHV charges'!$D:$O,12,FALSE)=0,"",VLOOKUP($A162,'Annex 2 EHV charges'!$D:$O,12,FALSE)),"")</f>
        <v/>
      </c>
      <c r="H162" s="84" t="str">
        <f>IFERROR(IF(VLOOKUP($A162,'Annex 2 EHV charges'!$D:$P,13,FALSE)=0,"",VLOOKUP($A162,'Annex 2 EHV charges'!$D:$P,13,FALSE)),"")</f>
        <v/>
      </c>
    </row>
    <row r="163" spans="1:8" x14ac:dyDescent="0.2">
      <c r="A163" s="81" t="str">
        <f t="array" ref="A163">IFERROR(INDEX('Annex 2 EHV charges'!$D$10:$D$108, MATCH(0, IF(ISBLANK('Annex 2 EHV charges'!$D$10:$D$108),1, COUNTIF(A$4:$A162, 'Annex 2 EHV charges'!$D$10:$D$108)), 0)),"")</f>
        <v/>
      </c>
      <c r="B163" s="80" t="str">
        <f>IF($A163="","",VLOOKUP($A163,'Annex 2 EHV charges'!$D:$O,2,0))</f>
        <v/>
      </c>
      <c r="C163" s="81" t="str">
        <f>IF($A163="","",VLOOKUP($A163,'Annex 2 EHV charges'!$D:$O,3,0))</f>
        <v/>
      </c>
      <c r="D163" s="80" t="str">
        <f>IF($A163="","",VLOOKUP($A163,'Annex 2 EHV charges'!$D:$O,4,0))</f>
        <v/>
      </c>
      <c r="E163" s="82" t="str">
        <f>IFERROR(IF(VLOOKUP($A163,'Annex 2 EHV charges'!$D:$O,10,FALSE)=0,"",VLOOKUP($A163,'Annex 2 EHV charges'!$D:$O,10,FALSE)),"")</f>
        <v/>
      </c>
      <c r="F163" s="83" t="str">
        <f>IFERROR(IF(VLOOKUP($A163,'Annex 2 EHV charges'!$D:$O,11,FALSE)=0,"",VLOOKUP($A163,'Annex 2 EHV charges'!$D:$O,11,FALSE)),"")</f>
        <v/>
      </c>
      <c r="G163" s="84" t="str">
        <f>IFERROR(IF(VLOOKUP($A163,'Annex 2 EHV charges'!$D:$O,12,FALSE)=0,"",VLOOKUP($A163,'Annex 2 EHV charges'!$D:$O,12,FALSE)),"")</f>
        <v/>
      </c>
      <c r="H163" s="84" t="str">
        <f>IFERROR(IF(VLOOKUP($A163,'Annex 2 EHV charges'!$D:$P,13,FALSE)=0,"",VLOOKUP($A163,'Annex 2 EHV charges'!$D:$P,13,FALSE)),"")</f>
        <v/>
      </c>
    </row>
    <row r="164" spans="1:8" x14ac:dyDescent="0.2">
      <c r="A164" s="81" t="str">
        <f t="array" ref="A164">IFERROR(INDEX('Annex 2 EHV charges'!$D$10:$D$108, MATCH(0, IF(ISBLANK('Annex 2 EHV charges'!$D$10:$D$108),1, COUNTIF(A$4:$A163, 'Annex 2 EHV charges'!$D$10:$D$108)), 0)),"")</f>
        <v/>
      </c>
      <c r="B164" s="80" t="str">
        <f>IF($A164="","",VLOOKUP($A164,'Annex 2 EHV charges'!$D:$O,2,0))</f>
        <v/>
      </c>
      <c r="C164" s="81" t="str">
        <f>IF($A164="","",VLOOKUP($A164,'Annex 2 EHV charges'!$D:$O,3,0))</f>
        <v/>
      </c>
      <c r="D164" s="80" t="str">
        <f>IF($A164="","",VLOOKUP($A164,'Annex 2 EHV charges'!$D:$O,4,0))</f>
        <v/>
      </c>
      <c r="E164" s="82" t="str">
        <f>IFERROR(IF(VLOOKUP($A164,'Annex 2 EHV charges'!$D:$O,10,FALSE)=0,"",VLOOKUP($A164,'Annex 2 EHV charges'!$D:$O,10,FALSE)),"")</f>
        <v/>
      </c>
      <c r="F164" s="83" t="str">
        <f>IFERROR(IF(VLOOKUP($A164,'Annex 2 EHV charges'!$D:$O,11,FALSE)=0,"",VLOOKUP($A164,'Annex 2 EHV charges'!$D:$O,11,FALSE)),"")</f>
        <v/>
      </c>
      <c r="G164" s="84" t="str">
        <f>IFERROR(IF(VLOOKUP($A164,'Annex 2 EHV charges'!$D:$O,12,FALSE)=0,"",VLOOKUP($A164,'Annex 2 EHV charges'!$D:$O,12,FALSE)),"")</f>
        <v/>
      </c>
      <c r="H164" s="84" t="str">
        <f>IFERROR(IF(VLOOKUP($A164,'Annex 2 EHV charges'!$D:$P,13,FALSE)=0,"",VLOOKUP($A164,'Annex 2 EHV charges'!$D:$P,13,FALSE)),"")</f>
        <v/>
      </c>
    </row>
    <row r="165" spans="1:8" x14ac:dyDescent="0.2">
      <c r="A165" s="81" t="str">
        <f t="array" ref="A165">IFERROR(INDEX('Annex 2 EHV charges'!$D$10:$D$108, MATCH(0, IF(ISBLANK('Annex 2 EHV charges'!$D$10:$D$108),1, COUNTIF(A$4:$A164, 'Annex 2 EHV charges'!$D$10:$D$108)), 0)),"")</f>
        <v/>
      </c>
      <c r="B165" s="80" t="str">
        <f>IF($A165="","",VLOOKUP($A165,'Annex 2 EHV charges'!$D:$O,2,0))</f>
        <v/>
      </c>
      <c r="C165" s="81" t="str">
        <f>IF($A165="","",VLOOKUP($A165,'Annex 2 EHV charges'!$D:$O,3,0))</f>
        <v/>
      </c>
      <c r="D165" s="80" t="str">
        <f>IF($A165="","",VLOOKUP($A165,'Annex 2 EHV charges'!$D:$O,4,0))</f>
        <v/>
      </c>
      <c r="E165" s="82" t="str">
        <f>IFERROR(IF(VLOOKUP($A165,'Annex 2 EHV charges'!$D:$O,10,FALSE)=0,"",VLOOKUP($A165,'Annex 2 EHV charges'!$D:$O,10,FALSE)),"")</f>
        <v/>
      </c>
      <c r="F165" s="83" t="str">
        <f>IFERROR(IF(VLOOKUP($A165,'Annex 2 EHV charges'!$D:$O,11,FALSE)=0,"",VLOOKUP($A165,'Annex 2 EHV charges'!$D:$O,11,FALSE)),"")</f>
        <v/>
      </c>
      <c r="G165" s="84" t="str">
        <f>IFERROR(IF(VLOOKUP($A165,'Annex 2 EHV charges'!$D:$O,12,FALSE)=0,"",VLOOKUP($A165,'Annex 2 EHV charges'!$D:$O,12,FALSE)),"")</f>
        <v/>
      </c>
      <c r="H165" s="84" t="str">
        <f>IFERROR(IF(VLOOKUP($A165,'Annex 2 EHV charges'!$D:$P,13,FALSE)=0,"",VLOOKUP($A165,'Annex 2 EHV charges'!$D:$P,13,FALSE)),"")</f>
        <v/>
      </c>
    </row>
    <row r="166" spans="1:8" x14ac:dyDescent="0.2">
      <c r="A166" s="81" t="str">
        <f t="array" ref="A166">IFERROR(INDEX('Annex 2 EHV charges'!$D$10:$D$108, MATCH(0, IF(ISBLANK('Annex 2 EHV charges'!$D$10:$D$108),1, COUNTIF(A$4:$A165, 'Annex 2 EHV charges'!$D$10:$D$108)), 0)),"")</f>
        <v/>
      </c>
      <c r="B166" s="80" t="str">
        <f>IF($A166="","",VLOOKUP($A166,'Annex 2 EHV charges'!$D:$O,2,0))</f>
        <v/>
      </c>
      <c r="C166" s="81" t="str">
        <f>IF($A166="","",VLOOKUP($A166,'Annex 2 EHV charges'!$D:$O,3,0))</f>
        <v/>
      </c>
      <c r="D166" s="80" t="str">
        <f>IF($A166="","",VLOOKUP($A166,'Annex 2 EHV charges'!$D:$O,4,0))</f>
        <v/>
      </c>
      <c r="E166" s="82" t="str">
        <f>IFERROR(IF(VLOOKUP($A166,'Annex 2 EHV charges'!$D:$O,10,FALSE)=0,"",VLOOKUP($A166,'Annex 2 EHV charges'!$D:$O,10,FALSE)),"")</f>
        <v/>
      </c>
      <c r="F166" s="83" t="str">
        <f>IFERROR(IF(VLOOKUP($A166,'Annex 2 EHV charges'!$D:$O,11,FALSE)=0,"",VLOOKUP($A166,'Annex 2 EHV charges'!$D:$O,11,FALSE)),"")</f>
        <v/>
      </c>
      <c r="G166" s="84" t="str">
        <f>IFERROR(IF(VLOOKUP($A166,'Annex 2 EHV charges'!$D:$O,12,FALSE)=0,"",VLOOKUP($A166,'Annex 2 EHV charges'!$D:$O,12,FALSE)),"")</f>
        <v/>
      </c>
      <c r="H166" s="84" t="str">
        <f>IFERROR(IF(VLOOKUP($A166,'Annex 2 EHV charges'!$D:$P,13,FALSE)=0,"",VLOOKUP($A166,'Annex 2 EHV charges'!$D:$P,13,FALSE)),"")</f>
        <v/>
      </c>
    </row>
    <row r="167" spans="1:8" x14ac:dyDescent="0.2">
      <c r="A167" s="81" t="str">
        <f t="array" ref="A167">IFERROR(INDEX('Annex 2 EHV charges'!$D$10:$D$108, MATCH(0, IF(ISBLANK('Annex 2 EHV charges'!$D$10:$D$108),1, COUNTIF(A$4:$A166, 'Annex 2 EHV charges'!$D$10:$D$108)), 0)),"")</f>
        <v/>
      </c>
      <c r="B167" s="80" t="str">
        <f>IF($A167="","",VLOOKUP($A167,'Annex 2 EHV charges'!$D:$O,2,0))</f>
        <v/>
      </c>
      <c r="C167" s="81" t="str">
        <f>IF($A167="","",VLOOKUP($A167,'Annex 2 EHV charges'!$D:$O,3,0))</f>
        <v/>
      </c>
      <c r="D167" s="80" t="str">
        <f>IF($A167="","",VLOOKUP($A167,'Annex 2 EHV charges'!$D:$O,4,0))</f>
        <v/>
      </c>
      <c r="E167" s="82" t="str">
        <f>IFERROR(IF(VLOOKUP($A167,'Annex 2 EHV charges'!$D:$O,10,FALSE)=0,"",VLOOKUP($A167,'Annex 2 EHV charges'!$D:$O,10,FALSE)),"")</f>
        <v/>
      </c>
      <c r="F167" s="83" t="str">
        <f>IFERROR(IF(VLOOKUP($A167,'Annex 2 EHV charges'!$D:$O,11,FALSE)=0,"",VLOOKUP($A167,'Annex 2 EHV charges'!$D:$O,11,FALSE)),"")</f>
        <v/>
      </c>
      <c r="G167" s="84" t="str">
        <f>IFERROR(IF(VLOOKUP($A167,'Annex 2 EHV charges'!$D:$O,12,FALSE)=0,"",VLOOKUP($A167,'Annex 2 EHV charges'!$D:$O,12,FALSE)),"")</f>
        <v/>
      </c>
      <c r="H167" s="84" t="str">
        <f>IFERROR(IF(VLOOKUP($A167,'Annex 2 EHV charges'!$D:$P,13,FALSE)=0,"",VLOOKUP($A167,'Annex 2 EHV charges'!$D:$P,13,FALSE)),"")</f>
        <v/>
      </c>
    </row>
    <row r="168" spans="1:8" x14ac:dyDescent="0.2">
      <c r="A168" s="81" t="str">
        <f t="array" ref="A168">IFERROR(INDEX('Annex 2 EHV charges'!$D$10:$D$108, MATCH(0, IF(ISBLANK('Annex 2 EHV charges'!$D$10:$D$108),1, COUNTIF(A$4:$A167, 'Annex 2 EHV charges'!$D$10:$D$108)), 0)),"")</f>
        <v/>
      </c>
      <c r="B168" s="80" t="str">
        <f>IF($A168="","",VLOOKUP($A168,'Annex 2 EHV charges'!$D:$O,2,0))</f>
        <v/>
      </c>
      <c r="C168" s="81" t="str">
        <f>IF($A168="","",VLOOKUP($A168,'Annex 2 EHV charges'!$D:$O,3,0))</f>
        <v/>
      </c>
      <c r="D168" s="80" t="str">
        <f>IF($A168="","",VLOOKUP($A168,'Annex 2 EHV charges'!$D:$O,4,0))</f>
        <v/>
      </c>
      <c r="E168" s="82" t="str">
        <f>IFERROR(IF(VLOOKUP($A168,'Annex 2 EHV charges'!$D:$O,10,FALSE)=0,"",VLOOKUP($A168,'Annex 2 EHV charges'!$D:$O,10,FALSE)),"")</f>
        <v/>
      </c>
      <c r="F168" s="83" t="str">
        <f>IFERROR(IF(VLOOKUP($A168,'Annex 2 EHV charges'!$D:$O,11,FALSE)=0,"",VLOOKUP($A168,'Annex 2 EHV charges'!$D:$O,11,FALSE)),"")</f>
        <v/>
      </c>
      <c r="G168" s="84" t="str">
        <f>IFERROR(IF(VLOOKUP($A168,'Annex 2 EHV charges'!$D:$O,12,FALSE)=0,"",VLOOKUP($A168,'Annex 2 EHV charges'!$D:$O,12,FALSE)),"")</f>
        <v/>
      </c>
      <c r="H168" s="84" t="str">
        <f>IFERROR(IF(VLOOKUP($A168,'Annex 2 EHV charges'!$D:$P,13,FALSE)=0,"",VLOOKUP($A168,'Annex 2 EHV charges'!$D:$P,13,FALSE)),"")</f>
        <v/>
      </c>
    </row>
    <row r="169" spans="1:8" x14ac:dyDescent="0.2">
      <c r="A169" s="81" t="str">
        <f t="array" ref="A169">IFERROR(INDEX('Annex 2 EHV charges'!$D$10:$D$108, MATCH(0, IF(ISBLANK('Annex 2 EHV charges'!$D$10:$D$108),1, COUNTIF(A$4:$A168, 'Annex 2 EHV charges'!$D$10:$D$108)), 0)),"")</f>
        <v/>
      </c>
      <c r="B169" s="80" t="str">
        <f>IF($A169="","",VLOOKUP($A169,'Annex 2 EHV charges'!$D:$O,2,0))</f>
        <v/>
      </c>
      <c r="C169" s="81" t="str">
        <f>IF($A169="","",VLOOKUP($A169,'Annex 2 EHV charges'!$D:$O,3,0))</f>
        <v/>
      </c>
      <c r="D169" s="80" t="str">
        <f>IF($A169="","",VLOOKUP($A169,'Annex 2 EHV charges'!$D:$O,4,0))</f>
        <v/>
      </c>
      <c r="E169" s="82" t="str">
        <f>IFERROR(IF(VLOOKUP($A169,'Annex 2 EHV charges'!$D:$O,10,FALSE)=0,"",VLOOKUP($A169,'Annex 2 EHV charges'!$D:$O,10,FALSE)),"")</f>
        <v/>
      </c>
      <c r="F169" s="83" t="str">
        <f>IFERROR(IF(VLOOKUP($A169,'Annex 2 EHV charges'!$D:$O,11,FALSE)=0,"",VLOOKUP($A169,'Annex 2 EHV charges'!$D:$O,11,FALSE)),"")</f>
        <v/>
      </c>
      <c r="G169" s="84" t="str">
        <f>IFERROR(IF(VLOOKUP($A169,'Annex 2 EHV charges'!$D:$O,12,FALSE)=0,"",VLOOKUP($A169,'Annex 2 EHV charges'!$D:$O,12,FALSE)),"")</f>
        <v/>
      </c>
      <c r="H169" s="84" t="str">
        <f>IFERROR(IF(VLOOKUP($A169,'Annex 2 EHV charges'!$D:$P,13,FALSE)=0,"",VLOOKUP($A169,'Annex 2 EHV charges'!$D:$P,13,FALSE)),"")</f>
        <v/>
      </c>
    </row>
    <row r="170" spans="1:8" x14ac:dyDescent="0.2">
      <c r="A170" s="81" t="str">
        <f t="array" ref="A170">IFERROR(INDEX('Annex 2 EHV charges'!$D$10:$D$108, MATCH(0, IF(ISBLANK('Annex 2 EHV charges'!$D$10:$D$108),1, COUNTIF(A$4:$A169, 'Annex 2 EHV charges'!$D$10:$D$108)), 0)),"")</f>
        <v/>
      </c>
      <c r="B170" s="80" t="str">
        <f>IF($A170="","",VLOOKUP($A170,'Annex 2 EHV charges'!$D:$O,2,0))</f>
        <v/>
      </c>
      <c r="C170" s="81" t="str">
        <f>IF($A170="","",VLOOKUP($A170,'Annex 2 EHV charges'!$D:$O,3,0))</f>
        <v/>
      </c>
      <c r="D170" s="80" t="str">
        <f>IF($A170="","",VLOOKUP($A170,'Annex 2 EHV charges'!$D:$O,4,0))</f>
        <v/>
      </c>
      <c r="E170" s="82" t="str">
        <f>IFERROR(IF(VLOOKUP($A170,'Annex 2 EHV charges'!$D:$O,10,FALSE)=0,"",VLOOKUP($A170,'Annex 2 EHV charges'!$D:$O,10,FALSE)),"")</f>
        <v/>
      </c>
      <c r="F170" s="83" t="str">
        <f>IFERROR(IF(VLOOKUP($A170,'Annex 2 EHV charges'!$D:$O,11,FALSE)=0,"",VLOOKUP($A170,'Annex 2 EHV charges'!$D:$O,11,FALSE)),"")</f>
        <v/>
      </c>
      <c r="G170" s="84" t="str">
        <f>IFERROR(IF(VLOOKUP($A170,'Annex 2 EHV charges'!$D:$O,12,FALSE)=0,"",VLOOKUP($A170,'Annex 2 EHV charges'!$D:$O,12,FALSE)),"")</f>
        <v/>
      </c>
      <c r="H170" s="84" t="str">
        <f>IFERROR(IF(VLOOKUP($A170,'Annex 2 EHV charges'!$D:$P,13,FALSE)=0,"",VLOOKUP($A170,'Annex 2 EHV charges'!$D:$P,13,FALSE)),"")</f>
        <v/>
      </c>
    </row>
    <row r="171" spans="1:8" x14ac:dyDescent="0.2">
      <c r="A171" s="81" t="str">
        <f t="array" ref="A171">IFERROR(INDEX('Annex 2 EHV charges'!$D$10:$D$108, MATCH(0, IF(ISBLANK('Annex 2 EHV charges'!$D$10:$D$108),1, COUNTIF(A$4:$A170, 'Annex 2 EHV charges'!$D$10:$D$108)), 0)),"")</f>
        <v/>
      </c>
      <c r="B171" s="80" t="str">
        <f>IF($A171="","",VLOOKUP($A171,'Annex 2 EHV charges'!$D:$O,2,0))</f>
        <v/>
      </c>
      <c r="C171" s="81" t="str">
        <f>IF($A171="","",VLOOKUP($A171,'Annex 2 EHV charges'!$D:$O,3,0))</f>
        <v/>
      </c>
      <c r="D171" s="80" t="str">
        <f>IF($A171="","",VLOOKUP($A171,'Annex 2 EHV charges'!$D:$O,4,0))</f>
        <v/>
      </c>
      <c r="E171" s="82" t="str">
        <f>IFERROR(IF(VLOOKUP($A171,'Annex 2 EHV charges'!$D:$O,10,FALSE)=0,"",VLOOKUP($A171,'Annex 2 EHV charges'!$D:$O,10,FALSE)),"")</f>
        <v/>
      </c>
      <c r="F171" s="83" t="str">
        <f>IFERROR(IF(VLOOKUP($A171,'Annex 2 EHV charges'!$D:$O,11,FALSE)=0,"",VLOOKUP($A171,'Annex 2 EHV charges'!$D:$O,11,FALSE)),"")</f>
        <v/>
      </c>
      <c r="G171" s="84" t="str">
        <f>IFERROR(IF(VLOOKUP($A171,'Annex 2 EHV charges'!$D:$O,12,FALSE)=0,"",VLOOKUP($A171,'Annex 2 EHV charges'!$D:$O,12,FALSE)),"")</f>
        <v/>
      </c>
      <c r="H171" s="84" t="str">
        <f>IFERROR(IF(VLOOKUP($A171,'Annex 2 EHV charges'!$D:$P,13,FALSE)=0,"",VLOOKUP($A171,'Annex 2 EHV charges'!$D:$P,13,FALSE)),"")</f>
        <v/>
      </c>
    </row>
    <row r="172" spans="1:8" x14ac:dyDescent="0.2">
      <c r="A172" s="81" t="str">
        <f t="array" ref="A172">IFERROR(INDEX('Annex 2 EHV charges'!$D$10:$D$108, MATCH(0, IF(ISBLANK('Annex 2 EHV charges'!$D$10:$D$108),1, COUNTIF(A$4:$A171, 'Annex 2 EHV charges'!$D$10:$D$108)), 0)),"")</f>
        <v/>
      </c>
      <c r="B172" s="80" t="str">
        <f>IF($A172="","",VLOOKUP($A172,'Annex 2 EHV charges'!$D:$O,2,0))</f>
        <v/>
      </c>
      <c r="C172" s="81" t="str">
        <f>IF($A172="","",VLOOKUP($A172,'Annex 2 EHV charges'!$D:$O,3,0))</f>
        <v/>
      </c>
      <c r="D172" s="80" t="str">
        <f>IF($A172="","",VLOOKUP($A172,'Annex 2 EHV charges'!$D:$O,4,0))</f>
        <v/>
      </c>
      <c r="E172" s="82" t="str">
        <f>IFERROR(IF(VLOOKUP($A172,'Annex 2 EHV charges'!$D:$O,10,FALSE)=0,"",VLOOKUP($A172,'Annex 2 EHV charges'!$D:$O,10,FALSE)),"")</f>
        <v/>
      </c>
      <c r="F172" s="83" t="str">
        <f>IFERROR(IF(VLOOKUP($A172,'Annex 2 EHV charges'!$D:$O,11,FALSE)=0,"",VLOOKUP($A172,'Annex 2 EHV charges'!$D:$O,11,FALSE)),"")</f>
        <v/>
      </c>
      <c r="G172" s="84" t="str">
        <f>IFERROR(IF(VLOOKUP($A172,'Annex 2 EHV charges'!$D:$O,12,FALSE)=0,"",VLOOKUP($A172,'Annex 2 EHV charges'!$D:$O,12,FALSE)),"")</f>
        <v/>
      </c>
      <c r="H172" s="84" t="str">
        <f>IFERROR(IF(VLOOKUP($A172,'Annex 2 EHV charges'!$D:$P,13,FALSE)=0,"",VLOOKUP($A172,'Annex 2 EHV charges'!$D:$P,13,FALSE)),"")</f>
        <v/>
      </c>
    </row>
    <row r="173" spans="1:8" x14ac:dyDescent="0.2">
      <c r="A173" s="81" t="str">
        <f t="array" ref="A173">IFERROR(INDEX('Annex 2 EHV charges'!$D$10:$D$108, MATCH(0, IF(ISBLANK('Annex 2 EHV charges'!$D$10:$D$108),1, COUNTIF(A$4:$A172, 'Annex 2 EHV charges'!$D$10:$D$108)), 0)),"")</f>
        <v/>
      </c>
      <c r="B173" s="80" t="str">
        <f>IF($A173="","",VLOOKUP($A173,'Annex 2 EHV charges'!$D:$O,2,0))</f>
        <v/>
      </c>
      <c r="C173" s="81" t="str">
        <f>IF($A173="","",VLOOKUP($A173,'Annex 2 EHV charges'!$D:$O,3,0))</f>
        <v/>
      </c>
      <c r="D173" s="80" t="str">
        <f>IF($A173="","",VLOOKUP($A173,'Annex 2 EHV charges'!$D:$O,4,0))</f>
        <v/>
      </c>
      <c r="E173" s="82" t="str">
        <f>IFERROR(IF(VLOOKUP($A173,'Annex 2 EHV charges'!$D:$O,10,FALSE)=0,"",VLOOKUP($A173,'Annex 2 EHV charges'!$D:$O,10,FALSE)),"")</f>
        <v/>
      </c>
      <c r="F173" s="83" t="str">
        <f>IFERROR(IF(VLOOKUP($A173,'Annex 2 EHV charges'!$D:$O,11,FALSE)=0,"",VLOOKUP($A173,'Annex 2 EHV charges'!$D:$O,11,FALSE)),"")</f>
        <v/>
      </c>
      <c r="G173" s="84" t="str">
        <f>IFERROR(IF(VLOOKUP($A173,'Annex 2 EHV charges'!$D:$O,12,FALSE)=0,"",VLOOKUP($A173,'Annex 2 EHV charges'!$D:$O,12,FALSE)),"")</f>
        <v/>
      </c>
      <c r="H173" s="84" t="str">
        <f>IFERROR(IF(VLOOKUP($A173,'Annex 2 EHV charges'!$D:$P,13,FALSE)=0,"",VLOOKUP($A173,'Annex 2 EHV charges'!$D:$P,13,FALSE)),"")</f>
        <v/>
      </c>
    </row>
    <row r="174" spans="1:8" x14ac:dyDescent="0.2">
      <c r="A174" s="81" t="str">
        <f t="array" ref="A174">IFERROR(INDEX('Annex 2 EHV charges'!$D$10:$D$108, MATCH(0, IF(ISBLANK('Annex 2 EHV charges'!$D$10:$D$108),1, COUNTIF(A$4:$A173, 'Annex 2 EHV charges'!$D$10:$D$108)), 0)),"")</f>
        <v/>
      </c>
      <c r="B174" s="80" t="str">
        <f>IF($A174="","",VLOOKUP($A174,'Annex 2 EHV charges'!$D:$O,2,0))</f>
        <v/>
      </c>
      <c r="C174" s="81" t="str">
        <f>IF($A174="","",VLOOKUP($A174,'Annex 2 EHV charges'!$D:$O,3,0))</f>
        <v/>
      </c>
      <c r="D174" s="80" t="str">
        <f>IF($A174="","",VLOOKUP($A174,'Annex 2 EHV charges'!$D:$O,4,0))</f>
        <v/>
      </c>
      <c r="E174" s="82" t="str">
        <f>IFERROR(IF(VLOOKUP($A174,'Annex 2 EHV charges'!$D:$O,10,FALSE)=0,"",VLOOKUP($A174,'Annex 2 EHV charges'!$D:$O,10,FALSE)),"")</f>
        <v/>
      </c>
      <c r="F174" s="83" t="str">
        <f>IFERROR(IF(VLOOKUP($A174,'Annex 2 EHV charges'!$D:$O,11,FALSE)=0,"",VLOOKUP($A174,'Annex 2 EHV charges'!$D:$O,11,FALSE)),"")</f>
        <v/>
      </c>
      <c r="G174" s="84" t="str">
        <f>IFERROR(IF(VLOOKUP($A174,'Annex 2 EHV charges'!$D:$O,12,FALSE)=0,"",VLOOKUP($A174,'Annex 2 EHV charges'!$D:$O,12,FALSE)),"")</f>
        <v/>
      </c>
      <c r="H174" s="84" t="str">
        <f>IFERROR(IF(VLOOKUP($A174,'Annex 2 EHV charges'!$D:$P,13,FALSE)=0,"",VLOOKUP($A174,'Annex 2 EHV charges'!$D:$P,13,FALSE)),"")</f>
        <v/>
      </c>
    </row>
    <row r="175" spans="1:8" x14ac:dyDescent="0.2">
      <c r="A175" s="81" t="str">
        <f t="array" ref="A175">IFERROR(INDEX('Annex 2 EHV charges'!$D$10:$D$108, MATCH(0, IF(ISBLANK('Annex 2 EHV charges'!$D$10:$D$108),1, COUNTIF(A$4:$A174, 'Annex 2 EHV charges'!$D$10:$D$108)), 0)),"")</f>
        <v/>
      </c>
      <c r="B175" s="80" t="str">
        <f>IF($A175="","",VLOOKUP($A175,'Annex 2 EHV charges'!$D:$O,2,0))</f>
        <v/>
      </c>
      <c r="C175" s="81" t="str">
        <f>IF($A175="","",VLOOKUP($A175,'Annex 2 EHV charges'!$D:$O,3,0))</f>
        <v/>
      </c>
      <c r="D175" s="80" t="str">
        <f>IF($A175="","",VLOOKUP($A175,'Annex 2 EHV charges'!$D:$O,4,0))</f>
        <v/>
      </c>
      <c r="E175" s="82" t="str">
        <f>IFERROR(IF(VLOOKUP($A175,'Annex 2 EHV charges'!$D:$O,10,FALSE)=0,"",VLOOKUP($A175,'Annex 2 EHV charges'!$D:$O,10,FALSE)),"")</f>
        <v/>
      </c>
      <c r="F175" s="83" t="str">
        <f>IFERROR(IF(VLOOKUP($A175,'Annex 2 EHV charges'!$D:$O,11,FALSE)=0,"",VLOOKUP($A175,'Annex 2 EHV charges'!$D:$O,11,FALSE)),"")</f>
        <v/>
      </c>
      <c r="G175" s="84" t="str">
        <f>IFERROR(IF(VLOOKUP($A175,'Annex 2 EHV charges'!$D:$O,12,FALSE)=0,"",VLOOKUP($A175,'Annex 2 EHV charges'!$D:$O,12,FALSE)),"")</f>
        <v/>
      </c>
      <c r="H175" s="84" t="str">
        <f>IFERROR(IF(VLOOKUP($A175,'Annex 2 EHV charges'!$D:$P,13,FALSE)=0,"",VLOOKUP($A175,'Annex 2 EHV charges'!$D:$P,13,FALSE)),"")</f>
        <v/>
      </c>
    </row>
    <row r="176" spans="1:8" x14ac:dyDescent="0.2">
      <c r="A176" s="81" t="str">
        <f t="array" ref="A176">IFERROR(INDEX('Annex 2 EHV charges'!$D$10:$D$108, MATCH(0, IF(ISBLANK('Annex 2 EHV charges'!$D$10:$D$108),1, COUNTIF(A$4:$A175, 'Annex 2 EHV charges'!$D$10:$D$108)), 0)),"")</f>
        <v/>
      </c>
      <c r="B176" s="80" t="str">
        <f>IF($A176="","",VLOOKUP($A176,'Annex 2 EHV charges'!$D:$O,2,0))</f>
        <v/>
      </c>
      <c r="C176" s="81" t="str">
        <f>IF($A176="","",VLOOKUP($A176,'Annex 2 EHV charges'!$D:$O,3,0))</f>
        <v/>
      </c>
      <c r="D176" s="80" t="str">
        <f>IF($A176="","",VLOOKUP($A176,'Annex 2 EHV charges'!$D:$O,4,0))</f>
        <v/>
      </c>
      <c r="E176" s="82" t="str">
        <f>IFERROR(IF(VLOOKUP($A176,'Annex 2 EHV charges'!$D:$O,10,FALSE)=0,"",VLOOKUP($A176,'Annex 2 EHV charges'!$D:$O,10,FALSE)),"")</f>
        <v/>
      </c>
      <c r="F176" s="83" t="str">
        <f>IFERROR(IF(VLOOKUP($A176,'Annex 2 EHV charges'!$D:$O,11,FALSE)=0,"",VLOOKUP($A176,'Annex 2 EHV charges'!$D:$O,11,FALSE)),"")</f>
        <v/>
      </c>
      <c r="G176" s="84" t="str">
        <f>IFERROR(IF(VLOOKUP($A176,'Annex 2 EHV charges'!$D:$O,12,FALSE)=0,"",VLOOKUP($A176,'Annex 2 EHV charges'!$D:$O,12,FALSE)),"")</f>
        <v/>
      </c>
      <c r="H176" s="84" t="str">
        <f>IFERROR(IF(VLOOKUP($A176,'Annex 2 EHV charges'!$D:$P,13,FALSE)=0,"",VLOOKUP($A176,'Annex 2 EHV charges'!$D:$P,13,FALSE)),"")</f>
        <v/>
      </c>
    </row>
    <row r="177" spans="1:8" x14ac:dyDescent="0.2">
      <c r="A177" s="81" t="str">
        <f t="array" ref="A177">IFERROR(INDEX('Annex 2 EHV charges'!$D$10:$D$108, MATCH(0, IF(ISBLANK('Annex 2 EHV charges'!$D$10:$D$108),1, COUNTIF(A$4:$A176, 'Annex 2 EHV charges'!$D$10:$D$108)), 0)),"")</f>
        <v/>
      </c>
      <c r="B177" s="80" t="str">
        <f>IF($A177="","",VLOOKUP($A177,'Annex 2 EHV charges'!$D:$O,2,0))</f>
        <v/>
      </c>
      <c r="C177" s="81" t="str">
        <f>IF($A177="","",VLOOKUP($A177,'Annex 2 EHV charges'!$D:$O,3,0))</f>
        <v/>
      </c>
      <c r="D177" s="80" t="str">
        <f>IF($A177="","",VLOOKUP($A177,'Annex 2 EHV charges'!$D:$O,4,0))</f>
        <v/>
      </c>
      <c r="E177" s="82" t="str">
        <f>IFERROR(IF(VLOOKUP($A177,'Annex 2 EHV charges'!$D:$O,10,FALSE)=0,"",VLOOKUP($A177,'Annex 2 EHV charges'!$D:$O,10,FALSE)),"")</f>
        <v/>
      </c>
      <c r="F177" s="83" t="str">
        <f>IFERROR(IF(VLOOKUP($A177,'Annex 2 EHV charges'!$D:$O,11,FALSE)=0,"",VLOOKUP($A177,'Annex 2 EHV charges'!$D:$O,11,FALSE)),"")</f>
        <v/>
      </c>
      <c r="G177" s="84" t="str">
        <f>IFERROR(IF(VLOOKUP($A177,'Annex 2 EHV charges'!$D:$O,12,FALSE)=0,"",VLOOKUP($A177,'Annex 2 EHV charges'!$D:$O,12,FALSE)),"")</f>
        <v/>
      </c>
      <c r="H177" s="84" t="str">
        <f>IFERROR(IF(VLOOKUP($A177,'Annex 2 EHV charges'!$D:$P,13,FALSE)=0,"",VLOOKUP($A177,'Annex 2 EHV charges'!$D:$P,13,FALSE)),"")</f>
        <v/>
      </c>
    </row>
    <row r="178" spans="1:8" x14ac:dyDescent="0.2">
      <c r="A178" s="81" t="str">
        <f t="array" ref="A178">IFERROR(INDEX('Annex 2 EHV charges'!$D$10:$D$108, MATCH(0, IF(ISBLANK('Annex 2 EHV charges'!$D$10:$D$108),1, COUNTIF(A$4:$A177, 'Annex 2 EHV charges'!$D$10:$D$108)), 0)),"")</f>
        <v/>
      </c>
      <c r="B178" s="80" t="str">
        <f>IF($A178="","",VLOOKUP($A178,'Annex 2 EHV charges'!$D:$O,2,0))</f>
        <v/>
      </c>
      <c r="C178" s="81" t="str">
        <f>IF($A178="","",VLOOKUP($A178,'Annex 2 EHV charges'!$D:$O,3,0))</f>
        <v/>
      </c>
      <c r="D178" s="80" t="str">
        <f>IF($A178="","",VLOOKUP($A178,'Annex 2 EHV charges'!$D:$O,4,0))</f>
        <v/>
      </c>
      <c r="E178" s="82" t="str">
        <f>IFERROR(IF(VLOOKUP($A178,'Annex 2 EHV charges'!$D:$O,10,FALSE)=0,"",VLOOKUP($A178,'Annex 2 EHV charges'!$D:$O,10,FALSE)),"")</f>
        <v/>
      </c>
      <c r="F178" s="83" t="str">
        <f>IFERROR(IF(VLOOKUP($A178,'Annex 2 EHV charges'!$D:$O,11,FALSE)=0,"",VLOOKUP($A178,'Annex 2 EHV charges'!$D:$O,11,FALSE)),"")</f>
        <v/>
      </c>
      <c r="G178" s="84" t="str">
        <f>IFERROR(IF(VLOOKUP($A178,'Annex 2 EHV charges'!$D:$O,12,FALSE)=0,"",VLOOKUP($A178,'Annex 2 EHV charges'!$D:$O,12,FALSE)),"")</f>
        <v/>
      </c>
      <c r="H178" s="84" t="str">
        <f>IFERROR(IF(VLOOKUP($A178,'Annex 2 EHV charges'!$D:$P,13,FALSE)=0,"",VLOOKUP($A178,'Annex 2 EHV charges'!$D:$P,13,FALSE)),"")</f>
        <v/>
      </c>
    </row>
    <row r="179" spans="1:8" x14ac:dyDescent="0.2">
      <c r="A179" s="81" t="str">
        <f t="array" ref="A179">IFERROR(INDEX('Annex 2 EHV charges'!$D$10:$D$108, MATCH(0, IF(ISBLANK('Annex 2 EHV charges'!$D$10:$D$108),1, COUNTIF(A$4:$A178, 'Annex 2 EHV charges'!$D$10:$D$108)), 0)),"")</f>
        <v/>
      </c>
      <c r="B179" s="80" t="str">
        <f>IF($A179="","",VLOOKUP($A179,'Annex 2 EHV charges'!$D:$O,2,0))</f>
        <v/>
      </c>
      <c r="C179" s="81" t="str">
        <f>IF($A179="","",VLOOKUP($A179,'Annex 2 EHV charges'!$D:$O,3,0))</f>
        <v/>
      </c>
      <c r="D179" s="80" t="str">
        <f>IF($A179="","",VLOOKUP($A179,'Annex 2 EHV charges'!$D:$O,4,0))</f>
        <v/>
      </c>
      <c r="E179" s="82" t="str">
        <f>IFERROR(IF(VLOOKUP($A179,'Annex 2 EHV charges'!$D:$O,10,FALSE)=0,"",VLOOKUP($A179,'Annex 2 EHV charges'!$D:$O,10,FALSE)),"")</f>
        <v/>
      </c>
      <c r="F179" s="83" t="str">
        <f>IFERROR(IF(VLOOKUP($A179,'Annex 2 EHV charges'!$D:$O,11,FALSE)=0,"",VLOOKUP($A179,'Annex 2 EHV charges'!$D:$O,11,FALSE)),"")</f>
        <v/>
      </c>
      <c r="G179" s="84" t="str">
        <f>IFERROR(IF(VLOOKUP($A179,'Annex 2 EHV charges'!$D:$O,12,FALSE)=0,"",VLOOKUP($A179,'Annex 2 EHV charges'!$D:$O,12,FALSE)),"")</f>
        <v/>
      </c>
      <c r="H179" s="84" t="str">
        <f>IFERROR(IF(VLOOKUP($A179,'Annex 2 EHV charges'!$D:$P,13,FALSE)=0,"",VLOOKUP($A179,'Annex 2 EHV charges'!$D:$P,13,FALSE)),"")</f>
        <v/>
      </c>
    </row>
    <row r="180" spans="1:8" x14ac:dyDescent="0.2">
      <c r="A180" s="81" t="str">
        <f t="array" ref="A180">IFERROR(INDEX('Annex 2 EHV charges'!$D$10:$D$108, MATCH(0, IF(ISBLANK('Annex 2 EHV charges'!$D$10:$D$108),1, COUNTIF(A$4:$A179, 'Annex 2 EHV charges'!$D$10:$D$108)), 0)),"")</f>
        <v/>
      </c>
      <c r="B180" s="80" t="str">
        <f>IF($A180="","",VLOOKUP($A180,'Annex 2 EHV charges'!$D:$O,2,0))</f>
        <v/>
      </c>
      <c r="C180" s="81" t="str">
        <f>IF($A180="","",VLOOKUP($A180,'Annex 2 EHV charges'!$D:$O,3,0))</f>
        <v/>
      </c>
      <c r="D180" s="80" t="str">
        <f>IF($A180="","",VLOOKUP($A180,'Annex 2 EHV charges'!$D:$O,4,0))</f>
        <v/>
      </c>
      <c r="E180" s="82" t="str">
        <f>IFERROR(IF(VLOOKUP($A180,'Annex 2 EHV charges'!$D:$O,10,FALSE)=0,"",VLOOKUP($A180,'Annex 2 EHV charges'!$D:$O,10,FALSE)),"")</f>
        <v/>
      </c>
      <c r="F180" s="83" t="str">
        <f>IFERROR(IF(VLOOKUP($A180,'Annex 2 EHV charges'!$D:$O,11,FALSE)=0,"",VLOOKUP($A180,'Annex 2 EHV charges'!$D:$O,11,FALSE)),"")</f>
        <v/>
      </c>
      <c r="G180" s="84" t="str">
        <f>IFERROR(IF(VLOOKUP($A180,'Annex 2 EHV charges'!$D:$O,12,FALSE)=0,"",VLOOKUP($A180,'Annex 2 EHV charges'!$D:$O,12,FALSE)),"")</f>
        <v/>
      </c>
      <c r="H180" s="84" t="str">
        <f>IFERROR(IF(VLOOKUP($A180,'Annex 2 EHV charges'!$D:$P,13,FALSE)=0,"",VLOOKUP($A180,'Annex 2 EHV charges'!$D:$P,13,FALSE)),"")</f>
        <v/>
      </c>
    </row>
    <row r="181" spans="1:8" x14ac:dyDescent="0.2">
      <c r="A181" s="81" t="str">
        <f t="array" ref="A181">IFERROR(INDEX('Annex 2 EHV charges'!$D$10:$D$108, MATCH(0, IF(ISBLANK('Annex 2 EHV charges'!$D$10:$D$108),1, COUNTIF(A$4:$A180, 'Annex 2 EHV charges'!$D$10:$D$108)), 0)),"")</f>
        <v/>
      </c>
      <c r="B181" s="80" t="str">
        <f>IF($A181="","",VLOOKUP($A181,'Annex 2 EHV charges'!$D:$O,2,0))</f>
        <v/>
      </c>
      <c r="C181" s="81" t="str">
        <f>IF($A181="","",VLOOKUP($A181,'Annex 2 EHV charges'!$D:$O,3,0))</f>
        <v/>
      </c>
      <c r="D181" s="80" t="str">
        <f>IF($A181="","",VLOOKUP($A181,'Annex 2 EHV charges'!$D:$O,4,0))</f>
        <v/>
      </c>
      <c r="E181" s="82" t="str">
        <f>IFERROR(IF(VLOOKUP($A181,'Annex 2 EHV charges'!$D:$O,10,FALSE)=0,"",VLOOKUP($A181,'Annex 2 EHV charges'!$D:$O,10,FALSE)),"")</f>
        <v/>
      </c>
      <c r="F181" s="83" t="str">
        <f>IFERROR(IF(VLOOKUP($A181,'Annex 2 EHV charges'!$D:$O,11,FALSE)=0,"",VLOOKUP($A181,'Annex 2 EHV charges'!$D:$O,11,FALSE)),"")</f>
        <v/>
      </c>
      <c r="G181" s="84" t="str">
        <f>IFERROR(IF(VLOOKUP($A181,'Annex 2 EHV charges'!$D:$O,12,FALSE)=0,"",VLOOKUP($A181,'Annex 2 EHV charges'!$D:$O,12,FALSE)),"")</f>
        <v/>
      </c>
      <c r="H181" s="84" t="str">
        <f>IFERROR(IF(VLOOKUP($A181,'Annex 2 EHV charges'!$D:$P,13,FALSE)=0,"",VLOOKUP($A181,'Annex 2 EHV charges'!$D:$P,13,FALSE)),"")</f>
        <v/>
      </c>
    </row>
    <row r="182" spans="1:8" x14ac:dyDescent="0.2">
      <c r="A182" s="81" t="str">
        <f t="array" ref="A182">IFERROR(INDEX('Annex 2 EHV charges'!$D$10:$D$108, MATCH(0, IF(ISBLANK('Annex 2 EHV charges'!$D$10:$D$108),1, COUNTIF(A$4:$A181, 'Annex 2 EHV charges'!$D$10:$D$108)), 0)),"")</f>
        <v/>
      </c>
      <c r="B182" s="80" t="str">
        <f>IF($A182="","",VLOOKUP($A182,'Annex 2 EHV charges'!$D:$O,2,0))</f>
        <v/>
      </c>
      <c r="C182" s="81" t="str">
        <f>IF($A182="","",VLOOKUP($A182,'Annex 2 EHV charges'!$D:$O,3,0))</f>
        <v/>
      </c>
      <c r="D182" s="80" t="str">
        <f>IF($A182="","",VLOOKUP($A182,'Annex 2 EHV charges'!$D:$O,4,0))</f>
        <v/>
      </c>
      <c r="E182" s="82" t="str">
        <f>IFERROR(IF(VLOOKUP($A182,'Annex 2 EHV charges'!$D:$O,10,FALSE)=0,"",VLOOKUP($A182,'Annex 2 EHV charges'!$D:$O,10,FALSE)),"")</f>
        <v/>
      </c>
      <c r="F182" s="83" t="str">
        <f>IFERROR(IF(VLOOKUP($A182,'Annex 2 EHV charges'!$D:$O,11,FALSE)=0,"",VLOOKUP($A182,'Annex 2 EHV charges'!$D:$O,11,FALSE)),"")</f>
        <v/>
      </c>
      <c r="G182" s="84" t="str">
        <f>IFERROR(IF(VLOOKUP($A182,'Annex 2 EHV charges'!$D:$O,12,FALSE)=0,"",VLOOKUP($A182,'Annex 2 EHV charges'!$D:$O,12,FALSE)),"")</f>
        <v/>
      </c>
      <c r="H182" s="84" t="str">
        <f>IFERROR(IF(VLOOKUP($A182,'Annex 2 EHV charges'!$D:$P,13,FALSE)=0,"",VLOOKUP($A182,'Annex 2 EHV charges'!$D:$P,13,FALSE)),"")</f>
        <v/>
      </c>
    </row>
    <row r="183" spans="1:8" x14ac:dyDescent="0.2">
      <c r="A183" s="81" t="str">
        <f t="array" ref="A183">IFERROR(INDEX('Annex 2 EHV charges'!$D$10:$D$108, MATCH(0, IF(ISBLANK('Annex 2 EHV charges'!$D$10:$D$108),1, COUNTIF(A$4:$A182, 'Annex 2 EHV charges'!$D$10:$D$108)), 0)),"")</f>
        <v/>
      </c>
      <c r="B183" s="80" t="str">
        <f>IF($A183="","",VLOOKUP($A183,'Annex 2 EHV charges'!$D:$O,2,0))</f>
        <v/>
      </c>
      <c r="C183" s="81" t="str">
        <f>IF($A183="","",VLOOKUP($A183,'Annex 2 EHV charges'!$D:$O,3,0))</f>
        <v/>
      </c>
      <c r="D183" s="80" t="str">
        <f>IF($A183="","",VLOOKUP($A183,'Annex 2 EHV charges'!$D:$O,4,0))</f>
        <v/>
      </c>
      <c r="E183" s="82" t="str">
        <f>IFERROR(IF(VLOOKUP($A183,'Annex 2 EHV charges'!$D:$O,10,FALSE)=0,"",VLOOKUP($A183,'Annex 2 EHV charges'!$D:$O,10,FALSE)),"")</f>
        <v/>
      </c>
      <c r="F183" s="83" t="str">
        <f>IFERROR(IF(VLOOKUP($A183,'Annex 2 EHV charges'!$D:$O,11,FALSE)=0,"",VLOOKUP($A183,'Annex 2 EHV charges'!$D:$O,11,FALSE)),"")</f>
        <v/>
      </c>
      <c r="G183" s="84" t="str">
        <f>IFERROR(IF(VLOOKUP($A183,'Annex 2 EHV charges'!$D:$O,12,FALSE)=0,"",VLOOKUP($A183,'Annex 2 EHV charges'!$D:$O,12,FALSE)),"")</f>
        <v/>
      </c>
      <c r="H183" s="84" t="str">
        <f>IFERROR(IF(VLOOKUP($A183,'Annex 2 EHV charges'!$D:$P,13,FALSE)=0,"",VLOOKUP($A183,'Annex 2 EHV charges'!$D:$P,13,FALSE)),"")</f>
        <v/>
      </c>
    </row>
    <row r="184" spans="1:8" x14ac:dyDescent="0.2">
      <c r="A184" s="81" t="str">
        <f t="array" ref="A184">IFERROR(INDEX('Annex 2 EHV charges'!$D$10:$D$108, MATCH(0, IF(ISBLANK('Annex 2 EHV charges'!$D$10:$D$108),1, COUNTIF(A$4:$A183, 'Annex 2 EHV charges'!$D$10:$D$108)), 0)),"")</f>
        <v/>
      </c>
      <c r="B184" s="80" t="str">
        <f>IF($A184="","",VLOOKUP($A184,'Annex 2 EHV charges'!$D:$O,2,0))</f>
        <v/>
      </c>
      <c r="C184" s="81" t="str">
        <f>IF($A184="","",VLOOKUP($A184,'Annex 2 EHV charges'!$D:$O,3,0))</f>
        <v/>
      </c>
      <c r="D184" s="80" t="str">
        <f>IF($A184="","",VLOOKUP($A184,'Annex 2 EHV charges'!$D:$O,4,0))</f>
        <v/>
      </c>
      <c r="E184" s="82" t="str">
        <f>IFERROR(IF(VLOOKUP($A184,'Annex 2 EHV charges'!$D:$O,10,FALSE)=0,"",VLOOKUP($A184,'Annex 2 EHV charges'!$D:$O,10,FALSE)),"")</f>
        <v/>
      </c>
      <c r="F184" s="83" t="str">
        <f>IFERROR(IF(VLOOKUP($A184,'Annex 2 EHV charges'!$D:$O,11,FALSE)=0,"",VLOOKUP($A184,'Annex 2 EHV charges'!$D:$O,11,FALSE)),"")</f>
        <v/>
      </c>
      <c r="G184" s="84" t="str">
        <f>IFERROR(IF(VLOOKUP($A184,'Annex 2 EHV charges'!$D:$O,12,FALSE)=0,"",VLOOKUP($A184,'Annex 2 EHV charges'!$D:$O,12,FALSE)),"")</f>
        <v/>
      </c>
      <c r="H184" s="84" t="str">
        <f>IFERROR(IF(VLOOKUP($A184,'Annex 2 EHV charges'!$D:$P,13,FALSE)=0,"",VLOOKUP($A184,'Annex 2 EHV charges'!$D:$P,13,FALSE)),"")</f>
        <v/>
      </c>
    </row>
    <row r="185" spans="1:8" x14ac:dyDescent="0.2">
      <c r="A185" s="81" t="str">
        <f t="array" ref="A185">IFERROR(INDEX('Annex 2 EHV charges'!$D$10:$D$108, MATCH(0, IF(ISBLANK('Annex 2 EHV charges'!$D$10:$D$108),1, COUNTIF(A$4:$A184, 'Annex 2 EHV charges'!$D$10:$D$108)), 0)),"")</f>
        <v/>
      </c>
      <c r="B185" s="80" t="str">
        <f>IF($A185="","",VLOOKUP($A185,'Annex 2 EHV charges'!$D:$O,2,0))</f>
        <v/>
      </c>
      <c r="C185" s="81" t="str">
        <f>IF($A185="","",VLOOKUP($A185,'Annex 2 EHV charges'!$D:$O,3,0))</f>
        <v/>
      </c>
      <c r="D185" s="80" t="str">
        <f>IF($A185="","",VLOOKUP($A185,'Annex 2 EHV charges'!$D:$O,4,0))</f>
        <v/>
      </c>
      <c r="E185" s="82" t="str">
        <f>IFERROR(IF(VLOOKUP($A185,'Annex 2 EHV charges'!$D:$O,10,FALSE)=0,"",VLOOKUP($A185,'Annex 2 EHV charges'!$D:$O,10,FALSE)),"")</f>
        <v/>
      </c>
      <c r="F185" s="83" t="str">
        <f>IFERROR(IF(VLOOKUP($A185,'Annex 2 EHV charges'!$D:$O,11,FALSE)=0,"",VLOOKUP($A185,'Annex 2 EHV charges'!$D:$O,11,FALSE)),"")</f>
        <v/>
      </c>
      <c r="G185" s="84" t="str">
        <f>IFERROR(IF(VLOOKUP($A185,'Annex 2 EHV charges'!$D:$O,12,FALSE)=0,"",VLOOKUP($A185,'Annex 2 EHV charges'!$D:$O,12,FALSE)),"")</f>
        <v/>
      </c>
      <c r="H185" s="84" t="str">
        <f>IFERROR(IF(VLOOKUP($A185,'Annex 2 EHV charges'!$D:$P,13,FALSE)=0,"",VLOOKUP($A185,'Annex 2 EHV charges'!$D:$P,13,FALSE)),"")</f>
        <v/>
      </c>
    </row>
    <row r="186" spans="1:8" x14ac:dyDescent="0.2">
      <c r="A186" s="81" t="str">
        <f t="array" ref="A186">IFERROR(INDEX('Annex 2 EHV charges'!$D$10:$D$108, MATCH(0, IF(ISBLANK('Annex 2 EHV charges'!$D$10:$D$108),1, COUNTIF(A$4:$A185, 'Annex 2 EHV charges'!$D$10:$D$108)), 0)),"")</f>
        <v/>
      </c>
      <c r="B186" s="80" t="str">
        <f>IF($A186="","",VLOOKUP($A186,'Annex 2 EHV charges'!$D:$O,2,0))</f>
        <v/>
      </c>
      <c r="C186" s="81" t="str">
        <f>IF($A186="","",VLOOKUP($A186,'Annex 2 EHV charges'!$D:$O,3,0))</f>
        <v/>
      </c>
      <c r="D186" s="80" t="str">
        <f>IF($A186="","",VLOOKUP($A186,'Annex 2 EHV charges'!$D:$O,4,0))</f>
        <v/>
      </c>
      <c r="E186" s="82" t="str">
        <f>IFERROR(IF(VLOOKUP($A186,'Annex 2 EHV charges'!$D:$O,10,FALSE)=0,"",VLOOKUP($A186,'Annex 2 EHV charges'!$D:$O,10,FALSE)),"")</f>
        <v/>
      </c>
      <c r="F186" s="83" t="str">
        <f>IFERROR(IF(VLOOKUP($A186,'Annex 2 EHV charges'!$D:$O,11,FALSE)=0,"",VLOOKUP($A186,'Annex 2 EHV charges'!$D:$O,11,FALSE)),"")</f>
        <v/>
      </c>
      <c r="G186" s="84" t="str">
        <f>IFERROR(IF(VLOOKUP($A186,'Annex 2 EHV charges'!$D:$O,12,FALSE)=0,"",VLOOKUP($A186,'Annex 2 EHV charges'!$D:$O,12,FALSE)),"")</f>
        <v/>
      </c>
      <c r="H186" s="84" t="str">
        <f>IFERROR(IF(VLOOKUP($A186,'Annex 2 EHV charges'!$D:$P,13,FALSE)=0,"",VLOOKUP($A186,'Annex 2 EHV charges'!$D:$P,13,FALSE)),"")</f>
        <v/>
      </c>
    </row>
    <row r="187" spans="1:8" x14ac:dyDescent="0.2">
      <c r="A187" s="81" t="str">
        <f t="array" ref="A187">IFERROR(INDEX('Annex 2 EHV charges'!$D$10:$D$108, MATCH(0, IF(ISBLANK('Annex 2 EHV charges'!$D$10:$D$108),1, COUNTIF(A$4:$A186, 'Annex 2 EHV charges'!$D$10:$D$108)), 0)),"")</f>
        <v/>
      </c>
      <c r="B187" s="80" t="str">
        <f>IF($A187="","",VLOOKUP($A187,'Annex 2 EHV charges'!$D:$O,2,0))</f>
        <v/>
      </c>
      <c r="C187" s="81" t="str">
        <f>IF($A187="","",VLOOKUP($A187,'Annex 2 EHV charges'!$D:$O,3,0))</f>
        <v/>
      </c>
      <c r="D187" s="80" t="str">
        <f>IF($A187="","",VLOOKUP($A187,'Annex 2 EHV charges'!$D:$O,4,0))</f>
        <v/>
      </c>
      <c r="E187" s="82" t="str">
        <f>IFERROR(IF(VLOOKUP($A187,'Annex 2 EHV charges'!$D:$O,10,FALSE)=0,"",VLOOKUP($A187,'Annex 2 EHV charges'!$D:$O,10,FALSE)),"")</f>
        <v/>
      </c>
      <c r="F187" s="83" t="str">
        <f>IFERROR(IF(VLOOKUP($A187,'Annex 2 EHV charges'!$D:$O,11,FALSE)=0,"",VLOOKUP($A187,'Annex 2 EHV charges'!$D:$O,11,FALSE)),"")</f>
        <v/>
      </c>
      <c r="G187" s="84" t="str">
        <f>IFERROR(IF(VLOOKUP($A187,'Annex 2 EHV charges'!$D:$O,12,FALSE)=0,"",VLOOKUP($A187,'Annex 2 EHV charges'!$D:$O,12,FALSE)),"")</f>
        <v/>
      </c>
      <c r="H187" s="84" t="str">
        <f>IFERROR(IF(VLOOKUP($A187,'Annex 2 EHV charges'!$D:$P,13,FALSE)=0,"",VLOOKUP($A187,'Annex 2 EHV charges'!$D:$P,13,FALSE)),"")</f>
        <v/>
      </c>
    </row>
    <row r="188" spans="1:8" x14ac:dyDescent="0.2">
      <c r="A188" s="81" t="str">
        <f t="array" ref="A188">IFERROR(INDEX('Annex 2 EHV charges'!$D$10:$D$108, MATCH(0, IF(ISBLANK('Annex 2 EHV charges'!$D$10:$D$108),1, COUNTIF(A$4:$A187, 'Annex 2 EHV charges'!$D$10:$D$108)), 0)),"")</f>
        <v/>
      </c>
      <c r="B188" s="80" t="str">
        <f>IF($A188="","",VLOOKUP($A188,'Annex 2 EHV charges'!$D:$O,2,0))</f>
        <v/>
      </c>
      <c r="C188" s="81" t="str">
        <f>IF($A188="","",VLOOKUP($A188,'Annex 2 EHV charges'!$D:$O,3,0))</f>
        <v/>
      </c>
      <c r="D188" s="80" t="str">
        <f>IF($A188="","",VLOOKUP($A188,'Annex 2 EHV charges'!$D:$O,4,0))</f>
        <v/>
      </c>
      <c r="E188" s="82" t="str">
        <f>IFERROR(IF(VLOOKUP($A188,'Annex 2 EHV charges'!$D:$O,10,FALSE)=0,"",VLOOKUP($A188,'Annex 2 EHV charges'!$D:$O,10,FALSE)),"")</f>
        <v/>
      </c>
      <c r="F188" s="83" t="str">
        <f>IFERROR(IF(VLOOKUP($A188,'Annex 2 EHV charges'!$D:$O,11,FALSE)=0,"",VLOOKUP($A188,'Annex 2 EHV charges'!$D:$O,11,FALSE)),"")</f>
        <v/>
      </c>
      <c r="G188" s="84" t="str">
        <f>IFERROR(IF(VLOOKUP($A188,'Annex 2 EHV charges'!$D:$O,12,FALSE)=0,"",VLOOKUP($A188,'Annex 2 EHV charges'!$D:$O,12,FALSE)),"")</f>
        <v/>
      </c>
      <c r="H188" s="84" t="str">
        <f>IFERROR(IF(VLOOKUP($A188,'Annex 2 EHV charges'!$D:$P,13,FALSE)=0,"",VLOOKUP($A188,'Annex 2 EHV charges'!$D:$P,13,FALSE)),"")</f>
        <v/>
      </c>
    </row>
    <row r="189" spans="1:8" x14ac:dyDescent="0.2">
      <c r="A189" s="81" t="str">
        <f t="array" ref="A189">IFERROR(INDEX('Annex 2 EHV charges'!$D$10:$D$108, MATCH(0, IF(ISBLANK('Annex 2 EHV charges'!$D$10:$D$108),1, COUNTIF(A$4:$A188, 'Annex 2 EHV charges'!$D$10:$D$108)), 0)),"")</f>
        <v/>
      </c>
      <c r="B189" s="80" t="str">
        <f>IF($A189="","",VLOOKUP($A189,'Annex 2 EHV charges'!$D:$O,2,0))</f>
        <v/>
      </c>
      <c r="C189" s="81" t="str">
        <f>IF($A189="","",VLOOKUP($A189,'Annex 2 EHV charges'!$D:$O,3,0))</f>
        <v/>
      </c>
      <c r="D189" s="80" t="str">
        <f>IF($A189="","",VLOOKUP($A189,'Annex 2 EHV charges'!$D:$O,4,0))</f>
        <v/>
      </c>
      <c r="E189" s="82" t="str">
        <f>IFERROR(IF(VLOOKUP($A189,'Annex 2 EHV charges'!$D:$O,10,FALSE)=0,"",VLOOKUP($A189,'Annex 2 EHV charges'!$D:$O,10,FALSE)),"")</f>
        <v/>
      </c>
      <c r="F189" s="83" t="str">
        <f>IFERROR(IF(VLOOKUP($A189,'Annex 2 EHV charges'!$D:$O,11,FALSE)=0,"",VLOOKUP($A189,'Annex 2 EHV charges'!$D:$O,11,FALSE)),"")</f>
        <v/>
      </c>
      <c r="G189" s="84" t="str">
        <f>IFERROR(IF(VLOOKUP($A189,'Annex 2 EHV charges'!$D:$O,12,FALSE)=0,"",VLOOKUP($A189,'Annex 2 EHV charges'!$D:$O,12,FALSE)),"")</f>
        <v/>
      </c>
      <c r="H189" s="84" t="str">
        <f>IFERROR(IF(VLOOKUP($A189,'Annex 2 EHV charges'!$D:$P,13,FALSE)=0,"",VLOOKUP($A189,'Annex 2 EHV charges'!$D:$P,13,FALSE)),"")</f>
        <v/>
      </c>
    </row>
    <row r="190" spans="1:8" x14ac:dyDescent="0.2">
      <c r="A190" s="81" t="str">
        <f t="array" ref="A190">IFERROR(INDEX('Annex 2 EHV charges'!$D$10:$D$108, MATCH(0, IF(ISBLANK('Annex 2 EHV charges'!$D$10:$D$108),1, COUNTIF(A$4:$A189, 'Annex 2 EHV charges'!$D$10:$D$108)), 0)),"")</f>
        <v/>
      </c>
      <c r="B190" s="80" t="str">
        <f>IF($A190="","",VLOOKUP($A190,'Annex 2 EHV charges'!$D:$O,2,0))</f>
        <v/>
      </c>
      <c r="C190" s="81" t="str">
        <f>IF($A190="","",VLOOKUP($A190,'Annex 2 EHV charges'!$D:$O,3,0))</f>
        <v/>
      </c>
      <c r="D190" s="80" t="str">
        <f>IF($A190="","",VLOOKUP($A190,'Annex 2 EHV charges'!$D:$O,4,0))</f>
        <v/>
      </c>
      <c r="E190" s="82" t="str">
        <f>IFERROR(IF(VLOOKUP($A190,'Annex 2 EHV charges'!$D:$O,10,FALSE)=0,"",VLOOKUP($A190,'Annex 2 EHV charges'!$D:$O,10,FALSE)),"")</f>
        <v/>
      </c>
      <c r="F190" s="83" t="str">
        <f>IFERROR(IF(VLOOKUP($A190,'Annex 2 EHV charges'!$D:$O,11,FALSE)=0,"",VLOOKUP($A190,'Annex 2 EHV charges'!$D:$O,11,FALSE)),"")</f>
        <v/>
      </c>
      <c r="G190" s="84" t="str">
        <f>IFERROR(IF(VLOOKUP($A190,'Annex 2 EHV charges'!$D:$O,12,FALSE)=0,"",VLOOKUP($A190,'Annex 2 EHV charges'!$D:$O,12,FALSE)),"")</f>
        <v/>
      </c>
      <c r="H190" s="84" t="str">
        <f>IFERROR(IF(VLOOKUP($A190,'Annex 2 EHV charges'!$D:$P,13,FALSE)=0,"",VLOOKUP($A190,'Annex 2 EHV charges'!$D:$P,13,FALSE)),"")</f>
        <v/>
      </c>
    </row>
    <row r="191" spans="1:8" x14ac:dyDescent="0.2">
      <c r="A191" s="81" t="str">
        <f t="array" ref="A191">IFERROR(INDEX('Annex 2 EHV charges'!$D$10:$D$108, MATCH(0, IF(ISBLANK('Annex 2 EHV charges'!$D$10:$D$108),1, COUNTIF(A$4:$A190, 'Annex 2 EHV charges'!$D$10:$D$108)), 0)),"")</f>
        <v/>
      </c>
      <c r="B191" s="80" t="str">
        <f>IF($A191="","",VLOOKUP($A191,'Annex 2 EHV charges'!$D:$O,2,0))</f>
        <v/>
      </c>
      <c r="C191" s="81" t="str">
        <f>IF($A191="","",VLOOKUP($A191,'Annex 2 EHV charges'!$D:$O,3,0))</f>
        <v/>
      </c>
      <c r="D191" s="80" t="str">
        <f>IF($A191="","",VLOOKUP($A191,'Annex 2 EHV charges'!$D:$O,4,0))</f>
        <v/>
      </c>
      <c r="E191" s="82" t="str">
        <f>IFERROR(IF(VLOOKUP($A191,'Annex 2 EHV charges'!$D:$O,10,FALSE)=0,"",VLOOKUP($A191,'Annex 2 EHV charges'!$D:$O,10,FALSE)),"")</f>
        <v/>
      </c>
      <c r="F191" s="83" t="str">
        <f>IFERROR(IF(VLOOKUP($A191,'Annex 2 EHV charges'!$D:$O,11,FALSE)=0,"",VLOOKUP($A191,'Annex 2 EHV charges'!$D:$O,11,FALSE)),"")</f>
        <v/>
      </c>
      <c r="G191" s="84" t="str">
        <f>IFERROR(IF(VLOOKUP($A191,'Annex 2 EHV charges'!$D:$O,12,FALSE)=0,"",VLOOKUP($A191,'Annex 2 EHV charges'!$D:$O,12,FALSE)),"")</f>
        <v/>
      </c>
      <c r="H191" s="84" t="str">
        <f>IFERROR(IF(VLOOKUP($A191,'Annex 2 EHV charges'!$D:$P,13,FALSE)=0,"",VLOOKUP($A191,'Annex 2 EHV charges'!$D:$P,13,FALSE)),"")</f>
        <v/>
      </c>
    </row>
    <row r="192" spans="1:8" x14ac:dyDescent="0.2">
      <c r="A192" s="81" t="str">
        <f t="array" ref="A192">IFERROR(INDEX('Annex 2 EHV charges'!$D$10:$D$108, MATCH(0, IF(ISBLANK('Annex 2 EHV charges'!$D$10:$D$108),1, COUNTIF(A$4:$A191, 'Annex 2 EHV charges'!$D$10:$D$108)), 0)),"")</f>
        <v/>
      </c>
      <c r="B192" s="80" t="str">
        <f>IF($A192="","",VLOOKUP($A192,'Annex 2 EHV charges'!$D:$O,2,0))</f>
        <v/>
      </c>
      <c r="C192" s="81" t="str">
        <f>IF($A192="","",VLOOKUP($A192,'Annex 2 EHV charges'!$D:$O,3,0))</f>
        <v/>
      </c>
      <c r="D192" s="80" t="str">
        <f>IF($A192="","",VLOOKUP($A192,'Annex 2 EHV charges'!$D:$O,4,0))</f>
        <v/>
      </c>
      <c r="E192" s="82" t="str">
        <f>IFERROR(IF(VLOOKUP($A192,'Annex 2 EHV charges'!$D:$O,10,FALSE)=0,"",VLOOKUP($A192,'Annex 2 EHV charges'!$D:$O,10,FALSE)),"")</f>
        <v/>
      </c>
      <c r="F192" s="83" t="str">
        <f>IFERROR(IF(VLOOKUP($A192,'Annex 2 EHV charges'!$D:$O,11,FALSE)=0,"",VLOOKUP($A192,'Annex 2 EHV charges'!$D:$O,11,FALSE)),"")</f>
        <v/>
      </c>
      <c r="G192" s="84" t="str">
        <f>IFERROR(IF(VLOOKUP($A192,'Annex 2 EHV charges'!$D:$O,12,FALSE)=0,"",VLOOKUP($A192,'Annex 2 EHV charges'!$D:$O,12,FALSE)),"")</f>
        <v/>
      </c>
      <c r="H192" s="84" t="str">
        <f>IFERROR(IF(VLOOKUP($A192,'Annex 2 EHV charges'!$D:$P,13,FALSE)=0,"",VLOOKUP($A192,'Annex 2 EHV charges'!$D:$P,13,FALSE)),"")</f>
        <v/>
      </c>
    </row>
    <row r="193" spans="1:8" x14ac:dyDescent="0.2">
      <c r="A193" s="81" t="str">
        <f t="array" ref="A193">IFERROR(INDEX('Annex 2 EHV charges'!$D$10:$D$108, MATCH(0, IF(ISBLANK('Annex 2 EHV charges'!$D$10:$D$108),1, COUNTIF(A$4:$A192, 'Annex 2 EHV charges'!$D$10:$D$108)), 0)),"")</f>
        <v/>
      </c>
      <c r="B193" s="80" t="str">
        <f>IF($A193="","",VLOOKUP($A193,'Annex 2 EHV charges'!$D:$O,2,0))</f>
        <v/>
      </c>
      <c r="C193" s="81" t="str">
        <f>IF($A193="","",VLOOKUP($A193,'Annex 2 EHV charges'!$D:$O,3,0))</f>
        <v/>
      </c>
      <c r="D193" s="80" t="str">
        <f>IF($A193="","",VLOOKUP($A193,'Annex 2 EHV charges'!$D:$O,4,0))</f>
        <v/>
      </c>
      <c r="E193" s="82" t="str">
        <f>IFERROR(IF(VLOOKUP($A193,'Annex 2 EHV charges'!$D:$O,10,FALSE)=0,"",VLOOKUP($A193,'Annex 2 EHV charges'!$D:$O,10,FALSE)),"")</f>
        <v/>
      </c>
      <c r="F193" s="83" t="str">
        <f>IFERROR(IF(VLOOKUP($A193,'Annex 2 EHV charges'!$D:$O,11,FALSE)=0,"",VLOOKUP($A193,'Annex 2 EHV charges'!$D:$O,11,FALSE)),"")</f>
        <v/>
      </c>
      <c r="G193" s="84" t="str">
        <f>IFERROR(IF(VLOOKUP($A193,'Annex 2 EHV charges'!$D:$O,12,FALSE)=0,"",VLOOKUP($A193,'Annex 2 EHV charges'!$D:$O,12,FALSE)),"")</f>
        <v/>
      </c>
      <c r="H193" s="84" t="str">
        <f>IFERROR(IF(VLOOKUP($A193,'Annex 2 EHV charges'!$D:$P,13,FALSE)=0,"",VLOOKUP($A193,'Annex 2 EHV charges'!$D:$P,13,FALSE)),"")</f>
        <v/>
      </c>
    </row>
    <row r="194" spans="1:8" x14ac:dyDescent="0.2">
      <c r="A194" s="81" t="str">
        <f t="array" ref="A194">IFERROR(INDEX('Annex 2 EHV charges'!$D$10:$D$108, MATCH(0, IF(ISBLANK('Annex 2 EHV charges'!$D$10:$D$108),1, COUNTIF(A$4:$A193, 'Annex 2 EHV charges'!$D$10:$D$108)), 0)),"")</f>
        <v/>
      </c>
      <c r="B194" s="80" t="str">
        <f>IF($A194="","",VLOOKUP($A194,'Annex 2 EHV charges'!$D:$O,2,0))</f>
        <v/>
      </c>
      <c r="C194" s="81" t="str">
        <f>IF($A194="","",VLOOKUP($A194,'Annex 2 EHV charges'!$D:$O,3,0))</f>
        <v/>
      </c>
      <c r="D194" s="80" t="str">
        <f>IF($A194="","",VLOOKUP($A194,'Annex 2 EHV charges'!$D:$O,4,0))</f>
        <v/>
      </c>
      <c r="E194" s="82" t="str">
        <f>IFERROR(IF(VLOOKUP($A194,'Annex 2 EHV charges'!$D:$O,10,FALSE)=0,"",VLOOKUP($A194,'Annex 2 EHV charges'!$D:$O,10,FALSE)),"")</f>
        <v/>
      </c>
      <c r="F194" s="83" t="str">
        <f>IFERROR(IF(VLOOKUP($A194,'Annex 2 EHV charges'!$D:$O,11,FALSE)=0,"",VLOOKUP($A194,'Annex 2 EHV charges'!$D:$O,11,FALSE)),"")</f>
        <v/>
      </c>
      <c r="G194" s="84" t="str">
        <f>IFERROR(IF(VLOOKUP($A194,'Annex 2 EHV charges'!$D:$O,12,FALSE)=0,"",VLOOKUP($A194,'Annex 2 EHV charges'!$D:$O,12,FALSE)),"")</f>
        <v/>
      </c>
      <c r="H194" s="84" t="str">
        <f>IFERROR(IF(VLOOKUP($A194,'Annex 2 EHV charges'!$D:$P,13,FALSE)=0,"",VLOOKUP($A194,'Annex 2 EHV charges'!$D:$P,13,FALSE)),"")</f>
        <v/>
      </c>
    </row>
    <row r="195" spans="1:8" x14ac:dyDescent="0.2">
      <c r="A195" s="81" t="str">
        <f t="array" ref="A195">IFERROR(INDEX('Annex 2 EHV charges'!$D$10:$D$108, MATCH(0, IF(ISBLANK('Annex 2 EHV charges'!$D$10:$D$108),1, COUNTIF(A$4:$A194, 'Annex 2 EHV charges'!$D$10:$D$108)), 0)),"")</f>
        <v/>
      </c>
      <c r="B195" s="80" t="str">
        <f>IF($A195="","",VLOOKUP($A195,'Annex 2 EHV charges'!$D:$O,2,0))</f>
        <v/>
      </c>
      <c r="C195" s="81" t="str">
        <f>IF($A195="","",VLOOKUP($A195,'Annex 2 EHV charges'!$D:$O,3,0))</f>
        <v/>
      </c>
      <c r="D195" s="80" t="str">
        <f>IF($A195="","",VLOOKUP($A195,'Annex 2 EHV charges'!$D:$O,4,0))</f>
        <v/>
      </c>
      <c r="E195" s="82" t="str">
        <f>IFERROR(IF(VLOOKUP($A195,'Annex 2 EHV charges'!$D:$O,10,FALSE)=0,"",VLOOKUP($A195,'Annex 2 EHV charges'!$D:$O,10,FALSE)),"")</f>
        <v/>
      </c>
      <c r="F195" s="83" t="str">
        <f>IFERROR(IF(VLOOKUP($A195,'Annex 2 EHV charges'!$D:$O,11,FALSE)=0,"",VLOOKUP($A195,'Annex 2 EHV charges'!$D:$O,11,FALSE)),"")</f>
        <v/>
      </c>
      <c r="G195" s="84" t="str">
        <f>IFERROR(IF(VLOOKUP($A195,'Annex 2 EHV charges'!$D:$O,12,FALSE)=0,"",VLOOKUP($A195,'Annex 2 EHV charges'!$D:$O,12,FALSE)),"")</f>
        <v/>
      </c>
      <c r="H195" s="84" t="str">
        <f>IFERROR(IF(VLOOKUP($A195,'Annex 2 EHV charges'!$D:$P,13,FALSE)=0,"",VLOOKUP($A195,'Annex 2 EHV charges'!$D:$P,13,FALSE)),"")</f>
        <v/>
      </c>
    </row>
    <row r="196" spans="1:8" x14ac:dyDescent="0.2">
      <c r="A196" s="81" t="str">
        <f t="array" ref="A196">IFERROR(INDEX('Annex 2 EHV charges'!$D$10:$D$108, MATCH(0, IF(ISBLANK('Annex 2 EHV charges'!$D$10:$D$108),1, COUNTIF(A$4:$A195, 'Annex 2 EHV charges'!$D$10:$D$108)), 0)),"")</f>
        <v/>
      </c>
      <c r="B196" s="80" t="str">
        <f>IF($A196="","",VLOOKUP($A196,'Annex 2 EHV charges'!$D:$O,2,0))</f>
        <v/>
      </c>
      <c r="C196" s="81" t="str">
        <f>IF($A196="","",VLOOKUP($A196,'Annex 2 EHV charges'!$D:$O,3,0))</f>
        <v/>
      </c>
      <c r="D196" s="80" t="str">
        <f>IF($A196="","",VLOOKUP($A196,'Annex 2 EHV charges'!$D:$O,4,0))</f>
        <v/>
      </c>
      <c r="E196" s="82" t="str">
        <f>IFERROR(IF(VLOOKUP($A196,'Annex 2 EHV charges'!$D:$O,10,FALSE)=0,"",VLOOKUP($A196,'Annex 2 EHV charges'!$D:$O,10,FALSE)),"")</f>
        <v/>
      </c>
      <c r="F196" s="83" t="str">
        <f>IFERROR(IF(VLOOKUP($A196,'Annex 2 EHV charges'!$D:$O,11,FALSE)=0,"",VLOOKUP($A196,'Annex 2 EHV charges'!$D:$O,11,FALSE)),"")</f>
        <v/>
      </c>
      <c r="G196" s="84" t="str">
        <f>IFERROR(IF(VLOOKUP($A196,'Annex 2 EHV charges'!$D:$O,12,FALSE)=0,"",VLOOKUP($A196,'Annex 2 EHV charges'!$D:$O,12,FALSE)),"")</f>
        <v/>
      </c>
      <c r="H196" s="84" t="str">
        <f>IFERROR(IF(VLOOKUP($A196,'Annex 2 EHV charges'!$D:$P,13,FALSE)=0,"",VLOOKUP($A196,'Annex 2 EHV charges'!$D:$P,13,FALSE)),"")</f>
        <v/>
      </c>
    </row>
    <row r="197" spans="1:8" x14ac:dyDescent="0.2">
      <c r="A197" s="81" t="str">
        <f t="array" ref="A197">IFERROR(INDEX('Annex 2 EHV charges'!$D$10:$D$108, MATCH(0, IF(ISBLANK('Annex 2 EHV charges'!$D$10:$D$108),1, COUNTIF(A$4:$A196, 'Annex 2 EHV charges'!$D$10:$D$108)), 0)),"")</f>
        <v/>
      </c>
      <c r="B197" s="80" t="str">
        <f>IF($A197="","",VLOOKUP($A197,'Annex 2 EHV charges'!$D:$O,2,0))</f>
        <v/>
      </c>
      <c r="C197" s="81" t="str">
        <f>IF($A197="","",VLOOKUP($A197,'Annex 2 EHV charges'!$D:$O,3,0))</f>
        <v/>
      </c>
      <c r="D197" s="80" t="str">
        <f>IF($A197="","",VLOOKUP($A197,'Annex 2 EHV charges'!$D:$O,4,0))</f>
        <v/>
      </c>
      <c r="E197" s="82" t="str">
        <f>IFERROR(IF(VLOOKUP($A197,'Annex 2 EHV charges'!$D:$O,10,FALSE)=0,"",VLOOKUP($A197,'Annex 2 EHV charges'!$D:$O,10,FALSE)),"")</f>
        <v/>
      </c>
      <c r="F197" s="83" t="str">
        <f>IFERROR(IF(VLOOKUP($A197,'Annex 2 EHV charges'!$D:$O,11,FALSE)=0,"",VLOOKUP($A197,'Annex 2 EHV charges'!$D:$O,11,FALSE)),"")</f>
        <v/>
      </c>
      <c r="G197" s="84" t="str">
        <f>IFERROR(IF(VLOOKUP($A197,'Annex 2 EHV charges'!$D:$O,12,FALSE)=0,"",VLOOKUP($A197,'Annex 2 EHV charges'!$D:$O,12,FALSE)),"")</f>
        <v/>
      </c>
      <c r="H197" s="84" t="str">
        <f>IFERROR(IF(VLOOKUP($A197,'Annex 2 EHV charges'!$D:$P,13,FALSE)=0,"",VLOOKUP($A197,'Annex 2 EHV charges'!$D:$P,13,FALSE)),"")</f>
        <v/>
      </c>
    </row>
    <row r="198" spans="1:8" x14ac:dyDescent="0.2">
      <c r="A198" s="81" t="str">
        <f t="array" ref="A198">IFERROR(INDEX('Annex 2 EHV charges'!$D$10:$D$108, MATCH(0, IF(ISBLANK('Annex 2 EHV charges'!$D$10:$D$108),1, COUNTIF(A$4:$A197, 'Annex 2 EHV charges'!$D$10:$D$108)), 0)),"")</f>
        <v/>
      </c>
      <c r="B198" s="80" t="str">
        <f>IF($A198="","",VLOOKUP($A198,'Annex 2 EHV charges'!$D:$O,2,0))</f>
        <v/>
      </c>
      <c r="C198" s="81" t="str">
        <f>IF($A198="","",VLOOKUP($A198,'Annex 2 EHV charges'!$D:$O,3,0))</f>
        <v/>
      </c>
      <c r="D198" s="80" t="str">
        <f>IF($A198="","",VLOOKUP($A198,'Annex 2 EHV charges'!$D:$O,4,0))</f>
        <v/>
      </c>
      <c r="E198" s="82" t="str">
        <f>IFERROR(IF(VLOOKUP($A198,'Annex 2 EHV charges'!$D:$O,10,FALSE)=0,"",VLOOKUP($A198,'Annex 2 EHV charges'!$D:$O,10,FALSE)),"")</f>
        <v/>
      </c>
      <c r="F198" s="83" t="str">
        <f>IFERROR(IF(VLOOKUP($A198,'Annex 2 EHV charges'!$D:$O,11,FALSE)=0,"",VLOOKUP($A198,'Annex 2 EHV charges'!$D:$O,11,FALSE)),"")</f>
        <v/>
      </c>
      <c r="G198" s="84" t="str">
        <f>IFERROR(IF(VLOOKUP($A198,'Annex 2 EHV charges'!$D:$O,12,FALSE)=0,"",VLOOKUP($A198,'Annex 2 EHV charges'!$D:$O,12,FALSE)),"")</f>
        <v/>
      </c>
      <c r="H198" s="84" t="str">
        <f>IFERROR(IF(VLOOKUP($A198,'Annex 2 EHV charges'!$D:$P,13,FALSE)=0,"",VLOOKUP($A198,'Annex 2 EHV charges'!$D:$P,13,FALSE)),"")</f>
        <v/>
      </c>
    </row>
    <row r="199" spans="1:8" x14ac:dyDescent="0.2">
      <c r="A199" s="81" t="str">
        <f t="array" ref="A199">IFERROR(INDEX('Annex 2 EHV charges'!$D$10:$D$108, MATCH(0, IF(ISBLANK('Annex 2 EHV charges'!$D$10:$D$108),1, COUNTIF(A$4:$A198, 'Annex 2 EHV charges'!$D$10:$D$108)), 0)),"")</f>
        <v/>
      </c>
      <c r="B199" s="80" t="str">
        <f>IF($A199="","",VLOOKUP($A199,'Annex 2 EHV charges'!$D:$O,2,0))</f>
        <v/>
      </c>
      <c r="C199" s="81" t="str">
        <f>IF($A199="","",VLOOKUP($A199,'Annex 2 EHV charges'!$D:$O,3,0))</f>
        <v/>
      </c>
      <c r="D199" s="80" t="str">
        <f>IF($A199="","",VLOOKUP($A199,'Annex 2 EHV charges'!$D:$O,4,0))</f>
        <v/>
      </c>
      <c r="E199" s="82" t="str">
        <f>IFERROR(IF(VLOOKUP($A199,'Annex 2 EHV charges'!$D:$O,10,FALSE)=0,"",VLOOKUP($A199,'Annex 2 EHV charges'!$D:$O,10,FALSE)),"")</f>
        <v/>
      </c>
      <c r="F199" s="83" t="str">
        <f>IFERROR(IF(VLOOKUP($A199,'Annex 2 EHV charges'!$D:$O,11,FALSE)=0,"",VLOOKUP($A199,'Annex 2 EHV charges'!$D:$O,11,FALSE)),"")</f>
        <v/>
      </c>
      <c r="G199" s="84" t="str">
        <f>IFERROR(IF(VLOOKUP($A199,'Annex 2 EHV charges'!$D:$O,12,FALSE)=0,"",VLOOKUP($A199,'Annex 2 EHV charges'!$D:$O,12,FALSE)),"")</f>
        <v/>
      </c>
      <c r="H199" s="84" t="str">
        <f>IFERROR(IF(VLOOKUP($A199,'Annex 2 EHV charges'!$D:$P,13,FALSE)=0,"",VLOOKUP($A199,'Annex 2 EHV charges'!$D:$P,13,FALSE)),"")</f>
        <v/>
      </c>
    </row>
    <row r="200" spans="1:8" x14ac:dyDescent="0.2">
      <c r="A200" s="81" t="str">
        <f t="array" ref="A200">IFERROR(INDEX('Annex 2 EHV charges'!$D$10:$D$108, MATCH(0, IF(ISBLANK('Annex 2 EHV charges'!$D$10:$D$108),1, COUNTIF(A$4:$A199, 'Annex 2 EHV charges'!$D$10:$D$108)), 0)),"")</f>
        <v/>
      </c>
      <c r="B200" s="80" t="str">
        <f>IF($A200="","",VLOOKUP($A200,'Annex 2 EHV charges'!$D:$O,2,0))</f>
        <v/>
      </c>
      <c r="C200" s="81" t="str">
        <f>IF($A200="","",VLOOKUP($A200,'Annex 2 EHV charges'!$D:$O,3,0))</f>
        <v/>
      </c>
      <c r="D200" s="80" t="str">
        <f>IF($A200="","",VLOOKUP($A200,'Annex 2 EHV charges'!$D:$O,4,0))</f>
        <v/>
      </c>
      <c r="E200" s="82" t="str">
        <f>IFERROR(IF(VLOOKUP($A200,'Annex 2 EHV charges'!$D:$O,10,FALSE)=0,"",VLOOKUP($A200,'Annex 2 EHV charges'!$D:$O,10,FALSE)),"")</f>
        <v/>
      </c>
      <c r="F200" s="83" t="str">
        <f>IFERROR(IF(VLOOKUP($A200,'Annex 2 EHV charges'!$D:$O,11,FALSE)=0,"",VLOOKUP($A200,'Annex 2 EHV charges'!$D:$O,11,FALSE)),"")</f>
        <v/>
      </c>
      <c r="G200" s="84" t="str">
        <f>IFERROR(IF(VLOOKUP($A200,'Annex 2 EHV charges'!$D:$O,12,FALSE)=0,"",VLOOKUP($A200,'Annex 2 EHV charges'!$D:$O,12,FALSE)),"")</f>
        <v/>
      </c>
      <c r="H200" s="84" t="str">
        <f>IFERROR(IF(VLOOKUP($A200,'Annex 2 EHV charges'!$D:$P,13,FALSE)=0,"",VLOOKUP($A200,'Annex 2 EHV charges'!$D:$P,13,FALSE)),"")</f>
        <v/>
      </c>
    </row>
    <row r="201" spans="1:8" x14ac:dyDescent="0.2">
      <c r="A201" s="81" t="str">
        <f t="array" ref="A201">IFERROR(INDEX('Annex 2 EHV charges'!$D$10:$D$108, MATCH(0, IF(ISBLANK('Annex 2 EHV charges'!$D$10:$D$108),1, COUNTIF(A$4:$A200, 'Annex 2 EHV charges'!$D$10:$D$108)), 0)),"")</f>
        <v/>
      </c>
      <c r="B201" s="80" t="str">
        <f>IF($A201="","",VLOOKUP($A201,'Annex 2 EHV charges'!$D:$O,2,0))</f>
        <v/>
      </c>
      <c r="C201" s="81" t="str">
        <f>IF($A201="","",VLOOKUP($A201,'Annex 2 EHV charges'!$D:$O,3,0))</f>
        <v/>
      </c>
      <c r="D201" s="80" t="str">
        <f>IF($A201="","",VLOOKUP($A201,'Annex 2 EHV charges'!$D:$O,4,0))</f>
        <v/>
      </c>
      <c r="E201" s="82" t="str">
        <f>IFERROR(IF(VLOOKUP($A201,'Annex 2 EHV charges'!$D:$O,10,FALSE)=0,"",VLOOKUP($A201,'Annex 2 EHV charges'!$D:$O,10,FALSE)),"")</f>
        <v/>
      </c>
      <c r="F201" s="83" t="str">
        <f>IFERROR(IF(VLOOKUP($A201,'Annex 2 EHV charges'!$D:$O,11,FALSE)=0,"",VLOOKUP($A201,'Annex 2 EHV charges'!$D:$O,11,FALSE)),"")</f>
        <v/>
      </c>
      <c r="G201" s="84" t="str">
        <f>IFERROR(IF(VLOOKUP($A201,'Annex 2 EHV charges'!$D:$O,12,FALSE)=0,"",VLOOKUP($A201,'Annex 2 EHV charges'!$D:$O,12,FALSE)),"")</f>
        <v/>
      </c>
      <c r="H201" s="84" t="str">
        <f>IFERROR(IF(VLOOKUP($A201,'Annex 2 EHV charges'!$D:$P,13,FALSE)=0,"",VLOOKUP($A201,'Annex 2 EHV charges'!$D:$P,13,FALSE)),"")</f>
        <v/>
      </c>
    </row>
    <row r="202" spans="1:8" x14ac:dyDescent="0.2">
      <c r="A202" s="81" t="str">
        <f t="array" ref="A202">IFERROR(INDEX('Annex 2 EHV charges'!$D$10:$D$108, MATCH(0, IF(ISBLANK('Annex 2 EHV charges'!$D$10:$D$108),1, COUNTIF(A$4:$A201, 'Annex 2 EHV charges'!$D$10:$D$108)), 0)),"")</f>
        <v/>
      </c>
      <c r="B202" s="80" t="str">
        <f>IF($A202="","",VLOOKUP($A202,'Annex 2 EHV charges'!$D:$O,2,0))</f>
        <v/>
      </c>
      <c r="C202" s="81" t="str">
        <f>IF($A202="","",VLOOKUP($A202,'Annex 2 EHV charges'!$D:$O,3,0))</f>
        <v/>
      </c>
      <c r="D202" s="80" t="str">
        <f>IF($A202="","",VLOOKUP($A202,'Annex 2 EHV charges'!$D:$O,4,0))</f>
        <v/>
      </c>
      <c r="E202" s="82" t="str">
        <f>IFERROR(IF(VLOOKUP($A202,'Annex 2 EHV charges'!$D:$O,10,FALSE)=0,"",VLOOKUP($A202,'Annex 2 EHV charges'!$D:$O,10,FALSE)),"")</f>
        <v/>
      </c>
      <c r="F202" s="83" t="str">
        <f>IFERROR(IF(VLOOKUP($A202,'Annex 2 EHV charges'!$D:$O,11,FALSE)=0,"",VLOOKUP($A202,'Annex 2 EHV charges'!$D:$O,11,FALSE)),"")</f>
        <v/>
      </c>
      <c r="G202" s="84" t="str">
        <f>IFERROR(IF(VLOOKUP($A202,'Annex 2 EHV charges'!$D:$O,12,FALSE)=0,"",VLOOKUP($A202,'Annex 2 EHV charges'!$D:$O,12,FALSE)),"")</f>
        <v/>
      </c>
      <c r="H202" s="84" t="str">
        <f>IFERROR(IF(VLOOKUP($A202,'Annex 2 EHV charges'!$D:$P,13,FALSE)=0,"",VLOOKUP($A202,'Annex 2 EHV charges'!$D:$P,13,FALSE)),"")</f>
        <v/>
      </c>
    </row>
    <row r="203" spans="1:8" x14ac:dyDescent="0.2">
      <c r="A203" s="81" t="str">
        <f t="array" ref="A203">IFERROR(INDEX('Annex 2 EHV charges'!$D$10:$D$108, MATCH(0, IF(ISBLANK('Annex 2 EHV charges'!$D$10:$D$108),1, COUNTIF(A$4:$A202, 'Annex 2 EHV charges'!$D$10:$D$108)), 0)),"")</f>
        <v/>
      </c>
      <c r="B203" s="80" t="str">
        <f>IF($A203="","",VLOOKUP($A203,'Annex 2 EHV charges'!$D:$O,2,0))</f>
        <v/>
      </c>
      <c r="C203" s="81" t="str">
        <f>IF($A203="","",VLOOKUP($A203,'Annex 2 EHV charges'!$D:$O,3,0))</f>
        <v/>
      </c>
      <c r="D203" s="80" t="str">
        <f>IF($A203="","",VLOOKUP($A203,'Annex 2 EHV charges'!$D:$O,4,0))</f>
        <v/>
      </c>
      <c r="E203" s="82" t="str">
        <f>IFERROR(IF(VLOOKUP($A203,'Annex 2 EHV charges'!$D:$O,10,FALSE)=0,"",VLOOKUP($A203,'Annex 2 EHV charges'!$D:$O,10,FALSE)),"")</f>
        <v/>
      </c>
      <c r="F203" s="83" t="str">
        <f>IFERROR(IF(VLOOKUP($A203,'Annex 2 EHV charges'!$D:$O,11,FALSE)=0,"",VLOOKUP($A203,'Annex 2 EHV charges'!$D:$O,11,FALSE)),"")</f>
        <v/>
      </c>
      <c r="G203" s="84" t="str">
        <f>IFERROR(IF(VLOOKUP($A203,'Annex 2 EHV charges'!$D:$O,12,FALSE)=0,"",VLOOKUP($A203,'Annex 2 EHV charges'!$D:$O,12,FALSE)),"")</f>
        <v/>
      </c>
      <c r="H203" s="84" t="str">
        <f>IFERROR(IF(VLOOKUP($A203,'Annex 2 EHV charges'!$D:$P,13,FALSE)=0,"",VLOOKUP($A203,'Annex 2 EHV charges'!$D:$P,13,FALSE)),"")</f>
        <v/>
      </c>
    </row>
    <row r="204" spans="1:8" x14ac:dyDescent="0.2">
      <c r="A204" s="81" t="str">
        <f t="array" ref="A204">IFERROR(INDEX('Annex 2 EHV charges'!$D$10:$D$108, MATCH(0, IF(ISBLANK('Annex 2 EHV charges'!$D$10:$D$108),1, COUNTIF(A$4:$A203, 'Annex 2 EHV charges'!$D$10:$D$108)), 0)),"")</f>
        <v/>
      </c>
      <c r="B204" s="80" t="str">
        <f>IF($A204="","",VLOOKUP($A204,'Annex 2 EHV charges'!$D:$O,2,0))</f>
        <v/>
      </c>
      <c r="C204" s="81" t="str">
        <f>IF($A204="","",VLOOKUP($A204,'Annex 2 EHV charges'!$D:$O,3,0))</f>
        <v/>
      </c>
      <c r="D204" s="80" t="str">
        <f>IF($A204="","",VLOOKUP($A204,'Annex 2 EHV charges'!$D:$O,4,0))</f>
        <v/>
      </c>
      <c r="E204" s="82" t="str">
        <f>IFERROR(IF(VLOOKUP($A204,'Annex 2 EHV charges'!$D:$O,10,FALSE)=0,"",VLOOKUP($A204,'Annex 2 EHV charges'!$D:$O,10,FALSE)),"")</f>
        <v/>
      </c>
      <c r="F204" s="83" t="str">
        <f>IFERROR(IF(VLOOKUP($A204,'Annex 2 EHV charges'!$D:$O,11,FALSE)=0,"",VLOOKUP($A204,'Annex 2 EHV charges'!$D:$O,11,FALSE)),"")</f>
        <v/>
      </c>
      <c r="G204" s="84" t="str">
        <f>IFERROR(IF(VLOOKUP($A204,'Annex 2 EHV charges'!$D:$O,12,FALSE)=0,"",VLOOKUP($A204,'Annex 2 EHV charges'!$D:$O,12,FALSE)),"")</f>
        <v/>
      </c>
      <c r="H204" s="84" t="str">
        <f>IFERROR(IF(VLOOKUP($A204,'Annex 2 EHV charges'!$D:$P,13,FALSE)=0,"",VLOOKUP($A204,'Annex 2 EHV charges'!$D:$P,13,FALSE)),"")</f>
        <v/>
      </c>
    </row>
    <row r="205" spans="1:8" x14ac:dyDescent="0.2">
      <c r="A205" s="81" t="str">
        <f t="array" ref="A205">IFERROR(INDEX('Annex 2 EHV charges'!$D$10:$D$108, MATCH(0, IF(ISBLANK('Annex 2 EHV charges'!$D$10:$D$108),1, COUNTIF(A$4:$A204, 'Annex 2 EHV charges'!$D$10:$D$108)), 0)),"")</f>
        <v/>
      </c>
      <c r="B205" s="80" t="str">
        <f>IF($A205="","",VLOOKUP($A205,'Annex 2 EHV charges'!$D:$O,2,0))</f>
        <v/>
      </c>
      <c r="C205" s="81" t="str">
        <f>IF($A205="","",VLOOKUP($A205,'Annex 2 EHV charges'!$D:$O,3,0))</f>
        <v/>
      </c>
      <c r="D205" s="80" t="str">
        <f>IF($A205="","",VLOOKUP($A205,'Annex 2 EHV charges'!$D:$O,4,0))</f>
        <v/>
      </c>
      <c r="E205" s="82" t="str">
        <f>IFERROR(IF(VLOOKUP($A205,'Annex 2 EHV charges'!$D:$O,10,FALSE)=0,"",VLOOKUP($A205,'Annex 2 EHV charges'!$D:$O,10,FALSE)),"")</f>
        <v/>
      </c>
      <c r="F205" s="83" t="str">
        <f>IFERROR(IF(VLOOKUP($A205,'Annex 2 EHV charges'!$D:$O,11,FALSE)=0,"",VLOOKUP($A205,'Annex 2 EHV charges'!$D:$O,11,FALSE)),"")</f>
        <v/>
      </c>
      <c r="G205" s="84" t="str">
        <f>IFERROR(IF(VLOOKUP($A205,'Annex 2 EHV charges'!$D:$O,12,FALSE)=0,"",VLOOKUP($A205,'Annex 2 EHV charges'!$D:$O,12,FALSE)),"")</f>
        <v/>
      </c>
      <c r="H205" s="84" t="str">
        <f>IFERROR(IF(VLOOKUP($A205,'Annex 2 EHV charges'!$D:$P,13,FALSE)=0,"",VLOOKUP($A205,'Annex 2 EHV charges'!$D:$P,13,FALSE)),"")</f>
        <v/>
      </c>
    </row>
    <row r="206" spans="1:8" x14ac:dyDescent="0.2">
      <c r="A206" s="81" t="str">
        <f t="array" ref="A206">IFERROR(INDEX('Annex 2 EHV charges'!$D$10:$D$108, MATCH(0, IF(ISBLANK('Annex 2 EHV charges'!$D$10:$D$108),1, COUNTIF(A$4:$A205, 'Annex 2 EHV charges'!$D$10:$D$108)), 0)),"")</f>
        <v/>
      </c>
      <c r="B206" s="80" t="str">
        <f>IF($A206="","",VLOOKUP($A206,'Annex 2 EHV charges'!$D:$O,2,0))</f>
        <v/>
      </c>
      <c r="C206" s="81" t="str">
        <f>IF($A206="","",VLOOKUP($A206,'Annex 2 EHV charges'!$D:$O,3,0))</f>
        <v/>
      </c>
      <c r="D206" s="80" t="str">
        <f>IF($A206="","",VLOOKUP($A206,'Annex 2 EHV charges'!$D:$O,4,0))</f>
        <v/>
      </c>
      <c r="E206" s="82" t="str">
        <f>IFERROR(IF(VLOOKUP($A206,'Annex 2 EHV charges'!$D:$O,10,FALSE)=0,"",VLOOKUP($A206,'Annex 2 EHV charges'!$D:$O,10,FALSE)),"")</f>
        <v/>
      </c>
      <c r="F206" s="83" t="str">
        <f>IFERROR(IF(VLOOKUP($A206,'Annex 2 EHV charges'!$D:$O,11,FALSE)=0,"",VLOOKUP($A206,'Annex 2 EHV charges'!$D:$O,11,FALSE)),"")</f>
        <v/>
      </c>
      <c r="G206" s="84" t="str">
        <f>IFERROR(IF(VLOOKUP($A206,'Annex 2 EHV charges'!$D:$O,12,FALSE)=0,"",VLOOKUP($A206,'Annex 2 EHV charges'!$D:$O,12,FALSE)),"")</f>
        <v/>
      </c>
      <c r="H206" s="84" t="str">
        <f>IFERROR(IF(VLOOKUP($A206,'Annex 2 EHV charges'!$D:$P,13,FALSE)=0,"",VLOOKUP($A206,'Annex 2 EHV charges'!$D:$P,13,FALSE)),"")</f>
        <v/>
      </c>
    </row>
    <row r="207" spans="1:8" x14ac:dyDescent="0.2">
      <c r="A207" s="81" t="str">
        <f t="array" ref="A207">IFERROR(INDEX('Annex 2 EHV charges'!$D$10:$D$108, MATCH(0, IF(ISBLANK('Annex 2 EHV charges'!$D$10:$D$108),1, COUNTIF(A$4:$A206, 'Annex 2 EHV charges'!$D$10:$D$108)), 0)),"")</f>
        <v/>
      </c>
      <c r="B207" s="80" t="str">
        <f>IF($A207="","",VLOOKUP($A207,'Annex 2 EHV charges'!$D:$O,2,0))</f>
        <v/>
      </c>
      <c r="C207" s="81" t="str">
        <f>IF($A207="","",VLOOKUP($A207,'Annex 2 EHV charges'!$D:$O,3,0))</f>
        <v/>
      </c>
      <c r="D207" s="80" t="str">
        <f>IF($A207="","",VLOOKUP($A207,'Annex 2 EHV charges'!$D:$O,4,0))</f>
        <v/>
      </c>
      <c r="E207" s="82" t="str">
        <f>IFERROR(IF(VLOOKUP($A207,'Annex 2 EHV charges'!$D:$O,10,FALSE)=0,"",VLOOKUP($A207,'Annex 2 EHV charges'!$D:$O,10,FALSE)),"")</f>
        <v/>
      </c>
      <c r="F207" s="83" t="str">
        <f>IFERROR(IF(VLOOKUP($A207,'Annex 2 EHV charges'!$D:$O,11,FALSE)=0,"",VLOOKUP($A207,'Annex 2 EHV charges'!$D:$O,11,FALSE)),"")</f>
        <v/>
      </c>
      <c r="G207" s="84" t="str">
        <f>IFERROR(IF(VLOOKUP($A207,'Annex 2 EHV charges'!$D:$O,12,FALSE)=0,"",VLOOKUP($A207,'Annex 2 EHV charges'!$D:$O,12,FALSE)),"")</f>
        <v/>
      </c>
      <c r="H207" s="84" t="str">
        <f>IFERROR(IF(VLOOKUP($A207,'Annex 2 EHV charges'!$D:$P,13,FALSE)=0,"",VLOOKUP($A207,'Annex 2 EHV charges'!$D:$P,13,FALSE)),"")</f>
        <v/>
      </c>
    </row>
    <row r="208" spans="1:8" x14ac:dyDescent="0.2">
      <c r="A208" s="81" t="str">
        <f t="array" ref="A208">IFERROR(INDEX('Annex 2 EHV charges'!$D$10:$D$108, MATCH(0, IF(ISBLANK('Annex 2 EHV charges'!$D$10:$D$108),1, COUNTIF(A$4:$A207, 'Annex 2 EHV charges'!$D$10:$D$108)), 0)),"")</f>
        <v/>
      </c>
      <c r="B208" s="80" t="str">
        <f>IF($A208="","",VLOOKUP($A208,'Annex 2 EHV charges'!$D:$O,2,0))</f>
        <v/>
      </c>
      <c r="C208" s="81" t="str">
        <f>IF($A208="","",VLOOKUP($A208,'Annex 2 EHV charges'!$D:$O,3,0))</f>
        <v/>
      </c>
      <c r="D208" s="80" t="str">
        <f>IF($A208="","",VLOOKUP($A208,'Annex 2 EHV charges'!$D:$O,4,0))</f>
        <v/>
      </c>
      <c r="E208" s="82" t="str">
        <f>IFERROR(IF(VLOOKUP($A208,'Annex 2 EHV charges'!$D:$O,10,FALSE)=0,"",VLOOKUP($A208,'Annex 2 EHV charges'!$D:$O,10,FALSE)),"")</f>
        <v/>
      </c>
      <c r="F208" s="83" t="str">
        <f>IFERROR(IF(VLOOKUP($A208,'Annex 2 EHV charges'!$D:$O,11,FALSE)=0,"",VLOOKUP($A208,'Annex 2 EHV charges'!$D:$O,11,FALSE)),"")</f>
        <v/>
      </c>
      <c r="G208" s="84" t="str">
        <f>IFERROR(IF(VLOOKUP($A208,'Annex 2 EHV charges'!$D:$O,12,FALSE)=0,"",VLOOKUP($A208,'Annex 2 EHV charges'!$D:$O,12,FALSE)),"")</f>
        <v/>
      </c>
      <c r="H208" s="84" t="str">
        <f>IFERROR(IF(VLOOKUP($A208,'Annex 2 EHV charges'!$D:$P,13,FALSE)=0,"",VLOOKUP($A208,'Annex 2 EHV charges'!$D:$P,13,FALSE)),"")</f>
        <v/>
      </c>
    </row>
    <row r="209" spans="1:8" x14ac:dyDescent="0.2">
      <c r="A209" s="81" t="str">
        <f t="array" ref="A209">IFERROR(INDEX('Annex 2 EHV charges'!$D$10:$D$108, MATCH(0, IF(ISBLANK('Annex 2 EHV charges'!$D$10:$D$108),1, COUNTIF(A$4:$A208, 'Annex 2 EHV charges'!$D$10:$D$108)), 0)),"")</f>
        <v/>
      </c>
      <c r="B209" s="80" t="str">
        <f>IF($A209="","",VLOOKUP($A209,'Annex 2 EHV charges'!$D:$O,2,0))</f>
        <v/>
      </c>
      <c r="C209" s="81" t="str">
        <f>IF($A209="","",VLOOKUP($A209,'Annex 2 EHV charges'!$D:$O,3,0))</f>
        <v/>
      </c>
      <c r="D209" s="80" t="str">
        <f>IF($A209="","",VLOOKUP($A209,'Annex 2 EHV charges'!$D:$O,4,0))</f>
        <v/>
      </c>
      <c r="E209" s="82" t="str">
        <f>IFERROR(IF(VLOOKUP($A209,'Annex 2 EHV charges'!$D:$O,10,FALSE)=0,"",VLOOKUP($A209,'Annex 2 EHV charges'!$D:$O,10,FALSE)),"")</f>
        <v/>
      </c>
      <c r="F209" s="83" t="str">
        <f>IFERROR(IF(VLOOKUP($A209,'Annex 2 EHV charges'!$D:$O,11,FALSE)=0,"",VLOOKUP($A209,'Annex 2 EHV charges'!$D:$O,11,FALSE)),"")</f>
        <v/>
      </c>
      <c r="G209" s="84" t="str">
        <f>IFERROR(IF(VLOOKUP($A209,'Annex 2 EHV charges'!$D:$O,12,FALSE)=0,"",VLOOKUP($A209,'Annex 2 EHV charges'!$D:$O,12,FALSE)),"")</f>
        <v/>
      </c>
      <c r="H209" s="84" t="str">
        <f>IFERROR(IF(VLOOKUP($A209,'Annex 2 EHV charges'!$D:$P,13,FALSE)=0,"",VLOOKUP($A209,'Annex 2 EHV charges'!$D:$P,13,FALSE)),"")</f>
        <v/>
      </c>
    </row>
    <row r="210" spans="1:8" x14ac:dyDescent="0.2">
      <c r="A210" s="81" t="str">
        <f t="array" ref="A210">IFERROR(INDEX('Annex 2 EHV charges'!$D$10:$D$108, MATCH(0, IF(ISBLANK('Annex 2 EHV charges'!$D$10:$D$108),1, COUNTIF(A$4:$A209, 'Annex 2 EHV charges'!$D$10:$D$108)), 0)),"")</f>
        <v/>
      </c>
      <c r="B210" s="80" t="str">
        <f>IF($A210="","",VLOOKUP($A210,'Annex 2 EHV charges'!$D:$O,2,0))</f>
        <v/>
      </c>
      <c r="C210" s="81" t="str">
        <f>IF($A210="","",VLOOKUP($A210,'Annex 2 EHV charges'!$D:$O,3,0))</f>
        <v/>
      </c>
      <c r="D210" s="80" t="str">
        <f>IF($A210="","",VLOOKUP($A210,'Annex 2 EHV charges'!$D:$O,4,0))</f>
        <v/>
      </c>
      <c r="E210" s="82" t="str">
        <f>IFERROR(IF(VLOOKUP($A210,'Annex 2 EHV charges'!$D:$O,10,FALSE)=0,"",VLOOKUP($A210,'Annex 2 EHV charges'!$D:$O,10,FALSE)),"")</f>
        <v/>
      </c>
      <c r="F210" s="83" t="str">
        <f>IFERROR(IF(VLOOKUP($A210,'Annex 2 EHV charges'!$D:$O,11,FALSE)=0,"",VLOOKUP($A210,'Annex 2 EHV charges'!$D:$O,11,FALSE)),"")</f>
        <v/>
      </c>
      <c r="G210" s="84" t="str">
        <f>IFERROR(IF(VLOOKUP($A210,'Annex 2 EHV charges'!$D:$O,12,FALSE)=0,"",VLOOKUP($A210,'Annex 2 EHV charges'!$D:$O,12,FALSE)),"")</f>
        <v/>
      </c>
      <c r="H210" s="84" t="str">
        <f>IFERROR(IF(VLOOKUP($A210,'Annex 2 EHV charges'!$D:$P,13,FALSE)=0,"",VLOOKUP($A210,'Annex 2 EHV charges'!$D:$P,13,FALSE)),"")</f>
        <v/>
      </c>
    </row>
    <row r="211" spans="1:8" x14ac:dyDescent="0.2">
      <c r="A211" s="81" t="str">
        <f t="array" ref="A211">IFERROR(INDEX('Annex 2 EHV charges'!$D$10:$D$108, MATCH(0, IF(ISBLANK('Annex 2 EHV charges'!$D$10:$D$108),1, COUNTIF(A$4:$A210, 'Annex 2 EHV charges'!$D$10:$D$108)), 0)),"")</f>
        <v/>
      </c>
      <c r="B211" s="80" t="str">
        <f>IF($A211="","",VLOOKUP($A211,'Annex 2 EHV charges'!$D:$O,2,0))</f>
        <v/>
      </c>
      <c r="C211" s="81" t="str">
        <f>IF($A211="","",VLOOKUP($A211,'Annex 2 EHV charges'!$D:$O,3,0))</f>
        <v/>
      </c>
      <c r="D211" s="80" t="str">
        <f>IF($A211="","",VLOOKUP($A211,'Annex 2 EHV charges'!$D:$O,4,0))</f>
        <v/>
      </c>
      <c r="E211" s="82" t="str">
        <f>IFERROR(IF(VLOOKUP($A211,'Annex 2 EHV charges'!$D:$O,10,FALSE)=0,"",VLOOKUP($A211,'Annex 2 EHV charges'!$D:$O,10,FALSE)),"")</f>
        <v/>
      </c>
      <c r="F211" s="83" t="str">
        <f>IFERROR(IF(VLOOKUP($A211,'Annex 2 EHV charges'!$D:$O,11,FALSE)=0,"",VLOOKUP($A211,'Annex 2 EHV charges'!$D:$O,11,FALSE)),"")</f>
        <v/>
      </c>
      <c r="G211" s="84" t="str">
        <f>IFERROR(IF(VLOOKUP($A211,'Annex 2 EHV charges'!$D:$O,12,FALSE)=0,"",VLOOKUP($A211,'Annex 2 EHV charges'!$D:$O,12,FALSE)),"")</f>
        <v/>
      </c>
      <c r="H211" s="84" t="str">
        <f>IFERROR(IF(VLOOKUP($A211,'Annex 2 EHV charges'!$D:$P,13,FALSE)=0,"",VLOOKUP($A211,'Annex 2 EHV charges'!$D:$P,13,FALSE)),"")</f>
        <v/>
      </c>
    </row>
    <row r="212" spans="1:8" x14ac:dyDescent="0.2">
      <c r="A212" s="81" t="str">
        <f t="array" ref="A212">IFERROR(INDEX('Annex 2 EHV charges'!$D$10:$D$108, MATCH(0, IF(ISBLANK('Annex 2 EHV charges'!$D$10:$D$108),1, COUNTIF(A$4:$A211, 'Annex 2 EHV charges'!$D$10:$D$108)), 0)),"")</f>
        <v/>
      </c>
      <c r="B212" s="80" t="str">
        <f>IF($A212="","",VLOOKUP($A212,'Annex 2 EHV charges'!$D:$O,2,0))</f>
        <v/>
      </c>
      <c r="C212" s="81" t="str">
        <f>IF($A212="","",VLOOKUP($A212,'Annex 2 EHV charges'!$D:$O,3,0))</f>
        <v/>
      </c>
      <c r="D212" s="80" t="str">
        <f>IF($A212="","",VLOOKUP($A212,'Annex 2 EHV charges'!$D:$O,4,0))</f>
        <v/>
      </c>
      <c r="E212" s="82" t="str">
        <f>IFERROR(IF(VLOOKUP($A212,'Annex 2 EHV charges'!$D:$O,10,FALSE)=0,"",VLOOKUP($A212,'Annex 2 EHV charges'!$D:$O,10,FALSE)),"")</f>
        <v/>
      </c>
      <c r="F212" s="83" t="str">
        <f>IFERROR(IF(VLOOKUP($A212,'Annex 2 EHV charges'!$D:$O,11,FALSE)=0,"",VLOOKUP($A212,'Annex 2 EHV charges'!$D:$O,11,FALSE)),"")</f>
        <v/>
      </c>
      <c r="G212" s="84" t="str">
        <f>IFERROR(IF(VLOOKUP($A212,'Annex 2 EHV charges'!$D:$O,12,FALSE)=0,"",VLOOKUP($A212,'Annex 2 EHV charges'!$D:$O,12,FALSE)),"")</f>
        <v/>
      </c>
      <c r="H212" s="84" t="str">
        <f>IFERROR(IF(VLOOKUP($A212,'Annex 2 EHV charges'!$D:$P,13,FALSE)=0,"",VLOOKUP($A212,'Annex 2 EHV charges'!$D:$P,13,FALSE)),"")</f>
        <v/>
      </c>
    </row>
    <row r="213" spans="1:8" x14ac:dyDescent="0.2">
      <c r="A213" s="81" t="str">
        <f t="array" ref="A213">IFERROR(INDEX('Annex 2 EHV charges'!$D$10:$D$108, MATCH(0, IF(ISBLANK('Annex 2 EHV charges'!$D$10:$D$108),1, COUNTIF(A$4:$A212, 'Annex 2 EHV charges'!$D$10:$D$108)), 0)),"")</f>
        <v/>
      </c>
      <c r="B213" s="80" t="str">
        <f>IF($A213="","",VLOOKUP($A213,'Annex 2 EHV charges'!$D:$O,2,0))</f>
        <v/>
      </c>
      <c r="C213" s="81" t="str">
        <f>IF($A213="","",VLOOKUP($A213,'Annex 2 EHV charges'!$D:$O,3,0))</f>
        <v/>
      </c>
      <c r="D213" s="80" t="str">
        <f>IF($A213="","",VLOOKUP($A213,'Annex 2 EHV charges'!$D:$O,4,0))</f>
        <v/>
      </c>
      <c r="E213" s="82" t="str">
        <f>IFERROR(IF(VLOOKUP($A213,'Annex 2 EHV charges'!$D:$O,10,FALSE)=0,"",VLOOKUP($A213,'Annex 2 EHV charges'!$D:$O,10,FALSE)),"")</f>
        <v/>
      </c>
      <c r="F213" s="83" t="str">
        <f>IFERROR(IF(VLOOKUP($A213,'Annex 2 EHV charges'!$D:$O,11,FALSE)=0,"",VLOOKUP($A213,'Annex 2 EHV charges'!$D:$O,11,FALSE)),"")</f>
        <v/>
      </c>
      <c r="G213" s="84" t="str">
        <f>IFERROR(IF(VLOOKUP($A213,'Annex 2 EHV charges'!$D:$O,12,FALSE)=0,"",VLOOKUP($A213,'Annex 2 EHV charges'!$D:$O,12,FALSE)),"")</f>
        <v/>
      </c>
      <c r="H213" s="84" t="str">
        <f>IFERROR(IF(VLOOKUP($A213,'Annex 2 EHV charges'!$D:$P,13,FALSE)=0,"",VLOOKUP($A213,'Annex 2 EHV charges'!$D:$P,13,FALSE)),"")</f>
        <v/>
      </c>
    </row>
    <row r="214" spans="1:8" x14ac:dyDescent="0.2">
      <c r="A214" s="81" t="str">
        <f t="array" ref="A214">IFERROR(INDEX('Annex 2 EHV charges'!$D$10:$D$108, MATCH(0, IF(ISBLANK('Annex 2 EHV charges'!$D$10:$D$108),1, COUNTIF(A$4:$A213, 'Annex 2 EHV charges'!$D$10:$D$108)), 0)),"")</f>
        <v/>
      </c>
      <c r="B214" s="80" t="str">
        <f>IF($A214="","",VLOOKUP($A214,'Annex 2 EHV charges'!$D:$O,2,0))</f>
        <v/>
      </c>
      <c r="C214" s="81" t="str">
        <f>IF($A214="","",VLOOKUP($A214,'Annex 2 EHV charges'!$D:$O,3,0))</f>
        <v/>
      </c>
      <c r="D214" s="80" t="str">
        <f>IF($A214="","",VLOOKUP($A214,'Annex 2 EHV charges'!$D:$O,4,0))</f>
        <v/>
      </c>
      <c r="E214" s="82" t="str">
        <f>IFERROR(IF(VLOOKUP($A214,'Annex 2 EHV charges'!$D:$O,10,FALSE)=0,"",VLOOKUP($A214,'Annex 2 EHV charges'!$D:$O,10,FALSE)),"")</f>
        <v/>
      </c>
      <c r="F214" s="83" t="str">
        <f>IFERROR(IF(VLOOKUP($A214,'Annex 2 EHV charges'!$D:$O,11,FALSE)=0,"",VLOOKUP($A214,'Annex 2 EHV charges'!$D:$O,11,FALSE)),"")</f>
        <v/>
      </c>
      <c r="G214" s="84" t="str">
        <f>IFERROR(IF(VLOOKUP($A214,'Annex 2 EHV charges'!$D:$O,12,FALSE)=0,"",VLOOKUP($A214,'Annex 2 EHV charges'!$D:$O,12,FALSE)),"")</f>
        <v/>
      </c>
      <c r="H214" s="84" t="str">
        <f>IFERROR(IF(VLOOKUP($A214,'Annex 2 EHV charges'!$D:$P,13,FALSE)=0,"",VLOOKUP($A214,'Annex 2 EHV charges'!$D:$P,13,FALSE)),"")</f>
        <v/>
      </c>
    </row>
    <row r="215" spans="1:8" x14ac:dyDescent="0.2">
      <c r="A215" s="81" t="str">
        <f t="array" ref="A215">IFERROR(INDEX('Annex 2 EHV charges'!$D$10:$D$108, MATCH(0, IF(ISBLANK('Annex 2 EHV charges'!$D$10:$D$108),1, COUNTIF(A$4:$A214, 'Annex 2 EHV charges'!$D$10:$D$108)), 0)),"")</f>
        <v/>
      </c>
      <c r="B215" s="80" t="str">
        <f>IF($A215="","",VLOOKUP($A215,'Annex 2 EHV charges'!$D:$O,2,0))</f>
        <v/>
      </c>
      <c r="C215" s="81" t="str">
        <f>IF($A215="","",VLOOKUP($A215,'Annex 2 EHV charges'!$D:$O,3,0))</f>
        <v/>
      </c>
      <c r="D215" s="80" t="str">
        <f>IF($A215="","",VLOOKUP($A215,'Annex 2 EHV charges'!$D:$O,4,0))</f>
        <v/>
      </c>
      <c r="E215" s="82" t="str">
        <f>IFERROR(IF(VLOOKUP($A215,'Annex 2 EHV charges'!$D:$O,10,FALSE)=0,"",VLOOKUP($A215,'Annex 2 EHV charges'!$D:$O,10,FALSE)),"")</f>
        <v/>
      </c>
      <c r="F215" s="83" t="str">
        <f>IFERROR(IF(VLOOKUP($A215,'Annex 2 EHV charges'!$D:$O,11,FALSE)=0,"",VLOOKUP($A215,'Annex 2 EHV charges'!$D:$O,11,FALSE)),"")</f>
        <v/>
      </c>
      <c r="G215" s="84" t="str">
        <f>IFERROR(IF(VLOOKUP($A215,'Annex 2 EHV charges'!$D:$O,12,FALSE)=0,"",VLOOKUP($A215,'Annex 2 EHV charges'!$D:$O,12,FALSE)),"")</f>
        <v/>
      </c>
      <c r="H215" s="84" t="str">
        <f>IFERROR(IF(VLOOKUP($A215,'Annex 2 EHV charges'!$D:$P,13,FALSE)=0,"",VLOOKUP($A215,'Annex 2 EHV charges'!$D:$P,13,FALSE)),"")</f>
        <v/>
      </c>
    </row>
    <row r="216" spans="1:8" x14ac:dyDescent="0.2">
      <c r="A216" s="81" t="str">
        <f t="array" ref="A216">IFERROR(INDEX('Annex 2 EHV charges'!$D$10:$D$108, MATCH(0, IF(ISBLANK('Annex 2 EHV charges'!$D$10:$D$108),1, COUNTIF(A$4:$A215, 'Annex 2 EHV charges'!$D$10:$D$108)), 0)),"")</f>
        <v/>
      </c>
      <c r="B216" s="80" t="str">
        <f>IF($A216="","",VLOOKUP($A216,'Annex 2 EHV charges'!$D:$O,2,0))</f>
        <v/>
      </c>
      <c r="C216" s="81" t="str">
        <f>IF($A216="","",VLOOKUP($A216,'Annex 2 EHV charges'!$D:$O,3,0))</f>
        <v/>
      </c>
      <c r="D216" s="80" t="str">
        <f>IF($A216="","",VLOOKUP($A216,'Annex 2 EHV charges'!$D:$O,4,0))</f>
        <v/>
      </c>
      <c r="E216" s="82" t="str">
        <f>IFERROR(IF(VLOOKUP($A216,'Annex 2 EHV charges'!$D:$O,10,FALSE)=0,"",VLOOKUP($A216,'Annex 2 EHV charges'!$D:$O,10,FALSE)),"")</f>
        <v/>
      </c>
      <c r="F216" s="83" t="str">
        <f>IFERROR(IF(VLOOKUP($A216,'Annex 2 EHV charges'!$D:$O,11,FALSE)=0,"",VLOOKUP($A216,'Annex 2 EHV charges'!$D:$O,11,FALSE)),"")</f>
        <v/>
      </c>
      <c r="G216" s="84" t="str">
        <f>IFERROR(IF(VLOOKUP($A216,'Annex 2 EHV charges'!$D:$O,12,FALSE)=0,"",VLOOKUP($A216,'Annex 2 EHV charges'!$D:$O,12,FALSE)),"")</f>
        <v/>
      </c>
      <c r="H216" s="84" t="str">
        <f>IFERROR(IF(VLOOKUP($A216,'Annex 2 EHV charges'!$D:$P,13,FALSE)=0,"",VLOOKUP($A216,'Annex 2 EHV charges'!$D:$P,13,FALSE)),"")</f>
        <v/>
      </c>
    </row>
    <row r="217" spans="1:8" x14ac:dyDescent="0.2">
      <c r="A217" s="81" t="str">
        <f t="array" ref="A217">IFERROR(INDEX('Annex 2 EHV charges'!$D$10:$D$108, MATCH(0, IF(ISBLANK('Annex 2 EHV charges'!$D$10:$D$108),1, COUNTIF(A$4:$A216, 'Annex 2 EHV charges'!$D$10:$D$108)), 0)),"")</f>
        <v/>
      </c>
      <c r="B217" s="80" t="str">
        <f>IF($A217="","",VLOOKUP($A217,'Annex 2 EHV charges'!$D:$O,2,0))</f>
        <v/>
      </c>
      <c r="C217" s="81" t="str">
        <f>IF($A217="","",VLOOKUP($A217,'Annex 2 EHV charges'!$D:$O,3,0))</f>
        <v/>
      </c>
      <c r="D217" s="80" t="str">
        <f>IF($A217="","",VLOOKUP($A217,'Annex 2 EHV charges'!$D:$O,4,0))</f>
        <v/>
      </c>
      <c r="E217" s="82" t="str">
        <f>IFERROR(IF(VLOOKUP($A217,'Annex 2 EHV charges'!$D:$O,10,FALSE)=0,"",VLOOKUP($A217,'Annex 2 EHV charges'!$D:$O,10,FALSE)),"")</f>
        <v/>
      </c>
      <c r="F217" s="83" t="str">
        <f>IFERROR(IF(VLOOKUP($A217,'Annex 2 EHV charges'!$D:$O,11,FALSE)=0,"",VLOOKUP($A217,'Annex 2 EHV charges'!$D:$O,11,FALSE)),"")</f>
        <v/>
      </c>
      <c r="G217" s="84" t="str">
        <f>IFERROR(IF(VLOOKUP($A217,'Annex 2 EHV charges'!$D:$O,12,FALSE)=0,"",VLOOKUP($A217,'Annex 2 EHV charges'!$D:$O,12,FALSE)),"")</f>
        <v/>
      </c>
      <c r="H217" s="84" t="str">
        <f>IFERROR(IF(VLOOKUP($A217,'Annex 2 EHV charges'!$D:$P,13,FALSE)=0,"",VLOOKUP($A217,'Annex 2 EHV charges'!$D:$P,13,FALSE)),"")</f>
        <v/>
      </c>
    </row>
    <row r="218" spans="1:8" x14ac:dyDescent="0.2">
      <c r="A218" s="81" t="str">
        <f t="array" ref="A218">IFERROR(INDEX('Annex 2 EHV charges'!$D$10:$D$108, MATCH(0, IF(ISBLANK('Annex 2 EHV charges'!$D$10:$D$108),1, COUNTIF(A$4:$A217, 'Annex 2 EHV charges'!$D$10:$D$108)), 0)),"")</f>
        <v/>
      </c>
      <c r="B218" s="80" t="str">
        <f>IF($A218="","",VLOOKUP($A218,'Annex 2 EHV charges'!$D:$O,2,0))</f>
        <v/>
      </c>
      <c r="C218" s="81" t="str">
        <f>IF($A218="","",VLOOKUP($A218,'Annex 2 EHV charges'!$D:$O,3,0))</f>
        <v/>
      </c>
      <c r="D218" s="80" t="str">
        <f>IF($A218="","",VLOOKUP($A218,'Annex 2 EHV charges'!$D:$O,4,0))</f>
        <v/>
      </c>
      <c r="E218" s="82" t="str">
        <f>IFERROR(IF(VLOOKUP($A218,'Annex 2 EHV charges'!$D:$O,10,FALSE)=0,"",VLOOKUP($A218,'Annex 2 EHV charges'!$D:$O,10,FALSE)),"")</f>
        <v/>
      </c>
      <c r="F218" s="83" t="str">
        <f>IFERROR(IF(VLOOKUP($A218,'Annex 2 EHV charges'!$D:$O,11,FALSE)=0,"",VLOOKUP($A218,'Annex 2 EHV charges'!$D:$O,11,FALSE)),"")</f>
        <v/>
      </c>
      <c r="G218" s="84" t="str">
        <f>IFERROR(IF(VLOOKUP($A218,'Annex 2 EHV charges'!$D:$O,12,FALSE)=0,"",VLOOKUP($A218,'Annex 2 EHV charges'!$D:$O,12,FALSE)),"")</f>
        <v/>
      </c>
      <c r="H218" s="84" t="str">
        <f>IFERROR(IF(VLOOKUP($A218,'Annex 2 EHV charges'!$D:$P,13,FALSE)=0,"",VLOOKUP($A218,'Annex 2 EHV charges'!$D:$P,13,FALSE)),"")</f>
        <v/>
      </c>
    </row>
    <row r="219" spans="1:8" x14ac:dyDescent="0.2">
      <c r="A219" s="81" t="str">
        <f t="array" ref="A219">IFERROR(INDEX('Annex 2 EHV charges'!$D$10:$D$108, MATCH(0, IF(ISBLANK('Annex 2 EHV charges'!$D$10:$D$108),1, COUNTIF(A$4:$A218, 'Annex 2 EHV charges'!$D$10:$D$108)), 0)),"")</f>
        <v/>
      </c>
      <c r="B219" s="80" t="str">
        <f>IF($A219="","",VLOOKUP($A219,'Annex 2 EHV charges'!$D:$O,2,0))</f>
        <v/>
      </c>
      <c r="C219" s="81" t="str">
        <f>IF($A219="","",VLOOKUP($A219,'Annex 2 EHV charges'!$D:$O,3,0))</f>
        <v/>
      </c>
      <c r="D219" s="80" t="str">
        <f>IF($A219="","",VLOOKUP($A219,'Annex 2 EHV charges'!$D:$O,4,0))</f>
        <v/>
      </c>
      <c r="E219" s="82" t="str">
        <f>IFERROR(IF(VLOOKUP($A219,'Annex 2 EHV charges'!$D:$O,10,FALSE)=0,"",VLOOKUP($A219,'Annex 2 EHV charges'!$D:$O,10,FALSE)),"")</f>
        <v/>
      </c>
      <c r="F219" s="83" t="str">
        <f>IFERROR(IF(VLOOKUP($A219,'Annex 2 EHV charges'!$D:$O,11,FALSE)=0,"",VLOOKUP($A219,'Annex 2 EHV charges'!$D:$O,11,FALSE)),"")</f>
        <v/>
      </c>
      <c r="G219" s="84" t="str">
        <f>IFERROR(IF(VLOOKUP($A219,'Annex 2 EHV charges'!$D:$O,12,FALSE)=0,"",VLOOKUP($A219,'Annex 2 EHV charges'!$D:$O,12,FALSE)),"")</f>
        <v/>
      </c>
      <c r="H219" s="84" t="str">
        <f>IFERROR(IF(VLOOKUP($A219,'Annex 2 EHV charges'!$D:$P,13,FALSE)=0,"",VLOOKUP($A219,'Annex 2 EHV charges'!$D:$P,13,FALSE)),"")</f>
        <v/>
      </c>
    </row>
    <row r="220" spans="1:8" x14ac:dyDescent="0.2">
      <c r="A220" s="81" t="str">
        <f t="array" ref="A220">IFERROR(INDEX('Annex 2 EHV charges'!$D$10:$D$108, MATCH(0, IF(ISBLANK('Annex 2 EHV charges'!$D$10:$D$108),1, COUNTIF(A$4:$A219, 'Annex 2 EHV charges'!$D$10:$D$108)), 0)),"")</f>
        <v/>
      </c>
      <c r="B220" s="80" t="str">
        <f>IF($A220="","",VLOOKUP($A220,'Annex 2 EHV charges'!$D:$O,2,0))</f>
        <v/>
      </c>
      <c r="C220" s="81" t="str">
        <f>IF($A220="","",VLOOKUP($A220,'Annex 2 EHV charges'!$D:$O,3,0))</f>
        <v/>
      </c>
      <c r="D220" s="80" t="str">
        <f>IF($A220="","",VLOOKUP($A220,'Annex 2 EHV charges'!$D:$O,4,0))</f>
        <v/>
      </c>
      <c r="E220" s="82" t="str">
        <f>IFERROR(IF(VLOOKUP($A220,'Annex 2 EHV charges'!$D:$O,10,FALSE)=0,"",VLOOKUP($A220,'Annex 2 EHV charges'!$D:$O,10,FALSE)),"")</f>
        <v/>
      </c>
      <c r="F220" s="83" t="str">
        <f>IFERROR(IF(VLOOKUP($A220,'Annex 2 EHV charges'!$D:$O,11,FALSE)=0,"",VLOOKUP($A220,'Annex 2 EHV charges'!$D:$O,11,FALSE)),"")</f>
        <v/>
      </c>
      <c r="G220" s="84" t="str">
        <f>IFERROR(IF(VLOOKUP($A220,'Annex 2 EHV charges'!$D:$O,12,FALSE)=0,"",VLOOKUP($A220,'Annex 2 EHV charges'!$D:$O,12,FALSE)),"")</f>
        <v/>
      </c>
      <c r="H220" s="84" t="str">
        <f>IFERROR(IF(VLOOKUP($A220,'Annex 2 EHV charges'!$D:$P,13,FALSE)=0,"",VLOOKUP($A220,'Annex 2 EHV charges'!$D:$P,13,FALSE)),"")</f>
        <v/>
      </c>
    </row>
    <row r="221" spans="1:8" x14ac:dyDescent="0.2">
      <c r="A221" s="81" t="str">
        <f t="array" ref="A221">IFERROR(INDEX('Annex 2 EHV charges'!$D$10:$D$108, MATCH(0, IF(ISBLANK('Annex 2 EHV charges'!$D$10:$D$108),1, COUNTIF(A$4:$A220, 'Annex 2 EHV charges'!$D$10:$D$108)), 0)),"")</f>
        <v/>
      </c>
      <c r="B221" s="80" t="str">
        <f>IF($A221="","",VLOOKUP($A221,'Annex 2 EHV charges'!$D:$O,2,0))</f>
        <v/>
      </c>
      <c r="C221" s="81" t="str">
        <f>IF($A221="","",VLOOKUP($A221,'Annex 2 EHV charges'!$D:$O,3,0))</f>
        <v/>
      </c>
      <c r="D221" s="80" t="str">
        <f>IF($A221="","",VLOOKUP($A221,'Annex 2 EHV charges'!$D:$O,4,0))</f>
        <v/>
      </c>
      <c r="E221" s="82" t="str">
        <f>IFERROR(IF(VLOOKUP($A221,'Annex 2 EHV charges'!$D:$O,10,FALSE)=0,"",VLOOKUP($A221,'Annex 2 EHV charges'!$D:$O,10,FALSE)),"")</f>
        <v/>
      </c>
      <c r="F221" s="83" t="str">
        <f>IFERROR(IF(VLOOKUP($A221,'Annex 2 EHV charges'!$D:$O,11,FALSE)=0,"",VLOOKUP($A221,'Annex 2 EHV charges'!$D:$O,11,FALSE)),"")</f>
        <v/>
      </c>
      <c r="G221" s="84" t="str">
        <f>IFERROR(IF(VLOOKUP($A221,'Annex 2 EHV charges'!$D:$O,12,FALSE)=0,"",VLOOKUP($A221,'Annex 2 EHV charges'!$D:$O,12,FALSE)),"")</f>
        <v/>
      </c>
      <c r="H221" s="84" t="str">
        <f>IFERROR(IF(VLOOKUP($A221,'Annex 2 EHV charges'!$D:$P,13,FALSE)=0,"",VLOOKUP($A221,'Annex 2 EHV charges'!$D:$P,13,FALSE)),"")</f>
        <v/>
      </c>
    </row>
    <row r="222" spans="1:8" x14ac:dyDescent="0.2">
      <c r="A222" s="81" t="str">
        <f t="array" ref="A222">IFERROR(INDEX('Annex 2 EHV charges'!$D$10:$D$108, MATCH(0, IF(ISBLANK('Annex 2 EHV charges'!$D$10:$D$108),1, COUNTIF(A$4:$A221, 'Annex 2 EHV charges'!$D$10:$D$108)), 0)),"")</f>
        <v/>
      </c>
      <c r="B222" s="80" t="str">
        <f>IF($A222="","",VLOOKUP($A222,'Annex 2 EHV charges'!$D:$O,2,0))</f>
        <v/>
      </c>
      <c r="C222" s="81" t="str">
        <f>IF($A222="","",VLOOKUP($A222,'Annex 2 EHV charges'!$D:$O,3,0))</f>
        <v/>
      </c>
      <c r="D222" s="80" t="str">
        <f>IF($A222="","",VLOOKUP($A222,'Annex 2 EHV charges'!$D:$O,4,0))</f>
        <v/>
      </c>
      <c r="E222" s="82" t="str">
        <f>IFERROR(IF(VLOOKUP($A222,'Annex 2 EHV charges'!$D:$O,10,FALSE)=0,"",VLOOKUP($A222,'Annex 2 EHV charges'!$D:$O,10,FALSE)),"")</f>
        <v/>
      </c>
      <c r="F222" s="83" t="str">
        <f>IFERROR(IF(VLOOKUP($A222,'Annex 2 EHV charges'!$D:$O,11,FALSE)=0,"",VLOOKUP($A222,'Annex 2 EHV charges'!$D:$O,11,FALSE)),"")</f>
        <v/>
      </c>
      <c r="G222" s="84" t="str">
        <f>IFERROR(IF(VLOOKUP($A222,'Annex 2 EHV charges'!$D:$O,12,FALSE)=0,"",VLOOKUP($A222,'Annex 2 EHV charges'!$D:$O,12,FALSE)),"")</f>
        <v/>
      </c>
      <c r="H222" s="84" t="str">
        <f>IFERROR(IF(VLOOKUP($A222,'Annex 2 EHV charges'!$D:$P,13,FALSE)=0,"",VLOOKUP($A222,'Annex 2 EHV charges'!$D:$P,13,FALSE)),"")</f>
        <v/>
      </c>
    </row>
    <row r="223" spans="1:8" x14ac:dyDescent="0.2">
      <c r="A223" s="81" t="str">
        <f t="array" ref="A223">IFERROR(INDEX('Annex 2 EHV charges'!$D$10:$D$108, MATCH(0, IF(ISBLANK('Annex 2 EHV charges'!$D$10:$D$108),1, COUNTIF(A$4:$A222, 'Annex 2 EHV charges'!$D$10:$D$108)), 0)),"")</f>
        <v/>
      </c>
      <c r="B223" s="80" t="str">
        <f>IF($A223="","",VLOOKUP($A223,'Annex 2 EHV charges'!$D:$O,2,0))</f>
        <v/>
      </c>
      <c r="C223" s="81" t="str">
        <f>IF($A223="","",VLOOKUP($A223,'Annex 2 EHV charges'!$D:$O,3,0))</f>
        <v/>
      </c>
      <c r="D223" s="80" t="str">
        <f>IF($A223="","",VLOOKUP($A223,'Annex 2 EHV charges'!$D:$O,4,0))</f>
        <v/>
      </c>
      <c r="E223" s="82" t="str">
        <f>IFERROR(IF(VLOOKUP($A223,'Annex 2 EHV charges'!$D:$O,10,FALSE)=0,"",VLOOKUP($A223,'Annex 2 EHV charges'!$D:$O,10,FALSE)),"")</f>
        <v/>
      </c>
      <c r="F223" s="83" t="str">
        <f>IFERROR(IF(VLOOKUP($A223,'Annex 2 EHV charges'!$D:$O,11,FALSE)=0,"",VLOOKUP($A223,'Annex 2 EHV charges'!$D:$O,11,FALSE)),"")</f>
        <v/>
      </c>
      <c r="G223" s="84" t="str">
        <f>IFERROR(IF(VLOOKUP($A223,'Annex 2 EHV charges'!$D:$O,12,FALSE)=0,"",VLOOKUP($A223,'Annex 2 EHV charges'!$D:$O,12,FALSE)),"")</f>
        <v/>
      </c>
      <c r="H223" s="84" t="str">
        <f>IFERROR(IF(VLOOKUP($A223,'Annex 2 EHV charges'!$D:$P,13,FALSE)=0,"",VLOOKUP($A223,'Annex 2 EHV charges'!$D:$P,13,FALSE)),"")</f>
        <v/>
      </c>
    </row>
    <row r="224" spans="1:8" x14ac:dyDescent="0.2">
      <c r="A224" s="81" t="str">
        <f t="array" ref="A224">IFERROR(INDEX('Annex 2 EHV charges'!$D$10:$D$108, MATCH(0, IF(ISBLANK('Annex 2 EHV charges'!$D$10:$D$108),1, COUNTIF(A$4:$A223, 'Annex 2 EHV charges'!$D$10:$D$108)), 0)),"")</f>
        <v/>
      </c>
      <c r="B224" s="80" t="str">
        <f>IF($A224="","",VLOOKUP($A224,'Annex 2 EHV charges'!$D:$O,2,0))</f>
        <v/>
      </c>
      <c r="C224" s="81" t="str">
        <f>IF($A224="","",VLOOKUP($A224,'Annex 2 EHV charges'!$D:$O,3,0))</f>
        <v/>
      </c>
      <c r="D224" s="80" t="str">
        <f>IF($A224="","",VLOOKUP($A224,'Annex 2 EHV charges'!$D:$O,4,0))</f>
        <v/>
      </c>
      <c r="E224" s="82" t="str">
        <f>IFERROR(IF(VLOOKUP($A224,'Annex 2 EHV charges'!$D:$O,10,FALSE)=0,"",VLOOKUP($A224,'Annex 2 EHV charges'!$D:$O,10,FALSE)),"")</f>
        <v/>
      </c>
      <c r="F224" s="83" t="str">
        <f>IFERROR(IF(VLOOKUP($A224,'Annex 2 EHV charges'!$D:$O,11,FALSE)=0,"",VLOOKUP($A224,'Annex 2 EHV charges'!$D:$O,11,FALSE)),"")</f>
        <v/>
      </c>
      <c r="G224" s="84" t="str">
        <f>IFERROR(IF(VLOOKUP($A224,'Annex 2 EHV charges'!$D:$O,12,FALSE)=0,"",VLOOKUP($A224,'Annex 2 EHV charges'!$D:$O,12,FALSE)),"")</f>
        <v/>
      </c>
      <c r="H224" s="84" t="str">
        <f>IFERROR(IF(VLOOKUP($A224,'Annex 2 EHV charges'!$D:$P,13,FALSE)=0,"",VLOOKUP($A224,'Annex 2 EHV charges'!$D:$P,13,FALSE)),"")</f>
        <v/>
      </c>
    </row>
    <row r="225" spans="1:8" x14ac:dyDescent="0.2">
      <c r="A225" s="81" t="str">
        <f t="array" ref="A225">IFERROR(INDEX('Annex 2 EHV charges'!$D$10:$D$108, MATCH(0, IF(ISBLANK('Annex 2 EHV charges'!$D$10:$D$108),1, COUNTIF(A$4:$A224, 'Annex 2 EHV charges'!$D$10:$D$108)), 0)),"")</f>
        <v/>
      </c>
      <c r="B225" s="80" t="str">
        <f>IF($A225="","",VLOOKUP($A225,'Annex 2 EHV charges'!$D:$O,2,0))</f>
        <v/>
      </c>
      <c r="C225" s="81" t="str">
        <f>IF($A225="","",VLOOKUP($A225,'Annex 2 EHV charges'!$D:$O,3,0))</f>
        <v/>
      </c>
      <c r="D225" s="80" t="str">
        <f>IF($A225="","",VLOOKUP($A225,'Annex 2 EHV charges'!$D:$O,4,0))</f>
        <v/>
      </c>
      <c r="E225" s="82" t="str">
        <f>IFERROR(IF(VLOOKUP($A225,'Annex 2 EHV charges'!$D:$O,10,FALSE)=0,"",VLOOKUP($A225,'Annex 2 EHV charges'!$D:$O,10,FALSE)),"")</f>
        <v/>
      </c>
      <c r="F225" s="83" t="str">
        <f>IFERROR(IF(VLOOKUP($A225,'Annex 2 EHV charges'!$D:$O,11,FALSE)=0,"",VLOOKUP($A225,'Annex 2 EHV charges'!$D:$O,11,FALSE)),"")</f>
        <v/>
      </c>
      <c r="G225" s="84" t="str">
        <f>IFERROR(IF(VLOOKUP($A225,'Annex 2 EHV charges'!$D:$O,12,FALSE)=0,"",VLOOKUP($A225,'Annex 2 EHV charges'!$D:$O,12,FALSE)),"")</f>
        <v/>
      </c>
      <c r="H225" s="84" t="str">
        <f>IFERROR(IF(VLOOKUP($A225,'Annex 2 EHV charges'!$D:$P,13,FALSE)=0,"",VLOOKUP($A225,'Annex 2 EHV charges'!$D:$P,13,FALSE)),"")</f>
        <v/>
      </c>
    </row>
    <row r="226" spans="1:8" x14ac:dyDescent="0.2">
      <c r="A226" s="81" t="str">
        <f t="array" ref="A226">IFERROR(INDEX('Annex 2 EHV charges'!$D$10:$D$108, MATCH(0, IF(ISBLANK('Annex 2 EHV charges'!$D$10:$D$108),1, COUNTIF(A$4:$A225, 'Annex 2 EHV charges'!$D$10:$D$108)), 0)),"")</f>
        <v/>
      </c>
      <c r="B226" s="80" t="str">
        <f>IF($A226="","",VLOOKUP($A226,'Annex 2 EHV charges'!$D:$O,2,0))</f>
        <v/>
      </c>
      <c r="C226" s="81" t="str">
        <f>IF($A226="","",VLOOKUP($A226,'Annex 2 EHV charges'!$D:$O,3,0))</f>
        <v/>
      </c>
      <c r="D226" s="80" t="str">
        <f>IF($A226="","",VLOOKUP($A226,'Annex 2 EHV charges'!$D:$O,4,0))</f>
        <v/>
      </c>
      <c r="E226" s="82" t="str">
        <f>IFERROR(IF(VLOOKUP($A226,'Annex 2 EHV charges'!$D:$O,10,FALSE)=0,"",VLOOKUP($A226,'Annex 2 EHV charges'!$D:$O,10,FALSE)),"")</f>
        <v/>
      </c>
      <c r="F226" s="83" t="str">
        <f>IFERROR(IF(VLOOKUP($A226,'Annex 2 EHV charges'!$D:$O,11,FALSE)=0,"",VLOOKUP($A226,'Annex 2 EHV charges'!$D:$O,11,FALSE)),"")</f>
        <v/>
      </c>
      <c r="G226" s="84" t="str">
        <f>IFERROR(IF(VLOOKUP($A226,'Annex 2 EHV charges'!$D:$O,12,FALSE)=0,"",VLOOKUP($A226,'Annex 2 EHV charges'!$D:$O,12,FALSE)),"")</f>
        <v/>
      </c>
      <c r="H226" s="84" t="str">
        <f>IFERROR(IF(VLOOKUP($A226,'Annex 2 EHV charges'!$D:$P,13,FALSE)=0,"",VLOOKUP($A226,'Annex 2 EHV charges'!$D:$P,13,FALSE)),"")</f>
        <v/>
      </c>
    </row>
    <row r="227" spans="1:8" x14ac:dyDescent="0.2">
      <c r="A227" s="81" t="str">
        <f t="array" ref="A227">IFERROR(INDEX('Annex 2 EHV charges'!$D$10:$D$108, MATCH(0, IF(ISBLANK('Annex 2 EHV charges'!$D$10:$D$108),1, COUNTIF(A$4:$A226, 'Annex 2 EHV charges'!$D$10:$D$108)), 0)),"")</f>
        <v/>
      </c>
      <c r="B227" s="80" t="str">
        <f>IF($A227="","",VLOOKUP($A227,'Annex 2 EHV charges'!$D:$O,2,0))</f>
        <v/>
      </c>
      <c r="C227" s="81" t="str">
        <f>IF($A227="","",VLOOKUP($A227,'Annex 2 EHV charges'!$D:$O,3,0))</f>
        <v/>
      </c>
      <c r="D227" s="80" t="str">
        <f>IF($A227="","",VLOOKUP($A227,'Annex 2 EHV charges'!$D:$O,4,0))</f>
        <v/>
      </c>
      <c r="E227" s="82" t="str">
        <f>IFERROR(IF(VLOOKUP($A227,'Annex 2 EHV charges'!$D:$O,10,FALSE)=0,"",VLOOKUP($A227,'Annex 2 EHV charges'!$D:$O,10,FALSE)),"")</f>
        <v/>
      </c>
      <c r="F227" s="83" t="str">
        <f>IFERROR(IF(VLOOKUP($A227,'Annex 2 EHV charges'!$D:$O,11,FALSE)=0,"",VLOOKUP($A227,'Annex 2 EHV charges'!$D:$O,11,FALSE)),"")</f>
        <v/>
      </c>
      <c r="G227" s="84" t="str">
        <f>IFERROR(IF(VLOOKUP($A227,'Annex 2 EHV charges'!$D:$O,12,FALSE)=0,"",VLOOKUP($A227,'Annex 2 EHV charges'!$D:$O,12,FALSE)),"")</f>
        <v/>
      </c>
      <c r="H227" s="84" t="str">
        <f>IFERROR(IF(VLOOKUP($A227,'Annex 2 EHV charges'!$D:$P,13,FALSE)=0,"",VLOOKUP($A227,'Annex 2 EHV charges'!$D:$P,13,FALSE)),"")</f>
        <v/>
      </c>
    </row>
    <row r="228" spans="1:8" x14ac:dyDescent="0.2">
      <c r="A228" s="81" t="str">
        <f t="array" ref="A228">IFERROR(INDEX('Annex 2 EHV charges'!$D$10:$D$108, MATCH(0, IF(ISBLANK('Annex 2 EHV charges'!$D$10:$D$108),1, COUNTIF(A$4:$A227, 'Annex 2 EHV charges'!$D$10:$D$108)), 0)),"")</f>
        <v/>
      </c>
      <c r="B228" s="80" t="str">
        <f>IF($A228="","",VLOOKUP($A228,'Annex 2 EHV charges'!$D:$O,2,0))</f>
        <v/>
      </c>
      <c r="C228" s="81" t="str">
        <f>IF($A228="","",VLOOKUP($A228,'Annex 2 EHV charges'!$D:$O,3,0))</f>
        <v/>
      </c>
      <c r="D228" s="80" t="str">
        <f>IF($A228="","",VLOOKUP($A228,'Annex 2 EHV charges'!$D:$O,4,0))</f>
        <v/>
      </c>
      <c r="E228" s="82" t="str">
        <f>IFERROR(IF(VLOOKUP($A228,'Annex 2 EHV charges'!$D:$O,10,FALSE)=0,"",VLOOKUP($A228,'Annex 2 EHV charges'!$D:$O,10,FALSE)),"")</f>
        <v/>
      </c>
      <c r="F228" s="83" t="str">
        <f>IFERROR(IF(VLOOKUP($A228,'Annex 2 EHV charges'!$D:$O,11,FALSE)=0,"",VLOOKUP($A228,'Annex 2 EHV charges'!$D:$O,11,FALSE)),"")</f>
        <v/>
      </c>
      <c r="G228" s="84" t="str">
        <f>IFERROR(IF(VLOOKUP($A228,'Annex 2 EHV charges'!$D:$O,12,FALSE)=0,"",VLOOKUP($A228,'Annex 2 EHV charges'!$D:$O,12,FALSE)),"")</f>
        <v/>
      </c>
      <c r="H228" s="84" t="str">
        <f>IFERROR(IF(VLOOKUP($A228,'Annex 2 EHV charges'!$D:$P,13,FALSE)=0,"",VLOOKUP($A228,'Annex 2 EHV charges'!$D:$P,13,FALSE)),"")</f>
        <v/>
      </c>
    </row>
    <row r="229" spans="1:8" x14ac:dyDescent="0.2">
      <c r="A229" s="81" t="str">
        <f t="array" ref="A229">IFERROR(INDEX('Annex 2 EHV charges'!$D$10:$D$108, MATCH(0, IF(ISBLANK('Annex 2 EHV charges'!$D$10:$D$108),1, COUNTIF(A$4:$A228, 'Annex 2 EHV charges'!$D$10:$D$108)), 0)),"")</f>
        <v/>
      </c>
      <c r="B229" s="80" t="str">
        <f>IF($A229="","",VLOOKUP($A229,'Annex 2 EHV charges'!$D:$O,2,0))</f>
        <v/>
      </c>
      <c r="C229" s="81" t="str">
        <f>IF($A229="","",VLOOKUP($A229,'Annex 2 EHV charges'!$D:$O,3,0))</f>
        <v/>
      </c>
      <c r="D229" s="80" t="str">
        <f>IF($A229="","",VLOOKUP($A229,'Annex 2 EHV charges'!$D:$O,4,0))</f>
        <v/>
      </c>
      <c r="E229" s="82" t="str">
        <f>IFERROR(IF(VLOOKUP($A229,'Annex 2 EHV charges'!$D:$O,10,FALSE)=0,"",VLOOKUP($A229,'Annex 2 EHV charges'!$D:$O,10,FALSE)),"")</f>
        <v/>
      </c>
      <c r="F229" s="83" t="str">
        <f>IFERROR(IF(VLOOKUP($A229,'Annex 2 EHV charges'!$D:$O,11,FALSE)=0,"",VLOOKUP($A229,'Annex 2 EHV charges'!$D:$O,11,FALSE)),"")</f>
        <v/>
      </c>
      <c r="G229" s="84" t="str">
        <f>IFERROR(IF(VLOOKUP($A229,'Annex 2 EHV charges'!$D:$O,12,FALSE)=0,"",VLOOKUP($A229,'Annex 2 EHV charges'!$D:$O,12,FALSE)),"")</f>
        <v/>
      </c>
      <c r="H229" s="84" t="str">
        <f>IFERROR(IF(VLOOKUP($A229,'Annex 2 EHV charges'!$D:$P,13,FALSE)=0,"",VLOOKUP($A229,'Annex 2 EHV charges'!$D:$P,13,FALSE)),"")</f>
        <v/>
      </c>
    </row>
    <row r="230" spans="1:8" x14ac:dyDescent="0.2">
      <c r="A230" s="81" t="str">
        <f t="array" ref="A230">IFERROR(INDEX('Annex 2 EHV charges'!$D$10:$D$108, MATCH(0, IF(ISBLANK('Annex 2 EHV charges'!$D$10:$D$108),1, COUNTIF(A$4:$A229, 'Annex 2 EHV charges'!$D$10:$D$108)), 0)),"")</f>
        <v/>
      </c>
      <c r="B230" s="80" t="str">
        <f>IF($A230="","",VLOOKUP($A230,'Annex 2 EHV charges'!$D:$O,2,0))</f>
        <v/>
      </c>
      <c r="C230" s="81" t="str">
        <f>IF($A230="","",VLOOKUP($A230,'Annex 2 EHV charges'!$D:$O,3,0))</f>
        <v/>
      </c>
      <c r="D230" s="80" t="str">
        <f>IF($A230="","",VLOOKUP($A230,'Annex 2 EHV charges'!$D:$O,4,0))</f>
        <v/>
      </c>
      <c r="E230" s="82" t="str">
        <f>IFERROR(IF(VLOOKUP($A230,'Annex 2 EHV charges'!$D:$O,10,FALSE)=0,"",VLOOKUP($A230,'Annex 2 EHV charges'!$D:$O,10,FALSE)),"")</f>
        <v/>
      </c>
      <c r="F230" s="83" t="str">
        <f>IFERROR(IF(VLOOKUP($A230,'Annex 2 EHV charges'!$D:$O,11,FALSE)=0,"",VLOOKUP($A230,'Annex 2 EHV charges'!$D:$O,11,FALSE)),"")</f>
        <v/>
      </c>
      <c r="G230" s="84" t="str">
        <f>IFERROR(IF(VLOOKUP($A230,'Annex 2 EHV charges'!$D:$O,12,FALSE)=0,"",VLOOKUP($A230,'Annex 2 EHV charges'!$D:$O,12,FALSE)),"")</f>
        <v/>
      </c>
      <c r="H230" s="84" t="str">
        <f>IFERROR(IF(VLOOKUP($A230,'Annex 2 EHV charges'!$D:$P,13,FALSE)=0,"",VLOOKUP($A230,'Annex 2 EHV charges'!$D:$P,13,FALSE)),"")</f>
        <v/>
      </c>
    </row>
    <row r="231" spans="1:8" x14ac:dyDescent="0.2">
      <c r="A231" s="81" t="str">
        <f t="array" ref="A231">IFERROR(INDEX('Annex 2 EHV charges'!$D$10:$D$108, MATCH(0, IF(ISBLANK('Annex 2 EHV charges'!$D$10:$D$108),1, COUNTIF(A$4:$A230, 'Annex 2 EHV charges'!$D$10:$D$108)), 0)),"")</f>
        <v/>
      </c>
      <c r="B231" s="80" t="str">
        <f>IF($A231="","",VLOOKUP($A231,'Annex 2 EHV charges'!$D:$O,2,0))</f>
        <v/>
      </c>
      <c r="C231" s="81" t="str">
        <f>IF($A231="","",VLOOKUP($A231,'Annex 2 EHV charges'!$D:$O,3,0))</f>
        <v/>
      </c>
      <c r="D231" s="80" t="str">
        <f>IF($A231="","",VLOOKUP($A231,'Annex 2 EHV charges'!$D:$O,4,0))</f>
        <v/>
      </c>
      <c r="E231" s="82" t="str">
        <f>IFERROR(IF(VLOOKUP($A231,'Annex 2 EHV charges'!$D:$O,10,FALSE)=0,"",VLOOKUP($A231,'Annex 2 EHV charges'!$D:$O,10,FALSE)),"")</f>
        <v/>
      </c>
      <c r="F231" s="83" t="str">
        <f>IFERROR(IF(VLOOKUP($A231,'Annex 2 EHV charges'!$D:$O,11,FALSE)=0,"",VLOOKUP($A231,'Annex 2 EHV charges'!$D:$O,11,FALSE)),"")</f>
        <v/>
      </c>
      <c r="G231" s="84" t="str">
        <f>IFERROR(IF(VLOOKUP($A231,'Annex 2 EHV charges'!$D:$O,12,FALSE)=0,"",VLOOKUP($A231,'Annex 2 EHV charges'!$D:$O,12,FALSE)),"")</f>
        <v/>
      </c>
      <c r="H231" s="84" t="str">
        <f>IFERROR(IF(VLOOKUP($A231,'Annex 2 EHV charges'!$D:$P,13,FALSE)=0,"",VLOOKUP($A231,'Annex 2 EHV charges'!$D:$P,13,FALSE)),"")</f>
        <v/>
      </c>
    </row>
    <row r="232" spans="1:8" x14ac:dyDescent="0.2">
      <c r="A232" s="81" t="str">
        <f t="array" ref="A232">IFERROR(INDEX('Annex 2 EHV charges'!$D$10:$D$108, MATCH(0, IF(ISBLANK('Annex 2 EHV charges'!$D$10:$D$108),1, COUNTIF(A$4:$A231, 'Annex 2 EHV charges'!$D$10:$D$108)), 0)),"")</f>
        <v/>
      </c>
      <c r="B232" s="80" t="str">
        <f>IF($A232="","",VLOOKUP($A232,'Annex 2 EHV charges'!$D:$O,2,0))</f>
        <v/>
      </c>
      <c r="C232" s="81" t="str">
        <f>IF($A232="","",VLOOKUP($A232,'Annex 2 EHV charges'!$D:$O,3,0))</f>
        <v/>
      </c>
      <c r="D232" s="80" t="str">
        <f>IF($A232="","",VLOOKUP($A232,'Annex 2 EHV charges'!$D:$O,4,0))</f>
        <v/>
      </c>
      <c r="E232" s="82" t="str">
        <f>IFERROR(IF(VLOOKUP($A232,'Annex 2 EHV charges'!$D:$O,10,FALSE)=0,"",VLOOKUP($A232,'Annex 2 EHV charges'!$D:$O,10,FALSE)),"")</f>
        <v/>
      </c>
      <c r="F232" s="83" t="str">
        <f>IFERROR(IF(VLOOKUP($A232,'Annex 2 EHV charges'!$D:$O,11,FALSE)=0,"",VLOOKUP($A232,'Annex 2 EHV charges'!$D:$O,11,FALSE)),"")</f>
        <v/>
      </c>
      <c r="G232" s="84" t="str">
        <f>IFERROR(IF(VLOOKUP($A232,'Annex 2 EHV charges'!$D:$O,12,FALSE)=0,"",VLOOKUP($A232,'Annex 2 EHV charges'!$D:$O,12,FALSE)),"")</f>
        <v/>
      </c>
      <c r="H232" s="84" t="str">
        <f>IFERROR(IF(VLOOKUP($A232,'Annex 2 EHV charges'!$D:$P,13,FALSE)=0,"",VLOOKUP($A232,'Annex 2 EHV charges'!$D:$P,13,FALSE)),"")</f>
        <v/>
      </c>
    </row>
    <row r="233" spans="1:8" x14ac:dyDescent="0.2">
      <c r="A233" s="81" t="str">
        <f t="array" ref="A233">IFERROR(INDEX('Annex 2 EHV charges'!$D$10:$D$108, MATCH(0, IF(ISBLANK('Annex 2 EHV charges'!$D$10:$D$108),1, COUNTIF(A$4:$A232, 'Annex 2 EHV charges'!$D$10:$D$108)), 0)),"")</f>
        <v/>
      </c>
      <c r="B233" s="80" t="str">
        <f>IF($A233="","",VLOOKUP($A233,'Annex 2 EHV charges'!$D:$O,2,0))</f>
        <v/>
      </c>
      <c r="C233" s="81" t="str">
        <f>IF($A233="","",VLOOKUP($A233,'Annex 2 EHV charges'!$D:$O,3,0))</f>
        <v/>
      </c>
      <c r="D233" s="80" t="str">
        <f>IF($A233="","",VLOOKUP($A233,'Annex 2 EHV charges'!$D:$O,4,0))</f>
        <v/>
      </c>
      <c r="E233" s="82" t="str">
        <f>IFERROR(IF(VLOOKUP($A233,'Annex 2 EHV charges'!$D:$O,10,FALSE)=0,"",VLOOKUP($A233,'Annex 2 EHV charges'!$D:$O,10,FALSE)),"")</f>
        <v/>
      </c>
      <c r="F233" s="83" t="str">
        <f>IFERROR(IF(VLOOKUP($A233,'Annex 2 EHV charges'!$D:$O,11,FALSE)=0,"",VLOOKUP($A233,'Annex 2 EHV charges'!$D:$O,11,FALSE)),"")</f>
        <v/>
      </c>
      <c r="G233" s="84" t="str">
        <f>IFERROR(IF(VLOOKUP($A233,'Annex 2 EHV charges'!$D:$O,12,FALSE)=0,"",VLOOKUP($A233,'Annex 2 EHV charges'!$D:$O,12,FALSE)),"")</f>
        <v/>
      </c>
      <c r="H233" s="84" t="str">
        <f>IFERROR(IF(VLOOKUP($A233,'Annex 2 EHV charges'!$D:$P,13,FALSE)=0,"",VLOOKUP($A233,'Annex 2 EHV charges'!$D:$P,13,FALSE)),"")</f>
        <v/>
      </c>
    </row>
    <row r="234" spans="1:8" x14ac:dyDescent="0.2">
      <c r="A234" s="81" t="str">
        <f t="array" ref="A234">IFERROR(INDEX('Annex 2 EHV charges'!$D$10:$D$108, MATCH(0, IF(ISBLANK('Annex 2 EHV charges'!$D$10:$D$108),1, COUNTIF(A$4:$A233, 'Annex 2 EHV charges'!$D$10:$D$108)), 0)),"")</f>
        <v/>
      </c>
      <c r="B234" s="80" t="str">
        <f>IF($A234="","",VLOOKUP($A234,'Annex 2 EHV charges'!$D:$O,2,0))</f>
        <v/>
      </c>
      <c r="C234" s="81" t="str">
        <f>IF($A234="","",VLOOKUP($A234,'Annex 2 EHV charges'!$D:$O,3,0))</f>
        <v/>
      </c>
      <c r="D234" s="80" t="str">
        <f>IF($A234="","",VLOOKUP($A234,'Annex 2 EHV charges'!$D:$O,4,0))</f>
        <v/>
      </c>
      <c r="E234" s="82" t="str">
        <f>IFERROR(IF(VLOOKUP($A234,'Annex 2 EHV charges'!$D:$O,10,FALSE)=0,"",VLOOKUP($A234,'Annex 2 EHV charges'!$D:$O,10,FALSE)),"")</f>
        <v/>
      </c>
      <c r="F234" s="83" t="str">
        <f>IFERROR(IF(VLOOKUP($A234,'Annex 2 EHV charges'!$D:$O,11,FALSE)=0,"",VLOOKUP($A234,'Annex 2 EHV charges'!$D:$O,11,FALSE)),"")</f>
        <v/>
      </c>
      <c r="G234" s="84" t="str">
        <f>IFERROR(IF(VLOOKUP($A234,'Annex 2 EHV charges'!$D:$O,12,FALSE)=0,"",VLOOKUP($A234,'Annex 2 EHV charges'!$D:$O,12,FALSE)),"")</f>
        <v/>
      </c>
      <c r="H234" s="84" t="str">
        <f>IFERROR(IF(VLOOKUP($A234,'Annex 2 EHV charges'!$D:$P,13,FALSE)=0,"",VLOOKUP($A234,'Annex 2 EHV charges'!$D:$P,13,FALSE)),"")</f>
        <v/>
      </c>
    </row>
    <row r="235" spans="1:8" x14ac:dyDescent="0.2">
      <c r="A235" s="81" t="str">
        <f t="array" ref="A235">IFERROR(INDEX('Annex 2 EHV charges'!$D$10:$D$108, MATCH(0, IF(ISBLANK('Annex 2 EHV charges'!$D$10:$D$108),1, COUNTIF(A$4:$A234, 'Annex 2 EHV charges'!$D$10:$D$108)), 0)),"")</f>
        <v/>
      </c>
      <c r="B235" s="80" t="str">
        <f>IF($A235="","",VLOOKUP($A235,'Annex 2 EHV charges'!$D:$O,2,0))</f>
        <v/>
      </c>
      <c r="C235" s="81" t="str">
        <f>IF($A235="","",VLOOKUP($A235,'Annex 2 EHV charges'!$D:$O,3,0))</f>
        <v/>
      </c>
      <c r="D235" s="80" t="str">
        <f>IF($A235="","",VLOOKUP($A235,'Annex 2 EHV charges'!$D:$O,4,0))</f>
        <v/>
      </c>
      <c r="E235" s="82" t="str">
        <f>IFERROR(IF(VLOOKUP($A235,'Annex 2 EHV charges'!$D:$O,10,FALSE)=0,"",VLOOKUP($A235,'Annex 2 EHV charges'!$D:$O,10,FALSE)),"")</f>
        <v/>
      </c>
      <c r="F235" s="83" t="str">
        <f>IFERROR(IF(VLOOKUP($A235,'Annex 2 EHV charges'!$D:$O,11,FALSE)=0,"",VLOOKUP($A235,'Annex 2 EHV charges'!$D:$O,11,FALSE)),"")</f>
        <v/>
      </c>
      <c r="G235" s="84" t="str">
        <f>IFERROR(IF(VLOOKUP($A235,'Annex 2 EHV charges'!$D:$O,12,FALSE)=0,"",VLOOKUP($A235,'Annex 2 EHV charges'!$D:$O,12,FALSE)),"")</f>
        <v/>
      </c>
      <c r="H235" s="84" t="str">
        <f>IFERROR(IF(VLOOKUP($A235,'Annex 2 EHV charges'!$D:$P,13,FALSE)=0,"",VLOOKUP($A235,'Annex 2 EHV charges'!$D:$P,13,FALSE)),"")</f>
        <v/>
      </c>
    </row>
    <row r="236" spans="1:8" x14ac:dyDescent="0.2">
      <c r="A236" s="81" t="str">
        <f t="array" ref="A236">IFERROR(INDEX('Annex 2 EHV charges'!$D$10:$D$108, MATCH(0, IF(ISBLANK('Annex 2 EHV charges'!$D$10:$D$108),1, COUNTIF(A$4:$A235, 'Annex 2 EHV charges'!$D$10:$D$108)), 0)),"")</f>
        <v/>
      </c>
      <c r="B236" s="80" t="str">
        <f>IF($A236="","",VLOOKUP($A236,'Annex 2 EHV charges'!$D:$O,2,0))</f>
        <v/>
      </c>
      <c r="C236" s="81" t="str">
        <f>IF($A236="","",VLOOKUP($A236,'Annex 2 EHV charges'!$D:$O,3,0))</f>
        <v/>
      </c>
      <c r="D236" s="80" t="str">
        <f>IF($A236="","",VLOOKUP($A236,'Annex 2 EHV charges'!$D:$O,4,0))</f>
        <v/>
      </c>
      <c r="E236" s="82" t="str">
        <f>IFERROR(IF(VLOOKUP($A236,'Annex 2 EHV charges'!$D:$O,10,FALSE)=0,"",VLOOKUP($A236,'Annex 2 EHV charges'!$D:$O,10,FALSE)),"")</f>
        <v/>
      </c>
      <c r="F236" s="83" t="str">
        <f>IFERROR(IF(VLOOKUP($A236,'Annex 2 EHV charges'!$D:$O,11,FALSE)=0,"",VLOOKUP($A236,'Annex 2 EHV charges'!$D:$O,11,FALSE)),"")</f>
        <v/>
      </c>
      <c r="G236" s="84" t="str">
        <f>IFERROR(IF(VLOOKUP($A236,'Annex 2 EHV charges'!$D:$O,12,FALSE)=0,"",VLOOKUP($A236,'Annex 2 EHV charges'!$D:$O,12,FALSE)),"")</f>
        <v/>
      </c>
      <c r="H236" s="84" t="str">
        <f>IFERROR(IF(VLOOKUP($A236,'Annex 2 EHV charges'!$D:$P,13,FALSE)=0,"",VLOOKUP($A236,'Annex 2 EHV charges'!$D:$P,13,FALSE)),"")</f>
        <v/>
      </c>
    </row>
    <row r="237" spans="1:8" x14ac:dyDescent="0.2">
      <c r="A237" s="81" t="str">
        <f t="array" ref="A237">IFERROR(INDEX('Annex 2 EHV charges'!$D$10:$D$108, MATCH(0, IF(ISBLANK('Annex 2 EHV charges'!$D$10:$D$108),1, COUNTIF(A$4:$A236, 'Annex 2 EHV charges'!$D$10:$D$108)), 0)),"")</f>
        <v/>
      </c>
      <c r="B237" s="80" t="str">
        <f>IF($A237="","",VLOOKUP($A237,'Annex 2 EHV charges'!$D:$O,2,0))</f>
        <v/>
      </c>
      <c r="C237" s="81" t="str">
        <f>IF($A237="","",VLOOKUP($A237,'Annex 2 EHV charges'!$D:$O,3,0))</f>
        <v/>
      </c>
      <c r="D237" s="80" t="str">
        <f>IF($A237="","",VLOOKUP($A237,'Annex 2 EHV charges'!$D:$O,4,0))</f>
        <v/>
      </c>
      <c r="E237" s="82" t="str">
        <f>IFERROR(IF(VLOOKUP($A237,'Annex 2 EHV charges'!$D:$O,10,FALSE)=0,"",VLOOKUP($A237,'Annex 2 EHV charges'!$D:$O,10,FALSE)),"")</f>
        <v/>
      </c>
      <c r="F237" s="83" t="str">
        <f>IFERROR(IF(VLOOKUP($A237,'Annex 2 EHV charges'!$D:$O,11,FALSE)=0,"",VLOOKUP($A237,'Annex 2 EHV charges'!$D:$O,11,FALSE)),"")</f>
        <v/>
      </c>
      <c r="G237" s="84" t="str">
        <f>IFERROR(IF(VLOOKUP($A237,'Annex 2 EHV charges'!$D:$O,12,FALSE)=0,"",VLOOKUP($A237,'Annex 2 EHV charges'!$D:$O,12,FALSE)),"")</f>
        <v/>
      </c>
      <c r="H237" s="84" t="str">
        <f>IFERROR(IF(VLOOKUP($A237,'Annex 2 EHV charges'!$D:$P,13,FALSE)=0,"",VLOOKUP($A237,'Annex 2 EHV charges'!$D:$P,13,FALSE)),"")</f>
        <v/>
      </c>
    </row>
    <row r="238" spans="1:8" x14ac:dyDescent="0.2">
      <c r="A238" s="81" t="str">
        <f t="array" ref="A238">IFERROR(INDEX('Annex 2 EHV charges'!$D$10:$D$108, MATCH(0, IF(ISBLANK('Annex 2 EHV charges'!$D$10:$D$108),1, COUNTIF(A$4:$A237, 'Annex 2 EHV charges'!$D$10:$D$108)), 0)),"")</f>
        <v/>
      </c>
      <c r="B238" s="80" t="str">
        <f>IF($A238="","",VLOOKUP($A238,'Annex 2 EHV charges'!$D:$O,2,0))</f>
        <v/>
      </c>
      <c r="C238" s="81" t="str">
        <f>IF($A238="","",VLOOKUP($A238,'Annex 2 EHV charges'!$D:$O,3,0))</f>
        <v/>
      </c>
      <c r="D238" s="80" t="str">
        <f>IF($A238="","",VLOOKUP($A238,'Annex 2 EHV charges'!$D:$O,4,0))</f>
        <v/>
      </c>
      <c r="E238" s="82" t="str">
        <f>IFERROR(IF(VLOOKUP($A238,'Annex 2 EHV charges'!$D:$O,10,FALSE)=0,"",VLOOKUP($A238,'Annex 2 EHV charges'!$D:$O,10,FALSE)),"")</f>
        <v/>
      </c>
      <c r="F238" s="83" t="str">
        <f>IFERROR(IF(VLOOKUP($A238,'Annex 2 EHV charges'!$D:$O,11,FALSE)=0,"",VLOOKUP($A238,'Annex 2 EHV charges'!$D:$O,11,FALSE)),"")</f>
        <v/>
      </c>
      <c r="G238" s="84" t="str">
        <f>IFERROR(IF(VLOOKUP($A238,'Annex 2 EHV charges'!$D:$O,12,FALSE)=0,"",VLOOKUP($A238,'Annex 2 EHV charges'!$D:$O,12,FALSE)),"")</f>
        <v/>
      </c>
      <c r="H238" s="84" t="str">
        <f>IFERROR(IF(VLOOKUP($A238,'Annex 2 EHV charges'!$D:$P,13,FALSE)=0,"",VLOOKUP($A238,'Annex 2 EHV charges'!$D:$P,13,FALSE)),"")</f>
        <v/>
      </c>
    </row>
    <row r="239" spans="1:8" x14ac:dyDescent="0.2">
      <c r="A239" s="81" t="str">
        <f t="array" ref="A239">IFERROR(INDEX('Annex 2 EHV charges'!$D$10:$D$108, MATCH(0, IF(ISBLANK('Annex 2 EHV charges'!$D$10:$D$108),1, COUNTIF(A$4:$A238, 'Annex 2 EHV charges'!$D$10:$D$108)), 0)),"")</f>
        <v/>
      </c>
      <c r="B239" s="80" t="str">
        <f>IF($A239="","",VLOOKUP($A239,'Annex 2 EHV charges'!$D:$O,2,0))</f>
        <v/>
      </c>
      <c r="C239" s="81" t="str">
        <f>IF($A239="","",VLOOKUP($A239,'Annex 2 EHV charges'!$D:$O,3,0))</f>
        <v/>
      </c>
      <c r="D239" s="80" t="str">
        <f>IF($A239="","",VLOOKUP($A239,'Annex 2 EHV charges'!$D:$O,4,0))</f>
        <v/>
      </c>
      <c r="E239" s="82" t="str">
        <f>IFERROR(IF(VLOOKUP($A239,'Annex 2 EHV charges'!$D:$O,10,FALSE)=0,"",VLOOKUP($A239,'Annex 2 EHV charges'!$D:$O,10,FALSE)),"")</f>
        <v/>
      </c>
      <c r="F239" s="83" t="str">
        <f>IFERROR(IF(VLOOKUP($A239,'Annex 2 EHV charges'!$D:$O,11,FALSE)=0,"",VLOOKUP($A239,'Annex 2 EHV charges'!$D:$O,11,FALSE)),"")</f>
        <v/>
      </c>
      <c r="G239" s="84" t="str">
        <f>IFERROR(IF(VLOOKUP($A239,'Annex 2 EHV charges'!$D:$O,12,FALSE)=0,"",VLOOKUP($A239,'Annex 2 EHV charges'!$D:$O,12,FALSE)),"")</f>
        <v/>
      </c>
      <c r="H239" s="84" t="str">
        <f>IFERROR(IF(VLOOKUP($A239,'Annex 2 EHV charges'!$D:$P,13,FALSE)=0,"",VLOOKUP($A239,'Annex 2 EHV charges'!$D:$P,13,FALSE)),"")</f>
        <v/>
      </c>
    </row>
    <row r="240" spans="1:8" x14ac:dyDescent="0.2">
      <c r="A240" s="81" t="str">
        <f t="array" ref="A240">IFERROR(INDEX('Annex 2 EHV charges'!$D$10:$D$108, MATCH(0, IF(ISBLANK('Annex 2 EHV charges'!$D$10:$D$108),1, COUNTIF(A$4:$A239, 'Annex 2 EHV charges'!$D$10:$D$108)), 0)),"")</f>
        <v/>
      </c>
      <c r="B240" s="80" t="str">
        <f>IF($A240="","",VLOOKUP($A240,'Annex 2 EHV charges'!$D:$O,2,0))</f>
        <v/>
      </c>
      <c r="C240" s="81" t="str">
        <f>IF($A240="","",VLOOKUP($A240,'Annex 2 EHV charges'!$D:$O,3,0))</f>
        <v/>
      </c>
      <c r="D240" s="80" t="str">
        <f>IF($A240="","",VLOOKUP($A240,'Annex 2 EHV charges'!$D:$O,4,0))</f>
        <v/>
      </c>
      <c r="E240" s="82" t="str">
        <f>IFERROR(IF(VLOOKUP($A240,'Annex 2 EHV charges'!$D:$O,10,FALSE)=0,"",VLOOKUP($A240,'Annex 2 EHV charges'!$D:$O,10,FALSE)),"")</f>
        <v/>
      </c>
      <c r="F240" s="83" t="str">
        <f>IFERROR(IF(VLOOKUP($A240,'Annex 2 EHV charges'!$D:$O,11,FALSE)=0,"",VLOOKUP($A240,'Annex 2 EHV charges'!$D:$O,11,FALSE)),"")</f>
        <v/>
      </c>
      <c r="G240" s="84" t="str">
        <f>IFERROR(IF(VLOOKUP($A240,'Annex 2 EHV charges'!$D:$O,12,FALSE)=0,"",VLOOKUP($A240,'Annex 2 EHV charges'!$D:$O,12,FALSE)),"")</f>
        <v/>
      </c>
      <c r="H240" s="84" t="str">
        <f>IFERROR(IF(VLOOKUP($A240,'Annex 2 EHV charges'!$D:$P,13,FALSE)=0,"",VLOOKUP($A240,'Annex 2 EHV charges'!$D:$P,13,FALSE)),"")</f>
        <v/>
      </c>
    </row>
    <row r="241" spans="1:8" x14ac:dyDescent="0.2">
      <c r="A241" s="81" t="str">
        <f t="array" ref="A241">IFERROR(INDEX('Annex 2 EHV charges'!$D$10:$D$108, MATCH(0, IF(ISBLANK('Annex 2 EHV charges'!$D$10:$D$108),1, COUNTIF(A$4:$A240, 'Annex 2 EHV charges'!$D$10:$D$108)), 0)),"")</f>
        <v/>
      </c>
      <c r="B241" s="80" t="str">
        <f>IF($A241="","",VLOOKUP($A241,'Annex 2 EHV charges'!$D:$O,2,0))</f>
        <v/>
      </c>
      <c r="C241" s="81" t="str">
        <f>IF($A241="","",VLOOKUP($A241,'Annex 2 EHV charges'!$D:$O,3,0))</f>
        <v/>
      </c>
      <c r="D241" s="80" t="str">
        <f>IF($A241="","",VLOOKUP($A241,'Annex 2 EHV charges'!$D:$O,4,0))</f>
        <v/>
      </c>
      <c r="E241" s="82" t="str">
        <f>IFERROR(IF(VLOOKUP($A241,'Annex 2 EHV charges'!$D:$O,10,FALSE)=0,"",VLOOKUP($A241,'Annex 2 EHV charges'!$D:$O,10,FALSE)),"")</f>
        <v/>
      </c>
      <c r="F241" s="83" t="str">
        <f>IFERROR(IF(VLOOKUP($A241,'Annex 2 EHV charges'!$D:$O,11,FALSE)=0,"",VLOOKUP($A241,'Annex 2 EHV charges'!$D:$O,11,FALSE)),"")</f>
        <v/>
      </c>
      <c r="G241" s="84" t="str">
        <f>IFERROR(IF(VLOOKUP($A241,'Annex 2 EHV charges'!$D:$O,12,FALSE)=0,"",VLOOKUP($A241,'Annex 2 EHV charges'!$D:$O,12,FALSE)),"")</f>
        <v/>
      </c>
      <c r="H241" s="84" t="str">
        <f>IFERROR(IF(VLOOKUP($A241,'Annex 2 EHV charges'!$D:$P,13,FALSE)=0,"",VLOOKUP($A241,'Annex 2 EHV charges'!$D:$P,13,FALSE)),"")</f>
        <v/>
      </c>
    </row>
    <row r="242" spans="1:8" x14ac:dyDescent="0.2">
      <c r="A242" s="81" t="str">
        <f t="array" ref="A242">IFERROR(INDEX('Annex 2 EHV charges'!$D$10:$D$108, MATCH(0, IF(ISBLANK('Annex 2 EHV charges'!$D$10:$D$108),1, COUNTIF(A$4:$A241, 'Annex 2 EHV charges'!$D$10:$D$108)), 0)),"")</f>
        <v/>
      </c>
      <c r="B242" s="80" t="str">
        <f>IF($A242="","",VLOOKUP($A242,'Annex 2 EHV charges'!$D:$O,2,0))</f>
        <v/>
      </c>
      <c r="C242" s="81" t="str">
        <f>IF($A242="","",VLOOKUP($A242,'Annex 2 EHV charges'!$D:$O,3,0))</f>
        <v/>
      </c>
      <c r="D242" s="80" t="str">
        <f>IF($A242="","",VLOOKUP($A242,'Annex 2 EHV charges'!$D:$O,4,0))</f>
        <v/>
      </c>
      <c r="E242" s="82" t="str">
        <f>IFERROR(IF(VLOOKUP($A242,'Annex 2 EHV charges'!$D:$O,10,FALSE)=0,"",VLOOKUP($A242,'Annex 2 EHV charges'!$D:$O,10,FALSE)),"")</f>
        <v/>
      </c>
      <c r="F242" s="83" t="str">
        <f>IFERROR(IF(VLOOKUP($A242,'Annex 2 EHV charges'!$D:$O,11,FALSE)=0,"",VLOOKUP($A242,'Annex 2 EHV charges'!$D:$O,11,FALSE)),"")</f>
        <v/>
      </c>
      <c r="G242" s="84" t="str">
        <f>IFERROR(IF(VLOOKUP($A242,'Annex 2 EHV charges'!$D:$O,12,FALSE)=0,"",VLOOKUP($A242,'Annex 2 EHV charges'!$D:$O,12,FALSE)),"")</f>
        <v/>
      </c>
      <c r="H242" s="84" t="str">
        <f>IFERROR(IF(VLOOKUP($A242,'Annex 2 EHV charges'!$D:$P,13,FALSE)=0,"",VLOOKUP($A242,'Annex 2 EHV charges'!$D:$P,13,FALSE)),"")</f>
        <v/>
      </c>
    </row>
    <row r="243" spans="1:8" x14ac:dyDescent="0.2">
      <c r="A243" s="81" t="str">
        <f t="array" ref="A243">IFERROR(INDEX('Annex 2 EHV charges'!$D$10:$D$108, MATCH(0, IF(ISBLANK('Annex 2 EHV charges'!$D$10:$D$108),1, COUNTIF(A$4:$A242, 'Annex 2 EHV charges'!$D$10:$D$108)), 0)),"")</f>
        <v/>
      </c>
      <c r="B243" s="80" t="str">
        <f>IF($A243="","",VLOOKUP($A243,'Annex 2 EHV charges'!$D:$O,2,0))</f>
        <v/>
      </c>
      <c r="C243" s="81" t="str">
        <f>IF($A243="","",VLOOKUP($A243,'Annex 2 EHV charges'!$D:$O,3,0))</f>
        <v/>
      </c>
      <c r="D243" s="80" t="str">
        <f>IF($A243="","",VLOOKUP($A243,'Annex 2 EHV charges'!$D:$O,4,0))</f>
        <v/>
      </c>
      <c r="E243" s="82" t="str">
        <f>IFERROR(IF(VLOOKUP($A243,'Annex 2 EHV charges'!$D:$O,10,FALSE)=0,"",VLOOKUP($A243,'Annex 2 EHV charges'!$D:$O,10,FALSE)),"")</f>
        <v/>
      </c>
      <c r="F243" s="83" t="str">
        <f>IFERROR(IF(VLOOKUP($A243,'Annex 2 EHV charges'!$D:$O,11,FALSE)=0,"",VLOOKUP($A243,'Annex 2 EHV charges'!$D:$O,11,FALSE)),"")</f>
        <v/>
      </c>
      <c r="G243" s="84" t="str">
        <f>IFERROR(IF(VLOOKUP($A243,'Annex 2 EHV charges'!$D:$O,12,FALSE)=0,"",VLOOKUP($A243,'Annex 2 EHV charges'!$D:$O,12,FALSE)),"")</f>
        <v/>
      </c>
      <c r="H243" s="84" t="str">
        <f>IFERROR(IF(VLOOKUP($A243,'Annex 2 EHV charges'!$D:$P,13,FALSE)=0,"",VLOOKUP($A243,'Annex 2 EHV charges'!$D:$P,13,FALSE)),"")</f>
        <v/>
      </c>
    </row>
    <row r="244" spans="1:8" x14ac:dyDescent="0.2">
      <c r="A244" s="81" t="str">
        <f t="array" ref="A244">IFERROR(INDEX('Annex 2 EHV charges'!$D$10:$D$108, MATCH(0, IF(ISBLANK('Annex 2 EHV charges'!$D$10:$D$108),1, COUNTIF(A$4:$A243, 'Annex 2 EHV charges'!$D$10:$D$108)), 0)),"")</f>
        <v/>
      </c>
      <c r="B244" s="80" t="str">
        <f>IF($A244="","",VLOOKUP($A244,'Annex 2 EHV charges'!$D:$O,2,0))</f>
        <v/>
      </c>
      <c r="C244" s="81" t="str">
        <f>IF($A244="","",VLOOKUP($A244,'Annex 2 EHV charges'!$D:$O,3,0))</f>
        <v/>
      </c>
      <c r="D244" s="80" t="str">
        <f>IF($A244="","",VLOOKUP($A244,'Annex 2 EHV charges'!$D:$O,4,0))</f>
        <v/>
      </c>
      <c r="E244" s="82" t="str">
        <f>IFERROR(IF(VLOOKUP($A244,'Annex 2 EHV charges'!$D:$O,10,FALSE)=0,"",VLOOKUP($A244,'Annex 2 EHV charges'!$D:$O,10,FALSE)),"")</f>
        <v/>
      </c>
      <c r="F244" s="83" t="str">
        <f>IFERROR(IF(VLOOKUP($A244,'Annex 2 EHV charges'!$D:$O,11,FALSE)=0,"",VLOOKUP($A244,'Annex 2 EHV charges'!$D:$O,11,FALSE)),"")</f>
        <v/>
      </c>
      <c r="G244" s="84" t="str">
        <f>IFERROR(IF(VLOOKUP($A244,'Annex 2 EHV charges'!$D:$O,12,FALSE)=0,"",VLOOKUP($A244,'Annex 2 EHV charges'!$D:$O,12,FALSE)),"")</f>
        <v/>
      </c>
      <c r="H244" s="84" t="str">
        <f>IFERROR(IF(VLOOKUP($A244,'Annex 2 EHV charges'!$D:$P,13,FALSE)=0,"",VLOOKUP($A244,'Annex 2 EHV charges'!$D:$P,13,FALSE)),"")</f>
        <v/>
      </c>
    </row>
    <row r="245" spans="1:8" x14ac:dyDescent="0.2">
      <c r="A245" s="81" t="str">
        <f t="array" ref="A245">IFERROR(INDEX('Annex 2 EHV charges'!$D$10:$D$108, MATCH(0, IF(ISBLANK('Annex 2 EHV charges'!$D$10:$D$108),1, COUNTIF(A$4:$A244, 'Annex 2 EHV charges'!$D$10:$D$108)), 0)),"")</f>
        <v/>
      </c>
      <c r="B245" s="80" t="str">
        <f>IF($A245="","",VLOOKUP($A245,'Annex 2 EHV charges'!$D:$O,2,0))</f>
        <v/>
      </c>
      <c r="C245" s="81" t="str">
        <f>IF($A245="","",VLOOKUP($A245,'Annex 2 EHV charges'!$D:$O,3,0))</f>
        <v/>
      </c>
      <c r="D245" s="80" t="str">
        <f>IF($A245="","",VLOOKUP($A245,'Annex 2 EHV charges'!$D:$O,4,0))</f>
        <v/>
      </c>
      <c r="E245" s="82" t="str">
        <f>IFERROR(IF(VLOOKUP($A245,'Annex 2 EHV charges'!$D:$O,10,FALSE)=0,"",VLOOKUP($A245,'Annex 2 EHV charges'!$D:$O,10,FALSE)),"")</f>
        <v/>
      </c>
      <c r="F245" s="83" t="str">
        <f>IFERROR(IF(VLOOKUP($A245,'Annex 2 EHV charges'!$D:$O,11,FALSE)=0,"",VLOOKUP($A245,'Annex 2 EHV charges'!$D:$O,11,FALSE)),"")</f>
        <v/>
      </c>
      <c r="G245" s="84" t="str">
        <f>IFERROR(IF(VLOOKUP($A245,'Annex 2 EHV charges'!$D:$O,12,FALSE)=0,"",VLOOKUP($A245,'Annex 2 EHV charges'!$D:$O,12,FALSE)),"")</f>
        <v/>
      </c>
      <c r="H245" s="84" t="str">
        <f>IFERROR(IF(VLOOKUP($A245,'Annex 2 EHV charges'!$D:$P,13,FALSE)=0,"",VLOOKUP($A245,'Annex 2 EHV charges'!$D:$P,13,FALSE)),"")</f>
        <v/>
      </c>
    </row>
    <row r="246" spans="1:8" x14ac:dyDescent="0.2">
      <c r="A246" s="81" t="str">
        <f t="array" ref="A246">IFERROR(INDEX('Annex 2 EHV charges'!$D$10:$D$108, MATCH(0, IF(ISBLANK('Annex 2 EHV charges'!$D$10:$D$108),1, COUNTIF(A$4:$A245, 'Annex 2 EHV charges'!$D$10:$D$108)), 0)),"")</f>
        <v/>
      </c>
      <c r="B246" s="80" t="str">
        <f>IF($A246="","",VLOOKUP($A246,'Annex 2 EHV charges'!$D:$O,2,0))</f>
        <v/>
      </c>
      <c r="C246" s="81" t="str">
        <f>IF($A246="","",VLOOKUP($A246,'Annex 2 EHV charges'!$D:$O,3,0))</f>
        <v/>
      </c>
      <c r="D246" s="80" t="str">
        <f>IF($A246="","",VLOOKUP($A246,'Annex 2 EHV charges'!$D:$O,4,0))</f>
        <v/>
      </c>
      <c r="E246" s="82" t="str">
        <f>IFERROR(IF(VLOOKUP($A246,'Annex 2 EHV charges'!$D:$O,10,FALSE)=0,"",VLOOKUP($A246,'Annex 2 EHV charges'!$D:$O,10,FALSE)),"")</f>
        <v/>
      </c>
      <c r="F246" s="83" t="str">
        <f>IFERROR(IF(VLOOKUP($A246,'Annex 2 EHV charges'!$D:$O,11,FALSE)=0,"",VLOOKUP($A246,'Annex 2 EHV charges'!$D:$O,11,FALSE)),"")</f>
        <v/>
      </c>
      <c r="G246" s="84" t="str">
        <f>IFERROR(IF(VLOOKUP($A246,'Annex 2 EHV charges'!$D:$O,12,FALSE)=0,"",VLOOKUP($A246,'Annex 2 EHV charges'!$D:$O,12,FALSE)),"")</f>
        <v/>
      </c>
      <c r="H246" s="84" t="str">
        <f>IFERROR(IF(VLOOKUP($A246,'Annex 2 EHV charges'!$D:$P,13,FALSE)=0,"",VLOOKUP($A246,'Annex 2 EHV charges'!$D:$P,13,FALSE)),"")</f>
        <v/>
      </c>
    </row>
    <row r="247" spans="1:8" x14ac:dyDescent="0.2">
      <c r="A247" s="81" t="str">
        <f t="array" ref="A247">IFERROR(INDEX('Annex 2 EHV charges'!$D$10:$D$108, MATCH(0, IF(ISBLANK('Annex 2 EHV charges'!$D$10:$D$108),1, COUNTIF(A$4:$A246, 'Annex 2 EHV charges'!$D$10:$D$108)), 0)),"")</f>
        <v/>
      </c>
      <c r="B247" s="80" t="str">
        <f>IF($A247="","",VLOOKUP($A247,'Annex 2 EHV charges'!$D:$O,2,0))</f>
        <v/>
      </c>
      <c r="C247" s="81" t="str">
        <f>IF($A247="","",VLOOKUP($A247,'Annex 2 EHV charges'!$D:$O,3,0))</f>
        <v/>
      </c>
      <c r="D247" s="80" t="str">
        <f>IF($A247="","",VLOOKUP($A247,'Annex 2 EHV charges'!$D:$O,4,0))</f>
        <v/>
      </c>
      <c r="E247" s="82" t="str">
        <f>IFERROR(IF(VLOOKUP($A247,'Annex 2 EHV charges'!$D:$O,10,FALSE)=0,"",VLOOKUP($A247,'Annex 2 EHV charges'!$D:$O,10,FALSE)),"")</f>
        <v/>
      </c>
      <c r="F247" s="83" t="str">
        <f>IFERROR(IF(VLOOKUP($A247,'Annex 2 EHV charges'!$D:$O,11,FALSE)=0,"",VLOOKUP($A247,'Annex 2 EHV charges'!$D:$O,11,FALSE)),"")</f>
        <v/>
      </c>
      <c r="G247" s="84" t="str">
        <f>IFERROR(IF(VLOOKUP($A247,'Annex 2 EHV charges'!$D:$O,12,FALSE)=0,"",VLOOKUP($A247,'Annex 2 EHV charges'!$D:$O,12,FALSE)),"")</f>
        <v/>
      </c>
      <c r="H247" s="84" t="str">
        <f>IFERROR(IF(VLOOKUP($A247,'Annex 2 EHV charges'!$D:$P,13,FALSE)=0,"",VLOOKUP($A247,'Annex 2 EHV charges'!$D:$P,13,FALSE)),"")</f>
        <v/>
      </c>
    </row>
    <row r="248" spans="1:8" x14ac:dyDescent="0.2">
      <c r="A248" s="81" t="str">
        <f t="array" ref="A248">IFERROR(INDEX('Annex 2 EHV charges'!$D$10:$D$108, MATCH(0, IF(ISBLANK('Annex 2 EHV charges'!$D$10:$D$108),1, COUNTIF(A$4:$A247, 'Annex 2 EHV charges'!$D$10:$D$108)), 0)),"")</f>
        <v/>
      </c>
      <c r="B248" s="80" t="str">
        <f>IF($A248="","",VLOOKUP($A248,'Annex 2 EHV charges'!$D:$O,2,0))</f>
        <v/>
      </c>
      <c r="C248" s="81" t="str">
        <f>IF($A248="","",VLOOKUP($A248,'Annex 2 EHV charges'!$D:$O,3,0))</f>
        <v/>
      </c>
      <c r="D248" s="80" t="str">
        <f>IF($A248="","",VLOOKUP($A248,'Annex 2 EHV charges'!$D:$O,4,0))</f>
        <v/>
      </c>
      <c r="E248" s="82" t="str">
        <f>IFERROR(IF(VLOOKUP($A248,'Annex 2 EHV charges'!$D:$O,10,FALSE)=0,"",VLOOKUP($A248,'Annex 2 EHV charges'!$D:$O,10,FALSE)),"")</f>
        <v/>
      </c>
      <c r="F248" s="83" t="str">
        <f>IFERROR(IF(VLOOKUP($A248,'Annex 2 EHV charges'!$D:$O,11,FALSE)=0,"",VLOOKUP($A248,'Annex 2 EHV charges'!$D:$O,11,FALSE)),"")</f>
        <v/>
      </c>
      <c r="G248" s="84" t="str">
        <f>IFERROR(IF(VLOOKUP($A248,'Annex 2 EHV charges'!$D:$O,12,FALSE)=0,"",VLOOKUP($A248,'Annex 2 EHV charges'!$D:$O,12,FALSE)),"")</f>
        <v/>
      </c>
      <c r="H248" s="84" t="str">
        <f>IFERROR(IF(VLOOKUP($A248,'Annex 2 EHV charges'!$D:$P,13,FALSE)=0,"",VLOOKUP($A248,'Annex 2 EHV charges'!$D:$P,13,FALSE)),"")</f>
        <v/>
      </c>
    </row>
    <row r="249" spans="1:8" x14ac:dyDescent="0.2">
      <c r="A249" s="81" t="str">
        <f t="array" ref="A249">IFERROR(INDEX('Annex 2 EHV charges'!$D$10:$D$108, MATCH(0, IF(ISBLANK('Annex 2 EHV charges'!$D$10:$D$108),1, COUNTIF(A$4:$A248, 'Annex 2 EHV charges'!$D$10:$D$108)), 0)),"")</f>
        <v/>
      </c>
      <c r="B249" s="80" t="str">
        <f>IF($A249="","",VLOOKUP($A249,'Annex 2 EHV charges'!$D:$O,2,0))</f>
        <v/>
      </c>
      <c r="C249" s="81" t="str">
        <f>IF($A249="","",VLOOKUP($A249,'Annex 2 EHV charges'!$D:$O,3,0))</f>
        <v/>
      </c>
      <c r="D249" s="80" t="str">
        <f>IF($A249="","",VLOOKUP($A249,'Annex 2 EHV charges'!$D:$O,4,0))</f>
        <v/>
      </c>
      <c r="E249" s="82" t="str">
        <f>IFERROR(IF(VLOOKUP($A249,'Annex 2 EHV charges'!$D:$O,10,FALSE)=0,"",VLOOKUP($A249,'Annex 2 EHV charges'!$D:$O,10,FALSE)),"")</f>
        <v/>
      </c>
      <c r="F249" s="83" t="str">
        <f>IFERROR(IF(VLOOKUP($A249,'Annex 2 EHV charges'!$D:$O,11,FALSE)=0,"",VLOOKUP($A249,'Annex 2 EHV charges'!$D:$O,11,FALSE)),"")</f>
        <v/>
      </c>
      <c r="G249" s="84" t="str">
        <f>IFERROR(IF(VLOOKUP($A249,'Annex 2 EHV charges'!$D:$O,12,FALSE)=0,"",VLOOKUP($A249,'Annex 2 EHV charges'!$D:$O,12,FALSE)),"")</f>
        <v/>
      </c>
      <c r="H249" s="84" t="str">
        <f>IFERROR(IF(VLOOKUP($A249,'Annex 2 EHV charges'!$D:$P,13,FALSE)=0,"",VLOOKUP($A249,'Annex 2 EHV charges'!$D:$P,13,FALSE)),"")</f>
        <v/>
      </c>
    </row>
    <row r="250" spans="1:8" x14ac:dyDescent="0.2">
      <c r="A250" s="81" t="str">
        <f t="array" ref="A250">IFERROR(INDEX('Annex 2 EHV charges'!$D$10:$D$108, MATCH(0, IF(ISBLANK('Annex 2 EHV charges'!$D$10:$D$108),1, COUNTIF(A$4:$A249, 'Annex 2 EHV charges'!$D$10:$D$108)), 0)),"")</f>
        <v/>
      </c>
      <c r="B250" s="80" t="str">
        <f>IF($A250="","",VLOOKUP($A250,'Annex 2 EHV charges'!$D:$O,2,0))</f>
        <v/>
      </c>
      <c r="C250" s="81" t="str">
        <f>IF($A250="","",VLOOKUP($A250,'Annex 2 EHV charges'!$D:$O,3,0))</f>
        <v/>
      </c>
      <c r="D250" s="80" t="str">
        <f>IF($A250="","",VLOOKUP($A250,'Annex 2 EHV charges'!$D:$O,4,0))</f>
        <v/>
      </c>
      <c r="E250" s="82" t="str">
        <f>IFERROR(IF(VLOOKUP($A250,'Annex 2 EHV charges'!$D:$O,10,FALSE)=0,"",VLOOKUP($A250,'Annex 2 EHV charges'!$D:$O,10,FALSE)),"")</f>
        <v/>
      </c>
      <c r="F250" s="83" t="str">
        <f>IFERROR(IF(VLOOKUP($A250,'Annex 2 EHV charges'!$D:$O,11,FALSE)=0,"",VLOOKUP($A250,'Annex 2 EHV charges'!$D:$O,11,FALSE)),"")</f>
        <v/>
      </c>
      <c r="G250" s="84" t="str">
        <f>IFERROR(IF(VLOOKUP($A250,'Annex 2 EHV charges'!$D:$O,12,FALSE)=0,"",VLOOKUP($A250,'Annex 2 EHV charges'!$D:$O,12,FALSE)),"")</f>
        <v/>
      </c>
      <c r="H250" s="84" t="str">
        <f>IFERROR(IF(VLOOKUP($A250,'Annex 2 EHV charges'!$D:$P,13,FALSE)=0,"",VLOOKUP($A250,'Annex 2 EHV charges'!$D:$P,13,FALSE)),"")</f>
        <v/>
      </c>
    </row>
    <row r="251" spans="1:8" x14ac:dyDescent="0.2">
      <c r="A251" s="81" t="str">
        <f t="array" ref="A251">IFERROR(INDEX('Annex 2 EHV charges'!$D$10:$D$108, MATCH(0, IF(ISBLANK('Annex 2 EHV charges'!$D$10:$D$108),1, COUNTIF(A$4:$A250, 'Annex 2 EHV charges'!$D$10:$D$108)), 0)),"")</f>
        <v/>
      </c>
      <c r="B251" s="80" t="str">
        <f>IF($A251="","",VLOOKUP($A251,'Annex 2 EHV charges'!$D:$O,2,0))</f>
        <v/>
      </c>
      <c r="C251" s="81" t="str">
        <f>IF($A251="","",VLOOKUP($A251,'Annex 2 EHV charges'!$D:$O,3,0))</f>
        <v/>
      </c>
      <c r="D251" s="80" t="str">
        <f>IF($A251="","",VLOOKUP($A251,'Annex 2 EHV charges'!$D:$O,4,0))</f>
        <v/>
      </c>
      <c r="E251" s="82" t="str">
        <f>IFERROR(IF(VLOOKUP($A251,'Annex 2 EHV charges'!$D:$O,10,FALSE)=0,"",VLOOKUP($A251,'Annex 2 EHV charges'!$D:$O,10,FALSE)),"")</f>
        <v/>
      </c>
      <c r="F251" s="83" t="str">
        <f>IFERROR(IF(VLOOKUP($A251,'Annex 2 EHV charges'!$D:$O,11,FALSE)=0,"",VLOOKUP($A251,'Annex 2 EHV charges'!$D:$O,11,FALSE)),"")</f>
        <v/>
      </c>
      <c r="G251" s="84" t="str">
        <f>IFERROR(IF(VLOOKUP($A251,'Annex 2 EHV charges'!$D:$O,12,FALSE)=0,"",VLOOKUP($A251,'Annex 2 EHV charges'!$D:$O,12,FALSE)),"")</f>
        <v/>
      </c>
      <c r="H251" s="84" t="str">
        <f>IFERROR(IF(VLOOKUP($A251,'Annex 2 EHV charges'!$D:$P,13,FALSE)=0,"",VLOOKUP($A251,'Annex 2 EHV charges'!$D:$P,13,FALSE)),"")</f>
        <v/>
      </c>
    </row>
    <row r="252" spans="1:8" x14ac:dyDescent="0.2">
      <c r="A252" s="81" t="str">
        <f t="array" ref="A252">IFERROR(INDEX('Annex 2 EHV charges'!$D$10:$D$108, MATCH(0, IF(ISBLANK('Annex 2 EHV charges'!$D$10:$D$108),1, COUNTIF(A$4:$A251, 'Annex 2 EHV charges'!$D$10:$D$108)), 0)),"")</f>
        <v/>
      </c>
      <c r="B252" s="80" t="str">
        <f>IF($A252="","",VLOOKUP($A252,'Annex 2 EHV charges'!$D:$O,2,0))</f>
        <v/>
      </c>
      <c r="C252" s="81" t="str">
        <f>IF($A252="","",VLOOKUP($A252,'Annex 2 EHV charges'!$D:$O,3,0))</f>
        <v/>
      </c>
      <c r="D252" s="80" t="str">
        <f>IF($A252="","",VLOOKUP($A252,'Annex 2 EHV charges'!$D:$O,4,0))</f>
        <v/>
      </c>
      <c r="E252" s="82" t="str">
        <f>IFERROR(IF(VLOOKUP($A252,'Annex 2 EHV charges'!$D:$O,10,FALSE)=0,"",VLOOKUP($A252,'Annex 2 EHV charges'!$D:$O,10,FALSE)),"")</f>
        <v/>
      </c>
      <c r="F252" s="83" t="str">
        <f>IFERROR(IF(VLOOKUP($A252,'Annex 2 EHV charges'!$D:$O,11,FALSE)=0,"",VLOOKUP($A252,'Annex 2 EHV charges'!$D:$O,11,FALSE)),"")</f>
        <v/>
      </c>
      <c r="G252" s="84" t="str">
        <f>IFERROR(IF(VLOOKUP($A252,'Annex 2 EHV charges'!$D:$O,12,FALSE)=0,"",VLOOKUP($A252,'Annex 2 EHV charges'!$D:$O,12,FALSE)),"")</f>
        <v/>
      </c>
      <c r="H252" s="84" t="str">
        <f>IFERROR(IF(VLOOKUP($A252,'Annex 2 EHV charges'!$D:$P,13,FALSE)=0,"",VLOOKUP($A252,'Annex 2 EHV charges'!$D:$P,13,FALSE)),"")</f>
        <v/>
      </c>
    </row>
    <row r="253" spans="1:8" x14ac:dyDescent="0.2">
      <c r="A253" s="81" t="str">
        <f t="array" ref="A253">IFERROR(INDEX('Annex 2 EHV charges'!$D$10:$D$108, MATCH(0, IF(ISBLANK('Annex 2 EHV charges'!$D$10:$D$108),1, COUNTIF(A$4:$A252, 'Annex 2 EHV charges'!$D$10:$D$108)), 0)),"")</f>
        <v/>
      </c>
      <c r="B253" s="80" t="str">
        <f>IF($A253="","",VLOOKUP($A253,'Annex 2 EHV charges'!$D:$O,2,0))</f>
        <v/>
      </c>
      <c r="C253" s="81" t="str">
        <f>IF($A253="","",VLOOKUP($A253,'Annex 2 EHV charges'!$D:$O,3,0))</f>
        <v/>
      </c>
      <c r="D253" s="80" t="str">
        <f>IF($A253="","",VLOOKUP($A253,'Annex 2 EHV charges'!$D:$O,4,0))</f>
        <v/>
      </c>
      <c r="E253" s="82" t="str">
        <f>IFERROR(IF(VLOOKUP($A253,'Annex 2 EHV charges'!$D:$O,10,FALSE)=0,"",VLOOKUP($A253,'Annex 2 EHV charges'!$D:$O,10,FALSE)),"")</f>
        <v/>
      </c>
      <c r="F253" s="83" t="str">
        <f>IFERROR(IF(VLOOKUP($A253,'Annex 2 EHV charges'!$D:$O,11,FALSE)=0,"",VLOOKUP($A253,'Annex 2 EHV charges'!$D:$O,11,FALSE)),"")</f>
        <v/>
      </c>
      <c r="G253" s="84" t="str">
        <f>IFERROR(IF(VLOOKUP($A253,'Annex 2 EHV charges'!$D:$O,12,FALSE)=0,"",VLOOKUP($A253,'Annex 2 EHV charges'!$D:$O,12,FALSE)),"")</f>
        <v/>
      </c>
      <c r="H253" s="84" t="str">
        <f>IFERROR(IF(VLOOKUP($A253,'Annex 2 EHV charges'!$D:$P,13,FALSE)=0,"",VLOOKUP($A253,'Annex 2 EHV charges'!$D:$P,13,FALSE)),"")</f>
        <v/>
      </c>
    </row>
    <row r="254" spans="1:8" x14ac:dyDescent="0.2">
      <c r="A254" s="81" t="str">
        <f t="array" ref="A254">IFERROR(INDEX('Annex 2 EHV charges'!$D$10:$D$108, MATCH(0, IF(ISBLANK('Annex 2 EHV charges'!$D$10:$D$108),1, COUNTIF(A$4:$A253, 'Annex 2 EHV charges'!$D$10:$D$108)), 0)),"")</f>
        <v/>
      </c>
      <c r="B254" s="80" t="str">
        <f>IF($A254="","",VLOOKUP($A254,'Annex 2 EHV charges'!$D:$O,2,0))</f>
        <v/>
      </c>
      <c r="C254" s="81" t="str">
        <f>IF($A254="","",VLOOKUP($A254,'Annex 2 EHV charges'!$D:$O,3,0))</f>
        <v/>
      </c>
      <c r="D254" s="80" t="str">
        <f>IF($A254="","",VLOOKUP($A254,'Annex 2 EHV charges'!$D:$O,4,0))</f>
        <v/>
      </c>
      <c r="E254" s="82" t="str">
        <f>IFERROR(IF(VLOOKUP($A254,'Annex 2 EHV charges'!$D:$O,10,FALSE)=0,"",VLOOKUP($A254,'Annex 2 EHV charges'!$D:$O,10,FALSE)),"")</f>
        <v/>
      </c>
      <c r="F254" s="83" t="str">
        <f>IFERROR(IF(VLOOKUP($A254,'Annex 2 EHV charges'!$D:$O,11,FALSE)=0,"",VLOOKUP($A254,'Annex 2 EHV charges'!$D:$O,11,FALSE)),"")</f>
        <v/>
      </c>
      <c r="G254" s="84" t="str">
        <f>IFERROR(IF(VLOOKUP($A254,'Annex 2 EHV charges'!$D:$O,12,FALSE)=0,"",VLOOKUP($A254,'Annex 2 EHV charges'!$D:$O,12,FALSE)),"")</f>
        <v/>
      </c>
      <c r="H254" s="84"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19</v>
      </c>
      <c r="B1" s="3"/>
      <c r="D1" s="3"/>
      <c r="E1" s="3"/>
      <c r="F1" s="3"/>
      <c r="G1" s="10"/>
      <c r="H1" s="4"/>
      <c r="I1" s="4"/>
    </row>
    <row r="2" spans="1:12" s="2" customFormat="1" ht="27" customHeight="1" x14ac:dyDescent="0.2">
      <c r="A2" s="232" t="str">
        <f>Overview!B4&amp; " - Effective from "&amp;Overview!D4&amp;" - "&amp;Overview!E4&amp;" LV and HV tariffs"</f>
        <v>South Eastern Power Networks - Effective from 1 April 2024 - Final LV and HV tariffs</v>
      </c>
      <c r="B2" s="232"/>
      <c r="C2" s="232"/>
      <c r="D2" s="232"/>
      <c r="E2" s="232"/>
      <c r="F2" s="232"/>
      <c r="G2" s="232"/>
      <c r="H2" s="232"/>
      <c r="I2" s="232"/>
      <c r="J2" s="232"/>
      <c r="K2" s="4"/>
      <c r="L2" s="4"/>
    </row>
    <row r="3" spans="1:12" s="2" customFormat="1" ht="27" customHeight="1" x14ac:dyDescent="0.2">
      <c r="A3" s="269" t="s">
        <v>155</v>
      </c>
      <c r="B3" s="269"/>
      <c r="C3" s="269"/>
      <c r="D3" s="269"/>
      <c r="E3" s="269"/>
      <c r="F3" s="269"/>
      <c r="G3" s="269"/>
      <c r="H3" s="269"/>
      <c r="I3" s="269"/>
      <c r="J3" s="269"/>
      <c r="K3" s="4"/>
      <c r="L3" s="4"/>
    </row>
    <row r="4" spans="1:12" s="2" customFormat="1" ht="71.25" customHeight="1" x14ac:dyDescent="0.2">
      <c r="A4" s="15"/>
      <c r="B4" s="26" t="s">
        <v>0</v>
      </c>
      <c r="C4" s="14" t="s">
        <v>24</v>
      </c>
      <c r="D4" s="46" t="s">
        <v>156</v>
      </c>
      <c r="E4" s="46" t="s">
        <v>158</v>
      </c>
      <c r="F4" s="46" t="s">
        <v>157</v>
      </c>
      <c r="G4" s="14" t="s">
        <v>25</v>
      </c>
      <c r="H4" s="14"/>
      <c r="I4" s="14"/>
      <c r="J4" s="14"/>
      <c r="K4" s="4"/>
      <c r="L4" s="4"/>
    </row>
    <row r="5" spans="1:12" s="2" customFormat="1" ht="32.25" customHeight="1" x14ac:dyDescent="0.2">
      <c r="A5" s="16"/>
      <c r="B5" s="25"/>
      <c r="C5" s="17"/>
      <c r="D5" s="18"/>
      <c r="E5" s="18"/>
      <c r="F5" s="18"/>
      <c r="G5" s="19"/>
      <c r="H5" s="24"/>
      <c r="I5" s="24"/>
      <c r="J5" s="24"/>
      <c r="K5" s="4"/>
      <c r="L5" s="4"/>
    </row>
    <row r="6" spans="1:12" ht="12.75" customHeight="1" x14ac:dyDescent="0.2">
      <c r="A6" s="270" t="s">
        <v>2</v>
      </c>
      <c r="B6" s="257" t="s">
        <v>617</v>
      </c>
      <c r="C6" s="258"/>
      <c r="D6" s="258"/>
      <c r="E6" s="258"/>
      <c r="F6" s="258"/>
      <c r="G6" s="258"/>
      <c r="H6" s="258"/>
      <c r="I6" s="258"/>
      <c r="J6" s="259"/>
    </row>
    <row r="7" spans="1:12" x14ac:dyDescent="0.2">
      <c r="A7" s="270"/>
      <c r="B7" s="260"/>
      <c r="C7" s="261"/>
      <c r="D7" s="261"/>
      <c r="E7" s="261"/>
      <c r="F7" s="261"/>
      <c r="G7" s="261"/>
      <c r="H7" s="261"/>
      <c r="I7" s="261"/>
      <c r="J7" s="262"/>
    </row>
    <row r="8" spans="1:12" x14ac:dyDescent="0.2">
      <c r="A8" s="270"/>
      <c r="B8" s="263"/>
      <c r="C8" s="264"/>
      <c r="D8" s="264"/>
      <c r="E8" s="264"/>
      <c r="F8" s="264"/>
      <c r="G8" s="264"/>
      <c r="H8" s="264"/>
      <c r="I8" s="264"/>
      <c r="J8" s="265"/>
    </row>
    <row r="9" spans="1:12" x14ac:dyDescent="0.2">
      <c r="A9" s="41"/>
      <c r="B9" s="41"/>
      <c r="C9" s="41"/>
      <c r="D9" s="41"/>
      <c r="E9" s="41"/>
      <c r="F9" s="41"/>
      <c r="G9" s="41"/>
      <c r="H9" s="41"/>
      <c r="I9" s="41"/>
      <c r="J9" s="41"/>
    </row>
    <row r="10" spans="1:12" x14ac:dyDescent="0.2">
      <c r="A10" s="41"/>
      <c r="B10" s="41"/>
      <c r="C10" s="41"/>
      <c r="D10" s="41"/>
      <c r="E10" s="41"/>
      <c r="F10" s="41"/>
      <c r="G10" s="41"/>
      <c r="H10" s="41"/>
      <c r="I10" s="41"/>
      <c r="J10" s="41"/>
    </row>
    <row r="11" spans="1:12" s="2" customFormat="1" ht="27" customHeight="1" x14ac:dyDescent="0.2">
      <c r="A11" s="269" t="s">
        <v>152</v>
      </c>
      <c r="B11" s="269"/>
      <c r="C11" s="269"/>
      <c r="D11" s="269"/>
      <c r="E11" s="269"/>
      <c r="F11" s="269"/>
      <c r="G11" s="269"/>
      <c r="H11" s="269"/>
      <c r="I11" s="269"/>
      <c r="J11" s="269"/>
      <c r="K11" s="4"/>
      <c r="L11" s="4"/>
    </row>
    <row r="12" spans="1:12" s="2" customFormat="1" ht="58.5" customHeight="1" x14ac:dyDescent="0.2">
      <c r="A12" s="15"/>
      <c r="B12" s="26" t="s">
        <v>0</v>
      </c>
      <c r="C12" s="14" t="s">
        <v>24</v>
      </c>
      <c r="D12" s="46" t="s">
        <v>156</v>
      </c>
      <c r="E12" s="46" t="s">
        <v>158</v>
      </c>
      <c r="F12" s="46" t="s">
        <v>157</v>
      </c>
      <c r="G12" s="14" t="s">
        <v>25</v>
      </c>
      <c r="H12" s="14" t="s">
        <v>26</v>
      </c>
      <c r="I12" s="26" t="s">
        <v>129</v>
      </c>
      <c r="J12" s="14" t="s">
        <v>32</v>
      </c>
      <c r="K12" s="4"/>
      <c r="L12" s="4"/>
    </row>
    <row r="13" spans="1:12" s="2" customFormat="1" ht="32.25" customHeight="1" x14ac:dyDescent="0.2">
      <c r="A13" s="16"/>
      <c r="B13" s="25"/>
      <c r="C13" s="17"/>
      <c r="D13" s="18"/>
      <c r="E13" s="18"/>
      <c r="F13" s="18"/>
      <c r="G13" s="19"/>
      <c r="H13" s="19"/>
      <c r="I13" s="19"/>
      <c r="J13" s="18"/>
      <c r="K13" s="4"/>
      <c r="L13" s="4"/>
    </row>
    <row r="14" spans="1:12" ht="12.75" customHeight="1" x14ac:dyDescent="0.2">
      <c r="A14" s="270" t="s">
        <v>2</v>
      </c>
      <c r="B14" s="257" t="s">
        <v>618</v>
      </c>
      <c r="C14" s="258"/>
      <c r="D14" s="258"/>
      <c r="E14" s="258"/>
      <c r="F14" s="258"/>
      <c r="G14" s="258"/>
      <c r="H14" s="258"/>
      <c r="I14" s="258"/>
      <c r="J14" s="266"/>
    </row>
    <row r="15" spans="1:12" ht="12.75" customHeight="1" x14ac:dyDescent="0.2">
      <c r="A15" s="270"/>
      <c r="B15" s="260"/>
      <c r="C15" s="261"/>
      <c r="D15" s="261"/>
      <c r="E15" s="261"/>
      <c r="F15" s="261"/>
      <c r="G15" s="261"/>
      <c r="H15" s="261"/>
      <c r="I15" s="261"/>
      <c r="J15" s="267"/>
    </row>
    <row r="16" spans="1:12" ht="12.75" customHeight="1" x14ac:dyDescent="0.2">
      <c r="A16" s="270"/>
      <c r="B16" s="263"/>
      <c r="C16" s="264"/>
      <c r="D16" s="264"/>
      <c r="E16" s="264"/>
      <c r="F16" s="264"/>
      <c r="G16" s="264"/>
      <c r="H16" s="264"/>
      <c r="I16" s="264"/>
      <c r="J16" s="26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19</v>
      </c>
      <c r="B1" s="271" t="s">
        <v>125</v>
      </c>
      <c r="C1" s="272"/>
      <c r="D1" s="272"/>
      <c r="F1" s="273" t="s">
        <v>128</v>
      </c>
      <c r="G1" s="274"/>
      <c r="H1" s="275"/>
      <c r="I1" s="4"/>
      <c r="J1" s="2"/>
      <c r="K1" s="2"/>
    </row>
    <row r="2" spans="1:13" ht="31.5" customHeight="1" x14ac:dyDescent="0.2">
      <c r="A2" s="276" t="str">
        <f>Overview!B4&amp; " - Effective from "&amp;Overview!D4&amp;" - "&amp;Overview!E4&amp;" LDNO tariffs"</f>
        <v>South Eastern Power Networks - Effective from 1 April 2024 - Final LDNO tariffs</v>
      </c>
      <c r="B2" s="276"/>
      <c r="C2" s="276"/>
      <c r="D2" s="276"/>
      <c r="E2" s="276"/>
      <c r="F2" s="276"/>
      <c r="G2" s="276"/>
      <c r="H2" s="276"/>
      <c r="I2" s="276"/>
      <c r="J2" s="276"/>
    </row>
    <row r="3" spans="1:13" ht="8.25" customHeight="1" x14ac:dyDescent="0.2">
      <c r="A3" s="70"/>
      <c r="B3" s="70"/>
      <c r="C3" s="70"/>
      <c r="D3" s="70"/>
      <c r="E3" s="70"/>
      <c r="F3" s="70"/>
      <c r="G3" s="70"/>
      <c r="H3" s="70"/>
      <c r="I3" s="70"/>
      <c r="J3" s="70"/>
    </row>
    <row r="4" spans="1:13" ht="27" customHeight="1" x14ac:dyDescent="0.2">
      <c r="A4" s="232" t="s">
        <v>153</v>
      </c>
      <c r="B4" s="232"/>
      <c r="C4" s="232"/>
      <c r="D4" s="232"/>
      <c r="E4" s="72"/>
      <c r="F4" s="232" t="s">
        <v>154</v>
      </c>
      <c r="G4" s="232"/>
      <c r="H4" s="232"/>
      <c r="I4" s="232"/>
      <c r="J4" s="232"/>
      <c r="L4" s="4"/>
    </row>
    <row r="5" spans="1:13" ht="32.25" customHeight="1" x14ac:dyDescent="0.2">
      <c r="A5" s="62" t="s">
        <v>12</v>
      </c>
      <c r="B5" s="65" t="s">
        <v>57</v>
      </c>
      <c r="C5" s="77" t="s">
        <v>58</v>
      </c>
      <c r="D5" s="64" t="s">
        <v>59</v>
      </c>
      <c r="E5" s="68"/>
      <c r="F5" s="236"/>
      <c r="G5" s="237"/>
      <c r="H5" s="66" t="s">
        <v>63</v>
      </c>
      <c r="I5" s="67" t="s">
        <v>64</v>
      </c>
      <c r="J5" s="64" t="s">
        <v>59</v>
      </c>
      <c r="K5" s="68"/>
      <c r="L5" s="4"/>
      <c r="M5" s="4"/>
    </row>
    <row r="6" spans="1:13" ht="56.25" customHeight="1" x14ac:dyDescent="0.2">
      <c r="A6" s="175" t="s">
        <v>60</v>
      </c>
      <c r="B6" s="169" t="s">
        <v>611</v>
      </c>
      <c r="C6" s="169" t="s">
        <v>612</v>
      </c>
      <c r="D6" s="171" t="s">
        <v>613</v>
      </c>
      <c r="E6" s="68"/>
      <c r="F6" s="240" t="s">
        <v>61</v>
      </c>
      <c r="G6" s="241"/>
      <c r="H6" s="169" t="s">
        <v>611</v>
      </c>
      <c r="I6" s="169" t="s">
        <v>612</v>
      </c>
      <c r="J6" s="171" t="s">
        <v>613</v>
      </c>
      <c r="K6" s="68"/>
      <c r="L6" s="4"/>
      <c r="M6" s="4"/>
    </row>
    <row r="7" spans="1:13" ht="56.25" customHeight="1" x14ac:dyDescent="0.2">
      <c r="A7" s="175" t="s">
        <v>15</v>
      </c>
      <c r="B7" s="170"/>
      <c r="C7" s="172"/>
      <c r="D7" s="169" t="s">
        <v>614</v>
      </c>
      <c r="E7" s="68"/>
      <c r="F7" s="240" t="s">
        <v>615</v>
      </c>
      <c r="G7" s="241"/>
      <c r="H7" s="170"/>
      <c r="I7" s="169" t="s">
        <v>616</v>
      </c>
      <c r="J7" s="171" t="s">
        <v>613</v>
      </c>
      <c r="K7" s="68"/>
      <c r="L7" s="4"/>
      <c r="M7" s="4"/>
    </row>
    <row r="8" spans="1:13" ht="55.5" customHeight="1" x14ac:dyDescent="0.2">
      <c r="A8" s="174" t="s">
        <v>13</v>
      </c>
      <c r="B8" s="228" t="s">
        <v>14</v>
      </c>
      <c r="C8" s="229"/>
      <c r="D8" s="230"/>
      <c r="E8" s="68"/>
      <c r="F8" s="240" t="s">
        <v>15</v>
      </c>
      <c r="G8" s="241"/>
      <c r="H8" s="170"/>
      <c r="I8" s="170"/>
      <c r="J8" s="169" t="s">
        <v>614</v>
      </c>
      <c r="K8" s="68"/>
      <c r="L8" s="4"/>
      <c r="M8" s="4"/>
    </row>
    <row r="9" spans="1:13" s="63" customFormat="1" ht="55.5" customHeight="1" x14ac:dyDescent="0.2">
      <c r="E9" s="71"/>
      <c r="F9" s="238" t="s">
        <v>13</v>
      </c>
      <c r="G9" s="238"/>
      <c r="H9" s="228" t="s">
        <v>14</v>
      </c>
      <c r="I9" s="229"/>
      <c r="J9" s="230"/>
      <c r="K9" s="68"/>
      <c r="L9" s="41"/>
      <c r="M9" s="41"/>
    </row>
    <row r="11" spans="1:13" ht="38.25" x14ac:dyDescent="0.2">
      <c r="A11" s="26" t="s">
        <v>127</v>
      </c>
      <c r="B11" s="26" t="s">
        <v>461</v>
      </c>
      <c r="C11" s="14" t="s">
        <v>24</v>
      </c>
      <c r="D11" s="46" t="s">
        <v>156</v>
      </c>
      <c r="E11" s="46" t="s">
        <v>158</v>
      </c>
      <c r="F11" s="46" t="s">
        <v>157</v>
      </c>
      <c r="G11" s="14" t="s">
        <v>25</v>
      </c>
      <c r="H11" s="14" t="s">
        <v>26</v>
      </c>
      <c r="I11" s="14" t="s">
        <v>129</v>
      </c>
      <c r="J11" s="14" t="s">
        <v>32</v>
      </c>
    </row>
    <row r="12" spans="1:13" ht="27.75" customHeight="1" x14ac:dyDescent="0.2">
      <c r="A12" s="151" t="s">
        <v>1890</v>
      </c>
      <c r="B12" s="25" t="s">
        <v>640</v>
      </c>
      <c r="C12" s="152" t="s">
        <v>595</v>
      </c>
      <c r="D12" s="123">
        <v>11.554</v>
      </c>
      <c r="E12" s="124">
        <v>0.433</v>
      </c>
      <c r="F12" s="125">
        <v>0.14799999999999999</v>
      </c>
      <c r="G12" s="153">
        <v>13.56</v>
      </c>
      <c r="H12" s="154"/>
      <c r="I12" s="156"/>
      <c r="J12" s="33"/>
    </row>
    <row r="13" spans="1:13" ht="27.75" customHeight="1" x14ac:dyDescent="0.2">
      <c r="A13" s="151" t="s">
        <v>1891</v>
      </c>
      <c r="B13" s="25" t="s">
        <v>641</v>
      </c>
      <c r="C13" s="152">
        <v>2</v>
      </c>
      <c r="D13" s="123">
        <v>11.554</v>
      </c>
      <c r="E13" s="124">
        <v>0.433</v>
      </c>
      <c r="F13" s="125">
        <v>0.14799999999999999</v>
      </c>
      <c r="G13" s="154"/>
      <c r="H13" s="154"/>
      <c r="I13" s="156"/>
      <c r="J13" s="33"/>
    </row>
    <row r="14" spans="1:13" ht="27.75" customHeight="1" x14ac:dyDescent="0.2">
      <c r="A14" s="151" t="s">
        <v>1892</v>
      </c>
      <c r="B14" s="25" t="s">
        <v>642</v>
      </c>
      <c r="C14" s="152" t="s">
        <v>594</v>
      </c>
      <c r="D14" s="123">
        <v>7.8620000000000001</v>
      </c>
      <c r="E14" s="124">
        <v>0.29499999999999998</v>
      </c>
      <c r="F14" s="125">
        <v>0.10100000000000001</v>
      </c>
      <c r="G14" s="153">
        <v>4.3099999999999996</v>
      </c>
      <c r="H14" s="154"/>
      <c r="I14" s="156"/>
      <c r="J14" s="33"/>
    </row>
    <row r="15" spans="1:13" ht="27.75" customHeight="1" x14ac:dyDescent="0.2">
      <c r="A15" s="151" t="s">
        <v>1893</v>
      </c>
      <c r="B15" s="25" t="s">
        <v>643</v>
      </c>
      <c r="C15" s="152" t="s">
        <v>594</v>
      </c>
      <c r="D15" s="123">
        <v>7.8620000000000001</v>
      </c>
      <c r="E15" s="124">
        <v>0.29499999999999998</v>
      </c>
      <c r="F15" s="125">
        <v>0.10100000000000001</v>
      </c>
      <c r="G15" s="153">
        <v>8.06</v>
      </c>
      <c r="H15" s="154"/>
      <c r="I15" s="156"/>
      <c r="J15" s="33"/>
    </row>
    <row r="16" spans="1:13" ht="27.75" customHeight="1" x14ac:dyDescent="0.2">
      <c r="A16" s="151" t="s">
        <v>1894</v>
      </c>
      <c r="B16" s="25" t="s">
        <v>644</v>
      </c>
      <c r="C16" s="152" t="s">
        <v>594</v>
      </c>
      <c r="D16" s="123">
        <v>7.8620000000000001</v>
      </c>
      <c r="E16" s="124">
        <v>0.29499999999999998</v>
      </c>
      <c r="F16" s="125">
        <v>0.10100000000000001</v>
      </c>
      <c r="G16" s="153">
        <v>24.84</v>
      </c>
      <c r="H16" s="154"/>
      <c r="I16" s="156"/>
      <c r="J16" s="33"/>
    </row>
    <row r="17" spans="1:10" ht="27.75" customHeight="1" x14ac:dyDescent="0.2">
      <c r="A17" s="151" t="s">
        <v>1895</v>
      </c>
      <c r="B17" s="25" t="s">
        <v>645</v>
      </c>
      <c r="C17" s="152" t="s">
        <v>594</v>
      </c>
      <c r="D17" s="123">
        <v>7.8620000000000001</v>
      </c>
      <c r="E17" s="124">
        <v>0.29499999999999998</v>
      </c>
      <c r="F17" s="125">
        <v>0.10100000000000001</v>
      </c>
      <c r="G17" s="153">
        <v>51.97</v>
      </c>
      <c r="H17" s="154"/>
      <c r="I17" s="156"/>
      <c r="J17" s="33"/>
    </row>
    <row r="18" spans="1:10" ht="27.75" customHeight="1" x14ac:dyDescent="0.2">
      <c r="A18" s="151" t="s">
        <v>1896</v>
      </c>
      <c r="B18" s="25" t="s">
        <v>646</v>
      </c>
      <c r="C18" s="152" t="s">
        <v>594</v>
      </c>
      <c r="D18" s="123">
        <v>7.8620000000000001</v>
      </c>
      <c r="E18" s="124">
        <v>0.29499999999999998</v>
      </c>
      <c r="F18" s="125">
        <v>0.10100000000000001</v>
      </c>
      <c r="G18" s="153">
        <v>152.15</v>
      </c>
      <c r="H18" s="154"/>
      <c r="I18" s="156"/>
      <c r="J18" s="33"/>
    </row>
    <row r="19" spans="1:10" ht="27.75" customHeight="1" x14ac:dyDescent="0.2">
      <c r="A19" s="151" t="s">
        <v>415</v>
      </c>
      <c r="B19" s="25" t="s">
        <v>647</v>
      </c>
      <c r="C19" s="152">
        <v>4</v>
      </c>
      <c r="D19" s="123">
        <v>7.8620000000000001</v>
      </c>
      <c r="E19" s="124">
        <v>0.29499999999999998</v>
      </c>
      <c r="F19" s="125">
        <v>0.10100000000000001</v>
      </c>
      <c r="G19" s="154"/>
      <c r="H19" s="154"/>
      <c r="I19" s="156"/>
      <c r="J19" s="33"/>
    </row>
    <row r="20" spans="1:10" ht="27.75" customHeight="1" x14ac:dyDescent="0.2">
      <c r="A20" s="151" t="s">
        <v>492</v>
      </c>
      <c r="B20" s="25" t="s">
        <v>648</v>
      </c>
      <c r="C20" s="152">
        <v>0</v>
      </c>
      <c r="D20" s="123">
        <v>6.5190000000000001</v>
      </c>
      <c r="E20" s="124">
        <v>0.23699999999999999</v>
      </c>
      <c r="F20" s="125">
        <v>7.9000000000000001E-2</v>
      </c>
      <c r="G20" s="153">
        <v>12.79</v>
      </c>
      <c r="H20" s="153">
        <v>2.87</v>
      </c>
      <c r="I20" s="157">
        <v>5.1100000000000003</v>
      </c>
      <c r="J20" s="32">
        <v>0.21199999999999999</v>
      </c>
    </row>
    <row r="21" spans="1:10" ht="27.75" customHeight="1" x14ac:dyDescent="0.2">
      <c r="A21" s="151" t="s">
        <v>493</v>
      </c>
      <c r="B21" s="25" t="s">
        <v>649</v>
      </c>
      <c r="C21" s="152">
        <v>0</v>
      </c>
      <c r="D21" s="123">
        <v>6.5190000000000001</v>
      </c>
      <c r="E21" s="124">
        <v>0.23699999999999999</v>
      </c>
      <c r="F21" s="125">
        <v>7.9000000000000001E-2</v>
      </c>
      <c r="G21" s="153">
        <v>290.94</v>
      </c>
      <c r="H21" s="153">
        <v>2.87</v>
      </c>
      <c r="I21" s="157">
        <v>5.1100000000000003</v>
      </c>
      <c r="J21" s="32">
        <v>0.21199999999999999</v>
      </c>
    </row>
    <row r="22" spans="1:10" ht="27.75" customHeight="1" x14ac:dyDescent="0.2">
      <c r="A22" s="151" t="s">
        <v>494</v>
      </c>
      <c r="B22" s="25" t="s">
        <v>650</v>
      </c>
      <c r="C22" s="152">
        <v>0</v>
      </c>
      <c r="D22" s="123">
        <v>6.5190000000000001</v>
      </c>
      <c r="E22" s="124">
        <v>0.23699999999999999</v>
      </c>
      <c r="F22" s="125">
        <v>7.9000000000000001E-2</v>
      </c>
      <c r="G22" s="153">
        <v>481.47</v>
      </c>
      <c r="H22" s="153">
        <v>2.87</v>
      </c>
      <c r="I22" s="157">
        <v>5.1100000000000003</v>
      </c>
      <c r="J22" s="32">
        <v>0.21199999999999999</v>
      </c>
    </row>
    <row r="23" spans="1:10" ht="27.75" customHeight="1" x14ac:dyDescent="0.2">
      <c r="A23" s="151" t="s">
        <v>495</v>
      </c>
      <c r="B23" s="25" t="s">
        <v>651</v>
      </c>
      <c r="C23" s="152">
        <v>0</v>
      </c>
      <c r="D23" s="123">
        <v>6.5190000000000001</v>
      </c>
      <c r="E23" s="124">
        <v>0.23699999999999999</v>
      </c>
      <c r="F23" s="125">
        <v>7.9000000000000001E-2</v>
      </c>
      <c r="G23" s="153">
        <v>778.14</v>
      </c>
      <c r="H23" s="153">
        <v>2.87</v>
      </c>
      <c r="I23" s="157">
        <v>5.1100000000000003</v>
      </c>
      <c r="J23" s="32">
        <v>0.21199999999999999</v>
      </c>
    </row>
    <row r="24" spans="1:10" ht="27.75" customHeight="1" x14ac:dyDescent="0.2">
      <c r="A24" s="151" t="s">
        <v>496</v>
      </c>
      <c r="B24" s="25" t="s">
        <v>652</v>
      </c>
      <c r="C24" s="152">
        <v>0</v>
      </c>
      <c r="D24" s="123">
        <v>6.5190000000000001</v>
      </c>
      <c r="E24" s="124">
        <v>0.23699999999999999</v>
      </c>
      <c r="F24" s="125">
        <v>7.9000000000000001E-2</v>
      </c>
      <c r="G24" s="153">
        <v>1716.15</v>
      </c>
      <c r="H24" s="153">
        <v>2.87</v>
      </c>
      <c r="I24" s="157">
        <v>5.1100000000000003</v>
      </c>
      <c r="J24" s="32">
        <v>0.21199999999999999</v>
      </c>
    </row>
    <row r="25" spans="1:10" ht="27.75" customHeight="1" x14ac:dyDescent="0.2">
      <c r="A25" s="151" t="s">
        <v>416</v>
      </c>
      <c r="B25" s="25" t="s">
        <v>653</v>
      </c>
      <c r="C25" s="158" t="s">
        <v>413</v>
      </c>
      <c r="D25" s="126">
        <v>30.457999999999998</v>
      </c>
      <c r="E25" s="127">
        <v>2.1379999999999999</v>
      </c>
      <c r="F25" s="125">
        <v>1.929</v>
      </c>
      <c r="G25" s="154"/>
      <c r="H25" s="154"/>
      <c r="I25" s="156"/>
      <c r="J25" s="33"/>
    </row>
    <row r="26" spans="1:10" ht="27.75" customHeight="1" x14ac:dyDescent="0.2">
      <c r="A26" s="151" t="s">
        <v>417</v>
      </c>
      <c r="B26" s="25" t="s">
        <v>654</v>
      </c>
      <c r="C26" s="158">
        <v>0</v>
      </c>
      <c r="D26" s="123">
        <v>-10.397</v>
      </c>
      <c r="E26" s="124">
        <v>-0.39</v>
      </c>
      <c r="F26" s="125">
        <v>-0.13300000000000001</v>
      </c>
      <c r="G26" s="153">
        <v>0</v>
      </c>
      <c r="H26" s="154"/>
      <c r="I26" s="156"/>
      <c r="J26" s="33"/>
    </row>
    <row r="27" spans="1:10" ht="27.75" customHeight="1" x14ac:dyDescent="0.2">
      <c r="A27" s="151" t="s">
        <v>418</v>
      </c>
      <c r="B27" s="25" t="s">
        <v>655</v>
      </c>
      <c r="C27" s="158">
        <v>0</v>
      </c>
      <c r="D27" s="123">
        <v>-10.397</v>
      </c>
      <c r="E27" s="124">
        <v>-0.39</v>
      </c>
      <c r="F27" s="125">
        <v>-0.13300000000000001</v>
      </c>
      <c r="G27" s="153">
        <v>0</v>
      </c>
      <c r="H27" s="154"/>
      <c r="I27" s="156"/>
      <c r="J27" s="32">
        <v>0.311</v>
      </c>
    </row>
    <row r="28" spans="1:10" ht="27.75" customHeight="1" x14ac:dyDescent="0.2">
      <c r="A28" s="155" t="s">
        <v>1897</v>
      </c>
      <c r="B28" s="25" t="s">
        <v>656</v>
      </c>
      <c r="C28" s="158" t="s">
        <v>595</v>
      </c>
      <c r="D28" s="123">
        <v>8.9109999999999996</v>
      </c>
      <c r="E28" s="124">
        <v>0.33400000000000002</v>
      </c>
      <c r="F28" s="125">
        <v>0.114</v>
      </c>
      <c r="G28" s="153">
        <v>10.68</v>
      </c>
      <c r="H28" s="154"/>
      <c r="I28" s="156"/>
      <c r="J28" s="33"/>
    </row>
    <row r="29" spans="1:10" ht="27.75" customHeight="1" x14ac:dyDescent="0.2">
      <c r="A29" s="155" t="s">
        <v>497</v>
      </c>
      <c r="B29" s="25" t="s">
        <v>657</v>
      </c>
      <c r="C29" s="158">
        <v>2</v>
      </c>
      <c r="D29" s="123">
        <v>8.9109999999999996</v>
      </c>
      <c r="E29" s="124">
        <v>0.33400000000000002</v>
      </c>
      <c r="F29" s="125">
        <v>0.114</v>
      </c>
      <c r="G29" s="154"/>
      <c r="H29" s="154"/>
      <c r="I29" s="156"/>
      <c r="J29" s="33"/>
    </row>
    <row r="30" spans="1:10" ht="27.75" customHeight="1" x14ac:dyDescent="0.2">
      <c r="A30" s="155" t="s">
        <v>1898</v>
      </c>
      <c r="B30" s="25" t="s">
        <v>658</v>
      </c>
      <c r="C30" s="158" t="s">
        <v>594</v>
      </c>
      <c r="D30" s="123">
        <v>6.0629999999999997</v>
      </c>
      <c r="E30" s="124">
        <v>0.22700000000000001</v>
      </c>
      <c r="F30" s="125">
        <v>7.8E-2</v>
      </c>
      <c r="G30" s="153">
        <v>3.51</v>
      </c>
      <c r="H30" s="154"/>
      <c r="I30" s="156"/>
      <c r="J30" s="33"/>
    </row>
    <row r="31" spans="1:10" ht="27.75" customHeight="1" x14ac:dyDescent="0.2">
      <c r="A31" s="155" t="s">
        <v>1899</v>
      </c>
      <c r="B31" s="25" t="s">
        <v>659</v>
      </c>
      <c r="C31" s="158" t="s">
        <v>594</v>
      </c>
      <c r="D31" s="123">
        <v>6.0629999999999997</v>
      </c>
      <c r="E31" s="124">
        <v>0.22700000000000001</v>
      </c>
      <c r="F31" s="125">
        <v>7.8E-2</v>
      </c>
      <c r="G31" s="153">
        <v>6.4</v>
      </c>
      <c r="H31" s="154"/>
      <c r="I31" s="156"/>
      <c r="J31" s="33"/>
    </row>
    <row r="32" spans="1:10" ht="27.75" customHeight="1" x14ac:dyDescent="0.2">
      <c r="A32" s="155" t="s">
        <v>1900</v>
      </c>
      <c r="B32" s="25" t="s">
        <v>660</v>
      </c>
      <c r="C32" s="158" t="s">
        <v>594</v>
      </c>
      <c r="D32" s="123">
        <v>6.0629999999999997</v>
      </c>
      <c r="E32" s="124">
        <v>0.22700000000000001</v>
      </c>
      <c r="F32" s="125">
        <v>7.8E-2</v>
      </c>
      <c r="G32" s="153">
        <v>19.34</v>
      </c>
      <c r="H32" s="154"/>
      <c r="I32" s="156"/>
      <c r="J32" s="33"/>
    </row>
    <row r="33" spans="1:10" ht="27.75" customHeight="1" x14ac:dyDescent="0.2">
      <c r="A33" s="155" t="s">
        <v>1901</v>
      </c>
      <c r="B33" s="25" t="s">
        <v>661</v>
      </c>
      <c r="C33" s="158" t="s">
        <v>594</v>
      </c>
      <c r="D33" s="123">
        <v>6.0629999999999997</v>
      </c>
      <c r="E33" s="124">
        <v>0.22700000000000001</v>
      </c>
      <c r="F33" s="125">
        <v>7.8E-2</v>
      </c>
      <c r="G33" s="153">
        <v>40.270000000000003</v>
      </c>
      <c r="H33" s="154"/>
      <c r="I33" s="156"/>
      <c r="J33" s="33"/>
    </row>
    <row r="34" spans="1:10" ht="27.75" customHeight="1" x14ac:dyDescent="0.2">
      <c r="A34" s="155" t="s">
        <v>1902</v>
      </c>
      <c r="B34" s="25" t="s">
        <v>662</v>
      </c>
      <c r="C34" s="158" t="s">
        <v>594</v>
      </c>
      <c r="D34" s="123">
        <v>6.0629999999999997</v>
      </c>
      <c r="E34" s="124">
        <v>0.22700000000000001</v>
      </c>
      <c r="F34" s="125">
        <v>7.8E-2</v>
      </c>
      <c r="G34" s="153">
        <v>117.53</v>
      </c>
      <c r="H34" s="154"/>
      <c r="I34" s="156"/>
      <c r="J34" s="33"/>
    </row>
    <row r="35" spans="1:10" ht="27.75" customHeight="1" x14ac:dyDescent="0.2">
      <c r="A35" s="155" t="s">
        <v>419</v>
      </c>
      <c r="B35" s="25" t="s">
        <v>663</v>
      </c>
      <c r="C35" s="158">
        <v>4</v>
      </c>
      <c r="D35" s="123">
        <v>6.0629999999999997</v>
      </c>
      <c r="E35" s="124">
        <v>0.22700000000000001</v>
      </c>
      <c r="F35" s="125">
        <v>7.8E-2</v>
      </c>
      <c r="G35" s="154"/>
      <c r="H35" s="154"/>
      <c r="I35" s="156"/>
      <c r="J35" s="33"/>
    </row>
    <row r="36" spans="1:10" ht="27.75" customHeight="1" x14ac:dyDescent="0.2">
      <c r="A36" s="155" t="s">
        <v>498</v>
      </c>
      <c r="B36" s="25" t="s">
        <v>664</v>
      </c>
      <c r="C36" s="158">
        <v>0</v>
      </c>
      <c r="D36" s="123">
        <v>5.0270000000000001</v>
      </c>
      <c r="E36" s="124">
        <v>0.183</v>
      </c>
      <c r="F36" s="125">
        <v>6.0999999999999999E-2</v>
      </c>
      <c r="G36" s="153">
        <v>10.050000000000001</v>
      </c>
      <c r="H36" s="153">
        <v>2.21</v>
      </c>
      <c r="I36" s="157">
        <v>3.94</v>
      </c>
      <c r="J36" s="32">
        <v>0.16300000000000001</v>
      </c>
    </row>
    <row r="37" spans="1:10" ht="27.75" customHeight="1" x14ac:dyDescent="0.2">
      <c r="A37" s="155" t="s">
        <v>499</v>
      </c>
      <c r="B37" s="25" t="s">
        <v>665</v>
      </c>
      <c r="C37" s="158">
        <v>0</v>
      </c>
      <c r="D37" s="123">
        <v>5.0270000000000001</v>
      </c>
      <c r="E37" s="124">
        <v>0.183</v>
      </c>
      <c r="F37" s="125">
        <v>6.0999999999999999E-2</v>
      </c>
      <c r="G37" s="153">
        <v>224.58</v>
      </c>
      <c r="H37" s="153">
        <v>2.21</v>
      </c>
      <c r="I37" s="157">
        <v>3.94</v>
      </c>
      <c r="J37" s="32">
        <v>0.16300000000000001</v>
      </c>
    </row>
    <row r="38" spans="1:10" ht="27.75" customHeight="1" x14ac:dyDescent="0.2">
      <c r="A38" s="155" t="s">
        <v>500</v>
      </c>
      <c r="B38" s="25" t="s">
        <v>666</v>
      </c>
      <c r="C38" s="158">
        <v>0</v>
      </c>
      <c r="D38" s="123">
        <v>5.0270000000000001</v>
      </c>
      <c r="E38" s="124">
        <v>0.183</v>
      </c>
      <c r="F38" s="125">
        <v>6.0999999999999999E-2</v>
      </c>
      <c r="G38" s="153">
        <v>371.52</v>
      </c>
      <c r="H38" s="153">
        <v>2.21</v>
      </c>
      <c r="I38" s="157">
        <v>3.94</v>
      </c>
      <c r="J38" s="32">
        <v>0.16300000000000001</v>
      </c>
    </row>
    <row r="39" spans="1:10" ht="27.75" customHeight="1" x14ac:dyDescent="0.2">
      <c r="A39" s="155" t="s">
        <v>501</v>
      </c>
      <c r="B39" s="25" t="s">
        <v>667</v>
      </c>
      <c r="C39" s="158">
        <v>0</v>
      </c>
      <c r="D39" s="123">
        <v>5.0270000000000001</v>
      </c>
      <c r="E39" s="124">
        <v>0.183</v>
      </c>
      <c r="F39" s="125">
        <v>6.0999999999999999E-2</v>
      </c>
      <c r="G39" s="153">
        <v>600.33000000000004</v>
      </c>
      <c r="H39" s="153">
        <v>2.21</v>
      </c>
      <c r="I39" s="157">
        <v>3.94</v>
      </c>
      <c r="J39" s="32">
        <v>0.16300000000000001</v>
      </c>
    </row>
    <row r="40" spans="1:10" ht="27.75" customHeight="1" x14ac:dyDescent="0.2">
      <c r="A40" s="155" t="s">
        <v>502</v>
      </c>
      <c r="B40" s="25" t="s">
        <v>668</v>
      </c>
      <c r="C40" s="158">
        <v>0</v>
      </c>
      <c r="D40" s="123">
        <v>5.0270000000000001</v>
      </c>
      <c r="E40" s="124">
        <v>0.183</v>
      </c>
      <c r="F40" s="125">
        <v>6.0999999999999999E-2</v>
      </c>
      <c r="G40" s="153">
        <v>1323.77</v>
      </c>
      <c r="H40" s="153">
        <v>2.21</v>
      </c>
      <c r="I40" s="157">
        <v>3.94</v>
      </c>
      <c r="J40" s="32">
        <v>0.16300000000000001</v>
      </c>
    </row>
    <row r="41" spans="1:10" ht="27.75" customHeight="1" x14ac:dyDescent="0.2">
      <c r="A41" s="155" t="s">
        <v>503</v>
      </c>
      <c r="B41" s="25" t="s">
        <v>669</v>
      </c>
      <c r="C41" s="158">
        <v>0</v>
      </c>
      <c r="D41" s="123">
        <v>4.9729999999999999</v>
      </c>
      <c r="E41" s="124">
        <v>0.16900000000000001</v>
      </c>
      <c r="F41" s="125">
        <v>5.3999999999999999E-2</v>
      </c>
      <c r="G41" s="153">
        <v>12.71</v>
      </c>
      <c r="H41" s="153">
        <v>4.95</v>
      </c>
      <c r="I41" s="157">
        <v>6.29</v>
      </c>
      <c r="J41" s="32">
        <v>0.157</v>
      </c>
    </row>
    <row r="42" spans="1:10" ht="27.75" customHeight="1" x14ac:dyDescent="0.2">
      <c r="A42" s="155" t="s">
        <v>504</v>
      </c>
      <c r="B42" s="25" t="s">
        <v>670</v>
      </c>
      <c r="C42" s="158">
        <v>0</v>
      </c>
      <c r="D42" s="123">
        <v>4.9729999999999999</v>
      </c>
      <c r="E42" s="124">
        <v>0.16900000000000001</v>
      </c>
      <c r="F42" s="125">
        <v>5.3999999999999999E-2</v>
      </c>
      <c r="G42" s="153">
        <v>342.29</v>
      </c>
      <c r="H42" s="153">
        <v>4.95</v>
      </c>
      <c r="I42" s="157">
        <v>6.29</v>
      </c>
      <c r="J42" s="32">
        <v>0.157</v>
      </c>
    </row>
    <row r="43" spans="1:10" ht="27.75" customHeight="1" x14ac:dyDescent="0.2">
      <c r="A43" s="155" t="s">
        <v>505</v>
      </c>
      <c r="B43" s="25" t="s">
        <v>671</v>
      </c>
      <c r="C43" s="158">
        <v>0</v>
      </c>
      <c r="D43" s="123">
        <v>4.9729999999999999</v>
      </c>
      <c r="E43" s="124">
        <v>0.16900000000000001</v>
      </c>
      <c r="F43" s="125">
        <v>5.3999999999999999E-2</v>
      </c>
      <c r="G43" s="153">
        <v>568.03</v>
      </c>
      <c r="H43" s="153">
        <v>4.95</v>
      </c>
      <c r="I43" s="157">
        <v>6.29</v>
      </c>
      <c r="J43" s="32">
        <v>0.157</v>
      </c>
    </row>
    <row r="44" spans="1:10" ht="27.75" customHeight="1" x14ac:dyDescent="0.2">
      <c r="A44" s="155" t="s">
        <v>506</v>
      </c>
      <c r="B44" s="25" t="s">
        <v>672</v>
      </c>
      <c r="C44" s="158">
        <v>0</v>
      </c>
      <c r="D44" s="123">
        <v>4.9729999999999999</v>
      </c>
      <c r="E44" s="124">
        <v>0.16900000000000001</v>
      </c>
      <c r="F44" s="125">
        <v>5.3999999999999999E-2</v>
      </c>
      <c r="G44" s="153">
        <v>919.56</v>
      </c>
      <c r="H44" s="153">
        <v>4.95</v>
      </c>
      <c r="I44" s="157">
        <v>6.29</v>
      </c>
      <c r="J44" s="32">
        <v>0.157</v>
      </c>
    </row>
    <row r="45" spans="1:10" ht="27.75" customHeight="1" x14ac:dyDescent="0.2">
      <c r="A45" s="155" t="s">
        <v>507</v>
      </c>
      <c r="B45" s="25" t="s">
        <v>673</v>
      </c>
      <c r="C45" s="158">
        <v>0</v>
      </c>
      <c r="D45" s="123">
        <v>4.9729999999999999</v>
      </c>
      <c r="E45" s="124">
        <v>0.16900000000000001</v>
      </c>
      <c r="F45" s="125">
        <v>5.3999999999999999E-2</v>
      </c>
      <c r="G45" s="153">
        <v>2030.97</v>
      </c>
      <c r="H45" s="153">
        <v>4.95</v>
      </c>
      <c r="I45" s="157">
        <v>6.29</v>
      </c>
      <c r="J45" s="32">
        <v>0.157</v>
      </c>
    </row>
    <row r="46" spans="1:10" ht="27.75" customHeight="1" x14ac:dyDescent="0.2">
      <c r="A46" s="155" t="s">
        <v>508</v>
      </c>
      <c r="B46" s="25" t="s">
        <v>674</v>
      </c>
      <c r="C46" s="158">
        <v>0</v>
      </c>
      <c r="D46" s="123">
        <v>4.87</v>
      </c>
      <c r="E46" s="124">
        <v>0.158</v>
      </c>
      <c r="F46" s="125">
        <v>4.7E-2</v>
      </c>
      <c r="G46" s="153">
        <v>158.32</v>
      </c>
      <c r="H46" s="153">
        <v>4.25</v>
      </c>
      <c r="I46" s="157">
        <v>6.29</v>
      </c>
      <c r="J46" s="32">
        <v>0.152</v>
      </c>
    </row>
    <row r="47" spans="1:10" ht="27.75" customHeight="1" x14ac:dyDescent="0.2">
      <c r="A47" s="155" t="s">
        <v>509</v>
      </c>
      <c r="B47" s="25" t="s">
        <v>675</v>
      </c>
      <c r="C47" s="158">
        <v>0</v>
      </c>
      <c r="D47" s="123">
        <v>4.87</v>
      </c>
      <c r="E47" s="124">
        <v>0.158</v>
      </c>
      <c r="F47" s="125">
        <v>4.7E-2</v>
      </c>
      <c r="G47" s="153">
        <v>1639.1</v>
      </c>
      <c r="H47" s="153">
        <v>4.25</v>
      </c>
      <c r="I47" s="157">
        <v>6.29</v>
      </c>
      <c r="J47" s="32">
        <v>0.152</v>
      </c>
    </row>
    <row r="48" spans="1:10" ht="27.75" customHeight="1" x14ac:dyDescent="0.2">
      <c r="A48" s="155" t="s">
        <v>510</v>
      </c>
      <c r="B48" s="25" t="s">
        <v>676</v>
      </c>
      <c r="C48" s="158">
        <v>0</v>
      </c>
      <c r="D48" s="123">
        <v>4.87</v>
      </c>
      <c r="E48" s="124">
        <v>0.158</v>
      </c>
      <c r="F48" s="125">
        <v>4.7E-2</v>
      </c>
      <c r="G48" s="153">
        <v>8520.08</v>
      </c>
      <c r="H48" s="153">
        <v>4.25</v>
      </c>
      <c r="I48" s="157">
        <v>6.29</v>
      </c>
      <c r="J48" s="32">
        <v>0.152</v>
      </c>
    </row>
    <row r="49" spans="1:10" ht="27.75" customHeight="1" x14ac:dyDescent="0.2">
      <c r="A49" s="155" t="s">
        <v>511</v>
      </c>
      <c r="B49" s="25" t="s">
        <v>677</v>
      </c>
      <c r="C49" s="158">
        <v>0</v>
      </c>
      <c r="D49" s="123">
        <v>4.87</v>
      </c>
      <c r="E49" s="124">
        <v>0.158</v>
      </c>
      <c r="F49" s="125">
        <v>4.7E-2</v>
      </c>
      <c r="G49" s="153">
        <v>7444.69</v>
      </c>
      <c r="H49" s="153">
        <v>4.25</v>
      </c>
      <c r="I49" s="157">
        <v>6.29</v>
      </c>
      <c r="J49" s="32">
        <v>0.152</v>
      </c>
    </row>
    <row r="50" spans="1:10" ht="27.75" customHeight="1" x14ac:dyDescent="0.2">
      <c r="A50" s="155" t="s">
        <v>512</v>
      </c>
      <c r="B50" s="25" t="s">
        <v>678</v>
      </c>
      <c r="C50" s="158">
        <v>0</v>
      </c>
      <c r="D50" s="123">
        <v>4.87</v>
      </c>
      <c r="E50" s="124">
        <v>0.158</v>
      </c>
      <c r="F50" s="125">
        <v>4.7E-2</v>
      </c>
      <c r="G50" s="153">
        <v>18950.48</v>
      </c>
      <c r="H50" s="153">
        <v>4.25</v>
      </c>
      <c r="I50" s="157">
        <v>6.29</v>
      </c>
      <c r="J50" s="32">
        <v>0.152</v>
      </c>
    </row>
    <row r="51" spans="1:10" ht="27.75" customHeight="1" x14ac:dyDescent="0.2">
      <c r="A51" s="155" t="s">
        <v>420</v>
      </c>
      <c r="B51" s="25" t="s">
        <v>679</v>
      </c>
      <c r="C51" s="158" t="s">
        <v>413</v>
      </c>
      <c r="D51" s="126">
        <v>23.491</v>
      </c>
      <c r="E51" s="127">
        <v>1.649</v>
      </c>
      <c r="F51" s="125">
        <v>1.488</v>
      </c>
      <c r="G51" s="154"/>
      <c r="H51" s="154"/>
      <c r="I51" s="156"/>
      <c r="J51" s="33"/>
    </row>
    <row r="52" spans="1:10" ht="27.75" customHeight="1" x14ac:dyDescent="0.2">
      <c r="A52" s="155" t="s">
        <v>421</v>
      </c>
      <c r="B52" s="25" t="s">
        <v>680</v>
      </c>
      <c r="C52" s="158">
        <v>0</v>
      </c>
      <c r="D52" s="123">
        <v>-10.397</v>
      </c>
      <c r="E52" s="124">
        <v>-0.39</v>
      </c>
      <c r="F52" s="125">
        <v>-0.13300000000000001</v>
      </c>
      <c r="G52" s="153">
        <v>0</v>
      </c>
      <c r="H52" s="154"/>
      <c r="I52" s="156"/>
      <c r="J52" s="33"/>
    </row>
    <row r="53" spans="1:10" ht="27.75" customHeight="1" x14ac:dyDescent="0.2">
      <c r="A53" s="155" t="s">
        <v>422</v>
      </c>
      <c r="B53" s="25" t="s">
        <v>681</v>
      </c>
      <c r="C53" s="158">
        <v>0</v>
      </c>
      <c r="D53" s="123">
        <v>-8.9789999999999992</v>
      </c>
      <c r="E53" s="124">
        <v>-0.33</v>
      </c>
      <c r="F53" s="125">
        <v>-0.111</v>
      </c>
      <c r="G53" s="153">
        <v>0</v>
      </c>
      <c r="H53" s="154"/>
      <c r="I53" s="156"/>
      <c r="J53" s="33"/>
    </row>
    <row r="54" spans="1:10" ht="27.75" customHeight="1" x14ac:dyDescent="0.2">
      <c r="A54" s="155" t="s">
        <v>423</v>
      </c>
      <c r="B54" s="25" t="s">
        <v>682</v>
      </c>
      <c r="C54" s="158">
        <v>0</v>
      </c>
      <c r="D54" s="123">
        <v>-10.397</v>
      </c>
      <c r="E54" s="124">
        <v>-0.39</v>
      </c>
      <c r="F54" s="125">
        <v>-0.13300000000000001</v>
      </c>
      <c r="G54" s="153">
        <v>0</v>
      </c>
      <c r="H54" s="154"/>
      <c r="I54" s="156"/>
      <c r="J54" s="32">
        <v>0.311</v>
      </c>
    </row>
    <row r="55" spans="1:10" ht="27.75" customHeight="1" x14ac:dyDescent="0.2">
      <c r="A55" s="155" t="s">
        <v>424</v>
      </c>
      <c r="B55" s="25" t="s">
        <v>683</v>
      </c>
      <c r="C55" s="158">
        <v>0</v>
      </c>
      <c r="D55" s="123">
        <v>-8.9789999999999992</v>
      </c>
      <c r="E55" s="124">
        <v>-0.33</v>
      </c>
      <c r="F55" s="125">
        <v>-0.111</v>
      </c>
      <c r="G55" s="153">
        <v>0</v>
      </c>
      <c r="H55" s="154"/>
      <c r="I55" s="156"/>
      <c r="J55" s="32">
        <v>0.27200000000000002</v>
      </c>
    </row>
    <row r="56" spans="1:10" ht="27.75" customHeight="1" x14ac:dyDescent="0.2">
      <c r="A56" s="155" t="s">
        <v>425</v>
      </c>
      <c r="B56" s="25" t="s">
        <v>684</v>
      </c>
      <c r="C56" s="158">
        <v>0</v>
      </c>
      <c r="D56" s="123">
        <v>-6.173</v>
      </c>
      <c r="E56" s="124">
        <v>-0.20699999999999999</v>
      </c>
      <c r="F56" s="125">
        <v>-6.5000000000000002E-2</v>
      </c>
      <c r="G56" s="153">
        <v>0</v>
      </c>
      <c r="H56" s="154"/>
      <c r="I56" s="156"/>
      <c r="J56" s="32">
        <v>0.22</v>
      </c>
    </row>
    <row r="57" spans="1:10" ht="27.75" customHeight="1" x14ac:dyDescent="0.2">
      <c r="A57" s="151" t="s">
        <v>1903</v>
      </c>
      <c r="B57" s="25" t="s">
        <v>685</v>
      </c>
      <c r="C57" s="158" t="s">
        <v>595</v>
      </c>
      <c r="D57" s="123">
        <v>6.4649999999999999</v>
      </c>
      <c r="E57" s="124">
        <v>0.24199999999999999</v>
      </c>
      <c r="F57" s="125">
        <v>8.3000000000000004E-2</v>
      </c>
      <c r="G57" s="153">
        <v>8.02</v>
      </c>
      <c r="H57" s="154"/>
      <c r="I57" s="156"/>
      <c r="J57" s="33"/>
    </row>
    <row r="58" spans="1:10" ht="27.75" customHeight="1" x14ac:dyDescent="0.2">
      <c r="A58" s="151" t="s">
        <v>1904</v>
      </c>
      <c r="B58" s="25" t="s">
        <v>686</v>
      </c>
      <c r="C58" s="158">
        <v>2</v>
      </c>
      <c r="D58" s="123">
        <v>6.4649999999999999</v>
      </c>
      <c r="E58" s="124">
        <v>0.24199999999999999</v>
      </c>
      <c r="F58" s="125">
        <v>8.3000000000000004E-2</v>
      </c>
      <c r="G58" s="154"/>
      <c r="H58" s="154"/>
      <c r="I58" s="156"/>
      <c r="J58" s="33"/>
    </row>
    <row r="59" spans="1:10" ht="27.75" customHeight="1" x14ac:dyDescent="0.2">
      <c r="A59" s="151" t="s">
        <v>1905</v>
      </c>
      <c r="B59" s="25" t="s">
        <v>687</v>
      </c>
      <c r="C59" s="158" t="s">
        <v>594</v>
      </c>
      <c r="D59" s="123">
        <v>4.399</v>
      </c>
      <c r="E59" s="124">
        <v>0.16500000000000001</v>
      </c>
      <c r="F59" s="125">
        <v>5.6000000000000001E-2</v>
      </c>
      <c r="G59" s="153">
        <v>2.77</v>
      </c>
      <c r="H59" s="154"/>
      <c r="I59" s="156"/>
      <c r="J59" s="33"/>
    </row>
    <row r="60" spans="1:10" ht="27.75" customHeight="1" x14ac:dyDescent="0.2">
      <c r="A60" s="151" t="s">
        <v>1906</v>
      </c>
      <c r="B60" s="25" t="s">
        <v>688</v>
      </c>
      <c r="C60" s="158" t="s">
        <v>594</v>
      </c>
      <c r="D60" s="123">
        <v>4.399</v>
      </c>
      <c r="E60" s="124">
        <v>0.16500000000000001</v>
      </c>
      <c r="F60" s="125">
        <v>5.6000000000000001E-2</v>
      </c>
      <c r="G60" s="153">
        <v>4.87</v>
      </c>
      <c r="H60" s="154"/>
      <c r="I60" s="156"/>
      <c r="J60" s="33"/>
    </row>
    <row r="61" spans="1:10" ht="27.75" customHeight="1" x14ac:dyDescent="0.2">
      <c r="A61" s="151" t="s">
        <v>1907</v>
      </c>
      <c r="B61" s="25" t="s">
        <v>689</v>
      </c>
      <c r="C61" s="158" t="s">
        <v>594</v>
      </c>
      <c r="D61" s="123">
        <v>4.399</v>
      </c>
      <c r="E61" s="124">
        <v>0.16500000000000001</v>
      </c>
      <c r="F61" s="125">
        <v>5.6000000000000001E-2</v>
      </c>
      <c r="G61" s="153">
        <v>14.25</v>
      </c>
      <c r="H61" s="154"/>
      <c r="I61" s="156"/>
      <c r="J61" s="33"/>
    </row>
    <row r="62" spans="1:10" ht="27.75" customHeight="1" x14ac:dyDescent="0.2">
      <c r="A62" s="151" t="s">
        <v>1908</v>
      </c>
      <c r="B62" s="25" t="s">
        <v>690</v>
      </c>
      <c r="C62" s="158" t="s">
        <v>594</v>
      </c>
      <c r="D62" s="123">
        <v>4.399</v>
      </c>
      <c r="E62" s="124">
        <v>0.16500000000000001</v>
      </c>
      <c r="F62" s="125">
        <v>5.6000000000000001E-2</v>
      </c>
      <c r="G62" s="153">
        <v>29.44</v>
      </c>
      <c r="H62" s="154"/>
      <c r="I62" s="156"/>
      <c r="J62" s="33"/>
    </row>
    <row r="63" spans="1:10" ht="27.75" customHeight="1" x14ac:dyDescent="0.2">
      <c r="A63" s="151" t="s">
        <v>1909</v>
      </c>
      <c r="B63" s="25" t="s">
        <v>691</v>
      </c>
      <c r="C63" s="158" t="s">
        <v>594</v>
      </c>
      <c r="D63" s="123">
        <v>4.399</v>
      </c>
      <c r="E63" s="124">
        <v>0.16500000000000001</v>
      </c>
      <c r="F63" s="125">
        <v>5.6000000000000001E-2</v>
      </c>
      <c r="G63" s="153">
        <v>85.49</v>
      </c>
      <c r="H63" s="154"/>
      <c r="I63" s="156"/>
      <c r="J63" s="33"/>
    </row>
    <row r="64" spans="1:10" ht="27.75" customHeight="1" x14ac:dyDescent="0.2">
      <c r="A64" s="151" t="s">
        <v>426</v>
      </c>
      <c r="B64" s="25" t="s">
        <v>692</v>
      </c>
      <c r="C64" s="158">
        <v>4</v>
      </c>
      <c r="D64" s="123">
        <v>4.399</v>
      </c>
      <c r="E64" s="124">
        <v>0.16500000000000001</v>
      </c>
      <c r="F64" s="125">
        <v>5.6000000000000001E-2</v>
      </c>
      <c r="G64" s="154"/>
      <c r="H64" s="154"/>
      <c r="I64" s="156"/>
      <c r="J64" s="33"/>
    </row>
    <row r="65" spans="1:10" ht="27.75" customHeight="1" x14ac:dyDescent="0.2">
      <c r="A65" s="151" t="s">
        <v>573</v>
      </c>
      <c r="B65" s="25" t="s">
        <v>693</v>
      </c>
      <c r="C65" s="158">
        <v>0</v>
      </c>
      <c r="D65" s="123">
        <v>3.6480000000000001</v>
      </c>
      <c r="E65" s="124">
        <v>0.13300000000000001</v>
      </c>
      <c r="F65" s="125">
        <v>4.3999999999999997E-2</v>
      </c>
      <c r="G65" s="153">
        <v>7.51</v>
      </c>
      <c r="H65" s="153">
        <v>1.61</v>
      </c>
      <c r="I65" s="157">
        <v>2.86</v>
      </c>
      <c r="J65" s="32">
        <v>0.11899999999999999</v>
      </c>
    </row>
    <row r="66" spans="1:10" ht="27.75" customHeight="1" x14ac:dyDescent="0.2">
      <c r="A66" s="151" t="s">
        <v>574</v>
      </c>
      <c r="B66" s="25" t="s">
        <v>694</v>
      </c>
      <c r="C66" s="158">
        <v>0</v>
      </c>
      <c r="D66" s="123">
        <v>3.6480000000000001</v>
      </c>
      <c r="E66" s="124">
        <v>0.13300000000000001</v>
      </c>
      <c r="F66" s="125">
        <v>4.3999999999999997E-2</v>
      </c>
      <c r="G66" s="153">
        <v>163.15</v>
      </c>
      <c r="H66" s="153">
        <v>1.61</v>
      </c>
      <c r="I66" s="157">
        <v>2.86</v>
      </c>
      <c r="J66" s="32">
        <v>0.11899999999999999</v>
      </c>
    </row>
    <row r="67" spans="1:10" ht="27.75" customHeight="1" x14ac:dyDescent="0.2">
      <c r="A67" s="151" t="s">
        <v>575</v>
      </c>
      <c r="B67" s="25" t="s">
        <v>695</v>
      </c>
      <c r="C67" s="158">
        <v>0</v>
      </c>
      <c r="D67" s="123">
        <v>3.6480000000000001</v>
      </c>
      <c r="E67" s="124">
        <v>0.13300000000000001</v>
      </c>
      <c r="F67" s="125">
        <v>4.3999999999999997E-2</v>
      </c>
      <c r="G67" s="153">
        <v>269.76</v>
      </c>
      <c r="H67" s="153">
        <v>1.61</v>
      </c>
      <c r="I67" s="157">
        <v>2.86</v>
      </c>
      <c r="J67" s="32">
        <v>0.11899999999999999</v>
      </c>
    </row>
    <row r="68" spans="1:10" ht="27.75" customHeight="1" x14ac:dyDescent="0.2">
      <c r="A68" s="151" t="s">
        <v>576</v>
      </c>
      <c r="B68" s="25" t="s">
        <v>696</v>
      </c>
      <c r="C68" s="158">
        <v>0</v>
      </c>
      <c r="D68" s="123">
        <v>3.6480000000000001</v>
      </c>
      <c r="E68" s="124">
        <v>0.13300000000000001</v>
      </c>
      <c r="F68" s="125">
        <v>4.3999999999999997E-2</v>
      </c>
      <c r="G68" s="153">
        <v>435.77</v>
      </c>
      <c r="H68" s="153">
        <v>1.61</v>
      </c>
      <c r="I68" s="157">
        <v>2.86</v>
      </c>
      <c r="J68" s="32">
        <v>0.11899999999999999</v>
      </c>
    </row>
    <row r="69" spans="1:10" ht="27.75" customHeight="1" x14ac:dyDescent="0.2">
      <c r="A69" s="151" t="s">
        <v>577</v>
      </c>
      <c r="B69" s="25" t="s">
        <v>697</v>
      </c>
      <c r="C69" s="158">
        <v>0</v>
      </c>
      <c r="D69" s="123">
        <v>3.6480000000000001</v>
      </c>
      <c r="E69" s="124">
        <v>0.13300000000000001</v>
      </c>
      <c r="F69" s="125">
        <v>4.3999999999999997E-2</v>
      </c>
      <c r="G69" s="153">
        <v>960.63</v>
      </c>
      <c r="H69" s="153">
        <v>1.61</v>
      </c>
      <c r="I69" s="157">
        <v>2.86</v>
      </c>
      <c r="J69" s="32">
        <v>0.11899999999999999</v>
      </c>
    </row>
    <row r="70" spans="1:10" ht="27.75" customHeight="1" x14ac:dyDescent="0.2">
      <c r="A70" s="151" t="s">
        <v>578</v>
      </c>
      <c r="B70" s="25" t="s">
        <v>698</v>
      </c>
      <c r="C70" s="158">
        <v>0</v>
      </c>
      <c r="D70" s="123">
        <v>3.5630000000000002</v>
      </c>
      <c r="E70" s="124">
        <v>0.121</v>
      </c>
      <c r="F70" s="125">
        <v>3.9E-2</v>
      </c>
      <c r="G70" s="153">
        <v>9.34</v>
      </c>
      <c r="H70" s="153">
        <v>3.55</v>
      </c>
      <c r="I70" s="157">
        <v>4.5</v>
      </c>
      <c r="J70" s="32">
        <v>0.113</v>
      </c>
    </row>
    <row r="71" spans="1:10" ht="27.75" customHeight="1" x14ac:dyDescent="0.2">
      <c r="A71" s="151" t="s">
        <v>579</v>
      </c>
      <c r="B71" s="25" t="s">
        <v>699</v>
      </c>
      <c r="C71" s="158">
        <v>0</v>
      </c>
      <c r="D71" s="123">
        <v>3.5630000000000002</v>
      </c>
      <c r="E71" s="124">
        <v>0.121</v>
      </c>
      <c r="F71" s="125">
        <v>3.9E-2</v>
      </c>
      <c r="G71" s="153">
        <v>245.47</v>
      </c>
      <c r="H71" s="153">
        <v>3.55</v>
      </c>
      <c r="I71" s="157">
        <v>4.5</v>
      </c>
      <c r="J71" s="32">
        <v>0.113</v>
      </c>
    </row>
    <row r="72" spans="1:10" ht="27.75" customHeight="1" x14ac:dyDescent="0.2">
      <c r="A72" s="151" t="s">
        <v>580</v>
      </c>
      <c r="B72" s="25" t="s">
        <v>700</v>
      </c>
      <c r="C72" s="158">
        <v>0</v>
      </c>
      <c r="D72" s="123">
        <v>3.5630000000000002</v>
      </c>
      <c r="E72" s="124">
        <v>0.121</v>
      </c>
      <c r="F72" s="125">
        <v>3.9E-2</v>
      </c>
      <c r="G72" s="153">
        <v>407.21</v>
      </c>
      <c r="H72" s="153">
        <v>3.55</v>
      </c>
      <c r="I72" s="157">
        <v>4.5</v>
      </c>
      <c r="J72" s="32">
        <v>0.113</v>
      </c>
    </row>
    <row r="73" spans="1:10" ht="27.75" customHeight="1" x14ac:dyDescent="0.2">
      <c r="A73" s="151" t="s">
        <v>581</v>
      </c>
      <c r="B73" s="25" t="s">
        <v>701</v>
      </c>
      <c r="C73" s="158">
        <v>0</v>
      </c>
      <c r="D73" s="123">
        <v>3.5630000000000002</v>
      </c>
      <c r="E73" s="124">
        <v>0.121</v>
      </c>
      <c r="F73" s="125">
        <v>3.9E-2</v>
      </c>
      <c r="G73" s="153">
        <v>659.06</v>
      </c>
      <c r="H73" s="153">
        <v>3.55</v>
      </c>
      <c r="I73" s="157">
        <v>4.5</v>
      </c>
      <c r="J73" s="32">
        <v>0.113</v>
      </c>
    </row>
    <row r="74" spans="1:10" ht="27.75" customHeight="1" x14ac:dyDescent="0.2">
      <c r="A74" s="151" t="s">
        <v>582</v>
      </c>
      <c r="B74" s="25" t="s">
        <v>702</v>
      </c>
      <c r="C74" s="158">
        <v>0</v>
      </c>
      <c r="D74" s="123">
        <v>3.5630000000000002</v>
      </c>
      <c r="E74" s="124">
        <v>0.121</v>
      </c>
      <c r="F74" s="125">
        <v>3.9E-2</v>
      </c>
      <c r="G74" s="153">
        <v>1455.36</v>
      </c>
      <c r="H74" s="153">
        <v>3.55</v>
      </c>
      <c r="I74" s="157">
        <v>4.5</v>
      </c>
      <c r="J74" s="32">
        <v>0.113</v>
      </c>
    </row>
    <row r="75" spans="1:10" ht="27.75" customHeight="1" x14ac:dyDescent="0.2">
      <c r="A75" s="151" t="s">
        <v>583</v>
      </c>
      <c r="B75" s="25" t="s">
        <v>703</v>
      </c>
      <c r="C75" s="158">
        <v>0</v>
      </c>
      <c r="D75" s="123">
        <v>3.4729999999999999</v>
      </c>
      <c r="E75" s="124">
        <v>0.113</v>
      </c>
      <c r="F75" s="125">
        <v>3.4000000000000002E-2</v>
      </c>
      <c r="G75" s="153">
        <v>113.15</v>
      </c>
      <c r="H75" s="153">
        <v>3.03</v>
      </c>
      <c r="I75" s="157">
        <v>4.49</v>
      </c>
      <c r="J75" s="32">
        <v>0.109</v>
      </c>
    </row>
    <row r="76" spans="1:10" ht="27.75" customHeight="1" x14ac:dyDescent="0.2">
      <c r="A76" s="151" t="s">
        <v>584</v>
      </c>
      <c r="B76" s="25" t="s">
        <v>704</v>
      </c>
      <c r="C76" s="158">
        <v>0</v>
      </c>
      <c r="D76" s="123">
        <v>3.4729999999999999</v>
      </c>
      <c r="E76" s="124">
        <v>0.113</v>
      </c>
      <c r="F76" s="125">
        <v>3.4000000000000002E-2</v>
      </c>
      <c r="G76" s="153">
        <v>1169.25</v>
      </c>
      <c r="H76" s="153">
        <v>3.03</v>
      </c>
      <c r="I76" s="157">
        <v>4.49</v>
      </c>
      <c r="J76" s="32">
        <v>0.109</v>
      </c>
    </row>
    <row r="77" spans="1:10" ht="27.75" customHeight="1" x14ac:dyDescent="0.2">
      <c r="A77" s="151" t="s">
        <v>585</v>
      </c>
      <c r="B77" s="25" t="s">
        <v>705</v>
      </c>
      <c r="C77" s="158">
        <v>0</v>
      </c>
      <c r="D77" s="123">
        <v>3.4729999999999999</v>
      </c>
      <c r="E77" s="124">
        <v>0.113</v>
      </c>
      <c r="F77" s="125">
        <v>3.4000000000000002E-2</v>
      </c>
      <c r="G77" s="153">
        <v>6076.8</v>
      </c>
      <c r="H77" s="153">
        <v>3.03</v>
      </c>
      <c r="I77" s="157">
        <v>4.49</v>
      </c>
      <c r="J77" s="32">
        <v>0.109</v>
      </c>
    </row>
    <row r="78" spans="1:10" ht="27.75" customHeight="1" x14ac:dyDescent="0.2">
      <c r="A78" s="151" t="s">
        <v>586</v>
      </c>
      <c r="B78" s="25" t="s">
        <v>706</v>
      </c>
      <c r="C78" s="158">
        <v>0</v>
      </c>
      <c r="D78" s="123">
        <v>3.4729999999999999</v>
      </c>
      <c r="E78" s="124">
        <v>0.113</v>
      </c>
      <c r="F78" s="125">
        <v>3.4000000000000002E-2</v>
      </c>
      <c r="G78" s="153">
        <v>5309.83</v>
      </c>
      <c r="H78" s="153">
        <v>3.03</v>
      </c>
      <c r="I78" s="157">
        <v>4.49</v>
      </c>
      <c r="J78" s="32">
        <v>0.109</v>
      </c>
    </row>
    <row r="79" spans="1:10" ht="27.75" customHeight="1" x14ac:dyDescent="0.2">
      <c r="A79" s="151" t="s">
        <v>587</v>
      </c>
      <c r="B79" s="25" t="s">
        <v>707</v>
      </c>
      <c r="C79" s="158">
        <v>0</v>
      </c>
      <c r="D79" s="123">
        <v>3.4729999999999999</v>
      </c>
      <c r="E79" s="124">
        <v>0.113</v>
      </c>
      <c r="F79" s="125">
        <v>3.4000000000000002E-2</v>
      </c>
      <c r="G79" s="153">
        <v>13515.82</v>
      </c>
      <c r="H79" s="153">
        <v>3.03</v>
      </c>
      <c r="I79" s="157">
        <v>4.49</v>
      </c>
      <c r="J79" s="32">
        <v>0.109</v>
      </c>
    </row>
    <row r="80" spans="1:10" ht="27.75" customHeight="1" x14ac:dyDescent="0.2">
      <c r="A80" s="151" t="s">
        <v>427</v>
      </c>
      <c r="B80" s="25" t="s">
        <v>708</v>
      </c>
      <c r="C80" s="158" t="s">
        <v>413</v>
      </c>
      <c r="D80" s="126">
        <v>17.042999999999999</v>
      </c>
      <c r="E80" s="127">
        <v>1.196</v>
      </c>
      <c r="F80" s="125">
        <v>1.08</v>
      </c>
      <c r="G80" s="154"/>
      <c r="H80" s="154"/>
      <c r="I80" s="156"/>
      <c r="J80" s="33"/>
    </row>
    <row r="81" spans="1:10" ht="27.75" customHeight="1" x14ac:dyDescent="0.2">
      <c r="A81" s="151" t="s">
        <v>428</v>
      </c>
      <c r="B81" s="25" t="s">
        <v>709</v>
      </c>
      <c r="C81" s="158">
        <v>0</v>
      </c>
      <c r="D81" s="123">
        <v>-5.8339999999999996</v>
      </c>
      <c r="E81" s="124">
        <v>-0.219</v>
      </c>
      <c r="F81" s="125">
        <v>-7.4999999999999997E-2</v>
      </c>
      <c r="G81" s="153">
        <v>0</v>
      </c>
      <c r="H81" s="154"/>
      <c r="I81" s="156"/>
      <c r="J81" s="33"/>
    </row>
    <row r="82" spans="1:10" ht="27.75" customHeight="1" x14ac:dyDescent="0.2">
      <c r="A82" s="151" t="s">
        <v>429</v>
      </c>
      <c r="B82" s="25" t="s">
        <v>710</v>
      </c>
      <c r="C82" s="158">
        <v>0</v>
      </c>
      <c r="D82" s="123">
        <v>-5.6</v>
      </c>
      <c r="E82" s="124">
        <v>-0.20599999999999999</v>
      </c>
      <c r="F82" s="125">
        <v>-7.0000000000000007E-2</v>
      </c>
      <c r="G82" s="153">
        <v>0</v>
      </c>
      <c r="H82" s="154"/>
      <c r="I82" s="156"/>
      <c r="J82" s="33"/>
    </row>
    <row r="83" spans="1:10" ht="27.75" customHeight="1" x14ac:dyDescent="0.2">
      <c r="A83" s="151" t="s">
        <v>430</v>
      </c>
      <c r="B83" s="25" t="s">
        <v>711</v>
      </c>
      <c r="C83" s="158">
        <v>0</v>
      </c>
      <c r="D83" s="123">
        <v>-5.8339999999999996</v>
      </c>
      <c r="E83" s="124">
        <v>-0.219</v>
      </c>
      <c r="F83" s="125">
        <v>-7.4999999999999997E-2</v>
      </c>
      <c r="G83" s="153">
        <v>0</v>
      </c>
      <c r="H83" s="154"/>
      <c r="I83" s="156"/>
      <c r="J83" s="32">
        <v>0.17399999999999999</v>
      </c>
    </row>
    <row r="84" spans="1:10" ht="27.75" customHeight="1" x14ac:dyDescent="0.2">
      <c r="A84" s="151" t="s">
        <v>431</v>
      </c>
      <c r="B84" s="25" t="s">
        <v>712</v>
      </c>
      <c r="C84" s="158">
        <v>0</v>
      </c>
      <c r="D84" s="123">
        <v>-5.6</v>
      </c>
      <c r="E84" s="124">
        <v>-0.20599999999999999</v>
      </c>
      <c r="F84" s="125">
        <v>-7.0000000000000007E-2</v>
      </c>
      <c r="G84" s="153">
        <v>0</v>
      </c>
      <c r="H84" s="154"/>
      <c r="I84" s="156"/>
      <c r="J84" s="32">
        <v>0.17</v>
      </c>
    </row>
    <row r="85" spans="1:10" ht="27.75" customHeight="1" x14ac:dyDescent="0.2">
      <c r="A85" s="151" t="s">
        <v>432</v>
      </c>
      <c r="B85" s="25" t="s">
        <v>713</v>
      </c>
      <c r="C85" s="158">
        <v>0</v>
      </c>
      <c r="D85" s="123">
        <v>-6.173</v>
      </c>
      <c r="E85" s="124">
        <v>-0.20699999999999999</v>
      </c>
      <c r="F85" s="125">
        <v>-6.5000000000000002E-2</v>
      </c>
      <c r="G85" s="153">
        <v>13.66</v>
      </c>
      <c r="H85" s="154"/>
      <c r="I85" s="156"/>
      <c r="J85" s="32">
        <v>0.22</v>
      </c>
    </row>
    <row r="86" spans="1:10" ht="27.75" customHeight="1" x14ac:dyDescent="0.2">
      <c r="A86" s="151" t="s">
        <v>1910</v>
      </c>
      <c r="B86" s="25" t="s">
        <v>714</v>
      </c>
      <c r="C86" s="158" t="s">
        <v>595</v>
      </c>
      <c r="D86" s="123">
        <v>5.226</v>
      </c>
      <c r="E86" s="124">
        <v>0.19600000000000001</v>
      </c>
      <c r="F86" s="125">
        <v>6.7000000000000004E-2</v>
      </c>
      <c r="G86" s="153">
        <v>6.67</v>
      </c>
      <c r="H86" s="154"/>
      <c r="I86" s="156"/>
      <c r="J86" s="33"/>
    </row>
    <row r="87" spans="1:10" ht="27.75" customHeight="1" x14ac:dyDescent="0.2">
      <c r="A87" s="151" t="s">
        <v>1911</v>
      </c>
      <c r="B87" s="25" t="s">
        <v>715</v>
      </c>
      <c r="C87" s="158">
        <v>2</v>
      </c>
      <c r="D87" s="123">
        <v>5.226</v>
      </c>
      <c r="E87" s="124">
        <v>0.19600000000000001</v>
      </c>
      <c r="F87" s="125">
        <v>6.7000000000000004E-2</v>
      </c>
      <c r="G87" s="154"/>
      <c r="H87" s="154"/>
      <c r="I87" s="156"/>
      <c r="J87" s="33"/>
    </row>
    <row r="88" spans="1:10" ht="27.75" customHeight="1" x14ac:dyDescent="0.2">
      <c r="A88" s="151" t="s">
        <v>1912</v>
      </c>
      <c r="B88" s="25" t="s">
        <v>716</v>
      </c>
      <c r="C88" s="158" t="s">
        <v>594</v>
      </c>
      <c r="D88" s="123">
        <v>3.556</v>
      </c>
      <c r="E88" s="124">
        <v>0.13300000000000001</v>
      </c>
      <c r="F88" s="125">
        <v>4.5999999999999999E-2</v>
      </c>
      <c r="G88" s="153">
        <v>2.39</v>
      </c>
      <c r="H88" s="154"/>
      <c r="I88" s="156"/>
      <c r="J88" s="33"/>
    </row>
    <row r="89" spans="1:10" ht="27.75" customHeight="1" x14ac:dyDescent="0.2">
      <c r="A89" s="151" t="s">
        <v>1913</v>
      </c>
      <c r="B89" s="25" t="s">
        <v>717</v>
      </c>
      <c r="C89" s="158" t="s">
        <v>594</v>
      </c>
      <c r="D89" s="123">
        <v>3.556</v>
      </c>
      <c r="E89" s="124">
        <v>0.13300000000000001</v>
      </c>
      <c r="F89" s="125">
        <v>4.5999999999999999E-2</v>
      </c>
      <c r="G89" s="153">
        <v>4.09</v>
      </c>
      <c r="H89" s="154"/>
      <c r="I89" s="156"/>
      <c r="J89" s="33"/>
    </row>
    <row r="90" spans="1:10" ht="27.75" customHeight="1" x14ac:dyDescent="0.2">
      <c r="A90" s="151" t="s">
        <v>1914</v>
      </c>
      <c r="B90" s="25" t="s">
        <v>718</v>
      </c>
      <c r="C90" s="158" t="s">
        <v>594</v>
      </c>
      <c r="D90" s="123">
        <v>3.556</v>
      </c>
      <c r="E90" s="124">
        <v>0.13300000000000001</v>
      </c>
      <c r="F90" s="125">
        <v>4.5999999999999999E-2</v>
      </c>
      <c r="G90" s="153">
        <v>11.68</v>
      </c>
      <c r="H90" s="154"/>
      <c r="I90" s="156"/>
      <c r="J90" s="33"/>
    </row>
    <row r="91" spans="1:10" ht="27.75" customHeight="1" x14ac:dyDescent="0.2">
      <c r="A91" s="151" t="s">
        <v>1915</v>
      </c>
      <c r="B91" s="25" t="s">
        <v>719</v>
      </c>
      <c r="C91" s="158" t="s">
        <v>594</v>
      </c>
      <c r="D91" s="123">
        <v>3.556</v>
      </c>
      <c r="E91" s="124">
        <v>0.13300000000000001</v>
      </c>
      <c r="F91" s="125">
        <v>4.5999999999999999E-2</v>
      </c>
      <c r="G91" s="153">
        <v>23.95</v>
      </c>
      <c r="H91" s="154"/>
      <c r="I91" s="156"/>
      <c r="J91" s="33"/>
    </row>
    <row r="92" spans="1:10" ht="27.75" customHeight="1" x14ac:dyDescent="0.2">
      <c r="A92" s="151" t="s">
        <v>1916</v>
      </c>
      <c r="B92" s="25" t="s">
        <v>720</v>
      </c>
      <c r="C92" s="158" t="s">
        <v>594</v>
      </c>
      <c r="D92" s="123">
        <v>3.556</v>
      </c>
      <c r="E92" s="124">
        <v>0.13300000000000001</v>
      </c>
      <c r="F92" s="125">
        <v>4.5999999999999999E-2</v>
      </c>
      <c r="G92" s="153">
        <v>69.260000000000005</v>
      </c>
      <c r="H92" s="154"/>
      <c r="I92" s="156"/>
      <c r="J92" s="33"/>
    </row>
    <row r="93" spans="1:10" ht="27.75" customHeight="1" x14ac:dyDescent="0.2">
      <c r="A93" s="151" t="s">
        <v>433</v>
      </c>
      <c r="B93" s="25" t="s">
        <v>721</v>
      </c>
      <c r="C93" s="158">
        <v>4</v>
      </c>
      <c r="D93" s="123">
        <v>3.556</v>
      </c>
      <c r="E93" s="124">
        <v>0.13300000000000001</v>
      </c>
      <c r="F93" s="125">
        <v>4.5999999999999999E-2</v>
      </c>
      <c r="G93" s="154"/>
      <c r="H93" s="154"/>
      <c r="I93" s="156"/>
      <c r="J93" s="33"/>
    </row>
    <row r="94" spans="1:10" ht="27.75" customHeight="1" x14ac:dyDescent="0.2">
      <c r="A94" s="151" t="s">
        <v>558</v>
      </c>
      <c r="B94" s="25" t="s">
        <v>722</v>
      </c>
      <c r="C94" s="158">
        <v>0</v>
      </c>
      <c r="D94" s="123">
        <v>2.948</v>
      </c>
      <c r="E94" s="124">
        <v>0.107</v>
      </c>
      <c r="F94" s="125">
        <v>3.5999999999999997E-2</v>
      </c>
      <c r="G94" s="153">
        <v>6.23</v>
      </c>
      <c r="H94" s="153">
        <v>1.3</v>
      </c>
      <c r="I94" s="157">
        <v>2.31</v>
      </c>
      <c r="J94" s="32">
        <v>9.6000000000000002E-2</v>
      </c>
    </row>
    <row r="95" spans="1:10" ht="27.75" customHeight="1" x14ac:dyDescent="0.2">
      <c r="A95" s="151" t="s">
        <v>559</v>
      </c>
      <c r="B95" s="25" t="s">
        <v>723</v>
      </c>
      <c r="C95" s="158">
        <v>0</v>
      </c>
      <c r="D95" s="123">
        <v>2.948</v>
      </c>
      <c r="E95" s="124">
        <v>0.107</v>
      </c>
      <c r="F95" s="125">
        <v>3.5999999999999997E-2</v>
      </c>
      <c r="G95" s="153">
        <v>132.04</v>
      </c>
      <c r="H95" s="153">
        <v>1.3</v>
      </c>
      <c r="I95" s="157">
        <v>2.31</v>
      </c>
      <c r="J95" s="32">
        <v>9.6000000000000002E-2</v>
      </c>
    </row>
    <row r="96" spans="1:10" ht="27.75" customHeight="1" x14ac:dyDescent="0.2">
      <c r="A96" s="151" t="s">
        <v>560</v>
      </c>
      <c r="B96" s="25" t="s">
        <v>724</v>
      </c>
      <c r="C96" s="158">
        <v>0</v>
      </c>
      <c r="D96" s="123">
        <v>2.948</v>
      </c>
      <c r="E96" s="124">
        <v>0.107</v>
      </c>
      <c r="F96" s="125">
        <v>3.5999999999999997E-2</v>
      </c>
      <c r="G96" s="153">
        <v>218.21</v>
      </c>
      <c r="H96" s="153">
        <v>1.3</v>
      </c>
      <c r="I96" s="157">
        <v>2.31</v>
      </c>
      <c r="J96" s="32">
        <v>9.6000000000000002E-2</v>
      </c>
    </row>
    <row r="97" spans="1:10" ht="27.75" customHeight="1" x14ac:dyDescent="0.2">
      <c r="A97" s="151" t="s">
        <v>561</v>
      </c>
      <c r="B97" s="25" t="s">
        <v>725</v>
      </c>
      <c r="C97" s="158">
        <v>0</v>
      </c>
      <c r="D97" s="123">
        <v>2.948</v>
      </c>
      <c r="E97" s="124">
        <v>0.107</v>
      </c>
      <c r="F97" s="125">
        <v>3.5999999999999997E-2</v>
      </c>
      <c r="G97" s="153">
        <v>352.4</v>
      </c>
      <c r="H97" s="153">
        <v>1.3</v>
      </c>
      <c r="I97" s="157">
        <v>2.31</v>
      </c>
      <c r="J97" s="32">
        <v>9.6000000000000002E-2</v>
      </c>
    </row>
    <row r="98" spans="1:10" ht="27.75" customHeight="1" x14ac:dyDescent="0.2">
      <c r="A98" s="151" t="s">
        <v>562</v>
      </c>
      <c r="B98" s="25" t="s">
        <v>726</v>
      </c>
      <c r="C98" s="158">
        <v>0</v>
      </c>
      <c r="D98" s="123">
        <v>2.948</v>
      </c>
      <c r="E98" s="124">
        <v>0.107</v>
      </c>
      <c r="F98" s="125">
        <v>3.5999999999999997E-2</v>
      </c>
      <c r="G98" s="153">
        <v>776.67</v>
      </c>
      <c r="H98" s="153">
        <v>1.3</v>
      </c>
      <c r="I98" s="157">
        <v>2.31</v>
      </c>
      <c r="J98" s="32">
        <v>9.6000000000000002E-2</v>
      </c>
    </row>
    <row r="99" spans="1:10" ht="27.75" customHeight="1" x14ac:dyDescent="0.2">
      <c r="A99" s="151" t="s">
        <v>563</v>
      </c>
      <c r="B99" s="25" t="s">
        <v>727</v>
      </c>
      <c r="C99" s="158">
        <v>0</v>
      </c>
      <c r="D99" s="123">
        <v>2.88</v>
      </c>
      <c r="E99" s="124">
        <v>9.8000000000000004E-2</v>
      </c>
      <c r="F99" s="125">
        <v>3.1E-2</v>
      </c>
      <c r="G99" s="153">
        <v>7.7</v>
      </c>
      <c r="H99" s="153">
        <v>2.87</v>
      </c>
      <c r="I99" s="157">
        <v>3.64</v>
      </c>
      <c r="J99" s="32">
        <v>9.0999999999999998E-2</v>
      </c>
    </row>
    <row r="100" spans="1:10" ht="27.75" customHeight="1" x14ac:dyDescent="0.2">
      <c r="A100" s="151" t="s">
        <v>564</v>
      </c>
      <c r="B100" s="25" t="s">
        <v>728</v>
      </c>
      <c r="C100" s="158">
        <v>0</v>
      </c>
      <c r="D100" s="123">
        <v>2.88</v>
      </c>
      <c r="E100" s="124">
        <v>9.8000000000000004E-2</v>
      </c>
      <c r="F100" s="125">
        <v>3.1E-2</v>
      </c>
      <c r="G100" s="153">
        <v>198.57</v>
      </c>
      <c r="H100" s="153">
        <v>2.87</v>
      </c>
      <c r="I100" s="157">
        <v>3.64</v>
      </c>
      <c r="J100" s="32">
        <v>9.0999999999999998E-2</v>
      </c>
    </row>
    <row r="101" spans="1:10" ht="27.75" customHeight="1" x14ac:dyDescent="0.2">
      <c r="A101" s="151" t="s">
        <v>565</v>
      </c>
      <c r="B101" s="25" t="s">
        <v>729</v>
      </c>
      <c r="C101" s="158">
        <v>0</v>
      </c>
      <c r="D101" s="123">
        <v>2.88</v>
      </c>
      <c r="E101" s="124">
        <v>9.8000000000000004E-2</v>
      </c>
      <c r="F101" s="125">
        <v>3.1E-2</v>
      </c>
      <c r="G101" s="153">
        <v>329.31</v>
      </c>
      <c r="H101" s="153">
        <v>2.87</v>
      </c>
      <c r="I101" s="157">
        <v>3.64</v>
      </c>
      <c r="J101" s="32">
        <v>9.0999999999999998E-2</v>
      </c>
    </row>
    <row r="102" spans="1:10" ht="27.75" customHeight="1" x14ac:dyDescent="0.2">
      <c r="A102" s="151" t="s">
        <v>566</v>
      </c>
      <c r="B102" s="25" t="s">
        <v>730</v>
      </c>
      <c r="C102" s="158">
        <v>0</v>
      </c>
      <c r="D102" s="123">
        <v>2.88</v>
      </c>
      <c r="E102" s="124">
        <v>9.8000000000000004E-2</v>
      </c>
      <c r="F102" s="125">
        <v>3.1E-2</v>
      </c>
      <c r="G102" s="153">
        <v>532.9</v>
      </c>
      <c r="H102" s="153">
        <v>2.87</v>
      </c>
      <c r="I102" s="157">
        <v>3.64</v>
      </c>
      <c r="J102" s="32">
        <v>9.0999999999999998E-2</v>
      </c>
    </row>
    <row r="103" spans="1:10" ht="27.75" customHeight="1" x14ac:dyDescent="0.2">
      <c r="A103" s="151" t="s">
        <v>567</v>
      </c>
      <c r="B103" s="25" t="s">
        <v>731</v>
      </c>
      <c r="C103" s="158">
        <v>0</v>
      </c>
      <c r="D103" s="123">
        <v>2.88</v>
      </c>
      <c r="E103" s="124">
        <v>9.8000000000000004E-2</v>
      </c>
      <c r="F103" s="125">
        <v>3.1E-2</v>
      </c>
      <c r="G103" s="153">
        <v>1176.57</v>
      </c>
      <c r="H103" s="153">
        <v>2.87</v>
      </c>
      <c r="I103" s="157">
        <v>3.64</v>
      </c>
      <c r="J103" s="32">
        <v>9.0999999999999998E-2</v>
      </c>
    </row>
    <row r="104" spans="1:10" ht="27.75" customHeight="1" x14ac:dyDescent="0.2">
      <c r="A104" s="151" t="s">
        <v>568</v>
      </c>
      <c r="B104" s="25" t="s">
        <v>732</v>
      </c>
      <c r="C104" s="158">
        <v>0</v>
      </c>
      <c r="D104" s="123">
        <v>2.8069999999999999</v>
      </c>
      <c r="E104" s="124">
        <v>9.0999999999999998E-2</v>
      </c>
      <c r="F104" s="125">
        <v>2.7E-2</v>
      </c>
      <c r="G104" s="153">
        <v>91.61</v>
      </c>
      <c r="H104" s="153">
        <v>2.4500000000000002</v>
      </c>
      <c r="I104" s="157">
        <v>3.63</v>
      </c>
      <c r="J104" s="32">
        <v>8.7999999999999995E-2</v>
      </c>
    </row>
    <row r="105" spans="1:10" ht="27.75" customHeight="1" x14ac:dyDescent="0.2">
      <c r="A105" s="151" t="s">
        <v>569</v>
      </c>
      <c r="B105" s="25" t="s">
        <v>733</v>
      </c>
      <c r="C105" s="158">
        <v>0</v>
      </c>
      <c r="D105" s="123">
        <v>2.8069999999999999</v>
      </c>
      <c r="E105" s="124">
        <v>9.0999999999999998E-2</v>
      </c>
      <c r="F105" s="125">
        <v>2.7E-2</v>
      </c>
      <c r="G105" s="153">
        <v>945.3</v>
      </c>
      <c r="H105" s="153">
        <v>2.4500000000000002</v>
      </c>
      <c r="I105" s="157">
        <v>3.63</v>
      </c>
      <c r="J105" s="32">
        <v>8.7999999999999995E-2</v>
      </c>
    </row>
    <row r="106" spans="1:10" ht="27.75" customHeight="1" x14ac:dyDescent="0.2">
      <c r="A106" s="151" t="s">
        <v>570</v>
      </c>
      <c r="B106" s="25" t="s">
        <v>734</v>
      </c>
      <c r="C106" s="158">
        <v>0</v>
      </c>
      <c r="D106" s="123">
        <v>2.8069999999999999</v>
      </c>
      <c r="E106" s="124">
        <v>9.0999999999999998E-2</v>
      </c>
      <c r="F106" s="125">
        <v>2.7E-2</v>
      </c>
      <c r="G106" s="153">
        <v>4912.2299999999996</v>
      </c>
      <c r="H106" s="153">
        <v>2.4500000000000002</v>
      </c>
      <c r="I106" s="157">
        <v>3.63</v>
      </c>
      <c r="J106" s="32">
        <v>8.7999999999999995E-2</v>
      </c>
    </row>
    <row r="107" spans="1:10" ht="27.75" customHeight="1" x14ac:dyDescent="0.2">
      <c r="A107" s="151" t="s">
        <v>571</v>
      </c>
      <c r="B107" s="25" t="s">
        <v>735</v>
      </c>
      <c r="C107" s="158">
        <v>0</v>
      </c>
      <c r="D107" s="123">
        <v>2.8069999999999999</v>
      </c>
      <c r="E107" s="124">
        <v>9.0999999999999998E-2</v>
      </c>
      <c r="F107" s="125">
        <v>2.7E-2</v>
      </c>
      <c r="G107" s="153">
        <v>4292.26</v>
      </c>
      <c r="H107" s="153">
        <v>2.4500000000000002</v>
      </c>
      <c r="I107" s="157">
        <v>3.63</v>
      </c>
      <c r="J107" s="32">
        <v>8.7999999999999995E-2</v>
      </c>
    </row>
    <row r="108" spans="1:10" ht="27.75" customHeight="1" x14ac:dyDescent="0.2">
      <c r="A108" s="151" t="s">
        <v>572</v>
      </c>
      <c r="B108" s="25" t="s">
        <v>736</v>
      </c>
      <c r="C108" s="158">
        <v>0</v>
      </c>
      <c r="D108" s="123">
        <v>2.8069999999999999</v>
      </c>
      <c r="E108" s="124">
        <v>9.0999999999999998E-2</v>
      </c>
      <c r="F108" s="125">
        <v>2.7E-2</v>
      </c>
      <c r="G108" s="153">
        <v>10925.43</v>
      </c>
      <c r="H108" s="153">
        <v>2.4500000000000002</v>
      </c>
      <c r="I108" s="157">
        <v>3.63</v>
      </c>
      <c r="J108" s="32">
        <v>8.7999999999999995E-2</v>
      </c>
    </row>
    <row r="109" spans="1:10" ht="27.75" customHeight="1" x14ac:dyDescent="0.2">
      <c r="A109" s="151" t="s">
        <v>434</v>
      </c>
      <c r="B109" s="25" t="s">
        <v>737</v>
      </c>
      <c r="C109" s="158" t="s">
        <v>413</v>
      </c>
      <c r="D109" s="126">
        <v>13.776</v>
      </c>
      <c r="E109" s="127">
        <v>0.96699999999999997</v>
      </c>
      <c r="F109" s="125">
        <v>0.873</v>
      </c>
      <c r="G109" s="154"/>
      <c r="H109" s="154"/>
      <c r="I109" s="156"/>
      <c r="J109" s="33"/>
    </row>
    <row r="110" spans="1:10" ht="27.75" customHeight="1" x14ac:dyDescent="0.2">
      <c r="A110" s="151" t="s">
        <v>435</v>
      </c>
      <c r="B110" s="25" t="s">
        <v>738</v>
      </c>
      <c r="C110" s="158">
        <v>0</v>
      </c>
      <c r="D110" s="123">
        <v>-4.7160000000000002</v>
      </c>
      <c r="E110" s="124">
        <v>-0.17699999999999999</v>
      </c>
      <c r="F110" s="125">
        <v>-0.06</v>
      </c>
      <c r="G110" s="153">
        <v>0</v>
      </c>
      <c r="H110" s="154"/>
      <c r="I110" s="156"/>
      <c r="J110" s="33"/>
    </row>
    <row r="111" spans="1:10" ht="27.75" customHeight="1" x14ac:dyDescent="0.2">
      <c r="A111" s="151" t="s">
        <v>436</v>
      </c>
      <c r="B111" s="25" t="s">
        <v>739</v>
      </c>
      <c r="C111" s="158">
        <v>0</v>
      </c>
      <c r="D111" s="123">
        <v>-4.5259999999999998</v>
      </c>
      <c r="E111" s="124">
        <v>-0.16600000000000001</v>
      </c>
      <c r="F111" s="125">
        <v>-5.6000000000000001E-2</v>
      </c>
      <c r="G111" s="153">
        <v>0</v>
      </c>
      <c r="H111" s="154"/>
      <c r="I111" s="156"/>
      <c r="J111" s="33"/>
    </row>
    <row r="112" spans="1:10" ht="27.75" customHeight="1" x14ac:dyDescent="0.2">
      <c r="A112" s="151" t="s">
        <v>437</v>
      </c>
      <c r="B112" s="25" t="s">
        <v>740</v>
      </c>
      <c r="C112" s="158">
        <v>0</v>
      </c>
      <c r="D112" s="123">
        <v>-4.7160000000000002</v>
      </c>
      <c r="E112" s="124">
        <v>-0.17699999999999999</v>
      </c>
      <c r="F112" s="125">
        <v>-0.06</v>
      </c>
      <c r="G112" s="153">
        <v>0</v>
      </c>
      <c r="H112" s="154"/>
      <c r="I112" s="156"/>
      <c r="J112" s="32">
        <v>0.14099999999999999</v>
      </c>
    </row>
    <row r="113" spans="1:10" ht="27.75" customHeight="1" x14ac:dyDescent="0.2">
      <c r="A113" s="151" t="s">
        <v>438</v>
      </c>
      <c r="B113" s="25" t="s">
        <v>741</v>
      </c>
      <c r="C113" s="158">
        <v>0</v>
      </c>
      <c r="D113" s="123">
        <v>-4.5259999999999998</v>
      </c>
      <c r="E113" s="124">
        <v>-0.16600000000000001</v>
      </c>
      <c r="F113" s="125">
        <v>-5.6000000000000001E-2</v>
      </c>
      <c r="G113" s="153">
        <v>0</v>
      </c>
      <c r="H113" s="154"/>
      <c r="I113" s="156"/>
      <c r="J113" s="32">
        <v>0.13700000000000001</v>
      </c>
    </row>
    <row r="114" spans="1:10" ht="27.75" customHeight="1" x14ac:dyDescent="0.2">
      <c r="A114" s="151" t="s">
        <v>439</v>
      </c>
      <c r="B114" s="25" t="s">
        <v>742</v>
      </c>
      <c r="C114" s="158">
        <v>0</v>
      </c>
      <c r="D114" s="123">
        <v>-4.99</v>
      </c>
      <c r="E114" s="124">
        <v>-0.16700000000000001</v>
      </c>
      <c r="F114" s="125">
        <v>-5.2999999999999999E-2</v>
      </c>
      <c r="G114" s="153">
        <v>11.04</v>
      </c>
      <c r="H114" s="154"/>
      <c r="I114" s="156"/>
      <c r="J114" s="32">
        <v>0.17799999999999999</v>
      </c>
    </row>
    <row r="115" spans="1:10" ht="27.75" customHeight="1" x14ac:dyDescent="0.2">
      <c r="A115" s="151" t="s">
        <v>1917</v>
      </c>
      <c r="B115" s="25" t="s">
        <v>743</v>
      </c>
      <c r="C115" s="158" t="s">
        <v>595</v>
      </c>
      <c r="D115" s="123">
        <v>4.3490000000000002</v>
      </c>
      <c r="E115" s="124">
        <v>0.16300000000000001</v>
      </c>
      <c r="F115" s="125">
        <v>5.6000000000000001E-2</v>
      </c>
      <c r="G115" s="153">
        <v>5.72</v>
      </c>
      <c r="H115" s="154"/>
      <c r="I115" s="156"/>
      <c r="J115" s="33"/>
    </row>
    <row r="116" spans="1:10" ht="27.75" customHeight="1" x14ac:dyDescent="0.2">
      <c r="A116" s="151" t="s">
        <v>1918</v>
      </c>
      <c r="B116" s="25" t="s">
        <v>744</v>
      </c>
      <c r="C116" s="158">
        <v>2</v>
      </c>
      <c r="D116" s="123">
        <v>4.3490000000000002</v>
      </c>
      <c r="E116" s="124">
        <v>0.16300000000000001</v>
      </c>
      <c r="F116" s="125">
        <v>5.6000000000000001E-2</v>
      </c>
      <c r="G116" s="154"/>
      <c r="H116" s="154"/>
      <c r="I116" s="156"/>
      <c r="J116" s="33"/>
    </row>
    <row r="117" spans="1:10" ht="27.75" customHeight="1" x14ac:dyDescent="0.2">
      <c r="A117" s="151" t="s">
        <v>1919</v>
      </c>
      <c r="B117" s="25" t="s">
        <v>745</v>
      </c>
      <c r="C117" s="158" t="s">
        <v>594</v>
      </c>
      <c r="D117" s="123">
        <v>2.9590000000000001</v>
      </c>
      <c r="E117" s="124">
        <v>0.111</v>
      </c>
      <c r="F117" s="125">
        <v>3.7999999999999999E-2</v>
      </c>
      <c r="G117" s="153">
        <v>2.12</v>
      </c>
      <c r="H117" s="154"/>
      <c r="I117" s="156"/>
      <c r="J117" s="33"/>
    </row>
    <row r="118" spans="1:10" ht="27.75" customHeight="1" x14ac:dyDescent="0.2">
      <c r="A118" s="151" t="s">
        <v>1920</v>
      </c>
      <c r="B118" s="25" t="s">
        <v>746</v>
      </c>
      <c r="C118" s="158" t="s">
        <v>594</v>
      </c>
      <c r="D118" s="123">
        <v>2.9590000000000001</v>
      </c>
      <c r="E118" s="124">
        <v>0.111</v>
      </c>
      <c r="F118" s="125">
        <v>3.7999999999999999E-2</v>
      </c>
      <c r="G118" s="153">
        <v>3.54</v>
      </c>
      <c r="H118" s="154"/>
      <c r="I118" s="156"/>
      <c r="J118" s="33"/>
    </row>
    <row r="119" spans="1:10" ht="27.75" customHeight="1" x14ac:dyDescent="0.2">
      <c r="A119" s="151" t="s">
        <v>1921</v>
      </c>
      <c r="B119" s="25" t="s">
        <v>747</v>
      </c>
      <c r="C119" s="158" t="s">
        <v>594</v>
      </c>
      <c r="D119" s="123">
        <v>2.9590000000000001</v>
      </c>
      <c r="E119" s="124">
        <v>0.111</v>
      </c>
      <c r="F119" s="125">
        <v>3.7999999999999999E-2</v>
      </c>
      <c r="G119" s="153">
        <v>9.85</v>
      </c>
      <c r="H119" s="154"/>
      <c r="I119" s="156"/>
      <c r="J119" s="33"/>
    </row>
    <row r="120" spans="1:10" ht="27.75" customHeight="1" x14ac:dyDescent="0.2">
      <c r="A120" s="151" t="s">
        <v>1922</v>
      </c>
      <c r="B120" s="25" t="s">
        <v>748</v>
      </c>
      <c r="C120" s="158" t="s">
        <v>594</v>
      </c>
      <c r="D120" s="123">
        <v>2.9590000000000001</v>
      </c>
      <c r="E120" s="124">
        <v>0.111</v>
      </c>
      <c r="F120" s="125">
        <v>3.7999999999999999E-2</v>
      </c>
      <c r="G120" s="153">
        <v>20.07</v>
      </c>
      <c r="H120" s="154"/>
      <c r="I120" s="156"/>
      <c r="J120" s="33"/>
    </row>
    <row r="121" spans="1:10" ht="27.75" customHeight="1" x14ac:dyDescent="0.2">
      <c r="A121" s="151" t="s">
        <v>1923</v>
      </c>
      <c r="B121" s="25" t="s">
        <v>749</v>
      </c>
      <c r="C121" s="158" t="s">
        <v>594</v>
      </c>
      <c r="D121" s="123">
        <v>2.9590000000000001</v>
      </c>
      <c r="E121" s="124">
        <v>0.111</v>
      </c>
      <c r="F121" s="125">
        <v>3.7999999999999999E-2</v>
      </c>
      <c r="G121" s="153">
        <v>57.77</v>
      </c>
      <c r="H121" s="154"/>
      <c r="I121" s="156"/>
      <c r="J121" s="33"/>
    </row>
    <row r="122" spans="1:10" ht="27.75" customHeight="1" x14ac:dyDescent="0.2">
      <c r="A122" s="151" t="s">
        <v>440</v>
      </c>
      <c r="B122" s="25" t="s">
        <v>750</v>
      </c>
      <c r="C122" s="158">
        <v>4</v>
      </c>
      <c r="D122" s="123">
        <v>2.9590000000000001</v>
      </c>
      <c r="E122" s="124">
        <v>0.111</v>
      </c>
      <c r="F122" s="125">
        <v>3.7999999999999999E-2</v>
      </c>
      <c r="G122" s="154"/>
      <c r="H122" s="154"/>
      <c r="I122" s="156"/>
      <c r="J122" s="33"/>
    </row>
    <row r="123" spans="1:10" ht="27.75" customHeight="1" x14ac:dyDescent="0.2">
      <c r="A123" s="151" t="s">
        <v>543</v>
      </c>
      <c r="B123" s="25" t="s">
        <v>751</v>
      </c>
      <c r="C123" s="158">
        <v>0</v>
      </c>
      <c r="D123" s="123">
        <v>2.4540000000000002</v>
      </c>
      <c r="E123" s="124">
        <v>8.8999999999999996E-2</v>
      </c>
      <c r="F123" s="125">
        <v>0.03</v>
      </c>
      <c r="G123" s="153">
        <v>5.32</v>
      </c>
      <c r="H123" s="153">
        <v>1.08</v>
      </c>
      <c r="I123" s="157">
        <v>1.92</v>
      </c>
      <c r="J123" s="32">
        <v>0.08</v>
      </c>
    </row>
    <row r="124" spans="1:10" ht="27.75" customHeight="1" x14ac:dyDescent="0.2">
      <c r="A124" s="151" t="s">
        <v>544</v>
      </c>
      <c r="B124" s="25" t="s">
        <v>752</v>
      </c>
      <c r="C124" s="158">
        <v>0</v>
      </c>
      <c r="D124" s="123">
        <v>2.4540000000000002</v>
      </c>
      <c r="E124" s="124">
        <v>8.8999999999999996E-2</v>
      </c>
      <c r="F124" s="125">
        <v>0.03</v>
      </c>
      <c r="G124" s="153">
        <v>110.02</v>
      </c>
      <c r="H124" s="153">
        <v>1.08</v>
      </c>
      <c r="I124" s="157">
        <v>1.92</v>
      </c>
      <c r="J124" s="32">
        <v>0.08</v>
      </c>
    </row>
    <row r="125" spans="1:10" ht="27.75" customHeight="1" x14ac:dyDescent="0.2">
      <c r="A125" s="151" t="s">
        <v>545</v>
      </c>
      <c r="B125" s="25" t="s">
        <v>753</v>
      </c>
      <c r="C125" s="158">
        <v>0</v>
      </c>
      <c r="D125" s="123">
        <v>2.4540000000000002</v>
      </c>
      <c r="E125" s="124">
        <v>8.8999999999999996E-2</v>
      </c>
      <c r="F125" s="125">
        <v>0.03</v>
      </c>
      <c r="G125" s="153">
        <v>181.74</v>
      </c>
      <c r="H125" s="153">
        <v>1.08</v>
      </c>
      <c r="I125" s="157">
        <v>1.92</v>
      </c>
      <c r="J125" s="32">
        <v>0.08</v>
      </c>
    </row>
    <row r="126" spans="1:10" ht="27.75" customHeight="1" x14ac:dyDescent="0.2">
      <c r="A126" s="151" t="s">
        <v>546</v>
      </c>
      <c r="B126" s="25" t="s">
        <v>754</v>
      </c>
      <c r="C126" s="158">
        <v>0</v>
      </c>
      <c r="D126" s="123">
        <v>2.4540000000000002</v>
      </c>
      <c r="E126" s="124">
        <v>8.8999999999999996E-2</v>
      </c>
      <c r="F126" s="125">
        <v>0.03</v>
      </c>
      <c r="G126" s="153">
        <v>293.41000000000003</v>
      </c>
      <c r="H126" s="153">
        <v>1.08</v>
      </c>
      <c r="I126" s="157">
        <v>1.92</v>
      </c>
      <c r="J126" s="32">
        <v>0.08</v>
      </c>
    </row>
    <row r="127" spans="1:10" ht="27.75" customHeight="1" x14ac:dyDescent="0.2">
      <c r="A127" s="151" t="s">
        <v>547</v>
      </c>
      <c r="B127" s="25" t="s">
        <v>755</v>
      </c>
      <c r="C127" s="158">
        <v>0</v>
      </c>
      <c r="D127" s="123">
        <v>2.4540000000000002</v>
      </c>
      <c r="E127" s="124">
        <v>8.8999999999999996E-2</v>
      </c>
      <c r="F127" s="125">
        <v>0.03</v>
      </c>
      <c r="G127" s="153">
        <v>646.49</v>
      </c>
      <c r="H127" s="153">
        <v>1.08</v>
      </c>
      <c r="I127" s="157">
        <v>1.92</v>
      </c>
      <c r="J127" s="32">
        <v>0.08</v>
      </c>
    </row>
    <row r="128" spans="1:10" ht="27.75" customHeight="1" x14ac:dyDescent="0.2">
      <c r="A128" s="151" t="s">
        <v>548</v>
      </c>
      <c r="B128" s="25" t="s">
        <v>756</v>
      </c>
      <c r="C128" s="158">
        <v>0</v>
      </c>
      <c r="D128" s="123">
        <v>2.3969999999999998</v>
      </c>
      <c r="E128" s="124">
        <v>8.1000000000000003E-2</v>
      </c>
      <c r="F128" s="125">
        <v>2.5999999999999999E-2</v>
      </c>
      <c r="G128" s="153">
        <v>6.55</v>
      </c>
      <c r="H128" s="153">
        <v>2.38</v>
      </c>
      <c r="I128" s="157">
        <v>3.03</v>
      </c>
      <c r="J128" s="32">
        <v>7.5999999999999998E-2</v>
      </c>
    </row>
    <row r="129" spans="1:10" ht="27.75" customHeight="1" x14ac:dyDescent="0.2">
      <c r="A129" s="151" t="s">
        <v>549</v>
      </c>
      <c r="B129" s="25" t="s">
        <v>757</v>
      </c>
      <c r="C129" s="158">
        <v>0</v>
      </c>
      <c r="D129" s="123">
        <v>2.3969999999999998</v>
      </c>
      <c r="E129" s="124">
        <v>8.1000000000000003E-2</v>
      </c>
      <c r="F129" s="125">
        <v>2.5999999999999999E-2</v>
      </c>
      <c r="G129" s="153">
        <v>165.39</v>
      </c>
      <c r="H129" s="153">
        <v>2.38</v>
      </c>
      <c r="I129" s="157">
        <v>3.03</v>
      </c>
      <c r="J129" s="32">
        <v>7.5999999999999998E-2</v>
      </c>
    </row>
    <row r="130" spans="1:10" ht="27.75" customHeight="1" x14ac:dyDescent="0.2">
      <c r="A130" s="151" t="s">
        <v>550</v>
      </c>
      <c r="B130" s="25" t="s">
        <v>758</v>
      </c>
      <c r="C130" s="158">
        <v>0</v>
      </c>
      <c r="D130" s="123">
        <v>2.3969999999999998</v>
      </c>
      <c r="E130" s="124">
        <v>8.1000000000000003E-2</v>
      </c>
      <c r="F130" s="125">
        <v>2.5999999999999999E-2</v>
      </c>
      <c r="G130" s="153">
        <v>274.2</v>
      </c>
      <c r="H130" s="153">
        <v>2.38</v>
      </c>
      <c r="I130" s="157">
        <v>3.03</v>
      </c>
      <c r="J130" s="32">
        <v>7.5999999999999998E-2</v>
      </c>
    </row>
    <row r="131" spans="1:10" ht="27.75" customHeight="1" x14ac:dyDescent="0.2">
      <c r="A131" s="151" t="s">
        <v>551</v>
      </c>
      <c r="B131" s="25" t="s">
        <v>759</v>
      </c>
      <c r="C131" s="158">
        <v>0</v>
      </c>
      <c r="D131" s="123">
        <v>2.3969999999999998</v>
      </c>
      <c r="E131" s="124">
        <v>8.1000000000000003E-2</v>
      </c>
      <c r="F131" s="125">
        <v>2.5999999999999999E-2</v>
      </c>
      <c r="G131" s="153">
        <v>443.62</v>
      </c>
      <c r="H131" s="153">
        <v>2.38</v>
      </c>
      <c r="I131" s="157">
        <v>3.03</v>
      </c>
      <c r="J131" s="32">
        <v>7.5999999999999998E-2</v>
      </c>
    </row>
    <row r="132" spans="1:10" ht="27.75" customHeight="1" x14ac:dyDescent="0.2">
      <c r="A132" s="151" t="s">
        <v>552</v>
      </c>
      <c r="B132" s="25" t="s">
        <v>760</v>
      </c>
      <c r="C132" s="158">
        <v>0</v>
      </c>
      <c r="D132" s="123">
        <v>2.3969999999999998</v>
      </c>
      <c r="E132" s="124">
        <v>8.1000000000000003E-2</v>
      </c>
      <c r="F132" s="125">
        <v>2.5999999999999999E-2</v>
      </c>
      <c r="G132" s="153">
        <v>979.3</v>
      </c>
      <c r="H132" s="153">
        <v>2.38</v>
      </c>
      <c r="I132" s="157">
        <v>3.03</v>
      </c>
      <c r="J132" s="32">
        <v>7.5999999999999998E-2</v>
      </c>
    </row>
    <row r="133" spans="1:10" ht="27.75" customHeight="1" x14ac:dyDescent="0.2">
      <c r="A133" s="151" t="s">
        <v>553</v>
      </c>
      <c r="B133" s="25" t="s">
        <v>761</v>
      </c>
      <c r="C133" s="158">
        <v>0</v>
      </c>
      <c r="D133" s="123">
        <v>2.3359999999999999</v>
      </c>
      <c r="E133" s="124">
        <v>7.5999999999999998E-2</v>
      </c>
      <c r="F133" s="125">
        <v>2.3E-2</v>
      </c>
      <c r="G133" s="153">
        <v>76.38</v>
      </c>
      <c r="H133" s="153">
        <v>2.04</v>
      </c>
      <c r="I133" s="157">
        <v>3.02</v>
      </c>
      <c r="J133" s="32">
        <v>7.2999999999999995E-2</v>
      </c>
    </row>
    <row r="134" spans="1:10" ht="27.75" customHeight="1" x14ac:dyDescent="0.2">
      <c r="A134" s="151" t="s">
        <v>554</v>
      </c>
      <c r="B134" s="25" t="s">
        <v>762</v>
      </c>
      <c r="C134" s="158">
        <v>0</v>
      </c>
      <c r="D134" s="123">
        <v>2.3359999999999999</v>
      </c>
      <c r="E134" s="124">
        <v>7.5999999999999998E-2</v>
      </c>
      <c r="F134" s="125">
        <v>2.3E-2</v>
      </c>
      <c r="G134" s="153">
        <v>786.83</v>
      </c>
      <c r="H134" s="153">
        <v>2.04</v>
      </c>
      <c r="I134" s="157">
        <v>3.02</v>
      </c>
      <c r="J134" s="32">
        <v>7.2999999999999995E-2</v>
      </c>
    </row>
    <row r="135" spans="1:10" ht="27.75" customHeight="1" x14ac:dyDescent="0.2">
      <c r="A135" s="151" t="s">
        <v>555</v>
      </c>
      <c r="B135" s="25" t="s">
        <v>763</v>
      </c>
      <c r="C135" s="158">
        <v>0</v>
      </c>
      <c r="D135" s="123">
        <v>2.3359999999999999</v>
      </c>
      <c r="E135" s="124">
        <v>7.5999999999999998E-2</v>
      </c>
      <c r="F135" s="125">
        <v>2.3E-2</v>
      </c>
      <c r="G135" s="153">
        <v>4088.2</v>
      </c>
      <c r="H135" s="153">
        <v>2.04</v>
      </c>
      <c r="I135" s="157">
        <v>3.02</v>
      </c>
      <c r="J135" s="32">
        <v>7.2999999999999995E-2</v>
      </c>
    </row>
    <row r="136" spans="1:10" ht="27.75" customHeight="1" x14ac:dyDescent="0.2">
      <c r="A136" s="151" t="s">
        <v>556</v>
      </c>
      <c r="B136" s="25" t="s">
        <v>764</v>
      </c>
      <c r="C136" s="158">
        <v>0</v>
      </c>
      <c r="D136" s="123">
        <v>2.3359999999999999</v>
      </c>
      <c r="E136" s="124">
        <v>7.5999999999999998E-2</v>
      </c>
      <c r="F136" s="125">
        <v>2.3E-2</v>
      </c>
      <c r="G136" s="153">
        <v>3572.25</v>
      </c>
      <c r="H136" s="153">
        <v>2.04</v>
      </c>
      <c r="I136" s="157">
        <v>3.02</v>
      </c>
      <c r="J136" s="32">
        <v>7.2999999999999995E-2</v>
      </c>
    </row>
    <row r="137" spans="1:10" ht="27.75" customHeight="1" x14ac:dyDescent="0.2">
      <c r="A137" s="151" t="s">
        <v>557</v>
      </c>
      <c r="B137" s="25" t="s">
        <v>765</v>
      </c>
      <c r="C137" s="158">
        <v>0</v>
      </c>
      <c r="D137" s="123">
        <v>2.3359999999999999</v>
      </c>
      <c r="E137" s="124">
        <v>7.5999999999999998E-2</v>
      </c>
      <c r="F137" s="125">
        <v>2.3E-2</v>
      </c>
      <c r="G137" s="153">
        <v>9092.52</v>
      </c>
      <c r="H137" s="153">
        <v>2.04</v>
      </c>
      <c r="I137" s="157">
        <v>3.02</v>
      </c>
      <c r="J137" s="32">
        <v>7.2999999999999995E-2</v>
      </c>
    </row>
    <row r="138" spans="1:10" ht="27.75" customHeight="1" x14ac:dyDescent="0.2">
      <c r="A138" s="151" t="s">
        <v>441</v>
      </c>
      <c r="B138" s="25" t="s">
        <v>766</v>
      </c>
      <c r="C138" s="158" t="s">
        <v>413</v>
      </c>
      <c r="D138" s="126">
        <v>11.465</v>
      </c>
      <c r="E138" s="127">
        <v>0.80500000000000005</v>
      </c>
      <c r="F138" s="125">
        <v>0.72599999999999998</v>
      </c>
      <c r="G138" s="154"/>
      <c r="H138" s="154"/>
      <c r="I138" s="156"/>
      <c r="J138" s="33"/>
    </row>
    <row r="139" spans="1:10" ht="27.75" customHeight="1" x14ac:dyDescent="0.2">
      <c r="A139" s="151" t="s">
        <v>442</v>
      </c>
      <c r="B139" s="25" t="s">
        <v>767</v>
      </c>
      <c r="C139" s="158">
        <v>0</v>
      </c>
      <c r="D139" s="123">
        <v>-3.9239999999999999</v>
      </c>
      <c r="E139" s="124">
        <v>-0.14699999999999999</v>
      </c>
      <c r="F139" s="125">
        <v>-0.05</v>
      </c>
      <c r="G139" s="153">
        <v>0</v>
      </c>
      <c r="H139" s="154"/>
      <c r="I139" s="156"/>
      <c r="J139" s="33"/>
    </row>
    <row r="140" spans="1:10" ht="27.75" customHeight="1" x14ac:dyDescent="0.2">
      <c r="A140" s="151" t="s">
        <v>443</v>
      </c>
      <c r="B140" s="25" t="s">
        <v>768</v>
      </c>
      <c r="C140" s="158">
        <v>0</v>
      </c>
      <c r="D140" s="123">
        <v>-3.7669999999999999</v>
      </c>
      <c r="E140" s="124">
        <v>-0.13900000000000001</v>
      </c>
      <c r="F140" s="125">
        <v>-4.7E-2</v>
      </c>
      <c r="G140" s="153">
        <v>0</v>
      </c>
      <c r="H140" s="154"/>
      <c r="I140" s="156"/>
      <c r="J140" s="33"/>
    </row>
    <row r="141" spans="1:10" ht="27.75" customHeight="1" x14ac:dyDescent="0.2">
      <c r="A141" s="151" t="s">
        <v>444</v>
      </c>
      <c r="B141" s="25" t="s">
        <v>769</v>
      </c>
      <c r="C141" s="158">
        <v>0</v>
      </c>
      <c r="D141" s="123">
        <v>-3.9239999999999999</v>
      </c>
      <c r="E141" s="124">
        <v>-0.14699999999999999</v>
      </c>
      <c r="F141" s="125">
        <v>-0.05</v>
      </c>
      <c r="G141" s="153">
        <v>0</v>
      </c>
      <c r="H141" s="154"/>
      <c r="I141" s="156"/>
      <c r="J141" s="32">
        <v>0.11700000000000001</v>
      </c>
    </row>
    <row r="142" spans="1:10" ht="27.75" customHeight="1" x14ac:dyDescent="0.2">
      <c r="A142" s="151" t="s">
        <v>445</v>
      </c>
      <c r="B142" s="25" t="s">
        <v>770</v>
      </c>
      <c r="C142" s="158">
        <v>0</v>
      </c>
      <c r="D142" s="123">
        <v>-3.7669999999999999</v>
      </c>
      <c r="E142" s="124">
        <v>-0.13900000000000001</v>
      </c>
      <c r="F142" s="125">
        <v>-4.7E-2</v>
      </c>
      <c r="G142" s="153">
        <v>0</v>
      </c>
      <c r="H142" s="154"/>
      <c r="I142" s="156"/>
      <c r="J142" s="32">
        <v>0.114</v>
      </c>
    </row>
    <row r="143" spans="1:10" ht="27.75" customHeight="1" x14ac:dyDescent="0.2">
      <c r="A143" s="151" t="s">
        <v>446</v>
      </c>
      <c r="B143" s="25" t="s">
        <v>771</v>
      </c>
      <c r="C143" s="158">
        <v>0</v>
      </c>
      <c r="D143" s="123">
        <v>-4.1529999999999996</v>
      </c>
      <c r="E143" s="124">
        <v>-0.13900000000000001</v>
      </c>
      <c r="F143" s="125">
        <v>-4.3999999999999997E-2</v>
      </c>
      <c r="G143" s="153">
        <v>9.19</v>
      </c>
      <c r="H143" s="154"/>
      <c r="I143" s="156"/>
      <c r="J143" s="32">
        <v>0.14799999999999999</v>
      </c>
    </row>
    <row r="144" spans="1:10" ht="27.75" customHeight="1" x14ac:dyDescent="0.2">
      <c r="A144" s="151" t="s">
        <v>1924</v>
      </c>
      <c r="B144" s="25" t="s">
        <v>772</v>
      </c>
      <c r="C144" s="158" t="s">
        <v>595</v>
      </c>
      <c r="D144" s="123">
        <v>3.0579999999999998</v>
      </c>
      <c r="E144" s="124">
        <v>0.115</v>
      </c>
      <c r="F144" s="125">
        <v>3.9E-2</v>
      </c>
      <c r="G144" s="153">
        <v>4.32</v>
      </c>
      <c r="H144" s="154"/>
      <c r="I144" s="156"/>
      <c r="J144" s="33"/>
    </row>
    <row r="145" spans="1:10" ht="27.75" customHeight="1" x14ac:dyDescent="0.2">
      <c r="A145" s="151" t="s">
        <v>1925</v>
      </c>
      <c r="B145" s="25" t="s">
        <v>773</v>
      </c>
      <c r="C145" s="158">
        <v>2</v>
      </c>
      <c r="D145" s="123">
        <v>3.0579999999999998</v>
      </c>
      <c r="E145" s="124">
        <v>0.115</v>
      </c>
      <c r="F145" s="125">
        <v>3.9E-2</v>
      </c>
      <c r="G145" s="154"/>
      <c r="H145" s="154"/>
      <c r="I145" s="156"/>
      <c r="J145" s="33"/>
    </row>
    <row r="146" spans="1:10" ht="27.75" customHeight="1" x14ac:dyDescent="0.2">
      <c r="A146" s="151" t="s">
        <v>1926</v>
      </c>
      <c r="B146" s="25" t="s">
        <v>774</v>
      </c>
      <c r="C146" s="158" t="s">
        <v>594</v>
      </c>
      <c r="D146" s="123">
        <v>2.081</v>
      </c>
      <c r="E146" s="124">
        <v>7.8E-2</v>
      </c>
      <c r="F146" s="125">
        <v>2.7E-2</v>
      </c>
      <c r="G146" s="153">
        <v>1.73</v>
      </c>
      <c r="H146" s="154"/>
      <c r="I146" s="156"/>
      <c r="J146" s="33"/>
    </row>
    <row r="147" spans="1:10" ht="27.75" customHeight="1" x14ac:dyDescent="0.2">
      <c r="A147" s="151" t="s">
        <v>1927</v>
      </c>
      <c r="B147" s="25" t="s">
        <v>775</v>
      </c>
      <c r="C147" s="158" t="s">
        <v>594</v>
      </c>
      <c r="D147" s="123">
        <v>2.081</v>
      </c>
      <c r="E147" s="124">
        <v>7.8E-2</v>
      </c>
      <c r="F147" s="125">
        <v>2.7E-2</v>
      </c>
      <c r="G147" s="153">
        <v>2.73</v>
      </c>
      <c r="H147" s="154"/>
      <c r="I147" s="156"/>
      <c r="J147" s="33"/>
    </row>
    <row r="148" spans="1:10" ht="27.75" customHeight="1" x14ac:dyDescent="0.2">
      <c r="A148" s="151" t="s">
        <v>1928</v>
      </c>
      <c r="B148" s="25" t="s">
        <v>776</v>
      </c>
      <c r="C148" s="158" t="s">
        <v>594</v>
      </c>
      <c r="D148" s="123">
        <v>2.081</v>
      </c>
      <c r="E148" s="124">
        <v>7.8E-2</v>
      </c>
      <c r="F148" s="125">
        <v>2.7E-2</v>
      </c>
      <c r="G148" s="153">
        <v>7.17</v>
      </c>
      <c r="H148" s="154"/>
      <c r="I148" s="156"/>
      <c r="J148" s="33"/>
    </row>
    <row r="149" spans="1:10" ht="27.75" customHeight="1" x14ac:dyDescent="0.2">
      <c r="A149" s="151" t="s">
        <v>1929</v>
      </c>
      <c r="B149" s="25" t="s">
        <v>777</v>
      </c>
      <c r="C149" s="158" t="s">
        <v>594</v>
      </c>
      <c r="D149" s="123">
        <v>2.081</v>
      </c>
      <c r="E149" s="124">
        <v>7.8E-2</v>
      </c>
      <c r="F149" s="125">
        <v>2.7E-2</v>
      </c>
      <c r="G149" s="153">
        <v>14.35</v>
      </c>
      <c r="H149" s="154"/>
      <c r="I149" s="156"/>
      <c r="J149" s="33"/>
    </row>
    <row r="150" spans="1:10" ht="27.75" customHeight="1" x14ac:dyDescent="0.2">
      <c r="A150" s="151" t="s">
        <v>1930</v>
      </c>
      <c r="B150" s="25" t="s">
        <v>778</v>
      </c>
      <c r="C150" s="158" t="s">
        <v>594</v>
      </c>
      <c r="D150" s="123">
        <v>2.081</v>
      </c>
      <c r="E150" s="124">
        <v>7.8E-2</v>
      </c>
      <c r="F150" s="125">
        <v>2.7E-2</v>
      </c>
      <c r="G150" s="153">
        <v>40.869999999999997</v>
      </c>
      <c r="H150" s="154"/>
      <c r="I150" s="156"/>
      <c r="J150" s="33"/>
    </row>
    <row r="151" spans="1:10" ht="27.75" customHeight="1" x14ac:dyDescent="0.2">
      <c r="A151" s="151" t="s">
        <v>447</v>
      </c>
      <c r="B151" s="25" t="s">
        <v>779</v>
      </c>
      <c r="C151" s="158">
        <v>4</v>
      </c>
      <c r="D151" s="123">
        <v>2.081</v>
      </c>
      <c r="E151" s="124">
        <v>7.8E-2</v>
      </c>
      <c r="F151" s="125">
        <v>2.7E-2</v>
      </c>
      <c r="G151" s="154"/>
      <c r="H151" s="154"/>
      <c r="I151" s="156"/>
      <c r="J151" s="33"/>
    </row>
    <row r="152" spans="1:10" ht="27.75" customHeight="1" x14ac:dyDescent="0.2">
      <c r="A152" s="151" t="s">
        <v>528</v>
      </c>
      <c r="B152" s="25" t="s">
        <v>780</v>
      </c>
      <c r="C152" s="158">
        <v>0</v>
      </c>
      <c r="D152" s="123">
        <v>1.726</v>
      </c>
      <c r="E152" s="124">
        <v>6.3E-2</v>
      </c>
      <c r="F152" s="125">
        <v>2.1000000000000001E-2</v>
      </c>
      <c r="G152" s="153">
        <v>3.98</v>
      </c>
      <c r="H152" s="153">
        <v>0.76</v>
      </c>
      <c r="I152" s="157">
        <v>1.35</v>
      </c>
      <c r="J152" s="32">
        <v>5.6000000000000001E-2</v>
      </c>
    </row>
    <row r="153" spans="1:10" ht="27.75" customHeight="1" x14ac:dyDescent="0.2">
      <c r="A153" s="151" t="s">
        <v>529</v>
      </c>
      <c r="B153" s="25" t="s">
        <v>781</v>
      </c>
      <c r="C153" s="158">
        <v>0</v>
      </c>
      <c r="D153" s="123">
        <v>1.726</v>
      </c>
      <c r="E153" s="124">
        <v>6.3E-2</v>
      </c>
      <c r="F153" s="125">
        <v>2.1000000000000001E-2</v>
      </c>
      <c r="G153" s="153">
        <v>77.61</v>
      </c>
      <c r="H153" s="153">
        <v>0.76</v>
      </c>
      <c r="I153" s="157">
        <v>1.35</v>
      </c>
      <c r="J153" s="32">
        <v>5.6000000000000001E-2</v>
      </c>
    </row>
    <row r="154" spans="1:10" ht="27.75" customHeight="1" x14ac:dyDescent="0.2">
      <c r="A154" s="151" t="s">
        <v>530</v>
      </c>
      <c r="B154" s="25" t="s">
        <v>782</v>
      </c>
      <c r="C154" s="158">
        <v>0</v>
      </c>
      <c r="D154" s="123">
        <v>1.726</v>
      </c>
      <c r="E154" s="124">
        <v>6.3E-2</v>
      </c>
      <c r="F154" s="125">
        <v>2.1000000000000001E-2</v>
      </c>
      <c r="G154" s="153">
        <v>128.04</v>
      </c>
      <c r="H154" s="153">
        <v>0.76</v>
      </c>
      <c r="I154" s="157">
        <v>1.35</v>
      </c>
      <c r="J154" s="32">
        <v>5.6000000000000001E-2</v>
      </c>
    </row>
    <row r="155" spans="1:10" ht="27.75" customHeight="1" x14ac:dyDescent="0.2">
      <c r="A155" s="151" t="s">
        <v>531</v>
      </c>
      <c r="B155" s="25" t="s">
        <v>783</v>
      </c>
      <c r="C155" s="158">
        <v>0</v>
      </c>
      <c r="D155" s="123">
        <v>1.726</v>
      </c>
      <c r="E155" s="124">
        <v>6.3E-2</v>
      </c>
      <c r="F155" s="125">
        <v>2.1000000000000001E-2</v>
      </c>
      <c r="G155" s="153">
        <v>206.58</v>
      </c>
      <c r="H155" s="153">
        <v>0.76</v>
      </c>
      <c r="I155" s="157">
        <v>1.35</v>
      </c>
      <c r="J155" s="32">
        <v>5.6000000000000001E-2</v>
      </c>
    </row>
    <row r="156" spans="1:10" ht="27.75" customHeight="1" x14ac:dyDescent="0.2">
      <c r="A156" s="151" t="s">
        <v>532</v>
      </c>
      <c r="B156" s="25" t="s">
        <v>784</v>
      </c>
      <c r="C156" s="158">
        <v>0</v>
      </c>
      <c r="D156" s="123">
        <v>1.726</v>
      </c>
      <c r="E156" s="124">
        <v>6.3E-2</v>
      </c>
      <c r="F156" s="125">
        <v>2.1000000000000001E-2</v>
      </c>
      <c r="G156" s="153">
        <v>454.88</v>
      </c>
      <c r="H156" s="153">
        <v>0.76</v>
      </c>
      <c r="I156" s="157">
        <v>1.35</v>
      </c>
      <c r="J156" s="32">
        <v>5.6000000000000001E-2</v>
      </c>
    </row>
    <row r="157" spans="1:10" ht="27.75" customHeight="1" x14ac:dyDescent="0.2">
      <c r="A157" s="151" t="s">
        <v>533</v>
      </c>
      <c r="B157" s="25" t="s">
        <v>785</v>
      </c>
      <c r="C157" s="158">
        <v>0</v>
      </c>
      <c r="D157" s="123">
        <v>1.6850000000000001</v>
      </c>
      <c r="E157" s="124">
        <v>5.7000000000000002E-2</v>
      </c>
      <c r="F157" s="125">
        <v>1.7999999999999999E-2</v>
      </c>
      <c r="G157" s="153">
        <v>4.84</v>
      </c>
      <c r="H157" s="153">
        <v>1.68</v>
      </c>
      <c r="I157" s="157">
        <v>2.13</v>
      </c>
      <c r="J157" s="32">
        <v>5.2999999999999999E-2</v>
      </c>
    </row>
    <row r="158" spans="1:10" ht="27.75" customHeight="1" x14ac:dyDescent="0.2">
      <c r="A158" s="151" t="s">
        <v>534</v>
      </c>
      <c r="B158" s="25" t="s">
        <v>786</v>
      </c>
      <c r="C158" s="158">
        <v>0</v>
      </c>
      <c r="D158" s="123">
        <v>1.6850000000000001</v>
      </c>
      <c r="E158" s="124">
        <v>5.7000000000000002E-2</v>
      </c>
      <c r="F158" s="125">
        <v>1.7999999999999999E-2</v>
      </c>
      <c r="G158" s="153">
        <v>116.55</v>
      </c>
      <c r="H158" s="153">
        <v>1.68</v>
      </c>
      <c r="I158" s="157">
        <v>2.13</v>
      </c>
      <c r="J158" s="32">
        <v>5.2999999999999999E-2</v>
      </c>
    </row>
    <row r="159" spans="1:10" ht="27.75" customHeight="1" x14ac:dyDescent="0.2">
      <c r="A159" s="151" t="s">
        <v>535</v>
      </c>
      <c r="B159" s="25" t="s">
        <v>787</v>
      </c>
      <c r="C159" s="158">
        <v>0</v>
      </c>
      <c r="D159" s="123">
        <v>1.6850000000000001</v>
      </c>
      <c r="E159" s="124">
        <v>5.7000000000000002E-2</v>
      </c>
      <c r="F159" s="125">
        <v>1.7999999999999999E-2</v>
      </c>
      <c r="G159" s="153">
        <v>193.06</v>
      </c>
      <c r="H159" s="153">
        <v>1.68</v>
      </c>
      <c r="I159" s="157">
        <v>2.13</v>
      </c>
      <c r="J159" s="32">
        <v>5.2999999999999999E-2</v>
      </c>
    </row>
    <row r="160" spans="1:10" ht="27.75" customHeight="1" x14ac:dyDescent="0.2">
      <c r="A160" s="151" t="s">
        <v>536</v>
      </c>
      <c r="B160" s="25" t="s">
        <v>788</v>
      </c>
      <c r="C160" s="158">
        <v>0</v>
      </c>
      <c r="D160" s="123">
        <v>1.6850000000000001</v>
      </c>
      <c r="E160" s="124">
        <v>5.7000000000000002E-2</v>
      </c>
      <c r="F160" s="125">
        <v>1.7999999999999999E-2</v>
      </c>
      <c r="G160" s="153">
        <v>312.20999999999998</v>
      </c>
      <c r="H160" s="153">
        <v>1.68</v>
      </c>
      <c r="I160" s="157">
        <v>2.13</v>
      </c>
      <c r="J160" s="32">
        <v>5.2999999999999999E-2</v>
      </c>
    </row>
    <row r="161" spans="1:10" ht="27.75" customHeight="1" x14ac:dyDescent="0.2">
      <c r="A161" s="151" t="s">
        <v>537</v>
      </c>
      <c r="B161" s="25" t="s">
        <v>789</v>
      </c>
      <c r="C161" s="158">
        <v>0</v>
      </c>
      <c r="D161" s="123">
        <v>1.6850000000000001</v>
      </c>
      <c r="E161" s="124">
        <v>5.7000000000000002E-2</v>
      </c>
      <c r="F161" s="125">
        <v>1.7999999999999999E-2</v>
      </c>
      <c r="G161" s="153">
        <v>688.92</v>
      </c>
      <c r="H161" s="153">
        <v>1.68</v>
      </c>
      <c r="I161" s="157">
        <v>2.13</v>
      </c>
      <c r="J161" s="32">
        <v>5.2999999999999999E-2</v>
      </c>
    </row>
    <row r="162" spans="1:10" ht="27.75" customHeight="1" x14ac:dyDescent="0.2">
      <c r="A162" s="151" t="s">
        <v>538</v>
      </c>
      <c r="B162" s="25" t="s">
        <v>790</v>
      </c>
      <c r="C162" s="158">
        <v>0</v>
      </c>
      <c r="D162" s="123">
        <v>1.643</v>
      </c>
      <c r="E162" s="124">
        <v>5.2999999999999999E-2</v>
      </c>
      <c r="F162" s="125">
        <v>1.6E-2</v>
      </c>
      <c r="G162" s="153">
        <v>53.95</v>
      </c>
      <c r="H162" s="153">
        <v>1.43</v>
      </c>
      <c r="I162" s="157">
        <v>2.12</v>
      </c>
      <c r="J162" s="32">
        <v>5.0999999999999997E-2</v>
      </c>
    </row>
    <row r="163" spans="1:10" ht="27.75" customHeight="1" x14ac:dyDescent="0.2">
      <c r="A163" s="151" t="s">
        <v>539</v>
      </c>
      <c r="B163" s="25" t="s">
        <v>791</v>
      </c>
      <c r="C163" s="158">
        <v>0</v>
      </c>
      <c r="D163" s="123">
        <v>1.643</v>
      </c>
      <c r="E163" s="124">
        <v>5.2999999999999999E-2</v>
      </c>
      <c r="F163" s="125">
        <v>1.6E-2</v>
      </c>
      <c r="G163" s="153">
        <v>553.55999999999995</v>
      </c>
      <c r="H163" s="153">
        <v>1.43</v>
      </c>
      <c r="I163" s="157">
        <v>2.12</v>
      </c>
      <c r="J163" s="32">
        <v>5.0999999999999997E-2</v>
      </c>
    </row>
    <row r="164" spans="1:10" ht="27.75" customHeight="1" x14ac:dyDescent="0.2">
      <c r="A164" s="151" t="s">
        <v>540</v>
      </c>
      <c r="B164" s="25" t="s">
        <v>792</v>
      </c>
      <c r="C164" s="158">
        <v>0</v>
      </c>
      <c r="D164" s="123">
        <v>1.643</v>
      </c>
      <c r="E164" s="124">
        <v>5.2999999999999999E-2</v>
      </c>
      <c r="F164" s="125">
        <v>1.6E-2</v>
      </c>
      <c r="G164" s="153">
        <v>2875.19</v>
      </c>
      <c r="H164" s="153">
        <v>1.43</v>
      </c>
      <c r="I164" s="157">
        <v>2.12</v>
      </c>
      <c r="J164" s="32">
        <v>5.0999999999999997E-2</v>
      </c>
    </row>
    <row r="165" spans="1:10" ht="27.75" customHeight="1" x14ac:dyDescent="0.2">
      <c r="A165" s="151" t="s">
        <v>541</v>
      </c>
      <c r="B165" s="25" t="s">
        <v>793</v>
      </c>
      <c r="C165" s="158">
        <v>0</v>
      </c>
      <c r="D165" s="123">
        <v>1.643</v>
      </c>
      <c r="E165" s="124">
        <v>5.2999999999999999E-2</v>
      </c>
      <c r="F165" s="125">
        <v>1.6E-2</v>
      </c>
      <c r="G165" s="153">
        <v>2512.36</v>
      </c>
      <c r="H165" s="153">
        <v>1.43</v>
      </c>
      <c r="I165" s="157">
        <v>2.12</v>
      </c>
      <c r="J165" s="32">
        <v>5.0999999999999997E-2</v>
      </c>
    </row>
    <row r="166" spans="1:10" ht="27.75" customHeight="1" x14ac:dyDescent="0.2">
      <c r="A166" s="151" t="s">
        <v>542</v>
      </c>
      <c r="B166" s="25" t="s">
        <v>794</v>
      </c>
      <c r="C166" s="158">
        <v>0</v>
      </c>
      <c r="D166" s="123">
        <v>1.643</v>
      </c>
      <c r="E166" s="124">
        <v>5.2999999999999999E-2</v>
      </c>
      <c r="F166" s="125">
        <v>1.6E-2</v>
      </c>
      <c r="G166" s="153">
        <v>6394.39</v>
      </c>
      <c r="H166" s="153">
        <v>1.43</v>
      </c>
      <c r="I166" s="157">
        <v>2.12</v>
      </c>
      <c r="J166" s="32">
        <v>5.0999999999999997E-2</v>
      </c>
    </row>
    <row r="167" spans="1:10" ht="27.75" customHeight="1" x14ac:dyDescent="0.2">
      <c r="A167" s="151" t="s">
        <v>448</v>
      </c>
      <c r="B167" s="25" t="s">
        <v>795</v>
      </c>
      <c r="C167" s="158" t="s">
        <v>413</v>
      </c>
      <c r="D167" s="126">
        <v>8.0630000000000006</v>
      </c>
      <c r="E167" s="127">
        <v>0.56599999999999995</v>
      </c>
      <c r="F167" s="125">
        <v>0.51100000000000001</v>
      </c>
      <c r="G167" s="154"/>
      <c r="H167" s="154"/>
      <c r="I167" s="156"/>
      <c r="J167" s="33"/>
    </row>
    <row r="168" spans="1:10" ht="27.75" customHeight="1" x14ac:dyDescent="0.2">
      <c r="A168" s="151" t="s">
        <v>449</v>
      </c>
      <c r="B168" s="25" t="s">
        <v>796</v>
      </c>
      <c r="C168" s="158">
        <v>0</v>
      </c>
      <c r="D168" s="123">
        <v>-2.76</v>
      </c>
      <c r="E168" s="124">
        <v>-0.104</v>
      </c>
      <c r="F168" s="125">
        <v>-3.5000000000000003E-2</v>
      </c>
      <c r="G168" s="153">
        <v>0</v>
      </c>
      <c r="H168" s="154"/>
      <c r="I168" s="156"/>
      <c r="J168" s="33"/>
    </row>
    <row r="169" spans="1:10" ht="27.75" customHeight="1" x14ac:dyDescent="0.2">
      <c r="A169" s="151" t="s">
        <v>450</v>
      </c>
      <c r="B169" s="25" t="s">
        <v>797</v>
      </c>
      <c r="C169" s="158">
        <v>0</v>
      </c>
      <c r="D169" s="123">
        <v>-2.649</v>
      </c>
      <c r="E169" s="124">
        <v>-9.7000000000000003E-2</v>
      </c>
      <c r="F169" s="125">
        <v>-3.3000000000000002E-2</v>
      </c>
      <c r="G169" s="153">
        <v>0</v>
      </c>
      <c r="H169" s="154"/>
      <c r="I169" s="156"/>
      <c r="J169" s="33"/>
    </row>
    <row r="170" spans="1:10" ht="27.75" customHeight="1" x14ac:dyDescent="0.2">
      <c r="A170" s="151" t="s">
        <v>451</v>
      </c>
      <c r="B170" s="25" t="s">
        <v>798</v>
      </c>
      <c r="C170" s="158">
        <v>0</v>
      </c>
      <c r="D170" s="123">
        <v>-2.76</v>
      </c>
      <c r="E170" s="124">
        <v>-0.104</v>
      </c>
      <c r="F170" s="125">
        <v>-3.5000000000000003E-2</v>
      </c>
      <c r="G170" s="153">
        <v>0</v>
      </c>
      <c r="H170" s="154"/>
      <c r="I170" s="156"/>
      <c r="J170" s="32">
        <v>8.3000000000000004E-2</v>
      </c>
    </row>
    <row r="171" spans="1:10" ht="27.75" customHeight="1" x14ac:dyDescent="0.2">
      <c r="A171" s="151" t="s">
        <v>452</v>
      </c>
      <c r="B171" s="25" t="s">
        <v>799</v>
      </c>
      <c r="C171" s="158">
        <v>0</v>
      </c>
      <c r="D171" s="123">
        <v>-2.649</v>
      </c>
      <c r="E171" s="124">
        <v>-9.7000000000000003E-2</v>
      </c>
      <c r="F171" s="125">
        <v>-3.3000000000000002E-2</v>
      </c>
      <c r="G171" s="153">
        <v>0</v>
      </c>
      <c r="H171" s="154"/>
      <c r="I171" s="156"/>
      <c r="J171" s="32">
        <v>0.08</v>
      </c>
    </row>
    <row r="172" spans="1:10" ht="27.75" customHeight="1" x14ac:dyDescent="0.2">
      <c r="A172" s="151" t="s">
        <v>453</v>
      </c>
      <c r="B172" s="25" t="s">
        <v>800</v>
      </c>
      <c r="C172" s="158">
        <v>0</v>
      </c>
      <c r="D172" s="123">
        <v>-2.92</v>
      </c>
      <c r="E172" s="124">
        <v>-9.8000000000000004E-2</v>
      </c>
      <c r="F172" s="125">
        <v>-3.1E-2</v>
      </c>
      <c r="G172" s="153">
        <v>6.46</v>
      </c>
      <c r="H172" s="154"/>
      <c r="I172" s="156"/>
      <c r="J172" s="32">
        <v>0.104</v>
      </c>
    </row>
    <row r="173" spans="1:10" ht="27.75" customHeight="1" x14ac:dyDescent="0.2">
      <c r="A173" s="151" t="s">
        <v>1931</v>
      </c>
      <c r="B173" s="25" t="s">
        <v>801</v>
      </c>
      <c r="C173" s="158" t="s">
        <v>595</v>
      </c>
      <c r="D173" s="123">
        <v>1.05</v>
      </c>
      <c r="E173" s="124">
        <v>3.9E-2</v>
      </c>
      <c r="F173" s="125">
        <v>1.2999999999999999E-2</v>
      </c>
      <c r="G173" s="153">
        <v>2.13</v>
      </c>
      <c r="H173" s="154"/>
      <c r="I173" s="156"/>
      <c r="J173" s="33"/>
    </row>
    <row r="174" spans="1:10" ht="27.75" customHeight="1" x14ac:dyDescent="0.2">
      <c r="A174" s="151" t="s">
        <v>1932</v>
      </c>
      <c r="B174" s="25" t="s">
        <v>802</v>
      </c>
      <c r="C174" s="158">
        <v>2</v>
      </c>
      <c r="D174" s="123">
        <v>1.05</v>
      </c>
      <c r="E174" s="124">
        <v>3.9E-2</v>
      </c>
      <c r="F174" s="125">
        <v>1.2999999999999999E-2</v>
      </c>
      <c r="G174" s="154"/>
      <c r="H174" s="154"/>
      <c r="I174" s="156"/>
      <c r="J174" s="33"/>
    </row>
    <row r="175" spans="1:10" ht="27.75" customHeight="1" x14ac:dyDescent="0.2">
      <c r="A175" s="151" t="s">
        <v>1933</v>
      </c>
      <c r="B175" s="25" t="s">
        <v>803</v>
      </c>
      <c r="C175" s="158" t="s">
        <v>594</v>
      </c>
      <c r="D175" s="123">
        <v>0.71499999999999997</v>
      </c>
      <c r="E175" s="124">
        <v>2.7E-2</v>
      </c>
      <c r="F175" s="125">
        <v>8.9999999999999993E-3</v>
      </c>
      <c r="G175" s="153">
        <v>1.1299999999999999</v>
      </c>
      <c r="H175" s="154"/>
      <c r="I175" s="156"/>
      <c r="J175" s="33"/>
    </row>
    <row r="176" spans="1:10" ht="27.75" customHeight="1" x14ac:dyDescent="0.2">
      <c r="A176" s="151" t="s">
        <v>1934</v>
      </c>
      <c r="B176" s="25" t="s">
        <v>804</v>
      </c>
      <c r="C176" s="158" t="s">
        <v>594</v>
      </c>
      <c r="D176" s="123">
        <v>0.71499999999999997</v>
      </c>
      <c r="E176" s="124">
        <v>2.7E-2</v>
      </c>
      <c r="F176" s="125">
        <v>8.9999999999999993E-3</v>
      </c>
      <c r="G176" s="153">
        <v>1.47</v>
      </c>
      <c r="H176" s="154"/>
      <c r="I176" s="156"/>
      <c r="J176" s="33"/>
    </row>
    <row r="177" spans="1:10" ht="27.75" customHeight="1" x14ac:dyDescent="0.2">
      <c r="A177" s="151" t="s">
        <v>1935</v>
      </c>
      <c r="B177" s="25" t="s">
        <v>805</v>
      </c>
      <c r="C177" s="158" t="s">
        <v>594</v>
      </c>
      <c r="D177" s="123">
        <v>0.71499999999999997</v>
      </c>
      <c r="E177" s="124">
        <v>2.7E-2</v>
      </c>
      <c r="F177" s="125">
        <v>8.9999999999999993E-3</v>
      </c>
      <c r="G177" s="153">
        <v>2.99</v>
      </c>
      <c r="H177" s="154"/>
      <c r="I177" s="156"/>
      <c r="J177" s="33"/>
    </row>
    <row r="178" spans="1:10" ht="27.75" customHeight="1" x14ac:dyDescent="0.2">
      <c r="A178" s="151" t="s">
        <v>1936</v>
      </c>
      <c r="B178" s="25" t="s">
        <v>806</v>
      </c>
      <c r="C178" s="158" t="s">
        <v>594</v>
      </c>
      <c r="D178" s="123">
        <v>0.71499999999999997</v>
      </c>
      <c r="E178" s="124">
        <v>2.7E-2</v>
      </c>
      <c r="F178" s="125">
        <v>8.9999999999999993E-3</v>
      </c>
      <c r="G178" s="153">
        <v>5.46</v>
      </c>
      <c r="H178" s="154"/>
      <c r="I178" s="156"/>
      <c r="J178" s="33"/>
    </row>
    <row r="179" spans="1:10" ht="27.75" customHeight="1" x14ac:dyDescent="0.2">
      <c r="A179" s="151" t="s">
        <v>1937</v>
      </c>
      <c r="B179" s="25" t="s">
        <v>807</v>
      </c>
      <c r="C179" s="158" t="s">
        <v>594</v>
      </c>
      <c r="D179" s="123">
        <v>0.71499999999999997</v>
      </c>
      <c r="E179" s="124">
        <v>2.7E-2</v>
      </c>
      <c r="F179" s="125">
        <v>8.9999999999999993E-3</v>
      </c>
      <c r="G179" s="153">
        <v>14.56</v>
      </c>
      <c r="H179" s="154"/>
      <c r="I179" s="156"/>
      <c r="J179" s="33"/>
    </row>
    <row r="180" spans="1:10" ht="27.75" customHeight="1" x14ac:dyDescent="0.2">
      <c r="A180" s="151" t="s">
        <v>454</v>
      </c>
      <c r="B180" s="25" t="s">
        <v>808</v>
      </c>
      <c r="C180" s="158">
        <v>4</v>
      </c>
      <c r="D180" s="123">
        <v>0.71499999999999997</v>
      </c>
      <c r="E180" s="124">
        <v>2.7E-2</v>
      </c>
      <c r="F180" s="125">
        <v>8.9999999999999993E-3</v>
      </c>
      <c r="G180" s="154"/>
      <c r="H180" s="154"/>
      <c r="I180" s="156"/>
      <c r="J180" s="33"/>
    </row>
    <row r="181" spans="1:10" ht="27.75" customHeight="1" x14ac:dyDescent="0.2">
      <c r="A181" s="151" t="s">
        <v>513</v>
      </c>
      <c r="B181" s="25" t="s">
        <v>809</v>
      </c>
      <c r="C181" s="158">
        <v>0</v>
      </c>
      <c r="D181" s="123">
        <v>0.59199999999999997</v>
      </c>
      <c r="E181" s="124">
        <v>2.1999999999999999E-2</v>
      </c>
      <c r="F181" s="125">
        <v>7.0000000000000001E-3</v>
      </c>
      <c r="G181" s="153">
        <v>1.9</v>
      </c>
      <c r="H181" s="153">
        <v>0.26</v>
      </c>
      <c r="I181" s="157">
        <v>0.46</v>
      </c>
      <c r="J181" s="32">
        <v>1.9E-2</v>
      </c>
    </row>
    <row r="182" spans="1:10" ht="27.75" customHeight="1" x14ac:dyDescent="0.2">
      <c r="A182" s="151" t="s">
        <v>514</v>
      </c>
      <c r="B182" s="25" t="s">
        <v>810</v>
      </c>
      <c r="C182" s="158">
        <v>0</v>
      </c>
      <c r="D182" s="123">
        <v>0.59199999999999997</v>
      </c>
      <c r="E182" s="124">
        <v>2.1999999999999999E-2</v>
      </c>
      <c r="F182" s="125">
        <v>7.0000000000000001E-3</v>
      </c>
      <c r="G182" s="153">
        <v>27.18</v>
      </c>
      <c r="H182" s="153">
        <v>0.26</v>
      </c>
      <c r="I182" s="157">
        <v>0.46</v>
      </c>
      <c r="J182" s="32">
        <v>1.9E-2</v>
      </c>
    </row>
    <row r="183" spans="1:10" ht="27.75" customHeight="1" x14ac:dyDescent="0.2">
      <c r="A183" s="151" t="s">
        <v>515</v>
      </c>
      <c r="B183" s="25" t="s">
        <v>811</v>
      </c>
      <c r="C183" s="158">
        <v>0</v>
      </c>
      <c r="D183" s="123">
        <v>0.59199999999999997</v>
      </c>
      <c r="E183" s="124">
        <v>2.1999999999999999E-2</v>
      </c>
      <c r="F183" s="125">
        <v>7.0000000000000001E-3</v>
      </c>
      <c r="G183" s="153">
        <v>44.49</v>
      </c>
      <c r="H183" s="153">
        <v>0.26</v>
      </c>
      <c r="I183" s="157">
        <v>0.46</v>
      </c>
      <c r="J183" s="32">
        <v>1.9E-2</v>
      </c>
    </row>
    <row r="184" spans="1:10" ht="27.75" customHeight="1" x14ac:dyDescent="0.2">
      <c r="A184" s="151" t="s">
        <v>516</v>
      </c>
      <c r="B184" s="25" t="s">
        <v>812</v>
      </c>
      <c r="C184" s="158">
        <v>0</v>
      </c>
      <c r="D184" s="123">
        <v>0.59199999999999997</v>
      </c>
      <c r="E184" s="124">
        <v>2.1999999999999999E-2</v>
      </c>
      <c r="F184" s="125">
        <v>7.0000000000000001E-3</v>
      </c>
      <c r="G184" s="153">
        <v>71.459999999999994</v>
      </c>
      <c r="H184" s="153">
        <v>0.26</v>
      </c>
      <c r="I184" s="157">
        <v>0.46</v>
      </c>
      <c r="J184" s="32">
        <v>1.9E-2</v>
      </c>
    </row>
    <row r="185" spans="1:10" ht="27.75" customHeight="1" x14ac:dyDescent="0.2">
      <c r="A185" s="151" t="s">
        <v>517</v>
      </c>
      <c r="B185" s="25" t="s">
        <v>813</v>
      </c>
      <c r="C185" s="158">
        <v>0</v>
      </c>
      <c r="D185" s="123">
        <v>0.59199999999999997</v>
      </c>
      <c r="E185" s="124">
        <v>2.1999999999999999E-2</v>
      </c>
      <c r="F185" s="125">
        <v>7.0000000000000001E-3</v>
      </c>
      <c r="G185" s="153">
        <v>156.69999999999999</v>
      </c>
      <c r="H185" s="153">
        <v>0.26</v>
      </c>
      <c r="I185" s="157">
        <v>0.46</v>
      </c>
      <c r="J185" s="32">
        <v>1.9E-2</v>
      </c>
    </row>
    <row r="186" spans="1:10" ht="27.75" customHeight="1" x14ac:dyDescent="0.2">
      <c r="A186" s="151" t="s">
        <v>518</v>
      </c>
      <c r="B186" s="25" t="s">
        <v>814</v>
      </c>
      <c r="C186" s="158">
        <v>0</v>
      </c>
      <c r="D186" s="123">
        <v>0.57899999999999996</v>
      </c>
      <c r="E186" s="124">
        <v>0.02</v>
      </c>
      <c r="F186" s="125">
        <v>6.0000000000000001E-3</v>
      </c>
      <c r="G186" s="153">
        <v>2.19</v>
      </c>
      <c r="H186" s="153">
        <v>0.57999999999999996</v>
      </c>
      <c r="I186" s="157">
        <v>0.73</v>
      </c>
      <c r="J186" s="32">
        <v>1.7999999999999999E-2</v>
      </c>
    </row>
    <row r="187" spans="1:10" ht="27.75" customHeight="1" x14ac:dyDescent="0.2">
      <c r="A187" s="151" t="s">
        <v>519</v>
      </c>
      <c r="B187" s="25" t="s">
        <v>815</v>
      </c>
      <c r="C187" s="158">
        <v>0</v>
      </c>
      <c r="D187" s="123">
        <v>0.57899999999999996</v>
      </c>
      <c r="E187" s="124">
        <v>0.02</v>
      </c>
      <c r="F187" s="125">
        <v>6.0000000000000001E-3</v>
      </c>
      <c r="G187" s="153">
        <v>40.549999999999997</v>
      </c>
      <c r="H187" s="153">
        <v>0.57999999999999996</v>
      </c>
      <c r="I187" s="157">
        <v>0.73</v>
      </c>
      <c r="J187" s="32">
        <v>1.7999999999999999E-2</v>
      </c>
    </row>
    <row r="188" spans="1:10" ht="27.75" customHeight="1" x14ac:dyDescent="0.2">
      <c r="A188" s="151" t="s">
        <v>520</v>
      </c>
      <c r="B188" s="25" t="s">
        <v>816</v>
      </c>
      <c r="C188" s="158">
        <v>0</v>
      </c>
      <c r="D188" s="123">
        <v>0.57899999999999996</v>
      </c>
      <c r="E188" s="124">
        <v>0.02</v>
      </c>
      <c r="F188" s="125">
        <v>6.0000000000000001E-3</v>
      </c>
      <c r="G188" s="153">
        <v>66.819999999999993</v>
      </c>
      <c r="H188" s="153">
        <v>0.57999999999999996</v>
      </c>
      <c r="I188" s="157">
        <v>0.73</v>
      </c>
      <c r="J188" s="32">
        <v>1.7999999999999999E-2</v>
      </c>
    </row>
    <row r="189" spans="1:10" ht="27.75" customHeight="1" x14ac:dyDescent="0.2">
      <c r="A189" s="151" t="s">
        <v>521</v>
      </c>
      <c r="B189" s="25" t="s">
        <v>817</v>
      </c>
      <c r="C189" s="158">
        <v>0</v>
      </c>
      <c r="D189" s="123">
        <v>0.57899999999999996</v>
      </c>
      <c r="E189" s="124">
        <v>0.02</v>
      </c>
      <c r="F189" s="125">
        <v>6.0000000000000001E-3</v>
      </c>
      <c r="G189" s="153">
        <v>107.72</v>
      </c>
      <c r="H189" s="153">
        <v>0.57999999999999996</v>
      </c>
      <c r="I189" s="157">
        <v>0.73</v>
      </c>
      <c r="J189" s="32">
        <v>1.7999999999999999E-2</v>
      </c>
    </row>
    <row r="190" spans="1:10" ht="27.75" customHeight="1" x14ac:dyDescent="0.2">
      <c r="A190" s="151" t="s">
        <v>522</v>
      </c>
      <c r="B190" s="25" t="s">
        <v>818</v>
      </c>
      <c r="C190" s="158">
        <v>0</v>
      </c>
      <c r="D190" s="123">
        <v>0.57899999999999996</v>
      </c>
      <c r="E190" s="124">
        <v>0.02</v>
      </c>
      <c r="F190" s="125">
        <v>6.0000000000000001E-3</v>
      </c>
      <c r="G190" s="153">
        <v>237.06</v>
      </c>
      <c r="H190" s="153">
        <v>0.57999999999999996</v>
      </c>
      <c r="I190" s="157">
        <v>0.73</v>
      </c>
      <c r="J190" s="32">
        <v>1.7999999999999999E-2</v>
      </c>
    </row>
    <row r="191" spans="1:10" ht="27.75" customHeight="1" x14ac:dyDescent="0.2">
      <c r="A191" s="151" t="s">
        <v>523</v>
      </c>
      <c r="B191" s="25" t="s">
        <v>819</v>
      </c>
      <c r="C191" s="158">
        <v>0</v>
      </c>
      <c r="D191" s="123">
        <v>0.56399999999999995</v>
      </c>
      <c r="E191" s="124">
        <v>1.7999999999999999E-2</v>
      </c>
      <c r="F191" s="125">
        <v>5.0000000000000001E-3</v>
      </c>
      <c r="G191" s="153">
        <v>19.05</v>
      </c>
      <c r="H191" s="153">
        <v>0.49</v>
      </c>
      <c r="I191" s="157">
        <v>0.73</v>
      </c>
      <c r="J191" s="32">
        <v>1.7999999999999999E-2</v>
      </c>
    </row>
    <row r="192" spans="1:10" ht="27.75" customHeight="1" x14ac:dyDescent="0.2">
      <c r="A192" s="151" t="s">
        <v>524</v>
      </c>
      <c r="B192" s="25" t="s">
        <v>820</v>
      </c>
      <c r="C192" s="158">
        <v>0</v>
      </c>
      <c r="D192" s="123">
        <v>0.56399999999999995</v>
      </c>
      <c r="E192" s="124">
        <v>1.7999999999999999E-2</v>
      </c>
      <c r="F192" s="125">
        <v>5.0000000000000001E-3</v>
      </c>
      <c r="G192" s="153">
        <v>190.59</v>
      </c>
      <c r="H192" s="153">
        <v>0.49</v>
      </c>
      <c r="I192" s="157">
        <v>0.73</v>
      </c>
      <c r="J192" s="32">
        <v>1.7999999999999999E-2</v>
      </c>
    </row>
    <row r="193" spans="1:10" ht="27.75" customHeight="1" x14ac:dyDescent="0.2">
      <c r="A193" s="151" t="s">
        <v>525</v>
      </c>
      <c r="B193" s="25" t="s">
        <v>821</v>
      </c>
      <c r="C193" s="158">
        <v>0</v>
      </c>
      <c r="D193" s="123">
        <v>0.56399999999999995</v>
      </c>
      <c r="E193" s="124">
        <v>1.7999999999999999E-2</v>
      </c>
      <c r="F193" s="125">
        <v>5.0000000000000001E-3</v>
      </c>
      <c r="G193" s="153">
        <v>987.68</v>
      </c>
      <c r="H193" s="153">
        <v>0.49</v>
      </c>
      <c r="I193" s="157">
        <v>0.73</v>
      </c>
      <c r="J193" s="32">
        <v>1.7999999999999999E-2</v>
      </c>
    </row>
    <row r="194" spans="1:10" ht="27.75" customHeight="1" x14ac:dyDescent="0.2">
      <c r="A194" s="151" t="s">
        <v>526</v>
      </c>
      <c r="B194" s="25" t="s">
        <v>822</v>
      </c>
      <c r="C194" s="158">
        <v>0</v>
      </c>
      <c r="D194" s="123">
        <v>0.56399999999999995</v>
      </c>
      <c r="E194" s="124">
        <v>1.7999999999999999E-2</v>
      </c>
      <c r="F194" s="125">
        <v>5.0000000000000001E-3</v>
      </c>
      <c r="G194" s="153">
        <v>863.11</v>
      </c>
      <c r="H194" s="153">
        <v>0.49</v>
      </c>
      <c r="I194" s="157">
        <v>0.73</v>
      </c>
      <c r="J194" s="32">
        <v>1.7999999999999999E-2</v>
      </c>
    </row>
    <row r="195" spans="1:10" ht="27.75" customHeight="1" x14ac:dyDescent="0.2">
      <c r="A195" s="151" t="s">
        <v>527</v>
      </c>
      <c r="B195" s="25" t="s">
        <v>823</v>
      </c>
      <c r="C195" s="158">
        <v>0</v>
      </c>
      <c r="D195" s="123">
        <v>0.56399999999999995</v>
      </c>
      <c r="E195" s="124">
        <v>1.7999999999999999E-2</v>
      </c>
      <c r="F195" s="125">
        <v>5.0000000000000001E-3</v>
      </c>
      <c r="G195" s="153">
        <v>2195.9499999999998</v>
      </c>
      <c r="H195" s="153">
        <v>0.49</v>
      </c>
      <c r="I195" s="157">
        <v>0.73</v>
      </c>
      <c r="J195" s="32">
        <v>1.7999999999999999E-2</v>
      </c>
    </row>
    <row r="196" spans="1:10" ht="27.75" customHeight="1" x14ac:dyDescent="0.2">
      <c r="A196" s="151" t="s">
        <v>455</v>
      </c>
      <c r="B196" s="25" t="s">
        <v>824</v>
      </c>
      <c r="C196" s="158" t="s">
        <v>413</v>
      </c>
      <c r="D196" s="126">
        <v>2.7679999999999998</v>
      </c>
      <c r="E196" s="127">
        <v>0.19400000000000001</v>
      </c>
      <c r="F196" s="125">
        <v>0.17499999999999999</v>
      </c>
      <c r="G196" s="154"/>
      <c r="H196" s="154"/>
      <c r="I196" s="156"/>
      <c r="J196" s="33"/>
    </row>
    <row r="197" spans="1:10" ht="27.75" customHeight="1" x14ac:dyDescent="0.2">
      <c r="A197" s="151" t="s">
        <v>456</v>
      </c>
      <c r="B197" s="25" t="s">
        <v>825</v>
      </c>
      <c r="C197" s="158">
        <v>0</v>
      </c>
      <c r="D197" s="123">
        <v>-0.94799999999999995</v>
      </c>
      <c r="E197" s="124">
        <v>-3.5999999999999997E-2</v>
      </c>
      <c r="F197" s="125">
        <v>-1.2E-2</v>
      </c>
      <c r="G197" s="153">
        <v>0</v>
      </c>
      <c r="H197" s="154"/>
      <c r="I197" s="156"/>
      <c r="J197" s="33"/>
    </row>
    <row r="198" spans="1:10" ht="27.75" customHeight="1" x14ac:dyDescent="0.2">
      <c r="A198" s="151" t="s">
        <v>457</v>
      </c>
      <c r="B198" s="25" t="s">
        <v>826</v>
      </c>
      <c r="C198" s="158">
        <v>0</v>
      </c>
      <c r="D198" s="123">
        <v>-0.91</v>
      </c>
      <c r="E198" s="124">
        <v>-3.3000000000000002E-2</v>
      </c>
      <c r="F198" s="125">
        <v>-1.0999999999999999E-2</v>
      </c>
      <c r="G198" s="153">
        <v>0</v>
      </c>
      <c r="H198" s="154"/>
      <c r="I198" s="156"/>
      <c r="J198" s="33"/>
    </row>
    <row r="199" spans="1:10" ht="27.75" customHeight="1" x14ac:dyDescent="0.2">
      <c r="A199" s="151" t="s">
        <v>458</v>
      </c>
      <c r="B199" s="25" t="s">
        <v>827</v>
      </c>
      <c r="C199" s="158">
        <v>0</v>
      </c>
      <c r="D199" s="123">
        <v>-0.94799999999999995</v>
      </c>
      <c r="E199" s="124">
        <v>-3.5999999999999997E-2</v>
      </c>
      <c r="F199" s="125">
        <v>-1.2E-2</v>
      </c>
      <c r="G199" s="153">
        <v>0</v>
      </c>
      <c r="H199" s="154"/>
      <c r="I199" s="156"/>
      <c r="J199" s="32">
        <v>2.8000000000000001E-2</v>
      </c>
    </row>
    <row r="200" spans="1:10" ht="27.75" customHeight="1" x14ac:dyDescent="0.2">
      <c r="A200" s="151" t="s">
        <v>459</v>
      </c>
      <c r="B200" s="25" t="s">
        <v>828</v>
      </c>
      <c r="C200" s="158">
        <v>0</v>
      </c>
      <c r="D200" s="123">
        <v>-0.91</v>
      </c>
      <c r="E200" s="124">
        <v>-3.3000000000000002E-2</v>
      </c>
      <c r="F200" s="125">
        <v>-1.0999999999999999E-2</v>
      </c>
      <c r="G200" s="153">
        <v>0</v>
      </c>
      <c r="H200" s="154"/>
      <c r="I200" s="156"/>
      <c r="J200" s="32">
        <v>2.8000000000000001E-2</v>
      </c>
    </row>
    <row r="201" spans="1:10" ht="27.75" customHeight="1" x14ac:dyDescent="0.2">
      <c r="A201" s="151" t="s">
        <v>460</v>
      </c>
      <c r="B201" s="25" t="s">
        <v>829</v>
      </c>
      <c r="C201" s="158">
        <v>0</v>
      </c>
      <c r="D201" s="123">
        <v>-1.0029999999999999</v>
      </c>
      <c r="E201" s="124">
        <v>-3.4000000000000002E-2</v>
      </c>
      <c r="F201" s="125">
        <v>-1.0999999999999999E-2</v>
      </c>
      <c r="G201" s="153">
        <v>2.2200000000000002</v>
      </c>
      <c r="H201" s="154"/>
      <c r="I201" s="156"/>
      <c r="J201" s="32">
        <v>3.5999999999999997E-2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99"/>
  <sheetViews>
    <sheetView zoomScale="80" zoomScaleNormal="80" zoomScaleSheetLayoutView="100" workbookViewId="0"/>
  </sheetViews>
  <sheetFormatPr defaultRowHeight="12.75" x14ac:dyDescent="0.2"/>
  <cols>
    <col min="1" max="1" width="43.42578125" bestFit="1" customWidth="1"/>
    <col min="2" max="7" width="24" customWidth="1"/>
  </cols>
  <sheetData>
    <row r="1" spans="1:7" ht="27.75" customHeight="1" x14ac:dyDescent="0.2">
      <c r="A1" s="120" t="s">
        <v>19</v>
      </c>
    </row>
    <row r="2" spans="1:7" ht="44.25" customHeight="1" x14ac:dyDescent="0.2">
      <c r="A2" s="277" t="s">
        <v>1887</v>
      </c>
      <c r="B2" s="277"/>
      <c r="C2" s="277"/>
      <c r="D2" s="277"/>
      <c r="E2" s="277"/>
      <c r="F2" s="277"/>
      <c r="G2" s="277"/>
    </row>
    <row r="3" spans="1:7" ht="47.25" customHeight="1" x14ac:dyDescent="0.2">
      <c r="A3" s="282" t="str">
        <f>Overview!B4&amp; " - Illustrative LLFs for year beginning "&amp;Overview!D4</f>
        <v>South Eastern Power Networks - Illustrative LLFs for year beginning 1 April 2024</v>
      </c>
      <c r="B3" s="283"/>
      <c r="C3" s="283"/>
      <c r="D3" s="283"/>
      <c r="E3" s="283"/>
      <c r="F3" s="283"/>
      <c r="G3" s="283"/>
    </row>
    <row r="4" spans="1:7" ht="19.5" customHeight="1" x14ac:dyDescent="0.2">
      <c r="A4" s="284" t="s">
        <v>12</v>
      </c>
      <c r="B4" s="284"/>
      <c r="C4" s="20" t="s">
        <v>4</v>
      </c>
      <c r="D4" s="20" t="s">
        <v>5</v>
      </c>
      <c r="E4" s="20" t="s">
        <v>6</v>
      </c>
      <c r="F4" s="20" t="s">
        <v>7</v>
      </c>
      <c r="G4" s="20" t="s">
        <v>619</v>
      </c>
    </row>
    <row r="5" spans="1:7" ht="19.5" customHeight="1" x14ac:dyDescent="0.2">
      <c r="A5" s="284"/>
      <c r="B5" s="284"/>
      <c r="C5" s="20" t="s">
        <v>620</v>
      </c>
      <c r="D5" s="20" t="s">
        <v>621</v>
      </c>
      <c r="E5" s="20" t="s">
        <v>622</v>
      </c>
      <c r="F5" s="20" t="s">
        <v>623</v>
      </c>
      <c r="G5" s="20" t="s">
        <v>624</v>
      </c>
    </row>
    <row r="6" spans="1:7" ht="45" customHeight="1" x14ac:dyDescent="0.2">
      <c r="A6" s="238" t="s">
        <v>625</v>
      </c>
      <c r="B6" s="238"/>
      <c r="C6" s="21" t="s">
        <v>633</v>
      </c>
      <c r="D6" s="170"/>
      <c r="E6" s="169" t="s">
        <v>634</v>
      </c>
      <c r="F6" s="170"/>
      <c r="G6" s="170"/>
    </row>
    <row r="7" spans="1:7" ht="45" customHeight="1" x14ac:dyDescent="0.2">
      <c r="A7" s="238" t="s">
        <v>626</v>
      </c>
      <c r="B7" s="238"/>
      <c r="C7" s="170"/>
      <c r="D7" s="21" t="s">
        <v>635</v>
      </c>
      <c r="E7" s="170"/>
      <c r="F7" s="170"/>
      <c r="G7" s="170"/>
    </row>
    <row r="8" spans="1:7" ht="45" customHeight="1" x14ac:dyDescent="0.2">
      <c r="A8" s="238" t="s">
        <v>627</v>
      </c>
      <c r="B8" s="238"/>
      <c r="C8" s="170"/>
      <c r="D8" s="170"/>
      <c r="E8" s="21" t="s">
        <v>635</v>
      </c>
      <c r="F8" s="170"/>
      <c r="G8" s="170"/>
    </row>
    <row r="9" spans="1:7" ht="25.5" customHeight="1" x14ac:dyDescent="0.2">
      <c r="A9" s="238" t="s">
        <v>628</v>
      </c>
      <c r="B9" s="238"/>
      <c r="C9" s="170"/>
      <c r="D9" s="170"/>
      <c r="E9" s="170"/>
      <c r="F9" s="169" t="s">
        <v>636</v>
      </c>
      <c r="G9" s="169" t="s">
        <v>629</v>
      </c>
    </row>
    <row r="10" spans="1:7" ht="21" customHeight="1" x14ac:dyDescent="0.2">
      <c r="A10" s="238" t="s">
        <v>13</v>
      </c>
      <c r="B10" s="238"/>
      <c r="C10" s="228" t="s">
        <v>14</v>
      </c>
      <c r="D10" s="229"/>
      <c r="E10" s="229"/>
      <c r="F10" s="229"/>
      <c r="G10" s="229"/>
    </row>
    <row r="11" spans="1:7" x14ac:dyDescent="0.2">
      <c r="B11" s="12"/>
      <c r="C11" s="12"/>
      <c r="D11" s="12"/>
      <c r="E11" s="12"/>
    </row>
    <row r="12" spans="1:7" ht="22.5" customHeight="1" x14ac:dyDescent="0.2">
      <c r="A12" s="236" t="s">
        <v>42</v>
      </c>
      <c r="B12" s="278"/>
      <c r="C12" s="278"/>
      <c r="D12" s="278"/>
      <c r="E12" s="278"/>
      <c r="F12" s="278"/>
      <c r="G12" s="237"/>
    </row>
    <row r="13" spans="1:7" ht="22.5" customHeight="1" x14ac:dyDescent="0.2">
      <c r="A13" s="236" t="s">
        <v>3</v>
      </c>
      <c r="B13" s="278"/>
      <c r="C13" s="278"/>
      <c r="D13" s="278"/>
      <c r="E13" s="278"/>
      <c r="F13" s="278"/>
      <c r="G13" s="237"/>
    </row>
    <row r="14" spans="1:7" ht="33" customHeight="1" x14ac:dyDescent="0.2">
      <c r="A14" s="20" t="s">
        <v>43</v>
      </c>
      <c r="B14" s="20" t="s">
        <v>4</v>
      </c>
      <c r="C14" s="20" t="s">
        <v>5</v>
      </c>
      <c r="D14" s="20" t="s">
        <v>6</v>
      </c>
      <c r="E14" s="20" t="s">
        <v>7</v>
      </c>
      <c r="F14" s="20" t="s">
        <v>619</v>
      </c>
      <c r="G14" s="20" t="s">
        <v>8</v>
      </c>
    </row>
    <row r="15" spans="1:7" ht="100.5" customHeight="1" x14ac:dyDescent="0.2">
      <c r="A15" s="1" t="s">
        <v>44</v>
      </c>
      <c r="B15" s="197">
        <v>1.1060000000000001</v>
      </c>
      <c r="C15" s="197">
        <v>1.0780000000000001</v>
      </c>
      <c r="D15" s="197">
        <v>1.093</v>
      </c>
      <c r="E15" s="197">
        <v>1.07</v>
      </c>
      <c r="F15" s="197">
        <v>1.083</v>
      </c>
      <c r="G15" s="1" t="s">
        <v>1711</v>
      </c>
    </row>
    <row r="16" spans="1:7" ht="31.5" customHeight="1" x14ac:dyDescent="0.2">
      <c r="A16" s="1" t="s">
        <v>45</v>
      </c>
      <c r="B16" s="197">
        <v>1.0469999999999999</v>
      </c>
      <c r="C16" s="197">
        <v>1.0389999999999999</v>
      </c>
      <c r="D16" s="197">
        <v>1.0429999999999999</v>
      </c>
      <c r="E16" s="197">
        <v>1.0389999999999999</v>
      </c>
      <c r="F16" s="197">
        <v>1.0409999999999999</v>
      </c>
      <c r="G16" s="1" t="s">
        <v>1712</v>
      </c>
    </row>
    <row r="17" spans="1:7" ht="33" customHeight="1" x14ac:dyDescent="0.2">
      <c r="A17" s="1" t="s">
        <v>46</v>
      </c>
      <c r="B17" s="197">
        <v>1.036</v>
      </c>
      <c r="C17" s="197">
        <v>1.028</v>
      </c>
      <c r="D17" s="197">
        <v>1.032</v>
      </c>
      <c r="E17" s="197">
        <v>1.0249999999999999</v>
      </c>
      <c r="F17" s="197">
        <v>1.0289999999999999</v>
      </c>
      <c r="G17" s="1" t="s">
        <v>1713</v>
      </c>
    </row>
    <row r="18" spans="1:7" ht="27.75" customHeight="1" x14ac:dyDescent="0.2">
      <c r="A18" s="1" t="s">
        <v>47</v>
      </c>
      <c r="B18" s="197">
        <v>1.03</v>
      </c>
      <c r="C18" s="197">
        <v>1.024</v>
      </c>
      <c r="D18" s="197">
        <v>1.0269999999999999</v>
      </c>
      <c r="E18" s="197">
        <v>1.022</v>
      </c>
      <c r="F18" s="197">
        <v>1.0249999999999999</v>
      </c>
      <c r="G18" s="198" t="s">
        <v>1714</v>
      </c>
    </row>
    <row r="19" spans="1:7" ht="26.25" customHeight="1" x14ac:dyDescent="0.2">
      <c r="A19" s="1" t="s">
        <v>48</v>
      </c>
      <c r="B19" s="197">
        <v>1.0169999999999999</v>
      </c>
      <c r="C19" s="197">
        <v>1.0129999999999999</v>
      </c>
      <c r="D19" s="197">
        <v>1.0149999999999999</v>
      </c>
      <c r="E19" s="197">
        <v>1.012</v>
      </c>
      <c r="F19" s="197">
        <v>1.014</v>
      </c>
      <c r="G19" s="198" t="s">
        <v>1715</v>
      </c>
    </row>
    <row r="20" spans="1:7" ht="25.5" customHeight="1" x14ac:dyDescent="0.2">
      <c r="A20" s="1" t="s">
        <v>49</v>
      </c>
      <c r="B20" s="197">
        <v>1.006</v>
      </c>
      <c r="C20" s="197">
        <v>1.0049999999999999</v>
      </c>
      <c r="D20" s="197">
        <v>1.006</v>
      </c>
      <c r="E20" s="197">
        <v>1.004</v>
      </c>
      <c r="F20" s="197">
        <v>1.0049999999999999</v>
      </c>
      <c r="G20" s="198" t="s">
        <v>1716</v>
      </c>
    </row>
    <row r="21" spans="1:7" ht="22.5" customHeight="1" x14ac:dyDescent="0.2"/>
    <row r="22" spans="1:7" ht="22.5" customHeight="1" x14ac:dyDescent="0.2">
      <c r="A22" s="236" t="s">
        <v>50</v>
      </c>
      <c r="B22" s="278"/>
      <c r="C22" s="278"/>
      <c r="D22" s="278"/>
      <c r="E22" s="278"/>
      <c r="F22" s="278"/>
      <c r="G22" s="237"/>
    </row>
    <row r="23" spans="1:7" ht="22.5" customHeight="1" x14ac:dyDescent="0.2">
      <c r="A23" s="284" t="s">
        <v>10</v>
      </c>
      <c r="B23" s="284"/>
      <c r="C23" s="284"/>
      <c r="D23" s="284"/>
      <c r="E23" s="284"/>
      <c r="F23" s="284"/>
      <c r="G23" s="284"/>
    </row>
    <row r="24" spans="1:7" ht="22.5" customHeight="1" x14ac:dyDescent="0.2">
      <c r="A24" s="20" t="s">
        <v>9</v>
      </c>
      <c r="B24" s="20" t="s">
        <v>4</v>
      </c>
      <c r="C24" s="20" t="s">
        <v>5</v>
      </c>
      <c r="D24" s="20" t="s">
        <v>6</v>
      </c>
      <c r="E24" s="20" t="s">
        <v>7</v>
      </c>
      <c r="F24" s="20" t="s">
        <v>619</v>
      </c>
      <c r="G24" s="20" t="s">
        <v>8</v>
      </c>
    </row>
    <row r="25" spans="1:7" ht="20.25" customHeight="1" x14ac:dyDescent="0.2">
      <c r="A25" s="202" t="s">
        <v>1717</v>
      </c>
      <c r="B25" s="197">
        <v>1.0349999999999999</v>
      </c>
      <c r="C25" s="197">
        <v>1.05</v>
      </c>
      <c r="D25" s="197">
        <v>1.0489999999999999</v>
      </c>
      <c r="E25" s="197">
        <v>1.046</v>
      </c>
      <c r="F25" s="197">
        <v>1.048</v>
      </c>
      <c r="G25" s="199">
        <v>800</v>
      </c>
    </row>
    <row r="26" spans="1:7" ht="20.25" customHeight="1" x14ac:dyDescent="0.2">
      <c r="A26" s="202" t="s">
        <v>1718</v>
      </c>
      <c r="B26" s="197">
        <v>1.0469999999999999</v>
      </c>
      <c r="C26" s="197">
        <v>1.016</v>
      </c>
      <c r="D26" s="197">
        <v>1.048</v>
      </c>
      <c r="E26" s="197">
        <v>1.03</v>
      </c>
      <c r="F26" s="197">
        <v>1.032</v>
      </c>
      <c r="G26" s="199">
        <v>802</v>
      </c>
    </row>
    <row r="27" spans="1:7" ht="20.25" customHeight="1" x14ac:dyDescent="0.2">
      <c r="A27" s="202" t="s">
        <v>1719</v>
      </c>
      <c r="B27" s="197">
        <v>1.0169999999999999</v>
      </c>
      <c r="C27" s="197">
        <v>1.0129999999999999</v>
      </c>
      <c r="D27" s="197">
        <v>1.0149999999999999</v>
      </c>
      <c r="E27" s="197">
        <v>1.012</v>
      </c>
      <c r="F27" s="197">
        <v>1.014</v>
      </c>
      <c r="G27" s="199">
        <v>803</v>
      </c>
    </row>
    <row r="28" spans="1:7" ht="20.25" customHeight="1" x14ac:dyDescent="0.2">
      <c r="A28" s="202" t="s">
        <v>1720</v>
      </c>
      <c r="B28" s="197">
        <v>1.0229999999999999</v>
      </c>
      <c r="C28" s="197">
        <v>1.0169999999999999</v>
      </c>
      <c r="D28" s="197">
        <v>1.022</v>
      </c>
      <c r="E28" s="197">
        <v>1.0109999999999999</v>
      </c>
      <c r="F28" s="197">
        <v>1.0149999999999999</v>
      </c>
      <c r="G28" s="199">
        <v>804</v>
      </c>
    </row>
    <row r="29" spans="1:7" ht="20.25" customHeight="1" x14ac:dyDescent="0.2">
      <c r="A29" s="202" t="s">
        <v>1721</v>
      </c>
      <c r="B29" s="197">
        <v>1.0169999999999999</v>
      </c>
      <c r="C29" s="197">
        <v>1.0129999999999999</v>
      </c>
      <c r="D29" s="197">
        <v>1.0149999999999999</v>
      </c>
      <c r="E29" s="197">
        <v>1.012</v>
      </c>
      <c r="F29" s="197">
        <v>1.014</v>
      </c>
      <c r="G29" s="199">
        <v>805</v>
      </c>
    </row>
    <row r="30" spans="1:7" ht="20.25" customHeight="1" x14ac:dyDescent="0.2">
      <c r="A30" s="202" t="s">
        <v>1722</v>
      </c>
      <c r="B30" s="197">
        <v>1.0169999999999999</v>
      </c>
      <c r="C30" s="197">
        <v>1.0129999999999999</v>
      </c>
      <c r="D30" s="197">
        <v>1.0149999999999999</v>
      </c>
      <c r="E30" s="197">
        <v>1.012</v>
      </c>
      <c r="F30" s="197">
        <v>1.014</v>
      </c>
      <c r="G30" s="199">
        <v>806</v>
      </c>
    </row>
    <row r="31" spans="1:7" ht="20.25" customHeight="1" x14ac:dyDescent="0.2">
      <c r="A31" s="202" t="s">
        <v>1723</v>
      </c>
      <c r="B31" s="197">
        <v>1.0169999999999999</v>
      </c>
      <c r="C31" s="197">
        <v>1.0129999999999999</v>
      </c>
      <c r="D31" s="197">
        <v>1.0149999999999999</v>
      </c>
      <c r="E31" s="197">
        <v>1.012</v>
      </c>
      <c r="F31" s="197">
        <v>1.014</v>
      </c>
      <c r="G31" s="199">
        <v>807</v>
      </c>
    </row>
    <row r="32" spans="1:7" ht="20.25" customHeight="1" x14ac:dyDescent="0.2">
      <c r="A32" s="202" t="s">
        <v>1724</v>
      </c>
      <c r="B32" s="197">
        <v>1.0169999999999999</v>
      </c>
      <c r="C32" s="197">
        <v>1.0129999999999999</v>
      </c>
      <c r="D32" s="197">
        <v>1.0149999999999999</v>
      </c>
      <c r="E32" s="197">
        <v>1.012</v>
      </c>
      <c r="F32" s="197">
        <v>1.014</v>
      </c>
      <c r="G32" s="199">
        <v>808</v>
      </c>
    </row>
    <row r="33" spans="1:7" ht="20.25" customHeight="1" x14ac:dyDescent="0.2">
      <c r="A33" s="202" t="s">
        <v>1725</v>
      </c>
      <c r="B33" s="197">
        <v>1.0169999999999999</v>
      </c>
      <c r="C33" s="197">
        <v>1.0129999999999999</v>
      </c>
      <c r="D33" s="197">
        <v>1.0149999999999999</v>
      </c>
      <c r="E33" s="197">
        <v>1.012</v>
      </c>
      <c r="F33" s="197">
        <v>1.014</v>
      </c>
      <c r="G33" s="199">
        <v>809</v>
      </c>
    </row>
    <row r="34" spans="1:7" ht="20.25" customHeight="1" x14ac:dyDescent="0.2">
      <c r="A34" s="202" t="s">
        <v>1726</v>
      </c>
      <c r="B34" s="197">
        <v>1.0169999999999999</v>
      </c>
      <c r="C34" s="197">
        <v>1.0129999999999999</v>
      </c>
      <c r="D34" s="197">
        <v>1.0149999999999999</v>
      </c>
      <c r="E34" s="197">
        <v>1.012</v>
      </c>
      <c r="F34" s="197">
        <v>1.014</v>
      </c>
      <c r="G34" s="199">
        <v>810</v>
      </c>
    </row>
    <row r="35" spans="1:7" ht="20.25" customHeight="1" x14ac:dyDescent="0.2">
      <c r="A35" s="202" t="s">
        <v>1727</v>
      </c>
      <c r="B35" s="197">
        <v>1.0169999999999999</v>
      </c>
      <c r="C35" s="197">
        <v>1.0129999999999999</v>
      </c>
      <c r="D35" s="197">
        <v>1.0149999999999999</v>
      </c>
      <c r="E35" s="197">
        <v>1.012</v>
      </c>
      <c r="F35" s="197">
        <v>1.014</v>
      </c>
      <c r="G35" s="199">
        <v>811</v>
      </c>
    </row>
    <row r="36" spans="1:7" ht="20.25" customHeight="1" x14ac:dyDescent="0.2">
      <c r="A36" s="202" t="s">
        <v>1728</v>
      </c>
      <c r="B36" s="197">
        <v>1.0169999999999999</v>
      </c>
      <c r="C36" s="197">
        <v>1.0129999999999999</v>
      </c>
      <c r="D36" s="197">
        <v>1.0149999999999999</v>
      </c>
      <c r="E36" s="197">
        <v>1.012</v>
      </c>
      <c r="F36" s="197">
        <v>1.014</v>
      </c>
      <c r="G36" s="199">
        <v>812</v>
      </c>
    </row>
    <row r="37" spans="1:7" ht="20.25" customHeight="1" x14ac:dyDescent="0.2">
      <c r="A37" s="202" t="s">
        <v>1729</v>
      </c>
      <c r="B37" s="197">
        <v>1.006</v>
      </c>
      <c r="C37" s="197">
        <v>1.0049999999999999</v>
      </c>
      <c r="D37" s="197">
        <v>1.006</v>
      </c>
      <c r="E37" s="197">
        <v>1.004</v>
      </c>
      <c r="F37" s="197">
        <v>1.0049999999999999</v>
      </c>
      <c r="G37" s="199">
        <v>813</v>
      </c>
    </row>
    <row r="38" spans="1:7" ht="20.25" customHeight="1" x14ac:dyDescent="0.2">
      <c r="A38" s="202" t="s">
        <v>1730</v>
      </c>
      <c r="B38" s="197">
        <v>1.0189999999999999</v>
      </c>
      <c r="C38" s="197">
        <v>1.018</v>
      </c>
      <c r="D38" s="197">
        <v>1.0189999999999999</v>
      </c>
      <c r="E38" s="197">
        <v>1.018</v>
      </c>
      <c r="F38" s="197">
        <v>1.0189999999999999</v>
      </c>
      <c r="G38" s="199">
        <v>814</v>
      </c>
    </row>
    <row r="39" spans="1:7" ht="20.25" customHeight="1" x14ac:dyDescent="0.2">
      <c r="A39" s="202" t="s">
        <v>1731</v>
      </c>
      <c r="B39" s="197">
        <v>1.0169999999999999</v>
      </c>
      <c r="C39" s="197">
        <v>1.0129999999999999</v>
      </c>
      <c r="D39" s="197">
        <v>1.0149999999999999</v>
      </c>
      <c r="E39" s="197">
        <v>1.012</v>
      </c>
      <c r="F39" s="197">
        <v>1.014</v>
      </c>
      <c r="G39" s="199">
        <v>815</v>
      </c>
    </row>
    <row r="40" spans="1:7" ht="20.25" customHeight="1" x14ac:dyDescent="0.2">
      <c r="A40" s="202" t="s">
        <v>1732</v>
      </c>
      <c r="B40" s="197">
        <v>1.0169999999999999</v>
      </c>
      <c r="C40" s="197">
        <v>1.0129999999999999</v>
      </c>
      <c r="D40" s="197">
        <v>1.0149999999999999</v>
      </c>
      <c r="E40" s="197">
        <v>1.012</v>
      </c>
      <c r="F40" s="197">
        <v>1.014</v>
      </c>
      <c r="G40" s="199">
        <v>816</v>
      </c>
    </row>
    <row r="41" spans="1:7" ht="20.25" customHeight="1" x14ac:dyDescent="0.2">
      <c r="A41" s="202" t="s">
        <v>1733</v>
      </c>
      <c r="B41" s="197">
        <v>1.0169999999999999</v>
      </c>
      <c r="C41" s="197">
        <v>1.0129999999999999</v>
      </c>
      <c r="D41" s="197">
        <v>1.0149999999999999</v>
      </c>
      <c r="E41" s="197">
        <v>1.012</v>
      </c>
      <c r="F41" s="197">
        <v>1.014</v>
      </c>
      <c r="G41" s="199">
        <v>817</v>
      </c>
    </row>
    <row r="42" spans="1:7" ht="20.25" customHeight="1" x14ac:dyDescent="0.2">
      <c r="A42" s="202" t="s">
        <v>1734</v>
      </c>
      <c r="B42" s="197">
        <v>1.0169999999999999</v>
      </c>
      <c r="C42" s="197">
        <v>1.0129999999999999</v>
      </c>
      <c r="D42" s="197">
        <v>1.0149999999999999</v>
      </c>
      <c r="E42" s="197">
        <v>1.012</v>
      </c>
      <c r="F42" s="197">
        <v>1.014</v>
      </c>
      <c r="G42" s="199">
        <v>818</v>
      </c>
    </row>
    <row r="43" spans="1:7" ht="20.25" customHeight="1" x14ac:dyDescent="0.2">
      <c r="A43" s="202" t="s">
        <v>1735</v>
      </c>
      <c r="B43" s="197">
        <v>1.0169999999999999</v>
      </c>
      <c r="C43" s="197">
        <v>1.0129999999999999</v>
      </c>
      <c r="D43" s="197">
        <v>1.0149999999999999</v>
      </c>
      <c r="E43" s="197">
        <v>1.012</v>
      </c>
      <c r="F43" s="197">
        <v>1.014</v>
      </c>
      <c r="G43" s="199">
        <v>819</v>
      </c>
    </row>
    <row r="44" spans="1:7" ht="20.25" customHeight="1" x14ac:dyDescent="0.2">
      <c r="A44" s="202" t="s">
        <v>1736</v>
      </c>
      <c r="B44" s="197">
        <v>1.0169999999999999</v>
      </c>
      <c r="C44" s="197">
        <v>1.0129999999999999</v>
      </c>
      <c r="D44" s="197">
        <v>1.0149999999999999</v>
      </c>
      <c r="E44" s="197">
        <v>1.012</v>
      </c>
      <c r="F44" s="197">
        <v>1.014</v>
      </c>
      <c r="G44" s="199">
        <v>820</v>
      </c>
    </row>
    <row r="45" spans="1:7" ht="20.25" customHeight="1" x14ac:dyDescent="0.2">
      <c r="A45" s="202" t="s">
        <v>1737</v>
      </c>
      <c r="B45" s="197">
        <v>1.0169999999999999</v>
      </c>
      <c r="C45" s="197">
        <v>1.0129999999999999</v>
      </c>
      <c r="D45" s="197">
        <v>1.0149999999999999</v>
      </c>
      <c r="E45" s="197">
        <v>1.012</v>
      </c>
      <c r="F45" s="197">
        <v>1.014</v>
      </c>
      <c r="G45" s="199">
        <v>821</v>
      </c>
    </row>
    <row r="46" spans="1:7" ht="20.25" customHeight="1" x14ac:dyDescent="0.2">
      <c r="A46" s="202" t="s">
        <v>1738</v>
      </c>
      <c r="B46" s="197">
        <v>1.0169999999999999</v>
      </c>
      <c r="C46" s="197">
        <v>1.0129999999999999</v>
      </c>
      <c r="D46" s="197">
        <v>1.0149999999999999</v>
      </c>
      <c r="E46" s="197">
        <v>1.012</v>
      </c>
      <c r="F46" s="197">
        <v>1.014</v>
      </c>
      <c r="G46" s="199">
        <v>822</v>
      </c>
    </row>
    <row r="47" spans="1:7" ht="20.25" customHeight="1" x14ac:dyDescent="0.2">
      <c r="A47" s="202" t="s">
        <v>1739</v>
      </c>
      <c r="B47" s="197">
        <v>1.0169999999999999</v>
      </c>
      <c r="C47" s="197">
        <v>1.0129999999999999</v>
      </c>
      <c r="D47" s="197">
        <v>1.0149999999999999</v>
      </c>
      <c r="E47" s="197">
        <v>1.012</v>
      </c>
      <c r="F47" s="197">
        <v>1.014</v>
      </c>
      <c r="G47" s="199">
        <v>823</v>
      </c>
    </row>
    <row r="48" spans="1:7" ht="20.25" customHeight="1" x14ac:dyDescent="0.2">
      <c r="A48" s="202" t="s">
        <v>1740</v>
      </c>
      <c r="B48" s="197">
        <v>1.0169999999999999</v>
      </c>
      <c r="C48" s="197">
        <v>1.0129999999999999</v>
      </c>
      <c r="D48" s="197">
        <v>1.0149999999999999</v>
      </c>
      <c r="E48" s="197">
        <v>1.012</v>
      </c>
      <c r="F48" s="197">
        <v>1.014</v>
      </c>
      <c r="G48" s="199">
        <v>824</v>
      </c>
    </row>
    <row r="49" spans="1:7" ht="20.25" customHeight="1" x14ac:dyDescent="0.2">
      <c r="A49" s="202" t="s">
        <v>1741</v>
      </c>
      <c r="B49" s="197">
        <v>1.0169999999999999</v>
      </c>
      <c r="C49" s="197">
        <v>1.0129999999999999</v>
      </c>
      <c r="D49" s="197">
        <v>1.0149999999999999</v>
      </c>
      <c r="E49" s="197">
        <v>1.012</v>
      </c>
      <c r="F49" s="197">
        <v>1.014</v>
      </c>
      <c r="G49" s="199">
        <v>825</v>
      </c>
    </row>
    <row r="50" spans="1:7" ht="20.25" customHeight="1" x14ac:dyDescent="0.2">
      <c r="A50" s="202" t="s">
        <v>1742</v>
      </c>
      <c r="B50" s="197">
        <v>1.0169999999999999</v>
      </c>
      <c r="C50" s="197">
        <v>1.0129999999999999</v>
      </c>
      <c r="D50" s="197">
        <v>1.0149999999999999</v>
      </c>
      <c r="E50" s="197">
        <v>1.012</v>
      </c>
      <c r="F50" s="197">
        <v>1.014</v>
      </c>
      <c r="G50" s="199">
        <v>826</v>
      </c>
    </row>
    <row r="51" spans="1:7" ht="20.25" customHeight="1" x14ac:dyDescent="0.2">
      <c r="A51" s="202" t="s">
        <v>1743</v>
      </c>
      <c r="B51" s="197">
        <v>1.0169999999999999</v>
      </c>
      <c r="C51" s="197">
        <v>1.0129999999999999</v>
      </c>
      <c r="D51" s="197">
        <v>1.0149999999999999</v>
      </c>
      <c r="E51" s="197">
        <v>1.012</v>
      </c>
      <c r="F51" s="197">
        <v>1.014</v>
      </c>
      <c r="G51" s="199">
        <v>827</v>
      </c>
    </row>
    <row r="52" spans="1:7" ht="20.25" customHeight="1" x14ac:dyDescent="0.2">
      <c r="A52" s="202" t="s">
        <v>1744</v>
      </c>
      <c r="B52" s="197">
        <v>1.0169999999999999</v>
      </c>
      <c r="C52" s="197">
        <v>1.0129999999999999</v>
      </c>
      <c r="D52" s="197">
        <v>1.0149999999999999</v>
      </c>
      <c r="E52" s="197">
        <v>1.012</v>
      </c>
      <c r="F52" s="197">
        <v>1.014</v>
      </c>
      <c r="G52" s="199">
        <v>828</v>
      </c>
    </row>
    <row r="53" spans="1:7" ht="20.25" customHeight="1" x14ac:dyDescent="0.2">
      <c r="A53" s="202" t="s">
        <v>1745</v>
      </c>
      <c r="B53" s="197">
        <v>1.0169999999999999</v>
      </c>
      <c r="C53" s="197">
        <v>1.0129999999999999</v>
      </c>
      <c r="D53" s="197">
        <v>1.0149999999999999</v>
      </c>
      <c r="E53" s="197">
        <v>1.012</v>
      </c>
      <c r="F53" s="197">
        <v>1.014</v>
      </c>
      <c r="G53" s="199">
        <v>829</v>
      </c>
    </row>
    <row r="54" spans="1:7" ht="20.25" customHeight="1" x14ac:dyDescent="0.2">
      <c r="A54" s="202" t="s">
        <v>1746</v>
      </c>
      <c r="B54" s="197">
        <v>1.0169999999999999</v>
      </c>
      <c r="C54" s="197">
        <v>1.0129999999999999</v>
      </c>
      <c r="D54" s="197">
        <v>1.0149999999999999</v>
      </c>
      <c r="E54" s="197">
        <v>1.012</v>
      </c>
      <c r="F54" s="197">
        <v>1.014</v>
      </c>
      <c r="G54" s="199">
        <v>830</v>
      </c>
    </row>
    <row r="55" spans="1:7" ht="20.25" customHeight="1" x14ac:dyDescent="0.2">
      <c r="A55" s="202" t="s">
        <v>1747</v>
      </c>
      <c r="B55" s="197">
        <v>1.0169999999999999</v>
      </c>
      <c r="C55" s="197">
        <v>1.0129999999999999</v>
      </c>
      <c r="D55" s="197">
        <v>1.0149999999999999</v>
      </c>
      <c r="E55" s="197">
        <v>1.012</v>
      </c>
      <c r="F55" s="197">
        <v>1.014</v>
      </c>
      <c r="G55" s="199">
        <v>831</v>
      </c>
    </row>
    <row r="56" spans="1:7" ht="20.25" customHeight="1" x14ac:dyDescent="0.2">
      <c r="A56" s="202" t="s">
        <v>1748</v>
      </c>
      <c r="B56" s="197">
        <v>1.0169999999999999</v>
      </c>
      <c r="C56" s="197">
        <v>1.0129999999999999</v>
      </c>
      <c r="D56" s="197">
        <v>1.0149999999999999</v>
      </c>
      <c r="E56" s="197">
        <v>1.012</v>
      </c>
      <c r="F56" s="197">
        <v>1.014</v>
      </c>
      <c r="G56" s="199">
        <v>832</v>
      </c>
    </row>
    <row r="57" spans="1:7" ht="20.25" customHeight="1" x14ac:dyDescent="0.2">
      <c r="A57" s="202" t="s">
        <v>1749</v>
      </c>
      <c r="B57" s="197">
        <v>1.028</v>
      </c>
      <c r="C57" s="197">
        <v>1.0149999999999999</v>
      </c>
      <c r="D57" s="197">
        <v>1.02</v>
      </c>
      <c r="E57" s="197">
        <v>1.016</v>
      </c>
      <c r="F57" s="197">
        <v>1.0309999999999999</v>
      </c>
      <c r="G57" s="199">
        <v>833</v>
      </c>
    </row>
    <row r="58" spans="1:7" ht="20.25" customHeight="1" x14ac:dyDescent="0.2">
      <c r="A58" s="202" t="s">
        <v>1750</v>
      </c>
      <c r="B58" s="197">
        <v>1.03</v>
      </c>
      <c r="C58" s="197">
        <v>1.024</v>
      </c>
      <c r="D58" s="197">
        <v>1.0269999999999999</v>
      </c>
      <c r="E58" s="197">
        <v>1.022</v>
      </c>
      <c r="F58" s="197">
        <v>1.0249999999999999</v>
      </c>
      <c r="G58" s="199">
        <v>834</v>
      </c>
    </row>
    <row r="59" spans="1:7" ht="20.25" customHeight="1" x14ac:dyDescent="0.2">
      <c r="A59" s="202" t="s">
        <v>1751</v>
      </c>
      <c r="B59" s="197">
        <v>1.03</v>
      </c>
      <c r="C59" s="197">
        <v>1.024</v>
      </c>
      <c r="D59" s="197">
        <v>1.0269999999999999</v>
      </c>
      <c r="E59" s="197">
        <v>1.022</v>
      </c>
      <c r="F59" s="197">
        <v>1.0249999999999999</v>
      </c>
      <c r="G59" s="199">
        <v>835</v>
      </c>
    </row>
    <row r="60" spans="1:7" ht="20.25" customHeight="1" x14ac:dyDescent="0.2">
      <c r="A60" s="202" t="s">
        <v>1752</v>
      </c>
      <c r="B60" s="197">
        <v>1.0229999999999999</v>
      </c>
      <c r="C60" s="197">
        <v>1.0169999999999999</v>
      </c>
      <c r="D60" s="197">
        <v>1.022</v>
      </c>
      <c r="E60" s="197">
        <v>1.0109999999999999</v>
      </c>
      <c r="F60" s="197">
        <v>1.0149999999999999</v>
      </c>
      <c r="G60" s="199">
        <v>836</v>
      </c>
    </row>
    <row r="61" spans="1:7" ht="20.25" customHeight="1" x14ac:dyDescent="0.2">
      <c r="A61" s="202" t="s">
        <v>1753</v>
      </c>
      <c r="B61" s="197">
        <v>1.03</v>
      </c>
      <c r="C61" s="197">
        <v>1.024</v>
      </c>
      <c r="D61" s="197">
        <v>1.0269999999999999</v>
      </c>
      <c r="E61" s="197">
        <v>1.022</v>
      </c>
      <c r="F61" s="197">
        <v>1.0249999999999999</v>
      </c>
      <c r="G61" s="199">
        <v>837</v>
      </c>
    </row>
    <row r="62" spans="1:7" ht="20.25" customHeight="1" x14ac:dyDescent="0.2">
      <c r="A62" s="202" t="s">
        <v>1754</v>
      </c>
      <c r="B62" s="197">
        <v>1.03</v>
      </c>
      <c r="C62" s="197">
        <v>1.024</v>
      </c>
      <c r="D62" s="197">
        <v>1.0269999999999999</v>
      </c>
      <c r="E62" s="197">
        <v>1.022</v>
      </c>
      <c r="F62" s="197">
        <v>1.0249999999999999</v>
      </c>
      <c r="G62" s="199">
        <v>838</v>
      </c>
    </row>
    <row r="63" spans="1:7" ht="20.25" customHeight="1" x14ac:dyDescent="0.2">
      <c r="A63" s="202" t="s">
        <v>1755</v>
      </c>
      <c r="B63" s="197">
        <v>1.03</v>
      </c>
      <c r="C63" s="197">
        <v>1.024</v>
      </c>
      <c r="D63" s="197">
        <v>1.0269999999999999</v>
      </c>
      <c r="E63" s="197">
        <v>1.022</v>
      </c>
      <c r="F63" s="197">
        <v>1.0249999999999999</v>
      </c>
      <c r="G63" s="199">
        <v>839</v>
      </c>
    </row>
    <row r="64" spans="1:7" ht="20.25" customHeight="1" x14ac:dyDescent="0.2">
      <c r="A64" s="202" t="s">
        <v>1756</v>
      </c>
      <c r="B64" s="197">
        <v>1.0389999999999999</v>
      </c>
      <c r="C64" s="197">
        <v>1.0449999999999999</v>
      </c>
      <c r="D64" s="197">
        <v>1.0389999999999999</v>
      </c>
      <c r="E64" s="197">
        <v>1.0429999999999999</v>
      </c>
      <c r="F64" s="197">
        <v>1.0429999999999999</v>
      </c>
      <c r="G64" s="199">
        <v>840</v>
      </c>
    </row>
    <row r="65" spans="1:7" ht="20.25" customHeight="1" x14ac:dyDescent="0.2">
      <c r="A65" s="202" t="s">
        <v>1757</v>
      </c>
      <c r="B65" s="197">
        <v>1.0009999999999999</v>
      </c>
      <c r="C65" s="197">
        <v>1.0009999999999999</v>
      </c>
      <c r="D65" s="197">
        <v>1.0009999999999999</v>
      </c>
      <c r="E65" s="197">
        <v>1.002</v>
      </c>
      <c r="F65" s="197">
        <v>1.0009999999999999</v>
      </c>
      <c r="G65" s="199">
        <v>841</v>
      </c>
    </row>
    <row r="66" spans="1:7" ht="20.25" customHeight="1" x14ac:dyDescent="0.2">
      <c r="A66" s="202" t="s">
        <v>1758</v>
      </c>
      <c r="B66" s="197">
        <v>1.042</v>
      </c>
      <c r="C66" s="197">
        <v>1.038</v>
      </c>
      <c r="D66" s="197">
        <v>1.04</v>
      </c>
      <c r="E66" s="197">
        <v>1.0349999999999999</v>
      </c>
      <c r="F66" s="197">
        <v>1.0389999999999999</v>
      </c>
      <c r="G66" s="199">
        <v>842</v>
      </c>
    </row>
    <row r="67" spans="1:7" ht="20.25" customHeight="1" x14ac:dyDescent="0.2">
      <c r="A67" s="202" t="s">
        <v>1759</v>
      </c>
      <c r="B67" s="197">
        <v>1.0169999999999999</v>
      </c>
      <c r="C67" s="197">
        <v>1.0129999999999999</v>
      </c>
      <c r="D67" s="197">
        <v>1.0149999999999999</v>
      </c>
      <c r="E67" s="197">
        <v>1.012</v>
      </c>
      <c r="F67" s="197">
        <v>1.014</v>
      </c>
      <c r="G67" s="199">
        <v>843</v>
      </c>
    </row>
    <row r="68" spans="1:7" ht="20.25" customHeight="1" x14ac:dyDescent="0.2">
      <c r="A68" s="202" t="s">
        <v>1760</v>
      </c>
      <c r="B68" s="197">
        <v>1.0069999999999999</v>
      </c>
      <c r="C68" s="197">
        <v>1.0049999999999999</v>
      </c>
      <c r="D68" s="197">
        <v>1.008</v>
      </c>
      <c r="E68" s="197">
        <v>1.006</v>
      </c>
      <c r="F68" s="197">
        <v>1.006</v>
      </c>
      <c r="G68" s="199">
        <v>844</v>
      </c>
    </row>
    <row r="69" spans="1:7" ht="20.25" customHeight="1" x14ac:dyDescent="0.2">
      <c r="A69" s="202" t="s">
        <v>1761</v>
      </c>
      <c r="B69" s="197">
        <v>1.0169999999999999</v>
      </c>
      <c r="C69" s="197">
        <v>1.0129999999999999</v>
      </c>
      <c r="D69" s="197">
        <v>1.0149999999999999</v>
      </c>
      <c r="E69" s="197">
        <v>1.012</v>
      </c>
      <c r="F69" s="197">
        <v>1.014</v>
      </c>
      <c r="G69" s="199">
        <v>845</v>
      </c>
    </row>
    <row r="70" spans="1:7" ht="20.25" customHeight="1" x14ac:dyDescent="0.2">
      <c r="A70" s="202" t="s">
        <v>1762</v>
      </c>
      <c r="B70" s="197">
        <v>1</v>
      </c>
      <c r="C70" s="197">
        <v>1</v>
      </c>
      <c r="D70" s="197">
        <v>1</v>
      </c>
      <c r="E70" s="197">
        <v>1</v>
      </c>
      <c r="F70" s="197">
        <v>1</v>
      </c>
      <c r="G70" s="199">
        <v>846</v>
      </c>
    </row>
    <row r="71" spans="1:7" ht="20.25" customHeight="1" x14ac:dyDescent="0.2">
      <c r="A71" s="202" t="s">
        <v>1763</v>
      </c>
      <c r="B71" s="197">
        <v>1.014</v>
      </c>
      <c r="C71" s="197">
        <v>1.0149999999999999</v>
      </c>
      <c r="D71" s="197">
        <v>1.014</v>
      </c>
      <c r="E71" s="197">
        <v>1.0129999999999999</v>
      </c>
      <c r="F71" s="197">
        <v>1.0129999999999999</v>
      </c>
      <c r="G71" s="199">
        <v>850</v>
      </c>
    </row>
    <row r="72" spans="1:7" ht="20.25" customHeight="1" x14ac:dyDescent="0.2">
      <c r="A72" s="202" t="s">
        <v>1764</v>
      </c>
      <c r="B72" s="197">
        <v>1.018</v>
      </c>
      <c r="C72" s="197">
        <v>1.008</v>
      </c>
      <c r="D72" s="197">
        <v>1.01</v>
      </c>
      <c r="E72" s="197">
        <v>1.0069999999999999</v>
      </c>
      <c r="F72" s="197">
        <v>1.0109999999999999</v>
      </c>
      <c r="G72" s="199">
        <v>851</v>
      </c>
    </row>
    <row r="73" spans="1:7" ht="20.25" customHeight="1" x14ac:dyDescent="0.2">
      <c r="A73" s="202" t="s">
        <v>1765</v>
      </c>
      <c r="B73" s="197">
        <v>1.0009999999999999</v>
      </c>
      <c r="C73" s="197">
        <v>1.004</v>
      </c>
      <c r="D73" s="197">
        <v>1.0089999999999999</v>
      </c>
      <c r="E73" s="197">
        <v>1.0109999999999999</v>
      </c>
      <c r="F73" s="197">
        <v>1.004</v>
      </c>
      <c r="G73" s="199">
        <v>852</v>
      </c>
    </row>
    <row r="74" spans="1:7" ht="20.25" customHeight="1" x14ac:dyDescent="0.2">
      <c r="A74" s="202" t="s">
        <v>1766</v>
      </c>
      <c r="B74" s="197">
        <v>1.0209999999999999</v>
      </c>
      <c r="C74" s="197">
        <v>1.01</v>
      </c>
      <c r="D74" s="197">
        <v>1.0169999999999999</v>
      </c>
      <c r="E74" s="197">
        <v>1.0069999999999999</v>
      </c>
      <c r="F74" s="197">
        <v>1.014</v>
      </c>
      <c r="G74" s="199">
        <v>853</v>
      </c>
    </row>
    <row r="75" spans="1:7" ht="20.25" customHeight="1" x14ac:dyDescent="0.2">
      <c r="A75" s="202" t="s">
        <v>1767</v>
      </c>
      <c r="B75" s="197">
        <v>1.0149999999999999</v>
      </c>
      <c r="C75" s="197">
        <v>1.004</v>
      </c>
      <c r="D75" s="197">
        <v>1.0089999999999999</v>
      </c>
      <c r="E75" s="197">
        <v>1.0069999999999999</v>
      </c>
      <c r="F75" s="197">
        <v>1.01</v>
      </c>
      <c r="G75" s="199">
        <v>854</v>
      </c>
    </row>
    <row r="76" spans="1:7" ht="20.25" customHeight="1" x14ac:dyDescent="0.2">
      <c r="A76" s="202" t="s">
        <v>1768</v>
      </c>
      <c r="B76" s="197">
        <v>1.0049999999999999</v>
      </c>
      <c r="C76" s="197">
        <v>1.0049999999999999</v>
      </c>
      <c r="D76" s="197">
        <v>1.0049999999999999</v>
      </c>
      <c r="E76" s="197">
        <v>1.004</v>
      </c>
      <c r="F76" s="197">
        <v>1.004</v>
      </c>
      <c r="G76" s="199">
        <v>855</v>
      </c>
    </row>
    <row r="77" spans="1:7" ht="20.25" customHeight="1" x14ac:dyDescent="0.2">
      <c r="A77" s="202" t="s">
        <v>1769</v>
      </c>
      <c r="B77" s="197">
        <v>1.0149999999999999</v>
      </c>
      <c r="C77" s="197">
        <v>1.0089999999999999</v>
      </c>
      <c r="D77" s="197">
        <v>1.0129999999999999</v>
      </c>
      <c r="E77" s="197">
        <v>1.008</v>
      </c>
      <c r="F77" s="197">
        <v>1.0129999999999999</v>
      </c>
      <c r="G77" s="199">
        <v>856</v>
      </c>
    </row>
    <row r="78" spans="1:7" ht="20.25" customHeight="1" x14ac:dyDescent="0.2">
      <c r="A78" s="202" t="s">
        <v>1770</v>
      </c>
      <c r="B78" s="197">
        <v>1.0209999999999999</v>
      </c>
      <c r="C78" s="197">
        <v>1.018</v>
      </c>
      <c r="D78" s="197">
        <v>1.02</v>
      </c>
      <c r="E78" s="197">
        <v>1.0149999999999999</v>
      </c>
      <c r="F78" s="197">
        <v>1.02</v>
      </c>
      <c r="G78" s="199">
        <v>857</v>
      </c>
    </row>
    <row r="79" spans="1:7" ht="20.25" customHeight="1" x14ac:dyDescent="0.2">
      <c r="A79" s="202" t="s">
        <v>1771</v>
      </c>
      <c r="B79" s="197">
        <v>1.0169999999999999</v>
      </c>
      <c r="C79" s="197">
        <v>1.014</v>
      </c>
      <c r="D79" s="197">
        <v>1.0089999999999999</v>
      </c>
      <c r="E79" s="197">
        <v>1.0129999999999999</v>
      </c>
      <c r="F79" s="197">
        <v>1.0169999999999999</v>
      </c>
      <c r="G79" s="199">
        <v>858</v>
      </c>
    </row>
    <row r="80" spans="1:7" ht="20.25" customHeight="1" x14ac:dyDescent="0.2">
      <c r="A80" s="202" t="s">
        <v>1772</v>
      </c>
      <c r="B80" s="197">
        <v>1.032</v>
      </c>
      <c r="C80" s="197">
        <v>1.032</v>
      </c>
      <c r="D80" s="197">
        <v>1.032</v>
      </c>
      <c r="E80" s="197">
        <v>1.0309999999999999</v>
      </c>
      <c r="F80" s="197">
        <v>1.0329999999999999</v>
      </c>
      <c r="G80" s="199">
        <v>859</v>
      </c>
    </row>
    <row r="81" spans="1:7" ht="20.25" customHeight="1" x14ac:dyDescent="0.2">
      <c r="A81" s="202" t="s">
        <v>1773</v>
      </c>
      <c r="B81" s="197">
        <v>1.026</v>
      </c>
      <c r="C81" s="197">
        <v>1.016</v>
      </c>
      <c r="D81" s="197">
        <v>1.0209999999999999</v>
      </c>
      <c r="E81" s="197">
        <v>1.01</v>
      </c>
      <c r="F81" s="197">
        <v>1.0189999999999999</v>
      </c>
      <c r="G81" s="199">
        <v>860</v>
      </c>
    </row>
    <row r="82" spans="1:7" ht="20.25" customHeight="1" x14ac:dyDescent="0.2">
      <c r="A82" s="202" t="s">
        <v>1774</v>
      </c>
      <c r="B82" s="197">
        <v>1.048</v>
      </c>
      <c r="C82" s="197">
        <v>1.024</v>
      </c>
      <c r="D82" s="197">
        <v>1.0309999999999999</v>
      </c>
      <c r="E82" s="197">
        <v>1.0189999999999999</v>
      </c>
      <c r="F82" s="197">
        <v>1.03</v>
      </c>
      <c r="G82" s="199">
        <v>861</v>
      </c>
    </row>
    <row r="83" spans="1:7" ht="20.25" customHeight="1" x14ac:dyDescent="0.2">
      <c r="A83" s="202" t="s">
        <v>1775</v>
      </c>
      <c r="B83" s="197">
        <v>1.008</v>
      </c>
      <c r="C83" s="197">
        <v>1.006</v>
      </c>
      <c r="D83" s="197">
        <v>1.0069999999999999</v>
      </c>
      <c r="E83" s="197">
        <v>1.0049999999999999</v>
      </c>
      <c r="F83" s="197">
        <v>1.006</v>
      </c>
      <c r="G83" s="199">
        <v>862</v>
      </c>
    </row>
    <row r="84" spans="1:7" ht="20.25" customHeight="1" x14ac:dyDescent="0.2">
      <c r="A84" s="202" t="s">
        <v>1776</v>
      </c>
      <c r="B84" s="197">
        <v>1.03</v>
      </c>
      <c r="C84" s="197">
        <v>1.0289999999999999</v>
      </c>
      <c r="D84" s="197">
        <v>1.03</v>
      </c>
      <c r="E84" s="197">
        <v>1.03</v>
      </c>
      <c r="F84" s="197">
        <v>1.03</v>
      </c>
      <c r="G84" s="199">
        <v>863</v>
      </c>
    </row>
    <row r="85" spans="1:7" ht="20.25" customHeight="1" x14ac:dyDescent="0.2">
      <c r="A85" s="202" t="s">
        <v>1777</v>
      </c>
      <c r="B85" s="197">
        <v>1.006</v>
      </c>
      <c r="C85" s="197">
        <v>1.0049999999999999</v>
      </c>
      <c r="D85" s="197">
        <v>1.006</v>
      </c>
      <c r="E85" s="197">
        <v>1.0049999999999999</v>
      </c>
      <c r="F85" s="197">
        <v>1.006</v>
      </c>
      <c r="G85" s="199">
        <v>864</v>
      </c>
    </row>
    <row r="86" spans="1:7" ht="20.25" customHeight="1" x14ac:dyDescent="0.2">
      <c r="A86" s="202" t="s">
        <v>1778</v>
      </c>
      <c r="B86" s="197">
        <v>1.016</v>
      </c>
      <c r="C86" s="197">
        <v>1.008</v>
      </c>
      <c r="D86" s="197">
        <v>1.0129999999999999</v>
      </c>
      <c r="E86" s="197">
        <v>1.0089999999999999</v>
      </c>
      <c r="F86" s="197">
        <v>1.01</v>
      </c>
      <c r="G86" s="199">
        <v>865</v>
      </c>
    </row>
    <row r="87" spans="1:7" ht="20.25" customHeight="1" x14ac:dyDescent="0.2">
      <c r="A87" s="202" t="s">
        <v>1779</v>
      </c>
      <c r="B87" s="197">
        <v>1.0269999999999999</v>
      </c>
      <c r="C87" s="197">
        <v>1.0209999999999999</v>
      </c>
      <c r="D87" s="197">
        <v>1.0169999999999999</v>
      </c>
      <c r="E87" s="197">
        <v>1.012</v>
      </c>
      <c r="F87" s="197">
        <v>1.02</v>
      </c>
      <c r="G87" s="199">
        <v>866</v>
      </c>
    </row>
    <row r="88" spans="1:7" ht="20.25" customHeight="1" x14ac:dyDescent="0.2">
      <c r="A88" s="202" t="s">
        <v>1780</v>
      </c>
      <c r="B88" s="197">
        <v>1.032</v>
      </c>
      <c r="C88" s="197">
        <v>1.024</v>
      </c>
      <c r="D88" s="197">
        <v>1.0269999999999999</v>
      </c>
      <c r="E88" s="197">
        <v>1.0149999999999999</v>
      </c>
      <c r="F88" s="197">
        <v>1.022</v>
      </c>
      <c r="G88" s="199">
        <v>867</v>
      </c>
    </row>
    <row r="89" spans="1:7" ht="20.25" customHeight="1" x14ac:dyDescent="0.2">
      <c r="A89" s="202" t="s">
        <v>1781</v>
      </c>
      <c r="B89" s="197">
        <v>1.0069999999999999</v>
      </c>
      <c r="C89" s="197">
        <v>1.0069999999999999</v>
      </c>
      <c r="D89" s="197">
        <v>1.0069999999999999</v>
      </c>
      <c r="E89" s="197">
        <v>1.006</v>
      </c>
      <c r="F89" s="197">
        <v>1.006</v>
      </c>
      <c r="G89" s="199">
        <v>868</v>
      </c>
    </row>
    <row r="90" spans="1:7" ht="20.25" customHeight="1" x14ac:dyDescent="0.2">
      <c r="A90" s="202" t="s">
        <v>1782</v>
      </c>
      <c r="B90" s="197">
        <v>1.0329999999999999</v>
      </c>
      <c r="C90" s="197">
        <v>1.0269999999999999</v>
      </c>
      <c r="D90" s="197">
        <v>1.032</v>
      </c>
      <c r="E90" s="197">
        <v>1.0249999999999999</v>
      </c>
      <c r="F90" s="197">
        <v>1.0409999999999999</v>
      </c>
      <c r="G90" s="199">
        <v>869</v>
      </c>
    </row>
    <row r="91" spans="1:7" ht="20.25" customHeight="1" x14ac:dyDescent="0.2">
      <c r="A91" s="202" t="s">
        <v>1783</v>
      </c>
      <c r="B91" s="197">
        <v>1.028</v>
      </c>
      <c r="C91" s="197">
        <v>1.02</v>
      </c>
      <c r="D91" s="197">
        <v>1.04</v>
      </c>
      <c r="E91" s="197">
        <v>1.0189999999999999</v>
      </c>
      <c r="F91" s="197">
        <v>1.036</v>
      </c>
      <c r="G91" s="199">
        <v>870</v>
      </c>
    </row>
    <row r="92" spans="1:7" ht="20.25" customHeight="1" x14ac:dyDescent="0.2">
      <c r="A92" s="202" t="s">
        <v>1784</v>
      </c>
      <c r="B92" s="197">
        <v>1.0169999999999999</v>
      </c>
      <c r="C92" s="197">
        <v>1.0129999999999999</v>
      </c>
      <c r="D92" s="197">
        <v>1.0149999999999999</v>
      </c>
      <c r="E92" s="197">
        <v>1.012</v>
      </c>
      <c r="F92" s="197">
        <v>1.014</v>
      </c>
      <c r="G92" s="199">
        <v>871</v>
      </c>
    </row>
    <row r="93" spans="1:7" ht="20.25" customHeight="1" x14ac:dyDescent="0.2">
      <c r="A93" s="202" t="s">
        <v>1785</v>
      </c>
      <c r="B93" s="197">
        <v>1.0169999999999999</v>
      </c>
      <c r="C93" s="197">
        <v>1.0129999999999999</v>
      </c>
      <c r="D93" s="197">
        <v>1.0149999999999999</v>
      </c>
      <c r="E93" s="197">
        <v>1.012</v>
      </c>
      <c r="F93" s="197">
        <v>1.014</v>
      </c>
      <c r="G93" s="199">
        <v>873</v>
      </c>
    </row>
    <row r="94" spans="1:7" ht="20.25" customHeight="1" x14ac:dyDescent="0.2">
      <c r="A94" s="202" t="s">
        <v>1786</v>
      </c>
      <c r="B94" s="197">
        <v>1.022</v>
      </c>
      <c r="C94" s="197">
        <v>1.022</v>
      </c>
      <c r="D94" s="197">
        <v>1.022</v>
      </c>
      <c r="E94" s="197">
        <v>1.022</v>
      </c>
      <c r="F94" s="197">
        <v>1.022</v>
      </c>
      <c r="G94" s="199">
        <v>874</v>
      </c>
    </row>
    <row r="95" spans="1:7" ht="20.25" customHeight="1" x14ac:dyDescent="0.2">
      <c r="A95" s="202" t="s">
        <v>1787</v>
      </c>
      <c r="B95" s="197">
        <v>1.0169999999999999</v>
      </c>
      <c r="C95" s="197">
        <v>1.0189999999999999</v>
      </c>
      <c r="D95" s="197">
        <v>1.018</v>
      </c>
      <c r="E95" s="197">
        <v>1.0189999999999999</v>
      </c>
      <c r="F95" s="197">
        <v>1.0189999999999999</v>
      </c>
      <c r="G95" s="199">
        <v>875</v>
      </c>
    </row>
    <row r="96" spans="1:7" ht="20.25" customHeight="1" x14ac:dyDescent="0.2">
      <c r="A96" s="202" t="s">
        <v>1788</v>
      </c>
      <c r="B96" s="197">
        <v>1.03</v>
      </c>
      <c r="C96" s="197">
        <v>1.024</v>
      </c>
      <c r="D96" s="197">
        <v>1.0269999999999999</v>
      </c>
      <c r="E96" s="197">
        <v>1.022</v>
      </c>
      <c r="F96" s="197">
        <v>1.0249999999999999</v>
      </c>
      <c r="G96" s="199">
        <v>876</v>
      </c>
    </row>
    <row r="97" spans="1:7" ht="20.25" customHeight="1" x14ac:dyDescent="0.2">
      <c r="A97" s="202" t="s">
        <v>1789</v>
      </c>
      <c r="B97" s="197">
        <v>1.0169999999999999</v>
      </c>
      <c r="C97" s="197">
        <v>1.01</v>
      </c>
      <c r="D97" s="197">
        <v>1.006</v>
      </c>
      <c r="E97" s="197">
        <v>1.0149999999999999</v>
      </c>
      <c r="F97" s="197">
        <v>1.0189999999999999</v>
      </c>
      <c r="G97" s="199">
        <v>877</v>
      </c>
    </row>
    <row r="98" spans="1:7" ht="20.25" customHeight="1" x14ac:dyDescent="0.2">
      <c r="A98" s="202" t="s">
        <v>1790</v>
      </c>
      <c r="B98" s="197">
        <v>1.0169999999999999</v>
      </c>
      <c r="C98" s="197">
        <v>1.0129999999999999</v>
      </c>
      <c r="D98" s="197">
        <v>1.0149999999999999</v>
      </c>
      <c r="E98" s="197">
        <v>1.012</v>
      </c>
      <c r="F98" s="197">
        <v>1.014</v>
      </c>
      <c r="G98" s="199">
        <v>878</v>
      </c>
    </row>
    <row r="99" spans="1:7" ht="20.25" customHeight="1" x14ac:dyDescent="0.2">
      <c r="A99" s="202" t="s">
        <v>1791</v>
      </c>
      <c r="B99" s="197">
        <v>1.008</v>
      </c>
      <c r="C99" s="197">
        <v>1.0069999999999999</v>
      </c>
      <c r="D99" s="197">
        <v>1.0069999999999999</v>
      </c>
      <c r="E99" s="197">
        <v>1.0049999999999999</v>
      </c>
      <c r="F99" s="197">
        <v>1.0069999999999999</v>
      </c>
      <c r="G99" s="199">
        <v>879</v>
      </c>
    </row>
    <row r="100" spans="1:7" ht="20.25" customHeight="1" x14ac:dyDescent="0.2">
      <c r="A100" s="202" t="s">
        <v>1792</v>
      </c>
      <c r="B100" s="197">
        <v>1.0229999999999999</v>
      </c>
      <c r="C100" s="197">
        <v>1.0169999999999999</v>
      </c>
      <c r="D100" s="197">
        <v>1.022</v>
      </c>
      <c r="E100" s="197">
        <v>1.0109999999999999</v>
      </c>
      <c r="F100" s="197">
        <v>1.0149999999999999</v>
      </c>
      <c r="G100" s="199">
        <v>881</v>
      </c>
    </row>
    <row r="101" spans="1:7" ht="20.25" customHeight="1" x14ac:dyDescent="0.2">
      <c r="A101" s="202" t="s">
        <v>1793</v>
      </c>
      <c r="B101" s="197">
        <v>1.101</v>
      </c>
      <c r="C101" s="197">
        <v>1.0780000000000001</v>
      </c>
      <c r="D101" s="197">
        <v>1.097</v>
      </c>
      <c r="E101" s="197">
        <v>1.0860000000000001</v>
      </c>
      <c r="F101" s="197">
        <v>1.097</v>
      </c>
      <c r="G101" s="199">
        <v>883</v>
      </c>
    </row>
    <row r="102" spans="1:7" ht="20.25" customHeight="1" x14ac:dyDescent="0.2">
      <c r="A102" s="202" t="s">
        <v>1794</v>
      </c>
      <c r="B102" s="197">
        <v>1.012</v>
      </c>
      <c r="C102" s="197">
        <v>1.008</v>
      </c>
      <c r="D102" s="197">
        <v>1.0109999999999999</v>
      </c>
      <c r="E102" s="197">
        <v>1.01</v>
      </c>
      <c r="F102" s="197">
        <v>1.0109999999999999</v>
      </c>
      <c r="G102" s="199">
        <v>884</v>
      </c>
    </row>
    <row r="103" spans="1:7" ht="20.25" customHeight="1" x14ac:dyDescent="0.2">
      <c r="A103" s="202" t="s">
        <v>1795</v>
      </c>
      <c r="B103" s="197">
        <v>1.1000000000000001</v>
      </c>
      <c r="C103" s="197">
        <v>1.083</v>
      </c>
      <c r="D103" s="197">
        <v>1.083</v>
      </c>
      <c r="E103" s="197">
        <v>1.077</v>
      </c>
      <c r="F103" s="197">
        <v>1.093</v>
      </c>
      <c r="G103" s="199">
        <v>887</v>
      </c>
    </row>
    <row r="104" spans="1:7" ht="20.25" customHeight="1" x14ac:dyDescent="0.2">
      <c r="A104" s="202" t="s">
        <v>1796</v>
      </c>
      <c r="B104" s="197">
        <v>1.0149999999999999</v>
      </c>
      <c r="C104" s="197">
        <v>1.0129999999999999</v>
      </c>
      <c r="D104" s="197">
        <v>1.016</v>
      </c>
      <c r="E104" s="197">
        <v>1.014</v>
      </c>
      <c r="F104" s="197">
        <v>1.014</v>
      </c>
      <c r="G104" s="199">
        <v>888</v>
      </c>
    </row>
    <row r="105" spans="1:7" ht="20.25" customHeight="1" x14ac:dyDescent="0.2">
      <c r="A105" s="202" t="s">
        <v>1797</v>
      </c>
      <c r="B105" s="197">
        <v>1.0269999999999999</v>
      </c>
      <c r="C105" s="197">
        <v>1.0229999999999999</v>
      </c>
      <c r="D105" s="197">
        <v>1.0249999999999999</v>
      </c>
      <c r="E105" s="197">
        <v>1.0249999999999999</v>
      </c>
      <c r="F105" s="197">
        <v>1.026</v>
      </c>
      <c r="G105" s="199">
        <v>889</v>
      </c>
    </row>
    <row r="106" spans="1:7" ht="20.25" customHeight="1" x14ac:dyDescent="0.2">
      <c r="A106" s="202" t="s">
        <v>1798</v>
      </c>
      <c r="B106" s="197">
        <v>1.0169999999999999</v>
      </c>
      <c r="C106" s="197">
        <v>1.0129999999999999</v>
      </c>
      <c r="D106" s="197">
        <v>1.0149999999999999</v>
      </c>
      <c r="E106" s="197">
        <v>1.012</v>
      </c>
      <c r="F106" s="197">
        <v>1.014</v>
      </c>
      <c r="G106" s="199">
        <v>890</v>
      </c>
    </row>
    <row r="107" spans="1:7" ht="20.25" customHeight="1" x14ac:dyDescent="0.2">
      <c r="A107" s="202" t="s">
        <v>1799</v>
      </c>
      <c r="B107" s="197">
        <v>1.0169999999999999</v>
      </c>
      <c r="C107" s="197">
        <v>1.0129999999999999</v>
      </c>
      <c r="D107" s="197">
        <v>1.0149999999999999</v>
      </c>
      <c r="E107" s="197">
        <v>1.012</v>
      </c>
      <c r="F107" s="197">
        <v>1.014</v>
      </c>
      <c r="G107" s="199">
        <v>891</v>
      </c>
    </row>
    <row r="108" spans="1:7" ht="20.25" customHeight="1" x14ac:dyDescent="0.2">
      <c r="A108" s="202" t="s">
        <v>1800</v>
      </c>
      <c r="B108" s="197">
        <v>1.0169999999999999</v>
      </c>
      <c r="C108" s="197">
        <v>1.0129999999999999</v>
      </c>
      <c r="D108" s="197">
        <v>1.0149999999999999</v>
      </c>
      <c r="E108" s="197">
        <v>1.012</v>
      </c>
      <c r="F108" s="197">
        <v>1.014</v>
      </c>
      <c r="G108" s="199">
        <v>893</v>
      </c>
    </row>
    <row r="109" spans="1:7" ht="20.25" customHeight="1" x14ac:dyDescent="0.2">
      <c r="A109" s="202" t="s">
        <v>1801</v>
      </c>
      <c r="B109" s="197">
        <v>1.0169999999999999</v>
      </c>
      <c r="C109" s="197">
        <v>1.0129999999999999</v>
      </c>
      <c r="D109" s="197">
        <v>1.0149999999999999</v>
      </c>
      <c r="E109" s="197">
        <v>1.012</v>
      </c>
      <c r="F109" s="197">
        <v>1.014</v>
      </c>
      <c r="G109" s="199">
        <v>894</v>
      </c>
    </row>
    <row r="110" spans="1:7" ht="20.25" customHeight="1" x14ac:dyDescent="0.2">
      <c r="A110" s="202" t="s">
        <v>1802</v>
      </c>
      <c r="B110" s="197">
        <v>1.0169999999999999</v>
      </c>
      <c r="C110" s="197">
        <v>1.0129999999999999</v>
      </c>
      <c r="D110" s="197">
        <v>1.0149999999999999</v>
      </c>
      <c r="E110" s="197">
        <v>1.012</v>
      </c>
      <c r="F110" s="197">
        <v>1.014</v>
      </c>
      <c r="G110" s="199">
        <v>895</v>
      </c>
    </row>
    <row r="111" spans="1:7" ht="20.25" customHeight="1" x14ac:dyDescent="0.2">
      <c r="A111" s="202" t="s">
        <v>1803</v>
      </c>
      <c r="B111" s="197">
        <v>1.0169999999999999</v>
      </c>
      <c r="C111" s="197">
        <v>1.0129999999999999</v>
      </c>
      <c r="D111" s="197">
        <v>1.0149999999999999</v>
      </c>
      <c r="E111" s="197">
        <v>1.012</v>
      </c>
      <c r="F111" s="197">
        <v>1.014</v>
      </c>
      <c r="G111" s="199">
        <v>896</v>
      </c>
    </row>
    <row r="112" spans="1:7" ht="20.25" customHeight="1" x14ac:dyDescent="0.2">
      <c r="A112" s="202" t="s">
        <v>1804</v>
      </c>
      <c r="B112" s="197">
        <v>1.002</v>
      </c>
      <c r="C112" s="197">
        <v>1.002</v>
      </c>
      <c r="D112" s="197">
        <v>1.002</v>
      </c>
      <c r="E112" s="197">
        <v>1.002</v>
      </c>
      <c r="F112" s="197">
        <v>1.002</v>
      </c>
      <c r="G112" s="199">
        <v>897</v>
      </c>
    </row>
    <row r="113" spans="1:7" ht="20.25" customHeight="1" x14ac:dyDescent="0.2">
      <c r="A113" s="202" t="s">
        <v>1805</v>
      </c>
      <c r="B113" s="197">
        <v>1.0169999999999999</v>
      </c>
      <c r="C113" s="197">
        <v>1.0129999999999999</v>
      </c>
      <c r="D113" s="197">
        <v>1.0149999999999999</v>
      </c>
      <c r="E113" s="197">
        <v>1.012</v>
      </c>
      <c r="F113" s="197">
        <v>1.014</v>
      </c>
      <c r="G113" s="199">
        <v>898</v>
      </c>
    </row>
    <row r="114" spans="1:7" ht="20.25" customHeight="1" x14ac:dyDescent="0.2">
      <c r="A114" s="202" t="s">
        <v>1806</v>
      </c>
      <c r="B114" s="197">
        <v>1.0169999999999999</v>
      </c>
      <c r="C114" s="197">
        <v>1.0129999999999999</v>
      </c>
      <c r="D114" s="197">
        <v>1.0149999999999999</v>
      </c>
      <c r="E114" s="197">
        <v>1.012</v>
      </c>
      <c r="F114" s="197">
        <v>1.014</v>
      </c>
      <c r="G114" s="199">
        <v>899</v>
      </c>
    </row>
    <row r="115" spans="1:7" ht="20.25" customHeight="1" x14ac:dyDescent="0.2">
      <c r="A115" s="202" t="s">
        <v>1807</v>
      </c>
      <c r="B115" s="197">
        <v>1.0169999999999999</v>
      </c>
      <c r="C115" s="197">
        <v>1.0129999999999999</v>
      </c>
      <c r="D115" s="197">
        <v>1.0149999999999999</v>
      </c>
      <c r="E115" s="197">
        <v>1.012</v>
      </c>
      <c r="F115" s="197">
        <v>1.014</v>
      </c>
      <c r="G115" s="199">
        <v>900</v>
      </c>
    </row>
    <row r="116" spans="1:7" ht="20.25" customHeight="1" x14ac:dyDescent="0.2">
      <c r="A116" s="202" t="s">
        <v>1808</v>
      </c>
      <c r="B116" s="197">
        <v>1.006</v>
      </c>
      <c r="C116" s="197">
        <v>1.0049999999999999</v>
      </c>
      <c r="D116" s="197">
        <v>1.006</v>
      </c>
      <c r="E116" s="197">
        <v>1.004</v>
      </c>
      <c r="F116" s="197">
        <v>1.0049999999999999</v>
      </c>
      <c r="G116" s="199">
        <v>925</v>
      </c>
    </row>
    <row r="118" spans="1:7" ht="19.5" customHeight="1" x14ac:dyDescent="0.2">
      <c r="A118" s="236" t="s">
        <v>50</v>
      </c>
      <c r="B118" s="278"/>
      <c r="C118" s="278"/>
      <c r="D118" s="278"/>
      <c r="E118" s="278"/>
      <c r="F118" s="278"/>
      <c r="G118" s="237"/>
    </row>
    <row r="119" spans="1:7" ht="19.5" customHeight="1" x14ac:dyDescent="0.2">
      <c r="A119" s="236" t="s">
        <v>11</v>
      </c>
      <c r="B119" s="278"/>
      <c r="C119" s="278"/>
      <c r="D119" s="278"/>
      <c r="E119" s="278"/>
      <c r="F119" s="278"/>
      <c r="G119" s="237"/>
    </row>
    <row r="120" spans="1:7" ht="19.5" customHeight="1" x14ac:dyDescent="0.2">
      <c r="A120" s="20" t="s">
        <v>9</v>
      </c>
      <c r="B120" s="20" t="s">
        <v>4</v>
      </c>
      <c r="C120" s="20" t="s">
        <v>5</v>
      </c>
      <c r="D120" s="20" t="s">
        <v>6</v>
      </c>
      <c r="E120" s="20" t="s">
        <v>7</v>
      </c>
      <c r="F120" s="20" t="s">
        <v>619</v>
      </c>
      <c r="G120" s="20" t="s">
        <v>8</v>
      </c>
    </row>
    <row r="121" spans="1:7" ht="22.5" customHeight="1" x14ac:dyDescent="0.2">
      <c r="A121" s="202" t="s">
        <v>1809</v>
      </c>
      <c r="B121" s="197">
        <v>1.03</v>
      </c>
      <c r="C121" s="197">
        <v>1.024</v>
      </c>
      <c r="D121" s="197">
        <v>1.0269999999999999</v>
      </c>
      <c r="E121" s="197">
        <v>1.022</v>
      </c>
      <c r="F121" s="197">
        <v>1.0249999999999999</v>
      </c>
      <c r="G121" s="199">
        <v>691</v>
      </c>
    </row>
    <row r="122" spans="1:7" ht="22.5" customHeight="1" x14ac:dyDescent="0.2">
      <c r="A122" s="169" t="s">
        <v>1810</v>
      </c>
      <c r="B122" s="197">
        <v>1.03</v>
      </c>
      <c r="C122" s="197">
        <v>1.024</v>
      </c>
      <c r="D122" s="197">
        <v>1.0269999999999999</v>
      </c>
      <c r="E122" s="197">
        <v>1.022</v>
      </c>
      <c r="F122" s="197">
        <v>1.0249999999999999</v>
      </c>
      <c r="G122" s="199">
        <v>692</v>
      </c>
    </row>
    <row r="123" spans="1:7" ht="22.5" customHeight="1" x14ac:dyDescent="0.2">
      <c r="A123" s="169" t="s">
        <v>1811</v>
      </c>
      <c r="B123" s="197">
        <v>1.0009999999999999</v>
      </c>
      <c r="C123" s="197">
        <v>0.998</v>
      </c>
      <c r="D123" s="197">
        <v>1</v>
      </c>
      <c r="E123" s="197">
        <v>0.998</v>
      </c>
      <c r="F123" s="197">
        <v>0.999</v>
      </c>
      <c r="G123" s="199">
        <v>693</v>
      </c>
    </row>
    <row r="124" spans="1:7" ht="22.5" customHeight="1" x14ac:dyDescent="0.2">
      <c r="A124" s="169" t="s">
        <v>1812</v>
      </c>
      <c r="B124" s="197">
        <v>1</v>
      </c>
      <c r="C124" s="197">
        <v>1</v>
      </c>
      <c r="D124" s="197">
        <v>1</v>
      </c>
      <c r="E124" s="197">
        <v>1</v>
      </c>
      <c r="F124" s="197">
        <v>1</v>
      </c>
      <c r="G124" s="199">
        <v>694</v>
      </c>
    </row>
    <row r="125" spans="1:7" ht="22.5" customHeight="1" x14ac:dyDescent="0.2">
      <c r="A125" s="169" t="s">
        <v>1813</v>
      </c>
      <c r="B125" s="197">
        <v>1</v>
      </c>
      <c r="C125" s="197">
        <v>1</v>
      </c>
      <c r="D125" s="197">
        <v>1</v>
      </c>
      <c r="E125" s="197">
        <v>1</v>
      </c>
      <c r="F125" s="197">
        <v>1</v>
      </c>
      <c r="G125" s="199">
        <v>695</v>
      </c>
    </row>
    <row r="126" spans="1:7" ht="22.5" customHeight="1" x14ac:dyDescent="0.2">
      <c r="A126" s="169" t="s">
        <v>1814</v>
      </c>
      <c r="B126" s="197">
        <v>1</v>
      </c>
      <c r="C126" s="197">
        <v>0.999</v>
      </c>
      <c r="D126" s="197">
        <v>1</v>
      </c>
      <c r="E126" s="197">
        <v>1</v>
      </c>
      <c r="F126" s="197">
        <v>1</v>
      </c>
      <c r="G126" s="199">
        <v>696</v>
      </c>
    </row>
    <row r="127" spans="1:7" ht="22.5" customHeight="1" x14ac:dyDescent="0.2">
      <c r="A127" s="169" t="s">
        <v>1815</v>
      </c>
      <c r="B127" s="197">
        <v>1.004</v>
      </c>
      <c r="C127" s="197">
        <v>1.002</v>
      </c>
      <c r="D127" s="197">
        <v>1.0029999999999999</v>
      </c>
      <c r="E127" s="197">
        <v>1.0009999999999999</v>
      </c>
      <c r="F127" s="197">
        <v>1.002</v>
      </c>
      <c r="G127" s="199">
        <v>697</v>
      </c>
    </row>
    <row r="128" spans="1:7" ht="22.5" customHeight="1" x14ac:dyDescent="0.2">
      <c r="A128" s="169" t="s">
        <v>1816</v>
      </c>
      <c r="B128" s="197">
        <v>1</v>
      </c>
      <c r="C128" s="197">
        <v>0.999</v>
      </c>
      <c r="D128" s="197">
        <v>1</v>
      </c>
      <c r="E128" s="197">
        <v>1</v>
      </c>
      <c r="F128" s="197">
        <v>1</v>
      </c>
      <c r="G128" s="199">
        <v>698</v>
      </c>
    </row>
    <row r="129" spans="1:7" ht="22.5" customHeight="1" x14ac:dyDescent="0.2">
      <c r="A129" s="169" t="s">
        <v>1817</v>
      </c>
      <c r="B129" s="197">
        <v>1</v>
      </c>
      <c r="C129" s="197">
        <v>1</v>
      </c>
      <c r="D129" s="197">
        <v>1</v>
      </c>
      <c r="E129" s="197">
        <v>1</v>
      </c>
      <c r="F129" s="197">
        <v>1</v>
      </c>
      <c r="G129" s="199">
        <v>699</v>
      </c>
    </row>
    <row r="130" spans="1:7" ht="22.5" customHeight="1" x14ac:dyDescent="0.2">
      <c r="A130" s="169" t="s">
        <v>1818</v>
      </c>
      <c r="B130" s="197">
        <v>1.014</v>
      </c>
      <c r="C130" s="197">
        <v>1.0089999999999999</v>
      </c>
      <c r="D130" s="197">
        <v>1.0129999999999999</v>
      </c>
      <c r="E130" s="197">
        <v>1.0089999999999999</v>
      </c>
      <c r="F130" s="197">
        <v>1.0109999999999999</v>
      </c>
      <c r="G130" s="199">
        <v>700</v>
      </c>
    </row>
    <row r="131" spans="1:7" ht="22.5" customHeight="1" x14ac:dyDescent="0.2">
      <c r="A131" s="169" t="s">
        <v>1819</v>
      </c>
      <c r="B131" s="197">
        <v>1.056</v>
      </c>
      <c r="C131" s="197">
        <v>1.0369999999999999</v>
      </c>
      <c r="D131" s="197">
        <v>1.0369999999999999</v>
      </c>
      <c r="E131" s="197">
        <v>1.03</v>
      </c>
      <c r="F131" s="197">
        <v>1.0449999999999999</v>
      </c>
      <c r="G131" s="199">
        <v>701</v>
      </c>
    </row>
    <row r="132" spans="1:7" ht="22.5" customHeight="1" x14ac:dyDescent="0.2">
      <c r="A132" s="169" t="s">
        <v>1820</v>
      </c>
      <c r="B132" s="197">
        <v>1</v>
      </c>
      <c r="C132" s="197">
        <v>0.99399999999999999</v>
      </c>
      <c r="D132" s="197">
        <v>0.996</v>
      </c>
      <c r="E132" s="197">
        <v>0.999</v>
      </c>
      <c r="F132" s="197">
        <v>0.995</v>
      </c>
      <c r="G132" s="199">
        <v>702</v>
      </c>
    </row>
    <row r="133" spans="1:7" ht="22.5" customHeight="1" x14ac:dyDescent="0.2">
      <c r="A133" s="169" t="s">
        <v>1821</v>
      </c>
      <c r="B133" s="197">
        <v>1.0069999999999999</v>
      </c>
      <c r="C133" s="197">
        <v>1.002</v>
      </c>
      <c r="D133" s="197">
        <v>1.002</v>
      </c>
      <c r="E133" s="197">
        <v>1.0029999999999999</v>
      </c>
      <c r="F133" s="197">
        <v>1.002</v>
      </c>
      <c r="G133" s="199">
        <v>703</v>
      </c>
    </row>
    <row r="134" spans="1:7" ht="22.5" customHeight="1" x14ac:dyDescent="0.2">
      <c r="A134" s="169" t="s">
        <v>1822</v>
      </c>
      <c r="B134" s="197">
        <v>1.006</v>
      </c>
      <c r="C134" s="197">
        <v>1.002</v>
      </c>
      <c r="D134" s="197">
        <v>1.006</v>
      </c>
      <c r="E134" s="197">
        <v>1.002</v>
      </c>
      <c r="F134" s="197">
        <v>1.0069999999999999</v>
      </c>
      <c r="G134" s="199">
        <v>704</v>
      </c>
    </row>
    <row r="135" spans="1:7" ht="22.5" customHeight="1" x14ac:dyDescent="0.2">
      <c r="A135" s="169" t="s">
        <v>1823</v>
      </c>
      <c r="B135" s="197">
        <v>1</v>
      </c>
      <c r="C135" s="197">
        <v>0.999</v>
      </c>
      <c r="D135" s="197">
        <v>0.999</v>
      </c>
      <c r="E135" s="197">
        <v>1</v>
      </c>
      <c r="F135" s="197">
        <v>0.999</v>
      </c>
      <c r="G135" s="199">
        <v>705</v>
      </c>
    </row>
    <row r="136" spans="1:7" ht="22.5" customHeight="1" x14ac:dyDescent="0.2">
      <c r="A136" s="169" t="s">
        <v>1824</v>
      </c>
      <c r="B136" s="197">
        <v>1.0209999999999999</v>
      </c>
      <c r="C136" s="197">
        <v>1.0129999999999999</v>
      </c>
      <c r="D136" s="197">
        <v>1.0169999999999999</v>
      </c>
      <c r="E136" s="197">
        <v>1.0109999999999999</v>
      </c>
      <c r="F136" s="197">
        <v>1.024</v>
      </c>
      <c r="G136" s="199">
        <v>706</v>
      </c>
    </row>
    <row r="137" spans="1:7" ht="22.5" customHeight="1" x14ac:dyDescent="0.2">
      <c r="A137" s="169" t="s">
        <v>1825</v>
      </c>
      <c r="B137" s="197">
        <v>1.0029999999999999</v>
      </c>
      <c r="C137" s="197">
        <v>1</v>
      </c>
      <c r="D137" s="197">
        <v>1.0029999999999999</v>
      </c>
      <c r="E137" s="197">
        <v>1.002</v>
      </c>
      <c r="F137" s="197">
        <v>1</v>
      </c>
      <c r="G137" s="199">
        <v>707</v>
      </c>
    </row>
    <row r="138" spans="1:7" ht="22.5" customHeight="1" x14ac:dyDescent="0.2">
      <c r="A138" s="169" t="s">
        <v>1826</v>
      </c>
      <c r="B138" s="197">
        <v>1.01</v>
      </c>
      <c r="C138" s="197">
        <v>1.0089999999999999</v>
      </c>
      <c r="D138" s="197">
        <v>1.008</v>
      </c>
      <c r="E138" s="197">
        <v>1.0069999999999999</v>
      </c>
      <c r="F138" s="197">
        <v>1.0109999999999999</v>
      </c>
      <c r="G138" s="199">
        <v>708</v>
      </c>
    </row>
    <row r="139" spans="1:7" ht="22.5" customHeight="1" x14ac:dyDescent="0.2">
      <c r="A139" s="169" t="s">
        <v>1827</v>
      </c>
      <c r="B139" s="197">
        <v>0.996</v>
      </c>
      <c r="C139" s="197">
        <v>0.998</v>
      </c>
      <c r="D139" s="197">
        <v>0.998</v>
      </c>
      <c r="E139" s="197">
        <v>1</v>
      </c>
      <c r="F139" s="197">
        <v>0.999</v>
      </c>
      <c r="G139" s="199">
        <v>709</v>
      </c>
    </row>
    <row r="140" spans="1:7" ht="22.5" customHeight="1" x14ac:dyDescent="0.2">
      <c r="A140" s="169" t="s">
        <v>1828</v>
      </c>
      <c r="B140" s="197">
        <v>0.99399999999999999</v>
      </c>
      <c r="C140" s="197">
        <v>0.995</v>
      </c>
      <c r="D140" s="197">
        <v>0.99399999999999999</v>
      </c>
      <c r="E140" s="197">
        <v>0.99399999999999999</v>
      </c>
      <c r="F140" s="197">
        <v>0.99399999999999999</v>
      </c>
      <c r="G140" s="199">
        <v>710</v>
      </c>
    </row>
    <row r="141" spans="1:7" ht="22.5" customHeight="1" x14ac:dyDescent="0.2">
      <c r="A141" s="169" t="s">
        <v>1829</v>
      </c>
      <c r="B141" s="197">
        <v>1.0009999999999999</v>
      </c>
      <c r="C141" s="197">
        <v>0.999</v>
      </c>
      <c r="D141" s="197">
        <v>0.999</v>
      </c>
      <c r="E141" s="197">
        <v>1.0009999999999999</v>
      </c>
      <c r="F141" s="197">
        <v>1</v>
      </c>
      <c r="G141" s="199">
        <v>711</v>
      </c>
    </row>
    <row r="142" spans="1:7" ht="22.5" customHeight="1" x14ac:dyDescent="0.2">
      <c r="A142" s="169" t="s">
        <v>1830</v>
      </c>
      <c r="B142" s="197">
        <v>1.0169999999999999</v>
      </c>
      <c r="C142" s="197">
        <v>1.012</v>
      </c>
      <c r="D142" s="197">
        <v>1.016</v>
      </c>
      <c r="E142" s="197">
        <v>1.0149999999999999</v>
      </c>
      <c r="F142" s="197">
        <v>1.022</v>
      </c>
      <c r="G142" s="199">
        <v>712</v>
      </c>
    </row>
    <row r="143" spans="1:7" ht="22.5" customHeight="1" x14ac:dyDescent="0.2">
      <c r="A143" s="169" t="s">
        <v>1831</v>
      </c>
      <c r="B143" s="197">
        <v>1.0169999999999999</v>
      </c>
      <c r="C143" s="197">
        <v>1.012</v>
      </c>
      <c r="D143" s="197">
        <v>1.016</v>
      </c>
      <c r="E143" s="197">
        <v>1.0149999999999999</v>
      </c>
      <c r="F143" s="197">
        <v>1.022</v>
      </c>
      <c r="G143" s="199">
        <v>713</v>
      </c>
    </row>
    <row r="144" spans="1:7" ht="22.5" customHeight="1" x14ac:dyDescent="0.2">
      <c r="A144" s="169" t="s">
        <v>1832</v>
      </c>
      <c r="B144" s="197">
        <v>1.0329999999999999</v>
      </c>
      <c r="C144" s="197">
        <v>1.0229999999999999</v>
      </c>
      <c r="D144" s="197">
        <v>1.0329999999999999</v>
      </c>
      <c r="E144" s="197">
        <v>1.0149999999999999</v>
      </c>
      <c r="F144" s="197">
        <v>1.0449999999999999</v>
      </c>
      <c r="G144" s="199">
        <v>714</v>
      </c>
    </row>
    <row r="145" spans="1:7" ht="22.5" customHeight="1" x14ac:dyDescent="0.2">
      <c r="A145" s="169" t="s">
        <v>1833</v>
      </c>
      <c r="B145" s="197">
        <v>1.0169999999999999</v>
      </c>
      <c r="C145" s="197">
        <v>1.0149999999999999</v>
      </c>
      <c r="D145" s="197">
        <v>1.02</v>
      </c>
      <c r="E145" s="197">
        <v>1.014</v>
      </c>
      <c r="F145" s="197">
        <v>1.0229999999999999</v>
      </c>
      <c r="G145" s="199">
        <v>715</v>
      </c>
    </row>
    <row r="146" spans="1:7" ht="22.5" customHeight="1" x14ac:dyDescent="0.2">
      <c r="A146" s="169" t="s">
        <v>1834</v>
      </c>
      <c r="B146" s="197">
        <v>1.01</v>
      </c>
      <c r="C146" s="197">
        <v>1.01</v>
      </c>
      <c r="D146" s="197">
        <v>1.012</v>
      </c>
      <c r="E146" s="197">
        <v>1.006</v>
      </c>
      <c r="F146" s="197">
        <v>1.0129999999999999</v>
      </c>
      <c r="G146" s="199">
        <v>716</v>
      </c>
    </row>
    <row r="147" spans="1:7" ht="22.5" customHeight="1" x14ac:dyDescent="0.2">
      <c r="A147" s="169" t="s">
        <v>1835</v>
      </c>
      <c r="B147" s="197">
        <v>1.0049999999999999</v>
      </c>
      <c r="C147" s="197">
        <v>1</v>
      </c>
      <c r="D147" s="197">
        <v>1.0009999999999999</v>
      </c>
      <c r="E147" s="197">
        <v>1.002</v>
      </c>
      <c r="F147" s="197">
        <v>1.0029999999999999</v>
      </c>
      <c r="G147" s="199">
        <v>717</v>
      </c>
    </row>
    <row r="148" spans="1:7" ht="22.5" customHeight="1" x14ac:dyDescent="0.2">
      <c r="A148" s="169" t="s">
        <v>1836</v>
      </c>
      <c r="B148" s="197">
        <v>1.0049999999999999</v>
      </c>
      <c r="C148" s="197">
        <v>1.0029999999999999</v>
      </c>
      <c r="D148" s="197">
        <v>1.006</v>
      </c>
      <c r="E148" s="197">
        <v>1.0029999999999999</v>
      </c>
      <c r="F148" s="197">
        <v>1.0049999999999999</v>
      </c>
      <c r="G148" s="199">
        <v>718</v>
      </c>
    </row>
    <row r="149" spans="1:7" ht="22.5" customHeight="1" x14ac:dyDescent="0.2">
      <c r="A149" s="169" t="s">
        <v>1837</v>
      </c>
      <c r="B149" s="197">
        <v>1.0009999999999999</v>
      </c>
      <c r="C149" s="197">
        <v>1</v>
      </c>
      <c r="D149" s="197">
        <v>1.0009999999999999</v>
      </c>
      <c r="E149" s="197">
        <v>1</v>
      </c>
      <c r="F149" s="197">
        <v>1.0009999999999999</v>
      </c>
      <c r="G149" s="199">
        <v>719</v>
      </c>
    </row>
    <row r="150" spans="1:7" ht="22.5" customHeight="1" x14ac:dyDescent="0.2">
      <c r="A150" s="169" t="s">
        <v>1838</v>
      </c>
      <c r="B150" s="197">
        <v>1</v>
      </c>
      <c r="C150" s="197">
        <v>0.999</v>
      </c>
      <c r="D150" s="197">
        <v>0.999</v>
      </c>
      <c r="E150" s="197">
        <v>0.999</v>
      </c>
      <c r="F150" s="197">
        <v>0.999</v>
      </c>
      <c r="G150" s="199">
        <v>720</v>
      </c>
    </row>
    <row r="151" spans="1:7" ht="22.5" customHeight="1" x14ac:dyDescent="0.2">
      <c r="A151" s="169" t="s">
        <v>1839</v>
      </c>
      <c r="B151" s="197">
        <v>0.98799999999999999</v>
      </c>
      <c r="C151" s="197">
        <v>0.99</v>
      </c>
      <c r="D151" s="197">
        <v>0.98799999999999999</v>
      </c>
      <c r="E151" s="197">
        <v>0.98899999999999999</v>
      </c>
      <c r="F151" s="197">
        <v>0.98899999999999999</v>
      </c>
      <c r="G151" s="199">
        <v>721</v>
      </c>
    </row>
    <row r="152" spans="1:7" ht="22.5" customHeight="1" x14ac:dyDescent="0.2">
      <c r="A152" s="169" t="s">
        <v>1840</v>
      </c>
      <c r="B152" s="197">
        <v>0.998</v>
      </c>
      <c r="C152" s="197">
        <v>0.999</v>
      </c>
      <c r="D152" s="197">
        <v>0.998</v>
      </c>
      <c r="E152" s="197">
        <v>0.998</v>
      </c>
      <c r="F152" s="197">
        <v>0.998</v>
      </c>
      <c r="G152" s="199">
        <v>722</v>
      </c>
    </row>
    <row r="153" spans="1:7" ht="22.5" customHeight="1" x14ac:dyDescent="0.2">
      <c r="A153" s="169" t="s">
        <v>1841</v>
      </c>
      <c r="B153" s="197">
        <v>1.006</v>
      </c>
      <c r="C153" s="197">
        <v>1.002</v>
      </c>
      <c r="D153" s="197">
        <v>1.006</v>
      </c>
      <c r="E153" s="197">
        <v>1.002</v>
      </c>
      <c r="F153" s="197">
        <v>1.0069999999999999</v>
      </c>
      <c r="G153" s="199">
        <v>724</v>
      </c>
    </row>
    <row r="154" spans="1:7" ht="22.5" customHeight="1" x14ac:dyDescent="0.2">
      <c r="A154" s="169" t="s">
        <v>1842</v>
      </c>
      <c r="B154" s="197">
        <v>1.0009999999999999</v>
      </c>
      <c r="C154" s="197">
        <v>1.0009999999999999</v>
      </c>
      <c r="D154" s="197">
        <v>1.0009999999999999</v>
      </c>
      <c r="E154" s="197">
        <v>0.997</v>
      </c>
      <c r="F154" s="197">
        <v>1.0009999999999999</v>
      </c>
      <c r="G154" s="199">
        <v>725</v>
      </c>
    </row>
    <row r="155" spans="1:7" ht="22.5" customHeight="1" x14ac:dyDescent="0.2">
      <c r="A155" s="169" t="s">
        <v>1843</v>
      </c>
      <c r="B155" s="197">
        <v>0.998</v>
      </c>
      <c r="C155" s="197">
        <v>0.999</v>
      </c>
      <c r="D155" s="197">
        <v>0.998</v>
      </c>
      <c r="E155" s="197">
        <v>0.998</v>
      </c>
      <c r="F155" s="197">
        <v>0.999</v>
      </c>
      <c r="G155" s="199">
        <v>726</v>
      </c>
    </row>
    <row r="156" spans="1:7" ht="22.5" customHeight="1" x14ac:dyDescent="0.2">
      <c r="A156" s="169" t="s">
        <v>1844</v>
      </c>
      <c r="B156" s="197">
        <v>1</v>
      </c>
      <c r="C156" s="197">
        <v>1</v>
      </c>
      <c r="D156" s="197">
        <v>1</v>
      </c>
      <c r="E156" s="197">
        <v>1</v>
      </c>
      <c r="F156" s="197">
        <v>1</v>
      </c>
      <c r="G156" s="199">
        <v>727</v>
      </c>
    </row>
    <row r="157" spans="1:7" ht="22.5" customHeight="1" x14ac:dyDescent="0.2">
      <c r="A157" s="169" t="s">
        <v>1845</v>
      </c>
      <c r="B157" s="197">
        <v>0.93300000000000005</v>
      </c>
      <c r="C157" s="197">
        <v>0.93100000000000005</v>
      </c>
      <c r="D157" s="197">
        <v>0.93100000000000005</v>
      </c>
      <c r="E157" s="197">
        <v>0.92900000000000005</v>
      </c>
      <c r="F157" s="197">
        <v>0.93100000000000005</v>
      </c>
      <c r="G157" s="199">
        <v>728</v>
      </c>
    </row>
    <row r="158" spans="1:7" ht="22.5" customHeight="1" x14ac:dyDescent="0.2">
      <c r="A158" s="169" t="s">
        <v>1846</v>
      </c>
      <c r="B158" s="197">
        <v>1.0169999999999999</v>
      </c>
      <c r="C158" s="197">
        <v>1.0129999999999999</v>
      </c>
      <c r="D158" s="197">
        <v>1.0149999999999999</v>
      </c>
      <c r="E158" s="197">
        <v>1.012</v>
      </c>
      <c r="F158" s="197">
        <v>1.014</v>
      </c>
      <c r="G158" s="199">
        <v>729</v>
      </c>
    </row>
    <row r="159" spans="1:7" ht="22.5" customHeight="1" x14ac:dyDescent="0.2">
      <c r="A159" s="169" t="s">
        <v>1847</v>
      </c>
      <c r="B159" s="197">
        <v>1.022</v>
      </c>
      <c r="C159" s="197">
        <v>1.01</v>
      </c>
      <c r="D159" s="197">
        <v>1.018</v>
      </c>
      <c r="E159" s="197">
        <v>1.0109999999999999</v>
      </c>
      <c r="F159" s="197">
        <v>1.02</v>
      </c>
      <c r="G159" s="199">
        <v>731</v>
      </c>
    </row>
    <row r="160" spans="1:7" ht="22.5" customHeight="1" x14ac:dyDescent="0.2">
      <c r="A160" s="169" t="s">
        <v>1848</v>
      </c>
      <c r="B160" s="197">
        <v>1.0169999999999999</v>
      </c>
      <c r="C160" s="197">
        <v>1.0129999999999999</v>
      </c>
      <c r="D160" s="197">
        <v>1.0149999999999999</v>
      </c>
      <c r="E160" s="197">
        <v>1.012</v>
      </c>
      <c r="F160" s="197">
        <v>1.014</v>
      </c>
      <c r="G160" s="199">
        <v>732</v>
      </c>
    </row>
    <row r="161" spans="1:7" ht="22.5" customHeight="1" x14ac:dyDescent="0.2">
      <c r="A161" s="169" t="s">
        <v>1849</v>
      </c>
      <c r="B161" s="197">
        <v>1</v>
      </c>
      <c r="C161" s="197">
        <v>0.998</v>
      </c>
      <c r="D161" s="197">
        <v>0.999</v>
      </c>
      <c r="E161" s="197">
        <v>0.997</v>
      </c>
      <c r="F161" s="197">
        <v>0.999</v>
      </c>
      <c r="G161" s="199">
        <v>733</v>
      </c>
    </row>
    <row r="162" spans="1:7" ht="22.5" customHeight="1" x14ac:dyDescent="0.2">
      <c r="A162" s="169" t="s">
        <v>1850</v>
      </c>
      <c r="B162" s="197">
        <v>1.0069999999999999</v>
      </c>
      <c r="C162" s="197">
        <v>0.997</v>
      </c>
      <c r="D162" s="197">
        <v>1.0009999999999999</v>
      </c>
      <c r="E162" s="197">
        <v>1.004</v>
      </c>
      <c r="F162" s="197">
        <v>0.999</v>
      </c>
      <c r="G162" s="199">
        <v>735</v>
      </c>
    </row>
    <row r="163" spans="1:7" ht="22.5" customHeight="1" x14ac:dyDescent="0.2">
      <c r="A163" s="169" t="s">
        <v>1851</v>
      </c>
      <c r="B163" s="197">
        <v>1.0249999999999999</v>
      </c>
      <c r="C163" s="197">
        <v>1.0169999999999999</v>
      </c>
      <c r="D163" s="197">
        <v>1.026</v>
      </c>
      <c r="E163" s="197">
        <v>1.018</v>
      </c>
      <c r="F163" s="197">
        <v>1.0189999999999999</v>
      </c>
      <c r="G163" s="199">
        <v>736</v>
      </c>
    </row>
    <row r="164" spans="1:7" ht="22.5" customHeight="1" x14ac:dyDescent="0.2">
      <c r="A164" s="169" t="s">
        <v>1852</v>
      </c>
      <c r="B164" s="197">
        <v>1.018</v>
      </c>
      <c r="C164" s="197">
        <v>1.002</v>
      </c>
      <c r="D164" s="197">
        <v>1.01</v>
      </c>
      <c r="E164" s="197">
        <v>1.01</v>
      </c>
      <c r="F164" s="197">
        <v>1.0049999999999999</v>
      </c>
      <c r="G164" s="199">
        <v>737</v>
      </c>
    </row>
    <row r="165" spans="1:7" ht="22.5" customHeight="1" x14ac:dyDescent="0.2">
      <c r="A165" s="169" t="s">
        <v>1853</v>
      </c>
      <c r="B165" s="197">
        <v>1.0269999999999999</v>
      </c>
      <c r="C165" s="197">
        <v>1.0129999999999999</v>
      </c>
      <c r="D165" s="197">
        <v>1.0089999999999999</v>
      </c>
      <c r="E165" s="197">
        <v>1.0069999999999999</v>
      </c>
      <c r="F165" s="197">
        <v>1.01</v>
      </c>
      <c r="G165" s="199">
        <v>738</v>
      </c>
    </row>
    <row r="166" spans="1:7" ht="22.5" customHeight="1" x14ac:dyDescent="0.2">
      <c r="A166" s="169" t="s">
        <v>1854</v>
      </c>
      <c r="B166" s="197">
        <v>0.998</v>
      </c>
      <c r="C166" s="197">
        <v>0.98199999999999998</v>
      </c>
      <c r="D166" s="197">
        <v>0.98599999999999999</v>
      </c>
      <c r="E166" s="197">
        <v>0.998</v>
      </c>
      <c r="F166" s="197">
        <v>0.98299999999999998</v>
      </c>
      <c r="G166" s="199">
        <v>739</v>
      </c>
    </row>
    <row r="167" spans="1:7" ht="22.5" customHeight="1" x14ac:dyDescent="0.2">
      <c r="A167" s="169" t="s">
        <v>1855</v>
      </c>
      <c r="B167" s="197">
        <v>1.006</v>
      </c>
      <c r="C167" s="197">
        <v>1.004</v>
      </c>
      <c r="D167" s="197">
        <v>1.0029999999999999</v>
      </c>
      <c r="E167" s="197">
        <v>1.0049999999999999</v>
      </c>
      <c r="F167" s="197">
        <v>1.0029999999999999</v>
      </c>
      <c r="G167" s="199">
        <v>740</v>
      </c>
    </row>
    <row r="168" spans="1:7" ht="22.5" customHeight="1" x14ac:dyDescent="0.2">
      <c r="A168" s="169" t="s">
        <v>1856</v>
      </c>
      <c r="B168" s="197">
        <v>1.0189999999999999</v>
      </c>
      <c r="C168" s="197">
        <v>1.02</v>
      </c>
      <c r="D168" s="197">
        <v>1.018</v>
      </c>
      <c r="E168" s="197">
        <v>1.018</v>
      </c>
      <c r="F168" s="197">
        <v>1.0249999999999999</v>
      </c>
      <c r="G168" s="199">
        <v>741</v>
      </c>
    </row>
    <row r="169" spans="1:7" ht="22.5" customHeight="1" x14ac:dyDescent="0.2">
      <c r="A169" s="169" t="s">
        <v>1857</v>
      </c>
      <c r="B169" s="197">
        <v>1.0189999999999999</v>
      </c>
      <c r="C169" s="197">
        <v>1.006</v>
      </c>
      <c r="D169" s="197">
        <v>1.0089999999999999</v>
      </c>
      <c r="E169" s="197">
        <v>1.012</v>
      </c>
      <c r="F169" s="197">
        <v>1.012</v>
      </c>
      <c r="G169" s="199">
        <v>742</v>
      </c>
    </row>
    <row r="170" spans="1:7" ht="22.5" customHeight="1" x14ac:dyDescent="0.2">
      <c r="A170" s="169" t="s">
        <v>1858</v>
      </c>
      <c r="B170" s="197">
        <v>1.002</v>
      </c>
      <c r="C170" s="197">
        <v>1.002</v>
      </c>
      <c r="D170" s="197">
        <v>1.002</v>
      </c>
      <c r="E170" s="197">
        <v>1.0009999999999999</v>
      </c>
      <c r="F170" s="197">
        <v>1.004</v>
      </c>
      <c r="G170" s="199">
        <v>743</v>
      </c>
    </row>
    <row r="171" spans="1:7" ht="22.5" customHeight="1" x14ac:dyDescent="0.2">
      <c r="A171" s="169" t="s">
        <v>1859</v>
      </c>
      <c r="B171" s="197">
        <v>1.0109999999999999</v>
      </c>
      <c r="C171" s="197">
        <v>1.0089999999999999</v>
      </c>
      <c r="D171" s="197">
        <v>1.0089999999999999</v>
      </c>
      <c r="E171" s="197">
        <v>1.01</v>
      </c>
      <c r="F171" s="197">
        <v>1.0109999999999999</v>
      </c>
      <c r="G171" s="199">
        <v>744</v>
      </c>
    </row>
    <row r="172" spans="1:7" ht="22.5" customHeight="1" x14ac:dyDescent="0.2">
      <c r="A172" s="169" t="s">
        <v>1860</v>
      </c>
      <c r="B172" s="197">
        <v>0.999</v>
      </c>
      <c r="C172" s="197">
        <v>0.996</v>
      </c>
      <c r="D172" s="197">
        <v>0.998</v>
      </c>
      <c r="E172" s="197">
        <v>0.999</v>
      </c>
      <c r="F172" s="197">
        <v>0.997</v>
      </c>
      <c r="G172" s="199">
        <v>745</v>
      </c>
    </row>
    <row r="173" spans="1:7" ht="22.5" customHeight="1" x14ac:dyDescent="0.2">
      <c r="A173" s="169" t="s">
        <v>1861</v>
      </c>
      <c r="B173" s="197">
        <v>1</v>
      </c>
      <c r="C173" s="197">
        <v>1</v>
      </c>
      <c r="D173" s="197">
        <v>0.999</v>
      </c>
      <c r="E173" s="197">
        <v>1</v>
      </c>
      <c r="F173" s="197">
        <v>1</v>
      </c>
      <c r="G173" s="199">
        <v>746</v>
      </c>
    </row>
    <row r="174" spans="1:7" ht="22.5" customHeight="1" x14ac:dyDescent="0.2">
      <c r="A174" s="169" t="s">
        <v>1862</v>
      </c>
      <c r="B174" s="197">
        <v>1.008</v>
      </c>
      <c r="C174" s="197">
        <v>1</v>
      </c>
      <c r="D174" s="197">
        <v>1.002</v>
      </c>
      <c r="E174" s="197">
        <v>1.0029999999999999</v>
      </c>
      <c r="F174" s="197">
        <v>1.0009999999999999</v>
      </c>
      <c r="G174" s="199">
        <v>747</v>
      </c>
    </row>
    <row r="175" spans="1:7" ht="22.5" customHeight="1" x14ac:dyDescent="0.2">
      <c r="A175" s="169" t="s">
        <v>1863</v>
      </c>
      <c r="B175" s="197">
        <v>1.008</v>
      </c>
      <c r="C175" s="197">
        <v>1.006</v>
      </c>
      <c r="D175" s="197">
        <v>1.008</v>
      </c>
      <c r="E175" s="197">
        <v>1.0069999999999999</v>
      </c>
      <c r="F175" s="197">
        <v>1.0089999999999999</v>
      </c>
      <c r="G175" s="199">
        <v>748</v>
      </c>
    </row>
    <row r="176" spans="1:7" ht="22.5" customHeight="1" x14ac:dyDescent="0.2">
      <c r="A176" s="169" t="s">
        <v>1864</v>
      </c>
      <c r="B176" s="197">
        <v>1.006</v>
      </c>
      <c r="C176" s="197">
        <v>0.99099999999999999</v>
      </c>
      <c r="D176" s="197">
        <v>0.995</v>
      </c>
      <c r="E176" s="197">
        <v>1.0049999999999999</v>
      </c>
      <c r="F176" s="197">
        <v>0.99299999999999999</v>
      </c>
      <c r="G176" s="199">
        <v>749</v>
      </c>
    </row>
    <row r="177" spans="1:7" ht="22.5" customHeight="1" x14ac:dyDescent="0.2">
      <c r="A177" s="169" t="s">
        <v>1865</v>
      </c>
      <c r="B177" s="197">
        <v>1</v>
      </c>
      <c r="C177" s="197">
        <v>0.999</v>
      </c>
      <c r="D177" s="197">
        <v>0.999</v>
      </c>
      <c r="E177" s="197">
        <v>1</v>
      </c>
      <c r="F177" s="197">
        <v>0.999</v>
      </c>
      <c r="G177" s="199">
        <v>750</v>
      </c>
    </row>
    <row r="178" spans="1:7" ht="22.5" customHeight="1" x14ac:dyDescent="0.2">
      <c r="A178" s="169" t="s">
        <v>1866</v>
      </c>
      <c r="B178" s="197">
        <v>1.0009999999999999</v>
      </c>
      <c r="C178" s="197">
        <v>1</v>
      </c>
      <c r="D178" s="197">
        <v>1</v>
      </c>
      <c r="E178" s="197">
        <v>1</v>
      </c>
      <c r="F178" s="197">
        <v>1</v>
      </c>
      <c r="G178" s="199">
        <v>751</v>
      </c>
    </row>
    <row r="179" spans="1:7" ht="22.5" customHeight="1" x14ac:dyDescent="0.2">
      <c r="A179" s="169" t="s">
        <v>1867</v>
      </c>
      <c r="B179" s="197">
        <v>1.0109999999999999</v>
      </c>
      <c r="C179" s="197">
        <v>1.008</v>
      </c>
      <c r="D179" s="197">
        <v>1.0069999999999999</v>
      </c>
      <c r="E179" s="197">
        <v>1.008</v>
      </c>
      <c r="F179" s="197">
        <v>1.012</v>
      </c>
      <c r="G179" s="199">
        <v>752</v>
      </c>
    </row>
    <row r="180" spans="1:7" ht="22.5" customHeight="1" x14ac:dyDescent="0.2">
      <c r="A180" s="169" t="s">
        <v>1868</v>
      </c>
      <c r="B180" s="197">
        <v>1</v>
      </c>
      <c r="C180" s="197">
        <v>0.997</v>
      </c>
      <c r="D180" s="197">
        <v>0.997</v>
      </c>
      <c r="E180" s="197">
        <v>1</v>
      </c>
      <c r="F180" s="197">
        <v>0.997</v>
      </c>
      <c r="G180" s="199">
        <v>753</v>
      </c>
    </row>
    <row r="181" spans="1:7" ht="22.5" customHeight="1" x14ac:dyDescent="0.2">
      <c r="A181" s="169" t="s">
        <v>1869</v>
      </c>
      <c r="B181" s="197">
        <v>1.0149999999999999</v>
      </c>
      <c r="C181" s="197">
        <v>1.0069999999999999</v>
      </c>
      <c r="D181" s="197">
        <v>1.01</v>
      </c>
      <c r="E181" s="197">
        <v>1.006</v>
      </c>
      <c r="F181" s="197">
        <v>1.014</v>
      </c>
      <c r="G181" s="199">
        <v>754</v>
      </c>
    </row>
    <row r="182" spans="1:7" ht="22.5" customHeight="1" x14ac:dyDescent="0.2">
      <c r="A182" s="169" t="s">
        <v>1870</v>
      </c>
      <c r="B182" s="197">
        <v>0.999</v>
      </c>
      <c r="C182" s="197">
        <v>0.99399999999999999</v>
      </c>
      <c r="D182" s="197">
        <v>0.996</v>
      </c>
      <c r="E182" s="197">
        <v>0.999</v>
      </c>
      <c r="F182" s="197">
        <v>0.995</v>
      </c>
      <c r="G182" s="199">
        <v>755</v>
      </c>
    </row>
    <row r="183" spans="1:7" ht="22.5" customHeight="1" x14ac:dyDescent="0.2">
      <c r="A183" s="169" t="s">
        <v>1871</v>
      </c>
      <c r="B183" s="197">
        <v>1.006</v>
      </c>
      <c r="C183" s="197">
        <v>1.002</v>
      </c>
      <c r="D183" s="197">
        <v>1.006</v>
      </c>
      <c r="E183" s="197">
        <v>1.002</v>
      </c>
      <c r="F183" s="197">
        <v>1.0069999999999999</v>
      </c>
      <c r="G183" s="199">
        <v>767</v>
      </c>
    </row>
    <row r="184" spans="1:7" ht="22.5" customHeight="1" x14ac:dyDescent="0.2">
      <c r="A184" s="169" t="s">
        <v>1872</v>
      </c>
      <c r="B184" s="197">
        <v>1.01</v>
      </c>
      <c r="C184" s="197">
        <v>1.004</v>
      </c>
      <c r="D184" s="197">
        <v>1.0069999999999999</v>
      </c>
      <c r="E184" s="197">
        <v>1.004</v>
      </c>
      <c r="F184" s="197">
        <v>1.008</v>
      </c>
      <c r="G184" s="199">
        <v>780</v>
      </c>
    </row>
    <row r="185" spans="1:7" ht="22.5" customHeight="1" x14ac:dyDescent="0.2">
      <c r="A185" s="169" t="s">
        <v>1873</v>
      </c>
      <c r="B185" s="197">
        <v>1.006</v>
      </c>
      <c r="C185" s="197">
        <v>1.0049999999999999</v>
      </c>
      <c r="D185" s="197">
        <v>1.006</v>
      </c>
      <c r="E185" s="197">
        <v>1.004</v>
      </c>
      <c r="F185" s="197">
        <v>1.0049999999999999</v>
      </c>
      <c r="G185" s="199">
        <v>785</v>
      </c>
    </row>
    <row r="187" spans="1:7" ht="20.25" customHeight="1" x14ac:dyDescent="0.2">
      <c r="A187" s="279" t="s">
        <v>1874</v>
      </c>
      <c r="B187" s="280"/>
      <c r="C187" s="280"/>
      <c r="D187" s="280"/>
      <c r="E187" s="280"/>
      <c r="F187" s="280"/>
      <c r="G187" s="281"/>
    </row>
    <row r="188" spans="1:7" ht="20.25" customHeight="1" x14ac:dyDescent="0.2">
      <c r="A188" s="20" t="s">
        <v>9</v>
      </c>
      <c r="B188" s="20" t="s">
        <v>4</v>
      </c>
      <c r="C188" s="20" t="s">
        <v>5</v>
      </c>
      <c r="D188" s="20" t="s">
        <v>6</v>
      </c>
      <c r="E188" s="20" t="s">
        <v>7</v>
      </c>
      <c r="F188" s="20" t="s">
        <v>619</v>
      </c>
      <c r="G188" s="20" t="s">
        <v>1875</v>
      </c>
    </row>
    <row r="189" spans="1:7" ht="25.5" customHeight="1" x14ac:dyDescent="0.2">
      <c r="A189" s="200" t="s">
        <v>1876</v>
      </c>
      <c r="B189" s="197">
        <v>1.018</v>
      </c>
      <c r="C189" s="197">
        <v>1.014</v>
      </c>
      <c r="D189" s="197">
        <v>1.0169999999999999</v>
      </c>
      <c r="E189" s="197">
        <v>1.0129999999999999</v>
      </c>
      <c r="F189" s="199">
        <v>1.0149999999999999</v>
      </c>
      <c r="G189" s="199">
        <v>1032</v>
      </c>
    </row>
    <row r="190" spans="1:7" ht="25.5" customHeight="1" x14ac:dyDescent="0.2">
      <c r="A190" s="200" t="s">
        <v>1877</v>
      </c>
      <c r="B190" s="197">
        <v>1.006</v>
      </c>
      <c r="C190" s="197">
        <v>1.0049999999999999</v>
      </c>
      <c r="D190" s="197">
        <v>1.006</v>
      </c>
      <c r="E190" s="197">
        <v>1.0049999999999999</v>
      </c>
      <c r="F190" s="197">
        <v>1.006</v>
      </c>
      <c r="G190" s="201">
        <v>1630</v>
      </c>
    </row>
    <row r="191" spans="1:7" ht="25.5" customHeight="1" x14ac:dyDescent="0.2">
      <c r="A191" s="200" t="s">
        <v>1878</v>
      </c>
      <c r="B191" s="197">
        <v>1.002</v>
      </c>
      <c r="C191" s="197">
        <v>0.999</v>
      </c>
      <c r="D191" s="197">
        <v>1.0009999999999999</v>
      </c>
      <c r="E191" s="197">
        <v>0.999</v>
      </c>
      <c r="F191" s="197">
        <v>1.002</v>
      </c>
      <c r="G191" s="201">
        <v>7104</v>
      </c>
    </row>
    <row r="192" spans="1:7" ht="25.5" customHeight="1" x14ac:dyDescent="0.2">
      <c r="A192" s="200" t="s">
        <v>1879</v>
      </c>
      <c r="B192" s="197">
        <v>1.036</v>
      </c>
      <c r="C192" s="197">
        <v>1.028</v>
      </c>
      <c r="D192" s="197">
        <v>1.032</v>
      </c>
      <c r="E192" s="197">
        <v>1.0249999999999999</v>
      </c>
      <c r="F192" s="197">
        <v>1.0289999999999999</v>
      </c>
      <c r="G192" s="201">
        <v>7105</v>
      </c>
    </row>
    <row r="193" spans="1:7" ht="25.5" customHeight="1" x14ac:dyDescent="0.2">
      <c r="A193" s="200" t="s">
        <v>1880</v>
      </c>
      <c r="B193" s="197">
        <v>1.03</v>
      </c>
      <c r="C193" s="197">
        <v>1.024</v>
      </c>
      <c r="D193" s="197">
        <v>1.0269999999999999</v>
      </c>
      <c r="E193" s="197">
        <v>1.022</v>
      </c>
      <c r="F193" s="197">
        <v>1.0249999999999999</v>
      </c>
      <c r="G193" s="201">
        <v>7160</v>
      </c>
    </row>
    <row r="194" spans="1:7" ht="25.5" customHeight="1" x14ac:dyDescent="0.2">
      <c r="A194" s="200" t="s">
        <v>1881</v>
      </c>
      <c r="B194" s="197">
        <v>1.016</v>
      </c>
      <c r="C194" s="197">
        <v>1.016</v>
      </c>
      <c r="D194" s="197">
        <v>1.018</v>
      </c>
      <c r="E194" s="197">
        <v>1.0169999999999999</v>
      </c>
      <c r="F194" s="197">
        <v>1.0169999999999999</v>
      </c>
      <c r="G194" s="201">
        <v>7435</v>
      </c>
    </row>
    <row r="195" spans="1:7" ht="25.5" customHeight="1" x14ac:dyDescent="0.2">
      <c r="A195" s="200" t="s">
        <v>1882</v>
      </c>
      <c r="B195" s="197">
        <v>1.004</v>
      </c>
      <c r="C195" s="197">
        <v>1.0009999999999999</v>
      </c>
      <c r="D195" s="197">
        <v>1.0009999999999999</v>
      </c>
      <c r="E195" s="197">
        <v>1</v>
      </c>
      <c r="F195" s="197">
        <v>1.002</v>
      </c>
      <c r="G195" s="201">
        <v>7436</v>
      </c>
    </row>
    <row r="196" spans="1:7" ht="25.5" customHeight="1" x14ac:dyDescent="0.2">
      <c r="A196" s="200" t="s">
        <v>1883</v>
      </c>
      <c r="B196" s="197">
        <v>1</v>
      </c>
      <c r="C196" s="197">
        <v>1</v>
      </c>
      <c r="D196" s="197">
        <v>1</v>
      </c>
      <c r="E196" s="197">
        <v>1</v>
      </c>
      <c r="F196" s="197">
        <v>1</v>
      </c>
      <c r="G196" s="201">
        <v>7441</v>
      </c>
    </row>
    <row r="197" spans="1:7" ht="25.5" customHeight="1" x14ac:dyDescent="0.2">
      <c r="A197" s="200" t="s">
        <v>1884</v>
      </c>
      <c r="B197" s="197">
        <v>0.999</v>
      </c>
      <c r="C197" s="197">
        <v>0.999</v>
      </c>
      <c r="D197" s="197">
        <v>0.999</v>
      </c>
      <c r="E197" s="197">
        <v>1</v>
      </c>
      <c r="F197" s="197">
        <v>1</v>
      </c>
      <c r="G197" s="201">
        <v>7442</v>
      </c>
    </row>
    <row r="198" spans="1:7" ht="25.5" customHeight="1" x14ac:dyDescent="0.2">
      <c r="A198" s="200" t="s">
        <v>1885</v>
      </c>
      <c r="B198" s="197">
        <v>1.0169999999999999</v>
      </c>
      <c r="C198" s="197">
        <v>1.0129999999999999</v>
      </c>
      <c r="D198" s="197">
        <v>1.0149999999999999</v>
      </c>
      <c r="E198" s="197">
        <v>1.012</v>
      </c>
      <c r="F198" s="197">
        <v>1.014</v>
      </c>
      <c r="G198" s="201">
        <v>7478</v>
      </c>
    </row>
    <row r="199" spans="1:7" ht="25.5" customHeight="1" x14ac:dyDescent="0.2">
      <c r="A199" s="200" t="s">
        <v>1886</v>
      </c>
      <c r="B199" s="197">
        <v>1.0169999999999999</v>
      </c>
      <c r="C199" s="197">
        <v>1.0129999999999999</v>
      </c>
      <c r="D199" s="197">
        <v>1.0149999999999999</v>
      </c>
      <c r="E199" s="197">
        <v>1.012</v>
      </c>
      <c r="F199" s="197">
        <v>1.014</v>
      </c>
      <c r="G199" s="201">
        <v>7479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2:G2"/>
    <mergeCell ref="A118:G118"/>
    <mergeCell ref="A119:G119"/>
    <mergeCell ref="A187:G187"/>
    <mergeCell ref="C10:G10"/>
    <mergeCell ref="A3:G3"/>
    <mergeCell ref="A12:G12"/>
    <mergeCell ref="A13:G13"/>
    <mergeCell ref="A9:B9"/>
    <mergeCell ref="A10:B10"/>
    <mergeCell ref="A22:G22"/>
    <mergeCell ref="A23:G23"/>
    <mergeCell ref="A4:B5"/>
    <mergeCell ref="A6:B6"/>
    <mergeCell ref="A7:B7"/>
    <mergeCell ref="A8:B8"/>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7"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33"/>
  <sheetViews>
    <sheetView zoomScale="80" zoomScaleNormal="80" zoomScaleSheetLayoutView="70" workbookViewId="0"/>
  </sheetViews>
  <sheetFormatPr defaultRowHeight="27.75" customHeight="1" x14ac:dyDescent="0.2"/>
  <cols>
    <col min="1" max="2" width="14.7109375" style="2" customWidth="1"/>
    <col min="3" max="3" width="7.28515625" style="2" customWidth="1"/>
    <col min="4" max="4" width="15.7109375" style="2" customWidth="1"/>
    <col min="5" max="5" width="14.7109375" style="3" customWidth="1"/>
    <col min="6" max="6" width="7.28515625" style="3" customWidth="1"/>
    <col min="7" max="7" width="15.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100.5" customHeight="1" x14ac:dyDescent="0.2">
      <c r="A1" s="13" t="s">
        <v>19</v>
      </c>
      <c r="B1" s="13"/>
      <c r="C1" s="13"/>
      <c r="D1" s="13"/>
      <c r="G1" s="285" t="s">
        <v>1704</v>
      </c>
      <c r="H1" s="285"/>
      <c r="I1" s="285"/>
      <c r="J1" s="285"/>
    </row>
    <row r="2" spans="1:17" ht="27.75" customHeight="1" x14ac:dyDescent="0.2">
      <c r="A2" s="243" t="s">
        <v>137</v>
      </c>
      <c r="B2" s="244"/>
      <c r="C2" s="244"/>
      <c r="D2" s="244"/>
      <c r="E2" s="244"/>
      <c r="F2" s="244"/>
      <c r="G2" s="244"/>
      <c r="H2" s="244"/>
      <c r="I2" s="244"/>
      <c r="J2" s="244"/>
      <c r="K2" s="244"/>
      <c r="L2" s="244"/>
      <c r="M2" s="244"/>
      <c r="N2" s="244"/>
      <c r="O2" s="244"/>
      <c r="P2" s="244"/>
      <c r="Q2" s="244"/>
    </row>
    <row r="3" spans="1:17" ht="17.25" customHeight="1" x14ac:dyDescent="0.2">
      <c r="A3" s="13"/>
      <c r="B3" s="13"/>
      <c r="C3" s="13"/>
      <c r="D3" s="13"/>
      <c r="G3" s="22"/>
    </row>
    <row r="4" spans="1:17" s="11" customFormat="1" ht="25.5" customHeight="1" x14ac:dyDescent="0.2">
      <c r="A4" s="282" t="str">
        <f>Overview!B4&amp; " - Effective from "&amp;Overview!D4&amp;" - "&amp;Overview!E4&amp;" new designated EHV charges"</f>
        <v>South Eastern Power Networks - Effective from 1 April 2024 - Final new designated EHV charges</v>
      </c>
      <c r="B4" s="283"/>
      <c r="C4" s="283"/>
      <c r="D4" s="283"/>
      <c r="E4" s="283"/>
      <c r="F4" s="283"/>
      <c r="G4" s="283"/>
      <c r="H4" s="283"/>
      <c r="I4" s="283"/>
      <c r="J4" s="283"/>
      <c r="K4" s="283"/>
      <c r="L4" s="283"/>
      <c r="M4" s="283"/>
      <c r="N4" s="283"/>
      <c r="O4" s="283"/>
      <c r="P4" s="283"/>
      <c r="Q4" s="283"/>
    </row>
    <row r="5" spans="1:17" ht="69.75" customHeight="1" x14ac:dyDescent="0.2">
      <c r="A5" s="26" t="s">
        <v>140</v>
      </c>
      <c r="B5" s="26" t="s">
        <v>52</v>
      </c>
      <c r="C5" s="26" t="s">
        <v>35</v>
      </c>
      <c r="D5" s="26" t="s">
        <v>36</v>
      </c>
      <c r="E5" s="26" t="s">
        <v>53</v>
      </c>
      <c r="F5" s="26" t="s">
        <v>35</v>
      </c>
      <c r="G5" s="26" t="s">
        <v>37</v>
      </c>
      <c r="H5" s="60" t="s">
        <v>30</v>
      </c>
      <c r="I5" s="48" t="s">
        <v>607</v>
      </c>
      <c r="J5" s="60" t="str">
        <f>'Annex 2 EHV charges'!I9</f>
        <v>Import
Super Red
unit charge
(p/kWh)</v>
      </c>
      <c r="K5" s="60" t="str">
        <f>'Annex 2 EHV charges'!J9</f>
        <v>Import
fixed charge
(p/day)</v>
      </c>
      <c r="L5" s="60" t="str">
        <f>'Annex 2 EHV charges'!K9</f>
        <v>Import
capacity charge
(p/kVA/day)</v>
      </c>
      <c r="M5" s="60" t="str">
        <f>'Annex 2 EHV charges'!L9</f>
        <v>Import
exceeded capacity charge
(p/kVA/day)</v>
      </c>
      <c r="N5" s="60" t="str">
        <f>'Annex 2 EHV charges'!M9</f>
        <v>Export
Super Red
unit charge
(p/kWh)</v>
      </c>
      <c r="O5" s="60" t="str">
        <f>'Annex 2 EHV charges'!N9</f>
        <v>Export
fixed charge
(p/day)</v>
      </c>
      <c r="P5" s="60" t="str">
        <f>'Annex 2 EHV charges'!O9</f>
        <v>Export
capacity charge
(p/kVA/day)</v>
      </c>
      <c r="Q5" s="60" t="str">
        <f>'Annex 2 EHV charges'!P9</f>
        <v>Export
exceeded capacity charge
(p/kVA/day)</v>
      </c>
    </row>
    <row r="6" spans="1:17" ht="20.100000000000001" customHeight="1" x14ac:dyDescent="0.2">
      <c r="A6" s="186">
        <v>45383</v>
      </c>
      <c r="B6" s="38" t="s">
        <v>872</v>
      </c>
      <c r="C6" s="176">
        <v>843</v>
      </c>
      <c r="D6" s="177">
        <v>1900091523116</v>
      </c>
      <c r="E6" s="39" t="s">
        <v>872</v>
      </c>
      <c r="F6" s="176">
        <v>696</v>
      </c>
      <c r="G6" s="177">
        <v>1900091523125</v>
      </c>
      <c r="H6" s="178" t="s">
        <v>872</v>
      </c>
      <c r="I6" s="179"/>
      <c r="J6" s="180">
        <v>0</v>
      </c>
      <c r="K6" s="181">
        <v>57.61</v>
      </c>
      <c r="L6" s="181">
        <v>1.34</v>
      </c>
      <c r="M6" s="181">
        <v>1.34</v>
      </c>
      <c r="N6" s="182">
        <v>0</v>
      </c>
      <c r="O6" s="183">
        <v>1229.03</v>
      </c>
      <c r="P6" s="183">
        <v>0.05</v>
      </c>
      <c r="Q6" s="183">
        <v>0.05</v>
      </c>
    </row>
    <row r="7" spans="1:17" ht="20.100000000000001" customHeight="1" x14ac:dyDescent="0.2">
      <c r="A7" s="186">
        <v>45383</v>
      </c>
      <c r="B7" s="38" t="s">
        <v>1705</v>
      </c>
      <c r="C7" s="38"/>
      <c r="D7" s="38" t="s">
        <v>1706</v>
      </c>
      <c r="E7" s="39" t="s">
        <v>1705</v>
      </c>
      <c r="F7" s="39"/>
      <c r="G7" s="39" t="s">
        <v>1707</v>
      </c>
      <c r="H7" s="40" t="s">
        <v>1705</v>
      </c>
      <c r="I7" s="40"/>
      <c r="J7" s="180">
        <v>0</v>
      </c>
      <c r="K7" s="181">
        <v>589.13</v>
      </c>
      <c r="L7" s="181">
        <v>1.08</v>
      </c>
      <c r="M7" s="181">
        <v>1.08</v>
      </c>
      <c r="N7" s="182">
        <v>-7.3999999999999996E-2</v>
      </c>
      <c r="O7" s="183">
        <v>589.13</v>
      </c>
      <c r="P7" s="183">
        <v>0.05</v>
      </c>
      <c r="Q7" s="183">
        <v>0.05</v>
      </c>
    </row>
    <row r="8" spans="1:17" ht="20.100000000000001" customHeight="1" x14ac:dyDescent="0.2">
      <c r="A8" s="186" t="s">
        <v>1710</v>
      </c>
      <c r="B8" s="38" t="s">
        <v>1709</v>
      </c>
      <c r="C8" s="176">
        <v>925</v>
      </c>
      <c r="D8" s="177">
        <v>1900092272791</v>
      </c>
      <c r="E8" s="39" t="s">
        <v>1709</v>
      </c>
      <c r="F8" s="176">
        <v>785</v>
      </c>
      <c r="G8" s="177">
        <v>1900092272807</v>
      </c>
      <c r="H8" s="178" t="s">
        <v>1709</v>
      </c>
      <c r="I8" s="179"/>
      <c r="J8" s="180">
        <v>0</v>
      </c>
      <c r="K8" s="181">
        <v>1028.78</v>
      </c>
      <c r="L8" s="181">
        <v>0.95</v>
      </c>
      <c r="M8" s="181">
        <v>0.95</v>
      </c>
      <c r="N8" s="182">
        <v>0</v>
      </c>
      <c r="O8" s="183">
        <v>1028.78</v>
      </c>
      <c r="P8" s="183">
        <v>0.05</v>
      </c>
      <c r="Q8" s="183">
        <v>0.05</v>
      </c>
    </row>
    <row r="9" spans="1:17" ht="20.100000000000001" customHeight="1" x14ac:dyDescent="0.2">
      <c r="A9" s="186" t="s">
        <v>1710</v>
      </c>
      <c r="B9" s="38" t="s">
        <v>875</v>
      </c>
      <c r="C9" s="176">
        <v>810</v>
      </c>
      <c r="D9" s="177">
        <v>1900091199350</v>
      </c>
      <c r="E9" s="39" t="s">
        <v>875</v>
      </c>
      <c r="F9" s="176">
        <v>742</v>
      </c>
      <c r="G9" s="177">
        <v>1900091199379</v>
      </c>
      <c r="H9" s="178" t="s">
        <v>875</v>
      </c>
      <c r="I9" s="40"/>
      <c r="J9" s="180">
        <v>0.499</v>
      </c>
      <c r="K9" s="181">
        <v>83.11</v>
      </c>
      <c r="L9" s="181">
        <v>1.51</v>
      </c>
      <c r="M9" s="181">
        <v>1.51</v>
      </c>
      <c r="N9" s="182">
        <v>0</v>
      </c>
      <c r="O9" s="183">
        <v>1846.86</v>
      </c>
      <c r="P9" s="183">
        <v>0.05</v>
      </c>
      <c r="Q9" s="183">
        <v>0.05</v>
      </c>
    </row>
    <row r="10" spans="1:17" ht="20.100000000000001" customHeight="1" x14ac:dyDescent="0.2">
      <c r="A10" s="38" t="s">
        <v>1710</v>
      </c>
      <c r="B10" s="38" t="s">
        <v>1888</v>
      </c>
      <c r="C10" s="203">
        <v>924</v>
      </c>
      <c r="D10" s="177">
        <v>1900092421070</v>
      </c>
      <c r="E10" s="39"/>
      <c r="F10" s="176"/>
      <c r="G10" s="177"/>
      <c r="H10" s="178" t="s">
        <v>1888</v>
      </c>
      <c r="I10" s="204">
        <v>1</v>
      </c>
      <c r="J10" s="180">
        <v>0.746</v>
      </c>
      <c r="K10" s="181">
        <v>3358.19</v>
      </c>
      <c r="L10" s="181">
        <v>1.81</v>
      </c>
      <c r="M10" s="181">
        <v>1.81</v>
      </c>
      <c r="N10" s="182"/>
      <c r="O10" s="183"/>
      <c r="P10" s="183"/>
      <c r="Q10" s="183"/>
    </row>
    <row r="11" spans="1:17" ht="20.100000000000001" customHeight="1" x14ac:dyDescent="0.2">
      <c r="A11" s="187" t="s">
        <v>1710</v>
      </c>
      <c r="B11" s="187" t="s">
        <v>1889</v>
      </c>
      <c r="C11" s="211">
        <v>907</v>
      </c>
      <c r="D11" s="189">
        <v>1900092421061</v>
      </c>
      <c r="E11" s="190" t="s">
        <v>1889</v>
      </c>
      <c r="F11" s="211">
        <v>768</v>
      </c>
      <c r="G11" s="189">
        <v>1900092421113</v>
      </c>
      <c r="H11" s="191" t="s">
        <v>1889</v>
      </c>
      <c r="I11" s="210">
        <v>1</v>
      </c>
      <c r="J11" s="193">
        <v>0.746</v>
      </c>
      <c r="K11" s="194">
        <v>3339.31</v>
      </c>
      <c r="L11" s="194">
        <v>1.08</v>
      </c>
      <c r="M11" s="194">
        <v>1.08</v>
      </c>
      <c r="N11" s="195">
        <v>-0.79300000000000004</v>
      </c>
      <c r="O11" s="196">
        <v>660.95</v>
      </c>
      <c r="P11" s="196">
        <v>0.05</v>
      </c>
      <c r="Q11" s="196">
        <v>0.05</v>
      </c>
    </row>
    <row r="12" spans="1:17" ht="20.100000000000001" customHeight="1" x14ac:dyDescent="0.2">
      <c r="A12" s="38" t="s">
        <v>1710</v>
      </c>
      <c r="B12" s="38" t="s">
        <v>1944</v>
      </c>
      <c r="C12" s="212">
        <v>850</v>
      </c>
      <c r="D12" s="177">
        <v>1900090417081</v>
      </c>
      <c r="E12" s="38" t="s">
        <v>1944</v>
      </c>
      <c r="F12" s="215">
        <v>733</v>
      </c>
      <c r="G12" s="177">
        <v>1900090417160</v>
      </c>
      <c r="H12" s="38" t="s">
        <v>1944</v>
      </c>
      <c r="I12" s="204">
        <v>2</v>
      </c>
      <c r="J12" s="180">
        <v>0</v>
      </c>
      <c r="K12" s="181">
        <v>15767.52</v>
      </c>
      <c r="L12" s="181">
        <v>1.72</v>
      </c>
      <c r="M12" s="181">
        <v>1.72</v>
      </c>
      <c r="N12" s="182">
        <v>-1.2290000000000001</v>
      </c>
      <c r="O12" s="183">
        <v>1526.56</v>
      </c>
      <c r="P12" s="183">
        <v>0.05</v>
      </c>
      <c r="Q12" s="183">
        <v>0.05</v>
      </c>
    </row>
    <row r="13" spans="1:17" ht="20.100000000000001" customHeight="1" x14ac:dyDescent="0.2">
      <c r="A13" s="187" t="s">
        <v>1710</v>
      </c>
      <c r="B13" s="187" t="s">
        <v>1945</v>
      </c>
      <c r="C13" s="213">
        <v>850</v>
      </c>
      <c r="D13" s="189">
        <v>1900090417106</v>
      </c>
      <c r="E13" s="187" t="s">
        <v>1945</v>
      </c>
      <c r="F13" s="216">
        <v>733</v>
      </c>
      <c r="G13" s="189">
        <v>1900090417189</v>
      </c>
      <c r="H13" s="187" t="s">
        <v>1945</v>
      </c>
      <c r="I13" s="210">
        <v>2</v>
      </c>
      <c r="J13" s="193">
        <v>0</v>
      </c>
      <c r="K13" s="194">
        <v>15452.22</v>
      </c>
      <c r="L13" s="194">
        <v>1.72</v>
      </c>
      <c r="M13" s="194">
        <v>1.72</v>
      </c>
      <c r="N13" s="195">
        <v>-1.2290000000000001</v>
      </c>
      <c r="O13" s="196">
        <v>1211.26</v>
      </c>
      <c r="P13" s="196">
        <v>0.05</v>
      </c>
      <c r="Q13" s="196">
        <v>0.05</v>
      </c>
    </row>
    <row r="14" spans="1:17" ht="20.100000000000001" customHeight="1" x14ac:dyDescent="0.2">
      <c r="A14" s="38" t="s">
        <v>1710</v>
      </c>
      <c r="B14" s="38" t="s">
        <v>1946</v>
      </c>
      <c r="C14" s="214">
        <v>850</v>
      </c>
      <c r="D14" s="177">
        <v>1900090417133</v>
      </c>
      <c r="E14" s="38" t="s">
        <v>1946</v>
      </c>
      <c r="F14" s="217">
        <v>733</v>
      </c>
      <c r="G14" s="177">
        <v>1900090417212</v>
      </c>
      <c r="H14" s="38" t="s">
        <v>1946</v>
      </c>
      <c r="I14" s="204">
        <v>2</v>
      </c>
      <c r="J14" s="180">
        <v>0</v>
      </c>
      <c r="K14" s="181">
        <v>16319.29</v>
      </c>
      <c r="L14" s="181">
        <v>1.72</v>
      </c>
      <c r="M14" s="181">
        <v>1.72</v>
      </c>
      <c r="N14" s="182">
        <v>-1.2290000000000001</v>
      </c>
      <c r="O14" s="183">
        <v>2078.33</v>
      </c>
      <c r="P14" s="183">
        <v>0.05</v>
      </c>
      <c r="Q14" s="183">
        <v>0.05</v>
      </c>
    </row>
    <row r="15" spans="1:17" ht="20.100000000000001" customHeight="1" x14ac:dyDescent="0.2">
      <c r="A15" s="187" t="s">
        <v>1710</v>
      </c>
      <c r="B15" s="187" t="s">
        <v>1947</v>
      </c>
      <c r="C15" s="213">
        <v>850</v>
      </c>
      <c r="D15" s="189">
        <v>1900090417151</v>
      </c>
      <c r="E15" s="187" t="s">
        <v>1947</v>
      </c>
      <c r="F15" s="216">
        <v>733</v>
      </c>
      <c r="G15" s="189">
        <v>1900090417230</v>
      </c>
      <c r="H15" s="187" t="s">
        <v>1947</v>
      </c>
      <c r="I15" s="210">
        <v>1</v>
      </c>
      <c r="J15" s="193">
        <v>0</v>
      </c>
      <c r="K15" s="194">
        <v>3132.12</v>
      </c>
      <c r="L15" s="194">
        <v>1.92</v>
      </c>
      <c r="M15" s="194">
        <v>1.92</v>
      </c>
      <c r="N15" s="195">
        <v>-1.2290000000000001</v>
      </c>
      <c r="O15" s="196">
        <v>659.48</v>
      </c>
      <c r="P15" s="196">
        <v>0.05</v>
      </c>
      <c r="Q15" s="196">
        <v>0.05</v>
      </c>
    </row>
    <row r="16" spans="1:17" ht="20.100000000000001" customHeight="1" x14ac:dyDescent="0.2">
      <c r="A16" s="38" t="s">
        <v>1710</v>
      </c>
      <c r="B16" s="38" t="s">
        <v>1945</v>
      </c>
      <c r="C16" s="214">
        <v>850</v>
      </c>
      <c r="D16" s="177">
        <v>1900090417106</v>
      </c>
      <c r="E16" s="38" t="s">
        <v>1945</v>
      </c>
      <c r="F16" s="217">
        <v>733</v>
      </c>
      <c r="G16" s="177">
        <v>1900090417189</v>
      </c>
      <c r="H16" s="38" t="s">
        <v>1945</v>
      </c>
      <c r="I16" s="204">
        <v>2</v>
      </c>
      <c r="J16" s="180">
        <v>0</v>
      </c>
      <c r="K16" s="181">
        <v>15767.52</v>
      </c>
      <c r="L16" s="181">
        <v>1.72</v>
      </c>
      <c r="M16" s="181">
        <v>1.72</v>
      </c>
      <c r="N16" s="182">
        <v>-1.2290000000000001</v>
      </c>
      <c r="O16" s="183">
        <v>1526.56</v>
      </c>
      <c r="P16" s="183">
        <v>0.05</v>
      </c>
      <c r="Q16" s="183">
        <v>0.05</v>
      </c>
    </row>
    <row r="17" spans="1:19" ht="20.100000000000001" customHeight="1" x14ac:dyDescent="0.2">
      <c r="A17" s="38" t="s">
        <v>1710</v>
      </c>
      <c r="B17" s="38" t="s">
        <v>1947</v>
      </c>
      <c r="C17" s="214">
        <v>850</v>
      </c>
      <c r="D17" s="177">
        <v>1900090417151</v>
      </c>
      <c r="E17" s="38" t="s">
        <v>1947</v>
      </c>
      <c r="F17" s="217">
        <v>733</v>
      </c>
      <c r="G17" s="177">
        <v>1900090417230</v>
      </c>
      <c r="H17" s="38" t="s">
        <v>1947</v>
      </c>
      <c r="I17" s="204">
        <v>1</v>
      </c>
      <c r="J17" s="180">
        <v>0</v>
      </c>
      <c r="K17" s="181">
        <v>2816.82</v>
      </c>
      <c r="L17" s="181">
        <v>2.33</v>
      </c>
      <c r="M17" s="181">
        <v>2.33</v>
      </c>
      <c r="N17" s="182">
        <v>-1.2290000000000001</v>
      </c>
      <c r="O17" s="183">
        <v>344.18</v>
      </c>
      <c r="P17" s="183">
        <v>0.05</v>
      </c>
      <c r="Q17" s="183">
        <v>0.05</v>
      </c>
    </row>
    <row r="18" spans="1:19" ht="20.100000000000001" customHeight="1" x14ac:dyDescent="0.2">
      <c r="A18" s="38" t="s">
        <v>1710</v>
      </c>
      <c r="B18" s="38" t="s">
        <v>1889</v>
      </c>
      <c r="C18" s="203">
        <v>907</v>
      </c>
      <c r="D18" s="177">
        <v>1900092421061</v>
      </c>
      <c r="E18" s="39" t="s">
        <v>1889</v>
      </c>
      <c r="F18" s="203">
        <v>768</v>
      </c>
      <c r="G18" s="177">
        <v>1900092421113</v>
      </c>
      <c r="H18" s="178" t="s">
        <v>1889</v>
      </c>
      <c r="I18" s="204"/>
      <c r="J18" s="180">
        <v>0.746</v>
      </c>
      <c r="K18" s="181">
        <v>462.67</v>
      </c>
      <c r="L18" s="181">
        <v>1.08</v>
      </c>
      <c r="M18" s="181">
        <v>1.08</v>
      </c>
      <c r="N18" s="182">
        <v>-0.79300000000000004</v>
      </c>
      <c r="O18" s="183">
        <v>660.95</v>
      </c>
      <c r="P18" s="183">
        <v>0.05</v>
      </c>
      <c r="Q18" s="183">
        <v>0.05</v>
      </c>
    </row>
    <row r="19" spans="1:19" ht="20.100000000000001" customHeight="1" x14ac:dyDescent="0.2">
      <c r="A19" s="38" t="s">
        <v>1710</v>
      </c>
      <c r="B19" s="38" t="s">
        <v>1948</v>
      </c>
      <c r="C19" s="203"/>
      <c r="D19" s="177" t="s">
        <v>960</v>
      </c>
      <c r="E19" s="39"/>
      <c r="F19" s="203"/>
      <c r="G19" s="177"/>
      <c r="H19" s="178" t="s">
        <v>1948</v>
      </c>
      <c r="I19" s="204">
        <v>2</v>
      </c>
      <c r="J19" s="180"/>
      <c r="K19" s="181">
        <v>15575.58</v>
      </c>
      <c r="L19" s="181">
        <v>1.35</v>
      </c>
      <c r="M19" s="181">
        <v>1.35</v>
      </c>
      <c r="N19" s="182"/>
      <c r="O19" s="183"/>
      <c r="P19" s="183"/>
      <c r="Q19" s="183"/>
    </row>
    <row r="20" spans="1:19" ht="45" customHeight="1" x14ac:dyDescent="0.2">
      <c r="A20" s="38" t="s">
        <v>1710</v>
      </c>
      <c r="B20" s="38" t="s">
        <v>881</v>
      </c>
      <c r="C20" s="176">
        <v>804</v>
      </c>
      <c r="D20" s="177" t="s">
        <v>1950</v>
      </c>
      <c r="E20" s="39" t="s">
        <v>881</v>
      </c>
      <c r="F20" s="176">
        <v>704</v>
      </c>
      <c r="G20" s="177" t="s">
        <v>1949</v>
      </c>
      <c r="H20" s="178" t="s">
        <v>881</v>
      </c>
      <c r="I20" s="179">
        <v>3</v>
      </c>
      <c r="J20" s="180">
        <v>0</v>
      </c>
      <c r="K20" s="181">
        <v>40266.800000000003</v>
      </c>
      <c r="L20" s="181">
        <v>0.96</v>
      </c>
      <c r="M20" s="181">
        <v>0.96</v>
      </c>
      <c r="N20" s="182">
        <v>0</v>
      </c>
      <c r="O20" s="183">
        <v>6634.06</v>
      </c>
      <c r="P20" s="183">
        <v>0.05</v>
      </c>
      <c r="Q20" s="183">
        <v>0.05</v>
      </c>
    </row>
    <row r="22" spans="1:19" ht="27.75" customHeight="1" x14ac:dyDescent="0.2">
      <c r="A22" s="282" t="str">
        <f>Overview!B4&amp; " - Effective from "&amp;Overview!D4&amp;" - "&amp;Overview!E4&amp;" new designated EHV line loss factors"</f>
        <v>South Eastern Power Networks - Effective from 1 April 2024 - Final new designated EHV line loss factors</v>
      </c>
      <c r="B22" s="283"/>
      <c r="C22" s="283"/>
      <c r="D22" s="283"/>
      <c r="E22" s="283"/>
      <c r="F22" s="283"/>
      <c r="G22" s="283"/>
      <c r="H22" s="283"/>
      <c r="I22" s="283"/>
      <c r="J22" s="283"/>
      <c r="K22" s="283"/>
      <c r="L22" s="283"/>
      <c r="M22" s="283"/>
      <c r="N22" s="283"/>
      <c r="O22" s="283"/>
      <c r="P22" s="283"/>
      <c r="Q22" s="283"/>
      <c r="R22" s="283"/>
      <c r="S22" s="283"/>
    </row>
    <row r="23" spans="1:19" ht="62.25" customHeight="1" x14ac:dyDescent="0.2">
      <c r="A23" s="26" t="s">
        <v>140</v>
      </c>
      <c r="B23" s="26" t="s">
        <v>52</v>
      </c>
      <c r="C23" s="26" t="s">
        <v>35</v>
      </c>
      <c r="D23" s="26" t="s">
        <v>36</v>
      </c>
      <c r="E23" s="26" t="s">
        <v>53</v>
      </c>
      <c r="F23" s="26" t="s">
        <v>35</v>
      </c>
      <c r="G23" s="26" t="s">
        <v>37</v>
      </c>
      <c r="H23" s="60" t="s">
        <v>30</v>
      </c>
      <c r="I23" s="48" t="s">
        <v>607</v>
      </c>
      <c r="J23" s="28" t="s">
        <v>109</v>
      </c>
      <c r="K23" s="28" t="s">
        <v>108</v>
      </c>
      <c r="L23" s="28" t="s">
        <v>110</v>
      </c>
      <c r="M23" s="28" t="s">
        <v>111</v>
      </c>
      <c r="N23" s="28" t="s">
        <v>1659</v>
      </c>
      <c r="O23" s="29" t="s">
        <v>112</v>
      </c>
      <c r="P23" s="29" t="s">
        <v>113</v>
      </c>
      <c r="Q23" s="29" t="s">
        <v>114</v>
      </c>
      <c r="R23" s="29" t="s">
        <v>115</v>
      </c>
      <c r="S23" s="29" t="s">
        <v>1660</v>
      </c>
    </row>
    <row r="24" spans="1:19" ht="20.100000000000001" customHeight="1" x14ac:dyDescent="0.2">
      <c r="A24" s="38" t="s">
        <v>1710</v>
      </c>
      <c r="B24" s="38" t="s">
        <v>1888</v>
      </c>
      <c r="C24" s="203">
        <v>924</v>
      </c>
      <c r="D24" s="177">
        <v>1900092421070</v>
      </c>
      <c r="E24" s="39"/>
      <c r="F24" s="176"/>
      <c r="G24" s="177"/>
      <c r="H24" s="178" t="s">
        <v>1888</v>
      </c>
      <c r="I24" s="204">
        <v>1</v>
      </c>
      <c r="J24" s="205">
        <v>1.0169999999999999</v>
      </c>
      <c r="K24" s="205">
        <v>1.0129999999999999</v>
      </c>
      <c r="L24" s="206">
        <v>1.0149999999999999</v>
      </c>
      <c r="M24" s="206">
        <v>1.012</v>
      </c>
      <c r="N24" s="206">
        <v>1.014</v>
      </c>
      <c r="O24" s="207"/>
      <c r="P24" s="207"/>
      <c r="Q24" s="207"/>
      <c r="R24" s="207"/>
      <c r="S24" s="207"/>
    </row>
    <row r="25" spans="1:19" ht="20.100000000000001" customHeight="1" x14ac:dyDescent="0.2">
      <c r="A25" s="38" t="s">
        <v>1710</v>
      </c>
      <c r="B25" s="38" t="s">
        <v>1889</v>
      </c>
      <c r="C25" s="203">
        <v>907</v>
      </c>
      <c r="D25" s="177">
        <v>1900092421061</v>
      </c>
      <c r="E25" s="39" t="s">
        <v>1889</v>
      </c>
      <c r="F25" s="203">
        <v>768</v>
      </c>
      <c r="G25" s="177">
        <v>1900092421113</v>
      </c>
      <c r="H25" s="178" t="s">
        <v>1889</v>
      </c>
      <c r="I25" s="204">
        <v>1</v>
      </c>
      <c r="J25" s="205">
        <v>1.0169999999999999</v>
      </c>
      <c r="K25" s="205">
        <v>1.0129999999999999</v>
      </c>
      <c r="L25" s="206">
        <v>1.0149999999999999</v>
      </c>
      <c r="M25" s="206">
        <v>1.012</v>
      </c>
      <c r="N25" s="206">
        <v>1.014</v>
      </c>
      <c r="O25" s="207">
        <v>1.0169999999999999</v>
      </c>
      <c r="P25" s="207">
        <v>1.0129999999999999</v>
      </c>
      <c r="Q25" s="207">
        <v>1.0149999999999999</v>
      </c>
      <c r="R25" s="207">
        <v>1.012</v>
      </c>
      <c r="S25" s="207">
        <v>1.014</v>
      </c>
    </row>
    <row r="26" spans="1:19" ht="20.100000000000001" customHeight="1" x14ac:dyDescent="0.2">
      <c r="A26" s="38"/>
      <c r="B26" s="38"/>
      <c r="C26" s="203"/>
      <c r="D26" s="177"/>
      <c r="E26" s="39"/>
      <c r="F26" s="203"/>
      <c r="G26" s="177"/>
      <c r="H26" s="178"/>
      <c r="I26" s="204"/>
      <c r="J26" s="205"/>
      <c r="K26" s="205"/>
      <c r="L26" s="206"/>
      <c r="M26" s="206"/>
      <c r="N26" s="206"/>
      <c r="O26" s="207"/>
      <c r="P26" s="207"/>
      <c r="Q26" s="207"/>
      <c r="R26" s="207"/>
      <c r="S26" s="207"/>
    </row>
    <row r="27" spans="1:19" ht="20.100000000000001" customHeight="1" x14ac:dyDescent="0.2">
      <c r="A27" s="38"/>
      <c r="B27" s="38"/>
      <c r="C27" s="38"/>
      <c r="D27" s="38"/>
      <c r="E27" s="39"/>
      <c r="F27" s="30"/>
      <c r="G27" s="30"/>
      <c r="H27" s="31"/>
      <c r="I27" s="31"/>
      <c r="J27" s="205"/>
      <c r="K27" s="205"/>
      <c r="L27" s="206"/>
      <c r="M27" s="206"/>
      <c r="N27" s="206"/>
      <c r="O27" s="207"/>
      <c r="P27" s="207"/>
      <c r="Q27" s="207"/>
      <c r="R27" s="207"/>
      <c r="S27" s="207"/>
    </row>
    <row r="28" spans="1:19" ht="20.100000000000001" customHeight="1" x14ac:dyDescent="0.2">
      <c r="A28" s="38"/>
      <c r="B28" s="38"/>
      <c r="C28" s="38"/>
      <c r="D28" s="38"/>
      <c r="E28" s="39"/>
      <c r="F28" s="30"/>
      <c r="G28" s="30"/>
      <c r="H28" s="31"/>
      <c r="I28" s="31"/>
      <c r="J28" s="205"/>
      <c r="K28" s="205"/>
      <c r="L28" s="206"/>
      <c r="M28" s="206"/>
      <c r="N28" s="206"/>
      <c r="O28" s="207"/>
      <c r="P28" s="207"/>
      <c r="Q28" s="207"/>
      <c r="R28" s="207"/>
      <c r="S28" s="207"/>
    </row>
    <row r="29" spans="1:19" ht="20.100000000000001" customHeight="1" x14ac:dyDescent="0.2">
      <c r="A29" s="38"/>
      <c r="B29" s="38"/>
      <c r="C29" s="38"/>
      <c r="D29" s="38"/>
      <c r="E29" s="39"/>
      <c r="F29" s="30"/>
      <c r="G29" s="30"/>
      <c r="H29" s="31"/>
      <c r="I29" s="31"/>
      <c r="J29" s="205"/>
      <c r="K29" s="205"/>
      <c r="L29" s="206"/>
      <c r="M29" s="206"/>
      <c r="N29" s="206"/>
      <c r="O29" s="207"/>
      <c r="P29" s="207"/>
      <c r="Q29" s="207"/>
      <c r="R29" s="207"/>
      <c r="S29" s="207"/>
    </row>
    <row r="30" spans="1:19" ht="20.100000000000001" customHeight="1" x14ac:dyDescent="0.2">
      <c r="A30" s="38"/>
      <c r="B30" s="38"/>
      <c r="C30" s="38"/>
      <c r="D30" s="38"/>
      <c r="E30" s="39"/>
      <c r="F30" s="30"/>
      <c r="G30" s="30"/>
      <c r="H30" s="31"/>
      <c r="I30" s="31"/>
      <c r="J30" s="205"/>
      <c r="K30" s="205"/>
      <c r="L30" s="206"/>
      <c r="M30" s="206"/>
      <c r="N30" s="206"/>
      <c r="O30" s="207"/>
      <c r="P30" s="207"/>
      <c r="Q30" s="207"/>
      <c r="R30" s="207"/>
      <c r="S30" s="207"/>
    </row>
    <row r="31" spans="1:19" ht="20.100000000000001" customHeight="1" x14ac:dyDescent="0.2">
      <c r="A31" s="38"/>
      <c r="B31" s="38"/>
      <c r="C31" s="38"/>
      <c r="D31" s="38"/>
      <c r="E31" s="39"/>
      <c r="F31" s="30"/>
      <c r="G31" s="30"/>
      <c r="H31" s="31"/>
      <c r="I31" s="31"/>
      <c r="J31" s="205"/>
      <c r="K31" s="205"/>
      <c r="L31" s="206"/>
      <c r="M31" s="206"/>
      <c r="N31" s="206"/>
      <c r="O31" s="207"/>
      <c r="P31" s="207"/>
      <c r="Q31" s="207"/>
      <c r="R31" s="207"/>
      <c r="S31" s="207"/>
    </row>
    <row r="32" spans="1:19" ht="20.100000000000001" customHeight="1" x14ac:dyDescent="0.2">
      <c r="A32" s="38"/>
      <c r="B32" s="38"/>
      <c r="C32" s="38"/>
      <c r="D32" s="38"/>
      <c r="E32" s="39"/>
      <c r="F32" s="30"/>
      <c r="G32" s="30"/>
      <c r="H32" s="31"/>
      <c r="I32" s="31"/>
      <c r="J32" s="205"/>
      <c r="K32" s="205"/>
      <c r="L32" s="206"/>
      <c r="M32" s="206"/>
      <c r="N32" s="206"/>
      <c r="O32" s="207"/>
      <c r="P32" s="207"/>
      <c r="Q32" s="207"/>
      <c r="R32" s="207"/>
      <c r="S32" s="207"/>
    </row>
    <row r="33" spans="1:19" ht="20.100000000000001" customHeight="1" x14ac:dyDescent="0.2">
      <c r="A33" s="38"/>
      <c r="B33" s="38"/>
      <c r="C33" s="38"/>
      <c r="D33" s="38"/>
      <c r="E33" s="39"/>
      <c r="F33" s="30"/>
      <c r="G33" s="30"/>
      <c r="H33" s="31"/>
      <c r="I33" s="31"/>
      <c r="J33" s="205"/>
      <c r="K33" s="205"/>
      <c r="L33" s="206"/>
      <c r="M33" s="206"/>
      <c r="N33" s="206"/>
      <c r="O33" s="207"/>
      <c r="P33" s="207"/>
      <c r="Q33" s="207"/>
      <c r="R33" s="207"/>
      <c r="S33" s="207"/>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22:S22"/>
    <mergeCell ref="G1:J1"/>
  </mergeCells>
  <phoneticPr fontId="34"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F165"/>
  <sheetViews>
    <sheetView zoomScale="80" zoomScaleNormal="80" zoomScaleSheetLayoutView="100" workbookViewId="0"/>
  </sheetViews>
  <sheetFormatPr defaultRowHeight="27.75" customHeight="1" x14ac:dyDescent="0.2"/>
  <cols>
    <col min="1" max="1" width="62.5703125" style="2" customWidth="1"/>
    <col min="2" max="2" width="17.5703125" style="3" customWidth="1"/>
    <col min="3" max="3" width="6.85546875" style="2" customWidth="1"/>
    <col min="4" max="6" width="17.5703125" style="3" customWidth="1"/>
    <col min="7" max="16384" width="9.140625" style="2"/>
  </cols>
  <sheetData>
    <row r="1" spans="1:6" ht="27.75" customHeight="1" x14ac:dyDescent="0.2">
      <c r="A1" s="13" t="s">
        <v>19</v>
      </c>
      <c r="B1" s="286"/>
      <c r="C1" s="286"/>
      <c r="D1" s="159"/>
      <c r="E1" s="159"/>
      <c r="F1" s="159"/>
    </row>
    <row r="2" spans="1:6" ht="35.1" customHeight="1" x14ac:dyDescent="0.2">
      <c r="A2" s="253" t="str">
        <f>Overview!B4&amp; " - Effective from "&amp;Overview!D4&amp;" - "&amp;Overview!E4&amp;" Supplier of Last Resort and Eligible Bad Debt Pass-Through Costs"</f>
        <v>South Eastern Power Networks - Effective from 1 April 2024 - Final Supplier of Last Resort and Eligible Bad Debt Pass-Through Costs</v>
      </c>
      <c r="B2" s="254"/>
      <c r="C2" s="254"/>
      <c r="D2" s="254"/>
      <c r="E2" s="254"/>
      <c r="F2" s="255"/>
    </row>
    <row r="3" spans="1:6" s="63" customFormat="1" ht="21" customHeight="1" x14ac:dyDescent="0.2">
      <c r="A3" s="68"/>
      <c r="B3" s="68"/>
      <c r="C3" s="68"/>
      <c r="D3" s="68"/>
      <c r="E3" s="68"/>
      <c r="F3" s="68"/>
    </row>
    <row r="4" spans="1:6" ht="78.75" customHeight="1" x14ac:dyDescent="0.2">
      <c r="A4" s="26" t="s">
        <v>127</v>
      </c>
      <c r="B4" s="14" t="s">
        <v>414</v>
      </c>
      <c r="C4" s="14" t="s">
        <v>24</v>
      </c>
      <c r="D4" s="14" t="s">
        <v>465</v>
      </c>
      <c r="E4" s="14" t="s">
        <v>466</v>
      </c>
      <c r="F4" s="14" t="s">
        <v>467</v>
      </c>
    </row>
    <row r="5" spans="1:6" ht="32.25" customHeight="1" x14ac:dyDescent="0.2">
      <c r="A5" s="16" t="s">
        <v>1938</v>
      </c>
      <c r="B5" s="208">
        <f>IFERROR(INDEX('Annex 1 LV, HV and UMS charges'!$B$12:$B$43,MATCH($A5,'Annex 1 LV, HV and UMS charges'!$A$12:$A$43,0)),IF(INDEX('Annex 4 LDNO charges'!$B$11:$B$201,MATCH($A5,'Annex 4 LDNO charges'!$A$11:$A$201,0))=0,"",INDEX('Annex 4 LDNO charges'!$B$11:$B$201,MATCH($A5,'Annex 4 LDNO charges'!$A$11:$A$201,0))))</f>
        <v>1</v>
      </c>
      <c r="C5" s="209" t="str">
        <f>IFERROR(INDEX('Annex 1 LV, HV and UMS charges'!$C$12:$C$43,MATCH($A5,'Annex 1 LV, HV and UMS charges'!$A$12:$A$43,0)),INDEX('Annex 4 LDNO charges'!$C$11:$C$201,MATCH($A5,'Annex 4 LDNO charges'!$A$11:$A$201,0)))</f>
        <v>0, 1, 2</v>
      </c>
      <c r="D5" s="167">
        <v>0.18118202447323239</v>
      </c>
      <c r="E5" s="167"/>
      <c r="F5" s="167">
        <v>0.80732906456180464</v>
      </c>
    </row>
    <row r="6" spans="1:6" ht="27" customHeight="1" x14ac:dyDescent="0.2">
      <c r="A6" s="16" t="s">
        <v>1939</v>
      </c>
      <c r="B6" s="208">
        <f>IFERROR(INDEX('Annex 1 LV, HV and UMS charges'!$B$12:$B$43,MATCH($A6,'Annex 1 LV, HV and UMS charges'!$A$12:$A$43,0)),IF(INDEX('Annex 4 LDNO charges'!$B$11:$B$201,MATCH($A6,'Annex 4 LDNO charges'!$A$11:$A$201,0))=0,"",INDEX('Annex 4 LDNO charges'!$B$11:$B$201,MATCH($A6,'Annex 4 LDNO charges'!$A$11:$A$201,0))))</f>
        <v>199</v>
      </c>
      <c r="C6" s="209" t="str">
        <f>IFERROR(INDEX('Annex 1 LV, HV and UMS charges'!$C$12:$C$43,MATCH($A6,'Annex 1 LV, HV and UMS charges'!$A$12:$A$43,0)),INDEX('Annex 4 LDNO charges'!$C$11:$C$201,MATCH($A6,'Annex 4 LDNO charges'!$A$11:$A$201,0)))</f>
        <v>0, 3, 4, 5-8</v>
      </c>
      <c r="D6" s="168"/>
      <c r="E6" s="168"/>
      <c r="F6" s="167">
        <v>0.80732906456180464</v>
      </c>
    </row>
    <row r="7" spans="1:6" ht="27" customHeight="1" x14ac:dyDescent="0.2">
      <c r="A7" s="16" t="s">
        <v>1940</v>
      </c>
      <c r="B7" s="208">
        <f>IFERROR(INDEX('Annex 1 LV, HV and UMS charges'!$B$12:$B$43,MATCH($A7,'Annex 1 LV, HV and UMS charges'!$A$12:$A$43,0)),IF(INDEX('Annex 4 LDNO charges'!$B$11:$B$201,MATCH($A7,'Annex 4 LDNO charges'!$A$11:$A$201,0))=0,"",INDEX('Annex 4 LDNO charges'!$B$11:$B$201,MATCH($A7,'Annex 4 LDNO charges'!$A$11:$A$201,0))))</f>
        <v>201</v>
      </c>
      <c r="C7" s="209" t="str">
        <f>IFERROR(INDEX('Annex 1 LV, HV and UMS charges'!$C$12:$C$43,MATCH($A7,'Annex 1 LV, HV and UMS charges'!$A$12:$A$43,0)),INDEX('Annex 4 LDNO charges'!$C$11:$C$201,MATCH($A7,'Annex 4 LDNO charges'!$A$11:$A$201,0)))</f>
        <v>0, 3, 4, 5-8</v>
      </c>
      <c r="D7" s="168"/>
      <c r="E7" s="168"/>
      <c r="F7" s="167">
        <v>0.80732906456180464</v>
      </c>
    </row>
    <row r="8" spans="1:6" ht="27" customHeight="1" x14ac:dyDescent="0.2">
      <c r="A8" s="16" t="s">
        <v>1941</v>
      </c>
      <c r="B8" s="208">
        <f>IFERROR(INDEX('Annex 1 LV, HV and UMS charges'!$B$12:$B$43,MATCH($A8,'Annex 1 LV, HV and UMS charges'!$A$12:$A$43,0)),IF(INDEX('Annex 4 LDNO charges'!$B$11:$B$201,MATCH($A8,'Annex 4 LDNO charges'!$A$11:$A$201,0))=0,"",INDEX('Annex 4 LDNO charges'!$B$11:$B$201,MATCH($A8,'Annex 4 LDNO charges'!$A$11:$A$201,0))))</f>
        <v>202</v>
      </c>
      <c r="C8" s="209" t="str">
        <f>IFERROR(INDEX('Annex 1 LV, HV and UMS charges'!$C$12:$C$43,MATCH($A8,'Annex 1 LV, HV and UMS charges'!$A$12:$A$43,0)),INDEX('Annex 4 LDNO charges'!$C$11:$C$201,MATCH($A8,'Annex 4 LDNO charges'!$A$11:$A$201,0)))</f>
        <v>0, 3, 4, 5-8</v>
      </c>
      <c r="D8" s="168"/>
      <c r="E8" s="168"/>
      <c r="F8" s="167">
        <v>0.80732906456180464</v>
      </c>
    </row>
    <row r="9" spans="1:6" ht="27" customHeight="1" x14ac:dyDescent="0.2">
      <c r="A9" s="16" t="s">
        <v>1942</v>
      </c>
      <c r="B9" s="208">
        <f>IFERROR(INDEX('Annex 1 LV, HV and UMS charges'!$B$12:$B$43,MATCH($A9,'Annex 1 LV, HV and UMS charges'!$A$12:$A$43,0)),IF(INDEX('Annex 4 LDNO charges'!$B$11:$B$201,MATCH($A9,'Annex 4 LDNO charges'!$A$11:$A$201,0))=0,"",INDEX('Annex 4 LDNO charges'!$B$11:$B$201,MATCH($A9,'Annex 4 LDNO charges'!$A$11:$A$201,0))))</f>
        <v>203</v>
      </c>
      <c r="C9" s="209" t="str">
        <f>IFERROR(INDEX('Annex 1 LV, HV and UMS charges'!$C$12:$C$43,MATCH($A9,'Annex 1 LV, HV and UMS charges'!$A$12:$A$43,0)),INDEX('Annex 4 LDNO charges'!$C$11:$C$201,MATCH($A9,'Annex 4 LDNO charges'!$A$11:$A$201,0)))</f>
        <v>0, 3, 4, 5-8</v>
      </c>
      <c r="D9" s="168"/>
      <c r="E9" s="168"/>
      <c r="F9" s="167">
        <v>0.80732906456180464</v>
      </c>
    </row>
    <row r="10" spans="1:6" ht="27" customHeight="1" x14ac:dyDescent="0.2">
      <c r="A10" s="16" t="s">
        <v>1943</v>
      </c>
      <c r="B10" s="208">
        <f>IFERROR(INDEX('Annex 1 LV, HV and UMS charges'!$B$12:$B$43,MATCH($A10,'Annex 1 LV, HV and UMS charges'!$A$12:$A$43,0)),IF(INDEX('Annex 4 LDNO charges'!$B$11:$B$201,MATCH($A10,'Annex 4 LDNO charges'!$A$11:$A$201,0))=0,"",INDEX('Annex 4 LDNO charges'!$B$11:$B$201,MATCH($A10,'Annex 4 LDNO charges'!$A$11:$A$201,0))))</f>
        <v>204</v>
      </c>
      <c r="C10" s="209" t="str">
        <f>IFERROR(INDEX('Annex 1 LV, HV and UMS charges'!$C$12:$C$43,MATCH($A10,'Annex 1 LV, HV and UMS charges'!$A$12:$A$43,0)),INDEX('Annex 4 LDNO charges'!$C$11:$C$201,MATCH($A10,'Annex 4 LDNO charges'!$A$11:$A$201,0)))</f>
        <v>0, 3, 4, 5-8</v>
      </c>
      <c r="D10" s="168"/>
      <c r="E10" s="168"/>
      <c r="F10" s="167">
        <v>0.80732906456180464</v>
      </c>
    </row>
    <row r="11" spans="1:6" ht="27" customHeight="1" x14ac:dyDescent="0.2">
      <c r="A11" s="151" t="s">
        <v>477</v>
      </c>
      <c r="B11" s="208">
        <f>IFERROR(INDEX('Annex 1 LV, HV and UMS charges'!$B$12:$B$43,MATCH($A11,'Annex 1 LV, HV and UMS charges'!$A$12:$A$43,0)),IF(INDEX('Annex 4 LDNO charges'!$B$11:$B$201,MATCH($A11,'Annex 4 LDNO charges'!$A$11:$A$201,0))=0,"",INDEX('Annex 4 LDNO charges'!$B$11:$B$201,MATCH($A11,'Annex 4 LDNO charges'!$A$11:$A$201,0))))</f>
        <v>70</v>
      </c>
      <c r="C11" s="209">
        <f>IFERROR(INDEX('Annex 1 LV, HV and UMS charges'!$C$12:$C$43,MATCH($A11,'Annex 1 LV, HV and UMS charges'!$A$12:$A$43,0)),INDEX('Annex 4 LDNO charges'!$C$11:$C$201,MATCH($A11,'Annex 4 LDNO charges'!$A$11:$A$201,0)))</f>
        <v>0</v>
      </c>
      <c r="D11" s="168"/>
      <c r="E11" s="168"/>
      <c r="F11" s="167">
        <v>0.80732906456180464</v>
      </c>
    </row>
    <row r="12" spans="1:6" ht="27" customHeight="1" x14ac:dyDescent="0.2">
      <c r="A12" s="151" t="s">
        <v>478</v>
      </c>
      <c r="B12" s="208">
        <f>IFERROR(INDEX('Annex 1 LV, HV and UMS charges'!$B$12:$B$43,MATCH($A12,'Annex 1 LV, HV and UMS charges'!$A$12:$A$43,0)),IF(INDEX('Annex 4 LDNO charges'!$B$11:$B$201,MATCH($A12,'Annex 4 LDNO charges'!$A$11:$A$201,0))=0,"",INDEX('Annex 4 LDNO charges'!$B$11:$B$201,MATCH($A12,'Annex 4 LDNO charges'!$A$11:$A$201,0))))</f>
        <v>71</v>
      </c>
      <c r="C12" s="209">
        <f>IFERROR(INDEX('Annex 1 LV, HV and UMS charges'!$C$12:$C$43,MATCH($A12,'Annex 1 LV, HV and UMS charges'!$A$12:$A$43,0)),INDEX('Annex 4 LDNO charges'!$C$11:$C$201,MATCH($A12,'Annex 4 LDNO charges'!$A$11:$A$201,0)))</f>
        <v>0</v>
      </c>
      <c r="D12" s="168"/>
      <c r="E12" s="168"/>
      <c r="F12" s="167">
        <v>0.80732906456180464</v>
      </c>
    </row>
    <row r="13" spans="1:6" ht="27" customHeight="1" x14ac:dyDescent="0.2">
      <c r="A13" s="151" t="s">
        <v>479</v>
      </c>
      <c r="B13" s="208">
        <f>IFERROR(INDEX('Annex 1 LV, HV and UMS charges'!$B$12:$B$43,MATCH($A13,'Annex 1 LV, HV and UMS charges'!$A$12:$A$43,0)),IF(INDEX('Annex 4 LDNO charges'!$B$11:$B$201,MATCH($A13,'Annex 4 LDNO charges'!$A$11:$A$201,0))=0,"",INDEX('Annex 4 LDNO charges'!$B$11:$B$201,MATCH($A13,'Annex 4 LDNO charges'!$A$11:$A$201,0))))</f>
        <v>72</v>
      </c>
      <c r="C13" s="209">
        <f>IFERROR(INDEX('Annex 1 LV, HV and UMS charges'!$C$12:$C$43,MATCH($A13,'Annex 1 LV, HV and UMS charges'!$A$12:$A$43,0)),INDEX('Annex 4 LDNO charges'!$C$11:$C$201,MATCH($A13,'Annex 4 LDNO charges'!$A$11:$A$201,0)))</f>
        <v>0</v>
      </c>
      <c r="D13" s="168"/>
      <c r="E13" s="168"/>
      <c r="F13" s="167">
        <v>0.80732906456180464</v>
      </c>
    </row>
    <row r="14" spans="1:6" ht="27.75" customHeight="1" x14ac:dyDescent="0.2">
      <c r="A14" s="151" t="s">
        <v>480</v>
      </c>
      <c r="B14" s="208">
        <f>IFERROR(INDEX('Annex 1 LV, HV and UMS charges'!$B$12:$B$43,MATCH($A14,'Annex 1 LV, HV and UMS charges'!$A$12:$A$43,0)),IF(INDEX('Annex 4 LDNO charges'!$B$11:$B$201,MATCH($A14,'Annex 4 LDNO charges'!$A$11:$A$201,0))=0,"",INDEX('Annex 4 LDNO charges'!$B$11:$B$201,MATCH($A14,'Annex 4 LDNO charges'!$A$11:$A$201,0))))</f>
        <v>73</v>
      </c>
      <c r="C14" s="209">
        <f>IFERROR(INDEX('Annex 1 LV, HV and UMS charges'!$C$12:$C$43,MATCH($A14,'Annex 1 LV, HV and UMS charges'!$A$12:$A$43,0)),INDEX('Annex 4 LDNO charges'!$C$11:$C$201,MATCH($A14,'Annex 4 LDNO charges'!$A$11:$A$201,0)))</f>
        <v>0</v>
      </c>
      <c r="D14" s="168"/>
      <c r="E14" s="168"/>
      <c r="F14" s="167">
        <v>0.80732906456180464</v>
      </c>
    </row>
    <row r="15" spans="1:6" ht="27.75" customHeight="1" x14ac:dyDescent="0.2">
      <c r="A15" s="155" t="s">
        <v>481</v>
      </c>
      <c r="B15" s="208">
        <f>IFERROR(INDEX('Annex 1 LV, HV and UMS charges'!$B$12:$B$43,MATCH($A15,'Annex 1 LV, HV and UMS charges'!$A$12:$A$43,0)),IF(INDEX('Annex 4 LDNO charges'!$B$11:$B$201,MATCH($A15,'Annex 4 LDNO charges'!$A$11:$A$201,0))=0,"",INDEX('Annex 4 LDNO charges'!$B$11:$B$201,MATCH($A15,'Annex 4 LDNO charges'!$A$11:$A$201,0))))</f>
        <v>74</v>
      </c>
      <c r="C15" s="209">
        <f>IFERROR(INDEX('Annex 1 LV, HV and UMS charges'!$C$12:$C$43,MATCH($A15,'Annex 1 LV, HV and UMS charges'!$A$12:$A$43,0)),INDEX('Annex 4 LDNO charges'!$C$11:$C$201,MATCH($A15,'Annex 4 LDNO charges'!$A$11:$A$201,0)))</f>
        <v>0</v>
      </c>
      <c r="D15" s="168"/>
      <c r="E15" s="168"/>
      <c r="F15" s="167">
        <v>0.80732906456180464</v>
      </c>
    </row>
    <row r="16" spans="1:6" ht="27.75" customHeight="1" x14ac:dyDescent="0.2">
      <c r="A16" s="155" t="s">
        <v>482</v>
      </c>
      <c r="B16" s="208">
        <f>IFERROR(INDEX('Annex 1 LV, HV and UMS charges'!$B$12:$B$43,MATCH($A16,'Annex 1 LV, HV and UMS charges'!$A$12:$A$43,0)),IF(INDEX('Annex 4 LDNO charges'!$B$11:$B$201,MATCH($A16,'Annex 4 LDNO charges'!$A$11:$A$201,0))=0,"",INDEX('Annex 4 LDNO charges'!$B$11:$B$201,MATCH($A16,'Annex 4 LDNO charges'!$A$11:$A$201,0))))</f>
        <v>80</v>
      </c>
      <c r="C16" s="209">
        <f>IFERROR(INDEX('Annex 1 LV, HV and UMS charges'!$C$12:$C$43,MATCH($A16,'Annex 1 LV, HV and UMS charges'!$A$12:$A$43,0)),INDEX('Annex 4 LDNO charges'!$C$11:$C$201,MATCH($A16,'Annex 4 LDNO charges'!$A$11:$A$201,0)))</f>
        <v>0</v>
      </c>
      <c r="D16" s="168"/>
      <c r="E16" s="168"/>
      <c r="F16" s="167">
        <v>0.80732906456180464</v>
      </c>
    </row>
    <row r="17" spans="1:6" ht="27.75" customHeight="1" x14ac:dyDescent="0.2">
      <c r="A17" s="155" t="s">
        <v>483</v>
      </c>
      <c r="B17" s="208">
        <f>IFERROR(INDEX('Annex 1 LV, HV and UMS charges'!$B$12:$B$43,MATCH($A17,'Annex 1 LV, HV and UMS charges'!$A$12:$A$43,0)),IF(INDEX('Annex 4 LDNO charges'!$B$11:$B$201,MATCH($A17,'Annex 4 LDNO charges'!$A$11:$A$201,0))=0,"",INDEX('Annex 4 LDNO charges'!$B$11:$B$201,MATCH($A17,'Annex 4 LDNO charges'!$A$11:$A$201,0))))</f>
        <v>81</v>
      </c>
      <c r="C17" s="209">
        <f>IFERROR(INDEX('Annex 1 LV, HV and UMS charges'!$C$12:$C$43,MATCH($A17,'Annex 1 LV, HV and UMS charges'!$A$12:$A$43,0)),INDEX('Annex 4 LDNO charges'!$C$11:$C$201,MATCH($A17,'Annex 4 LDNO charges'!$A$11:$A$201,0)))</f>
        <v>0</v>
      </c>
      <c r="D17" s="168"/>
      <c r="E17" s="168"/>
      <c r="F17" s="167">
        <v>0.80732906456180464</v>
      </c>
    </row>
    <row r="18" spans="1:6" ht="27.75" customHeight="1" x14ac:dyDescent="0.2">
      <c r="A18" s="155" t="s">
        <v>484</v>
      </c>
      <c r="B18" s="208">
        <f>IFERROR(INDEX('Annex 1 LV, HV and UMS charges'!$B$12:$B$43,MATCH($A18,'Annex 1 LV, HV and UMS charges'!$A$12:$A$43,0)),IF(INDEX('Annex 4 LDNO charges'!$B$11:$B$201,MATCH($A18,'Annex 4 LDNO charges'!$A$11:$A$201,0))=0,"",INDEX('Annex 4 LDNO charges'!$B$11:$B$201,MATCH($A18,'Annex 4 LDNO charges'!$A$11:$A$201,0))))</f>
        <v>82</v>
      </c>
      <c r="C18" s="209">
        <f>IFERROR(INDEX('Annex 1 LV, HV and UMS charges'!$C$12:$C$43,MATCH($A18,'Annex 1 LV, HV and UMS charges'!$A$12:$A$43,0)),INDEX('Annex 4 LDNO charges'!$C$11:$C$201,MATCH($A18,'Annex 4 LDNO charges'!$A$11:$A$201,0)))</f>
        <v>0</v>
      </c>
      <c r="D18" s="168"/>
      <c r="E18" s="168"/>
      <c r="F18" s="167">
        <v>0.80732906456180464</v>
      </c>
    </row>
    <row r="19" spans="1:6" ht="27.75" customHeight="1" x14ac:dyDescent="0.2">
      <c r="A19" s="155" t="s">
        <v>485</v>
      </c>
      <c r="B19" s="208">
        <f>IFERROR(INDEX('Annex 1 LV, HV and UMS charges'!$B$12:$B$43,MATCH($A19,'Annex 1 LV, HV and UMS charges'!$A$12:$A$43,0)),IF(INDEX('Annex 4 LDNO charges'!$B$11:$B$201,MATCH($A19,'Annex 4 LDNO charges'!$A$11:$A$201,0))=0,"",INDEX('Annex 4 LDNO charges'!$B$11:$B$201,MATCH($A19,'Annex 4 LDNO charges'!$A$11:$A$201,0))))</f>
        <v>83</v>
      </c>
      <c r="C19" s="209">
        <f>IFERROR(INDEX('Annex 1 LV, HV and UMS charges'!$C$12:$C$43,MATCH($A19,'Annex 1 LV, HV and UMS charges'!$A$12:$A$43,0)),INDEX('Annex 4 LDNO charges'!$C$11:$C$201,MATCH($A19,'Annex 4 LDNO charges'!$A$11:$A$201,0)))</f>
        <v>0</v>
      </c>
      <c r="D19" s="168"/>
      <c r="E19" s="168"/>
      <c r="F19" s="167">
        <v>0.80732906456180464</v>
      </c>
    </row>
    <row r="20" spans="1:6" ht="27.75" customHeight="1" x14ac:dyDescent="0.2">
      <c r="A20" s="155" t="s">
        <v>486</v>
      </c>
      <c r="B20" s="208">
        <f>IFERROR(INDEX('Annex 1 LV, HV and UMS charges'!$B$12:$B$43,MATCH($A20,'Annex 1 LV, HV and UMS charges'!$A$12:$A$43,0)),IF(INDEX('Annex 4 LDNO charges'!$B$11:$B$201,MATCH($A20,'Annex 4 LDNO charges'!$A$11:$A$201,0))=0,"",INDEX('Annex 4 LDNO charges'!$B$11:$B$201,MATCH($A20,'Annex 4 LDNO charges'!$A$11:$A$201,0))))</f>
        <v>84</v>
      </c>
      <c r="C20" s="209">
        <f>IFERROR(INDEX('Annex 1 LV, HV and UMS charges'!$C$12:$C$43,MATCH($A20,'Annex 1 LV, HV and UMS charges'!$A$12:$A$43,0)),INDEX('Annex 4 LDNO charges'!$C$11:$C$201,MATCH($A20,'Annex 4 LDNO charges'!$A$11:$A$201,0)))</f>
        <v>0</v>
      </c>
      <c r="D20" s="168"/>
      <c r="E20" s="168"/>
      <c r="F20" s="167">
        <v>0.80732906456180464</v>
      </c>
    </row>
    <row r="21" spans="1:6" ht="27.75" customHeight="1" x14ac:dyDescent="0.2">
      <c r="A21" s="155" t="s">
        <v>487</v>
      </c>
      <c r="B21" s="208">
        <f>IFERROR(INDEX('Annex 1 LV, HV and UMS charges'!$B$12:$B$43,MATCH($A21,'Annex 1 LV, HV and UMS charges'!$A$12:$A$43,0)),IF(INDEX('Annex 4 LDNO charges'!$B$11:$B$201,MATCH($A21,'Annex 4 LDNO charges'!$A$11:$A$201,0))=0,"",INDEX('Annex 4 LDNO charges'!$B$11:$B$201,MATCH($A21,'Annex 4 LDNO charges'!$A$11:$A$201,0))))</f>
        <v>90</v>
      </c>
      <c r="C21" s="209">
        <f>IFERROR(INDEX('Annex 1 LV, HV and UMS charges'!$C$12:$C$43,MATCH($A21,'Annex 1 LV, HV and UMS charges'!$A$12:$A$43,0)),INDEX('Annex 4 LDNO charges'!$C$11:$C$201,MATCH($A21,'Annex 4 LDNO charges'!$A$11:$A$201,0)))</f>
        <v>0</v>
      </c>
      <c r="D21" s="168"/>
      <c r="E21" s="168"/>
      <c r="F21" s="167">
        <v>0.80732906456180464</v>
      </c>
    </row>
    <row r="22" spans="1:6" ht="27.75" customHeight="1" x14ac:dyDescent="0.2">
      <c r="A22" s="155" t="s">
        <v>488</v>
      </c>
      <c r="B22" s="208">
        <f>IFERROR(INDEX('Annex 1 LV, HV and UMS charges'!$B$12:$B$43,MATCH($A22,'Annex 1 LV, HV and UMS charges'!$A$12:$A$43,0)),IF(INDEX('Annex 4 LDNO charges'!$B$11:$B$201,MATCH($A22,'Annex 4 LDNO charges'!$A$11:$A$201,0))=0,"",INDEX('Annex 4 LDNO charges'!$B$11:$B$201,MATCH($A22,'Annex 4 LDNO charges'!$A$11:$A$201,0))))</f>
        <v>91</v>
      </c>
      <c r="C22" s="209">
        <f>IFERROR(INDEX('Annex 1 LV, HV and UMS charges'!$C$12:$C$43,MATCH($A22,'Annex 1 LV, HV and UMS charges'!$A$12:$A$43,0)),INDEX('Annex 4 LDNO charges'!$C$11:$C$201,MATCH($A22,'Annex 4 LDNO charges'!$A$11:$A$201,0)))</f>
        <v>0</v>
      </c>
      <c r="D22" s="168"/>
      <c r="E22" s="168"/>
      <c r="F22" s="167">
        <v>0.80732906456180464</v>
      </c>
    </row>
    <row r="23" spans="1:6" ht="27.75" customHeight="1" x14ac:dyDescent="0.2">
      <c r="A23" s="151" t="s">
        <v>489</v>
      </c>
      <c r="B23" s="208">
        <f>IFERROR(INDEX('Annex 1 LV, HV and UMS charges'!$B$12:$B$43,MATCH($A23,'Annex 1 LV, HV and UMS charges'!$A$12:$A$43,0)),IF(INDEX('Annex 4 LDNO charges'!$B$11:$B$201,MATCH($A23,'Annex 4 LDNO charges'!$A$11:$A$201,0))=0,"",INDEX('Annex 4 LDNO charges'!$B$11:$B$201,MATCH($A23,'Annex 4 LDNO charges'!$A$11:$A$201,0))))</f>
        <v>92</v>
      </c>
      <c r="C23" s="209">
        <f>IFERROR(INDEX('Annex 1 LV, HV and UMS charges'!$C$12:$C$43,MATCH($A23,'Annex 1 LV, HV and UMS charges'!$A$12:$A$43,0)),INDEX('Annex 4 LDNO charges'!$C$11:$C$201,MATCH($A23,'Annex 4 LDNO charges'!$A$11:$A$201,0)))</f>
        <v>0</v>
      </c>
      <c r="D23" s="168"/>
      <c r="E23" s="168"/>
      <c r="F23" s="167">
        <v>0.80732906456180464</v>
      </c>
    </row>
    <row r="24" spans="1:6" ht="27.75" customHeight="1" x14ac:dyDescent="0.2">
      <c r="A24" s="151" t="s">
        <v>490</v>
      </c>
      <c r="B24" s="208">
        <f>IFERROR(INDEX('Annex 1 LV, HV and UMS charges'!$B$12:$B$43,MATCH($A24,'Annex 1 LV, HV and UMS charges'!$A$12:$A$43,0)),IF(INDEX('Annex 4 LDNO charges'!$B$11:$B$201,MATCH($A24,'Annex 4 LDNO charges'!$A$11:$A$201,0))=0,"",INDEX('Annex 4 LDNO charges'!$B$11:$B$201,MATCH($A24,'Annex 4 LDNO charges'!$A$11:$A$201,0))))</f>
        <v>93</v>
      </c>
      <c r="C24" s="209">
        <f>IFERROR(INDEX('Annex 1 LV, HV and UMS charges'!$C$12:$C$43,MATCH($A24,'Annex 1 LV, HV and UMS charges'!$A$12:$A$43,0)),INDEX('Annex 4 LDNO charges'!$C$11:$C$201,MATCH($A24,'Annex 4 LDNO charges'!$A$11:$A$201,0)))</f>
        <v>0</v>
      </c>
      <c r="D24" s="168"/>
      <c r="E24" s="168"/>
      <c r="F24" s="167">
        <v>0.80732906456180464</v>
      </c>
    </row>
    <row r="25" spans="1:6" ht="27.75" customHeight="1" x14ac:dyDescent="0.2">
      <c r="A25" s="151" t="s">
        <v>491</v>
      </c>
      <c r="B25" s="208">
        <f>IFERROR(INDEX('Annex 1 LV, HV and UMS charges'!$B$12:$B$43,MATCH($A25,'Annex 1 LV, HV and UMS charges'!$A$12:$A$43,0)),IF(INDEX('Annex 4 LDNO charges'!$B$11:$B$201,MATCH($A25,'Annex 4 LDNO charges'!$A$11:$A$201,0))=0,"",INDEX('Annex 4 LDNO charges'!$B$11:$B$201,MATCH($A25,'Annex 4 LDNO charges'!$A$11:$A$201,0))))</f>
        <v>94</v>
      </c>
      <c r="C25" s="209">
        <f>IFERROR(INDEX('Annex 1 LV, HV and UMS charges'!$C$12:$C$43,MATCH($A25,'Annex 1 LV, HV and UMS charges'!$A$12:$A$43,0)),INDEX('Annex 4 LDNO charges'!$C$11:$C$201,MATCH($A25,'Annex 4 LDNO charges'!$A$11:$A$201,0)))</f>
        <v>0</v>
      </c>
      <c r="D25" s="168"/>
      <c r="E25" s="168"/>
      <c r="F25" s="167">
        <v>0.80732906456180464</v>
      </c>
    </row>
    <row r="26" spans="1:6" ht="27.75" customHeight="1" x14ac:dyDescent="0.2">
      <c r="A26" s="151" t="s">
        <v>1890</v>
      </c>
      <c r="B26" s="208" t="str">
        <f>IFERROR(INDEX('Annex 1 LV, HV and UMS charges'!$B$12:$B$43,MATCH($A26,'Annex 1 LV, HV and UMS charges'!$A$12:$A$43,0)),IF(INDEX('Annex 4 LDNO charges'!$B$11:$B$201,MATCH($A26,'Annex 4 LDNO charges'!$A$11:$A$201,0))=0,"",INDEX('Annex 4 LDNO charges'!$B$11:$B$201,MATCH($A26,'Annex 4 LDNO charges'!$A$11:$A$201,0))))</f>
        <v>A00</v>
      </c>
      <c r="C26" s="209" t="str">
        <f>IFERROR(INDEX('Annex 1 LV, HV and UMS charges'!$C$12:$C$43,MATCH($A26,'Annex 1 LV, HV and UMS charges'!$A$12:$A$43,0)),INDEX('Annex 4 LDNO charges'!$C$11:$C$201,MATCH($A26,'Annex 4 LDNO charges'!$A$11:$A$201,0)))</f>
        <v>0, 1, 2</v>
      </c>
      <c r="D26" s="167">
        <v>0.18118202447323239</v>
      </c>
      <c r="E26" s="167"/>
      <c r="F26" s="167">
        <v>0.80732906456180464</v>
      </c>
    </row>
    <row r="27" spans="1:6" ht="27.75" customHeight="1" x14ac:dyDescent="0.2">
      <c r="A27" s="151" t="s">
        <v>1892</v>
      </c>
      <c r="B27" s="208" t="str">
        <f>IFERROR(INDEX('Annex 1 LV, HV and UMS charges'!$B$12:$B$43,MATCH($A27,'Annex 1 LV, HV and UMS charges'!$A$12:$A$43,0)),IF(INDEX('Annex 4 LDNO charges'!$B$11:$B$201,MATCH($A27,'Annex 4 LDNO charges'!$A$11:$A$201,0))=0,"",INDEX('Annex 4 LDNO charges'!$B$11:$B$201,MATCH($A27,'Annex 4 LDNO charges'!$A$11:$A$201,0))))</f>
        <v>C00</v>
      </c>
      <c r="C27" s="209" t="str">
        <f>IFERROR(INDEX('Annex 1 LV, HV and UMS charges'!$C$12:$C$43,MATCH($A27,'Annex 1 LV, HV and UMS charges'!$A$12:$A$43,0)),INDEX('Annex 4 LDNO charges'!$C$11:$C$201,MATCH($A27,'Annex 4 LDNO charges'!$A$11:$A$201,0)))</f>
        <v>0, 3, 4, 5-8</v>
      </c>
      <c r="D27" s="168"/>
      <c r="E27" s="168"/>
      <c r="F27" s="167">
        <v>0.80732906456180464</v>
      </c>
    </row>
    <row r="28" spans="1:6" ht="27.75" customHeight="1" x14ac:dyDescent="0.2">
      <c r="A28" s="151" t="s">
        <v>1893</v>
      </c>
      <c r="B28" s="208" t="str">
        <f>IFERROR(INDEX('Annex 1 LV, HV and UMS charges'!$B$12:$B$43,MATCH($A28,'Annex 1 LV, HV and UMS charges'!$A$12:$A$43,0)),IF(INDEX('Annex 4 LDNO charges'!$B$11:$B$201,MATCH($A28,'Annex 4 LDNO charges'!$A$11:$A$201,0))=0,"",INDEX('Annex 4 LDNO charges'!$B$11:$B$201,MATCH($A28,'Annex 4 LDNO charges'!$A$11:$A$201,0))))</f>
        <v>C01</v>
      </c>
      <c r="C28" s="209" t="str">
        <f>IFERROR(INDEX('Annex 1 LV, HV and UMS charges'!$C$12:$C$43,MATCH($A28,'Annex 1 LV, HV and UMS charges'!$A$12:$A$43,0)),INDEX('Annex 4 LDNO charges'!$C$11:$C$201,MATCH($A28,'Annex 4 LDNO charges'!$A$11:$A$201,0)))</f>
        <v>0, 3, 4, 5-8</v>
      </c>
      <c r="D28" s="168"/>
      <c r="E28" s="168"/>
      <c r="F28" s="167">
        <v>0.80732906456180464</v>
      </c>
    </row>
    <row r="29" spans="1:6" ht="27.75" customHeight="1" x14ac:dyDescent="0.2">
      <c r="A29" s="151" t="s">
        <v>1894</v>
      </c>
      <c r="B29" s="208" t="str">
        <f>IFERROR(INDEX('Annex 1 LV, HV and UMS charges'!$B$12:$B$43,MATCH($A29,'Annex 1 LV, HV and UMS charges'!$A$12:$A$43,0)),IF(INDEX('Annex 4 LDNO charges'!$B$11:$B$201,MATCH($A29,'Annex 4 LDNO charges'!$A$11:$A$201,0))=0,"",INDEX('Annex 4 LDNO charges'!$B$11:$B$201,MATCH($A29,'Annex 4 LDNO charges'!$A$11:$A$201,0))))</f>
        <v>C02</v>
      </c>
      <c r="C29" s="209" t="str">
        <f>IFERROR(INDEX('Annex 1 LV, HV and UMS charges'!$C$12:$C$43,MATCH($A29,'Annex 1 LV, HV and UMS charges'!$A$12:$A$43,0)),INDEX('Annex 4 LDNO charges'!$C$11:$C$201,MATCH($A29,'Annex 4 LDNO charges'!$A$11:$A$201,0)))</f>
        <v>0, 3, 4, 5-8</v>
      </c>
      <c r="D29" s="168"/>
      <c r="E29" s="168"/>
      <c r="F29" s="167">
        <v>0.80732906456180464</v>
      </c>
    </row>
    <row r="30" spans="1:6" ht="27.75" customHeight="1" x14ac:dyDescent="0.2">
      <c r="A30" s="151" t="s">
        <v>1895</v>
      </c>
      <c r="B30" s="208" t="str">
        <f>IFERROR(INDEX('Annex 1 LV, HV and UMS charges'!$B$12:$B$43,MATCH($A30,'Annex 1 LV, HV and UMS charges'!$A$12:$A$43,0)),IF(INDEX('Annex 4 LDNO charges'!$B$11:$B$201,MATCH($A30,'Annex 4 LDNO charges'!$A$11:$A$201,0))=0,"",INDEX('Annex 4 LDNO charges'!$B$11:$B$201,MATCH($A30,'Annex 4 LDNO charges'!$A$11:$A$201,0))))</f>
        <v>C03</v>
      </c>
      <c r="C30" s="209" t="str">
        <f>IFERROR(INDEX('Annex 1 LV, HV and UMS charges'!$C$12:$C$43,MATCH($A30,'Annex 1 LV, HV and UMS charges'!$A$12:$A$43,0)),INDEX('Annex 4 LDNO charges'!$C$11:$C$201,MATCH($A30,'Annex 4 LDNO charges'!$A$11:$A$201,0)))</f>
        <v>0, 3, 4, 5-8</v>
      </c>
      <c r="D30" s="168"/>
      <c r="E30" s="168"/>
      <c r="F30" s="167">
        <v>0.80732906456180464</v>
      </c>
    </row>
    <row r="31" spans="1:6" ht="27.75" customHeight="1" x14ac:dyDescent="0.2">
      <c r="A31" s="151" t="s">
        <v>1896</v>
      </c>
      <c r="B31" s="208" t="str">
        <f>IFERROR(INDEX('Annex 1 LV, HV and UMS charges'!$B$12:$B$43,MATCH($A31,'Annex 1 LV, HV and UMS charges'!$A$12:$A$43,0)),IF(INDEX('Annex 4 LDNO charges'!$B$11:$B$201,MATCH($A31,'Annex 4 LDNO charges'!$A$11:$A$201,0))=0,"",INDEX('Annex 4 LDNO charges'!$B$11:$B$201,MATCH($A31,'Annex 4 LDNO charges'!$A$11:$A$201,0))))</f>
        <v>C04</v>
      </c>
      <c r="C31" s="209" t="str">
        <f>IFERROR(INDEX('Annex 1 LV, HV and UMS charges'!$C$12:$C$43,MATCH($A31,'Annex 1 LV, HV and UMS charges'!$A$12:$A$43,0)),INDEX('Annex 4 LDNO charges'!$C$11:$C$201,MATCH($A31,'Annex 4 LDNO charges'!$A$11:$A$201,0)))</f>
        <v>0, 3, 4, 5-8</v>
      </c>
      <c r="D31" s="168"/>
      <c r="E31" s="168"/>
      <c r="F31" s="167">
        <v>0.80732906456180464</v>
      </c>
    </row>
    <row r="32" spans="1:6" ht="27.75" customHeight="1" x14ac:dyDescent="0.2">
      <c r="A32" s="151" t="s">
        <v>492</v>
      </c>
      <c r="B32" s="208" t="str">
        <f>IFERROR(INDEX('Annex 1 LV, HV and UMS charges'!$B$12:$B$43,MATCH($A32,'Annex 1 LV, HV and UMS charges'!$A$12:$A$43,0)),IF(INDEX('Annex 4 LDNO charges'!$B$11:$B$201,MATCH($A32,'Annex 4 LDNO charges'!$A$11:$A$201,0))=0,"",INDEX('Annex 4 LDNO charges'!$B$11:$B$201,MATCH($A32,'Annex 4 LDNO charges'!$A$11:$A$201,0))))</f>
        <v>E00</v>
      </c>
      <c r="C32" s="209">
        <f>IFERROR(INDEX('Annex 1 LV, HV and UMS charges'!$C$12:$C$43,MATCH($A32,'Annex 1 LV, HV and UMS charges'!$A$12:$A$43,0)),INDEX('Annex 4 LDNO charges'!$C$11:$C$201,MATCH($A32,'Annex 4 LDNO charges'!$A$11:$A$201,0)))</f>
        <v>0</v>
      </c>
      <c r="D32" s="168"/>
      <c r="E32" s="168"/>
      <c r="F32" s="167">
        <v>0.80732906456180464</v>
      </c>
    </row>
    <row r="33" spans="1:6" ht="27.75" customHeight="1" x14ac:dyDescent="0.2">
      <c r="A33" s="151" t="s">
        <v>493</v>
      </c>
      <c r="B33" s="208" t="str">
        <f>IFERROR(INDEX('Annex 1 LV, HV and UMS charges'!$B$12:$B$43,MATCH($A33,'Annex 1 LV, HV and UMS charges'!$A$12:$A$43,0)),IF(INDEX('Annex 4 LDNO charges'!$B$11:$B$201,MATCH($A33,'Annex 4 LDNO charges'!$A$11:$A$201,0))=0,"",INDEX('Annex 4 LDNO charges'!$B$11:$B$201,MATCH($A33,'Annex 4 LDNO charges'!$A$11:$A$201,0))))</f>
        <v>E01</v>
      </c>
      <c r="C33" s="209">
        <f>IFERROR(INDEX('Annex 1 LV, HV and UMS charges'!$C$12:$C$43,MATCH($A33,'Annex 1 LV, HV and UMS charges'!$A$12:$A$43,0)),INDEX('Annex 4 LDNO charges'!$C$11:$C$201,MATCH($A33,'Annex 4 LDNO charges'!$A$11:$A$201,0)))</f>
        <v>0</v>
      </c>
      <c r="D33" s="168"/>
      <c r="E33" s="168"/>
      <c r="F33" s="167">
        <v>0.80732906456180464</v>
      </c>
    </row>
    <row r="34" spans="1:6" ht="27.75" customHeight="1" x14ac:dyDescent="0.2">
      <c r="A34" s="151" t="s">
        <v>494</v>
      </c>
      <c r="B34" s="208" t="str">
        <f>IFERROR(INDEX('Annex 1 LV, HV and UMS charges'!$B$12:$B$43,MATCH($A34,'Annex 1 LV, HV and UMS charges'!$A$12:$A$43,0)),IF(INDEX('Annex 4 LDNO charges'!$B$11:$B$201,MATCH($A34,'Annex 4 LDNO charges'!$A$11:$A$201,0))=0,"",INDEX('Annex 4 LDNO charges'!$B$11:$B$201,MATCH($A34,'Annex 4 LDNO charges'!$A$11:$A$201,0))))</f>
        <v>E02</v>
      </c>
      <c r="C34" s="209">
        <f>IFERROR(INDEX('Annex 1 LV, HV and UMS charges'!$C$12:$C$43,MATCH($A34,'Annex 1 LV, HV and UMS charges'!$A$12:$A$43,0)),INDEX('Annex 4 LDNO charges'!$C$11:$C$201,MATCH($A34,'Annex 4 LDNO charges'!$A$11:$A$201,0)))</f>
        <v>0</v>
      </c>
      <c r="D34" s="168"/>
      <c r="E34" s="168"/>
      <c r="F34" s="167">
        <v>0.80732906456180464</v>
      </c>
    </row>
    <row r="35" spans="1:6" ht="27.75" customHeight="1" x14ac:dyDescent="0.2">
      <c r="A35" s="151" t="s">
        <v>495</v>
      </c>
      <c r="B35" s="208" t="str">
        <f>IFERROR(INDEX('Annex 1 LV, HV and UMS charges'!$B$12:$B$43,MATCH($A35,'Annex 1 LV, HV and UMS charges'!$A$12:$A$43,0)),IF(INDEX('Annex 4 LDNO charges'!$B$11:$B$201,MATCH($A35,'Annex 4 LDNO charges'!$A$11:$A$201,0))=0,"",INDEX('Annex 4 LDNO charges'!$B$11:$B$201,MATCH($A35,'Annex 4 LDNO charges'!$A$11:$A$201,0))))</f>
        <v>E03</v>
      </c>
      <c r="C35" s="209">
        <f>IFERROR(INDEX('Annex 1 LV, HV and UMS charges'!$C$12:$C$43,MATCH($A35,'Annex 1 LV, HV and UMS charges'!$A$12:$A$43,0)),INDEX('Annex 4 LDNO charges'!$C$11:$C$201,MATCH($A35,'Annex 4 LDNO charges'!$A$11:$A$201,0)))</f>
        <v>0</v>
      </c>
      <c r="D35" s="168"/>
      <c r="E35" s="168"/>
      <c r="F35" s="167">
        <v>0.80732906456180464</v>
      </c>
    </row>
    <row r="36" spans="1:6" ht="27.75" customHeight="1" x14ac:dyDescent="0.2">
      <c r="A36" s="151" t="s">
        <v>496</v>
      </c>
      <c r="B36" s="208" t="str">
        <f>IFERROR(INDEX('Annex 1 LV, HV and UMS charges'!$B$12:$B$43,MATCH($A36,'Annex 1 LV, HV and UMS charges'!$A$12:$A$43,0)),IF(INDEX('Annex 4 LDNO charges'!$B$11:$B$201,MATCH($A36,'Annex 4 LDNO charges'!$A$11:$A$201,0))=0,"",INDEX('Annex 4 LDNO charges'!$B$11:$B$201,MATCH($A36,'Annex 4 LDNO charges'!$A$11:$A$201,0))))</f>
        <v>E04</v>
      </c>
      <c r="C36" s="209">
        <f>IFERROR(INDEX('Annex 1 LV, HV and UMS charges'!$C$12:$C$43,MATCH($A36,'Annex 1 LV, HV and UMS charges'!$A$12:$A$43,0)),INDEX('Annex 4 LDNO charges'!$C$11:$C$201,MATCH($A36,'Annex 4 LDNO charges'!$A$11:$A$201,0)))</f>
        <v>0</v>
      </c>
      <c r="D36" s="168"/>
      <c r="E36" s="168"/>
      <c r="F36" s="167">
        <v>0.80732906456180464</v>
      </c>
    </row>
    <row r="37" spans="1:6" ht="27.75" customHeight="1" x14ac:dyDescent="0.2">
      <c r="A37" s="16" t="s">
        <v>1897</v>
      </c>
      <c r="B37" s="208" t="str">
        <f>IFERROR(INDEX('Annex 1 LV, HV and UMS charges'!$B$12:$B$43,MATCH($A37,'Annex 1 LV, HV and UMS charges'!$A$12:$A$43,0)),IF(INDEX('Annex 4 LDNO charges'!$B$11:$B$201,MATCH($A37,'Annex 4 LDNO charges'!$A$11:$A$201,0))=0,"",INDEX('Annex 4 LDNO charges'!$B$11:$B$201,MATCH($A37,'Annex 4 LDNO charges'!$A$11:$A$201,0))))</f>
        <v>A10</v>
      </c>
      <c r="C37" s="209" t="str">
        <f>IFERROR(INDEX('Annex 1 LV, HV and UMS charges'!$C$12:$C$43,MATCH($A37,'Annex 1 LV, HV and UMS charges'!$A$12:$A$43,0)),INDEX('Annex 4 LDNO charges'!$C$11:$C$201,MATCH($A37,'Annex 4 LDNO charges'!$A$11:$A$201,0)))</f>
        <v>0, 1, 2</v>
      </c>
      <c r="D37" s="167">
        <v>0.18118202447323239</v>
      </c>
      <c r="E37" s="167"/>
      <c r="F37" s="167">
        <v>0.80732906456180464</v>
      </c>
    </row>
    <row r="38" spans="1:6" ht="27.75" customHeight="1" x14ac:dyDescent="0.2">
      <c r="A38" s="151" t="s">
        <v>1898</v>
      </c>
      <c r="B38" s="208" t="str">
        <f>IFERROR(INDEX('Annex 1 LV, HV and UMS charges'!$B$12:$B$43,MATCH($A38,'Annex 1 LV, HV and UMS charges'!$A$12:$A$43,0)),IF(INDEX('Annex 4 LDNO charges'!$B$11:$B$201,MATCH($A38,'Annex 4 LDNO charges'!$A$11:$A$201,0))=0,"",INDEX('Annex 4 LDNO charges'!$B$11:$B$201,MATCH($A38,'Annex 4 LDNO charges'!$A$11:$A$201,0))))</f>
        <v>C10</v>
      </c>
      <c r="C38" s="209" t="str">
        <f>IFERROR(INDEX('Annex 1 LV, HV and UMS charges'!$C$12:$C$43,MATCH($A38,'Annex 1 LV, HV and UMS charges'!$A$12:$A$43,0)),INDEX('Annex 4 LDNO charges'!$C$11:$C$201,MATCH($A38,'Annex 4 LDNO charges'!$A$11:$A$201,0)))</f>
        <v>0, 3, 4, 5-8</v>
      </c>
      <c r="D38" s="168"/>
      <c r="E38" s="168"/>
      <c r="F38" s="167">
        <v>0.80732906456180464</v>
      </c>
    </row>
    <row r="39" spans="1:6" ht="27.75" customHeight="1" x14ac:dyDescent="0.2">
      <c r="A39" s="151" t="s">
        <v>1899</v>
      </c>
      <c r="B39" s="208" t="str">
        <f>IFERROR(INDEX('Annex 1 LV, HV and UMS charges'!$B$12:$B$43,MATCH($A39,'Annex 1 LV, HV and UMS charges'!$A$12:$A$43,0)),IF(INDEX('Annex 4 LDNO charges'!$B$11:$B$201,MATCH($A39,'Annex 4 LDNO charges'!$A$11:$A$201,0))=0,"",INDEX('Annex 4 LDNO charges'!$B$11:$B$201,MATCH($A39,'Annex 4 LDNO charges'!$A$11:$A$201,0))))</f>
        <v>C11</v>
      </c>
      <c r="C39" s="209" t="str">
        <f>IFERROR(INDEX('Annex 1 LV, HV and UMS charges'!$C$12:$C$43,MATCH($A39,'Annex 1 LV, HV and UMS charges'!$A$12:$A$43,0)),INDEX('Annex 4 LDNO charges'!$C$11:$C$201,MATCH($A39,'Annex 4 LDNO charges'!$A$11:$A$201,0)))</f>
        <v>0, 3, 4, 5-8</v>
      </c>
      <c r="D39" s="168"/>
      <c r="E39" s="168"/>
      <c r="F39" s="167">
        <v>0.80732906456180464</v>
      </c>
    </row>
    <row r="40" spans="1:6" ht="27.75" customHeight="1" x14ac:dyDescent="0.2">
      <c r="A40" s="151" t="s">
        <v>1900</v>
      </c>
      <c r="B40" s="208" t="str">
        <f>IFERROR(INDEX('Annex 1 LV, HV and UMS charges'!$B$12:$B$43,MATCH($A40,'Annex 1 LV, HV and UMS charges'!$A$12:$A$43,0)),IF(INDEX('Annex 4 LDNO charges'!$B$11:$B$201,MATCH($A40,'Annex 4 LDNO charges'!$A$11:$A$201,0))=0,"",INDEX('Annex 4 LDNO charges'!$B$11:$B$201,MATCH($A40,'Annex 4 LDNO charges'!$A$11:$A$201,0))))</f>
        <v>C12</v>
      </c>
      <c r="C40" s="209" t="str">
        <f>IFERROR(INDEX('Annex 1 LV, HV and UMS charges'!$C$12:$C$43,MATCH($A40,'Annex 1 LV, HV and UMS charges'!$A$12:$A$43,0)),INDEX('Annex 4 LDNO charges'!$C$11:$C$201,MATCH($A40,'Annex 4 LDNO charges'!$A$11:$A$201,0)))</f>
        <v>0, 3, 4, 5-8</v>
      </c>
      <c r="D40" s="168"/>
      <c r="E40" s="168"/>
      <c r="F40" s="167">
        <v>0.80732906456180464</v>
      </c>
    </row>
    <row r="41" spans="1:6" ht="27.75" customHeight="1" x14ac:dyDescent="0.2">
      <c r="A41" s="151" t="s">
        <v>1901</v>
      </c>
      <c r="B41" s="208" t="str">
        <f>IFERROR(INDEX('Annex 1 LV, HV and UMS charges'!$B$12:$B$43,MATCH($A41,'Annex 1 LV, HV and UMS charges'!$A$12:$A$43,0)),IF(INDEX('Annex 4 LDNO charges'!$B$11:$B$201,MATCH($A41,'Annex 4 LDNO charges'!$A$11:$A$201,0))=0,"",INDEX('Annex 4 LDNO charges'!$B$11:$B$201,MATCH($A41,'Annex 4 LDNO charges'!$A$11:$A$201,0))))</f>
        <v>C13</v>
      </c>
      <c r="C41" s="209" t="str">
        <f>IFERROR(INDEX('Annex 1 LV, HV and UMS charges'!$C$12:$C$43,MATCH($A41,'Annex 1 LV, HV and UMS charges'!$A$12:$A$43,0)),INDEX('Annex 4 LDNO charges'!$C$11:$C$201,MATCH($A41,'Annex 4 LDNO charges'!$A$11:$A$201,0)))</f>
        <v>0, 3, 4, 5-8</v>
      </c>
      <c r="D41" s="168"/>
      <c r="E41" s="168"/>
      <c r="F41" s="167">
        <v>0.80732906456180464</v>
      </c>
    </row>
    <row r="42" spans="1:6" ht="27.75" customHeight="1" x14ac:dyDescent="0.2">
      <c r="A42" s="151" t="s">
        <v>1902</v>
      </c>
      <c r="B42" s="208" t="str">
        <f>IFERROR(INDEX('Annex 1 LV, HV and UMS charges'!$B$12:$B$43,MATCH($A42,'Annex 1 LV, HV and UMS charges'!$A$12:$A$43,0)),IF(INDEX('Annex 4 LDNO charges'!$B$11:$B$201,MATCH($A42,'Annex 4 LDNO charges'!$A$11:$A$201,0))=0,"",INDEX('Annex 4 LDNO charges'!$B$11:$B$201,MATCH($A42,'Annex 4 LDNO charges'!$A$11:$A$201,0))))</f>
        <v>C14</v>
      </c>
      <c r="C42" s="209" t="str">
        <f>IFERROR(INDEX('Annex 1 LV, HV and UMS charges'!$C$12:$C$43,MATCH($A42,'Annex 1 LV, HV and UMS charges'!$A$12:$A$43,0)),INDEX('Annex 4 LDNO charges'!$C$11:$C$201,MATCH($A42,'Annex 4 LDNO charges'!$A$11:$A$201,0)))</f>
        <v>0, 3, 4, 5-8</v>
      </c>
      <c r="D42" s="168"/>
      <c r="E42" s="168"/>
      <c r="F42" s="167">
        <v>0.80732906456180464</v>
      </c>
    </row>
    <row r="43" spans="1:6" ht="27.75" customHeight="1" x14ac:dyDescent="0.2">
      <c r="A43" s="151" t="s">
        <v>498</v>
      </c>
      <c r="B43" s="208" t="str">
        <f>IFERROR(INDEX('Annex 1 LV, HV and UMS charges'!$B$12:$B$43,MATCH($A43,'Annex 1 LV, HV and UMS charges'!$A$12:$A$43,0)),IF(INDEX('Annex 4 LDNO charges'!$B$11:$B$201,MATCH($A43,'Annex 4 LDNO charges'!$A$11:$A$201,0))=0,"",INDEX('Annex 4 LDNO charges'!$B$11:$B$201,MATCH($A43,'Annex 4 LDNO charges'!$A$11:$A$201,0))))</f>
        <v>E10</v>
      </c>
      <c r="C43" s="209">
        <f>IFERROR(INDEX('Annex 1 LV, HV and UMS charges'!$C$12:$C$43,MATCH($A43,'Annex 1 LV, HV and UMS charges'!$A$12:$A$43,0)),INDEX('Annex 4 LDNO charges'!$C$11:$C$201,MATCH($A43,'Annex 4 LDNO charges'!$A$11:$A$201,0)))</f>
        <v>0</v>
      </c>
      <c r="D43" s="168"/>
      <c r="E43" s="168"/>
      <c r="F43" s="167">
        <v>0.80732906456180464</v>
      </c>
    </row>
    <row r="44" spans="1:6" ht="27.75" customHeight="1" x14ac:dyDescent="0.2">
      <c r="A44" s="151" t="s">
        <v>499</v>
      </c>
      <c r="B44" s="208" t="str">
        <f>IFERROR(INDEX('Annex 1 LV, HV and UMS charges'!$B$12:$B$43,MATCH($A44,'Annex 1 LV, HV and UMS charges'!$A$12:$A$43,0)),IF(INDEX('Annex 4 LDNO charges'!$B$11:$B$201,MATCH($A44,'Annex 4 LDNO charges'!$A$11:$A$201,0))=0,"",INDEX('Annex 4 LDNO charges'!$B$11:$B$201,MATCH($A44,'Annex 4 LDNO charges'!$A$11:$A$201,0))))</f>
        <v>E11</v>
      </c>
      <c r="C44" s="209">
        <f>IFERROR(INDEX('Annex 1 LV, HV and UMS charges'!$C$12:$C$43,MATCH($A44,'Annex 1 LV, HV and UMS charges'!$A$12:$A$43,0)),INDEX('Annex 4 LDNO charges'!$C$11:$C$201,MATCH($A44,'Annex 4 LDNO charges'!$A$11:$A$201,0)))</f>
        <v>0</v>
      </c>
      <c r="D44" s="168"/>
      <c r="E44" s="168"/>
      <c r="F44" s="167">
        <v>0.80732906456180464</v>
      </c>
    </row>
    <row r="45" spans="1:6" ht="27.75" customHeight="1" x14ac:dyDescent="0.2">
      <c r="A45" s="151" t="s">
        <v>500</v>
      </c>
      <c r="B45" s="208" t="str">
        <f>IFERROR(INDEX('Annex 1 LV, HV and UMS charges'!$B$12:$B$43,MATCH($A45,'Annex 1 LV, HV and UMS charges'!$A$12:$A$43,0)),IF(INDEX('Annex 4 LDNO charges'!$B$11:$B$201,MATCH($A45,'Annex 4 LDNO charges'!$A$11:$A$201,0))=0,"",INDEX('Annex 4 LDNO charges'!$B$11:$B$201,MATCH($A45,'Annex 4 LDNO charges'!$A$11:$A$201,0))))</f>
        <v>E12</v>
      </c>
      <c r="C45" s="209">
        <f>IFERROR(INDEX('Annex 1 LV, HV and UMS charges'!$C$12:$C$43,MATCH($A45,'Annex 1 LV, HV and UMS charges'!$A$12:$A$43,0)),INDEX('Annex 4 LDNO charges'!$C$11:$C$201,MATCH($A45,'Annex 4 LDNO charges'!$A$11:$A$201,0)))</f>
        <v>0</v>
      </c>
      <c r="D45" s="168"/>
      <c r="E45" s="168"/>
      <c r="F45" s="167">
        <v>0.80732906456180464</v>
      </c>
    </row>
    <row r="46" spans="1:6" ht="27.75" customHeight="1" x14ac:dyDescent="0.2">
      <c r="A46" s="151" t="s">
        <v>501</v>
      </c>
      <c r="B46" s="208" t="str">
        <f>IFERROR(INDEX('Annex 1 LV, HV and UMS charges'!$B$12:$B$43,MATCH($A46,'Annex 1 LV, HV and UMS charges'!$A$12:$A$43,0)),IF(INDEX('Annex 4 LDNO charges'!$B$11:$B$201,MATCH($A46,'Annex 4 LDNO charges'!$A$11:$A$201,0))=0,"",INDEX('Annex 4 LDNO charges'!$B$11:$B$201,MATCH($A46,'Annex 4 LDNO charges'!$A$11:$A$201,0))))</f>
        <v>E13</v>
      </c>
      <c r="C46" s="209">
        <f>IFERROR(INDEX('Annex 1 LV, HV and UMS charges'!$C$12:$C$43,MATCH($A46,'Annex 1 LV, HV and UMS charges'!$A$12:$A$43,0)),INDEX('Annex 4 LDNO charges'!$C$11:$C$201,MATCH($A46,'Annex 4 LDNO charges'!$A$11:$A$201,0)))</f>
        <v>0</v>
      </c>
      <c r="D46" s="168"/>
      <c r="E46" s="168"/>
      <c r="F46" s="167">
        <v>0.80732906456180464</v>
      </c>
    </row>
    <row r="47" spans="1:6" ht="27.75" customHeight="1" x14ac:dyDescent="0.2">
      <c r="A47" s="151" t="s">
        <v>502</v>
      </c>
      <c r="B47" s="208" t="str">
        <f>IFERROR(INDEX('Annex 1 LV, HV and UMS charges'!$B$12:$B$43,MATCH($A47,'Annex 1 LV, HV and UMS charges'!$A$12:$A$43,0)),IF(INDEX('Annex 4 LDNO charges'!$B$11:$B$201,MATCH($A47,'Annex 4 LDNO charges'!$A$11:$A$201,0))=0,"",INDEX('Annex 4 LDNO charges'!$B$11:$B$201,MATCH($A47,'Annex 4 LDNO charges'!$A$11:$A$201,0))))</f>
        <v>E14</v>
      </c>
      <c r="C47" s="209">
        <f>IFERROR(INDEX('Annex 1 LV, HV and UMS charges'!$C$12:$C$43,MATCH($A47,'Annex 1 LV, HV and UMS charges'!$A$12:$A$43,0)),INDEX('Annex 4 LDNO charges'!$C$11:$C$201,MATCH($A47,'Annex 4 LDNO charges'!$A$11:$A$201,0)))</f>
        <v>0</v>
      </c>
      <c r="D47" s="168"/>
      <c r="E47" s="168"/>
      <c r="F47" s="167">
        <v>0.80732906456180464</v>
      </c>
    </row>
    <row r="48" spans="1:6" ht="27.75" customHeight="1" x14ac:dyDescent="0.2">
      <c r="A48" s="151" t="s">
        <v>503</v>
      </c>
      <c r="B48" s="208" t="str">
        <f>IFERROR(INDEX('Annex 1 LV, HV and UMS charges'!$B$12:$B$43,MATCH($A48,'Annex 1 LV, HV and UMS charges'!$A$12:$A$43,0)),IF(INDEX('Annex 4 LDNO charges'!$B$11:$B$201,MATCH($A48,'Annex 4 LDNO charges'!$A$11:$A$201,0))=0,"",INDEX('Annex 4 LDNO charges'!$B$11:$B$201,MATCH($A48,'Annex 4 LDNO charges'!$A$11:$A$201,0))))</f>
        <v>J10</v>
      </c>
      <c r="C48" s="209">
        <f>IFERROR(INDEX('Annex 1 LV, HV and UMS charges'!$C$12:$C$43,MATCH($A48,'Annex 1 LV, HV and UMS charges'!$A$12:$A$43,0)),INDEX('Annex 4 LDNO charges'!$C$11:$C$201,MATCH($A48,'Annex 4 LDNO charges'!$A$11:$A$201,0)))</f>
        <v>0</v>
      </c>
      <c r="D48" s="168"/>
      <c r="E48" s="168"/>
      <c r="F48" s="167">
        <v>0.80732906456180464</v>
      </c>
    </row>
    <row r="49" spans="1:6" ht="27.75" customHeight="1" x14ac:dyDescent="0.2">
      <c r="A49" s="151" t="s">
        <v>504</v>
      </c>
      <c r="B49" s="208" t="str">
        <f>IFERROR(INDEX('Annex 1 LV, HV and UMS charges'!$B$12:$B$43,MATCH($A49,'Annex 1 LV, HV and UMS charges'!$A$12:$A$43,0)),IF(INDEX('Annex 4 LDNO charges'!$B$11:$B$201,MATCH($A49,'Annex 4 LDNO charges'!$A$11:$A$201,0))=0,"",INDEX('Annex 4 LDNO charges'!$B$11:$B$201,MATCH($A49,'Annex 4 LDNO charges'!$A$11:$A$201,0))))</f>
        <v>J11</v>
      </c>
      <c r="C49" s="209">
        <f>IFERROR(INDEX('Annex 1 LV, HV and UMS charges'!$C$12:$C$43,MATCH($A49,'Annex 1 LV, HV and UMS charges'!$A$12:$A$43,0)),INDEX('Annex 4 LDNO charges'!$C$11:$C$201,MATCH($A49,'Annex 4 LDNO charges'!$A$11:$A$201,0)))</f>
        <v>0</v>
      </c>
      <c r="D49" s="168"/>
      <c r="E49" s="168"/>
      <c r="F49" s="167">
        <v>0.80732906456180464</v>
      </c>
    </row>
    <row r="50" spans="1:6" ht="27.75" customHeight="1" x14ac:dyDescent="0.2">
      <c r="A50" s="151" t="s">
        <v>505</v>
      </c>
      <c r="B50" s="208" t="str">
        <f>IFERROR(INDEX('Annex 1 LV, HV and UMS charges'!$B$12:$B$43,MATCH($A50,'Annex 1 LV, HV and UMS charges'!$A$12:$A$43,0)),IF(INDEX('Annex 4 LDNO charges'!$B$11:$B$201,MATCH($A50,'Annex 4 LDNO charges'!$A$11:$A$201,0))=0,"",INDEX('Annex 4 LDNO charges'!$B$11:$B$201,MATCH($A50,'Annex 4 LDNO charges'!$A$11:$A$201,0))))</f>
        <v>J12</v>
      </c>
      <c r="C50" s="209">
        <f>IFERROR(INDEX('Annex 1 LV, HV and UMS charges'!$C$12:$C$43,MATCH($A50,'Annex 1 LV, HV and UMS charges'!$A$12:$A$43,0)),INDEX('Annex 4 LDNO charges'!$C$11:$C$201,MATCH($A50,'Annex 4 LDNO charges'!$A$11:$A$201,0)))</f>
        <v>0</v>
      </c>
      <c r="D50" s="168"/>
      <c r="E50" s="168"/>
      <c r="F50" s="167">
        <v>0.80732906456180464</v>
      </c>
    </row>
    <row r="51" spans="1:6" ht="27.75" customHeight="1" x14ac:dyDescent="0.2">
      <c r="A51" s="151" t="s">
        <v>506</v>
      </c>
      <c r="B51" s="208" t="str">
        <f>IFERROR(INDEX('Annex 1 LV, HV and UMS charges'!$B$12:$B$43,MATCH($A51,'Annex 1 LV, HV and UMS charges'!$A$12:$A$43,0)),IF(INDEX('Annex 4 LDNO charges'!$B$11:$B$201,MATCH($A51,'Annex 4 LDNO charges'!$A$11:$A$201,0))=0,"",INDEX('Annex 4 LDNO charges'!$B$11:$B$201,MATCH($A51,'Annex 4 LDNO charges'!$A$11:$A$201,0))))</f>
        <v>J13</v>
      </c>
      <c r="C51" s="209">
        <f>IFERROR(INDEX('Annex 1 LV, HV and UMS charges'!$C$12:$C$43,MATCH($A51,'Annex 1 LV, HV and UMS charges'!$A$12:$A$43,0)),INDEX('Annex 4 LDNO charges'!$C$11:$C$201,MATCH($A51,'Annex 4 LDNO charges'!$A$11:$A$201,0)))</f>
        <v>0</v>
      </c>
      <c r="D51" s="168"/>
      <c r="E51" s="168"/>
      <c r="F51" s="167">
        <v>0.80732906456180464</v>
      </c>
    </row>
    <row r="52" spans="1:6" ht="27.75" customHeight="1" x14ac:dyDescent="0.2">
      <c r="A52" s="151" t="s">
        <v>507</v>
      </c>
      <c r="B52" s="208" t="str">
        <f>IFERROR(INDEX('Annex 1 LV, HV and UMS charges'!$B$12:$B$43,MATCH($A52,'Annex 1 LV, HV and UMS charges'!$A$12:$A$43,0)),IF(INDEX('Annex 4 LDNO charges'!$B$11:$B$201,MATCH($A52,'Annex 4 LDNO charges'!$A$11:$A$201,0))=0,"",INDEX('Annex 4 LDNO charges'!$B$11:$B$201,MATCH($A52,'Annex 4 LDNO charges'!$A$11:$A$201,0))))</f>
        <v>J14</v>
      </c>
      <c r="C52" s="209">
        <f>IFERROR(INDEX('Annex 1 LV, HV and UMS charges'!$C$12:$C$43,MATCH($A52,'Annex 1 LV, HV and UMS charges'!$A$12:$A$43,0)),INDEX('Annex 4 LDNO charges'!$C$11:$C$201,MATCH($A52,'Annex 4 LDNO charges'!$A$11:$A$201,0)))</f>
        <v>0</v>
      </c>
      <c r="D52" s="168"/>
      <c r="E52" s="168"/>
      <c r="F52" s="167">
        <v>0.80732906456180464</v>
      </c>
    </row>
    <row r="53" spans="1:6" ht="27.75" customHeight="1" x14ac:dyDescent="0.2">
      <c r="A53" s="151" t="s">
        <v>508</v>
      </c>
      <c r="B53" s="208" t="str">
        <f>IFERROR(INDEX('Annex 1 LV, HV and UMS charges'!$B$12:$B$43,MATCH($A53,'Annex 1 LV, HV and UMS charges'!$A$12:$A$43,0)),IF(INDEX('Annex 4 LDNO charges'!$B$11:$B$201,MATCH($A53,'Annex 4 LDNO charges'!$A$11:$A$201,0))=0,"",INDEX('Annex 4 LDNO charges'!$B$11:$B$201,MATCH($A53,'Annex 4 LDNO charges'!$A$11:$A$201,0))))</f>
        <v>K10</v>
      </c>
      <c r="C53" s="209">
        <f>IFERROR(INDEX('Annex 1 LV, HV and UMS charges'!$C$12:$C$43,MATCH($A53,'Annex 1 LV, HV and UMS charges'!$A$12:$A$43,0)),INDEX('Annex 4 LDNO charges'!$C$11:$C$201,MATCH($A53,'Annex 4 LDNO charges'!$A$11:$A$201,0)))</f>
        <v>0</v>
      </c>
      <c r="D53" s="168"/>
      <c r="E53" s="168"/>
      <c r="F53" s="167">
        <v>0.80732906456180464</v>
      </c>
    </row>
    <row r="54" spans="1:6" ht="27.75" customHeight="1" x14ac:dyDescent="0.2">
      <c r="A54" s="151" t="s">
        <v>509</v>
      </c>
      <c r="B54" s="208" t="str">
        <f>IFERROR(INDEX('Annex 1 LV, HV and UMS charges'!$B$12:$B$43,MATCH($A54,'Annex 1 LV, HV and UMS charges'!$A$12:$A$43,0)),IF(INDEX('Annex 4 LDNO charges'!$B$11:$B$201,MATCH($A54,'Annex 4 LDNO charges'!$A$11:$A$201,0))=0,"",INDEX('Annex 4 LDNO charges'!$B$11:$B$201,MATCH($A54,'Annex 4 LDNO charges'!$A$11:$A$201,0))))</f>
        <v>K11</v>
      </c>
      <c r="C54" s="209">
        <f>IFERROR(INDEX('Annex 1 LV, HV and UMS charges'!$C$12:$C$43,MATCH($A54,'Annex 1 LV, HV and UMS charges'!$A$12:$A$43,0)),INDEX('Annex 4 LDNO charges'!$C$11:$C$201,MATCH($A54,'Annex 4 LDNO charges'!$A$11:$A$201,0)))</f>
        <v>0</v>
      </c>
      <c r="D54" s="168"/>
      <c r="E54" s="168"/>
      <c r="F54" s="167">
        <v>0.80732906456180464</v>
      </c>
    </row>
    <row r="55" spans="1:6" ht="27.75" customHeight="1" x14ac:dyDescent="0.2">
      <c r="A55" s="151" t="s">
        <v>510</v>
      </c>
      <c r="B55" s="208" t="str">
        <f>IFERROR(INDEX('Annex 1 LV, HV and UMS charges'!$B$12:$B$43,MATCH($A55,'Annex 1 LV, HV and UMS charges'!$A$12:$A$43,0)),IF(INDEX('Annex 4 LDNO charges'!$B$11:$B$201,MATCH($A55,'Annex 4 LDNO charges'!$A$11:$A$201,0))=0,"",INDEX('Annex 4 LDNO charges'!$B$11:$B$201,MATCH($A55,'Annex 4 LDNO charges'!$A$11:$A$201,0))))</f>
        <v>K12</v>
      </c>
      <c r="C55" s="209">
        <f>IFERROR(INDEX('Annex 1 LV, HV and UMS charges'!$C$12:$C$43,MATCH($A55,'Annex 1 LV, HV and UMS charges'!$A$12:$A$43,0)),INDEX('Annex 4 LDNO charges'!$C$11:$C$201,MATCH($A55,'Annex 4 LDNO charges'!$A$11:$A$201,0)))</f>
        <v>0</v>
      </c>
      <c r="D55" s="168"/>
      <c r="E55" s="168"/>
      <c r="F55" s="167">
        <v>0.80732906456180464</v>
      </c>
    </row>
    <row r="56" spans="1:6" ht="27.75" customHeight="1" x14ac:dyDescent="0.2">
      <c r="A56" s="151" t="s">
        <v>511</v>
      </c>
      <c r="B56" s="208" t="str">
        <f>IFERROR(INDEX('Annex 1 LV, HV and UMS charges'!$B$12:$B$43,MATCH($A56,'Annex 1 LV, HV and UMS charges'!$A$12:$A$43,0)),IF(INDEX('Annex 4 LDNO charges'!$B$11:$B$201,MATCH($A56,'Annex 4 LDNO charges'!$A$11:$A$201,0))=0,"",INDEX('Annex 4 LDNO charges'!$B$11:$B$201,MATCH($A56,'Annex 4 LDNO charges'!$A$11:$A$201,0))))</f>
        <v>K13</v>
      </c>
      <c r="C56" s="209">
        <f>IFERROR(INDEX('Annex 1 LV, HV and UMS charges'!$C$12:$C$43,MATCH($A56,'Annex 1 LV, HV and UMS charges'!$A$12:$A$43,0)),INDEX('Annex 4 LDNO charges'!$C$11:$C$201,MATCH($A56,'Annex 4 LDNO charges'!$A$11:$A$201,0)))</f>
        <v>0</v>
      </c>
      <c r="D56" s="168"/>
      <c r="E56" s="168"/>
      <c r="F56" s="167">
        <v>0.80732906456180464</v>
      </c>
    </row>
    <row r="57" spans="1:6" ht="27.75" customHeight="1" x14ac:dyDescent="0.2">
      <c r="A57" s="151" t="s">
        <v>512</v>
      </c>
      <c r="B57" s="208" t="str">
        <f>IFERROR(INDEX('Annex 1 LV, HV and UMS charges'!$B$12:$B$43,MATCH($A57,'Annex 1 LV, HV and UMS charges'!$A$12:$A$43,0)),IF(INDEX('Annex 4 LDNO charges'!$B$11:$B$201,MATCH($A57,'Annex 4 LDNO charges'!$A$11:$A$201,0))=0,"",INDEX('Annex 4 LDNO charges'!$B$11:$B$201,MATCH($A57,'Annex 4 LDNO charges'!$A$11:$A$201,0))))</f>
        <v>K14</v>
      </c>
      <c r="C57" s="209">
        <f>IFERROR(INDEX('Annex 1 LV, HV and UMS charges'!$C$12:$C$43,MATCH($A57,'Annex 1 LV, HV and UMS charges'!$A$12:$A$43,0)),INDEX('Annex 4 LDNO charges'!$C$11:$C$201,MATCH($A57,'Annex 4 LDNO charges'!$A$11:$A$201,0)))</f>
        <v>0</v>
      </c>
      <c r="D57" s="168"/>
      <c r="E57" s="168"/>
      <c r="F57" s="167">
        <v>0.80732906456180464</v>
      </c>
    </row>
    <row r="58" spans="1:6" ht="27.75" customHeight="1" x14ac:dyDescent="0.2">
      <c r="A58" s="151" t="s">
        <v>1903</v>
      </c>
      <c r="B58" s="208" t="str">
        <f>IFERROR(INDEX('Annex 1 LV, HV and UMS charges'!$B$12:$B$43,MATCH($A58,'Annex 1 LV, HV and UMS charges'!$A$12:$A$43,0)),IF(INDEX('Annex 4 LDNO charges'!$B$11:$B$201,MATCH($A58,'Annex 4 LDNO charges'!$A$11:$A$201,0))=0,"",INDEX('Annex 4 LDNO charges'!$B$11:$B$201,MATCH($A58,'Annex 4 LDNO charges'!$A$11:$A$201,0))))</f>
        <v>A20</v>
      </c>
      <c r="C58" s="209" t="str">
        <f>IFERROR(INDEX('Annex 1 LV, HV and UMS charges'!$C$12:$C$43,MATCH($A58,'Annex 1 LV, HV and UMS charges'!$A$12:$A$43,0)),INDEX('Annex 4 LDNO charges'!$C$11:$C$201,MATCH($A58,'Annex 4 LDNO charges'!$A$11:$A$201,0)))</f>
        <v>0, 1, 2</v>
      </c>
      <c r="D58" s="167">
        <v>0.18118202447323239</v>
      </c>
      <c r="E58" s="167"/>
      <c r="F58" s="167">
        <v>0.80732906456180464</v>
      </c>
    </row>
    <row r="59" spans="1:6" ht="27.75" customHeight="1" x14ac:dyDescent="0.2">
      <c r="A59" s="151" t="s">
        <v>1905</v>
      </c>
      <c r="B59" s="208" t="str">
        <f>IFERROR(INDEX('Annex 1 LV, HV and UMS charges'!$B$12:$B$43,MATCH($A59,'Annex 1 LV, HV and UMS charges'!$A$12:$A$43,0)),IF(INDEX('Annex 4 LDNO charges'!$B$11:$B$201,MATCH($A59,'Annex 4 LDNO charges'!$A$11:$A$201,0))=0,"",INDEX('Annex 4 LDNO charges'!$B$11:$B$201,MATCH($A59,'Annex 4 LDNO charges'!$A$11:$A$201,0))))</f>
        <v>C20</v>
      </c>
      <c r="C59" s="209" t="str">
        <f>IFERROR(INDEX('Annex 1 LV, HV and UMS charges'!$C$12:$C$43,MATCH($A59,'Annex 1 LV, HV and UMS charges'!$A$12:$A$43,0)),INDEX('Annex 4 LDNO charges'!$C$11:$C$201,MATCH($A59,'Annex 4 LDNO charges'!$A$11:$A$201,0)))</f>
        <v>0, 3, 4, 5-8</v>
      </c>
      <c r="D59" s="168"/>
      <c r="E59" s="168"/>
      <c r="F59" s="167">
        <v>0.80732906456180464</v>
      </c>
    </row>
    <row r="60" spans="1:6" ht="27.75" customHeight="1" x14ac:dyDescent="0.2">
      <c r="A60" s="151" t="s">
        <v>1906</v>
      </c>
      <c r="B60" s="208" t="str">
        <f>IFERROR(INDEX('Annex 1 LV, HV and UMS charges'!$B$12:$B$43,MATCH($A60,'Annex 1 LV, HV and UMS charges'!$A$12:$A$43,0)),IF(INDEX('Annex 4 LDNO charges'!$B$11:$B$201,MATCH($A60,'Annex 4 LDNO charges'!$A$11:$A$201,0))=0,"",INDEX('Annex 4 LDNO charges'!$B$11:$B$201,MATCH($A60,'Annex 4 LDNO charges'!$A$11:$A$201,0))))</f>
        <v>C21</v>
      </c>
      <c r="C60" s="209" t="str">
        <f>IFERROR(INDEX('Annex 1 LV, HV and UMS charges'!$C$12:$C$43,MATCH($A60,'Annex 1 LV, HV and UMS charges'!$A$12:$A$43,0)),INDEX('Annex 4 LDNO charges'!$C$11:$C$201,MATCH($A60,'Annex 4 LDNO charges'!$A$11:$A$201,0)))</f>
        <v>0, 3, 4, 5-8</v>
      </c>
      <c r="D60" s="168"/>
      <c r="E60" s="168"/>
      <c r="F60" s="167">
        <v>0.80732906456180464</v>
      </c>
    </row>
    <row r="61" spans="1:6" ht="27.75" customHeight="1" x14ac:dyDescent="0.2">
      <c r="A61" s="151" t="s">
        <v>1907</v>
      </c>
      <c r="B61" s="208" t="str">
        <f>IFERROR(INDEX('Annex 1 LV, HV and UMS charges'!$B$12:$B$43,MATCH($A61,'Annex 1 LV, HV and UMS charges'!$A$12:$A$43,0)),IF(INDEX('Annex 4 LDNO charges'!$B$11:$B$201,MATCH($A61,'Annex 4 LDNO charges'!$A$11:$A$201,0))=0,"",INDEX('Annex 4 LDNO charges'!$B$11:$B$201,MATCH($A61,'Annex 4 LDNO charges'!$A$11:$A$201,0))))</f>
        <v>C22</v>
      </c>
      <c r="C61" s="209" t="str">
        <f>IFERROR(INDEX('Annex 1 LV, HV and UMS charges'!$C$12:$C$43,MATCH($A61,'Annex 1 LV, HV and UMS charges'!$A$12:$A$43,0)),INDEX('Annex 4 LDNO charges'!$C$11:$C$201,MATCH($A61,'Annex 4 LDNO charges'!$A$11:$A$201,0)))</f>
        <v>0, 3, 4, 5-8</v>
      </c>
      <c r="D61" s="168"/>
      <c r="E61" s="168"/>
      <c r="F61" s="167">
        <v>0.80732906456180464</v>
      </c>
    </row>
    <row r="62" spans="1:6" ht="27.75" customHeight="1" x14ac:dyDescent="0.2">
      <c r="A62" s="151" t="s">
        <v>1908</v>
      </c>
      <c r="B62" s="208" t="str">
        <f>IFERROR(INDEX('Annex 1 LV, HV and UMS charges'!$B$12:$B$43,MATCH($A62,'Annex 1 LV, HV and UMS charges'!$A$12:$A$43,0)),IF(INDEX('Annex 4 LDNO charges'!$B$11:$B$201,MATCH($A62,'Annex 4 LDNO charges'!$A$11:$A$201,0))=0,"",INDEX('Annex 4 LDNO charges'!$B$11:$B$201,MATCH($A62,'Annex 4 LDNO charges'!$A$11:$A$201,0))))</f>
        <v>C23</v>
      </c>
      <c r="C62" s="209" t="str">
        <f>IFERROR(INDEX('Annex 1 LV, HV and UMS charges'!$C$12:$C$43,MATCH($A62,'Annex 1 LV, HV and UMS charges'!$A$12:$A$43,0)),INDEX('Annex 4 LDNO charges'!$C$11:$C$201,MATCH($A62,'Annex 4 LDNO charges'!$A$11:$A$201,0)))</f>
        <v>0, 3, 4, 5-8</v>
      </c>
      <c r="D62" s="168"/>
      <c r="E62" s="168"/>
      <c r="F62" s="167">
        <v>0.80732906456180464</v>
      </c>
    </row>
    <row r="63" spans="1:6" ht="27.75" customHeight="1" x14ac:dyDescent="0.2">
      <c r="A63" s="151" t="s">
        <v>1909</v>
      </c>
      <c r="B63" s="208" t="str">
        <f>IFERROR(INDEX('Annex 1 LV, HV and UMS charges'!$B$12:$B$43,MATCH($A63,'Annex 1 LV, HV and UMS charges'!$A$12:$A$43,0)),IF(INDEX('Annex 4 LDNO charges'!$B$11:$B$201,MATCH($A63,'Annex 4 LDNO charges'!$A$11:$A$201,0))=0,"",INDEX('Annex 4 LDNO charges'!$B$11:$B$201,MATCH($A63,'Annex 4 LDNO charges'!$A$11:$A$201,0))))</f>
        <v>C24</v>
      </c>
      <c r="C63" s="209" t="str">
        <f>IFERROR(INDEX('Annex 1 LV, HV and UMS charges'!$C$12:$C$43,MATCH($A63,'Annex 1 LV, HV and UMS charges'!$A$12:$A$43,0)),INDEX('Annex 4 LDNO charges'!$C$11:$C$201,MATCH($A63,'Annex 4 LDNO charges'!$A$11:$A$201,0)))</f>
        <v>0, 3, 4, 5-8</v>
      </c>
      <c r="D63" s="168"/>
      <c r="E63" s="168"/>
      <c r="F63" s="167">
        <v>0.80732906456180464</v>
      </c>
    </row>
    <row r="64" spans="1:6" ht="27.75" customHeight="1" x14ac:dyDescent="0.2">
      <c r="A64" s="151" t="s">
        <v>573</v>
      </c>
      <c r="B64" s="208" t="str">
        <f>IFERROR(INDEX('Annex 1 LV, HV and UMS charges'!$B$12:$B$43,MATCH($A64,'Annex 1 LV, HV and UMS charges'!$A$12:$A$43,0)),IF(INDEX('Annex 4 LDNO charges'!$B$11:$B$201,MATCH($A64,'Annex 4 LDNO charges'!$A$11:$A$201,0))=0,"",INDEX('Annex 4 LDNO charges'!$B$11:$B$201,MATCH($A64,'Annex 4 LDNO charges'!$A$11:$A$201,0))))</f>
        <v>E20</v>
      </c>
      <c r="C64" s="209">
        <f>IFERROR(INDEX('Annex 1 LV, HV and UMS charges'!$C$12:$C$43,MATCH($A64,'Annex 1 LV, HV and UMS charges'!$A$12:$A$43,0)),INDEX('Annex 4 LDNO charges'!$C$11:$C$201,MATCH($A64,'Annex 4 LDNO charges'!$A$11:$A$201,0)))</f>
        <v>0</v>
      </c>
      <c r="D64" s="168"/>
      <c r="E64" s="168"/>
      <c r="F64" s="167">
        <v>0.80732906456180464</v>
      </c>
    </row>
    <row r="65" spans="1:6" ht="27.75" customHeight="1" x14ac:dyDescent="0.2">
      <c r="A65" s="151" t="s">
        <v>574</v>
      </c>
      <c r="B65" s="208" t="str">
        <f>IFERROR(INDEX('Annex 1 LV, HV and UMS charges'!$B$12:$B$43,MATCH($A65,'Annex 1 LV, HV and UMS charges'!$A$12:$A$43,0)),IF(INDEX('Annex 4 LDNO charges'!$B$11:$B$201,MATCH($A65,'Annex 4 LDNO charges'!$A$11:$A$201,0))=0,"",INDEX('Annex 4 LDNO charges'!$B$11:$B$201,MATCH($A65,'Annex 4 LDNO charges'!$A$11:$A$201,0))))</f>
        <v>E21</v>
      </c>
      <c r="C65" s="209">
        <f>IFERROR(INDEX('Annex 1 LV, HV and UMS charges'!$C$12:$C$43,MATCH($A65,'Annex 1 LV, HV and UMS charges'!$A$12:$A$43,0)),INDEX('Annex 4 LDNO charges'!$C$11:$C$201,MATCH($A65,'Annex 4 LDNO charges'!$A$11:$A$201,0)))</f>
        <v>0</v>
      </c>
      <c r="D65" s="168"/>
      <c r="E65" s="168"/>
      <c r="F65" s="167">
        <v>0.80732906456180464</v>
      </c>
    </row>
    <row r="66" spans="1:6" ht="27.75" customHeight="1" x14ac:dyDescent="0.2">
      <c r="A66" s="151" t="s">
        <v>575</v>
      </c>
      <c r="B66" s="208" t="str">
        <f>IFERROR(INDEX('Annex 1 LV, HV and UMS charges'!$B$12:$B$43,MATCH($A66,'Annex 1 LV, HV and UMS charges'!$A$12:$A$43,0)),IF(INDEX('Annex 4 LDNO charges'!$B$11:$B$201,MATCH($A66,'Annex 4 LDNO charges'!$A$11:$A$201,0))=0,"",INDEX('Annex 4 LDNO charges'!$B$11:$B$201,MATCH($A66,'Annex 4 LDNO charges'!$A$11:$A$201,0))))</f>
        <v>E22</v>
      </c>
      <c r="C66" s="209">
        <f>IFERROR(INDEX('Annex 1 LV, HV and UMS charges'!$C$12:$C$43,MATCH($A66,'Annex 1 LV, HV and UMS charges'!$A$12:$A$43,0)),INDEX('Annex 4 LDNO charges'!$C$11:$C$201,MATCH($A66,'Annex 4 LDNO charges'!$A$11:$A$201,0)))</f>
        <v>0</v>
      </c>
      <c r="D66" s="168"/>
      <c r="E66" s="168"/>
      <c r="F66" s="167">
        <v>0.80732906456180464</v>
      </c>
    </row>
    <row r="67" spans="1:6" ht="27.75" customHeight="1" x14ac:dyDescent="0.2">
      <c r="A67" s="151" t="s">
        <v>576</v>
      </c>
      <c r="B67" s="208" t="str">
        <f>IFERROR(INDEX('Annex 1 LV, HV and UMS charges'!$B$12:$B$43,MATCH($A67,'Annex 1 LV, HV and UMS charges'!$A$12:$A$43,0)),IF(INDEX('Annex 4 LDNO charges'!$B$11:$B$201,MATCH($A67,'Annex 4 LDNO charges'!$A$11:$A$201,0))=0,"",INDEX('Annex 4 LDNO charges'!$B$11:$B$201,MATCH($A67,'Annex 4 LDNO charges'!$A$11:$A$201,0))))</f>
        <v>E23</v>
      </c>
      <c r="C67" s="209">
        <f>IFERROR(INDEX('Annex 1 LV, HV and UMS charges'!$C$12:$C$43,MATCH($A67,'Annex 1 LV, HV and UMS charges'!$A$12:$A$43,0)),INDEX('Annex 4 LDNO charges'!$C$11:$C$201,MATCH($A67,'Annex 4 LDNO charges'!$A$11:$A$201,0)))</f>
        <v>0</v>
      </c>
      <c r="D67" s="168"/>
      <c r="E67" s="168"/>
      <c r="F67" s="167">
        <v>0.80732906456180464</v>
      </c>
    </row>
    <row r="68" spans="1:6" ht="27.75" customHeight="1" x14ac:dyDescent="0.2">
      <c r="A68" s="151" t="s">
        <v>577</v>
      </c>
      <c r="B68" s="208" t="str">
        <f>IFERROR(INDEX('Annex 1 LV, HV and UMS charges'!$B$12:$B$43,MATCH($A68,'Annex 1 LV, HV and UMS charges'!$A$12:$A$43,0)),IF(INDEX('Annex 4 LDNO charges'!$B$11:$B$201,MATCH($A68,'Annex 4 LDNO charges'!$A$11:$A$201,0))=0,"",INDEX('Annex 4 LDNO charges'!$B$11:$B$201,MATCH($A68,'Annex 4 LDNO charges'!$A$11:$A$201,0))))</f>
        <v>E24</v>
      </c>
      <c r="C68" s="209">
        <f>IFERROR(INDEX('Annex 1 LV, HV and UMS charges'!$C$12:$C$43,MATCH($A68,'Annex 1 LV, HV and UMS charges'!$A$12:$A$43,0)),INDEX('Annex 4 LDNO charges'!$C$11:$C$201,MATCH($A68,'Annex 4 LDNO charges'!$A$11:$A$201,0)))</f>
        <v>0</v>
      </c>
      <c r="D68" s="168"/>
      <c r="E68" s="168"/>
      <c r="F68" s="167">
        <v>0.80732906456180464</v>
      </c>
    </row>
    <row r="69" spans="1:6" ht="27.75" customHeight="1" x14ac:dyDescent="0.2">
      <c r="A69" s="151" t="s">
        <v>578</v>
      </c>
      <c r="B69" s="208" t="str">
        <f>IFERROR(INDEX('Annex 1 LV, HV and UMS charges'!$B$12:$B$43,MATCH($A69,'Annex 1 LV, HV and UMS charges'!$A$12:$A$43,0)),IF(INDEX('Annex 4 LDNO charges'!$B$11:$B$201,MATCH($A69,'Annex 4 LDNO charges'!$A$11:$A$201,0))=0,"",INDEX('Annex 4 LDNO charges'!$B$11:$B$201,MATCH($A69,'Annex 4 LDNO charges'!$A$11:$A$201,0))))</f>
        <v>J20</v>
      </c>
      <c r="C69" s="209">
        <f>IFERROR(INDEX('Annex 1 LV, HV and UMS charges'!$C$12:$C$43,MATCH($A69,'Annex 1 LV, HV and UMS charges'!$A$12:$A$43,0)),INDEX('Annex 4 LDNO charges'!$C$11:$C$201,MATCH($A69,'Annex 4 LDNO charges'!$A$11:$A$201,0)))</f>
        <v>0</v>
      </c>
      <c r="D69" s="168"/>
      <c r="E69" s="168"/>
      <c r="F69" s="167">
        <v>0.80732906456180464</v>
      </c>
    </row>
    <row r="70" spans="1:6" ht="27.75" customHeight="1" x14ac:dyDescent="0.2">
      <c r="A70" s="151" t="s">
        <v>579</v>
      </c>
      <c r="B70" s="208" t="str">
        <f>IFERROR(INDEX('Annex 1 LV, HV and UMS charges'!$B$12:$B$43,MATCH($A70,'Annex 1 LV, HV and UMS charges'!$A$12:$A$43,0)),IF(INDEX('Annex 4 LDNO charges'!$B$11:$B$201,MATCH($A70,'Annex 4 LDNO charges'!$A$11:$A$201,0))=0,"",INDEX('Annex 4 LDNO charges'!$B$11:$B$201,MATCH($A70,'Annex 4 LDNO charges'!$A$11:$A$201,0))))</f>
        <v>J21</v>
      </c>
      <c r="C70" s="209">
        <f>IFERROR(INDEX('Annex 1 LV, HV and UMS charges'!$C$12:$C$43,MATCH($A70,'Annex 1 LV, HV and UMS charges'!$A$12:$A$43,0)),INDEX('Annex 4 LDNO charges'!$C$11:$C$201,MATCH($A70,'Annex 4 LDNO charges'!$A$11:$A$201,0)))</f>
        <v>0</v>
      </c>
      <c r="D70" s="168"/>
      <c r="E70" s="168"/>
      <c r="F70" s="167">
        <v>0.80732906456180464</v>
      </c>
    </row>
    <row r="71" spans="1:6" ht="27.75" customHeight="1" x14ac:dyDescent="0.2">
      <c r="A71" s="151" t="s">
        <v>580</v>
      </c>
      <c r="B71" s="208" t="str">
        <f>IFERROR(INDEX('Annex 1 LV, HV and UMS charges'!$B$12:$B$43,MATCH($A71,'Annex 1 LV, HV and UMS charges'!$A$12:$A$43,0)),IF(INDEX('Annex 4 LDNO charges'!$B$11:$B$201,MATCH($A71,'Annex 4 LDNO charges'!$A$11:$A$201,0))=0,"",INDEX('Annex 4 LDNO charges'!$B$11:$B$201,MATCH($A71,'Annex 4 LDNO charges'!$A$11:$A$201,0))))</f>
        <v>J22</v>
      </c>
      <c r="C71" s="209">
        <f>IFERROR(INDEX('Annex 1 LV, HV and UMS charges'!$C$12:$C$43,MATCH($A71,'Annex 1 LV, HV and UMS charges'!$A$12:$A$43,0)),INDEX('Annex 4 LDNO charges'!$C$11:$C$201,MATCH($A71,'Annex 4 LDNO charges'!$A$11:$A$201,0)))</f>
        <v>0</v>
      </c>
      <c r="D71" s="168"/>
      <c r="E71" s="168"/>
      <c r="F71" s="167">
        <v>0.80732906456180464</v>
      </c>
    </row>
    <row r="72" spans="1:6" ht="27.75" customHeight="1" x14ac:dyDescent="0.2">
      <c r="A72" s="151" t="s">
        <v>581</v>
      </c>
      <c r="B72" s="208" t="str">
        <f>IFERROR(INDEX('Annex 1 LV, HV and UMS charges'!$B$12:$B$43,MATCH($A72,'Annex 1 LV, HV and UMS charges'!$A$12:$A$43,0)),IF(INDEX('Annex 4 LDNO charges'!$B$11:$B$201,MATCH($A72,'Annex 4 LDNO charges'!$A$11:$A$201,0))=0,"",INDEX('Annex 4 LDNO charges'!$B$11:$B$201,MATCH($A72,'Annex 4 LDNO charges'!$A$11:$A$201,0))))</f>
        <v>J23</v>
      </c>
      <c r="C72" s="209">
        <f>IFERROR(INDEX('Annex 1 LV, HV and UMS charges'!$C$12:$C$43,MATCH($A72,'Annex 1 LV, HV and UMS charges'!$A$12:$A$43,0)),INDEX('Annex 4 LDNO charges'!$C$11:$C$201,MATCH($A72,'Annex 4 LDNO charges'!$A$11:$A$201,0)))</f>
        <v>0</v>
      </c>
      <c r="D72" s="168"/>
      <c r="E72" s="168"/>
      <c r="F72" s="167">
        <v>0.80732906456180464</v>
      </c>
    </row>
    <row r="73" spans="1:6" ht="27.75" customHeight="1" x14ac:dyDescent="0.2">
      <c r="A73" s="151" t="s">
        <v>582</v>
      </c>
      <c r="B73" s="208" t="str">
        <f>IFERROR(INDEX('Annex 1 LV, HV and UMS charges'!$B$12:$B$43,MATCH($A73,'Annex 1 LV, HV and UMS charges'!$A$12:$A$43,0)),IF(INDEX('Annex 4 LDNO charges'!$B$11:$B$201,MATCH($A73,'Annex 4 LDNO charges'!$A$11:$A$201,0))=0,"",INDEX('Annex 4 LDNO charges'!$B$11:$B$201,MATCH($A73,'Annex 4 LDNO charges'!$A$11:$A$201,0))))</f>
        <v>J24</v>
      </c>
      <c r="C73" s="209">
        <f>IFERROR(INDEX('Annex 1 LV, HV and UMS charges'!$C$12:$C$43,MATCH($A73,'Annex 1 LV, HV and UMS charges'!$A$12:$A$43,0)),INDEX('Annex 4 LDNO charges'!$C$11:$C$201,MATCH($A73,'Annex 4 LDNO charges'!$A$11:$A$201,0)))</f>
        <v>0</v>
      </c>
      <c r="D73" s="168"/>
      <c r="E73" s="168"/>
      <c r="F73" s="167">
        <v>0.80732906456180464</v>
      </c>
    </row>
    <row r="74" spans="1:6" ht="27.75" customHeight="1" x14ac:dyDescent="0.2">
      <c r="A74" s="151" t="s">
        <v>583</v>
      </c>
      <c r="B74" s="208" t="str">
        <f>IFERROR(INDEX('Annex 1 LV, HV and UMS charges'!$B$12:$B$43,MATCH($A74,'Annex 1 LV, HV and UMS charges'!$A$12:$A$43,0)),IF(INDEX('Annex 4 LDNO charges'!$B$11:$B$201,MATCH($A74,'Annex 4 LDNO charges'!$A$11:$A$201,0))=0,"",INDEX('Annex 4 LDNO charges'!$B$11:$B$201,MATCH($A74,'Annex 4 LDNO charges'!$A$11:$A$201,0))))</f>
        <v>K20</v>
      </c>
      <c r="C74" s="209">
        <f>IFERROR(INDEX('Annex 1 LV, HV and UMS charges'!$C$12:$C$43,MATCH($A74,'Annex 1 LV, HV and UMS charges'!$A$12:$A$43,0)),INDEX('Annex 4 LDNO charges'!$C$11:$C$201,MATCH($A74,'Annex 4 LDNO charges'!$A$11:$A$201,0)))</f>
        <v>0</v>
      </c>
      <c r="D74" s="168"/>
      <c r="E74" s="168"/>
      <c r="F74" s="167">
        <v>0.80732906456180464</v>
      </c>
    </row>
    <row r="75" spans="1:6" ht="27.75" customHeight="1" x14ac:dyDescent="0.2">
      <c r="A75" s="151" t="s">
        <v>584</v>
      </c>
      <c r="B75" s="208" t="str">
        <f>IFERROR(INDEX('Annex 1 LV, HV and UMS charges'!$B$12:$B$43,MATCH($A75,'Annex 1 LV, HV and UMS charges'!$A$12:$A$43,0)),IF(INDEX('Annex 4 LDNO charges'!$B$11:$B$201,MATCH($A75,'Annex 4 LDNO charges'!$A$11:$A$201,0))=0,"",INDEX('Annex 4 LDNO charges'!$B$11:$B$201,MATCH($A75,'Annex 4 LDNO charges'!$A$11:$A$201,0))))</f>
        <v>K21</v>
      </c>
      <c r="C75" s="209">
        <f>IFERROR(INDEX('Annex 1 LV, HV and UMS charges'!$C$12:$C$43,MATCH($A75,'Annex 1 LV, HV and UMS charges'!$A$12:$A$43,0)),INDEX('Annex 4 LDNO charges'!$C$11:$C$201,MATCH($A75,'Annex 4 LDNO charges'!$A$11:$A$201,0)))</f>
        <v>0</v>
      </c>
      <c r="D75" s="168"/>
      <c r="E75" s="168"/>
      <c r="F75" s="167">
        <v>0.80732906456180464</v>
      </c>
    </row>
    <row r="76" spans="1:6" ht="27.75" customHeight="1" x14ac:dyDescent="0.2">
      <c r="A76" s="151" t="s">
        <v>585</v>
      </c>
      <c r="B76" s="208" t="str">
        <f>IFERROR(INDEX('Annex 1 LV, HV and UMS charges'!$B$12:$B$43,MATCH($A76,'Annex 1 LV, HV and UMS charges'!$A$12:$A$43,0)),IF(INDEX('Annex 4 LDNO charges'!$B$11:$B$201,MATCH($A76,'Annex 4 LDNO charges'!$A$11:$A$201,0))=0,"",INDEX('Annex 4 LDNO charges'!$B$11:$B$201,MATCH($A76,'Annex 4 LDNO charges'!$A$11:$A$201,0))))</f>
        <v>K22</v>
      </c>
      <c r="C76" s="209">
        <f>IFERROR(INDEX('Annex 1 LV, HV and UMS charges'!$C$12:$C$43,MATCH($A76,'Annex 1 LV, HV and UMS charges'!$A$12:$A$43,0)),INDEX('Annex 4 LDNO charges'!$C$11:$C$201,MATCH($A76,'Annex 4 LDNO charges'!$A$11:$A$201,0)))</f>
        <v>0</v>
      </c>
      <c r="D76" s="168"/>
      <c r="E76" s="168"/>
      <c r="F76" s="167">
        <v>0.80732906456180464</v>
      </c>
    </row>
    <row r="77" spans="1:6" ht="27.75" customHeight="1" x14ac:dyDescent="0.2">
      <c r="A77" s="151" t="s">
        <v>586</v>
      </c>
      <c r="B77" s="208" t="str">
        <f>IFERROR(INDEX('Annex 1 LV, HV and UMS charges'!$B$12:$B$43,MATCH($A77,'Annex 1 LV, HV and UMS charges'!$A$12:$A$43,0)),IF(INDEX('Annex 4 LDNO charges'!$B$11:$B$201,MATCH($A77,'Annex 4 LDNO charges'!$A$11:$A$201,0))=0,"",INDEX('Annex 4 LDNO charges'!$B$11:$B$201,MATCH($A77,'Annex 4 LDNO charges'!$A$11:$A$201,0))))</f>
        <v>K23</v>
      </c>
      <c r="C77" s="209">
        <f>IFERROR(INDEX('Annex 1 LV, HV and UMS charges'!$C$12:$C$43,MATCH($A77,'Annex 1 LV, HV and UMS charges'!$A$12:$A$43,0)),INDEX('Annex 4 LDNO charges'!$C$11:$C$201,MATCH($A77,'Annex 4 LDNO charges'!$A$11:$A$201,0)))</f>
        <v>0</v>
      </c>
      <c r="D77" s="168"/>
      <c r="E77" s="168"/>
      <c r="F77" s="167">
        <v>0.80732906456180464</v>
      </c>
    </row>
    <row r="78" spans="1:6" ht="27.75" customHeight="1" x14ac:dyDescent="0.2">
      <c r="A78" s="151" t="s">
        <v>587</v>
      </c>
      <c r="B78" s="208" t="str">
        <f>IFERROR(INDEX('Annex 1 LV, HV and UMS charges'!$B$12:$B$43,MATCH($A78,'Annex 1 LV, HV and UMS charges'!$A$12:$A$43,0)),IF(INDEX('Annex 4 LDNO charges'!$B$11:$B$201,MATCH($A78,'Annex 4 LDNO charges'!$A$11:$A$201,0))=0,"",INDEX('Annex 4 LDNO charges'!$B$11:$B$201,MATCH($A78,'Annex 4 LDNO charges'!$A$11:$A$201,0))))</f>
        <v>K24</v>
      </c>
      <c r="C78" s="209">
        <f>IFERROR(INDEX('Annex 1 LV, HV and UMS charges'!$C$12:$C$43,MATCH($A78,'Annex 1 LV, HV and UMS charges'!$A$12:$A$43,0)),INDEX('Annex 4 LDNO charges'!$C$11:$C$201,MATCH($A78,'Annex 4 LDNO charges'!$A$11:$A$201,0)))</f>
        <v>0</v>
      </c>
      <c r="D78" s="168"/>
      <c r="E78" s="168"/>
      <c r="F78" s="167">
        <v>0.80732906456180464</v>
      </c>
    </row>
    <row r="79" spans="1:6" ht="27.75" customHeight="1" x14ac:dyDescent="0.2">
      <c r="A79" s="151" t="s">
        <v>1910</v>
      </c>
      <c r="B79" s="208" t="str">
        <f>IFERROR(INDEX('Annex 1 LV, HV and UMS charges'!$B$12:$B$43,MATCH($A79,'Annex 1 LV, HV and UMS charges'!$A$12:$A$43,0)),IF(INDEX('Annex 4 LDNO charges'!$B$11:$B$201,MATCH($A79,'Annex 4 LDNO charges'!$A$11:$A$201,0))=0,"",INDEX('Annex 4 LDNO charges'!$B$11:$B$201,MATCH($A79,'Annex 4 LDNO charges'!$A$11:$A$201,0))))</f>
        <v>A30</v>
      </c>
      <c r="C79" s="209" t="str">
        <f>IFERROR(INDEX('Annex 1 LV, HV and UMS charges'!$C$12:$C$43,MATCH($A79,'Annex 1 LV, HV and UMS charges'!$A$12:$A$43,0)),INDEX('Annex 4 LDNO charges'!$C$11:$C$201,MATCH($A79,'Annex 4 LDNO charges'!$A$11:$A$201,0)))</f>
        <v>0, 1, 2</v>
      </c>
      <c r="D79" s="167">
        <v>0.18118202447323239</v>
      </c>
      <c r="E79" s="167"/>
      <c r="F79" s="167">
        <v>0.80732906456180464</v>
      </c>
    </row>
    <row r="80" spans="1:6" ht="27.75" customHeight="1" x14ac:dyDescent="0.2">
      <c r="A80" s="151" t="s">
        <v>1912</v>
      </c>
      <c r="B80" s="208" t="str">
        <f>IFERROR(INDEX('Annex 1 LV, HV and UMS charges'!$B$12:$B$43,MATCH($A80,'Annex 1 LV, HV and UMS charges'!$A$12:$A$43,0)),IF(INDEX('Annex 4 LDNO charges'!$B$11:$B$201,MATCH($A80,'Annex 4 LDNO charges'!$A$11:$A$201,0))=0,"",INDEX('Annex 4 LDNO charges'!$B$11:$B$201,MATCH($A80,'Annex 4 LDNO charges'!$A$11:$A$201,0))))</f>
        <v>C30</v>
      </c>
      <c r="C80" s="209" t="str">
        <f>IFERROR(INDEX('Annex 1 LV, HV and UMS charges'!$C$12:$C$43,MATCH($A80,'Annex 1 LV, HV and UMS charges'!$A$12:$A$43,0)),INDEX('Annex 4 LDNO charges'!$C$11:$C$201,MATCH($A80,'Annex 4 LDNO charges'!$A$11:$A$201,0)))</f>
        <v>0, 3, 4, 5-8</v>
      </c>
      <c r="D80" s="168"/>
      <c r="E80" s="168"/>
      <c r="F80" s="167">
        <v>0.80732906456180464</v>
      </c>
    </row>
    <row r="81" spans="1:6" ht="27.75" customHeight="1" x14ac:dyDescent="0.2">
      <c r="A81" s="151" t="s">
        <v>1913</v>
      </c>
      <c r="B81" s="208" t="str">
        <f>IFERROR(INDEX('Annex 1 LV, HV and UMS charges'!$B$12:$B$43,MATCH($A81,'Annex 1 LV, HV and UMS charges'!$A$12:$A$43,0)),IF(INDEX('Annex 4 LDNO charges'!$B$11:$B$201,MATCH($A81,'Annex 4 LDNO charges'!$A$11:$A$201,0))=0,"",INDEX('Annex 4 LDNO charges'!$B$11:$B$201,MATCH($A81,'Annex 4 LDNO charges'!$A$11:$A$201,0))))</f>
        <v>C31</v>
      </c>
      <c r="C81" s="209" t="str">
        <f>IFERROR(INDEX('Annex 1 LV, HV and UMS charges'!$C$12:$C$43,MATCH($A81,'Annex 1 LV, HV and UMS charges'!$A$12:$A$43,0)),INDEX('Annex 4 LDNO charges'!$C$11:$C$201,MATCH($A81,'Annex 4 LDNO charges'!$A$11:$A$201,0)))</f>
        <v>0, 3, 4, 5-8</v>
      </c>
      <c r="D81" s="168"/>
      <c r="E81" s="168"/>
      <c r="F81" s="167">
        <v>0.80732906456180464</v>
      </c>
    </row>
    <row r="82" spans="1:6" ht="27.75" customHeight="1" x14ac:dyDescent="0.2">
      <c r="A82" s="151" t="s">
        <v>1914</v>
      </c>
      <c r="B82" s="208" t="str">
        <f>IFERROR(INDEX('Annex 1 LV, HV and UMS charges'!$B$12:$B$43,MATCH($A82,'Annex 1 LV, HV and UMS charges'!$A$12:$A$43,0)),IF(INDEX('Annex 4 LDNO charges'!$B$11:$B$201,MATCH($A82,'Annex 4 LDNO charges'!$A$11:$A$201,0))=0,"",INDEX('Annex 4 LDNO charges'!$B$11:$B$201,MATCH($A82,'Annex 4 LDNO charges'!$A$11:$A$201,0))))</f>
        <v>C32</v>
      </c>
      <c r="C82" s="209" t="str">
        <f>IFERROR(INDEX('Annex 1 LV, HV and UMS charges'!$C$12:$C$43,MATCH($A82,'Annex 1 LV, HV and UMS charges'!$A$12:$A$43,0)),INDEX('Annex 4 LDNO charges'!$C$11:$C$201,MATCH($A82,'Annex 4 LDNO charges'!$A$11:$A$201,0)))</f>
        <v>0, 3, 4, 5-8</v>
      </c>
      <c r="D82" s="168"/>
      <c r="E82" s="168"/>
      <c r="F82" s="167">
        <v>0.80732906456180464</v>
      </c>
    </row>
    <row r="83" spans="1:6" ht="27.75" customHeight="1" x14ac:dyDescent="0.2">
      <c r="A83" s="151" t="s">
        <v>1915</v>
      </c>
      <c r="B83" s="208" t="str">
        <f>IFERROR(INDEX('Annex 1 LV, HV and UMS charges'!$B$12:$B$43,MATCH($A83,'Annex 1 LV, HV and UMS charges'!$A$12:$A$43,0)),IF(INDEX('Annex 4 LDNO charges'!$B$11:$B$201,MATCH($A83,'Annex 4 LDNO charges'!$A$11:$A$201,0))=0,"",INDEX('Annex 4 LDNO charges'!$B$11:$B$201,MATCH($A83,'Annex 4 LDNO charges'!$A$11:$A$201,0))))</f>
        <v>C33</v>
      </c>
      <c r="C83" s="209" t="str">
        <f>IFERROR(INDEX('Annex 1 LV, HV and UMS charges'!$C$12:$C$43,MATCH($A83,'Annex 1 LV, HV and UMS charges'!$A$12:$A$43,0)),INDEX('Annex 4 LDNO charges'!$C$11:$C$201,MATCH($A83,'Annex 4 LDNO charges'!$A$11:$A$201,0)))</f>
        <v>0, 3, 4, 5-8</v>
      </c>
      <c r="D83" s="168"/>
      <c r="E83" s="168"/>
      <c r="F83" s="167">
        <v>0.80732906456180464</v>
      </c>
    </row>
    <row r="84" spans="1:6" ht="27.75" customHeight="1" x14ac:dyDescent="0.2">
      <c r="A84" s="151" t="s">
        <v>1916</v>
      </c>
      <c r="B84" s="208" t="str">
        <f>IFERROR(INDEX('Annex 1 LV, HV and UMS charges'!$B$12:$B$43,MATCH($A84,'Annex 1 LV, HV and UMS charges'!$A$12:$A$43,0)),IF(INDEX('Annex 4 LDNO charges'!$B$11:$B$201,MATCH($A84,'Annex 4 LDNO charges'!$A$11:$A$201,0))=0,"",INDEX('Annex 4 LDNO charges'!$B$11:$B$201,MATCH($A84,'Annex 4 LDNO charges'!$A$11:$A$201,0))))</f>
        <v>C34</v>
      </c>
      <c r="C84" s="209" t="str">
        <f>IFERROR(INDEX('Annex 1 LV, HV and UMS charges'!$C$12:$C$43,MATCH($A84,'Annex 1 LV, HV and UMS charges'!$A$12:$A$43,0)),INDEX('Annex 4 LDNO charges'!$C$11:$C$201,MATCH($A84,'Annex 4 LDNO charges'!$A$11:$A$201,0)))</f>
        <v>0, 3, 4, 5-8</v>
      </c>
      <c r="D84" s="168"/>
      <c r="E84" s="168"/>
      <c r="F84" s="167">
        <v>0.80732906456180464</v>
      </c>
    </row>
    <row r="85" spans="1:6" ht="27.75" customHeight="1" x14ac:dyDescent="0.2">
      <c r="A85" s="151" t="s">
        <v>558</v>
      </c>
      <c r="B85" s="208" t="str">
        <f>IFERROR(INDEX('Annex 1 LV, HV and UMS charges'!$B$12:$B$43,MATCH($A85,'Annex 1 LV, HV and UMS charges'!$A$12:$A$43,0)),IF(INDEX('Annex 4 LDNO charges'!$B$11:$B$201,MATCH($A85,'Annex 4 LDNO charges'!$A$11:$A$201,0))=0,"",INDEX('Annex 4 LDNO charges'!$B$11:$B$201,MATCH($A85,'Annex 4 LDNO charges'!$A$11:$A$201,0))))</f>
        <v>E30</v>
      </c>
      <c r="C85" s="209">
        <f>IFERROR(INDEX('Annex 1 LV, HV and UMS charges'!$C$12:$C$43,MATCH($A85,'Annex 1 LV, HV and UMS charges'!$A$12:$A$43,0)),INDEX('Annex 4 LDNO charges'!$C$11:$C$201,MATCH($A85,'Annex 4 LDNO charges'!$A$11:$A$201,0)))</f>
        <v>0</v>
      </c>
      <c r="D85" s="168"/>
      <c r="E85" s="168"/>
      <c r="F85" s="167">
        <v>0.80732906456180464</v>
      </c>
    </row>
    <row r="86" spans="1:6" ht="27.75" customHeight="1" x14ac:dyDescent="0.2">
      <c r="A86" s="151" t="s">
        <v>559</v>
      </c>
      <c r="B86" s="208" t="str">
        <f>IFERROR(INDEX('Annex 1 LV, HV and UMS charges'!$B$12:$B$43,MATCH($A86,'Annex 1 LV, HV and UMS charges'!$A$12:$A$43,0)),IF(INDEX('Annex 4 LDNO charges'!$B$11:$B$201,MATCH($A86,'Annex 4 LDNO charges'!$A$11:$A$201,0))=0,"",INDEX('Annex 4 LDNO charges'!$B$11:$B$201,MATCH($A86,'Annex 4 LDNO charges'!$A$11:$A$201,0))))</f>
        <v>E31</v>
      </c>
      <c r="C86" s="209">
        <f>IFERROR(INDEX('Annex 1 LV, HV and UMS charges'!$C$12:$C$43,MATCH($A86,'Annex 1 LV, HV and UMS charges'!$A$12:$A$43,0)),INDEX('Annex 4 LDNO charges'!$C$11:$C$201,MATCH($A86,'Annex 4 LDNO charges'!$A$11:$A$201,0)))</f>
        <v>0</v>
      </c>
      <c r="D86" s="168"/>
      <c r="E86" s="168"/>
      <c r="F86" s="167">
        <v>0.80732906456180464</v>
      </c>
    </row>
    <row r="87" spans="1:6" ht="27.75" customHeight="1" x14ac:dyDescent="0.2">
      <c r="A87" s="151" t="s">
        <v>560</v>
      </c>
      <c r="B87" s="208" t="str">
        <f>IFERROR(INDEX('Annex 1 LV, HV and UMS charges'!$B$12:$B$43,MATCH($A87,'Annex 1 LV, HV and UMS charges'!$A$12:$A$43,0)),IF(INDEX('Annex 4 LDNO charges'!$B$11:$B$201,MATCH($A87,'Annex 4 LDNO charges'!$A$11:$A$201,0))=0,"",INDEX('Annex 4 LDNO charges'!$B$11:$B$201,MATCH($A87,'Annex 4 LDNO charges'!$A$11:$A$201,0))))</f>
        <v>E32</v>
      </c>
      <c r="C87" s="209">
        <f>IFERROR(INDEX('Annex 1 LV, HV and UMS charges'!$C$12:$C$43,MATCH($A87,'Annex 1 LV, HV and UMS charges'!$A$12:$A$43,0)),INDEX('Annex 4 LDNO charges'!$C$11:$C$201,MATCH($A87,'Annex 4 LDNO charges'!$A$11:$A$201,0)))</f>
        <v>0</v>
      </c>
      <c r="D87" s="168"/>
      <c r="E87" s="168"/>
      <c r="F87" s="167">
        <v>0.80732906456180464</v>
      </c>
    </row>
    <row r="88" spans="1:6" ht="27.75" customHeight="1" x14ac:dyDescent="0.2">
      <c r="A88" s="151" t="s">
        <v>561</v>
      </c>
      <c r="B88" s="208" t="str">
        <f>IFERROR(INDEX('Annex 1 LV, HV and UMS charges'!$B$12:$B$43,MATCH($A88,'Annex 1 LV, HV and UMS charges'!$A$12:$A$43,0)),IF(INDEX('Annex 4 LDNO charges'!$B$11:$B$201,MATCH($A88,'Annex 4 LDNO charges'!$A$11:$A$201,0))=0,"",INDEX('Annex 4 LDNO charges'!$B$11:$B$201,MATCH($A88,'Annex 4 LDNO charges'!$A$11:$A$201,0))))</f>
        <v>E33</v>
      </c>
      <c r="C88" s="209">
        <f>IFERROR(INDEX('Annex 1 LV, HV and UMS charges'!$C$12:$C$43,MATCH($A88,'Annex 1 LV, HV and UMS charges'!$A$12:$A$43,0)),INDEX('Annex 4 LDNO charges'!$C$11:$C$201,MATCH($A88,'Annex 4 LDNO charges'!$A$11:$A$201,0)))</f>
        <v>0</v>
      </c>
      <c r="D88" s="168"/>
      <c r="E88" s="168"/>
      <c r="F88" s="167">
        <v>0.80732906456180464</v>
      </c>
    </row>
    <row r="89" spans="1:6" ht="27.75" customHeight="1" x14ac:dyDescent="0.2">
      <c r="A89" s="151" t="s">
        <v>562</v>
      </c>
      <c r="B89" s="208" t="str">
        <f>IFERROR(INDEX('Annex 1 LV, HV and UMS charges'!$B$12:$B$43,MATCH($A89,'Annex 1 LV, HV and UMS charges'!$A$12:$A$43,0)),IF(INDEX('Annex 4 LDNO charges'!$B$11:$B$201,MATCH($A89,'Annex 4 LDNO charges'!$A$11:$A$201,0))=0,"",INDEX('Annex 4 LDNO charges'!$B$11:$B$201,MATCH($A89,'Annex 4 LDNO charges'!$A$11:$A$201,0))))</f>
        <v>E34</v>
      </c>
      <c r="C89" s="209">
        <f>IFERROR(INDEX('Annex 1 LV, HV and UMS charges'!$C$12:$C$43,MATCH($A89,'Annex 1 LV, HV and UMS charges'!$A$12:$A$43,0)),INDEX('Annex 4 LDNO charges'!$C$11:$C$201,MATCH($A89,'Annex 4 LDNO charges'!$A$11:$A$201,0)))</f>
        <v>0</v>
      </c>
      <c r="D89" s="168"/>
      <c r="E89" s="168"/>
      <c r="F89" s="167">
        <v>0.80732906456180464</v>
      </c>
    </row>
    <row r="90" spans="1:6" ht="27.75" customHeight="1" x14ac:dyDescent="0.2">
      <c r="A90" s="151" t="s">
        <v>563</v>
      </c>
      <c r="B90" s="208" t="str">
        <f>IFERROR(INDEX('Annex 1 LV, HV and UMS charges'!$B$12:$B$43,MATCH($A90,'Annex 1 LV, HV and UMS charges'!$A$12:$A$43,0)),IF(INDEX('Annex 4 LDNO charges'!$B$11:$B$201,MATCH($A90,'Annex 4 LDNO charges'!$A$11:$A$201,0))=0,"",INDEX('Annex 4 LDNO charges'!$B$11:$B$201,MATCH($A90,'Annex 4 LDNO charges'!$A$11:$A$201,0))))</f>
        <v>J30</v>
      </c>
      <c r="C90" s="209">
        <f>IFERROR(INDEX('Annex 1 LV, HV and UMS charges'!$C$12:$C$43,MATCH($A90,'Annex 1 LV, HV and UMS charges'!$A$12:$A$43,0)),INDEX('Annex 4 LDNO charges'!$C$11:$C$201,MATCH($A90,'Annex 4 LDNO charges'!$A$11:$A$201,0)))</f>
        <v>0</v>
      </c>
      <c r="D90" s="168"/>
      <c r="E90" s="168"/>
      <c r="F90" s="167">
        <v>0.80732906456180464</v>
      </c>
    </row>
    <row r="91" spans="1:6" ht="27.75" customHeight="1" x14ac:dyDescent="0.2">
      <c r="A91" s="151" t="s">
        <v>564</v>
      </c>
      <c r="B91" s="208" t="str">
        <f>IFERROR(INDEX('Annex 1 LV, HV and UMS charges'!$B$12:$B$43,MATCH($A91,'Annex 1 LV, HV and UMS charges'!$A$12:$A$43,0)),IF(INDEX('Annex 4 LDNO charges'!$B$11:$B$201,MATCH($A91,'Annex 4 LDNO charges'!$A$11:$A$201,0))=0,"",INDEX('Annex 4 LDNO charges'!$B$11:$B$201,MATCH($A91,'Annex 4 LDNO charges'!$A$11:$A$201,0))))</f>
        <v>J31</v>
      </c>
      <c r="C91" s="209">
        <f>IFERROR(INDEX('Annex 1 LV, HV and UMS charges'!$C$12:$C$43,MATCH($A91,'Annex 1 LV, HV and UMS charges'!$A$12:$A$43,0)),INDEX('Annex 4 LDNO charges'!$C$11:$C$201,MATCH($A91,'Annex 4 LDNO charges'!$A$11:$A$201,0)))</f>
        <v>0</v>
      </c>
      <c r="D91" s="168"/>
      <c r="E91" s="168"/>
      <c r="F91" s="167">
        <v>0.80732906456180464</v>
      </c>
    </row>
    <row r="92" spans="1:6" ht="27.75" customHeight="1" x14ac:dyDescent="0.2">
      <c r="A92" s="151" t="s">
        <v>565</v>
      </c>
      <c r="B92" s="208" t="str">
        <f>IFERROR(INDEX('Annex 1 LV, HV and UMS charges'!$B$12:$B$43,MATCH($A92,'Annex 1 LV, HV and UMS charges'!$A$12:$A$43,0)),IF(INDEX('Annex 4 LDNO charges'!$B$11:$B$201,MATCH($A92,'Annex 4 LDNO charges'!$A$11:$A$201,0))=0,"",INDEX('Annex 4 LDNO charges'!$B$11:$B$201,MATCH($A92,'Annex 4 LDNO charges'!$A$11:$A$201,0))))</f>
        <v>J32</v>
      </c>
      <c r="C92" s="209">
        <f>IFERROR(INDEX('Annex 1 LV, HV and UMS charges'!$C$12:$C$43,MATCH($A92,'Annex 1 LV, HV and UMS charges'!$A$12:$A$43,0)),INDEX('Annex 4 LDNO charges'!$C$11:$C$201,MATCH($A92,'Annex 4 LDNO charges'!$A$11:$A$201,0)))</f>
        <v>0</v>
      </c>
      <c r="D92" s="168"/>
      <c r="E92" s="168"/>
      <c r="F92" s="167">
        <v>0.80732906456180464</v>
      </c>
    </row>
    <row r="93" spans="1:6" ht="27.75" customHeight="1" x14ac:dyDescent="0.2">
      <c r="A93" s="151" t="s">
        <v>566</v>
      </c>
      <c r="B93" s="208" t="str">
        <f>IFERROR(INDEX('Annex 1 LV, HV and UMS charges'!$B$12:$B$43,MATCH($A93,'Annex 1 LV, HV and UMS charges'!$A$12:$A$43,0)),IF(INDEX('Annex 4 LDNO charges'!$B$11:$B$201,MATCH($A93,'Annex 4 LDNO charges'!$A$11:$A$201,0))=0,"",INDEX('Annex 4 LDNO charges'!$B$11:$B$201,MATCH($A93,'Annex 4 LDNO charges'!$A$11:$A$201,0))))</f>
        <v>J33</v>
      </c>
      <c r="C93" s="209">
        <f>IFERROR(INDEX('Annex 1 LV, HV and UMS charges'!$C$12:$C$43,MATCH($A93,'Annex 1 LV, HV and UMS charges'!$A$12:$A$43,0)),INDEX('Annex 4 LDNO charges'!$C$11:$C$201,MATCH($A93,'Annex 4 LDNO charges'!$A$11:$A$201,0)))</f>
        <v>0</v>
      </c>
      <c r="D93" s="168"/>
      <c r="E93" s="168"/>
      <c r="F93" s="167">
        <v>0.80732906456180464</v>
      </c>
    </row>
    <row r="94" spans="1:6" ht="27.75" customHeight="1" x14ac:dyDescent="0.2">
      <c r="A94" s="151" t="s">
        <v>567</v>
      </c>
      <c r="B94" s="208" t="str">
        <f>IFERROR(INDEX('Annex 1 LV, HV and UMS charges'!$B$12:$B$43,MATCH($A94,'Annex 1 LV, HV and UMS charges'!$A$12:$A$43,0)),IF(INDEX('Annex 4 LDNO charges'!$B$11:$B$201,MATCH($A94,'Annex 4 LDNO charges'!$A$11:$A$201,0))=0,"",INDEX('Annex 4 LDNO charges'!$B$11:$B$201,MATCH($A94,'Annex 4 LDNO charges'!$A$11:$A$201,0))))</f>
        <v>J34</v>
      </c>
      <c r="C94" s="209">
        <f>IFERROR(INDEX('Annex 1 LV, HV and UMS charges'!$C$12:$C$43,MATCH($A94,'Annex 1 LV, HV and UMS charges'!$A$12:$A$43,0)),INDEX('Annex 4 LDNO charges'!$C$11:$C$201,MATCH($A94,'Annex 4 LDNO charges'!$A$11:$A$201,0)))</f>
        <v>0</v>
      </c>
      <c r="D94" s="168"/>
      <c r="E94" s="168"/>
      <c r="F94" s="167">
        <v>0.80732906456180464</v>
      </c>
    </row>
    <row r="95" spans="1:6" ht="27.75" customHeight="1" x14ac:dyDescent="0.2">
      <c r="A95" s="151" t="s">
        <v>568</v>
      </c>
      <c r="B95" s="208" t="str">
        <f>IFERROR(INDEX('Annex 1 LV, HV and UMS charges'!$B$12:$B$43,MATCH($A95,'Annex 1 LV, HV and UMS charges'!$A$12:$A$43,0)),IF(INDEX('Annex 4 LDNO charges'!$B$11:$B$201,MATCH($A95,'Annex 4 LDNO charges'!$A$11:$A$201,0))=0,"",INDEX('Annex 4 LDNO charges'!$B$11:$B$201,MATCH($A95,'Annex 4 LDNO charges'!$A$11:$A$201,0))))</f>
        <v>K30</v>
      </c>
      <c r="C95" s="209">
        <f>IFERROR(INDEX('Annex 1 LV, HV and UMS charges'!$C$12:$C$43,MATCH($A95,'Annex 1 LV, HV and UMS charges'!$A$12:$A$43,0)),INDEX('Annex 4 LDNO charges'!$C$11:$C$201,MATCH($A95,'Annex 4 LDNO charges'!$A$11:$A$201,0)))</f>
        <v>0</v>
      </c>
      <c r="D95" s="168"/>
      <c r="E95" s="168"/>
      <c r="F95" s="167">
        <v>0.80732906456180464</v>
      </c>
    </row>
    <row r="96" spans="1:6" ht="27.75" customHeight="1" x14ac:dyDescent="0.2">
      <c r="A96" s="151" t="s">
        <v>569</v>
      </c>
      <c r="B96" s="208" t="str">
        <f>IFERROR(INDEX('Annex 1 LV, HV and UMS charges'!$B$12:$B$43,MATCH($A96,'Annex 1 LV, HV and UMS charges'!$A$12:$A$43,0)),IF(INDEX('Annex 4 LDNO charges'!$B$11:$B$201,MATCH($A96,'Annex 4 LDNO charges'!$A$11:$A$201,0))=0,"",INDEX('Annex 4 LDNO charges'!$B$11:$B$201,MATCH($A96,'Annex 4 LDNO charges'!$A$11:$A$201,0))))</f>
        <v>K31</v>
      </c>
      <c r="C96" s="209">
        <f>IFERROR(INDEX('Annex 1 LV, HV and UMS charges'!$C$12:$C$43,MATCH($A96,'Annex 1 LV, HV and UMS charges'!$A$12:$A$43,0)),INDEX('Annex 4 LDNO charges'!$C$11:$C$201,MATCH($A96,'Annex 4 LDNO charges'!$A$11:$A$201,0)))</f>
        <v>0</v>
      </c>
      <c r="D96" s="168"/>
      <c r="E96" s="168"/>
      <c r="F96" s="167">
        <v>0.80732906456180464</v>
      </c>
    </row>
    <row r="97" spans="1:6" ht="27.75" customHeight="1" x14ac:dyDescent="0.2">
      <c r="A97" s="151" t="s">
        <v>570</v>
      </c>
      <c r="B97" s="208" t="str">
        <f>IFERROR(INDEX('Annex 1 LV, HV and UMS charges'!$B$12:$B$43,MATCH($A97,'Annex 1 LV, HV and UMS charges'!$A$12:$A$43,0)),IF(INDEX('Annex 4 LDNO charges'!$B$11:$B$201,MATCH($A97,'Annex 4 LDNO charges'!$A$11:$A$201,0))=0,"",INDEX('Annex 4 LDNO charges'!$B$11:$B$201,MATCH($A97,'Annex 4 LDNO charges'!$A$11:$A$201,0))))</f>
        <v>K32</v>
      </c>
      <c r="C97" s="209">
        <f>IFERROR(INDEX('Annex 1 LV, HV and UMS charges'!$C$12:$C$43,MATCH($A97,'Annex 1 LV, HV and UMS charges'!$A$12:$A$43,0)),INDEX('Annex 4 LDNO charges'!$C$11:$C$201,MATCH($A97,'Annex 4 LDNO charges'!$A$11:$A$201,0)))</f>
        <v>0</v>
      </c>
      <c r="D97" s="168"/>
      <c r="E97" s="168"/>
      <c r="F97" s="167">
        <v>0.80732906456180464</v>
      </c>
    </row>
    <row r="98" spans="1:6" ht="27.75" customHeight="1" x14ac:dyDescent="0.2">
      <c r="A98" s="151" t="s">
        <v>571</v>
      </c>
      <c r="B98" s="208" t="str">
        <f>IFERROR(INDEX('Annex 1 LV, HV and UMS charges'!$B$12:$B$43,MATCH($A98,'Annex 1 LV, HV and UMS charges'!$A$12:$A$43,0)),IF(INDEX('Annex 4 LDNO charges'!$B$11:$B$201,MATCH($A98,'Annex 4 LDNO charges'!$A$11:$A$201,0))=0,"",INDEX('Annex 4 LDNO charges'!$B$11:$B$201,MATCH($A98,'Annex 4 LDNO charges'!$A$11:$A$201,0))))</f>
        <v>K33</v>
      </c>
      <c r="C98" s="209">
        <f>IFERROR(INDEX('Annex 1 LV, HV and UMS charges'!$C$12:$C$43,MATCH($A98,'Annex 1 LV, HV and UMS charges'!$A$12:$A$43,0)),INDEX('Annex 4 LDNO charges'!$C$11:$C$201,MATCH($A98,'Annex 4 LDNO charges'!$A$11:$A$201,0)))</f>
        <v>0</v>
      </c>
      <c r="D98" s="168"/>
      <c r="E98" s="168"/>
      <c r="F98" s="167">
        <v>0.80732906456180464</v>
      </c>
    </row>
    <row r="99" spans="1:6" ht="27.75" customHeight="1" x14ac:dyDescent="0.2">
      <c r="A99" s="151" t="s">
        <v>572</v>
      </c>
      <c r="B99" s="208" t="str">
        <f>IFERROR(INDEX('Annex 1 LV, HV and UMS charges'!$B$12:$B$43,MATCH($A99,'Annex 1 LV, HV and UMS charges'!$A$12:$A$43,0)),IF(INDEX('Annex 4 LDNO charges'!$B$11:$B$201,MATCH($A99,'Annex 4 LDNO charges'!$A$11:$A$201,0))=0,"",INDEX('Annex 4 LDNO charges'!$B$11:$B$201,MATCH($A99,'Annex 4 LDNO charges'!$A$11:$A$201,0))))</f>
        <v>K34</v>
      </c>
      <c r="C99" s="209">
        <f>IFERROR(INDEX('Annex 1 LV, HV and UMS charges'!$C$12:$C$43,MATCH($A99,'Annex 1 LV, HV and UMS charges'!$A$12:$A$43,0)),INDEX('Annex 4 LDNO charges'!$C$11:$C$201,MATCH($A99,'Annex 4 LDNO charges'!$A$11:$A$201,0)))</f>
        <v>0</v>
      </c>
      <c r="D99" s="168"/>
      <c r="E99" s="168"/>
      <c r="F99" s="167">
        <v>0.80732906456180464</v>
      </c>
    </row>
    <row r="100" spans="1:6" ht="27.75" customHeight="1" x14ac:dyDescent="0.2">
      <c r="A100" s="151" t="s">
        <v>1917</v>
      </c>
      <c r="B100" s="208" t="str">
        <f>IFERROR(INDEX('Annex 1 LV, HV and UMS charges'!$B$12:$B$43,MATCH($A100,'Annex 1 LV, HV and UMS charges'!$A$12:$A$43,0)),IF(INDEX('Annex 4 LDNO charges'!$B$11:$B$201,MATCH($A100,'Annex 4 LDNO charges'!$A$11:$A$201,0))=0,"",INDEX('Annex 4 LDNO charges'!$B$11:$B$201,MATCH($A100,'Annex 4 LDNO charges'!$A$11:$A$201,0))))</f>
        <v>A40</v>
      </c>
      <c r="C100" s="209" t="str">
        <f>IFERROR(INDEX('Annex 1 LV, HV and UMS charges'!$C$12:$C$43,MATCH($A100,'Annex 1 LV, HV and UMS charges'!$A$12:$A$43,0)),INDEX('Annex 4 LDNO charges'!$C$11:$C$201,MATCH($A100,'Annex 4 LDNO charges'!$A$11:$A$201,0)))</f>
        <v>0, 1, 2</v>
      </c>
      <c r="D100" s="167">
        <v>0.18118202447323239</v>
      </c>
      <c r="E100" s="167"/>
      <c r="F100" s="167">
        <v>0.80732906456180464</v>
      </c>
    </row>
    <row r="101" spans="1:6" ht="27.75" customHeight="1" x14ac:dyDescent="0.2">
      <c r="A101" s="151" t="s">
        <v>1919</v>
      </c>
      <c r="B101" s="208" t="str">
        <f>IFERROR(INDEX('Annex 1 LV, HV and UMS charges'!$B$12:$B$43,MATCH($A101,'Annex 1 LV, HV and UMS charges'!$A$12:$A$43,0)),IF(INDEX('Annex 4 LDNO charges'!$B$11:$B$201,MATCH($A101,'Annex 4 LDNO charges'!$A$11:$A$201,0))=0,"",INDEX('Annex 4 LDNO charges'!$B$11:$B$201,MATCH($A101,'Annex 4 LDNO charges'!$A$11:$A$201,0))))</f>
        <v>C40</v>
      </c>
      <c r="C101" s="209" t="str">
        <f>IFERROR(INDEX('Annex 1 LV, HV and UMS charges'!$C$12:$C$43,MATCH($A101,'Annex 1 LV, HV and UMS charges'!$A$12:$A$43,0)),INDEX('Annex 4 LDNO charges'!$C$11:$C$201,MATCH($A101,'Annex 4 LDNO charges'!$A$11:$A$201,0)))</f>
        <v>0, 3, 4, 5-8</v>
      </c>
      <c r="D101" s="168"/>
      <c r="E101" s="168"/>
      <c r="F101" s="167">
        <v>0.80732906456180464</v>
      </c>
    </row>
    <row r="102" spans="1:6" ht="27.75" customHeight="1" x14ac:dyDescent="0.2">
      <c r="A102" s="151" t="s">
        <v>1920</v>
      </c>
      <c r="B102" s="208" t="str">
        <f>IFERROR(INDEX('Annex 1 LV, HV and UMS charges'!$B$12:$B$43,MATCH($A102,'Annex 1 LV, HV and UMS charges'!$A$12:$A$43,0)),IF(INDEX('Annex 4 LDNO charges'!$B$11:$B$201,MATCH($A102,'Annex 4 LDNO charges'!$A$11:$A$201,0))=0,"",INDEX('Annex 4 LDNO charges'!$B$11:$B$201,MATCH($A102,'Annex 4 LDNO charges'!$A$11:$A$201,0))))</f>
        <v>C41</v>
      </c>
      <c r="C102" s="209" t="str">
        <f>IFERROR(INDEX('Annex 1 LV, HV and UMS charges'!$C$12:$C$43,MATCH($A102,'Annex 1 LV, HV and UMS charges'!$A$12:$A$43,0)),INDEX('Annex 4 LDNO charges'!$C$11:$C$201,MATCH($A102,'Annex 4 LDNO charges'!$A$11:$A$201,0)))</f>
        <v>0, 3, 4, 5-8</v>
      </c>
      <c r="D102" s="168"/>
      <c r="E102" s="168"/>
      <c r="F102" s="167">
        <v>0.80732906456180464</v>
      </c>
    </row>
    <row r="103" spans="1:6" ht="27.75" customHeight="1" x14ac:dyDescent="0.2">
      <c r="A103" s="151" t="s">
        <v>1921</v>
      </c>
      <c r="B103" s="208" t="str">
        <f>IFERROR(INDEX('Annex 1 LV, HV and UMS charges'!$B$12:$B$43,MATCH($A103,'Annex 1 LV, HV and UMS charges'!$A$12:$A$43,0)),IF(INDEX('Annex 4 LDNO charges'!$B$11:$B$201,MATCH($A103,'Annex 4 LDNO charges'!$A$11:$A$201,0))=0,"",INDEX('Annex 4 LDNO charges'!$B$11:$B$201,MATCH($A103,'Annex 4 LDNO charges'!$A$11:$A$201,0))))</f>
        <v>C42</v>
      </c>
      <c r="C103" s="209" t="str">
        <f>IFERROR(INDEX('Annex 1 LV, HV and UMS charges'!$C$12:$C$43,MATCH($A103,'Annex 1 LV, HV and UMS charges'!$A$12:$A$43,0)),INDEX('Annex 4 LDNO charges'!$C$11:$C$201,MATCH($A103,'Annex 4 LDNO charges'!$A$11:$A$201,0)))</f>
        <v>0, 3, 4, 5-8</v>
      </c>
      <c r="D103" s="168"/>
      <c r="E103" s="168"/>
      <c r="F103" s="167">
        <v>0.80732906456180464</v>
      </c>
    </row>
    <row r="104" spans="1:6" ht="27.75" customHeight="1" x14ac:dyDescent="0.2">
      <c r="A104" s="151" t="s">
        <v>1922</v>
      </c>
      <c r="B104" s="208" t="str">
        <f>IFERROR(INDEX('Annex 1 LV, HV and UMS charges'!$B$12:$B$43,MATCH($A104,'Annex 1 LV, HV and UMS charges'!$A$12:$A$43,0)),IF(INDEX('Annex 4 LDNO charges'!$B$11:$B$201,MATCH($A104,'Annex 4 LDNO charges'!$A$11:$A$201,0))=0,"",INDEX('Annex 4 LDNO charges'!$B$11:$B$201,MATCH($A104,'Annex 4 LDNO charges'!$A$11:$A$201,0))))</f>
        <v>C43</v>
      </c>
      <c r="C104" s="209" t="str">
        <f>IFERROR(INDEX('Annex 1 LV, HV and UMS charges'!$C$12:$C$43,MATCH($A104,'Annex 1 LV, HV and UMS charges'!$A$12:$A$43,0)),INDEX('Annex 4 LDNO charges'!$C$11:$C$201,MATCH($A104,'Annex 4 LDNO charges'!$A$11:$A$201,0)))</f>
        <v>0, 3, 4, 5-8</v>
      </c>
      <c r="D104" s="168"/>
      <c r="E104" s="168"/>
      <c r="F104" s="167">
        <v>0.80732906456180464</v>
      </c>
    </row>
    <row r="105" spans="1:6" ht="27.75" customHeight="1" x14ac:dyDescent="0.2">
      <c r="A105" s="151" t="s">
        <v>1923</v>
      </c>
      <c r="B105" s="208" t="str">
        <f>IFERROR(INDEX('Annex 1 LV, HV and UMS charges'!$B$12:$B$43,MATCH($A105,'Annex 1 LV, HV and UMS charges'!$A$12:$A$43,0)),IF(INDEX('Annex 4 LDNO charges'!$B$11:$B$201,MATCH($A105,'Annex 4 LDNO charges'!$A$11:$A$201,0))=0,"",INDEX('Annex 4 LDNO charges'!$B$11:$B$201,MATCH($A105,'Annex 4 LDNO charges'!$A$11:$A$201,0))))</f>
        <v>C44</v>
      </c>
      <c r="C105" s="209" t="str">
        <f>IFERROR(INDEX('Annex 1 LV, HV and UMS charges'!$C$12:$C$43,MATCH($A105,'Annex 1 LV, HV and UMS charges'!$A$12:$A$43,0)),INDEX('Annex 4 LDNO charges'!$C$11:$C$201,MATCH($A105,'Annex 4 LDNO charges'!$A$11:$A$201,0)))</f>
        <v>0, 3, 4, 5-8</v>
      </c>
      <c r="D105" s="168"/>
      <c r="E105" s="168"/>
      <c r="F105" s="167">
        <v>0.80732906456180464</v>
      </c>
    </row>
    <row r="106" spans="1:6" ht="27.75" customHeight="1" x14ac:dyDescent="0.2">
      <c r="A106" s="151" t="s">
        <v>543</v>
      </c>
      <c r="B106" s="208" t="str">
        <f>IFERROR(INDEX('Annex 1 LV, HV and UMS charges'!$B$12:$B$43,MATCH($A106,'Annex 1 LV, HV and UMS charges'!$A$12:$A$43,0)),IF(INDEX('Annex 4 LDNO charges'!$B$11:$B$201,MATCH($A106,'Annex 4 LDNO charges'!$A$11:$A$201,0))=0,"",INDEX('Annex 4 LDNO charges'!$B$11:$B$201,MATCH($A106,'Annex 4 LDNO charges'!$A$11:$A$201,0))))</f>
        <v>E40</v>
      </c>
      <c r="C106" s="209">
        <f>IFERROR(INDEX('Annex 1 LV, HV and UMS charges'!$C$12:$C$43,MATCH($A106,'Annex 1 LV, HV and UMS charges'!$A$12:$A$43,0)),INDEX('Annex 4 LDNO charges'!$C$11:$C$201,MATCH($A106,'Annex 4 LDNO charges'!$A$11:$A$201,0)))</f>
        <v>0</v>
      </c>
      <c r="D106" s="168"/>
      <c r="E106" s="168"/>
      <c r="F106" s="167">
        <v>0.80732906456180464</v>
      </c>
    </row>
    <row r="107" spans="1:6" ht="27.75" customHeight="1" x14ac:dyDescent="0.2">
      <c r="A107" s="151" t="s">
        <v>544</v>
      </c>
      <c r="B107" s="208" t="str">
        <f>IFERROR(INDEX('Annex 1 LV, HV and UMS charges'!$B$12:$B$43,MATCH($A107,'Annex 1 LV, HV and UMS charges'!$A$12:$A$43,0)),IF(INDEX('Annex 4 LDNO charges'!$B$11:$B$201,MATCH($A107,'Annex 4 LDNO charges'!$A$11:$A$201,0))=0,"",INDEX('Annex 4 LDNO charges'!$B$11:$B$201,MATCH($A107,'Annex 4 LDNO charges'!$A$11:$A$201,0))))</f>
        <v>E41</v>
      </c>
      <c r="C107" s="209">
        <f>IFERROR(INDEX('Annex 1 LV, HV and UMS charges'!$C$12:$C$43,MATCH($A107,'Annex 1 LV, HV and UMS charges'!$A$12:$A$43,0)),INDEX('Annex 4 LDNO charges'!$C$11:$C$201,MATCH($A107,'Annex 4 LDNO charges'!$A$11:$A$201,0)))</f>
        <v>0</v>
      </c>
      <c r="D107" s="168"/>
      <c r="E107" s="168"/>
      <c r="F107" s="167">
        <v>0.80732906456180464</v>
      </c>
    </row>
    <row r="108" spans="1:6" ht="27.75" customHeight="1" x14ac:dyDescent="0.2">
      <c r="A108" s="151" t="s">
        <v>545</v>
      </c>
      <c r="B108" s="208" t="str">
        <f>IFERROR(INDEX('Annex 1 LV, HV and UMS charges'!$B$12:$B$43,MATCH($A108,'Annex 1 LV, HV and UMS charges'!$A$12:$A$43,0)),IF(INDEX('Annex 4 LDNO charges'!$B$11:$B$201,MATCH($A108,'Annex 4 LDNO charges'!$A$11:$A$201,0))=0,"",INDEX('Annex 4 LDNO charges'!$B$11:$B$201,MATCH($A108,'Annex 4 LDNO charges'!$A$11:$A$201,0))))</f>
        <v>E42</v>
      </c>
      <c r="C108" s="209">
        <f>IFERROR(INDEX('Annex 1 LV, HV and UMS charges'!$C$12:$C$43,MATCH($A108,'Annex 1 LV, HV and UMS charges'!$A$12:$A$43,0)),INDEX('Annex 4 LDNO charges'!$C$11:$C$201,MATCH($A108,'Annex 4 LDNO charges'!$A$11:$A$201,0)))</f>
        <v>0</v>
      </c>
      <c r="D108" s="168"/>
      <c r="E108" s="168"/>
      <c r="F108" s="167">
        <v>0.80732906456180464</v>
      </c>
    </row>
    <row r="109" spans="1:6" ht="27.75" customHeight="1" x14ac:dyDescent="0.2">
      <c r="A109" s="151" t="s">
        <v>546</v>
      </c>
      <c r="B109" s="208" t="str">
        <f>IFERROR(INDEX('Annex 1 LV, HV and UMS charges'!$B$12:$B$43,MATCH($A109,'Annex 1 LV, HV and UMS charges'!$A$12:$A$43,0)),IF(INDEX('Annex 4 LDNO charges'!$B$11:$B$201,MATCH($A109,'Annex 4 LDNO charges'!$A$11:$A$201,0))=0,"",INDEX('Annex 4 LDNO charges'!$B$11:$B$201,MATCH($A109,'Annex 4 LDNO charges'!$A$11:$A$201,0))))</f>
        <v>E43</v>
      </c>
      <c r="C109" s="209">
        <f>IFERROR(INDEX('Annex 1 LV, HV and UMS charges'!$C$12:$C$43,MATCH($A109,'Annex 1 LV, HV and UMS charges'!$A$12:$A$43,0)),INDEX('Annex 4 LDNO charges'!$C$11:$C$201,MATCH($A109,'Annex 4 LDNO charges'!$A$11:$A$201,0)))</f>
        <v>0</v>
      </c>
      <c r="D109" s="168"/>
      <c r="E109" s="168"/>
      <c r="F109" s="167">
        <v>0.80732906456180464</v>
      </c>
    </row>
    <row r="110" spans="1:6" ht="27.75" customHeight="1" x14ac:dyDescent="0.2">
      <c r="A110" s="151" t="s">
        <v>547</v>
      </c>
      <c r="B110" s="208" t="str">
        <f>IFERROR(INDEX('Annex 1 LV, HV and UMS charges'!$B$12:$B$43,MATCH($A110,'Annex 1 LV, HV and UMS charges'!$A$12:$A$43,0)),IF(INDEX('Annex 4 LDNO charges'!$B$11:$B$201,MATCH($A110,'Annex 4 LDNO charges'!$A$11:$A$201,0))=0,"",INDEX('Annex 4 LDNO charges'!$B$11:$B$201,MATCH($A110,'Annex 4 LDNO charges'!$A$11:$A$201,0))))</f>
        <v>E44</v>
      </c>
      <c r="C110" s="209">
        <f>IFERROR(INDEX('Annex 1 LV, HV and UMS charges'!$C$12:$C$43,MATCH($A110,'Annex 1 LV, HV and UMS charges'!$A$12:$A$43,0)),INDEX('Annex 4 LDNO charges'!$C$11:$C$201,MATCH($A110,'Annex 4 LDNO charges'!$A$11:$A$201,0)))</f>
        <v>0</v>
      </c>
      <c r="D110" s="168"/>
      <c r="E110" s="168"/>
      <c r="F110" s="167">
        <v>0.80732906456180464</v>
      </c>
    </row>
    <row r="111" spans="1:6" ht="27.75" customHeight="1" x14ac:dyDescent="0.2">
      <c r="A111" s="151" t="s">
        <v>548</v>
      </c>
      <c r="B111" s="208" t="str">
        <f>IFERROR(INDEX('Annex 1 LV, HV and UMS charges'!$B$12:$B$43,MATCH($A111,'Annex 1 LV, HV and UMS charges'!$A$12:$A$43,0)),IF(INDEX('Annex 4 LDNO charges'!$B$11:$B$201,MATCH($A111,'Annex 4 LDNO charges'!$A$11:$A$201,0))=0,"",INDEX('Annex 4 LDNO charges'!$B$11:$B$201,MATCH($A111,'Annex 4 LDNO charges'!$A$11:$A$201,0))))</f>
        <v>J40</v>
      </c>
      <c r="C111" s="209">
        <f>IFERROR(INDEX('Annex 1 LV, HV and UMS charges'!$C$12:$C$43,MATCH($A111,'Annex 1 LV, HV and UMS charges'!$A$12:$A$43,0)),INDEX('Annex 4 LDNO charges'!$C$11:$C$201,MATCH($A111,'Annex 4 LDNO charges'!$A$11:$A$201,0)))</f>
        <v>0</v>
      </c>
      <c r="D111" s="168"/>
      <c r="E111" s="168"/>
      <c r="F111" s="167">
        <v>0.80732906456180464</v>
      </c>
    </row>
    <row r="112" spans="1:6" ht="27.75" customHeight="1" x14ac:dyDescent="0.2">
      <c r="A112" s="151" t="s">
        <v>549</v>
      </c>
      <c r="B112" s="208" t="str">
        <f>IFERROR(INDEX('Annex 1 LV, HV and UMS charges'!$B$12:$B$43,MATCH($A112,'Annex 1 LV, HV and UMS charges'!$A$12:$A$43,0)),IF(INDEX('Annex 4 LDNO charges'!$B$11:$B$201,MATCH($A112,'Annex 4 LDNO charges'!$A$11:$A$201,0))=0,"",INDEX('Annex 4 LDNO charges'!$B$11:$B$201,MATCH($A112,'Annex 4 LDNO charges'!$A$11:$A$201,0))))</f>
        <v>J41</v>
      </c>
      <c r="C112" s="209">
        <f>IFERROR(INDEX('Annex 1 LV, HV and UMS charges'!$C$12:$C$43,MATCH($A112,'Annex 1 LV, HV and UMS charges'!$A$12:$A$43,0)),INDEX('Annex 4 LDNO charges'!$C$11:$C$201,MATCH($A112,'Annex 4 LDNO charges'!$A$11:$A$201,0)))</f>
        <v>0</v>
      </c>
      <c r="D112" s="168"/>
      <c r="E112" s="168"/>
      <c r="F112" s="167">
        <v>0.80732906456180464</v>
      </c>
    </row>
    <row r="113" spans="1:6" ht="27.75" customHeight="1" x14ac:dyDescent="0.2">
      <c r="A113" s="151" t="s">
        <v>550</v>
      </c>
      <c r="B113" s="208" t="str">
        <f>IFERROR(INDEX('Annex 1 LV, HV and UMS charges'!$B$12:$B$43,MATCH($A113,'Annex 1 LV, HV and UMS charges'!$A$12:$A$43,0)),IF(INDEX('Annex 4 LDNO charges'!$B$11:$B$201,MATCH($A113,'Annex 4 LDNO charges'!$A$11:$A$201,0))=0,"",INDEX('Annex 4 LDNO charges'!$B$11:$B$201,MATCH($A113,'Annex 4 LDNO charges'!$A$11:$A$201,0))))</f>
        <v>J42</v>
      </c>
      <c r="C113" s="209">
        <f>IFERROR(INDEX('Annex 1 LV, HV and UMS charges'!$C$12:$C$43,MATCH($A113,'Annex 1 LV, HV and UMS charges'!$A$12:$A$43,0)),INDEX('Annex 4 LDNO charges'!$C$11:$C$201,MATCH($A113,'Annex 4 LDNO charges'!$A$11:$A$201,0)))</f>
        <v>0</v>
      </c>
      <c r="D113" s="168"/>
      <c r="E113" s="168"/>
      <c r="F113" s="167">
        <v>0.80732906456180464</v>
      </c>
    </row>
    <row r="114" spans="1:6" ht="27.75" customHeight="1" x14ac:dyDescent="0.2">
      <c r="A114" s="151" t="s">
        <v>551</v>
      </c>
      <c r="B114" s="208" t="str">
        <f>IFERROR(INDEX('Annex 1 LV, HV and UMS charges'!$B$12:$B$43,MATCH($A114,'Annex 1 LV, HV and UMS charges'!$A$12:$A$43,0)),IF(INDEX('Annex 4 LDNO charges'!$B$11:$B$201,MATCH($A114,'Annex 4 LDNO charges'!$A$11:$A$201,0))=0,"",INDEX('Annex 4 LDNO charges'!$B$11:$B$201,MATCH($A114,'Annex 4 LDNO charges'!$A$11:$A$201,0))))</f>
        <v>J43</v>
      </c>
      <c r="C114" s="209">
        <f>IFERROR(INDEX('Annex 1 LV, HV and UMS charges'!$C$12:$C$43,MATCH($A114,'Annex 1 LV, HV and UMS charges'!$A$12:$A$43,0)),INDEX('Annex 4 LDNO charges'!$C$11:$C$201,MATCH($A114,'Annex 4 LDNO charges'!$A$11:$A$201,0)))</f>
        <v>0</v>
      </c>
      <c r="D114" s="168"/>
      <c r="E114" s="168"/>
      <c r="F114" s="167">
        <v>0.80732906456180464</v>
      </c>
    </row>
    <row r="115" spans="1:6" ht="27.75" customHeight="1" x14ac:dyDescent="0.2">
      <c r="A115" s="151" t="s">
        <v>552</v>
      </c>
      <c r="B115" s="208" t="str">
        <f>IFERROR(INDEX('Annex 1 LV, HV and UMS charges'!$B$12:$B$43,MATCH($A115,'Annex 1 LV, HV and UMS charges'!$A$12:$A$43,0)),IF(INDEX('Annex 4 LDNO charges'!$B$11:$B$201,MATCH($A115,'Annex 4 LDNO charges'!$A$11:$A$201,0))=0,"",INDEX('Annex 4 LDNO charges'!$B$11:$B$201,MATCH($A115,'Annex 4 LDNO charges'!$A$11:$A$201,0))))</f>
        <v>J44</v>
      </c>
      <c r="C115" s="209">
        <f>IFERROR(INDEX('Annex 1 LV, HV and UMS charges'!$C$12:$C$43,MATCH($A115,'Annex 1 LV, HV and UMS charges'!$A$12:$A$43,0)),INDEX('Annex 4 LDNO charges'!$C$11:$C$201,MATCH($A115,'Annex 4 LDNO charges'!$A$11:$A$201,0)))</f>
        <v>0</v>
      </c>
      <c r="D115" s="168"/>
      <c r="E115" s="168"/>
      <c r="F115" s="167">
        <v>0.80732906456180464</v>
      </c>
    </row>
    <row r="116" spans="1:6" ht="27.75" customHeight="1" x14ac:dyDescent="0.2">
      <c r="A116" s="151" t="s">
        <v>553</v>
      </c>
      <c r="B116" s="208" t="str">
        <f>IFERROR(INDEX('Annex 1 LV, HV and UMS charges'!$B$12:$B$43,MATCH($A116,'Annex 1 LV, HV and UMS charges'!$A$12:$A$43,0)),IF(INDEX('Annex 4 LDNO charges'!$B$11:$B$201,MATCH($A116,'Annex 4 LDNO charges'!$A$11:$A$201,0))=0,"",INDEX('Annex 4 LDNO charges'!$B$11:$B$201,MATCH($A116,'Annex 4 LDNO charges'!$A$11:$A$201,0))))</f>
        <v>K40</v>
      </c>
      <c r="C116" s="209">
        <f>IFERROR(INDEX('Annex 1 LV, HV and UMS charges'!$C$12:$C$43,MATCH($A116,'Annex 1 LV, HV and UMS charges'!$A$12:$A$43,0)),INDEX('Annex 4 LDNO charges'!$C$11:$C$201,MATCH($A116,'Annex 4 LDNO charges'!$A$11:$A$201,0)))</f>
        <v>0</v>
      </c>
      <c r="D116" s="168"/>
      <c r="E116" s="168"/>
      <c r="F116" s="167">
        <v>0.80732906456180464</v>
      </c>
    </row>
    <row r="117" spans="1:6" ht="27.75" customHeight="1" x14ac:dyDescent="0.2">
      <c r="A117" s="151" t="s">
        <v>554</v>
      </c>
      <c r="B117" s="208" t="str">
        <f>IFERROR(INDEX('Annex 1 LV, HV and UMS charges'!$B$12:$B$43,MATCH($A117,'Annex 1 LV, HV and UMS charges'!$A$12:$A$43,0)),IF(INDEX('Annex 4 LDNO charges'!$B$11:$B$201,MATCH($A117,'Annex 4 LDNO charges'!$A$11:$A$201,0))=0,"",INDEX('Annex 4 LDNO charges'!$B$11:$B$201,MATCH($A117,'Annex 4 LDNO charges'!$A$11:$A$201,0))))</f>
        <v>K41</v>
      </c>
      <c r="C117" s="209">
        <f>IFERROR(INDEX('Annex 1 LV, HV and UMS charges'!$C$12:$C$43,MATCH($A117,'Annex 1 LV, HV and UMS charges'!$A$12:$A$43,0)),INDEX('Annex 4 LDNO charges'!$C$11:$C$201,MATCH($A117,'Annex 4 LDNO charges'!$A$11:$A$201,0)))</f>
        <v>0</v>
      </c>
      <c r="D117" s="168"/>
      <c r="E117" s="168"/>
      <c r="F117" s="167">
        <v>0.80732906456180464</v>
      </c>
    </row>
    <row r="118" spans="1:6" ht="27.75" customHeight="1" x14ac:dyDescent="0.2">
      <c r="A118" s="151" t="s">
        <v>555</v>
      </c>
      <c r="B118" s="208" t="str">
        <f>IFERROR(INDEX('Annex 1 LV, HV and UMS charges'!$B$12:$B$43,MATCH($A118,'Annex 1 LV, HV and UMS charges'!$A$12:$A$43,0)),IF(INDEX('Annex 4 LDNO charges'!$B$11:$B$201,MATCH($A118,'Annex 4 LDNO charges'!$A$11:$A$201,0))=0,"",INDEX('Annex 4 LDNO charges'!$B$11:$B$201,MATCH($A118,'Annex 4 LDNO charges'!$A$11:$A$201,0))))</f>
        <v>K42</v>
      </c>
      <c r="C118" s="209">
        <f>IFERROR(INDEX('Annex 1 LV, HV and UMS charges'!$C$12:$C$43,MATCH($A118,'Annex 1 LV, HV and UMS charges'!$A$12:$A$43,0)),INDEX('Annex 4 LDNO charges'!$C$11:$C$201,MATCH($A118,'Annex 4 LDNO charges'!$A$11:$A$201,0)))</f>
        <v>0</v>
      </c>
      <c r="D118" s="168"/>
      <c r="E118" s="168"/>
      <c r="F118" s="167">
        <v>0.80732906456180464</v>
      </c>
    </row>
    <row r="119" spans="1:6" ht="27.75" customHeight="1" x14ac:dyDescent="0.2">
      <c r="A119" s="151" t="s">
        <v>556</v>
      </c>
      <c r="B119" s="208" t="str">
        <f>IFERROR(INDEX('Annex 1 LV, HV and UMS charges'!$B$12:$B$43,MATCH($A119,'Annex 1 LV, HV and UMS charges'!$A$12:$A$43,0)),IF(INDEX('Annex 4 LDNO charges'!$B$11:$B$201,MATCH($A119,'Annex 4 LDNO charges'!$A$11:$A$201,0))=0,"",INDEX('Annex 4 LDNO charges'!$B$11:$B$201,MATCH($A119,'Annex 4 LDNO charges'!$A$11:$A$201,0))))</f>
        <v>K43</v>
      </c>
      <c r="C119" s="209">
        <f>IFERROR(INDEX('Annex 1 LV, HV and UMS charges'!$C$12:$C$43,MATCH($A119,'Annex 1 LV, HV and UMS charges'!$A$12:$A$43,0)),INDEX('Annex 4 LDNO charges'!$C$11:$C$201,MATCH($A119,'Annex 4 LDNO charges'!$A$11:$A$201,0)))</f>
        <v>0</v>
      </c>
      <c r="D119" s="168"/>
      <c r="E119" s="168"/>
      <c r="F119" s="167">
        <v>0.80732906456180464</v>
      </c>
    </row>
    <row r="120" spans="1:6" ht="27.75" customHeight="1" x14ac:dyDescent="0.2">
      <c r="A120" s="151" t="s">
        <v>557</v>
      </c>
      <c r="B120" s="208" t="str">
        <f>IFERROR(INDEX('Annex 1 LV, HV and UMS charges'!$B$12:$B$43,MATCH($A120,'Annex 1 LV, HV and UMS charges'!$A$12:$A$43,0)),IF(INDEX('Annex 4 LDNO charges'!$B$11:$B$201,MATCH($A120,'Annex 4 LDNO charges'!$A$11:$A$201,0))=0,"",INDEX('Annex 4 LDNO charges'!$B$11:$B$201,MATCH($A120,'Annex 4 LDNO charges'!$A$11:$A$201,0))))</f>
        <v>K44</v>
      </c>
      <c r="C120" s="209">
        <f>IFERROR(INDEX('Annex 1 LV, HV and UMS charges'!$C$12:$C$43,MATCH($A120,'Annex 1 LV, HV and UMS charges'!$A$12:$A$43,0)),INDEX('Annex 4 LDNO charges'!$C$11:$C$201,MATCH($A120,'Annex 4 LDNO charges'!$A$11:$A$201,0)))</f>
        <v>0</v>
      </c>
      <c r="D120" s="168"/>
      <c r="E120" s="168"/>
      <c r="F120" s="167">
        <v>0.80732906456180464</v>
      </c>
    </row>
    <row r="121" spans="1:6" ht="27.75" customHeight="1" x14ac:dyDescent="0.2">
      <c r="A121" s="151" t="s">
        <v>1924</v>
      </c>
      <c r="B121" s="208" t="str">
        <f>IFERROR(INDEX('Annex 1 LV, HV and UMS charges'!$B$12:$B$43,MATCH($A121,'Annex 1 LV, HV and UMS charges'!$A$12:$A$43,0)),IF(INDEX('Annex 4 LDNO charges'!$B$11:$B$201,MATCH($A121,'Annex 4 LDNO charges'!$A$11:$A$201,0))=0,"",INDEX('Annex 4 LDNO charges'!$B$11:$B$201,MATCH($A121,'Annex 4 LDNO charges'!$A$11:$A$201,0))))</f>
        <v>A50</v>
      </c>
      <c r="C121" s="209" t="str">
        <f>IFERROR(INDEX('Annex 1 LV, HV and UMS charges'!$C$12:$C$43,MATCH($A121,'Annex 1 LV, HV and UMS charges'!$A$12:$A$43,0)),INDEX('Annex 4 LDNO charges'!$C$11:$C$201,MATCH($A121,'Annex 4 LDNO charges'!$A$11:$A$201,0)))</f>
        <v>0, 1, 2</v>
      </c>
      <c r="D121" s="167">
        <v>0.18118202447323239</v>
      </c>
      <c r="E121" s="167"/>
      <c r="F121" s="167">
        <v>0.80732906456180464</v>
      </c>
    </row>
    <row r="122" spans="1:6" ht="27.75" customHeight="1" x14ac:dyDescent="0.2">
      <c r="A122" s="151" t="s">
        <v>1926</v>
      </c>
      <c r="B122" s="208" t="str">
        <f>IFERROR(INDEX('Annex 1 LV, HV and UMS charges'!$B$12:$B$43,MATCH($A122,'Annex 1 LV, HV and UMS charges'!$A$12:$A$43,0)),IF(INDEX('Annex 4 LDNO charges'!$B$11:$B$201,MATCH($A122,'Annex 4 LDNO charges'!$A$11:$A$201,0))=0,"",INDEX('Annex 4 LDNO charges'!$B$11:$B$201,MATCH($A122,'Annex 4 LDNO charges'!$A$11:$A$201,0))))</f>
        <v>C50</v>
      </c>
      <c r="C122" s="209" t="str">
        <f>IFERROR(INDEX('Annex 1 LV, HV and UMS charges'!$C$12:$C$43,MATCH($A122,'Annex 1 LV, HV and UMS charges'!$A$12:$A$43,0)),INDEX('Annex 4 LDNO charges'!$C$11:$C$201,MATCH($A122,'Annex 4 LDNO charges'!$A$11:$A$201,0)))</f>
        <v>0, 3, 4, 5-8</v>
      </c>
      <c r="D122" s="168"/>
      <c r="E122" s="168"/>
      <c r="F122" s="167">
        <v>0.80732906456180464</v>
      </c>
    </row>
    <row r="123" spans="1:6" ht="27.75" customHeight="1" x14ac:dyDescent="0.2">
      <c r="A123" s="151" t="s">
        <v>1927</v>
      </c>
      <c r="B123" s="208" t="str">
        <f>IFERROR(INDEX('Annex 1 LV, HV and UMS charges'!$B$12:$B$43,MATCH($A123,'Annex 1 LV, HV and UMS charges'!$A$12:$A$43,0)),IF(INDEX('Annex 4 LDNO charges'!$B$11:$B$201,MATCH($A123,'Annex 4 LDNO charges'!$A$11:$A$201,0))=0,"",INDEX('Annex 4 LDNO charges'!$B$11:$B$201,MATCH($A123,'Annex 4 LDNO charges'!$A$11:$A$201,0))))</f>
        <v>C51</v>
      </c>
      <c r="C123" s="209" t="str">
        <f>IFERROR(INDEX('Annex 1 LV, HV and UMS charges'!$C$12:$C$43,MATCH($A123,'Annex 1 LV, HV and UMS charges'!$A$12:$A$43,0)),INDEX('Annex 4 LDNO charges'!$C$11:$C$201,MATCH($A123,'Annex 4 LDNO charges'!$A$11:$A$201,0)))</f>
        <v>0, 3, 4, 5-8</v>
      </c>
      <c r="D123" s="168"/>
      <c r="E123" s="168"/>
      <c r="F123" s="167">
        <v>0.80732906456180464</v>
      </c>
    </row>
    <row r="124" spans="1:6" ht="27.75" customHeight="1" x14ac:dyDescent="0.2">
      <c r="A124" s="151" t="s">
        <v>1928</v>
      </c>
      <c r="B124" s="208" t="str">
        <f>IFERROR(INDEX('Annex 1 LV, HV and UMS charges'!$B$12:$B$43,MATCH($A124,'Annex 1 LV, HV and UMS charges'!$A$12:$A$43,0)),IF(INDEX('Annex 4 LDNO charges'!$B$11:$B$201,MATCH($A124,'Annex 4 LDNO charges'!$A$11:$A$201,0))=0,"",INDEX('Annex 4 LDNO charges'!$B$11:$B$201,MATCH($A124,'Annex 4 LDNO charges'!$A$11:$A$201,0))))</f>
        <v>C52</v>
      </c>
      <c r="C124" s="209" t="str">
        <f>IFERROR(INDEX('Annex 1 LV, HV and UMS charges'!$C$12:$C$43,MATCH($A124,'Annex 1 LV, HV and UMS charges'!$A$12:$A$43,0)),INDEX('Annex 4 LDNO charges'!$C$11:$C$201,MATCH($A124,'Annex 4 LDNO charges'!$A$11:$A$201,0)))</f>
        <v>0, 3, 4, 5-8</v>
      </c>
      <c r="D124" s="168"/>
      <c r="E124" s="168"/>
      <c r="F124" s="167">
        <v>0.80732906456180464</v>
      </c>
    </row>
    <row r="125" spans="1:6" ht="27.75" customHeight="1" x14ac:dyDescent="0.2">
      <c r="A125" s="151" t="s">
        <v>1929</v>
      </c>
      <c r="B125" s="208" t="str">
        <f>IFERROR(INDEX('Annex 1 LV, HV and UMS charges'!$B$12:$B$43,MATCH($A125,'Annex 1 LV, HV and UMS charges'!$A$12:$A$43,0)),IF(INDEX('Annex 4 LDNO charges'!$B$11:$B$201,MATCH($A125,'Annex 4 LDNO charges'!$A$11:$A$201,0))=0,"",INDEX('Annex 4 LDNO charges'!$B$11:$B$201,MATCH($A125,'Annex 4 LDNO charges'!$A$11:$A$201,0))))</f>
        <v>C53</v>
      </c>
      <c r="C125" s="209" t="str">
        <f>IFERROR(INDEX('Annex 1 LV, HV and UMS charges'!$C$12:$C$43,MATCH($A125,'Annex 1 LV, HV and UMS charges'!$A$12:$A$43,0)),INDEX('Annex 4 LDNO charges'!$C$11:$C$201,MATCH($A125,'Annex 4 LDNO charges'!$A$11:$A$201,0)))</f>
        <v>0, 3, 4, 5-8</v>
      </c>
      <c r="D125" s="168"/>
      <c r="E125" s="168"/>
      <c r="F125" s="167">
        <v>0.80732906456180464</v>
      </c>
    </row>
    <row r="126" spans="1:6" ht="27.75" customHeight="1" x14ac:dyDescent="0.2">
      <c r="A126" s="151" t="s">
        <v>1930</v>
      </c>
      <c r="B126" s="208" t="str">
        <f>IFERROR(INDEX('Annex 1 LV, HV and UMS charges'!$B$12:$B$43,MATCH($A126,'Annex 1 LV, HV and UMS charges'!$A$12:$A$43,0)),IF(INDEX('Annex 4 LDNO charges'!$B$11:$B$201,MATCH($A126,'Annex 4 LDNO charges'!$A$11:$A$201,0))=0,"",INDEX('Annex 4 LDNO charges'!$B$11:$B$201,MATCH($A126,'Annex 4 LDNO charges'!$A$11:$A$201,0))))</f>
        <v>C54</v>
      </c>
      <c r="C126" s="209" t="str">
        <f>IFERROR(INDEX('Annex 1 LV, HV and UMS charges'!$C$12:$C$43,MATCH($A126,'Annex 1 LV, HV and UMS charges'!$A$12:$A$43,0)),INDEX('Annex 4 LDNO charges'!$C$11:$C$201,MATCH($A126,'Annex 4 LDNO charges'!$A$11:$A$201,0)))</f>
        <v>0, 3, 4, 5-8</v>
      </c>
      <c r="D126" s="168"/>
      <c r="E126" s="168"/>
      <c r="F126" s="167">
        <v>0.80732906456180464</v>
      </c>
    </row>
    <row r="127" spans="1:6" ht="27.75" customHeight="1" x14ac:dyDescent="0.2">
      <c r="A127" s="151" t="s">
        <v>528</v>
      </c>
      <c r="B127" s="208" t="str">
        <f>IFERROR(INDEX('Annex 1 LV, HV and UMS charges'!$B$12:$B$43,MATCH($A127,'Annex 1 LV, HV and UMS charges'!$A$12:$A$43,0)),IF(INDEX('Annex 4 LDNO charges'!$B$11:$B$201,MATCH($A127,'Annex 4 LDNO charges'!$A$11:$A$201,0))=0,"",INDEX('Annex 4 LDNO charges'!$B$11:$B$201,MATCH($A127,'Annex 4 LDNO charges'!$A$11:$A$201,0))))</f>
        <v>E50</v>
      </c>
      <c r="C127" s="209">
        <f>IFERROR(INDEX('Annex 1 LV, HV and UMS charges'!$C$12:$C$43,MATCH($A127,'Annex 1 LV, HV and UMS charges'!$A$12:$A$43,0)),INDEX('Annex 4 LDNO charges'!$C$11:$C$201,MATCH($A127,'Annex 4 LDNO charges'!$A$11:$A$201,0)))</f>
        <v>0</v>
      </c>
      <c r="D127" s="168"/>
      <c r="E127" s="168"/>
      <c r="F127" s="167">
        <v>0.80732906456180464</v>
      </c>
    </row>
    <row r="128" spans="1:6" ht="27.75" customHeight="1" x14ac:dyDescent="0.2">
      <c r="A128" s="151" t="s">
        <v>529</v>
      </c>
      <c r="B128" s="208" t="str">
        <f>IFERROR(INDEX('Annex 1 LV, HV and UMS charges'!$B$12:$B$43,MATCH($A128,'Annex 1 LV, HV and UMS charges'!$A$12:$A$43,0)),IF(INDEX('Annex 4 LDNO charges'!$B$11:$B$201,MATCH($A128,'Annex 4 LDNO charges'!$A$11:$A$201,0))=0,"",INDEX('Annex 4 LDNO charges'!$B$11:$B$201,MATCH($A128,'Annex 4 LDNO charges'!$A$11:$A$201,0))))</f>
        <v>E51</v>
      </c>
      <c r="C128" s="209">
        <f>IFERROR(INDEX('Annex 1 LV, HV and UMS charges'!$C$12:$C$43,MATCH($A128,'Annex 1 LV, HV and UMS charges'!$A$12:$A$43,0)),INDEX('Annex 4 LDNO charges'!$C$11:$C$201,MATCH($A128,'Annex 4 LDNO charges'!$A$11:$A$201,0)))</f>
        <v>0</v>
      </c>
      <c r="D128" s="168"/>
      <c r="E128" s="168"/>
      <c r="F128" s="167">
        <v>0.80732906456180464</v>
      </c>
    </row>
    <row r="129" spans="1:6" ht="27.75" customHeight="1" x14ac:dyDescent="0.2">
      <c r="A129" s="151" t="s">
        <v>530</v>
      </c>
      <c r="B129" s="208" t="str">
        <f>IFERROR(INDEX('Annex 1 LV, HV and UMS charges'!$B$12:$B$43,MATCH($A129,'Annex 1 LV, HV and UMS charges'!$A$12:$A$43,0)),IF(INDEX('Annex 4 LDNO charges'!$B$11:$B$201,MATCH($A129,'Annex 4 LDNO charges'!$A$11:$A$201,0))=0,"",INDEX('Annex 4 LDNO charges'!$B$11:$B$201,MATCH($A129,'Annex 4 LDNO charges'!$A$11:$A$201,0))))</f>
        <v>E52</v>
      </c>
      <c r="C129" s="209">
        <f>IFERROR(INDEX('Annex 1 LV, HV and UMS charges'!$C$12:$C$43,MATCH($A129,'Annex 1 LV, HV and UMS charges'!$A$12:$A$43,0)),INDEX('Annex 4 LDNO charges'!$C$11:$C$201,MATCH($A129,'Annex 4 LDNO charges'!$A$11:$A$201,0)))</f>
        <v>0</v>
      </c>
      <c r="D129" s="168"/>
      <c r="E129" s="168"/>
      <c r="F129" s="167">
        <v>0.80732906456180464</v>
      </c>
    </row>
    <row r="130" spans="1:6" ht="27.75" customHeight="1" x14ac:dyDescent="0.2">
      <c r="A130" s="151" t="s">
        <v>531</v>
      </c>
      <c r="B130" s="208" t="str">
        <f>IFERROR(INDEX('Annex 1 LV, HV and UMS charges'!$B$12:$B$43,MATCH($A130,'Annex 1 LV, HV and UMS charges'!$A$12:$A$43,0)),IF(INDEX('Annex 4 LDNO charges'!$B$11:$B$201,MATCH($A130,'Annex 4 LDNO charges'!$A$11:$A$201,0))=0,"",INDEX('Annex 4 LDNO charges'!$B$11:$B$201,MATCH($A130,'Annex 4 LDNO charges'!$A$11:$A$201,0))))</f>
        <v>E53</v>
      </c>
      <c r="C130" s="209">
        <f>IFERROR(INDEX('Annex 1 LV, HV and UMS charges'!$C$12:$C$43,MATCH($A130,'Annex 1 LV, HV and UMS charges'!$A$12:$A$43,0)),INDEX('Annex 4 LDNO charges'!$C$11:$C$201,MATCH($A130,'Annex 4 LDNO charges'!$A$11:$A$201,0)))</f>
        <v>0</v>
      </c>
      <c r="D130" s="168"/>
      <c r="E130" s="168"/>
      <c r="F130" s="167">
        <v>0.80732906456180464</v>
      </c>
    </row>
    <row r="131" spans="1:6" ht="27.75" customHeight="1" x14ac:dyDescent="0.2">
      <c r="A131" s="151" t="s">
        <v>532</v>
      </c>
      <c r="B131" s="208" t="str">
        <f>IFERROR(INDEX('Annex 1 LV, HV and UMS charges'!$B$12:$B$43,MATCH($A131,'Annex 1 LV, HV and UMS charges'!$A$12:$A$43,0)),IF(INDEX('Annex 4 LDNO charges'!$B$11:$B$201,MATCH($A131,'Annex 4 LDNO charges'!$A$11:$A$201,0))=0,"",INDEX('Annex 4 LDNO charges'!$B$11:$B$201,MATCH($A131,'Annex 4 LDNO charges'!$A$11:$A$201,0))))</f>
        <v>E54</v>
      </c>
      <c r="C131" s="209">
        <f>IFERROR(INDEX('Annex 1 LV, HV and UMS charges'!$C$12:$C$43,MATCH($A131,'Annex 1 LV, HV and UMS charges'!$A$12:$A$43,0)),INDEX('Annex 4 LDNO charges'!$C$11:$C$201,MATCH($A131,'Annex 4 LDNO charges'!$A$11:$A$201,0)))</f>
        <v>0</v>
      </c>
      <c r="D131" s="168"/>
      <c r="E131" s="168"/>
      <c r="F131" s="167">
        <v>0.80732906456180464</v>
      </c>
    </row>
    <row r="132" spans="1:6" ht="27.75" customHeight="1" x14ac:dyDescent="0.2">
      <c r="A132" s="151" t="s">
        <v>533</v>
      </c>
      <c r="B132" s="208" t="str">
        <f>IFERROR(INDEX('Annex 1 LV, HV and UMS charges'!$B$12:$B$43,MATCH($A132,'Annex 1 LV, HV and UMS charges'!$A$12:$A$43,0)),IF(INDEX('Annex 4 LDNO charges'!$B$11:$B$201,MATCH($A132,'Annex 4 LDNO charges'!$A$11:$A$201,0))=0,"",INDEX('Annex 4 LDNO charges'!$B$11:$B$201,MATCH($A132,'Annex 4 LDNO charges'!$A$11:$A$201,0))))</f>
        <v>J50</v>
      </c>
      <c r="C132" s="209">
        <f>IFERROR(INDEX('Annex 1 LV, HV and UMS charges'!$C$12:$C$43,MATCH($A132,'Annex 1 LV, HV and UMS charges'!$A$12:$A$43,0)),INDEX('Annex 4 LDNO charges'!$C$11:$C$201,MATCH($A132,'Annex 4 LDNO charges'!$A$11:$A$201,0)))</f>
        <v>0</v>
      </c>
      <c r="D132" s="168"/>
      <c r="E132" s="168"/>
      <c r="F132" s="167">
        <v>0.80732906456180464</v>
      </c>
    </row>
    <row r="133" spans="1:6" ht="27.75" customHeight="1" x14ac:dyDescent="0.2">
      <c r="A133" s="151" t="s">
        <v>534</v>
      </c>
      <c r="B133" s="208" t="str">
        <f>IFERROR(INDEX('Annex 1 LV, HV and UMS charges'!$B$12:$B$43,MATCH($A133,'Annex 1 LV, HV and UMS charges'!$A$12:$A$43,0)),IF(INDEX('Annex 4 LDNO charges'!$B$11:$B$201,MATCH($A133,'Annex 4 LDNO charges'!$A$11:$A$201,0))=0,"",INDEX('Annex 4 LDNO charges'!$B$11:$B$201,MATCH($A133,'Annex 4 LDNO charges'!$A$11:$A$201,0))))</f>
        <v>J51</v>
      </c>
      <c r="C133" s="209">
        <f>IFERROR(INDEX('Annex 1 LV, HV and UMS charges'!$C$12:$C$43,MATCH($A133,'Annex 1 LV, HV and UMS charges'!$A$12:$A$43,0)),INDEX('Annex 4 LDNO charges'!$C$11:$C$201,MATCH($A133,'Annex 4 LDNO charges'!$A$11:$A$201,0)))</f>
        <v>0</v>
      </c>
      <c r="D133" s="168"/>
      <c r="E133" s="168"/>
      <c r="F133" s="167">
        <v>0.80732906456180464</v>
      </c>
    </row>
    <row r="134" spans="1:6" ht="27.75" customHeight="1" x14ac:dyDescent="0.2">
      <c r="A134" s="151" t="s">
        <v>535</v>
      </c>
      <c r="B134" s="208" t="str">
        <f>IFERROR(INDEX('Annex 1 LV, HV and UMS charges'!$B$12:$B$43,MATCH($A134,'Annex 1 LV, HV and UMS charges'!$A$12:$A$43,0)),IF(INDEX('Annex 4 LDNO charges'!$B$11:$B$201,MATCH($A134,'Annex 4 LDNO charges'!$A$11:$A$201,0))=0,"",INDEX('Annex 4 LDNO charges'!$B$11:$B$201,MATCH($A134,'Annex 4 LDNO charges'!$A$11:$A$201,0))))</f>
        <v>J52</v>
      </c>
      <c r="C134" s="209">
        <f>IFERROR(INDEX('Annex 1 LV, HV and UMS charges'!$C$12:$C$43,MATCH($A134,'Annex 1 LV, HV and UMS charges'!$A$12:$A$43,0)),INDEX('Annex 4 LDNO charges'!$C$11:$C$201,MATCH($A134,'Annex 4 LDNO charges'!$A$11:$A$201,0)))</f>
        <v>0</v>
      </c>
      <c r="D134" s="168"/>
      <c r="E134" s="168"/>
      <c r="F134" s="167">
        <v>0.80732906456180464</v>
      </c>
    </row>
    <row r="135" spans="1:6" ht="27.75" customHeight="1" x14ac:dyDescent="0.2">
      <c r="A135" s="151" t="s">
        <v>536</v>
      </c>
      <c r="B135" s="208" t="str">
        <f>IFERROR(INDEX('Annex 1 LV, HV and UMS charges'!$B$12:$B$43,MATCH($A135,'Annex 1 LV, HV and UMS charges'!$A$12:$A$43,0)),IF(INDEX('Annex 4 LDNO charges'!$B$11:$B$201,MATCH($A135,'Annex 4 LDNO charges'!$A$11:$A$201,0))=0,"",INDEX('Annex 4 LDNO charges'!$B$11:$B$201,MATCH($A135,'Annex 4 LDNO charges'!$A$11:$A$201,0))))</f>
        <v>J53</v>
      </c>
      <c r="C135" s="209">
        <f>IFERROR(INDEX('Annex 1 LV, HV and UMS charges'!$C$12:$C$43,MATCH($A135,'Annex 1 LV, HV and UMS charges'!$A$12:$A$43,0)),INDEX('Annex 4 LDNO charges'!$C$11:$C$201,MATCH($A135,'Annex 4 LDNO charges'!$A$11:$A$201,0)))</f>
        <v>0</v>
      </c>
      <c r="D135" s="168"/>
      <c r="E135" s="168"/>
      <c r="F135" s="167">
        <v>0.80732906456180464</v>
      </c>
    </row>
    <row r="136" spans="1:6" ht="27.75" customHeight="1" x14ac:dyDescent="0.2">
      <c r="A136" s="151" t="s">
        <v>537</v>
      </c>
      <c r="B136" s="208" t="str">
        <f>IFERROR(INDEX('Annex 1 LV, HV and UMS charges'!$B$12:$B$43,MATCH($A136,'Annex 1 LV, HV and UMS charges'!$A$12:$A$43,0)),IF(INDEX('Annex 4 LDNO charges'!$B$11:$B$201,MATCH($A136,'Annex 4 LDNO charges'!$A$11:$A$201,0))=0,"",INDEX('Annex 4 LDNO charges'!$B$11:$B$201,MATCH($A136,'Annex 4 LDNO charges'!$A$11:$A$201,0))))</f>
        <v>J54</v>
      </c>
      <c r="C136" s="209">
        <f>IFERROR(INDEX('Annex 1 LV, HV and UMS charges'!$C$12:$C$43,MATCH($A136,'Annex 1 LV, HV and UMS charges'!$A$12:$A$43,0)),INDEX('Annex 4 LDNO charges'!$C$11:$C$201,MATCH($A136,'Annex 4 LDNO charges'!$A$11:$A$201,0)))</f>
        <v>0</v>
      </c>
      <c r="D136" s="168"/>
      <c r="E136" s="168"/>
      <c r="F136" s="167">
        <v>0.80732906456180464</v>
      </c>
    </row>
    <row r="137" spans="1:6" ht="27.75" customHeight="1" x14ac:dyDescent="0.2">
      <c r="A137" s="151" t="s">
        <v>538</v>
      </c>
      <c r="B137" s="208" t="str">
        <f>IFERROR(INDEX('Annex 1 LV, HV and UMS charges'!$B$12:$B$43,MATCH($A137,'Annex 1 LV, HV and UMS charges'!$A$12:$A$43,0)),IF(INDEX('Annex 4 LDNO charges'!$B$11:$B$201,MATCH($A137,'Annex 4 LDNO charges'!$A$11:$A$201,0))=0,"",INDEX('Annex 4 LDNO charges'!$B$11:$B$201,MATCH($A137,'Annex 4 LDNO charges'!$A$11:$A$201,0))))</f>
        <v>K50</v>
      </c>
      <c r="C137" s="209">
        <f>IFERROR(INDEX('Annex 1 LV, HV and UMS charges'!$C$12:$C$43,MATCH($A137,'Annex 1 LV, HV and UMS charges'!$A$12:$A$43,0)),INDEX('Annex 4 LDNO charges'!$C$11:$C$201,MATCH($A137,'Annex 4 LDNO charges'!$A$11:$A$201,0)))</f>
        <v>0</v>
      </c>
      <c r="D137" s="168"/>
      <c r="E137" s="168"/>
      <c r="F137" s="167">
        <v>0.80732906456180464</v>
      </c>
    </row>
    <row r="138" spans="1:6" ht="27.75" customHeight="1" x14ac:dyDescent="0.2">
      <c r="A138" s="151" t="s">
        <v>539</v>
      </c>
      <c r="B138" s="208" t="str">
        <f>IFERROR(INDEX('Annex 1 LV, HV and UMS charges'!$B$12:$B$43,MATCH($A138,'Annex 1 LV, HV and UMS charges'!$A$12:$A$43,0)),IF(INDEX('Annex 4 LDNO charges'!$B$11:$B$201,MATCH($A138,'Annex 4 LDNO charges'!$A$11:$A$201,0))=0,"",INDEX('Annex 4 LDNO charges'!$B$11:$B$201,MATCH($A138,'Annex 4 LDNO charges'!$A$11:$A$201,0))))</f>
        <v>K51</v>
      </c>
      <c r="C138" s="209">
        <f>IFERROR(INDEX('Annex 1 LV, HV and UMS charges'!$C$12:$C$43,MATCH($A138,'Annex 1 LV, HV and UMS charges'!$A$12:$A$43,0)),INDEX('Annex 4 LDNO charges'!$C$11:$C$201,MATCH($A138,'Annex 4 LDNO charges'!$A$11:$A$201,0)))</f>
        <v>0</v>
      </c>
      <c r="D138" s="168"/>
      <c r="E138" s="168"/>
      <c r="F138" s="167">
        <v>0.80732906456180464</v>
      </c>
    </row>
    <row r="139" spans="1:6" ht="27.75" customHeight="1" x14ac:dyDescent="0.2">
      <c r="A139" s="151" t="s">
        <v>540</v>
      </c>
      <c r="B139" s="208" t="str">
        <f>IFERROR(INDEX('Annex 1 LV, HV and UMS charges'!$B$12:$B$43,MATCH($A139,'Annex 1 LV, HV and UMS charges'!$A$12:$A$43,0)),IF(INDEX('Annex 4 LDNO charges'!$B$11:$B$201,MATCH($A139,'Annex 4 LDNO charges'!$A$11:$A$201,0))=0,"",INDEX('Annex 4 LDNO charges'!$B$11:$B$201,MATCH($A139,'Annex 4 LDNO charges'!$A$11:$A$201,0))))</f>
        <v>K52</v>
      </c>
      <c r="C139" s="209">
        <f>IFERROR(INDEX('Annex 1 LV, HV and UMS charges'!$C$12:$C$43,MATCH($A139,'Annex 1 LV, HV and UMS charges'!$A$12:$A$43,0)),INDEX('Annex 4 LDNO charges'!$C$11:$C$201,MATCH($A139,'Annex 4 LDNO charges'!$A$11:$A$201,0)))</f>
        <v>0</v>
      </c>
      <c r="D139" s="168"/>
      <c r="E139" s="168"/>
      <c r="F139" s="167">
        <v>0.80732906456180464</v>
      </c>
    </row>
    <row r="140" spans="1:6" ht="27.75" customHeight="1" x14ac:dyDescent="0.2">
      <c r="A140" s="151" t="s">
        <v>541</v>
      </c>
      <c r="B140" s="208" t="str">
        <f>IFERROR(INDEX('Annex 1 LV, HV and UMS charges'!$B$12:$B$43,MATCH($A140,'Annex 1 LV, HV and UMS charges'!$A$12:$A$43,0)),IF(INDEX('Annex 4 LDNO charges'!$B$11:$B$201,MATCH($A140,'Annex 4 LDNO charges'!$A$11:$A$201,0))=0,"",INDEX('Annex 4 LDNO charges'!$B$11:$B$201,MATCH($A140,'Annex 4 LDNO charges'!$A$11:$A$201,0))))</f>
        <v>K53</v>
      </c>
      <c r="C140" s="209">
        <f>IFERROR(INDEX('Annex 1 LV, HV and UMS charges'!$C$12:$C$43,MATCH($A140,'Annex 1 LV, HV and UMS charges'!$A$12:$A$43,0)),INDEX('Annex 4 LDNO charges'!$C$11:$C$201,MATCH($A140,'Annex 4 LDNO charges'!$A$11:$A$201,0)))</f>
        <v>0</v>
      </c>
      <c r="D140" s="168"/>
      <c r="E140" s="168"/>
      <c r="F140" s="167">
        <v>0.80732906456180464</v>
      </c>
    </row>
    <row r="141" spans="1:6" ht="27.75" customHeight="1" x14ac:dyDescent="0.2">
      <c r="A141" s="151" t="s">
        <v>542</v>
      </c>
      <c r="B141" s="208" t="str">
        <f>IFERROR(INDEX('Annex 1 LV, HV and UMS charges'!$B$12:$B$43,MATCH($A141,'Annex 1 LV, HV and UMS charges'!$A$12:$A$43,0)),IF(INDEX('Annex 4 LDNO charges'!$B$11:$B$201,MATCH($A141,'Annex 4 LDNO charges'!$A$11:$A$201,0))=0,"",INDEX('Annex 4 LDNO charges'!$B$11:$B$201,MATCH($A141,'Annex 4 LDNO charges'!$A$11:$A$201,0))))</f>
        <v>K54</v>
      </c>
      <c r="C141" s="209">
        <f>IFERROR(INDEX('Annex 1 LV, HV and UMS charges'!$C$12:$C$43,MATCH($A141,'Annex 1 LV, HV and UMS charges'!$A$12:$A$43,0)),INDEX('Annex 4 LDNO charges'!$C$11:$C$201,MATCH($A141,'Annex 4 LDNO charges'!$A$11:$A$201,0)))</f>
        <v>0</v>
      </c>
      <c r="D141" s="168"/>
      <c r="E141" s="168"/>
      <c r="F141" s="167">
        <v>0.80732906456180464</v>
      </c>
    </row>
    <row r="142" spans="1:6" ht="27.75" customHeight="1" x14ac:dyDescent="0.2">
      <c r="A142" s="151" t="s">
        <v>1931</v>
      </c>
      <c r="B142" s="208" t="str">
        <f>IFERROR(INDEX('Annex 1 LV, HV and UMS charges'!$B$12:$B$43,MATCH($A142,'Annex 1 LV, HV and UMS charges'!$A$12:$A$43,0)),IF(INDEX('Annex 4 LDNO charges'!$B$11:$B$201,MATCH($A142,'Annex 4 LDNO charges'!$A$11:$A$201,0))=0,"",INDEX('Annex 4 LDNO charges'!$B$11:$B$201,MATCH($A142,'Annex 4 LDNO charges'!$A$11:$A$201,0))))</f>
        <v>A60</v>
      </c>
      <c r="C142" s="209" t="str">
        <f>IFERROR(INDEX('Annex 1 LV, HV and UMS charges'!$C$12:$C$43,MATCH($A142,'Annex 1 LV, HV and UMS charges'!$A$12:$A$43,0)),INDEX('Annex 4 LDNO charges'!$C$11:$C$201,MATCH($A142,'Annex 4 LDNO charges'!$A$11:$A$201,0)))</f>
        <v>0, 1, 2</v>
      </c>
      <c r="D142" s="167">
        <v>0.18118202447323239</v>
      </c>
      <c r="E142" s="167"/>
      <c r="F142" s="167">
        <v>0.80732906456180464</v>
      </c>
    </row>
    <row r="143" spans="1:6" ht="27.75" customHeight="1" x14ac:dyDescent="0.2">
      <c r="A143" s="151" t="s">
        <v>1933</v>
      </c>
      <c r="B143" s="208" t="str">
        <f>IFERROR(INDEX('Annex 1 LV, HV and UMS charges'!$B$12:$B$43,MATCH($A143,'Annex 1 LV, HV and UMS charges'!$A$12:$A$43,0)),IF(INDEX('Annex 4 LDNO charges'!$B$11:$B$201,MATCH($A143,'Annex 4 LDNO charges'!$A$11:$A$201,0))=0,"",INDEX('Annex 4 LDNO charges'!$B$11:$B$201,MATCH($A143,'Annex 4 LDNO charges'!$A$11:$A$201,0))))</f>
        <v>C60</v>
      </c>
      <c r="C143" s="209" t="str">
        <f>IFERROR(INDEX('Annex 1 LV, HV and UMS charges'!$C$12:$C$43,MATCH($A143,'Annex 1 LV, HV and UMS charges'!$A$12:$A$43,0)),INDEX('Annex 4 LDNO charges'!$C$11:$C$201,MATCH($A143,'Annex 4 LDNO charges'!$A$11:$A$201,0)))</f>
        <v>0, 3, 4, 5-8</v>
      </c>
      <c r="D143" s="168"/>
      <c r="E143" s="168"/>
      <c r="F143" s="167">
        <v>0.80732906456180464</v>
      </c>
    </row>
    <row r="144" spans="1:6" ht="27.75" customHeight="1" x14ac:dyDescent="0.2">
      <c r="A144" s="151" t="s">
        <v>1934</v>
      </c>
      <c r="B144" s="208" t="str">
        <f>IFERROR(INDEX('Annex 1 LV, HV and UMS charges'!$B$12:$B$43,MATCH($A144,'Annex 1 LV, HV and UMS charges'!$A$12:$A$43,0)),IF(INDEX('Annex 4 LDNO charges'!$B$11:$B$201,MATCH($A144,'Annex 4 LDNO charges'!$A$11:$A$201,0))=0,"",INDEX('Annex 4 LDNO charges'!$B$11:$B$201,MATCH($A144,'Annex 4 LDNO charges'!$A$11:$A$201,0))))</f>
        <v>C61</v>
      </c>
      <c r="C144" s="209" t="str">
        <f>IFERROR(INDEX('Annex 1 LV, HV and UMS charges'!$C$12:$C$43,MATCH($A144,'Annex 1 LV, HV and UMS charges'!$A$12:$A$43,0)),INDEX('Annex 4 LDNO charges'!$C$11:$C$201,MATCH($A144,'Annex 4 LDNO charges'!$A$11:$A$201,0)))</f>
        <v>0, 3, 4, 5-8</v>
      </c>
      <c r="D144" s="168"/>
      <c r="E144" s="168"/>
      <c r="F144" s="167">
        <v>0.80732906456180464</v>
      </c>
    </row>
    <row r="145" spans="1:6" ht="27.75" customHeight="1" x14ac:dyDescent="0.2">
      <c r="A145" s="151" t="s">
        <v>1935</v>
      </c>
      <c r="B145" s="208" t="str">
        <f>IFERROR(INDEX('Annex 1 LV, HV and UMS charges'!$B$12:$B$43,MATCH($A145,'Annex 1 LV, HV and UMS charges'!$A$12:$A$43,0)),IF(INDEX('Annex 4 LDNO charges'!$B$11:$B$201,MATCH($A145,'Annex 4 LDNO charges'!$A$11:$A$201,0))=0,"",INDEX('Annex 4 LDNO charges'!$B$11:$B$201,MATCH($A145,'Annex 4 LDNO charges'!$A$11:$A$201,0))))</f>
        <v>C62</v>
      </c>
      <c r="C145" s="209" t="str">
        <f>IFERROR(INDEX('Annex 1 LV, HV and UMS charges'!$C$12:$C$43,MATCH($A145,'Annex 1 LV, HV and UMS charges'!$A$12:$A$43,0)),INDEX('Annex 4 LDNO charges'!$C$11:$C$201,MATCH($A145,'Annex 4 LDNO charges'!$A$11:$A$201,0)))</f>
        <v>0, 3, 4, 5-8</v>
      </c>
      <c r="D145" s="168"/>
      <c r="E145" s="168"/>
      <c r="F145" s="167">
        <v>0.80732906456180464</v>
      </c>
    </row>
    <row r="146" spans="1:6" ht="27.75" customHeight="1" x14ac:dyDescent="0.2">
      <c r="A146" s="151" t="s">
        <v>1936</v>
      </c>
      <c r="B146" s="208" t="str">
        <f>IFERROR(INDEX('Annex 1 LV, HV and UMS charges'!$B$12:$B$43,MATCH($A146,'Annex 1 LV, HV and UMS charges'!$A$12:$A$43,0)),IF(INDEX('Annex 4 LDNO charges'!$B$11:$B$201,MATCH($A146,'Annex 4 LDNO charges'!$A$11:$A$201,0))=0,"",INDEX('Annex 4 LDNO charges'!$B$11:$B$201,MATCH($A146,'Annex 4 LDNO charges'!$A$11:$A$201,0))))</f>
        <v>C63</v>
      </c>
      <c r="C146" s="209" t="str">
        <f>IFERROR(INDEX('Annex 1 LV, HV and UMS charges'!$C$12:$C$43,MATCH($A146,'Annex 1 LV, HV and UMS charges'!$A$12:$A$43,0)),INDEX('Annex 4 LDNO charges'!$C$11:$C$201,MATCH($A146,'Annex 4 LDNO charges'!$A$11:$A$201,0)))</f>
        <v>0, 3, 4, 5-8</v>
      </c>
      <c r="D146" s="168"/>
      <c r="E146" s="168"/>
      <c r="F146" s="167">
        <v>0.80732906456180464</v>
      </c>
    </row>
    <row r="147" spans="1:6" ht="27.75" customHeight="1" x14ac:dyDescent="0.2">
      <c r="A147" s="151" t="s">
        <v>1937</v>
      </c>
      <c r="B147" s="208" t="str">
        <f>IFERROR(INDEX('Annex 1 LV, HV and UMS charges'!$B$12:$B$43,MATCH($A147,'Annex 1 LV, HV and UMS charges'!$A$12:$A$43,0)),IF(INDEX('Annex 4 LDNO charges'!$B$11:$B$201,MATCH($A147,'Annex 4 LDNO charges'!$A$11:$A$201,0))=0,"",INDEX('Annex 4 LDNO charges'!$B$11:$B$201,MATCH($A147,'Annex 4 LDNO charges'!$A$11:$A$201,0))))</f>
        <v>C64</v>
      </c>
      <c r="C147" s="209" t="str">
        <f>IFERROR(INDEX('Annex 1 LV, HV and UMS charges'!$C$12:$C$43,MATCH($A147,'Annex 1 LV, HV and UMS charges'!$A$12:$A$43,0)),INDEX('Annex 4 LDNO charges'!$C$11:$C$201,MATCH($A147,'Annex 4 LDNO charges'!$A$11:$A$201,0)))</f>
        <v>0, 3, 4, 5-8</v>
      </c>
      <c r="D147" s="168"/>
      <c r="E147" s="168"/>
      <c r="F147" s="167">
        <v>0.80732906456180464</v>
      </c>
    </row>
    <row r="148" spans="1:6" ht="27.75" customHeight="1" x14ac:dyDescent="0.2">
      <c r="A148" s="151" t="s">
        <v>513</v>
      </c>
      <c r="B148" s="208" t="str">
        <f>IFERROR(INDEX('Annex 1 LV, HV and UMS charges'!$B$12:$B$43,MATCH($A148,'Annex 1 LV, HV and UMS charges'!$A$12:$A$43,0)),IF(INDEX('Annex 4 LDNO charges'!$B$11:$B$201,MATCH($A148,'Annex 4 LDNO charges'!$A$11:$A$201,0))=0,"",INDEX('Annex 4 LDNO charges'!$B$11:$B$201,MATCH($A148,'Annex 4 LDNO charges'!$A$11:$A$201,0))))</f>
        <v>E60</v>
      </c>
      <c r="C148" s="209">
        <f>IFERROR(INDEX('Annex 1 LV, HV and UMS charges'!$C$12:$C$43,MATCH($A148,'Annex 1 LV, HV and UMS charges'!$A$12:$A$43,0)),INDEX('Annex 4 LDNO charges'!$C$11:$C$201,MATCH($A148,'Annex 4 LDNO charges'!$A$11:$A$201,0)))</f>
        <v>0</v>
      </c>
      <c r="D148" s="168"/>
      <c r="E148" s="168"/>
      <c r="F148" s="167">
        <v>0.80732906456180464</v>
      </c>
    </row>
    <row r="149" spans="1:6" ht="27.75" customHeight="1" x14ac:dyDescent="0.2">
      <c r="A149" s="151" t="s">
        <v>514</v>
      </c>
      <c r="B149" s="208" t="str">
        <f>IFERROR(INDEX('Annex 1 LV, HV and UMS charges'!$B$12:$B$43,MATCH($A149,'Annex 1 LV, HV and UMS charges'!$A$12:$A$43,0)),IF(INDEX('Annex 4 LDNO charges'!$B$11:$B$201,MATCH($A149,'Annex 4 LDNO charges'!$A$11:$A$201,0))=0,"",INDEX('Annex 4 LDNO charges'!$B$11:$B$201,MATCH($A149,'Annex 4 LDNO charges'!$A$11:$A$201,0))))</f>
        <v>E61</v>
      </c>
      <c r="C149" s="209">
        <f>IFERROR(INDEX('Annex 1 LV, HV and UMS charges'!$C$12:$C$43,MATCH($A149,'Annex 1 LV, HV and UMS charges'!$A$12:$A$43,0)),INDEX('Annex 4 LDNO charges'!$C$11:$C$201,MATCH($A149,'Annex 4 LDNO charges'!$A$11:$A$201,0)))</f>
        <v>0</v>
      </c>
      <c r="D149" s="168"/>
      <c r="E149" s="168"/>
      <c r="F149" s="167">
        <v>0.80732906456180464</v>
      </c>
    </row>
    <row r="150" spans="1:6" ht="27.75" customHeight="1" x14ac:dyDescent="0.2">
      <c r="A150" s="151" t="s">
        <v>515</v>
      </c>
      <c r="B150" s="208" t="str">
        <f>IFERROR(INDEX('Annex 1 LV, HV and UMS charges'!$B$12:$B$43,MATCH($A150,'Annex 1 LV, HV and UMS charges'!$A$12:$A$43,0)),IF(INDEX('Annex 4 LDNO charges'!$B$11:$B$201,MATCH($A150,'Annex 4 LDNO charges'!$A$11:$A$201,0))=0,"",INDEX('Annex 4 LDNO charges'!$B$11:$B$201,MATCH($A150,'Annex 4 LDNO charges'!$A$11:$A$201,0))))</f>
        <v>E62</v>
      </c>
      <c r="C150" s="209">
        <f>IFERROR(INDEX('Annex 1 LV, HV and UMS charges'!$C$12:$C$43,MATCH($A150,'Annex 1 LV, HV and UMS charges'!$A$12:$A$43,0)),INDEX('Annex 4 LDNO charges'!$C$11:$C$201,MATCH($A150,'Annex 4 LDNO charges'!$A$11:$A$201,0)))</f>
        <v>0</v>
      </c>
      <c r="D150" s="168"/>
      <c r="E150" s="168"/>
      <c r="F150" s="167">
        <v>0.80732906456180464</v>
      </c>
    </row>
    <row r="151" spans="1:6" ht="27.75" customHeight="1" x14ac:dyDescent="0.2">
      <c r="A151" s="151" t="s">
        <v>516</v>
      </c>
      <c r="B151" s="208" t="str">
        <f>IFERROR(INDEX('Annex 1 LV, HV and UMS charges'!$B$12:$B$43,MATCH($A151,'Annex 1 LV, HV and UMS charges'!$A$12:$A$43,0)),IF(INDEX('Annex 4 LDNO charges'!$B$11:$B$201,MATCH($A151,'Annex 4 LDNO charges'!$A$11:$A$201,0))=0,"",INDEX('Annex 4 LDNO charges'!$B$11:$B$201,MATCH($A151,'Annex 4 LDNO charges'!$A$11:$A$201,0))))</f>
        <v>E63</v>
      </c>
      <c r="C151" s="209">
        <f>IFERROR(INDEX('Annex 1 LV, HV and UMS charges'!$C$12:$C$43,MATCH($A151,'Annex 1 LV, HV and UMS charges'!$A$12:$A$43,0)),INDEX('Annex 4 LDNO charges'!$C$11:$C$201,MATCH($A151,'Annex 4 LDNO charges'!$A$11:$A$201,0)))</f>
        <v>0</v>
      </c>
      <c r="D151" s="168"/>
      <c r="E151" s="168"/>
      <c r="F151" s="167">
        <v>0.80732906456180464</v>
      </c>
    </row>
    <row r="152" spans="1:6" ht="27.75" customHeight="1" x14ac:dyDescent="0.2">
      <c r="A152" s="151" t="s">
        <v>517</v>
      </c>
      <c r="B152" s="208" t="str">
        <f>IFERROR(INDEX('Annex 1 LV, HV and UMS charges'!$B$12:$B$43,MATCH($A152,'Annex 1 LV, HV and UMS charges'!$A$12:$A$43,0)),IF(INDEX('Annex 4 LDNO charges'!$B$11:$B$201,MATCH($A152,'Annex 4 LDNO charges'!$A$11:$A$201,0))=0,"",INDEX('Annex 4 LDNO charges'!$B$11:$B$201,MATCH($A152,'Annex 4 LDNO charges'!$A$11:$A$201,0))))</f>
        <v>E64</v>
      </c>
      <c r="C152" s="209">
        <f>IFERROR(INDEX('Annex 1 LV, HV and UMS charges'!$C$12:$C$43,MATCH($A152,'Annex 1 LV, HV and UMS charges'!$A$12:$A$43,0)),INDEX('Annex 4 LDNO charges'!$C$11:$C$201,MATCH($A152,'Annex 4 LDNO charges'!$A$11:$A$201,0)))</f>
        <v>0</v>
      </c>
      <c r="D152" s="168"/>
      <c r="E152" s="168"/>
      <c r="F152" s="167">
        <v>0.80732906456180464</v>
      </c>
    </row>
    <row r="153" spans="1:6" ht="27.75" customHeight="1" x14ac:dyDescent="0.2">
      <c r="A153" s="151" t="s">
        <v>518</v>
      </c>
      <c r="B153" s="208" t="str">
        <f>IFERROR(INDEX('Annex 1 LV, HV and UMS charges'!$B$12:$B$43,MATCH($A153,'Annex 1 LV, HV and UMS charges'!$A$12:$A$43,0)),IF(INDEX('Annex 4 LDNO charges'!$B$11:$B$201,MATCH($A153,'Annex 4 LDNO charges'!$A$11:$A$201,0))=0,"",INDEX('Annex 4 LDNO charges'!$B$11:$B$201,MATCH($A153,'Annex 4 LDNO charges'!$A$11:$A$201,0))))</f>
        <v>J60</v>
      </c>
      <c r="C153" s="209">
        <f>IFERROR(INDEX('Annex 1 LV, HV and UMS charges'!$C$12:$C$43,MATCH($A153,'Annex 1 LV, HV and UMS charges'!$A$12:$A$43,0)),INDEX('Annex 4 LDNO charges'!$C$11:$C$201,MATCH($A153,'Annex 4 LDNO charges'!$A$11:$A$201,0)))</f>
        <v>0</v>
      </c>
      <c r="D153" s="168"/>
      <c r="E153" s="168"/>
      <c r="F153" s="167">
        <v>0.80732906456180464</v>
      </c>
    </row>
    <row r="154" spans="1:6" ht="27.75" customHeight="1" x14ac:dyDescent="0.2">
      <c r="A154" s="151" t="s">
        <v>519</v>
      </c>
      <c r="B154" s="208" t="str">
        <f>IFERROR(INDEX('Annex 1 LV, HV and UMS charges'!$B$12:$B$43,MATCH($A154,'Annex 1 LV, HV and UMS charges'!$A$12:$A$43,0)),IF(INDEX('Annex 4 LDNO charges'!$B$11:$B$201,MATCH($A154,'Annex 4 LDNO charges'!$A$11:$A$201,0))=0,"",INDEX('Annex 4 LDNO charges'!$B$11:$B$201,MATCH($A154,'Annex 4 LDNO charges'!$A$11:$A$201,0))))</f>
        <v>J61</v>
      </c>
      <c r="C154" s="209">
        <f>IFERROR(INDEX('Annex 1 LV, HV and UMS charges'!$C$12:$C$43,MATCH($A154,'Annex 1 LV, HV and UMS charges'!$A$12:$A$43,0)),INDEX('Annex 4 LDNO charges'!$C$11:$C$201,MATCH($A154,'Annex 4 LDNO charges'!$A$11:$A$201,0)))</f>
        <v>0</v>
      </c>
      <c r="D154" s="168"/>
      <c r="E154" s="168"/>
      <c r="F154" s="167">
        <v>0.80732906456180464</v>
      </c>
    </row>
    <row r="155" spans="1:6" ht="27.75" customHeight="1" x14ac:dyDescent="0.2">
      <c r="A155" s="151" t="s">
        <v>520</v>
      </c>
      <c r="B155" s="208" t="str">
        <f>IFERROR(INDEX('Annex 1 LV, HV and UMS charges'!$B$12:$B$43,MATCH($A155,'Annex 1 LV, HV and UMS charges'!$A$12:$A$43,0)),IF(INDEX('Annex 4 LDNO charges'!$B$11:$B$201,MATCH($A155,'Annex 4 LDNO charges'!$A$11:$A$201,0))=0,"",INDEX('Annex 4 LDNO charges'!$B$11:$B$201,MATCH($A155,'Annex 4 LDNO charges'!$A$11:$A$201,0))))</f>
        <v>J62</v>
      </c>
      <c r="C155" s="209">
        <f>IFERROR(INDEX('Annex 1 LV, HV and UMS charges'!$C$12:$C$43,MATCH($A155,'Annex 1 LV, HV and UMS charges'!$A$12:$A$43,0)),INDEX('Annex 4 LDNO charges'!$C$11:$C$201,MATCH($A155,'Annex 4 LDNO charges'!$A$11:$A$201,0)))</f>
        <v>0</v>
      </c>
      <c r="D155" s="168"/>
      <c r="E155" s="168"/>
      <c r="F155" s="167">
        <v>0.80732906456180464</v>
      </c>
    </row>
    <row r="156" spans="1:6" ht="27.75" customHeight="1" x14ac:dyDescent="0.2">
      <c r="A156" s="151" t="s">
        <v>521</v>
      </c>
      <c r="B156" s="208" t="str">
        <f>IFERROR(INDEX('Annex 1 LV, HV and UMS charges'!$B$12:$B$43,MATCH($A156,'Annex 1 LV, HV and UMS charges'!$A$12:$A$43,0)),IF(INDEX('Annex 4 LDNO charges'!$B$11:$B$201,MATCH($A156,'Annex 4 LDNO charges'!$A$11:$A$201,0))=0,"",INDEX('Annex 4 LDNO charges'!$B$11:$B$201,MATCH($A156,'Annex 4 LDNO charges'!$A$11:$A$201,0))))</f>
        <v>J63</v>
      </c>
      <c r="C156" s="209">
        <f>IFERROR(INDEX('Annex 1 LV, HV and UMS charges'!$C$12:$C$43,MATCH($A156,'Annex 1 LV, HV and UMS charges'!$A$12:$A$43,0)),INDEX('Annex 4 LDNO charges'!$C$11:$C$201,MATCH($A156,'Annex 4 LDNO charges'!$A$11:$A$201,0)))</f>
        <v>0</v>
      </c>
      <c r="D156" s="168"/>
      <c r="E156" s="168"/>
      <c r="F156" s="167">
        <v>0.80732906456180464</v>
      </c>
    </row>
    <row r="157" spans="1:6" ht="27.75" customHeight="1" x14ac:dyDescent="0.2">
      <c r="A157" s="151" t="s">
        <v>522</v>
      </c>
      <c r="B157" s="208" t="str">
        <f>IFERROR(INDEX('Annex 1 LV, HV and UMS charges'!$B$12:$B$43,MATCH($A157,'Annex 1 LV, HV and UMS charges'!$A$12:$A$43,0)),IF(INDEX('Annex 4 LDNO charges'!$B$11:$B$201,MATCH($A157,'Annex 4 LDNO charges'!$A$11:$A$201,0))=0,"",INDEX('Annex 4 LDNO charges'!$B$11:$B$201,MATCH($A157,'Annex 4 LDNO charges'!$A$11:$A$201,0))))</f>
        <v>J64</v>
      </c>
      <c r="C157" s="209">
        <f>IFERROR(INDEX('Annex 1 LV, HV and UMS charges'!$C$12:$C$43,MATCH($A157,'Annex 1 LV, HV and UMS charges'!$A$12:$A$43,0)),INDEX('Annex 4 LDNO charges'!$C$11:$C$201,MATCH($A157,'Annex 4 LDNO charges'!$A$11:$A$201,0)))</f>
        <v>0</v>
      </c>
      <c r="D157" s="168"/>
      <c r="E157" s="168"/>
      <c r="F157" s="167">
        <v>0.80732906456180464</v>
      </c>
    </row>
    <row r="158" spans="1:6" ht="27.75" customHeight="1" x14ac:dyDescent="0.2">
      <c r="A158" s="151" t="s">
        <v>523</v>
      </c>
      <c r="B158" s="208" t="str">
        <f>IFERROR(INDEX('Annex 1 LV, HV and UMS charges'!$B$12:$B$43,MATCH($A158,'Annex 1 LV, HV and UMS charges'!$A$12:$A$43,0)),IF(INDEX('Annex 4 LDNO charges'!$B$11:$B$201,MATCH($A158,'Annex 4 LDNO charges'!$A$11:$A$201,0))=0,"",INDEX('Annex 4 LDNO charges'!$B$11:$B$201,MATCH($A158,'Annex 4 LDNO charges'!$A$11:$A$201,0))))</f>
        <v>K60</v>
      </c>
      <c r="C158" s="209">
        <f>IFERROR(INDEX('Annex 1 LV, HV and UMS charges'!$C$12:$C$43,MATCH($A158,'Annex 1 LV, HV and UMS charges'!$A$12:$A$43,0)),INDEX('Annex 4 LDNO charges'!$C$11:$C$201,MATCH($A158,'Annex 4 LDNO charges'!$A$11:$A$201,0)))</f>
        <v>0</v>
      </c>
      <c r="D158" s="168"/>
      <c r="E158" s="168"/>
      <c r="F158" s="167">
        <v>0.80732906456180464</v>
      </c>
    </row>
    <row r="159" spans="1:6" ht="27.75" customHeight="1" x14ac:dyDescent="0.2">
      <c r="A159" s="151" t="s">
        <v>524</v>
      </c>
      <c r="B159" s="208" t="str">
        <f>IFERROR(INDEX('Annex 1 LV, HV and UMS charges'!$B$12:$B$43,MATCH($A159,'Annex 1 LV, HV and UMS charges'!$A$12:$A$43,0)),IF(INDEX('Annex 4 LDNO charges'!$B$11:$B$201,MATCH($A159,'Annex 4 LDNO charges'!$A$11:$A$201,0))=0,"",INDEX('Annex 4 LDNO charges'!$B$11:$B$201,MATCH($A159,'Annex 4 LDNO charges'!$A$11:$A$201,0))))</f>
        <v>K61</v>
      </c>
      <c r="C159" s="209">
        <f>IFERROR(INDEX('Annex 1 LV, HV and UMS charges'!$C$12:$C$43,MATCH($A159,'Annex 1 LV, HV and UMS charges'!$A$12:$A$43,0)),INDEX('Annex 4 LDNO charges'!$C$11:$C$201,MATCH($A159,'Annex 4 LDNO charges'!$A$11:$A$201,0)))</f>
        <v>0</v>
      </c>
      <c r="D159" s="168"/>
      <c r="E159" s="168"/>
      <c r="F159" s="167">
        <v>0.80732906456180464</v>
      </c>
    </row>
    <row r="160" spans="1:6" ht="27.75" customHeight="1" x14ac:dyDescent="0.2">
      <c r="A160" s="151" t="s">
        <v>525</v>
      </c>
      <c r="B160" s="208" t="str">
        <f>IFERROR(INDEX('Annex 1 LV, HV and UMS charges'!$B$12:$B$43,MATCH($A160,'Annex 1 LV, HV and UMS charges'!$A$12:$A$43,0)),IF(INDEX('Annex 4 LDNO charges'!$B$11:$B$201,MATCH($A160,'Annex 4 LDNO charges'!$A$11:$A$201,0))=0,"",INDEX('Annex 4 LDNO charges'!$B$11:$B$201,MATCH($A160,'Annex 4 LDNO charges'!$A$11:$A$201,0))))</f>
        <v>K62</v>
      </c>
      <c r="C160" s="209">
        <f>IFERROR(INDEX('Annex 1 LV, HV and UMS charges'!$C$12:$C$43,MATCH($A160,'Annex 1 LV, HV and UMS charges'!$A$12:$A$43,0)),INDEX('Annex 4 LDNO charges'!$C$11:$C$201,MATCH($A160,'Annex 4 LDNO charges'!$A$11:$A$201,0)))</f>
        <v>0</v>
      </c>
      <c r="D160" s="168"/>
      <c r="E160" s="168"/>
      <c r="F160" s="167">
        <v>0.80732906456180464</v>
      </c>
    </row>
    <row r="161" spans="1:6" ht="27.75" customHeight="1" x14ac:dyDescent="0.2">
      <c r="A161" s="151" t="s">
        <v>526</v>
      </c>
      <c r="B161" s="208" t="str">
        <f>IFERROR(INDEX('Annex 1 LV, HV and UMS charges'!$B$12:$B$43,MATCH($A161,'Annex 1 LV, HV and UMS charges'!$A$12:$A$43,0)),IF(INDEX('Annex 4 LDNO charges'!$B$11:$B$201,MATCH($A161,'Annex 4 LDNO charges'!$A$11:$A$201,0))=0,"",INDEX('Annex 4 LDNO charges'!$B$11:$B$201,MATCH($A161,'Annex 4 LDNO charges'!$A$11:$A$201,0))))</f>
        <v>K63</v>
      </c>
      <c r="C161" s="209">
        <f>IFERROR(INDEX('Annex 1 LV, HV and UMS charges'!$C$12:$C$43,MATCH($A161,'Annex 1 LV, HV and UMS charges'!$A$12:$A$43,0)),INDEX('Annex 4 LDNO charges'!$C$11:$C$201,MATCH($A161,'Annex 4 LDNO charges'!$A$11:$A$201,0)))</f>
        <v>0</v>
      </c>
      <c r="D161" s="168"/>
      <c r="E161" s="168"/>
      <c r="F161" s="167">
        <v>0.80732906456180464</v>
      </c>
    </row>
    <row r="162" spans="1:6" ht="27.75" customHeight="1" x14ac:dyDescent="0.2">
      <c r="A162" s="151" t="s">
        <v>527</v>
      </c>
      <c r="B162" s="208" t="str">
        <f>IFERROR(INDEX('Annex 1 LV, HV and UMS charges'!$B$12:$B$43,MATCH($A162,'Annex 1 LV, HV and UMS charges'!$A$12:$A$43,0)),IF(INDEX('Annex 4 LDNO charges'!$B$11:$B$201,MATCH($A162,'Annex 4 LDNO charges'!$A$11:$A$201,0))=0,"",INDEX('Annex 4 LDNO charges'!$B$11:$B$201,MATCH($A162,'Annex 4 LDNO charges'!$A$11:$A$201,0))))</f>
        <v>K64</v>
      </c>
      <c r="C162" s="209">
        <f>IFERROR(INDEX('Annex 1 LV, HV and UMS charges'!$C$12:$C$43,MATCH($A162,'Annex 1 LV, HV and UMS charges'!$A$12:$A$43,0)),INDEX('Annex 4 LDNO charges'!$C$11:$C$201,MATCH($A162,'Annex 4 LDNO charges'!$A$11:$A$201,0)))</f>
        <v>0</v>
      </c>
      <c r="D162" s="168"/>
      <c r="E162" s="168"/>
      <c r="F162" s="167">
        <v>0.80732906456180464</v>
      </c>
    </row>
    <row r="163" spans="1:6" ht="27.75" customHeight="1" x14ac:dyDescent="0.2">
      <c r="A163" s="2" t="s">
        <v>462</v>
      </c>
      <c r="C163" s="3"/>
    </row>
    <row r="164" spans="1:6" ht="27.75" customHeight="1" x14ac:dyDescent="0.2">
      <c r="A164" s="2" t="s">
        <v>463</v>
      </c>
      <c r="C164" s="3"/>
    </row>
    <row r="165" spans="1:6" ht="27.75" customHeight="1" x14ac:dyDescent="0.2">
      <c r="A165" s="2" t="s">
        <v>464</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77" fitToHeight="0" orientation="portrait" r:id="rId1"/>
  <headerFooter differentFirst="1" scaleWithDoc="0">
    <oddFooter>&amp;C&amp;P of &amp;N</oddFooter>
    <firstHeader>&amp;L
Annex 7 - Schedule of Charges to recover Excess Supplier of Last Resort pass-through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02"/>
  <sheetViews>
    <sheetView zoomScale="85" zoomScaleNormal="85" zoomScaleSheetLayoutView="100" workbookViewId="0"/>
  </sheetViews>
  <sheetFormatPr defaultRowHeight="27.75" customHeight="1" x14ac:dyDescent="0.2"/>
  <cols>
    <col min="1" max="1" width="18.4257812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19</v>
      </c>
      <c r="B1" s="3"/>
      <c r="C1" s="2"/>
      <c r="E1" s="10"/>
      <c r="F1" s="4"/>
      <c r="G1" s="4"/>
    </row>
    <row r="2" spans="1:7" s="11" customFormat="1" ht="22.5" customHeight="1" x14ac:dyDescent="0.2">
      <c r="A2" s="253" t="str">
        <f>Overview!B4&amp; " - Effective from "&amp;Overview!D4&amp;" - "&amp;Overview!E4&amp;" Nodal/Zonal charges"</f>
        <v>South Eastern Power Networks - Effective from 1 April 2024 - Final Nodal/Zonal charges</v>
      </c>
      <c r="B2" s="254"/>
      <c r="C2" s="254"/>
      <c r="D2" s="255"/>
    </row>
    <row r="3" spans="1:7" ht="60.75" customHeight="1" x14ac:dyDescent="0.2">
      <c r="A3" s="20" t="s">
        <v>51</v>
      </c>
      <c r="B3" s="20" t="s">
        <v>1</v>
      </c>
      <c r="C3" s="20" t="s">
        <v>33</v>
      </c>
      <c r="D3" s="20" t="s">
        <v>34</v>
      </c>
    </row>
    <row r="4" spans="1:7" ht="18.75" customHeight="1" x14ac:dyDescent="0.2">
      <c r="A4" s="7" t="s">
        <v>963</v>
      </c>
      <c r="B4" s="8" t="s">
        <v>964</v>
      </c>
      <c r="C4" s="185">
        <v>0.1841196069132538</v>
      </c>
      <c r="D4" s="185">
        <v>0.84386474576988679</v>
      </c>
    </row>
    <row r="5" spans="1:7" ht="18.75" customHeight="1" x14ac:dyDescent="0.2">
      <c r="A5" s="7" t="s">
        <v>1662</v>
      </c>
      <c r="B5" s="8" t="s">
        <v>964</v>
      </c>
      <c r="C5" s="185">
        <v>0.1841196069132538</v>
      </c>
      <c r="D5" s="185">
        <v>0.84386474576988679</v>
      </c>
    </row>
    <row r="6" spans="1:7" ht="18.75" customHeight="1" x14ac:dyDescent="0.2">
      <c r="A6" s="7" t="s">
        <v>965</v>
      </c>
      <c r="B6" s="8" t="s">
        <v>966</v>
      </c>
      <c r="C6" s="185">
        <v>9.7082135602301941E-3</v>
      </c>
      <c r="D6" s="185">
        <v>13.015145371229796</v>
      </c>
    </row>
    <row r="7" spans="1:7" ht="18.75" customHeight="1" x14ac:dyDescent="0.2">
      <c r="A7" s="7" t="s">
        <v>967</v>
      </c>
      <c r="B7" s="8" t="s">
        <v>968</v>
      </c>
      <c r="C7" s="185">
        <v>0.32167387241846823</v>
      </c>
      <c r="D7" s="185">
        <v>13.7015738246472</v>
      </c>
    </row>
    <row r="8" spans="1:7" ht="18.75" customHeight="1" x14ac:dyDescent="0.2">
      <c r="A8" s="7" t="s">
        <v>969</v>
      </c>
      <c r="B8" s="8" t="s">
        <v>968</v>
      </c>
      <c r="C8" s="185">
        <v>4.6557708422625944E-2</v>
      </c>
      <c r="D8" s="185">
        <v>13.107113959201516</v>
      </c>
    </row>
    <row r="9" spans="1:7" ht="18.75" customHeight="1" x14ac:dyDescent="0.2">
      <c r="A9" s="7" t="s">
        <v>1663</v>
      </c>
      <c r="B9" s="8" t="s">
        <v>1664</v>
      </c>
      <c r="C9" s="185">
        <v>0</v>
      </c>
      <c r="D9" s="185">
        <v>12.94918222910001</v>
      </c>
    </row>
    <row r="10" spans="1:7" ht="18.75" customHeight="1" x14ac:dyDescent="0.2">
      <c r="A10" s="7" t="s">
        <v>970</v>
      </c>
      <c r="B10" s="8" t="s">
        <v>971</v>
      </c>
      <c r="C10" s="185">
        <v>1.1322882726877064</v>
      </c>
      <c r="D10" s="185">
        <v>6.8463120777228896</v>
      </c>
    </row>
    <row r="11" spans="1:7" ht="18.75" customHeight="1" x14ac:dyDescent="0.2">
      <c r="A11" s="7" t="s">
        <v>972</v>
      </c>
      <c r="B11" s="8" t="s">
        <v>971</v>
      </c>
      <c r="C11" s="185">
        <v>-0.24210396689734215</v>
      </c>
      <c r="D11" s="185">
        <v>22.906148902692831</v>
      </c>
    </row>
    <row r="12" spans="1:7" ht="18.75" customHeight="1" x14ac:dyDescent="0.2">
      <c r="A12" s="7" t="s">
        <v>973</v>
      </c>
      <c r="B12" s="8" t="s">
        <v>974</v>
      </c>
      <c r="C12" s="185">
        <v>0.64263186430607222</v>
      </c>
      <c r="D12" s="185">
        <v>21.832746900857838</v>
      </c>
    </row>
    <row r="13" spans="1:7" ht="18.75" customHeight="1" x14ac:dyDescent="0.2">
      <c r="A13" s="7" t="s">
        <v>975</v>
      </c>
      <c r="B13" s="8" t="s">
        <v>976</v>
      </c>
      <c r="C13" s="185">
        <v>0.62778425573268437</v>
      </c>
      <c r="D13" s="185">
        <v>6.6013186117740954</v>
      </c>
    </row>
    <row r="14" spans="1:7" ht="18.75" customHeight="1" x14ac:dyDescent="0.2">
      <c r="A14" s="7" t="s">
        <v>977</v>
      </c>
      <c r="B14" s="8" t="s">
        <v>978</v>
      </c>
      <c r="C14" s="185">
        <v>0.24554444129625791</v>
      </c>
      <c r="D14" s="185">
        <v>3.1709708883026679</v>
      </c>
    </row>
    <row r="15" spans="1:7" ht="18.75" customHeight="1" x14ac:dyDescent="0.2">
      <c r="A15" s="7" t="s">
        <v>979</v>
      </c>
      <c r="B15" s="8" t="s">
        <v>980</v>
      </c>
      <c r="C15" s="185">
        <v>0.50717221560815284</v>
      </c>
      <c r="D15" s="185">
        <v>21.348211405181328</v>
      </c>
    </row>
    <row r="16" spans="1:7" ht="18.75" customHeight="1" x14ac:dyDescent="0.2">
      <c r="A16" s="7" t="s">
        <v>981</v>
      </c>
      <c r="B16" s="8" t="s">
        <v>982</v>
      </c>
      <c r="C16" s="185">
        <v>3.0377743974562557</v>
      </c>
      <c r="D16" s="185">
        <v>0.71054075672801142</v>
      </c>
    </row>
    <row r="17" spans="1:4" ht="18.75" customHeight="1" x14ac:dyDescent="0.2">
      <c r="A17" s="7" t="s">
        <v>983</v>
      </c>
      <c r="B17" s="8" t="s">
        <v>984</v>
      </c>
      <c r="C17" s="185">
        <v>2.5285763471269496</v>
      </c>
      <c r="D17" s="185">
        <v>4.462694432055117</v>
      </c>
    </row>
    <row r="18" spans="1:4" ht="18.75" customHeight="1" x14ac:dyDescent="0.2">
      <c r="A18" s="7" t="s">
        <v>985</v>
      </c>
      <c r="B18" s="8" t="s">
        <v>984</v>
      </c>
      <c r="C18" s="185">
        <v>2.5285763471269496</v>
      </c>
      <c r="D18" s="185">
        <v>4.462694432055117</v>
      </c>
    </row>
    <row r="19" spans="1:4" ht="18.75" customHeight="1" x14ac:dyDescent="0.2">
      <c r="A19" s="7" t="s">
        <v>986</v>
      </c>
      <c r="B19" s="8" t="s">
        <v>987</v>
      </c>
      <c r="C19" s="185">
        <v>1.5076793945616787</v>
      </c>
      <c r="D19" s="185">
        <v>7.7289231993232086</v>
      </c>
    </row>
    <row r="20" spans="1:4" ht="18.75" customHeight="1" x14ac:dyDescent="0.2">
      <c r="A20" s="7" t="s">
        <v>988</v>
      </c>
      <c r="B20" s="8" t="s">
        <v>989</v>
      </c>
      <c r="C20" s="185">
        <v>2.5186010433188547E-3</v>
      </c>
      <c r="D20" s="185">
        <v>4.9460739357889638</v>
      </c>
    </row>
    <row r="21" spans="1:4" ht="18.75" customHeight="1" x14ac:dyDescent="0.2">
      <c r="A21" s="7" t="s">
        <v>990</v>
      </c>
      <c r="B21" s="8" t="s">
        <v>991</v>
      </c>
      <c r="C21" s="185">
        <v>0.61865609802708221</v>
      </c>
      <c r="D21" s="185">
        <v>4.4729472934073877</v>
      </c>
    </row>
    <row r="22" spans="1:4" ht="18.75" customHeight="1" x14ac:dyDescent="0.2">
      <c r="A22" s="7" t="s">
        <v>992</v>
      </c>
      <c r="B22" s="8" t="s">
        <v>993</v>
      </c>
      <c r="C22" s="185">
        <v>0.11480976871869897</v>
      </c>
      <c r="D22" s="185">
        <v>0.11027407655404263</v>
      </c>
    </row>
    <row r="23" spans="1:4" ht="18.75" customHeight="1" x14ac:dyDescent="0.2">
      <c r="A23" s="7" t="s">
        <v>994</v>
      </c>
      <c r="B23" s="8" t="s">
        <v>995</v>
      </c>
      <c r="C23" s="185">
        <v>1.9310381773903484</v>
      </c>
      <c r="D23" s="185">
        <v>4.1691400958276734</v>
      </c>
    </row>
    <row r="24" spans="1:4" ht="18.75" customHeight="1" x14ac:dyDescent="0.2">
      <c r="A24" s="7" t="s">
        <v>996</v>
      </c>
      <c r="B24" s="8" t="s">
        <v>997</v>
      </c>
      <c r="C24" s="185">
        <v>0.49971124761343194</v>
      </c>
      <c r="D24" s="185">
        <v>1.1728159482768761</v>
      </c>
    </row>
    <row r="25" spans="1:4" ht="18.75" customHeight="1" x14ac:dyDescent="0.2">
      <c r="A25" s="7" t="s">
        <v>998</v>
      </c>
      <c r="B25" s="8" t="s">
        <v>999</v>
      </c>
      <c r="C25" s="185">
        <v>0.96482563444183811</v>
      </c>
      <c r="D25" s="185">
        <v>17.570538427998795</v>
      </c>
    </row>
    <row r="26" spans="1:4" ht="18.75" customHeight="1" x14ac:dyDescent="0.2">
      <c r="A26" s="7" t="s">
        <v>1000</v>
      </c>
      <c r="B26" s="8" t="s">
        <v>1001</v>
      </c>
      <c r="C26" s="185">
        <v>1.2085634558241591</v>
      </c>
      <c r="D26" s="185">
        <v>13.671689622090959</v>
      </c>
    </row>
    <row r="27" spans="1:4" ht="18.75" customHeight="1" x14ac:dyDescent="0.2">
      <c r="A27" s="7" t="s">
        <v>1002</v>
      </c>
      <c r="B27" s="8" t="s">
        <v>1003</v>
      </c>
      <c r="C27" s="185">
        <v>0</v>
      </c>
      <c r="D27" s="185">
        <v>1.2085784228836339E-2</v>
      </c>
    </row>
    <row r="28" spans="1:4" ht="18.75" customHeight="1" x14ac:dyDescent="0.2">
      <c r="A28" s="7" t="s">
        <v>1004</v>
      </c>
      <c r="B28" s="8" t="s">
        <v>1003</v>
      </c>
      <c r="C28" s="185">
        <v>0</v>
      </c>
      <c r="D28" s="185">
        <v>7.8508938866500688E-3</v>
      </c>
    </row>
    <row r="29" spans="1:4" ht="18.75" customHeight="1" x14ac:dyDescent="0.2">
      <c r="A29" s="7" t="s">
        <v>1005</v>
      </c>
      <c r="B29" s="8" t="s">
        <v>1003</v>
      </c>
      <c r="C29" s="185">
        <v>8.6137276251525602E-4</v>
      </c>
      <c r="D29" s="185">
        <v>0</v>
      </c>
    </row>
    <row r="30" spans="1:4" ht="18.75" customHeight="1" x14ac:dyDescent="0.2">
      <c r="A30" s="7" t="s">
        <v>1006</v>
      </c>
      <c r="B30" s="8" t="s">
        <v>1007</v>
      </c>
      <c r="C30" s="185">
        <v>0</v>
      </c>
      <c r="D30" s="185">
        <v>1.5285439715020334E-2</v>
      </c>
    </row>
    <row r="31" spans="1:4" ht="18.75" customHeight="1" x14ac:dyDescent="0.2">
      <c r="A31" s="7" t="s">
        <v>1008</v>
      </c>
      <c r="B31" s="8" t="s">
        <v>1007</v>
      </c>
      <c r="C31" s="185">
        <v>0</v>
      </c>
      <c r="D31" s="185">
        <v>1.5285755108858183E-2</v>
      </c>
    </row>
    <row r="32" spans="1:4" ht="18.75" customHeight="1" x14ac:dyDescent="0.2">
      <c r="A32" s="7" t="s">
        <v>1009</v>
      </c>
      <c r="B32" s="8" t="s">
        <v>1010</v>
      </c>
      <c r="C32" s="185">
        <v>0.32013848257135752</v>
      </c>
      <c r="D32" s="185">
        <v>0.49682268766011189</v>
      </c>
    </row>
    <row r="33" spans="1:4" ht="18.75" customHeight="1" x14ac:dyDescent="0.2">
      <c r="A33" s="7" t="s">
        <v>1011</v>
      </c>
      <c r="B33" s="8" t="s">
        <v>1012</v>
      </c>
      <c r="C33" s="185">
        <v>0.60780823379893567</v>
      </c>
      <c r="D33" s="185">
        <v>6.4517979234545244</v>
      </c>
    </row>
    <row r="34" spans="1:4" ht="18.75" customHeight="1" x14ac:dyDescent="0.2">
      <c r="A34" s="7" t="s">
        <v>1013</v>
      </c>
      <c r="B34" s="8" t="s">
        <v>1014</v>
      </c>
      <c r="C34" s="185">
        <v>5.2976715562616676E-2</v>
      </c>
      <c r="D34" s="185">
        <v>3.6223985438752169</v>
      </c>
    </row>
    <row r="35" spans="1:4" ht="18.75" customHeight="1" x14ac:dyDescent="0.2">
      <c r="A35" s="7" t="s">
        <v>1015</v>
      </c>
      <c r="B35" s="8" t="s">
        <v>1016</v>
      </c>
      <c r="C35" s="185">
        <v>1.0658471425953318</v>
      </c>
      <c r="D35" s="185">
        <v>3.9876583300343116</v>
      </c>
    </row>
    <row r="36" spans="1:4" ht="18.75" customHeight="1" x14ac:dyDescent="0.2">
      <c r="A36" s="7" t="s">
        <v>1017</v>
      </c>
      <c r="B36" s="8" t="s">
        <v>1018</v>
      </c>
      <c r="C36" s="185">
        <v>8.2926751377158006</v>
      </c>
      <c r="D36" s="185">
        <v>3.9219685691089294</v>
      </c>
    </row>
    <row r="37" spans="1:4" ht="18.75" customHeight="1" x14ac:dyDescent="0.2">
      <c r="A37" s="7" t="s">
        <v>1019</v>
      </c>
      <c r="B37" s="8" t="s">
        <v>1020</v>
      </c>
      <c r="C37" s="185">
        <v>0.43325241442491869</v>
      </c>
      <c r="D37" s="185">
        <v>18.537535772628203</v>
      </c>
    </row>
    <row r="38" spans="1:4" ht="18.75" customHeight="1" x14ac:dyDescent="0.2">
      <c r="A38" s="7" t="s">
        <v>1665</v>
      </c>
      <c r="B38" s="8" t="s">
        <v>1666</v>
      </c>
      <c r="C38" s="185">
        <v>2.8571225071795475E-2</v>
      </c>
      <c r="D38" s="185">
        <v>4.8159708874922984</v>
      </c>
    </row>
    <row r="39" spans="1:4" ht="18.75" customHeight="1" x14ac:dyDescent="0.2">
      <c r="A39" s="7" t="s">
        <v>1021</v>
      </c>
      <c r="B39" s="8" t="s">
        <v>1022</v>
      </c>
      <c r="C39" s="185">
        <v>0.21538415060862676</v>
      </c>
      <c r="D39" s="185">
        <v>3.4616370256998919E-4</v>
      </c>
    </row>
    <row r="40" spans="1:4" ht="18.75" customHeight="1" x14ac:dyDescent="0.2">
      <c r="A40" s="7" t="s">
        <v>1023</v>
      </c>
      <c r="B40" s="8" t="s">
        <v>1024</v>
      </c>
      <c r="C40" s="185">
        <v>0.83093168303401188</v>
      </c>
      <c r="D40" s="185">
        <v>0.71789628801704719</v>
      </c>
    </row>
    <row r="41" spans="1:4" ht="18.75" customHeight="1" x14ac:dyDescent="0.2">
      <c r="A41" s="7" t="s">
        <v>1025</v>
      </c>
      <c r="B41" s="8" t="s">
        <v>1026</v>
      </c>
      <c r="C41" s="185">
        <v>1.2981625142749147</v>
      </c>
      <c r="D41" s="185">
        <v>12.246749784724582</v>
      </c>
    </row>
    <row r="42" spans="1:4" ht="18.75" customHeight="1" x14ac:dyDescent="0.2">
      <c r="A42" s="7" t="s">
        <v>1027</v>
      </c>
      <c r="B42" s="8" t="s">
        <v>1028</v>
      </c>
      <c r="C42" s="185">
        <v>8.7183074287083167E-4</v>
      </c>
      <c r="D42" s="185">
        <v>0</v>
      </c>
    </row>
    <row r="43" spans="1:4" ht="18.75" customHeight="1" x14ac:dyDescent="0.2">
      <c r="A43" s="7" t="s">
        <v>1029</v>
      </c>
      <c r="B43" s="8" t="s">
        <v>1030</v>
      </c>
      <c r="C43" s="185">
        <v>0</v>
      </c>
      <c r="D43" s="185">
        <v>1.3438765780891048E-2</v>
      </c>
    </row>
    <row r="44" spans="1:4" ht="18.75" customHeight="1" x14ac:dyDescent="0.2">
      <c r="A44" s="7" t="s">
        <v>1667</v>
      </c>
      <c r="B44" s="8" t="s">
        <v>1668</v>
      </c>
      <c r="C44" s="185">
        <v>0</v>
      </c>
      <c r="D44" s="185">
        <v>2.6111856597308731E-4</v>
      </c>
    </row>
    <row r="45" spans="1:4" ht="18.75" customHeight="1" x14ac:dyDescent="0.2">
      <c r="A45" s="7" t="s">
        <v>1031</v>
      </c>
      <c r="B45" s="8" t="s">
        <v>1032</v>
      </c>
      <c r="C45" s="185">
        <v>3.3128627596518689E-2</v>
      </c>
      <c r="D45" s="185">
        <v>1.0117476615987187</v>
      </c>
    </row>
    <row r="46" spans="1:4" ht="18.75" customHeight="1" x14ac:dyDescent="0.2">
      <c r="A46" s="7" t="s">
        <v>1033</v>
      </c>
      <c r="B46" s="8" t="s">
        <v>1032</v>
      </c>
      <c r="C46" s="185">
        <v>3.3561710713607827E-2</v>
      </c>
      <c r="D46" s="185">
        <v>1.094766740441719</v>
      </c>
    </row>
    <row r="47" spans="1:4" ht="18.75" customHeight="1" x14ac:dyDescent="0.2">
      <c r="A47" s="7" t="s">
        <v>1034</v>
      </c>
      <c r="B47" s="8" t="s">
        <v>1035</v>
      </c>
      <c r="C47" s="185">
        <v>1.1874197470161976</v>
      </c>
      <c r="D47" s="185">
        <v>9.4948818608007333</v>
      </c>
    </row>
    <row r="48" spans="1:4" ht="18.75" customHeight="1" x14ac:dyDescent="0.2">
      <c r="A48" s="7" t="s">
        <v>1036</v>
      </c>
      <c r="B48" s="8" t="s">
        <v>1035</v>
      </c>
      <c r="C48" s="185">
        <v>1.1321284936088896</v>
      </c>
      <c r="D48" s="185">
        <v>4.2108118763997853</v>
      </c>
    </row>
    <row r="49" spans="1:4" ht="18.75" customHeight="1" x14ac:dyDescent="0.2">
      <c r="A49" s="7" t="s">
        <v>1037</v>
      </c>
      <c r="B49" s="8" t="s">
        <v>1038</v>
      </c>
      <c r="C49" s="185">
        <v>2.9635758237765538E-2</v>
      </c>
      <c r="D49" s="185">
        <v>2.3913184823279194</v>
      </c>
    </row>
    <row r="50" spans="1:4" ht="18.75" customHeight="1" x14ac:dyDescent="0.2">
      <c r="A50" s="7" t="s">
        <v>1039</v>
      </c>
      <c r="B50" s="8" t="s">
        <v>1038</v>
      </c>
      <c r="C50" s="185">
        <v>2.9782971769722746E-2</v>
      </c>
      <c r="D50" s="185">
        <v>2.3686398592379159</v>
      </c>
    </row>
    <row r="51" spans="1:4" ht="18.75" customHeight="1" x14ac:dyDescent="0.2">
      <c r="A51" s="7" t="s">
        <v>1040</v>
      </c>
      <c r="B51" s="8" t="s">
        <v>1041</v>
      </c>
      <c r="C51" s="185">
        <v>8.0777281354209252E-2</v>
      </c>
      <c r="D51" s="185">
        <v>0.11033625694047042</v>
      </c>
    </row>
    <row r="52" spans="1:4" ht="18.75" customHeight="1" x14ac:dyDescent="0.2">
      <c r="A52" s="7" t="s">
        <v>1042</v>
      </c>
      <c r="B52" s="8" t="s">
        <v>1043</v>
      </c>
      <c r="C52" s="185">
        <v>1.7349940498103058</v>
      </c>
      <c r="D52" s="185">
        <v>8.1211501372385442</v>
      </c>
    </row>
    <row r="53" spans="1:4" ht="18.75" customHeight="1" x14ac:dyDescent="0.2">
      <c r="A53" s="7" t="s">
        <v>1044</v>
      </c>
      <c r="B53" s="8" t="s">
        <v>1045</v>
      </c>
      <c r="C53" s="185">
        <v>0.74928008358101506</v>
      </c>
      <c r="D53" s="185">
        <v>20.859181001405506</v>
      </c>
    </row>
    <row r="54" spans="1:4" ht="18.75" customHeight="1" x14ac:dyDescent="0.2">
      <c r="A54" s="7" t="s">
        <v>1046</v>
      </c>
      <c r="B54" s="8" t="s">
        <v>1047</v>
      </c>
      <c r="C54" s="185">
        <v>1.1395859557434125</v>
      </c>
      <c r="D54" s="185">
        <v>0.33339211858740597</v>
      </c>
    </row>
    <row r="55" spans="1:4" ht="18.75" customHeight="1" x14ac:dyDescent="0.2">
      <c r="A55" s="7" t="s">
        <v>1048</v>
      </c>
      <c r="B55" s="8" t="s">
        <v>1049</v>
      </c>
      <c r="C55" s="185">
        <v>0.73936877151045111</v>
      </c>
      <c r="D55" s="185">
        <v>0.90201857439371447</v>
      </c>
    </row>
    <row r="56" spans="1:4" ht="18.75" customHeight="1" x14ac:dyDescent="0.2">
      <c r="A56" s="7" t="s">
        <v>1050</v>
      </c>
      <c r="B56" s="8" t="s">
        <v>1049</v>
      </c>
      <c r="C56" s="185">
        <v>0.73936877151045111</v>
      </c>
      <c r="D56" s="185">
        <v>0.90201857439371447</v>
      </c>
    </row>
    <row r="57" spans="1:4" ht="18.75" customHeight="1" x14ac:dyDescent="0.2">
      <c r="A57" s="7" t="s">
        <v>1051</v>
      </c>
      <c r="B57" s="8" t="s">
        <v>1049</v>
      </c>
      <c r="C57" s="185">
        <v>0.73936877151045111</v>
      </c>
      <c r="D57" s="185">
        <v>0.90201857439371447</v>
      </c>
    </row>
    <row r="58" spans="1:4" ht="18.75" customHeight="1" x14ac:dyDescent="0.2">
      <c r="A58" s="7" t="s">
        <v>1052</v>
      </c>
      <c r="B58" s="8" t="s">
        <v>1053</v>
      </c>
      <c r="C58" s="185">
        <v>1.0789676263888952</v>
      </c>
      <c r="D58" s="185">
        <v>3.7502060402802503E-2</v>
      </c>
    </row>
    <row r="59" spans="1:4" ht="18.75" customHeight="1" x14ac:dyDescent="0.2">
      <c r="A59" s="7" t="s">
        <v>1054</v>
      </c>
      <c r="B59" s="8" t="s">
        <v>1055</v>
      </c>
      <c r="C59" s="185">
        <v>1.0795435047939148</v>
      </c>
      <c r="D59" s="185">
        <v>3.752700867546075E-2</v>
      </c>
    </row>
    <row r="60" spans="1:4" ht="18.75" customHeight="1" x14ac:dyDescent="0.2">
      <c r="A60" s="7" t="s">
        <v>1056</v>
      </c>
      <c r="B60" s="8" t="s">
        <v>1055</v>
      </c>
      <c r="C60" s="185">
        <v>1.0795435047939148</v>
      </c>
      <c r="D60" s="185">
        <v>3.752700867546075E-2</v>
      </c>
    </row>
    <row r="61" spans="1:4" ht="18.75" customHeight="1" x14ac:dyDescent="0.2">
      <c r="A61" s="7" t="s">
        <v>1057</v>
      </c>
      <c r="B61" s="8" t="s">
        <v>1058</v>
      </c>
      <c r="C61" s="185">
        <v>0.14672855748873653</v>
      </c>
      <c r="D61" s="185">
        <v>0.90500622359276783</v>
      </c>
    </row>
    <row r="62" spans="1:4" ht="18.75" customHeight="1" x14ac:dyDescent="0.2">
      <c r="A62" s="7" t="s">
        <v>1059</v>
      </c>
      <c r="B62" s="8" t="s">
        <v>1060</v>
      </c>
      <c r="C62" s="185">
        <v>8.1717249036830104</v>
      </c>
      <c r="D62" s="185">
        <v>19.588240668292055</v>
      </c>
    </row>
    <row r="63" spans="1:4" ht="18.75" customHeight="1" x14ac:dyDescent="0.2">
      <c r="A63" s="7" t="s">
        <v>1061</v>
      </c>
      <c r="B63" s="8" t="s">
        <v>1062</v>
      </c>
      <c r="C63" s="185">
        <v>0.82391433740415043</v>
      </c>
      <c r="D63" s="185">
        <v>5.79234278478003</v>
      </c>
    </row>
    <row r="64" spans="1:4" ht="18.75" customHeight="1" x14ac:dyDescent="0.2">
      <c r="A64" s="7" t="s">
        <v>1063</v>
      </c>
      <c r="B64" s="8" t="s">
        <v>1062</v>
      </c>
      <c r="C64" s="185">
        <v>1.1960599559574434</v>
      </c>
      <c r="D64" s="185">
        <v>15.370003414878274</v>
      </c>
    </row>
    <row r="65" spans="1:4" ht="18.75" customHeight="1" x14ac:dyDescent="0.2">
      <c r="A65" s="7" t="s">
        <v>1064</v>
      </c>
      <c r="B65" s="8" t="s">
        <v>1065</v>
      </c>
      <c r="C65" s="185">
        <v>6.5050532941564931E-2</v>
      </c>
      <c r="D65" s="185">
        <v>7.571134866980624</v>
      </c>
    </row>
    <row r="66" spans="1:4" ht="18.75" customHeight="1" x14ac:dyDescent="0.2">
      <c r="A66" s="7" t="s">
        <v>1066</v>
      </c>
      <c r="B66" s="8" t="s">
        <v>1067</v>
      </c>
      <c r="C66" s="185">
        <v>3.1640286690396393</v>
      </c>
      <c r="D66" s="185">
        <v>14.293539833461423</v>
      </c>
    </row>
    <row r="67" spans="1:4" ht="18.75" customHeight="1" x14ac:dyDescent="0.2">
      <c r="A67" s="7" t="s">
        <v>1068</v>
      </c>
      <c r="B67" s="8" t="s">
        <v>1069</v>
      </c>
      <c r="C67" s="185">
        <v>1.1152014779885588E-2</v>
      </c>
      <c r="D67" s="185">
        <v>-0.15520903932540478</v>
      </c>
    </row>
    <row r="68" spans="1:4" ht="18.75" customHeight="1" x14ac:dyDescent="0.2">
      <c r="A68" s="7" t="s">
        <v>1070</v>
      </c>
      <c r="B68" s="8" t="s">
        <v>1071</v>
      </c>
      <c r="C68" s="185">
        <v>3.8255260364953672</v>
      </c>
      <c r="D68" s="185">
        <v>4.6109128676055775</v>
      </c>
    </row>
    <row r="69" spans="1:4" ht="18.75" customHeight="1" x14ac:dyDescent="0.2">
      <c r="A69" s="7" t="s">
        <v>1072</v>
      </c>
      <c r="B69" s="8" t="s">
        <v>1073</v>
      </c>
      <c r="C69" s="185">
        <v>0.70140105912942652</v>
      </c>
      <c r="D69" s="185">
        <v>1.6738168864220908</v>
      </c>
    </row>
    <row r="70" spans="1:4" ht="18.75" customHeight="1" x14ac:dyDescent="0.2">
      <c r="A70" s="7" t="s">
        <v>1074</v>
      </c>
      <c r="B70" s="8" t="s">
        <v>1075</v>
      </c>
      <c r="C70" s="185">
        <v>0.14507743597806658</v>
      </c>
      <c r="D70" s="185">
        <v>9.1461767774937437E-3</v>
      </c>
    </row>
    <row r="71" spans="1:4" ht="18.75" customHeight="1" x14ac:dyDescent="0.2">
      <c r="A71" s="7" t="s">
        <v>1076</v>
      </c>
      <c r="B71" s="8" t="s">
        <v>1077</v>
      </c>
      <c r="C71" s="185">
        <v>1.0436225561328989</v>
      </c>
      <c r="D71" s="185">
        <v>2.2070702967228475</v>
      </c>
    </row>
    <row r="72" spans="1:4" ht="18.75" customHeight="1" x14ac:dyDescent="0.2">
      <c r="A72" s="7" t="s">
        <v>1078</v>
      </c>
      <c r="B72" s="8" t="s">
        <v>1079</v>
      </c>
      <c r="C72" s="185">
        <v>0.4488535995585487</v>
      </c>
      <c r="D72" s="185">
        <v>2.5259037677107181</v>
      </c>
    </row>
    <row r="73" spans="1:4" ht="18.75" customHeight="1" x14ac:dyDescent="0.2">
      <c r="A73" s="7" t="s">
        <v>1080</v>
      </c>
      <c r="B73" s="8" t="s">
        <v>1081</v>
      </c>
      <c r="C73" s="185">
        <v>1.488538542649573</v>
      </c>
      <c r="D73" s="185">
        <v>17.964577622012278</v>
      </c>
    </row>
    <row r="74" spans="1:4" ht="18.75" customHeight="1" x14ac:dyDescent="0.2">
      <c r="A74" s="7" t="s">
        <v>1082</v>
      </c>
      <c r="B74" s="8" t="s">
        <v>1081</v>
      </c>
      <c r="C74" s="185">
        <v>0.46854285540508978</v>
      </c>
      <c r="D74" s="185">
        <v>12.664919786615277</v>
      </c>
    </row>
    <row r="75" spans="1:4" ht="18.75" customHeight="1" x14ac:dyDescent="0.2">
      <c r="A75" s="7" t="s">
        <v>1083</v>
      </c>
      <c r="B75" s="8" t="s">
        <v>1084</v>
      </c>
      <c r="C75" s="185">
        <v>2.3129252256036703</v>
      </c>
      <c r="D75" s="185">
        <v>5.9175492538189438</v>
      </c>
    </row>
    <row r="76" spans="1:4" ht="18.75" customHeight="1" x14ac:dyDescent="0.2">
      <c r="A76" s="7" t="s">
        <v>1085</v>
      </c>
      <c r="B76" s="8" t="s">
        <v>1086</v>
      </c>
      <c r="C76" s="185">
        <v>0.63905030611653513</v>
      </c>
      <c r="D76" s="185">
        <v>6.0444027385393406</v>
      </c>
    </row>
    <row r="77" spans="1:4" ht="18.75" customHeight="1" x14ac:dyDescent="0.2">
      <c r="A77" s="7" t="s">
        <v>1087</v>
      </c>
      <c r="B77" s="8" t="s">
        <v>1088</v>
      </c>
      <c r="C77" s="185">
        <v>3.865534571811315</v>
      </c>
      <c r="D77" s="185">
        <v>10.838444708899013</v>
      </c>
    </row>
    <row r="78" spans="1:4" ht="18.75" customHeight="1" x14ac:dyDescent="0.2">
      <c r="A78" s="7" t="s">
        <v>1089</v>
      </c>
      <c r="B78" s="8" t="s">
        <v>1090</v>
      </c>
      <c r="C78" s="185">
        <v>2.5160479955712032</v>
      </c>
      <c r="D78" s="185">
        <v>5.8812655923121824</v>
      </c>
    </row>
    <row r="79" spans="1:4" ht="18.75" customHeight="1" x14ac:dyDescent="0.2">
      <c r="A79" s="7" t="s">
        <v>1091</v>
      </c>
      <c r="B79" s="8" t="s">
        <v>1090</v>
      </c>
      <c r="C79" s="185">
        <v>0.13568380000375732</v>
      </c>
      <c r="D79" s="185">
        <v>1.0221571818828761</v>
      </c>
    </row>
    <row r="80" spans="1:4" ht="18.75" customHeight="1" x14ac:dyDescent="0.2">
      <c r="A80" s="7" t="s">
        <v>1092</v>
      </c>
      <c r="B80" s="8" t="s">
        <v>1093</v>
      </c>
      <c r="C80" s="185">
        <v>1.3683231719269506</v>
      </c>
      <c r="D80" s="185">
        <v>11.336876253755646</v>
      </c>
    </row>
    <row r="81" spans="1:4" ht="18.75" customHeight="1" x14ac:dyDescent="0.2">
      <c r="A81" s="7" t="s">
        <v>1669</v>
      </c>
      <c r="B81" s="8" t="s">
        <v>1670</v>
      </c>
      <c r="C81" s="185">
        <v>1.7350882999636612</v>
      </c>
      <c r="D81" s="185">
        <v>1.3589033896211036</v>
      </c>
    </row>
    <row r="82" spans="1:4" ht="18.75" customHeight="1" x14ac:dyDescent="0.2">
      <c r="A82" s="7" t="s">
        <v>1094</v>
      </c>
      <c r="B82" s="8" t="s">
        <v>1095</v>
      </c>
      <c r="C82" s="185">
        <v>0.33581884527406403</v>
      </c>
      <c r="D82" s="185">
        <v>4.410296609428034</v>
      </c>
    </row>
    <row r="83" spans="1:4" ht="18.75" customHeight="1" x14ac:dyDescent="0.2">
      <c r="A83" s="7" t="s">
        <v>1096</v>
      </c>
      <c r="B83" s="8" t="s">
        <v>1097</v>
      </c>
      <c r="C83" s="185">
        <v>4.479993761879669</v>
      </c>
      <c r="D83" s="185">
        <v>2.1717327384019733</v>
      </c>
    </row>
    <row r="84" spans="1:4" ht="18.75" customHeight="1" x14ac:dyDescent="0.2">
      <c r="A84" s="7" t="s">
        <v>1098</v>
      </c>
      <c r="B84" s="8" t="s">
        <v>1099</v>
      </c>
      <c r="C84" s="185">
        <v>2.713269132050391</v>
      </c>
      <c r="D84" s="185">
        <v>40.772902232771813</v>
      </c>
    </row>
    <row r="85" spans="1:4" ht="18.75" customHeight="1" x14ac:dyDescent="0.2">
      <c r="A85" s="7" t="s">
        <v>1100</v>
      </c>
      <c r="B85" s="8" t="s">
        <v>1101</v>
      </c>
      <c r="C85" s="185">
        <v>3.5477617070766208E-2</v>
      </c>
      <c r="D85" s="185">
        <v>-6.0126522994163767E-2</v>
      </c>
    </row>
    <row r="86" spans="1:4" ht="18.75" customHeight="1" x14ac:dyDescent="0.2">
      <c r="A86" s="7" t="s">
        <v>1102</v>
      </c>
      <c r="B86" s="8" t="s">
        <v>1103</v>
      </c>
      <c r="C86" s="185">
        <v>0.19750716364602197</v>
      </c>
      <c r="D86" s="185">
        <v>2.3074624504410592</v>
      </c>
    </row>
    <row r="87" spans="1:4" ht="18.75" customHeight="1" x14ac:dyDescent="0.2">
      <c r="A87" s="7" t="s">
        <v>1104</v>
      </c>
      <c r="B87" s="8" t="s">
        <v>1105</v>
      </c>
      <c r="C87" s="185">
        <v>9.6036565097145044</v>
      </c>
      <c r="D87" s="185">
        <v>6.9282667130157485</v>
      </c>
    </row>
    <row r="88" spans="1:4" ht="18.75" customHeight="1" x14ac:dyDescent="0.2">
      <c r="A88" s="7" t="s">
        <v>1106</v>
      </c>
      <c r="B88" s="8" t="s">
        <v>1107</v>
      </c>
      <c r="C88" s="185">
        <v>0.76899072241691302</v>
      </c>
      <c r="D88" s="185">
        <v>5.1551009125596674E-2</v>
      </c>
    </row>
    <row r="89" spans="1:4" ht="18.75" customHeight="1" x14ac:dyDescent="0.2">
      <c r="A89" s="7" t="s">
        <v>1108</v>
      </c>
      <c r="B89" s="8" t="s">
        <v>1109</v>
      </c>
      <c r="C89" s="185">
        <v>0.76899072241691302</v>
      </c>
      <c r="D89" s="185">
        <v>5.1551009125596674E-2</v>
      </c>
    </row>
    <row r="90" spans="1:4" ht="18.75" customHeight="1" x14ac:dyDescent="0.2">
      <c r="A90" s="7" t="s">
        <v>1110</v>
      </c>
      <c r="B90" s="8" t="s">
        <v>1111</v>
      </c>
      <c r="C90" s="185">
        <v>4.4243566566845463</v>
      </c>
      <c r="D90" s="185">
        <v>22.458874887342073</v>
      </c>
    </row>
    <row r="91" spans="1:4" ht="18.75" customHeight="1" x14ac:dyDescent="0.2">
      <c r="A91" s="7" t="s">
        <v>1112</v>
      </c>
      <c r="B91" s="8" t="s">
        <v>1113</v>
      </c>
      <c r="C91" s="185">
        <v>9.2794215252305183E-3</v>
      </c>
      <c r="D91" s="185">
        <v>-0.17207169789719545</v>
      </c>
    </row>
    <row r="92" spans="1:4" ht="18.75" customHeight="1" x14ac:dyDescent="0.2">
      <c r="A92" s="7" t="s">
        <v>1114</v>
      </c>
      <c r="B92" s="8" t="s">
        <v>1113</v>
      </c>
      <c r="C92" s="185">
        <v>9.2780483888469378E-3</v>
      </c>
      <c r="D92" s="185">
        <v>-0.17186022046017232</v>
      </c>
    </row>
    <row r="93" spans="1:4" ht="18.75" customHeight="1" x14ac:dyDescent="0.2">
      <c r="A93" s="7" t="s">
        <v>1115</v>
      </c>
      <c r="B93" s="8" t="s">
        <v>1116</v>
      </c>
      <c r="C93" s="185">
        <v>1.5679886996770331</v>
      </c>
      <c r="D93" s="185">
        <v>32.81176155405808</v>
      </c>
    </row>
    <row r="94" spans="1:4" ht="18.75" customHeight="1" x14ac:dyDescent="0.2">
      <c r="A94" s="7" t="s">
        <v>1117</v>
      </c>
      <c r="B94" s="8" t="s">
        <v>1118</v>
      </c>
      <c r="C94" s="185">
        <v>0.83548320627328709</v>
      </c>
      <c r="D94" s="185">
        <v>2.7894453108661987</v>
      </c>
    </row>
    <row r="95" spans="1:4" ht="18.75" customHeight="1" x14ac:dyDescent="0.2">
      <c r="A95" s="7" t="s">
        <v>1119</v>
      </c>
      <c r="B95" s="8" t="s">
        <v>1120</v>
      </c>
      <c r="C95" s="185">
        <v>1.7108522922070324</v>
      </c>
      <c r="D95" s="185">
        <v>3.3216020675030174E-4</v>
      </c>
    </row>
    <row r="96" spans="1:4" ht="18.75" customHeight="1" x14ac:dyDescent="0.2">
      <c r="A96" s="7" t="s">
        <v>1121</v>
      </c>
      <c r="B96" s="8" t="s">
        <v>1120</v>
      </c>
      <c r="C96" s="185">
        <v>1.710867840985083</v>
      </c>
      <c r="D96" s="185">
        <v>3.323198362901641E-4</v>
      </c>
    </row>
    <row r="97" spans="1:4" ht="18.75" customHeight="1" x14ac:dyDescent="0.2">
      <c r="A97" s="7" t="s">
        <v>1122</v>
      </c>
      <c r="B97" s="8" t="s">
        <v>1123</v>
      </c>
      <c r="C97" s="185">
        <v>0.20868915014301026</v>
      </c>
      <c r="D97" s="185">
        <v>3.2267015909001433</v>
      </c>
    </row>
    <row r="98" spans="1:4" ht="18.75" customHeight="1" x14ac:dyDescent="0.2">
      <c r="A98" s="7" t="s">
        <v>1124</v>
      </c>
      <c r="B98" s="8" t="s">
        <v>1123</v>
      </c>
      <c r="C98" s="185">
        <v>0</v>
      </c>
      <c r="D98" s="185">
        <v>0</v>
      </c>
    </row>
    <row r="99" spans="1:4" ht="18.75" customHeight="1" x14ac:dyDescent="0.2">
      <c r="A99" s="7" t="s">
        <v>1125</v>
      </c>
      <c r="B99" s="8" t="s">
        <v>1123</v>
      </c>
      <c r="C99" s="185">
        <v>3.1658931128384973</v>
      </c>
      <c r="D99" s="185">
        <v>1.4417233845310682E-3</v>
      </c>
    </row>
    <row r="100" spans="1:4" ht="18.75" customHeight="1" x14ac:dyDescent="0.2">
      <c r="A100" s="7" t="s">
        <v>1126</v>
      </c>
      <c r="B100" s="8" t="s">
        <v>1127</v>
      </c>
      <c r="C100" s="185">
        <v>0.31346368507246353</v>
      </c>
      <c r="D100" s="185">
        <v>4.5886192011390188</v>
      </c>
    </row>
    <row r="101" spans="1:4" ht="18.75" customHeight="1" x14ac:dyDescent="0.2">
      <c r="A101" s="7" t="s">
        <v>1128</v>
      </c>
      <c r="B101" s="8" t="s">
        <v>1129</v>
      </c>
      <c r="C101" s="185">
        <v>0</v>
      </c>
      <c r="D101" s="185">
        <v>1.5227458713429549E-2</v>
      </c>
    </row>
    <row r="102" spans="1:4" ht="18.75" customHeight="1" x14ac:dyDescent="0.2">
      <c r="A102" s="7" t="s">
        <v>1130</v>
      </c>
      <c r="B102" s="8" t="s">
        <v>1131</v>
      </c>
      <c r="C102" s="185">
        <v>0</v>
      </c>
      <c r="D102" s="185">
        <v>1.5227458713429549E-2</v>
      </c>
    </row>
    <row r="103" spans="1:4" ht="18.75" customHeight="1" x14ac:dyDescent="0.2">
      <c r="A103" s="7" t="s">
        <v>1132</v>
      </c>
      <c r="B103" s="8" t="s">
        <v>1131</v>
      </c>
      <c r="C103" s="185">
        <v>0</v>
      </c>
      <c r="D103" s="185">
        <v>1.5227458713429549E-2</v>
      </c>
    </row>
    <row r="104" spans="1:4" ht="18.75" customHeight="1" x14ac:dyDescent="0.2">
      <c r="A104" s="7" t="s">
        <v>1133</v>
      </c>
      <c r="B104" s="8" t="s">
        <v>1134</v>
      </c>
      <c r="C104" s="185">
        <v>0.50803520155045645</v>
      </c>
      <c r="D104" s="185">
        <v>11.449495223773223</v>
      </c>
    </row>
    <row r="105" spans="1:4" ht="18.75" customHeight="1" x14ac:dyDescent="0.2">
      <c r="A105" s="7" t="s">
        <v>1135</v>
      </c>
      <c r="B105" s="8" t="s">
        <v>1136</v>
      </c>
      <c r="C105" s="185">
        <v>0.50803520155045645</v>
      </c>
      <c r="D105" s="185">
        <v>11.449495223773223</v>
      </c>
    </row>
    <row r="106" spans="1:4" ht="18.75" customHeight="1" x14ac:dyDescent="0.2">
      <c r="A106" s="7" t="s">
        <v>1137</v>
      </c>
      <c r="B106" s="8" t="s">
        <v>1138</v>
      </c>
      <c r="C106" s="185">
        <v>0.24740080694919311</v>
      </c>
      <c r="D106" s="185">
        <v>7.7828193536768167</v>
      </c>
    </row>
    <row r="107" spans="1:4" ht="18.75" customHeight="1" x14ac:dyDescent="0.2">
      <c r="A107" s="7" t="s">
        <v>1139</v>
      </c>
      <c r="B107" s="8" t="s">
        <v>1140</v>
      </c>
      <c r="C107" s="185">
        <v>1.1812880216075901</v>
      </c>
      <c r="D107" s="185">
        <v>14.228518403905092</v>
      </c>
    </row>
    <row r="108" spans="1:4" ht="18.75" customHeight="1" x14ac:dyDescent="0.2">
      <c r="A108" s="7" t="s">
        <v>1141</v>
      </c>
      <c r="B108" s="8" t="s">
        <v>1140</v>
      </c>
      <c r="C108" s="185">
        <v>2.3603763150144128</v>
      </c>
      <c r="D108" s="185">
        <v>25.908486698439823</v>
      </c>
    </row>
    <row r="109" spans="1:4" ht="18.75" customHeight="1" x14ac:dyDescent="0.2">
      <c r="A109" s="7" t="s">
        <v>1142</v>
      </c>
      <c r="B109" s="8" t="s">
        <v>1143</v>
      </c>
      <c r="C109" s="185">
        <v>0.26244385103326123</v>
      </c>
      <c r="D109" s="185">
        <v>4.2785860434590708</v>
      </c>
    </row>
    <row r="110" spans="1:4" ht="18.75" customHeight="1" x14ac:dyDescent="0.2">
      <c r="A110" s="7" t="s">
        <v>1144</v>
      </c>
      <c r="B110" s="8" t="s">
        <v>1145</v>
      </c>
      <c r="C110" s="185">
        <v>1.4550844789645814</v>
      </c>
      <c r="D110" s="185">
        <v>21.479236927030044</v>
      </c>
    </row>
    <row r="111" spans="1:4" ht="18.75" customHeight="1" x14ac:dyDescent="0.2">
      <c r="A111" s="7" t="s">
        <v>1146</v>
      </c>
      <c r="B111" s="8" t="s">
        <v>1147</v>
      </c>
      <c r="C111" s="185">
        <v>3.1041476782069339</v>
      </c>
      <c r="D111" s="185">
        <v>1.9331242222038165</v>
      </c>
    </row>
    <row r="112" spans="1:4" ht="18.75" customHeight="1" x14ac:dyDescent="0.2">
      <c r="A112" s="7" t="s">
        <v>1148</v>
      </c>
      <c r="B112" s="8" t="s">
        <v>1149</v>
      </c>
      <c r="C112" s="185">
        <v>0.8446387259979361</v>
      </c>
      <c r="D112" s="185">
        <v>4.2759770041624359</v>
      </c>
    </row>
    <row r="113" spans="1:4" ht="18.75" customHeight="1" x14ac:dyDescent="0.2">
      <c r="A113" s="7" t="s">
        <v>1150</v>
      </c>
      <c r="B113" s="8" t="s">
        <v>1151</v>
      </c>
      <c r="C113" s="185">
        <v>6.3444251881916935E-2</v>
      </c>
      <c r="D113" s="185">
        <v>-1.2543504695122976</v>
      </c>
    </row>
    <row r="114" spans="1:4" ht="18.75" customHeight="1" x14ac:dyDescent="0.2">
      <c r="A114" s="7" t="s">
        <v>1152</v>
      </c>
      <c r="B114" s="8" t="s">
        <v>1153</v>
      </c>
      <c r="C114" s="185">
        <v>2.1326902378166976</v>
      </c>
      <c r="D114" s="185">
        <v>3.1195485774711731</v>
      </c>
    </row>
    <row r="115" spans="1:4" ht="18.75" customHeight="1" x14ac:dyDescent="0.2">
      <c r="A115" s="7" t="s">
        <v>1154</v>
      </c>
      <c r="B115" s="8" t="s">
        <v>1153</v>
      </c>
      <c r="C115" s="185">
        <v>2.1326902378166976</v>
      </c>
      <c r="D115" s="185">
        <v>3.1195485774711731</v>
      </c>
    </row>
    <row r="116" spans="1:4" ht="18.75" customHeight="1" x14ac:dyDescent="0.2">
      <c r="A116" s="7" t="s">
        <v>1155</v>
      </c>
      <c r="B116" s="8" t="s">
        <v>1156</v>
      </c>
      <c r="C116" s="185">
        <v>1.6084414717584987</v>
      </c>
      <c r="D116" s="185">
        <v>3.140508688346265</v>
      </c>
    </row>
    <row r="117" spans="1:4" ht="18.75" customHeight="1" x14ac:dyDescent="0.2">
      <c r="A117" s="7" t="s">
        <v>1157</v>
      </c>
      <c r="B117" s="8" t="s">
        <v>1158</v>
      </c>
      <c r="C117" s="185">
        <v>0.76477658696965611</v>
      </c>
      <c r="D117" s="185">
        <v>5.5451196494476251</v>
      </c>
    </row>
    <row r="118" spans="1:4" ht="18.75" customHeight="1" x14ac:dyDescent="0.2">
      <c r="A118" s="7" t="s">
        <v>1159</v>
      </c>
      <c r="B118" s="8" t="s">
        <v>1160</v>
      </c>
      <c r="C118" s="185">
        <v>-0.58863744651497141</v>
      </c>
      <c r="D118" s="185">
        <v>29.040959033015497</v>
      </c>
    </row>
    <row r="119" spans="1:4" ht="18.75" customHeight="1" x14ac:dyDescent="0.2">
      <c r="A119" s="7" t="s">
        <v>1161</v>
      </c>
      <c r="B119" s="8" t="s">
        <v>1162</v>
      </c>
      <c r="C119" s="185">
        <v>0.67104029803822118</v>
      </c>
      <c r="D119" s="185">
        <v>10.168856320683036</v>
      </c>
    </row>
    <row r="120" spans="1:4" ht="18.75" customHeight="1" x14ac:dyDescent="0.2">
      <c r="A120" s="7" t="s">
        <v>1163</v>
      </c>
      <c r="B120" s="8" t="s">
        <v>1164</v>
      </c>
      <c r="C120" s="185">
        <v>1.269472834338716</v>
      </c>
      <c r="D120" s="185">
        <v>14.034653453749934</v>
      </c>
    </row>
    <row r="121" spans="1:4" ht="18.75" customHeight="1" x14ac:dyDescent="0.2">
      <c r="A121" s="7" t="s">
        <v>1165</v>
      </c>
      <c r="B121" s="8" t="s">
        <v>1166</v>
      </c>
      <c r="C121" s="185">
        <v>2.0032105566559317</v>
      </c>
      <c r="D121" s="185">
        <v>17.379759382095759</v>
      </c>
    </row>
    <row r="122" spans="1:4" ht="18.75" customHeight="1" x14ac:dyDescent="0.2">
      <c r="A122" s="7" t="s">
        <v>1167</v>
      </c>
      <c r="B122" s="8" t="s">
        <v>1166</v>
      </c>
      <c r="C122" s="185">
        <v>5.9103271384001357E-2</v>
      </c>
      <c r="D122" s="185">
        <v>10.976339868576714</v>
      </c>
    </row>
    <row r="123" spans="1:4" ht="18.75" customHeight="1" x14ac:dyDescent="0.2">
      <c r="A123" s="7" t="s">
        <v>1168</v>
      </c>
      <c r="B123" s="8" t="s">
        <v>1169</v>
      </c>
      <c r="C123" s="185">
        <v>-0.63319226235564685</v>
      </c>
      <c r="D123" s="185">
        <v>29.316720902871698</v>
      </c>
    </row>
    <row r="124" spans="1:4" ht="18.75" customHeight="1" x14ac:dyDescent="0.2">
      <c r="A124" s="7" t="s">
        <v>1170</v>
      </c>
      <c r="B124" s="8" t="s">
        <v>1171</v>
      </c>
      <c r="C124" s="185">
        <v>0.73031649271441379</v>
      </c>
      <c r="D124" s="185">
        <v>0.23681556059978584</v>
      </c>
    </row>
    <row r="125" spans="1:4" ht="18.75" customHeight="1" x14ac:dyDescent="0.2">
      <c r="A125" s="7" t="s">
        <v>1172</v>
      </c>
      <c r="B125" s="8" t="s">
        <v>1171</v>
      </c>
      <c r="C125" s="185">
        <v>0.29456566260282063</v>
      </c>
      <c r="D125" s="185">
        <v>0.20723360638741922</v>
      </c>
    </row>
    <row r="126" spans="1:4" ht="18.75" customHeight="1" x14ac:dyDescent="0.2">
      <c r="A126" s="7" t="s">
        <v>1173</v>
      </c>
      <c r="B126" s="8" t="s">
        <v>1174</v>
      </c>
      <c r="C126" s="185">
        <v>1.3734880631908428</v>
      </c>
      <c r="D126" s="185">
        <v>8.3922639315790981</v>
      </c>
    </row>
    <row r="127" spans="1:4" ht="18.75" customHeight="1" x14ac:dyDescent="0.2">
      <c r="A127" s="7" t="s">
        <v>1175</v>
      </c>
      <c r="B127" s="8" t="s">
        <v>1176</v>
      </c>
      <c r="C127" s="185">
        <v>1.8267480755805297</v>
      </c>
      <c r="D127" s="185">
        <v>10.786453291810522</v>
      </c>
    </row>
    <row r="128" spans="1:4" ht="18.75" customHeight="1" x14ac:dyDescent="0.2">
      <c r="A128" s="7" t="s">
        <v>1177</v>
      </c>
      <c r="B128" s="8" t="s">
        <v>1178</v>
      </c>
      <c r="C128" s="185">
        <v>0.15010328451102897</v>
      </c>
      <c r="D128" s="185">
        <v>12.849886254426091</v>
      </c>
    </row>
    <row r="129" spans="1:4" ht="18.75" customHeight="1" x14ac:dyDescent="0.2">
      <c r="A129" s="7" t="s">
        <v>1179</v>
      </c>
      <c r="B129" s="8" t="s">
        <v>1178</v>
      </c>
      <c r="C129" s="185">
        <v>0.14977132924768866</v>
      </c>
      <c r="D129" s="185">
        <v>12.763878844814872</v>
      </c>
    </row>
    <row r="130" spans="1:4" ht="18.75" customHeight="1" x14ac:dyDescent="0.2">
      <c r="A130" s="7" t="s">
        <v>1671</v>
      </c>
      <c r="B130" s="8" t="s">
        <v>1672</v>
      </c>
      <c r="C130" s="185">
        <v>0</v>
      </c>
      <c r="D130" s="185">
        <v>0</v>
      </c>
    </row>
    <row r="131" spans="1:4" ht="18.75" customHeight="1" x14ac:dyDescent="0.2">
      <c r="A131" s="7" t="s">
        <v>1180</v>
      </c>
      <c r="B131" s="8" t="s">
        <v>1181</v>
      </c>
      <c r="C131" s="185">
        <v>2.2776352845253736</v>
      </c>
      <c r="D131" s="185">
        <v>11.490814239987373</v>
      </c>
    </row>
    <row r="132" spans="1:4" ht="18.75" customHeight="1" x14ac:dyDescent="0.2">
      <c r="A132" s="7" t="s">
        <v>1182</v>
      </c>
      <c r="B132" s="8" t="s">
        <v>1181</v>
      </c>
      <c r="C132" s="185">
        <v>0.33026886474362099</v>
      </c>
      <c r="D132" s="185">
        <v>2.6014023615516244</v>
      </c>
    </row>
    <row r="133" spans="1:4" ht="18.75" customHeight="1" x14ac:dyDescent="0.2">
      <c r="A133" s="7" t="s">
        <v>1183</v>
      </c>
      <c r="B133" s="8" t="s">
        <v>1184</v>
      </c>
      <c r="C133" s="185">
        <v>1.266228872108377</v>
      </c>
      <c r="D133" s="185">
        <v>26.863042493560794</v>
      </c>
    </row>
    <row r="134" spans="1:4" ht="18.75" customHeight="1" x14ac:dyDescent="0.2">
      <c r="A134" s="7" t="s">
        <v>1185</v>
      </c>
      <c r="B134" s="8" t="s">
        <v>1186</v>
      </c>
      <c r="C134" s="185">
        <v>0.31846358167493261</v>
      </c>
      <c r="D134" s="185">
        <v>12.585476352991726</v>
      </c>
    </row>
    <row r="135" spans="1:4" ht="18.75" customHeight="1" x14ac:dyDescent="0.2">
      <c r="A135" s="7" t="s">
        <v>1187</v>
      </c>
      <c r="B135" s="8" t="s">
        <v>1186</v>
      </c>
      <c r="C135" s="185">
        <v>3.9142850134916252E-2</v>
      </c>
      <c r="D135" s="185">
        <v>1.4769410570549595</v>
      </c>
    </row>
    <row r="136" spans="1:4" ht="18.75" customHeight="1" x14ac:dyDescent="0.2">
      <c r="A136" s="7" t="s">
        <v>1188</v>
      </c>
      <c r="B136" s="8" t="s">
        <v>1189</v>
      </c>
      <c r="C136" s="185">
        <v>1.596879524133336</v>
      </c>
      <c r="D136" s="185">
        <v>1.0034907645840738</v>
      </c>
    </row>
    <row r="137" spans="1:4" ht="18.75" customHeight="1" x14ac:dyDescent="0.2">
      <c r="A137" s="7" t="s">
        <v>1190</v>
      </c>
      <c r="B137" s="8" t="s">
        <v>1189</v>
      </c>
      <c r="C137" s="185">
        <v>1.596879524133336</v>
      </c>
      <c r="D137" s="185">
        <v>1.0034907645840738</v>
      </c>
    </row>
    <row r="138" spans="1:4" ht="18.75" customHeight="1" x14ac:dyDescent="0.2">
      <c r="A138" s="7" t="s">
        <v>1191</v>
      </c>
      <c r="B138" s="8" t="s">
        <v>1192</v>
      </c>
      <c r="C138" s="185">
        <v>1.596879524133336</v>
      </c>
      <c r="D138" s="185">
        <v>1.0034907645840738</v>
      </c>
    </row>
    <row r="139" spans="1:4" ht="18.75" customHeight="1" x14ac:dyDescent="0.2">
      <c r="A139" s="7" t="s">
        <v>1193</v>
      </c>
      <c r="B139" s="8" t="s">
        <v>1194</v>
      </c>
      <c r="C139" s="185">
        <v>2.4219357047253416</v>
      </c>
      <c r="D139" s="185">
        <v>3.5936928502637597</v>
      </c>
    </row>
    <row r="140" spans="1:4" ht="18.75" customHeight="1" x14ac:dyDescent="0.2">
      <c r="A140" s="7" t="s">
        <v>1195</v>
      </c>
      <c r="B140" s="8" t="s">
        <v>1196</v>
      </c>
      <c r="C140" s="185">
        <v>2.4219357047253416</v>
      </c>
      <c r="D140" s="185">
        <v>3.5936928502637597</v>
      </c>
    </row>
    <row r="141" spans="1:4" ht="18.75" customHeight="1" x14ac:dyDescent="0.2">
      <c r="A141" s="7" t="s">
        <v>1197</v>
      </c>
      <c r="B141" s="8" t="s">
        <v>1198</v>
      </c>
      <c r="C141" s="185">
        <v>1.2349411019583552</v>
      </c>
      <c r="D141" s="185">
        <v>17.386599960824171</v>
      </c>
    </row>
    <row r="142" spans="1:4" ht="18.75" customHeight="1" x14ac:dyDescent="0.2">
      <c r="A142" s="7" t="s">
        <v>1199</v>
      </c>
      <c r="B142" s="8" t="s">
        <v>1200</v>
      </c>
      <c r="C142" s="185">
        <v>0.19851991133167776</v>
      </c>
      <c r="D142" s="185">
        <v>1.8469729004379523</v>
      </c>
    </row>
    <row r="143" spans="1:4" ht="18.75" customHeight="1" x14ac:dyDescent="0.2">
      <c r="A143" s="7" t="s">
        <v>1201</v>
      </c>
      <c r="B143" s="8" t="s">
        <v>1200</v>
      </c>
      <c r="C143" s="185">
        <v>0.20598286973948257</v>
      </c>
      <c r="D143" s="185">
        <v>1.9622115139307956</v>
      </c>
    </row>
    <row r="144" spans="1:4" ht="18.75" customHeight="1" x14ac:dyDescent="0.2">
      <c r="A144" s="7" t="s">
        <v>1202</v>
      </c>
      <c r="B144" s="8" t="s">
        <v>1203</v>
      </c>
      <c r="C144" s="185">
        <v>0.29280665466083466</v>
      </c>
      <c r="D144" s="185">
        <v>13.481729357061173</v>
      </c>
    </row>
    <row r="145" spans="1:4" ht="18.75" customHeight="1" x14ac:dyDescent="0.2">
      <c r="A145" s="7" t="s">
        <v>1673</v>
      </c>
      <c r="B145" s="8" t="s">
        <v>1674</v>
      </c>
      <c r="C145" s="185">
        <v>2.6686705317984729</v>
      </c>
      <c r="D145" s="185">
        <v>-5.8084895550676224E-2</v>
      </c>
    </row>
    <row r="146" spans="1:4" ht="18.75" customHeight="1" x14ac:dyDescent="0.2">
      <c r="A146" s="7" t="s">
        <v>1204</v>
      </c>
      <c r="B146" s="8" t="s">
        <v>1205</v>
      </c>
      <c r="C146" s="185">
        <v>2.1789649266464248E-3</v>
      </c>
      <c r="D146" s="185">
        <v>2.0518655863310702</v>
      </c>
    </row>
    <row r="147" spans="1:4" ht="18.75" customHeight="1" x14ac:dyDescent="0.2">
      <c r="A147" s="7" t="s">
        <v>1206</v>
      </c>
      <c r="B147" s="8" t="s">
        <v>1207</v>
      </c>
      <c r="C147" s="185">
        <v>0.13262859157376572</v>
      </c>
      <c r="D147" s="185">
        <v>6.3715573752754961</v>
      </c>
    </row>
    <row r="148" spans="1:4" ht="18.75" customHeight="1" x14ac:dyDescent="0.2">
      <c r="A148" s="7" t="s">
        <v>1208</v>
      </c>
      <c r="B148" s="8" t="s">
        <v>1209</v>
      </c>
      <c r="C148" s="185">
        <v>0.29313112738300101</v>
      </c>
      <c r="D148" s="185">
        <v>0.74952843468880925</v>
      </c>
    </row>
    <row r="149" spans="1:4" ht="18.75" customHeight="1" x14ac:dyDescent="0.2">
      <c r="A149" s="7" t="s">
        <v>1210</v>
      </c>
      <c r="B149" s="8" t="s">
        <v>1211</v>
      </c>
      <c r="C149" s="185">
        <v>0.34081141806768522</v>
      </c>
      <c r="D149" s="185">
        <v>0</v>
      </c>
    </row>
    <row r="150" spans="1:4" ht="18.75" customHeight="1" x14ac:dyDescent="0.2">
      <c r="A150" s="7" t="s">
        <v>1675</v>
      </c>
      <c r="B150" s="8" t="s">
        <v>1676</v>
      </c>
      <c r="C150" s="185">
        <v>0</v>
      </c>
      <c r="D150" s="185">
        <v>0</v>
      </c>
    </row>
    <row r="151" spans="1:4" ht="18.75" customHeight="1" x14ac:dyDescent="0.2">
      <c r="A151" s="7" t="s">
        <v>1212</v>
      </c>
      <c r="B151" s="8" t="s">
        <v>1213</v>
      </c>
      <c r="C151" s="185">
        <v>1.6611534288772627</v>
      </c>
      <c r="D151" s="185">
        <v>3.8751521729583596</v>
      </c>
    </row>
    <row r="152" spans="1:4" ht="18.75" customHeight="1" x14ac:dyDescent="0.2">
      <c r="A152" s="7" t="s">
        <v>1214</v>
      </c>
      <c r="B152" s="8" t="s">
        <v>1215</v>
      </c>
      <c r="C152" s="185">
        <v>0.77686822095326136</v>
      </c>
      <c r="D152" s="185">
        <v>1.683037586008457</v>
      </c>
    </row>
    <row r="153" spans="1:4" ht="18.75" customHeight="1" x14ac:dyDescent="0.2">
      <c r="A153" s="7" t="s">
        <v>1216</v>
      </c>
      <c r="B153" s="8" t="s">
        <v>1217</v>
      </c>
      <c r="C153" s="185">
        <v>1.0769625983735134</v>
      </c>
      <c r="D153" s="185">
        <v>3.0348928440624863</v>
      </c>
    </row>
    <row r="154" spans="1:4" ht="18.75" customHeight="1" x14ac:dyDescent="0.2">
      <c r="A154" s="7" t="s">
        <v>1218</v>
      </c>
      <c r="B154" s="8" t="s">
        <v>1219</v>
      </c>
      <c r="C154" s="185">
        <v>0.37922009718622451</v>
      </c>
      <c r="D154" s="185">
        <v>5.4635008153844824</v>
      </c>
    </row>
    <row r="155" spans="1:4" ht="18.75" customHeight="1" x14ac:dyDescent="0.2">
      <c r="A155" s="7" t="s">
        <v>1220</v>
      </c>
      <c r="B155" s="8" t="s">
        <v>1221</v>
      </c>
      <c r="C155" s="185">
        <v>1.4871479863323311</v>
      </c>
      <c r="D155" s="185">
        <v>6.3266049731204159</v>
      </c>
    </row>
    <row r="156" spans="1:4" ht="18.75" customHeight="1" x14ac:dyDescent="0.2">
      <c r="A156" s="7" t="s">
        <v>1222</v>
      </c>
      <c r="B156" s="8" t="s">
        <v>1223</v>
      </c>
      <c r="C156" s="185">
        <v>2.0647837863170291</v>
      </c>
      <c r="D156" s="185">
        <v>5.2250872603700289</v>
      </c>
    </row>
    <row r="157" spans="1:4" ht="18.75" customHeight="1" x14ac:dyDescent="0.2">
      <c r="A157" s="7" t="s">
        <v>1224</v>
      </c>
      <c r="B157" s="8" t="s">
        <v>1225</v>
      </c>
      <c r="C157" s="185">
        <v>0.2880324881771269</v>
      </c>
      <c r="D157" s="185">
        <v>17.342472487930667</v>
      </c>
    </row>
    <row r="158" spans="1:4" ht="18.75" customHeight="1" x14ac:dyDescent="0.2">
      <c r="A158" s="7" t="s">
        <v>1226</v>
      </c>
      <c r="B158" s="8" t="s">
        <v>1227</v>
      </c>
      <c r="C158" s="185">
        <v>0.14065190480206957</v>
      </c>
      <c r="D158" s="185">
        <v>11.574925621019359</v>
      </c>
    </row>
    <row r="159" spans="1:4" ht="18.75" customHeight="1" x14ac:dyDescent="0.2">
      <c r="A159" s="7" t="s">
        <v>1228</v>
      </c>
      <c r="B159" s="8" t="s">
        <v>1229</v>
      </c>
      <c r="C159" s="185">
        <v>5.7157473042688721E-2</v>
      </c>
      <c r="D159" s="185">
        <v>2.7221978388580053</v>
      </c>
    </row>
    <row r="160" spans="1:4" ht="18.75" customHeight="1" x14ac:dyDescent="0.2">
      <c r="A160" s="7" t="s">
        <v>1230</v>
      </c>
      <c r="B160" s="8" t="s">
        <v>1231</v>
      </c>
      <c r="C160" s="185">
        <v>0.67237810445532487</v>
      </c>
      <c r="D160" s="185">
        <v>5.0376434183374696</v>
      </c>
    </row>
    <row r="161" spans="1:4" ht="18.75" customHeight="1" x14ac:dyDescent="0.2">
      <c r="A161" s="7" t="s">
        <v>1232</v>
      </c>
      <c r="B161" s="8" t="s">
        <v>1233</v>
      </c>
      <c r="C161" s="185">
        <v>8.0460531348020503E-2</v>
      </c>
      <c r="D161" s="185">
        <v>3.0665786501596841</v>
      </c>
    </row>
    <row r="162" spans="1:4" ht="18.75" customHeight="1" x14ac:dyDescent="0.2">
      <c r="A162" s="7" t="s">
        <v>1234</v>
      </c>
      <c r="B162" s="8" t="s">
        <v>1233</v>
      </c>
      <c r="C162" s="185">
        <v>8.0482204940444932E-2</v>
      </c>
      <c r="D162" s="185">
        <v>2.8948767921108725</v>
      </c>
    </row>
    <row r="163" spans="1:4" ht="18.75" customHeight="1" x14ac:dyDescent="0.2">
      <c r="A163" s="7" t="s">
        <v>1235</v>
      </c>
      <c r="B163" s="8" t="s">
        <v>1236</v>
      </c>
      <c r="C163" s="185">
        <v>8.6843643448371449E-2</v>
      </c>
      <c r="D163" s="185">
        <v>19.598281973846515</v>
      </c>
    </row>
    <row r="164" spans="1:4" ht="18.75" customHeight="1" x14ac:dyDescent="0.2">
      <c r="A164" s="7" t="s">
        <v>1237</v>
      </c>
      <c r="B164" s="8" t="s">
        <v>1238</v>
      </c>
      <c r="C164" s="185">
        <v>2.0305080858830258</v>
      </c>
      <c r="D164" s="185">
        <v>-0.30684191036924524</v>
      </c>
    </row>
    <row r="165" spans="1:4" ht="18.75" customHeight="1" x14ac:dyDescent="0.2">
      <c r="A165" s="7" t="s">
        <v>1239</v>
      </c>
      <c r="B165" s="8" t="s">
        <v>1238</v>
      </c>
      <c r="C165" s="185">
        <v>1.7982080148329451</v>
      </c>
      <c r="D165" s="185">
        <v>-0.40944703679501343</v>
      </c>
    </row>
    <row r="166" spans="1:4" ht="18.75" customHeight="1" x14ac:dyDescent="0.2">
      <c r="A166" s="7" t="s">
        <v>1240</v>
      </c>
      <c r="B166" s="8" t="s">
        <v>1241</v>
      </c>
      <c r="C166" s="185">
        <v>0.16741158688150098</v>
      </c>
      <c r="D166" s="185">
        <v>11.267457403657749</v>
      </c>
    </row>
    <row r="167" spans="1:4" ht="18.75" customHeight="1" x14ac:dyDescent="0.2">
      <c r="A167" s="7" t="s">
        <v>1242</v>
      </c>
      <c r="B167" s="8" t="s">
        <v>1243</v>
      </c>
      <c r="C167" s="185">
        <v>0.8422657337649031</v>
      </c>
      <c r="D167" s="185">
        <v>10.592603256774346</v>
      </c>
    </row>
    <row r="168" spans="1:4" ht="18.75" customHeight="1" x14ac:dyDescent="0.2">
      <c r="A168" s="7" t="s">
        <v>1244</v>
      </c>
      <c r="B168" s="8" t="s">
        <v>1245</v>
      </c>
      <c r="C168" s="185">
        <v>0.10152879194770813</v>
      </c>
      <c r="D168" s="185">
        <v>7.2667517948976483</v>
      </c>
    </row>
    <row r="169" spans="1:4" ht="18.75" customHeight="1" x14ac:dyDescent="0.2">
      <c r="A169" s="7" t="s">
        <v>1246</v>
      </c>
      <c r="B169" s="8" t="s">
        <v>1247</v>
      </c>
      <c r="C169" s="185">
        <v>0.85040430829167069</v>
      </c>
      <c r="D169" s="185">
        <v>8.1209052846305756</v>
      </c>
    </row>
    <row r="170" spans="1:4" ht="18.75" customHeight="1" x14ac:dyDescent="0.2">
      <c r="A170" s="7" t="s">
        <v>1248</v>
      </c>
      <c r="B170" s="8" t="s">
        <v>1249</v>
      </c>
      <c r="C170" s="185">
        <v>0.16598907917908787</v>
      </c>
      <c r="D170" s="185">
        <v>16.631182606477555</v>
      </c>
    </row>
    <row r="171" spans="1:4" ht="18.75" customHeight="1" x14ac:dyDescent="0.2">
      <c r="A171" s="7" t="s">
        <v>1250</v>
      </c>
      <c r="B171" s="8" t="s">
        <v>1251</v>
      </c>
      <c r="C171" s="185">
        <v>2.1455127810257681</v>
      </c>
      <c r="D171" s="185">
        <v>10.486091915570732</v>
      </c>
    </row>
    <row r="172" spans="1:4" ht="18.75" customHeight="1" x14ac:dyDescent="0.2">
      <c r="A172" s="7" t="s">
        <v>1252</v>
      </c>
      <c r="B172" s="8" t="s">
        <v>1253</v>
      </c>
      <c r="C172" s="185">
        <v>3.2798190401418827E-2</v>
      </c>
      <c r="D172" s="185">
        <v>3.0160359497511551E-3</v>
      </c>
    </row>
    <row r="173" spans="1:4" ht="18.75" customHeight="1" x14ac:dyDescent="0.2">
      <c r="A173" s="7" t="s">
        <v>1254</v>
      </c>
      <c r="B173" s="8" t="s">
        <v>1255</v>
      </c>
      <c r="C173" s="185">
        <v>0.95777927396841911</v>
      </c>
      <c r="D173" s="185">
        <v>7.6436014611054732</v>
      </c>
    </row>
    <row r="174" spans="1:4" ht="18.75" customHeight="1" x14ac:dyDescent="0.2">
      <c r="A174" s="7" t="s">
        <v>1256</v>
      </c>
      <c r="B174" s="8" t="s">
        <v>1257</v>
      </c>
      <c r="C174" s="185">
        <v>0.62845218334087105</v>
      </c>
      <c r="D174" s="185">
        <v>4.0158205482023215</v>
      </c>
    </row>
    <row r="175" spans="1:4" ht="18.75" customHeight="1" x14ac:dyDescent="0.2">
      <c r="A175" s="7" t="s">
        <v>1258</v>
      </c>
      <c r="B175" s="8" t="s">
        <v>1259</v>
      </c>
      <c r="C175" s="185">
        <v>-0.41062966904597115</v>
      </c>
      <c r="D175" s="185">
        <v>6.8734574009328071</v>
      </c>
    </row>
    <row r="176" spans="1:4" ht="18.75" customHeight="1" x14ac:dyDescent="0.2">
      <c r="A176" s="7" t="s">
        <v>1260</v>
      </c>
      <c r="B176" s="8" t="s">
        <v>1261</v>
      </c>
      <c r="C176" s="185">
        <v>6.4524723117552512</v>
      </c>
      <c r="D176" s="185">
        <v>1.3863354710166846</v>
      </c>
    </row>
    <row r="177" spans="1:4" ht="18.75" customHeight="1" x14ac:dyDescent="0.2">
      <c r="A177" s="7" t="s">
        <v>1262</v>
      </c>
      <c r="B177" s="8" t="s">
        <v>1263</v>
      </c>
      <c r="C177" s="185">
        <v>0.37977650638913962</v>
      </c>
      <c r="D177" s="185">
        <v>5.4478165526311617</v>
      </c>
    </row>
    <row r="178" spans="1:4" ht="18.75" customHeight="1" x14ac:dyDescent="0.2">
      <c r="A178" s="7" t="s">
        <v>1264</v>
      </c>
      <c r="B178" s="8" t="s">
        <v>1265</v>
      </c>
      <c r="C178" s="185">
        <v>7.7014172813250967</v>
      </c>
      <c r="D178" s="185">
        <v>4.4998694487681457</v>
      </c>
    </row>
    <row r="179" spans="1:4" ht="18.75" customHeight="1" x14ac:dyDescent="0.2">
      <c r="A179" s="7" t="s">
        <v>1266</v>
      </c>
      <c r="B179" s="8" t="s">
        <v>1267</v>
      </c>
      <c r="C179" s="185">
        <v>3.0644126990516165</v>
      </c>
      <c r="D179" s="185">
        <v>32.010576054865034</v>
      </c>
    </row>
    <row r="180" spans="1:4" ht="18.75" customHeight="1" x14ac:dyDescent="0.2">
      <c r="A180" s="7" t="s">
        <v>1268</v>
      </c>
      <c r="B180" s="8" t="s">
        <v>1269</v>
      </c>
      <c r="C180" s="185">
        <v>0.35835343647038881</v>
      </c>
      <c r="D180" s="185">
        <v>7.7884231754981217</v>
      </c>
    </row>
    <row r="181" spans="1:4" ht="18.75" customHeight="1" x14ac:dyDescent="0.2">
      <c r="A181" s="7" t="s">
        <v>1270</v>
      </c>
      <c r="B181" s="8" t="s">
        <v>1271</v>
      </c>
      <c r="C181" s="185">
        <v>1.7459436920601548</v>
      </c>
      <c r="D181" s="185">
        <v>10.846878120795349</v>
      </c>
    </row>
    <row r="182" spans="1:4" ht="18.75" customHeight="1" x14ac:dyDescent="0.2">
      <c r="A182" s="7" t="s">
        <v>1272</v>
      </c>
      <c r="B182" s="8" t="s">
        <v>1273</v>
      </c>
      <c r="C182" s="185">
        <v>0.58650378512703794</v>
      </c>
      <c r="D182" s="185">
        <v>9.6239302439134171</v>
      </c>
    </row>
    <row r="183" spans="1:4" ht="18.75" customHeight="1" x14ac:dyDescent="0.2">
      <c r="A183" s="7" t="s">
        <v>1274</v>
      </c>
      <c r="B183" s="8" t="s">
        <v>1275</v>
      </c>
      <c r="C183" s="185">
        <v>-0.4620481222495435</v>
      </c>
      <c r="D183" s="185">
        <v>18.031979410528287</v>
      </c>
    </row>
    <row r="184" spans="1:4" ht="18.75" customHeight="1" x14ac:dyDescent="0.2">
      <c r="A184" s="7" t="s">
        <v>1276</v>
      </c>
      <c r="B184" s="8" t="s">
        <v>1277</v>
      </c>
      <c r="C184" s="185">
        <v>0.61550475966483464</v>
      </c>
      <c r="D184" s="185">
        <v>6.0705933744768856</v>
      </c>
    </row>
    <row r="185" spans="1:4" ht="18.75" customHeight="1" x14ac:dyDescent="0.2">
      <c r="A185" s="7" t="s">
        <v>1677</v>
      </c>
      <c r="B185" s="8" t="s">
        <v>1678</v>
      </c>
      <c r="C185" s="185">
        <v>8.5786575784765701E-2</v>
      </c>
      <c r="D185" s="185">
        <v>0</v>
      </c>
    </row>
    <row r="186" spans="1:4" ht="18.75" customHeight="1" x14ac:dyDescent="0.2">
      <c r="A186" s="7" t="s">
        <v>1278</v>
      </c>
      <c r="B186" s="8" t="s">
        <v>1279</v>
      </c>
      <c r="C186" s="185">
        <v>0.19118325288972651</v>
      </c>
      <c r="D186" s="185">
        <v>0.31893017474809016</v>
      </c>
    </row>
    <row r="187" spans="1:4" ht="18.75" customHeight="1" x14ac:dyDescent="0.2">
      <c r="A187" s="7" t="s">
        <v>1280</v>
      </c>
      <c r="B187" s="8" t="s">
        <v>1279</v>
      </c>
      <c r="C187" s="185">
        <v>0.19174083561481881</v>
      </c>
      <c r="D187" s="185">
        <v>0.3189093617153575</v>
      </c>
    </row>
    <row r="188" spans="1:4" ht="18.75" customHeight="1" x14ac:dyDescent="0.2">
      <c r="A188" s="7" t="s">
        <v>1679</v>
      </c>
      <c r="B188" s="8" t="s">
        <v>1680</v>
      </c>
      <c r="C188" s="185">
        <v>0</v>
      </c>
      <c r="D188" s="185">
        <v>0</v>
      </c>
    </row>
    <row r="189" spans="1:4" ht="18.75" customHeight="1" x14ac:dyDescent="0.2">
      <c r="A189" s="7" t="s">
        <v>1281</v>
      </c>
      <c r="B189" s="8" t="s">
        <v>1282</v>
      </c>
      <c r="C189" s="185">
        <v>12.916843418651222</v>
      </c>
      <c r="D189" s="185">
        <v>-0.99057108184449094</v>
      </c>
    </row>
    <row r="190" spans="1:4" ht="18.75" customHeight="1" x14ac:dyDescent="0.2">
      <c r="A190" s="7" t="s">
        <v>1283</v>
      </c>
      <c r="B190" s="8" t="s">
        <v>1284</v>
      </c>
      <c r="C190" s="185">
        <v>5.7480522423326557</v>
      </c>
      <c r="D190" s="185">
        <v>12.705595802910194</v>
      </c>
    </row>
    <row r="191" spans="1:4" ht="18.75" customHeight="1" x14ac:dyDescent="0.2">
      <c r="A191" s="7" t="s">
        <v>1285</v>
      </c>
      <c r="B191" s="8" t="s">
        <v>1286</v>
      </c>
      <c r="C191" s="185">
        <v>0</v>
      </c>
      <c r="D191" s="185">
        <v>0</v>
      </c>
    </row>
    <row r="192" spans="1:4" ht="18.75" customHeight="1" x14ac:dyDescent="0.2">
      <c r="A192" s="7" t="s">
        <v>1287</v>
      </c>
      <c r="B192" s="8" t="s">
        <v>1288</v>
      </c>
      <c r="C192" s="185">
        <v>1.7834377712693288</v>
      </c>
      <c r="D192" s="185">
        <v>13.268752109653244</v>
      </c>
    </row>
    <row r="193" spans="1:4" ht="18.75" customHeight="1" x14ac:dyDescent="0.2">
      <c r="A193" s="7" t="s">
        <v>1289</v>
      </c>
      <c r="B193" s="8" t="s">
        <v>1290</v>
      </c>
      <c r="C193" s="185">
        <v>7.0855963308894996</v>
      </c>
      <c r="D193" s="185">
        <v>0.38694668888202954</v>
      </c>
    </row>
    <row r="194" spans="1:4" ht="18.75" customHeight="1" x14ac:dyDescent="0.2">
      <c r="A194" s="7" t="s">
        <v>1291</v>
      </c>
      <c r="B194" s="8" t="s">
        <v>1292</v>
      </c>
      <c r="C194" s="185">
        <v>0.15422507243304814</v>
      </c>
      <c r="D194" s="185">
        <v>6.2867436065964082</v>
      </c>
    </row>
    <row r="195" spans="1:4" ht="18.75" customHeight="1" x14ac:dyDescent="0.2">
      <c r="A195" s="7" t="s">
        <v>1293</v>
      </c>
      <c r="B195" s="8" t="s">
        <v>1294</v>
      </c>
      <c r="C195" s="185">
        <v>0.55451112484973808</v>
      </c>
      <c r="D195" s="185">
        <v>3.1961053689465375</v>
      </c>
    </row>
    <row r="196" spans="1:4" ht="18.75" customHeight="1" x14ac:dyDescent="0.2">
      <c r="A196" s="7" t="s">
        <v>1295</v>
      </c>
      <c r="B196" s="8" t="s">
        <v>1296</v>
      </c>
      <c r="C196" s="185">
        <v>0.55451112484973808</v>
      </c>
      <c r="D196" s="185">
        <v>3.1961053689465375</v>
      </c>
    </row>
    <row r="197" spans="1:4" ht="18.75" customHeight="1" x14ac:dyDescent="0.2">
      <c r="A197" s="7" t="s">
        <v>1297</v>
      </c>
      <c r="B197" s="8" t="s">
        <v>1298</v>
      </c>
      <c r="C197" s="185">
        <v>0.19716562932228501</v>
      </c>
      <c r="D197" s="185">
        <v>0.23869664489936063</v>
      </c>
    </row>
    <row r="198" spans="1:4" ht="18.75" customHeight="1" x14ac:dyDescent="0.2">
      <c r="A198" s="7" t="s">
        <v>1299</v>
      </c>
      <c r="B198" s="8" t="s">
        <v>1300</v>
      </c>
      <c r="C198" s="185">
        <v>1.2853010676727183</v>
      </c>
      <c r="D198" s="185">
        <v>16.487362620303106</v>
      </c>
    </row>
    <row r="199" spans="1:4" ht="18.75" customHeight="1" x14ac:dyDescent="0.2">
      <c r="A199" s="7" t="s">
        <v>1301</v>
      </c>
      <c r="B199" s="8" t="s">
        <v>1302</v>
      </c>
      <c r="C199" s="185">
        <v>1.0999684361077415</v>
      </c>
      <c r="D199" s="185">
        <v>4.9492565880731618</v>
      </c>
    </row>
    <row r="200" spans="1:4" ht="18.75" customHeight="1" x14ac:dyDescent="0.2">
      <c r="A200" s="7" t="s">
        <v>1681</v>
      </c>
      <c r="B200" s="8" t="s">
        <v>1682</v>
      </c>
      <c r="C200" s="185">
        <v>0</v>
      </c>
      <c r="D200" s="185">
        <v>0</v>
      </c>
    </row>
    <row r="201" spans="1:4" ht="18.75" customHeight="1" x14ac:dyDescent="0.2">
      <c r="A201" s="7" t="s">
        <v>1303</v>
      </c>
      <c r="B201" s="8" t="s">
        <v>1304</v>
      </c>
      <c r="C201" s="185">
        <v>7.7704456557442597E-2</v>
      </c>
      <c r="D201" s="185">
        <v>-2.7104068626784716</v>
      </c>
    </row>
    <row r="202" spans="1:4" ht="18.75" customHeight="1" x14ac:dyDescent="0.2">
      <c r="A202" s="7" t="s">
        <v>1305</v>
      </c>
      <c r="B202" s="8" t="s">
        <v>1304</v>
      </c>
      <c r="C202" s="185">
        <v>7.7656385632985075E-2</v>
      </c>
      <c r="D202" s="185">
        <v>-2.6608514927701608</v>
      </c>
    </row>
    <row r="203" spans="1:4" ht="18.75" customHeight="1" x14ac:dyDescent="0.2">
      <c r="A203" s="7" t="s">
        <v>1306</v>
      </c>
      <c r="B203" s="8" t="s">
        <v>1307</v>
      </c>
      <c r="C203" s="185">
        <v>0.41568365518597983</v>
      </c>
      <c r="D203" s="185">
        <v>0.71107758621394479</v>
      </c>
    </row>
    <row r="204" spans="1:4" ht="18.75" customHeight="1" x14ac:dyDescent="0.2">
      <c r="A204" s="7" t="s">
        <v>1308</v>
      </c>
      <c r="B204" s="8" t="s">
        <v>1309</v>
      </c>
      <c r="C204" s="185">
        <v>0.12944921755330263</v>
      </c>
      <c r="D204" s="185">
        <v>5.1731106855656819</v>
      </c>
    </row>
    <row r="205" spans="1:4" ht="18.75" customHeight="1" x14ac:dyDescent="0.2">
      <c r="A205" s="7" t="s">
        <v>1310</v>
      </c>
      <c r="B205" s="8" t="s">
        <v>1311</v>
      </c>
      <c r="C205" s="185">
        <v>1.6455878949347562</v>
      </c>
      <c r="D205" s="185">
        <v>12.871272153383583</v>
      </c>
    </row>
    <row r="206" spans="1:4" ht="18.75" customHeight="1" x14ac:dyDescent="0.2">
      <c r="A206" s="7" t="s">
        <v>1312</v>
      </c>
      <c r="B206" s="8" t="s">
        <v>1313</v>
      </c>
      <c r="C206" s="185">
        <v>0.60319751325936766</v>
      </c>
      <c r="D206" s="185">
        <v>45.781548463777476</v>
      </c>
    </row>
    <row r="207" spans="1:4" ht="18.75" customHeight="1" x14ac:dyDescent="0.2">
      <c r="A207" s="7" t="s">
        <v>1314</v>
      </c>
      <c r="B207" s="8" t="s">
        <v>1315</v>
      </c>
      <c r="C207" s="185">
        <v>0.59926593479564938</v>
      </c>
      <c r="D207" s="185">
        <v>16.217344232316773</v>
      </c>
    </row>
    <row r="208" spans="1:4" ht="18.75" customHeight="1" x14ac:dyDescent="0.2">
      <c r="A208" s="7" t="s">
        <v>1316</v>
      </c>
      <c r="B208" s="8" t="s">
        <v>1315</v>
      </c>
      <c r="C208" s="185">
        <v>0.59926593479564938</v>
      </c>
      <c r="D208" s="185">
        <v>16.217344232316773</v>
      </c>
    </row>
    <row r="209" spans="1:4" ht="18.75" customHeight="1" x14ac:dyDescent="0.2">
      <c r="A209" s="7" t="s">
        <v>1317</v>
      </c>
      <c r="B209" s="8" t="s">
        <v>1318</v>
      </c>
      <c r="C209" s="185">
        <v>-1.0292096536150019</v>
      </c>
      <c r="D209" s="185">
        <v>12.953640769686455</v>
      </c>
    </row>
    <row r="210" spans="1:4" ht="18.75" customHeight="1" x14ac:dyDescent="0.2">
      <c r="A210" s="7" t="s">
        <v>1319</v>
      </c>
      <c r="B210" s="8" t="s">
        <v>1320</v>
      </c>
      <c r="C210" s="185">
        <v>0.41567910936894442</v>
      </c>
      <c r="D210" s="185">
        <v>7.179465501227452</v>
      </c>
    </row>
    <row r="211" spans="1:4" ht="18.75" customHeight="1" x14ac:dyDescent="0.2">
      <c r="A211" s="7" t="s">
        <v>1321</v>
      </c>
      <c r="B211" s="8" t="s">
        <v>1322</v>
      </c>
      <c r="C211" s="185">
        <v>0.19471583699269174</v>
      </c>
      <c r="D211" s="185">
        <v>-0.6998271286234391</v>
      </c>
    </row>
    <row r="212" spans="1:4" ht="18.75" customHeight="1" x14ac:dyDescent="0.2">
      <c r="A212" s="7" t="s">
        <v>1323</v>
      </c>
      <c r="B212" s="8" t="s">
        <v>1324</v>
      </c>
      <c r="C212" s="185">
        <v>0</v>
      </c>
      <c r="D212" s="185">
        <v>0</v>
      </c>
    </row>
    <row r="213" spans="1:4" ht="18.75" customHeight="1" x14ac:dyDescent="0.2">
      <c r="A213" s="7" t="s">
        <v>1683</v>
      </c>
      <c r="B213" s="8" t="s">
        <v>1684</v>
      </c>
      <c r="C213" s="185">
        <v>0</v>
      </c>
      <c r="D213" s="185">
        <v>0</v>
      </c>
    </row>
    <row r="214" spans="1:4" ht="18.75" customHeight="1" x14ac:dyDescent="0.2">
      <c r="A214" s="7" t="s">
        <v>1325</v>
      </c>
      <c r="B214" s="8" t="s">
        <v>1326</v>
      </c>
      <c r="C214" s="185">
        <v>0.56540360696431269</v>
      </c>
      <c r="D214" s="185">
        <v>8.7755874719415861</v>
      </c>
    </row>
    <row r="215" spans="1:4" ht="18.75" customHeight="1" x14ac:dyDescent="0.2">
      <c r="A215" s="7" t="s">
        <v>1327</v>
      </c>
      <c r="B215" s="8" t="s">
        <v>1328</v>
      </c>
      <c r="C215" s="185">
        <v>0.56540360696431269</v>
      </c>
      <c r="D215" s="185">
        <v>8.7755874719415861</v>
      </c>
    </row>
    <row r="216" spans="1:4" ht="18.75" customHeight="1" x14ac:dyDescent="0.2">
      <c r="A216" s="7" t="s">
        <v>1329</v>
      </c>
      <c r="B216" s="8" t="s">
        <v>1330</v>
      </c>
      <c r="C216" s="185">
        <v>0</v>
      </c>
      <c r="D216" s="185">
        <v>0</v>
      </c>
    </row>
    <row r="217" spans="1:4" ht="18.75" customHeight="1" x14ac:dyDescent="0.2">
      <c r="A217" s="7" t="s">
        <v>1331</v>
      </c>
      <c r="B217" s="8" t="s">
        <v>1332</v>
      </c>
      <c r="C217" s="185">
        <v>0</v>
      </c>
      <c r="D217" s="185">
        <v>0</v>
      </c>
    </row>
    <row r="218" spans="1:4" ht="18.75" customHeight="1" x14ac:dyDescent="0.2">
      <c r="A218" s="7" t="s">
        <v>1333</v>
      </c>
      <c r="B218" s="8" t="s">
        <v>1334</v>
      </c>
      <c r="C218" s="185">
        <v>4.0689767831819164E-2</v>
      </c>
      <c r="D218" s="185">
        <v>14.951249694661144</v>
      </c>
    </row>
    <row r="219" spans="1:4" ht="18.75" customHeight="1" x14ac:dyDescent="0.2">
      <c r="A219" s="7" t="s">
        <v>1335</v>
      </c>
      <c r="B219" s="8" t="s">
        <v>1336</v>
      </c>
      <c r="C219" s="185">
        <v>2.1116159479781609E-2</v>
      </c>
      <c r="D219" s="185">
        <v>4.478599999710041</v>
      </c>
    </row>
    <row r="220" spans="1:4" ht="18.75" customHeight="1" x14ac:dyDescent="0.2">
      <c r="A220" s="7" t="s">
        <v>1337</v>
      </c>
      <c r="B220" s="8" t="s">
        <v>1336</v>
      </c>
      <c r="C220" s="185">
        <v>2.1276394495340582E-2</v>
      </c>
      <c r="D220" s="185">
        <v>4.4767154247447687</v>
      </c>
    </row>
    <row r="221" spans="1:4" ht="18.75" customHeight="1" x14ac:dyDescent="0.2">
      <c r="A221" s="7" t="s">
        <v>1338</v>
      </c>
      <c r="B221" s="8" t="s">
        <v>1339</v>
      </c>
      <c r="C221" s="185">
        <v>0.24500773226380823</v>
      </c>
      <c r="D221" s="185">
        <v>3.1677067284776661</v>
      </c>
    </row>
    <row r="222" spans="1:4" ht="18.75" customHeight="1" x14ac:dyDescent="0.2">
      <c r="A222" s="7" t="s">
        <v>1340</v>
      </c>
      <c r="B222" s="8" t="s">
        <v>1341</v>
      </c>
      <c r="C222" s="185">
        <v>0.20483446557924873</v>
      </c>
      <c r="D222" s="185">
        <v>7.1201933782386373</v>
      </c>
    </row>
    <row r="223" spans="1:4" ht="18.75" customHeight="1" x14ac:dyDescent="0.2">
      <c r="A223" s="7" t="s">
        <v>1342</v>
      </c>
      <c r="B223" s="8" t="s">
        <v>1343</v>
      </c>
      <c r="C223" s="185">
        <v>0.15723933782091931</v>
      </c>
      <c r="D223" s="185">
        <v>11.264959449721417</v>
      </c>
    </row>
    <row r="224" spans="1:4" ht="18.75" customHeight="1" x14ac:dyDescent="0.2">
      <c r="A224" s="7" t="s">
        <v>1344</v>
      </c>
      <c r="B224" s="8" t="s">
        <v>1345</v>
      </c>
      <c r="C224" s="185">
        <v>0.99596320540842853</v>
      </c>
      <c r="D224" s="185">
        <v>12.840228193856699</v>
      </c>
    </row>
    <row r="225" spans="1:4" ht="18.75" customHeight="1" x14ac:dyDescent="0.2">
      <c r="A225" s="7" t="s">
        <v>1346</v>
      </c>
      <c r="B225" s="8" t="s">
        <v>1347</v>
      </c>
      <c r="C225" s="185">
        <v>1.0021929589307164</v>
      </c>
      <c r="D225" s="185">
        <v>37.891483297565244</v>
      </c>
    </row>
    <row r="226" spans="1:4" ht="18.75" customHeight="1" x14ac:dyDescent="0.2">
      <c r="A226" s="7" t="s">
        <v>1348</v>
      </c>
      <c r="B226" s="8" t="s">
        <v>1349</v>
      </c>
      <c r="C226" s="185">
        <v>6.4601864822435823E-2</v>
      </c>
      <c r="D226" s="185">
        <v>0.26365380621448259</v>
      </c>
    </row>
    <row r="227" spans="1:4" ht="18.75" customHeight="1" x14ac:dyDescent="0.2">
      <c r="A227" s="7" t="s">
        <v>1350</v>
      </c>
      <c r="B227" s="8" t="s">
        <v>1349</v>
      </c>
      <c r="C227" s="185">
        <v>0.11467808436194618</v>
      </c>
      <c r="D227" s="185">
        <v>0.26286802038130463</v>
      </c>
    </row>
    <row r="228" spans="1:4" ht="18.75" customHeight="1" x14ac:dyDescent="0.2">
      <c r="A228" s="7" t="s">
        <v>1351</v>
      </c>
      <c r="B228" s="8" t="s">
        <v>1352</v>
      </c>
      <c r="C228" s="185">
        <v>-1.1489324392364122</v>
      </c>
      <c r="D228" s="185">
        <v>-0.86565994642871824</v>
      </c>
    </row>
    <row r="229" spans="1:4" ht="18.75" customHeight="1" x14ac:dyDescent="0.2">
      <c r="A229" s="7" t="s">
        <v>1685</v>
      </c>
      <c r="B229" s="8" t="s">
        <v>1686</v>
      </c>
      <c r="C229" s="185">
        <v>0</v>
      </c>
      <c r="D229" s="185">
        <v>0</v>
      </c>
    </row>
    <row r="230" spans="1:4" ht="18.75" customHeight="1" x14ac:dyDescent="0.2">
      <c r="A230" s="7" t="s">
        <v>1353</v>
      </c>
      <c r="B230" s="8" t="s">
        <v>1354</v>
      </c>
      <c r="C230" s="185">
        <v>1.3249441909313657</v>
      </c>
      <c r="D230" s="185">
        <v>14.363745809559184</v>
      </c>
    </row>
    <row r="231" spans="1:4" ht="18.75" customHeight="1" x14ac:dyDescent="0.2">
      <c r="A231" s="7" t="s">
        <v>1355</v>
      </c>
      <c r="B231" s="8" t="s">
        <v>1356</v>
      </c>
      <c r="C231" s="185">
        <v>3.1715596179778047</v>
      </c>
      <c r="D231" s="185">
        <v>0</v>
      </c>
    </row>
    <row r="232" spans="1:4" ht="18.75" customHeight="1" x14ac:dyDescent="0.2">
      <c r="A232" s="7" t="s">
        <v>1357</v>
      </c>
      <c r="B232" s="8" t="s">
        <v>1358</v>
      </c>
      <c r="C232" s="185">
        <v>0.39688493695975047</v>
      </c>
      <c r="D232" s="185">
        <v>4.4591013663514705</v>
      </c>
    </row>
    <row r="233" spans="1:4" ht="18.75" customHeight="1" x14ac:dyDescent="0.2">
      <c r="A233" s="7" t="s">
        <v>1359</v>
      </c>
      <c r="B233" s="8" t="s">
        <v>1360</v>
      </c>
      <c r="C233" s="185">
        <v>0.11346324458368526</v>
      </c>
      <c r="D233" s="185">
        <v>1.308474743052104</v>
      </c>
    </row>
    <row r="234" spans="1:4" ht="18.75" customHeight="1" x14ac:dyDescent="0.2">
      <c r="A234" s="7" t="s">
        <v>1361</v>
      </c>
      <c r="B234" s="8" t="s">
        <v>1362</v>
      </c>
      <c r="C234" s="185">
        <v>1.3296229728516675</v>
      </c>
      <c r="D234" s="185">
        <v>9.1364825766941102</v>
      </c>
    </row>
    <row r="235" spans="1:4" ht="18.75" customHeight="1" x14ac:dyDescent="0.2">
      <c r="A235" s="7" t="s">
        <v>1363</v>
      </c>
      <c r="B235" s="8" t="s">
        <v>1364</v>
      </c>
      <c r="C235" s="185">
        <v>1.0259711223465666</v>
      </c>
      <c r="D235" s="185">
        <v>4.471835980490404</v>
      </c>
    </row>
    <row r="236" spans="1:4" ht="18.75" customHeight="1" x14ac:dyDescent="0.2">
      <c r="A236" s="7" t="s">
        <v>1365</v>
      </c>
      <c r="B236" s="8" t="s">
        <v>1366</v>
      </c>
      <c r="C236" s="185">
        <v>0.52289455350138658</v>
      </c>
      <c r="D236" s="185">
        <v>3.7802028581699068</v>
      </c>
    </row>
    <row r="237" spans="1:4" ht="18.75" customHeight="1" x14ac:dyDescent="0.2">
      <c r="A237" s="7" t="s">
        <v>1367</v>
      </c>
      <c r="B237" s="8" t="s">
        <v>1366</v>
      </c>
      <c r="C237" s="185">
        <v>0.48040680857583673</v>
      </c>
      <c r="D237" s="185">
        <v>8.3538235007219743</v>
      </c>
    </row>
    <row r="238" spans="1:4" ht="18.75" customHeight="1" x14ac:dyDescent="0.2">
      <c r="A238" s="7" t="s">
        <v>1368</v>
      </c>
      <c r="B238" s="8" t="s">
        <v>1369</v>
      </c>
      <c r="C238" s="185">
        <v>1.1097410905199487</v>
      </c>
      <c r="D238" s="185">
        <v>4.4077675827707115</v>
      </c>
    </row>
    <row r="239" spans="1:4" ht="18.75" customHeight="1" x14ac:dyDescent="0.2">
      <c r="A239" s="7" t="s">
        <v>1370</v>
      </c>
      <c r="B239" s="8" t="s">
        <v>1371</v>
      </c>
      <c r="C239" s="185">
        <v>0.18980727104305231</v>
      </c>
      <c r="D239" s="185">
        <v>-1.6249693664901568</v>
      </c>
    </row>
    <row r="240" spans="1:4" ht="18.75" customHeight="1" x14ac:dyDescent="0.2">
      <c r="A240" s="7" t="s">
        <v>1372</v>
      </c>
      <c r="B240" s="8" t="s">
        <v>1371</v>
      </c>
      <c r="C240" s="185">
        <v>0.18980727104305231</v>
      </c>
      <c r="D240" s="185">
        <v>-1.6249693664901568</v>
      </c>
    </row>
    <row r="241" spans="1:4" ht="18.75" customHeight="1" x14ac:dyDescent="0.2">
      <c r="A241" s="7" t="s">
        <v>1373</v>
      </c>
      <c r="B241" s="8" t="s">
        <v>1134</v>
      </c>
      <c r="C241" s="185">
        <v>0.18980727104305231</v>
      </c>
      <c r="D241" s="185">
        <v>-1.6249693664901568</v>
      </c>
    </row>
    <row r="242" spans="1:4" ht="18.75" customHeight="1" x14ac:dyDescent="0.2">
      <c r="A242" s="7" t="s">
        <v>1374</v>
      </c>
      <c r="B242" s="8" t="s">
        <v>1371</v>
      </c>
      <c r="C242" s="185">
        <v>0.18980727104305231</v>
      </c>
      <c r="D242" s="185">
        <v>-1.6249693664901568</v>
      </c>
    </row>
    <row r="243" spans="1:4" ht="18.75" customHeight="1" x14ac:dyDescent="0.2">
      <c r="A243" s="7" t="s">
        <v>1375</v>
      </c>
      <c r="B243" s="8" t="s">
        <v>1376</v>
      </c>
      <c r="C243" s="185">
        <v>0.22664208361973279</v>
      </c>
      <c r="D243" s="185">
        <v>5.5561756119599354E-4</v>
      </c>
    </row>
    <row r="244" spans="1:4" ht="18.75" customHeight="1" x14ac:dyDescent="0.2">
      <c r="A244" s="7" t="s">
        <v>1377</v>
      </c>
      <c r="B244" s="8" t="s">
        <v>1378</v>
      </c>
      <c r="C244" s="185">
        <v>0.17602090976131138</v>
      </c>
      <c r="D244" s="185">
        <v>4.9271397535631527E-2</v>
      </c>
    </row>
    <row r="245" spans="1:4" ht="18.75" customHeight="1" x14ac:dyDescent="0.2">
      <c r="A245" s="7" t="s">
        <v>1379</v>
      </c>
      <c r="B245" s="8" t="s">
        <v>1380</v>
      </c>
      <c r="C245" s="185">
        <v>11.913198652105914</v>
      </c>
      <c r="D245" s="185">
        <v>-1.7358607927445924</v>
      </c>
    </row>
    <row r="246" spans="1:4" ht="18.75" customHeight="1" x14ac:dyDescent="0.2">
      <c r="A246" s="7" t="s">
        <v>1381</v>
      </c>
      <c r="B246" s="8" t="s">
        <v>1382</v>
      </c>
      <c r="C246" s="185">
        <v>0.50829105019221121</v>
      </c>
      <c r="D246" s="185">
        <v>-1.7996997659598517</v>
      </c>
    </row>
    <row r="247" spans="1:4" ht="18.75" customHeight="1" x14ac:dyDescent="0.2">
      <c r="A247" s="7" t="s">
        <v>1383</v>
      </c>
      <c r="B247" s="8" t="s">
        <v>1384</v>
      </c>
      <c r="C247" s="185">
        <v>0.14090036221197499</v>
      </c>
      <c r="D247" s="185">
        <v>1.6351877919656104</v>
      </c>
    </row>
    <row r="248" spans="1:4" ht="18.75" customHeight="1" x14ac:dyDescent="0.2">
      <c r="A248" s="7" t="s">
        <v>1385</v>
      </c>
      <c r="B248" s="8" t="s">
        <v>1386</v>
      </c>
      <c r="C248" s="185">
        <v>0.44170789022422308</v>
      </c>
      <c r="D248" s="185">
        <v>6.3906566845084116</v>
      </c>
    </row>
    <row r="249" spans="1:4" ht="18.75" customHeight="1" x14ac:dyDescent="0.2">
      <c r="A249" s="7" t="s">
        <v>1387</v>
      </c>
      <c r="B249" s="8" t="s">
        <v>1388</v>
      </c>
      <c r="C249" s="185">
        <v>0.20445577874953166</v>
      </c>
      <c r="D249" s="185">
        <v>4.6640951978366207E-2</v>
      </c>
    </row>
    <row r="250" spans="1:4" ht="18.75" customHeight="1" x14ac:dyDescent="0.2">
      <c r="A250" s="7" t="s">
        <v>1389</v>
      </c>
      <c r="B250" s="8" t="s">
        <v>1390</v>
      </c>
      <c r="C250" s="185">
        <v>0.2659670553994759</v>
      </c>
      <c r="D250" s="185">
        <v>7.6251801656553262</v>
      </c>
    </row>
    <row r="251" spans="1:4" ht="18.75" customHeight="1" x14ac:dyDescent="0.2">
      <c r="A251" s="7" t="s">
        <v>1391</v>
      </c>
      <c r="B251" s="8" t="s">
        <v>1392</v>
      </c>
      <c r="C251" s="185">
        <v>0.56767236486151185</v>
      </c>
      <c r="D251" s="185">
        <v>9.2738619590159317</v>
      </c>
    </row>
    <row r="252" spans="1:4" ht="18.75" customHeight="1" x14ac:dyDescent="0.2">
      <c r="A252" s="7" t="s">
        <v>1393</v>
      </c>
      <c r="B252" s="8" t="s">
        <v>1394</v>
      </c>
      <c r="C252" s="185">
        <v>0.70611851229579126</v>
      </c>
      <c r="D252" s="185">
        <v>6.7213345297530243</v>
      </c>
    </row>
    <row r="253" spans="1:4" ht="18.75" customHeight="1" x14ac:dyDescent="0.2">
      <c r="A253" s="7" t="s">
        <v>1395</v>
      </c>
      <c r="B253" s="8" t="s">
        <v>1396</v>
      </c>
      <c r="C253" s="185">
        <v>2.0509688047719923</v>
      </c>
      <c r="D253" s="185">
        <v>18.515795714017397</v>
      </c>
    </row>
    <row r="254" spans="1:4" ht="18.75" customHeight="1" x14ac:dyDescent="0.2">
      <c r="A254" s="7" t="s">
        <v>1397</v>
      </c>
      <c r="B254" s="8" t="s">
        <v>1398</v>
      </c>
      <c r="C254" s="185">
        <v>1.463197541368481</v>
      </c>
      <c r="D254" s="185">
        <v>7.2697468029993324</v>
      </c>
    </row>
    <row r="255" spans="1:4" ht="18.75" customHeight="1" x14ac:dyDescent="0.2">
      <c r="A255" s="7" t="s">
        <v>1399</v>
      </c>
      <c r="B255" s="8" t="s">
        <v>1400</v>
      </c>
      <c r="C255" s="185">
        <v>0.44492443336777404</v>
      </c>
      <c r="D255" s="185">
        <v>14.467951460404073</v>
      </c>
    </row>
    <row r="256" spans="1:4" ht="18.75" customHeight="1" x14ac:dyDescent="0.2">
      <c r="A256" s="7" t="s">
        <v>1401</v>
      </c>
      <c r="B256" s="8" t="s">
        <v>1402</v>
      </c>
      <c r="C256" s="185">
        <v>0.42547771583998945</v>
      </c>
      <c r="D256" s="185">
        <v>6.8201877319486375</v>
      </c>
    </row>
    <row r="257" spans="1:4" ht="18.75" customHeight="1" x14ac:dyDescent="0.2">
      <c r="A257" s="7" t="s">
        <v>1403</v>
      </c>
      <c r="B257" s="8" t="s">
        <v>1404</v>
      </c>
      <c r="C257" s="185">
        <v>0.21540356742767783</v>
      </c>
      <c r="D257" s="185">
        <v>3.4472686529774042E-4</v>
      </c>
    </row>
    <row r="258" spans="1:4" ht="18.75" customHeight="1" x14ac:dyDescent="0.2">
      <c r="A258" s="7" t="s">
        <v>1405</v>
      </c>
      <c r="B258" s="8" t="s">
        <v>1406</v>
      </c>
      <c r="C258" s="185">
        <v>1.6725127867400067</v>
      </c>
      <c r="D258" s="185">
        <v>8.2278141438836592</v>
      </c>
    </row>
    <row r="259" spans="1:4" ht="18.75" customHeight="1" x14ac:dyDescent="0.2">
      <c r="A259" s="7" t="s">
        <v>1407</v>
      </c>
      <c r="B259" s="8" t="s">
        <v>1408</v>
      </c>
      <c r="C259" s="185">
        <v>0</v>
      </c>
      <c r="D259" s="185">
        <v>1.2646330834469345E-2</v>
      </c>
    </row>
    <row r="260" spans="1:4" ht="18.75" customHeight="1" x14ac:dyDescent="0.2">
      <c r="A260" s="7" t="s">
        <v>1409</v>
      </c>
      <c r="B260" s="8" t="s">
        <v>1408</v>
      </c>
      <c r="C260" s="185">
        <v>0</v>
      </c>
      <c r="D260" s="185">
        <v>1.2646015447449548E-2</v>
      </c>
    </row>
    <row r="261" spans="1:4" ht="18.75" customHeight="1" x14ac:dyDescent="0.2">
      <c r="A261" s="7" t="s">
        <v>1410</v>
      </c>
      <c r="B261" s="8" t="s">
        <v>1411</v>
      </c>
      <c r="C261" s="185">
        <v>0.23103046887325862</v>
      </c>
      <c r="D261" s="185">
        <v>5.7895113462133249E-4</v>
      </c>
    </row>
    <row r="262" spans="1:4" ht="18.75" customHeight="1" x14ac:dyDescent="0.2">
      <c r="A262" s="7" t="s">
        <v>1412</v>
      </c>
      <c r="B262" s="8" t="s">
        <v>1413</v>
      </c>
      <c r="C262" s="185">
        <v>0.54574492360144833</v>
      </c>
      <c r="D262" s="185">
        <v>19.018944560328464</v>
      </c>
    </row>
    <row r="263" spans="1:4" ht="18.75" customHeight="1" x14ac:dyDescent="0.2">
      <c r="A263" s="7" t="s">
        <v>1414</v>
      </c>
      <c r="B263" s="8" t="s">
        <v>1415</v>
      </c>
      <c r="C263" s="185">
        <v>6.4519037733930348E-2</v>
      </c>
      <c r="D263" s="185">
        <v>14.170585282079545</v>
      </c>
    </row>
    <row r="264" spans="1:4" ht="18.75" customHeight="1" x14ac:dyDescent="0.2">
      <c r="A264" s="7" t="s">
        <v>1416</v>
      </c>
      <c r="B264" s="8" t="s">
        <v>1417</v>
      </c>
      <c r="C264" s="185">
        <v>0.16753835533486935</v>
      </c>
      <c r="D264" s="185">
        <v>11.134199369567702</v>
      </c>
    </row>
    <row r="265" spans="1:4" ht="18.75" customHeight="1" x14ac:dyDescent="0.2">
      <c r="A265" s="7" t="s">
        <v>1418</v>
      </c>
      <c r="B265" s="8" t="s">
        <v>1419</v>
      </c>
      <c r="C265" s="185">
        <v>0.24145531446212859</v>
      </c>
      <c r="D265" s="185">
        <v>14.615602041233828</v>
      </c>
    </row>
    <row r="266" spans="1:4" ht="18.75" customHeight="1" x14ac:dyDescent="0.2">
      <c r="A266" s="7" t="s">
        <v>1420</v>
      </c>
      <c r="B266" s="8" t="s">
        <v>1421</v>
      </c>
      <c r="C266" s="185">
        <v>0.36989835159591938</v>
      </c>
      <c r="D266" s="185">
        <v>-3.091709369617984</v>
      </c>
    </row>
    <row r="267" spans="1:4" ht="18.75" customHeight="1" x14ac:dyDescent="0.2">
      <c r="A267" s="7" t="s">
        <v>1422</v>
      </c>
      <c r="B267" s="8" t="s">
        <v>1423</v>
      </c>
      <c r="C267" s="185">
        <v>0.23022293084599579</v>
      </c>
      <c r="D267" s="185">
        <v>6.2350314386018448</v>
      </c>
    </row>
    <row r="268" spans="1:4" ht="18.75" customHeight="1" x14ac:dyDescent="0.2">
      <c r="A268" s="7" t="s">
        <v>1424</v>
      </c>
      <c r="B268" s="8" t="s">
        <v>1425</v>
      </c>
      <c r="C268" s="185">
        <v>0.13121358954886828</v>
      </c>
      <c r="D268" s="185">
        <v>20.088164584860071</v>
      </c>
    </row>
    <row r="269" spans="1:4" ht="18.75" customHeight="1" x14ac:dyDescent="0.2">
      <c r="A269" s="7" t="s">
        <v>1426</v>
      </c>
      <c r="B269" s="8" t="s">
        <v>1427</v>
      </c>
      <c r="C269" s="185">
        <v>0</v>
      </c>
      <c r="D269" s="185">
        <v>1.2648040406703476E-2</v>
      </c>
    </row>
    <row r="270" spans="1:4" ht="18.75" customHeight="1" x14ac:dyDescent="0.2">
      <c r="A270" s="7" t="s">
        <v>1428</v>
      </c>
      <c r="B270" s="8" t="s">
        <v>1429</v>
      </c>
      <c r="C270" s="185">
        <v>0.12672101288167656</v>
      </c>
      <c r="D270" s="185">
        <v>6.7300022397460415</v>
      </c>
    </row>
    <row r="271" spans="1:4" ht="18.75" customHeight="1" x14ac:dyDescent="0.2">
      <c r="A271" s="7" t="s">
        <v>1430</v>
      </c>
      <c r="B271" s="8" t="s">
        <v>1286</v>
      </c>
      <c r="C271" s="185">
        <v>0</v>
      </c>
      <c r="D271" s="185">
        <v>0</v>
      </c>
    </row>
    <row r="272" spans="1:4" ht="18.75" customHeight="1" x14ac:dyDescent="0.2">
      <c r="A272" s="7" t="s">
        <v>1431</v>
      </c>
      <c r="B272" s="8" t="s">
        <v>1432</v>
      </c>
      <c r="C272" s="185">
        <v>0.63669408834898622</v>
      </c>
      <c r="D272" s="185">
        <v>10.55990028963816</v>
      </c>
    </row>
    <row r="273" spans="1:4" ht="18.75" customHeight="1" x14ac:dyDescent="0.2">
      <c r="A273" s="7" t="s">
        <v>1433</v>
      </c>
      <c r="B273" s="8" t="s">
        <v>1434</v>
      </c>
      <c r="C273" s="185">
        <v>0.86334722718683499</v>
      </c>
      <c r="D273" s="185">
        <v>6.8770422269637868</v>
      </c>
    </row>
    <row r="274" spans="1:4" ht="18.75" customHeight="1" x14ac:dyDescent="0.2">
      <c r="A274" s="7" t="s">
        <v>1435</v>
      </c>
      <c r="B274" s="8" t="s">
        <v>1436</v>
      </c>
      <c r="C274" s="185">
        <v>0.46206267091459341</v>
      </c>
      <c r="D274" s="185">
        <v>4.1520769060902349</v>
      </c>
    </row>
    <row r="275" spans="1:4" ht="18.75" customHeight="1" x14ac:dyDescent="0.2">
      <c r="A275" s="7" t="s">
        <v>1687</v>
      </c>
      <c r="B275" s="8" t="s">
        <v>1688</v>
      </c>
      <c r="C275" s="185">
        <v>0</v>
      </c>
      <c r="D275" s="185">
        <v>0</v>
      </c>
    </row>
    <row r="276" spans="1:4" ht="18.75" customHeight="1" x14ac:dyDescent="0.2">
      <c r="A276" s="7" t="s">
        <v>1437</v>
      </c>
      <c r="B276" s="8" t="s">
        <v>1438</v>
      </c>
      <c r="C276" s="185">
        <v>0</v>
      </c>
      <c r="D276" s="185">
        <v>2.5426266817789488E-2</v>
      </c>
    </row>
    <row r="277" spans="1:4" ht="18.75" customHeight="1" x14ac:dyDescent="0.2">
      <c r="A277" s="7" t="s">
        <v>1439</v>
      </c>
      <c r="B277" s="8" t="s">
        <v>1440</v>
      </c>
      <c r="C277" s="185">
        <v>0.42582468754743846</v>
      </c>
      <c r="D277" s="185">
        <v>16.849961721765172</v>
      </c>
    </row>
    <row r="278" spans="1:4" ht="18.75" customHeight="1" x14ac:dyDescent="0.2">
      <c r="A278" s="7" t="s">
        <v>1441</v>
      </c>
      <c r="B278" s="8" t="s">
        <v>1442</v>
      </c>
      <c r="C278" s="185">
        <v>0.17560598519844542</v>
      </c>
      <c r="D278" s="185">
        <v>2.0761925774470371</v>
      </c>
    </row>
    <row r="279" spans="1:4" ht="18.75" customHeight="1" x14ac:dyDescent="0.2">
      <c r="A279" s="7" t="s">
        <v>1443</v>
      </c>
      <c r="B279" s="8" t="s">
        <v>1444</v>
      </c>
      <c r="C279" s="185">
        <v>0.94170997939704348</v>
      </c>
      <c r="D279" s="185">
        <v>-3.6524864964852605E-2</v>
      </c>
    </row>
    <row r="280" spans="1:4" ht="18.75" customHeight="1" x14ac:dyDescent="0.2">
      <c r="A280" s="7" t="s">
        <v>1445</v>
      </c>
      <c r="B280" s="8" t="s">
        <v>1446</v>
      </c>
      <c r="C280" s="185">
        <v>0.14488963587033282</v>
      </c>
      <c r="D280" s="185">
        <v>0.52205971757867342</v>
      </c>
    </row>
    <row r="281" spans="1:4" ht="18.75" customHeight="1" x14ac:dyDescent="0.2">
      <c r="A281" s="7" t="s">
        <v>1447</v>
      </c>
      <c r="B281" s="8" t="s">
        <v>1448</v>
      </c>
      <c r="C281" s="185">
        <v>0.7946356048191382</v>
      </c>
      <c r="D281" s="185">
        <v>6.4961531825878369</v>
      </c>
    </row>
    <row r="282" spans="1:4" ht="18.75" customHeight="1" x14ac:dyDescent="0.2">
      <c r="A282" s="7" t="s">
        <v>1449</v>
      </c>
      <c r="B282" s="8" t="s">
        <v>1450</v>
      </c>
      <c r="C282" s="185">
        <v>0.76595564620094103</v>
      </c>
      <c r="D282" s="185">
        <v>10.680066087495378</v>
      </c>
    </row>
    <row r="283" spans="1:4" ht="18.75" customHeight="1" x14ac:dyDescent="0.2">
      <c r="A283" s="7" t="s">
        <v>1451</v>
      </c>
      <c r="B283" s="8" t="s">
        <v>1452</v>
      </c>
      <c r="C283" s="185">
        <v>0.22277429536742155</v>
      </c>
      <c r="D283" s="185">
        <v>5.8169868901395914</v>
      </c>
    </row>
    <row r="284" spans="1:4" ht="18.75" customHeight="1" x14ac:dyDescent="0.2">
      <c r="A284" s="7" t="s">
        <v>1453</v>
      </c>
      <c r="B284" s="8" t="s">
        <v>1452</v>
      </c>
      <c r="C284" s="185">
        <v>0.22264655014041512</v>
      </c>
      <c r="D284" s="185">
        <v>5.5485582189792684</v>
      </c>
    </row>
    <row r="285" spans="1:4" ht="18.75" customHeight="1" x14ac:dyDescent="0.2">
      <c r="A285" s="7" t="s">
        <v>1454</v>
      </c>
      <c r="B285" s="8" t="s">
        <v>1455</v>
      </c>
      <c r="C285" s="185">
        <v>2.969664606744055E-2</v>
      </c>
      <c r="D285" s="185">
        <v>7.4153769062920833</v>
      </c>
    </row>
    <row r="286" spans="1:4" ht="18.75" customHeight="1" x14ac:dyDescent="0.2">
      <c r="A286" s="7" t="s">
        <v>1689</v>
      </c>
      <c r="B286" s="8" t="s">
        <v>1690</v>
      </c>
      <c r="C286" s="185">
        <v>0</v>
      </c>
      <c r="D286" s="185">
        <v>0</v>
      </c>
    </row>
    <row r="287" spans="1:4" ht="18.75" customHeight="1" x14ac:dyDescent="0.2">
      <c r="A287" s="7" t="s">
        <v>1456</v>
      </c>
      <c r="B287" s="8" t="s">
        <v>1457</v>
      </c>
      <c r="C287" s="185">
        <v>1.1686924293086607E-2</v>
      </c>
      <c r="D287" s="185">
        <v>1.802066058063625</v>
      </c>
    </row>
    <row r="288" spans="1:4" ht="18.75" customHeight="1" x14ac:dyDescent="0.2">
      <c r="A288" s="7" t="s">
        <v>1458</v>
      </c>
      <c r="B288" s="8" t="s">
        <v>1459</v>
      </c>
      <c r="C288" s="185">
        <v>0.79154231001734232</v>
      </c>
      <c r="D288" s="185">
        <v>11.338375373954575</v>
      </c>
    </row>
    <row r="289" spans="1:4" ht="18.75" customHeight="1" x14ac:dyDescent="0.2">
      <c r="A289" s="7" t="s">
        <v>1460</v>
      </c>
      <c r="B289" s="8" t="s">
        <v>1461</v>
      </c>
      <c r="C289" s="185">
        <v>7.0774428661002187</v>
      </c>
      <c r="D289" s="185">
        <v>3.5307002474896332</v>
      </c>
    </row>
    <row r="290" spans="1:4" ht="18.75" customHeight="1" x14ac:dyDescent="0.2">
      <c r="A290" s="7" t="s">
        <v>1462</v>
      </c>
      <c r="B290" s="8" t="s">
        <v>1463</v>
      </c>
      <c r="C290" s="185">
        <v>0.16440693078133733</v>
      </c>
      <c r="D290" s="185">
        <v>0.41539639191237415</v>
      </c>
    </row>
    <row r="291" spans="1:4" ht="18.75" customHeight="1" x14ac:dyDescent="0.2">
      <c r="A291" s="7" t="s">
        <v>1464</v>
      </c>
      <c r="B291" s="8" t="s">
        <v>1465</v>
      </c>
      <c r="C291" s="185">
        <v>0.33260880288584238</v>
      </c>
      <c r="D291" s="185">
        <v>5.2657204868587293</v>
      </c>
    </row>
    <row r="292" spans="1:4" ht="18.75" customHeight="1" x14ac:dyDescent="0.2">
      <c r="A292" s="7" t="s">
        <v>1466</v>
      </c>
      <c r="B292" s="8" t="s">
        <v>1465</v>
      </c>
      <c r="C292" s="185">
        <v>0.71147701207426928</v>
      </c>
      <c r="D292" s="185">
        <v>3.0467993360625445</v>
      </c>
    </row>
    <row r="293" spans="1:4" ht="18.75" customHeight="1" x14ac:dyDescent="0.2">
      <c r="A293" s="7" t="s">
        <v>1467</v>
      </c>
      <c r="B293" s="8" t="s">
        <v>1468</v>
      </c>
      <c r="C293" s="185">
        <v>8.7128372201955298</v>
      </c>
      <c r="D293" s="185">
        <v>9.8908744146430845</v>
      </c>
    </row>
    <row r="294" spans="1:4" ht="18.75" customHeight="1" x14ac:dyDescent="0.2">
      <c r="A294" s="7" t="s">
        <v>1469</v>
      </c>
      <c r="B294" s="8" t="s">
        <v>1470</v>
      </c>
      <c r="C294" s="185">
        <v>0.12499746803090687</v>
      </c>
      <c r="D294" s="185">
        <v>5.1371265929965926</v>
      </c>
    </row>
    <row r="295" spans="1:4" ht="18.75" customHeight="1" x14ac:dyDescent="0.2">
      <c r="A295" s="7" t="s">
        <v>1691</v>
      </c>
      <c r="B295" s="8" t="s">
        <v>1692</v>
      </c>
      <c r="C295" s="185">
        <v>0</v>
      </c>
      <c r="D295" s="185">
        <v>0</v>
      </c>
    </row>
    <row r="296" spans="1:4" ht="18.75" customHeight="1" x14ac:dyDescent="0.2">
      <c r="A296" s="7" t="s">
        <v>1471</v>
      </c>
      <c r="B296" s="8" t="s">
        <v>1472</v>
      </c>
      <c r="C296" s="185">
        <v>4.477551268711494</v>
      </c>
      <c r="D296" s="185">
        <v>16.58663249915648</v>
      </c>
    </row>
    <row r="297" spans="1:4" ht="18.75" customHeight="1" x14ac:dyDescent="0.2">
      <c r="A297" s="7" t="s">
        <v>1473</v>
      </c>
      <c r="B297" s="8" t="s">
        <v>1474</v>
      </c>
      <c r="C297" s="185">
        <v>0.30615100603760337</v>
      </c>
      <c r="D297" s="185">
        <v>3.8943075509993057</v>
      </c>
    </row>
    <row r="298" spans="1:4" ht="18.75" customHeight="1" x14ac:dyDescent="0.2">
      <c r="A298" s="7" t="s">
        <v>1475</v>
      </c>
      <c r="B298" s="8" t="s">
        <v>1476</v>
      </c>
      <c r="C298" s="185">
        <v>3.6374475312968841</v>
      </c>
      <c r="D298" s="185">
        <v>-1.5813027335797052</v>
      </c>
    </row>
    <row r="299" spans="1:4" ht="18.75" customHeight="1" x14ac:dyDescent="0.2">
      <c r="A299" s="7" t="s">
        <v>1477</v>
      </c>
      <c r="B299" s="8" t="s">
        <v>1478</v>
      </c>
      <c r="C299" s="185">
        <v>0.66267158986659469</v>
      </c>
      <c r="D299" s="185">
        <v>19.695446112325836</v>
      </c>
    </row>
    <row r="300" spans="1:4" ht="18.75" customHeight="1" x14ac:dyDescent="0.2">
      <c r="A300" s="7" t="s">
        <v>1479</v>
      </c>
      <c r="B300" s="8" t="s">
        <v>1480</v>
      </c>
      <c r="C300" s="185">
        <v>0.81628876267502515</v>
      </c>
      <c r="D300" s="185">
        <v>4.2158676668303814</v>
      </c>
    </row>
    <row r="301" spans="1:4" ht="18.75" customHeight="1" x14ac:dyDescent="0.2">
      <c r="A301" s="7" t="s">
        <v>1481</v>
      </c>
      <c r="B301" s="8" t="s">
        <v>1482</v>
      </c>
      <c r="C301" s="185">
        <v>0.44738492723935946</v>
      </c>
      <c r="D301" s="185">
        <v>1.9446462179121708</v>
      </c>
    </row>
    <row r="302" spans="1:4" ht="18.75" customHeight="1" x14ac:dyDescent="0.2">
      <c r="A302" s="7" t="s">
        <v>1483</v>
      </c>
      <c r="B302" s="8" t="s">
        <v>1484</v>
      </c>
      <c r="C302" s="185">
        <v>0.87501136203075303</v>
      </c>
      <c r="D302" s="185">
        <v>6.2947156590875677</v>
      </c>
    </row>
    <row r="303" spans="1:4" ht="18.75" customHeight="1" x14ac:dyDescent="0.2">
      <c r="A303" s="7" t="s">
        <v>1485</v>
      </c>
      <c r="B303" s="8" t="s">
        <v>1486</v>
      </c>
      <c r="C303" s="185">
        <v>6.0056433467799882E-2</v>
      </c>
      <c r="D303" s="185">
        <v>1.0857566028508414</v>
      </c>
    </row>
    <row r="304" spans="1:4" ht="18.75" customHeight="1" x14ac:dyDescent="0.2">
      <c r="A304" s="7" t="s">
        <v>1487</v>
      </c>
      <c r="B304" s="8" t="s">
        <v>1486</v>
      </c>
      <c r="C304" s="185">
        <v>6.0047030751441403E-2</v>
      </c>
      <c r="D304" s="185">
        <v>1.0865993648925429</v>
      </c>
    </row>
    <row r="305" spans="1:4" ht="18.75" customHeight="1" x14ac:dyDescent="0.2">
      <c r="A305" s="7" t="s">
        <v>1488</v>
      </c>
      <c r="B305" s="8" t="s">
        <v>1489</v>
      </c>
      <c r="C305" s="185">
        <v>0.69629900856125615</v>
      </c>
      <c r="D305" s="185">
        <v>15.903231772389008</v>
      </c>
    </row>
    <row r="306" spans="1:4" ht="18.75" customHeight="1" x14ac:dyDescent="0.2">
      <c r="A306" s="7" t="s">
        <v>1490</v>
      </c>
      <c r="B306" s="8" t="s">
        <v>1491</v>
      </c>
      <c r="C306" s="185">
        <v>0.20293673231501674</v>
      </c>
      <c r="D306" s="185">
        <v>1.1584784253300273</v>
      </c>
    </row>
    <row r="307" spans="1:4" ht="18.75" customHeight="1" x14ac:dyDescent="0.2">
      <c r="A307" s="7" t="s">
        <v>1492</v>
      </c>
      <c r="B307" s="8" t="s">
        <v>1493</v>
      </c>
      <c r="C307" s="185">
        <v>0</v>
      </c>
      <c r="D307" s="185">
        <v>9.6719512387600002</v>
      </c>
    </row>
    <row r="308" spans="1:4" ht="18.75" customHeight="1" x14ac:dyDescent="0.2">
      <c r="A308" s="7" t="s">
        <v>1494</v>
      </c>
      <c r="B308" s="8" t="s">
        <v>1495</v>
      </c>
      <c r="C308" s="185">
        <v>0.99367536958958291</v>
      </c>
      <c r="D308" s="185">
        <v>3.5590632187536296E-2</v>
      </c>
    </row>
    <row r="309" spans="1:4" ht="18.75" customHeight="1" x14ac:dyDescent="0.2">
      <c r="A309" s="7" t="s">
        <v>1496</v>
      </c>
      <c r="B309" s="8" t="s">
        <v>1497</v>
      </c>
      <c r="C309" s="185">
        <v>0.77898248834753203</v>
      </c>
      <c r="D309" s="185">
        <v>10.316204117591552</v>
      </c>
    </row>
    <row r="310" spans="1:4" ht="18.75" customHeight="1" x14ac:dyDescent="0.2">
      <c r="A310" s="7" t="s">
        <v>1498</v>
      </c>
      <c r="B310" s="8" t="s">
        <v>1499</v>
      </c>
      <c r="C310" s="185">
        <v>1.7965729873043521</v>
      </c>
      <c r="D310" s="185">
        <v>1.1780475793827698E-2</v>
      </c>
    </row>
    <row r="311" spans="1:4" ht="18.75" customHeight="1" x14ac:dyDescent="0.2">
      <c r="A311" s="7" t="s">
        <v>1693</v>
      </c>
      <c r="B311" s="8" t="s">
        <v>1694</v>
      </c>
      <c r="C311" s="185">
        <v>0</v>
      </c>
      <c r="D311" s="185">
        <v>2.6111667040131864E-4</v>
      </c>
    </row>
    <row r="312" spans="1:4" ht="18.75" customHeight="1" x14ac:dyDescent="0.2">
      <c r="A312" s="7" t="s">
        <v>1500</v>
      </c>
      <c r="B312" s="8" t="s">
        <v>1501</v>
      </c>
      <c r="C312" s="185">
        <v>7.5129908528847697E-2</v>
      </c>
      <c r="D312" s="185">
        <v>5.3625419034643721E-3</v>
      </c>
    </row>
    <row r="313" spans="1:4" ht="18.75" customHeight="1" x14ac:dyDescent="0.2">
      <c r="A313" s="7" t="s">
        <v>1502</v>
      </c>
      <c r="B313" s="8" t="s">
        <v>1503</v>
      </c>
      <c r="C313" s="185">
        <v>0.19043528997742917</v>
      </c>
      <c r="D313" s="185">
        <v>11.178206948545485</v>
      </c>
    </row>
    <row r="314" spans="1:4" ht="18.75" customHeight="1" x14ac:dyDescent="0.2">
      <c r="A314" s="7" t="s">
        <v>1504</v>
      </c>
      <c r="B314" s="8" t="s">
        <v>1505</v>
      </c>
      <c r="C314" s="185">
        <v>0.98687689726316274</v>
      </c>
      <c r="D314" s="185">
        <v>19.439468006455662</v>
      </c>
    </row>
    <row r="315" spans="1:4" ht="18.75" customHeight="1" x14ac:dyDescent="0.2">
      <c r="A315" s="7" t="s">
        <v>1506</v>
      </c>
      <c r="B315" s="8" t="s">
        <v>1507</v>
      </c>
      <c r="C315" s="185">
        <v>1.3433550294346326</v>
      </c>
      <c r="D315" s="185">
        <v>3.6116558548462856</v>
      </c>
    </row>
    <row r="316" spans="1:4" ht="18.75" customHeight="1" x14ac:dyDescent="0.2">
      <c r="A316" s="7" t="s">
        <v>1695</v>
      </c>
      <c r="B316" s="8" t="s">
        <v>1696</v>
      </c>
      <c r="C316" s="185">
        <v>0</v>
      </c>
      <c r="D316" s="185">
        <v>0</v>
      </c>
    </row>
    <row r="317" spans="1:4" ht="18.75" customHeight="1" x14ac:dyDescent="0.2">
      <c r="A317" s="7" t="s">
        <v>1508</v>
      </c>
      <c r="B317" s="8" t="s">
        <v>1509</v>
      </c>
      <c r="C317" s="185">
        <v>1.9824747141495505</v>
      </c>
      <c r="D317" s="185">
        <v>6.103372104366259</v>
      </c>
    </row>
    <row r="318" spans="1:4" ht="18.75" customHeight="1" x14ac:dyDescent="0.2">
      <c r="A318" s="7" t="s">
        <v>1510</v>
      </c>
      <c r="B318" s="8" t="s">
        <v>1511</v>
      </c>
      <c r="C318" s="185">
        <v>1.738476547372193</v>
      </c>
      <c r="D318" s="185">
        <v>10.777942682016345</v>
      </c>
    </row>
    <row r="319" spans="1:4" ht="18.75" customHeight="1" x14ac:dyDescent="0.2">
      <c r="A319" s="7" t="s">
        <v>1512</v>
      </c>
      <c r="B319" s="8" t="s">
        <v>1513</v>
      </c>
      <c r="C319" s="185">
        <v>0.21536462759998484</v>
      </c>
      <c r="D319" s="185">
        <v>3.4445012305006222E-4</v>
      </c>
    </row>
    <row r="320" spans="1:4" ht="18.75" customHeight="1" x14ac:dyDescent="0.2">
      <c r="A320" s="7" t="s">
        <v>1514</v>
      </c>
      <c r="B320" s="8" t="s">
        <v>1515</v>
      </c>
      <c r="C320" s="185">
        <v>0.21536462759998484</v>
      </c>
      <c r="D320" s="185">
        <v>3.4445012305006222E-4</v>
      </c>
    </row>
    <row r="321" spans="1:4" ht="18.75" customHeight="1" x14ac:dyDescent="0.2">
      <c r="A321" s="7" t="s">
        <v>1516</v>
      </c>
      <c r="B321" s="8" t="s">
        <v>1517</v>
      </c>
      <c r="C321" s="185">
        <v>6.1964648204590231E-2</v>
      </c>
      <c r="D321" s="185">
        <v>2.3737082931873461</v>
      </c>
    </row>
    <row r="322" spans="1:4" ht="18.75" customHeight="1" x14ac:dyDescent="0.2">
      <c r="A322" s="7" t="s">
        <v>1518</v>
      </c>
      <c r="B322" s="8" t="s">
        <v>1519</v>
      </c>
      <c r="C322" s="185">
        <v>0.59301439249837662</v>
      </c>
      <c r="D322" s="185">
        <v>1.365037577426697</v>
      </c>
    </row>
    <row r="323" spans="1:4" ht="18.75" customHeight="1" x14ac:dyDescent="0.2">
      <c r="A323" s="7" t="s">
        <v>1520</v>
      </c>
      <c r="B323" s="8" t="s">
        <v>1519</v>
      </c>
      <c r="C323" s="185">
        <v>5.0759906571038051E-2</v>
      </c>
      <c r="D323" s="185">
        <v>0.32226751586374508</v>
      </c>
    </row>
    <row r="324" spans="1:4" ht="18.75" customHeight="1" x14ac:dyDescent="0.2">
      <c r="A324" s="7" t="s">
        <v>1521</v>
      </c>
      <c r="B324" s="8" t="s">
        <v>1522</v>
      </c>
      <c r="C324" s="185">
        <v>9.8160799345722305E-2</v>
      </c>
      <c r="D324" s="185">
        <v>2.03039506569425</v>
      </c>
    </row>
    <row r="325" spans="1:4" ht="18.75" customHeight="1" x14ac:dyDescent="0.2">
      <c r="A325" s="7" t="s">
        <v>1523</v>
      </c>
      <c r="B325" s="8" t="s">
        <v>1524</v>
      </c>
      <c r="C325" s="185">
        <v>3.053017556755822</v>
      </c>
      <c r="D325" s="185">
        <v>1.306287998312341</v>
      </c>
    </row>
    <row r="326" spans="1:4" ht="18.75" customHeight="1" x14ac:dyDescent="0.2">
      <c r="A326" s="7" t="s">
        <v>1525</v>
      </c>
      <c r="B326" s="8" t="s">
        <v>1526</v>
      </c>
      <c r="C326" s="185">
        <v>5.2919696444661893E-2</v>
      </c>
      <c r="D326" s="185">
        <v>7.3126333470618858</v>
      </c>
    </row>
    <row r="327" spans="1:4" ht="18.75" customHeight="1" x14ac:dyDescent="0.2">
      <c r="A327" s="7" t="s">
        <v>1527</v>
      </c>
      <c r="B327" s="8" t="s">
        <v>1528</v>
      </c>
      <c r="C327" s="185">
        <v>0.21482119087979046</v>
      </c>
      <c r="D327" s="185">
        <v>6.1320582921661098</v>
      </c>
    </row>
    <row r="328" spans="1:4" ht="18.75" customHeight="1" x14ac:dyDescent="0.2">
      <c r="A328" s="7" t="s">
        <v>1529</v>
      </c>
      <c r="B328" s="8" t="s">
        <v>1528</v>
      </c>
      <c r="C328" s="185">
        <v>0.21819027528481566</v>
      </c>
      <c r="D328" s="185">
        <v>6.2107592823627531</v>
      </c>
    </row>
    <row r="329" spans="1:4" ht="18.75" customHeight="1" x14ac:dyDescent="0.2">
      <c r="A329" s="7" t="s">
        <v>1530</v>
      </c>
      <c r="B329" s="8" t="s">
        <v>1531</v>
      </c>
      <c r="C329" s="185">
        <v>0.19604331027293145</v>
      </c>
      <c r="D329" s="185">
        <v>2.0838639579965976</v>
      </c>
    </row>
    <row r="330" spans="1:4" ht="18.75" customHeight="1" x14ac:dyDescent="0.2">
      <c r="A330" s="7" t="s">
        <v>1532</v>
      </c>
      <c r="B330" s="8" t="s">
        <v>1531</v>
      </c>
      <c r="C330" s="185">
        <v>0.19465813349377459</v>
      </c>
      <c r="D330" s="185">
        <v>1.6566449242704191</v>
      </c>
    </row>
    <row r="331" spans="1:4" ht="18.75" customHeight="1" x14ac:dyDescent="0.2">
      <c r="A331" s="7" t="s">
        <v>1533</v>
      </c>
      <c r="B331" s="8" t="s">
        <v>1534</v>
      </c>
      <c r="C331" s="185">
        <v>0.11449713576929492</v>
      </c>
      <c r="D331" s="185">
        <v>-9.5586374150488981E-3</v>
      </c>
    </row>
    <row r="332" spans="1:4" ht="18.75" customHeight="1" x14ac:dyDescent="0.2">
      <c r="A332" s="7" t="s">
        <v>1535</v>
      </c>
      <c r="B332" s="8" t="s">
        <v>1534</v>
      </c>
      <c r="C332" s="185">
        <v>0.11476869517858636</v>
      </c>
      <c r="D332" s="185">
        <v>-9.2054717959283265E-3</v>
      </c>
    </row>
    <row r="333" spans="1:4" ht="18.75" customHeight="1" x14ac:dyDescent="0.2">
      <c r="A333" s="7" t="s">
        <v>1536</v>
      </c>
      <c r="B333" s="8" t="s">
        <v>1537</v>
      </c>
      <c r="C333" s="185">
        <v>6.5190667787490178E-2</v>
      </c>
      <c r="D333" s="185">
        <v>6.2595119447481737</v>
      </c>
    </row>
    <row r="334" spans="1:4" ht="18.75" customHeight="1" x14ac:dyDescent="0.2">
      <c r="A334" s="7" t="s">
        <v>1697</v>
      </c>
      <c r="B334" s="8" t="s">
        <v>1698</v>
      </c>
      <c r="C334" s="185">
        <v>0</v>
      </c>
      <c r="D334" s="185">
        <v>5.9779376532359313E-5</v>
      </c>
    </row>
    <row r="335" spans="1:4" ht="18.75" customHeight="1" x14ac:dyDescent="0.2">
      <c r="A335" s="7" t="s">
        <v>1538</v>
      </c>
      <c r="B335" s="8" t="s">
        <v>1539</v>
      </c>
      <c r="C335" s="185">
        <v>4.5621474259329602E-2</v>
      </c>
      <c r="D335" s="185">
        <v>0.87104458228906689</v>
      </c>
    </row>
    <row r="336" spans="1:4" ht="18.75" customHeight="1" x14ac:dyDescent="0.2">
      <c r="A336" s="7" t="s">
        <v>1540</v>
      </c>
      <c r="B336" s="8" t="s">
        <v>1541</v>
      </c>
      <c r="C336" s="185">
        <v>0.57205555846577116</v>
      </c>
      <c r="D336" s="185">
        <v>4.5338360694783635</v>
      </c>
    </row>
    <row r="337" spans="1:4" ht="18.75" customHeight="1" x14ac:dyDescent="0.2">
      <c r="A337" s="7" t="s">
        <v>1542</v>
      </c>
      <c r="B337" s="8" t="s">
        <v>1543</v>
      </c>
      <c r="C337" s="185">
        <v>0.12045454704142236</v>
      </c>
      <c r="D337" s="185">
        <v>9.1020090664778515</v>
      </c>
    </row>
    <row r="338" spans="1:4" ht="18.75" customHeight="1" x14ac:dyDescent="0.2">
      <c r="A338" s="7" t="s">
        <v>1544</v>
      </c>
      <c r="B338" s="8" t="s">
        <v>1545</v>
      </c>
      <c r="C338" s="185">
        <v>8.1209090181152844E-3</v>
      </c>
      <c r="D338" s="185">
        <v>3.4560926485402597</v>
      </c>
    </row>
    <row r="339" spans="1:4" ht="18.75" customHeight="1" x14ac:dyDescent="0.2">
      <c r="A339" s="7" t="s">
        <v>1546</v>
      </c>
      <c r="B339" s="8" t="s">
        <v>1547</v>
      </c>
      <c r="C339" s="185">
        <v>0.23862975028330718</v>
      </c>
      <c r="D339" s="185">
        <v>2.5251057431743784</v>
      </c>
    </row>
    <row r="340" spans="1:4" ht="18.75" customHeight="1" x14ac:dyDescent="0.2">
      <c r="A340" s="7" t="s">
        <v>1548</v>
      </c>
      <c r="B340" s="8" t="s">
        <v>1549</v>
      </c>
      <c r="C340" s="185">
        <v>0.19651045609748732</v>
      </c>
      <c r="D340" s="185">
        <v>15.5722197895031</v>
      </c>
    </row>
    <row r="341" spans="1:4" ht="18.75" customHeight="1" x14ac:dyDescent="0.2">
      <c r="A341" s="7" t="s">
        <v>1699</v>
      </c>
      <c r="B341" s="8" t="s">
        <v>1700</v>
      </c>
      <c r="C341" s="185">
        <v>0</v>
      </c>
      <c r="D341" s="185">
        <v>0</v>
      </c>
    </row>
    <row r="342" spans="1:4" ht="18.75" customHeight="1" x14ac:dyDescent="0.2">
      <c r="A342" s="7" t="s">
        <v>1550</v>
      </c>
      <c r="B342" s="8" t="s">
        <v>1551</v>
      </c>
      <c r="C342" s="185">
        <v>0</v>
      </c>
      <c r="D342" s="185">
        <v>5.5544245941633701</v>
      </c>
    </row>
    <row r="343" spans="1:4" ht="18.75" customHeight="1" x14ac:dyDescent="0.2">
      <c r="A343" s="7" t="s">
        <v>1552</v>
      </c>
      <c r="B343" s="8" t="s">
        <v>1553</v>
      </c>
      <c r="C343" s="185">
        <v>0.44442061382027681</v>
      </c>
      <c r="D343" s="185">
        <v>1.7245326383675834</v>
      </c>
    </row>
    <row r="344" spans="1:4" ht="18.75" customHeight="1" x14ac:dyDescent="0.2">
      <c r="A344" s="7" t="s">
        <v>1554</v>
      </c>
      <c r="B344" s="8" t="s">
        <v>1555</v>
      </c>
      <c r="C344" s="185">
        <v>1.4106710045995874</v>
      </c>
      <c r="D344" s="185">
        <v>16.288530439207662</v>
      </c>
    </row>
    <row r="345" spans="1:4" ht="18.75" customHeight="1" x14ac:dyDescent="0.2">
      <c r="A345" s="7" t="s">
        <v>1556</v>
      </c>
      <c r="B345" s="8" t="s">
        <v>1557</v>
      </c>
      <c r="C345" s="185">
        <v>0.71129823328590225</v>
      </c>
      <c r="D345" s="185">
        <v>11.988749855164116</v>
      </c>
    </row>
    <row r="346" spans="1:4" ht="18.75" customHeight="1" x14ac:dyDescent="0.2">
      <c r="A346" s="7" t="s">
        <v>1558</v>
      </c>
      <c r="B346" s="8" t="s">
        <v>1559</v>
      </c>
      <c r="C346" s="185">
        <v>0.49504438653219018</v>
      </c>
      <c r="D346" s="185">
        <v>4.7427230223680636</v>
      </c>
    </row>
    <row r="347" spans="1:4" ht="18.75" customHeight="1" x14ac:dyDescent="0.2">
      <c r="A347" s="7" t="s">
        <v>1560</v>
      </c>
      <c r="B347" s="8" t="s">
        <v>1559</v>
      </c>
      <c r="C347" s="185">
        <v>2.1896868495705841</v>
      </c>
      <c r="D347" s="185">
        <v>4.6181738077943439</v>
      </c>
    </row>
    <row r="348" spans="1:4" ht="18.75" customHeight="1" x14ac:dyDescent="0.2">
      <c r="A348" s="7" t="s">
        <v>1561</v>
      </c>
      <c r="B348" s="8" t="s">
        <v>1562</v>
      </c>
      <c r="C348" s="185">
        <v>2.1891145490535648</v>
      </c>
      <c r="D348" s="185">
        <v>4.6172157380984187</v>
      </c>
    </row>
    <row r="349" spans="1:4" ht="18.75" customHeight="1" x14ac:dyDescent="0.2">
      <c r="A349" s="7" t="s">
        <v>1563</v>
      </c>
      <c r="B349" s="8" t="s">
        <v>1564</v>
      </c>
      <c r="C349" s="185">
        <v>0.43523988014880488</v>
      </c>
      <c r="D349" s="185">
        <v>4.9957673831860809</v>
      </c>
    </row>
    <row r="350" spans="1:4" ht="18.75" customHeight="1" x14ac:dyDescent="0.2">
      <c r="A350" s="7" t="s">
        <v>1565</v>
      </c>
      <c r="B350" s="8" t="s">
        <v>1566</v>
      </c>
      <c r="C350" s="185">
        <v>0.10213989552777844</v>
      </c>
      <c r="D350" s="185">
        <v>2.3862456421093068</v>
      </c>
    </row>
    <row r="351" spans="1:4" ht="18.75" customHeight="1" x14ac:dyDescent="0.2">
      <c r="A351" s="7" t="s">
        <v>1567</v>
      </c>
      <c r="B351" s="8" t="s">
        <v>1568</v>
      </c>
      <c r="C351" s="185">
        <v>0.12019202018655852</v>
      </c>
      <c r="D351" s="185">
        <v>2.7065307165222681</v>
      </c>
    </row>
    <row r="352" spans="1:4" ht="18.75" customHeight="1" x14ac:dyDescent="0.2">
      <c r="A352" s="7" t="s">
        <v>1569</v>
      </c>
      <c r="B352" s="8" t="s">
        <v>1568</v>
      </c>
      <c r="C352" s="185">
        <v>0.1201943620326419</v>
      </c>
      <c r="D352" s="185">
        <v>2.7076418872068975</v>
      </c>
    </row>
    <row r="353" spans="1:4" ht="18.75" customHeight="1" x14ac:dyDescent="0.2">
      <c r="A353" s="7" t="s">
        <v>1570</v>
      </c>
      <c r="B353" s="8" t="s">
        <v>1571</v>
      </c>
      <c r="C353" s="185">
        <v>1.0184484642080285</v>
      </c>
      <c r="D353" s="185">
        <v>15.145131836845053</v>
      </c>
    </row>
    <row r="354" spans="1:4" ht="18.75" customHeight="1" x14ac:dyDescent="0.2">
      <c r="A354" s="7" t="s">
        <v>1572</v>
      </c>
      <c r="B354" s="8" t="s">
        <v>1573</v>
      </c>
      <c r="C354" s="185">
        <v>1.0247565574056117</v>
      </c>
      <c r="D354" s="185">
        <v>6.7501272655973965</v>
      </c>
    </row>
    <row r="355" spans="1:4" ht="18.75" customHeight="1" x14ac:dyDescent="0.2">
      <c r="A355" s="7" t="s">
        <v>1574</v>
      </c>
      <c r="B355" s="8" t="s">
        <v>1575</v>
      </c>
      <c r="C355" s="185">
        <v>0.14372414886099399</v>
      </c>
      <c r="D355" s="185">
        <v>2.0189994036788201</v>
      </c>
    </row>
    <row r="356" spans="1:4" ht="18.75" customHeight="1" x14ac:dyDescent="0.2">
      <c r="A356" s="7" t="s">
        <v>1576</v>
      </c>
      <c r="B356" s="8" t="s">
        <v>1577</v>
      </c>
      <c r="C356" s="185">
        <v>0.14372414886099399</v>
      </c>
      <c r="D356" s="185">
        <v>2.0189994036788201</v>
      </c>
    </row>
    <row r="357" spans="1:4" ht="18.75" customHeight="1" x14ac:dyDescent="0.2">
      <c r="A357" s="7" t="s">
        <v>1578</v>
      </c>
      <c r="B357" s="8" t="s">
        <v>1575</v>
      </c>
      <c r="C357" s="185">
        <v>0.14372414886099399</v>
      </c>
      <c r="D357" s="185">
        <v>2.0189994036788201</v>
      </c>
    </row>
    <row r="358" spans="1:4" ht="18.75" customHeight="1" x14ac:dyDescent="0.2">
      <c r="A358" s="7" t="s">
        <v>1579</v>
      </c>
      <c r="B358" s="8" t="s">
        <v>1580</v>
      </c>
      <c r="C358" s="185">
        <v>0.46920560438370579</v>
      </c>
      <c r="D358" s="185">
        <v>4.7732782453096698</v>
      </c>
    </row>
    <row r="359" spans="1:4" ht="18.75" customHeight="1" x14ac:dyDescent="0.2">
      <c r="A359" s="7" t="s">
        <v>1581</v>
      </c>
      <c r="B359" s="8" t="s">
        <v>1582</v>
      </c>
      <c r="C359" s="185">
        <v>0.83603741699173717</v>
      </c>
      <c r="D359" s="185">
        <v>28.172504009806698</v>
      </c>
    </row>
    <row r="360" spans="1:4" ht="18.75" customHeight="1" x14ac:dyDescent="0.2">
      <c r="A360" s="7" t="s">
        <v>1583</v>
      </c>
      <c r="B360" s="8" t="s">
        <v>1584</v>
      </c>
      <c r="C360" s="185">
        <v>0.21703370924446569</v>
      </c>
      <c r="D360" s="185">
        <v>1.7589455047173721</v>
      </c>
    </row>
    <row r="361" spans="1:4" ht="18.75" customHeight="1" x14ac:dyDescent="0.2">
      <c r="A361" s="7" t="s">
        <v>1585</v>
      </c>
      <c r="B361" s="8" t="s">
        <v>1586</v>
      </c>
      <c r="C361" s="185">
        <v>4.0409497809313591E-2</v>
      </c>
      <c r="D361" s="185">
        <v>5.6076426189113002</v>
      </c>
    </row>
    <row r="362" spans="1:4" ht="18.75" customHeight="1" x14ac:dyDescent="0.2">
      <c r="A362" s="7" t="s">
        <v>1587</v>
      </c>
      <c r="B362" s="8" t="s">
        <v>1586</v>
      </c>
      <c r="C362" s="185">
        <v>1.3675524910385997</v>
      </c>
      <c r="D362" s="185">
        <v>4.4289181565818865</v>
      </c>
    </row>
    <row r="363" spans="1:4" ht="18.75" customHeight="1" x14ac:dyDescent="0.2">
      <c r="A363" s="7" t="s">
        <v>1588</v>
      </c>
      <c r="B363" s="8" t="s">
        <v>1589</v>
      </c>
      <c r="C363" s="185">
        <v>1.3675524910385997</v>
      </c>
      <c r="D363" s="185">
        <v>4.4289181565818865</v>
      </c>
    </row>
    <row r="364" spans="1:4" ht="18.75" customHeight="1" x14ac:dyDescent="0.2">
      <c r="A364" s="7" t="s">
        <v>1701</v>
      </c>
      <c r="B364" s="8" t="s">
        <v>1591</v>
      </c>
      <c r="C364" s="185">
        <v>0</v>
      </c>
      <c r="D364" s="185">
        <v>0</v>
      </c>
    </row>
    <row r="365" spans="1:4" ht="18.75" customHeight="1" x14ac:dyDescent="0.2">
      <c r="A365" s="7" t="s">
        <v>1590</v>
      </c>
      <c r="B365" s="8" t="s">
        <v>1591</v>
      </c>
      <c r="C365" s="185">
        <v>5.8464431647807409</v>
      </c>
      <c r="D365" s="185">
        <v>0.48942580519971757</v>
      </c>
    </row>
    <row r="366" spans="1:4" ht="18.75" customHeight="1" x14ac:dyDescent="0.2">
      <c r="A366" s="7" t="s">
        <v>1592</v>
      </c>
      <c r="B366" s="8" t="s">
        <v>1593</v>
      </c>
      <c r="C366" s="185">
        <v>0.77694218466207399</v>
      </c>
      <c r="D366" s="185">
        <v>10.831550434902855</v>
      </c>
    </row>
    <row r="367" spans="1:4" ht="18.75" customHeight="1" x14ac:dyDescent="0.2">
      <c r="A367" s="7" t="s">
        <v>1702</v>
      </c>
      <c r="B367" s="8" t="s">
        <v>1703</v>
      </c>
      <c r="C367" s="185">
        <v>0.77694109328445871</v>
      </c>
      <c r="D367" s="185">
        <v>10.830726663438663</v>
      </c>
    </row>
    <row r="368" spans="1:4" ht="18.75" customHeight="1" x14ac:dyDescent="0.2">
      <c r="A368" s="7" t="s">
        <v>1594</v>
      </c>
      <c r="B368" s="8" t="s">
        <v>1595</v>
      </c>
      <c r="C368" s="185">
        <v>2.2453691515295704</v>
      </c>
      <c r="D368" s="185">
        <v>18.39986590761983</v>
      </c>
    </row>
    <row r="369" spans="1:4" ht="18.75" customHeight="1" x14ac:dyDescent="0.2">
      <c r="A369" s="7" t="s">
        <v>1596</v>
      </c>
      <c r="B369" s="8" t="s">
        <v>1597</v>
      </c>
      <c r="C369" s="185">
        <v>0.65222800846574236</v>
      </c>
      <c r="D369" s="185">
        <v>24.864072100493402</v>
      </c>
    </row>
    <row r="370" spans="1:4" ht="18.75" customHeight="1" x14ac:dyDescent="0.2">
      <c r="A370" s="7" t="s">
        <v>1598</v>
      </c>
      <c r="B370" s="8" t="s">
        <v>1599</v>
      </c>
      <c r="C370" s="185">
        <v>2.4065949322160582</v>
      </c>
      <c r="D370" s="185">
        <v>18.930008582426602</v>
      </c>
    </row>
    <row r="371" spans="1:4" ht="18.75" customHeight="1" x14ac:dyDescent="0.2">
      <c r="A371" s="7" t="s">
        <v>1600</v>
      </c>
      <c r="B371" s="8" t="s">
        <v>1599</v>
      </c>
      <c r="C371" s="185">
        <v>0.56795504627040538</v>
      </c>
      <c r="D371" s="185">
        <v>19.072702580691956</v>
      </c>
    </row>
    <row r="372" spans="1:4" ht="18.75" customHeight="1" x14ac:dyDescent="0.2">
      <c r="A372" s="7" t="s">
        <v>1601</v>
      </c>
      <c r="B372" s="8" t="s">
        <v>1602</v>
      </c>
      <c r="C372" s="185">
        <v>0.15336573751401408</v>
      </c>
      <c r="D372" s="185">
        <v>3.2335561834555655</v>
      </c>
    </row>
    <row r="373" spans="1:4" ht="18.75" customHeight="1" x14ac:dyDescent="0.2">
      <c r="A373" s="7" t="s">
        <v>1603</v>
      </c>
      <c r="B373" s="8" t="s">
        <v>1602</v>
      </c>
      <c r="C373" s="185">
        <v>9.9515411692047945E-2</v>
      </c>
      <c r="D373" s="185">
        <v>3.2036772848589723</v>
      </c>
    </row>
    <row r="374" spans="1:4" ht="18.75" customHeight="1" x14ac:dyDescent="0.2">
      <c r="A374" s="7" t="s">
        <v>1604</v>
      </c>
      <c r="B374" s="8" t="s">
        <v>1605</v>
      </c>
      <c r="C374" s="185">
        <v>0.17092722789444889</v>
      </c>
      <c r="D374" s="185">
        <v>18.181661268449499</v>
      </c>
    </row>
    <row r="375" spans="1:4" ht="18.75" customHeight="1" x14ac:dyDescent="0.2">
      <c r="A375" s="7" t="s">
        <v>1606</v>
      </c>
      <c r="B375" s="8" t="s">
        <v>1605</v>
      </c>
      <c r="C375" s="185">
        <v>0.17092722789444889</v>
      </c>
      <c r="D375" s="185">
        <v>18.181661268449499</v>
      </c>
    </row>
    <row r="376" spans="1:4" ht="18.75" customHeight="1" x14ac:dyDescent="0.2">
      <c r="A376" s="7" t="s">
        <v>1607</v>
      </c>
      <c r="B376" s="8" t="s">
        <v>1608</v>
      </c>
      <c r="C376" s="185">
        <v>0.87518167556222382</v>
      </c>
      <c r="D376" s="185">
        <v>22.342940616327425</v>
      </c>
    </row>
    <row r="377" spans="1:4" ht="18.75" customHeight="1" x14ac:dyDescent="0.2">
      <c r="A377" s="7" t="s">
        <v>1609</v>
      </c>
      <c r="B377" s="8" t="s">
        <v>1610</v>
      </c>
      <c r="C377" s="185">
        <v>0.25225412101999323</v>
      </c>
      <c r="D377" s="185">
        <v>2.1077827724171025</v>
      </c>
    </row>
    <row r="378" spans="1:4" ht="18.75" customHeight="1" x14ac:dyDescent="0.2">
      <c r="A378" s="7" t="s">
        <v>1611</v>
      </c>
      <c r="B378" s="8" t="s">
        <v>1612</v>
      </c>
      <c r="C378" s="185">
        <v>0</v>
      </c>
      <c r="D378" s="185">
        <v>9.4544015347105752</v>
      </c>
    </row>
    <row r="379" spans="1:4" ht="18.75" customHeight="1" x14ac:dyDescent="0.2">
      <c r="A379" s="7" t="s">
        <v>1613</v>
      </c>
      <c r="B379" s="8" t="s">
        <v>1614</v>
      </c>
      <c r="C379" s="185">
        <v>0.32988802035728149</v>
      </c>
      <c r="D379" s="185">
        <v>3.0181789503792231</v>
      </c>
    </row>
    <row r="380" spans="1:4" ht="18.75" customHeight="1" x14ac:dyDescent="0.2">
      <c r="A380" s="7" t="s">
        <v>1615</v>
      </c>
      <c r="B380" s="8" t="s">
        <v>1616</v>
      </c>
      <c r="C380" s="185">
        <v>4.1160980905818603</v>
      </c>
      <c r="D380" s="185">
        <v>8.7152923782690941</v>
      </c>
    </row>
    <row r="381" spans="1:4" ht="18.75" customHeight="1" x14ac:dyDescent="0.2">
      <c r="A381" s="7" t="s">
        <v>1617</v>
      </c>
      <c r="B381" s="8" t="s">
        <v>1618</v>
      </c>
      <c r="C381" s="185">
        <v>1.525390813730517</v>
      </c>
      <c r="D381" s="185">
        <v>12.781934539287256</v>
      </c>
    </row>
    <row r="382" spans="1:4" ht="18.75" customHeight="1" x14ac:dyDescent="0.2">
      <c r="A382" s="7" t="s">
        <v>1619</v>
      </c>
      <c r="B382" s="8" t="s">
        <v>1620</v>
      </c>
      <c r="C382" s="185">
        <v>0.22124645879199303</v>
      </c>
      <c r="D382" s="185">
        <v>9.9666462268638245</v>
      </c>
    </row>
    <row r="383" spans="1:4" ht="18.75" customHeight="1" x14ac:dyDescent="0.2">
      <c r="A383" s="7" t="s">
        <v>1621</v>
      </c>
      <c r="B383" s="8" t="s">
        <v>1622</v>
      </c>
      <c r="C383" s="185">
        <v>1.3114527831820024</v>
      </c>
      <c r="D383" s="185">
        <v>0</v>
      </c>
    </row>
    <row r="384" spans="1:4" ht="18.75" customHeight="1" x14ac:dyDescent="0.2">
      <c r="A384" s="7" t="s">
        <v>1623</v>
      </c>
      <c r="B384" s="8" t="s">
        <v>1624</v>
      </c>
      <c r="C384" s="185">
        <v>0.51901506221938043</v>
      </c>
      <c r="D384" s="185">
        <v>3.5877837522035776</v>
      </c>
    </row>
    <row r="385" spans="1:4" ht="18.75" customHeight="1" x14ac:dyDescent="0.2">
      <c r="A385" s="7" t="s">
        <v>1625</v>
      </c>
      <c r="B385" s="8" t="s">
        <v>1626</v>
      </c>
      <c r="C385" s="185">
        <v>2.7503589919199491</v>
      </c>
      <c r="D385" s="185">
        <v>7.9345159979480586</v>
      </c>
    </row>
    <row r="386" spans="1:4" ht="18.75" customHeight="1" x14ac:dyDescent="0.2">
      <c r="A386" s="7" t="s">
        <v>1627</v>
      </c>
      <c r="B386" s="8" t="s">
        <v>1628</v>
      </c>
      <c r="C386" s="185">
        <v>0.25225412101999323</v>
      </c>
      <c r="D386" s="185">
        <v>2.1077827724171025</v>
      </c>
    </row>
    <row r="387" spans="1:4" ht="18.75" customHeight="1" x14ac:dyDescent="0.2">
      <c r="A387" s="7" t="s">
        <v>1629</v>
      </c>
      <c r="B387" s="8" t="s">
        <v>1630</v>
      </c>
      <c r="C387" s="185">
        <v>1.7268852559383883</v>
      </c>
      <c r="D387" s="185">
        <v>12.602995470874156</v>
      </c>
    </row>
    <row r="388" spans="1:4" ht="18.75" customHeight="1" x14ac:dyDescent="0.2">
      <c r="A388" s="7" t="s">
        <v>1631</v>
      </c>
      <c r="B388" s="8" t="s">
        <v>1632</v>
      </c>
      <c r="C388" s="185">
        <v>2.7688535285315297</v>
      </c>
      <c r="D388" s="185">
        <v>22.613922570839431</v>
      </c>
    </row>
    <row r="389" spans="1:4" ht="18.75" customHeight="1" x14ac:dyDescent="0.2">
      <c r="A389" s="7" t="s">
        <v>1633</v>
      </c>
      <c r="B389" s="8" t="s">
        <v>1634</v>
      </c>
      <c r="C389" s="185">
        <v>3.4152342497932366</v>
      </c>
      <c r="D389" s="185">
        <v>22.725296572219669</v>
      </c>
    </row>
    <row r="390" spans="1:4" ht="18.75" customHeight="1" x14ac:dyDescent="0.2">
      <c r="A390" s="7" t="s">
        <v>1635</v>
      </c>
      <c r="B390" s="8" t="s">
        <v>1636</v>
      </c>
      <c r="C390" s="185">
        <v>0.70582164125991009</v>
      </c>
      <c r="D390" s="185">
        <v>9.7902816421140919</v>
      </c>
    </row>
    <row r="391" spans="1:4" ht="18.75" customHeight="1" x14ac:dyDescent="0.2">
      <c r="A391" s="7" t="s">
        <v>1637</v>
      </c>
      <c r="B391" s="8" t="s">
        <v>1638</v>
      </c>
      <c r="C391" s="185">
        <v>0.37810662986899191</v>
      </c>
      <c r="D391" s="185">
        <v>3.9236997882622755</v>
      </c>
    </row>
    <row r="392" spans="1:4" ht="18.75" customHeight="1" x14ac:dyDescent="0.2">
      <c r="A392" s="7" t="s">
        <v>1639</v>
      </c>
      <c r="B392" s="8" t="s">
        <v>1640</v>
      </c>
      <c r="C392" s="185">
        <v>4.9500331518655839E-3</v>
      </c>
      <c r="D392" s="185">
        <v>-0.33021392261120269</v>
      </c>
    </row>
    <row r="393" spans="1:4" ht="18.75" customHeight="1" x14ac:dyDescent="0.2">
      <c r="A393" s="7" t="s">
        <v>1641</v>
      </c>
      <c r="B393" s="8" t="s">
        <v>1640</v>
      </c>
      <c r="C393" s="185">
        <v>-5.5848776135075575E-3</v>
      </c>
      <c r="D393" s="185">
        <v>0.27325026469773867</v>
      </c>
    </row>
    <row r="394" spans="1:4" ht="18.75" customHeight="1" x14ac:dyDescent="0.2">
      <c r="A394" s="7" t="s">
        <v>1642</v>
      </c>
      <c r="B394" s="8" t="s">
        <v>1643</v>
      </c>
      <c r="C394" s="185">
        <v>1.1712717621999902</v>
      </c>
      <c r="D394" s="185">
        <v>29.756335721056487</v>
      </c>
    </row>
    <row r="395" spans="1:4" ht="18.75" customHeight="1" x14ac:dyDescent="0.2">
      <c r="A395" s="7" t="s">
        <v>1644</v>
      </c>
      <c r="B395" s="8" t="s">
        <v>1645</v>
      </c>
      <c r="C395" s="185">
        <v>0.98465586427174612</v>
      </c>
      <c r="D395" s="185">
        <v>11.494924973176042</v>
      </c>
    </row>
    <row r="396" spans="1:4" ht="18.75" customHeight="1" x14ac:dyDescent="0.2">
      <c r="A396" s="7" t="s">
        <v>1646</v>
      </c>
      <c r="B396" s="8" t="s">
        <v>1647</v>
      </c>
      <c r="C396" s="185">
        <v>5.5937158192059453</v>
      </c>
      <c r="D396" s="185">
        <v>6.2608814315777979</v>
      </c>
    </row>
    <row r="397" spans="1:4" ht="18.75" customHeight="1" x14ac:dyDescent="0.2">
      <c r="A397" s="7" t="s">
        <v>1648</v>
      </c>
      <c r="B397" s="8" t="s">
        <v>1649</v>
      </c>
      <c r="C397" s="185">
        <v>0.21941061899959696</v>
      </c>
      <c r="D397" s="185">
        <v>7.7704998430233694</v>
      </c>
    </row>
    <row r="398" spans="1:4" ht="18.75" customHeight="1" x14ac:dyDescent="0.2">
      <c r="A398" s="7" t="s">
        <v>1650</v>
      </c>
      <c r="B398" s="8" t="s">
        <v>1649</v>
      </c>
      <c r="C398" s="185">
        <v>1.3106573924535714</v>
      </c>
      <c r="D398" s="185">
        <v>6.4018183186687203</v>
      </c>
    </row>
    <row r="399" spans="1:4" ht="18.75" customHeight="1" x14ac:dyDescent="0.2">
      <c r="A399" s="7" t="s">
        <v>1651</v>
      </c>
      <c r="B399" s="8" t="s">
        <v>1652</v>
      </c>
      <c r="C399" s="185">
        <v>0.52903267100503593</v>
      </c>
      <c r="D399" s="185">
        <v>3.2073661875239086E-4</v>
      </c>
    </row>
    <row r="400" spans="1:4" ht="18.75" customHeight="1" x14ac:dyDescent="0.2">
      <c r="A400" s="7" t="s">
        <v>1653</v>
      </c>
      <c r="B400" s="8" t="s">
        <v>1654</v>
      </c>
      <c r="C400" s="185">
        <v>1.5929820195003437</v>
      </c>
      <c r="D400" s="185">
        <v>22.077660137645353</v>
      </c>
    </row>
    <row r="401" spans="1:4" ht="18.75" customHeight="1" x14ac:dyDescent="0.2">
      <c r="A401" s="7" t="s">
        <v>1655</v>
      </c>
      <c r="B401" s="8" t="s">
        <v>1656</v>
      </c>
      <c r="C401" s="185">
        <v>1.3804741890753591</v>
      </c>
      <c r="D401" s="185">
        <v>14.78856340269915</v>
      </c>
    </row>
    <row r="402" spans="1:4" ht="18.75" customHeight="1" x14ac:dyDescent="0.2">
      <c r="A402" s="7" t="s">
        <v>1657</v>
      </c>
      <c r="B402" s="8" t="s">
        <v>1658</v>
      </c>
      <c r="C402" s="185">
        <v>8.5791846287026033E-2</v>
      </c>
      <c r="D402" s="185">
        <v>0.79067565315157495</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39" customWidth="1"/>
    <col min="2" max="2" width="37.42578125" style="139" bestFit="1" customWidth="1"/>
    <col min="3" max="3" width="19" style="140" customWidth="1"/>
    <col min="4" max="4" width="5.28515625" style="139" bestFit="1" customWidth="1"/>
    <col min="5" max="5" width="4.7109375" style="139" customWidth="1"/>
    <col min="6" max="6" width="29.140625" style="139" bestFit="1" customWidth="1"/>
    <col min="7" max="7" width="11.5703125" style="139"/>
    <col min="8" max="8" width="64.5703125" style="139" bestFit="1" customWidth="1"/>
    <col min="9" max="16384" width="11.5703125" style="139"/>
  </cols>
  <sheetData>
    <row r="1" spans="1:8" ht="26.25" customHeight="1" x14ac:dyDescent="0.35">
      <c r="A1" s="142" t="s">
        <v>19</v>
      </c>
      <c r="H1" s="141"/>
    </row>
    <row r="2" spans="1:8" ht="12.75" customHeight="1" x14ac:dyDescent="0.2">
      <c r="A2" s="142"/>
    </row>
    <row r="3" spans="1:8" ht="12.75" customHeight="1" x14ac:dyDescent="0.2">
      <c r="A3" s="142"/>
    </row>
    <row r="4" spans="1:8" ht="12.75" customHeight="1" x14ac:dyDescent="0.2">
      <c r="A4" s="142"/>
    </row>
    <row r="5" spans="1:8" ht="12.75" customHeight="1" x14ac:dyDescent="0.2">
      <c r="A5" s="142"/>
    </row>
    <row r="6" spans="1:8" ht="12.75" customHeight="1" x14ac:dyDescent="0.2">
      <c r="A6" s="142"/>
    </row>
    <row r="7" spans="1:8" ht="12.75" customHeight="1" x14ac:dyDescent="0.2">
      <c r="A7" s="142"/>
    </row>
    <row r="8" spans="1:8" ht="12.75" customHeight="1" x14ac:dyDescent="0.2">
      <c r="A8" s="142"/>
    </row>
    <row r="9" spans="1:8" ht="12.75" customHeight="1" x14ac:dyDescent="0.2">
      <c r="A9" s="142"/>
    </row>
    <row r="10" spans="1:8" ht="12.75" customHeight="1" x14ac:dyDescent="0.2">
      <c r="A10" s="142"/>
    </row>
    <row r="11" spans="1:8" ht="12.75" customHeight="1" x14ac:dyDescent="0.2">
      <c r="A11" s="142"/>
    </row>
    <row r="12" spans="1:8" ht="12.75" customHeight="1" x14ac:dyDescent="0.2">
      <c r="A12" s="142"/>
    </row>
    <row r="13" spans="1:8" ht="12.75" customHeight="1" x14ac:dyDescent="0.2">
      <c r="A13" s="142"/>
    </row>
    <row r="14" spans="1:8" ht="12.75" customHeight="1" x14ac:dyDescent="0.2">
      <c r="A14" s="142"/>
    </row>
    <row r="15" spans="1:8" ht="12.75" customHeight="1" x14ac:dyDescent="0.2">
      <c r="A15" s="142"/>
    </row>
    <row r="16" spans="1:8" ht="12.75" customHeight="1" x14ac:dyDescent="0.2">
      <c r="A16" s="142"/>
    </row>
    <row r="17" spans="1:8" ht="12.75" customHeight="1" x14ac:dyDescent="0.2">
      <c r="A17" s="142"/>
    </row>
    <row r="18" spans="1:8" ht="12.75" customHeight="1" x14ac:dyDescent="0.2">
      <c r="A18" s="142"/>
    </row>
    <row r="19" spans="1:8" ht="12.75" customHeight="1" x14ac:dyDescent="0.2">
      <c r="A19" s="142"/>
    </row>
    <row r="20" spans="1:8" ht="12.75" customHeight="1" x14ac:dyDescent="0.2">
      <c r="A20" s="142"/>
    </row>
    <row r="21" spans="1:8" ht="12.75" customHeight="1" x14ac:dyDescent="0.2">
      <c r="A21" s="142"/>
    </row>
    <row r="22" spans="1:8" ht="12.75" customHeight="1" x14ac:dyDescent="0.2">
      <c r="A22" s="142"/>
    </row>
    <row r="23" spans="1:8" ht="12.75" customHeight="1" x14ac:dyDescent="0.2">
      <c r="A23" s="142"/>
    </row>
    <row r="24" spans="1:8" ht="12.75" customHeight="1" x14ac:dyDescent="0.2">
      <c r="A24" s="142"/>
    </row>
    <row r="25" spans="1:8" ht="12.75" customHeight="1" x14ac:dyDescent="0.2">
      <c r="A25" s="142"/>
    </row>
    <row r="26" spans="1:8" ht="12.75" customHeight="1" x14ac:dyDescent="0.2">
      <c r="A26" s="142"/>
    </row>
    <row r="27" spans="1:8" ht="12.75" customHeight="1" x14ac:dyDescent="0.2">
      <c r="A27" s="142"/>
    </row>
    <row r="28" spans="1:8" s="144" customFormat="1" ht="51" x14ac:dyDescent="0.2">
      <c r="A28" s="47" t="s">
        <v>171</v>
      </c>
      <c r="B28" s="47" t="s">
        <v>172</v>
      </c>
      <c r="C28" s="47" t="s">
        <v>399</v>
      </c>
      <c r="D28" s="143"/>
      <c r="E28" s="143"/>
      <c r="F28" s="47" t="s">
        <v>400</v>
      </c>
      <c r="G28" s="47" t="s">
        <v>401</v>
      </c>
      <c r="H28" s="47" t="s">
        <v>402</v>
      </c>
    </row>
    <row r="29" spans="1:8" x14ac:dyDescent="0.2">
      <c r="A29" s="149">
        <v>3</v>
      </c>
      <c r="B29" s="145" t="s">
        <v>173</v>
      </c>
      <c r="C29" s="148" t="s">
        <v>408</v>
      </c>
      <c r="F29" s="139" t="s">
        <v>405</v>
      </c>
      <c r="G29" s="146">
        <v>43626</v>
      </c>
      <c r="H29" s="139" t="s">
        <v>406</v>
      </c>
    </row>
    <row r="30" spans="1:8" x14ac:dyDescent="0.2">
      <c r="A30" s="149">
        <v>4</v>
      </c>
      <c r="B30" s="145" t="s">
        <v>173</v>
      </c>
      <c r="C30" s="148" t="s">
        <v>408</v>
      </c>
      <c r="F30" s="139" t="s">
        <v>410</v>
      </c>
      <c r="G30" s="146">
        <v>43626</v>
      </c>
      <c r="H30" s="139" t="s">
        <v>406</v>
      </c>
    </row>
    <row r="31" spans="1:8" x14ac:dyDescent="0.2">
      <c r="A31" s="149">
        <v>5</v>
      </c>
      <c r="B31" s="145" t="s">
        <v>174</v>
      </c>
      <c r="C31" s="148" t="s">
        <v>408</v>
      </c>
      <c r="F31" s="139" t="s">
        <v>409</v>
      </c>
      <c r="G31" s="146">
        <v>43626</v>
      </c>
      <c r="H31" s="139" t="s">
        <v>406</v>
      </c>
    </row>
    <row r="32" spans="1:8" x14ac:dyDescent="0.2">
      <c r="A32" s="149">
        <v>6</v>
      </c>
      <c r="B32" s="145" t="s">
        <v>175</v>
      </c>
      <c r="C32" s="148" t="s">
        <v>408</v>
      </c>
      <c r="F32" s="139" t="s">
        <v>411</v>
      </c>
      <c r="G32" s="146">
        <v>43626</v>
      </c>
      <c r="H32" s="139" t="s">
        <v>412</v>
      </c>
    </row>
    <row r="33" spans="1:8" x14ac:dyDescent="0.2">
      <c r="A33" s="149">
        <v>7</v>
      </c>
      <c r="B33" s="145" t="s">
        <v>175</v>
      </c>
      <c r="C33" s="148" t="s">
        <v>408</v>
      </c>
      <c r="G33" s="146"/>
      <c r="H33" s="147"/>
    </row>
    <row r="34" spans="1:8" x14ac:dyDescent="0.2">
      <c r="A34" s="149">
        <v>8</v>
      </c>
      <c r="B34" s="145" t="s">
        <v>175</v>
      </c>
      <c r="C34" s="148" t="s">
        <v>408</v>
      </c>
      <c r="F34" s="147"/>
      <c r="G34" s="146"/>
    </row>
    <row r="35" spans="1:8" x14ac:dyDescent="0.2">
      <c r="A35" s="149">
        <v>9</v>
      </c>
      <c r="B35" s="145" t="s">
        <v>175</v>
      </c>
      <c r="C35" s="148" t="s">
        <v>408</v>
      </c>
      <c r="G35" s="146"/>
      <c r="H35" s="147"/>
    </row>
    <row r="36" spans="1:8" x14ac:dyDescent="0.2">
      <c r="A36" s="149">
        <v>10</v>
      </c>
      <c r="B36" s="145" t="s">
        <v>175</v>
      </c>
      <c r="C36" s="148" t="s">
        <v>408</v>
      </c>
      <c r="G36" s="146"/>
      <c r="H36" s="147"/>
    </row>
    <row r="37" spans="1:8" x14ac:dyDescent="0.2">
      <c r="A37" s="149">
        <v>11</v>
      </c>
      <c r="B37" s="145" t="s">
        <v>175</v>
      </c>
      <c r="C37" s="148" t="s">
        <v>408</v>
      </c>
      <c r="G37" s="146"/>
    </row>
    <row r="38" spans="1:8" x14ac:dyDescent="0.2">
      <c r="A38" s="149">
        <v>12</v>
      </c>
      <c r="B38" s="145" t="s">
        <v>175</v>
      </c>
      <c r="C38" s="148" t="s">
        <v>408</v>
      </c>
      <c r="G38" s="146"/>
    </row>
    <row r="39" spans="1:8" x14ac:dyDescent="0.2">
      <c r="A39" s="149">
        <v>13</v>
      </c>
      <c r="B39" s="145" t="s">
        <v>176</v>
      </c>
      <c r="C39" s="148" t="s">
        <v>408</v>
      </c>
      <c r="G39" s="146"/>
    </row>
    <row r="40" spans="1:8" x14ac:dyDescent="0.2">
      <c r="A40" s="149">
        <v>15</v>
      </c>
      <c r="B40" s="145" t="s">
        <v>176</v>
      </c>
      <c r="C40" s="148" t="s">
        <v>408</v>
      </c>
      <c r="F40" s="147"/>
      <c r="G40" s="146"/>
      <c r="H40" s="147"/>
    </row>
    <row r="41" spans="1:8" x14ac:dyDescent="0.2">
      <c r="A41" s="149">
        <v>16</v>
      </c>
      <c r="B41" s="145" t="s">
        <v>177</v>
      </c>
      <c r="C41" s="148" t="s">
        <v>408</v>
      </c>
      <c r="G41" s="146"/>
      <c r="H41" s="147"/>
    </row>
    <row r="42" spans="1:8" x14ac:dyDescent="0.2">
      <c r="A42" s="149">
        <v>17</v>
      </c>
      <c r="B42" s="145" t="s">
        <v>177</v>
      </c>
      <c r="C42" s="148" t="s">
        <v>408</v>
      </c>
      <c r="G42" s="146"/>
    </row>
    <row r="43" spans="1:8" x14ac:dyDescent="0.2">
      <c r="A43" s="149">
        <v>18</v>
      </c>
      <c r="B43" s="145" t="s">
        <v>177</v>
      </c>
      <c r="C43" s="148" t="s">
        <v>408</v>
      </c>
      <c r="G43" s="146"/>
    </row>
    <row r="44" spans="1:8" x14ac:dyDescent="0.2">
      <c r="A44" s="149">
        <v>19</v>
      </c>
      <c r="B44" s="145" t="s">
        <v>177</v>
      </c>
      <c r="C44" s="148" t="s">
        <v>408</v>
      </c>
      <c r="G44" s="146"/>
    </row>
    <row r="45" spans="1:8" x14ac:dyDescent="0.2">
      <c r="A45" s="149">
        <v>20</v>
      </c>
      <c r="B45" s="145" t="s">
        <v>177</v>
      </c>
      <c r="C45" s="148" t="s">
        <v>408</v>
      </c>
      <c r="G45" s="146"/>
    </row>
    <row r="46" spans="1:8" x14ac:dyDescent="0.2">
      <c r="A46" s="149">
        <v>21</v>
      </c>
      <c r="B46" s="145" t="s">
        <v>177</v>
      </c>
      <c r="C46" s="148" t="s">
        <v>408</v>
      </c>
      <c r="G46" s="146"/>
    </row>
    <row r="47" spans="1:8" x14ac:dyDescent="0.2">
      <c r="A47" s="149">
        <v>22</v>
      </c>
      <c r="B47" s="145" t="s">
        <v>177</v>
      </c>
      <c r="C47" s="148" t="s">
        <v>408</v>
      </c>
      <c r="G47" s="146"/>
    </row>
    <row r="48" spans="1:8" x14ac:dyDescent="0.2">
      <c r="A48" s="149">
        <v>23</v>
      </c>
      <c r="B48" s="145" t="s">
        <v>178</v>
      </c>
      <c r="C48" s="148" t="s">
        <v>408</v>
      </c>
      <c r="G48" s="146"/>
    </row>
    <row r="49" spans="1:8" x14ac:dyDescent="0.2">
      <c r="A49" s="149">
        <v>24</v>
      </c>
      <c r="B49" s="145" t="s">
        <v>178</v>
      </c>
      <c r="C49" s="148" t="s">
        <v>408</v>
      </c>
      <c r="G49" s="146"/>
    </row>
    <row r="50" spans="1:8" x14ac:dyDescent="0.2">
      <c r="A50" s="149">
        <v>25</v>
      </c>
      <c r="B50" s="145" t="s">
        <v>178</v>
      </c>
      <c r="C50" s="148" t="s">
        <v>408</v>
      </c>
      <c r="G50" s="146"/>
    </row>
    <row r="51" spans="1:8" x14ac:dyDescent="0.2">
      <c r="A51" s="149">
        <v>26</v>
      </c>
      <c r="B51" s="145" t="s">
        <v>178</v>
      </c>
      <c r="C51" s="148" t="s">
        <v>408</v>
      </c>
      <c r="G51" s="146"/>
    </row>
    <row r="52" spans="1:8" x14ac:dyDescent="0.2">
      <c r="A52" s="149">
        <v>28</v>
      </c>
      <c r="B52" s="145" t="s">
        <v>178</v>
      </c>
      <c r="C52" s="148" t="s">
        <v>408</v>
      </c>
      <c r="G52" s="146"/>
    </row>
    <row r="53" spans="1:8" x14ac:dyDescent="0.2">
      <c r="A53" s="149">
        <v>29</v>
      </c>
      <c r="B53" s="145" t="s">
        <v>178</v>
      </c>
      <c r="C53" s="148" t="s">
        <v>408</v>
      </c>
      <c r="G53" s="146"/>
    </row>
    <row r="54" spans="1:8" x14ac:dyDescent="0.2">
      <c r="A54" s="149">
        <v>30</v>
      </c>
      <c r="B54" s="145" t="s">
        <v>178</v>
      </c>
      <c r="C54" s="148" t="s">
        <v>408</v>
      </c>
      <c r="G54" s="146"/>
    </row>
    <row r="55" spans="1:8" x14ac:dyDescent="0.2">
      <c r="A55" s="149">
        <v>31</v>
      </c>
      <c r="B55" s="145" t="s">
        <v>178</v>
      </c>
      <c r="C55" s="148" t="s">
        <v>408</v>
      </c>
      <c r="G55" s="146"/>
    </row>
    <row r="56" spans="1:8" x14ac:dyDescent="0.2">
      <c r="A56" s="149">
        <v>32</v>
      </c>
      <c r="B56" s="145" t="s">
        <v>178</v>
      </c>
      <c r="C56" s="148" t="s">
        <v>408</v>
      </c>
      <c r="F56" s="147"/>
      <c r="G56" s="146"/>
      <c r="H56" s="147"/>
    </row>
    <row r="57" spans="1:8" x14ac:dyDescent="0.2">
      <c r="A57" s="149">
        <v>33</v>
      </c>
      <c r="B57" s="145" t="s">
        <v>178</v>
      </c>
      <c r="C57" s="148" t="s">
        <v>408</v>
      </c>
      <c r="F57" s="147"/>
      <c r="G57" s="146"/>
      <c r="H57" s="147"/>
    </row>
    <row r="58" spans="1:8" x14ac:dyDescent="0.2">
      <c r="A58" s="149">
        <v>34</v>
      </c>
      <c r="B58" s="145" t="s">
        <v>178</v>
      </c>
      <c r="C58" s="148" t="s">
        <v>408</v>
      </c>
      <c r="F58" s="147"/>
      <c r="G58" s="146"/>
      <c r="H58" s="147"/>
    </row>
    <row r="59" spans="1:8" x14ac:dyDescent="0.2">
      <c r="A59" s="149">
        <v>35</v>
      </c>
      <c r="B59" s="145" t="s">
        <v>178</v>
      </c>
      <c r="C59" s="148" t="s">
        <v>408</v>
      </c>
      <c r="F59" s="147"/>
      <c r="G59" s="146"/>
      <c r="H59" s="147"/>
    </row>
    <row r="60" spans="1:8" x14ac:dyDescent="0.2">
      <c r="A60" s="149">
        <v>36</v>
      </c>
      <c r="B60" s="145" t="s">
        <v>178</v>
      </c>
      <c r="C60" s="148" t="s">
        <v>408</v>
      </c>
      <c r="F60" s="147"/>
      <c r="G60" s="146"/>
      <c r="H60" s="147"/>
    </row>
    <row r="61" spans="1:8" x14ac:dyDescent="0.2">
      <c r="A61" s="149">
        <v>37</v>
      </c>
      <c r="B61" s="145" t="s">
        <v>178</v>
      </c>
      <c r="C61" s="148" t="s">
        <v>408</v>
      </c>
      <c r="F61" s="147"/>
      <c r="G61" s="146"/>
      <c r="H61" s="147"/>
    </row>
    <row r="62" spans="1:8" x14ac:dyDescent="0.2">
      <c r="A62" s="149">
        <v>38</v>
      </c>
      <c r="B62" s="145" t="s">
        <v>178</v>
      </c>
      <c r="C62" s="148" t="s">
        <v>408</v>
      </c>
      <c r="F62" s="147"/>
      <c r="G62" s="146"/>
      <c r="H62" s="147"/>
    </row>
    <row r="63" spans="1:8" x14ac:dyDescent="0.2">
      <c r="A63" s="149">
        <v>39</v>
      </c>
      <c r="B63" s="145" t="s">
        <v>178</v>
      </c>
      <c r="C63" s="148" t="s">
        <v>408</v>
      </c>
      <c r="F63" s="147"/>
      <c r="G63" s="146"/>
      <c r="H63" s="147"/>
    </row>
    <row r="64" spans="1:8" x14ac:dyDescent="0.2">
      <c r="A64" s="149">
        <v>40</v>
      </c>
      <c r="B64" s="145" t="s">
        <v>177</v>
      </c>
      <c r="C64" s="148" t="s">
        <v>408</v>
      </c>
      <c r="F64" s="147"/>
      <c r="G64" s="146"/>
      <c r="H64" s="147"/>
    </row>
    <row r="65" spans="1:8" x14ac:dyDescent="0.2">
      <c r="A65" s="149">
        <v>41</v>
      </c>
      <c r="B65" s="145" t="s">
        <v>179</v>
      </c>
      <c r="C65" s="148" t="s">
        <v>408</v>
      </c>
      <c r="F65" s="147"/>
      <c r="G65" s="146"/>
      <c r="H65" s="147"/>
    </row>
    <row r="66" spans="1:8" x14ac:dyDescent="0.2">
      <c r="A66" s="149">
        <v>42</v>
      </c>
      <c r="B66" s="145" t="s">
        <v>180</v>
      </c>
      <c r="C66" s="148" t="s">
        <v>408</v>
      </c>
      <c r="F66" s="147"/>
      <c r="G66" s="146"/>
      <c r="H66" s="147"/>
    </row>
    <row r="67" spans="1:8" x14ac:dyDescent="0.2">
      <c r="A67" s="149">
        <v>43</v>
      </c>
      <c r="B67" s="145" t="s">
        <v>180</v>
      </c>
      <c r="C67" s="148" t="s">
        <v>408</v>
      </c>
      <c r="F67" s="147"/>
      <c r="G67" s="146"/>
      <c r="H67" s="147"/>
    </row>
    <row r="68" spans="1:8" x14ac:dyDescent="0.2">
      <c r="A68" s="149">
        <v>44</v>
      </c>
      <c r="B68" s="145" t="s">
        <v>179</v>
      </c>
      <c r="C68" s="148" t="s">
        <v>408</v>
      </c>
      <c r="F68" s="147"/>
      <c r="G68" s="146"/>
      <c r="H68" s="147"/>
    </row>
    <row r="69" spans="1:8" x14ac:dyDescent="0.2">
      <c r="A69" s="149">
        <v>45</v>
      </c>
      <c r="B69" s="145" t="s">
        <v>181</v>
      </c>
      <c r="C69" s="148" t="s">
        <v>408</v>
      </c>
      <c r="F69" s="147"/>
      <c r="G69" s="146"/>
      <c r="H69" s="147"/>
    </row>
    <row r="70" spans="1:8" x14ac:dyDescent="0.2">
      <c r="A70" s="149">
        <v>46</v>
      </c>
      <c r="B70" s="145" t="s">
        <v>182</v>
      </c>
      <c r="C70" s="148" t="s">
        <v>408</v>
      </c>
      <c r="F70" s="147"/>
      <c r="G70" s="146"/>
      <c r="H70" s="147"/>
    </row>
    <row r="71" spans="1:8" x14ac:dyDescent="0.2">
      <c r="A71" s="149">
        <v>47</v>
      </c>
      <c r="B71" s="145" t="s">
        <v>183</v>
      </c>
      <c r="C71" s="148" t="s">
        <v>408</v>
      </c>
      <c r="F71" s="147"/>
      <c r="G71" s="146"/>
      <c r="H71" s="147"/>
    </row>
    <row r="72" spans="1:8" x14ac:dyDescent="0.2">
      <c r="A72" s="149">
        <v>48</v>
      </c>
      <c r="B72" s="145" t="s">
        <v>184</v>
      </c>
      <c r="C72" s="148" t="s">
        <v>408</v>
      </c>
      <c r="F72" s="147"/>
      <c r="G72" s="146"/>
      <c r="H72" s="147"/>
    </row>
    <row r="73" spans="1:8" x14ac:dyDescent="0.2">
      <c r="A73" s="149">
        <v>49</v>
      </c>
      <c r="B73" s="145" t="s">
        <v>177</v>
      </c>
      <c r="C73" s="148" t="s">
        <v>408</v>
      </c>
      <c r="F73" s="147"/>
      <c r="G73" s="146"/>
      <c r="H73" s="147"/>
    </row>
    <row r="74" spans="1:8" x14ac:dyDescent="0.2">
      <c r="A74" s="149">
        <v>50</v>
      </c>
      <c r="B74" s="145" t="s">
        <v>185</v>
      </c>
      <c r="C74" s="148" t="s">
        <v>408</v>
      </c>
      <c r="F74" s="147"/>
      <c r="G74" s="146"/>
      <c r="H74" s="147"/>
    </row>
    <row r="75" spans="1:8" x14ac:dyDescent="0.2">
      <c r="A75" s="149">
        <v>51</v>
      </c>
      <c r="B75" s="145" t="s">
        <v>186</v>
      </c>
      <c r="C75" s="148" t="s">
        <v>407</v>
      </c>
      <c r="F75" s="147"/>
      <c r="G75" s="146"/>
      <c r="H75" s="147"/>
    </row>
    <row r="76" spans="1:8" x14ac:dyDescent="0.2">
      <c r="A76" s="149">
        <v>52</v>
      </c>
      <c r="B76" s="145" t="s">
        <v>187</v>
      </c>
      <c r="C76" s="148" t="s">
        <v>408</v>
      </c>
      <c r="F76" s="147"/>
      <c r="G76" s="146"/>
      <c r="H76" s="147"/>
    </row>
    <row r="77" spans="1:8" x14ac:dyDescent="0.2">
      <c r="A77" s="149">
        <v>53</v>
      </c>
      <c r="B77" s="145" t="s">
        <v>187</v>
      </c>
      <c r="C77" s="148" t="s">
        <v>408</v>
      </c>
      <c r="F77" s="147"/>
      <c r="G77" s="146"/>
      <c r="H77" s="147"/>
    </row>
    <row r="78" spans="1:8" x14ac:dyDescent="0.2">
      <c r="A78" s="149">
        <v>55</v>
      </c>
      <c r="B78" s="145" t="s">
        <v>187</v>
      </c>
      <c r="C78" s="148" t="s">
        <v>408</v>
      </c>
      <c r="F78" s="147"/>
      <c r="G78" s="146"/>
      <c r="H78" s="147"/>
    </row>
    <row r="79" spans="1:8" x14ac:dyDescent="0.2">
      <c r="A79" s="149">
        <v>56</v>
      </c>
      <c r="B79" s="145" t="s">
        <v>187</v>
      </c>
      <c r="C79" s="148" t="s">
        <v>408</v>
      </c>
      <c r="F79" s="147"/>
      <c r="G79" s="146"/>
      <c r="H79" s="147"/>
    </row>
    <row r="80" spans="1:8" x14ac:dyDescent="0.2">
      <c r="A80" s="149">
        <v>57</v>
      </c>
      <c r="B80" s="145" t="s">
        <v>187</v>
      </c>
      <c r="C80" s="148" t="s">
        <v>408</v>
      </c>
      <c r="F80" s="147"/>
      <c r="G80" s="146"/>
      <c r="H80" s="147"/>
    </row>
    <row r="81" spans="1:8" x14ac:dyDescent="0.2">
      <c r="A81" s="149">
        <v>58</v>
      </c>
      <c r="B81" s="145" t="s">
        <v>188</v>
      </c>
      <c r="C81" s="148" t="s">
        <v>407</v>
      </c>
      <c r="F81" s="147"/>
      <c r="G81" s="146"/>
      <c r="H81" s="147"/>
    </row>
    <row r="82" spans="1:8" x14ac:dyDescent="0.2">
      <c r="A82" s="149">
        <v>59</v>
      </c>
      <c r="B82" s="145" t="s">
        <v>187</v>
      </c>
      <c r="C82" s="148" t="s">
        <v>408</v>
      </c>
      <c r="F82" s="147"/>
      <c r="G82" s="146"/>
      <c r="H82" s="147"/>
    </row>
    <row r="83" spans="1:8" x14ac:dyDescent="0.2">
      <c r="A83" s="149">
        <v>60</v>
      </c>
      <c r="B83" s="145" t="s">
        <v>187</v>
      </c>
      <c r="C83" s="148" t="s">
        <v>408</v>
      </c>
      <c r="F83" s="147"/>
      <c r="G83" s="146"/>
      <c r="H83" s="147"/>
    </row>
    <row r="84" spans="1:8" x14ac:dyDescent="0.2">
      <c r="A84" s="149">
        <v>62</v>
      </c>
      <c r="B84" s="145" t="s">
        <v>189</v>
      </c>
      <c r="C84" s="148" t="s">
        <v>407</v>
      </c>
    </row>
    <row r="85" spans="1:8" x14ac:dyDescent="0.2">
      <c r="A85" s="149">
        <v>63</v>
      </c>
      <c r="B85" s="145" t="s">
        <v>180</v>
      </c>
      <c r="C85" s="148" t="s">
        <v>408</v>
      </c>
    </row>
    <row r="86" spans="1:8" x14ac:dyDescent="0.2">
      <c r="A86" s="149">
        <v>64</v>
      </c>
      <c r="B86" s="145" t="s">
        <v>187</v>
      </c>
      <c r="C86" s="148" t="s">
        <v>408</v>
      </c>
    </row>
    <row r="87" spans="1:8" x14ac:dyDescent="0.2">
      <c r="A87" s="149">
        <v>65</v>
      </c>
      <c r="B87" s="145" t="s">
        <v>190</v>
      </c>
      <c r="C87" s="148" t="s">
        <v>408</v>
      </c>
    </row>
    <row r="88" spans="1:8" x14ac:dyDescent="0.2">
      <c r="A88" s="149">
        <v>66</v>
      </c>
      <c r="B88" s="145" t="s">
        <v>190</v>
      </c>
      <c r="C88" s="148" t="s">
        <v>408</v>
      </c>
    </row>
    <row r="89" spans="1:8" x14ac:dyDescent="0.2">
      <c r="A89" s="149">
        <v>67</v>
      </c>
      <c r="B89" s="145" t="s">
        <v>191</v>
      </c>
      <c r="C89" s="148" t="s">
        <v>408</v>
      </c>
    </row>
    <row r="90" spans="1:8" x14ac:dyDescent="0.2">
      <c r="A90" s="149">
        <v>71</v>
      </c>
      <c r="B90" s="145" t="s">
        <v>191</v>
      </c>
      <c r="C90" s="148" t="s">
        <v>408</v>
      </c>
    </row>
    <row r="91" spans="1:8" x14ac:dyDescent="0.2">
      <c r="A91" s="149">
        <v>72</v>
      </c>
      <c r="B91" s="145" t="s">
        <v>191</v>
      </c>
      <c r="C91" s="148" t="s">
        <v>408</v>
      </c>
    </row>
    <row r="92" spans="1:8" x14ac:dyDescent="0.2">
      <c r="A92" s="149">
        <v>73</v>
      </c>
      <c r="B92" s="145" t="s">
        <v>191</v>
      </c>
      <c r="C92" s="148" t="s">
        <v>408</v>
      </c>
    </row>
    <row r="93" spans="1:8" x14ac:dyDescent="0.2">
      <c r="A93" s="149">
        <v>74</v>
      </c>
      <c r="B93" s="145" t="s">
        <v>192</v>
      </c>
      <c r="C93" s="148" t="s">
        <v>408</v>
      </c>
    </row>
    <row r="94" spans="1:8" x14ac:dyDescent="0.2">
      <c r="A94" s="149">
        <v>75</v>
      </c>
      <c r="B94" s="145" t="s">
        <v>193</v>
      </c>
      <c r="C94" s="148" t="s">
        <v>408</v>
      </c>
    </row>
    <row r="95" spans="1:8" x14ac:dyDescent="0.2">
      <c r="A95" s="149">
        <v>76</v>
      </c>
      <c r="B95" s="145" t="s">
        <v>193</v>
      </c>
      <c r="C95" s="148" t="s">
        <v>408</v>
      </c>
    </row>
    <row r="96" spans="1:8" x14ac:dyDescent="0.2">
      <c r="A96" s="149">
        <v>77</v>
      </c>
      <c r="B96" s="145" t="s">
        <v>193</v>
      </c>
      <c r="C96" s="148" t="s">
        <v>408</v>
      </c>
    </row>
    <row r="97" spans="1:3" x14ac:dyDescent="0.2">
      <c r="A97" s="149">
        <v>78</v>
      </c>
      <c r="B97" s="145" t="s">
        <v>194</v>
      </c>
      <c r="C97" s="148" t="s">
        <v>408</v>
      </c>
    </row>
    <row r="98" spans="1:3" x14ac:dyDescent="0.2">
      <c r="A98" s="149">
        <v>79</v>
      </c>
      <c r="B98" s="145" t="s">
        <v>195</v>
      </c>
      <c r="C98" s="148" t="s">
        <v>407</v>
      </c>
    </row>
    <row r="99" spans="1:3" x14ac:dyDescent="0.2">
      <c r="A99" s="149">
        <v>80</v>
      </c>
      <c r="B99" s="145" t="s">
        <v>196</v>
      </c>
      <c r="C99" s="148" t="s">
        <v>408</v>
      </c>
    </row>
    <row r="100" spans="1:3" x14ac:dyDescent="0.2">
      <c r="A100" s="149">
        <v>81</v>
      </c>
      <c r="B100" s="145" t="s">
        <v>197</v>
      </c>
      <c r="C100" s="148" t="s">
        <v>408</v>
      </c>
    </row>
    <row r="101" spans="1:3" x14ac:dyDescent="0.2">
      <c r="A101" s="149">
        <v>82</v>
      </c>
      <c r="B101" s="145" t="s">
        <v>198</v>
      </c>
      <c r="C101" s="148" t="s">
        <v>408</v>
      </c>
    </row>
    <row r="102" spans="1:3" x14ac:dyDescent="0.2">
      <c r="A102" s="149">
        <v>83</v>
      </c>
      <c r="B102" s="145" t="s">
        <v>198</v>
      </c>
      <c r="C102" s="148" t="s">
        <v>408</v>
      </c>
    </row>
    <row r="103" spans="1:3" x14ac:dyDescent="0.2">
      <c r="A103" s="149">
        <v>84</v>
      </c>
      <c r="B103" s="145" t="s">
        <v>198</v>
      </c>
      <c r="C103" s="148" t="s">
        <v>408</v>
      </c>
    </row>
    <row r="104" spans="1:3" x14ac:dyDescent="0.2">
      <c r="A104" s="149">
        <v>85</v>
      </c>
      <c r="B104" s="145" t="s">
        <v>198</v>
      </c>
      <c r="C104" s="148" t="s">
        <v>408</v>
      </c>
    </row>
    <row r="105" spans="1:3" x14ac:dyDescent="0.2">
      <c r="A105" s="149">
        <v>86</v>
      </c>
      <c r="B105" s="145" t="s">
        <v>198</v>
      </c>
      <c r="C105" s="148" t="s">
        <v>408</v>
      </c>
    </row>
    <row r="106" spans="1:3" x14ac:dyDescent="0.2">
      <c r="A106" s="149">
        <v>87</v>
      </c>
      <c r="B106" s="145" t="s">
        <v>198</v>
      </c>
      <c r="C106" s="148" t="s">
        <v>408</v>
      </c>
    </row>
    <row r="107" spans="1:3" x14ac:dyDescent="0.2">
      <c r="A107" s="149">
        <v>88</v>
      </c>
      <c r="B107" s="145" t="s">
        <v>198</v>
      </c>
      <c r="C107" s="148" t="s">
        <v>408</v>
      </c>
    </row>
    <row r="108" spans="1:3" x14ac:dyDescent="0.2">
      <c r="A108" s="149">
        <v>91</v>
      </c>
      <c r="B108" s="145" t="s">
        <v>199</v>
      </c>
      <c r="C108" s="148" t="s">
        <v>408</v>
      </c>
    </row>
    <row r="109" spans="1:3" x14ac:dyDescent="0.2">
      <c r="A109" s="149">
        <v>92</v>
      </c>
      <c r="B109" s="145" t="s">
        <v>199</v>
      </c>
      <c r="C109" s="148" t="s">
        <v>408</v>
      </c>
    </row>
    <row r="110" spans="1:3" x14ac:dyDescent="0.2">
      <c r="A110" s="149">
        <v>93</v>
      </c>
      <c r="B110" s="145" t="s">
        <v>200</v>
      </c>
      <c r="C110" s="148" t="s">
        <v>407</v>
      </c>
    </row>
    <row r="111" spans="1:3" x14ac:dyDescent="0.2">
      <c r="A111" s="149">
        <v>94</v>
      </c>
      <c r="B111" s="145" t="s">
        <v>199</v>
      </c>
      <c r="C111" s="148" t="s">
        <v>408</v>
      </c>
    </row>
    <row r="112" spans="1:3" x14ac:dyDescent="0.2">
      <c r="A112" s="149">
        <v>95</v>
      </c>
      <c r="B112" s="145" t="s">
        <v>199</v>
      </c>
      <c r="C112" s="148" t="s">
        <v>408</v>
      </c>
    </row>
    <row r="113" spans="1:3" x14ac:dyDescent="0.2">
      <c r="A113" s="149">
        <v>96</v>
      </c>
      <c r="B113" s="145" t="s">
        <v>199</v>
      </c>
      <c r="C113" s="148" t="s">
        <v>408</v>
      </c>
    </row>
    <row r="114" spans="1:3" x14ac:dyDescent="0.2">
      <c r="A114" s="149">
        <v>97</v>
      </c>
      <c r="B114" s="145" t="s">
        <v>201</v>
      </c>
      <c r="C114" s="148" t="s">
        <v>408</v>
      </c>
    </row>
    <row r="115" spans="1:3" x14ac:dyDescent="0.2">
      <c r="A115" s="149">
        <v>98</v>
      </c>
      <c r="B115" s="145" t="s">
        <v>202</v>
      </c>
      <c r="C115" s="148" t="s">
        <v>408</v>
      </c>
    </row>
    <row r="116" spans="1:3" x14ac:dyDescent="0.2">
      <c r="A116" s="149">
        <v>99</v>
      </c>
      <c r="B116" s="145" t="s">
        <v>203</v>
      </c>
      <c r="C116" s="148" t="s">
        <v>408</v>
      </c>
    </row>
    <row r="117" spans="1:3" x14ac:dyDescent="0.2">
      <c r="A117" s="149">
        <v>100</v>
      </c>
      <c r="B117" s="145" t="s">
        <v>203</v>
      </c>
      <c r="C117" s="148" t="s">
        <v>408</v>
      </c>
    </row>
    <row r="118" spans="1:3" x14ac:dyDescent="0.2">
      <c r="A118" s="149">
        <v>101</v>
      </c>
      <c r="B118" s="145" t="s">
        <v>204</v>
      </c>
      <c r="C118" s="148" t="s">
        <v>408</v>
      </c>
    </row>
    <row r="119" spans="1:3" x14ac:dyDescent="0.2">
      <c r="A119" s="149">
        <v>102</v>
      </c>
      <c r="B119" s="145" t="s">
        <v>204</v>
      </c>
      <c r="C119" s="148" t="s">
        <v>408</v>
      </c>
    </row>
    <row r="120" spans="1:3" x14ac:dyDescent="0.2">
      <c r="A120" s="149">
        <v>103</v>
      </c>
      <c r="B120" s="145" t="s">
        <v>204</v>
      </c>
      <c r="C120" s="148" t="s">
        <v>408</v>
      </c>
    </row>
    <row r="121" spans="1:3" x14ac:dyDescent="0.2">
      <c r="A121" s="149">
        <v>104</v>
      </c>
      <c r="B121" s="145" t="s">
        <v>205</v>
      </c>
      <c r="C121" s="148" t="s">
        <v>408</v>
      </c>
    </row>
    <row r="122" spans="1:3" x14ac:dyDescent="0.2">
      <c r="A122" s="149">
        <v>105</v>
      </c>
      <c r="B122" s="145" t="s">
        <v>205</v>
      </c>
      <c r="C122" s="148" t="s">
        <v>408</v>
      </c>
    </row>
    <row r="123" spans="1:3" x14ac:dyDescent="0.2">
      <c r="A123" s="149">
        <v>106</v>
      </c>
      <c r="B123" s="145" t="s">
        <v>205</v>
      </c>
      <c r="C123" s="148" t="s">
        <v>408</v>
      </c>
    </row>
    <row r="124" spans="1:3" x14ac:dyDescent="0.2">
      <c r="A124" s="149">
        <v>107</v>
      </c>
      <c r="B124" s="145" t="s">
        <v>205</v>
      </c>
      <c r="C124" s="148" t="s">
        <v>408</v>
      </c>
    </row>
    <row r="125" spans="1:3" x14ac:dyDescent="0.2">
      <c r="A125" s="149">
        <v>108</v>
      </c>
      <c r="B125" s="145" t="s">
        <v>205</v>
      </c>
      <c r="C125" s="148" t="s">
        <v>408</v>
      </c>
    </row>
    <row r="126" spans="1:3" x14ac:dyDescent="0.2">
      <c r="A126" s="149">
        <v>109</v>
      </c>
      <c r="B126" s="145" t="s">
        <v>205</v>
      </c>
      <c r="C126" s="148" t="s">
        <v>408</v>
      </c>
    </row>
    <row r="127" spans="1:3" x14ac:dyDescent="0.2">
      <c r="A127" s="149">
        <v>110</v>
      </c>
      <c r="B127" s="145" t="s">
        <v>205</v>
      </c>
      <c r="C127" s="148" t="s">
        <v>408</v>
      </c>
    </row>
    <row r="128" spans="1:3" x14ac:dyDescent="0.2">
      <c r="A128" s="149">
        <v>111</v>
      </c>
      <c r="B128" s="145" t="s">
        <v>206</v>
      </c>
      <c r="C128" s="148" t="s">
        <v>408</v>
      </c>
    </row>
    <row r="129" spans="1:3" x14ac:dyDescent="0.2">
      <c r="A129" s="149">
        <v>112</v>
      </c>
      <c r="B129" s="145" t="s">
        <v>207</v>
      </c>
      <c r="C129" s="148" t="s">
        <v>408</v>
      </c>
    </row>
    <row r="130" spans="1:3" x14ac:dyDescent="0.2">
      <c r="A130" s="149">
        <v>113</v>
      </c>
      <c r="B130" s="145" t="s">
        <v>207</v>
      </c>
      <c r="C130" s="148" t="s">
        <v>408</v>
      </c>
    </row>
    <row r="131" spans="1:3" x14ac:dyDescent="0.2">
      <c r="A131" s="149">
        <v>115</v>
      </c>
      <c r="B131" s="145" t="s">
        <v>207</v>
      </c>
      <c r="C131" s="148" t="s">
        <v>408</v>
      </c>
    </row>
    <row r="132" spans="1:3" x14ac:dyDescent="0.2">
      <c r="A132" s="149">
        <v>116</v>
      </c>
      <c r="B132" s="145" t="s">
        <v>207</v>
      </c>
      <c r="C132" s="148" t="s">
        <v>408</v>
      </c>
    </row>
    <row r="133" spans="1:3" x14ac:dyDescent="0.2">
      <c r="A133" s="149">
        <v>117</v>
      </c>
      <c r="B133" s="145" t="s">
        <v>207</v>
      </c>
      <c r="C133" s="148" t="s">
        <v>408</v>
      </c>
    </row>
    <row r="134" spans="1:3" x14ac:dyDescent="0.2">
      <c r="A134" s="149">
        <v>118</v>
      </c>
      <c r="B134" s="145" t="s">
        <v>208</v>
      </c>
      <c r="C134" s="148" t="s">
        <v>408</v>
      </c>
    </row>
    <row r="135" spans="1:3" x14ac:dyDescent="0.2">
      <c r="A135" s="149">
        <v>119</v>
      </c>
      <c r="B135" s="145" t="s">
        <v>208</v>
      </c>
      <c r="C135" s="148" t="s">
        <v>408</v>
      </c>
    </row>
    <row r="136" spans="1:3" x14ac:dyDescent="0.2">
      <c r="A136" s="149">
        <v>120</v>
      </c>
      <c r="B136" s="145" t="s">
        <v>180</v>
      </c>
      <c r="C136" s="148" t="s">
        <v>408</v>
      </c>
    </row>
    <row r="137" spans="1:3" x14ac:dyDescent="0.2">
      <c r="A137" s="149">
        <v>121</v>
      </c>
      <c r="B137" s="145" t="s">
        <v>209</v>
      </c>
      <c r="C137" s="148" t="s">
        <v>407</v>
      </c>
    </row>
    <row r="138" spans="1:3" x14ac:dyDescent="0.2">
      <c r="A138" s="149">
        <v>122</v>
      </c>
      <c r="B138" s="145" t="s">
        <v>210</v>
      </c>
      <c r="C138" s="148" t="s">
        <v>407</v>
      </c>
    </row>
    <row r="139" spans="1:3" x14ac:dyDescent="0.2">
      <c r="A139" s="149">
        <v>123</v>
      </c>
      <c r="B139" s="145" t="s">
        <v>211</v>
      </c>
      <c r="C139" s="148" t="s">
        <v>407</v>
      </c>
    </row>
    <row r="140" spans="1:3" x14ac:dyDescent="0.2">
      <c r="A140" s="149">
        <v>124</v>
      </c>
      <c r="B140" s="145" t="s">
        <v>211</v>
      </c>
      <c r="C140" s="148" t="s">
        <v>407</v>
      </c>
    </row>
    <row r="141" spans="1:3" x14ac:dyDescent="0.2">
      <c r="A141" s="149">
        <v>125</v>
      </c>
      <c r="B141" s="145" t="s">
        <v>211</v>
      </c>
      <c r="C141" s="148" t="s">
        <v>407</v>
      </c>
    </row>
    <row r="142" spans="1:3" x14ac:dyDescent="0.2">
      <c r="A142" s="149">
        <v>126</v>
      </c>
      <c r="B142" s="145" t="s">
        <v>212</v>
      </c>
      <c r="C142" s="148" t="s">
        <v>407</v>
      </c>
    </row>
    <row r="143" spans="1:3" x14ac:dyDescent="0.2">
      <c r="A143" s="149">
        <v>127</v>
      </c>
      <c r="B143" s="145" t="s">
        <v>213</v>
      </c>
      <c r="C143" s="148" t="s">
        <v>407</v>
      </c>
    </row>
    <row r="144" spans="1:3" x14ac:dyDescent="0.2">
      <c r="A144" s="149">
        <v>128</v>
      </c>
      <c r="B144" s="145" t="s">
        <v>214</v>
      </c>
      <c r="C144" s="148" t="s">
        <v>407</v>
      </c>
    </row>
    <row r="145" spans="1:3" x14ac:dyDescent="0.2">
      <c r="A145" s="149">
        <v>129</v>
      </c>
      <c r="B145" s="145" t="s">
        <v>213</v>
      </c>
      <c r="C145" s="148" t="s">
        <v>407</v>
      </c>
    </row>
    <row r="146" spans="1:3" x14ac:dyDescent="0.2">
      <c r="A146" s="149">
        <v>130</v>
      </c>
      <c r="B146" s="145" t="s">
        <v>215</v>
      </c>
      <c r="C146" s="148" t="s">
        <v>407</v>
      </c>
    </row>
    <row r="147" spans="1:3" x14ac:dyDescent="0.2">
      <c r="A147" s="149">
        <v>131</v>
      </c>
      <c r="B147" s="145" t="s">
        <v>215</v>
      </c>
      <c r="C147" s="148" t="s">
        <v>407</v>
      </c>
    </row>
    <row r="148" spans="1:3" x14ac:dyDescent="0.2">
      <c r="A148" s="149">
        <v>132</v>
      </c>
      <c r="B148" s="145" t="s">
        <v>216</v>
      </c>
      <c r="C148" s="148" t="s">
        <v>407</v>
      </c>
    </row>
    <row r="149" spans="1:3" x14ac:dyDescent="0.2">
      <c r="A149" s="149">
        <v>133</v>
      </c>
      <c r="B149" s="145" t="s">
        <v>216</v>
      </c>
      <c r="C149" s="148" t="s">
        <v>407</v>
      </c>
    </row>
    <row r="150" spans="1:3" x14ac:dyDescent="0.2">
      <c r="A150" s="149">
        <v>134</v>
      </c>
      <c r="B150" s="145" t="s">
        <v>216</v>
      </c>
      <c r="C150" s="148" t="s">
        <v>407</v>
      </c>
    </row>
    <row r="151" spans="1:3" x14ac:dyDescent="0.2">
      <c r="A151" s="149">
        <v>135</v>
      </c>
      <c r="B151" s="145" t="s">
        <v>216</v>
      </c>
      <c r="C151" s="148" t="s">
        <v>407</v>
      </c>
    </row>
    <row r="152" spans="1:3" x14ac:dyDescent="0.2">
      <c r="A152" s="149">
        <v>136</v>
      </c>
      <c r="B152" s="145" t="s">
        <v>216</v>
      </c>
      <c r="C152" s="148" t="s">
        <v>407</v>
      </c>
    </row>
    <row r="153" spans="1:3" x14ac:dyDescent="0.2">
      <c r="A153" s="149">
        <v>137</v>
      </c>
      <c r="B153" s="145" t="s">
        <v>216</v>
      </c>
      <c r="C153" s="148" t="s">
        <v>407</v>
      </c>
    </row>
    <row r="154" spans="1:3" x14ac:dyDescent="0.2">
      <c r="A154" s="149">
        <v>138</v>
      </c>
      <c r="B154" s="145" t="s">
        <v>216</v>
      </c>
      <c r="C154" s="148" t="s">
        <v>407</v>
      </c>
    </row>
    <row r="155" spans="1:3" x14ac:dyDescent="0.2">
      <c r="A155" s="149">
        <v>140</v>
      </c>
      <c r="B155" s="145" t="s">
        <v>200</v>
      </c>
      <c r="C155" s="148" t="s">
        <v>407</v>
      </c>
    </row>
    <row r="156" spans="1:3" x14ac:dyDescent="0.2">
      <c r="A156" s="149">
        <v>141</v>
      </c>
      <c r="B156" s="145" t="s">
        <v>217</v>
      </c>
      <c r="C156" s="148" t="s">
        <v>407</v>
      </c>
    </row>
    <row r="157" spans="1:3" x14ac:dyDescent="0.2">
      <c r="A157" s="149">
        <v>142</v>
      </c>
      <c r="B157" s="145" t="s">
        <v>217</v>
      </c>
      <c r="C157" s="148" t="s">
        <v>407</v>
      </c>
    </row>
    <row r="158" spans="1:3" x14ac:dyDescent="0.2">
      <c r="A158" s="149">
        <v>143</v>
      </c>
      <c r="B158" s="145" t="s">
        <v>203</v>
      </c>
      <c r="C158" s="148" t="s">
        <v>408</v>
      </c>
    </row>
    <row r="159" spans="1:3" x14ac:dyDescent="0.2">
      <c r="A159" s="149">
        <v>144</v>
      </c>
      <c r="B159" s="145" t="s">
        <v>218</v>
      </c>
      <c r="C159" s="148" t="s">
        <v>407</v>
      </c>
    </row>
    <row r="160" spans="1:3" x14ac:dyDescent="0.2">
      <c r="A160" s="149">
        <v>145</v>
      </c>
      <c r="B160" s="145" t="s">
        <v>218</v>
      </c>
      <c r="C160" s="148" t="s">
        <v>407</v>
      </c>
    </row>
    <row r="161" spans="1:3" x14ac:dyDescent="0.2">
      <c r="A161" s="149">
        <v>146</v>
      </c>
      <c r="B161" s="145" t="s">
        <v>218</v>
      </c>
      <c r="C161" s="148" t="s">
        <v>407</v>
      </c>
    </row>
    <row r="162" spans="1:3" x14ac:dyDescent="0.2">
      <c r="A162" s="149">
        <v>147</v>
      </c>
      <c r="B162" s="145" t="s">
        <v>218</v>
      </c>
      <c r="C162" s="148" t="s">
        <v>407</v>
      </c>
    </row>
    <row r="163" spans="1:3" x14ac:dyDescent="0.2">
      <c r="A163" s="149">
        <v>148</v>
      </c>
      <c r="B163" s="145" t="s">
        <v>219</v>
      </c>
      <c r="C163" s="148" t="s">
        <v>407</v>
      </c>
    </row>
    <row r="164" spans="1:3" x14ac:dyDescent="0.2">
      <c r="A164" s="149">
        <v>149</v>
      </c>
      <c r="B164" s="145" t="s">
        <v>220</v>
      </c>
      <c r="C164" s="148" t="s">
        <v>407</v>
      </c>
    </row>
    <row r="165" spans="1:3" x14ac:dyDescent="0.2">
      <c r="A165" s="149">
        <v>150</v>
      </c>
      <c r="B165" s="145" t="s">
        <v>212</v>
      </c>
      <c r="C165" s="148" t="s">
        <v>407</v>
      </c>
    </row>
    <row r="166" spans="1:3" x14ac:dyDescent="0.2">
      <c r="A166" s="149">
        <v>151</v>
      </c>
      <c r="B166" s="145" t="s">
        <v>212</v>
      </c>
      <c r="C166" s="148" t="s">
        <v>407</v>
      </c>
    </row>
    <row r="167" spans="1:3" x14ac:dyDescent="0.2">
      <c r="A167" s="149">
        <v>152</v>
      </c>
      <c r="B167" s="145" t="s">
        <v>212</v>
      </c>
      <c r="C167" s="148" t="s">
        <v>407</v>
      </c>
    </row>
    <row r="168" spans="1:3" x14ac:dyDescent="0.2">
      <c r="A168" s="149">
        <v>153</v>
      </c>
      <c r="B168" s="145" t="s">
        <v>212</v>
      </c>
      <c r="C168" s="148" t="s">
        <v>407</v>
      </c>
    </row>
    <row r="169" spans="1:3" x14ac:dyDescent="0.2">
      <c r="A169" s="149">
        <v>154</v>
      </c>
      <c r="B169" s="145" t="s">
        <v>212</v>
      </c>
      <c r="C169" s="148" t="s">
        <v>407</v>
      </c>
    </row>
    <row r="170" spans="1:3" x14ac:dyDescent="0.2">
      <c r="A170" s="149">
        <v>155</v>
      </c>
      <c r="B170" s="145" t="s">
        <v>200</v>
      </c>
      <c r="C170" s="148" t="s">
        <v>408</v>
      </c>
    </row>
    <row r="171" spans="1:3" x14ac:dyDescent="0.2">
      <c r="A171" s="149">
        <v>156</v>
      </c>
      <c r="B171" s="145" t="s">
        <v>212</v>
      </c>
      <c r="C171" s="148" t="s">
        <v>407</v>
      </c>
    </row>
    <row r="172" spans="1:3" x14ac:dyDescent="0.2">
      <c r="A172" s="149">
        <v>157</v>
      </c>
      <c r="B172" s="145" t="s">
        <v>212</v>
      </c>
      <c r="C172" s="148" t="s">
        <v>407</v>
      </c>
    </row>
    <row r="173" spans="1:3" x14ac:dyDescent="0.2">
      <c r="A173" s="149">
        <v>158</v>
      </c>
      <c r="B173" s="145" t="s">
        <v>212</v>
      </c>
      <c r="C173" s="148" t="s">
        <v>407</v>
      </c>
    </row>
    <row r="174" spans="1:3" x14ac:dyDescent="0.2">
      <c r="A174" s="149">
        <v>159</v>
      </c>
      <c r="B174" s="145" t="s">
        <v>187</v>
      </c>
      <c r="C174" s="148" t="s">
        <v>408</v>
      </c>
    </row>
    <row r="175" spans="1:3" x14ac:dyDescent="0.2">
      <c r="A175" s="149">
        <v>160</v>
      </c>
      <c r="B175" s="145" t="s">
        <v>212</v>
      </c>
      <c r="C175" s="148" t="s">
        <v>407</v>
      </c>
    </row>
    <row r="176" spans="1:3" x14ac:dyDescent="0.2">
      <c r="A176" s="149">
        <v>161</v>
      </c>
      <c r="B176" s="145" t="s">
        <v>212</v>
      </c>
      <c r="C176" s="148" t="s">
        <v>407</v>
      </c>
    </row>
    <row r="177" spans="1:3" x14ac:dyDescent="0.2">
      <c r="A177" s="149">
        <v>162</v>
      </c>
      <c r="B177" s="145" t="s">
        <v>212</v>
      </c>
      <c r="C177" s="148" t="s">
        <v>407</v>
      </c>
    </row>
    <row r="178" spans="1:3" x14ac:dyDescent="0.2">
      <c r="A178" s="149">
        <v>163</v>
      </c>
      <c r="B178" s="145" t="s">
        <v>212</v>
      </c>
      <c r="C178" s="148" t="s">
        <v>407</v>
      </c>
    </row>
    <row r="179" spans="1:3" x14ac:dyDescent="0.2">
      <c r="A179" s="149">
        <v>164</v>
      </c>
      <c r="B179" s="145" t="s">
        <v>212</v>
      </c>
      <c r="C179" s="148" t="s">
        <v>407</v>
      </c>
    </row>
    <row r="180" spans="1:3" x14ac:dyDescent="0.2">
      <c r="A180" s="149">
        <v>165</v>
      </c>
      <c r="B180" s="145" t="s">
        <v>212</v>
      </c>
      <c r="C180" s="148" t="s">
        <v>407</v>
      </c>
    </row>
    <row r="181" spans="1:3" x14ac:dyDescent="0.2">
      <c r="A181" s="149">
        <v>166</v>
      </c>
      <c r="B181" s="145" t="s">
        <v>212</v>
      </c>
      <c r="C181" s="148" t="s">
        <v>407</v>
      </c>
    </row>
    <row r="182" spans="1:3" x14ac:dyDescent="0.2">
      <c r="A182" s="149">
        <v>167</v>
      </c>
      <c r="B182" s="145" t="s">
        <v>212</v>
      </c>
      <c r="C182" s="148" t="s">
        <v>407</v>
      </c>
    </row>
    <row r="183" spans="1:3" x14ac:dyDescent="0.2">
      <c r="A183" s="149">
        <v>168</v>
      </c>
      <c r="B183" s="145" t="s">
        <v>212</v>
      </c>
      <c r="C183" s="148" t="s">
        <v>407</v>
      </c>
    </row>
    <row r="184" spans="1:3" x14ac:dyDescent="0.2">
      <c r="A184" s="149">
        <v>169</v>
      </c>
      <c r="B184" s="145" t="s">
        <v>212</v>
      </c>
      <c r="C184" s="148" t="s">
        <v>407</v>
      </c>
    </row>
    <row r="185" spans="1:3" x14ac:dyDescent="0.2">
      <c r="A185" s="149">
        <v>170</v>
      </c>
      <c r="B185" s="145" t="s">
        <v>212</v>
      </c>
      <c r="C185" s="148" t="s">
        <v>407</v>
      </c>
    </row>
    <row r="186" spans="1:3" x14ac:dyDescent="0.2">
      <c r="A186" s="149">
        <v>171</v>
      </c>
      <c r="B186" s="145" t="s">
        <v>212</v>
      </c>
      <c r="C186" s="148" t="s">
        <v>407</v>
      </c>
    </row>
    <row r="187" spans="1:3" x14ac:dyDescent="0.2">
      <c r="A187" s="149">
        <v>172</v>
      </c>
      <c r="B187" s="145" t="s">
        <v>212</v>
      </c>
      <c r="C187" s="148" t="s">
        <v>407</v>
      </c>
    </row>
    <row r="188" spans="1:3" x14ac:dyDescent="0.2">
      <c r="A188" s="149">
        <v>173</v>
      </c>
      <c r="B188" s="145" t="s">
        <v>212</v>
      </c>
      <c r="C188" s="148" t="s">
        <v>407</v>
      </c>
    </row>
    <row r="189" spans="1:3" x14ac:dyDescent="0.2">
      <c r="A189" s="149">
        <v>174</v>
      </c>
      <c r="B189" s="145" t="s">
        <v>212</v>
      </c>
      <c r="C189" s="148" t="s">
        <v>407</v>
      </c>
    </row>
    <row r="190" spans="1:3" x14ac:dyDescent="0.2">
      <c r="A190" s="149">
        <v>175</v>
      </c>
      <c r="B190" s="145" t="s">
        <v>212</v>
      </c>
      <c r="C190" s="148" t="s">
        <v>407</v>
      </c>
    </row>
    <row r="191" spans="1:3" x14ac:dyDescent="0.2">
      <c r="A191" s="149">
        <v>176</v>
      </c>
      <c r="B191" s="145" t="s">
        <v>212</v>
      </c>
      <c r="C191" s="148" t="s">
        <v>407</v>
      </c>
    </row>
    <row r="192" spans="1:3" x14ac:dyDescent="0.2">
      <c r="A192" s="149">
        <v>177</v>
      </c>
      <c r="B192" s="145" t="s">
        <v>212</v>
      </c>
      <c r="C192" s="148" t="s">
        <v>407</v>
      </c>
    </row>
    <row r="193" spans="1:3" x14ac:dyDescent="0.2">
      <c r="A193" s="149">
        <v>178</v>
      </c>
      <c r="B193" s="145" t="s">
        <v>221</v>
      </c>
      <c r="C193" s="148" t="s">
        <v>407</v>
      </c>
    </row>
    <row r="194" spans="1:3" x14ac:dyDescent="0.2">
      <c r="A194" s="149">
        <v>179</v>
      </c>
      <c r="B194" s="145" t="s">
        <v>212</v>
      </c>
      <c r="C194" s="148" t="s">
        <v>407</v>
      </c>
    </row>
    <row r="195" spans="1:3" x14ac:dyDescent="0.2">
      <c r="A195" s="149">
        <v>180</v>
      </c>
      <c r="B195" s="145" t="s">
        <v>212</v>
      </c>
      <c r="C195" s="148" t="s">
        <v>407</v>
      </c>
    </row>
    <row r="196" spans="1:3" x14ac:dyDescent="0.2">
      <c r="A196" s="149">
        <v>181</v>
      </c>
      <c r="B196" s="145" t="s">
        <v>212</v>
      </c>
      <c r="C196" s="148" t="s">
        <v>407</v>
      </c>
    </row>
    <row r="197" spans="1:3" x14ac:dyDescent="0.2">
      <c r="A197" s="149">
        <v>182</v>
      </c>
      <c r="B197" s="145" t="s">
        <v>212</v>
      </c>
      <c r="C197" s="148" t="s">
        <v>407</v>
      </c>
    </row>
    <row r="198" spans="1:3" x14ac:dyDescent="0.2">
      <c r="A198" s="149">
        <v>183</v>
      </c>
      <c r="B198" s="145" t="s">
        <v>212</v>
      </c>
      <c r="C198" s="148" t="s">
        <v>407</v>
      </c>
    </row>
    <row r="199" spans="1:3" x14ac:dyDescent="0.2">
      <c r="A199" s="149">
        <v>184</v>
      </c>
      <c r="B199" s="145" t="s">
        <v>212</v>
      </c>
      <c r="C199" s="148" t="s">
        <v>407</v>
      </c>
    </row>
    <row r="200" spans="1:3" x14ac:dyDescent="0.2">
      <c r="A200" s="149">
        <v>185</v>
      </c>
      <c r="B200" s="145" t="s">
        <v>212</v>
      </c>
      <c r="C200" s="148" t="s">
        <v>407</v>
      </c>
    </row>
    <row r="201" spans="1:3" x14ac:dyDescent="0.2">
      <c r="A201" s="149">
        <v>186</v>
      </c>
      <c r="B201" s="145" t="s">
        <v>212</v>
      </c>
      <c r="C201" s="148" t="s">
        <v>407</v>
      </c>
    </row>
    <row r="202" spans="1:3" x14ac:dyDescent="0.2">
      <c r="A202" s="149">
        <v>187</v>
      </c>
      <c r="B202" s="145" t="s">
        <v>212</v>
      </c>
      <c r="C202" s="148" t="s">
        <v>407</v>
      </c>
    </row>
    <row r="203" spans="1:3" x14ac:dyDescent="0.2">
      <c r="A203" s="149">
        <v>188</v>
      </c>
      <c r="B203" s="145" t="s">
        <v>212</v>
      </c>
      <c r="C203" s="148" t="s">
        <v>407</v>
      </c>
    </row>
    <row r="204" spans="1:3" x14ac:dyDescent="0.2">
      <c r="A204" s="149">
        <v>189</v>
      </c>
      <c r="B204" s="145" t="s">
        <v>212</v>
      </c>
      <c r="C204" s="148" t="s">
        <v>408</v>
      </c>
    </row>
    <row r="205" spans="1:3" x14ac:dyDescent="0.2">
      <c r="A205" s="149">
        <v>190</v>
      </c>
      <c r="B205" s="145" t="s">
        <v>212</v>
      </c>
      <c r="C205" s="148" t="s">
        <v>408</v>
      </c>
    </row>
    <row r="206" spans="1:3" x14ac:dyDescent="0.2">
      <c r="A206" s="149">
        <v>191</v>
      </c>
      <c r="B206" s="145" t="s">
        <v>212</v>
      </c>
      <c r="C206" s="148" t="s">
        <v>408</v>
      </c>
    </row>
    <row r="207" spans="1:3" x14ac:dyDescent="0.2">
      <c r="A207" s="149">
        <v>192</v>
      </c>
      <c r="B207" s="145" t="s">
        <v>212</v>
      </c>
      <c r="C207" s="148" t="s">
        <v>408</v>
      </c>
    </row>
    <row r="208" spans="1:3" x14ac:dyDescent="0.2">
      <c r="A208" s="149">
        <v>193</v>
      </c>
      <c r="B208" s="145" t="s">
        <v>212</v>
      </c>
      <c r="C208" s="148" t="s">
        <v>408</v>
      </c>
    </row>
    <row r="209" spans="1:3" x14ac:dyDescent="0.2">
      <c r="A209" s="149">
        <v>194</v>
      </c>
      <c r="B209" s="145" t="s">
        <v>212</v>
      </c>
      <c r="C209" s="148" t="s">
        <v>408</v>
      </c>
    </row>
    <row r="210" spans="1:3" x14ac:dyDescent="0.2">
      <c r="A210" s="149">
        <v>195</v>
      </c>
      <c r="B210" s="145" t="s">
        <v>212</v>
      </c>
      <c r="C210" s="148" t="s">
        <v>408</v>
      </c>
    </row>
    <row r="211" spans="1:3" x14ac:dyDescent="0.2">
      <c r="A211" s="149">
        <v>196</v>
      </c>
      <c r="B211" s="145" t="s">
        <v>212</v>
      </c>
      <c r="C211" s="148" t="s">
        <v>408</v>
      </c>
    </row>
    <row r="212" spans="1:3" x14ac:dyDescent="0.2">
      <c r="A212" s="149">
        <v>197</v>
      </c>
      <c r="B212" s="145" t="s">
        <v>212</v>
      </c>
      <c r="C212" s="148" t="s">
        <v>408</v>
      </c>
    </row>
    <row r="213" spans="1:3" x14ac:dyDescent="0.2">
      <c r="A213" s="149">
        <v>198</v>
      </c>
      <c r="B213" s="145" t="s">
        <v>212</v>
      </c>
      <c r="C213" s="148" t="s">
        <v>408</v>
      </c>
    </row>
    <row r="214" spans="1:3" x14ac:dyDescent="0.2">
      <c r="A214" s="149">
        <v>199</v>
      </c>
      <c r="B214" s="145" t="s">
        <v>212</v>
      </c>
      <c r="C214" s="148" t="s">
        <v>408</v>
      </c>
    </row>
    <row r="215" spans="1:3" x14ac:dyDescent="0.2">
      <c r="A215" s="149">
        <v>201</v>
      </c>
      <c r="B215" s="145" t="s">
        <v>212</v>
      </c>
      <c r="C215" s="148" t="s">
        <v>408</v>
      </c>
    </row>
    <row r="216" spans="1:3" x14ac:dyDescent="0.2">
      <c r="A216" s="149">
        <v>202</v>
      </c>
      <c r="B216" s="145" t="s">
        <v>212</v>
      </c>
      <c r="C216" s="148" t="s">
        <v>408</v>
      </c>
    </row>
    <row r="217" spans="1:3" x14ac:dyDescent="0.2">
      <c r="A217" s="149">
        <v>203</v>
      </c>
      <c r="B217" s="145" t="s">
        <v>212</v>
      </c>
      <c r="C217" s="148" t="s">
        <v>408</v>
      </c>
    </row>
    <row r="218" spans="1:3" x14ac:dyDescent="0.2">
      <c r="A218" s="149">
        <v>204</v>
      </c>
      <c r="B218" s="145" t="s">
        <v>212</v>
      </c>
      <c r="C218" s="148" t="s">
        <v>408</v>
      </c>
    </row>
    <row r="219" spans="1:3" x14ac:dyDescent="0.2">
      <c r="A219" s="149">
        <v>205</v>
      </c>
      <c r="B219" s="145" t="s">
        <v>212</v>
      </c>
      <c r="C219" s="148" t="s">
        <v>408</v>
      </c>
    </row>
    <row r="220" spans="1:3" x14ac:dyDescent="0.2">
      <c r="A220" s="149">
        <v>206</v>
      </c>
      <c r="B220" s="145" t="s">
        <v>212</v>
      </c>
      <c r="C220" s="148" t="s">
        <v>408</v>
      </c>
    </row>
    <row r="221" spans="1:3" x14ac:dyDescent="0.2">
      <c r="A221" s="149">
        <v>207</v>
      </c>
      <c r="B221" s="145" t="s">
        <v>212</v>
      </c>
      <c r="C221" s="148" t="s">
        <v>408</v>
      </c>
    </row>
    <row r="222" spans="1:3" x14ac:dyDescent="0.2">
      <c r="A222" s="149">
        <v>208</v>
      </c>
      <c r="B222" s="145" t="s">
        <v>212</v>
      </c>
      <c r="C222" s="148" t="s">
        <v>408</v>
      </c>
    </row>
    <row r="223" spans="1:3" x14ac:dyDescent="0.2">
      <c r="A223" s="149">
        <v>209</v>
      </c>
      <c r="B223" s="145" t="s">
        <v>212</v>
      </c>
      <c r="C223" s="148" t="s">
        <v>407</v>
      </c>
    </row>
    <row r="224" spans="1:3" x14ac:dyDescent="0.2">
      <c r="A224" s="149">
        <v>210</v>
      </c>
      <c r="B224" s="145" t="s">
        <v>212</v>
      </c>
      <c r="C224" s="148" t="s">
        <v>407</v>
      </c>
    </row>
    <row r="225" spans="1:3" x14ac:dyDescent="0.2">
      <c r="A225" s="149">
        <v>211</v>
      </c>
      <c r="B225" s="145" t="s">
        <v>212</v>
      </c>
      <c r="C225" s="148" t="s">
        <v>407</v>
      </c>
    </row>
    <row r="226" spans="1:3" x14ac:dyDescent="0.2">
      <c r="A226" s="149">
        <v>212</v>
      </c>
      <c r="B226" s="145" t="s">
        <v>212</v>
      </c>
      <c r="C226" s="148" t="s">
        <v>407</v>
      </c>
    </row>
    <row r="227" spans="1:3" x14ac:dyDescent="0.2">
      <c r="A227" s="149">
        <v>213</v>
      </c>
      <c r="B227" s="145" t="s">
        <v>212</v>
      </c>
      <c r="C227" s="148" t="s">
        <v>407</v>
      </c>
    </row>
    <row r="228" spans="1:3" x14ac:dyDescent="0.2">
      <c r="A228" s="149">
        <v>214</v>
      </c>
      <c r="B228" s="145" t="s">
        <v>212</v>
      </c>
      <c r="C228" s="148" t="s">
        <v>407</v>
      </c>
    </row>
    <row r="229" spans="1:3" x14ac:dyDescent="0.2">
      <c r="A229" s="149">
        <v>215</v>
      </c>
      <c r="B229" s="145" t="s">
        <v>212</v>
      </c>
      <c r="C229" s="148" t="s">
        <v>407</v>
      </c>
    </row>
    <row r="230" spans="1:3" x14ac:dyDescent="0.2">
      <c r="A230" s="149">
        <v>216</v>
      </c>
      <c r="B230" s="145" t="s">
        <v>212</v>
      </c>
      <c r="C230" s="148" t="s">
        <v>407</v>
      </c>
    </row>
    <row r="231" spans="1:3" x14ac:dyDescent="0.2">
      <c r="A231" s="149">
        <v>217</v>
      </c>
      <c r="B231" s="145" t="s">
        <v>212</v>
      </c>
      <c r="C231" s="148" t="s">
        <v>407</v>
      </c>
    </row>
    <row r="232" spans="1:3" x14ac:dyDescent="0.2">
      <c r="A232" s="149">
        <v>218</v>
      </c>
      <c r="B232" s="145" t="s">
        <v>212</v>
      </c>
      <c r="C232" s="148" t="s">
        <v>407</v>
      </c>
    </row>
    <row r="233" spans="1:3" x14ac:dyDescent="0.2">
      <c r="A233" s="149">
        <v>219</v>
      </c>
      <c r="B233" s="145" t="s">
        <v>212</v>
      </c>
      <c r="C233" s="148" t="s">
        <v>407</v>
      </c>
    </row>
    <row r="234" spans="1:3" x14ac:dyDescent="0.2">
      <c r="A234" s="149">
        <v>220</v>
      </c>
      <c r="B234" s="145" t="s">
        <v>212</v>
      </c>
      <c r="C234" s="148" t="s">
        <v>407</v>
      </c>
    </row>
    <row r="235" spans="1:3" x14ac:dyDescent="0.2">
      <c r="A235" s="149">
        <v>221</v>
      </c>
      <c r="B235" s="145" t="s">
        <v>212</v>
      </c>
      <c r="C235" s="148" t="s">
        <v>407</v>
      </c>
    </row>
    <row r="236" spans="1:3" x14ac:dyDescent="0.2">
      <c r="A236" s="149">
        <v>222</v>
      </c>
      <c r="B236" s="145" t="s">
        <v>212</v>
      </c>
      <c r="C236" s="148" t="s">
        <v>407</v>
      </c>
    </row>
    <row r="237" spans="1:3" x14ac:dyDescent="0.2">
      <c r="A237" s="149">
        <v>223</v>
      </c>
      <c r="B237" s="145" t="s">
        <v>212</v>
      </c>
      <c r="C237" s="148" t="s">
        <v>407</v>
      </c>
    </row>
    <row r="238" spans="1:3" x14ac:dyDescent="0.2">
      <c r="A238" s="149">
        <v>224</v>
      </c>
      <c r="B238" s="145" t="s">
        <v>212</v>
      </c>
      <c r="C238" s="148" t="s">
        <v>407</v>
      </c>
    </row>
    <row r="239" spans="1:3" x14ac:dyDescent="0.2">
      <c r="A239" s="149">
        <v>225</v>
      </c>
      <c r="B239" s="145" t="s">
        <v>212</v>
      </c>
      <c r="C239" s="148" t="s">
        <v>407</v>
      </c>
    </row>
    <row r="240" spans="1:3" x14ac:dyDescent="0.2">
      <c r="A240" s="149">
        <v>226</v>
      </c>
      <c r="B240" s="145" t="s">
        <v>212</v>
      </c>
      <c r="C240" s="148" t="s">
        <v>407</v>
      </c>
    </row>
    <row r="241" spans="1:3" x14ac:dyDescent="0.2">
      <c r="A241" s="149">
        <v>227</v>
      </c>
      <c r="B241" s="145" t="s">
        <v>212</v>
      </c>
      <c r="C241" s="148" t="s">
        <v>407</v>
      </c>
    </row>
    <row r="242" spans="1:3" x14ac:dyDescent="0.2">
      <c r="A242" s="149">
        <v>228</v>
      </c>
      <c r="B242" s="145" t="s">
        <v>222</v>
      </c>
      <c r="C242" s="148" t="s">
        <v>408</v>
      </c>
    </row>
    <row r="243" spans="1:3" x14ac:dyDescent="0.2">
      <c r="A243" s="149">
        <v>229</v>
      </c>
      <c r="B243" s="145" t="s">
        <v>222</v>
      </c>
      <c r="C243" s="148" t="s">
        <v>408</v>
      </c>
    </row>
    <row r="244" spans="1:3" x14ac:dyDescent="0.2">
      <c r="A244" s="149">
        <v>230</v>
      </c>
      <c r="B244" s="145" t="s">
        <v>212</v>
      </c>
      <c r="C244" s="148" t="s">
        <v>408</v>
      </c>
    </row>
    <row r="245" spans="1:3" x14ac:dyDescent="0.2">
      <c r="A245" s="149">
        <v>231</v>
      </c>
      <c r="B245" s="145" t="s">
        <v>200</v>
      </c>
      <c r="C245" s="148" t="s">
        <v>407</v>
      </c>
    </row>
    <row r="246" spans="1:3" x14ac:dyDescent="0.2">
      <c r="A246" s="149">
        <v>233</v>
      </c>
      <c r="B246" s="145" t="s">
        <v>200</v>
      </c>
      <c r="C246" s="148" t="s">
        <v>407</v>
      </c>
    </row>
    <row r="247" spans="1:3" x14ac:dyDescent="0.2">
      <c r="A247" s="149">
        <v>234</v>
      </c>
      <c r="B247" s="145" t="s">
        <v>200</v>
      </c>
      <c r="C247" s="148" t="s">
        <v>407</v>
      </c>
    </row>
    <row r="248" spans="1:3" x14ac:dyDescent="0.2">
      <c r="A248" s="149">
        <v>235</v>
      </c>
      <c r="B248" s="145" t="s">
        <v>200</v>
      </c>
      <c r="C248" s="148" t="s">
        <v>407</v>
      </c>
    </row>
    <row r="249" spans="1:3" x14ac:dyDescent="0.2">
      <c r="A249" s="149">
        <v>236</v>
      </c>
      <c r="B249" s="145" t="s">
        <v>200</v>
      </c>
      <c r="C249" s="148" t="s">
        <v>407</v>
      </c>
    </row>
    <row r="250" spans="1:3" x14ac:dyDescent="0.2">
      <c r="A250" s="149">
        <v>237</v>
      </c>
      <c r="B250" s="145" t="s">
        <v>200</v>
      </c>
      <c r="C250" s="148" t="s">
        <v>407</v>
      </c>
    </row>
    <row r="251" spans="1:3" x14ac:dyDescent="0.2">
      <c r="A251" s="149">
        <v>238</v>
      </c>
      <c r="B251" s="145" t="s">
        <v>212</v>
      </c>
      <c r="C251" s="148" t="s">
        <v>407</v>
      </c>
    </row>
    <row r="252" spans="1:3" x14ac:dyDescent="0.2">
      <c r="A252" s="149">
        <v>241</v>
      </c>
      <c r="B252" s="145" t="s">
        <v>223</v>
      </c>
      <c r="C252" s="148" t="s">
        <v>407</v>
      </c>
    </row>
    <row r="253" spans="1:3" x14ac:dyDescent="0.2">
      <c r="A253" s="149">
        <v>242</v>
      </c>
      <c r="B253" s="145" t="s">
        <v>224</v>
      </c>
      <c r="C253" s="148" t="s">
        <v>407</v>
      </c>
    </row>
    <row r="254" spans="1:3" x14ac:dyDescent="0.2">
      <c r="A254" s="149">
        <v>243</v>
      </c>
      <c r="B254" s="145" t="s">
        <v>188</v>
      </c>
      <c r="C254" s="148" t="s">
        <v>407</v>
      </c>
    </row>
    <row r="255" spans="1:3" x14ac:dyDescent="0.2">
      <c r="A255" s="149">
        <v>244</v>
      </c>
      <c r="B255" s="145" t="s">
        <v>212</v>
      </c>
      <c r="C255" s="148" t="s">
        <v>407</v>
      </c>
    </row>
    <row r="256" spans="1:3" x14ac:dyDescent="0.2">
      <c r="A256" s="149">
        <v>245</v>
      </c>
      <c r="B256" s="145" t="s">
        <v>224</v>
      </c>
      <c r="C256" s="148" t="s">
        <v>407</v>
      </c>
    </row>
    <row r="257" spans="1:3" x14ac:dyDescent="0.2">
      <c r="A257" s="149">
        <v>246</v>
      </c>
      <c r="B257" s="145" t="s">
        <v>225</v>
      </c>
      <c r="C257" s="148" t="s">
        <v>407</v>
      </c>
    </row>
    <row r="258" spans="1:3" x14ac:dyDescent="0.2">
      <c r="A258" s="149">
        <v>247</v>
      </c>
      <c r="B258" s="145" t="s">
        <v>224</v>
      </c>
      <c r="C258" s="148" t="s">
        <v>407</v>
      </c>
    </row>
    <row r="259" spans="1:3" x14ac:dyDescent="0.2">
      <c r="A259" s="149">
        <v>248</v>
      </c>
      <c r="B259" s="145" t="s">
        <v>212</v>
      </c>
      <c r="C259" s="148" t="s">
        <v>407</v>
      </c>
    </row>
    <row r="260" spans="1:3" x14ac:dyDescent="0.2">
      <c r="A260" s="149">
        <v>249</v>
      </c>
      <c r="B260" s="145" t="s">
        <v>224</v>
      </c>
      <c r="C260" s="148" t="s">
        <v>407</v>
      </c>
    </row>
    <row r="261" spans="1:3" x14ac:dyDescent="0.2">
      <c r="A261" s="149">
        <v>250</v>
      </c>
      <c r="B261" s="145" t="s">
        <v>226</v>
      </c>
      <c r="C261" s="148" t="s">
        <v>408</v>
      </c>
    </row>
    <row r="262" spans="1:3" x14ac:dyDescent="0.2">
      <c r="A262" s="149">
        <v>251</v>
      </c>
      <c r="B262" s="145" t="s">
        <v>226</v>
      </c>
      <c r="C262" s="148" t="s">
        <v>408</v>
      </c>
    </row>
    <row r="263" spans="1:3" x14ac:dyDescent="0.2">
      <c r="A263" s="149">
        <v>252</v>
      </c>
      <c r="B263" s="145" t="s">
        <v>226</v>
      </c>
      <c r="C263" s="148" t="s">
        <v>408</v>
      </c>
    </row>
    <row r="264" spans="1:3" x14ac:dyDescent="0.2">
      <c r="A264" s="149">
        <v>253</v>
      </c>
      <c r="B264" s="145" t="s">
        <v>226</v>
      </c>
      <c r="C264" s="148" t="s">
        <v>408</v>
      </c>
    </row>
    <row r="265" spans="1:3" x14ac:dyDescent="0.2">
      <c r="A265" s="149">
        <v>254</v>
      </c>
      <c r="B265" s="145" t="s">
        <v>227</v>
      </c>
      <c r="C265" s="148" t="s">
        <v>407</v>
      </c>
    </row>
    <row r="266" spans="1:3" x14ac:dyDescent="0.2">
      <c r="A266" s="149">
        <v>255</v>
      </c>
      <c r="B266" s="145" t="s">
        <v>228</v>
      </c>
      <c r="C266" s="148" t="s">
        <v>407</v>
      </c>
    </row>
    <row r="267" spans="1:3" x14ac:dyDescent="0.2">
      <c r="A267" s="149">
        <v>257</v>
      </c>
      <c r="B267" s="145" t="s">
        <v>229</v>
      </c>
      <c r="C267" s="148" t="s">
        <v>407</v>
      </c>
    </row>
    <row r="268" spans="1:3" x14ac:dyDescent="0.2">
      <c r="A268" s="149">
        <v>258</v>
      </c>
      <c r="B268" s="145" t="s">
        <v>230</v>
      </c>
      <c r="C268" s="148" t="s">
        <v>407</v>
      </c>
    </row>
    <row r="269" spans="1:3" x14ac:dyDescent="0.2">
      <c r="A269" s="149">
        <v>259</v>
      </c>
      <c r="B269" s="145" t="s">
        <v>231</v>
      </c>
      <c r="C269" s="148" t="s">
        <v>407</v>
      </c>
    </row>
    <row r="270" spans="1:3" x14ac:dyDescent="0.2">
      <c r="A270" s="149">
        <v>260</v>
      </c>
      <c r="B270" s="145" t="s">
        <v>230</v>
      </c>
      <c r="C270" s="148" t="s">
        <v>408</v>
      </c>
    </row>
    <row r="271" spans="1:3" x14ac:dyDescent="0.2">
      <c r="A271" s="149">
        <v>261</v>
      </c>
      <c r="B271" s="145" t="s">
        <v>230</v>
      </c>
      <c r="C271" s="148" t="s">
        <v>407</v>
      </c>
    </row>
    <row r="272" spans="1:3" x14ac:dyDescent="0.2">
      <c r="A272" s="149">
        <v>262</v>
      </c>
      <c r="B272" s="145" t="s">
        <v>230</v>
      </c>
      <c r="C272" s="148" t="s">
        <v>407</v>
      </c>
    </row>
    <row r="273" spans="1:3" x14ac:dyDescent="0.2">
      <c r="A273" s="149">
        <v>263</v>
      </c>
      <c r="B273" s="145" t="s">
        <v>230</v>
      </c>
      <c r="C273" s="148" t="s">
        <v>407</v>
      </c>
    </row>
    <row r="274" spans="1:3" x14ac:dyDescent="0.2">
      <c r="A274" s="149">
        <v>264</v>
      </c>
      <c r="B274" s="145" t="s">
        <v>230</v>
      </c>
      <c r="C274" s="148" t="s">
        <v>407</v>
      </c>
    </row>
    <row r="275" spans="1:3" x14ac:dyDescent="0.2">
      <c r="A275" s="149">
        <v>265</v>
      </c>
      <c r="B275" s="145" t="s">
        <v>232</v>
      </c>
      <c r="C275" s="148" t="s">
        <v>408</v>
      </c>
    </row>
    <row r="276" spans="1:3" x14ac:dyDescent="0.2">
      <c r="A276" s="149">
        <v>266</v>
      </c>
      <c r="B276" s="145" t="s">
        <v>232</v>
      </c>
      <c r="C276" s="148" t="s">
        <v>408</v>
      </c>
    </row>
    <row r="277" spans="1:3" x14ac:dyDescent="0.2">
      <c r="A277" s="149">
        <v>267</v>
      </c>
      <c r="B277" s="145" t="s">
        <v>232</v>
      </c>
      <c r="C277" s="148" t="s">
        <v>408</v>
      </c>
    </row>
    <row r="278" spans="1:3" x14ac:dyDescent="0.2">
      <c r="A278" s="149">
        <v>268</v>
      </c>
      <c r="B278" s="145" t="s">
        <v>232</v>
      </c>
      <c r="C278" s="148" t="s">
        <v>408</v>
      </c>
    </row>
    <row r="279" spans="1:3" x14ac:dyDescent="0.2">
      <c r="A279" s="149">
        <v>269</v>
      </c>
      <c r="B279" s="145" t="s">
        <v>232</v>
      </c>
      <c r="C279" s="148" t="s">
        <v>408</v>
      </c>
    </row>
    <row r="280" spans="1:3" x14ac:dyDescent="0.2">
      <c r="A280" s="149">
        <v>270</v>
      </c>
      <c r="B280" s="145" t="s">
        <v>232</v>
      </c>
      <c r="C280" s="148" t="s">
        <v>408</v>
      </c>
    </row>
    <row r="281" spans="1:3" x14ac:dyDescent="0.2">
      <c r="A281" s="149">
        <v>271</v>
      </c>
      <c r="B281" s="145" t="s">
        <v>232</v>
      </c>
      <c r="C281" s="148" t="s">
        <v>408</v>
      </c>
    </row>
    <row r="282" spans="1:3" x14ac:dyDescent="0.2">
      <c r="A282" s="149">
        <v>272</v>
      </c>
      <c r="B282" s="145" t="s">
        <v>232</v>
      </c>
      <c r="C282" s="148" t="s">
        <v>408</v>
      </c>
    </row>
    <row r="283" spans="1:3" x14ac:dyDescent="0.2">
      <c r="A283" s="149">
        <v>273</v>
      </c>
      <c r="B283" s="145" t="s">
        <v>232</v>
      </c>
      <c r="C283" s="148" t="s">
        <v>408</v>
      </c>
    </row>
    <row r="284" spans="1:3" x14ac:dyDescent="0.2">
      <c r="A284" s="149">
        <v>274</v>
      </c>
      <c r="B284" s="145" t="s">
        <v>232</v>
      </c>
      <c r="C284" s="148" t="s">
        <v>408</v>
      </c>
    </row>
    <row r="285" spans="1:3" x14ac:dyDescent="0.2">
      <c r="A285" s="149">
        <v>276</v>
      </c>
      <c r="B285" s="145" t="s">
        <v>232</v>
      </c>
      <c r="C285" s="148" t="s">
        <v>408</v>
      </c>
    </row>
    <row r="286" spans="1:3" x14ac:dyDescent="0.2">
      <c r="A286" s="149">
        <v>277</v>
      </c>
      <c r="B286" s="145" t="s">
        <v>233</v>
      </c>
      <c r="C286" s="148" t="s">
        <v>408</v>
      </c>
    </row>
    <row r="287" spans="1:3" x14ac:dyDescent="0.2">
      <c r="A287" s="149">
        <v>278</v>
      </c>
      <c r="B287" s="145" t="s">
        <v>234</v>
      </c>
      <c r="C287" s="148" t="s">
        <v>408</v>
      </c>
    </row>
    <row r="288" spans="1:3" x14ac:dyDescent="0.2">
      <c r="A288" s="149">
        <v>279</v>
      </c>
      <c r="B288" s="145" t="s">
        <v>235</v>
      </c>
      <c r="C288" s="148" t="s">
        <v>408</v>
      </c>
    </row>
    <row r="289" spans="1:3" x14ac:dyDescent="0.2">
      <c r="A289" s="149">
        <v>280</v>
      </c>
      <c r="B289" s="145" t="s">
        <v>236</v>
      </c>
      <c r="C289" s="148" t="s">
        <v>408</v>
      </c>
    </row>
    <row r="290" spans="1:3" x14ac:dyDescent="0.2">
      <c r="A290" s="149">
        <v>281</v>
      </c>
      <c r="B290" s="145" t="s">
        <v>237</v>
      </c>
      <c r="C290" s="148" t="s">
        <v>407</v>
      </c>
    </row>
    <row r="291" spans="1:3" x14ac:dyDescent="0.2">
      <c r="A291" s="149">
        <v>283</v>
      </c>
      <c r="B291" s="145" t="s">
        <v>238</v>
      </c>
      <c r="C291" s="148" t="s">
        <v>407</v>
      </c>
    </row>
    <row r="292" spans="1:3" x14ac:dyDescent="0.2">
      <c r="A292" s="149">
        <v>284</v>
      </c>
      <c r="B292" s="145" t="s">
        <v>180</v>
      </c>
      <c r="C292" s="148" t="s">
        <v>408</v>
      </c>
    </row>
    <row r="293" spans="1:3" x14ac:dyDescent="0.2">
      <c r="A293" s="149">
        <v>285</v>
      </c>
      <c r="B293" s="145" t="s">
        <v>180</v>
      </c>
      <c r="C293" s="148" t="s">
        <v>408</v>
      </c>
    </row>
    <row r="294" spans="1:3" x14ac:dyDescent="0.2">
      <c r="A294" s="149">
        <v>286</v>
      </c>
      <c r="B294" s="145" t="s">
        <v>239</v>
      </c>
      <c r="C294" s="148" t="s">
        <v>408</v>
      </c>
    </row>
    <row r="295" spans="1:3" x14ac:dyDescent="0.2">
      <c r="A295" s="149">
        <v>287</v>
      </c>
      <c r="B295" s="145" t="s">
        <v>240</v>
      </c>
      <c r="C295" s="148" t="s">
        <v>408</v>
      </c>
    </row>
    <row r="296" spans="1:3" x14ac:dyDescent="0.2">
      <c r="A296" s="149">
        <v>288</v>
      </c>
      <c r="B296" s="145" t="s">
        <v>241</v>
      </c>
      <c r="C296" s="148" t="s">
        <v>408</v>
      </c>
    </row>
    <row r="297" spans="1:3" x14ac:dyDescent="0.2">
      <c r="A297" s="149">
        <v>289</v>
      </c>
      <c r="B297" s="145" t="s">
        <v>241</v>
      </c>
      <c r="C297" s="148" t="s">
        <v>408</v>
      </c>
    </row>
    <row r="298" spans="1:3" x14ac:dyDescent="0.2">
      <c r="A298" s="149">
        <v>290</v>
      </c>
      <c r="B298" s="145" t="s">
        <v>241</v>
      </c>
      <c r="C298" s="148" t="s">
        <v>408</v>
      </c>
    </row>
    <row r="299" spans="1:3" x14ac:dyDescent="0.2">
      <c r="A299" s="149">
        <v>291</v>
      </c>
      <c r="B299" s="145" t="s">
        <v>241</v>
      </c>
      <c r="C299" s="148" t="s">
        <v>408</v>
      </c>
    </row>
    <row r="300" spans="1:3" x14ac:dyDescent="0.2">
      <c r="A300" s="149">
        <v>292</v>
      </c>
      <c r="B300" s="145" t="s">
        <v>241</v>
      </c>
      <c r="C300" s="148" t="s">
        <v>408</v>
      </c>
    </row>
    <row r="301" spans="1:3" x14ac:dyDescent="0.2">
      <c r="A301" s="149">
        <v>297</v>
      </c>
      <c r="B301" s="145" t="s">
        <v>241</v>
      </c>
      <c r="C301" s="148" t="s">
        <v>408</v>
      </c>
    </row>
    <row r="302" spans="1:3" x14ac:dyDescent="0.2">
      <c r="A302" s="149">
        <v>298</v>
      </c>
      <c r="B302" s="145" t="s">
        <v>241</v>
      </c>
      <c r="C302" s="148" t="s">
        <v>408</v>
      </c>
    </row>
    <row r="303" spans="1:3" x14ac:dyDescent="0.2">
      <c r="A303" s="149">
        <v>299</v>
      </c>
      <c r="B303" s="145" t="s">
        <v>241</v>
      </c>
      <c r="C303" s="148" t="s">
        <v>408</v>
      </c>
    </row>
    <row r="304" spans="1:3" x14ac:dyDescent="0.2">
      <c r="A304" s="149">
        <v>300</v>
      </c>
      <c r="B304" s="145" t="s">
        <v>242</v>
      </c>
      <c r="C304" s="148" t="s">
        <v>407</v>
      </c>
    </row>
    <row r="305" spans="1:3" x14ac:dyDescent="0.2">
      <c r="A305" s="149">
        <v>301</v>
      </c>
      <c r="B305" s="145" t="s">
        <v>243</v>
      </c>
      <c r="C305" s="148" t="s">
        <v>407</v>
      </c>
    </row>
    <row r="306" spans="1:3" x14ac:dyDescent="0.2">
      <c r="A306" s="149">
        <v>302</v>
      </c>
      <c r="B306" s="145" t="s">
        <v>244</v>
      </c>
      <c r="C306" s="148" t="s">
        <v>407</v>
      </c>
    </row>
    <row r="307" spans="1:3" x14ac:dyDescent="0.2">
      <c r="A307" s="149">
        <v>303</v>
      </c>
      <c r="B307" s="145" t="s">
        <v>241</v>
      </c>
      <c r="C307" s="148" t="s">
        <v>408</v>
      </c>
    </row>
    <row r="308" spans="1:3" x14ac:dyDescent="0.2">
      <c r="A308" s="149">
        <v>304</v>
      </c>
      <c r="B308" s="145" t="s">
        <v>241</v>
      </c>
      <c r="C308" s="148" t="s">
        <v>408</v>
      </c>
    </row>
    <row r="309" spans="1:3" x14ac:dyDescent="0.2">
      <c r="A309" s="149">
        <v>305</v>
      </c>
      <c r="B309" s="145" t="s">
        <v>245</v>
      </c>
      <c r="C309" s="148" t="s">
        <v>407</v>
      </c>
    </row>
    <row r="310" spans="1:3" x14ac:dyDescent="0.2">
      <c r="A310" s="149">
        <v>306</v>
      </c>
      <c r="B310" s="145" t="s">
        <v>245</v>
      </c>
      <c r="C310" s="148" t="s">
        <v>407</v>
      </c>
    </row>
    <row r="311" spans="1:3" x14ac:dyDescent="0.2">
      <c r="A311" s="149">
        <v>307</v>
      </c>
      <c r="B311" s="145" t="s">
        <v>245</v>
      </c>
      <c r="C311" s="148" t="s">
        <v>407</v>
      </c>
    </row>
    <row r="312" spans="1:3" x14ac:dyDescent="0.2">
      <c r="A312" s="149">
        <v>308</v>
      </c>
      <c r="B312" s="145" t="s">
        <v>245</v>
      </c>
      <c r="C312" s="148" t="s">
        <v>407</v>
      </c>
    </row>
    <row r="313" spans="1:3" x14ac:dyDescent="0.2">
      <c r="A313" s="149">
        <v>309</v>
      </c>
      <c r="B313" s="145" t="s">
        <v>246</v>
      </c>
      <c r="C313" s="148" t="s">
        <v>407</v>
      </c>
    </row>
    <row r="314" spans="1:3" x14ac:dyDescent="0.2">
      <c r="A314" s="149">
        <v>310</v>
      </c>
      <c r="B314" s="145" t="s">
        <v>247</v>
      </c>
      <c r="C314" s="148" t="s">
        <v>407</v>
      </c>
    </row>
    <row r="315" spans="1:3" x14ac:dyDescent="0.2">
      <c r="A315" s="149">
        <v>312</v>
      </c>
      <c r="B315" s="145" t="s">
        <v>248</v>
      </c>
      <c r="C315" s="148" t="s">
        <v>407</v>
      </c>
    </row>
    <row r="316" spans="1:3" x14ac:dyDescent="0.2">
      <c r="A316" s="149">
        <v>313</v>
      </c>
      <c r="B316" s="145" t="s">
        <v>249</v>
      </c>
      <c r="C316" s="148" t="s">
        <v>408</v>
      </c>
    </row>
    <row r="317" spans="1:3" x14ac:dyDescent="0.2">
      <c r="A317" s="149">
        <v>314</v>
      </c>
      <c r="B317" s="145" t="s">
        <v>250</v>
      </c>
      <c r="C317" s="148" t="s">
        <v>408</v>
      </c>
    </row>
    <row r="318" spans="1:3" x14ac:dyDescent="0.2">
      <c r="A318" s="149">
        <v>315</v>
      </c>
      <c r="B318" s="145" t="s">
        <v>251</v>
      </c>
      <c r="C318" s="148" t="s">
        <v>408</v>
      </c>
    </row>
    <row r="319" spans="1:3" x14ac:dyDescent="0.2">
      <c r="A319" s="149">
        <v>316</v>
      </c>
      <c r="B319" s="145" t="s">
        <v>252</v>
      </c>
      <c r="C319" s="148" t="s">
        <v>407</v>
      </c>
    </row>
    <row r="320" spans="1:3" x14ac:dyDescent="0.2">
      <c r="A320" s="149">
        <v>317</v>
      </c>
      <c r="B320" s="145" t="s">
        <v>252</v>
      </c>
      <c r="C320" s="148" t="s">
        <v>407</v>
      </c>
    </row>
    <row r="321" spans="1:3" x14ac:dyDescent="0.2">
      <c r="A321" s="149">
        <v>318</v>
      </c>
      <c r="B321" s="145" t="s">
        <v>252</v>
      </c>
      <c r="C321" s="148" t="s">
        <v>407</v>
      </c>
    </row>
    <row r="322" spans="1:3" x14ac:dyDescent="0.2">
      <c r="A322" s="149">
        <v>319</v>
      </c>
      <c r="B322" s="145" t="s">
        <v>253</v>
      </c>
      <c r="C322" s="148" t="s">
        <v>407</v>
      </c>
    </row>
    <row r="323" spans="1:3" x14ac:dyDescent="0.2">
      <c r="A323" s="149">
        <v>320</v>
      </c>
      <c r="B323" s="145" t="s">
        <v>252</v>
      </c>
      <c r="C323" s="148" t="s">
        <v>407</v>
      </c>
    </row>
    <row r="324" spans="1:3" x14ac:dyDescent="0.2">
      <c r="A324" s="149">
        <v>321</v>
      </c>
      <c r="B324" s="145" t="s">
        <v>252</v>
      </c>
      <c r="C324" s="148" t="s">
        <v>407</v>
      </c>
    </row>
    <row r="325" spans="1:3" x14ac:dyDescent="0.2">
      <c r="A325" s="149">
        <v>322</v>
      </c>
      <c r="B325" s="145" t="s">
        <v>252</v>
      </c>
      <c r="C325" s="148" t="s">
        <v>407</v>
      </c>
    </row>
    <row r="326" spans="1:3" x14ac:dyDescent="0.2">
      <c r="A326" s="149">
        <v>323</v>
      </c>
      <c r="B326" s="145" t="s">
        <v>252</v>
      </c>
      <c r="C326" s="148" t="s">
        <v>407</v>
      </c>
    </row>
    <row r="327" spans="1:3" x14ac:dyDescent="0.2">
      <c r="A327" s="149">
        <v>324</v>
      </c>
      <c r="B327" s="145" t="s">
        <v>254</v>
      </c>
      <c r="C327" s="148" t="s">
        <v>407</v>
      </c>
    </row>
    <row r="328" spans="1:3" x14ac:dyDescent="0.2">
      <c r="A328" s="149">
        <v>325</v>
      </c>
      <c r="B328" s="145" t="s">
        <v>255</v>
      </c>
      <c r="C328" s="148" t="s">
        <v>407</v>
      </c>
    </row>
    <row r="329" spans="1:3" x14ac:dyDescent="0.2">
      <c r="A329" s="149">
        <v>326</v>
      </c>
      <c r="B329" s="145" t="s">
        <v>255</v>
      </c>
      <c r="C329" s="148" t="s">
        <v>407</v>
      </c>
    </row>
    <row r="330" spans="1:3" x14ac:dyDescent="0.2">
      <c r="A330" s="149">
        <v>327</v>
      </c>
      <c r="B330" s="145" t="s">
        <v>255</v>
      </c>
      <c r="C330" s="148" t="s">
        <v>407</v>
      </c>
    </row>
    <row r="331" spans="1:3" x14ac:dyDescent="0.2">
      <c r="A331" s="149">
        <v>328</v>
      </c>
      <c r="B331" s="145" t="s">
        <v>255</v>
      </c>
      <c r="C331" s="148" t="s">
        <v>407</v>
      </c>
    </row>
    <row r="332" spans="1:3" x14ac:dyDescent="0.2">
      <c r="A332" s="149">
        <v>329</v>
      </c>
      <c r="B332" s="145" t="s">
        <v>255</v>
      </c>
      <c r="C332" s="148" t="s">
        <v>407</v>
      </c>
    </row>
    <row r="333" spans="1:3" x14ac:dyDescent="0.2">
      <c r="A333" s="149">
        <v>330</v>
      </c>
      <c r="B333" s="145" t="s">
        <v>255</v>
      </c>
      <c r="C333" s="148" t="s">
        <v>407</v>
      </c>
    </row>
    <row r="334" spans="1:3" x14ac:dyDescent="0.2">
      <c r="A334" s="149">
        <v>331</v>
      </c>
      <c r="B334" s="145" t="s">
        <v>255</v>
      </c>
      <c r="C334" s="148" t="s">
        <v>407</v>
      </c>
    </row>
    <row r="335" spans="1:3" x14ac:dyDescent="0.2">
      <c r="A335" s="149">
        <v>332</v>
      </c>
      <c r="B335" s="145" t="s">
        <v>255</v>
      </c>
      <c r="C335" s="148" t="s">
        <v>408</v>
      </c>
    </row>
    <row r="336" spans="1:3" x14ac:dyDescent="0.2">
      <c r="A336" s="149">
        <v>334</v>
      </c>
      <c r="B336" s="145" t="s">
        <v>256</v>
      </c>
      <c r="C336" s="148" t="s">
        <v>407</v>
      </c>
    </row>
    <row r="337" spans="1:3" x14ac:dyDescent="0.2">
      <c r="A337" s="149">
        <v>335</v>
      </c>
      <c r="B337" s="145" t="s">
        <v>257</v>
      </c>
      <c r="C337" s="148" t="s">
        <v>407</v>
      </c>
    </row>
    <row r="338" spans="1:3" x14ac:dyDescent="0.2">
      <c r="A338" s="149">
        <v>336</v>
      </c>
      <c r="B338" s="145" t="s">
        <v>258</v>
      </c>
      <c r="C338" s="148" t="s">
        <v>408</v>
      </c>
    </row>
    <row r="339" spans="1:3" x14ac:dyDescent="0.2">
      <c r="A339" s="149">
        <v>337</v>
      </c>
      <c r="B339" s="145" t="s">
        <v>258</v>
      </c>
      <c r="C339" s="148" t="s">
        <v>408</v>
      </c>
    </row>
    <row r="340" spans="1:3" x14ac:dyDescent="0.2">
      <c r="A340" s="149">
        <v>338</v>
      </c>
      <c r="B340" s="145" t="s">
        <v>259</v>
      </c>
      <c r="C340" s="148" t="s">
        <v>407</v>
      </c>
    </row>
    <row r="341" spans="1:3" x14ac:dyDescent="0.2">
      <c r="A341" s="149">
        <v>339</v>
      </c>
      <c r="B341" s="145" t="s">
        <v>260</v>
      </c>
      <c r="C341" s="148" t="s">
        <v>408</v>
      </c>
    </row>
    <row r="342" spans="1:3" x14ac:dyDescent="0.2">
      <c r="A342" s="149">
        <v>340</v>
      </c>
      <c r="B342" s="145" t="s">
        <v>260</v>
      </c>
      <c r="C342" s="148" t="s">
        <v>408</v>
      </c>
    </row>
    <row r="343" spans="1:3" x14ac:dyDescent="0.2">
      <c r="A343" s="149">
        <v>341</v>
      </c>
      <c r="B343" s="145" t="s">
        <v>260</v>
      </c>
      <c r="C343" s="148" t="s">
        <v>408</v>
      </c>
    </row>
    <row r="344" spans="1:3" x14ac:dyDescent="0.2">
      <c r="A344" s="149">
        <v>342</v>
      </c>
      <c r="B344" s="145" t="s">
        <v>261</v>
      </c>
      <c r="C344" s="148" t="s">
        <v>407</v>
      </c>
    </row>
    <row r="345" spans="1:3" x14ac:dyDescent="0.2">
      <c r="A345" s="149">
        <v>343</v>
      </c>
      <c r="B345" s="145" t="s">
        <v>262</v>
      </c>
      <c r="C345" s="148" t="s">
        <v>407</v>
      </c>
    </row>
    <row r="346" spans="1:3" x14ac:dyDescent="0.2">
      <c r="A346" s="149">
        <v>344</v>
      </c>
      <c r="B346" s="145" t="s">
        <v>263</v>
      </c>
      <c r="C346" s="148" t="s">
        <v>407</v>
      </c>
    </row>
    <row r="347" spans="1:3" x14ac:dyDescent="0.2">
      <c r="A347" s="149">
        <v>344</v>
      </c>
      <c r="B347" s="145" t="s">
        <v>263</v>
      </c>
      <c r="C347" s="148" t="s">
        <v>408</v>
      </c>
    </row>
    <row r="348" spans="1:3" x14ac:dyDescent="0.2">
      <c r="A348" s="149">
        <v>345</v>
      </c>
      <c r="B348" s="145" t="s">
        <v>264</v>
      </c>
      <c r="C348" s="148" t="s">
        <v>407</v>
      </c>
    </row>
    <row r="349" spans="1:3" x14ac:dyDescent="0.2">
      <c r="A349" s="149">
        <v>346</v>
      </c>
      <c r="B349" s="145" t="s">
        <v>265</v>
      </c>
      <c r="C349" s="148" t="s">
        <v>408</v>
      </c>
    </row>
    <row r="350" spans="1:3" x14ac:dyDescent="0.2">
      <c r="A350" s="149">
        <v>347</v>
      </c>
      <c r="B350" s="145" t="s">
        <v>266</v>
      </c>
      <c r="C350" s="148" t="s">
        <v>408</v>
      </c>
    </row>
    <row r="351" spans="1:3" x14ac:dyDescent="0.2">
      <c r="A351" s="149">
        <v>348</v>
      </c>
      <c r="B351" s="145" t="s">
        <v>266</v>
      </c>
      <c r="C351" s="148" t="s">
        <v>408</v>
      </c>
    </row>
    <row r="352" spans="1:3" x14ac:dyDescent="0.2">
      <c r="A352" s="149">
        <v>349</v>
      </c>
      <c r="B352" s="145" t="s">
        <v>212</v>
      </c>
      <c r="C352" s="148" t="s">
        <v>407</v>
      </c>
    </row>
    <row r="353" spans="1:3" x14ac:dyDescent="0.2">
      <c r="A353" s="149">
        <v>350</v>
      </c>
      <c r="B353" s="145" t="s">
        <v>267</v>
      </c>
      <c r="C353" s="148" t="s">
        <v>408</v>
      </c>
    </row>
    <row r="354" spans="1:3" x14ac:dyDescent="0.2">
      <c r="A354" s="149">
        <v>351</v>
      </c>
      <c r="B354" s="145" t="s">
        <v>268</v>
      </c>
      <c r="C354" s="148" t="s">
        <v>407</v>
      </c>
    </row>
    <row r="355" spans="1:3" x14ac:dyDescent="0.2">
      <c r="A355" s="149">
        <v>352</v>
      </c>
      <c r="B355" s="145" t="s">
        <v>269</v>
      </c>
      <c r="C355" s="148" t="s">
        <v>407</v>
      </c>
    </row>
    <row r="356" spans="1:3" x14ac:dyDescent="0.2">
      <c r="A356" s="149">
        <v>353</v>
      </c>
      <c r="B356" s="145" t="s">
        <v>270</v>
      </c>
      <c r="C356" s="148" t="s">
        <v>407</v>
      </c>
    </row>
    <row r="357" spans="1:3" x14ac:dyDescent="0.2">
      <c r="A357" s="149">
        <v>354</v>
      </c>
      <c r="B357" s="145" t="s">
        <v>187</v>
      </c>
      <c r="C357" s="148" t="s">
        <v>408</v>
      </c>
    </row>
    <row r="358" spans="1:3" x14ac:dyDescent="0.2">
      <c r="A358" s="149">
        <v>355</v>
      </c>
      <c r="B358" s="145" t="s">
        <v>271</v>
      </c>
      <c r="C358" s="148" t="s">
        <v>407</v>
      </c>
    </row>
    <row r="359" spans="1:3" x14ac:dyDescent="0.2">
      <c r="A359" s="149">
        <v>357</v>
      </c>
      <c r="B359" s="145" t="s">
        <v>272</v>
      </c>
      <c r="C359" s="148" t="s">
        <v>408</v>
      </c>
    </row>
    <row r="360" spans="1:3" x14ac:dyDescent="0.2">
      <c r="A360" s="149">
        <v>358</v>
      </c>
      <c r="B360" s="145" t="s">
        <v>272</v>
      </c>
      <c r="C360" s="148" t="s">
        <v>408</v>
      </c>
    </row>
    <row r="361" spans="1:3" x14ac:dyDescent="0.2">
      <c r="A361" s="149">
        <v>359</v>
      </c>
      <c r="B361" s="145" t="s">
        <v>272</v>
      </c>
      <c r="C361" s="148" t="s">
        <v>408</v>
      </c>
    </row>
    <row r="362" spans="1:3" x14ac:dyDescent="0.2">
      <c r="A362" s="149">
        <v>360</v>
      </c>
      <c r="B362" s="145" t="s">
        <v>272</v>
      </c>
      <c r="C362" s="148" t="s">
        <v>408</v>
      </c>
    </row>
    <row r="363" spans="1:3" x14ac:dyDescent="0.2">
      <c r="A363" s="149">
        <v>361</v>
      </c>
      <c r="B363" s="145" t="s">
        <v>272</v>
      </c>
      <c r="C363" s="148" t="s">
        <v>408</v>
      </c>
    </row>
    <row r="364" spans="1:3" x14ac:dyDescent="0.2">
      <c r="A364" s="149">
        <v>362</v>
      </c>
      <c r="B364" s="145" t="s">
        <v>272</v>
      </c>
      <c r="C364" s="148" t="s">
        <v>408</v>
      </c>
    </row>
    <row r="365" spans="1:3" x14ac:dyDescent="0.2">
      <c r="A365" s="149">
        <v>363</v>
      </c>
      <c r="B365" s="145" t="s">
        <v>272</v>
      </c>
      <c r="C365" s="148" t="s">
        <v>408</v>
      </c>
    </row>
    <row r="366" spans="1:3" x14ac:dyDescent="0.2">
      <c r="A366" s="149">
        <v>364</v>
      </c>
      <c r="B366" s="145" t="s">
        <v>272</v>
      </c>
      <c r="C366" s="148" t="s">
        <v>408</v>
      </c>
    </row>
    <row r="367" spans="1:3" x14ac:dyDescent="0.2">
      <c r="A367" s="149">
        <v>365</v>
      </c>
      <c r="B367" s="145" t="s">
        <v>272</v>
      </c>
      <c r="C367" s="148" t="s">
        <v>408</v>
      </c>
    </row>
    <row r="368" spans="1:3" x14ac:dyDescent="0.2">
      <c r="A368" s="149">
        <v>366</v>
      </c>
      <c r="B368" s="145" t="s">
        <v>272</v>
      </c>
      <c r="C368" s="148" t="s">
        <v>408</v>
      </c>
    </row>
    <row r="369" spans="1:3" x14ac:dyDescent="0.2">
      <c r="A369" s="149">
        <v>367</v>
      </c>
      <c r="B369" s="145" t="s">
        <v>272</v>
      </c>
      <c r="C369" s="148" t="s">
        <v>408</v>
      </c>
    </row>
    <row r="370" spans="1:3" x14ac:dyDescent="0.2">
      <c r="A370" s="149">
        <v>368</v>
      </c>
      <c r="B370" s="145" t="s">
        <v>272</v>
      </c>
      <c r="C370" s="148" t="s">
        <v>408</v>
      </c>
    </row>
    <row r="371" spans="1:3" x14ac:dyDescent="0.2">
      <c r="A371" s="149">
        <v>369</v>
      </c>
      <c r="B371" s="145" t="s">
        <v>272</v>
      </c>
      <c r="C371" s="148" t="s">
        <v>408</v>
      </c>
    </row>
    <row r="372" spans="1:3" x14ac:dyDescent="0.2">
      <c r="A372" s="149">
        <v>370</v>
      </c>
      <c r="B372" s="145" t="s">
        <v>272</v>
      </c>
      <c r="C372" s="148" t="s">
        <v>408</v>
      </c>
    </row>
    <row r="373" spans="1:3" x14ac:dyDescent="0.2">
      <c r="A373" s="149">
        <v>371</v>
      </c>
      <c r="B373" s="145" t="s">
        <v>272</v>
      </c>
      <c r="C373" s="148" t="s">
        <v>408</v>
      </c>
    </row>
    <row r="374" spans="1:3" x14ac:dyDescent="0.2">
      <c r="A374" s="149">
        <v>372</v>
      </c>
      <c r="B374" s="145" t="s">
        <v>252</v>
      </c>
      <c r="C374" s="148" t="s">
        <v>407</v>
      </c>
    </row>
    <row r="375" spans="1:3" x14ac:dyDescent="0.2">
      <c r="A375" s="149">
        <v>373</v>
      </c>
      <c r="B375" s="145" t="s">
        <v>200</v>
      </c>
      <c r="C375" s="148" t="s">
        <v>407</v>
      </c>
    </row>
    <row r="376" spans="1:3" x14ac:dyDescent="0.2">
      <c r="A376" s="149">
        <v>374</v>
      </c>
      <c r="B376" s="145" t="s">
        <v>200</v>
      </c>
      <c r="C376" s="148" t="s">
        <v>407</v>
      </c>
    </row>
    <row r="377" spans="1:3" x14ac:dyDescent="0.2">
      <c r="A377" s="149">
        <v>375</v>
      </c>
      <c r="B377" s="145" t="s">
        <v>200</v>
      </c>
      <c r="C377" s="148" t="s">
        <v>407</v>
      </c>
    </row>
    <row r="378" spans="1:3" x14ac:dyDescent="0.2">
      <c r="A378" s="149">
        <v>376</v>
      </c>
      <c r="B378" s="145" t="s">
        <v>200</v>
      </c>
      <c r="C378" s="148" t="s">
        <v>407</v>
      </c>
    </row>
    <row r="379" spans="1:3" x14ac:dyDescent="0.2">
      <c r="A379" s="149">
        <v>377</v>
      </c>
      <c r="B379" s="145" t="s">
        <v>200</v>
      </c>
      <c r="C379" s="148" t="s">
        <v>407</v>
      </c>
    </row>
    <row r="380" spans="1:3" x14ac:dyDescent="0.2">
      <c r="A380" s="149">
        <v>378</v>
      </c>
      <c r="B380" s="145" t="s">
        <v>200</v>
      </c>
      <c r="C380" s="148" t="s">
        <v>407</v>
      </c>
    </row>
    <row r="381" spans="1:3" x14ac:dyDescent="0.2">
      <c r="A381" s="149">
        <v>380</v>
      </c>
      <c r="B381" s="145" t="s">
        <v>200</v>
      </c>
      <c r="C381" s="148" t="s">
        <v>407</v>
      </c>
    </row>
    <row r="382" spans="1:3" x14ac:dyDescent="0.2">
      <c r="A382" s="149">
        <v>381</v>
      </c>
      <c r="B382" s="145" t="s">
        <v>200</v>
      </c>
      <c r="C382" s="148" t="s">
        <v>407</v>
      </c>
    </row>
    <row r="383" spans="1:3" x14ac:dyDescent="0.2">
      <c r="A383" s="149">
        <v>382</v>
      </c>
      <c r="B383" s="145" t="s">
        <v>200</v>
      </c>
      <c r="C383" s="148" t="s">
        <v>407</v>
      </c>
    </row>
    <row r="384" spans="1:3" x14ac:dyDescent="0.2">
      <c r="A384" s="149">
        <v>384</v>
      </c>
      <c r="B384" s="145" t="s">
        <v>212</v>
      </c>
      <c r="C384" s="148" t="s">
        <v>407</v>
      </c>
    </row>
    <row r="385" spans="1:3" x14ac:dyDescent="0.2">
      <c r="A385" s="149">
        <v>385</v>
      </c>
      <c r="B385" s="145" t="s">
        <v>200</v>
      </c>
      <c r="C385" s="148" t="s">
        <v>408</v>
      </c>
    </row>
    <row r="386" spans="1:3" x14ac:dyDescent="0.2">
      <c r="A386" s="149">
        <v>386</v>
      </c>
      <c r="B386" s="145" t="s">
        <v>180</v>
      </c>
      <c r="C386" s="148" t="s">
        <v>408</v>
      </c>
    </row>
    <row r="387" spans="1:3" x14ac:dyDescent="0.2">
      <c r="A387" s="149">
        <v>387</v>
      </c>
      <c r="B387" s="145" t="s">
        <v>205</v>
      </c>
      <c r="C387" s="148" t="s">
        <v>408</v>
      </c>
    </row>
    <row r="388" spans="1:3" x14ac:dyDescent="0.2">
      <c r="A388" s="149">
        <v>388</v>
      </c>
      <c r="B388" s="145" t="s">
        <v>200</v>
      </c>
      <c r="C388" s="148" t="s">
        <v>408</v>
      </c>
    </row>
    <row r="389" spans="1:3" x14ac:dyDescent="0.2">
      <c r="A389" s="149">
        <v>389</v>
      </c>
      <c r="B389" s="145" t="s">
        <v>191</v>
      </c>
      <c r="C389" s="148" t="s">
        <v>408</v>
      </c>
    </row>
    <row r="390" spans="1:3" x14ac:dyDescent="0.2">
      <c r="A390" s="149">
        <v>390</v>
      </c>
      <c r="B390" s="145" t="s">
        <v>200</v>
      </c>
      <c r="C390" s="148" t="s">
        <v>407</v>
      </c>
    </row>
    <row r="391" spans="1:3" x14ac:dyDescent="0.2">
      <c r="A391" s="149">
        <v>391</v>
      </c>
      <c r="B391" s="145" t="s">
        <v>273</v>
      </c>
      <c r="C391" s="148" t="s">
        <v>408</v>
      </c>
    </row>
    <row r="392" spans="1:3" x14ac:dyDescent="0.2">
      <c r="A392" s="149">
        <v>392</v>
      </c>
      <c r="B392" s="145" t="s">
        <v>274</v>
      </c>
      <c r="C392" s="148" t="s">
        <v>407</v>
      </c>
    </row>
    <row r="393" spans="1:3" x14ac:dyDescent="0.2">
      <c r="A393" s="149">
        <v>393</v>
      </c>
      <c r="B393" s="145" t="s">
        <v>275</v>
      </c>
      <c r="C393" s="148" t="s">
        <v>407</v>
      </c>
    </row>
    <row r="394" spans="1:3" x14ac:dyDescent="0.2">
      <c r="A394" s="149">
        <v>394</v>
      </c>
      <c r="B394" s="145" t="s">
        <v>231</v>
      </c>
      <c r="C394" s="148" t="s">
        <v>407</v>
      </c>
    </row>
    <row r="395" spans="1:3" x14ac:dyDescent="0.2">
      <c r="A395" s="149">
        <v>395</v>
      </c>
      <c r="B395" s="145" t="s">
        <v>276</v>
      </c>
      <c r="C395" s="148" t="s">
        <v>407</v>
      </c>
    </row>
    <row r="396" spans="1:3" x14ac:dyDescent="0.2">
      <c r="A396" s="149">
        <v>396</v>
      </c>
      <c r="B396" s="145" t="s">
        <v>210</v>
      </c>
      <c r="C396" s="148" t="s">
        <v>407</v>
      </c>
    </row>
    <row r="397" spans="1:3" x14ac:dyDescent="0.2">
      <c r="A397" s="149">
        <v>397</v>
      </c>
      <c r="B397" s="145" t="s">
        <v>277</v>
      </c>
      <c r="C397" s="148" t="s">
        <v>407</v>
      </c>
    </row>
    <row r="398" spans="1:3" x14ac:dyDescent="0.2">
      <c r="A398" s="149">
        <v>398</v>
      </c>
      <c r="B398" s="145" t="s">
        <v>278</v>
      </c>
      <c r="C398" s="148" t="s">
        <v>407</v>
      </c>
    </row>
    <row r="399" spans="1:3" x14ac:dyDescent="0.2">
      <c r="A399" s="149">
        <v>399</v>
      </c>
      <c r="B399" s="145" t="s">
        <v>279</v>
      </c>
      <c r="C399" s="148" t="s">
        <v>408</v>
      </c>
    </row>
    <row r="400" spans="1:3" x14ac:dyDescent="0.2">
      <c r="A400" s="149">
        <v>400</v>
      </c>
      <c r="B400" s="145" t="s">
        <v>230</v>
      </c>
      <c r="C400" s="148" t="s">
        <v>407</v>
      </c>
    </row>
    <row r="401" spans="1:3" x14ac:dyDescent="0.2">
      <c r="A401" s="149">
        <v>401</v>
      </c>
      <c r="B401" s="145" t="s">
        <v>280</v>
      </c>
      <c r="C401" s="148" t="s">
        <v>408</v>
      </c>
    </row>
    <row r="402" spans="1:3" x14ac:dyDescent="0.2">
      <c r="A402" s="149">
        <v>403</v>
      </c>
      <c r="B402" s="145" t="s">
        <v>186</v>
      </c>
      <c r="C402" s="148" t="s">
        <v>407</v>
      </c>
    </row>
    <row r="403" spans="1:3" x14ac:dyDescent="0.2">
      <c r="A403" s="149">
        <v>404</v>
      </c>
      <c r="B403" s="145" t="s">
        <v>281</v>
      </c>
      <c r="C403" s="148" t="s">
        <v>407</v>
      </c>
    </row>
    <row r="404" spans="1:3" x14ac:dyDescent="0.2">
      <c r="A404" s="149">
        <v>405</v>
      </c>
      <c r="B404" s="145" t="s">
        <v>282</v>
      </c>
      <c r="C404" s="148" t="s">
        <v>408</v>
      </c>
    </row>
    <row r="405" spans="1:3" x14ac:dyDescent="0.2">
      <c r="A405" s="149">
        <v>406</v>
      </c>
      <c r="B405" s="145" t="s">
        <v>283</v>
      </c>
      <c r="C405" s="148" t="s">
        <v>408</v>
      </c>
    </row>
    <row r="406" spans="1:3" x14ac:dyDescent="0.2">
      <c r="A406" s="149">
        <v>407</v>
      </c>
      <c r="B406" s="145" t="s">
        <v>284</v>
      </c>
      <c r="C406" s="148" t="s">
        <v>408</v>
      </c>
    </row>
    <row r="407" spans="1:3" x14ac:dyDescent="0.2">
      <c r="A407" s="149">
        <v>408</v>
      </c>
      <c r="B407" s="145" t="s">
        <v>285</v>
      </c>
      <c r="C407" s="148" t="s">
        <v>408</v>
      </c>
    </row>
    <row r="408" spans="1:3" x14ac:dyDescent="0.2">
      <c r="A408" s="149">
        <v>409</v>
      </c>
      <c r="B408" s="145" t="s">
        <v>286</v>
      </c>
      <c r="C408" s="148" t="s">
        <v>408</v>
      </c>
    </row>
    <row r="409" spans="1:3" x14ac:dyDescent="0.2">
      <c r="A409" s="149">
        <v>410</v>
      </c>
      <c r="B409" s="145" t="s">
        <v>287</v>
      </c>
      <c r="C409" s="148" t="s">
        <v>408</v>
      </c>
    </row>
    <row r="410" spans="1:3" x14ac:dyDescent="0.2">
      <c r="A410" s="149">
        <v>411</v>
      </c>
      <c r="B410" s="145" t="s">
        <v>288</v>
      </c>
      <c r="C410" s="148" t="s">
        <v>408</v>
      </c>
    </row>
    <row r="411" spans="1:3" x14ac:dyDescent="0.2">
      <c r="A411" s="149">
        <v>412</v>
      </c>
      <c r="B411" s="145" t="s">
        <v>289</v>
      </c>
      <c r="C411" s="148" t="s">
        <v>408</v>
      </c>
    </row>
    <row r="412" spans="1:3" x14ac:dyDescent="0.2">
      <c r="A412" s="149">
        <v>413</v>
      </c>
      <c r="B412" s="145" t="s">
        <v>290</v>
      </c>
      <c r="C412" s="148" t="s">
        <v>408</v>
      </c>
    </row>
    <row r="413" spans="1:3" x14ac:dyDescent="0.2">
      <c r="A413" s="149">
        <v>414</v>
      </c>
      <c r="B413" s="145" t="s">
        <v>291</v>
      </c>
      <c r="C413" s="148" t="s">
        <v>408</v>
      </c>
    </row>
    <row r="414" spans="1:3" x14ac:dyDescent="0.2">
      <c r="A414" s="149">
        <v>415</v>
      </c>
      <c r="B414" s="145" t="s">
        <v>292</v>
      </c>
      <c r="C414" s="148" t="s">
        <v>408</v>
      </c>
    </row>
    <row r="415" spans="1:3" x14ac:dyDescent="0.2">
      <c r="A415" s="149">
        <v>416</v>
      </c>
      <c r="B415" s="145" t="s">
        <v>293</v>
      </c>
      <c r="C415" s="148" t="s">
        <v>408</v>
      </c>
    </row>
    <row r="416" spans="1:3" x14ac:dyDescent="0.2">
      <c r="A416" s="149">
        <v>417</v>
      </c>
      <c r="B416" s="145" t="s">
        <v>294</v>
      </c>
      <c r="C416" s="148" t="s">
        <v>408</v>
      </c>
    </row>
    <row r="417" spans="1:3" x14ac:dyDescent="0.2">
      <c r="A417" s="149">
        <v>418</v>
      </c>
      <c r="B417" s="145" t="s">
        <v>295</v>
      </c>
      <c r="C417" s="148" t="s">
        <v>408</v>
      </c>
    </row>
    <row r="418" spans="1:3" x14ac:dyDescent="0.2">
      <c r="A418" s="149">
        <v>419</v>
      </c>
      <c r="B418" s="145" t="s">
        <v>296</v>
      </c>
      <c r="C418" s="148" t="s">
        <v>408</v>
      </c>
    </row>
    <row r="419" spans="1:3" x14ac:dyDescent="0.2">
      <c r="A419" s="149">
        <v>420</v>
      </c>
      <c r="B419" s="145" t="s">
        <v>297</v>
      </c>
      <c r="C419" s="148" t="s">
        <v>408</v>
      </c>
    </row>
    <row r="420" spans="1:3" x14ac:dyDescent="0.2">
      <c r="A420" s="149">
        <v>421</v>
      </c>
      <c r="B420" s="145" t="s">
        <v>298</v>
      </c>
      <c r="C420" s="148" t="s">
        <v>408</v>
      </c>
    </row>
    <row r="421" spans="1:3" x14ac:dyDescent="0.2">
      <c r="A421" s="149">
        <v>422</v>
      </c>
      <c r="B421" s="145" t="s">
        <v>299</v>
      </c>
      <c r="C421" s="148" t="s">
        <v>408</v>
      </c>
    </row>
    <row r="422" spans="1:3" x14ac:dyDescent="0.2">
      <c r="A422" s="149">
        <v>423</v>
      </c>
      <c r="B422" s="145" t="s">
        <v>300</v>
      </c>
      <c r="C422" s="148" t="s">
        <v>408</v>
      </c>
    </row>
    <row r="423" spans="1:3" x14ac:dyDescent="0.2">
      <c r="A423" s="149">
        <v>424</v>
      </c>
      <c r="B423" s="145" t="s">
        <v>301</v>
      </c>
      <c r="C423" s="148" t="s">
        <v>408</v>
      </c>
    </row>
    <row r="424" spans="1:3" x14ac:dyDescent="0.2">
      <c r="A424" s="149">
        <v>425</v>
      </c>
      <c r="B424" s="145" t="s">
        <v>302</v>
      </c>
      <c r="C424" s="148" t="s">
        <v>407</v>
      </c>
    </row>
    <row r="425" spans="1:3" x14ac:dyDescent="0.2">
      <c r="A425" s="149">
        <v>426</v>
      </c>
      <c r="B425" s="145" t="s">
        <v>212</v>
      </c>
      <c r="C425" s="148" t="s">
        <v>407</v>
      </c>
    </row>
    <row r="426" spans="1:3" x14ac:dyDescent="0.2">
      <c r="A426" s="149">
        <v>427</v>
      </c>
      <c r="B426" s="145" t="s">
        <v>303</v>
      </c>
      <c r="C426" s="148" t="s">
        <v>407</v>
      </c>
    </row>
    <row r="427" spans="1:3" x14ac:dyDescent="0.2">
      <c r="A427" s="149">
        <v>428</v>
      </c>
      <c r="B427" s="145" t="s">
        <v>304</v>
      </c>
      <c r="C427" s="148" t="s">
        <v>403</v>
      </c>
    </row>
    <row r="428" spans="1:3" x14ac:dyDescent="0.2">
      <c r="A428" s="149">
        <v>429</v>
      </c>
      <c r="B428" s="145" t="s">
        <v>305</v>
      </c>
      <c r="C428" s="148" t="s">
        <v>403</v>
      </c>
    </row>
    <row r="429" spans="1:3" x14ac:dyDescent="0.2">
      <c r="A429" s="149">
        <v>430</v>
      </c>
      <c r="B429" s="145" t="s">
        <v>306</v>
      </c>
      <c r="C429" s="148" t="s">
        <v>403</v>
      </c>
    </row>
    <row r="430" spans="1:3" x14ac:dyDescent="0.2">
      <c r="A430" s="149">
        <v>431</v>
      </c>
      <c r="B430" s="145" t="s">
        <v>307</v>
      </c>
      <c r="C430" s="148" t="s">
        <v>403</v>
      </c>
    </row>
    <row r="431" spans="1:3" x14ac:dyDescent="0.2">
      <c r="A431" s="149">
        <v>432</v>
      </c>
      <c r="B431" s="145" t="s">
        <v>212</v>
      </c>
      <c r="C431" s="148" t="s">
        <v>407</v>
      </c>
    </row>
    <row r="432" spans="1:3" x14ac:dyDescent="0.2">
      <c r="A432" s="149">
        <v>434</v>
      </c>
      <c r="B432" s="145" t="s">
        <v>308</v>
      </c>
      <c r="C432" s="148" t="s">
        <v>408</v>
      </c>
    </row>
    <row r="433" spans="1:3" x14ac:dyDescent="0.2">
      <c r="A433" s="149">
        <v>435</v>
      </c>
      <c r="B433" s="145" t="s">
        <v>309</v>
      </c>
      <c r="C433" s="148" t="s">
        <v>407</v>
      </c>
    </row>
    <row r="434" spans="1:3" x14ac:dyDescent="0.2">
      <c r="A434" s="149">
        <v>436</v>
      </c>
      <c r="B434" s="145" t="s">
        <v>310</v>
      </c>
      <c r="C434" s="148" t="s">
        <v>407</v>
      </c>
    </row>
    <row r="435" spans="1:3" x14ac:dyDescent="0.2">
      <c r="A435" s="149">
        <v>437</v>
      </c>
      <c r="B435" s="145" t="s">
        <v>311</v>
      </c>
      <c r="C435" s="148" t="s">
        <v>407</v>
      </c>
    </row>
    <row r="436" spans="1:3" x14ac:dyDescent="0.2">
      <c r="A436" s="149">
        <v>439</v>
      </c>
      <c r="B436" s="145" t="s">
        <v>312</v>
      </c>
      <c r="C436" s="148" t="s">
        <v>407</v>
      </c>
    </row>
    <row r="437" spans="1:3" x14ac:dyDescent="0.2">
      <c r="A437" s="149">
        <v>440</v>
      </c>
      <c r="B437" s="145" t="s">
        <v>313</v>
      </c>
      <c r="C437" s="148" t="s">
        <v>407</v>
      </c>
    </row>
    <row r="438" spans="1:3" x14ac:dyDescent="0.2">
      <c r="A438" s="149">
        <v>441</v>
      </c>
      <c r="B438" s="145" t="s">
        <v>216</v>
      </c>
      <c r="C438" s="148" t="s">
        <v>407</v>
      </c>
    </row>
    <row r="439" spans="1:3" x14ac:dyDescent="0.2">
      <c r="A439" s="149">
        <v>442</v>
      </c>
      <c r="B439" s="145" t="s">
        <v>212</v>
      </c>
      <c r="C439" s="148" t="s">
        <v>408</v>
      </c>
    </row>
    <row r="440" spans="1:3" x14ac:dyDescent="0.2">
      <c r="A440" s="149">
        <v>443</v>
      </c>
      <c r="B440" s="145" t="s">
        <v>252</v>
      </c>
      <c r="C440" s="148" t="s">
        <v>407</v>
      </c>
    </row>
    <row r="441" spans="1:3" x14ac:dyDescent="0.2">
      <c r="A441" s="149">
        <v>444</v>
      </c>
      <c r="B441" s="145" t="s">
        <v>255</v>
      </c>
      <c r="C441" s="148" t="s">
        <v>407</v>
      </c>
    </row>
    <row r="442" spans="1:3" x14ac:dyDescent="0.2">
      <c r="A442" s="149">
        <v>444</v>
      </c>
      <c r="B442" s="145" t="s">
        <v>255</v>
      </c>
      <c r="C442" s="148" t="s">
        <v>408</v>
      </c>
    </row>
    <row r="443" spans="1:3" x14ac:dyDescent="0.2">
      <c r="A443" s="149">
        <v>445</v>
      </c>
      <c r="B443" s="145" t="s">
        <v>314</v>
      </c>
      <c r="C443" s="148" t="s">
        <v>407</v>
      </c>
    </row>
    <row r="444" spans="1:3" x14ac:dyDescent="0.2">
      <c r="A444" s="149">
        <v>446</v>
      </c>
      <c r="B444" s="145" t="s">
        <v>314</v>
      </c>
      <c r="C444" s="148" t="s">
        <v>407</v>
      </c>
    </row>
    <row r="445" spans="1:3" x14ac:dyDescent="0.2">
      <c r="A445" s="149">
        <v>447</v>
      </c>
      <c r="B445" s="145" t="s">
        <v>226</v>
      </c>
      <c r="C445" s="148" t="s">
        <v>407</v>
      </c>
    </row>
    <row r="446" spans="1:3" x14ac:dyDescent="0.2">
      <c r="A446" s="149">
        <v>448</v>
      </c>
      <c r="B446" s="145" t="s">
        <v>226</v>
      </c>
      <c r="C446" s="148" t="s">
        <v>407</v>
      </c>
    </row>
    <row r="447" spans="1:3" x14ac:dyDescent="0.2">
      <c r="A447" s="149">
        <v>449</v>
      </c>
      <c r="B447" s="145" t="s">
        <v>226</v>
      </c>
      <c r="C447" s="148" t="s">
        <v>407</v>
      </c>
    </row>
    <row r="448" spans="1:3" x14ac:dyDescent="0.2">
      <c r="A448" s="149">
        <v>450</v>
      </c>
      <c r="B448" s="145" t="s">
        <v>226</v>
      </c>
      <c r="C448" s="148" t="s">
        <v>407</v>
      </c>
    </row>
    <row r="449" spans="1:3" x14ac:dyDescent="0.2">
      <c r="A449" s="149">
        <v>451</v>
      </c>
      <c r="B449" s="145" t="s">
        <v>226</v>
      </c>
      <c r="C449" s="148" t="s">
        <v>407</v>
      </c>
    </row>
    <row r="450" spans="1:3" x14ac:dyDescent="0.2">
      <c r="A450" s="149">
        <v>452</v>
      </c>
      <c r="B450" s="145" t="s">
        <v>226</v>
      </c>
      <c r="C450" s="148" t="s">
        <v>407</v>
      </c>
    </row>
    <row r="451" spans="1:3" x14ac:dyDescent="0.2">
      <c r="A451" s="149">
        <v>453</v>
      </c>
      <c r="B451" s="145" t="s">
        <v>226</v>
      </c>
      <c r="C451" s="148" t="s">
        <v>407</v>
      </c>
    </row>
    <row r="452" spans="1:3" x14ac:dyDescent="0.2">
      <c r="A452" s="149">
        <v>454</v>
      </c>
      <c r="B452" s="145" t="s">
        <v>226</v>
      </c>
      <c r="C452" s="148" t="s">
        <v>407</v>
      </c>
    </row>
    <row r="453" spans="1:3" x14ac:dyDescent="0.2">
      <c r="A453" s="149">
        <v>455</v>
      </c>
      <c r="B453" s="145" t="s">
        <v>226</v>
      </c>
      <c r="C453" s="148" t="s">
        <v>407</v>
      </c>
    </row>
    <row r="454" spans="1:3" x14ac:dyDescent="0.2">
      <c r="A454" s="149">
        <v>456</v>
      </c>
      <c r="B454" s="145" t="s">
        <v>226</v>
      </c>
      <c r="C454" s="148" t="s">
        <v>407</v>
      </c>
    </row>
    <row r="455" spans="1:3" x14ac:dyDescent="0.2">
      <c r="A455" s="149">
        <v>459</v>
      </c>
      <c r="B455" s="145" t="s">
        <v>226</v>
      </c>
      <c r="C455" s="148" t="s">
        <v>407</v>
      </c>
    </row>
    <row r="456" spans="1:3" x14ac:dyDescent="0.2">
      <c r="A456" s="149">
        <v>460</v>
      </c>
      <c r="B456" s="145" t="s">
        <v>315</v>
      </c>
      <c r="C456" s="148" t="s">
        <v>408</v>
      </c>
    </row>
    <row r="457" spans="1:3" x14ac:dyDescent="0.2">
      <c r="A457" s="149">
        <v>461</v>
      </c>
      <c r="B457" s="145" t="s">
        <v>315</v>
      </c>
      <c r="C457" s="148" t="s">
        <v>408</v>
      </c>
    </row>
    <row r="458" spans="1:3" x14ac:dyDescent="0.2">
      <c r="A458" s="149">
        <v>462</v>
      </c>
      <c r="B458" s="145" t="s">
        <v>316</v>
      </c>
      <c r="C458" s="148" t="s">
        <v>408</v>
      </c>
    </row>
    <row r="459" spans="1:3" x14ac:dyDescent="0.2">
      <c r="A459" s="149">
        <v>463</v>
      </c>
      <c r="B459" s="145" t="s">
        <v>317</v>
      </c>
      <c r="C459" s="148" t="s">
        <v>408</v>
      </c>
    </row>
    <row r="460" spans="1:3" x14ac:dyDescent="0.2">
      <c r="A460" s="149">
        <v>464</v>
      </c>
      <c r="B460" s="145" t="s">
        <v>318</v>
      </c>
      <c r="C460" s="148" t="s">
        <v>407</v>
      </c>
    </row>
    <row r="461" spans="1:3" x14ac:dyDescent="0.2">
      <c r="A461" s="149">
        <v>465</v>
      </c>
      <c r="B461" s="145" t="s">
        <v>319</v>
      </c>
      <c r="C461" s="148" t="s">
        <v>407</v>
      </c>
    </row>
    <row r="462" spans="1:3" x14ac:dyDescent="0.2">
      <c r="A462" s="149">
        <v>466</v>
      </c>
      <c r="B462" s="145" t="s">
        <v>320</v>
      </c>
      <c r="C462" s="148" t="s">
        <v>407</v>
      </c>
    </row>
    <row r="463" spans="1:3" x14ac:dyDescent="0.2">
      <c r="A463" s="149">
        <v>467</v>
      </c>
      <c r="B463" s="145" t="s">
        <v>320</v>
      </c>
      <c r="C463" s="148" t="s">
        <v>407</v>
      </c>
    </row>
    <row r="464" spans="1:3" x14ac:dyDescent="0.2">
      <c r="A464" s="149">
        <v>468</v>
      </c>
      <c r="B464" s="145" t="s">
        <v>320</v>
      </c>
      <c r="C464" s="148" t="s">
        <v>407</v>
      </c>
    </row>
    <row r="465" spans="1:3" x14ac:dyDescent="0.2">
      <c r="A465" s="149">
        <v>469</v>
      </c>
      <c r="B465" s="145" t="s">
        <v>320</v>
      </c>
      <c r="C465" s="148" t="s">
        <v>407</v>
      </c>
    </row>
    <row r="466" spans="1:3" x14ac:dyDescent="0.2">
      <c r="A466" s="149">
        <v>470</v>
      </c>
      <c r="B466" s="145" t="s">
        <v>320</v>
      </c>
      <c r="C466" s="148" t="s">
        <v>407</v>
      </c>
    </row>
    <row r="467" spans="1:3" x14ac:dyDescent="0.2">
      <c r="A467" s="149">
        <v>473</v>
      </c>
      <c r="B467" s="145" t="s">
        <v>321</v>
      </c>
      <c r="C467" s="148" t="s">
        <v>407</v>
      </c>
    </row>
    <row r="468" spans="1:3" x14ac:dyDescent="0.2">
      <c r="A468" s="149">
        <v>474</v>
      </c>
      <c r="B468" s="145" t="s">
        <v>322</v>
      </c>
      <c r="C468" s="148" t="s">
        <v>408</v>
      </c>
    </row>
    <row r="469" spans="1:3" x14ac:dyDescent="0.2">
      <c r="A469" s="149">
        <v>475</v>
      </c>
      <c r="B469" s="145" t="s">
        <v>323</v>
      </c>
      <c r="C469" s="148" t="s">
        <v>407</v>
      </c>
    </row>
    <row r="470" spans="1:3" x14ac:dyDescent="0.2">
      <c r="A470" s="149">
        <v>476</v>
      </c>
      <c r="B470" s="145" t="s">
        <v>324</v>
      </c>
      <c r="C470" s="148" t="s">
        <v>408</v>
      </c>
    </row>
    <row r="471" spans="1:3" x14ac:dyDescent="0.2">
      <c r="A471" s="149">
        <v>477</v>
      </c>
      <c r="B471" s="145" t="s">
        <v>324</v>
      </c>
      <c r="C471" s="148" t="s">
        <v>408</v>
      </c>
    </row>
    <row r="472" spans="1:3" x14ac:dyDescent="0.2">
      <c r="A472" s="149">
        <v>478</v>
      </c>
      <c r="B472" s="145" t="s">
        <v>255</v>
      </c>
      <c r="C472" s="148" t="s">
        <v>407</v>
      </c>
    </row>
    <row r="473" spans="1:3" x14ac:dyDescent="0.2">
      <c r="A473" s="149">
        <v>479</v>
      </c>
      <c r="B473" s="145" t="s">
        <v>312</v>
      </c>
      <c r="C473" s="148" t="s">
        <v>407</v>
      </c>
    </row>
    <row r="474" spans="1:3" x14ac:dyDescent="0.2">
      <c r="A474" s="149">
        <v>480</v>
      </c>
      <c r="B474" s="145" t="s">
        <v>312</v>
      </c>
      <c r="C474" s="148" t="s">
        <v>407</v>
      </c>
    </row>
    <row r="475" spans="1:3" x14ac:dyDescent="0.2">
      <c r="A475" s="149">
        <v>481</v>
      </c>
      <c r="B475" s="145" t="s">
        <v>312</v>
      </c>
      <c r="C475" s="148" t="s">
        <v>407</v>
      </c>
    </row>
    <row r="476" spans="1:3" x14ac:dyDescent="0.2">
      <c r="A476" s="149">
        <v>482</v>
      </c>
      <c r="B476" s="145" t="s">
        <v>325</v>
      </c>
      <c r="C476" s="148" t="s">
        <v>404</v>
      </c>
    </row>
    <row r="477" spans="1:3" x14ac:dyDescent="0.2">
      <c r="A477" s="149">
        <v>483</v>
      </c>
      <c r="B477" s="145" t="s">
        <v>326</v>
      </c>
      <c r="C477" s="148" t="s">
        <v>404</v>
      </c>
    </row>
    <row r="478" spans="1:3" x14ac:dyDescent="0.2">
      <c r="A478" s="149">
        <v>484</v>
      </c>
      <c r="B478" s="145" t="s">
        <v>327</v>
      </c>
      <c r="C478" s="148" t="s">
        <v>404</v>
      </c>
    </row>
    <row r="479" spans="1:3" x14ac:dyDescent="0.2">
      <c r="A479" s="149">
        <v>485</v>
      </c>
      <c r="B479" s="145" t="s">
        <v>328</v>
      </c>
      <c r="C479" s="148" t="s">
        <v>404</v>
      </c>
    </row>
    <row r="480" spans="1:3" x14ac:dyDescent="0.2">
      <c r="A480" s="149">
        <v>486</v>
      </c>
      <c r="B480" s="145" t="s">
        <v>329</v>
      </c>
      <c r="C480" s="148" t="s">
        <v>404</v>
      </c>
    </row>
    <row r="481" spans="1:3" x14ac:dyDescent="0.2">
      <c r="A481" s="149">
        <v>487</v>
      </c>
      <c r="B481" s="145" t="s">
        <v>330</v>
      </c>
      <c r="C481" s="148" t="s">
        <v>404</v>
      </c>
    </row>
    <row r="482" spans="1:3" x14ac:dyDescent="0.2">
      <c r="A482" s="149">
        <v>488</v>
      </c>
      <c r="B482" s="145" t="s">
        <v>331</v>
      </c>
      <c r="C482" s="148" t="s">
        <v>404</v>
      </c>
    </row>
    <row r="483" spans="1:3" x14ac:dyDescent="0.2">
      <c r="A483" s="149">
        <v>489</v>
      </c>
      <c r="B483" s="145" t="s">
        <v>332</v>
      </c>
      <c r="C483" s="148" t="s">
        <v>404</v>
      </c>
    </row>
    <row r="484" spans="1:3" x14ac:dyDescent="0.2">
      <c r="A484" s="149">
        <v>490</v>
      </c>
      <c r="B484" s="145" t="s">
        <v>333</v>
      </c>
      <c r="C484" s="148" t="s">
        <v>404</v>
      </c>
    </row>
    <row r="485" spans="1:3" x14ac:dyDescent="0.2">
      <c r="A485" s="149">
        <v>491</v>
      </c>
      <c r="B485" s="145" t="s">
        <v>334</v>
      </c>
      <c r="C485" s="148" t="s">
        <v>404</v>
      </c>
    </row>
    <row r="486" spans="1:3" x14ac:dyDescent="0.2">
      <c r="A486" s="149">
        <v>492</v>
      </c>
      <c r="B486" s="145" t="s">
        <v>335</v>
      </c>
      <c r="C486" s="148" t="s">
        <v>404</v>
      </c>
    </row>
    <row r="487" spans="1:3" x14ac:dyDescent="0.2">
      <c r="A487" s="149">
        <v>493</v>
      </c>
      <c r="B487" s="145" t="s">
        <v>336</v>
      </c>
      <c r="C487" s="148" t="s">
        <v>404</v>
      </c>
    </row>
    <row r="488" spans="1:3" x14ac:dyDescent="0.2">
      <c r="A488" s="149">
        <v>494</v>
      </c>
      <c r="B488" s="145" t="s">
        <v>337</v>
      </c>
      <c r="C488" s="148" t="s">
        <v>404</v>
      </c>
    </row>
    <row r="489" spans="1:3" x14ac:dyDescent="0.2">
      <c r="A489" s="149">
        <v>495</v>
      </c>
      <c r="B489" s="145" t="s">
        <v>338</v>
      </c>
      <c r="C489" s="148" t="s">
        <v>404</v>
      </c>
    </row>
    <row r="490" spans="1:3" x14ac:dyDescent="0.2">
      <c r="A490" s="149">
        <v>496</v>
      </c>
      <c r="B490" s="145" t="s">
        <v>339</v>
      </c>
      <c r="C490" s="148" t="s">
        <v>404</v>
      </c>
    </row>
    <row r="491" spans="1:3" x14ac:dyDescent="0.2">
      <c r="A491" s="149">
        <v>497</v>
      </c>
      <c r="B491" s="145" t="s">
        <v>340</v>
      </c>
      <c r="C491" s="148" t="s">
        <v>404</v>
      </c>
    </row>
    <row r="492" spans="1:3" x14ac:dyDescent="0.2">
      <c r="A492" s="149">
        <v>498</v>
      </c>
      <c r="B492" s="145" t="s">
        <v>341</v>
      </c>
      <c r="C492" s="148" t="s">
        <v>404</v>
      </c>
    </row>
    <row r="493" spans="1:3" x14ac:dyDescent="0.2">
      <c r="A493" s="149">
        <v>701</v>
      </c>
      <c r="B493" s="145" t="s">
        <v>342</v>
      </c>
      <c r="C493" s="148" t="s">
        <v>408</v>
      </c>
    </row>
    <row r="494" spans="1:3" x14ac:dyDescent="0.2">
      <c r="A494" s="149">
        <v>702</v>
      </c>
      <c r="B494" s="145" t="s">
        <v>342</v>
      </c>
      <c r="C494" s="148" t="s">
        <v>408</v>
      </c>
    </row>
    <row r="495" spans="1:3" x14ac:dyDescent="0.2">
      <c r="A495" s="149">
        <v>703</v>
      </c>
      <c r="B495" s="145" t="s">
        <v>278</v>
      </c>
      <c r="C495" s="148" t="s">
        <v>408</v>
      </c>
    </row>
    <row r="496" spans="1:3" x14ac:dyDescent="0.2">
      <c r="A496" s="149">
        <v>704</v>
      </c>
      <c r="B496" s="145" t="s">
        <v>278</v>
      </c>
      <c r="C496" s="148" t="s">
        <v>408</v>
      </c>
    </row>
    <row r="497" spans="1:3" x14ac:dyDescent="0.2">
      <c r="A497" s="149">
        <v>705</v>
      </c>
      <c r="B497" s="145" t="s">
        <v>278</v>
      </c>
      <c r="C497" s="148" t="s">
        <v>408</v>
      </c>
    </row>
    <row r="498" spans="1:3" x14ac:dyDescent="0.2">
      <c r="A498" s="149">
        <v>706</v>
      </c>
      <c r="B498" s="145" t="s">
        <v>278</v>
      </c>
      <c r="C498" s="148" t="s">
        <v>408</v>
      </c>
    </row>
    <row r="499" spans="1:3" x14ac:dyDescent="0.2">
      <c r="A499" s="149">
        <v>707</v>
      </c>
      <c r="B499" s="145" t="s">
        <v>278</v>
      </c>
      <c r="C499" s="148" t="s">
        <v>408</v>
      </c>
    </row>
    <row r="500" spans="1:3" x14ac:dyDescent="0.2">
      <c r="A500" s="149">
        <v>708</v>
      </c>
      <c r="B500" s="145" t="s">
        <v>278</v>
      </c>
      <c r="C500" s="148" t="s">
        <v>408</v>
      </c>
    </row>
    <row r="501" spans="1:3" x14ac:dyDescent="0.2">
      <c r="A501" s="149">
        <v>709</v>
      </c>
      <c r="B501" s="145" t="s">
        <v>278</v>
      </c>
      <c r="C501" s="148" t="s">
        <v>408</v>
      </c>
    </row>
    <row r="502" spans="1:3" x14ac:dyDescent="0.2">
      <c r="A502" s="149">
        <v>710</v>
      </c>
      <c r="B502" s="145" t="s">
        <v>278</v>
      </c>
      <c r="C502" s="148" t="s">
        <v>408</v>
      </c>
    </row>
    <row r="503" spans="1:3" x14ac:dyDescent="0.2">
      <c r="A503" s="149">
        <v>711</v>
      </c>
      <c r="B503" s="145" t="s">
        <v>278</v>
      </c>
      <c r="C503" s="148" t="s">
        <v>408</v>
      </c>
    </row>
    <row r="504" spans="1:3" x14ac:dyDescent="0.2">
      <c r="A504" s="149">
        <v>712</v>
      </c>
      <c r="B504" s="145" t="s">
        <v>343</v>
      </c>
      <c r="C504" s="148" t="s">
        <v>408</v>
      </c>
    </row>
    <row r="505" spans="1:3" x14ac:dyDescent="0.2">
      <c r="A505" s="149">
        <v>713</v>
      </c>
      <c r="B505" s="145" t="s">
        <v>343</v>
      </c>
      <c r="C505" s="148" t="s">
        <v>408</v>
      </c>
    </row>
    <row r="506" spans="1:3" x14ac:dyDescent="0.2">
      <c r="A506" s="149">
        <v>714</v>
      </c>
      <c r="B506" s="145" t="s">
        <v>343</v>
      </c>
      <c r="C506" s="148" t="s">
        <v>408</v>
      </c>
    </row>
    <row r="507" spans="1:3" x14ac:dyDescent="0.2">
      <c r="A507" s="149">
        <v>715</v>
      </c>
      <c r="B507" s="145" t="s">
        <v>343</v>
      </c>
      <c r="C507" s="148" t="s">
        <v>408</v>
      </c>
    </row>
    <row r="508" spans="1:3" x14ac:dyDescent="0.2">
      <c r="A508" s="149">
        <v>716</v>
      </c>
      <c r="B508" s="145" t="s">
        <v>344</v>
      </c>
      <c r="C508" s="148" t="s">
        <v>408</v>
      </c>
    </row>
    <row r="509" spans="1:3" x14ac:dyDescent="0.2">
      <c r="A509" s="149">
        <v>717</v>
      </c>
      <c r="B509" s="145" t="s">
        <v>344</v>
      </c>
      <c r="C509" s="148" t="s">
        <v>408</v>
      </c>
    </row>
    <row r="510" spans="1:3" x14ac:dyDescent="0.2">
      <c r="A510" s="149">
        <v>718</v>
      </c>
      <c r="B510" s="145" t="s">
        <v>345</v>
      </c>
      <c r="C510" s="148" t="s">
        <v>408</v>
      </c>
    </row>
    <row r="511" spans="1:3" x14ac:dyDescent="0.2">
      <c r="A511" s="149">
        <v>719</v>
      </c>
      <c r="B511" s="145" t="s">
        <v>345</v>
      </c>
      <c r="C511" s="148" t="s">
        <v>408</v>
      </c>
    </row>
    <row r="512" spans="1:3" x14ac:dyDescent="0.2">
      <c r="A512" s="149">
        <v>720</v>
      </c>
      <c r="B512" s="145" t="s">
        <v>213</v>
      </c>
      <c r="C512" s="148" t="s">
        <v>407</v>
      </c>
    </row>
    <row r="513" spans="1:3" x14ac:dyDescent="0.2">
      <c r="A513" s="149">
        <v>721</v>
      </c>
      <c r="B513" s="145" t="s">
        <v>346</v>
      </c>
      <c r="C513" s="148" t="s">
        <v>407</v>
      </c>
    </row>
    <row r="514" spans="1:3" x14ac:dyDescent="0.2">
      <c r="A514" s="149">
        <v>722</v>
      </c>
      <c r="B514" s="145" t="s">
        <v>346</v>
      </c>
      <c r="C514" s="148" t="s">
        <v>407</v>
      </c>
    </row>
    <row r="515" spans="1:3" x14ac:dyDescent="0.2">
      <c r="A515" s="149">
        <v>723</v>
      </c>
      <c r="B515" s="145" t="s">
        <v>346</v>
      </c>
      <c r="C515" s="148" t="s">
        <v>407</v>
      </c>
    </row>
    <row r="516" spans="1:3" x14ac:dyDescent="0.2">
      <c r="A516" s="149">
        <v>724</v>
      </c>
      <c r="B516" s="145" t="s">
        <v>346</v>
      </c>
      <c r="C516" s="148" t="s">
        <v>407</v>
      </c>
    </row>
    <row r="517" spans="1:3" x14ac:dyDescent="0.2">
      <c r="A517" s="149">
        <v>725</v>
      </c>
      <c r="B517" s="145" t="s">
        <v>346</v>
      </c>
      <c r="C517" s="148" t="s">
        <v>407</v>
      </c>
    </row>
    <row r="518" spans="1:3" x14ac:dyDescent="0.2">
      <c r="A518" s="149">
        <v>726</v>
      </c>
      <c r="B518" s="145" t="s">
        <v>346</v>
      </c>
      <c r="C518" s="148" t="s">
        <v>407</v>
      </c>
    </row>
    <row r="519" spans="1:3" x14ac:dyDescent="0.2">
      <c r="A519" s="149">
        <v>727</v>
      </c>
      <c r="B519" s="145" t="s">
        <v>346</v>
      </c>
      <c r="C519" s="148" t="s">
        <v>407</v>
      </c>
    </row>
    <row r="520" spans="1:3" x14ac:dyDescent="0.2">
      <c r="A520" s="149">
        <v>728</v>
      </c>
      <c r="B520" s="145" t="s">
        <v>347</v>
      </c>
      <c r="C520" s="148" t="s">
        <v>407</v>
      </c>
    </row>
    <row r="521" spans="1:3" x14ac:dyDescent="0.2">
      <c r="A521" s="149">
        <v>729</v>
      </c>
      <c r="B521" s="145" t="s">
        <v>346</v>
      </c>
      <c r="C521" s="148" t="s">
        <v>407</v>
      </c>
    </row>
    <row r="522" spans="1:3" x14ac:dyDescent="0.2">
      <c r="A522" s="149">
        <v>730</v>
      </c>
      <c r="B522" s="145" t="s">
        <v>347</v>
      </c>
      <c r="C522" s="148" t="s">
        <v>407</v>
      </c>
    </row>
    <row r="523" spans="1:3" x14ac:dyDescent="0.2">
      <c r="A523" s="149">
        <v>731</v>
      </c>
      <c r="B523" s="145" t="s">
        <v>346</v>
      </c>
      <c r="C523" s="148" t="s">
        <v>407</v>
      </c>
    </row>
    <row r="524" spans="1:3" x14ac:dyDescent="0.2">
      <c r="A524" s="149">
        <v>732</v>
      </c>
      <c r="B524" s="145" t="s">
        <v>347</v>
      </c>
      <c r="C524" s="148" t="s">
        <v>407</v>
      </c>
    </row>
    <row r="525" spans="1:3" x14ac:dyDescent="0.2">
      <c r="A525" s="149">
        <v>733</v>
      </c>
      <c r="B525" s="145" t="s">
        <v>346</v>
      </c>
      <c r="C525" s="148" t="s">
        <v>407</v>
      </c>
    </row>
    <row r="526" spans="1:3" x14ac:dyDescent="0.2">
      <c r="A526" s="149">
        <v>734</v>
      </c>
      <c r="B526" s="145" t="s">
        <v>347</v>
      </c>
      <c r="C526" s="148" t="s">
        <v>407</v>
      </c>
    </row>
    <row r="527" spans="1:3" x14ac:dyDescent="0.2">
      <c r="A527" s="149">
        <v>735</v>
      </c>
      <c r="B527" s="145" t="s">
        <v>346</v>
      </c>
      <c r="C527" s="148" t="s">
        <v>407</v>
      </c>
    </row>
    <row r="528" spans="1:3" x14ac:dyDescent="0.2">
      <c r="A528" s="149">
        <v>736</v>
      </c>
      <c r="B528" s="145" t="s">
        <v>347</v>
      </c>
      <c r="C528" s="148" t="s">
        <v>407</v>
      </c>
    </row>
    <row r="529" spans="1:3" x14ac:dyDescent="0.2">
      <c r="A529" s="149">
        <v>737</v>
      </c>
      <c r="B529" s="145" t="s">
        <v>346</v>
      </c>
      <c r="C529" s="148" t="s">
        <v>407</v>
      </c>
    </row>
    <row r="530" spans="1:3" x14ac:dyDescent="0.2">
      <c r="A530" s="149">
        <v>738</v>
      </c>
      <c r="B530" s="145" t="s">
        <v>347</v>
      </c>
      <c r="C530" s="148" t="s">
        <v>407</v>
      </c>
    </row>
    <row r="531" spans="1:3" x14ac:dyDescent="0.2">
      <c r="A531" s="149">
        <v>739</v>
      </c>
      <c r="B531" s="145" t="s">
        <v>346</v>
      </c>
      <c r="C531" s="148" t="s">
        <v>407</v>
      </c>
    </row>
    <row r="532" spans="1:3" x14ac:dyDescent="0.2">
      <c r="A532" s="149">
        <v>740</v>
      </c>
      <c r="B532" s="145" t="s">
        <v>347</v>
      </c>
      <c r="C532" s="148" t="s">
        <v>407</v>
      </c>
    </row>
    <row r="533" spans="1:3" x14ac:dyDescent="0.2">
      <c r="A533" s="149">
        <v>741</v>
      </c>
      <c r="B533" s="145" t="s">
        <v>346</v>
      </c>
      <c r="C533" s="148" t="s">
        <v>407</v>
      </c>
    </row>
    <row r="534" spans="1:3" x14ac:dyDescent="0.2">
      <c r="A534" s="149">
        <v>742</v>
      </c>
      <c r="B534" s="145" t="s">
        <v>347</v>
      </c>
      <c r="C534" s="148" t="s">
        <v>407</v>
      </c>
    </row>
    <row r="535" spans="1:3" x14ac:dyDescent="0.2">
      <c r="A535" s="149">
        <v>743</v>
      </c>
      <c r="B535" s="145" t="s">
        <v>346</v>
      </c>
      <c r="C535" s="148" t="s">
        <v>407</v>
      </c>
    </row>
    <row r="536" spans="1:3" x14ac:dyDescent="0.2">
      <c r="A536" s="149">
        <v>744</v>
      </c>
      <c r="B536" s="145" t="s">
        <v>347</v>
      </c>
      <c r="C536" s="148" t="s">
        <v>407</v>
      </c>
    </row>
    <row r="537" spans="1:3" x14ac:dyDescent="0.2">
      <c r="A537" s="149">
        <v>745</v>
      </c>
      <c r="B537" s="145" t="s">
        <v>346</v>
      </c>
      <c r="C537" s="148" t="s">
        <v>407</v>
      </c>
    </row>
    <row r="538" spans="1:3" x14ac:dyDescent="0.2">
      <c r="A538" s="149">
        <v>746</v>
      </c>
      <c r="B538" s="145" t="s">
        <v>347</v>
      </c>
      <c r="C538" s="148" t="s">
        <v>407</v>
      </c>
    </row>
    <row r="539" spans="1:3" x14ac:dyDescent="0.2">
      <c r="A539" s="149">
        <v>747</v>
      </c>
      <c r="B539" s="145" t="s">
        <v>346</v>
      </c>
      <c r="C539" s="148" t="s">
        <v>407</v>
      </c>
    </row>
    <row r="540" spans="1:3" x14ac:dyDescent="0.2">
      <c r="A540" s="149">
        <v>748</v>
      </c>
      <c r="B540" s="145" t="s">
        <v>346</v>
      </c>
      <c r="C540" s="148" t="s">
        <v>407</v>
      </c>
    </row>
    <row r="541" spans="1:3" x14ac:dyDescent="0.2">
      <c r="A541" s="149">
        <v>749</v>
      </c>
      <c r="B541" s="145" t="s">
        <v>347</v>
      </c>
      <c r="C541" s="148" t="s">
        <v>407</v>
      </c>
    </row>
    <row r="542" spans="1:3" x14ac:dyDescent="0.2">
      <c r="A542" s="149">
        <v>752</v>
      </c>
      <c r="B542" s="145" t="s">
        <v>346</v>
      </c>
      <c r="C542" s="148" t="s">
        <v>407</v>
      </c>
    </row>
    <row r="543" spans="1:3" x14ac:dyDescent="0.2">
      <c r="A543" s="149">
        <v>753</v>
      </c>
      <c r="B543" s="145" t="s">
        <v>348</v>
      </c>
      <c r="C543" s="148" t="s">
        <v>407</v>
      </c>
    </row>
    <row r="544" spans="1:3" x14ac:dyDescent="0.2">
      <c r="A544" s="149">
        <v>754</v>
      </c>
      <c r="B544" s="145" t="s">
        <v>346</v>
      </c>
      <c r="C544" s="148" t="s">
        <v>407</v>
      </c>
    </row>
    <row r="545" spans="1:3" x14ac:dyDescent="0.2">
      <c r="A545" s="149">
        <v>755</v>
      </c>
      <c r="B545" s="145" t="s">
        <v>348</v>
      </c>
      <c r="C545" s="148" t="s">
        <v>407</v>
      </c>
    </row>
    <row r="546" spans="1:3" x14ac:dyDescent="0.2">
      <c r="A546" s="149">
        <v>756</v>
      </c>
      <c r="B546" s="145" t="s">
        <v>346</v>
      </c>
      <c r="C546" s="148" t="s">
        <v>407</v>
      </c>
    </row>
    <row r="547" spans="1:3" x14ac:dyDescent="0.2">
      <c r="A547" s="149">
        <v>757</v>
      </c>
      <c r="B547" s="145" t="s">
        <v>348</v>
      </c>
      <c r="C547" s="148" t="s">
        <v>407</v>
      </c>
    </row>
    <row r="548" spans="1:3" x14ac:dyDescent="0.2">
      <c r="A548" s="149">
        <v>758</v>
      </c>
      <c r="B548" s="145" t="s">
        <v>346</v>
      </c>
      <c r="C548" s="148" t="s">
        <v>407</v>
      </c>
    </row>
    <row r="549" spans="1:3" x14ac:dyDescent="0.2">
      <c r="A549" s="149">
        <v>759</v>
      </c>
      <c r="B549" s="145" t="s">
        <v>348</v>
      </c>
      <c r="C549" s="148" t="s">
        <v>407</v>
      </c>
    </row>
    <row r="550" spans="1:3" x14ac:dyDescent="0.2">
      <c r="A550" s="149">
        <v>760</v>
      </c>
      <c r="B550" s="145" t="s">
        <v>346</v>
      </c>
      <c r="C550" s="148" t="s">
        <v>407</v>
      </c>
    </row>
    <row r="551" spans="1:3" x14ac:dyDescent="0.2">
      <c r="A551" s="149">
        <v>761</v>
      </c>
      <c r="B551" s="145" t="s">
        <v>348</v>
      </c>
      <c r="C551" s="148" t="s">
        <v>407</v>
      </c>
    </row>
    <row r="552" spans="1:3" x14ac:dyDescent="0.2">
      <c r="A552" s="149">
        <v>762</v>
      </c>
      <c r="B552" s="145" t="s">
        <v>346</v>
      </c>
      <c r="C552" s="148" t="s">
        <v>407</v>
      </c>
    </row>
    <row r="553" spans="1:3" x14ac:dyDescent="0.2">
      <c r="A553" s="149">
        <v>763</v>
      </c>
      <c r="B553" s="145" t="s">
        <v>348</v>
      </c>
      <c r="C553" s="148" t="s">
        <v>407</v>
      </c>
    </row>
    <row r="554" spans="1:3" x14ac:dyDescent="0.2">
      <c r="A554" s="149">
        <v>764</v>
      </c>
      <c r="B554" s="145" t="s">
        <v>346</v>
      </c>
      <c r="C554" s="148" t="s">
        <v>407</v>
      </c>
    </row>
    <row r="555" spans="1:3" x14ac:dyDescent="0.2">
      <c r="A555" s="149">
        <v>765</v>
      </c>
      <c r="B555" s="145" t="s">
        <v>348</v>
      </c>
      <c r="C555" s="148" t="s">
        <v>407</v>
      </c>
    </row>
    <row r="556" spans="1:3" x14ac:dyDescent="0.2">
      <c r="A556" s="149">
        <v>766</v>
      </c>
      <c r="B556" s="145" t="s">
        <v>346</v>
      </c>
      <c r="C556" s="148" t="s">
        <v>407</v>
      </c>
    </row>
    <row r="557" spans="1:3" x14ac:dyDescent="0.2">
      <c r="A557" s="149">
        <v>767</v>
      </c>
      <c r="B557" s="145" t="s">
        <v>348</v>
      </c>
      <c r="C557" s="148" t="s">
        <v>407</v>
      </c>
    </row>
    <row r="558" spans="1:3" x14ac:dyDescent="0.2">
      <c r="A558" s="149">
        <v>768</v>
      </c>
      <c r="B558" s="145" t="s">
        <v>346</v>
      </c>
      <c r="C558" s="148" t="s">
        <v>407</v>
      </c>
    </row>
    <row r="559" spans="1:3" x14ac:dyDescent="0.2">
      <c r="A559" s="149">
        <v>769</v>
      </c>
      <c r="B559" s="145" t="s">
        <v>348</v>
      </c>
      <c r="C559" s="148" t="s">
        <v>407</v>
      </c>
    </row>
    <row r="560" spans="1:3" x14ac:dyDescent="0.2">
      <c r="A560" s="149">
        <v>770</v>
      </c>
      <c r="B560" s="145" t="s">
        <v>349</v>
      </c>
      <c r="C560" s="148" t="s">
        <v>407</v>
      </c>
    </row>
    <row r="561" spans="1:3" x14ac:dyDescent="0.2">
      <c r="A561" s="149">
        <v>775</v>
      </c>
      <c r="B561" s="145" t="s">
        <v>350</v>
      </c>
      <c r="C561" s="148" t="s">
        <v>407</v>
      </c>
    </row>
    <row r="562" spans="1:3" x14ac:dyDescent="0.2">
      <c r="A562" s="149">
        <v>776</v>
      </c>
      <c r="B562" s="145" t="s">
        <v>350</v>
      </c>
      <c r="C562" s="148" t="s">
        <v>407</v>
      </c>
    </row>
    <row r="563" spans="1:3" x14ac:dyDescent="0.2">
      <c r="A563" s="149">
        <v>781</v>
      </c>
      <c r="B563" s="145" t="s">
        <v>346</v>
      </c>
      <c r="C563" s="148" t="s">
        <v>408</v>
      </c>
    </row>
    <row r="564" spans="1:3" x14ac:dyDescent="0.2">
      <c r="A564" s="149">
        <v>782</v>
      </c>
      <c r="B564" s="145" t="s">
        <v>346</v>
      </c>
      <c r="C564" s="148" t="s">
        <v>407</v>
      </c>
    </row>
    <row r="565" spans="1:3" x14ac:dyDescent="0.2">
      <c r="A565" s="149">
        <v>783</v>
      </c>
      <c r="B565" s="145" t="s">
        <v>346</v>
      </c>
      <c r="C565" s="148" t="s">
        <v>407</v>
      </c>
    </row>
    <row r="566" spans="1:3" x14ac:dyDescent="0.2">
      <c r="A566" s="149">
        <v>784</v>
      </c>
      <c r="B566" s="145" t="s">
        <v>346</v>
      </c>
      <c r="C566" s="148" t="s">
        <v>407</v>
      </c>
    </row>
    <row r="567" spans="1:3" x14ac:dyDescent="0.2">
      <c r="A567" s="149">
        <v>785</v>
      </c>
      <c r="B567" s="145" t="s">
        <v>346</v>
      </c>
      <c r="C567" s="148" t="s">
        <v>407</v>
      </c>
    </row>
    <row r="568" spans="1:3" x14ac:dyDescent="0.2">
      <c r="A568" s="149">
        <v>786</v>
      </c>
      <c r="B568" s="145" t="s">
        <v>346</v>
      </c>
      <c r="C568" s="148" t="s">
        <v>407</v>
      </c>
    </row>
    <row r="569" spans="1:3" x14ac:dyDescent="0.2">
      <c r="A569" s="149">
        <v>787</v>
      </c>
      <c r="B569" s="145" t="s">
        <v>351</v>
      </c>
      <c r="C569" s="148" t="s">
        <v>407</v>
      </c>
    </row>
    <row r="570" spans="1:3" x14ac:dyDescent="0.2">
      <c r="A570" s="149">
        <v>788</v>
      </c>
      <c r="B570" s="145" t="s">
        <v>352</v>
      </c>
      <c r="C570" s="148" t="s">
        <v>407</v>
      </c>
    </row>
    <row r="571" spans="1:3" x14ac:dyDescent="0.2">
      <c r="A571" s="149">
        <v>789</v>
      </c>
      <c r="B571" s="145" t="s">
        <v>353</v>
      </c>
      <c r="C571" s="148" t="s">
        <v>407</v>
      </c>
    </row>
    <row r="572" spans="1:3" x14ac:dyDescent="0.2">
      <c r="A572" s="149">
        <v>790</v>
      </c>
      <c r="B572" s="145" t="s">
        <v>354</v>
      </c>
      <c r="C572" s="148" t="s">
        <v>407</v>
      </c>
    </row>
    <row r="573" spans="1:3" x14ac:dyDescent="0.2">
      <c r="A573" s="149">
        <v>791</v>
      </c>
      <c r="B573" s="145" t="s">
        <v>355</v>
      </c>
      <c r="C573" s="148" t="s">
        <v>407</v>
      </c>
    </row>
    <row r="574" spans="1:3" x14ac:dyDescent="0.2">
      <c r="A574" s="149">
        <v>792</v>
      </c>
      <c r="B574" s="145" t="s">
        <v>356</v>
      </c>
      <c r="C574" s="148" t="s">
        <v>407</v>
      </c>
    </row>
    <row r="575" spans="1:3" x14ac:dyDescent="0.2">
      <c r="A575" s="149">
        <v>793</v>
      </c>
      <c r="B575" s="145" t="s">
        <v>346</v>
      </c>
      <c r="C575" s="148" t="s">
        <v>407</v>
      </c>
    </row>
    <row r="576" spans="1:3" x14ac:dyDescent="0.2">
      <c r="A576" s="149">
        <v>794</v>
      </c>
      <c r="B576" s="145" t="s">
        <v>347</v>
      </c>
      <c r="C576" s="148" t="s">
        <v>407</v>
      </c>
    </row>
    <row r="577" spans="1:3" x14ac:dyDescent="0.2">
      <c r="A577" s="149">
        <v>801</v>
      </c>
      <c r="B577" s="145" t="s">
        <v>275</v>
      </c>
      <c r="C577" s="148" t="s">
        <v>407</v>
      </c>
    </row>
    <row r="578" spans="1:3" x14ac:dyDescent="0.2">
      <c r="A578" s="149">
        <v>802</v>
      </c>
      <c r="B578" s="145" t="s">
        <v>357</v>
      </c>
      <c r="C578" s="148" t="s">
        <v>407</v>
      </c>
    </row>
    <row r="579" spans="1:3" x14ac:dyDescent="0.2">
      <c r="A579" s="149">
        <v>803</v>
      </c>
      <c r="B579" s="145" t="s">
        <v>358</v>
      </c>
      <c r="C579" s="148" t="s">
        <v>408</v>
      </c>
    </row>
    <row r="580" spans="1:3" x14ac:dyDescent="0.2">
      <c r="A580" s="149">
        <v>804</v>
      </c>
      <c r="B580" s="145" t="s">
        <v>357</v>
      </c>
      <c r="C580" s="148" t="s">
        <v>407</v>
      </c>
    </row>
    <row r="581" spans="1:3" x14ac:dyDescent="0.2">
      <c r="A581" s="149">
        <v>805</v>
      </c>
      <c r="B581" s="145" t="s">
        <v>358</v>
      </c>
      <c r="C581" s="148" t="s">
        <v>408</v>
      </c>
    </row>
    <row r="582" spans="1:3" x14ac:dyDescent="0.2">
      <c r="A582" s="149">
        <v>806</v>
      </c>
      <c r="B582" s="145" t="s">
        <v>357</v>
      </c>
      <c r="C582" s="148" t="s">
        <v>407</v>
      </c>
    </row>
    <row r="583" spans="1:3" x14ac:dyDescent="0.2">
      <c r="A583" s="149">
        <v>807</v>
      </c>
      <c r="B583" s="145" t="s">
        <v>358</v>
      </c>
      <c r="C583" s="148" t="s">
        <v>408</v>
      </c>
    </row>
    <row r="584" spans="1:3" x14ac:dyDescent="0.2">
      <c r="A584" s="149">
        <v>808</v>
      </c>
      <c r="B584" s="145" t="s">
        <v>357</v>
      </c>
      <c r="C584" s="148" t="s">
        <v>407</v>
      </c>
    </row>
    <row r="585" spans="1:3" x14ac:dyDescent="0.2">
      <c r="A585" s="149">
        <v>809</v>
      </c>
      <c r="B585" s="145" t="s">
        <v>358</v>
      </c>
      <c r="C585" s="148" t="s">
        <v>408</v>
      </c>
    </row>
    <row r="586" spans="1:3" x14ac:dyDescent="0.2">
      <c r="A586" s="149">
        <v>810</v>
      </c>
      <c r="B586" s="145" t="s">
        <v>357</v>
      </c>
      <c r="C586" s="148" t="s">
        <v>407</v>
      </c>
    </row>
    <row r="587" spans="1:3" x14ac:dyDescent="0.2">
      <c r="A587" s="149">
        <v>811</v>
      </c>
      <c r="B587" s="145" t="s">
        <v>358</v>
      </c>
      <c r="C587" s="148" t="s">
        <v>408</v>
      </c>
    </row>
    <row r="588" spans="1:3" x14ac:dyDescent="0.2">
      <c r="A588" s="149">
        <v>812</v>
      </c>
      <c r="B588" s="145" t="s">
        <v>357</v>
      </c>
      <c r="C588" s="148" t="s">
        <v>407</v>
      </c>
    </row>
    <row r="589" spans="1:3" x14ac:dyDescent="0.2">
      <c r="A589" s="149">
        <v>813</v>
      </c>
      <c r="B589" s="145" t="s">
        <v>358</v>
      </c>
      <c r="C589" s="148" t="s">
        <v>408</v>
      </c>
    </row>
    <row r="590" spans="1:3" x14ac:dyDescent="0.2">
      <c r="A590" s="149">
        <v>814</v>
      </c>
      <c r="B590" s="145" t="s">
        <v>357</v>
      </c>
      <c r="C590" s="148" t="s">
        <v>407</v>
      </c>
    </row>
    <row r="591" spans="1:3" x14ac:dyDescent="0.2">
      <c r="A591" s="149">
        <v>815</v>
      </c>
      <c r="B591" s="145" t="s">
        <v>358</v>
      </c>
      <c r="C591" s="148" t="s">
        <v>408</v>
      </c>
    </row>
    <row r="592" spans="1:3" x14ac:dyDescent="0.2">
      <c r="A592" s="149">
        <v>816</v>
      </c>
      <c r="B592" s="145" t="s">
        <v>357</v>
      </c>
      <c r="C592" s="148" t="s">
        <v>407</v>
      </c>
    </row>
    <row r="593" spans="1:3" x14ac:dyDescent="0.2">
      <c r="A593" s="149">
        <v>817</v>
      </c>
      <c r="B593" s="145" t="s">
        <v>358</v>
      </c>
      <c r="C593" s="148" t="s">
        <v>408</v>
      </c>
    </row>
    <row r="594" spans="1:3" x14ac:dyDescent="0.2">
      <c r="A594" s="149">
        <v>818</v>
      </c>
      <c r="B594" s="145" t="s">
        <v>357</v>
      </c>
      <c r="C594" s="148" t="s">
        <v>407</v>
      </c>
    </row>
    <row r="595" spans="1:3" x14ac:dyDescent="0.2">
      <c r="A595" s="149">
        <v>819</v>
      </c>
      <c r="B595" s="145" t="s">
        <v>358</v>
      </c>
      <c r="C595" s="148" t="s">
        <v>408</v>
      </c>
    </row>
    <row r="596" spans="1:3" x14ac:dyDescent="0.2">
      <c r="A596" s="149">
        <v>820</v>
      </c>
      <c r="B596" s="145" t="s">
        <v>357</v>
      </c>
      <c r="C596" s="148" t="s">
        <v>407</v>
      </c>
    </row>
    <row r="597" spans="1:3" x14ac:dyDescent="0.2">
      <c r="A597" s="149">
        <v>821</v>
      </c>
      <c r="B597" s="145" t="s">
        <v>358</v>
      </c>
      <c r="C597" s="148" t="s">
        <v>408</v>
      </c>
    </row>
    <row r="598" spans="1:3" x14ac:dyDescent="0.2">
      <c r="A598" s="149">
        <v>822</v>
      </c>
      <c r="B598" s="145" t="s">
        <v>357</v>
      </c>
      <c r="C598" s="148" t="s">
        <v>407</v>
      </c>
    </row>
    <row r="599" spans="1:3" x14ac:dyDescent="0.2">
      <c r="A599" s="149">
        <v>823</v>
      </c>
      <c r="B599" s="145" t="s">
        <v>358</v>
      </c>
      <c r="C599" s="148" t="s">
        <v>408</v>
      </c>
    </row>
    <row r="600" spans="1:3" x14ac:dyDescent="0.2">
      <c r="A600" s="149">
        <v>824</v>
      </c>
      <c r="B600" s="145" t="s">
        <v>357</v>
      </c>
      <c r="C600" s="148" t="s">
        <v>407</v>
      </c>
    </row>
    <row r="601" spans="1:3" x14ac:dyDescent="0.2">
      <c r="A601" s="149">
        <v>825</v>
      </c>
      <c r="B601" s="145" t="s">
        <v>358</v>
      </c>
      <c r="C601" s="148" t="s">
        <v>408</v>
      </c>
    </row>
    <row r="602" spans="1:3" x14ac:dyDescent="0.2">
      <c r="A602" s="149">
        <v>826</v>
      </c>
      <c r="B602" s="145" t="s">
        <v>357</v>
      </c>
      <c r="C602" s="148" t="s">
        <v>407</v>
      </c>
    </row>
    <row r="603" spans="1:3" x14ac:dyDescent="0.2">
      <c r="A603" s="149">
        <v>827</v>
      </c>
      <c r="B603" s="145" t="s">
        <v>358</v>
      </c>
      <c r="C603" s="148" t="s">
        <v>408</v>
      </c>
    </row>
    <row r="604" spans="1:3" x14ac:dyDescent="0.2">
      <c r="A604" s="149">
        <v>828</v>
      </c>
      <c r="B604" s="145" t="s">
        <v>357</v>
      </c>
      <c r="C604" s="148" t="s">
        <v>407</v>
      </c>
    </row>
    <row r="605" spans="1:3" x14ac:dyDescent="0.2">
      <c r="A605" s="149">
        <v>829</v>
      </c>
      <c r="B605" s="145" t="s">
        <v>358</v>
      </c>
      <c r="C605" s="148" t="s">
        <v>408</v>
      </c>
    </row>
    <row r="606" spans="1:3" x14ac:dyDescent="0.2">
      <c r="A606" s="149">
        <v>830</v>
      </c>
      <c r="B606" s="145" t="s">
        <v>357</v>
      </c>
      <c r="C606" s="148" t="s">
        <v>407</v>
      </c>
    </row>
    <row r="607" spans="1:3" x14ac:dyDescent="0.2">
      <c r="A607" s="149">
        <v>831</v>
      </c>
      <c r="B607" s="145" t="s">
        <v>358</v>
      </c>
      <c r="C607" s="148" t="s">
        <v>408</v>
      </c>
    </row>
    <row r="608" spans="1:3" x14ac:dyDescent="0.2">
      <c r="A608" s="149">
        <v>832</v>
      </c>
      <c r="B608" s="145" t="s">
        <v>357</v>
      </c>
      <c r="C608" s="148" t="s">
        <v>407</v>
      </c>
    </row>
    <row r="609" spans="1:3" x14ac:dyDescent="0.2">
      <c r="A609" s="149">
        <v>833</v>
      </c>
      <c r="B609" s="145" t="s">
        <v>358</v>
      </c>
      <c r="C609" s="148" t="s">
        <v>408</v>
      </c>
    </row>
    <row r="610" spans="1:3" x14ac:dyDescent="0.2">
      <c r="A610" s="149">
        <v>834</v>
      </c>
      <c r="B610" s="145" t="s">
        <v>357</v>
      </c>
      <c r="C610" s="148" t="s">
        <v>407</v>
      </c>
    </row>
    <row r="611" spans="1:3" x14ac:dyDescent="0.2">
      <c r="A611" s="149">
        <v>835</v>
      </c>
      <c r="B611" s="145" t="s">
        <v>358</v>
      </c>
      <c r="C611" s="148" t="s">
        <v>408</v>
      </c>
    </row>
    <row r="612" spans="1:3" x14ac:dyDescent="0.2">
      <c r="A612" s="149">
        <v>836</v>
      </c>
      <c r="B612" s="145" t="s">
        <v>357</v>
      </c>
      <c r="C612" s="148" t="s">
        <v>407</v>
      </c>
    </row>
    <row r="613" spans="1:3" x14ac:dyDescent="0.2">
      <c r="A613" s="149">
        <v>837</v>
      </c>
      <c r="B613" s="145" t="s">
        <v>358</v>
      </c>
      <c r="C613" s="148" t="s">
        <v>408</v>
      </c>
    </row>
    <row r="614" spans="1:3" x14ac:dyDescent="0.2">
      <c r="A614" s="149">
        <v>838</v>
      </c>
      <c r="B614" s="145" t="s">
        <v>357</v>
      </c>
      <c r="C614" s="148" t="s">
        <v>407</v>
      </c>
    </row>
    <row r="615" spans="1:3" x14ac:dyDescent="0.2">
      <c r="A615" s="149">
        <v>839</v>
      </c>
      <c r="B615" s="145" t="s">
        <v>358</v>
      </c>
      <c r="C615" s="148" t="s">
        <v>408</v>
      </c>
    </row>
    <row r="616" spans="1:3" x14ac:dyDescent="0.2">
      <c r="A616" s="149">
        <v>840</v>
      </c>
      <c r="B616" s="145" t="s">
        <v>357</v>
      </c>
      <c r="C616" s="148" t="s">
        <v>407</v>
      </c>
    </row>
    <row r="617" spans="1:3" x14ac:dyDescent="0.2">
      <c r="A617" s="149">
        <v>841</v>
      </c>
      <c r="B617" s="145" t="s">
        <v>358</v>
      </c>
      <c r="C617" s="148" t="s">
        <v>408</v>
      </c>
    </row>
    <row r="618" spans="1:3" x14ac:dyDescent="0.2">
      <c r="A618" s="149">
        <v>842</v>
      </c>
      <c r="B618" s="145" t="s">
        <v>357</v>
      </c>
      <c r="C618" s="148" t="s">
        <v>407</v>
      </c>
    </row>
    <row r="619" spans="1:3" x14ac:dyDescent="0.2">
      <c r="A619" s="149">
        <v>843</v>
      </c>
      <c r="B619" s="145" t="s">
        <v>358</v>
      </c>
      <c r="C619" s="148" t="s">
        <v>408</v>
      </c>
    </row>
    <row r="620" spans="1:3" x14ac:dyDescent="0.2">
      <c r="A620" s="149">
        <v>844</v>
      </c>
      <c r="B620" s="145" t="s">
        <v>357</v>
      </c>
      <c r="C620" s="148" t="s">
        <v>407</v>
      </c>
    </row>
    <row r="621" spans="1:3" x14ac:dyDescent="0.2">
      <c r="A621" s="149">
        <v>845</v>
      </c>
      <c r="B621" s="145" t="s">
        <v>358</v>
      </c>
      <c r="C621" s="148" t="s">
        <v>408</v>
      </c>
    </row>
    <row r="622" spans="1:3" x14ac:dyDescent="0.2">
      <c r="A622" s="149">
        <v>846</v>
      </c>
      <c r="B622" s="145" t="s">
        <v>357</v>
      </c>
      <c r="C622" s="148" t="s">
        <v>407</v>
      </c>
    </row>
    <row r="623" spans="1:3" x14ac:dyDescent="0.2">
      <c r="A623" s="149">
        <v>847</v>
      </c>
      <c r="B623" s="145" t="s">
        <v>358</v>
      </c>
      <c r="C623" s="148" t="s">
        <v>408</v>
      </c>
    </row>
    <row r="624" spans="1:3" x14ac:dyDescent="0.2">
      <c r="A624" s="149">
        <v>848</v>
      </c>
      <c r="B624" s="145" t="s">
        <v>357</v>
      </c>
      <c r="C624" s="148" t="s">
        <v>407</v>
      </c>
    </row>
    <row r="625" spans="1:3" x14ac:dyDescent="0.2">
      <c r="A625" s="149">
        <v>849</v>
      </c>
      <c r="B625" s="145" t="s">
        <v>358</v>
      </c>
      <c r="C625" s="148" t="s">
        <v>408</v>
      </c>
    </row>
    <row r="626" spans="1:3" x14ac:dyDescent="0.2">
      <c r="A626" s="149">
        <v>850</v>
      </c>
      <c r="B626" s="145" t="s">
        <v>358</v>
      </c>
      <c r="C626" s="148" t="s">
        <v>408</v>
      </c>
    </row>
    <row r="627" spans="1:3" x14ac:dyDescent="0.2">
      <c r="A627" s="149">
        <v>851</v>
      </c>
      <c r="B627" s="145" t="s">
        <v>358</v>
      </c>
      <c r="C627" s="148" t="s">
        <v>408</v>
      </c>
    </row>
    <row r="628" spans="1:3" x14ac:dyDescent="0.2">
      <c r="A628" s="149">
        <v>852</v>
      </c>
      <c r="B628" s="145" t="s">
        <v>357</v>
      </c>
      <c r="C628" s="148" t="s">
        <v>407</v>
      </c>
    </row>
    <row r="629" spans="1:3" x14ac:dyDescent="0.2">
      <c r="A629" s="149">
        <v>853</v>
      </c>
      <c r="B629" s="145" t="s">
        <v>357</v>
      </c>
      <c r="C629" s="148" t="s">
        <v>407</v>
      </c>
    </row>
    <row r="630" spans="1:3" x14ac:dyDescent="0.2">
      <c r="A630" s="149">
        <v>854</v>
      </c>
      <c r="B630" s="145" t="s">
        <v>357</v>
      </c>
      <c r="C630" s="148" t="s">
        <v>407</v>
      </c>
    </row>
    <row r="631" spans="1:3" x14ac:dyDescent="0.2">
      <c r="A631" s="149">
        <v>855</v>
      </c>
      <c r="B631" s="145" t="s">
        <v>357</v>
      </c>
      <c r="C631" s="148" t="s">
        <v>407</v>
      </c>
    </row>
    <row r="632" spans="1:3" x14ac:dyDescent="0.2">
      <c r="A632" s="149">
        <v>856</v>
      </c>
      <c r="B632" s="145" t="s">
        <v>357</v>
      </c>
      <c r="C632" s="148" t="s">
        <v>407</v>
      </c>
    </row>
    <row r="633" spans="1:3" x14ac:dyDescent="0.2">
      <c r="A633" s="149">
        <v>857</v>
      </c>
      <c r="B633" s="145" t="s">
        <v>357</v>
      </c>
      <c r="C633" s="148" t="s">
        <v>407</v>
      </c>
    </row>
    <row r="634" spans="1:3" x14ac:dyDescent="0.2">
      <c r="A634" s="149">
        <v>858</v>
      </c>
      <c r="B634" s="145" t="s">
        <v>357</v>
      </c>
      <c r="C634" s="148" t="s">
        <v>407</v>
      </c>
    </row>
    <row r="635" spans="1:3" x14ac:dyDescent="0.2">
      <c r="A635" s="149">
        <v>859</v>
      </c>
      <c r="B635" s="145" t="s">
        <v>357</v>
      </c>
      <c r="C635" s="148" t="s">
        <v>407</v>
      </c>
    </row>
    <row r="636" spans="1:3" x14ac:dyDescent="0.2">
      <c r="A636" s="149">
        <v>860</v>
      </c>
      <c r="B636" s="145" t="s">
        <v>357</v>
      </c>
      <c r="C636" s="148" t="s">
        <v>407</v>
      </c>
    </row>
    <row r="637" spans="1:3" x14ac:dyDescent="0.2">
      <c r="A637" s="149">
        <v>861</v>
      </c>
      <c r="B637" s="145" t="s">
        <v>357</v>
      </c>
      <c r="C637" s="148" t="s">
        <v>407</v>
      </c>
    </row>
    <row r="638" spans="1:3" x14ac:dyDescent="0.2">
      <c r="A638" s="149">
        <v>862</v>
      </c>
      <c r="B638" s="145" t="s">
        <v>357</v>
      </c>
      <c r="C638" s="148" t="s">
        <v>407</v>
      </c>
    </row>
    <row r="639" spans="1:3" x14ac:dyDescent="0.2">
      <c r="A639" s="149">
        <v>863</v>
      </c>
      <c r="B639" s="145" t="s">
        <v>357</v>
      </c>
      <c r="C639" s="148" t="s">
        <v>407</v>
      </c>
    </row>
    <row r="640" spans="1:3" x14ac:dyDescent="0.2">
      <c r="A640" s="149">
        <v>864</v>
      </c>
      <c r="B640" s="145" t="s">
        <v>357</v>
      </c>
      <c r="C640" s="148" t="s">
        <v>407</v>
      </c>
    </row>
    <row r="641" spans="1:3" x14ac:dyDescent="0.2">
      <c r="A641" s="149">
        <v>865</v>
      </c>
      <c r="B641" s="145" t="s">
        <v>357</v>
      </c>
      <c r="C641" s="148" t="s">
        <v>407</v>
      </c>
    </row>
    <row r="642" spans="1:3" x14ac:dyDescent="0.2">
      <c r="A642" s="149">
        <v>866</v>
      </c>
      <c r="B642" s="145" t="s">
        <v>358</v>
      </c>
      <c r="C642" s="148" t="s">
        <v>408</v>
      </c>
    </row>
    <row r="643" spans="1:3" x14ac:dyDescent="0.2">
      <c r="A643" s="149">
        <v>867</v>
      </c>
      <c r="B643" s="145" t="s">
        <v>357</v>
      </c>
      <c r="C643" s="148" t="s">
        <v>407</v>
      </c>
    </row>
    <row r="644" spans="1:3" x14ac:dyDescent="0.2">
      <c r="A644" s="149">
        <v>868</v>
      </c>
      <c r="B644" s="145" t="s">
        <v>358</v>
      </c>
      <c r="C644" s="148" t="s">
        <v>408</v>
      </c>
    </row>
    <row r="645" spans="1:3" x14ac:dyDescent="0.2">
      <c r="A645" s="149">
        <v>869</v>
      </c>
      <c r="B645" s="145" t="s">
        <v>357</v>
      </c>
      <c r="C645" s="148" t="s">
        <v>407</v>
      </c>
    </row>
    <row r="646" spans="1:3" x14ac:dyDescent="0.2">
      <c r="A646" s="149">
        <v>870</v>
      </c>
      <c r="B646" s="145" t="s">
        <v>358</v>
      </c>
      <c r="C646" s="148" t="s">
        <v>408</v>
      </c>
    </row>
    <row r="647" spans="1:3" x14ac:dyDescent="0.2">
      <c r="A647" s="149">
        <v>871</v>
      </c>
      <c r="B647" s="145" t="s">
        <v>357</v>
      </c>
      <c r="C647" s="148" t="s">
        <v>407</v>
      </c>
    </row>
    <row r="648" spans="1:3" x14ac:dyDescent="0.2">
      <c r="A648" s="149">
        <v>872</v>
      </c>
      <c r="B648" s="145" t="s">
        <v>358</v>
      </c>
      <c r="C648" s="148" t="s">
        <v>408</v>
      </c>
    </row>
    <row r="649" spans="1:3" x14ac:dyDescent="0.2">
      <c r="A649" s="149">
        <v>873</v>
      </c>
      <c r="B649" s="145" t="s">
        <v>357</v>
      </c>
      <c r="C649" s="148" t="s">
        <v>407</v>
      </c>
    </row>
    <row r="650" spans="1:3" x14ac:dyDescent="0.2">
      <c r="A650" s="149">
        <v>874</v>
      </c>
      <c r="B650" s="145" t="s">
        <v>358</v>
      </c>
      <c r="C650" s="148" t="s">
        <v>408</v>
      </c>
    </row>
    <row r="651" spans="1:3" x14ac:dyDescent="0.2">
      <c r="A651" s="149">
        <v>875</v>
      </c>
      <c r="B651" s="145" t="s">
        <v>357</v>
      </c>
      <c r="C651" s="148" t="s">
        <v>407</v>
      </c>
    </row>
    <row r="652" spans="1:3" x14ac:dyDescent="0.2">
      <c r="A652" s="149">
        <v>876</v>
      </c>
      <c r="B652" s="145" t="s">
        <v>358</v>
      </c>
      <c r="C652" s="148" t="s">
        <v>408</v>
      </c>
    </row>
    <row r="653" spans="1:3" x14ac:dyDescent="0.2">
      <c r="A653" s="149">
        <v>877</v>
      </c>
      <c r="B653" s="145" t="s">
        <v>357</v>
      </c>
      <c r="C653" s="148" t="s">
        <v>407</v>
      </c>
    </row>
    <row r="654" spans="1:3" x14ac:dyDescent="0.2">
      <c r="A654" s="149">
        <v>878</v>
      </c>
      <c r="B654" s="145" t="s">
        <v>358</v>
      </c>
      <c r="C654" s="148" t="s">
        <v>408</v>
      </c>
    </row>
    <row r="655" spans="1:3" x14ac:dyDescent="0.2">
      <c r="A655" s="149">
        <v>879</v>
      </c>
      <c r="B655" s="145" t="s">
        <v>357</v>
      </c>
      <c r="C655" s="148" t="s">
        <v>407</v>
      </c>
    </row>
    <row r="656" spans="1:3" x14ac:dyDescent="0.2">
      <c r="A656" s="149">
        <v>880</v>
      </c>
      <c r="B656" s="145" t="s">
        <v>358</v>
      </c>
      <c r="C656" s="148" t="s">
        <v>408</v>
      </c>
    </row>
    <row r="657" spans="1:3" x14ac:dyDescent="0.2">
      <c r="A657" s="149">
        <v>881</v>
      </c>
      <c r="B657" s="145" t="s">
        <v>357</v>
      </c>
      <c r="C657" s="148" t="s">
        <v>407</v>
      </c>
    </row>
    <row r="658" spans="1:3" x14ac:dyDescent="0.2">
      <c r="A658" s="149">
        <v>882</v>
      </c>
      <c r="B658" s="145" t="s">
        <v>358</v>
      </c>
      <c r="C658" s="148" t="s">
        <v>408</v>
      </c>
    </row>
    <row r="659" spans="1:3" x14ac:dyDescent="0.2">
      <c r="A659" s="149">
        <v>883</v>
      </c>
      <c r="B659" s="145" t="s">
        <v>357</v>
      </c>
      <c r="C659" s="148" t="s">
        <v>407</v>
      </c>
    </row>
    <row r="660" spans="1:3" x14ac:dyDescent="0.2">
      <c r="A660" s="149">
        <v>884</v>
      </c>
      <c r="B660" s="145" t="s">
        <v>358</v>
      </c>
      <c r="C660" s="148" t="s">
        <v>408</v>
      </c>
    </row>
    <row r="661" spans="1:3" x14ac:dyDescent="0.2">
      <c r="A661" s="149">
        <v>885</v>
      </c>
      <c r="B661" s="145" t="s">
        <v>357</v>
      </c>
      <c r="C661" s="148" t="s">
        <v>407</v>
      </c>
    </row>
    <row r="662" spans="1:3" x14ac:dyDescent="0.2">
      <c r="A662" s="149">
        <v>886</v>
      </c>
      <c r="B662" s="145" t="s">
        <v>358</v>
      </c>
      <c r="C662" s="148" t="s">
        <v>408</v>
      </c>
    </row>
    <row r="663" spans="1:3" x14ac:dyDescent="0.2">
      <c r="A663" s="149">
        <v>887</v>
      </c>
      <c r="B663" s="145" t="s">
        <v>357</v>
      </c>
      <c r="C663" s="148" t="s">
        <v>407</v>
      </c>
    </row>
    <row r="664" spans="1:3" x14ac:dyDescent="0.2">
      <c r="A664" s="149">
        <v>888</v>
      </c>
      <c r="B664" s="145" t="s">
        <v>358</v>
      </c>
      <c r="C664" s="148" t="s">
        <v>408</v>
      </c>
    </row>
    <row r="665" spans="1:3" x14ac:dyDescent="0.2">
      <c r="A665" s="149">
        <v>889</v>
      </c>
      <c r="B665" s="145" t="s">
        <v>357</v>
      </c>
      <c r="C665" s="148" t="s">
        <v>407</v>
      </c>
    </row>
    <row r="666" spans="1:3" x14ac:dyDescent="0.2">
      <c r="A666" s="149">
        <v>890</v>
      </c>
      <c r="B666" s="145" t="s">
        <v>358</v>
      </c>
      <c r="C666" s="148" t="s">
        <v>408</v>
      </c>
    </row>
    <row r="667" spans="1:3" x14ac:dyDescent="0.2">
      <c r="A667" s="149">
        <v>891</v>
      </c>
      <c r="B667" s="145" t="s">
        <v>358</v>
      </c>
      <c r="C667" s="148" t="s">
        <v>408</v>
      </c>
    </row>
    <row r="668" spans="1:3" x14ac:dyDescent="0.2">
      <c r="A668" s="149">
        <v>892</v>
      </c>
      <c r="B668" s="145" t="s">
        <v>358</v>
      </c>
      <c r="C668" s="148" t="s">
        <v>408</v>
      </c>
    </row>
    <row r="669" spans="1:3" x14ac:dyDescent="0.2">
      <c r="A669" s="149">
        <v>893</v>
      </c>
      <c r="B669" s="145" t="s">
        <v>358</v>
      </c>
      <c r="C669" s="148" t="s">
        <v>408</v>
      </c>
    </row>
    <row r="670" spans="1:3" x14ac:dyDescent="0.2">
      <c r="A670" s="149">
        <v>894</v>
      </c>
      <c r="B670" s="145" t="s">
        <v>316</v>
      </c>
      <c r="C670" s="148" t="s">
        <v>408</v>
      </c>
    </row>
    <row r="671" spans="1:3" x14ac:dyDescent="0.2">
      <c r="A671" s="149">
        <v>895</v>
      </c>
      <c r="B671" s="145" t="s">
        <v>316</v>
      </c>
      <c r="C671" s="148" t="s">
        <v>408</v>
      </c>
    </row>
    <row r="672" spans="1:3" x14ac:dyDescent="0.2">
      <c r="A672" s="149">
        <v>896</v>
      </c>
      <c r="B672" s="145" t="s">
        <v>316</v>
      </c>
      <c r="C672" s="148" t="s">
        <v>408</v>
      </c>
    </row>
    <row r="673" spans="1:3" x14ac:dyDescent="0.2">
      <c r="A673" s="149">
        <v>897</v>
      </c>
      <c r="B673" s="145" t="s">
        <v>358</v>
      </c>
      <c r="C673" s="148" t="s">
        <v>408</v>
      </c>
    </row>
    <row r="674" spans="1:3" x14ac:dyDescent="0.2">
      <c r="A674" s="149">
        <v>898</v>
      </c>
      <c r="B674" s="145" t="s">
        <v>358</v>
      </c>
      <c r="C674" s="148" t="s">
        <v>408</v>
      </c>
    </row>
    <row r="675" spans="1:3" x14ac:dyDescent="0.2">
      <c r="A675" s="149">
        <v>899</v>
      </c>
      <c r="B675" s="145" t="s">
        <v>359</v>
      </c>
      <c r="C675" s="148" t="s">
        <v>408</v>
      </c>
    </row>
    <row r="676" spans="1:3" x14ac:dyDescent="0.2">
      <c r="A676" s="149">
        <v>900</v>
      </c>
      <c r="B676" s="145" t="s">
        <v>359</v>
      </c>
      <c r="C676" s="148" t="s">
        <v>408</v>
      </c>
    </row>
    <row r="677" spans="1:3" x14ac:dyDescent="0.2">
      <c r="A677" s="149">
        <v>901</v>
      </c>
      <c r="B677" s="145" t="s">
        <v>359</v>
      </c>
      <c r="C677" s="148" t="s">
        <v>408</v>
      </c>
    </row>
    <row r="678" spans="1:3" x14ac:dyDescent="0.2">
      <c r="A678" s="149">
        <v>902</v>
      </c>
      <c r="B678" s="145" t="s">
        <v>359</v>
      </c>
      <c r="C678" s="148" t="s">
        <v>408</v>
      </c>
    </row>
    <row r="679" spans="1:3" x14ac:dyDescent="0.2">
      <c r="A679" s="149">
        <v>903</v>
      </c>
      <c r="B679" s="145" t="s">
        <v>359</v>
      </c>
      <c r="C679" s="148" t="s">
        <v>408</v>
      </c>
    </row>
    <row r="680" spans="1:3" x14ac:dyDescent="0.2">
      <c r="A680" s="149">
        <v>904</v>
      </c>
      <c r="B680" s="145" t="s">
        <v>360</v>
      </c>
      <c r="C680" s="148" t="s">
        <v>408</v>
      </c>
    </row>
    <row r="681" spans="1:3" x14ac:dyDescent="0.2">
      <c r="A681" s="149">
        <v>905</v>
      </c>
      <c r="B681" s="145" t="s">
        <v>360</v>
      </c>
      <c r="C681" s="148" t="s">
        <v>408</v>
      </c>
    </row>
    <row r="682" spans="1:3" x14ac:dyDescent="0.2">
      <c r="A682" s="149">
        <v>906</v>
      </c>
      <c r="B682" s="145" t="s">
        <v>360</v>
      </c>
      <c r="C682" s="148" t="s">
        <v>408</v>
      </c>
    </row>
    <row r="683" spans="1:3" x14ac:dyDescent="0.2">
      <c r="A683" s="149">
        <v>907</v>
      </c>
      <c r="B683" s="145" t="s">
        <v>361</v>
      </c>
      <c r="C683" s="148" t="s">
        <v>408</v>
      </c>
    </row>
    <row r="684" spans="1:3" x14ac:dyDescent="0.2">
      <c r="A684" s="149">
        <v>908</v>
      </c>
      <c r="B684" s="145" t="s">
        <v>361</v>
      </c>
      <c r="C684" s="148" t="s">
        <v>408</v>
      </c>
    </row>
    <row r="685" spans="1:3" x14ac:dyDescent="0.2">
      <c r="A685" s="149">
        <v>909</v>
      </c>
      <c r="B685" s="145" t="s">
        <v>361</v>
      </c>
      <c r="C685" s="148" t="s">
        <v>408</v>
      </c>
    </row>
    <row r="686" spans="1:3" x14ac:dyDescent="0.2">
      <c r="A686" s="149">
        <v>910</v>
      </c>
      <c r="B686" s="145" t="s">
        <v>361</v>
      </c>
      <c r="C686" s="148" t="s">
        <v>408</v>
      </c>
    </row>
    <row r="687" spans="1:3" x14ac:dyDescent="0.2">
      <c r="A687" s="149">
        <v>911</v>
      </c>
      <c r="B687" s="145" t="s">
        <v>361</v>
      </c>
      <c r="C687" s="148" t="s">
        <v>408</v>
      </c>
    </row>
    <row r="688" spans="1:3" x14ac:dyDescent="0.2">
      <c r="A688" s="149">
        <v>912</v>
      </c>
      <c r="B688" s="145" t="s">
        <v>361</v>
      </c>
      <c r="C688" s="148" t="s">
        <v>408</v>
      </c>
    </row>
    <row r="689" spans="1:3" x14ac:dyDescent="0.2">
      <c r="A689" s="149">
        <v>913</v>
      </c>
      <c r="B689" s="145" t="s">
        <v>361</v>
      </c>
      <c r="C689" s="148" t="s">
        <v>408</v>
      </c>
    </row>
    <row r="690" spans="1:3" x14ac:dyDescent="0.2">
      <c r="A690" s="149">
        <v>914</v>
      </c>
      <c r="B690" s="145" t="s">
        <v>362</v>
      </c>
      <c r="C690" s="148" t="s">
        <v>407</v>
      </c>
    </row>
    <row r="691" spans="1:3" x14ac:dyDescent="0.2">
      <c r="A691" s="149">
        <v>915</v>
      </c>
      <c r="B691" s="145" t="s">
        <v>316</v>
      </c>
      <c r="C691" s="148" t="s">
        <v>407</v>
      </c>
    </row>
    <row r="692" spans="1:3" x14ac:dyDescent="0.2">
      <c r="A692" s="149">
        <v>916</v>
      </c>
      <c r="B692" s="145" t="s">
        <v>316</v>
      </c>
      <c r="C692" s="148" t="s">
        <v>407</v>
      </c>
    </row>
    <row r="693" spans="1:3" x14ac:dyDescent="0.2">
      <c r="A693" s="149">
        <v>917</v>
      </c>
      <c r="B693" s="145" t="s">
        <v>316</v>
      </c>
      <c r="C693" s="148" t="s">
        <v>407</v>
      </c>
    </row>
    <row r="694" spans="1:3" x14ac:dyDescent="0.2">
      <c r="A694" s="149">
        <v>918</v>
      </c>
      <c r="B694" s="145" t="s">
        <v>252</v>
      </c>
      <c r="C694" s="148" t="s">
        <v>407</v>
      </c>
    </row>
    <row r="695" spans="1:3" x14ac:dyDescent="0.2">
      <c r="A695" s="149">
        <v>919</v>
      </c>
      <c r="B695" s="145" t="s">
        <v>363</v>
      </c>
      <c r="C695" s="148" t="s">
        <v>407</v>
      </c>
    </row>
    <row r="696" spans="1:3" x14ac:dyDescent="0.2">
      <c r="A696" s="149">
        <v>920</v>
      </c>
      <c r="B696" s="145" t="s">
        <v>363</v>
      </c>
      <c r="C696" s="148" t="s">
        <v>407</v>
      </c>
    </row>
    <row r="697" spans="1:3" x14ac:dyDescent="0.2">
      <c r="A697" s="149">
        <v>922</v>
      </c>
      <c r="B697" s="145" t="s">
        <v>275</v>
      </c>
      <c r="C697" s="148" t="s">
        <v>407</v>
      </c>
    </row>
    <row r="698" spans="1:3" x14ac:dyDescent="0.2">
      <c r="A698" s="149">
        <v>923</v>
      </c>
      <c r="B698" s="145" t="s">
        <v>275</v>
      </c>
      <c r="C698" s="148" t="s">
        <v>407</v>
      </c>
    </row>
    <row r="699" spans="1:3" x14ac:dyDescent="0.2">
      <c r="A699" s="149">
        <v>924</v>
      </c>
      <c r="B699" s="145" t="s">
        <v>275</v>
      </c>
      <c r="C699" s="148" t="s">
        <v>407</v>
      </c>
    </row>
    <row r="700" spans="1:3" x14ac:dyDescent="0.2">
      <c r="A700" s="149">
        <v>925</v>
      </c>
      <c r="B700" s="145" t="s">
        <v>364</v>
      </c>
      <c r="C700" s="148" t="s">
        <v>403</v>
      </c>
    </row>
    <row r="701" spans="1:3" x14ac:dyDescent="0.2">
      <c r="A701" s="149">
        <v>926</v>
      </c>
      <c r="B701" s="145" t="s">
        <v>305</v>
      </c>
      <c r="C701" s="148" t="s">
        <v>403</v>
      </c>
    </row>
    <row r="702" spans="1:3" x14ac:dyDescent="0.2">
      <c r="A702" s="149">
        <v>927</v>
      </c>
      <c r="B702" s="145" t="s">
        <v>307</v>
      </c>
      <c r="C702" s="148" t="s">
        <v>403</v>
      </c>
    </row>
    <row r="703" spans="1:3" x14ac:dyDescent="0.2">
      <c r="A703" s="149">
        <v>928</v>
      </c>
      <c r="B703" s="145" t="s">
        <v>306</v>
      </c>
      <c r="C703" s="148" t="s">
        <v>403</v>
      </c>
    </row>
    <row r="704" spans="1:3" x14ac:dyDescent="0.2">
      <c r="A704" s="149">
        <v>929</v>
      </c>
      <c r="B704" s="145" t="s">
        <v>359</v>
      </c>
      <c r="C704" s="148" t="s">
        <v>408</v>
      </c>
    </row>
    <row r="705" spans="1:3" x14ac:dyDescent="0.2">
      <c r="A705" s="149">
        <v>930</v>
      </c>
      <c r="B705" s="145" t="s">
        <v>359</v>
      </c>
      <c r="C705" s="148" t="s">
        <v>408</v>
      </c>
    </row>
    <row r="706" spans="1:3" x14ac:dyDescent="0.2">
      <c r="A706" s="149">
        <v>931</v>
      </c>
      <c r="B706" s="145" t="s">
        <v>359</v>
      </c>
      <c r="C706" s="148" t="s">
        <v>408</v>
      </c>
    </row>
    <row r="707" spans="1:3" x14ac:dyDescent="0.2">
      <c r="A707" s="149">
        <v>932</v>
      </c>
      <c r="B707" s="145" t="s">
        <v>365</v>
      </c>
      <c r="C707" s="148" t="s">
        <v>407</v>
      </c>
    </row>
    <row r="708" spans="1:3" x14ac:dyDescent="0.2">
      <c r="A708" s="149">
        <v>933</v>
      </c>
      <c r="B708" s="145" t="s">
        <v>357</v>
      </c>
      <c r="C708" s="148" t="s">
        <v>407</v>
      </c>
    </row>
    <row r="709" spans="1:3" x14ac:dyDescent="0.2">
      <c r="A709" s="149">
        <v>934</v>
      </c>
      <c r="B709" s="145" t="s">
        <v>358</v>
      </c>
      <c r="C709" s="148" t="s">
        <v>408</v>
      </c>
    </row>
    <row r="710" spans="1:3" x14ac:dyDescent="0.2">
      <c r="A710" s="149">
        <v>935</v>
      </c>
      <c r="B710" s="145" t="s">
        <v>366</v>
      </c>
      <c r="C710" s="148" t="s">
        <v>407</v>
      </c>
    </row>
    <row r="711" spans="1:3" x14ac:dyDescent="0.2">
      <c r="A711" s="149">
        <v>936</v>
      </c>
      <c r="B711" s="145" t="s">
        <v>366</v>
      </c>
      <c r="C711" s="148" t="s">
        <v>407</v>
      </c>
    </row>
    <row r="712" spans="1:3" x14ac:dyDescent="0.2">
      <c r="A712" s="149">
        <v>937</v>
      </c>
      <c r="B712" s="145" t="s">
        <v>366</v>
      </c>
      <c r="C712" s="148" t="s">
        <v>407</v>
      </c>
    </row>
    <row r="713" spans="1:3" x14ac:dyDescent="0.2">
      <c r="A713" s="149">
        <v>938</v>
      </c>
      <c r="B713" s="145" t="s">
        <v>366</v>
      </c>
      <c r="C713" s="148" t="s">
        <v>407</v>
      </c>
    </row>
    <row r="714" spans="1:3" x14ac:dyDescent="0.2">
      <c r="A714" s="149">
        <v>939</v>
      </c>
      <c r="B714" s="145" t="s">
        <v>366</v>
      </c>
      <c r="C714" s="148" t="s">
        <v>407</v>
      </c>
    </row>
    <row r="715" spans="1:3" x14ac:dyDescent="0.2">
      <c r="A715" s="149">
        <v>940</v>
      </c>
      <c r="B715" s="145" t="s">
        <v>367</v>
      </c>
      <c r="C715" s="148" t="s">
        <v>404</v>
      </c>
    </row>
    <row r="716" spans="1:3" x14ac:dyDescent="0.2">
      <c r="A716" s="149">
        <v>941</v>
      </c>
      <c r="B716" s="145" t="s">
        <v>368</v>
      </c>
      <c r="C716" s="148" t="s">
        <v>404</v>
      </c>
    </row>
    <row r="717" spans="1:3" x14ac:dyDescent="0.2">
      <c r="A717" s="149">
        <v>942</v>
      </c>
      <c r="B717" s="145" t="s">
        <v>221</v>
      </c>
      <c r="C717" s="148" t="s">
        <v>407</v>
      </c>
    </row>
    <row r="718" spans="1:3" x14ac:dyDescent="0.2">
      <c r="A718" s="149">
        <v>943</v>
      </c>
      <c r="B718" s="145" t="s">
        <v>212</v>
      </c>
      <c r="C718" s="148" t="s">
        <v>407</v>
      </c>
    </row>
    <row r="719" spans="1:3" x14ac:dyDescent="0.2">
      <c r="A719" s="149">
        <v>944</v>
      </c>
      <c r="B719" s="145" t="s">
        <v>212</v>
      </c>
      <c r="C719" s="148" t="s">
        <v>407</v>
      </c>
    </row>
    <row r="720" spans="1:3" x14ac:dyDescent="0.2">
      <c r="A720" s="149">
        <v>945</v>
      </c>
      <c r="B720" s="145" t="s">
        <v>212</v>
      </c>
      <c r="C720" s="148" t="s">
        <v>407</v>
      </c>
    </row>
    <row r="721" spans="1:3" x14ac:dyDescent="0.2">
      <c r="A721" s="149">
        <v>946</v>
      </c>
      <c r="B721" s="145" t="s">
        <v>212</v>
      </c>
      <c r="C721" s="148" t="s">
        <v>407</v>
      </c>
    </row>
    <row r="722" spans="1:3" x14ac:dyDescent="0.2">
      <c r="A722" s="149">
        <v>947</v>
      </c>
      <c r="B722" s="145" t="s">
        <v>369</v>
      </c>
      <c r="C722" s="148" t="s">
        <v>407</v>
      </c>
    </row>
    <row r="723" spans="1:3" x14ac:dyDescent="0.2">
      <c r="A723" s="149">
        <v>948</v>
      </c>
      <c r="B723" s="145" t="s">
        <v>370</v>
      </c>
      <c r="C723" s="148" t="s">
        <v>407</v>
      </c>
    </row>
    <row r="724" spans="1:3" x14ac:dyDescent="0.2">
      <c r="A724" s="149">
        <v>949</v>
      </c>
      <c r="B724" s="145" t="s">
        <v>371</v>
      </c>
      <c r="C724" s="148" t="s">
        <v>407</v>
      </c>
    </row>
    <row r="725" spans="1:3" x14ac:dyDescent="0.2">
      <c r="A725" s="149">
        <v>950</v>
      </c>
      <c r="B725" s="145" t="s">
        <v>372</v>
      </c>
      <c r="C725" s="148" t="s">
        <v>408</v>
      </c>
    </row>
    <row r="726" spans="1:3" x14ac:dyDescent="0.2">
      <c r="A726" s="149">
        <v>951</v>
      </c>
      <c r="B726" s="145" t="s">
        <v>373</v>
      </c>
      <c r="C726" s="148" t="s">
        <v>408</v>
      </c>
    </row>
    <row r="727" spans="1:3" x14ac:dyDescent="0.2">
      <c r="A727" s="149">
        <v>952</v>
      </c>
      <c r="B727" s="145" t="s">
        <v>374</v>
      </c>
      <c r="C727" s="148" t="s">
        <v>407</v>
      </c>
    </row>
    <row r="728" spans="1:3" x14ac:dyDescent="0.2">
      <c r="A728" s="149">
        <v>953</v>
      </c>
      <c r="B728" s="145" t="s">
        <v>375</v>
      </c>
      <c r="C728" s="148" t="s">
        <v>407</v>
      </c>
    </row>
    <row r="729" spans="1:3" x14ac:dyDescent="0.2">
      <c r="A729" s="149">
        <v>954</v>
      </c>
      <c r="B729" s="145" t="s">
        <v>376</v>
      </c>
      <c r="C729" s="148" t="s">
        <v>407</v>
      </c>
    </row>
    <row r="730" spans="1:3" x14ac:dyDescent="0.2">
      <c r="A730" s="149">
        <v>955</v>
      </c>
      <c r="B730" s="145" t="s">
        <v>377</v>
      </c>
      <c r="C730" s="148" t="s">
        <v>407</v>
      </c>
    </row>
    <row r="731" spans="1:3" x14ac:dyDescent="0.2">
      <c r="A731" s="149">
        <v>956</v>
      </c>
      <c r="B731" s="145" t="s">
        <v>378</v>
      </c>
      <c r="C731" s="148" t="s">
        <v>407</v>
      </c>
    </row>
    <row r="732" spans="1:3" x14ac:dyDescent="0.2">
      <c r="A732" s="149">
        <v>957</v>
      </c>
      <c r="B732" s="145" t="s">
        <v>379</v>
      </c>
      <c r="C732" s="148" t="s">
        <v>407</v>
      </c>
    </row>
    <row r="733" spans="1:3" x14ac:dyDescent="0.2">
      <c r="A733" s="149">
        <v>958</v>
      </c>
      <c r="B733" s="145" t="s">
        <v>380</v>
      </c>
      <c r="C733" s="148" t="s">
        <v>407</v>
      </c>
    </row>
    <row r="734" spans="1:3" x14ac:dyDescent="0.2">
      <c r="A734" s="149">
        <v>959</v>
      </c>
      <c r="B734" s="145" t="s">
        <v>381</v>
      </c>
      <c r="C734" s="148" t="s">
        <v>407</v>
      </c>
    </row>
    <row r="735" spans="1:3" x14ac:dyDescent="0.2">
      <c r="A735" s="149">
        <v>960</v>
      </c>
      <c r="B735" s="145" t="s">
        <v>382</v>
      </c>
      <c r="C735" s="148" t="s">
        <v>407</v>
      </c>
    </row>
    <row r="736" spans="1:3" x14ac:dyDescent="0.2">
      <c r="A736" s="149">
        <v>961</v>
      </c>
      <c r="B736" s="145" t="s">
        <v>383</v>
      </c>
      <c r="C736" s="148" t="s">
        <v>407</v>
      </c>
    </row>
    <row r="737" spans="1:3" x14ac:dyDescent="0.2">
      <c r="A737" s="149">
        <v>962</v>
      </c>
      <c r="B737" s="145" t="s">
        <v>384</v>
      </c>
      <c r="C737" s="148" t="s">
        <v>407</v>
      </c>
    </row>
    <row r="738" spans="1:3" x14ac:dyDescent="0.2">
      <c r="A738" s="149">
        <v>963</v>
      </c>
      <c r="B738" s="145" t="s">
        <v>385</v>
      </c>
      <c r="C738" s="148" t="s">
        <v>407</v>
      </c>
    </row>
    <row r="739" spans="1:3" x14ac:dyDescent="0.2">
      <c r="A739" s="149">
        <v>964</v>
      </c>
      <c r="B739" s="145" t="s">
        <v>386</v>
      </c>
      <c r="C739" s="148" t="s">
        <v>407</v>
      </c>
    </row>
    <row r="740" spans="1:3" x14ac:dyDescent="0.2">
      <c r="A740" s="149">
        <v>965</v>
      </c>
      <c r="B740" s="145" t="s">
        <v>387</v>
      </c>
      <c r="C740" s="148" t="s">
        <v>407</v>
      </c>
    </row>
    <row r="741" spans="1:3" x14ac:dyDescent="0.2">
      <c r="A741" s="149">
        <v>966</v>
      </c>
      <c r="B741" s="145" t="s">
        <v>232</v>
      </c>
      <c r="C741" s="148" t="s">
        <v>408</v>
      </c>
    </row>
    <row r="742" spans="1:3" x14ac:dyDescent="0.2">
      <c r="A742" s="149">
        <v>967</v>
      </c>
      <c r="B742" s="145" t="s">
        <v>244</v>
      </c>
      <c r="C742" s="148" t="s">
        <v>407</v>
      </c>
    </row>
    <row r="743" spans="1:3" x14ac:dyDescent="0.2">
      <c r="A743" s="149">
        <v>968</v>
      </c>
      <c r="B743" s="145" t="s">
        <v>244</v>
      </c>
      <c r="C743" s="148" t="s">
        <v>407</v>
      </c>
    </row>
    <row r="744" spans="1:3" x14ac:dyDescent="0.2">
      <c r="A744" s="149">
        <v>969</v>
      </c>
      <c r="B744" s="145" t="s">
        <v>387</v>
      </c>
      <c r="C744" s="148" t="s">
        <v>407</v>
      </c>
    </row>
    <row r="745" spans="1:3" x14ac:dyDescent="0.2">
      <c r="A745" s="149">
        <v>970</v>
      </c>
      <c r="B745" s="145" t="s">
        <v>200</v>
      </c>
      <c r="C745" s="148" t="s">
        <v>407</v>
      </c>
    </row>
    <row r="746" spans="1:3" x14ac:dyDescent="0.2">
      <c r="A746" s="149">
        <v>971</v>
      </c>
      <c r="B746" s="145" t="s">
        <v>388</v>
      </c>
      <c r="C746" s="148" t="s">
        <v>407</v>
      </c>
    </row>
    <row r="747" spans="1:3" x14ac:dyDescent="0.2">
      <c r="A747" s="149">
        <v>972</v>
      </c>
      <c r="B747" s="145" t="s">
        <v>389</v>
      </c>
      <c r="C747" s="148" t="s">
        <v>407</v>
      </c>
    </row>
    <row r="748" spans="1:3" x14ac:dyDescent="0.2">
      <c r="A748" s="149">
        <v>973</v>
      </c>
      <c r="B748" s="145" t="s">
        <v>242</v>
      </c>
      <c r="C748" s="148" t="s">
        <v>407</v>
      </c>
    </row>
    <row r="749" spans="1:3" x14ac:dyDescent="0.2">
      <c r="A749" s="149">
        <v>974</v>
      </c>
      <c r="B749" s="145" t="s">
        <v>268</v>
      </c>
      <c r="C749" s="148" t="s">
        <v>407</v>
      </c>
    </row>
    <row r="750" spans="1:3" x14ac:dyDescent="0.2">
      <c r="A750" s="149">
        <v>975</v>
      </c>
      <c r="B750" s="145" t="s">
        <v>390</v>
      </c>
      <c r="C750" s="148" t="s">
        <v>407</v>
      </c>
    </row>
    <row r="751" spans="1:3" x14ac:dyDescent="0.2">
      <c r="A751" s="149">
        <v>976</v>
      </c>
      <c r="B751" s="145" t="s">
        <v>391</v>
      </c>
      <c r="C751" s="148" t="s">
        <v>407</v>
      </c>
    </row>
    <row r="752" spans="1:3" x14ac:dyDescent="0.2">
      <c r="A752" s="149">
        <v>978</v>
      </c>
      <c r="B752" s="145" t="s">
        <v>226</v>
      </c>
      <c r="C752" s="148" t="s">
        <v>408</v>
      </c>
    </row>
    <row r="753" spans="1:3" x14ac:dyDescent="0.2">
      <c r="A753" s="149">
        <v>979</v>
      </c>
      <c r="B753" s="145" t="s">
        <v>265</v>
      </c>
      <c r="C753" s="148" t="s">
        <v>408</v>
      </c>
    </row>
    <row r="754" spans="1:3" x14ac:dyDescent="0.2">
      <c r="A754" s="149">
        <v>980</v>
      </c>
      <c r="B754" s="145" t="s">
        <v>392</v>
      </c>
      <c r="C754" s="148" t="s">
        <v>407</v>
      </c>
    </row>
    <row r="755" spans="1:3" x14ac:dyDescent="0.2">
      <c r="A755" s="149">
        <v>981</v>
      </c>
      <c r="B755" s="145" t="s">
        <v>393</v>
      </c>
      <c r="C755" s="148" t="s">
        <v>408</v>
      </c>
    </row>
    <row r="756" spans="1:3" x14ac:dyDescent="0.2">
      <c r="A756" s="149">
        <v>982</v>
      </c>
      <c r="B756" s="145" t="s">
        <v>394</v>
      </c>
      <c r="C756" s="148" t="s">
        <v>407</v>
      </c>
    </row>
    <row r="757" spans="1:3" x14ac:dyDescent="0.2">
      <c r="A757" s="149">
        <v>983</v>
      </c>
      <c r="B757" s="145" t="s">
        <v>395</v>
      </c>
      <c r="C757" s="148" t="s">
        <v>407</v>
      </c>
    </row>
    <row r="758" spans="1:3" x14ac:dyDescent="0.2">
      <c r="A758" s="149">
        <v>984</v>
      </c>
      <c r="B758" s="145" t="s">
        <v>396</v>
      </c>
      <c r="C758" s="148" t="s">
        <v>407</v>
      </c>
    </row>
    <row r="759" spans="1:3" x14ac:dyDescent="0.2">
      <c r="A759" s="149">
        <v>985</v>
      </c>
      <c r="B759" s="145" t="s">
        <v>397</v>
      </c>
      <c r="C759" s="148" t="s">
        <v>407</v>
      </c>
    </row>
    <row r="760" spans="1:3" x14ac:dyDescent="0.2">
      <c r="A760" s="149">
        <v>989</v>
      </c>
      <c r="B760" s="145" t="s">
        <v>281</v>
      </c>
      <c r="C760" s="148" t="s">
        <v>407</v>
      </c>
    </row>
    <row r="761" spans="1:3" x14ac:dyDescent="0.2">
      <c r="A761" s="149">
        <v>990</v>
      </c>
      <c r="B761" s="145" t="s">
        <v>282</v>
      </c>
      <c r="C761" s="148" t="s">
        <v>408</v>
      </c>
    </row>
    <row r="762" spans="1:3" x14ac:dyDescent="0.2">
      <c r="A762" s="149">
        <v>991</v>
      </c>
      <c r="B762" s="145" t="s">
        <v>232</v>
      </c>
      <c r="C762" s="148" t="s">
        <v>408</v>
      </c>
    </row>
    <row r="763" spans="1:3" x14ac:dyDescent="0.2">
      <c r="A763" s="149">
        <v>996</v>
      </c>
      <c r="B763" s="145" t="s">
        <v>311</v>
      </c>
      <c r="C763" s="148" t="s">
        <v>407</v>
      </c>
    </row>
    <row r="764" spans="1:3" x14ac:dyDescent="0.2">
      <c r="A764" s="149">
        <v>997</v>
      </c>
      <c r="B764" s="145" t="s">
        <v>398</v>
      </c>
      <c r="C764" s="148" t="s">
        <v>407</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42" t="s">
        <v>19</v>
      </c>
      <c r="B1" s="142"/>
    </row>
    <row r="2" spans="1:6" ht="36.75" customHeight="1" x14ac:dyDescent="0.2">
      <c r="A2" s="243" t="str">
        <f>Overview!B4&amp; " - Effective from "&amp;Overview!C4&amp;" - "&amp;Overview!E4&amp;" Residual Charging Bands"</f>
        <v>South Eastern Power Networks - Effective from 2024/25 - Final Residual Charging Bands</v>
      </c>
      <c r="B2" s="244"/>
      <c r="C2" s="244"/>
      <c r="D2" s="244"/>
      <c r="E2" s="244"/>
      <c r="F2" s="244"/>
    </row>
    <row r="4" spans="1:6" ht="38.25" x14ac:dyDescent="0.2">
      <c r="A4" s="163" t="s">
        <v>593</v>
      </c>
      <c r="B4" s="163" t="s">
        <v>589</v>
      </c>
      <c r="C4" s="163" t="s">
        <v>596</v>
      </c>
      <c r="D4" s="163" t="s">
        <v>600</v>
      </c>
      <c r="E4" s="163" t="s">
        <v>601</v>
      </c>
      <c r="F4" s="20" t="s">
        <v>639</v>
      </c>
    </row>
    <row r="5" spans="1:6" ht="14.25" x14ac:dyDescent="0.2">
      <c r="A5" s="164" t="s">
        <v>141</v>
      </c>
      <c r="B5" s="165" t="s">
        <v>591</v>
      </c>
      <c r="C5" s="165" t="s">
        <v>592</v>
      </c>
      <c r="D5" s="173" t="s">
        <v>592</v>
      </c>
      <c r="E5" s="173" t="s">
        <v>592</v>
      </c>
      <c r="F5" s="184">
        <v>52.174755291956892</v>
      </c>
    </row>
    <row r="6" spans="1:6" ht="14.25" customHeight="1" x14ac:dyDescent="0.2">
      <c r="A6" s="287" t="s">
        <v>603</v>
      </c>
      <c r="B6" s="165">
        <v>1</v>
      </c>
      <c r="C6" s="165" t="s">
        <v>597</v>
      </c>
      <c r="D6" s="173">
        <v>0</v>
      </c>
      <c r="E6" s="173">
        <v>3571</v>
      </c>
      <c r="F6" s="184">
        <v>20.734362984386333</v>
      </c>
    </row>
    <row r="7" spans="1:6" ht="14.25" x14ac:dyDescent="0.2">
      <c r="A7" s="288"/>
      <c r="B7" s="165">
        <v>2</v>
      </c>
      <c r="C7" s="165" t="s">
        <v>597</v>
      </c>
      <c r="D7" s="173">
        <v>3571</v>
      </c>
      <c r="E7" s="173">
        <v>12553</v>
      </c>
      <c r="F7" s="184">
        <v>113.38254726545659</v>
      </c>
    </row>
    <row r="8" spans="1:6" ht="14.25" x14ac:dyDescent="0.2">
      <c r="A8" s="288"/>
      <c r="B8" s="165">
        <v>3</v>
      </c>
      <c r="C8" s="165" t="s">
        <v>597</v>
      </c>
      <c r="D8" s="173">
        <v>12553</v>
      </c>
      <c r="E8" s="173">
        <v>25279</v>
      </c>
      <c r="F8" s="184">
        <v>263.23866775719114</v>
      </c>
    </row>
    <row r="9" spans="1:6" ht="14.25" x14ac:dyDescent="0.2">
      <c r="A9" s="289"/>
      <c r="B9" s="165">
        <v>4</v>
      </c>
      <c r="C9" s="165" t="s">
        <v>597</v>
      </c>
      <c r="D9" s="173">
        <v>25279</v>
      </c>
      <c r="E9" s="173" t="s">
        <v>599</v>
      </c>
      <c r="F9" s="184">
        <v>816.40921851175813</v>
      </c>
    </row>
    <row r="10" spans="1:6" ht="14.25" x14ac:dyDescent="0.2">
      <c r="A10" s="287" t="s">
        <v>606</v>
      </c>
      <c r="B10" s="165">
        <v>1</v>
      </c>
      <c r="C10" s="165" t="s">
        <v>598</v>
      </c>
      <c r="D10" s="173">
        <v>0</v>
      </c>
      <c r="E10" s="173">
        <v>80</v>
      </c>
      <c r="F10" s="184">
        <v>1536.023954890373</v>
      </c>
    </row>
    <row r="11" spans="1:6" ht="14.25" x14ac:dyDescent="0.2">
      <c r="A11" s="288"/>
      <c r="B11" s="165">
        <v>2</v>
      </c>
      <c r="C11" s="165" t="s">
        <v>598</v>
      </c>
      <c r="D11" s="173">
        <v>80</v>
      </c>
      <c r="E11" s="173">
        <v>150</v>
      </c>
      <c r="F11" s="184">
        <v>2588.144874935997</v>
      </c>
    </row>
    <row r="12" spans="1:6" ht="14.25" x14ac:dyDescent="0.2">
      <c r="A12" s="288"/>
      <c r="B12" s="165">
        <v>3</v>
      </c>
      <c r="C12" s="165" t="s">
        <v>598</v>
      </c>
      <c r="D12" s="173">
        <v>150</v>
      </c>
      <c r="E12" s="173">
        <v>231</v>
      </c>
      <c r="F12" s="184">
        <v>4226.4916383754207</v>
      </c>
    </row>
    <row r="13" spans="1:6" ht="14.25" x14ac:dyDescent="0.2">
      <c r="A13" s="289"/>
      <c r="B13" s="165">
        <v>4</v>
      </c>
      <c r="C13" s="165" t="s">
        <v>598</v>
      </c>
      <c r="D13" s="173">
        <v>231</v>
      </c>
      <c r="E13" s="173" t="s">
        <v>599</v>
      </c>
      <c r="F13" s="184">
        <v>9406.4078904772887</v>
      </c>
    </row>
    <row r="14" spans="1:6" ht="14.25" x14ac:dyDescent="0.2">
      <c r="A14" s="287" t="s">
        <v>605</v>
      </c>
      <c r="B14" s="165">
        <v>1</v>
      </c>
      <c r="C14" s="165" t="s">
        <v>598</v>
      </c>
      <c r="D14" s="173">
        <v>0</v>
      </c>
      <c r="E14" s="173">
        <v>422</v>
      </c>
      <c r="F14" s="184">
        <v>6181.2587724637015</v>
      </c>
    </row>
    <row r="15" spans="1:6" ht="14.25" x14ac:dyDescent="0.2">
      <c r="A15" s="288"/>
      <c r="B15" s="165">
        <v>2</v>
      </c>
      <c r="C15" s="165" t="s">
        <v>598</v>
      </c>
      <c r="D15" s="173">
        <v>422</v>
      </c>
      <c r="E15" s="173">
        <v>1000</v>
      </c>
      <c r="F15" s="184">
        <v>34904.671682727036</v>
      </c>
    </row>
    <row r="16" spans="1:6" ht="14.25" x14ac:dyDescent="0.2">
      <c r="A16" s="288"/>
      <c r="B16" s="165">
        <v>3</v>
      </c>
      <c r="C16" s="165" t="s">
        <v>598</v>
      </c>
      <c r="D16" s="173">
        <v>1000</v>
      </c>
      <c r="E16" s="173">
        <v>1800</v>
      </c>
      <c r="F16" s="184">
        <v>30415.635379089916</v>
      </c>
    </row>
    <row r="17" spans="1:6" ht="14.25" x14ac:dyDescent="0.2">
      <c r="A17" s="289"/>
      <c r="B17" s="165">
        <v>4</v>
      </c>
      <c r="C17" s="165" t="s">
        <v>598</v>
      </c>
      <c r="D17" s="173">
        <v>1800</v>
      </c>
      <c r="E17" s="173" t="s">
        <v>599</v>
      </c>
      <c r="F17" s="184">
        <v>78444.486423028793</v>
      </c>
    </row>
    <row r="18" spans="1:6" ht="14.25" x14ac:dyDescent="0.2">
      <c r="A18" s="290" t="s">
        <v>604</v>
      </c>
      <c r="B18" s="165">
        <v>1</v>
      </c>
      <c r="C18" s="165" t="s">
        <v>598</v>
      </c>
      <c r="D18" s="173">
        <v>0</v>
      </c>
      <c r="E18" s="173">
        <v>5000</v>
      </c>
      <c r="F18" s="184">
        <v>9096.6727917858207</v>
      </c>
    </row>
    <row r="19" spans="1:6" ht="14.25" x14ac:dyDescent="0.2">
      <c r="A19" s="291"/>
      <c r="B19" s="165">
        <v>2</v>
      </c>
      <c r="C19" s="165" t="s">
        <v>598</v>
      </c>
      <c r="D19" s="173">
        <v>5000</v>
      </c>
      <c r="E19" s="173">
        <v>12000</v>
      </c>
      <c r="F19" s="184">
        <v>57997.455375582009</v>
      </c>
    </row>
    <row r="20" spans="1:6" ht="14.25" x14ac:dyDescent="0.2">
      <c r="A20" s="291"/>
      <c r="B20" s="165">
        <v>3</v>
      </c>
      <c r="C20" s="165" t="s">
        <v>598</v>
      </c>
      <c r="D20" s="173">
        <v>12000</v>
      </c>
      <c r="E20" s="173">
        <v>21500</v>
      </c>
      <c r="F20" s="184">
        <v>129663.09873855638</v>
      </c>
    </row>
    <row r="21" spans="1:6" ht="14.25" x14ac:dyDescent="0.2">
      <c r="A21" s="292"/>
      <c r="B21" s="165">
        <v>4</v>
      </c>
      <c r="C21" s="165" t="s">
        <v>598</v>
      </c>
      <c r="D21" s="173">
        <v>21500</v>
      </c>
      <c r="E21" s="173" t="s">
        <v>599</v>
      </c>
      <c r="F21" s="184">
        <v>244290.80040822559</v>
      </c>
    </row>
    <row r="22" spans="1:6" x14ac:dyDescent="0.2">
      <c r="A22" t="s">
        <v>602</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M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9" max="36" width="0" hidden="1" customWidth="1"/>
  </cols>
  <sheetData>
    <row r="1" spans="1:143" x14ac:dyDescent="0.2">
      <c r="B1" s="78" t="s">
        <v>19</v>
      </c>
    </row>
    <row r="2" spans="1:143" s="2" customFormat="1" ht="21.75" customHeight="1" x14ac:dyDescent="0.2">
      <c r="B2" s="293" t="str">
        <f>Overview!B4&amp; " - Effective from "&amp;Overview!D4&amp;" - "&amp;Overview!E4</f>
        <v>South Eastern Power Networks - Effective from 1 April 2024 - Final</v>
      </c>
      <c r="C2" s="294"/>
      <c r="D2" s="294"/>
      <c r="E2" s="294"/>
      <c r="F2" s="294"/>
      <c r="G2" s="294"/>
      <c r="H2" s="294"/>
      <c r="I2" s="294"/>
      <c r="J2" s="294"/>
      <c r="K2" s="294"/>
      <c r="L2" s="294"/>
      <c r="M2" s="294"/>
      <c r="N2" s="294"/>
      <c r="O2" s="294"/>
      <c r="P2" s="294"/>
      <c r="Q2" s="294"/>
      <c r="R2" s="294"/>
      <c r="S2" s="294"/>
      <c r="T2" s="295"/>
      <c r="U2"/>
      <c r="V2"/>
      <c r="W2"/>
      <c r="X2"/>
      <c r="Y2"/>
      <c r="Z2"/>
      <c r="AA2"/>
      <c r="AB2"/>
      <c r="AC2" s="26" t="s">
        <v>127</v>
      </c>
      <c r="AD2" s="46" t="s">
        <v>156</v>
      </c>
      <c r="AE2" s="46" t="s">
        <v>158</v>
      </c>
      <c r="AF2" s="46" t="s">
        <v>157</v>
      </c>
      <c r="AG2" s="14" t="s">
        <v>25</v>
      </c>
      <c r="AH2" s="14" t="s">
        <v>26</v>
      </c>
      <c r="AI2" s="26" t="s">
        <v>129</v>
      </c>
      <c r="AJ2" s="14" t="s">
        <v>32</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row>
    <row r="3" spans="1:143" s="95" customFormat="1" ht="9" customHeight="1" x14ac:dyDescent="0.2">
      <c r="A3" s="94"/>
      <c r="B3" s="94"/>
      <c r="C3" s="94"/>
      <c r="D3" s="94"/>
      <c r="E3" s="94"/>
      <c r="F3" s="94"/>
      <c r="G3" s="94"/>
      <c r="H3" s="94"/>
      <c r="I3" s="94"/>
      <c r="J3" s="94"/>
      <c r="K3" s="94"/>
      <c r="L3"/>
      <c r="M3"/>
      <c r="N3"/>
      <c r="O3"/>
      <c r="P3"/>
      <c r="Q3"/>
      <c r="R3"/>
      <c r="S3"/>
      <c r="T3"/>
      <c r="U3"/>
      <c r="V3"/>
      <c r="W3"/>
      <c r="X3"/>
      <c r="Y3"/>
      <c r="Z3"/>
      <c r="AA3"/>
      <c r="AB3"/>
      <c r="AC3" s="16" t="s">
        <v>470</v>
      </c>
      <c r="AD3" s="128" t="s">
        <v>162</v>
      </c>
      <c r="AE3" s="129" t="s">
        <v>164</v>
      </c>
      <c r="AF3" s="130" t="s">
        <v>157</v>
      </c>
      <c r="AG3" s="136" t="s">
        <v>166</v>
      </c>
      <c r="AH3" s="131" t="s">
        <v>169</v>
      </c>
      <c r="AI3" s="131" t="s">
        <v>169</v>
      </c>
      <c r="AJ3" s="132" t="s">
        <v>169</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row>
    <row r="4" spans="1:143" ht="26.25" customHeight="1" x14ac:dyDescent="0.2">
      <c r="B4" s="299" t="s">
        <v>160</v>
      </c>
      <c r="C4" s="300"/>
      <c r="D4" s="300"/>
      <c r="E4" s="300"/>
      <c r="F4" s="300"/>
      <c r="G4" s="300"/>
      <c r="H4" s="300"/>
      <c r="I4" s="301"/>
      <c r="L4" s="299" t="s">
        <v>161</v>
      </c>
      <c r="M4" s="300"/>
      <c r="N4" s="300"/>
      <c r="O4" s="300"/>
      <c r="P4" s="300"/>
      <c r="Q4" s="300"/>
      <c r="R4" s="300"/>
      <c r="S4" s="300"/>
      <c r="T4" s="301"/>
      <c r="AC4" s="16" t="s">
        <v>471</v>
      </c>
      <c r="AD4" s="128" t="s">
        <v>162</v>
      </c>
      <c r="AE4" s="129" t="s">
        <v>164</v>
      </c>
      <c r="AF4" s="130" t="s">
        <v>157</v>
      </c>
      <c r="AG4" s="131" t="s">
        <v>169</v>
      </c>
      <c r="AH4" s="131" t="s">
        <v>169</v>
      </c>
      <c r="AI4" s="131" t="s">
        <v>169</v>
      </c>
      <c r="AJ4" s="132" t="s">
        <v>169</v>
      </c>
    </row>
    <row r="5" spans="1:143" ht="18" customHeight="1" x14ac:dyDescent="0.2">
      <c r="B5" s="303" t="s">
        <v>100</v>
      </c>
      <c r="C5" s="303"/>
      <c r="D5" s="303"/>
      <c r="E5" s="303"/>
      <c r="F5" s="303"/>
      <c r="G5" s="303"/>
      <c r="H5" s="303"/>
      <c r="I5" s="303"/>
      <c r="L5" s="303" t="s">
        <v>102</v>
      </c>
      <c r="M5" s="303"/>
      <c r="N5" s="303"/>
      <c r="O5" s="303"/>
      <c r="P5" s="303"/>
      <c r="Q5" s="303"/>
      <c r="R5" s="303"/>
      <c r="S5" s="303"/>
      <c r="T5" s="303"/>
      <c r="AC5" s="16" t="s">
        <v>472</v>
      </c>
      <c r="AD5" s="128" t="s">
        <v>162</v>
      </c>
      <c r="AE5" s="129" t="s">
        <v>164</v>
      </c>
      <c r="AF5" s="130" t="s">
        <v>157</v>
      </c>
      <c r="AG5" s="136" t="s">
        <v>166</v>
      </c>
      <c r="AH5" s="131" t="s">
        <v>169</v>
      </c>
      <c r="AI5" s="131" t="s">
        <v>169</v>
      </c>
      <c r="AJ5" s="132" t="s">
        <v>169</v>
      </c>
    </row>
    <row r="6" spans="1:143" s="96" customFormat="1" ht="27.75" customHeight="1" x14ac:dyDescent="0.2">
      <c r="B6" s="302" t="s">
        <v>106</v>
      </c>
      <c r="C6" s="302"/>
      <c r="D6" s="302"/>
      <c r="E6" s="302"/>
      <c r="F6" s="302"/>
      <c r="G6" s="302"/>
      <c r="H6" s="302"/>
      <c r="I6" s="302"/>
      <c r="L6" s="302" t="s">
        <v>107</v>
      </c>
      <c r="M6" s="302"/>
      <c r="N6" s="302"/>
      <c r="O6" s="302"/>
      <c r="P6" s="302"/>
      <c r="Q6" s="302"/>
      <c r="R6" s="302"/>
      <c r="S6" s="302"/>
      <c r="T6" s="302"/>
      <c r="AC6" s="16" t="s">
        <v>473</v>
      </c>
      <c r="AD6" s="128" t="s">
        <v>162</v>
      </c>
      <c r="AE6" s="129" t="s">
        <v>164</v>
      </c>
      <c r="AF6" s="130" t="s">
        <v>157</v>
      </c>
      <c r="AG6" s="136" t="s">
        <v>166</v>
      </c>
      <c r="AH6" s="131" t="s">
        <v>169</v>
      </c>
      <c r="AI6" s="131" t="s">
        <v>169</v>
      </c>
      <c r="AJ6" s="132" t="s">
        <v>169</v>
      </c>
    </row>
    <row r="7" spans="1:143" ht="18" customHeight="1" x14ac:dyDescent="0.2">
      <c r="B7" s="303" t="s">
        <v>101</v>
      </c>
      <c r="C7" s="303"/>
      <c r="D7" s="303"/>
      <c r="E7" s="303"/>
      <c r="F7" s="303"/>
      <c r="G7" s="303"/>
      <c r="H7" s="303"/>
      <c r="I7" s="303"/>
      <c r="L7" s="303" t="s">
        <v>103</v>
      </c>
      <c r="M7" s="303"/>
      <c r="N7" s="303"/>
      <c r="O7" s="303"/>
      <c r="P7" s="303"/>
      <c r="Q7" s="303"/>
      <c r="R7" s="303"/>
      <c r="S7" s="303"/>
      <c r="T7" s="303"/>
      <c r="AC7" s="16" t="s">
        <v>474</v>
      </c>
      <c r="AD7" s="128" t="s">
        <v>162</v>
      </c>
      <c r="AE7" s="129" t="s">
        <v>164</v>
      </c>
      <c r="AF7" s="130" t="s">
        <v>157</v>
      </c>
      <c r="AG7" s="136" t="s">
        <v>166</v>
      </c>
      <c r="AH7" s="131" t="s">
        <v>169</v>
      </c>
      <c r="AI7" s="131" t="s">
        <v>169</v>
      </c>
      <c r="AJ7" s="132" t="s">
        <v>169</v>
      </c>
    </row>
    <row r="8" spans="1:143" ht="8.25" customHeight="1" x14ac:dyDescent="0.2">
      <c r="AC8" s="16" t="s">
        <v>475</v>
      </c>
      <c r="AD8" s="128" t="s">
        <v>162</v>
      </c>
      <c r="AE8" s="129" t="s">
        <v>164</v>
      </c>
      <c r="AF8" s="130" t="s">
        <v>157</v>
      </c>
      <c r="AG8" s="136" t="s">
        <v>166</v>
      </c>
      <c r="AH8" s="131" t="s">
        <v>169</v>
      </c>
      <c r="AI8" s="131" t="s">
        <v>169</v>
      </c>
      <c r="AJ8" s="132" t="s">
        <v>169</v>
      </c>
    </row>
    <row r="9" spans="1:143" ht="72" customHeight="1" x14ac:dyDescent="0.2">
      <c r="B9" s="97" t="s">
        <v>104</v>
      </c>
      <c r="C9" s="98" t="str">
        <f>IFERROR(VLOOKUP($B$10,$AC$2:$AJ$34,2,FALSE),AD2)</f>
        <v>Red/black unit charge
p/kWh</v>
      </c>
      <c r="D9" s="98" t="str">
        <f>IFERROR(VLOOKUP($B$10,$AC$2:$AJ$34,3,FALSE),AE2)</f>
        <v>Amber/yellow unit charge
p/kWh</v>
      </c>
      <c r="E9" s="98" t="str">
        <f>IFERROR(VLOOKUP($B$10,$AC$2:$AJ$34,4,FALSE),AF2)</f>
        <v>Green unit charge
p/kWh</v>
      </c>
      <c r="F9" s="98" t="str">
        <f>IFERROR(VLOOKUP($B$10,$AC$2:$AJ$34,5,FALSE),AG2)</f>
        <v>Fixed charge p/MPAN/day</v>
      </c>
      <c r="G9" s="98" t="str">
        <f>IFERROR(VLOOKUP($B$10,$AC$2:$AJ$34,6,FALSE),AH2)</f>
        <v>Capacity charge p/kVA/day</v>
      </c>
      <c r="H9" s="98" t="str">
        <f>IFERROR(VLOOKUP($B$10,$AC$2:$AJ$34,7,FALSE),AI2)</f>
        <v>Exceeded capacity charge
p/kVA/day</v>
      </c>
      <c r="I9" s="98" t="str">
        <f>IFERROR(VLOOKUP($B$10,$AC$2:$AJ$34,8,FALSE),AJ2)</f>
        <v>Reactive power charge
p/kVArh</v>
      </c>
      <c r="L9" s="97" t="s">
        <v>105</v>
      </c>
      <c r="M9" s="115" t="str">
        <f>'Annex 2 EHV charges'!I9</f>
        <v>Import
Super Red
unit charge
(p/kWh)</v>
      </c>
      <c r="N9" s="115" t="str">
        <f>'Annex 2 EHV charges'!J9</f>
        <v>Import
fixed charge
(p/day)</v>
      </c>
      <c r="O9" s="115" t="str">
        <f>'Annex 2 EHV charges'!K9</f>
        <v>Import
capacity charge
(p/kVA/day)</v>
      </c>
      <c r="P9" s="115" t="str">
        <f>'Annex 2 EHV charges'!L9</f>
        <v>Import
exceeded capacity charge
(p/kVA/day)</v>
      </c>
      <c r="Q9" s="116" t="str">
        <f>'Annex 2 EHV charges'!M9</f>
        <v>Export
Super Red
unit charge
(p/kWh)</v>
      </c>
      <c r="R9" s="116" t="str">
        <f>'Annex 2 EHV charges'!N9</f>
        <v>Export
fixed charge
(p/day)</v>
      </c>
      <c r="S9" s="116" t="str">
        <f>'Annex 2 EHV charges'!O9</f>
        <v>Export
capacity charge
(p/kVA/day)</v>
      </c>
      <c r="T9" s="116" t="str">
        <f>'Annex 2 EHV charges'!P9</f>
        <v>Export
exceeded capacity charge
(p/kVA/day)</v>
      </c>
      <c r="AC9" s="16" t="s">
        <v>476</v>
      </c>
      <c r="AD9" s="128" t="s">
        <v>162</v>
      </c>
      <c r="AE9" s="129" t="s">
        <v>164</v>
      </c>
      <c r="AF9" s="130" t="s">
        <v>157</v>
      </c>
      <c r="AG9" s="136" t="s">
        <v>166</v>
      </c>
      <c r="AH9" s="131" t="s">
        <v>169</v>
      </c>
      <c r="AI9" s="131" t="s">
        <v>169</v>
      </c>
      <c r="AJ9" s="132" t="s">
        <v>169</v>
      </c>
    </row>
    <row r="10" spans="1:143" ht="30" customHeight="1" x14ac:dyDescent="0.2">
      <c r="B10" s="88"/>
      <c r="C10" s="112" t="str">
        <f>IFERROR(VLOOKUP($B$10,'Annex 1 LV, HV and UMS charges'!$A:$K,4,FALSE),"")</f>
        <v/>
      </c>
      <c r="D10" s="113" t="str">
        <f>IFERROR(VLOOKUP($B$10,'Annex 1 LV, HV and UMS charges'!$A:$K,5,FALSE),"")</f>
        <v/>
      </c>
      <c r="E10" s="113" t="str">
        <f>IFERROR(VLOOKUP($B$10,'Annex 1 LV, HV and UMS charges'!$A:$K,6,FALSE),"")</f>
        <v/>
      </c>
      <c r="F10" s="90" t="str">
        <f>IFERROR(VLOOKUP($B$10,'Annex 1 LV, HV and UMS charges'!$A:$K,7,FALSE),"")</f>
        <v/>
      </c>
      <c r="G10" s="90" t="str">
        <f>IFERROR(VLOOKUP($B$10,'Annex 1 LV, HV and UMS charges'!$A:$K,8,FALSE),"")</f>
        <v/>
      </c>
      <c r="H10" s="90" t="str">
        <f>IFERROR(VLOOKUP($B$10,'Annex 1 LV, HV and UMS charges'!$A:$K,9,FALSE),"")</f>
        <v/>
      </c>
      <c r="I10" s="90" t="str">
        <f>IFERROR(VLOOKUP($B$10,'Annex 1 LV, HV and UMS charges'!$A:$K,10,FALSE),"")</f>
        <v/>
      </c>
      <c r="L10" s="88"/>
      <c r="M10" s="90" t="str">
        <f>IFERROR(VLOOKUP($L$10,'Annex 2 EHV charges'!$G:$O,3,FALSE),"")</f>
        <v/>
      </c>
      <c r="N10" s="90" t="str">
        <f>IFERROR(VLOOKUP($L$10,'Annex 2 EHV charges'!$G:$O,4,FALSE),"")</f>
        <v/>
      </c>
      <c r="O10" s="90" t="str">
        <f>IFERROR(VLOOKUP($L$10,'Annex 2 EHV charges'!$G:$O,5,FALSE),"")</f>
        <v/>
      </c>
      <c r="P10" s="90" t="str">
        <f>IFERROR(VLOOKUP($L$10,'Annex 2 EHV charges'!$G:$O,6,FALSE),"")</f>
        <v/>
      </c>
      <c r="Q10" s="100" t="str">
        <f>IFERROR(VLOOKUP($L$10,'Annex 2 EHV charges'!$G:$O,7,FALSE),"")</f>
        <v/>
      </c>
      <c r="R10" s="100" t="str">
        <f>IFERROR(VLOOKUP($L$10,'Annex 2 EHV charges'!$G:$O,8,FALSE),"")</f>
        <v/>
      </c>
      <c r="S10" s="100" t="str">
        <f>IFERROR(VLOOKUP($L$10,'Annex 2 EHV charges'!$G:$O,9,FALSE),"")</f>
        <v/>
      </c>
      <c r="T10" s="100" t="str">
        <f>IFERROR(VLOOKUP($L$10,'Annex 2 EHV charges'!$G:$P,10,FALSE),"")</f>
        <v/>
      </c>
      <c r="AC10" s="16" t="s">
        <v>142</v>
      </c>
      <c r="AD10" s="128" t="s">
        <v>162</v>
      </c>
      <c r="AE10" s="129" t="s">
        <v>164</v>
      </c>
      <c r="AF10" s="130" t="s">
        <v>157</v>
      </c>
      <c r="AG10" s="131" t="s">
        <v>169</v>
      </c>
      <c r="AH10" s="131" t="s">
        <v>169</v>
      </c>
      <c r="AI10" s="131" t="s">
        <v>169</v>
      </c>
      <c r="AJ10" s="132" t="s">
        <v>169</v>
      </c>
    </row>
    <row r="11" spans="1:143" ht="7.5" customHeight="1" x14ac:dyDescent="0.2">
      <c r="AC11" s="16" t="s">
        <v>477</v>
      </c>
      <c r="AD11" s="128" t="s">
        <v>162</v>
      </c>
      <c r="AE11" s="129" t="s">
        <v>164</v>
      </c>
      <c r="AF11" s="130" t="s">
        <v>157</v>
      </c>
      <c r="AG11" s="136" t="s">
        <v>166</v>
      </c>
      <c r="AH11" s="136" t="s">
        <v>167</v>
      </c>
      <c r="AI11" s="137" t="s">
        <v>168</v>
      </c>
      <c r="AJ11" s="138" t="s">
        <v>32</v>
      </c>
    </row>
    <row r="12" spans="1:143" ht="88.5" customHeight="1" x14ac:dyDescent="0.2">
      <c r="B12" s="101" t="s">
        <v>70</v>
      </c>
      <c r="C12" s="98" t="str">
        <f>C9</f>
        <v>Red/black unit charge
p/kWh</v>
      </c>
      <c r="D12" s="98" t="str">
        <f>D9</f>
        <v>Amber/yellow unit charge
p/kWh</v>
      </c>
      <c r="E12" s="98" t="str">
        <f>E9</f>
        <v>Green unit charge
p/kWh</v>
      </c>
      <c r="F12" s="98" t="s">
        <v>71</v>
      </c>
      <c r="G12" s="98" t="s">
        <v>68</v>
      </c>
      <c r="H12" s="98" t="s">
        <v>132</v>
      </c>
      <c r="I12" s="98" t="s">
        <v>69</v>
      </c>
      <c r="L12" s="101" t="s">
        <v>70</v>
      </c>
      <c r="M12" s="98" t="s">
        <v>90</v>
      </c>
      <c r="N12" s="98" t="s">
        <v>71</v>
      </c>
      <c r="O12" s="98" t="s">
        <v>86</v>
      </c>
      <c r="P12" s="98" t="s">
        <v>132</v>
      </c>
      <c r="Q12" s="99" t="s">
        <v>88</v>
      </c>
      <c r="R12" s="99" t="s">
        <v>71</v>
      </c>
      <c r="S12" s="99" t="s">
        <v>87</v>
      </c>
      <c r="T12" s="99" t="s">
        <v>132</v>
      </c>
      <c r="AC12" s="16" t="s">
        <v>478</v>
      </c>
      <c r="AD12" s="128" t="s">
        <v>162</v>
      </c>
      <c r="AE12" s="129" t="s">
        <v>164</v>
      </c>
      <c r="AF12" s="130" t="s">
        <v>157</v>
      </c>
      <c r="AG12" s="136" t="s">
        <v>166</v>
      </c>
      <c r="AH12" s="136" t="s">
        <v>167</v>
      </c>
      <c r="AI12" s="137" t="s">
        <v>168</v>
      </c>
      <c r="AJ12" s="138" t="s">
        <v>32</v>
      </c>
    </row>
    <row r="13" spans="1:143" ht="30" customHeight="1" x14ac:dyDescent="0.2">
      <c r="B13" s="102" t="s">
        <v>72</v>
      </c>
      <c r="C13" s="107"/>
      <c r="D13" s="107"/>
      <c r="E13" s="107"/>
      <c r="F13" s="107"/>
      <c r="G13" s="107"/>
      <c r="H13" s="107"/>
      <c r="I13" s="107"/>
      <c r="L13" s="102" t="s">
        <v>72</v>
      </c>
      <c r="M13" s="91"/>
      <c r="N13" s="91"/>
      <c r="O13" s="91"/>
      <c r="P13" s="91"/>
      <c r="Q13" s="92"/>
      <c r="R13" s="92">
        <f>N13</f>
        <v>0</v>
      </c>
      <c r="S13" s="92"/>
      <c r="T13" s="92"/>
      <c r="AC13" s="16" t="s">
        <v>479</v>
      </c>
      <c r="AD13" s="128" t="s">
        <v>162</v>
      </c>
      <c r="AE13" s="129" t="s">
        <v>164</v>
      </c>
      <c r="AF13" s="130" t="s">
        <v>157</v>
      </c>
      <c r="AG13" s="136" t="s">
        <v>166</v>
      </c>
      <c r="AH13" s="136" t="s">
        <v>167</v>
      </c>
      <c r="AI13" s="137" t="s">
        <v>168</v>
      </c>
      <c r="AJ13" s="138" t="s">
        <v>32</v>
      </c>
    </row>
    <row r="14" spans="1:143" ht="30" customHeight="1" x14ac:dyDescent="0.2">
      <c r="B14" s="103" t="s">
        <v>74</v>
      </c>
      <c r="C14" s="89">
        <f t="shared" ref="C14:I14" si="0">C13</f>
        <v>0</v>
      </c>
      <c r="D14" s="89">
        <f t="shared" si="0"/>
        <v>0</v>
      </c>
      <c r="E14" s="89">
        <f t="shared" si="0"/>
        <v>0</v>
      </c>
      <c r="F14" s="89">
        <f t="shared" si="0"/>
        <v>0</v>
      </c>
      <c r="G14" s="89">
        <f t="shared" si="0"/>
        <v>0</v>
      </c>
      <c r="H14" s="89">
        <f t="shared" si="0"/>
        <v>0</v>
      </c>
      <c r="I14" s="89">
        <f t="shared" si="0"/>
        <v>0</v>
      </c>
      <c r="L14" s="103" t="s">
        <v>74</v>
      </c>
      <c r="M14" s="89">
        <f>M13</f>
        <v>0</v>
      </c>
      <c r="N14" s="89">
        <f t="shared" ref="N14:T14" si="1">N13</f>
        <v>0</v>
      </c>
      <c r="O14" s="89">
        <f t="shared" si="1"/>
        <v>0</v>
      </c>
      <c r="P14" s="89">
        <f t="shared" si="1"/>
        <v>0</v>
      </c>
      <c r="Q14" s="93">
        <f t="shared" si="1"/>
        <v>0</v>
      </c>
      <c r="R14" s="93">
        <f t="shared" si="1"/>
        <v>0</v>
      </c>
      <c r="S14" s="93">
        <f t="shared" si="1"/>
        <v>0</v>
      </c>
      <c r="T14" s="93">
        <f t="shared" si="1"/>
        <v>0</v>
      </c>
      <c r="AC14" s="16" t="s">
        <v>480</v>
      </c>
      <c r="AD14" s="128" t="s">
        <v>162</v>
      </c>
      <c r="AE14" s="129" t="s">
        <v>164</v>
      </c>
      <c r="AF14" s="130" t="s">
        <v>157</v>
      </c>
      <c r="AG14" s="136" t="s">
        <v>166</v>
      </c>
      <c r="AH14" s="136" t="s">
        <v>167</v>
      </c>
      <c r="AI14" s="137" t="s">
        <v>168</v>
      </c>
      <c r="AJ14" s="138" t="s">
        <v>32</v>
      </c>
    </row>
    <row r="15" spans="1:143" ht="7.5" customHeight="1" x14ac:dyDescent="0.2">
      <c r="AC15" s="16" t="s">
        <v>481</v>
      </c>
      <c r="AD15" s="128" t="s">
        <v>162</v>
      </c>
      <c r="AE15" s="129" t="s">
        <v>164</v>
      </c>
      <c r="AF15" s="130" t="s">
        <v>157</v>
      </c>
      <c r="AG15" s="136" t="s">
        <v>166</v>
      </c>
      <c r="AH15" s="136" t="s">
        <v>167</v>
      </c>
      <c r="AI15" s="137" t="s">
        <v>168</v>
      </c>
      <c r="AJ15" s="138" t="s">
        <v>32</v>
      </c>
    </row>
    <row r="16" spans="1:143" ht="63.75" customHeight="1" x14ac:dyDescent="0.2">
      <c r="B16" s="101" t="s">
        <v>73</v>
      </c>
      <c r="C16" s="98" t="s">
        <v>83</v>
      </c>
      <c r="D16" s="98" t="s">
        <v>84</v>
      </c>
      <c r="E16" s="98" t="s">
        <v>85</v>
      </c>
      <c r="F16" s="98" t="s">
        <v>79</v>
      </c>
      <c r="G16" s="98" t="s">
        <v>78</v>
      </c>
      <c r="H16" s="98" t="s">
        <v>133</v>
      </c>
      <c r="I16" s="98" t="s">
        <v>77</v>
      </c>
      <c r="L16" s="101" t="s">
        <v>73</v>
      </c>
      <c r="M16" s="98" t="s">
        <v>91</v>
      </c>
      <c r="N16" s="98" t="s">
        <v>89</v>
      </c>
      <c r="O16" s="98" t="s">
        <v>94</v>
      </c>
      <c r="P16" s="98" t="s">
        <v>134</v>
      </c>
      <c r="Q16" s="99" t="s">
        <v>92</v>
      </c>
      <c r="R16" s="99" t="s">
        <v>93</v>
      </c>
      <c r="S16" s="99" t="s">
        <v>95</v>
      </c>
      <c r="T16" s="99" t="s">
        <v>135</v>
      </c>
      <c r="AC16" s="16" t="s">
        <v>482</v>
      </c>
      <c r="AD16" s="128" t="s">
        <v>162</v>
      </c>
      <c r="AE16" s="129" t="s">
        <v>164</v>
      </c>
      <c r="AF16" s="130" t="s">
        <v>157</v>
      </c>
      <c r="AG16" s="136" t="s">
        <v>166</v>
      </c>
      <c r="AH16" s="136" t="s">
        <v>167</v>
      </c>
      <c r="AI16" s="137" t="s">
        <v>168</v>
      </c>
      <c r="AJ16" s="138" t="s">
        <v>32</v>
      </c>
    </row>
    <row r="17" spans="2:36" ht="30" customHeight="1" x14ac:dyDescent="0.2">
      <c r="B17" s="102" t="s">
        <v>75</v>
      </c>
      <c r="C17" s="108" t="str">
        <f>IFERROR(C10*C13/100,"")</f>
        <v/>
      </c>
      <c r="D17" s="108" t="str">
        <f t="shared" ref="D17:I17" si="2">IFERROR(D10*D13/100,"")</f>
        <v/>
      </c>
      <c r="E17" s="108" t="str">
        <f t="shared" si="2"/>
        <v/>
      </c>
      <c r="F17" s="108" t="str">
        <f t="shared" si="2"/>
        <v/>
      </c>
      <c r="G17" s="108" t="str">
        <f>IFERROR(G10*G13*F13/100,"")</f>
        <v/>
      </c>
      <c r="H17" s="108" t="str">
        <f>IFERROR(H10*H13*F13/100,"")</f>
        <v/>
      </c>
      <c r="I17" s="108" t="str">
        <f t="shared" si="2"/>
        <v/>
      </c>
      <c r="L17" s="104" t="s">
        <v>75</v>
      </c>
      <c r="M17" s="108" t="str">
        <f>IFERROR(M10*M13/100,"")</f>
        <v/>
      </c>
      <c r="N17" s="108" t="str">
        <f>IFERROR(N10*N13/100,"")</f>
        <v/>
      </c>
      <c r="O17" s="108" t="str">
        <f>IFERROR(O10*O13*N13/100,"")</f>
        <v/>
      </c>
      <c r="P17" s="108" t="str">
        <f>IFERROR(P10*P13*N13/100,"")</f>
        <v/>
      </c>
      <c r="Q17" s="109" t="str">
        <f>IFERROR(Q10*Q13/100,"")</f>
        <v/>
      </c>
      <c r="R17" s="109" t="str">
        <f>IFERROR(R10*R13/100,"")</f>
        <v/>
      </c>
      <c r="S17" s="109" t="str">
        <f>IFERROR(S10*S13*R13/100,"")</f>
        <v/>
      </c>
      <c r="T17" s="109" t="str">
        <f>IFERROR(T10*T13*R13/100,"")</f>
        <v/>
      </c>
      <c r="AC17" s="16" t="s">
        <v>483</v>
      </c>
      <c r="AD17" s="128" t="s">
        <v>162</v>
      </c>
      <c r="AE17" s="129" t="s">
        <v>164</v>
      </c>
      <c r="AF17" s="130" t="s">
        <v>157</v>
      </c>
      <c r="AG17" s="136" t="s">
        <v>166</v>
      </c>
      <c r="AH17" s="136" t="s">
        <v>167</v>
      </c>
      <c r="AI17" s="137" t="s">
        <v>168</v>
      </c>
      <c r="AJ17" s="138" t="s">
        <v>32</v>
      </c>
    </row>
    <row r="18" spans="2:36" ht="30" customHeight="1" x14ac:dyDescent="0.2">
      <c r="B18" s="103" t="s">
        <v>76</v>
      </c>
      <c r="C18" s="110" t="str">
        <f>IFERROR(C10*C14/100,"")</f>
        <v/>
      </c>
      <c r="D18" s="110" t="str">
        <f t="shared" ref="D18:I18" si="3">IFERROR(D10*D14/100,"")</f>
        <v/>
      </c>
      <c r="E18" s="110" t="str">
        <f t="shared" si="3"/>
        <v/>
      </c>
      <c r="F18" s="110" t="str">
        <f t="shared" si="3"/>
        <v/>
      </c>
      <c r="G18" s="110" t="str">
        <f>IFERROR(G10*G14*F14/100,"")</f>
        <v/>
      </c>
      <c r="H18" s="110" t="str">
        <f>IFERROR(H10*H14*F14/100,"")</f>
        <v/>
      </c>
      <c r="I18" s="110" t="str">
        <f t="shared" si="3"/>
        <v/>
      </c>
      <c r="L18" s="105" t="s">
        <v>76</v>
      </c>
      <c r="M18" s="110" t="str">
        <f>IFERROR(M10*M14/100,"")</f>
        <v/>
      </c>
      <c r="N18" s="110" t="str">
        <f>IFERROR(N10*N14/100,"")</f>
        <v/>
      </c>
      <c r="O18" s="110" t="str">
        <f>IFERROR(O10*O14*N14/100,"")</f>
        <v/>
      </c>
      <c r="P18" s="110" t="str">
        <f>IFERROR(P10*P14*N14/100,"")</f>
        <v/>
      </c>
      <c r="Q18" s="111" t="str">
        <f>IFERROR(Q10*Q14/100,"")</f>
        <v/>
      </c>
      <c r="R18" s="111" t="str">
        <f>IFERROR(R10*R14/100,"")</f>
        <v/>
      </c>
      <c r="S18" s="111" t="str">
        <f>IFERROR(S10*S14*R14/100,"")</f>
        <v/>
      </c>
      <c r="T18" s="111" t="str">
        <f>IFERROR(T10*T14*R14/100,"")</f>
        <v/>
      </c>
      <c r="AC18" s="16" t="s">
        <v>484</v>
      </c>
      <c r="AD18" s="128" t="s">
        <v>162</v>
      </c>
      <c r="AE18" s="129" t="s">
        <v>164</v>
      </c>
      <c r="AF18" s="130" t="s">
        <v>157</v>
      </c>
      <c r="AG18" s="136" t="s">
        <v>166</v>
      </c>
      <c r="AH18" s="136" t="s">
        <v>167</v>
      </c>
      <c r="AI18" s="137" t="s">
        <v>168</v>
      </c>
      <c r="AJ18" s="138" t="s">
        <v>32</v>
      </c>
    </row>
    <row r="19" spans="2:36" ht="7.5" customHeight="1" x14ac:dyDescent="0.2">
      <c r="AC19" s="16" t="s">
        <v>485</v>
      </c>
      <c r="AD19" s="128" t="s">
        <v>162</v>
      </c>
      <c r="AE19" s="129" t="s">
        <v>164</v>
      </c>
      <c r="AF19" s="130" t="s">
        <v>157</v>
      </c>
      <c r="AG19" s="136" t="s">
        <v>166</v>
      </c>
      <c r="AH19" s="136" t="s">
        <v>167</v>
      </c>
      <c r="AI19" s="137" t="s">
        <v>168</v>
      </c>
      <c r="AJ19" s="138" t="s">
        <v>32</v>
      </c>
    </row>
    <row r="20" spans="2:36" ht="39.75" customHeight="1" x14ac:dyDescent="0.2">
      <c r="C20" s="106" t="s">
        <v>80</v>
      </c>
      <c r="M20" s="98" t="s">
        <v>96</v>
      </c>
      <c r="N20" s="99" t="s">
        <v>97</v>
      </c>
      <c r="AC20" s="16" t="s">
        <v>486</v>
      </c>
      <c r="AD20" s="128" t="s">
        <v>162</v>
      </c>
      <c r="AE20" s="129" t="s">
        <v>164</v>
      </c>
      <c r="AF20" s="130" t="s">
        <v>157</v>
      </c>
      <c r="AG20" s="136" t="s">
        <v>166</v>
      </c>
      <c r="AH20" s="136" t="s">
        <v>167</v>
      </c>
      <c r="AI20" s="137" t="s">
        <v>168</v>
      </c>
      <c r="AJ20" s="138" t="s">
        <v>32</v>
      </c>
    </row>
    <row r="21" spans="2:36" ht="30" customHeight="1" x14ac:dyDescent="0.2">
      <c r="B21" s="102" t="s">
        <v>75</v>
      </c>
      <c r="C21" s="108">
        <f>SUM(C17:I17)</f>
        <v>0</v>
      </c>
      <c r="L21" s="102" t="s">
        <v>75</v>
      </c>
      <c r="M21" s="108">
        <f>SUM(M17:P17)</f>
        <v>0</v>
      </c>
      <c r="N21" s="109">
        <f>SUM(Q17:T17)</f>
        <v>0</v>
      </c>
      <c r="AC21" s="16" t="s">
        <v>487</v>
      </c>
      <c r="AD21" s="128" t="s">
        <v>162</v>
      </c>
      <c r="AE21" s="129" t="s">
        <v>164</v>
      </c>
      <c r="AF21" s="130" t="s">
        <v>157</v>
      </c>
      <c r="AG21" s="136" t="s">
        <v>166</v>
      </c>
      <c r="AH21" s="136" t="s">
        <v>167</v>
      </c>
      <c r="AI21" s="137" t="s">
        <v>168</v>
      </c>
      <c r="AJ21" s="138" t="s">
        <v>32</v>
      </c>
    </row>
    <row r="22" spans="2:36" ht="30" customHeight="1" x14ac:dyDescent="0.2">
      <c r="B22" s="103" t="s">
        <v>76</v>
      </c>
      <c r="C22" s="110">
        <f>SUM(C18:I18)</f>
        <v>0</v>
      </c>
      <c r="L22" s="103" t="s">
        <v>76</v>
      </c>
      <c r="M22" s="110">
        <f>SUM(M18:P18)</f>
        <v>0</v>
      </c>
      <c r="N22" s="111">
        <f>SUM(Q18:T18)</f>
        <v>0</v>
      </c>
      <c r="AC22" s="16" t="s">
        <v>488</v>
      </c>
      <c r="AD22" s="128" t="s">
        <v>162</v>
      </c>
      <c r="AE22" s="129" t="s">
        <v>164</v>
      </c>
      <c r="AF22" s="130" t="s">
        <v>157</v>
      </c>
      <c r="AG22" s="136" t="s">
        <v>166</v>
      </c>
      <c r="AH22" s="136" t="s">
        <v>167</v>
      </c>
      <c r="AI22" s="137" t="s">
        <v>168</v>
      </c>
      <c r="AJ22" s="138" t="s">
        <v>32</v>
      </c>
    </row>
    <row r="23" spans="2:36" ht="45" x14ac:dyDescent="0.2">
      <c r="AC23" s="16" t="s">
        <v>489</v>
      </c>
      <c r="AD23" s="128" t="s">
        <v>162</v>
      </c>
      <c r="AE23" s="129" t="s">
        <v>164</v>
      </c>
      <c r="AF23" s="130" t="s">
        <v>157</v>
      </c>
      <c r="AG23" s="136" t="s">
        <v>166</v>
      </c>
      <c r="AH23" s="136" t="s">
        <v>167</v>
      </c>
      <c r="AI23" s="137" t="s">
        <v>168</v>
      </c>
      <c r="AJ23" s="138" t="s">
        <v>32</v>
      </c>
    </row>
    <row r="24" spans="2:36" ht="30.75" customHeight="1" x14ac:dyDescent="0.2">
      <c r="B24" s="296" t="s">
        <v>98</v>
      </c>
      <c r="C24" s="297"/>
      <c r="D24" s="298"/>
      <c r="L24" s="296" t="s">
        <v>99</v>
      </c>
      <c r="M24" s="297"/>
      <c r="N24" s="298"/>
      <c r="AC24" s="16" t="s">
        <v>490</v>
      </c>
      <c r="AD24" s="128" t="s">
        <v>162</v>
      </c>
      <c r="AE24" s="129" t="s">
        <v>164</v>
      </c>
      <c r="AF24" s="130" t="s">
        <v>157</v>
      </c>
      <c r="AG24" s="136" t="s">
        <v>166</v>
      </c>
      <c r="AH24" s="136" t="s">
        <v>167</v>
      </c>
      <c r="AI24" s="137" t="s">
        <v>168</v>
      </c>
      <c r="AJ24" s="138" t="s">
        <v>32</v>
      </c>
    </row>
    <row r="25" spans="2:36" ht="45" x14ac:dyDescent="0.2">
      <c r="AC25" s="16" t="s">
        <v>491</v>
      </c>
      <c r="AD25" s="128" t="s">
        <v>162</v>
      </c>
      <c r="AE25" s="129" t="s">
        <v>164</v>
      </c>
      <c r="AF25" s="130" t="s">
        <v>157</v>
      </c>
      <c r="AG25" s="136" t="s">
        <v>166</v>
      </c>
      <c r="AH25" s="136" t="s">
        <v>167</v>
      </c>
      <c r="AI25" s="137" t="s">
        <v>168</v>
      </c>
      <c r="AJ25" s="138" t="s">
        <v>32</v>
      </c>
    </row>
    <row r="26" spans="2:36" ht="45" x14ac:dyDescent="0.2">
      <c r="AC26" s="16" t="s">
        <v>143</v>
      </c>
      <c r="AD26" s="134" t="s">
        <v>163</v>
      </c>
      <c r="AE26" s="135" t="s">
        <v>165</v>
      </c>
      <c r="AF26" s="130" t="s">
        <v>157</v>
      </c>
      <c r="AG26" s="131" t="s">
        <v>169</v>
      </c>
      <c r="AH26" s="131" t="s">
        <v>169</v>
      </c>
      <c r="AI26" s="131" t="s">
        <v>169</v>
      </c>
      <c r="AJ26" s="131" t="s">
        <v>169</v>
      </c>
    </row>
    <row r="27" spans="2:36" ht="63.75" x14ac:dyDescent="0.2">
      <c r="AC27" s="16" t="s">
        <v>144</v>
      </c>
      <c r="AD27" s="128" t="s">
        <v>162</v>
      </c>
      <c r="AE27" s="129" t="s">
        <v>164</v>
      </c>
      <c r="AF27" s="130" t="s">
        <v>157</v>
      </c>
      <c r="AG27" s="136" t="s">
        <v>166</v>
      </c>
      <c r="AH27" s="131" t="s">
        <v>169</v>
      </c>
      <c r="AI27" s="131" t="s">
        <v>169</v>
      </c>
      <c r="AJ27" s="131" t="s">
        <v>169</v>
      </c>
    </row>
    <row r="28" spans="2:36" ht="63.75" x14ac:dyDescent="0.2">
      <c r="AC28" s="16" t="s">
        <v>145</v>
      </c>
      <c r="AD28" s="128" t="s">
        <v>162</v>
      </c>
      <c r="AE28" s="129" t="s">
        <v>164</v>
      </c>
      <c r="AF28" s="130" t="s">
        <v>157</v>
      </c>
      <c r="AG28" s="136" t="s">
        <v>166</v>
      </c>
      <c r="AH28" s="131" t="s">
        <v>169</v>
      </c>
      <c r="AI28" s="131" t="s">
        <v>169</v>
      </c>
      <c r="AJ28" s="131" t="s">
        <v>169</v>
      </c>
    </row>
    <row r="29" spans="2:36" ht="51" x14ac:dyDescent="0.2">
      <c r="AC29" s="16" t="s">
        <v>146</v>
      </c>
      <c r="AD29" s="128" t="s">
        <v>162</v>
      </c>
      <c r="AE29" s="129" t="s">
        <v>164</v>
      </c>
      <c r="AF29" s="130" t="s">
        <v>157</v>
      </c>
      <c r="AG29" s="136" t="s">
        <v>166</v>
      </c>
      <c r="AH29" s="131" t="s">
        <v>169</v>
      </c>
      <c r="AI29" s="131" t="s">
        <v>169</v>
      </c>
      <c r="AJ29" s="133" t="s">
        <v>32</v>
      </c>
    </row>
    <row r="30" spans="2:36" ht="76.5" x14ac:dyDescent="0.2">
      <c r="AC30" s="16" t="s">
        <v>147</v>
      </c>
      <c r="AD30" s="128" t="s">
        <v>162</v>
      </c>
      <c r="AE30" s="129" t="s">
        <v>164</v>
      </c>
      <c r="AF30" s="130" t="s">
        <v>157</v>
      </c>
      <c r="AG30" s="136" t="s">
        <v>166</v>
      </c>
      <c r="AH30" s="131" t="s">
        <v>169</v>
      </c>
      <c r="AI30" s="131" t="s">
        <v>169</v>
      </c>
      <c r="AJ30" s="131" t="s">
        <v>169</v>
      </c>
    </row>
    <row r="31" spans="2:36" ht="51" x14ac:dyDescent="0.2">
      <c r="AC31" s="16" t="s">
        <v>148</v>
      </c>
      <c r="AD31" s="128" t="s">
        <v>162</v>
      </c>
      <c r="AE31" s="129" t="s">
        <v>164</v>
      </c>
      <c r="AF31" s="130" t="s">
        <v>157</v>
      </c>
      <c r="AG31" s="136" t="s">
        <v>166</v>
      </c>
      <c r="AH31" s="131" t="s">
        <v>169</v>
      </c>
      <c r="AI31" s="131" t="s">
        <v>169</v>
      </c>
      <c r="AJ31" s="133" t="s">
        <v>32</v>
      </c>
    </row>
    <row r="32" spans="2:36" ht="76.5" x14ac:dyDescent="0.2">
      <c r="AC32" s="16" t="s">
        <v>149</v>
      </c>
      <c r="AD32" s="128" t="s">
        <v>162</v>
      </c>
      <c r="AE32" s="129" t="s">
        <v>164</v>
      </c>
      <c r="AF32" s="130" t="s">
        <v>157</v>
      </c>
      <c r="AG32" s="136" t="s">
        <v>166</v>
      </c>
      <c r="AH32" s="131" t="s">
        <v>169</v>
      </c>
      <c r="AI32" s="131" t="s">
        <v>169</v>
      </c>
      <c r="AJ32" s="131" t="s">
        <v>169</v>
      </c>
    </row>
    <row r="33" spans="29:36" ht="51" x14ac:dyDescent="0.2">
      <c r="AC33" s="16" t="s">
        <v>150</v>
      </c>
      <c r="AD33" s="128" t="s">
        <v>162</v>
      </c>
      <c r="AE33" s="129" t="s">
        <v>164</v>
      </c>
      <c r="AF33" s="130" t="s">
        <v>157</v>
      </c>
      <c r="AG33" s="136" t="s">
        <v>166</v>
      </c>
      <c r="AH33" s="131" t="s">
        <v>169</v>
      </c>
      <c r="AI33" s="131" t="s">
        <v>169</v>
      </c>
      <c r="AJ33" s="133" t="s">
        <v>32</v>
      </c>
    </row>
    <row r="34" spans="29:36" ht="76.5" x14ac:dyDescent="0.2">
      <c r="AC34" s="16" t="s">
        <v>151</v>
      </c>
      <c r="AD34" s="128" t="s">
        <v>162</v>
      </c>
      <c r="AE34" s="129" t="s">
        <v>164</v>
      </c>
      <c r="AF34" s="130" t="s">
        <v>157</v>
      </c>
      <c r="AG34" s="136" t="s">
        <v>166</v>
      </c>
      <c r="AH34" s="131" t="s">
        <v>169</v>
      </c>
      <c r="AI34" s="131" t="s">
        <v>169</v>
      </c>
      <c r="AJ34" s="131" t="s">
        <v>169</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charges'!$G$10:$G$108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2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2024-02-20T11:50:52Z</cp:lastPrinted>
  <dcterms:created xsi:type="dcterms:W3CDTF">2009-11-12T11:38:00Z</dcterms:created>
  <dcterms:modified xsi:type="dcterms:W3CDTF">2025-02-14T18:40:01Z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2022-12-06T09:28:07Z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6f569900-7bf4-4be4-ba23-782973fe26c5</vt:lpwstr>
  </property>
  <property fmtid="{D5CDD505-2E9C-101B-9397-08002B2CF9AE}" pid="12" name="MSIP_Label_24fe2fa2-8093-4776-8a20-2d25f8c7acf2_ContentBits">
    <vt:lpwstr>0</vt:lpwstr>
  </property>
</Properties>
</file>