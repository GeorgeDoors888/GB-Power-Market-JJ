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21-04-01\Statements\Draft Excel documents\"/>
    </mc:Choice>
  </mc:AlternateContent>
  <bookViews>
    <workbookView xWindow="-15" yWindow="-15" windowWidth="14520" windowHeight="13140" tabRatio="862"/>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Charge Calculator" sheetId="15" r:id="rId13"/>
  </sheets>
  <definedNames>
    <definedName name="_xlnm._FilterDatabase" localSheetId="2" hidden="1">'Annex 2 EHV charges'!$A$10:$O$58</definedName>
    <definedName name="_xlnm._FilterDatabase" localSheetId="6" hidden="1">'Annex 4 LDNO charges'!$A$12:$M$117</definedName>
    <definedName name="_xlnm._FilterDatabase" localSheetId="10" hidden="1">'Nodal prices'!$A$3:$D$255</definedName>
    <definedName name="_xlnm._FilterDatabase" localSheetId="11" hidden="1">'SSC unit rate lookup'!$A$28:$D$764</definedName>
    <definedName name="OLE_LINK1" localSheetId="5">'Annex 3 Preserved charges'!#REF!</definedName>
    <definedName name="_xlnm.Print_Area" localSheetId="1">'Annex 1 LV, HV and UMS charges'!$A$2:$K$31</definedName>
    <definedName name="_xlnm.Print_Area" localSheetId="2">'Annex 2 EHV charges'!$A$2:$O$58</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charges'!$A$2:$J$117</definedName>
    <definedName name="_xlnm.Print_Area" localSheetId="7">'Annex 5 LLFs'!$A$2:$G$88</definedName>
    <definedName name="_xlnm.Print_Area" localSheetId="8">'Annex 6 New or Amended EHV'!$A$2:$P$29</definedName>
    <definedName name="_xlnm.Print_Area" localSheetId="9">'Annex 7 Pass-Through Costs'!$A$2:$F$67</definedName>
    <definedName name="_xlnm.Print_Area" localSheetId="10">'Nodal prices'!$A$2:$D$255</definedName>
    <definedName name="_xlnm.Print_Titles" localSheetId="1">'Annex 1 LV, HV and UMS charges'!$2:$12</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charges'!$A$2:$K$31</definedName>
    <definedName name="Z_5032A364_B81A_48DA_88DA_AB3B86B47EE9_.wvu.PrintArea" localSheetId="2" hidden="1">'Annex 2 EHV charges'!$A$2:$I$20</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LLFs'!$A$3:$F$72</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prices'!$A$2:$D$18</definedName>
    <definedName name="Z_5032A364_B81A_48DA_88DA_AB3B86B47EE9_.wvu.PrintTitles" localSheetId="1" hidden="1">'Annex 1 LV, HV and UMS charges'!$2:$12</definedName>
    <definedName name="Z_5032A364_B81A_48DA_88DA_AB3B86B47EE9_.wvu.PrintTitles" localSheetId="2" hidden="1">'Annex 2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B6" i="24" l="1"/>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A2" i="24" l="1"/>
  <c r="B5" i="24" l="1"/>
  <c r="C5" i="24" l="1"/>
  <c r="I9" i="15" l="1"/>
  <c r="H9" i="15"/>
  <c r="G9" i="15"/>
  <c r="F9" i="15"/>
  <c r="E9" i="15"/>
  <c r="D9" i="15"/>
  <c r="C9" i="15"/>
  <c r="E12" i="15" l="1"/>
  <c r="D12" i="15"/>
  <c r="C12" i="15"/>
  <c r="B13" i="1" l="1"/>
  <c r="I14" i="15" l="1"/>
  <c r="H14" i="15"/>
  <c r="B2" i="15" l="1"/>
  <c r="A2" i="7"/>
  <c r="A17" i="8"/>
  <c r="A4" i="8"/>
  <c r="A3" i="6"/>
  <c r="A2" i="5"/>
  <c r="A2" i="4" l="1"/>
  <c r="A2" i="14"/>
  <c r="A2" i="13"/>
  <c r="A2" i="12" l="1"/>
  <c r="A2" i="2" l="1"/>
  <c r="G10" i="15" s="1"/>
  <c r="I10" i="15" l="1"/>
  <c r="H10" i="15"/>
  <c r="B11" i="1"/>
  <c r="B9" i="1"/>
  <c r="H17" i="15" l="1"/>
  <c r="R9" i="15"/>
  <c r="S9" i="15"/>
  <c r="T9" i="15"/>
  <c r="Q9" i="15"/>
  <c r="N9" i="15"/>
  <c r="O9" i="15"/>
  <c r="P9" i="15"/>
  <c r="M9" i="15"/>
  <c r="P5" i="8" l="1"/>
  <c r="J5" i="8"/>
  <c r="K5" i="8"/>
  <c r="L5" i="8"/>
  <c r="M5" i="8"/>
  <c r="N5" i="8"/>
  <c r="O5" i="8"/>
  <c r="I5" i="8"/>
  <c r="F4" i="14"/>
  <c r="G4" i="14"/>
  <c r="H4" i="14"/>
  <c r="E4" i="14"/>
  <c r="F4" i="13"/>
  <c r="G4" i="13"/>
  <c r="H4" i="13"/>
  <c r="E4" i="13"/>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A11" i="13" a="1"/>
  <c r="A11" i="13" s="1"/>
  <c r="A12" i="13" s="1" a="1"/>
  <c r="A12" i="13"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C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A33" i="14" l="1" a="1"/>
  <c r="A33" i="14" s="1"/>
  <c r="D32" i="14"/>
  <c r="H32" i="14"/>
  <c r="E32" i="14"/>
  <c r="F32" i="14"/>
  <c r="G32" i="14"/>
  <c r="B32" i="14"/>
  <c r="C32" i="14"/>
  <c r="H33" i="13"/>
  <c r="G33" i="13"/>
  <c r="B33" i="13"/>
  <c r="C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B39" i="13" l="1"/>
  <c r="F39" i="13"/>
  <c r="E39" i="13"/>
  <c r="C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2" i="14"/>
  <c r="G42" i="14"/>
  <c r="E42" i="14"/>
  <c r="F42" i="14"/>
  <c r="H42" i="14"/>
  <c r="B42" i="14"/>
  <c r="D42" i="14"/>
  <c r="H44" i="13"/>
  <c r="G44" i="13"/>
  <c r="B44" i="13"/>
  <c r="E44" i="13"/>
  <c r="A45" i="13" a="1"/>
  <c r="A45" i="13" s="1"/>
  <c r="C45" i="13" s="1"/>
  <c r="C44" i="13"/>
  <c r="D44" i="13"/>
  <c r="E45" i="13" l="1"/>
  <c r="B45" i="13"/>
  <c r="A44" i="14" a="1"/>
  <c r="A44" i="14" s="1"/>
  <c r="D43" i="14"/>
  <c r="H43" i="14"/>
  <c r="C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D56" i="14"/>
  <c r="H56" i="14"/>
  <c r="E56" i="14"/>
  <c r="B56" i="14"/>
  <c r="C56" i="14"/>
  <c r="F56" i="14"/>
  <c r="G56" i="14"/>
  <c r="B58" i="13"/>
  <c r="A59" i="13" a="1"/>
  <c r="A59" i="13" s="1"/>
  <c r="D59" i="13" s="1"/>
  <c r="F58" i="13"/>
  <c r="G58" i="13"/>
  <c r="E58" i="13"/>
  <c r="H58" i="13"/>
  <c r="C59" i="13" l="1"/>
  <c r="A58" i="14" a="1"/>
  <c r="A58" i="14" s="1"/>
  <c r="E57" i="14"/>
  <c r="B57" i="14"/>
  <c r="F57" i="14"/>
  <c r="C57" i="14"/>
  <c r="D57" i="14"/>
  <c r="G57" i="14"/>
  <c r="H57" i="14"/>
  <c r="B59" i="13"/>
  <c r="A60" i="13" a="1"/>
  <c r="A60" i="13" s="1"/>
  <c r="G60" i="13" s="1"/>
  <c r="F59" i="13"/>
  <c r="G59" i="13"/>
  <c r="H59" i="13"/>
  <c r="E59" i="13"/>
  <c r="E60" i="13" l="1"/>
  <c r="A59" i="14" a="1"/>
  <c r="A59" i="14" s="1"/>
  <c r="B58" i="14"/>
  <c r="F58" i="14"/>
  <c r="C58" i="14"/>
  <c r="G58" i="14"/>
  <c r="D58" i="14"/>
  <c r="E58" i="14"/>
  <c r="H58" i="14"/>
  <c r="B60" i="13"/>
  <c r="A61" i="13" a="1"/>
  <c r="A61" i="13" s="1"/>
  <c r="C61" i="13" s="1"/>
  <c r="F60" i="13"/>
  <c r="H60" i="13"/>
  <c r="C60" i="13"/>
  <c r="D60" i="13"/>
  <c r="E61" i="13" l="1"/>
  <c r="A60" i="14" a="1"/>
  <c r="A60" i="14" s="1"/>
  <c r="C59" i="14"/>
  <c r="G59" i="14"/>
  <c r="D59" i="14"/>
  <c r="H59" i="14"/>
  <c r="E59" i="14"/>
  <c r="F59" i="14"/>
  <c r="B59" i="14"/>
  <c r="B61" i="13"/>
  <c r="A62" i="13" a="1"/>
  <c r="A62" i="13" s="1"/>
  <c r="C62" i="13" s="1"/>
  <c r="G61" i="13"/>
  <c r="D61" i="13"/>
  <c r="F61" i="13"/>
  <c r="H61" i="13"/>
  <c r="F62" i="13" l="1"/>
  <c r="A61" i="14" a="1"/>
  <c r="A61" i="14" s="1"/>
  <c r="D60" i="14"/>
  <c r="H60" i="14"/>
  <c r="E60" i="14"/>
  <c r="F60" i="14"/>
  <c r="G60" i="14"/>
  <c r="B60" i="14"/>
  <c r="C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7" i="14"/>
  <c r="G67" i="14"/>
  <c r="D67" i="14"/>
  <c r="H67" i="14"/>
  <c r="E67" i="14"/>
  <c r="F67" i="14"/>
  <c r="B67" i="14"/>
  <c r="A70" i="13" a="1"/>
  <c r="A70" i="13" s="1"/>
  <c r="C70" i="13" s="1"/>
  <c r="C69" i="13"/>
  <c r="G69" i="13"/>
  <c r="D69" i="13"/>
  <c r="E69" i="13"/>
  <c r="A69" i="14" l="1" a="1"/>
  <c r="A69" i="14" s="1"/>
  <c r="D68" i="14"/>
  <c r="H68" i="14"/>
  <c r="E68" i="14"/>
  <c r="F68" i="14"/>
  <c r="G68" i="14"/>
  <c r="B68" i="14"/>
  <c r="C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A73" i="14" l="1" a="1"/>
  <c r="A73" i="14" s="1"/>
  <c r="D72" i="14"/>
  <c r="H72" i="14"/>
  <c r="E72" i="14"/>
  <c r="B72" i="14"/>
  <c r="C72" i="14"/>
  <c r="F72" i="14"/>
  <c r="G72" i="14"/>
  <c r="D74" i="13"/>
  <c r="B74" i="13"/>
  <c r="A75" i="13" a="1"/>
  <c r="A75" i="13" s="1"/>
  <c r="D75" i="13" s="1"/>
  <c r="F74" i="13"/>
  <c r="G74" i="13"/>
  <c r="E74" i="13"/>
  <c r="H74" i="13"/>
  <c r="B75" i="13" l="1"/>
  <c r="E75" i="13"/>
  <c r="A74" i="14" a="1"/>
  <c r="A74" i="14" s="1"/>
  <c r="E73" i="14"/>
  <c r="B73" i="14"/>
  <c r="F73" i="14"/>
  <c r="C73" i="14"/>
  <c r="D73" i="14"/>
  <c r="G73" i="14"/>
  <c r="H73" i="14"/>
  <c r="A76" i="13" a="1"/>
  <c r="A76" i="13" s="1"/>
  <c r="G76" i="13" s="1"/>
  <c r="F75" i="13"/>
  <c r="G75" i="13"/>
  <c r="H75" i="13"/>
  <c r="C75" i="13"/>
  <c r="A75" i="14" l="1" a="1"/>
  <c r="A75" i="14" s="1"/>
  <c r="B74" i="14"/>
  <c r="F74" i="14"/>
  <c r="C74" i="14"/>
  <c r="G74" i="14"/>
  <c r="D74" i="14"/>
  <c r="E74" i="14"/>
  <c r="H74" i="14"/>
  <c r="C76" i="13"/>
  <c r="B76" i="13"/>
  <c r="A77" i="13" a="1"/>
  <c r="A77" i="13" s="1"/>
  <c r="C77" i="13" s="1"/>
  <c r="E76" i="13"/>
  <c r="D76" i="13"/>
  <c r="F76" i="13"/>
  <c r="H76" i="13"/>
  <c r="B77" i="13" l="1"/>
  <c r="E77" i="13"/>
  <c r="A76" i="14" a="1"/>
  <c r="A76" i="14" s="1"/>
  <c r="C75" i="14"/>
  <c r="D75" i="14"/>
  <c r="H75" i="14"/>
  <c r="E75" i="14"/>
  <c r="F75" i="14"/>
  <c r="G75" i="14"/>
  <c r="B75" i="14"/>
  <c r="A78" i="13" a="1"/>
  <c r="A78" i="13" s="1"/>
  <c r="C78" i="13" s="1"/>
  <c r="G77" i="13"/>
  <c r="H77" i="13"/>
  <c r="F77" i="13"/>
  <c r="D77" i="13"/>
  <c r="B78" i="13" l="1"/>
  <c r="F78" i="13"/>
  <c r="A77" i="14" a="1"/>
  <c r="A77" i="14" s="1"/>
  <c r="E76" i="14"/>
  <c r="C76" i="14"/>
  <c r="H76" i="14"/>
  <c r="D76" i="14"/>
  <c r="B76" i="14"/>
  <c r="F76" i="14"/>
  <c r="G76" i="14"/>
  <c r="A79" i="13" a="1"/>
  <c r="A79" i="13" s="1"/>
  <c r="C79" i="13" s="1"/>
  <c r="G78" i="13"/>
  <c r="D78" i="13"/>
  <c r="E78" i="13"/>
  <c r="H78" i="13"/>
  <c r="A78" i="14" l="1" a="1"/>
  <c r="A78" i="14" s="1"/>
  <c r="B77" i="14"/>
  <c r="F77" i="14"/>
  <c r="G77" i="14"/>
  <c r="C77" i="14"/>
  <c r="H77" i="14"/>
  <c r="D77" i="14"/>
  <c r="E77" i="14"/>
  <c r="F79" i="13"/>
  <c r="B79" i="13"/>
  <c r="A80" i="13" a="1"/>
  <c r="A80" i="13" s="1"/>
  <c r="G80" i="13" s="1"/>
  <c r="H79" i="13"/>
  <c r="G79" i="13"/>
  <c r="D79" i="13"/>
  <c r="E79" i="13"/>
  <c r="B80" i="13" l="1"/>
  <c r="H80" i="13"/>
  <c r="A79" i="14" a="1"/>
  <c r="A79" i="14" s="1"/>
  <c r="C78" i="14"/>
  <c r="G78" i="14"/>
  <c r="E78" i="14"/>
  <c r="F78" i="14"/>
  <c r="H78" i="14"/>
  <c r="B78" i="14"/>
  <c r="D78" i="14"/>
  <c r="A81" i="13" a="1"/>
  <c r="A81" i="13" s="1"/>
  <c r="F81" i="13" s="1"/>
  <c r="F80" i="13"/>
  <c r="D80" i="13"/>
  <c r="C80" i="13"/>
  <c r="E80" i="13"/>
  <c r="A80" i="14" l="1" a="1"/>
  <c r="A80" i="14" s="1"/>
  <c r="D79" i="14"/>
  <c r="H79" i="14"/>
  <c r="C79" i="14"/>
  <c r="E79" i="14"/>
  <c r="B79" i="14"/>
  <c r="F79" i="14"/>
  <c r="G79" i="14"/>
  <c r="B81" i="13"/>
  <c r="H81" i="13"/>
  <c r="A82" i="13" a="1"/>
  <c r="A82" i="13" s="1"/>
  <c r="E82" i="13" s="1"/>
  <c r="G81" i="13"/>
  <c r="E81" i="13"/>
  <c r="C81" i="13"/>
  <c r="D81" i="13"/>
  <c r="A81" i="14" l="1" a="1"/>
  <c r="A81" i="14" s="1"/>
  <c r="E80" i="14"/>
  <c r="B80" i="14"/>
  <c r="G80" i="14"/>
  <c r="C80" i="14"/>
  <c r="H80" i="14"/>
  <c r="D80" i="14"/>
  <c r="F80" i="14"/>
  <c r="A83" i="13" a="1"/>
  <c r="A83" i="13" s="1"/>
  <c r="G83" i="13" s="1"/>
  <c r="G82" i="13"/>
  <c r="F82" i="13"/>
  <c r="C82" i="13"/>
  <c r="B82" i="13"/>
  <c r="D82" i="13"/>
  <c r="H82" i="13"/>
  <c r="A82" i="14" l="1" a="1"/>
  <c r="A82" i="14" s="1"/>
  <c r="B81" i="14"/>
  <c r="F81" i="14"/>
  <c r="E81" i="14"/>
  <c r="G81" i="14"/>
  <c r="H81" i="14"/>
  <c r="C81" i="14"/>
  <c r="D81" i="14"/>
  <c r="A84" i="13" a="1"/>
  <c r="A84" i="13" s="1"/>
  <c r="H84" i="13" s="1"/>
  <c r="H83" i="13"/>
  <c r="E83" i="13"/>
  <c r="D83" i="13"/>
  <c r="F83" i="13"/>
  <c r="C83" i="13"/>
  <c r="B83" i="13"/>
  <c r="A83" i="14" l="1" a="1"/>
  <c r="A83" i="14" s="1"/>
  <c r="C82" i="14"/>
  <c r="G82" i="14"/>
  <c r="D82" i="14"/>
  <c r="E82" i="14"/>
  <c r="B82" i="14"/>
  <c r="F82" i="14"/>
  <c r="H82" i="14"/>
  <c r="E84" i="13"/>
  <c r="G84" i="13"/>
  <c r="D84" i="13"/>
  <c r="C84" i="13"/>
  <c r="B84" i="13"/>
  <c r="F84" i="13"/>
  <c r="A85" i="13" a="1"/>
  <c r="A85" i="13" s="1"/>
  <c r="H85" i="13" s="1"/>
  <c r="A84" i="14" l="1" a="1"/>
  <c r="A84" i="14" s="1"/>
  <c r="D83" i="14"/>
  <c r="H83" i="14"/>
  <c r="B83" i="14"/>
  <c r="G83" i="14"/>
  <c r="C83" i="14"/>
  <c r="E83" i="14"/>
  <c r="F83" i="14"/>
  <c r="A86" i="13" a="1"/>
  <c r="A86" i="13" s="1"/>
  <c r="H86" i="13" s="1"/>
  <c r="D85" i="13"/>
  <c r="E85" i="13"/>
  <c r="F85" i="13"/>
  <c r="B85" i="13"/>
  <c r="G85" i="13"/>
  <c r="C85" i="13"/>
  <c r="A85" i="14" l="1" a="1"/>
  <c r="A85" i="14" s="1"/>
  <c r="E84" i="14"/>
  <c r="F84" i="14"/>
  <c r="B84" i="14"/>
  <c r="G84" i="14"/>
  <c r="H84" i="14"/>
  <c r="C84" i="14"/>
  <c r="D84" i="14"/>
  <c r="G86" i="13"/>
  <c r="E86" i="13"/>
  <c r="D86" i="13"/>
  <c r="C86" i="13"/>
  <c r="B86" i="13"/>
  <c r="F86" i="13"/>
  <c r="A87" i="13" a="1"/>
  <c r="A87" i="13" s="1"/>
  <c r="H87" i="13" s="1"/>
  <c r="A86" i="14" l="1" a="1"/>
  <c r="A86" i="14" s="1"/>
  <c r="B85" i="14"/>
  <c r="F85" i="14"/>
  <c r="D85" i="14"/>
  <c r="E85" i="14"/>
  <c r="C85" i="14"/>
  <c r="G85" i="14"/>
  <c r="H85" i="14"/>
  <c r="C87" i="13"/>
  <c r="D87" i="13"/>
  <c r="B87" i="13"/>
  <c r="F87" i="13"/>
  <c r="A88" i="13" a="1"/>
  <c r="A88" i="13" s="1"/>
  <c r="G88" i="13" s="1"/>
  <c r="G87" i="13"/>
  <c r="E87" i="13"/>
  <c r="A87" i="14" l="1" a="1"/>
  <c r="A87" i="14" s="1"/>
  <c r="C86" i="14"/>
  <c r="G86" i="14"/>
  <c r="B86" i="14"/>
  <c r="H86" i="14"/>
  <c r="D86" i="14"/>
  <c r="E86" i="14"/>
  <c r="F86" i="14"/>
  <c r="E88" i="13"/>
  <c r="C88" i="13"/>
  <c r="B88" i="13"/>
  <c r="H88" i="13"/>
  <c r="A89" i="13" a="1"/>
  <c r="A89" i="13" s="1"/>
  <c r="D89" i="13" s="1"/>
  <c r="D88" i="13"/>
  <c r="F88" i="13"/>
  <c r="A88" i="14" l="1" a="1"/>
  <c r="A88" i="14" s="1"/>
  <c r="D87" i="14"/>
  <c r="H87" i="14"/>
  <c r="F87" i="14"/>
  <c r="B87" i="14"/>
  <c r="G87" i="14"/>
  <c r="C87" i="14"/>
  <c r="E87" i="14"/>
  <c r="H89" i="13"/>
  <c r="F89" i="13"/>
  <c r="G89" i="13"/>
  <c r="C89" i="13"/>
  <c r="B89" i="13"/>
  <c r="E89" i="13"/>
  <c r="A90" i="13" a="1"/>
  <c r="A90" i="13" s="1"/>
  <c r="E90" i="13" s="1"/>
  <c r="A89" i="14" l="1" a="1"/>
  <c r="A89" i="14" s="1"/>
  <c r="E88" i="14"/>
  <c r="D88" i="14"/>
  <c r="F88" i="14"/>
  <c r="B88" i="14"/>
  <c r="C88" i="14"/>
  <c r="G88" i="14"/>
  <c r="H88" i="14"/>
  <c r="F90" i="13"/>
  <c r="C90" i="13"/>
  <c r="B90" i="13"/>
  <c r="G90" i="13"/>
  <c r="A91" i="13" a="1"/>
  <c r="A91" i="13" s="1"/>
  <c r="C91" i="13" s="1"/>
  <c r="D90" i="13"/>
  <c r="H90" i="13"/>
  <c r="A90" i="14" l="1" a="1"/>
  <c r="A90" i="14" s="1"/>
  <c r="B89" i="14"/>
  <c r="F89" i="14"/>
  <c r="C89" i="14"/>
  <c r="H89" i="14"/>
  <c r="D89" i="14"/>
  <c r="E89" i="14"/>
  <c r="G89" i="14"/>
  <c r="F91" i="13"/>
  <c r="H91" i="13"/>
  <c r="G91" i="13"/>
  <c r="D91" i="13"/>
  <c r="B91" i="13"/>
  <c r="E91" i="13"/>
  <c r="A92" i="13" a="1"/>
  <c r="A92" i="13" s="1"/>
  <c r="C92" i="13" s="1"/>
  <c r="A91" i="14" l="1" a="1"/>
  <c r="A91" i="14" s="1"/>
  <c r="C90" i="14"/>
  <c r="G90" i="14"/>
  <c r="F90" i="14"/>
  <c r="B90" i="14"/>
  <c r="H90" i="14"/>
  <c r="D90" i="14"/>
  <c r="E90" i="14"/>
  <c r="F92" i="13"/>
  <c r="G92" i="13"/>
  <c r="B92" i="13"/>
  <c r="D92" i="13"/>
  <c r="A93" i="13" a="1"/>
  <c r="A93" i="13" s="1"/>
  <c r="F93" i="13" s="1"/>
  <c r="E92" i="13"/>
  <c r="H92" i="13"/>
  <c r="A92" i="14" l="1" a="1"/>
  <c r="A92" i="14" s="1"/>
  <c r="D91" i="14"/>
  <c r="H91" i="14"/>
  <c r="E91" i="14"/>
  <c r="F91" i="14"/>
  <c r="B91" i="14"/>
  <c r="C91" i="14"/>
  <c r="G91" i="14"/>
  <c r="D93" i="13"/>
  <c r="C93" i="13"/>
  <c r="B93" i="13"/>
  <c r="G93" i="13"/>
  <c r="A94" i="13" a="1"/>
  <c r="A94" i="13" s="1"/>
  <c r="F94" i="13" s="1"/>
  <c r="E93" i="13"/>
  <c r="H93" i="13"/>
  <c r="A93" i="14" l="1" a="1"/>
  <c r="A93" i="14" s="1"/>
  <c r="E92" i="14"/>
  <c r="C92" i="14"/>
  <c r="H92" i="14"/>
  <c r="D92" i="14"/>
  <c r="F92" i="14"/>
  <c r="G92" i="14"/>
  <c r="B92" i="14"/>
  <c r="D94" i="13"/>
  <c r="E94" i="13"/>
  <c r="G94" i="13"/>
  <c r="C94" i="13"/>
  <c r="B94" i="13"/>
  <c r="H94" i="13"/>
  <c r="A95" i="13" a="1"/>
  <c r="A95" i="13" s="1"/>
  <c r="D95" i="13" s="1"/>
  <c r="A94" i="14" l="1" a="1"/>
  <c r="A94" i="14" s="1"/>
  <c r="B93" i="14"/>
  <c r="F93" i="14"/>
  <c r="G93" i="14"/>
  <c r="C93" i="14"/>
  <c r="H93" i="14"/>
  <c r="D93" i="14"/>
  <c r="E93" i="14"/>
  <c r="E95" i="13"/>
  <c r="C95" i="13"/>
  <c r="B95" i="13"/>
  <c r="F95" i="13"/>
  <c r="A96" i="13" a="1"/>
  <c r="A96" i="13" s="1"/>
  <c r="F96" i="13" s="1"/>
  <c r="H95" i="13"/>
  <c r="G95" i="13"/>
  <c r="A95" i="14" l="1" a="1"/>
  <c r="A95" i="14" s="1"/>
  <c r="C94" i="14"/>
  <c r="G94" i="14"/>
  <c r="E94" i="14"/>
  <c r="F94" i="14"/>
  <c r="B94" i="14"/>
  <c r="D94" i="14"/>
  <c r="H94" i="14"/>
  <c r="D96" i="13"/>
  <c r="G96" i="13"/>
  <c r="B96" i="13"/>
  <c r="C96" i="13"/>
  <c r="A97" i="13" a="1"/>
  <c r="A97" i="13" s="1"/>
  <c r="C97" i="13" s="1"/>
  <c r="E96" i="13"/>
  <c r="H96" i="13"/>
  <c r="A96" i="14" l="1" a="1"/>
  <c r="A96" i="14" s="1"/>
  <c r="D95" i="14"/>
  <c r="H95" i="14"/>
  <c r="E95" i="14"/>
  <c r="C95" i="14"/>
  <c r="F95" i="14"/>
  <c r="G95" i="14"/>
  <c r="B95" i="14"/>
  <c r="D97" i="13"/>
  <c r="G97" i="13"/>
  <c r="E97" i="13"/>
  <c r="F97" i="13"/>
  <c r="B97" i="13"/>
  <c r="H97" i="13"/>
  <c r="A98" i="13" a="1"/>
  <c r="A98" i="13" s="1"/>
  <c r="E98" i="13" s="1"/>
  <c r="A97" i="14" l="1" a="1"/>
  <c r="A97" i="14" s="1"/>
  <c r="E96" i="14"/>
  <c r="C96" i="14"/>
  <c r="H96" i="14"/>
  <c r="D96" i="14"/>
  <c r="F96" i="14"/>
  <c r="G96" i="14"/>
  <c r="B96" i="14"/>
  <c r="D98" i="13"/>
  <c r="C98" i="13"/>
  <c r="B98" i="13"/>
  <c r="H98" i="13"/>
  <c r="A99" i="13" a="1"/>
  <c r="A99" i="13" s="1"/>
  <c r="D99" i="13" s="1"/>
  <c r="G98" i="13"/>
  <c r="F98" i="13"/>
  <c r="A98" i="14" l="1" a="1"/>
  <c r="A98" i="14" s="1"/>
  <c r="B97" i="14"/>
  <c r="F97" i="14"/>
  <c r="G97" i="14"/>
  <c r="D97" i="14"/>
  <c r="E97" i="14"/>
  <c r="H97" i="14"/>
  <c r="C97" i="14"/>
  <c r="E99" i="13"/>
  <c r="C99" i="13"/>
  <c r="B99" i="13"/>
  <c r="G99" i="13"/>
  <c r="A100" i="13" a="1"/>
  <c r="A100" i="13" s="1"/>
  <c r="F100" i="13" s="1"/>
  <c r="H99" i="13"/>
  <c r="F99" i="13"/>
  <c r="A99" i="14" l="1" a="1"/>
  <c r="A99" i="14" s="1"/>
  <c r="C98" i="14"/>
  <c r="G98" i="14"/>
  <c r="E98" i="14"/>
  <c r="D98" i="14"/>
  <c r="F98" i="14"/>
  <c r="H98" i="14"/>
  <c r="B98" i="14"/>
  <c r="A101" i="13" a="1"/>
  <c r="A101" i="13" s="1"/>
  <c r="G101" i="13" s="1"/>
  <c r="H100" i="13"/>
  <c r="D100" i="13"/>
  <c r="G100" i="13"/>
  <c r="E100" i="13"/>
  <c r="C100" i="13"/>
  <c r="B100" i="13"/>
  <c r="A100" i="14" l="1" a="1"/>
  <c r="A100" i="14" s="1"/>
  <c r="D99" i="14"/>
  <c r="H99" i="14"/>
  <c r="C99" i="14"/>
  <c r="E99" i="14"/>
  <c r="F99" i="14"/>
  <c r="G99" i="14"/>
  <c r="B99" i="14"/>
  <c r="A102" i="13" a="1"/>
  <c r="A102" i="13" s="1"/>
  <c r="H102" i="13" s="1"/>
  <c r="H101" i="13"/>
  <c r="E101" i="13"/>
  <c r="C101" i="13"/>
  <c r="D101" i="13"/>
  <c r="F101" i="13"/>
  <c r="B101" i="13"/>
  <c r="A101" i="14" l="1" a="1"/>
  <c r="A101" i="14" s="1"/>
  <c r="E100" i="14"/>
  <c r="B100" i="14"/>
  <c r="G100" i="14"/>
  <c r="D100" i="14"/>
  <c r="F100" i="14"/>
  <c r="H100" i="14"/>
  <c r="C100" i="14"/>
  <c r="G102" i="13"/>
  <c r="E102" i="13"/>
  <c r="F102" i="13"/>
  <c r="C102" i="13"/>
  <c r="B102" i="13"/>
  <c r="D102" i="13"/>
  <c r="A103" i="13" a="1"/>
  <c r="A103" i="13" s="1"/>
  <c r="H103" i="13" s="1"/>
  <c r="A102" i="14" l="1" a="1"/>
  <c r="A102" i="14" s="1"/>
  <c r="B101" i="14"/>
  <c r="F101" i="14"/>
  <c r="E101" i="14"/>
  <c r="D101" i="14"/>
  <c r="G101" i="14"/>
  <c r="H101" i="14"/>
  <c r="C101" i="14"/>
  <c r="B103" i="13"/>
  <c r="F103" i="13"/>
  <c r="E103" i="13"/>
  <c r="D103" i="13"/>
  <c r="A104" i="13" a="1"/>
  <c r="A104" i="13" s="1"/>
  <c r="D104" i="13" s="1"/>
  <c r="C103" i="13"/>
  <c r="G103" i="13"/>
  <c r="A103" i="14" l="1" a="1"/>
  <c r="A103" i="14" s="1"/>
  <c r="C102" i="14"/>
  <c r="G102" i="14"/>
  <c r="D102" i="14"/>
  <c r="E102" i="14"/>
  <c r="F102" i="14"/>
  <c r="H102" i="14"/>
  <c r="B102" i="14"/>
  <c r="E104" i="13"/>
  <c r="G104" i="13"/>
  <c r="F104" i="13"/>
  <c r="C104" i="13"/>
  <c r="B104" i="13"/>
  <c r="H104" i="13"/>
  <c r="A105" i="13" a="1"/>
  <c r="A105" i="13" s="1"/>
  <c r="F105" i="13" s="1"/>
  <c r="A104" i="14" l="1" a="1"/>
  <c r="A104" i="14" s="1"/>
  <c r="D103" i="14"/>
  <c r="H103" i="14"/>
  <c r="B103" i="14"/>
  <c r="G103" i="14"/>
  <c r="E103" i="14"/>
  <c r="F103" i="14"/>
  <c r="C103" i="14"/>
  <c r="A106" i="13" a="1"/>
  <c r="A106" i="13" s="1"/>
  <c r="D106" i="13" s="1"/>
  <c r="D105" i="13"/>
  <c r="E105" i="13"/>
  <c r="C105" i="13"/>
  <c r="B105" i="13"/>
  <c r="H105" i="13"/>
  <c r="G105" i="13"/>
  <c r="A105" i="14" l="1" a="1"/>
  <c r="A105" i="14" s="1"/>
  <c r="E104" i="14"/>
  <c r="F104" i="14"/>
  <c r="D104" i="14"/>
  <c r="G104" i="14"/>
  <c r="B104" i="14"/>
  <c r="H104" i="14"/>
  <c r="C104" i="14"/>
  <c r="H106" i="13"/>
  <c r="E106" i="13"/>
  <c r="G106" i="13"/>
  <c r="C106" i="13"/>
  <c r="B106" i="13"/>
  <c r="F106" i="13"/>
  <c r="A107" i="13" a="1"/>
  <c r="A107" i="13" s="1"/>
  <c r="H107" i="13" s="1"/>
  <c r="A106" i="14" l="1" a="1"/>
  <c r="A106" i="14" s="1"/>
  <c r="B105" i="14"/>
  <c r="F105" i="14"/>
  <c r="D105" i="14"/>
  <c r="E105" i="14"/>
  <c r="G105" i="14"/>
  <c r="H105" i="14"/>
  <c r="C105" i="14"/>
  <c r="A108" i="13" a="1"/>
  <c r="A108" i="13" s="1"/>
  <c r="H108" i="13" s="1"/>
  <c r="E107" i="13"/>
  <c r="F107" i="13"/>
  <c r="D107" i="13"/>
  <c r="B107" i="13"/>
  <c r="G107" i="13"/>
  <c r="C107" i="13"/>
  <c r="A107" i="14" l="1" a="1"/>
  <c r="A107" i="14" s="1"/>
  <c r="C106" i="14"/>
  <c r="G106" i="14"/>
  <c r="B106" i="14"/>
  <c r="H106" i="14"/>
  <c r="E106" i="14"/>
  <c r="F106" i="14"/>
  <c r="D106" i="14"/>
  <c r="C108" i="13"/>
  <c r="E108" i="13"/>
  <c r="D108" i="13"/>
  <c r="G108" i="13"/>
  <c r="B108" i="13"/>
  <c r="F108" i="13"/>
  <c r="A109" i="13" a="1"/>
  <c r="A109" i="13" s="1"/>
  <c r="F109" i="13" s="1"/>
  <c r="A108" i="14" l="1" a="1"/>
  <c r="A108" i="14" s="1"/>
  <c r="D107" i="14"/>
  <c r="H107" i="14"/>
  <c r="F107" i="14"/>
  <c r="E107" i="14"/>
  <c r="G107" i="14"/>
  <c r="B107" i="14"/>
  <c r="C107" i="14"/>
  <c r="G109" i="13"/>
  <c r="C109" i="13"/>
  <c r="B109" i="13"/>
  <c r="D109" i="13"/>
  <c r="A110" i="13" a="1"/>
  <c r="A110" i="13" s="1"/>
  <c r="E110" i="13" s="1"/>
  <c r="E109" i="13"/>
  <c r="H109" i="13"/>
  <c r="A109" i="14" l="1" a="1"/>
  <c r="A109" i="14" s="1"/>
  <c r="E108" i="14"/>
  <c r="D108" i="14"/>
  <c r="F108" i="14"/>
  <c r="G108" i="14"/>
  <c r="B108" i="14"/>
  <c r="H108" i="14"/>
  <c r="C108" i="14"/>
  <c r="D110" i="13"/>
  <c r="C110" i="13"/>
  <c r="B110" i="13"/>
  <c r="G110" i="13"/>
  <c r="A111" i="13" a="1"/>
  <c r="A111" i="13" s="1"/>
  <c r="D111" i="13" s="1"/>
  <c r="F110" i="13"/>
  <c r="H110" i="13"/>
  <c r="A110" i="14" l="1" a="1"/>
  <c r="A110" i="14" s="1"/>
  <c r="B109" i="14"/>
  <c r="F109" i="14"/>
  <c r="C109" i="14"/>
  <c r="H109" i="14"/>
  <c r="E109" i="14"/>
  <c r="G109" i="14"/>
  <c r="D109" i="14"/>
  <c r="G111" i="13"/>
  <c r="C111" i="13"/>
  <c r="B111" i="13"/>
  <c r="H111" i="13"/>
  <c r="A112" i="13" a="1"/>
  <c r="A112" i="13" s="1"/>
  <c r="H112" i="13" s="1"/>
  <c r="F111" i="13"/>
  <c r="E111" i="13"/>
  <c r="A111" i="14" l="1" a="1"/>
  <c r="A111" i="14" s="1"/>
  <c r="C110" i="14"/>
  <c r="G110" i="14"/>
  <c r="F110" i="14"/>
  <c r="E110" i="14"/>
  <c r="H110" i="14"/>
  <c r="B110" i="14"/>
  <c r="D110" i="14"/>
  <c r="F112" i="13"/>
  <c r="E112" i="13"/>
  <c r="D112" i="13"/>
  <c r="C112" i="13"/>
  <c r="B112" i="13"/>
  <c r="G112" i="13"/>
  <c r="A113" i="13" a="1"/>
  <c r="A113" i="13" s="1"/>
  <c r="D113" i="13" s="1"/>
  <c r="A112" i="14" l="1" a="1"/>
  <c r="A112" i="14" s="1"/>
  <c r="D111" i="14"/>
  <c r="H111" i="14"/>
  <c r="E111" i="14"/>
  <c r="F111" i="14"/>
  <c r="G111" i="14"/>
  <c r="B111" i="14"/>
  <c r="C111" i="14"/>
  <c r="E113" i="13"/>
  <c r="C113" i="13"/>
  <c r="B113" i="13"/>
  <c r="G113" i="13"/>
  <c r="A114" i="13" a="1"/>
  <c r="A114" i="13" s="1"/>
  <c r="D114" i="13" s="1"/>
  <c r="H113" i="13"/>
  <c r="F113" i="13"/>
  <c r="A113" i="14" l="1" a="1"/>
  <c r="A113" i="14" s="1"/>
  <c r="E112" i="14"/>
  <c r="C112" i="14"/>
  <c r="H112" i="14"/>
  <c r="F112" i="14"/>
  <c r="G112" i="14"/>
  <c r="B112" i="14"/>
  <c r="D112" i="14"/>
  <c r="F114" i="13"/>
  <c r="G114" i="13"/>
  <c r="E114" i="13"/>
  <c r="C114" i="13"/>
  <c r="B114" i="13"/>
  <c r="H114" i="13"/>
  <c r="A115" i="13" a="1"/>
  <c r="A115" i="13" s="1"/>
  <c r="F115" i="13" s="1"/>
  <c r="A114" i="14" l="1" a="1"/>
  <c r="A114" i="14" s="1"/>
  <c r="B113" i="14"/>
  <c r="F113" i="14"/>
  <c r="G113" i="14"/>
  <c r="E113" i="14"/>
  <c r="H113" i="14"/>
  <c r="C113" i="14"/>
  <c r="D113" i="14"/>
  <c r="E115" i="13"/>
  <c r="C115" i="13"/>
  <c r="B115" i="13"/>
  <c r="H115" i="13"/>
  <c r="D115" i="13"/>
  <c r="A116" i="13" a="1"/>
  <c r="A116" i="13" s="1"/>
  <c r="H116" i="13" s="1"/>
  <c r="G115" i="13"/>
  <c r="A115" i="14" l="1" a="1"/>
  <c r="A115" i="14" s="1"/>
  <c r="C114" i="14"/>
  <c r="G114" i="14"/>
  <c r="E114" i="14"/>
  <c r="F114" i="14"/>
  <c r="H114" i="14"/>
  <c r="B114" i="14"/>
  <c r="D114" i="14"/>
  <c r="A117" i="13" a="1"/>
  <c r="A117" i="13" s="1"/>
  <c r="E117" i="13" s="1"/>
  <c r="D116" i="13"/>
  <c r="G116" i="13"/>
  <c r="E116" i="13"/>
  <c r="F116" i="13"/>
  <c r="C116" i="13"/>
  <c r="B116" i="13"/>
  <c r="A116" i="14" l="1" a="1"/>
  <c r="A116" i="14" s="1"/>
  <c r="D115" i="14"/>
  <c r="H115" i="14"/>
  <c r="C115" i="14"/>
  <c r="F115" i="14"/>
  <c r="G115" i="14"/>
  <c r="B115" i="14"/>
  <c r="E115" i="14"/>
  <c r="F117" i="13"/>
  <c r="H117" i="13"/>
  <c r="G117" i="13"/>
  <c r="D117" i="13"/>
  <c r="B117" i="13"/>
  <c r="C117" i="13"/>
  <c r="A118" i="13" a="1"/>
  <c r="A118" i="13" s="1"/>
  <c r="G118" i="13" s="1"/>
  <c r="A117" i="14" l="1" a="1"/>
  <c r="A117" i="14" s="1"/>
  <c r="E116" i="14"/>
  <c r="B116" i="14"/>
  <c r="G116" i="14"/>
  <c r="F116" i="14"/>
  <c r="H116" i="14"/>
  <c r="C116" i="14"/>
  <c r="D116" i="14"/>
  <c r="A119" i="13" a="1"/>
  <c r="A119" i="13" s="1"/>
  <c r="A120" i="13" s="1" a="1"/>
  <c r="A120" i="13" s="1"/>
  <c r="E118" i="13"/>
  <c r="F118" i="13"/>
  <c r="C118" i="13"/>
  <c r="B118" i="13"/>
  <c r="D118" i="13"/>
  <c r="H118" i="13"/>
  <c r="A118" i="14" l="1" a="1"/>
  <c r="A118" i="14" s="1"/>
  <c r="B117" i="14"/>
  <c r="F117" i="14"/>
  <c r="E117" i="14"/>
  <c r="G117" i="14"/>
  <c r="H117" i="14"/>
  <c r="C117" i="14"/>
  <c r="D117" i="14"/>
  <c r="E119" i="13"/>
  <c r="G119" i="13"/>
  <c r="C119" i="13"/>
  <c r="H119" i="13"/>
  <c r="F119" i="13"/>
  <c r="B119" i="13"/>
  <c r="D119" i="13"/>
  <c r="C120" i="13"/>
  <c r="E120" i="13"/>
  <c r="F120" i="13"/>
  <c r="D120" i="13"/>
  <c r="G120" i="13"/>
  <c r="H120" i="13"/>
  <c r="A121" i="13" a="1"/>
  <c r="A121" i="13" s="1"/>
  <c r="B120" i="13"/>
  <c r="A119" i="14" l="1" a="1"/>
  <c r="A119" i="14" s="1"/>
  <c r="C118" i="14"/>
  <c r="G118" i="14"/>
  <c r="E118" i="14"/>
  <c r="F118" i="14"/>
  <c r="B118" i="14"/>
  <c r="H118" i="14"/>
  <c r="D118" i="14"/>
  <c r="C121" i="13"/>
  <c r="D121" i="13"/>
  <c r="H121" i="13"/>
  <c r="F121" i="13"/>
  <c r="E121" i="13"/>
  <c r="G121" i="13"/>
  <c r="A122" i="13" a="1"/>
  <c r="A122" i="13" s="1"/>
  <c r="B121" i="13"/>
  <c r="A120" i="14" l="1" a="1"/>
  <c r="A120" i="14" s="1"/>
  <c r="D119" i="14"/>
  <c r="H119" i="14"/>
  <c r="C119" i="14"/>
  <c r="E119" i="14"/>
  <c r="F119" i="14"/>
  <c r="G119" i="14"/>
  <c r="B119" i="14"/>
  <c r="C122" i="13"/>
  <c r="G122" i="13"/>
  <c r="F122" i="13"/>
  <c r="E122" i="13"/>
  <c r="H122" i="13"/>
  <c r="D122" i="13"/>
  <c r="A123" i="13" a="1"/>
  <c r="A123" i="13" s="1"/>
  <c r="B122" i="13"/>
  <c r="A121" i="14" l="1" a="1"/>
  <c r="A121" i="14" s="1"/>
  <c r="E120" i="14"/>
  <c r="B120" i="14"/>
  <c r="G120" i="14"/>
  <c r="C120" i="14"/>
  <c r="H120" i="14"/>
  <c r="D120" i="14"/>
  <c r="F120" i="14"/>
  <c r="C123" i="13"/>
  <c r="F123" i="13"/>
  <c r="G123" i="13"/>
  <c r="E123" i="13"/>
  <c r="H123" i="13"/>
  <c r="D123" i="13"/>
  <c r="A124" i="13" a="1"/>
  <c r="A124" i="13" s="1"/>
  <c r="B123" i="13"/>
  <c r="A122" i="14" l="1" a="1"/>
  <c r="A122" i="14" s="1"/>
  <c r="B121" i="14"/>
  <c r="F121" i="14"/>
  <c r="E121" i="14"/>
  <c r="G121" i="14"/>
  <c r="C121" i="14"/>
  <c r="H121" i="14"/>
  <c r="D121" i="14"/>
  <c r="C124" i="13"/>
  <c r="E124" i="13"/>
  <c r="G124" i="13"/>
  <c r="F124" i="13"/>
  <c r="H124" i="13"/>
  <c r="D124" i="13"/>
  <c r="A125" i="13" a="1"/>
  <c r="A125" i="13" s="1"/>
  <c r="B124" i="13"/>
  <c r="A123" i="14" l="1" a="1"/>
  <c r="A123" i="14" s="1"/>
  <c r="C122" i="14"/>
  <c r="G122" i="14"/>
  <c r="D122" i="14"/>
  <c r="E122" i="14"/>
  <c r="F122" i="14"/>
  <c r="H122" i="14"/>
  <c r="B122" i="14"/>
  <c r="C125" i="13"/>
  <c r="D125" i="13"/>
  <c r="H125" i="13"/>
  <c r="G125" i="13"/>
  <c r="F125" i="13"/>
  <c r="E125" i="13"/>
  <c r="A126" i="13" a="1"/>
  <c r="A126" i="13" s="1"/>
  <c r="B125" i="13"/>
  <c r="A124" i="14" l="1" a="1"/>
  <c r="A124" i="14" s="1"/>
  <c r="D123" i="14"/>
  <c r="H123" i="14"/>
  <c r="B123" i="14"/>
  <c r="G123" i="14"/>
  <c r="C123" i="14"/>
  <c r="E123" i="14"/>
  <c r="F123" i="14"/>
  <c r="C126" i="13"/>
  <c r="G126" i="13"/>
  <c r="H126" i="13"/>
  <c r="F126" i="13"/>
  <c r="E126" i="13"/>
  <c r="D126" i="13"/>
  <c r="A127" i="13" a="1"/>
  <c r="A127" i="13" s="1"/>
  <c r="B126" i="13"/>
  <c r="A125" i="14" l="1" a="1"/>
  <c r="A125" i="14" s="1"/>
  <c r="E124" i="14"/>
  <c r="F124" i="14"/>
  <c r="B124" i="14"/>
  <c r="G124" i="14"/>
  <c r="C124" i="14"/>
  <c r="H124" i="14"/>
  <c r="D124" i="14"/>
  <c r="C127" i="13"/>
  <c r="F127" i="13"/>
  <c r="H127" i="13"/>
  <c r="G127" i="13"/>
  <c r="D127" i="13"/>
  <c r="E127" i="13"/>
  <c r="A128" i="13" a="1"/>
  <c r="A128" i="13" s="1"/>
  <c r="B127" i="13"/>
  <c r="A126" i="14" l="1" a="1"/>
  <c r="A126" i="14" s="1"/>
  <c r="B125" i="14"/>
  <c r="F125" i="14"/>
  <c r="D125" i="14"/>
  <c r="E125" i="14"/>
  <c r="G125" i="14"/>
  <c r="H125" i="14"/>
  <c r="C125" i="14"/>
  <c r="E128" i="13"/>
  <c r="H128" i="13"/>
  <c r="G128" i="13"/>
  <c r="C128" i="13"/>
  <c r="F128" i="13"/>
  <c r="D128" i="13"/>
  <c r="A129" i="13" a="1"/>
  <c r="A129" i="13" s="1"/>
  <c r="B128" i="13"/>
  <c r="A127" i="14" l="1" a="1"/>
  <c r="A127" i="14" s="1"/>
  <c r="C126" i="14"/>
  <c r="G126" i="14"/>
  <c r="B126" i="14"/>
  <c r="H126" i="14"/>
  <c r="D126" i="14"/>
  <c r="E126" i="14"/>
  <c r="F126" i="14"/>
  <c r="D129" i="13"/>
  <c r="H129" i="13"/>
  <c r="G129" i="13"/>
  <c r="C129" i="13"/>
  <c r="E129" i="13"/>
  <c r="F129" i="13"/>
  <c r="A130" i="13" a="1"/>
  <c r="A130" i="13" s="1"/>
  <c r="B129" i="13"/>
  <c r="A128" i="14" l="1" a="1"/>
  <c r="A128" i="14" s="1"/>
  <c r="D127" i="14"/>
  <c r="H127" i="14"/>
  <c r="F127" i="14"/>
  <c r="B127" i="14"/>
  <c r="G127" i="14"/>
  <c r="C127" i="14"/>
  <c r="E127" i="14"/>
  <c r="C130" i="13"/>
  <c r="G130" i="13"/>
  <c r="D130" i="13"/>
  <c r="H130" i="13"/>
  <c r="E130" i="13"/>
  <c r="F130" i="13"/>
  <c r="A131" i="13" a="1"/>
  <c r="A131" i="13" s="1"/>
  <c r="B130" i="13"/>
  <c r="A129" i="14" l="1" a="1"/>
  <c r="A129" i="14" s="1"/>
  <c r="E128" i="14"/>
  <c r="D128" i="14"/>
  <c r="F128" i="14"/>
  <c r="G128" i="14"/>
  <c r="B128" i="14"/>
  <c r="H128" i="14"/>
  <c r="C128" i="14"/>
  <c r="C131" i="13"/>
  <c r="F131" i="13"/>
  <c r="D131" i="13"/>
  <c r="H131" i="13"/>
  <c r="E131" i="13"/>
  <c r="G131" i="13"/>
  <c r="A132" i="13" a="1"/>
  <c r="A132" i="13" s="1"/>
  <c r="B131" i="13"/>
  <c r="A130" i="14" l="1" a="1"/>
  <c r="A130" i="14" s="1"/>
  <c r="B129" i="14"/>
  <c r="F129" i="14"/>
  <c r="C129" i="14"/>
  <c r="H129" i="14"/>
  <c r="D129" i="14"/>
  <c r="E129" i="14"/>
  <c r="G129" i="14"/>
  <c r="C132" i="13"/>
  <c r="E132" i="13"/>
  <c r="D132" i="13"/>
  <c r="H132" i="13"/>
  <c r="F132" i="13"/>
  <c r="G132" i="13"/>
  <c r="A133" i="13" a="1"/>
  <c r="A133" i="13" s="1"/>
  <c r="B132" i="13"/>
  <c r="A131" i="14" l="1" a="1"/>
  <c r="A131" i="14" s="1"/>
  <c r="C130" i="14"/>
  <c r="G130" i="14"/>
  <c r="F130" i="14"/>
  <c r="B130" i="14"/>
  <c r="H130" i="14"/>
  <c r="D130" i="14"/>
  <c r="E130" i="14"/>
  <c r="C133" i="13"/>
  <c r="D133" i="13"/>
  <c r="H133" i="13"/>
  <c r="E133" i="13"/>
  <c r="F133" i="13"/>
  <c r="G133" i="13"/>
  <c r="A134" i="13" a="1"/>
  <c r="A134" i="13" s="1"/>
  <c r="B133" i="13"/>
  <c r="A132" i="14" l="1" a="1"/>
  <c r="A132" i="14" s="1"/>
  <c r="D131" i="14"/>
  <c r="H131" i="14"/>
  <c r="E131" i="14"/>
  <c r="F131" i="14"/>
  <c r="G131" i="14"/>
  <c r="B131" i="14"/>
  <c r="C131" i="14"/>
  <c r="C134" i="13"/>
  <c r="G134" i="13"/>
  <c r="E134" i="13"/>
  <c r="D134" i="13"/>
  <c r="H134" i="13"/>
  <c r="F134" i="13"/>
  <c r="A135" i="13" a="1"/>
  <c r="A135" i="13" s="1"/>
  <c r="B134" i="13"/>
  <c r="A133" i="14" l="1" a="1"/>
  <c r="A133" i="14" s="1"/>
  <c r="E132" i="14"/>
  <c r="C132" i="14"/>
  <c r="H132" i="14"/>
  <c r="D132" i="14"/>
  <c r="F132" i="14"/>
  <c r="B132" i="14"/>
  <c r="G132" i="14"/>
  <c r="C135" i="13"/>
  <c r="F135" i="13"/>
  <c r="E135" i="13"/>
  <c r="D135" i="13"/>
  <c r="G135" i="13"/>
  <c r="H135" i="13"/>
  <c r="A136" i="13" a="1"/>
  <c r="A136" i="13" s="1"/>
  <c r="B135" i="13"/>
  <c r="A134" i="14" l="1" a="1"/>
  <c r="A134" i="14" s="1"/>
  <c r="B133" i="14"/>
  <c r="F133" i="14"/>
  <c r="G133" i="14"/>
  <c r="C133" i="14"/>
  <c r="H133" i="14"/>
  <c r="D133" i="14"/>
  <c r="E133" i="14"/>
  <c r="C136" i="13"/>
  <c r="E136" i="13"/>
  <c r="F136" i="13"/>
  <c r="D136" i="13"/>
  <c r="G136" i="13"/>
  <c r="H136" i="13"/>
  <c r="A137" i="13" a="1"/>
  <c r="A137" i="13" s="1"/>
  <c r="B136" i="13"/>
  <c r="A135" i="14" l="1" a="1"/>
  <c r="A135" i="14" s="1"/>
  <c r="C134" i="14"/>
  <c r="G134" i="14"/>
  <c r="E134" i="14"/>
  <c r="F134" i="14"/>
  <c r="H134" i="14"/>
  <c r="B134" i="14"/>
  <c r="D134" i="14"/>
  <c r="C137" i="13"/>
  <c r="D137" i="13"/>
  <c r="H137" i="13"/>
  <c r="F137" i="13"/>
  <c r="E137" i="13"/>
  <c r="G137" i="13"/>
  <c r="A138" i="13" a="1"/>
  <c r="A138" i="13" s="1"/>
  <c r="B137" i="13"/>
  <c r="A136" i="14" l="1" a="1"/>
  <c r="A136" i="14" s="1"/>
  <c r="D135" i="14"/>
  <c r="H135" i="14"/>
  <c r="C135" i="14"/>
  <c r="E135" i="14"/>
  <c r="F135" i="14"/>
  <c r="B135" i="14"/>
  <c r="G135" i="14"/>
  <c r="C138" i="13"/>
  <c r="G138" i="13"/>
  <c r="F138" i="13"/>
  <c r="E138" i="13"/>
  <c r="D138" i="13"/>
  <c r="H138" i="13"/>
  <c r="A139" i="13" a="1"/>
  <c r="A139" i="13" s="1"/>
  <c r="B138" i="13"/>
  <c r="A137" i="14" l="1" a="1"/>
  <c r="A137" i="14" s="1"/>
  <c r="E136" i="14"/>
  <c r="B136" i="14"/>
  <c r="G136" i="14"/>
  <c r="C136" i="14"/>
  <c r="H136" i="14"/>
  <c r="D136" i="14"/>
  <c r="F136" i="14"/>
  <c r="F139" i="13"/>
  <c r="G139" i="13"/>
  <c r="C139" i="13"/>
  <c r="E139" i="13"/>
  <c r="H139" i="13"/>
  <c r="D139" i="13"/>
  <c r="A140" i="13" a="1"/>
  <c r="A140" i="13" s="1"/>
  <c r="B139" i="13"/>
  <c r="A138" i="14" l="1" a="1"/>
  <c r="A138" i="14" s="1"/>
  <c r="B137" i="14"/>
  <c r="F137" i="14"/>
  <c r="E137" i="14"/>
  <c r="G137" i="14"/>
  <c r="H137" i="14"/>
  <c r="C137" i="14"/>
  <c r="D137" i="14"/>
  <c r="E140" i="13"/>
  <c r="C140" i="13"/>
  <c r="G140" i="13"/>
  <c r="F140" i="13"/>
  <c r="H140" i="13"/>
  <c r="D140" i="13"/>
  <c r="B140" i="13"/>
  <c r="A141" i="13" a="1"/>
  <c r="A141" i="13" s="1"/>
  <c r="A139" i="14" l="1" a="1"/>
  <c r="A139" i="14" s="1"/>
  <c r="C138" i="14"/>
  <c r="G138" i="14"/>
  <c r="D138" i="14"/>
  <c r="E138" i="14"/>
  <c r="F138" i="14"/>
  <c r="B138" i="14"/>
  <c r="H138" i="14"/>
  <c r="C141" i="13"/>
  <c r="D141" i="13"/>
  <c r="H141" i="13"/>
  <c r="G141" i="13"/>
  <c r="F141" i="13"/>
  <c r="E141" i="13"/>
  <c r="A142" i="13" a="1"/>
  <c r="A142" i="13" s="1"/>
  <c r="B141" i="13"/>
  <c r="A140" i="14" l="1" a="1"/>
  <c r="A140" i="14" s="1"/>
  <c r="D139" i="14"/>
  <c r="H139" i="14"/>
  <c r="B139" i="14"/>
  <c r="G139" i="14"/>
  <c r="C139" i="14"/>
  <c r="E139" i="14"/>
  <c r="F139" i="14"/>
  <c r="C142" i="13"/>
  <c r="G142" i="13"/>
  <c r="H142" i="13"/>
  <c r="F142" i="13"/>
  <c r="D142" i="13"/>
  <c r="E142" i="13"/>
  <c r="A143" i="13" a="1"/>
  <c r="A143" i="13" s="1"/>
  <c r="B142" i="13"/>
  <c r="A141" i="14" l="1" a="1"/>
  <c r="A141" i="14" s="1"/>
  <c r="E140" i="14"/>
  <c r="F140" i="14"/>
  <c r="B140" i="14"/>
  <c r="G140" i="14"/>
  <c r="H140" i="14"/>
  <c r="C140" i="14"/>
  <c r="D140" i="14"/>
  <c r="C143" i="13"/>
  <c r="F143" i="13"/>
  <c r="H143" i="13"/>
  <c r="G143" i="13"/>
  <c r="E143" i="13"/>
  <c r="D143" i="13"/>
  <c r="A144" i="13" a="1"/>
  <c r="A144" i="13" s="1"/>
  <c r="B143" i="13"/>
  <c r="A142" i="14" l="1" a="1"/>
  <c r="A142" i="14" s="1"/>
  <c r="B141" i="14"/>
  <c r="F141" i="14"/>
  <c r="D141" i="14"/>
  <c r="E141" i="14"/>
  <c r="G141" i="14"/>
  <c r="C141" i="14"/>
  <c r="H141" i="14"/>
  <c r="C144" i="13"/>
  <c r="E144" i="13"/>
  <c r="H144" i="13"/>
  <c r="G144" i="13"/>
  <c r="D144" i="13"/>
  <c r="F144" i="13"/>
  <c r="A145" i="13" a="1"/>
  <c r="A145" i="13" s="1"/>
  <c r="B144" i="13"/>
  <c r="A143" i="14" l="1" a="1"/>
  <c r="A143" i="14" s="1"/>
  <c r="C142" i="14"/>
  <c r="G142" i="14"/>
  <c r="B142" i="14"/>
  <c r="H142" i="14"/>
  <c r="D142" i="14"/>
  <c r="E142" i="14"/>
  <c r="F142" i="14"/>
  <c r="C145" i="13"/>
  <c r="D145" i="13"/>
  <c r="H145" i="13"/>
  <c r="G145" i="13"/>
  <c r="F145" i="13"/>
  <c r="E145" i="13"/>
  <c r="A146" i="13" a="1"/>
  <c r="A146" i="13" s="1"/>
  <c r="B145" i="13"/>
  <c r="A144" i="14" l="1" a="1"/>
  <c r="A144" i="14" s="1"/>
  <c r="D143" i="14"/>
  <c r="H143" i="14"/>
  <c r="F143" i="14"/>
  <c r="B143" i="14"/>
  <c r="G143" i="14"/>
  <c r="C143" i="14"/>
  <c r="E143" i="14"/>
  <c r="C146" i="13"/>
  <c r="G146" i="13"/>
  <c r="D146" i="13"/>
  <c r="H146" i="13"/>
  <c r="E146" i="13"/>
  <c r="F146" i="13"/>
  <c r="A147" i="13" a="1"/>
  <c r="A147" i="13" s="1"/>
  <c r="B146" i="13"/>
  <c r="A145" i="14" l="1" a="1"/>
  <c r="A145" i="14" s="1"/>
  <c r="E144" i="14"/>
  <c r="D144" i="14"/>
  <c r="F144" i="14"/>
  <c r="B144" i="14"/>
  <c r="G144" i="14"/>
  <c r="C144" i="14"/>
  <c r="H144" i="14"/>
  <c r="C147" i="13"/>
  <c r="F147" i="13"/>
  <c r="D147" i="13"/>
  <c r="H147" i="13"/>
  <c r="E147" i="13"/>
  <c r="G147" i="13"/>
  <c r="A148" i="13" a="1"/>
  <c r="A148" i="13" s="1"/>
  <c r="B147" i="13"/>
  <c r="A146" i="14" l="1" a="1"/>
  <c r="A146" i="14" s="1"/>
  <c r="B145" i="14"/>
  <c r="F145" i="14"/>
  <c r="C145" i="14"/>
  <c r="H145" i="14"/>
  <c r="D145" i="14"/>
  <c r="E145" i="14"/>
  <c r="G145" i="14"/>
  <c r="C148" i="13"/>
  <c r="E148" i="13"/>
  <c r="D148" i="13"/>
  <c r="H148" i="13"/>
  <c r="F148" i="13"/>
  <c r="G148" i="13"/>
  <c r="A149" i="13" a="1"/>
  <c r="A149" i="13" s="1"/>
  <c r="B148" i="13"/>
  <c r="A147" i="14" l="1" a="1"/>
  <c r="A147" i="14" s="1"/>
  <c r="C146" i="14"/>
  <c r="G146" i="14"/>
  <c r="F146" i="14"/>
  <c r="B146" i="14"/>
  <c r="H146" i="14"/>
  <c r="D146" i="14"/>
  <c r="E146" i="14"/>
  <c r="D149" i="13"/>
  <c r="H149" i="13"/>
  <c r="E149" i="13"/>
  <c r="C149" i="13"/>
  <c r="F149" i="13"/>
  <c r="G149" i="13"/>
  <c r="A150" i="13" a="1"/>
  <c r="A150" i="13" s="1"/>
  <c r="B149" i="13"/>
  <c r="A148" i="14" l="1" a="1"/>
  <c r="A148" i="14" s="1"/>
  <c r="D147" i="14"/>
  <c r="H147" i="14"/>
  <c r="E147" i="14"/>
  <c r="F147" i="14"/>
  <c r="B147" i="14"/>
  <c r="G147" i="14"/>
  <c r="C147" i="14"/>
  <c r="C150" i="13"/>
  <c r="G150" i="13"/>
  <c r="E150" i="13"/>
  <c r="D150" i="13"/>
  <c r="F150" i="13"/>
  <c r="H150" i="13"/>
  <c r="A151" i="13" a="1"/>
  <c r="A151" i="13" s="1"/>
  <c r="B150" i="13"/>
  <c r="A149" i="14" l="1" a="1"/>
  <c r="A149" i="14" s="1"/>
  <c r="E148" i="14"/>
  <c r="C148" i="14"/>
  <c r="H148" i="14"/>
  <c r="D148" i="14"/>
  <c r="F148" i="14"/>
  <c r="G148" i="14"/>
  <c r="B148" i="14"/>
  <c r="F151" i="13"/>
  <c r="E151" i="13"/>
  <c r="D151" i="13"/>
  <c r="C151" i="13"/>
  <c r="H151" i="13"/>
  <c r="G151" i="13"/>
  <c r="A152" i="13" a="1"/>
  <c r="A152" i="13" s="1"/>
  <c r="B151" i="13"/>
  <c r="A150" i="14" l="1" a="1"/>
  <c r="A150" i="14" s="1"/>
  <c r="B149" i="14"/>
  <c r="F149" i="14"/>
  <c r="G149" i="14"/>
  <c r="C149" i="14"/>
  <c r="H149" i="14"/>
  <c r="D149" i="14"/>
  <c r="E149" i="14"/>
  <c r="C152" i="13"/>
  <c r="E152" i="13"/>
  <c r="F152" i="13"/>
  <c r="D152" i="13"/>
  <c r="G152" i="13"/>
  <c r="H152" i="13"/>
  <c r="A153" i="13" a="1"/>
  <c r="A153" i="13" s="1"/>
  <c r="B152" i="13"/>
  <c r="A151" i="14" l="1" a="1"/>
  <c r="A151" i="14" s="1"/>
  <c r="C150" i="14"/>
  <c r="G150" i="14"/>
  <c r="E150" i="14"/>
  <c r="F150" i="14"/>
  <c r="B150" i="14"/>
  <c r="H150" i="14"/>
  <c r="D150" i="14"/>
  <c r="C153" i="13"/>
  <c r="D153" i="13"/>
  <c r="H153" i="13"/>
  <c r="F153" i="13"/>
  <c r="E153" i="13"/>
  <c r="G153" i="13"/>
  <c r="A154" i="13" a="1"/>
  <c r="A154" i="13" s="1"/>
  <c r="B153" i="13"/>
  <c r="A152" i="14" l="1" a="1"/>
  <c r="A152" i="14" s="1"/>
  <c r="D151" i="14"/>
  <c r="H151" i="14"/>
  <c r="C151" i="14"/>
  <c r="E151" i="14"/>
  <c r="F151" i="14"/>
  <c r="G151" i="14"/>
  <c r="B151" i="14"/>
  <c r="C154" i="13"/>
  <c r="G154" i="13"/>
  <c r="F154" i="13"/>
  <c r="E154" i="13"/>
  <c r="H154" i="13"/>
  <c r="D154" i="13"/>
  <c r="A155" i="13" a="1"/>
  <c r="A155" i="13" s="1"/>
  <c r="B154" i="13"/>
  <c r="A153" i="14" l="1" a="1"/>
  <c r="A153" i="14" s="1"/>
  <c r="E152" i="14"/>
  <c r="B152" i="14"/>
  <c r="G152" i="14"/>
  <c r="C152" i="14"/>
  <c r="H152" i="14"/>
  <c r="D152" i="14"/>
  <c r="F152" i="14"/>
  <c r="C155" i="13"/>
  <c r="F155" i="13"/>
  <c r="G155" i="13"/>
  <c r="E155" i="13"/>
  <c r="D155" i="13"/>
  <c r="H155" i="13"/>
  <c r="A156" i="13" a="1"/>
  <c r="A156" i="13" s="1"/>
  <c r="B155" i="13"/>
  <c r="A154" i="14" l="1" a="1"/>
  <c r="A154" i="14" s="1"/>
  <c r="B153" i="14"/>
  <c r="F153" i="14"/>
  <c r="E153" i="14"/>
  <c r="G153" i="14"/>
  <c r="C153" i="14"/>
  <c r="H153" i="14"/>
  <c r="D153" i="14"/>
  <c r="C156" i="13"/>
  <c r="E156" i="13"/>
  <c r="G156" i="13"/>
  <c r="F156" i="13"/>
  <c r="H156" i="13"/>
  <c r="D156" i="13"/>
  <c r="A157" i="13" a="1"/>
  <c r="A157" i="13" s="1"/>
  <c r="B156" i="13"/>
  <c r="A155" i="14" l="1" a="1"/>
  <c r="A155" i="14" s="1"/>
  <c r="C154" i="14"/>
  <c r="G154" i="14"/>
  <c r="D154" i="14"/>
  <c r="E154" i="14"/>
  <c r="F154" i="14"/>
  <c r="H154" i="14"/>
  <c r="B154" i="14"/>
  <c r="C157" i="13"/>
  <c r="D157" i="13"/>
  <c r="H157" i="13"/>
  <c r="G157" i="13"/>
  <c r="F157" i="13"/>
  <c r="E157" i="13"/>
  <c r="A158" i="13" a="1"/>
  <c r="A158" i="13" s="1"/>
  <c r="B157" i="13"/>
  <c r="A156" i="14" l="1" a="1"/>
  <c r="A156" i="14" s="1"/>
  <c r="D155" i="14"/>
  <c r="H155" i="14"/>
  <c r="B155" i="14"/>
  <c r="G155" i="14"/>
  <c r="C155" i="14"/>
  <c r="E155" i="14"/>
  <c r="F155" i="14"/>
  <c r="C158" i="13"/>
  <c r="G158" i="13"/>
  <c r="H158" i="13"/>
  <c r="F158" i="13"/>
  <c r="D158" i="13"/>
  <c r="E158" i="13"/>
  <c r="A159" i="13" a="1"/>
  <c r="A159" i="13" s="1"/>
  <c r="B158" i="13"/>
  <c r="A157" i="14" l="1" a="1"/>
  <c r="A157" i="14" s="1"/>
  <c r="E156" i="14"/>
  <c r="F156" i="14"/>
  <c r="B156" i="14"/>
  <c r="G156" i="14"/>
  <c r="C156" i="14"/>
  <c r="H156" i="14"/>
  <c r="D156" i="14"/>
  <c r="C159" i="13"/>
  <c r="F159" i="13"/>
  <c r="H159" i="13"/>
  <c r="G159" i="13"/>
  <c r="D159" i="13"/>
  <c r="E159" i="13"/>
  <c r="A160" i="13" a="1"/>
  <c r="A160" i="13" s="1"/>
  <c r="B159" i="13"/>
  <c r="A158" i="14" l="1" a="1"/>
  <c r="A158" i="14" s="1"/>
  <c r="B157" i="14"/>
  <c r="F157" i="14"/>
  <c r="D157" i="14"/>
  <c r="E157" i="14"/>
  <c r="G157" i="14"/>
  <c r="H157" i="14"/>
  <c r="C157" i="14"/>
  <c r="E160" i="13"/>
  <c r="H160" i="13"/>
  <c r="C160" i="13"/>
  <c r="G160" i="13"/>
  <c r="F160" i="13"/>
  <c r="D160" i="13"/>
  <c r="A161" i="13" a="1"/>
  <c r="A161" i="13" s="1"/>
  <c r="B160" i="13"/>
  <c r="A159" i="14" l="1" a="1"/>
  <c r="A159" i="14" s="1"/>
  <c r="C158" i="14"/>
  <c r="G158" i="14"/>
  <c r="B158" i="14"/>
  <c r="H158" i="14"/>
  <c r="D158" i="14"/>
  <c r="E158" i="14"/>
  <c r="F158" i="14"/>
  <c r="D161" i="13"/>
  <c r="H161" i="13"/>
  <c r="C161" i="13"/>
  <c r="G161" i="13"/>
  <c r="E161" i="13"/>
  <c r="F161" i="13"/>
  <c r="A162" i="13" a="1"/>
  <c r="A162" i="13" s="1"/>
  <c r="B161" i="13"/>
  <c r="A160" i="14" l="1" a="1"/>
  <c r="A160" i="14" s="1"/>
  <c r="E159" i="14"/>
  <c r="B159" i="14"/>
  <c r="F159" i="14"/>
  <c r="C159" i="14"/>
  <c r="G159" i="14"/>
  <c r="D159" i="14"/>
  <c r="H159" i="14"/>
  <c r="C162" i="13"/>
  <c r="G162" i="13"/>
  <c r="D162" i="13"/>
  <c r="H162" i="13"/>
  <c r="E162" i="13"/>
  <c r="F162" i="13"/>
  <c r="A163" i="13" a="1"/>
  <c r="A163" i="13" s="1"/>
  <c r="B162" i="13"/>
  <c r="A161" i="14" l="1" a="1"/>
  <c r="A161" i="14" s="1"/>
  <c r="B160" i="14"/>
  <c r="F160" i="14"/>
  <c r="C160" i="14"/>
  <c r="G160" i="14"/>
  <c r="D160" i="14"/>
  <c r="H160" i="14"/>
  <c r="E160" i="14"/>
  <c r="C163" i="13"/>
  <c r="F163" i="13"/>
  <c r="D163" i="13"/>
  <c r="H163" i="13"/>
  <c r="E163" i="13"/>
  <c r="G163" i="13"/>
  <c r="A164" i="13" a="1"/>
  <c r="A164" i="13" s="1"/>
  <c r="B163" i="13"/>
  <c r="A162" i="14" l="1" a="1"/>
  <c r="A162" i="14" s="1"/>
  <c r="C161" i="14"/>
  <c r="G161" i="14"/>
  <c r="D161" i="14"/>
  <c r="H161" i="14"/>
  <c r="E161" i="14"/>
  <c r="F161" i="14"/>
  <c r="B161" i="14"/>
  <c r="C164" i="13"/>
  <c r="E164" i="13"/>
  <c r="D164" i="13"/>
  <c r="H164" i="13"/>
  <c r="F164" i="13"/>
  <c r="G164" i="13"/>
  <c r="A165" i="13" a="1"/>
  <c r="A165" i="13" s="1"/>
  <c r="B164" i="13"/>
  <c r="A163" i="14" l="1" a="1"/>
  <c r="A163" i="14" s="1"/>
  <c r="D162" i="14"/>
  <c r="H162" i="14"/>
  <c r="E162" i="14"/>
  <c r="F162" i="14"/>
  <c r="B162" i="14"/>
  <c r="G162" i="14"/>
  <c r="C162" i="14"/>
  <c r="C165" i="13"/>
  <c r="D165" i="13"/>
  <c r="H165" i="13"/>
  <c r="E165" i="13"/>
  <c r="F165" i="13"/>
  <c r="G165" i="13"/>
  <c r="A166" i="13" a="1"/>
  <c r="A166" i="13" s="1"/>
  <c r="B165" i="13"/>
  <c r="A164" i="14" l="1" a="1"/>
  <c r="A164" i="14" s="1"/>
  <c r="E163" i="14"/>
  <c r="B163" i="14"/>
  <c r="F163" i="14"/>
  <c r="G163" i="14"/>
  <c r="C163" i="14"/>
  <c r="H163" i="14"/>
  <c r="D163" i="14"/>
  <c r="C166" i="13"/>
  <c r="G166" i="13"/>
  <c r="E166" i="13"/>
  <c r="D166" i="13"/>
  <c r="F166" i="13"/>
  <c r="H166" i="13"/>
  <c r="A167" i="13" a="1"/>
  <c r="A167" i="13" s="1"/>
  <c r="B166" i="13"/>
  <c r="A165" i="14" l="1" a="1"/>
  <c r="A165" i="14" s="1"/>
  <c r="B164" i="14"/>
  <c r="F164" i="14"/>
  <c r="C164" i="14"/>
  <c r="G164" i="14"/>
  <c r="H164" i="14"/>
  <c r="D164" i="14"/>
  <c r="E164" i="14"/>
  <c r="C167" i="13"/>
  <c r="F167" i="13"/>
  <c r="E167" i="13"/>
  <c r="D167" i="13"/>
  <c r="G167" i="13"/>
  <c r="H167" i="13"/>
  <c r="A168" i="13" a="1"/>
  <c r="A168" i="13" s="1"/>
  <c r="B167" i="13"/>
  <c r="A166" i="14" l="1" a="1"/>
  <c r="A166" i="14" s="1"/>
  <c r="C165" i="14"/>
  <c r="G165" i="14"/>
  <c r="D165" i="14"/>
  <c r="H165" i="14"/>
  <c r="E165" i="14"/>
  <c r="B165" i="14"/>
  <c r="F165" i="14"/>
  <c r="C168" i="13"/>
  <c r="E168" i="13"/>
  <c r="F168" i="13"/>
  <c r="D168" i="13"/>
  <c r="H168" i="13"/>
  <c r="G168" i="13"/>
  <c r="A169" i="13" a="1"/>
  <c r="A169" i="13" s="1"/>
  <c r="B168" i="13"/>
  <c r="A167" i="14" l="1" a="1"/>
  <c r="A167" i="14" s="1"/>
  <c r="D166" i="14"/>
  <c r="H166" i="14"/>
  <c r="E166" i="14"/>
  <c r="B166" i="14"/>
  <c r="F166" i="14"/>
  <c r="C166" i="14"/>
  <c r="G166" i="14"/>
  <c r="C169" i="13"/>
  <c r="D169" i="13"/>
  <c r="H169" i="13"/>
  <c r="F169" i="13"/>
  <c r="E169" i="13"/>
  <c r="G169" i="13"/>
  <c r="A170" i="13" a="1"/>
  <c r="A170" i="13" s="1"/>
  <c r="B169" i="13"/>
  <c r="A168" i="14" l="1" a="1"/>
  <c r="A168" i="14" s="1"/>
  <c r="E167" i="14"/>
  <c r="B167" i="14"/>
  <c r="F167" i="14"/>
  <c r="C167" i="14"/>
  <c r="G167" i="14"/>
  <c r="D167" i="14"/>
  <c r="H167" i="14"/>
  <c r="C170" i="13"/>
  <c r="G170" i="13"/>
  <c r="F170" i="13"/>
  <c r="E170" i="13"/>
  <c r="H170" i="13"/>
  <c r="D170" i="13"/>
  <c r="A171" i="13" a="1"/>
  <c r="A171" i="13" s="1"/>
  <c r="B170" i="13"/>
  <c r="A169" i="14" l="1" a="1"/>
  <c r="A169" i="14" s="1"/>
  <c r="B168" i="14"/>
  <c r="F168" i="14"/>
  <c r="C168" i="14"/>
  <c r="G168" i="14"/>
  <c r="D168" i="14"/>
  <c r="H168" i="14"/>
  <c r="E168" i="14"/>
  <c r="F171" i="13"/>
  <c r="G171" i="13"/>
  <c r="E171" i="13"/>
  <c r="H171" i="13"/>
  <c r="D171" i="13"/>
  <c r="C171" i="13"/>
  <c r="A172" i="13" a="1"/>
  <c r="A172" i="13" s="1"/>
  <c r="B171" i="13"/>
  <c r="A170" i="14" l="1" a="1"/>
  <c r="A170" i="14" s="1"/>
  <c r="C169" i="14"/>
  <c r="G169" i="14"/>
  <c r="D169" i="14"/>
  <c r="H169" i="14"/>
  <c r="E169" i="14"/>
  <c r="F169" i="14"/>
  <c r="B169" i="14"/>
  <c r="E172" i="13"/>
  <c r="G172" i="13"/>
  <c r="F172" i="13"/>
  <c r="C172" i="13"/>
  <c r="D172" i="13"/>
  <c r="H172" i="13"/>
  <c r="A173" i="13" a="1"/>
  <c r="A173" i="13" s="1"/>
  <c r="B172" i="13"/>
  <c r="A171" i="14" l="1" a="1"/>
  <c r="A171" i="14" s="1"/>
  <c r="D170" i="14"/>
  <c r="H170" i="14"/>
  <c r="E170" i="14"/>
  <c r="F170" i="14"/>
  <c r="B170" i="14"/>
  <c r="G170" i="14"/>
  <c r="C170" i="14"/>
  <c r="C173" i="13"/>
  <c r="D173" i="13"/>
  <c r="H173" i="13"/>
  <c r="G173" i="13"/>
  <c r="F173" i="13"/>
  <c r="E173" i="13"/>
  <c r="A174" i="13" a="1"/>
  <c r="A174" i="13" s="1"/>
  <c r="B173" i="13"/>
  <c r="A172" i="14" l="1" a="1"/>
  <c r="A172" i="14" s="1"/>
  <c r="E171" i="14"/>
  <c r="B171" i="14"/>
  <c r="F171" i="14"/>
  <c r="G171" i="14"/>
  <c r="C171" i="14"/>
  <c r="H171" i="14"/>
  <c r="D171" i="14"/>
  <c r="C174" i="13"/>
  <c r="G174" i="13"/>
  <c r="H174" i="13"/>
  <c r="F174" i="13"/>
  <c r="D174" i="13"/>
  <c r="E174" i="13"/>
  <c r="A175" i="13" a="1"/>
  <c r="A175" i="13" s="1"/>
  <c r="B174" i="13"/>
  <c r="A173" i="14" l="1" a="1"/>
  <c r="A173" i="14" s="1"/>
  <c r="B172" i="14"/>
  <c r="F172" i="14"/>
  <c r="C172" i="14"/>
  <c r="G172" i="14"/>
  <c r="H172" i="14"/>
  <c r="D172" i="14"/>
  <c r="E172" i="14"/>
  <c r="C175" i="13"/>
  <c r="F175" i="13"/>
  <c r="H175" i="13"/>
  <c r="G175" i="13"/>
  <c r="D175" i="13"/>
  <c r="E175" i="13"/>
  <c r="A176" i="13" a="1"/>
  <c r="A176" i="13" s="1"/>
  <c r="B175" i="13"/>
  <c r="A174" i="14" l="1" a="1"/>
  <c r="A174" i="14" s="1"/>
  <c r="C173" i="14"/>
  <c r="G173" i="14"/>
  <c r="D173" i="14"/>
  <c r="H173" i="14"/>
  <c r="E173" i="14"/>
  <c r="B173" i="14"/>
  <c r="F173" i="14"/>
  <c r="C176" i="13"/>
  <c r="E176" i="13"/>
  <c r="H176" i="13"/>
  <c r="G176" i="13"/>
  <c r="D176" i="13"/>
  <c r="F176" i="13"/>
  <c r="A177" i="13" a="1"/>
  <c r="A177" i="13" s="1"/>
  <c r="B176" i="13"/>
  <c r="A175" i="14" l="1" a="1"/>
  <c r="A175" i="14" s="1"/>
  <c r="D174" i="14"/>
  <c r="H174" i="14"/>
  <c r="E174" i="14"/>
  <c r="B174" i="14"/>
  <c r="F174" i="14"/>
  <c r="C174" i="14"/>
  <c r="G174" i="14"/>
  <c r="C177" i="13"/>
  <c r="D177" i="13"/>
  <c r="H177" i="13"/>
  <c r="G177" i="13"/>
  <c r="F177" i="13"/>
  <c r="E177" i="13"/>
  <c r="A178" i="13" a="1"/>
  <c r="A178" i="13" s="1"/>
  <c r="B177" i="13"/>
  <c r="A176" i="14" l="1" a="1"/>
  <c r="A176" i="14" s="1"/>
  <c r="E175" i="14"/>
  <c r="B175" i="14"/>
  <c r="F175" i="14"/>
  <c r="C175" i="14"/>
  <c r="G175" i="14"/>
  <c r="D175" i="14"/>
  <c r="H175" i="14"/>
  <c r="C178" i="13"/>
  <c r="G178" i="13"/>
  <c r="D178" i="13"/>
  <c r="H178" i="13"/>
  <c r="E178" i="13"/>
  <c r="F178" i="13"/>
  <c r="A179" i="13" a="1"/>
  <c r="A179" i="13" s="1"/>
  <c r="B178" i="13"/>
  <c r="A177" i="14" l="1" a="1"/>
  <c r="A177" i="14" s="1"/>
  <c r="B176" i="14"/>
  <c r="F176" i="14"/>
  <c r="C176" i="14"/>
  <c r="G176" i="14"/>
  <c r="D176" i="14"/>
  <c r="H176" i="14"/>
  <c r="E176" i="14"/>
  <c r="C179" i="13"/>
  <c r="F179" i="13"/>
  <c r="D179" i="13"/>
  <c r="H179" i="13"/>
  <c r="E179" i="13"/>
  <c r="G179" i="13"/>
  <c r="A180" i="13" a="1"/>
  <c r="A180" i="13" s="1"/>
  <c r="B179" i="13"/>
  <c r="A178" i="14" l="1" a="1"/>
  <c r="A178" i="14" s="1"/>
  <c r="C177" i="14"/>
  <c r="G177" i="14"/>
  <c r="D177" i="14"/>
  <c r="H177" i="14"/>
  <c r="E177" i="14"/>
  <c r="F177" i="14"/>
  <c r="B177" i="14"/>
  <c r="C180" i="13"/>
  <c r="E180" i="13"/>
  <c r="D180" i="13"/>
  <c r="H180" i="13"/>
  <c r="F180" i="13"/>
  <c r="G180" i="13"/>
  <c r="A181" i="13" a="1"/>
  <c r="A181" i="13" s="1"/>
  <c r="B180" i="13"/>
  <c r="A179" i="14" l="1" a="1"/>
  <c r="A179" i="14" s="1"/>
  <c r="D178" i="14"/>
  <c r="H178" i="14"/>
  <c r="E178" i="14"/>
  <c r="F178" i="14"/>
  <c r="B178" i="14"/>
  <c r="G178" i="14"/>
  <c r="C178" i="14"/>
  <c r="D181" i="13"/>
  <c r="H181" i="13"/>
  <c r="E181" i="13"/>
  <c r="C181" i="13"/>
  <c r="G181" i="13"/>
  <c r="F181" i="13"/>
  <c r="A182" i="13" a="1"/>
  <c r="A182" i="13" s="1"/>
  <c r="B181" i="13"/>
  <c r="A180" i="14" l="1" a="1"/>
  <c r="A180" i="14" s="1"/>
  <c r="E179" i="14"/>
  <c r="B179" i="14"/>
  <c r="F179" i="14"/>
  <c r="G179" i="14"/>
  <c r="C179" i="14"/>
  <c r="H179" i="14"/>
  <c r="D179" i="14"/>
  <c r="C182" i="13"/>
  <c r="G182" i="13"/>
  <c r="E182" i="13"/>
  <c r="D182" i="13"/>
  <c r="F182" i="13"/>
  <c r="H182" i="13"/>
  <c r="A183" i="13" a="1"/>
  <c r="A183" i="13" s="1"/>
  <c r="B182" i="13"/>
  <c r="A181" i="14" l="1" a="1"/>
  <c r="A181" i="14" s="1"/>
  <c r="B180" i="14"/>
  <c r="F180" i="14"/>
  <c r="C180" i="14"/>
  <c r="G180" i="14"/>
  <c r="H180" i="14"/>
  <c r="D180" i="14"/>
  <c r="E180" i="14"/>
  <c r="F183" i="13"/>
  <c r="C183" i="13"/>
  <c r="E183" i="13"/>
  <c r="D183" i="13"/>
  <c r="G183" i="13"/>
  <c r="H183" i="13"/>
  <c r="A184" i="13" a="1"/>
  <c r="A184" i="13" s="1"/>
  <c r="B183" i="13"/>
  <c r="A182" i="14" l="1" a="1"/>
  <c r="A182" i="14" s="1"/>
  <c r="C181" i="14"/>
  <c r="G181" i="14"/>
  <c r="D181" i="14"/>
  <c r="H181" i="14"/>
  <c r="E181" i="14"/>
  <c r="B181" i="14"/>
  <c r="F181" i="14"/>
  <c r="C184" i="13"/>
  <c r="E184" i="13"/>
  <c r="F184" i="13"/>
  <c r="D184" i="13"/>
  <c r="G184" i="13"/>
  <c r="H184" i="13"/>
  <c r="A185" i="13" a="1"/>
  <c r="A185" i="13" s="1"/>
  <c r="B184" i="13"/>
  <c r="A183" i="14" l="1" a="1"/>
  <c r="A183" i="14" s="1"/>
  <c r="D182" i="14"/>
  <c r="H182" i="14"/>
  <c r="E182" i="14"/>
  <c r="B182" i="14"/>
  <c r="F182" i="14"/>
  <c r="C182" i="14"/>
  <c r="G182" i="14"/>
  <c r="C185" i="13"/>
  <c r="D185" i="13"/>
  <c r="H185" i="13"/>
  <c r="F185" i="13"/>
  <c r="E185" i="13"/>
  <c r="G185" i="13"/>
  <c r="A186" i="13" a="1"/>
  <c r="A186" i="13" s="1"/>
  <c r="B185" i="13"/>
  <c r="A184" i="14" l="1" a="1"/>
  <c r="A184" i="14" s="1"/>
  <c r="E183" i="14"/>
  <c r="B183" i="14"/>
  <c r="F183" i="14"/>
  <c r="C183" i="14"/>
  <c r="G183" i="14"/>
  <c r="D183" i="14"/>
  <c r="H183" i="14"/>
  <c r="C186" i="13"/>
  <c r="G186" i="13"/>
  <c r="F186" i="13"/>
  <c r="E186" i="13"/>
  <c r="H186" i="13"/>
  <c r="D186" i="13"/>
  <c r="A187" i="13" a="1"/>
  <c r="A187" i="13" s="1"/>
  <c r="B186" i="13"/>
  <c r="A185" i="14" l="1" a="1"/>
  <c r="A185" i="14" s="1"/>
  <c r="B184" i="14"/>
  <c r="F184" i="14"/>
  <c r="C184" i="14"/>
  <c r="G184" i="14"/>
  <c r="D184" i="14"/>
  <c r="H184" i="14"/>
  <c r="E184" i="14"/>
  <c r="C187" i="13"/>
  <c r="F187" i="13"/>
  <c r="G187" i="13"/>
  <c r="E187" i="13"/>
  <c r="H187" i="13"/>
  <c r="D187" i="13"/>
  <c r="A188" i="13" a="1"/>
  <c r="A188" i="13" s="1"/>
  <c r="B187" i="13"/>
  <c r="A186" i="14" l="1" a="1"/>
  <c r="A186" i="14" s="1"/>
  <c r="C185" i="14"/>
  <c r="G185" i="14"/>
  <c r="D185" i="14"/>
  <c r="H185" i="14"/>
  <c r="E185" i="14"/>
  <c r="F185" i="14"/>
  <c r="B185" i="14"/>
  <c r="C188" i="13"/>
  <c r="E188" i="13"/>
  <c r="G188" i="13"/>
  <c r="F188" i="13"/>
  <c r="H188" i="13"/>
  <c r="D188" i="13"/>
  <c r="A189" i="13" a="1"/>
  <c r="A189" i="13" s="1"/>
  <c r="B188" i="13"/>
  <c r="A187" i="14" l="1" a="1"/>
  <c r="A187" i="14" s="1"/>
  <c r="D186" i="14"/>
  <c r="H186" i="14"/>
  <c r="E186" i="14"/>
  <c r="F186" i="14"/>
  <c r="B186" i="14"/>
  <c r="G186" i="14"/>
  <c r="C186" i="14"/>
  <c r="C189" i="13"/>
  <c r="D189" i="13"/>
  <c r="H189" i="13"/>
  <c r="G189" i="13"/>
  <c r="F189" i="13"/>
  <c r="E189" i="13"/>
  <c r="A190" i="13" a="1"/>
  <c r="A190" i="13" s="1"/>
  <c r="B189" i="13"/>
  <c r="A188" i="14" l="1" a="1"/>
  <c r="A188" i="14" s="1"/>
  <c r="E187" i="14"/>
  <c r="B187" i="14"/>
  <c r="F187" i="14"/>
  <c r="G187" i="14"/>
  <c r="C187" i="14"/>
  <c r="H187" i="14"/>
  <c r="D187" i="14"/>
  <c r="C190" i="13"/>
  <c r="G190" i="13"/>
  <c r="H190" i="13"/>
  <c r="F190" i="13"/>
  <c r="D190" i="13"/>
  <c r="E190" i="13"/>
  <c r="A191" i="13" a="1"/>
  <c r="A191" i="13" s="1"/>
  <c r="B190" i="13"/>
  <c r="A189" i="14" l="1" a="1"/>
  <c r="A189" i="14" s="1"/>
  <c r="B188" i="14"/>
  <c r="F188" i="14"/>
  <c r="C188" i="14"/>
  <c r="G188" i="14"/>
  <c r="H188" i="14"/>
  <c r="D188" i="14"/>
  <c r="E188" i="14"/>
  <c r="C191" i="13"/>
  <c r="F191" i="13"/>
  <c r="H191" i="13"/>
  <c r="G191" i="13"/>
  <c r="D191" i="13"/>
  <c r="E191" i="13"/>
  <c r="A192" i="13" a="1"/>
  <c r="A192" i="13" s="1"/>
  <c r="B191" i="13"/>
  <c r="A190" i="14" l="1" a="1"/>
  <c r="A190" i="14" s="1"/>
  <c r="C189" i="14"/>
  <c r="G189" i="14"/>
  <c r="D189" i="14"/>
  <c r="H189" i="14"/>
  <c r="E189" i="14"/>
  <c r="B189" i="14"/>
  <c r="F189" i="14"/>
  <c r="E192" i="13"/>
  <c r="H192" i="13"/>
  <c r="G192" i="13"/>
  <c r="C192" i="13"/>
  <c r="D192" i="13"/>
  <c r="F192" i="13"/>
  <c r="A193" i="13" a="1"/>
  <c r="A193" i="13" s="1"/>
  <c r="B192" i="13"/>
  <c r="A191" i="14" l="1" a="1"/>
  <c r="A191" i="14" s="1"/>
  <c r="D190" i="14"/>
  <c r="H190" i="14"/>
  <c r="E190" i="14"/>
  <c r="B190" i="14"/>
  <c r="F190" i="14"/>
  <c r="C190" i="14"/>
  <c r="G190" i="14"/>
  <c r="D193" i="13"/>
  <c r="H193" i="13"/>
  <c r="G193" i="13"/>
  <c r="E193" i="13"/>
  <c r="F193" i="13"/>
  <c r="C193" i="13"/>
  <c r="A194" i="13" a="1"/>
  <c r="A194" i="13" s="1"/>
  <c r="B193" i="13"/>
  <c r="A192" i="14" l="1" a="1"/>
  <c r="A192" i="14" s="1"/>
  <c r="E191" i="14"/>
  <c r="B191" i="14"/>
  <c r="F191" i="14"/>
  <c r="C191" i="14"/>
  <c r="G191" i="14"/>
  <c r="D191" i="14"/>
  <c r="H191" i="14"/>
  <c r="C194" i="13"/>
  <c r="G194" i="13"/>
  <c r="D194" i="13"/>
  <c r="H194" i="13"/>
  <c r="F194" i="13"/>
  <c r="E194" i="13"/>
  <c r="A195" i="13" a="1"/>
  <c r="A195" i="13" s="1"/>
  <c r="B194" i="13"/>
  <c r="A193" i="14" l="1" a="1"/>
  <c r="A193" i="14" s="1"/>
  <c r="B192" i="14"/>
  <c r="F192" i="14"/>
  <c r="C192" i="14"/>
  <c r="G192" i="14"/>
  <c r="D192" i="14"/>
  <c r="H192" i="14"/>
  <c r="E192" i="14"/>
  <c r="C195" i="13"/>
  <c r="F195" i="13"/>
  <c r="D195" i="13"/>
  <c r="H195" i="13"/>
  <c r="E195" i="13"/>
  <c r="G195" i="13"/>
  <c r="A196" i="13" a="1"/>
  <c r="A196" i="13" s="1"/>
  <c r="B195" i="13"/>
  <c r="A194" i="14" l="1" a="1"/>
  <c r="A194" i="14" s="1"/>
  <c r="D193" i="14"/>
  <c r="H193" i="14"/>
  <c r="C193" i="14"/>
  <c r="F193" i="14"/>
  <c r="E193" i="14"/>
  <c r="B193" i="14"/>
  <c r="G193" i="14"/>
  <c r="C196" i="13"/>
  <c r="E196" i="13"/>
  <c r="D196" i="13"/>
  <c r="H196" i="13"/>
  <c r="F196" i="13"/>
  <c r="G196" i="13"/>
  <c r="A197" i="13" a="1"/>
  <c r="A197" i="13" s="1"/>
  <c r="B196" i="13"/>
  <c r="A195" i="14" l="1" a="1"/>
  <c r="A195" i="14" s="1"/>
  <c r="E194" i="14"/>
  <c r="B194" i="14"/>
  <c r="G194" i="14"/>
  <c r="D194" i="14"/>
  <c r="C194" i="14"/>
  <c r="H194" i="14"/>
  <c r="F194" i="14"/>
  <c r="C197" i="13"/>
  <c r="D197" i="13"/>
  <c r="H197" i="13"/>
  <c r="E197" i="13"/>
  <c r="F197" i="13"/>
  <c r="G197" i="13"/>
  <c r="A198" i="13" a="1"/>
  <c r="A198" i="13" s="1"/>
  <c r="B197" i="13"/>
  <c r="A196" i="14" l="1" a="1"/>
  <c r="A196" i="14" s="1"/>
  <c r="B195" i="14"/>
  <c r="F195" i="14"/>
  <c r="E195" i="14"/>
  <c r="C195" i="14"/>
  <c r="H195" i="14"/>
  <c r="G195" i="14"/>
  <c r="D195" i="14"/>
  <c r="C198" i="13"/>
  <c r="G198" i="13"/>
  <c r="E198" i="13"/>
  <c r="D198" i="13"/>
  <c r="H198" i="13"/>
  <c r="F198" i="13"/>
  <c r="A199" i="13" a="1"/>
  <c r="A199" i="13" s="1"/>
  <c r="B198" i="13"/>
  <c r="A197" i="14" l="1" a="1"/>
  <c r="A197" i="14" s="1"/>
  <c r="C196" i="14"/>
  <c r="G196" i="14"/>
  <c r="D196" i="14"/>
  <c r="F196" i="14"/>
  <c r="E196" i="14"/>
  <c r="B196" i="14"/>
  <c r="H196" i="14"/>
  <c r="C199" i="13"/>
  <c r="F199" i="13"/>
  <c r="E199" i="13"/>
  <c r="D199" i="13"/>
  <c r="G199" i="13"/>
  <c r="H199" i="13"/>
  <c r="A200" i="13" a="1"/>
  <c r="A200" i="13" s="1"/>
  <c r="B199" i="13"/>
  <c r="A198" i="14" l="1" a="1"/>
  <c r="A198" i="14" s="1"/>
  <c r="D197" i="14"/>
  <c r="H197" i="14"/>
  <c r="B197" i="14"/>
  <c r="G197" i="14"/>
  <c r="E197" i="14"/>
  <c r="C197" i="14"/>
  <c r="F197" i="14"/>
  <c r="C200" i="13"/>
  <c r="E200" i="13"/>
  <c r="F200" i="13"/>
  <c r="D200" i="13"/>
  <c r="G200" i="13"/>
  <c r="H200" i="13"/>
  <c r="A201" i="13" a="1"/>
  <c r="A201" i="13" s="1"/>
  <c r="B200" i="13"/>
  <c r="A199" i="14" l="1" a="1"/>
  <c r="A199" i="14" s="1"/>
  <c r="E198" i="14"/>
  <c r="F198" i="14"/>
  <c r="C198" i="14"/>
  <c r="H198" i="14"/>
  <c r="B198" i="14"/>
  <c r="G198" i="14"/>
  <c r="D198" i="14"/>
  <c r="C201" i="13"/>
  <c r="D201" i="13"/>
  <c r="H201" i="13"/>
  <c r="F201" i="13"/>
  <c r="E201" i="13"/>
  <c r="G201" i="13"/>
  <c r="A202" i="13" a="1"/>
  <c r="A202" i="13" s="1"/>
  <c r="B201" i="13"/>
  <c r="A200" i="14" l="1" a="1"/>
  <c r="A200" i="14" s="1"/>
  <c r="B199" i="14"/>
  <c r="F199" i="14"/>
  <c r="D199" i="14"/>
  <c r="G199" i="14"/>
  <c r="E199" i="14"/>
  <c r="C199" i="14"/>
  <c r="H199" i="14"/>
  <c r="C202" i="13"/>
  <c r="G202" i="13"/>
  <c r="F202" i="13"/>
  <c r="E202" i="13"/>
  <c r="D202" i="13"/>
  <c r="H202" i="13"/>
  <c r="A203" i="13" a="1"/>
  <c r="A203" i="13" s="1"/>
  <c r="B202" i="13"/>
  <c r="A201" i="14" l="1" a="1"/>
  <c r="A201" i="14" s="1"/>
  <c r="C200" i="14"/>
  <c r="G200" i="14"/>
  <c r="B200" i="14"/>
  <c r="H200" i="14"/>
  <c r="E200" i="14"/>
  <c r="D200" i="14"/>
  <c r="F200" i="14"/>
  <c r="F203" i="13"/>
  <c r="G203" i="13"/>
  <c r="C203" i="13"/>
  <c r="E203" i="13"/>
  <c r="H203" i="13"/>
  <c r="D203" i="13"/>
  <c r="A204" i="13" a="1"/>
  <c r="A204" i="13" s="1"/>
  <c r="B203" i="13"/>
  <c r="A202" i="14" l="1" a="1"/>
  <c r="A202" i="14" s="1"/>
  <c r="D201" i="14"/>
  <c r="H201" i="14"/>
  <c r="F201" i="14"/>
  <c r="C201" i="14"/>
  <c r="B201" i="14"/>
  <c r="G201" i="14"/>
  <c r="E201" i="14"/>
  <c r="E204" i="13"/>
  <c r="C204" i="13"/>
  <c r="G204" i="13"/>
  <c r="F204" i="13"/>
  <c r="H204" i="13"/>
  <c r="D204" i="13"/>
  <c r="A205" i="13" a="1"/>
  <c r="A205" i="13" s="1"/>
  <c r="B204" i="13"/>
  <c r="A203" i="14" l="1" a="1"/>
  <c r="A203" i="14" s="1"/>
  <c r="E202" i="14"/>
  <c r="D202" i="14"/>
  <c r="B202" i="14"/>
  <c r="G202" i="14"/>
  <c r="F202" i="14"/>
  <c r="C202" i="14"/>
  <c r="H202" i="14"/>
  <c r="C205" i="13"/>
  <c r="D205" i="13"/>
  <c r="H205" i="13"/>
  <c r="G205" i="13"/>
  <c r="F205" i="13"/>
  <c r="E205" i="13"/>
  <c r="A206" i="13" a="1"/>
  <c r="A206" i="13" s="1"/>
  <c r="B205" i="13"/>
  <c r="A204" i="14" l="1" a="1"/>
  <c r="A204" i="14" s="1"/>
  <c r="B203" i="14"/>
  <c r="F203" i="14"/>
  <c r="C203" i="14"/>
  <c r="H203" i="14"/>
  <c r="E203" i="14"/>
  <c r="D203" i="14"/>
  <c r="G203" i="14"/>
  <c r="C206" i="13"/>
  <c r="G206" i="13"/>
  <c r="H206" i="13"/>
  <c r="F206" i="13"/>
  <c r="D206" i="13"/>
  <c r="E206" i="13"/>
  <c r="A207" i="13" a="1"/>
  <c r="A207" i="13" s="1"/>
  <c r="B206" i="13"/>
  <c r="A205" i="14" l="1" a="1"/>
  <c r="A205" i="14" s="1"/>
  <c r="C204" i="14"/>
  <c r="G204" i="14"/>
  <c r="F204" i="14"/>
  <c r="D204" i="14"/>
  <c r="B204" i="14"/>
  <c r="H204" i="14"/>
  <c r="E204" i="14"/>
  <c r="C207" i="13"/>
  <c r="F207" i="13"/>
  <c r="H207" i="13"/>
  <c r="G207" i="13"/>
  <c r="D207" i="13"/>
  <c r="E207" i="13"/>
  <c r="A208" i="13" a="1"/>
  <c r="A208" i="13" s="1"/>
  <c r="B207" i="13"/>
  <c r="A206" i="14" l="1" a="1"/>
  <c r="A206" i="14" s="1"/>
  <c r="D205" i="14"/>
  <c r="H205" i="14"/>
  <c r="E205" i="14"/>
  <c r="B205" i="14"/>
  <c r="G205" i="14"/>
  <c r="F205" i="14"/>
  <c r="C205" i="14"/>
  <c r="C208" i="13"/>
  <c r="E208" i="13"/>
  <c r="H208" i="13"/>
  <c r="G208" i="13"/>
  <c r="D208" i="13"/>
  <c r="F208" i="13"/>
  <c r="A209" i="13" a="1"/>
  <c r="A209" i="13" s="1"/>
  <c r="B208" i="13"/>
  <c r="A207" i="14" l="1" a="1"/>
  <c r="A207" i="14" s="1"/>
  <c r="E206" i="14"/>
  <c r="C206" i="14"/>
  <c r="H206" i="14"/>
  <c r="F206" i="14"/>
  <c r="D206" i="14"/>
  <c r="B206" i="14"/>
  <c r="G206" i="14"/>
  <c r="C209" i="13"/>
  <c r="D209" i="13"/>
  <c r="H209" i="13"/>
  <c r="G209" i="13"/>
  <c r="E209" i="13"/>
  <c r="F209" i="13"/>
  <c r="A210" i="13" a="1"/>
  <c r="A210" i="13" s="1"/>
  <c r="B209" i="13"/>
  <c r="A208" i="14" l="1" a="1"/>
  <c r="A208" i="14" s="1"/>
  <c r="B207" i="14"/>
  <c r="F207" i="14"/>
  <c r="G207" i="14"/>
  <c r="D207" i="14"/>
  <c r="C207" i="14"/>
  <c r="H207" i="14"/>
  <c r="E207" i="14"/>
  <c r="C210" i="13"/>
  <c r="G210" i="13"/>
  <c r="D210" i="13"/>
  <c r="H210" i="13"/>
  <c r="E210" i="13"/>
  <c r="F210" i="13"/>
  <c r="A211" i="13" a="1"/>
  <c r="A211" i="13" s="1"/>
  <c r="B210" i="13"/>
  <c r="A209" i="14" l="1" a="1"/>
  <c r="A209" i="14" s="1"/>
  <c r="C208" i="14"/>
  <c r="G208" i="14"/>
  <c r="E208" i="14"/>
  <c r="B208" i="14"/>
  <c r="H208" i="14"/>
  <c r="F208" i="14"/>
  <c r="D208" i="14"/>
  <c r="C211" i="13"/>
  <c r="F211" i="13"/>
  <c r="D211" i="13"/>
  <c r="H211" i="13"/>
  <c r="G211" i="13"/>
  <c r="E211" i="13"/>
  <c r="A212" i="13" a="1"/>
  <c r="A212" i="13" s="1"/>
  <c r="B211" i="13"/>
  <c r="A210" i="14" l="1" a="1"/>
  <c r="A210" i="14" s="1"/>
  <c r="D209" i="14"/>
  <c r="H209" i="14"/>
  <c r="C209" i="14"/>
  <c r="F209" i="14"/>
  <c r="E209" i="14"/>
  <c r="B209" i="14"/>
  <c r="G209" i="14"/>
  <c r="C212" i="13"/>
  <c r="E212" i="13"/>
  <c r="D212" i="13"/>
  <c r="H212" i="13"/>
  <c r="F212" i="13"/>
  <c r="G212" i="13"/>
  <c r="A213" i="13" a="1"/>
  <c r="A213" i="13" s="1"/>
  <c r="B212" i="13"/>
  <c r="A211" i="14" l="1" a="1"/>
  <c r="A211" i="14" s="1"/>
  <c r="E210" i="14"/>
  <c r="B210" i="14"/>
  <c r="G210" i="14"/>
  <c r="D210" i="14"/>
  <c r="C210" i="14"/>
  <c r="H210" i="14"/>
  <c r="F210" i="14"/>
  <c r="D213" i="13"/>
  <c r="H213" i="13"/>
  <c r="E213" i="13"/>
  <c r="C213" i="13"/>
  <c r="F213" i="13"/>
  <c r="G213" i="13"/>
  <c r="A214" i="13" a="1"/>
  <c r="A214" i="13" s="1"/>
  <c r="B213" i="13"/>
  <c r="A212" i="14" l="1" a="1"/>
  <c r="A212" i="14" s="1"/>
  <c r="B211" i="14"/>
  <c r="F211" i="14"/>
  <c r="E211" i="14"/>
  <c r="C211" i="14"/>
  <c r="H211" i="14"/>
  <c r="G211" i="14"/>
  <c r="D211" i="14"/>
  <c r="C214" i="13"/>
  <c r="G214" i="13"/>
  <c r="E214" i="13"/>
  <c r="D214" i="13"/>
  <c r="F214" i="13"/>
  <c r="H214" i="13"/>
  <c r="A215" i="13" a="1"/>
  <c r="A215" i="13" s="1"/>
  <c r="B214" i="13"/>
  <c r="A213" i="14" l="1" a="1"/>
  <c r="A213" i="14" s="1"/>
  <c r="C212" i="14"/>
  <c r="G212" i="14"/>
  <c r="D212" i="14"/>
  <c r="F212" i="14"/>
  <c r="E212" i="14"/>
  <c r="B212" i="14"/>
  <c r="H212" i="14"/>
  <c r="F215" i="13"/>
  <c r="E215" i="13"/>
  <c r="D215" i="13"/>
  <c r="C215" i="13"/>
  <c r="H215" i="13"/>
  <c r="G215" i="13"/>
  <c r="A216" i="13" a="1"/>
  <c r="A216" i="13" s="1"/>
  <c r="B215" i="13"/>
  <c r="A214" i="14" l="1" a="1"/>
  <c r="A214" i="14" s="1"/>
  <c r="D213" i="14"/>
  <c r="H213" i="14"/>
  <c r="B213" i="14"/>
  <c r="G213" i="14"/>
  <c r="E213" i="14"/>
  <c r="C213" i="14"/>
  <c r="F213" i="14"/>
  <c r="C216" i="13"/>
  <c r="E216" i="13"/>
  <c r="F216" i="13"/>
  <c r="D216" i="13"/>
  <c r="G216" i="13"/>
  <c r="H216" i="13"/>
  <c r="A217" i="13" a="1"/>
  <c r="A217" i="13" s="1"/>
  <c r="B216" i="13"/>
  <c r="A215" i="14" l="1" a="1"/>
  <c r="A215" i="14" s="1"/>
  <c r="E214" i="14"/>
  <c r="F214" i="14"/>
  <c r="C214" i="14"/>
  <c r="H214" i="14"/>
  <c r="B214" i="14"/>
  <c r="G214" i="14"/>
  <c r="D214" i="14"/>
  <c r="C217" i="13"/>
  <c r="D217" i="13"/>
  <c r="H217" i="13"/>
  <c r="F217" i="13"/>
  <c r="E217" i="13"/>
  <c r="G217" i="13"/>
  <c r="A218" i="13" a="1"/>
  <c r="A218" i="13" s="1"/>
  <c r="B217" i="13"/>
  <c r="A216" i="14" l="1" a="1"/>
  <c r="A216" i="14" s="1"/>
  <c r="B215" i="14"/>
  <c r="F215" i="14"/>
  <c r="D215" i="14"/>
  <c r="G215" i="14"/>
  <c r="E215" i="14"/>
  <c r="C215" i="14"/>
  <c r="H215" i="14"/>
  <c r="C218" i="13"/>
  <c r="G218" i="13"/>
  <c r="F218" i="13"/>
  <c r="E218" i="13"/>
  <c r="H218" i="13"/>
  <c r="D218" i="13"/>
  <c r="A219" i="13" a="1"/>
  <c r="A219" i="13" s="1"/>
  <c r="B218" i="13"/>
  <c r="A217" i="14" l="1" a="1"/>
  <c r="A217" i="14" s="1"/>
  <c r="C216" i="14"/>
  <c r="G216" i="14"/>
  <c r="B216" i="14"/>
  <c r="H216" i="14"/>
  <c r="E216" i="14"/>
  <c r="D216" i="14"/>
  <c r="F216" i="14"/>
  <c r="C219" i="13"/>
  <c r="F219" i="13"/>
  <c r="G219" i="13"/>
  <c r="E219" i="13"/>
  <c r="D219" i="13"/>
  <c r="H219" i="13"/>
  <c r="A220" i="13" a="1"/>
  <c r="A220" i="13" s="1"/>
  <c r="B219" i="13"/>
  <c r="A218" i="14" l="1" a="1"/>
  <c r="A218" i="14" s="1"/>
  <c r="D217" i="14"/>
  <c r="H217" i="14"/>
  <c r="F217" i="14"/>
  <c r="C217" i="14"/>
  <c r="B217" i="14"/>
  <c r="G217" i="14"/>
  <c r="E217" i="14"/>
  <c r="C220" i="13"/>
  <c r="E220" i="13"/>
  <c r="G220" i="13"/>
  <c r="F220" i="13"/>
  <c r="H220" i="13"/>
  <c r="D220" i="13"/>
  <c r="A221" i="13" a="1"/>
  <c r="A221" i="13" s="1"/>
  <c r="B220" i="13"/>
  <c r="A219" i="14" l="1" a="1"/>
  <c r="A219" i="14" s="1"/>
  <c r="E218" i="14"/>
  <c r="D218" i="14"/>
  <c r="B218" i="14"/>
  <c r="G218" i="14"/>
  <c r="F218" i="14"/>
  <c r="C218" i="14"/>
  <c r="H218" i="14"/>
  <c r="C221" i="13"/>
  <c r="D221" i="13"/>
  <c r="H221" i="13"/>
  <c r="G221" i="13"/>
  <c r="F221" i="13"/>
  <c r="E221" i="13"/>
  <c r="A222" i="13" a="1"/>
  <c r="A222" i="13" s="1"/>
  <c r="B221" i="13"/>
  <c r="A220" i="14" l="1" a="1"/>
  <c r="A220" i="14" s="1"/>
  <c r="B219" i="14"/>
  <c r="F219" i="14"/>
  <c r="C219" i="14"/>
  <c r="H219" i="14"/>
  <c r="E219" i="14"/>
  <c r="D219" i="14"/>
  <c r="G219" i="14"/>
  <c r="C222" i="13"/>
  <c r="G222" i="13"/>
  <c r="H222" i="13"/>
  <c r="F222" i="13"/>
  <c r="D222" i="13"/>
  <c r="E222" i="13"/>
  <c r="A223" i="13" a="1"/>
  <c r="A223" i="13" s="1"/>
  <c r="B222" i="13"/>
  <c r="A221" i="14" l="1" a="1"/>
  <c r="A221" i="14" s="1"/>
  <c r="C220" i="14"/>
  <c r="G220" i="14"/>
  <c r="F220" i="14"/>
  <c r="D220" i="14"/>
  <c r="B220" i="14"/>
  <c r="H220" i="14"/>
  <c r="E220" i="14"/>
  <c r="C223" i="13"/>
  <c r="F223" i="13"/>
  <c r="G223" i="13"/>
  <c r="D223" i="13"/>
  <c r="E223" i="13"/>
  <c r="H223" i="13"/>
  <c r="A224" i="13" a="1"/>
  <c r="A224" i="13" s="1"/>
  <c r="B223" i="13"/>
  <c r="A222" i="14" l="1" a="1"/>
  <c r="A222" i="14" s="1"/>
  <c r="D221" i="14"/>
  <c r="H221" i="14"/>
  <c r="E221" i="14"/>
  <c r="B221" i="14"/>
  <c r="G221" i="14"/>
  <c r="F221" i="14"/>
  <c r="C221" i="14"/>
  <c r="E224" i="13"/>
  <c r="C224" i="13"/>
  <c r="G224" i="13"/>
  <c r="H224" i="13"/>
  <c r="D224" i="13"/>
  <c r="F224" i="13"/>
  <c r="A225" i="13" a="1"/>
  <c r="A225" i="13" s="1"/>
  <c r="B224" i="13"/>
  <c r="A223" i="14" l="1" a="1"/>
  <c r="A223" i="14" s="1"/>
  <c r="E222" i="14"/>
  <c r="C222" i="14"/>
  <c r="H222" i="14"/>
  <c r="F222" i="14"/>
  <c r="D222" i="14"/>
  <c r="B222" i="14"/>
  <c r="G222" i="14"/>
  <c r="D225" i="13"/>
  <c r="H225" i="13"/>
  <c r="C225" i="13"/>
  <c r="G225" i="13"/>
  <c r="F225" i="13"/>
  <c r="E225" i="13"/>
  <c r="A226" i="13" a="1"/>
  <c r="A226" i="13" s="1"/>
  <c r="B225" i="13"/>
  <c r="A224" i="14" l="1" a="1"/>
  <c r="A224" i="14" s="1"/>
  <c r="B223" i="14"/>
  <c r="F223" i="14"/>
  <c r="G223" i="14"/>
  <c r="D223" i="14"/>
  <c r="C223" i="14"/>
  <c r="H223" i="14"/>
  <c r="E223" i="14"/>
  <c r="C226" i="13"/>
  <c r="G226" i="13"/>
  <c r="H226" i="13"/>
  <c r="E226" i="13"/>
  <c r="F226" i="13"/>
  <c r="D226" i="13"/>
  <c r="A227" i="13" a="1"/>
  <c r="A227" i="13" s="1"/>
  <c r="B226" i="13"/>
  <c r="A225" i="14" l="1" a="1"/>
  <c r="A225" i="14" s="1"/>
  <c r="C224" i="14"/>
  <c r="G224" i="14"/>
  <c r="E224" i="14"/>
  <c r="B224" i="14"/>
  <c r="H224" i="14"/>
  <c r="F224" i="14"/>
  <c r="D224" i="14"/>
  <c r="C227" i="13"/>
  <c r="F227" i="13"/>
  <c r="H227" i="13"/>
  <c r="G227" i="13"/>
  <c r="D227" i="13"/>
  <c r="E227" i="13"/>
  <c r="A228" i="13" a="1"/>
  <c r="A228" i="13" s="1"/>
  <c r="B227" i="13"/>
  <c r="A226" i="14" l="1" a="1"/>
  <c r="A226" i="14" s="1"/>
  <c r="D225" i="14"/>
  <c r="H225" i="14"/>
  <c r="C225" i="14"/>
  <c r="F225" i="14"/>
  <c r="E225" i="14"/>
  <c r="B225" i="14"/>
  <c r="G225" i="14"/>
  <c r="C228" i="13"/>
  <c r="E228" i="13"/>
  <c r="H228" i="13"/>
  <c r="F228" i="13"/>
  <c r="D228" i="13"/>
  <c r="G228" i="13"/>
  <c r="A229" i="13" a="1"/>
  <c r="A229" i="13" s="1"/>
  <c r="B228" i="13"/>
  <c r="A227" i="14" l="1" a="1"/>
  <c r="A227" i="14" s="1"/>
  <c r="E226" i="14"/>
  <c r="B226" i="14"/>
  <c r="G226" i="14"/>
  <c r="D226" i="14"/>
  <c r="C226" i="14"/>
  <c r="H226" i="14"/>
  <c r="F226" i="14"/>
  <c r="C229" i="13"/>
  <c r="D229" i="13"/>
  <c r="H229" i="13"/>
  <c r="E229" i="13"/>
  <c r="F229" i="13"/>
  <c r="G229" i="13"/>
  <c r="A230" i="13" a="1"/>
  <c r="A230" i="13" s="1"/>
  <c r="B229" i="13"/>
  <c r="A228" i="14" l="1" a="1"/>
  <c r="A228" i="14" s="1"/>
  <c r="B227" i="14"/>
  <c r="F227" i="14"/>
  <c r="E227" i="14"/>
  <c r="C227" i="14"/>
  <c r="H227" i="14"/>
  <c r="G227" i="14"/>
  <c r="D227" i="14"/>
  <c r="C230" i="13"/>
  <c r="G230" i="13"/>
  <c r="D230" i="13"/>
  <c r="F230" i="13"/>
  <c r="H230" i="13"/>
  <c r="E230" i="13"/>
  <c r="A231" i="13" a="1"/>
  <c r="A231" i="13" s="1"/>
  <c r="B230" i="13"/>
  <c r="A229" i="14" l="1" a="1"/>
  <c r="A229" i="14" s="1"/>
  <c r="C228" i="14"/>
  <c r="G228" i="14"/>
  <c r="D228" i="14"/>
  <c r="F228" i="14"/>
  <c r="E228" i="14"/>
  <c r="B228" i="14"/>
  <c r="H228" i="14"/>
  <c r="C231" i="13"/>
  <c r="F231" i="13"/>
  <c r="D231" i="13"/>
  <c r="H231" i="13"/>
  <c r="E231" i="13"/>
  <c r="G231" i="13"/>
  <c r="A232" i="13" a="1"/>
  <c r="A232" i="13" s="1"/>
  <c r="B231" i="13"/>
  <c r="A230" i="14" l="1" a="1"/>
  <c r="A230" i="14" s="1"/>
  <c r="D229" i="14"/>
  <c r="H229" i="14"/>
  <c r="B229" i="14"/>
  <c r="G229" i="14"/>
  <c r="E229" i="14"/>
  <c r="C229" i="14"/>
  <c r="F229" i="14"/>
  <c r="C232" i="13"/>
  <c r="E232" i="13"/>
  <c r="D232" i="13"/>
  <c r="F232" i="13"/>
  <c r="G232" i="13"/>
  <c r="H232" i="13"/>
  <c r="A233" i="13" a="1"/>
  <c r="A233" i="13" s="1"/>
  <c r="B232" i="13"/>
  <c r="A231" i="14" l="1" a="1"/>
  <c r="A231" i="14" s="1"/>
  <c r="E230" i="14"/>
  <c r="F230" i="14"/>
  <c r="C230" i="14"/>
  <c r="H230" i="14"/>
  <c r="B230" i="14"/>
  <c r="G230" i="14"/>
  <c r="D230" i="14"/>
  <c r="C233" i="13"/>
  <c r="D233" i="13"/>
  <c r="H233" i="13"/>
  <c r="E233" i="13"/>
  <c r="G233" i="13"/>
  <c r="F233" i="13"/>
  <c r="A234" i="13" a="1"/>
  <c r="A234" i="13" s="1"/>
  <c r="B233" i="13"/>
  <c r="A232" i="14" l="1" a="1"/>
  <c r="A232" i="14" s="1"/>
  <c r="B231" i="14"/>
  <c r="F231" i="14"/>
  <c r="D231" i="14"/>
  <c r="G231" i="14"/>
  <c r="E231" i="14"/>
  <c r="C231" i="14"/>
  <c r="H231" i="14"/>
  <c r="C234" i="13"/>
  <c r="G234" i="13"/>
  <c r="E234" i="13"/>
  <c r="F234" i="13"/>
  <c r="H234" i="13"/>
  <c r="D234" i="13"/>
  <c r="A235" i="13" a="1"/>
  <c r="A235" i="13" s="1"/>
  <c r="B234" i="13"/>
  <c r="A233" i="14" l="1" a="1"/>
  <c r="A233" i="14" s="1"/>
  <c r="C232" i="14"/>
  <c r="G232" i="14"/>
  <c r="B232" i="14"/>
  <c r="H232" i="14"/>
  <c r="E232" i="14"/>
  <c r="D232" i="14"/>
  <c r="F232" i="14"/>
  <c r="F235" i="13"/>
  <c r="C235" i="13"/>
  <c r="E235" i="13"/>
  <c r="H235" i="13"/>
  <c r="G235" i="13"/>
  <c r="D235" i="13"/>
  <c r="A236" i="13" a="1"/>
  <c r="A236" i="13" s="1"/>
  <c r="B235" i="13"/>
  <c r="A234" i="14" l="1" a="1"/>
  <c r="A234" i="14" s="1"/>
  <c r="D233" i="14"/>
  <c r="H233" i="14"/>
  <c r="F233" i="14"/>
  <c r="C233" i="14"/>
  <c r="B233" i="14"/>
  <c r="G233" i="14"/>
  <c r="E233" i="14"/>
  <c r="E236" i="13"/>
  <c r="C236" i="13"/>
  <c r="F236" i="13"/>
  <c r="G236" i="13"/>
  <c r="H236" i="13"/>
  <c r="D236" i="13"/>
  <c r="A237" i="13" a="1"/>
  <c r="A237" i="13" s="1"/>
  <c r="B236" i="13"/>
  <c r="A235" i="14" l="1" a="1"/>
  <c r="A235" i="14" s="1"/>
  <c r="E234" i="14"/>
  <c r="D234" i="14"/>
  <c r="B234" i="14"/>
  <c r="G234" i="14"/>
  <c r="F234" i="14"/>
  <c r="C234" i="14"/>
  <c r="H234" i="14"/>
  <c r="C237" i="13"/>
  <c r="D237" i="13"/>
  <c r="H237" i="13"/>
  <c r="F237" i="13"/>
  <c r="G237" i="13"/>
  <c r="E237" i="13"/>
  <c r="A238" i="13" a="1"/>
  <c r="A238" i="13" s="1"/>
  <c r="B237" i="13"/>
  <c r="A236" i="14" l="1" a="1"/>
  <c r="A236" i="14" s="1"/>
  <c r="B235" i="14"/>
  <c r="F235" i="14"/>
  <c r="C235" i="14"/>
  <c r="H235" i="14"/>
  <c r="E235" i="14"/>
  <c r="D235" i="14"/>
  <c r="G235" i="14"/>
  <c r="C238" i="13"/>
  <c r="G238" i="13"/>
  <c r="F238" i="13"/>
  <c r="D238" i="13"/>
  <c r="H238" i="13"/>
  <c r="E238" i="13"/>
  <c r="A239" i="13" a="1"/>
  <c r="A239" i="13" s="1"/>
  <c r="B238" i="13"/>
  <c r="A237" i="14" l="1" a="1"/>
  <c r="A237" i="14" s="1"/>
  <c r="C236" i="14"/>
  <c r="G236" i="14"/>
  <c r="F236" i="14"/>
  <c r="D236" i="14"/>
  <c r="B236" i="14"/>
  <c r="H236" i="14"/>
  <c r="E236" i="14"/>
  <c r="C239" i="13"/>
  <c r="F239" i="13"/>
  <c r="G239" i="13"/>
  <c r="H239" i="13"/>
  <c r="D239" i="13"/>
  <c r="E239" i="13"/>
  <c r="A240" i="13" a="1"/>
  <c r="A240" i="13" s="1"/>
  <c r="B239" i="13"/>
  <c r="A238" i="14" l="1" a="1"/>
  <c r="A238" i="14" s="1"/>
  <c r="D237" i="14"/>
  <c r="H237" i="14"/>
  <c r="E237" i="14"/>
  <c r="B237" i="14"/>
  <c r="G237" i="14"/>
  <c r="F237" i="14"/>
  <c r="C237" i="14"/>
  <c r="C240" i="13"/>
  <c r="E240" i="13"/>
  <c r="G240" i="13"/>
  <c r="D240" i="13"/>
  <c r="H240" i="13"/>
  <c r="F240" i="13"/>
  <c r="A241" i="13" a="1"/>
  <c r="A241" i="13" s="1"/>
  <c r="B240" i="13"/>
  <c r="A239" i="14" l="1" a="1"/>
  <c r="A239" i="14" s="1"/>
  <c r="E238" i="14"/>
  <c r="C238" i="14"/>
  <c r="H238" i="14"/>
  <c r="F238" i="14"/>
  <c r="D238" i="14"/>
  <c r="G238" i="14"/>
  <c r="B238" i="14"/>
  <c r="C241" i="13"/>
  <c r="D241" i="13"/>
  <c r="H241" i="13"/>
  <c r="G241" i="13"/>
  <c r="E241" i="13"/>
  <c r="F241" i="13"/>
  <c r="A242" i="13" a="1"/>
  <c r="A242" i="13" s="1"/>
  <c r="B241" i="13"/>
  <c r="A240" i="14" l="1" a="1"/>
  <c r="A240" i="14" s="1"/>
  <c r="B239" i="14"/>
  <c r="F239" i="14"/>
  <c r="G239" i="14"/>
  <c r="D239" i="14"/>
  <c r="C239" i="14"/>
  <c r="H239" i="14"/>
  <c r="E239" i="14"/>
  <c r="C242" i="13"/>
  <c r="G242" i="13"/>
  <c r="H242" i="13"/>
  <c r="E242" i="13"/>
  <c r="D242" i="13"/>
  <c r="F242" i="13"/>
  <c r="A243" i="13" a="1"/>
  <c r="A243" i="13" s="1"/>
  <c r="B242" i="13"/>
  <c r="A241" i="14" l="1" a="1"/>
  <c r="A241" i="14" s="1"/>
  <c r="C240" i="14"/>
  <c r="E240" i="14"/>
  <c r="B240" i="14"/>
  <c r="G240" i="14"/>
  <c r="F240" i="14"/>
  <c r="D240" i="14"/>
  <c r="H240" i="14"/>
  <c r="C243" i="13"/>
  <c r="F243" i="13"/>
  <c r="H243" i="13"/>
  <c r="D243" i="13"/>
  <c r="E243" i="13"/>
  <c r="G243" i="13"/>
  <c r="A244" i="13" a="1"/>
  <c r="A244" i="13" s="1"/>
  <c r="B243" i="13"/>
  <c r="A242" i="14" l="1" a="1"/>
  <c r="A242" i="14" s="1"/>
  <c r="B241" i="14"/>
  <c r="F241" i="14"/>
  <c r="D241" i="14"/>
  <c r="H241" i="14"/>
  <c r="C241" i="14"/>
  <c r="G241" i="14"/>
  <c r="E241" i="14"/>
  <c r="C244" i="13"/>
  <c r="E244" i="13"/>
  <c r="H244" i="13"/>
  <c r="F244" i="13"/>
  <c r="D244" i="13"/>
  <c r="G244" i="13"/>
  <c r="A245" i="13" a="1"/>
  <c r="A245" i="13" s="1"/>
  <c r="B244" i="13"/>
  <c r="A243" i="14" l="1" a="1"/>
  <c r="A243" i="14" s="1"/>
  <c r="C242" i="14"/>
  <c r="G242" i="14"/>
  <c r="E242" i="14"/>
  <c r="D242" i="14"/>
  <c r="H242" i="14"/>
  <c r="B242" i="14"/>
  <c r="F242" i="14"/>
  <c r="C245" i="13"/>
  <c r="D245" i="13"/>
  <c r="H245" i="13"/>
  <c r="E245" i="13"/>
  <c r="F245" i="13"/>
  <c r="G245" i="13"/>
  <c r="A246" i="13" a="1"/>
  <c r="A246" i="13" s="1"/>
  <c r="B245" i="13"/>
  <c r="A244" i="14" l="1" a="1"/>
  <c r="A244" i="14" s="1"/>
  <c r="D243" i="14"/>
  <c r="H243" i="14"/>
  <c r="B243" i="14"/>
  <c r="F243" i="14"/>
  <c r="E243" i="14"/>
  <c r="G243" i="14"/>
  <c r="C243" i="14"/>
  <c r="C246" i="13"/>
  <c r="G246" i="13"/>
  <c r="D246" i="13"/>
  <c r="F246" i="13"/>
  <c r="E246" i="13"/>
  <c r="H246" i="13"/>
  <c r="A247" i="13" a="1"/>
  <c r="A247" i="13" s="1"/>
  <c r="B246" i="13"/>
  <c r="A245" i="14" l="1" a="1"/>
  <c r="A245" i="14" s="1"/>
  <c r="E244" i="14"/>
  <c r="C244" i="14"/>
  <c r="G244" i="14"/>
  <c r="B244" i="14"/>
  <c r="F244" i="14"/>
  <c r="D244" i="14"/>
  <c r="H244" i="14"/>
  <c r="C247" i="13"/>
  <c r="F247" i="13"/>
  <c r="D247" i="13"/>
  <c r="E247" i="13"/>
  <c r="G247" i="13"/>
  <c r="H247" i="13"/>
  <c r="A248" i="13" a="1"/>
  <c r="A248" i="13" s="1"/>
  <c r="B247" i="13"/>
  <c r="A246" i="14" l="1" a="1"/>
  <c r="A246" i="14" s="1"/>
  <c r="B245" i="14"/>
  <c r="F245" i="14"/>
  <c r="D245" i="14"/>
  <c r="H245" i="14"/>
  <c r="C245" i="14"/>
  <c r="G245" i="14"/>
  <c r="E245" i="14"/>
  <c r="C248" i="13"/>
  <c r="E248" i="13"/>
  <c r="D248" i="13"/>
  <c r="G248" i="13"/>
  <c r="F248" i="13"/>
  <c r="H248" i="13"/>
  <c r="A249" i="13" a="1"/>
  <c r="A249" i="13" s="1"/>
  <c r="B248" i="13"/>
  <c r="A247" i="14" l="1" a="1"/>
  <c r="A247" i="14" s="1"/>
  <c r="C246" i="14"/>
  <c r="G246" i="14"/>
  <c r="E246" i="14"/>
  <c r="D246" i="14"/>
  <c r="H246" i="14"/>
  <c r="B246" i="14"/>
  <c r="F246" i="14"/>
  <c r="C249" i="13"/>
  <c r="D249" i="13"/>
  <c r="H249" i="13"/>
  <c r="E249" i="13"/>
  <c r="F249" i="13"/>
  <c r="G249" i="13"/>
  <c r="A250" i="13" a="1"/>
  <c r="A250" i="13" s="1"/>
  <c r="B249" i="13"/>
  <c r="A248" i="14" l="1" a="1"/>
  <c r="A248" i="14" s="1"/>
  <c r="D247" i="14"/>
  <c r="H247" i="14"/>
  <c r="B247" i="14"/>
  <c r="F247" i="14"/>
  <c r="E247" i="14"/>
  <c r="C247" i="14"/>
  <c r="G247" i="14"/>
  <c r="C250" i="13"/>
  <c r="G250" i="13"/>
  <c r="E250" i="13"/>
  <c r="H250" i="13"/>
  <c r="F250" i="13"/>
  <c r="D250" i="13"/>
  <c r="A251" i="13" a="1"/>
  <c r="A251" i="13" s="1"/>
  <c r="B250" i="13"/>
  <c r="A249" i="14" l="1" a="1"/>
  <c r="A249" i="14" s="1"/>
  <c r="E248" i="14"/>
  <c r="C248" i="14"/>
  <c r="G248" i="14"/>
  <c r="B248" i="14"/>
  <c r="F248" i="14"/>
  <c r="D248" i="14"/>
  <c r="H248" i="14"/>
  <c r="C251" i="13"/>
  <c r="F251" i="13"/>
  <c r="E251" i="13"/>
  <c r="G251" i="13"/>
  <c r="H251" i="13"/>
  <c r="D251" i="13"/>
  <c r="A252" i="13" a="1"/>
  <c r="A252" i="13" s="1"/>
  <c r="B251" i="13"/>
  <c r="A250" i="14" l="1" a="1"/>
  <c r="A250" i="14" s="1"/>
  <c r="B249" i="14"/>
  <c r="F249" i="14"/>
  <c r="D249" i="14"/>
  <c r="H249" i="14"/>
  <c r="C249" i="14"/>
  <c r="G249" i="14"/>
  <c r="E249" i="14"/>
  <c r="C252" i="13"/>
  <c r="E252" i="13"/>
  <c r="F252" i="13"/>
  <c r="H252" i="13"/>
  <c r="G252" i="13"/>
  <c r="D252" i="13"/>
  <c r="A253" i="13" a="1"/>
  <c r="A253" i="13" s="1"/>
  <c r="B252" i="13"/>
  <c r="A251" i="14" l="1" a="1"/>
  <c r="A251" i="14" s="1"/>
  <c r="C250" i="14"/>
  <c r="G250" i="14"/>
  <c r="E250" i="14"/>
  <c r="D250" i="14"/>
  <c r="H250" i="14"/>
  <c r="F250" i="14"/>
  <c r="B250" i="14"/>
  <c r="C253" i="13"/>
  <c r="D253" i="13"/>
  <c r="H253" i="13"/>
  <c r="F253" i="13"/>
  <c r="G253" i="13"/>
  <c r="E253" i="13"/>
  <c r="A254" i="13" a="1"/>
  <c r="A254" i="13" s="1"/>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alcChain>
</file>

<file path=xl/sharedStrings.xml><?xml version="1.0" encoding="utf-8"?>
<sst xmlns="http://schemas.openxmlformats.org/spreadsheetml/2006/main" count="3076" uniqueCount="1263">
  <si>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</si>
  <si>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</si>
  <si>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</si>
  <si>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</si>
  <si>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</si>
  <si>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</si>
  <si>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</si>
  <si>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</si>
  <si>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</si>
  <si>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</si>
  <si>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</si>
  <si>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</si>
  <si>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</si>
  <si>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</si>
  <si>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</si>
  <si>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</si>
  <si>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</si>
  <si>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</si>
  <si>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</si>
  <si>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</si>
  <si>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</si>
  <si>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</si>
  <si>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</si>
  <si>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</si>
  <si>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</si>
  <si>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</si>
  <si>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</si>
  <si>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</si>
  <si>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</si>
  <si>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</si>
  <si>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</si>
  <si>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</si>
  <si>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</si>
  <si>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</si>
  <si>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</si>
  <si>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</si>
  <si>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</si>
  <si>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</si>
  <si>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</si>
  <si>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</si>
  <si>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</si>
  <si>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</si>
  <si>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</si>
  <si>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</si>
  <si>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</si>
  <si>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</si>
  <si>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</si>
  <si>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</si>
  <si>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</si>
  <si>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</si>
  <si>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</si>
  <si>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</si>
  <si>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</si>
  <si>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</si>
  <si>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</si>
  <si>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</si>
  <si>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</si>
  <si>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</si>
  <si>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</si>
  <si>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</si>
  <si>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</si>
  <si>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</si>
  <si>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</si>
  <si>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</si>
  <si>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</si>
  <si>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</si>
  <si>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</si>
  <si>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</si>
  <si>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</si>
  <si>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</si>
  <si>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</si>
  <si>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</si>
  <si>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</si>
  <si>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</si>
  <si>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</si>
  <si>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</si>
  <si>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</si>
  <si>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</si>
  <si>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</si>
  <si>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</si>
  <si>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</si>
  <si>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</si>
  <si>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</si>
  <si>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</si>
  <si>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</si>
  <si>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</si>
  <si>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</si>
  <si>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</si>
  <si>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</si>
  <si>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</si>
  <si>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</si>
  <si>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</si>
  <si>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</si>
  <si>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</si>
  <si>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</si>
  <si>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</si>
  <si>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</si>
  <si>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</si>
  <si>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</si>
  <si>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</si>
  <si>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</si>
  <si>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</si>
  <si>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</si>
  <si>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</si>
  <si>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</si>
  <si>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</si>
  <si>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</si>
  <si>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</si>
  <si>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</si>
  <si>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</si>
  <si>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</si>
  <si>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</si>
  <si>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</si>
  <si>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</si>
  <si>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</si>
  <si>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</si>
  <si>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</si>
  <si>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</si>
  <si>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</si>
  <si>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</si>
  <si>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</si>
  <si>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</si>
  <si>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</si>
  <si>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</si>
  <si>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</si>
  <si>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</si>
  <si>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</si>
  <si>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</si>
  <si>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</si>
  <si>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</si>
  <si>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</si>
  <si>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</si>
  <si>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</si>
  <si>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</si>
  <si>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</si>
  <si>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</si>
  <si>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</si>
  <si>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</si>
  <si>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</si>
  <si>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</si>
  <si>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</si>
  <si>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</si>
  <si>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</si>
  <si>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</si>
  <si>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</si>
  <si>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</si>
  <si>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</si>
  <si>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</si>
  <si>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</si>
  <si>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</si>
  <si>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</si>
  <si>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</si>
  <si>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</si>
  <si>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</si>
  <si>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</si>
  <si>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</si>
  <si>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</si>
  <si>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</si>
  <si>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</si>
  <si>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</si>
  <si>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</si>
  <si>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</si>
  <si>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</si>
  <si>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</si>
  <si>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</si>
  <si>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</si>
  <si>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</si>
  <si>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</si>
  <si>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</si>
  <si>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</si>
  <si>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</si>
  <si>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</si>
  <si>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</si>
  <si>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</si>
  <si>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</si>
  <si>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</si>
  <si>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</si>
  <si>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</si>
  <si>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</si>
  <si>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</si>
  <si>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</si>
  <si>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</si>
  <si>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</si>
  <si>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</si>
  <si>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</si>
  <si>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</si>
  <si>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</si>
  <si>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</si>
  <si>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</si>
  <si>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</si>
  <si>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</si>
  <si>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</si>
  <si>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</si>
  <si>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</si>
  <si>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</si>
  <si>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</si>
  <si>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</si>
  <si>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</si>
  <si>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</si>
  <si>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</si>
  <si>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</si>
  <si>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</si>
  <si>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</si>
  <si>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</si>
  <si>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</si>
  <si>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</si>
  <si>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</si>
  <si>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</si>
  <si>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</si>
  <si>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</si>
  <si>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</si>
  <si>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</si>
  <si>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</si>
  <si>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</si>
  <si>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</si>
  <si>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</si>
  <si>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</si>
  <si>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</si>
  <si>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</si>
  <si>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</si>
  <si>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</si>
  <si>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</si>
  <si>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</si>
  <si>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</si>
  <si>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</si>
  <si>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</si>
  <si>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</si>
  <si>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</si>
  <si>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</si>
  <si>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</si>
  <si>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</si>
  <si>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</si>
  <si>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</si>
  <si>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</si>
  <si>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</si>
  <si>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</si>
  <si>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</si>
  <si>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</si>
  <si>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</si>
  <si>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</si>
  <si>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</si>
  <si>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</si>
  <si>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</si>
  <si>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</si>
  <si>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</si>
  <si>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</si>
  <si>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</si>
  <si>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</si>
  <si>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</si>
  <si>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</si>
  <si>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</si>
  <si>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</si>
  <si>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</si>
  <si>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</si>
  <si>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</si>
  <si>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</si>
  <si>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</si>
  <si>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</si>
  <si>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</si>
  <si>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</si>
  <si>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</si>
  <si>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</si>
  <si>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</si>
  <si>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</si>
  <si>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</si>
  <si>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</si>
  <si>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</si>
  <si>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</si>
  <si>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</si>
  <si>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</si>
  <si>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</si>
  <si>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</si>
  <si>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</si>
  <si>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</si>
  <si>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</si>
  <si>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</si>
  <si>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</si>
  <si>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</si>
  <si>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</si>
  <si>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</si>
  <si>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</si>
  <si>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</si>
  <si>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</si>
  <si>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</si>
  <si>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</si>
  <si>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</si>
  <si>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</si>
  <si>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</si>
  <si>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</si>
  <si>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</si>
  <si>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</si>
  <si>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</si>
  <si>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</si>
  <si>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</si>
  <si>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</si>
  <si>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</si>
  <si>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</si>
  <si>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</si>
  <si>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</si>
  <si>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</si>
  <si>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</si>
  <si>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</si>
  <si>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</si>
  <si>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</si>
  <si>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</si>
  <si>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</si>
  <si>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</si>
  <si>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</si>
  <si>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</si>
  <si>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</si>
  <si>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</si>
  <si>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</si>
  <si>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</si>
  <si>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</si>
  <si>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</si>
  <si>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</si>
  <si>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</si>
  <si>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</si>
  <si>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</si>
  <si>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</si>
  <si>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</si>
  <si>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</si>
  <si>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</si>
  <si>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</si>
  <si>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</si>
  <si>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</si>
  <si>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</si>
  <si>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</si>
  <si>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</si>
  <si>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</si>
  <si>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</si>
  <si>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</si>
  <si>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</si>
  <si>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</si>
  <si>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</si>
  <si>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</si>
  <si>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</si>
  <si>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</si>
  <si>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</si>
  <si>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</si>
  <si>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</si>
  <si>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</si>
  <si>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</si>
  <si>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</si>
  <si>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</si>
  <si>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</si>
  <si>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</si>
  <si>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</si>
  <si>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</si>
  <si>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</si>
  <si>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</si>
  <si>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</si>
  <si>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</si>
  <si>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</si>
  <si>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</si>
  <si>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</si>
  <si>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</si>
  <si>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</si>
  <si>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</si>
  <si>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</si>
  <si>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</si>
  <si>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</si>
  <si>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</si>
  <si>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</si>
  <si>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</si>
  <si>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</si>
  <si>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</si>
  <si>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</si>
  <si>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</si>
  <si>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</si>
  <si>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</si>
  <si>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</si>
  <si>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</si>
  <si>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</si>
  <si>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</si>
  <si>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</si>
  <si>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</si>
  <si>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</si>
  <si>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</si>
  <si>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</si>
  <si>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</si>
  <si>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</si>
  <si>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</si>
  <si>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</si>
  <si>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</si>
  <si>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</si>
  <si>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</si>
  <si>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</si>
  <si>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</si>
  <si>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</si>
  <si>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</si>
  <si>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</si>
  <si>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</si>
  <si>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</si>
  <si>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</si>
  <si>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</si>
  <si>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</si>
  <si>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</si>
  <si>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</si>
  <si>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</si>
  <si>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</si>
  <si>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</si>
  <si>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</si>
  <si>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</si>
  <si>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</si>
  <si>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</si>
  <si>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</si>
  <si>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</si>
  <si>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</si>
  <si>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</si>
  <si>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</si>
  <si>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</si>
  <si>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</si>
  <si>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</si>
  <si>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</si>
  <si>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</si>
  <si>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</si>
  <si>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</si>
  <si>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</si>
  <si>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</si>
  <si>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</si>
  <si>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</si>
  <si>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</si>
  <si>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</si>
  <si>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Open LLFCs / LDNO unique billing identifier</t>
  </si>
  <si>
    <t>LDNO LV: Domestic Aggregated</t>
  </si>
  <si>
    <t>LDNO LV: Domestic Aggregated (related MPAN)</t>
  </si>
  <si>
    <t>LDNO LV: Non-Domestic Aggregated</t>
  </si>
  <si>
    <t>LDNO LV: Non-Domestic Aggregated (related MPAN)</t>
  </si>
  <si>
    <t>LDNO LV: LV Site Specific</t>
  </si>
  <si>
    <t>LDNO LV: Unmetered Supplies</t>
  </si>
  <si>
    <t>LDNO LV: LV Generation Aggregated</t>
  </si>
  <si>
    <t>LDNO LV: LV Generation Site Specific</t>
  </si>
  <si>
    <t>LDNO HV: Domestic Aggregated</t>
  </si>
  <si>
    <t>LDNO HV: Domestic Aggregated (related MPAN)</t>
  </si>
  <si>
    <t>LDNO HV: Non-Domestic Aggregated</t>
  </si>
  <si>
    <t>LDNO HV: Non-Domestic Aggregated (related MPAN)</t>
  </si>
  <si>
    <t>LDNO HV: LV Site Specific</t>
  </si>
  <si>
    <t>LDNO HV: LV Sub Site Specific</t>
  </si>
  <si>
    <t>LDNO HV: HV Site Specific</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</si>
  <si>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</si>
  <si>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</si>
  <si>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</si>
  <si>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</si>
  <si>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</si>
  <si>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</si>
  <si>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t>
  </si>
  <si>
    <t>LDNO HVplus: Domestic Aggregated (related MPAN)</t>
  </si>
  <si>
    <t>LDNO HVplus: Non-Domestic Aggregated</t>
  </si>
  <si>
    <t>LDNO HVplus: Non-Domestic Aggregated (related MPAN)</t>
  </si>
  <si>
    <t>LDNO HVplus: LV Site Specific</t>
  </si>
  <si>
    <t>LDNO HVplus: LV Sub Site Specific</t>
  </si>
  <si>
    <t>LDNO HVplus: HV Site Specific</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</si>
  <si>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</si>
  <si>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</si>
  <si>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</si>
  <si>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</si>
  <si>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</si>
  <si>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</si>
  <si>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t>
  </si>
  <si>
    <t>LDNO EHV: Domestic Aggregated (related MPAN)</t>
  </si>
  <si>
    <t>LDNO EHV: Non-Domestic Aggregated</t>
  </si>
  <si>
    <t>LDNO EHV: Non-Domestic Aggregated (related MPAN)</t>
  </si>
  <si>
    <t>LDNO EHV: LV Site Specific</t>
  </si>
  <si>
    <t>LDNO EHV: LV Sub Site Specific</t>
  </si>
  <si>
    <t>LDNO EHV: HV Site Specific</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</si>
  <si>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</si>
  <si>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</si>
  <si>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</si>
  <si>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</si>
  <si>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</si>
  <si>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</si>
  <si>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t>
  </si>
  <si>
    <t>LDNO 132kV/EHV: Domestic Aggregated (related MPAN)</t>
  </si>
  <si>
    <t>LDNO 132kV/EHV: Non-Domestic Aggregated</t>
  </si>
  <si>
    <t>LDNO 132kV/EHV: Non-Domestic Aggregated (related MPAN)</t>
  </si>
  <si>
    <t>LDNO 132kV/EHV: LV Site Specific</t>
  </si>
  <si>
    <t>LDNO 132kV/EHV: LV Sub Site Specific</t>
  </si>
  <si>
    <t>LDNO 132kV/EHV: HV Site Specific</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</si>
  <si>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</si>
  <si>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</si>
  <si>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</si>
  <si>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</si>
  <si>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</si>
  <si>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</si>
  <si>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t>
  </si>
  <si>
    <t>LDNO 132kV: Domestic Aggregated (related MPAN)</t>
  </si>
  <si>
    <t>LDNO 132kV: Non-Domestic Aggregated</t>
  </si>
  <si>
    <t>LDNO 132kV: Non-Domestic Aggregated (related MPAN)</t>
  </si>
  <si>
    <t>LDNO 132kV: LV Site Specific</t>
  </si>
  <si>
    <t>LDNO 132kV: LV Sub Site Specific</t>
  </si>
  <si>
    <t>LDNO 132kV: HV Site Specific</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</si>
  <si>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</si>
  <si>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</si>
  <si>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</si>
  <si>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</si>
  <si>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</si>
  <si>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</si>
  <si>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t>
  </si>
  <si>
    <t>LDNO 0000: Domestic Aggregated (related MPAN)</t>
  </si>
  <si>
    <t>LDNO 0000: Non-Domestic Aggregated</t>
  </si>
  <si>
    <t>LDNO 0000: Non-Domestic Aggregated (related MPAN)</t>
  </si>
  <si>
    <t>LDNO 0000: LV Site Specific</t>
  </si>
  <si>
    <t>LDNO 0000: LV Sub Site Specific</t>
  </si>
  <si>
    <t>LDNO 0000: HV Site Specific</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</si>
  <si>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</si>
  <si>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</si>
  <si>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</si>
  <si>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</si>
  <si>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</si>
  <si>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</si>
  <si>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</si>
  <si>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</si>
  <si>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</si>
  <si>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</si>
  <si>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</si>
  <si>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</si>
  <si>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</si>
  <si>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</si>
  <si>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</si>
  <si>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1, 902, 906</t>
  </si>
  <si>
    <t>964</t>
  </si>
  <si>
    <t>350, 420, 421, 422, 423, 424, 425, 426, 427, 428, 429, 430, 431, 432, 433, 434, 435</t>
  </si>
  <si>
    <t>980, 982</t>
  </si>
  <si>
    <t>981, 983</t>
  </si>
  <si>
    <t>984, 986</t>
  </si>
  <si>
    <t>985, 987</t>
  </si>
  <si>
    <t>988, 990</t>
  </si>
  <si>
    <t>989, 991</t>
  </si>
  <si>
    <t>London Power Networks</t>
  </si>
  <si>
    <t>2021/22</t>
  </si>
  <si>
    <t>1 April 2021</t>
  </si>
  <si>
    <t>11:00 - 14:00
16:00 - 19:00</t>
  </si>
  <si>
    <t>07:00 - 11:00
14:00 - 16:00
19:00 - 23:00</t>
  </si>
  <si>
    <t>00:00 - 07:00
23:00 - 24:00</t>
  </si>
  <si>
    <t>00:00 - 24:00</t>
  </si>
  <si>
    <t>All times are in UK Clock time</t>
  </si>
  <si>
    <t>11:00 - 14:00</t>
  </si>
  <si>
    <t>07:00 - 11:00
14:00 - 23:00</t>
  </si>
  <si>
    <t>16:00 - 19:00</t>
  </si>
  <si>
    <t>07:00 - 16:00
19:00 - 23:00</t>
  </si>
  <si>
    <t>Monday to Friday 
(Including Bank Holidays)
March, April, May and September, October</t>
  </si>
  <si>
    <t>07:00 - 23:00</t>
  </si>
  <si>
    <t>1, 2 or 0</t>
  </si>
  <si>
    <t>3-8 or 0</t>
  </si>
  <si>
    <t>1, 8 or 0</t>
  </si>
  <si>
    <t>8 or 0</t>
  </si>
  <si>
    <t>London Power Networks has no Preserved NHH Tariffs/Additional LLFC classes</t>
  </si>
  <si>
    <t>London Power Networks has no Preserved HH Tariffs/Additional LLFC classes</t>
  </si>
  <si>
    <t>0</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</si>
  <si>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</si>
  <si>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</si>
  <si>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</si>
  <si>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</si>
  <si>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</si>
  <si>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</si>
  <si>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</si>
  <si>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</si>
  <si>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</si>
  <si>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</si>
  <si>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</si>
  <si>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</si>
  <si>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</si>
  <si>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</si>
  <si>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</si>
  <si>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This table has intentionally been left blank. The line loss factors that are approved by the BSC Panel for the applicable year and consequently published on the Elexon website will take precedence and be used in Settlement. This annex will be re-published once precedence and will be used in Settlement if they differ from these values.</t>
  </si>
  <si>
    <t>903, 907, 910</t>
  </si>
  <si>
    <t>914, 915</t>
  </si>
  <si>
    <t>404, 953, 957, 960, 961, 970, 971</t>
  </si>
  <si>
    <t>753, 763</t>
  </si>
  <si>
    <t>22BSHP</t>
  </si>
  <si>
    <t>BISHPC</t>
  </si>
  <si>
    <t>BLMBGN</t>
  </si>
  <si>
    <t>BLMBGS</t>
  </si>
  <si>
    <t>BRDGTE</t>
  </si>
  <si>
    <t>BRKFLD</t>
  </si>
  <si>
    <t>BRMLEY</t>
  </si>
  <si>
    <t>CRLIMM</t>
  </si>
  <si>
    <t>DART11</t>
  </si>
  <si>
    <t>DART33</t>
  </si>
  <si>
    <t>EPNLEI</t>
  </si>
  <si>
    <t>FENAVE</t>
  </si>
  <si>
    <t>FENCHS</t>
  </si>
  <si>
    <t>GBLSWI</t>
  </si>
  <si>
    <t>KNGLPN</t>
  </si>
  <si>
    <t>LEDNHS</t>
  </si>
  <si>
    <t>LIMEST</t>
  </si>
  <si>
    <t>LNWALL</t>
  </si>
  <si>
    <t>LU_ACT</t>
  </si>
  <si>
    <t>LU_CAN</t>
  </si>
  <si>
    <t>LU_CHA</t>
  </si>
  <si>
    <t>LU_HOX</t>
  </si>
  <si>
    <t>LU_LOT</t>
  </si>
  <si>
    <t>LU_MAN</t>
  </si>
  <si>
    <t>LU_STE</t>
  </si>
  <si>
    <t>MRKLNE</t>
  </si>
  <si>
    <t>NGC_BA</t>
  </si>
  <si>
    <t>NR_BOW</t>
  </si>
  <si>
    <t>NR_BRO</t>
  </si>
  <si>
    <t>NR_CIT</t>
  </si>
  <si>
    <t>NR_MAD</t>
  </si>
  <si>
    <t>NR_NEW</t>
  </si>
  <si>
    <t>NR_W11</t>
  </si>
  <si>
    <t>NR_W25</t>
  </si>
  <si>
    <t>NR_WES</t>
  </si>
  <si>
    <t>NR_WHI</t>
  </si>
  <si>
    <t>NR_WIM</t>
  </si>
  <si>
    <t>TELEHW</t>
  </si>
  <si>
    <t>THAMEB</t>
  </si>
  <si>
    <t>THAMEC</t>
  </si>
  <si>
    <t>TWCHST</t>
  </si>
  <si>
    <t>TWGNCH</t>
  </si>
  <si>
    <t>TWKIRT</t>
  </si>
  <si>
    <t>VOLTDC</t>
  </si>
  <si>
    <t>WILKST</t>
  </si>
  <si>
    <t>BELVED</t>
  </si>
  <si>
    <t>SELCHP</t>
  </si>
  <si>
    <t>TLRSLN</t>
  </si>
  <si>
    <t>1200062355497
1200062355502</t>
  </si>
  <si>
    <t>1200061143976
1200061143985</t>
  </si>
  <si>
    <t>1200061385700
1200061385710</t>
  </si>
  <si>
    <t>1200061385729
1200061385738</t>
  </si>
  <si>
    <t>1200061148014
1200061148023</t>
  </si>
  <si>
    <t>1200061148060
1200061148079</t>
  </si>
  <si>
    <t>1200062090483
1200062090492</t>
  </si>
  <si>
    <t>1200062132159
1200062132168</t>
  </si>
  <si>
    <t>1200061144029
1200061144038</t>
  </si>
  <si>
    <t>1200050913681
1200050913690
1200050913706
1200050913715</t>
  </si>
  <si>
    <t>1200061144065
1200061144074</t>
  </si>
  <si>
    <t>1200062132006
1200062132015</t>
  </si>
  <si>
    <t>1200061953070
1200061953089
1200061148194
1200061148200</t>
  </si>
  <si>
    <t>1200060323207
1200060323216</t>
  </si>
  <si>
    <t>1200061231921
1200061231930
1200061231940
1200061231959</t>
  </si>
  <si>
    <t>1200050376902
1200050376911</t>
  </si>
  <si>
    <t>1200010157225
1200010157234</t>
  </si>
  <si>
    <t>1200061378624
1200061378633</t>
  </si>
  <si>
    <t>1200010151863
1200010151872</t>
  </si>
  <si>
    <t>1200060280440
1200060280468</t>
  </si>
  <si>
    <t>1200060951114
1200060951123</t>
  </si>
  <si>
    <t>1200010146153
1200010146162
1200010146171
1200061197703</t>
  </si>
  <si>
    <t>1200061171324
1200061171333</t>
  </si>
  <si>
    <t>1200061999491
1200061999507
1200062001242
1200062001251</t>
  </si>
  <si>
    <t>1200061148032
1200061148041</t>
  </si>
  <si>
    <t>1200061171342
1200061171351</t>
  </si>
  <si>
    <t>TBC</t>
  </si>
  <si>
    <t>MSID: 1630</t>
  </si>
  <si>
    <t>MSID: 1628</t>
  </si>
  <si>
    <t>MSID: 1027</t>
  </si>
  <si>
    <t>MSID: 1631</t>
  </si>
  <si>
    <t>1200050312030
1200050312040
1200061219394</t>
  </si>
  <si>
    <t>MSID: 1032</t>
  </si>
  <si>
    <t>MSID: 5538</t>
  </si>
  <si>
    <t>ABPA51</t>
  </si>
  <si>
    <t>ABPA52</t>
  </si>
  <si>
    <t>ABPB51</t>
  </si>
  <si>
    <t>ACTL81</t>
  </si>
  <si>
    <t>AMBL51</t>
  </si>
  <si>
    <t>AXES51</t>
  </si>
  <si>
    <t>AXES52</t>
  </si>
  <si>
    <t>BACA51</t>
  </si>
  <si>
    <t>BACA52</t>
  </si>
  <si>
    <t>BANC51</t>
  </si>
  <si>
    <t>BARB81</t>
  </si>
  <si>
    <t>BARD51</t>
  </si>
  <si>
    <t>BARD52</t>
  </si>
  <si>
    <t>BDGE31</t>
  </si>
  <si>
    <t>BDGW31</t>
  </si>
  <si>
    <t>BECS31</t>
  </si>
  <si>
    <t>BEEA51</t>
  </si>
  <si>
    <t>BENR51</t>
  </si>
  <si>
    <t>BENR52</t>
  </si>
  <si>
    <t>BISE31</t>
  </si>
  <si>
    <t>BISW31</t>
  </si>
  <si>
    <t>BKWY51</t>
  </si>
  <si>
    <t>BKWY52</t>
  </si>
  <si>
    <t>BLHL51</t>
  </si>
  <si>
    <t>BLHL52</t>
  </si>
  <si>
    <t>BLOP71</t>
  </si>
  <si>
    <t>BLOP72</t>
  </si>
  <si>
    <t>BNSB71</t>
  </si>
  <si>
    <t>BNSB72</t>
  </si>
  <si>
    <t>BOWS51</t>
  </si>
  <si>
    <t>BOWS52</t>
  </si>
  <si>
    <t>BREN81</t>
  </si>
  <si>
    <t>BROA51</t>
  </si>
  <si>
    <t>BROA52</t>
  </si>
  <si>
    <t>BROS51</t>
  </si>
  <si>
    <t>BROS52</t>
  </si>
  <si>
    <t>BRXB51</t>
  </si>
  <si>
    <t>BRXB52</t>
  </si>
  <si>
    <t>BTPN31</t>
  </si>
  <si>
    <t>BTPS31</t>
  </si>
  <si>
    <t>BULS51</t>
  </si>
  <si>
    <t>BULS52</t>
  </si>
  <si>
    <t>BURL51</t>
  </si>
  <si>
    <t>BURL52</t>
  </si>
  <si>
    <t>BWNR81</t>
  </si>
  <si>
    <t>BWNR82</t>
  </si>
  <si>
    <t>CALS51</t>
  </si>
  <si>
    <t>CANE31</t>
  </si>
  <si>
    <t>CARK51</t>
  </si>
  <si>
    <t>CARK52</t>
  </si>
  <si>
    <t>CARN51</t>
  </si>
  <si>
    <t>CARN52</t>
  </si>
  <si>
    <t>CHAM51</t>
  </si>
  <si>
    <t>CHAP81</t>
  </si>
  <si>
    <t>CHAX71</t>
  </si>
  <si>
    <t>CHSB31</t>
  </si>
  <si>
    <t>CHSL51</t>
  </si>
  <si>
    <t>CHSL52</t>
  </si>
  <si>
    <t>CHUR51</t>
  </si>
  <si>
    <t>CHUR52</t>
  </si>
  <si>
    <t>CITB51</t>
  </si>
  <si>
    <t>CITB52</t>
  </si>
  <si>
    <t>CITC51</t>
  </si>
  <si>
    <t>CLAP51</t>
  </si>
  <si>
    <t>CLAP52</t>
  </si>
  <si>
    <t>CLAR51</t>
  </si>
  <si>
    <t>CLAR52</t>
  </si>
  <si>
    <t>CORA11</t>
  </si>
  <si>
    <t>CRAY51</t>
  </si>
  <si>
    <t>CRAY52</t>
  </si>
  <si>
    <t>CRSN31</t>
  </si>
  <si>
    <t>CSBN31</t>
  </si>
  <si>
    <t>CSBS31</t>
  </si>
  <si>
    <t>DARA31</t>
  </si>
  <si>
    <t>DARB51</t>
  </si>
  <si>
    <t>DARB52</t>
  </si>
  <si>
    <t>DEPD51</t>
  </si>
  <si>
    <t>DERM51</t>
  </si>
  <si>
    <t>DEVO51</t>
  </si>
  <si>
    <t>DEVO52</t>
  </si>
  <si>
    <t>DEVO53</t>
  </si>
  <si>
    <t>DKAV51</t>
  </si>
  <si>
    <t>DURN51</t>
  </si>
  <si>
    <t>DURN52</t>
  </si>
  <si>
    <t>DUST51</t>
  </si>
  <si>
    <t>DUST52</t>
  </si>
  <si>
    <t>DUST53</t>
  </si>
  <si>
    <t>EBBR51</t>
  </si>
  <si>
    <t>EBBR52</t>
  </si>
  <si>
    <t>EBBR53</t>
  </si>
  <si>
    <t>EDLA51</t>
  </si>
  <si>
    <t>EDLA52</t>
  </si>
  <si>
    <t>EITH51</t>
  </si>
  <si>
    <t>EITH52</t>
  </si>
  <si>
    <t>ELHS51</t>
  </si>
  <si>
    <t>ELTM51</t>
  </si>
  <si>
    <t>ELTM52</t>
  </si>
  <si>
    <t>EPPN51</t>
  </si>
  <si>
    <t>EPPN52</t>
  </si>
  <si>
    <t>EXET51</t>
  </si>
  <si>
    <t>EXET52</t>
  </si>
  <si>
    <t>FAIR51</t>
  </si>
  <si>
    <t>FAIR52</t>
  </si>
  <si>
    <t>FARJ51</t>
  </si>
  <si>
    <t>FARJ52</t>
  </si>
  <si>
    <t>FENE31</t>
  </si>
  <si>
    <t>FENN31</t>
  </si>
  <si>
    <t>FENS31</t>
  </si>
  <si>
    <t>FENW31</t>
  </si>
  <si>
    <t>FINA51</t>
  </si>
  <si>
    <t>FINA52</t>
  </si>
  <si>
    <t>FIND51</t>
  </si>
  <si>
    <t>FINE51</t>
  </si>
  <si>
    <t>FISB51</t>
  </si>
  <si>
    <t>FORE51</t>
  </si>
  <si>
    <t>FULC51</t>
  </si>
  <si>
    <t>GIBR51</t>
  </si>
  <si>
    <t>GLAU51</t>
  </si>
  <si>
    <t>GORR51</t>
  </si>
  <si>
    <t>GORR52</t>
  </si>
  <si>
    <t>GRFD81</t>
  </si>
  <si>
    <t>GROL51</t>
  </si>
  <si>
    <t>GROL52</t>
  </si>
  <si>
    <t>GSST31</t>
  </si>
  <si>
    <t>HATR51</t>
  </si>
  <si>
    <t>HATR52</t>
  </si>
  <si>
    <t>HEAR51</t>
  </si>
  <si>
    <t>HEAR52</t>
  </si>
  <si>
    <t>HOLW51</t>
  </si>
  <si>
    <t>HOLW52</t>
  </si>
  <si>
    <t>HOXT31</t>
  </si>
  <si>
    <t>HYPA51</t>
  </si>
  <si>
    <t>HYPA52</t>
  </si>
  <si>
    <t>HYPB51</t>
  </si>
  <si>
    <t>HYPB52</t>
  </si>
  <si>
    <t>IMPC71</t>
  </si>
  <si>
    <t>IMPC72</t>
  </si>
  <si>
    <t>KHWK51</t>
  </si>
  <si>
    <t>KHWK52</t>
  </si>
  <si>
    <t>KIDV51</t>
  </si>
  <si>
    <t>KIMB51</t>
  </si>
  <si>
    <t>KIMB52</t>
  </si>
  <si>
    <t>KIRT51</t>
  </si>
  <si>
    <t>KITO11</t>
  </si>
  <si>
    <t>KWAY51</t>
  </si>
  <si>
    <t>KWAY52</t>
  </si>
  <si>
    <t>LAND11</t>
  </si>
  <si>
    <t>LEAE31</t>
  </si>
  <si>
    <t>LEAW31</t>
  </si>
  <si>
    <t>LEIR31</t>
  </si>
  <si>
    <t>LESQ51</t>
  </si>
  <si>
    <t>LEYB51</t>
  </si>
  <si>
    <t>LEYB52</t>
  </si>
  <si>
    <t>LIMA51</t>
  </si>
  <si>
    <t>LITA51</t>
  </si>
  <si>
    <t>LITA52</t>
  </si>
  <si>
    <t>LLCR81</t>
  </si>
  <si>
    <t>LMSE31</t>
  </si>
  <si>
    <t>LMSN31</t>
  </si>
  <si>
    <t>LOMD51</t>
  </si>
  <si>
    <t>LOMD52</t>
  </si>
  <si>
    <t>LONG51</t>
  </si>
  <si>
    <t>LOTS81</t>
  </si>
  <si>
    <t>LWAN31</t>
  </si>
  <si>
    <t>LWAS31</t>
  </si>
  <si>
    <t>LWBN31</t>
  </si>
  <si>
    <t>LWBS31</t>
  </si>
  <si>
    <t>MANS81</t>
  </si>
  <si>
    <t>MARK31</t>
  </si>
  <si>
    <t>MAYR51</t>
  </si>
  <si>
    <t>MERT51</t>
  </si>
  <si>
    <t>MERT52</t>
  </si>
  <si>
    <t>MONB51</t>
  </si>
  <si>
    <t>MONB52</t>
  </si>
  <si>
    <t>MONB53</t>
  </si>
  <si>
    <t>MONB54</t>
  </si>
  <si>
    <t>MORT51</t>
  </si>
  <si>
    <t>MORT52</t>
  </si>
  <si>
    <t>MORT53</t>
  </si>
  <si>
    <t>MORT54</t>
  </si>
  <si>
    <t>MOSW71</t>
  </si>
  <si>
    <t>MOSW72</t>
  </si>
  <si>
    <t>NECK51</t>
  </si>
  <si>
    <t>NECK52</t>
  </si>
  <si>
    <t>NELN51</t>
  </si>
  <si>
    <t>NEWB51</t>
  </si>
  <si>
    <t>NEWB52</t>
  </si>
  <si>
    <t>NMRD51</t>
  </si>
  <si>
    <t>NORX51</t>
  </si>
  <si>
    <t>NUNH31</t>
  </si>
  <si>
    <t>NUTM51</t>
  </si>
  <si>
    <t>NUTM52</t>
  </si>
  <si>
    <t>OBRB51</t>
  </si>
  <si>
    <t>OBRB52</t>
  </si>
  <si>
    <t>OBRB53</t>
  </si>
  <si>
    <t>OSBN51</t>
  </si>
  <si>
    <t>OSBN52</t>
  </si>
  <si>
    <t>OSCL51</t>
  </si>
  <si>
    <t>OSCL52</t>
  </si>
  <si>
    <t>PARL81</t>
  </si>
  <si>
    <t>PATE51</t>
  </si>
  <si>
    <t>PATE52</t>
  </si>
  <si>
    <t>PYPT31</t>
  </si>
  <si>
    <t>QSBS31</t>
  </si>
  <si>
    <t>SBAN51</t>
  </si>
  <si>
    <t>SBAN52</t>
  </si>
  <si>
    <t>SEWL51</t>
  </si>
  <si>
    <t>SEWL52</t>
  </si>
  <si>
    <t>SHOD51</t>
  </si>
  <si>
    <t>SILB51</t>
  </si>
  <si>
    <t>SILB52</t>
  </si>
  <si>
    <t>SIMP51</t>
  </si>
  <si>
    <t>SIMP52</t>
  </si>
  <si>
    <t>SIMP53</t>
  </si>
  <si>
    <t>SPAA51</t>
  </si>
  <si>
    <t>SPAB51</t>
  </si>
  <si>
    <t>STEN81</t>
  </si>
  <si>
    <t>SYDK51</t>
  </si>
  <si>
    <t>SYDK52</t>
  </si>
  <si>
    <t>TOOS51</t>
  </si>
  <si>
    <t>TOWB51</t>
  </si>
  <si>
    <t>TOWB52</t>
  </si>
  <si>
    <t>TRIN51</t>
  </si>
  <si>
    <t>TRIN52</t>
  </si>
  <si>
    <t>VERR51</t>
  </si>
  <si>
    <t>VERR52</t>
  </si>
  <si>
    <t>VICT71</t>
  </si>
  <si>
    <t>VICT72</t>
  </si>
  <si>
    <t>VISC51</t>
  </si>
  <si>
    <t>WANC51</t>
  </si>
  <si>
    <t>WANC52</t>
  </si>
  <si>
    <t>WATR51</t>
  </si>
  <si>
    <t>WATR52</t>
  </si>
  <si>
    <t>WDGR51</t>
  </si>
  <si>
    <t>WFCS51</t>
  </si>
  <si>
    <t>WFCS52</t>
  </si>
  <si>
    <t>WFCS53</t>
  </si>
  <si>
    <t>WHAG53</t>
  </si>
  <si>
    <t>WHAG54</t>
  </si>
  <si>
    <t>WHBR81</t>
  </si>
  <si>
    <t>WHBR82</t>
  </si>
  <si>
    <t>WHSR51</t>
  </si>
  <si>
    <t>WHSR52</t>
  </si>
  <si>
    <t>WILB51</t>
  </si>
  <si>
    <t>WIMD31</t>
  </si>
  <si>
    <t>WINL51</t>
  </si>
  <si>
    <t>WINL52</t>
  </si>
  <si>
    <t>WISB81</t>
  </si>
  <si>
    <t>WNOR51</t>
  </si>
  <si>
    <t>WNOR52</t>
  </si>
  <si>
    <t>WORE31</t>
  </si>
  <si>
    <t>WORW31</t>
  </si>
  <si>
    <t>Aberdeen Place</t>
  </si>
  <si>
    <t>Acton Lane</t>
  </si>
  <si>
    <t>Amberley Rd</t>
  </si>
  <si>
    <t>Axe St</t>
  </si>
  <si>
    <t>Back Hill</t>
  </si>
  <si>
    <t>Bankside</t>
  </si>
  <si>
    <t>LPN 0005</t>
  </si>
  <si>
    <t>Barking</t>
  </si>
  <si>
    <t>LPN 0014</t>
  </si>
  <si>
    <t>LPN 0015</t>
  </si>
  <si>
    <t>LPN 0007</t>
  </si>
  <si>
    <t>Beech St</t>
  </si>
  <si>
    <t>Bengeworth Rd</t>
  </si>
  <si>
    <t>Blackwall Way</t>
  </si>
  <si>
    <t>Blackhorse Lane</t>
  </si>
  <si>
    <t>Bloomfield Place</t>
  </si>
  <si>
    <t>Barnes</t>
  </si>
  <si>
    <t>Bow</t>
  </si>
  <si>
    <t>LPN 0001</t>
  </si>
  <si>
    <t>Broadway</t>
  </si>
  <si>
    <t>Bromley South</t>
  </si>
  <si>
    <t>Brixton B</t>
  </si>
  <si>
    <t>LPN 0033</t>
  </si>
  <si>
    <t>LPN 0032</t>
  </si>
  <si>
    <t>Bulwer St</t>
  </si>
  <si>
    <t>Burlington Rd</t>
  </si>
  <si>
    <t>LPN 0022</t>
  </si>
  <si>
    <t>Calshot St</t>
  </si>
  <si>
    <t>Canal Junction</t>
  </si>
  <si>
    <t>Carslake Rd</t>
  </si>
  <si>
    <t>Carnaby St</t>
  </si>
  <si>
    <t>LPN 0056</t>
  </si>
  <si>
    <t>LPN 0030</t>
  </si>
  <si>
    <t>LPN 0013</t>
  </si>
  <si>
    <t>LPN 0024</t>
  </si>
  <si>
    <t>Chislehurst</t>
  </si>
  <si>
    <t>Churchfields</t>
  </si>
  <si>
    <t>City Road</t>
  </si>
  <si>
    <t>Clapham Park Rd</t>
  </si>
  <si>
    <t>Clarks Rd B</t>
  </si>
  <si>
    <t>LPN 0034</t>
  </si>
  <si>
    <t>Crayford</t>
  </si>
  <si>
    <t>LPN 0009</t>
  </si>
  <si>
    <t>LPN 0046</t>
  </si>
  <si>
    <t>LPN 0047</t>
  </si>
  <si>
    <t>Dartford Grid</t>
  </si>
  <si>
    <t>Deptford Grid</t>
  </si>
  <si>
    <t>Dermody Rd</t>
  </si>
  <si>
    <t>Devonshire Square</t>
  </si>
  <si>
    <t>Dukes Ave</t>
  </si>
  <si>
    <t>Durnsford Rd</t>
  </si>
  <si>
    <t>Duke St B</t>
  </si>
  <si>
    <t>Ebury Bridge</t>
  </si>
  <si>
    <t>Edwards Lane</t>
  </si>
  <si>
    <t>Erith</t>
  </si>
  <si>
    <t>Eltham High St</t>
  </si>
  <si>
    <t>Eltham Grid</t>
  </si>
  <si>
    <t>Epping New Rd</t>
  </si>
  <si>
    <t>Exeter Rd</t>
  </si>
  <si>
    <t>Fairlop Rd</t>
  </si>
  <si>
    <t>Farjeon Rd</t>
  </si>
  <si>
    <t>LPN 0019</t>
  </si>
  <si>
    <t>LPN 0064</t>
  </si>
  <si>
    <t>LPN 0059</t>
  </si>
  <si>
    <t>LPN 0031</t>
  </si>
  <si>
    <t>Finsbury Market</t>
  </si>
  <si>
    <t>Fisher St</t>
  </si>
  <si>
    <t>Forest Hill</t>
  </si>
  <si>
    <t>Fulham Palace Rd C</t>
  </si>
  <si>
    <t>Gibbons Rd</t>
  </si>
  <si>
    <t>Glaucus St</t>
  </si>
  <si>
    <t>Gorringe Park</t>
  </si>
  <si>
    <t>LPN 0002</t>
  </si>
  <si>
    <t>Grove Lodge</t>
  </si>
  <si>
    <t>LPN 0016</t>
  </si>
  <si>
    <t>Hatchard Rd</t>
  </si>
  <si>
    <t>Hearn St</t>
  </si>
  <si>
    <t>Holloway</t>
  </si>
  <si>
    <t>Hoxton</t>
  </si>
  <si>
    <t>Hyde Park Estate</t>
  </si>
  <si>
    <t>Imperial College</t>
  </si>
  <si>
    <t>King Henrys Walk</t>
  </si>
  <si>
    <t>LPN 0058</t>
  </si>
  <si>
    <t>Kimberley Rd</t>
  </si>
  <si>
    <t>Kirtling St</t>
  </si>
  <si>
    <t>Kingston (SEEB)</t>
  </si>
  <si>
    <t>Kingsway</t>
  </si>
  <si>
    <t>LPN 0018</t>
  </si>
  <si>
    <t>LPN 0017</t>
  </si>
  <si>
    <t>Leicester Rd</t>
  </si>
  <si>
    <t>Leicester Sq</t>
  </si>
  <si>
    <t>Ley St B</t>
  </si>
  <si>
    <t>Limeburner Ln</t>
  </si>
  <si>
    <t>Lithos Rd A</t>
  </si>
  <si>
    <t>LPN 0057</t>
  </si>
  <si>
    <t>LPN 0060</t>
  </si>
  <si>
    <t>Lombard Rd</t>
  </si>
  <si>
    <t>Longford St B</t>
  </si>
  <si>
    <t>LPN 0044</t>
  </si>
  <si>
    <t>LPN 0012</t>
  </si>
  <si>
    <t>LPN 0020</t>
  </si>
  <si>
    <t>LPN 0037</t>
  </si>
  <si>
    <t>Merton</t>
  </si>
  <si>
    <t>Montford Place</t>
  </si>
  <si>
    <t>Moreton Street</t>
  </si>
  <si>
    <t>Moscow Rd</t>
  </si>
  <si>
    <t>Neckinger</t>
  </si>
  <si>
    <t>Nelson St</t>
  </si>
  <si>
    <t>Newington House</t>
  </si>
  <si>
    <t>LPN 0004</t>
  </si>
  <si>
    <t>North Cross Rd</t>
  </si>
  <si>
    <t>LPN 0027</t>
  </si>
  <si>
    <t>LPN 0006</t>
  </si>
  <si>
    <t>Old Brompton Rd</t>
  </si>
  <si>
    <t>Osborn St</t>
  </si>
  <si>
    <t>Old School Close</t>
  </si>
  <si>
    <t>LPN 0003</t>
  </si>
  <si>
    <t>Paternoster</t>
  </si>
  <si>
    <t>LPN 0061</t>
  </si>
  <si>
    <t>LPN 0049</t>
  </si>
  <si>
    <t>South Bank</t>
  </si>
  <si>
    <t>Sewell Rd</t>
  </si>
  <si>
    <t>Shorts Gdns</t>
  </si>
  <si>
    <t>Silvertown</t>
  </si>
  <si>
    <t>Simpsons Road</t>
  </si>
  <si>
    <t>St. Pancras</t>
  </si>
  <si>
    <t>LPN 0035</t>
  </si>
  <si>
    <t>Sydenham Park</t>
  </si>
  <si>
    <t>Tooley St</t>
  </si>
  <si>
    <t>Townmead</t>
  </si>
  <si>
    <t>Trinity Crescent</t>
  </si>
  <si>
    <t>Verney Rd</t>
  </si>
  <si>
    <t>Victoria Gdns</t>
  </si>
  <si>
    <t>Victoria St</t>
  </si>
  <si>
    <t>Wandsworth Central A</t>
  </si>
  <si>
    <t>Waterloo Rd</t>
  </si>
  <si>
    <t>Woodgrange Park</t>
  </si>
  <si>
    <t>West Ferry Circus</t>
  </si>
  <si>
    <t>West Ham</t>
  </si>
  <si>
    <t>LPN 0036</t>
  </si>
  <si>
    <t>Whiston Rd</t>
  </si>
  <si>
    <t>LPN 0041</t>
  </si>
  <si>
    <t>LPN 0045</t>
  </si>
  <si>
    <t>Winlaton Rd</t>
  </si>
  <si>
    <t>LPN 0040</t>
  </si>
  <si>
    <t>West Norwood</t>
  </si>
  <si>
    <t>LPN 0050</t>
  </si>
  <si>
    <t>LPN 0066</t>
  </si>
  <si>
    <t>LPN 0065</t>
  </si>
  <si>
    <t>LPN 0067</t>
  </si>
  <si>
    <t>LPN 0043</t>
  </si>
  <si>
    <t>LPN 0052</t>
  </si>
  <si>
    <t>LPN 0053</t>
  </si>
  <si>
    <t>LPN 0054</t>
  </si>
  <si>
    <t>LPN 0055</t>
  </si>
  <si>
    <t>LPN 0051</t>
  </si>
  <si>
    <t>LV Site Specific Storage Import</t>
  </si>
  <si>
    <t>LV Sub Site Specific Storage Import</t>
  </si>
  <si>
    <t>HV Site Specific Storage Import</t>
  </si>
  <si>
    <t>LDNO LV: LV Site Specific Storage Import</t>
  </si>
  <si>
    <t>LDNO HV: LV Site Specific Storage Import</t>
  </si>
  <si>
    <t>LDNO HV: LV Sub Site Specific Storage Import</t>
  </si>
  <si>
    <t>LDNO HV: HV Site Specific Storage Import</t>
  </si>
  <si>
    <t>LDNO HVplus: LV Site Specific Storage Import</t>
  </si>
  <si>
    <t>LDNO HVplus: LV Sub Site Specific Storage Import</t>
  </si>
  <si>
    <t>LDNO HVplus: HV Site Specific Storage Import</t>
  </si>
  <si>
    <t>LDNO EHV: LV Site Specific Storage Import</t>
  </si>
  <si>
    <t>LDNO EHV: LV Sub Site Specific Storage Import</t>
  </si>
  <si>
    <t>LDNO EHV: HV Site Specific Storage Import</t>
  </si>
  <si>
    <t>LDNO 132kV/EHV: LV Site Specific Storage Import</t>
  </si>
  <si>
    <t>LDNO 132kV/EHV: LV Sub Site Specific Storage Import</t>
  </si>
  <si>
    <t>LDNO 132kV/EHV: HV Site Specific Storage Import</t>
  </si>
  <si>
    <t>LDNO 132kV: LV Site Specific Storage Import</t>
  </si>
  <si>
    <t>LDNO 132kV: LV Sub Site Specific Storage Import</t>
  </si>
  <si>
    <t>LDNO 132kV: HV Site Specific Storage Import</t>
  </si>
  <si>
    <t>LDNO 0000: LV Site Specific Storage Import</t>
  </si>
  <si>
    <t>LDNO 0000: LV Sub Site Specific Storage Import</t>
  </si>
  <si>
    <t>LDNO 0000: HV Site Specific Storage Import</t>
  </si>
  <si>
    <t>771, 791, 792</t>
  </si>
  <si>
    <t>796, 797</t>
  </si>
  <si>
    <t>798, 799</t>
  </si>
  <si>
    <t>FENCHS - Import</t>
  </si>
  <si>
    <t>LU_CHA - Import</t>
  </si>
  <si>
    <t>THAMEC - Import</t>
  </si>
  <si>
    <t>VOLTDC - Import</t>
  </si>
  <si>
    <t>LU_HOX - Import</t>
  </si>
  <si>
    <t>BRDGTE - Import</t>
  </si>
  <si>
    <t>MRKLNE - Import</t>
  </si>
  <si>
    <t>NR_BOW - Import</t>
  </si>
  <si>
    <t>TELEHW - Import</t>
  </si>
  <si>
    <t>22BSHP - Import</t>
  </si>
  <si>
    <t>BISHPC - Import</t>
  </si>
  <si>
    <t>CRLIMM - Import</t>
  </si>
  <si>
    <t>FENAVE - Import</t>
  </si>
  <si>
    <t>LIMEST - Import</t>
  </si>
  <si>
    <t>BELVED - Import</t>
  </si>
  <si>
    <t>LNWALL - Import</t>
  </si>
  <si>
    <t>NGC_BA - Import</t>
  </si>
  <si>
    <t>LU_CAN - Import</t>
  </si>
  <si>
    <t>TWCHST - Import</t>
  </si>
  <si>
    <t>BLMBGN - Import</t>
  </si>
  <si>
    <t>BLMBGS - Import</t>
  </si>
  <si>
    <t>TWGNCH - Import</t>
  </si>
  <si>
    <t>TWKIRT - Import</t>
  </si>
  <si>
    <t>WILKST - Import</t>
  </si>
  <si>
    <t>SELCHP - Import</t>
  </si>
  <si>
    <t>THAMEB - Import</t>
  </si>
  <si>
    <t>BRKFLD - Import</t>
  </si>
  <si>
    <t>LU_MAN - Import</t>
  </si>
  <si>
    <t>LU_LOT - Import</t>
  </si>
  <si>
    <t>LU_STE - Import</t>
  </si>
  <si>
    <t>NR_MAD - Import</t>
  </si>
  <si>
    <t>NR_W11 - Import</t>
  </si>
  <si>
    <t>NR_W25 - Import</t>
  </si>
  <si>
    <t>GBLSWI - Import</t>
  </si>
  <si>
    <t>NR_WIM - Import</t>
  </si>
  <si>
    <t>NR_NEW - Import</t>
  </si>
  <si>
    <t>NR_CIT - Import</t>
  </si>
  <si>
    <t>NR_BRO - Import</t>
  </si>
  <si>
    <t>NR_WES - Import</t>
  </si>
  <si>
    <t>NR_WHI - Import</t>
  </si>
  <si>
    <t>THAMEB - Export</t>
  </si>
  <si>
    <t>THAMEC - Export</t>
  </si>
  <si>
    <t>NR_W25 - Export</t>
  </si>
  <si>
    <t>NR_BOW - Export</t>
  </si>
  <si>
    <t>BELVED - Export</t>
  </si>
  <si>
    <t>NR_WES - Export</t>
  </si>
  <si>
    <t>SELCHP - Export</t>
  </si>
  <si>
    <t>CVA site specific LLFs</t>
  </si>
  <si>
    <t>MSID</t>
  </si>
  <si>
    <t xml:space="preserve"> Beddington Tee</t>
  </si>
  <si>
    <t xml:space="preserve"> Kingston</t>
  </si>
  <si>
    <t xml:space="preserve"> Brimsdown - Buckhurst Hill</t>
  </si>
  <si>
    <t xml:space="preserve"> Hurst 132 kV</t>
  </si>
  <si>
    <t xml:space="preserve"> Bulwer Street (Willesden 66 KV)</t>
  </si>
  <si>
    <t xml:space="preserve"> Taylors Lane Generation</t>
  </si>
  <si>
    <t xml:space="preserve"> Townmead Road FMS Substation</t>
  </si>
  <si>
    <t xml:space="preserve"> Barking Network Rail S/S - (Barking C)</t>
  </si>
  <si>
    <t>LEDNHS - Import</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</si>
  <si>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</si>
  <si>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1, 2, 9, 19, 69, 71, 72, 73, 74, 199, 200, 201, 202, 203, 204, 350, 400, 420, 421, 422, 423, 424, 425, 426, 427, 428, 429, 430, 431, 432, 433, 434, 435, 750, 762, 765, 902, 906, 911, 952, 956, 964, 980, 981, 982, 983</t>
  </si>
  <si>
    <t>79, 81, 82, 83, 84, 756, 781, 782, 984, 985, 986, 987</t>
  </si>
  <si>
    <t>89, 91, 92, 93, 94, 359, 751, 767, 988, 989, 990, 991</t>
  </si>
  <si>
    <t>01/04/2021</t>
  </si>
  <si>
    <t>LNWAL1</t>
  </si>
  <si>
    <t>816</t>
  </si>
  <si>
    <t>2, 911</t>
  </si>
  <si>
    <t>199, 200, 201, 202, 203, 204, 400, 952, 956</t>
  </si>
  <si>
    <t>9, 71, 72, 73, 74</t>
  </si>
  <si>
    <t>19, 70</t>
  </si>
  <si>
    <t>81, 82, 83, 84, 756</t>
  </si>
  <si>
    <t>91, 92, 93, 94, 359</t>
  </si>
  <si>
    <t>79, 80</t>
  </si>
  <si>
    <t>89, 90</t>
  </si>
  <si>
    <t>A00</t>
  </si>
  <si>
    <t>B00</t>
  </si>
  <si>
    <t>C00, C01, C02, C03, C04</t>
  </si>
  <si>
    <t>D00</t>
  </si>
  <si>
    <t>E01, E02, E03, E04</t>
  </si>
  <si>
    <t>E00</t>
  </si>
  <si>
    <t>U00</t>
  </si>
  <si>
    <t>F00</t>
  </si>
  <si>
    <t>G00</t>
  </si>
  <si>
    <t>A10</t>
  </si>
  <si>
    <t>B10</t>
  </si>
  <si>
    <t>C10, C11, C12, C13, C14</t>
  </si>
  <si>
    <t>D10</t>
  </si>
  <si>
    <t>E11, E12, E13, E14</t>
  </si>
  <si>
    <t>J11, J12, J13, J14</t>
  </si>
  <si>
    <t>K11, K12, K13, K14</t>
  </si>
  <si>
    <t>E10</t>
  </si>
  <si>
    <t>J10</t>
  </si>
  <si>
    <t>K10</t>
  </si>
  <si>
    <t>U10</t>
  </si>
  <si>
    <t>F10</t>
  </si>
  <si>
    <t>H10</t>
  </si>
  <si>
    <t>G10</t>
  </si>
  <si>
    <t>L10</t>
  </si>
  <si>
    <t>M10</t>
  </si>
  <si>
    <t>A20</t>
  </si>
  <si>
    <t>B20</t>
  </si>
  <si>
    <t>C20, C21, C22, C23, C24</t>
  </si>
  <si>
    <t>D20</t>
  </si>
  <si>
    <t>E21, E22, E23, E24</t>
  </si>
  <si>
    <t>J21, J22, J23, J24</t>
  </si>
  <si>
    <t>K21, K22, K23, K24</t>
  </si>
  <si>
    <t>E20</t>
  </si>
  <si>
    <t>J20</t>
  </si>
  <si>
    <t>K20</t>
  </si>
  <si>
    <t>U20</t>
  </si>
  <si>
    <t>F20</t>
  </si>
  <si>
    <t>H20</t>
  </si>
  <si>
    <t>G20</t>
  </si>
  <si>
    <t>L20</t>
  </si>
  <si>
    <t>M20</t>
  </si>
  <si>
    <t>A30</t>
  </si>
  <si>
    <t>B30</t>
  </si>
  <si>
    <t>C30, C31, C32, C33, C34</t>
  </si>
  <si>
    <t>D30</t>
  </si>
  <si>
    <t>E31, E32, E33, E34</t>
  </si>
  <si>
    <t>J31, J32, J33, J34</t>
  </si>
  <si>
    <t>K31, K32, K33, K34</t>
  </si>
  <si>
    <t>E30</t>
  </si>
  <si>
    <t>J30</t>
  </si>
  <si>
    <t>K30</t>
  </si>
  <si>
    <t>U30</t>
  </si>
  <si>
    <t>F30</t>
  </si>
  <si>
    <t>H30</t>
  </si>
  <si>
    <t>G30</t>
  </si>
  <si>
    <t>L30</t>
  </si>
  <si>
    <t>M30</t>
  </si>
  <si>
    <t>A40</t>
  </si>
  <si>
    <t>B40</t>
  </si>
  <si>
    <t>C40, C41, C42, C43, C44</t>
  </si>
  <si>
    <t>D40</t>
  </si>
  <si>
    <t>E41, E42, E43, E44</t>
  </si>
  <si>
    <t>J41, J42, J43, J44</t>
  </si>
  <si>
    <t>K41, K42, K43, K44</t>
  </si>
  <si>
    <t>E40</t>
  </si>
  <si>
    <t>J40</t>
  </si>
  <si>
    <t>K40</t>
  </si>
  <si>
    <t>U40</t>
  </si>
  <si>
    <t>F40</t>
  </si>
  <si>
    <t>H40</t>
  </si>
  <si>
    <t>G40</t>
  </si>
  <si>
    <t>L40</t>
  </si>
  <si>
    <t>M40</t>
  </si>
  <si>
    <t>A50</t>
  </si>
  <si>
    <t>B50</t>
  </si>
  <si>
    <t>C50, C51, C52, C53, C54</t>
  </si>
  <si>
    <t>D50</t>
  </si>
  <si>
    <t>E51, E52, E53, E54</t>
  </si>
  <si>
    <t>J51, J52, J53, J54</t>
  </si>
  <si>
    <t>K51, K52, K53, K54</t>
  </si>
  <si>
    <t>E50</t>
  </si>
  <si>
    <t>J50</t>
  </si>
  <si>
    <t>K50</t>
  </si>
  <si>
    <t>U50</t>
  </si>
  <si>
    <t>F50</t>
  </si>
  <si>
    <t>H50</t>
  </si>
  <si>
    <t>G50</t>
  </si>
  <si>
    <t>L50</t>
  </si>
  <si>
    <t>M50</t>
  </si>
  <si>
    <t>A60</t>
  </si>
  <si>
    <t>B60</t>
  </si>
  <si>
    <t>C60, C61, C62, C63, C64</t>
  </si>
  <si>
    <t>D60</t>
  </si>
  <si>
    <t>E61, E62, E63, E64</t>
  </si>
  <si>
    <t>J61, J62, J63, J64</t>
  </si>
  <si>
    <t>K61, K62, K63, K64</t>
  </si>
  <si>
    <t>E60</t>
  </si>
  <si>
    <t>J60</t>
  </si>
  <si>
    <t>K60</t>
  </si>
  <si>
    <t>U60</t>
  </si>
  <si>
    <t>F60</t>
  </si>
  <si>
    <t>H60</t>
  </si>
  <si>
    <t>G60</t>
  </si>
  <si>
    <t>L60</t>
  </si>
  <si>
    <t>M60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</si>
</sst>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_-* #,##0.000_-;\-* #,##0.000_-;_-* &quot;-&quot;??_-;_-@_-"/>
  </numFmts>
  <fonts count="38"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1"/>
      <color indexed="8"/>
      <name val="Arial"/>
      <family val="2"/>
    </font>
    <font>
      <b/>
      <sz val="12"/>
      <name val="Arial"/>
      <family val="2"/>
    </font>
    <font>
      <sz val="10"/>
      <name val="Arial"/>
      <family val="2"/>
    </font>
    <font>
      <strike/>
      <sz val="10"/>
      <name val="Arial"/>
      <family val="2"/>
    </font>
    <font>
      <strike/>
      <sz val="10"/>
      <color indexed="8"/>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0C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30"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43" fontId="35" fillId="0" borderId="0" applyFont="0" applyFill="0" applyBorder="0" applyAlignment="0" applyProtection="0"/>
  </cellStyleXfs>
  <cellXfs count="298">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Border="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7" borderId="0" xfId="0" applyFill="1"/>
    <xf numFmtId="0" fontId="13" fillId="2" borderId="0" xfId="3" applyFont="1" applyFill="1" applyAlignment="1" applyProtection="1">
      <alignment vertical="center"/>
    </xf>
    <xf numFmtId="0" fontId="6" fillId="2" borderId="8" xfId="6" quotePrefix="1" applyFont="1" applyFill="1" applyBorder="1" applyAlignment="1">
      <alignment vertical="center" wrapText="1"/>
    </xf>
    <xf numFmtId="0" fontId="6" fillId="2" borderId="0" xfId="6" applyFont="1"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ont="1" applyFill="1" applyBorder="1" applyAlignment="1" applyProtection="1">
      <alignment horizontal="left" vertical="center" wrapText="1"/>
      <protection locked="0"/>
    </xf>
    <xf numFmtId="0" fontId="6" fillId="2" borderId="0" xfId="6" applyFont="1" applyFill="1" applyAlignment="1">
      <alignment horizontal="center" vertical="center"/>
    </xf>
    <xf numFmtId="166" fontId="6" fillId="2" borderId="0" xfId="6" applyNumberFormat="1" applyFont="1" applyFill="1" applyAlignment="1">
      <alignment horizontal="center" vertical="center"/>
    </xf>
    <xf numFmtId="0" fontId="6" fillId="2" borderId="0" xfId="6" applyFont="1"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ont="1" applyFill="1" applyAlignment="1" applyProtection="1">
      <alignment horizontal="left" vertical="center" wrapText="1"/>
      <protection locked="0"/>
    </xf>
    <xf numFmtId="49" fontId="11" fillId="6" borderId="0" xfId="1" applyNumberFormat="1" applyFont="1" applyFill="1" applyAlignment="1" applyProtection="1">
      <alignment vertical="center" wrapText="1"/>
      <protection locked="0"/>
    </xf>
    <xf numFmtId="49" fontId="19" fillId="0" borderId="0" xfId="4" applyNumberFormat="1" applyFont="1" applyBorder="1" applyAlignment="1" applyProtection="1">
      <alignment vertical="center"/>
      <protection locked="0"/>
    </xf>
    <xf numFmtId="0" fontId="6" fillId="0" borderId="0" xfId="0" applyFont="1" applyBorder="1" applyProtection="1">
      <protection locked="0"/>
    </xf>
    <xf numFmtId="49" fontId="11" fillId="6" borderId="0" xfId="1" applyNumberFormat="1" applyFont="1" applyFill="1" applyBorder="1" applyAlignment="1" applyProtection="1">
      <alignment vertical="center" wrapText="1"/>
      <protection locked="0"/>
    </xf>
    <xf numFmtId="49" fontId="11" fillId="0" borderId="0" xfId="5" applyNumberFormat="1" applyFont="1" applyBorder="1" applyAlignment="1" applyProtection="1">
      <alignment vertical="center"/>
      <protection locked="0"/>
    </xf>
    <xf numFmtId="49" fontId="11" fillId="0" borderId="0" xfId="5"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6" applyFont="1" applyFill="1" applyBorder="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ont="1" applyFill="1" applyAlignment="1" applyProtection="1">
      <alignment vertical="center"/>
      <protection hidden="1"/>
    </xf>
    <xf numFmtId="175" fontId="6" fillId="9" borderId="1" xfId="6" applyNumberFormat="1" applyFont="1" applyFill="1" applyBorder="1" applyAlignment="1">
      <alignment horizontal="center" vertical="center" wrapText="1"/>
    </xf>
    <xf numFmtId="0" fontId="6" fillId="9" borderId="1" xfId="6" applyNumberFormat="1" applyFont="1" applyFill="1" applyBorder="1" applyAlignment="1" applyProtection="1">
      <alignment horizontal="left" vertical="center" wrapText="1"/>
    </xf>
    <xf numFmtId="1" fontId="6" fillId="9" borderId="1" xfId="6" applyNumberFormat="1" applyFont="1" applyFill="1" applyBorder="1" applyAlignment="1" applyProtection="1">
      <alignment horizontal="left" vertical="center" wrapText="1"/>
    </xf>
    <xf numFmtId="172" fontId="4" fillId="23" borderId="1" xfId="6" applyNumberFormat="1" applyFont="1" applyFill="1" applyBorder="1" applyAlignment="1" applyProtection="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pplyProtection="1">
      <alignment horizontal="center" vertical="center"/>
    </xf>
    <xf numFmtId="165" fontId="4" fillId="12" borderId="1" xfId="6" applyNumberFormat="1" applyFont="1" applyFill="1" applyBorder="1" applyAlignment="1" applyProtection="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pplyProtection="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1"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0" fontId="7" fillId="7" borderId="1" xfId="0" applyFont="1" applyFill="1" applyBorder="1" applyAlignment="1">
      <alignment horizontal="center" vertical="center" wrapText="1"/>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ont="1" applyFill="1" applyAlignment="1" applyProtection="1">
      <alignment horizontal="center" vertical="center" wrapText="1"/>
      <protection locked="0"/>
    </xf>
    <xf numFmtId="49" fontId="11" fillId="6" borderId="0" xfId="1" quotePrefix="1" applyNumberFormat="1" applyFon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0" fillId="0" borderId="0" xfId="0" applyFill="1"/>
    <xf numFmtId="0" fontId="14" fillId="0" borderId="0" xfId="3" applyFont="1" applyFill="1" applyBorder="1" applyAlignment="1" applyProtection="1">
      <alignment vertical="center"/>
    </xf>
    <xf numFmtId="49" fontId="19" fillId="0" borderId="0" xfId="4" quotePrefix="1" applyNumberFormat="1" applyFont="1" applyBorder="1" applyAlignment="1" applyProtection="1">
      <alignment horizontal="left" vertical="center"/>
      <protection locked="0"/>
    </xf>
    <xf numFmtId="164" fontId="21" fillId="10" borderId="1" xfId="0" applyNumberFormat="1" applyFont="1" applyFill="1" applyBorder="1" applyAlignment="1" applyProtection="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178" fontId="31"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1"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1"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2" fillId="0" borderId="0" xfId="6" applyFont="1"/>
    <xf numFmtId="0" fontId="13" fillId="0" borderId="0" xfId="3" applyFont="1"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0" borderId="0" xfId="6" quotePrefix="1" applyFont="1" applyAlignment="1">
      <alignment horizontal="left"/>
    </xf>
    <xf numFmtId="0" fontId="6" fillId="0" borderId="0" xfId="6" applyFont="1"/>
    <xf numFmtId="0" fontId="13" fillId="0" borderId="0" xfId="3" applyFill="1" applyAlignment="1" applyProtection="1">
      <alignment horizontal="left" vertical="center"/>
    </xf>
    <xf numFmtId="0" fontId="6" fillId="36" borderId="0" xfId="6" applyFill="1" applyAlignment="1">
      <alignment horizontal="left" vertical="center"/>
    </xf>
    <xf numFmtId="179" fontId="6" fillId="36" borderId="0" xfId="6" applyNumberFormat="1" applyFill="1" applyAlignment="1">
      <alignment horizontal="left"/>
    </xf>
    <xf numFmtId="0" fontId="21" fillId="8" borderId="1" xfId="0" applyNumberFormat="1" applyFont="1" applyFill="1" applyBorder="1" applyAlignment="1" applyProtection="1">
      <alignment horizontal="center" vertical="center" wrapText="1"/>
      <protection locked="0"/>
    </xf>
    <xf numFmtId="0" fontId="21" fillId="17" borderId="1" xfId="0" applyNumberFormat="1" applyFont="1" applyFill="1" applyBorder="1" applyAlignment="1" applyProtection="1">
      <alignment horizontal="center" vertical="center" wrapText="1"/>
      <protection locked="0"/>
    </xf>
    <xf numFmtId="0" fontId="7" fillId="11" borderId="1" xfId="0" applyFont="1" applyFill="1" applyBorder="1" applyAlignment="1" applyProtection="1">
      <alignment vertical="center" wrapText="1"/>
    </xf>
    <xf numFmtId="0" fontId="33" fillId="0" borderId="1" xfId="16" applyFont="1" applyFill="1" applyBorder="1" applyAlignment="1" applyProtection="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vertical="center" wrapText="1"/>
    </xf>
    <xf numFmtId="0" fontId="7" fillId="7" borderId="1" xfId="0" quotePrefix="1" applyFont="1" applyFill="1" applyBorder="1" applyAlignment="1" applyProtection="1">
      <alignment horizontal="center" vertical="center" wrapText="1"/>
    </xf>
    <xf numFmtId="0" fontId="7" fillId="7" borderId="1" xfId="0" applyFont="1" applyFill="1" applyBorder="1" applyAlignment="1" applyProtection="1">
      <alignment horizontal="center" vertical="center" wrapText="1"/>
    </xf>
    <xf numFmtId="2" fontId="21" fillId="3" borderId="1" xfId="0" applyNumberFormat="1" applyFont="1" applyFill="1" applyBorder="1" applyAlignment="1" applyProtection="1">
      <alignment horizontal="center" vertical="center"/>
    </xf>
    <xf numFmtId="2" fontId="21" fillId="10" borderId="1" xfId="0" applyNumberFormat="1" applyFont="1" applyFill="1" applyBorder="1" applyAlignment="1" applyProtection="1">
      <alignment horizontal="center" vertical="center"/>
    </xf>
    <xf numFmtId="0" fontId="21" fillId="0" borderId="1" xfId="0" applyFont="1" applyBorder="1" applyAlignment="1" applyProtection="1">
      <alignment horizontal="center" vertical="center" wrapText="1"/>
    </xf>
    <xf numFmtId="0" fontId="6" fillId="2" borderId="0" xfId="6" quotePrefix="1"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13" fillId="0" borderId="0" xfId="3" applyAlignment="1" applyProtection="1">
      <alignment horizontal="left" vertical="top"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17" borderId="1" xfId="0" applyFont="1" applyFill="1" applyBorder="1" applyAlignment="1">
      <alignment horizontal="center" vertical="center" wrapText="1"/>
    </xf>
    <xf numFmtId="49" fontId="21" fillId="0" borderId="1" xfId="0" applyNumberFormat="1" applyFont="1" applyFill="1" applyBorder="1" applyAlignment="1" applyProtection="1">
      <alignment horizontal="center" vertical="center" wrapText="1"/>
      <protection locked="0"/>
    </xf>
    <xf numFmtId="3" fontId="21" fillId="0" borderId="1" xfId="0" applyNumberFormat="1" applyFont="1" applyFill="1" applyBorder="1" applyAlignment="1" applyProtection="1">
      <alignment horizontal="center" vertical="center" wrapText="1"/>
      <protection locked="0"/>
    </xf>
    <xf numFmtId="0" fontId="21" fillId="0" borderId="1" xfId="0" applyFont="1" applyFill="1" applyBorder="1" applyAlignment="1" applyProtection="1">
      <alignment horizontal="center" vertical="center" wrapText="1"/>
      <protection locked="0"/>
    </xf>
    <xf numFmtId="0" fontId="6" fillId="4" borderId="1" xfId="0" applyFont="1" applyFill="1" applyBorder="1" applyAlignment="1">
      <alignment vertical="center" wrapText="1"/>
    </xf>
    <xf numFmtId="49" fontId="15" fillId="37" borderId="1" xfId="0" applyNumberFormat="1" applyFont="1" applyFill="1" applyBorder="1" applyAlignment="1" applyProtection="1">
      <alignment horizontal="center" vertical="center" wrapText="1"/>
      <protection locked="0"/>
    </xf>
    <xf numFmtId="49" fontId="0" fillId="2" borderId="0" xfId="0" applyNumberFormat="1" applyFill="1" applyAlignment="1">
      <alignment vertical="center"/>
    </xf>
    <xf numFmtId="164" fontId="21" fillId="9" borderId="1" xfId="0" applyNumberFormat="1" applyFont="1" applyFill="1" applyBorder="1" applyAlignment="1" applyProtection="1">
      <alignment horizontal="center" vertical="center"/>
      <protection locked="0"/>
    </xf>
    <xf numFmtId="0" fontId="0" fillId="2" borderId="1" xfId="0" applyFill="1" applyBorder="1" applyAlignment="1">
      <alignment horizontal="left" vertical="center" indent="1"/>
    </xf>
    <xf numFmtId="180" fontId="0" fillId="2" borderId="1" xfId="20" applyNumberFormat="1" applyFont="1" applyFill="1" applyBorder="1" applyAlignment="1">
      <alignment horizontal="center" vertical="center"/>
    </xf>
    <xf numFmtId="49" fontId="6" fillId="9" borderId="1" xfId="0" quotePrefix="1" applyNumberFormat="1" applyFont="1" applyFill="1" applyBorder="1" applyAlignment="1" applyProtection="1">
      <alignment horizontal="left" vertical="center" wrapText="1" indent="1"/>
      <protection locked="0"/>
    </xf>
    <xf numFmtId="49" fontId="6" fillId="9" borderId="1" xfId="0" applyNumberFormat="1" applyFont="1" applyFill="1" applyBorder="1" applyAlignment="1" applyProtection="1">
      <alignment horizontal="left" vertical="center" wrapText="1" indent="1"/>
      <protection locked="0"/>
    </xf>
    <xf numFmtId="49" fontId="0" fillId="9" borderId="1" xfId="0" applyNumberFormat="1" applyFill="1" applyBorder="1" applyAlignment="1" applyProtection="1">
      <alignment horizontal="left" vertical="center" wrapText="1" indent="1"/>
      <protection locked="0"/>
    </xf>
    <xf numFmtId="49" fontId="0" fillId="9" borderId="1" xfId="0" applyNumberFormat="1" applyFill="1" applyBorder="1" applyAlignment="1" applyProtection="1">
      <alignment horizontal="left" vertical="top" wrapText="1" indent="1"/>
      <protection locked="0"/>
    </xf>
    <xf numFmtId="165"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2" fillId="0" borderId="1" xfId="0" applyFont="1" applyFill="1" applyBorder="1" applyAlignment="1" applyProtection="1">
      <alignment horizontal="center" vertical="center"/>
      <protection locked="0"/>
    </xf>
    <xf numFmtId="0" fontId="6" fillId="0" borderId="3" xfId="0" applyFont="1" applyBorder="1" applyAlignment="1">
      <alignment horizontal="left" vertical="center" wrapText="1" indent="1"/>
    </xf>
    <xf numFmtId="49" fontId="36" fillId="9" borderId="1" xfId="0" quotePrefix="1" applyNumberFormat="1" applyFont="1" applyFill="1" applyBorder="1" applyAlignment="1" applyProtection="1">
      <alignment horizontal="left" vertical="center" wrapText="1" indent="1"/>
      <protection locked="0"/>
    </xf>
    <xf numFmtId="175" fontId="36" fillId="9" borderId="1" xfId="6" applyNumberFormat="1" applyFont="1" applyFill="1" applyBorder="1" applyAlignment="1">
      <alignment horizontal="center" vertical="center" wrapText="1"/>
    </xf>
    <xf numFmtId="1" fontId="36" fillId="9" borderId="1" xfId="6" applyNumberFormat="1" applyFont="1" applyFill="1" applyBorder="1" applyAlignment="1" applyProtection="1">
      <alignment horizontal="left" vertical="center" wrapText="1"/>
      <protection locked="0"/>
    </xf>
    <xf numFmtId="49" fontId="36" fillId="9" borderId="1" xfId="0" applyNumberFormat="1" applyFont="1" applyFill="1" applyBorder="1" applyAlignment="1" applyProtection="1">
      <alignment horizontal="left" vertical="center" wrapText="1" indent="1"/>
      <protection locked="0"/>
    </xf>
    <xf numFmtId="172" fontId="37" fillId="12" borderId="1" xfId="6" applyNumberFormat="1" applyFont="1" applyFill="1" applyBorder="1" applyAlignment="1" applyProtection="1">
      <alignment horizontal="center" vertical="center"/>
      <protection locked="0"/>
    </xf>
    <xf numFmtId="164" fontId="37" fillId="12" borderId="1" xfId="6" applyNumberFormat="1" applyFont="1" applyFill="1" applyBorder="1" applyAlignment="1" applyProtection="1">
      <alignment horizontal="center" vertical="center"/>
      <protection locked="0"/>
    </xf>
    <xf numFmtId="3" fontId="21" fillId="8" borderId="1" xfId="0" quotePrefix="1" applyNumberFormat="1" applyFont="1" applyFill="1" applyBorder="1" applyAlignment="1" applyProtection="1">
      <alignment horizontal="center" vertical="center" wrapText="1"/>
      <protection locked="0"/>
    </xf>
    <xf numFmtId="0" fontId="21" fillId="8" borderId="1" xfId="0" quotePrefix="1" applyFont="1" applyFill="1" applyBorder="1" applyAlignment="1" applyProtection="1">
      <alignment horizontal="center" vertical="center" wrapText="1"/>
      <protection locked="0"/>
    </xf>
    <xf numFmtId="0" fontId="7" fillId="7" borderId="1" xfId="0" applyFont="1" applyFill="1" applyBorder="1" applyAlignment="1">
      <alignment horizontal="center" vertical="center" wrapText="1"/>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NumberFormat="1" applyFont="1" applyFill="1" applyAlignment="1" applyProtection="1">
      <alignment horizontal="left" vertical="top" wrapText="1"/>
    </xf>
    <xf numFmtId="0" fontId="15" fillId="0" borderId="0" xfId="0" quotePrefix="1" applyNumberFormat="1" applyFont="1" applyAlignment="1" applyProtection="1">
      <alignment horizontal="left" vertical="top" wrapText="1"/>
    </xf>
    <xf numFmtId="49" fontId="11" fillId="6" borderId="0" xfId="1" applyNumberFormat="1" applyFont="1" applyFill="1" applyAlignment="1" applyProtection="1">
      <alignment horizontal="center" vertical="center" wrapText="1"/>
      <protection locked="0"/>
    </xf>
    <xf numFmtId="49" fontId="11" fillId="6" borderId="0" xfId="1" applyNumberFormat="1" applyFont="1" applyFill="1" applyAlignment="1" applyProtection="1">
      <alignment horizontal="left" vertical="center" wrapText="1"/>
      <protection locked="0"/>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7" fillId="0" borderId="1" xfId="0" applyFont="1" applyBorder="1" applyAlignment="1">
      <alignment horizontal="left" vertical="center" wrapText="1" indent="1"/>
    </xf>
    <xf numFmtId="0" fontId="6" fillId="2" borderId="8" xfId="6" quotePrefix="1" applyFont="1" applyFill="1" applyBorder="1" applyAlignment="1">
      <alignment horizontal="center" vertical="center" wrapText="1"/>
    </xf>
    <xf numFmtId="0" fontId="30" fillId="35" borderId="13" xfId="15" quotePrefix="1" applyBorder="1" applyAlignment="1">
      <alignment horizontal="left" vertical="top" wrapText="1"/>
    </xf>
    <xf numFmtId="0" fontId="30" fillId="35" borderId="8" xfId="15" quotePrefix="1" applyBorder="1" applyAlignment="1">
      <alignment horizontal="left" vertical="top" wrapTex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7" fillId="0" borderId="4" xfId="0" applyFont="1" applyBorder="1" applyAlignment="1">
      <alignment horizontal="left" vertical="center" wrapText="1" indent="1"/>
    </xf>
    <xf numFmtId="0" fontId="25" fillId="18" borderId="1" xfId="0" applyFont="1" applyFill="1" applyBorder="1" applyAlignment="1" applyProtection="1">
      <alignment horizontal="center" vertical="center" wrapText="1"/>
      <protection locked="0"/>
    </xf>
    <xf numFmtId="0" fontId="6" fillId="2" borderId="8" xfId="6"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0" borderId="1"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34" fillId="0" borderId="15" xfId="0" applyFont="1" applyBorder="1" applyAlignment="1">
      <alignment horizontal="center" vertical="center" wrapText="1"/>
    </xf>
    <xf numFmtId="0" fontId="34" fillId="0" borderId="16" xfId="0" applyFont="1" applyBorder="1" applyAlignment="1">
      <alignment horizontal="center" vertical="center" wrapText="1"/>
    </xf>
    <xf numFmtId="172" fontId="34" fillId="0" borderId="17" xfId="0" applyNumberFormat="1"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Border="1" applyAlignment="1">
      <alignment horizontal="center" vertical="center" wrapText="1"/>
    </xf>
    <xf numFmtId="172" fontId="34" fillId="0" borderId="12" xfId="0" applyNumberFormat="1"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172" fontId="34" fillId="0" borderId="14" xfId="0" applyNumberFormat="1" applyFont="1" applyBorder="1" applyAlignment="1">
      <alignment horizontal="center" vertical="center" wrapText="1"/>
    </xf>
    <xf numFmtId="0" fontId="9" fillId="0" borderId="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2" xfId="0" applyFont="1" applyBorder="1" applyAlignment="1">
      <alignment horizontal="left" vertical="center" wrapText="1" indent="1"/>
    </xf>
    <xf numFmtId="0" fontId="34" fillId="0" borderId="17"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30" fillId="35" borderId="13" xfId="15" quotePrefix="1" applyBorder="1" applyAlignment="1" applyProtection="1">
      <alignment horizontal="left" vertical="center" wrapText="1"/>
    </xf>
    <xf numFmtId="0" fontId="30" fillId="35" borderId="8" xfId="15" quotePrefix="1" applyBorder="1" applyAlignment="1" applyProtection="1">
      <alignment horizontal="left" vertical="center" wrapText="1"/>
    </xf>
    <xf numFmtId="0" fontId="30" fillId="35" borderId="13" xfId="15" quotePrefix="1" applyBorder="1" applyAlignment="1" applyProtection="1">
      <alignment horizontal="center" vertical="center" wrapText="1"/>
    </xf>
    <xf numFmtId="0" fontId="30" fillId="35" borderId="8" xfId="15" quotePrefix="1" applyBorder="1" applyAlignment="1" applyProtection="1">
      <alignment horizontal="center" vertical="center" wrapText="1"/>
    </xf>
    <xf numFmtId="0" fontId="30" fillId="35"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3" xfId="0" quotePrefix="1" applyFont="1" applyFill="1" applyBorder="1" applyAlignment="1" applyProtection="1">
      <alignment horizontal="center" vertical="center" wrapText="1"/>
      <protection locked="0"/>
    </xf>
    <xf numFmtId="0" fontId="7" fillId="7" borderId="4" xfId="0" quotePrefix="1" applyFont="1" applyFill="1" applyBorder="1" applyAlignment="1" applyProtection="1">
      <alignment horizontal="center" vertical="center" wrapText="1"/>
      <protection locked="0"/>
    </xf>
    <xf numFmtId="0" fontId="7" fillId="7" borderId="5" xfId="0" quotePrefix="1"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7" fillId="7" borderId="15" xfId="0" applyFont="1" applyFill="1" applyBorder="1" applyAlignment="1" applyProtection="1">
      <alignment horizontal="center" vertical="center" wrapText="1"/>
      <protection locked="0"/>
    </xf>
    <xf numFmtId="0" fontId="7" fillId="7" borderId="17" xfId="0" applyFont="1" applyFill="1" applyBorder="1" applyAlignment="1" applyProtection="1">
      <alignment horizontal="center" vertical="center" wrapText="1"/>
      <protection locked="0"/>
    </xf>
    <xf numFmtId="0" fontId="7" fillId="7" borderId="13" xfId="0" applyFont="1" applyFill="1" applyBorder="1" applyAlignment="1" applyProtection="1">
      <alignment horizontal="center" vertical="center" wrapText="1"/>
      <protection locked="0"/>
    </xf>
    <xf numFmtId="0" fontId="7" fillId="7" borderId="14" xfId="0" applyFont="1" applyFill="1" applyBorder="1" applyAlignment="1" applyProtection="1">
      <alignment horizontal="center" vertical="center" wrapText="1"/>
      <protection locked="0"/>
    </xf>
    <xf numFmtId="0" fontId="6" fillId="2" borderId="8" xfId="0" quotePrefix="1" applyFont="1" applyFill="1" applyBorder="1" applyAlignment="1">
      <alignment horizontal="center" vertical="center" wrapText="1"/>
    </xf>
    <xf numFmtId="0" fontId="30" fillId="17" borderId="0" xfId="15" quotePrefix="1" applyFill="1" applyBorder="1" applyAlignment="1">
      <alignment horizontal="left" vertical="top" wrapText="1"/>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21">
    <cellStyle name="40% - Accent1" xfId="9" builtinId="31"/>
    <cellStyle name="40% - Accent1 2" xfId="17"/>
    <cellStyle name="40% - Accent4" xfId="12" builtinId="43"/>
    <cellStyle name="40% - Accent4 2" xfId="18"/>
    <cellStyle name="60% - Accent2" xfId="10" builtinId="36"/>
    <cellStyle name="Accent1" xfId="8" builtinId="29"/>
    <cellStyle name="Accent4" xfId="11" builtinId="41"/>
    <cellStyle name="Accent6" xfId="13" builtinId="49"/>
    <cellStyle name="Comma" xfId="20" builtinId="3"/>
    <cellStyle name="Comma 2" xfId="7"/>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cellStyle name="Normal 3" xfId="14"/>
    <cellStyle name="Normal_Sheet1" xfId="16"/>
    <cellStyle name="Text_CEPATNEI" xfId="19"/>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1"/>
      <c r="B1" s="21"/>
      <c r="C1" s="21"/>
      <c r="D1" s="21"/>
      <c r="E1" s="21"/>
    </row>
    <row r="2" spans="1:8" ht="16.5" x14ac:dyDescent="0.2">
      <c r="A2" s="139" t="s">
        <v>125</v>
      </c>
      <c r="B2" s="59"/>
      <c r="C2" s="59"/>
      <c r="D2" s="59"/>
      <c r="E2" s="59"/>
    </row>
    <row r="3" spans="1:8" ht="15" x14ac:dyDescent="0.2">
      <c r="A3" s="63"/>
      <c r="B3" s="135" t="s">
        <v>126</v>
      </c>
      <c r="C3" s="134" t="s">
        <v>129</v>
      </c>
      <c r="D3" s="134" t="s">
        <v>21</v>
      </c>
      <c r="E3" s="134" t="s">
        <v>20</v>
      </c>
    </row>
    <row r="4" spans="1:8" ht="15" x14ac:dyDescent="0.2">
      <c r="A4" s="60" t="s">
        <v>125</v>
      </c>
      <c r="B4" s="25" t="s">
        <v>529</v>
      </c>
      <c r="C4" s="25" t="s">
        <v>530</v>
      </c>
      <c r="D4" s="25" t="s">
        <v>531</v>
      </c>
      <c r="E4" s="25" t="s">
        <v>124</v>
      </c>
    </row>
    <row r="5" spans="1:8" x14ac:dyDescent="0.2">
      <c r="A5" s="59"/>
      <c r="B5" s="59"/>
      <c r="C5" s="59"/>
      <c r="D5" s="59"/>
      <c r="E5" s="59"/>
    </row>
    <row r="6" spans="1:8" ht="16.5" x14ac:dyDescent="0.2">
      <c r="A6" s="62" t="s">
        <v>15</v>
      </c>
      <c r="B6" s="59"/>
      <c r="C6" s="59"/>
      <c r="D6" s="59"/>
      <c r="E6" s="59"/>
    </row>
    <row r="7" spans="1:8" ht="15" x14ac:dyDescent="0.2">
      <c r="A7" s="64" t="s">
        <v>16</v>
      </c>
      <c r="B7" s="229" t="s">
        <v>17</v>
      </c>
      <c r="C7" s="229"/>
      <c r="D7" s="229"/>
      <c r="E7" s="229"/>
    </row>
    <row r="8" spans="1:8" ht="30" customHeight="1" x14ac:dyDescent="0.2">
      <c r="A8" s="68" t="s">
        <v>179</v>
      </c>
      <c r="B8" s="227" t="s">
        <v>168</v>
      </c>
      <c r="C8" s="227"/>
      <c r="D8" s="227"/>
      <c r="E8" s="227"/>
    </row>
    <row r="9" spans="1:8" ht="30" customHeight="1" x14ac:dyDescent="0.2">
      <c r="A9" s="68" t="s">
        <v>38</v>
      </c>
      <c r="B9" s="227"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27"/>
      <c r="D9" s="227"/>
      <c r="E9" s="227"/>
    </row>
    <row r="10" spans="1:8" ht="30" customHeight="1" x14ac:dyDescent="0.2">
      <c r="A10" s="68" t="s">
        <v>39</v>
      </c>
      <c r="B10" s="227" t="s">
        <v>19</v>
      </c>
      <c r="C10" s="227"/>
      <c r="D10" s="227"/>
      <c r="E10" s="227"/>
    </row>
    <row r="11" spans="1:8" ht="61.5" customHeight="1" x14ac:dyDescent="0.2">
      <c r="A11" s="68" t="s">
        <v>40</v>
      </c>
      <c r="B11" s="227"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7"/>
      <c r="D11" s="227"/>
      <c r="E11" s="227"/>
      <c r="F11" s="223"/>
      <c r="G11" s="223"/>
      <c r="H11" s="223"/>
    </row>
    <row r="12" spans="1:8" ht="86.25" customHeight="1" x14ac:dyDescent="0.2">
      <c r="A12" s="68" t="s">
        <v>28</v>
      </c>
      <c r="B12" s="226" t="s">
        <v>142</v>
      </c>
      <c r="C12" s="226"/>
      <c r="D12" s="226"/>
      <c r="E12" s="226"/>
    </row>
    <row r="13" spans="1:8" ht="33.75" customHeight="1" x14ac:dyDescent="0.2">
      <c r="A13" s="68" t="s">
        <v>143</v>
      </c>
      <c r="B13" s="227"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London Power Networks Licence area.</v>
      </c>
      <c r="C13" s="227"/>
      <c r="D13" s="227"/>
      <c r="E13" s="227"/>
    </row>
    <row r="14" spans="1:8" ht="33.75" customHeight="1" x14ac:dyDescent="0.2">
      <c r="A14" s="189" t="s">
        <v>518</v>
      </c>
      <c r="B14" s="227" t="s">
        <v>519</v>
      </c>
      <c r="C14" s="227"/>
      <c r="D14" s="227"/>
      <c r="E14" s="227"/>
    </row>
    <row r="15" spans="1:8" ht="29.25" customHeight="1" x14ac:dyDescent="0.2">
      <c r="A15" s="68" t="s">
        <v>31</v>
      </c>
      <c r="B15" s="227" t="s">
        <v>110</v>
      </c>
      <c r="C15" s="227"/>
      <c r="D15" s="227"/>
      <c r="E15" s="227"/>
    </row>
    <row r="16" spans="1:8" ht="30" customHeight="1" x14ac:dyDescent="0.2">
      <c r="A16" s="68" t="s">
        <v>84</v>
      </c>
      <c r="B16" s="227" t="s">
        <v>83</v>
      </c>
      <c r="C16" s="227"/>
      <c r="D16" s="227"/>
      <c r="E16" s="227"/>
    </row>
    <row r="17" spans="1:5" x14ac:dyDescent="0.2">
      <c r="A17" s="59"/>
      <c r="B17" s="59"/>
      <c r="C17" s="59"/>
      <c r="D17" s="59"/>
      <c r="E17" s="59"/>
    </row>
    <row r="18" spans="1:5" ht="15" x14ac:dyDescent="0.2">
      <c r="A18" s="65" t="s">
        <v>26</v>
      </c>
      <c r="B18" s="59"/>
      <c r="C18" s="59"/>
      <c r="D18" s="59"/>
      <c r="E18" s="59"/>
    </row>
    <row r="19" spans="1:5" ht="15" x14ac:dyDescent="0.2">
      <c r="A19" s="64"/>
      <c r="B19" s="228"/>
      <c r="C19" s="228"/>
      <c r="D19" s="228"/>
      <c r="E19" s="228"/>
    </row>
    <row r="20" spans="1:5" ht="32.25" customHeight="1" x14ac:dyDescent="0.2">
      <c r="A20" s="224" t="s">
        <v>67</v>
      </c>
      <c r="B20" s="225"/>
      <c r="C20" s="225"/>
      <c r="D20" s="225"/>
      <c r="E20" s="225"/>
    </row>
    <row r="21" spans="1:5" x14ac:dyDescent="0.2">
      <c r="A21" s="59"/>
      <c r="B21" s="59"/>
      <c r="C21" s="59"/>
      <c r="D21" s="59"/>
      <c r="E21" s="59"/>
    </row>
    <row r="22" spans="1:5" ht="15" x14ac:dyDescent="0.2">
      <c r="A22" s="66" t="s">
        <v>27</v>
      </c>
      <c r="B22" s="59"/>
      <c r="C22" s="59"/>
      <c r="D22" s="59"/>
      <c r="E22" s="59"/>
    </row>
    <row r="23" spans="1:5" ht="15" x14ac:dyDescent="0.2">
      <c r="A23" s="61"/>
      <c r="B23" s="228"/>
      <c r="C23" s="228"/>
      <c r="D23" s="228"/>
      <c r="E23" s="228"/>
    </row>
    <row r="24" spans="1:5" ht="28.5" customHeight="1" x14ac:dyDescent="0.2">
      <c r="A24" s="224" t="s">
        <v>41</v>
      </c>
      <c r="B24" s="225"/>
      <c r="C24" s="225"/>
      <c r="D24" s="225"/>
      <c r="E24" s="225"/>
    </row>
    <row r="25" spans="1:5" ht="28.5" customHeight="1" x14ac:dyDescent="0.2">
      <c r="A25" s="222" t="s">
        <v>123</v>
      </c>
      <c r="B25" s="222"/>
      <c r="C25" s="222"/>
      <c r="D25" s="222"/>
      <c r="E25" s="222"/>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A20:E20"/>
    <mergeCell ref="A24:E24"/>
    <mergeCell ref="B12:E12"/>
    <mergeCell ref="B15:E15"/>
    <mergeCell ref="B13:E13"/>
    <mergeCell ref="B16:E16"/>
    <mergeCell ref="B19:E19"/>
    <mergeCell ref="B23:E23"/>
    <mergeCell ref="B14:E14"/>
  </mergeCells>
  <hyperlinks>
    <hyperlink ref="A8" location="'Annex 1 LV, HV and UMS charges'!A1" display="Annex 1 LV, HV and Unmetered Supplies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5" location="'Nodal prices'!A1" display="Nodal prices"/>
    <hyperlink ref="A13" location="'Annex 6 New or Amended EHV'!A1" display="Annex 6  Charges for New or Amended Designated EHV Properties"/>
    <hyperlink ref="A16" location="'Charge Calculator'!B10" display="Charge calculator"/>
    <hyperlink ref="A14" location="'Annex 7 Pass-Through Costs'!A1" display="Annex 7  Fixed adders for Supplier of Last Resort and Eligible Bad Debt pass-through costs"/>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32"/>
  <sheetViews>
    <sheetView zoomScale="85" zoomScaleNormal="85" zoomScaleSheetLayoutView="100" workbookViewId="0"/>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7"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15" ht="27.75" customHeight="1" x14ac:dyDescent="0.2">
      <c r="A1" s="91" t="s">
        <v>18</v>
      </c>
      <c r="B1" s="234" t="s">
        <v>139</v>
      </c>
      <c r="C1" s="235"/>
      <c r="D1" s="235"/>
      <c r="E1" s="233"/>
      <c r="F1" s="233"/>
      <c r="G1" s="233"/>
      <c r="H1" s="233"/>
      <c r="I1" s="233"/>
      <c r="J1" s="233"/>
      <c r="K1" s="233"/>
      <c r="L1" s="44"/>
      <c r="M1" s="44"/>
      <c r="N1" s="44"/>
      <c r="O1" s="44"/>
    </row>
    <row r="2" spans="1:15" ht="27" customHeight="1" x14ac:dyDescent="0.2">
      <c r="A2" s="236" t="str">
        <f>Overview!B4&amp; " - Effective from "&amp;Overview!D4&amp;" - "&amp;Overview!E4&amp;" LV and HV charges"</f>
        <v>London Power Networks - Effective from 1 April 2021 - Final LV and HV charges</v>
      </c>
      <c r="B2" s="236"/>
      <c r="C2" s="236"/>
      <c r="D2" s="236"/>
      <c r="E2" s="236"/>
      <c r="F2" s="236"/>
      <c r="G2" s="236"/>
      <c r="H2" s="236"/>
      <c r="I2" s="236"/>
      <c r="J2" s="236"/>
      <c r="K2" s="236"/>
    </row>
    <row r="3" spans="1:15" s="80" customFormat="1" ht="15" customHeight="1" x14ac:dyDescent="0.2">
      <c r="A3" s="78"/>
      <c r="B3" s="78"/>
      <c r="C3" s="78"/>
      <c r="D3" s="78"/>
      <c r="E3" s="78"/>
      <c r="F3" s="78"/>
      <c r="G3" s="78"/>
      <c r="H3" s="78"/>
      <c r="I3" s="78"/>
      <c r="J3" s="78"/>
      <c r="K3" s="78"/>
      <c r="L3" s="79"/>
      <c r="M3" s="79"/>
    </row>
    <row r="4" spans="1:15" ht="27" customHeight="1" x14ac:dyDescent="0.2">
      <c r="A4" s="236" t="s">
        <v>162</v>
      </c>
      <c r="B4" s="236"/>
      <c r="C4" s="236"/>
      <c r="D4" s="236"/>
      <c r="E4" s="236"/>
      <c r="F4" s="78"/>
      <c r="G4" s="236" t="s">
        <v>163</v>
      </c>
      <c r="H4" s="236"/>
      <c r="I4" s="236"/>
      <c r="J4" s="236"/>
      <c r="K4" s="236"/>
    </row>
    <row r="5" spans="1:15" ht="28.5" customHeight="1" x14ac:dyDescent="0.2">
      <c r="A5" s="69" t="s">
        <v>12</v>
      </c>
      <c r="B5" s="74" t="s">
        <v>57</v>
      </c>
      <c r="C5" s="237" t="s">
        <v>58</v>
      </c>
      <c r="D5" s="238"/>
      <c r="E5" s="71" t="s">
        <v>59</v>
      </c>
      <c r="F5" s="78"/>
      <c r="G5" s="240"/>
      <c r="H5" s="241"/>
      <c r="I5" s="75" t="s">
        <v>64</v>
      </c>
      <c r="J5" s="76" t="s">
        <v>65</v>
      </c>
      <c r="K5" s="71" t="s">
        <v>59</v>
      </c>
      <c r="L5" s="78"/>
      <c r="N5" s="4"/>
    </row>
    <row r="6" spans="1:15" ht="65.25" customHeight="1" x14ac:dyDescent="0.2">
      <c r="A6" s="72" t="s">
        <v>60</v>
      </c>
      <c r="B6" s="19" t="s">
        <v>532</v>
      </c>
      <c r="C6" s="239" t="s">
        <v>533</v>
      </c>
      <c r="D6" s="239"/>
      <c r="E6" s="194" t="s">
        <v>534</v>
      </c>
      <c r="F6" s="78"/>
      <c r="G6" s="230" t="s">
        <v>61</v>
      </c>
      <c r="H6" s="231"/>
      <c r="I6" s="19" t="s">
        <v>537</v>
      </c>
      <c r="J6" s="77" t="s">
        <v>538</v>
      </c>
      <c r="K6" s="194" t="s">
        <v>534</v>
      </c>
      <c r="L6" s="78"/>
      <c r="N6" s="4"/>
    </row>
    <row r="7" spans="1:15" ht="65.25" customHeight="1" x14ac:dyDescent="0.2">
      <c r="A7" s="72" t="s">
        <v>14</v>
      </c>
      <c r="B7" s="192"/>
      <c r="C7" s="242"/>
      <c r="D7" s="242"/>
      <c r="E7" s="77" t="s">
        <v>535</v>
      </c>
      <c r="F7" s="78"/>
      <c r="G7" s="230" t="s">
        <v>62</v>
      </c>
      <c r="H7" s="231"/>
      <c r="I7" s="19" t="s">
        <v>539</v>
      </c>
      <c r="J7" s="77" t="s">
        <v>540</v>
      </c>
      <c r="K7" s="194" t="s">
        <v>534</v>
      </c>
      <c r="L7" s="78"/>
      <c r="N7" s="4"/>
    </row>
    <row r="8" spans="1:15" ht="65.25" customHeight="1" x14ac:dyDescent="0.2">
      <c r="A8" s="73" t="s">
        <v>13</v>
      </c>
      <c r="B8" s="230" t="s">
        <v>536</v>
      </c>
      <c r="C8" s="243"/>
      <c r="D8" s="243"/>
      <c r="E8" s="231"/>
      <c r="F8" s="78"/>
      <c r="G8" s="230" t="s">
        <v>541</v>
      </c>
      <c r="H8" s="231"/>
      <c r="I8" s="192"/>
      <c r="J8" s="77" t="s">
        <v>542</v>
      </c>
      <c r="K8" s="194" t="s">
        <v>534</v>
      </c>
      <c r="L8" s="78"/>
      <c r="N8" s="4"/>
    </row>
    <row r="9" spans="1:15" s="70" customFormat="1" ht="65.25" customHeight="1" x14ac:dyDescent="0.2">
      <c r="A9" s="80"/>
      <c r="F9" s="78"/>
      <c r="G9" s="230" t="s">
        <v>68</v>
      </c>
      <c r="H9" s="231"/>
      <c r="I9" s="192"/>
      <c r="J9" s="192"/>
      <c r="K9" s="77" t="s">
        <v>535</v>
      </c>
      <c r="L9" s="78"/>
      <c r="M9" s="42"/>
      <c r="N9" s="42"/>
    </row>
    <row r="10" spans="1:15" s="80" customFormat="1" ht="36" customHeight="1" x14ac:dyDescent="0.2">
      <c r="F10" s="78"/>
      <c r="G10" s="232" t="s">
        <v>13</v>
      </c>
      <c r="H10" s="232"/>
      <c r="I10" s="232" t="s">
        <v>536</v>
      </c>
      <c r="J10" s="232"/>
      <c r="K10" s="232"/>
      <c r="L10" s="78"/>
      <c r="M10" s="79"/>
      <c r="N10" s="79"/>
    </row>
    <row r="11" spans="1:15" s="80" customFormat="1" ht="12.75" customHeight="1" x14ac:dyDescent="0.2">
      <c r="A11" s="78"/>
      <c r="B11" s="78"/>
      <c r="C11" s="78"/>
      <c r="D11" s="78"/>
      <c r="E11" s="78"/>
      <c r="F11" s="78"/>
      <c r="G11" s="78"/>
      <c r="H11" s="78"/>
      <c r="I11" s="78"/>
      <c r="J11" s="78"/>
      <c r="K11" s="78"/>
      <c r="L11" s="79"/>
      <c r="M11" s="79"/>
    </row>
    <row r="12" spans="1:15" ht="78.75" customHeight="1" x14ac:dyDescent="0.2">
      <c r="A12" s="24" t="s">
        <v>130</v>
      </c>
      <c r="B12" s="146" t="s">
        <v>22</v>
      </c>
      <c r="C12" s="149" t="s">
        <v>23</v>
      </c>
      <c r="D12" s="47" t="s">
        <v>165</v>
      </c>
      <c r="E12" s="47" t="s">
        <v>167</v>
      </c>
      <c r="F12" s="47" t="s">
        <v>166</v>
      </c>
      <c r="G12" s="146" t="s">
        <v>24</v>
      </c>
      <c r="H12" s="146" t="s">
        <v>25</v>
      </c>
      <c r="I12" s="24" t="s">
        <v>132</v>
      </c>
      <c r="J12" s="146" t="s">
        <v>32</v>
      </c>
      <c r="K12" s="146" t="s">
        <v>0</v>
      </c>
    </row>
    <row r="13" spans="1:15" ht="32.25" customHeight="1" x14ac:dyDescent="0.2">
      <c r="A13" s="14" t="s">
        <v>145</v>
      </c>
      <c r="B13" s="33" t="s">
        <v>520</v>
      </c>
      <c r="C13" s="195" t="s">
        <v>543</v>
      </c>
      <c r="D13" s="141">
        <v>9.6940000000000008</v>
      </c>
      <c r="E13" s="142">
        <v>0.90700000000000003</v>
      </c>
      <c r="F13" s="143">
        <v>0</v>
      </c>
      <c r="G13" s="38">
        <v>3.31</v>
      </c>
      <c r="H13" s="39"/>
      <c r="I13" s="39"/>
      <c r="J13" s="35"/>
      <c r="K13" s="36" t="s">
        <v>566</v>
      </c>
    </row>
    <row r="14" spans="1:15" ht="32.25" customHeight="1" x14ac:dyDescent="0.2">
      <c r="A14" s="14" t="s">
        <v>146</v>
      </c>
      <c r="B14" s="33" t="s">
        <v>1150</v>
      </c>
      <c r="C14" s="195" t="s">
        <v>422</v>
      </c>
      <c r="D14" s="141">
        <v>9.6940000000000008</v>
      </c>
      <c r="E14" s="142">
        <v>0.90700000000000003</v>
      </c>
      <c r="F14" s="143">
        <v>0</v>
      </c>
      <c r="G14" s="39"/>
      <c r="H14" s="39"/>
      <c r="I14" s="39"/>
      <c r="J14" s="35"/>
      <c r="K14" s="36" t="s">
        <v>567</v>
      </c>
    </row>
    <row r="15" spans="1:15" ht="45" x14ac:dyDescent="0.2">
      <c r="A15" s="14" t="s">
        <v>147</v>
      </c>
      <c r="B15" s="219" t="s">
        <v>1151</v>
      </c>
      <c r="C15" s="196" t="s">
        <v>544</v>
      </c>
      <c r="D15" s="141">
        <v>5.1369999999999996</v>
      </c>
      <c r="E15" s="142">
        <v>0.27300000000000002</v>
      </c>
      <c r="F15" s="143">
        <v>0</v>
      </c>
      <c r="G15" s="38">
        <v>3.41</v>
      </c>
      <c r="H15" s="39"/>
      <c r="I15" s="39"/>
      <c r="J15" s="35"/>
      <c r="K15" s="36" t="s">
        <v>568</v>
      </c>
    </row>
    <row r="16" spans="1:15" ht="32.25" customHeight="1" x14ac:dyDescent="0.2">
      <c r="A16" s="14" t="s">
        <v>148</v>
      </c>
      <c r="B16" s="33" t="s">
        <v>521</v>
      </c>
      <c r="C16" s="195" t="s">
        <v>423</v>
      </c>
      <c r="D16" s="141">
        <v>5.1369999999999996</v>
      </c>
      <c r="E16" s="142">
        <v>0.27300000000000002</v>
      </c>
      <c r="F16" s="143">
        <v>0</v>
      </c>
      <c r="G16" s="39"/>
      <c r="H16" s="39"/>
      <c r="I16" s="39"/>
      <c r="J16" s="35"/>
      <c r="K16" s="36">
        <v>965</v>
      </c>
    </row>
    <row r="17" spans="1:11" ht="32.25" customHeight="1" x14ac:dyDescent="0.2">
      <c r="A17" s="14" t="s">
        <v>149</v>
      </c>
      <c r="B17" s="220" t="s">
        <v>1152</v>
      </c>
      <c r="C17" s="197">
        <v>0</v>
      </c>
      <c r="D17" s="141">
        <v>4.2389999999999999</v>
      </c>
      <c r="E17" s="142">
        <v>0.14399999999999999</v>
      </c>
      <c r="F17" s="143">
        <v>0</v>
      </c>
      <c r="G17" s="38">
        <v>8.14</v>
      </c>
      <c r="H17" s="38">
        <v>4.18</v>
      </c>
      <c r="I17" s="140">
        <v>6.52</v>
      </c>
      <c r="J17" s="34">
        <v>0.38800000000000001</v>
      </c>
      <c r="K17" s="36"/>
    </row>
    <row r="18" spans="1:11" ht="32.25" customHeight="1" x14ac:dyDescent="0.2">
      <c r="A18" s="14" t="s">
        <v>150</v>
      </c>
      <c r="B18" s="36" t="s">
        <v>1154</v>
      </c>
      <c r="C18" s="197">
        <v>0</v>
      </c>
      <c r="D18" s="141">
        <v>2.948</v>
      </c>
      <c r="E18" s="142">
        <v>0</v>
      </c>
      <c r="F18" s="143">
        <v>0</v>
      </c>
      <c r="G18" s="38">
        <v>6.04</v>
      </c>
      <c r="H18" s="38">
        <v>7.29</v>
      </c>
      <c r="I18" s="140">
        <v>8.2899999999999991</v>
      </c>
      <c r="J18" s="34">
        <v>0.23300000000000001</v>
      </c>
      <c r="K18" s="36"/>
    </row>
    <row r="19" spans="1:11" ht="32.25" customHeight="1" x14ac:dyDescent="0.2">
      <c r="A19" s="14" t="s">
        <v>151</v>
      </c>
      <c r="B19" s="36" t="s">
        <v>1155</v>
      </c>
      <c r="C19" s="197">
        <v>0</v>
      </c>
      <c r="D19" s="141">
        <v>2.056</v>
      </c>
      <c r="E19" s="142">
        <v>0</v>
      </c>
      <c r="F19" s="143">
        <v>0</v>
      </c>
      <c r="G19" s="38">
        <v>79.97</v>
      </c>
      <c r="H19" s="38">
        <v>7.39</v>
      </c>
      <c r="I19" s="140">
        <v>8.3000000000000007</v>
      </c>
      <c r="J19" s="34">
        <v>0.2</v>
      </c>
      <c r="K19" s="36"/>
    </row>
    <row r="20" spans="1:11" ht="32.25" customHeight="1" x14ac:dyDescent="0.2">
      <c r="A20" s="14" t="s">
        <v>1060</v>
      </c>
      <c r="B20" s="36" t="s">
        <v>1153</v>
      </c>
      <c r="C20" s="197">
        <v>0</v>
      </c>
      <c r="D20" s="141">
        <v>4.7530000000000001</v>
      </c>
      <c r="E20" s="142">
        <v>0.65700000000000003</v>
      </c>
      <c r="F20" s="143">
        <v>2.9000000000000001E-2</v>
      </c>
      <c r="G20" s="38">
        <v>8.14</v>
      </c>
      <c r="H20" s="38">
        <v>4.18</v>
      </c>
      <c r="I20" s="140">
        <v>6.52</v>
      </c>
      <c r="J20" s="34">
        <v>0.38800000000000001</v>
      </c>
      <c r="K20" s="36"/>
    </row>
    <row r="21" spans="1:11" ht="32.25" customHeight="1" x14ac:dyDescent="0.2">
      <c r="A21" s="14" t="s">
        <v>1061</v>
      </c>
      <c r="B21" s="36" t="s">
        <v>1156</v>
      </c>
      <c r="C21" s="197">
        <v>0</v>
      </c>
      <c r="D21" s="141">
        <v>3.4609999999999999</v>
      </c>
      <c r="E21" s="142">
        <v>0.47</v>
      </c>
      <c r="F21" s="143">
        <v>2.4E-2</v>
      </c>
      <c r="G21" s="38">
        <v>6.04</v>
      </c>
      <c r="H21" s="38">
        <v>7.29</v>
      </c>
      <c r="I21" s="140">
        <v>8.2899999999999991</v>
      </c>
      <c r="J21" s="34">
        <v>0.23300000000000001</v>
      </c>
      <c r="K21" s="36"/>
    </row>
    <row r="22" spans="1:11" ht="32.25" customHeight="1" x14ac:dyDescent="0.2">
      <c r="A22" s="14" t="s">
        <v>1062</v>
      </c>
      <c r="B22" s="36" t="s">
        <v>1157</v>
      </c>
      <c r="C22" s="197">
        <v>0</v>
      </c>
      <c r="D22" s="141">
        <v>2.57</v>
      </c>
      <c r="E22" s="142">
        <v>0.316</v>
      </c>
      <c r="F22" s="143">
        <v>1.7000000000000001E-2</v>
      </c>
      <c r="G22" s="38">
        <v>79.97</v>
      </c>
      <c r="H22" s="38">
        <v>7.39</v>
      </c>
      <c r="I22" s="140">
        <v>8.3000000000000007</v>
      </c>
      <c r="J22" s="34">
        <v>0.2</v>
      </c>
      <c r="K22" s="36"/>
    </row>
    <row r="23" spans="1:11" ht="90" x14ac:dyDescent="0.2">
      <c r="A23" s="14" t="s">
        <v>152</v>
      </c>
      <c r="B23" s="36" t="s">
        <v>522</v>
      </c>
      <c r="C23" s="197" t="s">
        <v>545</v>
      </c>
      <c r="D23" s="144">
        <v>29.411000000000001</v>
      </c>
      <c r="E23" s="145">
        <v>1.944</v>
      </c>
      <c r="F23" s="143">
        <v>2.8000000000000001E-2</v>
      </c>
      <c r="G23" s="39"/>
      <c r="H23" s="39"/>
      <c r="I23" s="39"/>
      <c r="J23" s="35"/>
      <c r="K23" s="36"/>
    </row>
    <row r="24" spans="1:11" ht="32.25" customHeight="1" x14ac:dyDescent="0.2">
      <c r="A24" s="14" t="s">
        <v>153</v>
      </c>
      <c r="B24" s="37">
        <v>762</v>
      </c>
      <c r="C24" s="196" t="s">
        <v>546</v>
      </c>
      <c r="D24" s="141">
        <v>-5.5110000000000001</v>
      </c>
      <c r="E24" s="142">
        <v>-0.76700000000000002</v>
      </c>
      <c r="F24" s="143">
        <v>-3.2000000000000001E-2</v>
      </c>
      <c r="G24" s="38">
        <v>0</v>
      </c>
      <c r="H24" s="39"/>
      <c r="I24" s="39"/>
      <c r="J24" s="35"/>
      <c r="K24" s="36" t="s">
        <v>569</v>
      </c>
    </row>
    <row r="25" spans="1:11" ht="32.25" customHeight="1" x14ac:dyDescent="0.2">
      <c r="A25" s="14" t="s">
        <v>154</v>
      </c>
      <c r="B25" s="199"/>
      <c r="C25" s="197">
        <v>0</v>
      </c>
      <c r="D25" s="141">
        <v>-4.9039999999999999</v>
      </c>
      <c r="E25" s="142">
        <v>-0.68</v>
      </c>
      <c r="F25" s="143">
        <v>-2.9000000000000001E-2</v>
      </c>
      <c r="G25" s="38">
        <v>0</v>
      </c>
      <c r="H25" s="39"/>
      <c r="I25" s="39"/>
      <c r="J25" s="35"/>
      <c r="K25" s="36"/>
    </row>
    <row r="26" spans="1:11" ht="32.25" customHeight="1" x14ac:dyDescent="0.2">
      <c r="A26" s="14" t="s">
        <v>155</v>
      </c>
      <c r="B26" s="36" t="s">
        <v>523</v>
      </c>
      <c r="C26" s="197">
        <v>0</v>
      </c>
      <c r="D26" s="141">
        <v>-5.5110000000000001</v>
      </c>
      <c r="E26" s="142">
        <v>-0.76700000000000002</v>
      </c>
      <c r="F26" s="143">
        <v>-3.2000000000000001E-2</v>
      </c>
      <c r="G26" s="38">
        <v>0</v>
      </c>
      <c r="H26" s="39"/>
      <c r="I26" s="39"/>
      <c r="J26" s="34">
        <v>0.36699999999999999</v>
      </c>
      <c r="K26" s="36"/>
    </row>
    <row r="27" spans="1:11" ht="32.25" customHeight="1" x14ac:dyDescent="0.2">
      <c r="A27" s="14" t="s">
        <v>156</v>
      </c>
      <c r="B27" s="36" t="s">
        <v>524</v>
      </c>
      <c r="C27" s="197">
        <v>0</v>
      </c>
      <c r="D27" s="141">
        <v>-5.5110000000000001</v>
      </c>
      <c r="E27" s="142">
        <v>-0.76700000000000002</v>
      </c>
      <c r="F27" s="143">
        <v>-3.2000000000000001E-2</v>
      </c>
      <c r="G27" s="38">
        <v>0</v>
      </c>
      <c r="H27" s="39"/>
      <c r="I27" s="39"/>
      <c r="J27" s="35"/>
      <c r="K27" s="36"/>
    </row>
    <row r="28" spans="1:11" ht="32.25" customHeight="1" x14ac:dyDescent="0.2">
      <c r="A28" s="14" t="s">
        <v>157</v>
      </c>
      <c r="B28" s="36" t="s">
        <v>525</v>
      </c>
      <c r="C28" s="197">
        <v>0</v>
      </c>
      <c r="D28" s="141">
        <v>-4.9039999999999999</v>
      </c>
      <c r="E28" s="142">
        <v>-0.68</v>
      </c>
      <c r="F28" s="143">
        <v>-2.9000000000000001E-2</v>
      </c>
      <c r="G28" s="38">
        <v>0</v>
      </c>
      <c r="H28" s="39"/>
      <c r="I28" s="39"/>
      <c r="J28" s="34">
        <v>0.32800000000000001</v>
      </c>
      <c r="K28" s="36"/>
    </row>
    <row r="29" spans="1:11" ht="32.25" customHeight="1" x14ac:dyDescent="0.2">
      <c r="A29" s="14" t="s">
        <v>158</v>
      </c>
      <c r="B29" s="36" t="s">
        <v>526</v>
      </c>
      <c r="C29" s="197">
        <v>0</v>
      </c>
      <c r="D29" s="141">
        <v>-4.9039999999999999</v>
      </c>
      <c r="E29" s="142">
        <v>-0.68</v>
      </c>
      <c r="F29" s="143">
        <v>-2.9000000000000001E-2</v>
      </c>
      <c r="G29" s="38">
        <v>0</v>
      </c>
      <c r="H29" s="39"/>
      <c r="I29" s="39"/>
      <c r="J29" s="35"/>
      <c r="K29" s="36"/>
    </row>
    <row r="30" spans="1:11" ht="32.25" customHeight="1" x14ac:dyDescent="0.2">
      <c r="A30" s="14" t="s">
        <v>159</v>
      </c>
      <c r="B30" s="36" t="s">
        <v>527</v>
      </c>
      <c r="C30" s="197">
        <v>0</v>
      </c>
      <c r="D30" s="141">
        <v>-3.2029999999999998</v>
      </c>
      <c r="E30" s="142">
        <v>-0.433</v>
      </c>
      <c r="F30" s="143">
        <v>-2.1999999999999999E-2</v>
      </c>
      <c r="G30" s="38">
        <v>6.76</v>
      </c>
      <c r="H30" s="39"/>
      <c r="I30" s="39"/>
      <c r="J30" s="34">
        <v>0.28299999999999997</v>
      </c>
      <c r="K30" s="36"/>
    </row>
    <row r="31" spans="1:11" ht="32.25" customHeight="1" x14ac:dyDescent="0.2">
      <c r="A31" s="14" t="s">
        <v>160</v>
      </c>
      <c r="B31" s="36" t="s">
        <v>528</v>
      </c>
      <c r="C31" s="197">
        <v>0</v>
      </c>
      <c r="D31" s="141">
        <v>-3.2029999999999998</v>
      </c>
      <c r="E31" s="142">
        <v>-0.433</v>
      </c>
      <c r="F31" s="143">
        <v>-2.1999999999999999E-2</v>
      </c>
      <c r="G31" s="38">
        <v>6.76</v>
      </c>
      <c r="H31" s="39"/>
      <c r="I31" s="39"/>
      <c r="J31" s="35"/>
      <c r="K31" s="36"/>
    </row>
    <row r="32" spans="1:11" ht="27.75" customHeight="1" x14ac:dyDescent="0.2">
      <c r="C32"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G8:H8"/>
    <mergeCell ref="I10:K10"/>
    <mergeCell ref="E1:K1"/>
    <mergeCell ref="B1:D1"/>
    <mergeCell ref="G10:H10"/>
    <mergeCell ref="A2:K2"/>
    <mergeCell ref="C5:D5"/>
    <mergeCell ref="C6:D6"/>
    <mergeCell ref="G5:H5"/>
    <mergeCell ref="G6:H6"/>
    <mergeCell ref="G4:K4"/>
    <mergeCell ref="A4:E4"/>
    <mergeCell ref="C7:D7"/>
    <mergeCell ref="B8:E8"/>
    <mergeCell ref="G9:H9"/>
    <mergeCell ref="G7:H7"/>
  </mergeCells>
  <phoneticPr fontId="5"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&amp;"Arial,Regular"Annex 1 - Schedule of Charges for use of the Distribution System by LV and HV Designated Properties</oddHeader>
    <oddFooter>&amp;R&amp;P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58"/>
  <sheetViews>
    <sheetView zoomScale="85" zoomScaleNormal="85" zoomScaleSheetLayoutView="100" workbookViewId="0">
      <selection activeCell="B1" sqref="B1"/>
    </sheetView>
  </sheetViews>
  <sheetFormatPr defaultRowHeight="12.75" x14ac:dyDescent="0.2"/>
  <cols>
    <col min="1" max="1" width="14.5703125" style="45" customWidth="1"/>
    <col min="2" max="2" width="7.28515625" style="45" customWidth="1"/>
    <col min="3" max="3" width="17.140625" style="45" customWidth="1"/>
    <col min="4" max="4" width="14.7109375" style="52" customWidth="1"/>
    <col min="5" max="5" width="7.140625" style="52" customWidth="1"/>
    <col min="6" max="6" width="17.28515625" style="52" customWidth="1"/>
    <col min="7" max="7" width="20.28515625" style="52" customWidth="1"/>
    <col min="8" max="8" width="14.7109375" style="52" customWidth="1"/>
    <col min="9" max="9" width="14.7109375" style="53" customWidth="1"/>
    <col min="10" max="11" width="14.7109375" style="54" customWidth="1"/>
    <col min="12" max="15" width="14.7109375" style="45" customWidth="1"/>
    <col min="16" max="16384" width="9.140625" style="45"/>
  </cols>
  <sheetData>
    <row r="1" spans="1:15" x14ac:dyDescent="0.2">
      <c r="A1" s="43" t="s">
        <v>18</v>
      </c>
      <c r="B1" s="43"/>
      <c r="C1" s="246" t="s">
        <v>127</v>
      </c>
      <c r="D1" s="246"/>
      <c r="E1" s="44"/>
      <c r="F1" s="245" t="s">
        <v>30</v>
      </c>
      <c r="G1" s="245"/>
      <c r="H1" s="245"/>
      <c r="I1" s="245"/>
      <c r="J1" s="245"/>
      <c r="K1" s="245"/>
      <c r="L1" s="245"/>
      <c r="M1" s="245"/>
      <c r="N1" s="245"/>
      <c r="O1" s="245"/>
    </row>
    <row r="2" spans="1:15" s="46" customFormat="1" ht="18" x14ac:dyDescent="0.2">
      <c r="A2" s="236" t="str">
        <f>Overview!B4&amp; " - Effective from "&amp;Overview!D4&amp;" - "&amp;Overview!E4&amp;" EDCM charges"</f>
        <v>London Power Networks - Effective from 1 April 2021 - Final EDCM charges</v>
      </c>
      <c r="B2" s="236"/>
      <c r="C2" s="236"/>
      <c r="D2" s="236"/>
      <c r="E2" s="236"/>
      <c r="F2" s="236"/>
      <c r="G2" s="236"/>
      <c r="H2" s="236"/>
      <c r="I2" s="236"/>
      <c r="J2" s="236"/>
      <c r="K2" s="236"/>
      <c r="L2" s="236"/>
      <c r="M2" s="236"/>
      <c r="N2" s="236"/>
      <c r="O2" s="236"/>
    </row>
    <row r="3" spans="1:15" s="81" customFormat="1" ht="18" x14ac:dyDescent="0.2">
      <c r="A3" s="78"/>
      <c r="B3" s="78"/>
      <c r="C3" s="78"/>
      <c r="D3" s="78"/>
      <c r="E3" s="78"/>
      <c r="F3" s="78"/>
      <c r="G3" s="78"/>
      <c r="H3" s="78"/>
      <c r="I3" s="78"/>
      <c r="J3" s="78"/>
      <c r="K3" s="78"/>
      <c r="L3" s="78"/>
      <c r="M3" s="78"/>
      <c r="N3" s="78"/>
      <c r="O3" s="78"/>
    </row>
    <row r="4" spans="1:15" s="81" customFormat="1" ht="18" x14ac:dyDescent="0.2">
      <c r="A4" s="236" t="s">
        <v>66</v>
      </c>
      <c r="B4" s="236"/>
      <c r="C4" s="236"/>
      <c r="D4" s="236"/>
      <c r="E4" s="236"/>
      <c r="F4" s="236"/>
      <c r="G4" s="78"/>
      <c r="H4" s="78"/>
      <c r="I4" s="78"/>
      <c r="J4" s="78"/>
      <c r="K4" s="78"/>
      <c r="L4" s="78"/>
      <c r="M4" s="78"/>
      <c r="N4" s="78"/>
      <c r="O4" s="78"/>
    </row>
    <row r="5" spans="1:15" s="81" customFormat="1" ht="18" x14ac:dyDescent="0.2">
      <c r="A5" s="248" t="s">
        <v>12</v>
      </c>
      <c r="B5" s="249"/>
      <c r="C5" s="249"/>
      <c r="D5" s="244" t="s">
        <v>63</v>
      </c>
      <c r="E5" s="244"/>
      <c r="F5" s="244"/>
      <c r="G5" s="78"/>
      <c r="H5" s="78"/>
      <c r="I5" s="78"/>
      <c r="J5" s="78"/>
      <c r="K5" s="78"/>
      <c r="L5" s="78"/>
      <c r="M5" s="78"/>
      <c r="N5" s="78"/>
      <c r="O5" s="78"/>
    </row>
    <row r="6" spans="1:15" s="81" customFormat="1" ht="49.5" customHeight="1" x14ac:dyDescent="0.2">
      <c r="A6" s="232" t="s">
        <v>61</v>
      </c>
      <c r="B6" s="232"/>
      <c r="C6" s="232"/>
      <c r="D6" s="239" t="s">
        <v>537</v>
      </c>
      <c r="E6" s="239"/>
      <c r="F6" s="239"/>
      <c r="G6" s="78"/>
      <c r="H6" s="78"/>
      <c r="I6" s="78"/>
      <c r="J6" s="78"/>
      <c r="K6" s="78"/>
      <c r="L6" s="78"/>
      <c r="M6" s="78"/>
      <c r="N6" s="78"/>
      <c r="O6" s="78"/>
    </row>
    <row r="7" spans="1:15" s="81" customFormat="1" ht="43.5" customHeight="1" x14ac:dyDescent="0.2">
      <c r="A7" s="232" t="s">
        <v>62</v>
      </c>
      <c r="B7" s="232"/>
      <c r="C7" s="232"/>
      <c r="D7" s="239" t="s">
        <v>539</v>
      </c>
      <c r="E7" s="239"/>
      <c r="F7" s="239"/>
      <c r="G7" s="78"/>
      <c r="H7" s="78"/>
      <c r="I7" s="78"/>
      <c r="J7" s="78"/>
      <c r="K7" s="78"/>
      <c r="L7" s="78"/>
      <c r="M7" s="78"/>
      <c r="N7" s="78"/>
      <c r="O7" s="78"/>
    </row>
    <row r="8" spans="1:15" s="81" customFormat="1" ht="18" x14ac:dyDescent="0.2">
      <c r="A8" s="232" t="s">
        <v>13</v>
      </c>
      <c r="B8" s="232"/>
      <c r="C8" s="232"/>
      <c r="D8" s="247" t="s">
        <v>536</v>
      </c>
      <c r="E8" s="247"/>
      <c r="F8" s="247"/>
      <c r="G8" s="78"/>
      <c r="H8" s="78"/>
      <c r="I8" s="78"/>
      <c r="J8" s="78"/>
      <c r="K8" s="78"/>
      <c r="L8" s="78"/>
      <c r="M8" s="78"/>
      <c r="N8" s="78"/>
      <c r="O8" s="78"/>
    </row>
    <row r="9" spans="1:15" s="81" customFormat="1" ht="18" x14ac:dyDescent="0.2">
      <c r="A9" s="78"/>
      <c r="B9" s="78"/>
      <c r="C9" s="78"/>
      <c r="D9" s="78"/>
      <c r="E9" s="78"/>
      <c r="F9" s="78"/>
      <c r="G9" s="78"/>
      <c r="H9" s="78"/>
      <c r="I9" s="78"/>
      <c r="J9" s="78"/>
      <c r="K9" s="78"/>
      <c r="L9" s="78"/>
      <c r="M9" s="78"/>
      <c r="N9" s="78"/>
      <c r="O9" s="78"/>
    </row>
    <row r="10" spans="1:15" ht="63.75" x14ac:dyDescent="0.2">
      <c r="A10" s="47" t="s">
        <v>52</v>
      </c>
      <c r="B10" s="48" t="s">
        <v>35</v>
      </c>
      <c r="C10" s="47" t="s">
        <v>36</v>
      </c>
      <c r="D10" s="47" t="s">
        <v>54</v>
      </c>
      <c r="E10" s="48" t="s">
        <v>35</v>
      </c>
      <c r="F10" s="47" t="s">
        <v>37</v>
      </c>
      <c r="G10" s="49" t="s">
        <v>29</v>
      </c>
      <c r="H10" s="50" t="s">
        <v>121</v>
      </c>
      <c r="I10" s="49" t="s">
        <v>55</v>
      </c>
      <c r="J10" s="49" t="s">
        <v>119</v>
      </c>
      <c r="K10" s="136" t="s">
        <v>133</v>
      </c>
      <c r="L10" s="50" t="s">
        <v>122</v>
      </c>
      <c r="M10" s="49" t="s">
        <v>56</v>
      </c>
      <c r="N10" s="49" t="s">
        <v>120</v>
      </c>
      <c r="O10" s="136" t="s">
        <v>134</v>
      </c>
    </row>
    <row r="11" spans="1:15" ht="25.5" x14ac:dyDescent="0.2">
      <c r="A11" s="204" t="s">
        <v>570</v>
      </c>
      <c r="B11" s="92">
        <v>810</v>
      </c>
      <c r="C11" s="51" t="s">
        <v>618</v>
      </c>
      <c r="D11" s="205"/>
      <c r="E11" s="92"/>
      <c r="F11" s="51"/>
      <c r="G11" s="204" t="s">
        <v>570</v>
      </c>
      <c r="H11" s="55">
        <v>0.433</v>
      </c>
      <c r="I11" s="56">
        <v>380.07</v>
      </c>
      <c r="J11" s="56">
        <v>1.76</v>
      </c>
      <c r="K11" s="56">
        <v>1.76</v>
      </c>
      <c r="L11" s="57"/>
      <c r="M11" s="58"/>
      <c r="N11" s="58"/>
      <c r="O11" s="58"/>
    </row>
    <row r="12" spans="1:15" ht="25.5" x14ac:dyDescent="0.2">
      <c r="A12" s="204" t="s">
        <v>571</v>
      </c>
      <c r="B12" s="92">
        <v>811</v>
      </c>
      <c r="C12" s="51" t="s">
        <v>619</v>
      </c>
      <c r="D12" s="205"/>
      <c r="E12" s="92"/>
      <c r="F12" s="51"/>
      <c r="G12" s="204" t="s">
        <v>571</v>
      </c>
      <c r="H12" s="55">
        <v>0.41599999999999998</v>
      </c>
      <c r="I12" s="56">
        <v>380.07</v>
      </c>
      <c r="J12" s="56">
        <v>1.84</v>
      </c>
      <c r="K12" s="56">
        <v>1.84</v>
      </c>
      <c r="L12" s="57"/>
      <c r="M12" s="58"/>
      <c r="N12" s="58"/>
      <c r="O12" s="58"/>
    </row>
    <row r="13" spans="1:15" ht="25.5" x14ac:dyDescent="0.2">
      <c r="A13" s="204" t="s">
        <v>572</v>
      </c>
      <c r="B13" s="92">
        <v>820</v>
      </c>
      <c r="C13" s="51" t="s">
        <v>620</v>
      </c>
      <c r="D13" s="205"/>
      <c r="E13" s="92"/>
      <c r="F13" s="51"/>
      <c r="G13" s="204" t="s">
        <v>572</v>
      </c>
      <c r="H13" s="55">
        <v>0.39800000000000002</v>
      </c>
      <c r="I13" s="56">
        <v>190.04</v>
      </c>
      <c r="J13" s="56">
        <v>3.07</v>
      </c>
      <c r="K13" s="56">
        <v>3.07</v>
      </c>
      <c r="L13" s="57"/>
      <c r="M13" s="58"/>
      <c r="N13" s="58"/>
      <c r="O13" s="58"/>
    </row>
    <row r="14" spans="1:15" ht="25.5" x14ac:dyDescent="0.2">
      <c r="A14" s="204" t="s">
        <v>573</v>
      </c>
      <c r="B14" s="92">
        <v>821</v>
      </c>
      <c r="C14" s="51" t="s">
        <v>621</v>
      </c>
      <c r="D14" s="205"/>
      <c r="E14" s="92"/>
      <c r="F14" s="51"/>
      <c r="G14" s="204" t="s">
        <v>573</v>
      </c>
      <c r="H14" s="55">
        <v>0.38300000000000001</v>
      </c>
      <c r="I14" s="56">
        <v>190.04</v>
      </c>
      <c r="J14" s="56">
        <v>2.31</v>
      </c>
      <c r="K14" s="56">
        <v>2.31</v>
      </c>
      <c r="L14" s="57"/>
      <c r="M14" s="58"/>
      <c r="N14" s="58"/>
      <c r="O14" s="58"/>
    </row>
    <row r="15" spans="1:15" ht="25.5" x14ac:dyDescent="0.2">
      <c r="A15" s="204" t="s">
        <v>574</v>
      </c>
      <c r="B15" s="92">
        <v>805</v>
      </c>
      <c r="C15" s="51" t="s">
        <v>622</v>
      </c>
      <c r="D15" s="205"/>
      <c r="E15" s="92"/>
      <c r="F15" s="51"/>
      <c r="G15" s="204" t="s">
        <v>574</v>
      </c>
      <c r="H15" s="55">
        <v>0.39900000000000002</v>
      </c>
      <c r="I15" s="56">
        <v>190.04</v>
      </c>
      <c r="J15" s="56">
        <v>3.89</v>
      </c>
      <c r="K15" s="56">
        <v>3.89</v>
      </c>
      <c r="L15" s="57"/>
      <c r="M15" s="58"/>
      <c r="N15" s="58"/>
      <c r="O15" s="58"/>
    </row>
    <row r="16" spans="1:15" ht="25.5" x14ac:dyDescent="0.2">
      <c r="A16" s="204" t="s">
        <v>575</v>
      </c>
      <c r="B16" s="92">
        <v>829</v>
      </c>
      <c r="C16" s="51" t="s">
        <v>623</v>
      </c>
      <c r="D16" s="205"/>
      <c r="E16" s="92"/>
      <c r="F16" s="51"/>
      <c r="G16" s="204" t="s">
        <v>575</v>
      </c>
      <c r="H16" s="55">
        <v>0.36399999999999999</v>
      </c>
      <c r="I16" s="56">
        <v>380.07</v>
      </c>
      <c r="J16" s="56">
        <v>2.74</v>
      </c>
      <c r="K16" s="56">
        <v>2.74</v>
      </c>
      <c r="L16" s="57"/>
      <c r="M16" s="58"/>
      <c r="N16" s="58"/>
      <c r="O16" s="58"/>
    </row>
    <row r="17" spans="1:15" x14ac:dyDescent="0.2">
      <c r="A17" s="204" t="s">
        <v>576</v>
      </c>
      <c r="B17" s="92"/>
      <c r="C17" s="51" t="s">
        <v>645</v>
      </c>
      <c r="D17" s="205"/>
      <c r="E17" s="92"/>
      <c r="F17" s="51"/>
      <c r="G17" s="204" t="s">
        <v>576</v>
      </c>
      <c r="H17" s="55">
        <v>0</v>
      </c>
      <c r="I17" s="56">
        <v>0</v>
      </c>
      <c r="J17" s="56">
        <v>2.95</v>
      </c>
      <c r="K17" s="56">
        <v>2.95</v>
      </c>
      <c r="L17" s="57"/>
      <c r="M17" s="58"/>
      <c r="N17" s="58"/>
      <c r="O17" s="58"/>
    </row>
    <row r="18" spans="1:15" ht="25.5" x14ac:dyDescent="0.2">
      <c r="A18" s="204" t="s">
        <v>577</v>
      </c>
      <c r="B18" s="92">
        <v>796</v>
      </c>
      <c r="C18" s="51" t="s">
        <v>624</v>
      </c>
      <c r="D18" s="205"/>
      <c r="E18" s="92"/>
      <c r="F18" s="51"/>
      <c r="G18" s="204" t="s">
        <v>577</v>
      </c>
      <c r="H18" s="55">
        <v>0</v>
      </c>
      <c r="I18" s="56">
        <v>7207.67</v>
      </c>
      <c r="J18" s="56">
        <v>2.38</v>
      </c>
      <c r="K18" s="56">
        <v>2.38</v>
      </c>
      <c r="L18" s="57"/>
      <c r="M18" s="58"/>
      <c r="N18" s="58"/>
      <c r="O18" s="58"/>
    </row>
    <row r="19" spans="1:15" x14ac:dyDescent="0.2">
      <c r="A19" s="204" t="s">
        <v>578</v>
      </c>
      <c r="B19" s="92"/>
      <c r="C19" s="51" t="s">
        <v>650</v>
      </c>
      <c r="D19" s="205"/>
      <c r="E19" s="92"/>
      <c r="F19" s="51"/>
      <c r="G19" s="204" t="s">
        <v>578</v>
      </c>
      <c r="H19" s="55">
        <v>0.21099999999999999</v>
      </c>
      <c r="I19" s="56">
        <v>0</v>
      </c>
      <c r="J19" s="56">
        <v>5.79</v>
      </c>
      <c r="K19" s="56">
        <v>5.79</v>
      </c>
      <c r="L19" s="57"/>
      <c r="M19" s="58"/>
      <c r="N19" s="58"/>
      <c r="O19" s="58"/>
    </row>
    <row r="20" spans="1:15" x14ac:dyDescent="0.2">
      <c r="A20" s="204" t="s">
        <v>579</v>
      </c>
      <c r="B20" s="92"/>
      <c r="C20" s="51" t="s">
        <v>650</v>
      </c>
      <c r="D20" s="205"/>
      <c r="E20" s="92"/>
      <c r="F20" s="51"/>
      <c r="G20" s="204" t="s">
        <v>579</v>
      </c>
      <c r="H20" s="55">
        <v>0.38800000000000001</v>
      </c>
      <c r="I20" s="56">
        <v>0</v>
      </c>
      <c r="J20" s="56">
        <v>3.53</v>
      </c>
      <c r="K20" s="56">
        <v>3.53</v>
      </c>
      <c r="L20" s="57"/>
      <c r="M20" s="58"/>
      <c r="N20" s="58"/>
      <c r="O20" s="58"/>
    </row>
    <row r="21" spans="1:15" x14ac:dyDescent="0.2">
      <c r="A21" s="204" t="s">
        <v>580</v>
      </c>
      <c r="B21" s="92"/>
      <c r="C21" s="51" t="s">
        <v>646</v>
      </c>
      <c r="D21" s="205"/>
      <c r="E21" s="92"/>
      <c r="F21" s="51"/>
      <c r="G21" s="204" t="s">
        <v>580</v>
      </c>
      <c r="H21" s="55">
        <v>0.01</v>
      </c>
      <c r="I21" s="56">
        <v>0</v>
      </c>
      <c r="J21" s="56">
        <v>4.8499999999999996</v>
      </c>
      <c r="K21" s="56">
        <v>4.8499999999999996</v>
      </c>
      <c r="L21" s="57"/>
      <c r="M21" s="58"/>
      <c r="N21" s="58"/>
      <c r="O21" s="58"/>
    </row>
    <row r="22" spans="1:15" ht="25.5" x14ac:dyDescent="0.2">
      <c r="A22" s="204" t="s">
        <v>581</v>
      </c>
      <c r="B22" s="92">
        <v>796</v>
      </c>
      <c r="C22" s="51" t="s">
        <v>625</v>
      </c>
      <c r="D22" s="205"/>
      <c r="E22" s="92"/>
      <c r="F22" s="51"/>
      <c r="G22" s="204" t="s">
        <v>581</v>
      </c>
      <c r="H22" s="55">
        <v>0.433</v>
      </c>
      <c r="I22" s="56">
        <v>380.07</v>
      </c>
      <c r="J22" s="56">
        <v>2.41</v>
      </c>
      <c r="K22" s="56">
        <v>2.41</v>
      </c>
      <c r="L22" s="57"/>
      <c r="M22" s="58"/>
      <c r="N22" s="58"/>
      <c r="O22" s="58"/>
    </row>
    <row r="23" spans="1:15" ht="25.5" x14ac:dyDescent="0.2">
      <c r="A23" s="204" t="s">
        <v>582</v>
      </c>
      <c r="B23" s="92">
        <v>800</v>
      </c>
      <c r="C23" s="51" t="s">
        <v>626</v>
      </c>
      <c r="D23" s="205"/>
      <c r="E23" s="92"/>
      <c r="F23" s="51"/>
      <c r="G23" s="204" t="s">
        <v>582</v>
      </c>
      <c r="H23" s="55">
        <v>0.371</v>
      </c>
      <c r="I23" s="56">
        <v>495.34</v>
      </c>
      <c r="J23" s="56">
        <v>3.86</v>
      </c>
      <c r="K23" s="56">
        <v>3.86</v>
      </c>
      <c r="L23" s="57"/>
      <c r="M23" s="58"/>
      <c r="N23" s="58"/>
      <c r="O23" s="58"/>
    </row>
    <row r="24" spans="1:15" ht="51" x14ac:dyDescent="0.2">
      <c r="A24" s="204" t="s">
        <v>583</v>
      </c>
      <c r="B24" s="92">
        <v>843</v>
      </c>
      <c r="C24" s="51" t="s">
        <v>627</v>
      </c>
      <c r="D24" s="205"/>
      <c r="E24" s="92"/>
      <c r="F24" s="51"/>
      <c r="G24" s="204" t="s">
        <v>583</v>
      </c>
      <c r="H24" s="55">
        <v>0</v>
      </c>
      <c r="I24" s="56">
        <v>7315.91</v>
      </c>
      <c r="J24" s="56">
        <v>4.5999999999999996</v>
      </c>
      <c r="K24" s="56">
        <v>4.5999999999999996</v>
      </c>
      <c r="L24" s="57"/>
      <c r="M24" s="58"/>
      <c r="N24" s="58"/>
      <c r="O24" s="58"/>
    </row>
    <row r="25" spans="1:15" x14ac:dyDescent="0.2">
      <c r="A25" s="204" t="s">
        <v>584</v>
      </c>
      <c r="B25" s="92"/>
      <c r="C25" s="51" t="s">
        <v>647</v>
      </c>
      <c r="D25" s="205"/>
      <c r="E25" s="92"/>
      <c r="F25" s="51"/>
      <c r="G25" s="204" t="s">
        <v>584</v>
      </c>
      <c r="H25" s="55">
        <v>0</v>
      </c>
      <c r="I25" s="56">
        <v>0</v>
      </c>
      <c r="J25" s="56">
        <v>1.25</v>
      </c>
      <c r="K25" s="56">
        <v>1.25</v>
      </c>
      <c r="L25" s="57"/>
      <c r="M25" s="58"/>
      <c r="N25" s="58"/>
      <c r="O25" s="58"/>
    </row>
    <row r="26" spans="1:15" ht="25.5" x14ac:dyDescent="0.2">
      <c r="A26" s="204" t="s">
        <v>585</v>
      </c>
      <c r="B26" s="92">
        <v>808</v>
      </c>
      <c r="C26" s="51" t="s">
        <v>628</v>
      </c>
      <c r="D26" s="205"/>
      <c r="E26" s="92"/>
      <c r="F26" s="51"/>
      <c r="G26" s="204" t="s">
        <v>585</v>
      </c>
      <c r="H26" s="55">
        <v>0.41899999999999998</v>
      </c>
      <c r="I26" s="56">
        <v>426.18</v>
      </c>
      <c r="J26" s="56">
        <v>3.39</v>
      </c>
      <c r="K26" s="56">
        <v>3.39</v>
      </c>
      <c r="L26" s="57"/>
      <c r="M26" s="58"/>
      <c r="N26" s="58"/>
      <c r="O26" s="58"/>
    </row>
    <row r="27" spans="1:15" ht="25.5" x14ac:dyDescent="0.2">
      <c r="A27" s="204" t="s">
        <v>586</v>
      </c>
      <c r="B27" s="92">
        <v>814</v>
      </c>
      <c r="C27" s="51" t="s">
        <v>629</v>
      </c>
      <c r="D27" s="205"/>
      <c r="E27" s="92"/>
      <c r="F27" s="51"/>
      <c r="G27" s="204" t="s">
        <v>586</v>
      </c>
      <c r="H27" s="55">
        <v>0.42499999999999999</v>
      </c>
      <c r="I27" s="56">
        <v>380.07</v>
      </c>
      <c r="J27" s="56">
        <v>2.5299999999999998</v>
      </c>
      <c r="K27" s="56">
        <v>2.5299999999999998</v>
      </c>
      <c r="L27" s="57"/>
      <c r="M27" s="58"/>
      <c r="N27" s="58"/>
      <c r="O27" s="58"/>
    </row>
    <row r="28" spans="1:15" ht="51" x14ac:dyDescent="0.2">
      <c r="A28" s="204" t="s">
        <v>587</v>
      </c>
      <c r="B28" s="92">
        <v>816</v>
      </c>
      <c r="C28" s="51" t="s">
        <v>630</v>
      </c>
      <c r="D28" s="205"/>
      <c r="E28" s="92"/>
      <c r="F28" s="51"/>
      <c r="G28" s="204" t="s">
        <v>587</v>
      </c>
      <c r="H28" s="55">
        <v>0.36399999999999999</v>
      </c>
      <c r="I28" s="56">
        <v>1097.8699999999999</v>
      </c>
      <c r="J28" s="56">
        <v>2.89</v>
      </c>
      <c r="K28" s="56">
        <v>2.89</v>
      </c>
      <c r="L28" s="57"/>
      <c r="M28" s="58"/>
      <c r="N28" s="58"/>
      <c r="O28" s="58"/>
    </row>
    <row r="29" spans="1:15" x14ac:dyDescent="0.2">
      <c r="A29" s="204" t="s">
        <v>588</v>
      </c>
      <c r="B29" s="92"/>
      <c r="C29" s="51" t="s">
        <v>648</v>
      </c>
      <c r="D29" s="205"/>
      <c r="E29" s="92"/>
      <c r="F29" s="51"/>
      <c r="G29" s="204" t="s">
        <v>588</v>
      </c>
      <c r="H29" s="55">
        <v>0</v>
      </c>
      <c r="I29" s="56">
        <v>198.73</v>
      </c>
      <c r="J29" s="56">
        <v>2.44</v>
      </c>
      <c r="K29" s="56">
        <v>2.44</v>
      </c>
      <c r="L29" s="57"/>
      <c r="M29" s="58"/>
      <c r="N29" s="58"/>
      <c r="O29" s="58"/>
    </row>
    <row r="30" spans="1:15" ht="25.5" x14ac:dyDescent="0.2">
      <c r="A30" s="204" t="s">
        <v>589</v>
      </c>
      <c r="B30" s="92">
        <v>818</v>
      </c>
      <c r="C30" s="51" t="s">
        <v>631</v>
      </c>
      <c r="D30" s="205"/>
      <c r="E30" s="92"/>
      <c r="F30" s="51"/>
      <c r="G30" s="204" t="s">
        <v>589</v>
      </c>
      <c r="H30" s="55">
        <v>0</v>
      </c>
      <c r="I30" s="56">
        <v>6413.3</v>
      </c>
      <c r="J30" s="56">
        <v>1.2</v>
      </c>
      <c r="K30" s="56">
        <v>1.2</v>
      </c>
      <c r="L30" s="57"/>
      <c r="M30" s="58"/>
      <c r="N30" s="58"/>
      <c r="O30" s="58"/>
    </row>
    <row r="31" spans="1:15" ht="51" x14ac:dyDescent="0.2">
      <c r="A31" s="204" t="s">
        <v>590</v>
      </c>
      <c r="B31" s="92">
        <v>801</v>
      </c>
      <c r="C31" s="51" t="s">
        <v>632</v>
      </c>
      <c r="D31" s="205"/>
      <c r="E31" s="92"/>
      <c r="F31" s="51"/>
      <c r="G31" s="204" t="s">
        <v>590</v>
      </c>
      <c r="H31" s="55">
        <v>0</v>
      </c>
      <c r="I31" s="56">
        <v>7011.55</v>
      </c>
      <c r="J31" s="56">
        <v>1.56</v>
      </c>
      <c r="K31" s="56">
        <v>1.56</v>
      </c>
      <c r="L31" s="57"/>
      <c r="M31" s="58"/>
      <c r="N31" s="58"/>
      <c r="O31" s="58"/>
    </row>
    <row r="32" spans="1:15" x14ac:dyDescent="0.2">
      <c r="A32" s="204" t="s">
        <v>591</v>
      </c>
      <c r="B32" s="92">
        <v>804</v>
      </c>
      <c r="C32" s="51">
        <v>1200060323191</v>
      </c>
      <c r="D32" s="205"/>
      <c r="E32" s="92"/>
      <c r="F32" s="51"/>
      <c r="G32" s="204" t="s">
        <v>591</v>
      </c>
      <c r="H32" s="55">
        <v>0</v>
      </c>
      <c r="I32" s="56">
        <v>6322.23</v>
      </c>
      <c r="J32" s="56">
        <v>0.49</v>
      </c>
      <c r="K32" s="56">
        <v>0.49</v>
      </c>
      <c r="L32" s="57"/>
      <c r="M32" s="58"/>
      <c r="N32" s="58"/>
      <c r="O32" s="58"/>
    </row>
    <row r="33" spans="1:15" ht="25.5" x14ac:dyDescent="0.2">
      <c r="A33" s="204" t="s">
        <v>592</v>
      </c>
      <c r="B33" s="92">
        <v>838</v>
      </c>
      <c r="C33" s="51" t="s">
        <v>633</v>
      </c>
      <c r="D33" s="205"/>
      <c r="E33" s="92"/>
      <c r="F33" s="51"/>
      <c r="G33" s="204" t="s">
        <v>592</v>
      </c>
      <c r="H33" s="55">
        <v>0</v>
      </c>
      <c r="I33" s="56">
        <v>31434.21</v>
      </c>
      <c r="J33" s="56">
        <v>1.8</v>
      </c>
      <c r="K33" s="56">
        <v>1.8</v>
      </c>
      <c r="L33" s="57"/>
      <c r="M33" s="58"/>
      <c r="N33" s="58"/>
      <c r="O33" s="58"/>
    </row>
    <row r="34" spans="1:15" x14ac:dyDescent="0.2">
      <c r="A34" s="204" t="s">
        <v>593</v>
      </c>
      <c r="B34" s="92">
        <v>837</v>
      </c>
      <c r="C34" s="51">
        <v>1200010200926</v>
      </c>
      <c r="D34" s="205"/>
      <c r="E34" s="92"/>
      <c r="F34" s="51"/>
      <c r="G34" s="204" t="s">
        <v>593</v>
      </c>
      <c r="H34" s="55">
        <v>1.7999999999999999E-2</v>
      </c>
      <c r="I34" s="56">
        <v>22098.51</v>
      </c>
      <c r="J34" s="56">
        <v>1.75</v>
      </c>
      <c r="K34" s="56">
        <v>1.75</v>
      </c>
      <c r="L34" s="57"/>
      <c r="M34" s="58"/>
      <c r="N34" s="58"/>
      <c r="O34" s="58"/>
    </row>
    <row r="35" spans="1:15" ht="25.5" x14ac:dyDescent="0.2">
      <c r="A35" s="204" t="s">
        <v>594</v>
      </c>
      <c r="B35" s="92">
        <v>839</v>
      </c>
      <c r="C35" s="51" t="s">
        <v>634</v>
      </c>
      <c r="D35" s="205"/>
      <c r="E35" s="92"/>
      <c r="F35" s="51"/>
      <c r="G35" s="204" t="s">
        <v>594</v>
      </c>
      <c r="H35" s="55">
        <v>0</v>
      </c>
      <c r="I35" s="56">
        <v>5950.57</v>
      </c>
      <c r="J35" s="56">
        <v>3.17</v>
      </c>
      <c r="K35" s="56">
        <v>3.17</v>
      </c>
      <c r="L35" s="57"/>
      <c r="M35" s="58"/>
      <c r="N35" s="58"/>
      <c r="O35" s="58"/>
    </row>
    <row r="36" spans="1:15" ht="25.5" x14ac:dyDescent="0.2">
      <c r="A36" s="204" t="s">
        <v>595</v>
      </c>
      <c r="B36" s="92">
        <v>806</v>
      </c>
      <c r="C36" s="51" t="s">
        <v>635</v>
      </c>
      <c r="D36" s="205"/>
      <c r="E36" s="92"/>
      <c r="F36" s="51"/>
      <c r="G36" s="204" t="s">
        <v>595</v>
      </c>
      <c r="H36" s="55">
        <v>0.40600000000000003</v>
      </c>
      <c r="I36" s="56">
        <v>380.07</v>
      </c>
      <c r="J36" s="56">
        <v>3.11</v>
      </c>
      <c r="K36" s="56">
        <v>3.11</v>
      </c>
      <c r="L36" s="57"/>
      <c r="M36" s="58"/>
      <c r="N36" s="58"/>
      <c r="O36" s="58"/>
    </row>
    <row r="37" spans="1:15" ht="25.5" x14ac:dyDescent="0.2">
      <c r="A37" s="204" t="s">
        <v>596</v>
      </c>
      <c r="B37" s="92">
        <v>817</v>
      </c>
      <c r="C37" s="51" t="s">
        <v>636</v>
      </c>
      <c r="D37" s="205"/>
      <c r="E37" s="92"/>
      <c r="F37" s="51"/>
      <c r="G37" s="204" t="s">
        <v>596</v>
      </c>
      <c r="H37" s="55">
        <v>0.23400000000000001</v>
      </c>
      <c r="I37" s="56">
        <v>0</v>
      </c>
      <c r="J37" s="56">
        <v>0.87</v>
      </c>
      <c r="K37" s="56">
        <v>0.87</v>
      </c>
      <c r="L37" s="57"/>
      <c r="M37" s="58"/>
      <c r="N37" s="58"/>
      <c r="O37" s="58"/>
    </row>
    <row r="38" spans="1:15" ht="25.5" x14ac:dyDescent="0.2">
      <c r="A38" s="204" t="s">
        <v>597</v>
      </c>
      <c r="B38" s="92">
        <v>807</v>
      </c>
      <c r="C38" s="51" t="s">
        <v>637</v>
      </c>
      <c r="D38" s="205"/>
      <c r="E38" s="92"/>
      <c r="F38" s="51"/>
      <c r="G38" s="204" t="s">
        <v>597</v>
      </c>
      <c r="H38" s="55">
        <v>0</v>
      </c>
      <c r="I38" s="56">
        <v>5143.8999999999996</v>
      </c>
      <c r="J38" s="56">
        <v>5.52</v>
      </c>
      <c r="K38" s="56">
        <v>5.52</v>
      </c>
      <c r="L38" s="57"/>
      <c r="M38" s="58"/>
      <c r="N38" s="58"/>
      <c r="O38" s="58"/>
    </row>
    <row r="39" spans="1:15" x14ac:dyDescent="0.2">
      <c r="A39" s="204" t="s">
        <v>598</v>
      </c>
      <c r="B39" s="92">
        <v>847</v>
      </c>
      <c r="C39" s="51">
        <v>1200010251559</v>
      </c>
      <c r="D39" s="205"/>
      <c r="E39" s="92"/>
      <c r="F39" s="51"/>
      <c r="G39" s="204" t="s">
        <v>598</v>
      </c>
      <c r="H39" s="55">
        <v>0</v>
      </c>
      <c r="I39" s="56">
        <v>2109.04</v>
      </c>
      <c r="J39" s="56">
        <v>1.84</v>
      </c>
      <c r="K39" s="56">
        <v>1.84</v>
      </c>
      <c r="L39" s="57"/>
      <c r="M39" s="58"/>
      <c r="N39" s="58"/>
      <c r="O39" s="58"/>
    </row>
    <row r="40" spans="1:15" x14ac:dyDescent="0.2">
      <c r="A40" s="204" t="s">
        <v>599</v>
      </c>
      <c r="B40" s="92">
        <v>846</v>
      </c>
      <c r="C40" s="51">
        <v>1200010251521</v>
      </c>
      <c r="D40" s="205"/>
      <c r="E40" s="92"/>
      <c r="F40" s="51"/>
      <c r="G40" s="204" t="s">
        <v>599</v>
      </c>
      <c r="H40" s="55">
        <v>2.81</v>
      </c>
      <c r="I40" s="56">
        <v>66.239999999999995</v>
      </c>
      <c r="J40" s="56">
        <v>2.69</v>
      </c>
      <c r="K40" s="56">
        <v>2.69</v>
      </c>
      <c r="L40" s="57"/>
      <c r="M40" s="58"/>
      <c r="N40" s="58"/>
      <c r="O40" s="58"/>
    </row>
    <row r="41" spans="1:15" x14ac:dyDescent="0.2">
      <c r="A41" s="204" t="s">
        <v>600</v>
      </c>
      <c r="B41" s="92">
        <v>840</v>
      </c>
      <c r="C41" s="51">
        <v>1200010251540</v>
      </c>
      <c r="D41" s="205"/>
      <c r="E41" s="92"/>
      <c r="F41" s="51"/>
      <c r="G41" s="204" t="s">
        <v>600</v>
      </c>
      <c r="H41" s="55">
        <v>0</v>
      </c>
      <c r="I41" s="56">
        <v>132.47999999999999</v>
      </c>
      <c r="J41" s="56">
        <v>0.94</v>
      </c>
      <c r="K41" s="56">
        <v>0.94</v>
      </c>
      <c r="L41" s="57"/>
      <c r="M41" s="58"/>
      <c r="N41" s="58"/>
      <c r="O41" s="58"/>
    </row>
    <row r="42" spans="1:15" x14ac:dyDescent="0.2">
      <c r="A42" s="204" t="s">
        <v>601</v>
      </c>
      <c r="B42" s="92">
        <v>845</v>
      </c>
      <c r="C42" s="51">
        <v>1200010251530</v>
      </c>
      <c r="D42" s="205"/>
      <c r="E42" s="92"/>
      <c r="F42" s="51"/>
      <c r="G42" s="204" t="s">
        <v>601</v>
      </c>
      <c r="H42" s="55">
        <v>0</v>
      </c>
      <c r="I42" s="56">
        <v>7533.73</v>
      </c>
      <c r="J42" s="56">
        <v>1.54</v>
      </c>
      <c r="K42" s="56">
        <v>1.54</v>
      </c>
      <c r="L42" s="57"/>
      <c r="M42" s="58"/>
      <c r="N42" s="58"/>
      <c r="O42" s="58"/>
    </row>
    <row r="43" spans="1:15" x14ac:dyDescent="0.2">
      <c r="A43" s="204" t="s">
        <v>602</v>
      </c>
      <c r="B43" s="92">
        <v>841</v>
      </c>
      <c r="C43" s="51">
        <v>1200010251512</v>
      </c>
      <c r="D43" s="205"/>
      <c r="E43" s="92"/>
      <c r="F43" s="51"/>
      <c r="G43" s="204" t="s">
        <v>602</v>
      </c>
      <c r="H43" s="55">
        <v>0</v>
      </c>
      <c r="I43" s="56">
        <v>5522.95</v>
      </c>
      <c r="J43" s="56">
        <v>2.14</v>
      </c>
      <c r="K43" s="56">
        <v>2.14</v>
      </c>
      <c r="L43" s="57"/>
      <c r="M43" s="58"/>
      <c r="N43" s="58"/>
      <c r="O43" s="58"/>
    </row>
    <row r="44" spans="1:15" x14ac:dyDescent="0.2">
      <c r="A44" s="204" t="s">
        <v>603</v>
      </c>
      <c r="B44" s="92">
        <v>842</v>
      </c>
      <c r="C44" s="51">
        <v>1200010251498</v>
      </c>
      <c r="D44" s="205"/>
      <c r="E44" s="92"/>
      <c r="F44" s="51"/>
      <c r="G44" s="204" t="s">
        <v>603</v>
      </c>
      <c r="H44" s="55">
        <v>1.7000000000000001E-2</v>
      </c>
      <c r="I44" s="56">
        <v>4722.8999999999996</v>
      </c>
      <c r="J44" s="56">
        <v>2.2999999999999998</v>
      </c>
      <c r="K44" s="56">
        <v>2.2999999999999998</v>
      </c>
      <c r="L44" s="57"/>
      <c r="M44" s="58"/>
      <c r="N44" s="58"/>
      <c r="O44" s="58"/>
    </row>
    <row r="45" spans="1:15" x14ac:dyDescent="0.2">
      <c r="A45" s="204" t="s">
        <v>604</v>
      </c>
      <c r="B45" s="92">
        <v>848</v>
      </c>
      <c r="C45" s="51">
        <v>1200010251568</v>
      </c>
      <c r="D45" s="205" t="s">
        <v>604</v>
      </c>
      <c r="E45" s="92">
        <v>716</v>
      </c>
      <c r="F45" s="51">
        <v>1200052486875</v>
      </c>
      <c r="G45" s="204" t="s">
        <v>604</v>
      </c>
      <c r="H45" s="55">
        <v>0</v>
      </c>
      <c r="I45" s="56">
        <v>4727.76</v>
      </c>
      <c r="J45" s="56">
        <v>2.73</v>
      </c>
      <c r="K45" s="56">
        <v>2.73</v>
      </c>
      <c r="L45" s="57">
        <v>0</v>
      </c>
      <c r="M45" s="58">
        <v>375.22</v>
      </c>
      <c r="N45" s="58">
        <v>0.05</v>
      </c>
      <c r="O45" s="58">
        <v>0.05</v>
      </c>
    </row>
    <row r="46" spans="1:15" x14ac:dyDescent="0.2">
      <c r="A46" s="204" t="s">
        <v>605</v>
      </c>
      <c r="B46" s="92">
        <v>849</v>
      </c>
      <c r="C46" s="51">
        <v>1200050493611</v>
      </c>
      <c r="D46" s="205"/>
      <c r="E46" s="92"/>
      <c r="F46" s="51"/>
      <c r="G46" s="204" t="s">
        <v>605</v>
      </c>
      <c r="H46" s="55">
        <v>4.5170000000000003</v>
      </c>
      <c r="I46" s="56">
        <v>66.239999999999995</v>
      </c>
      <c r="J46" s="56">
        <v>3.08</v>
      </c>
      <c r="K46" s="56">
        <v>3.08</v>
      </c>
      <c r="L46" s="57"/>
      <c r="M46" s="58"/>
      <c r="N46" s="58"/>
      <c r="O46" s="58"/>
    </row>
    <row r="47" spans="1:15" x14ac:dyDescent="0.2">
      <c r="A47" s="204" t="s">
        <v>606</v>
      </c>
      <c r="B47" s="92">
        <v>844</v>
      </c>
      <c r="C47" s="51">
        <v>1200010200874</v>
      </c>
      <c r="D47" s="205"/>
      <c r="E47" s="92"/>
      <c r="F47" s="51"/>
      <c r="G47" s="204" t="s">
        <v>606</v>
      </c>
      <c r="H47" s="55">
        <v>0</v>
      </c>
      <c r="I47" s="56">
        <v>8002.01</v>
      </c>
      <c r="J47" s="56">
        <v>2.15</v>
      </c>
      <c r="K47" s="56">
        <v>2.15</v>
      </c>
      <c r="L47" s="57"/>
      <c r="M47" s="58"/>
      <c r="N47" s="58"/>
      <c r="O47" s="58"/>
    </row>
    <row r="48" spans="1:15" ht="25.5" x14ac:dyDescent="0.2">
      <c r="A48" s="204" t="s">
        <v>607</v>
      </c>
      <c r="B48" s="92">
        <v>809</v>
      </c>
      <c r="C48" s="51" t="s">
        <v>638</v>
      </c>
      <c r="D48" s="205"/>
      <c r="E48" s="92"/>
      <c r="F48" s="51"/>
      <c r="G48" s="204" t="s">
        <v>607</v>
      </c>
      <c r="H48" s="55">
        <v>0</v>
      </c>
      <c r="I48" s="56">
        <v>930.26</v>
      </c>
      <c r="J48" s="56">
        <v>3.93</v>
      </c>
      <c r="K48" s="56">
        <v>3.93</v>
      </c>
      <c r="L48" s="57"/>
      <c r="M48" s="58"/>
      <c r="N48" s="58"/>
      <c r="O48" s="58"/>
    </row>
    <row r="49" spans="1:15" ht="51" x14ac:dyDescent="0.2">
      <c r="A49" s="204" t="s">
        <v>608</v>
      </c>
      <c r="B49" s="92">
        <v>828</v>
      </c>
      <c r="C49" s="51" t="s">
        <v>639</v>
      </c>
      <c r="D49" s="205" t="s">
        <v>608</v>
      </c>
      <c r="E49" s="92">
        <v>701</v>
      </c>
      <c r="F49" s="51" t="s">
        <v>649</v>
      </c>
      <c r="G49" s="204" t="s">
        <v>608</v>
      </c>
      <c r="H49" s="55">
        <v>0</v>
      </c>
      <c r="I49" s="56">
        <v>3194.94</v>
      </c>
      <c r="J49" s="56">
        <v>0.69</v>
      </c>
      <c r="K49" s="56">
        <v>0.69</v>
      </c>
      <c r="L49" s="57">
        <v>0</v>
      </c>
      <c r="M49" s="58">
        <v>0</v>
      </c>
      <c r="N49" s="58">
        <v>0</v>
      </c>
      <c r="O49" s="58">
        <v>0</v>
      </c>
    </row>
    <row r="50" spans="1:15" ht="25.5" x14ac:dyDescent="0.2">
      <c r="A50" s="204" t="s">
        <v>609</v>
      </c>
      <c r="B50" s="92">
        <v>802</v>
      </c>
      <c r="C50" s="51" t="s">
        <v>640</v>
      </c>
      <c r="D50" s="205" t="s">
        <v>609</v>
      </c>
      <c r="E50" s="92">
        <v>702</v>
      </c>
      <c r="F50" s="51" t="s">
        <v>643</v>
      </c>
      <c r="G50" s="204" t="s">
        <v>609</v>
      </c>
      <c r="H50" s="55">
        <v>0</v>
      </c>
      <c r="I50" s="56">
        <v>2795.68</v>
      </c>
      <c r="J50" s="56">
        <v>1.44</v>
      </c>
      <c r="K50" s="56">
        <v>1.44</v>
      </c>
      <c r="L50" s="57">
        <v>0</v>
      </c>
      <c r="M50" s="58">
        <v>653.98</v>
      </c>
      <c r="N50" s="58">
        <v>0.05</v>
      </c>
      <c r="O50" s="58">
        <v>0.05</v>
      </c>
    </row>
    <row r="51" spans="1:15" x14ac:dyDescent="0.2">
      <c r="A51" s="204" t="s">
        <v>610</v>
      </c>
      <c r="B51" s="92">
        <v>819</v>
      </c>
      <c r="C51" s="51">
        <v>1200061990150</v>
      </c>
      <c r="D51" s="205"/>
      <c r="E51" s="92"/>
      <c r="F51" s="51"/>
      <c r="G51" s="204" t="s">
        <v>610</v>
      </c>
      <c r="H51" s="55">
        <v>0</v>
      </c>
      <c r="I51" s="56">
        <v>7962.85</v>
      </c>
      <c r="J51" s="56">
        <v>1.36</v>
      </c>
      <c r="K51" s="56">
        <v>1.36</v>
      </c>
      <c r="L51" s="57"/>
      <c r="M51" s="58"/>
      <c r="N51" s="58"/>
      <c r="O51" s="58"/>
    </row>
    <row r="52" spans="1:15" x14ac:dyDescent="0.2">
      <c r="A52" s="204" t="s">
        <v>611</v>
      </c>
      <c r="B52" s="92">
        <v>822</v>
      </c>
      <c r="C52" s="51">
        <v>1200061990319</v>
      </c>
      <c r="D52" s="205"/>
      <c r="E52" s="92"/>
      <c r="F52" s="51"/>
      <c r="G52" s="204" t="s">
        <v>611</v>
      </c>
      <c r="H52" s="55">
        <v>0</v>
      </c>
      <c r="I52" s="56">
        <v>132.47999999999999</v>
      </c>
      <c r="J52" s="56">
        <v>0.76</v>
      </c>
      <c r="K52" s="56">
        <v>0.76</v>
      </c>
      <c r="L52" s="57"/>
      <c r="M52" s="58"/>
      <c r="N52" s="58"/>
      <c r="O52" s="58"/>
    </row>
    <row r="53" spans="1:15" ht="51" x14ac:dyDescent="0.2">
      <c r="A53" s="204" t="s">
        <v>612</v>
      </c>
      <c r="B53" s="92">
        <v>823</v>
      </c>
      <c r="C53" s="51" t="s">
        <v>641</v>
      </c>
      <c r="D53" s="205"/>
      <c r="E53" s="92"/>
      <c r="F53" s="51"/>
      <c r="G53" s="204" t="s">
        <v>612</v>
      </c>
      <c r="H53" s="55">
        <v>1.103</v>
      </c>
      <c r="I53" s="56">
        <v>132.47999999999999</v>
      </c>
      <c r="J53" s="56">
        <v>1.53</v>
      </c>
      <c r="K53" s="56">
        <v>1.53</v>
      </c>
      <c r="L53" s="57"/>
      <c r="M53" s="58"/>
      <c r="N53" s="58"/>
      <c r="O53" s="58"/>
    </row>
    <row r="54" spans="1:15" ht="25.5" x14ac:dyDescent="0.2">
      <c r="A54" s="204" t="s">
        <v>613</v>
      </c>
      <c r="B54" s="92">
        <v>803</v>
      </c>
      <c r="C54" s="51" t="s">
        <v>642</v>
      </c>
      <c r="D54" s="205"/>
      <c r="E54" s="92"/>
      <c r="F54" s="51"/>
      <c r="G54" s="204" t="s">
        <v>613</v>
      </c>
      <c r="H54" s="55">
        <v>0.41399999999999998</v>
      </c>
      <c r="I54" s="56">
        <v>533.76</v>
      </c>
      <c r="J54" s="56">
        <v>2.2999999999999998</v>
      </c>
      <c r="K54" s="56">
        <v>2.2999999999999998</v>
      </c>
      <c r="L54" s="57"/>
      <c r="M54" s="58"/>
      <c r="N54" s="58"/>
      <c r="O54" s="58"/>
    </row>
    <row r="55" spans="1:15" x14ac:dyDescent="0.2">
      <c r="A55" s="213" t="s">
        <v>614</v>
      </c>
      <c r="B55" s="214">
        <v>824</v>
      </c>
      <c r="C55" s="215" t="s">
        <v>644</v>
      </c>
      <c r="D55" s="216"/>
      <c r="E55" s="214"/>
      <c r="F55" s="215"/>
      <c r="G55" s="213" t="s">
        <v>614</v>
      </c>
      <c r="H55" s="217">
        <v>0.36399999999999999</v>
      </c>
      <c r="I55" s="218">
        <v>1051.1500000000001</v>
      </c>
      <c r="J55" s="218">
        <v>2.16</v>
      </c>
      <c r="K55" s="218">
        <v>2.16</v>
      </c>
      <c r="L55" s="57"/>
      <c r="M55" s="58"/>
      <c r="N55" s="58"/>
      <c r="O55" s="58"/>
    </row>
    <row r="56" spans="1:15" x14ac:dyDescent="0.2">
      <c r="A56" s="204" t="s">
        <v>615</v>
      </c>
      <c r="B56" s="92">
        <v>815</v>
      </c>
      <c r="C56" s="51">
        <v>1200060787109</v>
      </c>
      <c r="D56" s="205" t="s">
        <v>615</v>
      </c>
      <c r="E56" s="92">
        <v>711</v>
      </c>
      <c r="F56" s="51">
        <v>1200060787118</v>
      </c>
      <c r="G56" s="204" t="s">
        <v>615</v>
      </c>
      <c r="H56" s="55">
        <v>0</v>
      </c>
      <c r="I56" s="56">
        <v>321.43</v>
      </c>
      <c r="J56" s="56">
        <v>0.8</v>
      </c>
      <c r="K56" s="56">
        <v>0.8</v>
      </c>
      <c r="L56" s="57">
        <v>0</v>
      </c>
      <c r="M56" s="58">
        <v>608.83000000000004</v>
      </c>
      <c r="N56" s="58">
        <v>0.05</v>
      </c>
      <c r="O56" s="58">
        <v>0.05</v>
      </c>
    </row>
    <row r="57" spans="1:15" x14ac:dyDescent="0.2">
      <c r="A57" s="204" t="s">
        <v>616</v>
      </c>
      <c r="B57" s="92">
        <v>827</v>
      </c>
      <c r="C57" s="51">
        <v>1200010175650</v>
      </c>
      <c r="D57" s="205" t="s">
        <v>616</v>
      </c>
      <c r="E57" s="92">
        <v>730</v>
      </c>
      <c r="F57" s="51">
        <v>1200010258304</v>
      </c>
      <c r="G57" s="204" t="s">
        <v>616</v>
      </c>
      <c r="H57" s="55">
        <v>0</v>
      </c>
      <c r="I57" s="56">
        <v>283.72000000000003</v>
      </c>
      <c r="J57" s="56">
        <v>1.2</v>
      </c>
      <c r="K57" s="56">
        <v>1.2</v>
      </c>
      <c r="L57" s="57">
        <v>0</v>
      </c>
      <c r="M57" s="58">
        <v>3009.13</v>
      </c>
      <c r="N57" s="58">
        <v>0.05</v>
      </c>
      <c r="O57" s="58">
        <v>0.05</v>
      </c>
    </row>
    <row r="58" spans="1:15" x14ac:dyDescent="0.2">
      <c r="A58" s="204" t="s">
        <v>617</v>
      </c>
      <c r="B58" s="92">
        <v>603</v>
      </c>
      <c r="C58" s="51" t="s">
        <v>651</v>
      </c>
      <c r="D58" s="205" t="s">
        <v>617</v>
      </c>
      <c r="E58" s="92">
        <v>607</v>
      </c>
      <c r="F58" s="51" t="s">
        <v>651</v>
      </c>
      <c r="G58" s="204" t="s">
        <v>617</v>
      </c>
      <c r="H58" s="55">
        <v>0.01</v>
      </c>
      <c r="I58" s="56">
        <v>31.55</v>
      </c>
      <c r="J58" s="56">
        <v>1.17</v>
      </c>
      <c r="K58" s="56">
        <v>1.17</v>
      </c>
      <c r="L58" s="57">
        <v>0</v>
      </c>
      <c r="M58" s="58">
        <v>0</v>
      </c>
      <c r="N58" s="58">
        <v>0</v>
      </c>
      <c r="O58" s="58">
        <v>0</v>
      </c>
    </row>
  </sheetData>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hyperlinks>
  <pageMargins left="0.39370078740157483" right="0.35433070866141736" top="0.86614173228346458" bottom="0.55118110236220474" header="0.27559055118110237" footer="0.27559055118110237"/>
  <pageSetup paperSize="9" scale="65" fitToHeight="0" orientation="landscape" r:id="rId1"/>
  <headerFooter differentFirst="1" scaleWithDoc="0">
    <oddHeader>&amp;L
Annex 2 - Schedule of Charges for use of the Distribution System by Designated EHV Properties (including LDNOs with Designated EHV Properties/end-users).</oddHeader>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45" customWidth="1"/>
    <col min="2" max="2" width="8.7109375" style="45" customWidth="1"/>
    <col min="3" max="3" width="15.7109375" style="52" bestFit="1" customWidth="1"/>
    <col min="4" max="4" width="50.7109375" style="52" customWidth="1"/>
    <col min="5" max="5" width="14.7109375" style="53" customWidth="1"/>
    <col min="6" max="7" width="14.7109375" style="54" customWidth="1"/>
    <col min="8" max="8" width="14.7109375" style="45" customWidth="1"/>
    <col min="9" max="9" width="15.5703125" style="45" customWidth="1"/>
    <col min="10" max="13" width="9.140625" style="45"/>
    <col min="14" max="14" width="9.42578125" style="45" bestFit="1" customWidth="1"/>
    <col min="15" max="16384" width="9.140625" style="45"/>
  </cols>
  <sheetData>
    <row r="1" spans="1:14" ht="66.75" customHeight="1" x14ac:dyDescent="0.2">
      <c r="A1" s="245" t="s">
        <v>69</v>
      </c>
      <c r="B1" s="245"/>
      <c r="C1" s="245"/>
      <c r="D1" s="245"/>
      <c r="E1" s="245"/>
      <c r="F1" s="245"/>
      <c r="G1" s="245"/>
      <c r="H1" s="245"/>
    </row>
    <row r="2" spans="1:14" s="46" customFormat="1" ht="25.5" customHeight="1" x14ac:dyDescent="0.2">
      <c r="A2" s="250" t="str">
        <f>Overview!B4&amp; " - Effective from "&amp;Overview!D4&amp;" - "&amp;Overview!E4&amp;" EDCM import charges"</f>
        <v>London Power Networks - Effective from 1 April 2021 - Final EDCM import charges</v>
      </c>
      <c r="B2" s="251"/>
      <c r="C2" s="251"/>
      <c r="D2" s="251"/>
      <c r="E2" s="251"/>
      <c r="F2" s="251"/>
      <c r="G2" s="251"/>
      <c r="H2" s="252"/>
    </row>
    <row r="3" spans="1:14" s="81" customFormat="1" ht="18" x14ac:dyDescent="0.2">
      <c r="A3" s="85"/>
      <c r="B3" s="85"/>
      <c r="C3" s="85"/>
      <c r="D3" s="86"/>
      <c r="E3" s="87"/>
      <c r="F3" s="87"/>
      <c r="G3" s="88"/>
      <c r="H3" s="88"/>
      <c r="I3" s="78"/>
      <c r="J3" s="78"/>
      <c r="K3" s="78"/>
      <c r="L3" s="78"/>
      <c r="M3" s="78"/>
      <c r="N3" s="78"/>
    </row>
    <row r="4" spans="1:14" ht="60.75" customHeight="1" x14ac:dyDescent="0.2">
      <c r="A4" s="47" t="s">
        <v>52</v>
      </c>
      <c r="B4" s="48" t="s">
        <v>35</v>
      </c>
      <c r="C4" s="47" t="s">
        <v>36</v>
      </c>
      <c r="D4" s="49" t="s">
        <v>29</v>
      </c>
      <c r="E4" s="131" t="str">
        <f>'Annex 2 EHV charges'!H10</f>
        <v>Import
Super Red
unit charge
(p/kWh)</v>
      </c>
      <c r="F4" s="131" t="str">
        <f>'Annex 2 EHV charges'!I10</f>
        <v>Import
fixed charge
(p/day)</v>
      </c>
      <c r="G4" s="131" t="str">
        <f>'Annex 2 EHV charges'!J10</f>
        <v>Import
capacity charge
(p/kVA/day)</v>
      </c>
      <c r="H4" s="131" t="str">
        <f>'Annex 2 EHV charges'!K10</f>
        <v>Import
exceeded capacity charge
(p/kVA/day)</v>
      </c>
    </row>
    <row r="5" spans="1:14" ht="12.75" customHeight="1" x14ac:dyDescent="0.2">
      <c r="A5" s="93" t="str">
        <f t="array" ref="A5">IFERROR(INDEX('Annex 2 EHV charges'!$A$11:$A$58, MATCH(0, IF(ISBLANK('Annex 2 EHV charges'!$A$11:$A$58),1, COUNTIF(A$4:$A4, 'Annex 2 EHV charges'!$A$11:$A$58)), 0)),"")</f>
        <v>22BSHP</v>
      </c>
      <c r="B5" s="93">
        <f>IF($A5="","",VLOOKUP($A5,'Annex 2 EHV charges'!$A:$O,2,0))</f>
        <v>810</v>
      </c>
      <c r="C5" s="94" t="str">
        <f>IF($A5="","",VLOOKUP($A5,'Annex 2 EHV charges'!$A:$O,3,0))</f>
        <v>1200062355497
1200062355502</v>
      </c>
      <c r="D5" s="93" t="str">
        <f>IF($A5="","",VLOOKUP($A5,'Annex 2 EHV charges'!$A:$O,7,0))</f>
        <v>22BSHP</v>
      </c>
      <c r="E5" s="98">
        <f>IFERROR(IF(VLOOKUP($A5,'Annex 2 EHV charges'!$A:$O,8,FALSE)=0,"",VLOOKUP($A5,'Annex 2 EHV charges'!$A:$O,8,FALSE)),"")</f>
        <v>0.433</v>
      </c>
      <c r="F5" s="99">
        <f>IFERROR(IF(VLOOKUP($A5,'Annex 2 EHV charges'!$A:$O,9,FALSE)=0,"",VLOOKUP($A5,'Annex 2 EHV charges'!$A:$O,9,FALSE)),"")</f>
        <v>380.07</v>
      </c>
      <c r="G5" s="100">
        <f>IFERROR(IF(VLOOKUP($A5,'Annex 2 EHV charges'!$A:$O,10,FALSE)=0,"",VLOOKUP($A5,'Annex 2 EHV charges'!$A:$O,10,FALSE)),"")</f>
        <v>1.76</v>
      </c>
      <c r="H5" s="100">
        <f>IFERROR(IF(VLOOKUP($A5,'Annex 2 EHV charges'!$A:$O,11,FALSE)=0,"",VLOOKUP($A5,'Annex 2 EHV charges'!$A:$O,11,FALSE)),"")</f>
        <v>1.76</v>
      </c>
    </row>
    <row r="6" spans="1:14" ht="12.75" customHeight="1" x14ac:dyDescent="0.2">
      <c r="A6" s="93" t="str">
        <f t="array" ref="A6">IFERROR(INDEX('Annex 2 EHV charges'!$A$11:$A$58, MATCH(0, IF(ISBLANK('Annex 2 EHV charges'!$A$11:$A$58),1, COUNTIF(A$4:$A5, 'Annex 2 EHV charges'!$A$11:$A$58)), 0)),"")</f>
        <v>BISHPC</v>
      </c>
      <c r="B6" s="93">
        <f>IF($A6="","",VLOOKUP($A6,'Annex 2 EHV charges'!$A:$O,2,0))</f>
        <v>811</v>
      </c>
      <c r="C6" s="94" t="str">
        <f>IF($A6="","",VLOOKUP($A6,'Annex 2 EHV charges'!$A:$O,3,0))</f>
        <v>1200061143976
1200061143985</v>
      </c>
      <c r="D6" s="93" t="str">
        <f>IF($A6="","",VLOOKUP($A6,'Annex 2 EHV charges'!$A:$O,7,0))</f>
        <v>BISHPC</v>
      </c>
      <c r="E6" s="98">
        <f>IFERROR(IF(VLOOKUP($A6,'Annex 2 EHV charges'!$A:$O,8,FALSE)=0,"",VLOOKUP($A6,'Annex 2 EHV charges'!$A:$O,8,FALSE)),"")</f>
        <v>0.41599999999999998</v>
      </c>
      <c r="F6" s="99">
        <f>IFERROR(IF(VLOOKUP($A6,'Annex 2 EHV charges'!$A:$O,9,FALSE)=0,"",VLOOKUP($A6,'Annex 2 EHV charges'!$A:$O,9,FALSE)),"")</f>
        <v>380.07</v>
      </c>
      <c r="G6" s="100">
        <f>IFERROR(IF(VLOOKUP($A6,'Annex 2 EHV charges'!$A:$O,10,FALSE)=0,"",VLOOKUP($A6,'Annex 2 EHV charges'!$A:$O,10,FALSE)),"")</f>
        <v>1.84</v>
      </c>
      <c r="H6" s="100">
        <f>IFERROR(IF(VLOOKUP($A6,'Annex 2 EHV charges'!$A:$O,11,FALSE)=0,"",VLOOKUP($A6,'Annex 2 EHV charges'!$A:$O,11,FALSE)),"")</f>
        <v>1.84</v>
      </c>
    </row>
    <row r="7" spans="1:14" ht="12.75" customHeight="1" x14ac:dyDescent="0.2">
      <c r="A7" s="93" t="str">
        <f t="array" ref="A7">IFERROR(INDEX('Annex 2 EHV charges'!$A$11:$A$58, MATCH(0, IF(ISBLANK('Annex 2 EHV charges'!$A$11:$A$58),1, COUNTIF(A$4:$A6, 'Annex 2 EHV charges'!$A$11:$A$58)), 0)),"")</f>
        <v>BLMBGN</v>
      </c>
      <c r="B7" s="93">
        <f>IF($A7="","",VLOOKUP($A7,'Annex 2 EHV charges'!$A:$O,2,0))</f>
        <v>820</v>
      </c>
      <c r="C7" s="94" t="str">
        <f>IF($A7="","",VLOOKUP($A7,'Annex 2 EHV charges'!$A:$O,3,0))</f>
        <v>1200061385700
1200061385710</v>
      </c>
      <c r="D7" s="93" t="str">
        <f>IF($A7="","",VLOOKUP($A7,'Annex 2 EHV charges'!$A:$O,7,0))</f>
        <v>BLMBGN</v>
      </c>
      <c r="E7" s="98">
        <f>IFERROR(IF(VLOOKUP($A7,'Annex 2 EHV charges'!$A:$O,8,FALSE)=0,"",VLOOKUP($A7,'Annex 2 EHV charges'!$A:$O,8,FALSE)),"")</f>
        <v>0.39800000000000002</v>
      </c>
      <c r="F7" s="99">
        <f>IFERROR(IF(VLOOKUP($A7,'Annex 2 EHV charges'!$A:$O,9,FALSE)=0,"",VLOOKUP($A7,'Annex 2 EHV charges'!$A:$O,9,FALSE)),"")</f>
        <v>190.04</v>
      </c>
      <c r="G7" s="100">
        <f>IFERROR(IF(VLOOKUP($A7,'Annex 2 EHV charges'!$A:$O,10,FALSE)=0,"",VLOOKUP($A7,'Annex 2 EHV charges'!$A:$O,10,FALSE)),"")</f>
        <v>3.07</v>
      </c>
      <c r="H7" s="100">
        <f>IFERROR(IF(VLOOKUP($A7,'Annex 2 EHV charges'!$A:$O,11,FALSE)=0,"",VLOOKUP($A7,'Annex 2 EHV charges'!$A:$O,11,FALSE)),"")</f>
        <v>3.07</v>
      </c>
    </row>
    <row r="8" spans="1:14" ht="12.75" customHeight="1" x14ac:dyDescent="0.2">
      <c r="A8" s="93" t="str">
        <f t="array" ref="A8">IFERROR(INDEX('Annex 2 EHV charges'!$A$11:$A$58, MATCH(0, IF(ISBLANK('Annex 2 EHV charges'!$A$11:$A$58),1, COUNTIF(A$4:$A7, 'Annex 2 EHV charges'!$A$11:$A$58)), 0)),"")</f>
        <v>BLMBGS</v>
      </c>
      <c r="B8" s="93">
        <f>IF($A8="","",VLOOKUP($A8,'Annex 2 EHV charges'!$A:$O,2,0))</f>
        <v>821</v>
      </c>
      <c r="C8" s="94" t="str">
        <f>IF($A8="","",VLOOKUP($A8,'Annex 2 EHV charges'!$A:$O,3,0))</f>
        <v>1200061385729
1200061385738</v>
      </c>
      <c r="D8" s="93" t="str">
        <f>IF($A8="","",VLOOKUP($A8,'Annex 2 EHV charges'!$A:$O,7,0))</f>
        <v>BLMBGS</v>
      </c>
      <c r="E8" s="98">
        <f>IFERROR(IF(VLOOKUP($A8,'Annex 2 EHV charges'!$A:$O,8,FALSE)=0,"",VLOOKUP($A8,'Annex 2 EHV charges'!$A:$O,8,FALSE)),"")</f>
        <v>0.38300000000000001</v>
      </c>
      <c r="F8" s="99">
        <f>IFERROR(IF(VLOOKUP($A8,'Annex 2 EHV charges'!$A:$O,9,FALSE)=0,"",VLOOKUP($A8,'Annex 2 EHV charges'!$A:$O,9,FALSE)),"")</f>
        <v>190.04</v>
      </c>
      <c r="G8" s="100">
        <f>IFERROR(IF(VLOOKUP($A8,'Annex 2 EHV charges'!$A:$O,10,FALSE)=0,"",VLOOKUP($A8,'Annex 2 EHV charges'!$A:$O,10,FALSE)),"")</f>
        <v>2.31</v>
      </c>
      <c r="H8" s="100">
        <f>IFERROR(IF(VLOOKUP($A8,'Annex 2 EHV charges'!$A:$O,11,FALSE)=0,"",VLOOKUP($A8,'Annex 2 EHV charges'!$A:$O,11,FALSE)),"")</f>
        <v>2.31</v>
      </c>
    </row>
    <row r="9" spans="1:14" ht="12.75" customHeight="1" x14ac:dyDescent="0.2">
      <c r="A9" s="93" t="str">
        <f t="array" ref="A9">IFERROR(INDEX('Annex 2 EHV charges'!$A$11:$A$58, MATCH(0, IF(ISBLANK('Annex 2 EHV charges'!$A$11:$A$58),1, COUNTIF(A$4:$A8, 'Annex 2 EHV charges'!$A$11:$A$58)), 0)),"")</f>
        <v>BRDGTE</v>
      </c>
      <c r="B9" s="93">
        <f>IF($A9="","",VLOOKUP($A9,'Annex 2 EHV charges'!$A:$O,2,0))</f>
        <v>805</v>
      </c>
      <c r="C9" s="94" t="str">
        <f>IF($A9="","",VLOOKUP($A9,'Annex 2 EHV charges'!$A:$O,3,0))</f>
        <v>1200061148014
1200061148023</v>
      </c>
      <c r="D9" s="93" t="str">
        <f>IF($A9="","",VLOOKUP($A9,'Annex 2 EHV charges'!$A:$O,7,0))</f>
        <v>BRDGTE</v>
      </c>
      <c r="E9" s="98">
        <f>IFERROR(IF(VLOOKUP($A9,'Annex 2 EHV charges'!$A:$O,8,FALSE)=0,"",VLOOKUP($A9,'Annex 2 EHV charges'!$A:$O,8,FALSE)),"")</f>
        <v>0.39900000000000002</v>
      </c>
      <c r="F9" s="99">
        <f>IFERROR(IF(VLOOKUP($A9,'Annex 2 EHV charges'!$A:$O,9,FALSE)=0,"",VLOOKUP($A9,'Annex 2 EHV charges'!$A:$O,9,FALSE)),"")</f>
        <v>190.04</v>
      </c>
      <c r="G9" s="100">
        <f>IFERROR(IF(VLOOKUP($A9,'Annex 2 EHV charges'!$A:$O,10,FALSE)=0,"",VLOOKUP($A9,'Annex 2 EHV charges'!$A:$O,10,FALSE)),"")</f>
        <v>3.89</v>
      </c>
      <c r="H9" s="100">
        <f>IFERROR(IF(VLOOKUP($A9,'Annex 2 EHV charges'!$A:$O,11,FALSE)=0,"",VLOOKUP($A9,'Annex 2 EHV charges'!$A:$O,11,FALSE)),"")</f>
        <v>3.89</v>
      </c>
    </row>
    <row r="10" spans="1:14" ht="12.75" customHeight="1" x14ac:dyDescent="0.2">
      <c r="A10" s="93" t="str">
        <f t="array" ref="A10">IFERROR(INDEX('Annex 2 EHV charges'!$A$11:$A$58, MATCH(0, IF(ISBLANK('Annex 2 EHV charges'!$A$11:$A$58),1, COUNTIF(A$4:$A9, 'Annex 2 EHV charges'!$A$11:$A$58)), 0)),"")</f>
        <v>BRKFLD</v>
      </c>
      <c r="B10" s="93">
        <f>IF($A10="","",VLOOKUP($A10,'Annex 2 EHV charges'!$A:$O,2,0))</f>
        <v>829</v>
      </c>
      <c r="C10" s="94" t="str">
        <f>IF($A10="","",VLOOKUP($A10,'Annex 2 EHV charges'!$A:$O,3,0))</f>
        <v>1200061148060
1200061148079</v>
      </c>
      <c r="D10" s="93" t="str">
        <f>IF($A10="","",VLOOKUP($A10,'Annex 2 EHV charges'!$A:$O,7,0))</f>
        <v>BRKFLD</v>
      </c>
      <c r="E10" s="98">
        <f>IFERROR(IF(VLOOKUP($A10,'Annex 2 EHV charges'!$A:$O,8,FALSE)=0,"",VLOOKUP($A10,'Annex 2 EHV charges'!$A:$O,8,FALSE)),"")</f>
        <v>0.36399999999999999</v>
      </c>
      <c r="F10" s="99">
        <f>IFERROR(IF(VLOOKUP($A10,'Annex 2 EHV charges'!$A:$O,9,FALSE)=0,"",VLOOKUP($A10,'Annex 2 EHV charges'!$A:$O,9,FALSE)),"")</f>
        <v>380.07</v>
      </c>
      <c r="G10" s="100">
        <f>IFERROR(IF(VLOOKUP($A10,'Annex 2 EHV charges'!$A:$O,10,FALSE)=0,"",VLOOKUP($A10,'Annex 2 EHV charges'!$A:$O,10,FALSE)),"")</f>
        <v>2.74</v>
      </c>
      <c r="H10" s="100">
        <f>IFERROR(IF(VLOOKUP($A10,'Annex 2 EHV charges'!$A:$O,11,FALSE)=0,"",VLOOKUP($A10,'Annex 2 EHV charges'!$A:$O,11,FALSE)),"")</f>
        <v>2.74</v>
      </c>
    </row>
    <row r="11" spans="1:14" ht="12.75" customHeight="1" x14ac:dyDescent="0.2">
      <c r="A11" s="93" t="str">
        <f t="array" ref="A11">IFERROR(INDEX('Annex 2 EHV charges'!$A$11:$A$58, MATCH(0, IF(ISBLANK('Annex 2 EHV charges'!$A$11:$A$58),1, COUNTIF(A$4:$A10, 'Annex 2 EHV charges'!$A$11:$A$58)), 0)),"")</f>
        <v>BRMLEY</v>
      </c>
      <c r="B11" s="93">
        <f>IF($A11="","",VLOOKUP($A11,'Annex 2 EHV charges'!$A:$O,2,0))</f>
        <v>0</v>
      </c>
      <c r="C11" s="94" t="str">
        <f>IF($A11="","",VLOOKUP($A11,'Annex 2 EHV charges'!$A:$O,3,0))</f>
        <v>MSID: 1630</v>
      </c>
      <c r="D11" s="93" t="str">
        <f>IF($A11="","",VLOOKUP($A11,'Annex 2 EHV charges'!$A:$O,7,0))</f>
        <v>BRMLEY</v>
      </c>
      <c r="E11" s="98" t="str">
        <f>IFERROR(IF(VLOOKUP($A11,'Annex 2 EHV charges'!$A:$O,8,FALSE)=0,"",VLOOKUP($A11,'Annex 2 EHV charges'!$A:$O,8,FALSE)),"")</f>
        <v/>
      </c>
      <c r="F11" s="99" t="str">
        <f>IFERROR(IF(VLOOKUP($A11,'Annex 2 EHV charges'!$A:$O,9,FALSE)=0,"",VLOOKUP($A11,'Annex 2 EHV charges'!$A:$O,9,FALSE)),"")</f>
        <v/>
      </c>
      <c r="G11" s="100">
        <f>IFERROR(IF(VLOOKUP($A11,'Annex 2 EHV charges'!$A:$O,10,FALSE)=0,"",VLOOKUP($A11,'Annex 2 EHV charges'!$A:$O,10,FALSE)),"")</f>
        <v>2.95</v>
      </c>
      <c r="H11" s="100">
        <f>IFERROR(IF(VLOOKUP($A11,'Annex 2 EHV charges'!$A:$O,11,FALSE)=0,"",VLOOKUP($A11,'Annex 2 EHV charges'!$A:$O,11,FALSE)),"")</f>
        <v>2.95</v>
      </c>
    </row>
    <row r="12" spans="1:14" ht="12.75" customHeight="1" x14ac:dyDescent="0.2">
      <c r="A12" s="93" t="str">
        <f t="array" ref="A12">IFERROR(INDEX('Annex 2 EHV charges'!$A$11:$A$58, MATCH(0, IF(ISBLANK('Annex 2 EHV charges'!$A$11:$A$58),1, COUNTIF(A$4:$A11, 'Annex 2 EHV charges'!$A$11:$A$58)), 0)),"")</f>
        <v>CRLIMM</v>
      </c>
      <c r="B12" s="93">
        <f>IF($A12="","",VLOOKUP($A12,'Annex 2 EHV charges'!$A:$O,2,0))</f>
        <v>796</v>
      </c>
      <c r="C12" s="94" t="str">
        <f>IF($A12="","",VLOOKUP($A12,'Annex 2 EHV charges'!$A:$O,3,0))</f>
        <v>1200062090483
1200062090492</v>
      </c>
      <c r="D12" s="93" t="str">
        <f>IF($A12="","",VLOOKUP($A12,'Annex 2 EHV charges'!$A:$O,7,0))</f>
        <v>CRLIMM</v>
      </c>
      <c r="E12" s="98" t="str">
        <f>IFERROR(IF(VLOOKUP($A12,'Annex 2 EHV charges'!$A:$O,8,FALSE)=0,"",VLOOKUP($A12,'Annex 2 EHV charges'!$A:$O,8,FALSE)),"")</f>
        <v/>
      </c>
      <c r="F12" s="99">
        <f>IFERROR(IF(VLOOKUP($A12,'Annex 2 EHV charges'!$A:$O,9,FALSE)=0,"",VLOOKUP($A12,'Annex 2 EHV charges'!$A:$O,9,FALSE)),"")</f>
        <v>7207.67</v>
      </c>
      <c r="G12" s="100">
        <f>IFERROR(IF(VLOOKUP($A12,'Annex 2 EHV charges'!$A:$O,10,FALSE)=0,"",VLOOKUP($A12,'Annex 2 EHV charges'!$A:$O,10,FALSE)),"")</f>
        <v>2.38</v>
      </c>
      <c r="H12" s="100">
        <f>IFERROR(IF(VLOOKUP($A12,'Annex 2 EHV charges'!$A:$O,11,FALSE)=0,"",VLOOKUP($A12,'Annex 2 EHV charges'!$A:$O,11,FALSE)),"")</f>
        <v>2.38</v>
      </c>
    </row>
    <row r="13" spans="1:14" ht="12.75" customHeight="1" x14ac:dyDescent="0.2">
      <c r="A13" s="93" t="str">
        <f t="array" ref="A13">IFERROR(INDEX('Annex 2 EHV charges'!$A$11:$A$58, MATCH(0, IF(ISBLANK('Annex 2 EHV charges'!$A$11:$A$58),1, COUNTIF(A$4:$A12, 'Annex 2 EHV charges'!$A$11:$A$58)), 0)),"")</f>
        <v>DART11</v>
      </c>
      <c r="B13" s="93">
        <f>IF($A13="","",VLOOKUP($A13,'Annex 2 EHV charges'!$A:$O,2,0))</f>
        <v>0</v>
      </c>
      <c r="C13" s="94" t="str">
        <f>IF($A13="","",VLOOKUP($A13,'Annex 2 EHV charges'!$A:$O,3,0))</f>
        <v>MSID: 1032</v>
      </c>
      <c r="D13" s="93" t="str">
        <f>IF($A13="","",VLOOKUP($A13,'Annex 2 EHV charges'!$A:$O,7,0))</f>
        <v>DART11</v>
      </c>
      <c r="E13" s="98">
        <f>IFERROR(IF(VLOOKUP($A13,'Annex 2 EHV charges'!$A:$O,8,FALSE)=0,"",VLOOKUP($A13,'Annex 2 EHV charges'!$A:$O,8,FALSE)),"")</f>
        <v>0.21099999999999999</v>
      </c>
      <c r="F13" s="99" t="str">
        <f>IFERROR(IF(VLOOKUP($A13,'Annex 2 EHV charges'!$A:$O,9,FALSE)=0,"",VLOOKUP($A13,'Annex 2 EHV charges'!$A:$O,9,FALSE)),"")</f>
        <v/>
      </c>
      <c r="G13" s="100">
        <f>IFERROR(IF(VLOOKUP($A13,'Annex 2 EHV charges'!$A:$O,10,FALSE)=0,"",VLOOKUP($A13,'Annex 2 EHV charges'!$A:$O,10,FALSE)),"")</f>
        <v>5.79</v>
      </c>
      <c r="H13" s="100">
        <f>IFERROR(IF(VLOOKUP($A13,'Annex 2 EHV charges'!$A:$O,11,FALSE)=0,"",VLOOKUP($A13,'Annex 2 EHV charges'!$A:$O,11,FALSE)),"")</f>
        <v>5.79</v>
      </c>
    </row>
    <row r="14" spans="1:14" ht="12.75" customHeight="1" x14ac:dyDescent="0.2">
      <c r="A14" s="93" t="str">
        <f t="array" ref="A14">IFERROR(INDEX('Annex 2 EHV charges'!$A$11:$A$58, MATCH(0, IF(ISBLANK('Annex 2 EHV charges'!$A$11:$A$58),1, COUNTIF(A$4:$A13, 'Annex 2 EHV charges'!$A$11:$A$58)), 0)),"")</f>
        <v>DART33</v>
      </c>
      <c r="B14" s="93">
        <f>IF($A14="","",VLOOKUP($A14,'Annex 2 EHV charges'!$A:$O,2,0))</f>
        <v>0</v>
      </c>
      <c r="C14" s="94" t="str">
        <f>IF($A14="","",VLOOKUP($A14,'Annex 2 EHV charges'!$A:$O,3,0))</f>
        <v>MSID: 1032</v>
      </c>
      <c r="D14" s="93" t="str">
        <f>IF($A14="","",VLOOKUP($A14,'Annex 2 EHV charges'!$A:$O,7,0))</f>
        <v>DART33</v>
      </c>
      <c r="E14" s="98">
        <f>IFERROR(IF(VLOOKUP($A14,'Annex 2 EHV charges'!$A:$O,8,FALSE)=0,"",VLOOKUP($A14,'Annex 2 EHV charges'!$A:$O,8,FALSE)),"")</f>
        <v>0.38800000000000001</v>
      </c>
      <c r="F14" s="99" t="str">
        <f>IFERROR(IF(VLOOKUP($A14,'Annex 2 EHV charges'!$A:$O,9,FALSE)=0,"",VLOOKUP($A14,'Annex 2 EHV charges'!$A:$O,9,FALSE)),"")</f>
        <v/>
      </c>
      <c r="G14" s="100">
        <f>IFERROR(IF(VLOOKUP($A14,'Annex 2 EHV charges'!$A:$O,10,FALSE)=0,"",VLOOKUP($A14,'Annex 2 EHV charges'!$A:$O,10,FALSE)),"")</f>
        <v>3.53</v>
      </c>
      <c r="H14" s="100">
        <f>IFERROR(IF(VLOOKUP($A14,'Annex 2 EHV charges'!$A:$O,11,FALSE)=0,"",VLOOKUP($A14,'Annex 2 EHV charges'!$A:$O,11,FALSE)),"")</f>
        <v>3.53</v>
      </c>
    </row>
    <row r="15" spans="1:14" ht="12.75" customHeight="1" x14ac:dyDescent="0.2">
      <c r="A15" s="93" t="str">
        <f t="array" ref="A15">IFERROR(INDEX('Annex 2 EHV charges'!$A$11:$A$58, MATCH(0, IF(ISBLANK('Annex 2 EHV charges'!$A$11:$A$58),1, COUNTIF(A$4:$A14, 'Annex 2 EHV charges'!$A$11:$A$58)), 0)),"")</f>
        <v>EPNLEI</v>
      </c>
      <c r="B15" s="93">
        <f>IF($A15="","",VLOOKUP($A15,'Annex 2 EHV charges'!$A:$O,2,0))</f>
        <v>0</v>
      </c>
      <c r="C15" s="94" t="str">
        <f>IF($A15="","",VLOOKUP($A15,'Annex 2 EHV charges'!$A:$O,3,0))</f>
        <v>MSID: 1628</v>
      </c>
      <c r="D15" s="93" t="str">
        <f>IF($A15="","",VLOOKUP($A15,'Annex 2 EHV charges'!$A:$O,7,0))</f>
        <v>EPNLEI</v>
      </c>
      <c r="E15" s="98">
        <f>IFERROR(IF(VLOOKUP($A15,'Annex 2 EHV charges'!$A:$O,8,FALSE)=0,"",VLOOKUP($A15,'Annex 2 EHV charges'!$A:$O,8,FALSE)),"")</f>
        <v>0.01</v>
      </c>
      <c r="F15" s="99" t="str">
        <f>IFERROR(IF(VLOOKUP($A15,'Annex 2 EHV charges'!$A:$O,9,FALSE)=0,"",VLOOKUP($A15,'Annex 2 EHV charges'!$A:$O,9,FALSE)),"")</f>
        <v/>
      </c>
      <c r="G15" s="100">
        <f>IFERROR(IF(VLOOKUP($A15,'Annex 2 EHV charges'!$A:$O,10,FALSE)=0,"",VLOOKUP($A15,'Annex 2 EHV charges'!$A:$O,10,FALSE)),"")</f>
        <v>4.8499999999999996</v>
      </c>
      <c r="H15" s="100">
        <f>IFERROR(IF(VLOOKUP($A15,'Annex 2 EHV charges'!$A:$O,11,FALSE)=0,"",VLOOKUP($A15,'Annex 2 EHV charges'!$A:$O,11,FALSE)),"")</f>
        <v>4.8499999999999996</v>
      </c>
    </row>
    <row r="16" spans="1:14" ht="12.75" customHeight="1" x14ac:dyDescent="0.2">
      <c r="A16" s="93" t="str">
        <f t="array" ref="A16">IFERROR(INDEX('Annex 2 EHV charges'!$A$11:$A$58, MATCH(0, IF(ISBLANK('Annex 2 EHV charges'!$A$11:$A$58),1, COUNTIF(A$4:$A15, 'Annex 2 EHV charges'!$A$11:$A$58)), 0)),"")</f>
        <v>FENAVE</v>
      </c>
      <c r="B16" s="93">
        <f>IF($A16="","",VLOOKUP($A16,'Annex 2 EHV charges'!$A:$O,2,0))</f>
        <v>796</v>
      </c>
      <c r="C16" s="94" t="str">
        <f>IF($A16="","",VLOOKUP($A16,'Annex 2 EHV charges'!$A:$O,3,0))</f>
        <v>1200062132159
1200062132168</v>
      </c>
      <c r="D16" s="93" t="str">
        <f>IF($A16="","",VLOOKUP($A16,'Annex 2 EHV charges'!$A:$O,7,0))</f>
        <v>FENAVE</v>
      </c>
      <c r="E16" s="98">
        <f>IFERROR(IF(VLOOKUP($A16,'Annex 2 EHV charges'!$A:$O,8,FALSE)=0,"",VLOOKUP($A16,'Annex 2 EHV charges'!$A:$O,8,FALSE)),"")</f>
        <v>0.433</v>
      </c>
      <c r="F16" s="99">
        <f>IFERROR(IF(VLOOKUP($A16,'Annex 2 EHV charges'!$A:$O,9,FALSE)=0,"",VLOOKUP($A16,'Annex 2 EHV charges'!$A:$O,9,FALSE)),"")</f>
        <v>380.07</v>
      </c>
      <c r="G16" s="100">
        <f>IFERROR(IF(VLOOKUP($A16,'Annex 2 EHV charges'!$A:$O,10,FALSE)=0,"",VLOOKUP($A16,'Annex 2 EHV charges'!$A:$O,10,FALSE)),"")</f>
        <v>2.41</v>
      </c>
      <c r="H16" s="100">
        <f>IFERROR(IF(VLOOKUP($A16,'Annex 2 EHV charges'!$A:$O,11,FALSE)=0,"",VLOOKUP($A16,'Annex 2 EHV charges'!$A:$O,11,FALSE)),"")</f>
        <v>2.41</v>
      </c>
    </row>
    <row r="17" spans="1:8" ht="12.75" customHeight="1" x14ac:dyDescent="0.2">
      <c r="A17" s="93" t="str">
        <f t="array" ref="A17">IFERROR(INDEX('Annex 2 EHV charges'!$A$11:$A$58, MATCH(0, IF(ISBLANK('Annex 2 EHV charges'!$A$11:$A$58),1, COUNTIF(A$4:$A16, 'Annex 2 EHV charges'!$A$11:$A$58)), 0)),"")</f>
        <v>FENCHS</v>
      </c>
      <c r="B17" s="93">
        <f>IF($A17="","",VLOOKUP($A17,'Annex 2 EHV charges'!$A:$O,2,0))</f>
        <v>800</v>
      </c>
      <c r="C17" s="94" t="str">
        <f>IF($A17="","",VLOOKUP($A17,'Annex 2 EHV charges'!$A:$O,3,0))</f>
        <v>1200061144029
1200061144038</v>
      </c>
      <c r="D17" s="93" t="str">
        <f>IF($A17="","",VLOOKUP($A17,'Annex 2 EHV charges'!$A:$O,7,0))</f>
        <v>FENCHS</v>
      </c>
      <c r="E17" s="98">
        <f>IFERROR(IF(VLOOKUP($A17,'Annex 2 EHV charges'!$A:$O,8,FALSE)=0,"",VLOOKUP($A17,'Annex 2 EHV charges'!$A:$O,8,FALSE)),"")</f>
        <v>0.371</v>
      </c>
      <c r="F17" s="99">
        <f>IFERROR(IF(VLOOKUP($A17,'Annex 2 EHV charges'!$A:$O,9,FALSE)=0,"",VLOOKUP($A17,'Annex 2 EHV charges'!$A:$O,9,FALSE)),"")</f>
        <v>495.34</v>
      </c>
      <c r="G17" s="100">
        <f>IFERROR(IF(VLOOKUP($A17,'Annex 2 EHV charges'!$A:$O,10,FALSE)=0,"",VLOOKUP($A17,'Annex 2 EHV charges'!$A:$O,10,FALSE)),"")</f>
        <v>3.86</v>
      </c>
      <c r="H17" s="100">
        <f>IFERROR(IF(VLOOKUP($A17,'Annex 2 EHV charges'!$A:$O,11,FALSE)=0,"",VLOOKUP($A17,'Annex 2 EHV charges'!$A:$O,11,FALSE)),"")</f>
        <v>3.86</v>
      </c>
    </row>
    <row r="18" spans="1:8" ht="12.75" customHeight="1" x14ac:dyDescent="0.2">
      <c r="A18" s="93" t="str">
        <f t="array" ref="A18">IFERROR(INDEX('Annex 2 EHV charges'!$A$11:$A$58, MATCH(0, IF(ISBLANK('Annex 2 EHV charges'!$A$11:$A$58),1, COUNTIF(A$4:$A17, 'Annex 2 EHV charges'!$A$11:$A$58)), 0)),"")</f>
        <v>GBLSWI</v>
      </c>
      <c r="B18" s="93">
        <f>IF($A18="","",VLOOKUP($A18,'Annex 2 EHV charges'!$A:$O,2,0))</f>
        <v>843</v>
      </c>
      <c r="C18" s="94" t="str">
        <f>IF($A18="","",VLOOKUP($A18,'Annex 2 EHV charges'!$A:$O,3,0))</f>
        <v>1200050913681
1200050913690
1200050913706
1200050913715</v>
      </c>
      <c r="D18" s="93" t="str">
        <f>IF($A18="","",VLOOKUP($A18,'Annex 2 EHV charges'!$A:$O,7,0))</f>
        <v>GBLSWI</v>
      </c>
      <c r="E18" s="98" t="str">
        <f>IFERROR(IF(VLOOKUP($A18,'Annex 2 EHV charges'!$A:$O,8,FALSE)=0,"",VLOOKUP($A18,'Annex 2 EHV charges'!$A:$O,8,FALSE)),"")</f>
        <v/>
      </c>
      <c r="F18" s="99">
        <f>IFERROR(IF(VLOOKUP($A18,'Annex 2 EHV charges'!$A:$O,9,FALSE)=0,"",VLOOKUP($A18,'Annex 2 EHV charges'!$A:$O,9,FALSE)),"")</f>
        <v>7315.91</v>
      </c>
      <c r="G18" s="100">
        <f>IFERROR(IF(VLOOKUP($A18,'Annex 2 EHV charges'!$A:$O,10,FALSE)=0,"",VLOOKUP($A18,'Annex 2 EHV charges'!$A:$O,10,FALSE)),"")</f>
        <v>4.5999999999999996</v>
      </c>
      <c r="H18" s="100">
        <f>IFERROR(IF(VLOOKUP($A18,'Annex 2 EHV charges'!$A:$O,11,FALSE)=0,"",VLOOKUP($A18,'Annex 2 EHV charges'!$A:$O,11,FALSE)),"")</f>
        <v>4.5999999999999996</v>
      </c>
    </row>
    <row r="19" spans="1:8" ht="12.75" customHeight="1" x14ac:dyDescent="0.2">
      <c r="A19" s="93" t="str">
        <f t="array" ref="A19">IFERROR(INDEX('Annex 2 EHV charges'!$A$11:$A$58, MATCH(0, IF(ISBLANK('Annex 2 EHV charges'!$A$11:$A$58),1, COUNTIF(A$4:$A18, 'Annex 2 EHV charges'!$A$11:$A$58)), 0)),"")</f>
        <v>KNGLPN</v>
      </c>
      <c r="B19" s="93">
        <f>IF($A19="","",VLOOKUP($A19,'Annex 2 EHV charges'!$A:$O,2,0))</f>
        <v>0</v>
      </c>
      <c r="C19" s="94" t="str">
        <f>IF($A19="","",VLOOKUP($A19,'Annex 2 EHV charges'!$A:$O,3,0))</f>
        <v>MSID: 1027</v>
      </c>
      <c r="D19" s="93" t="str">
        <f>IF($A19="","",VLOOKUP($A19,'Annex 2 EHV charges'!$A:$O,7,0))</f>
        <v>KNGLPN</v>
      </c>
      <c r="E19" s="98" t="str">
        <f>IFERROR(IF(VLOOKUP($A19,'Annex 2 EHV charges'!$A:$O,8,FALSE)=0,"",VLOOKUP($A19,'Annex 2 EHV charges'!$A:$O,8,FALSE)),"")</f>
        <v/>
      </c>
      <c r="F19" s="99" t="str">
        <f>IFERROR(IF(VLOOKUP($A19,'Annex 2 EHV charges'!$A:$O,9,FALSE)=0,"",VLOOKUP($A19,'Annex 2 EHV charges'!$A:$O,9,FALSE)),"")</f>
        <v/>
      </c>
      <c r="G19" s="100">
        <f>IFERROR(IF(VLOOKUP($A19,'Annex 2 EHV charges'!$A:$O,10,FALSE)=0,"",VLOOKUP($A19,'Annex 2 EHV charges'!$A:$O,10,FALSE)),"")</f>
        <v>1.25</v>
      </c>
      <c r="H19" s="100">
        <f>IFERROR(IF(VLOOKUP($A19,'Annex 2 EHV charges'!$A:$O,11,FALSE)=0,"",VLOOKUP($A19,'Annex 2 EHV charges'!$A:$O,11,FALSE)),"")</f>
        <v>1.25</v>
      </c>
    </row>
    <row r="20" spans="1:8" ht="12.75" customHeight="1" x14ac:dyDescent="0.2">
      <c r="A20" s="93" t="str">
        <f t="array" ref="A20">IFERROR(INDEX('Annex 2 EHV charges'!$A$11:$A$58, MATCH(0, IF(ISBLANK('Annex 2 EHV charges'!$A$11:$A$58),1, COUNTIF(A$4:$A19, 'Annex 2 EHV charges'!$A$11:$A$58)), 0)),"")</f>
        <v>LEDNHS</v>
      </c>
      <c r="B20" s="93">
        <f>IF($A20="","",VLOOKUP($A20,'Annex 2 EHV charges'!$A:$O,2,0))</f>
        <v>808</v>
      </c>
      <c r="C20" s="94" t="str">
        <f>IF($A20="","",VLOOKUP($A20,'Annex 2 EHV charges'!$A:$O,3,0))</f>
        <v>1200061144065
1200061144074</v>
      </c>
      <c r="D20" s="93" t="str">
        <f>IF($A20="","",VLOOKUP($A20,'Annex 2 EHV charges'!$A:$O,7,0))</f>
        <v>LEDNHS</v>
      </c>
      <c r="E20" s="98">
        <f>IFERROR(IF(VLOOKUP($A20,'Annex 2 EHV charges'!$A:$O,8,FALSE)=0,"",VLOOKUP($A20,'Annex 2 EHV charges'!$A:$O,8,FALSE)),"")</f>
        <v>0.41899999999999998</v>
      </c>
      <c r="F20" s="99">
        <f>IFERROR(IF(VLOOKUP($A20,'Annex 2 EHV charges'!$A:$O,9,FALSE)=0,"",VLOOKUP($A20,'Annex 2 EHV charges'!$A:$O,9,FALSE)),"")</f>
        <v>426.18</v>
      </c>
      <c r="G20" s="100">
        <f>IFERROR(IF(VLOOKUP($A20,'Annex 2 EHV charges'!$A:$O,10,FALSE)=0,"",VLOOKUP($A20,'Annex 2 EHV charges'!$A:$O,10,FALSE)),"")</f>
        <v>3.39</v>
      </c>
      <c r="H20" s="100">
        <f>IFERROR(IF(VLOOKUP($A20,'Annex 2 EHV charges'!$A:$O,11,FALSE)=0,"",VLOOKUP($A20,'Annex 2 EHV charges'!$A:$O,11,FALSE)),"")</f>
        <v>3.39</v>
      </c>
    </row>
    <row r="21" spans="1:8" ht="12.75" customHeight="1" x14ac:dyDescent="0.2">
      <c r="A21" s="93" t="str">
        <f t="array" ref="A21">IFERROR(INDEX('Annex 2 EHV charges'!$A$11:$A$58, MATCH(0, IF(ISBLANK('Annex 2 EHV charges'!$A$11:$A$58),1, COUNTIF(A$4:$A20, 'Annex 2 EHV charges'!$A$11:$A$58)), 0)),"")</f>
        <v>LIMEST</v>
      </c>
      <c r="B21" s="93">
        <f>IF($A21="","",VLOOKUP($A21,'Annex 2 EHV charges'!$A:$O,2,0))</f>
        <v>814</v>
      </c>
      <c r="C21" s="94" t="str">
        <f>IF($A21="","",VLOOKUP($A21,'Annex 2 EHV charges'!$A:$O,3,0))</f>
        <v>1200062132006
1200062132015</v>
      </c>
      <c r="D21" s="93" t="str">
        <f>IF($A21="","",VLOOKUP($A21,'Annex 2 EHV charges'!$A:$O,7,0))</f>
        <v>LIMEST</v>
      </c>
      <c r="E21" s="98">
        <f>IFERROR(IF(VLOOKUP($A21,'Annex 2 EHV charges'!$A:$O,8,FALSE)=0,"",VLOOKUP($A21,'Annex 2 EHV charges'!$A:$O,8,FALSE)),"")</f>
        <v>0.42499999999999999</v>
      </c>
      <c r="F21" s="99">
        <f>IFERROR(IF(VLOOKUP($A21,'Annex 2 EHV charges'!$A:$O,9,FALSE)=0,"",VLOOKUP($A21,'Annex 2 EHV charges'!$A:$O,9,FALSE)),"")</f>
        <v>380.07</v>
      </c>
      <c r="G21" s="100">
        <f>IFERROR(IF(VLOOKUP($A21,'Annex 2 EHV charges'!$A:$O,10,FALSE)=0,"",VLOOKUP($A21,'Annex 2 EHV charges'!$A:$O,10,FALSE)),"")</f>
        <v>2.5299999999999998</v>
      </c>
      <c r="H21" s="100">
        <f>IFERROR(IF(VLOOKUP($A21,'Annex 2 EHV charges'!$A:$O,11,FALSE)=0,"",VLOOKUP($A21,'Annex 2 EHV charges'!$A:$O,11,FALSE)),"")</f>
        <v>2.5299999999999998</v>
      </c>
    </row>
    <row r="22" spans="1:8" ht="12.75" customHeight="1" x14ac:dyDescent="0.2">
      <c r="A22" s="93" t="str">
        <f t="array" ref="A22">IFERROR(INDEX('Annex 2 EHV charges'!$A$11:$A$58, MATCH(0, IF(ISBLANK('Annex 2 EHV charges'!$A$11:$A$58),1, COUNTIF(A$4:$A21, 'Annex 2 EHV charges'!$A$11:$A$58)), 0)),"")</f>
        <v>LNWALL</v>
      </c>
      <c r="B22" s="93">
        <f>IF($A22="","",VLOOKUP($A22,'Annex 2 EHV charges'!$A:$O,2,0))</f>
        <v>816</v>
      </c>
      <c r="C22" s="94" t="str">
        <f>IF($A22="","",VLOOKUP($A22,'Annex 2 EHV charges'!$A:$O,3,0))</f>
        <v>1200061953070
1200061953089
1200061148194
1200061148200</v>
      </c>
      <c r="D22" s="93" t="str">
        <f>IF($A22="","",VLOOKUP($A22,'Annex 2 EHV charges'!$A:$O,7,0))</f>
        <v>LNWALL</v>
      </c>
      <c r="E22" s="98">
        <f>IFERROR(IF(VLOOKUP($A22,'Annex 2 EHV charges'!$A:$O,8,FALSE)=0,"",VLOOKUP($A22,'Annex 2 EHV charges'!$A:$O,8,FALSE)),"")</f>
        <v>0.36399999999999999</v>
      </c>
      <c r="F22" s="99">
        <f>IFERROR(IF(VLOOKUP($A22,'Annex 2 EHV charges'!$A:$O,9,FALSE)=0,"",VLOOKUP($A22,'Annex 2 EHV charges'!$A:$O,9,FALSE)),"")</f>
        <v>1097.8699999999999</v>
      </c>
      <c r="G22" s="100">
        <f>IFERROR(IF(VLOOKUP($A22,'Annex 2 EHV charges'!$A:$O,10,FALSE)=0,"",VLOOKUP($A22,'Annex 2 EHV charges'!$A:$O,10,FALSE)),"")</f>
        <v>2.89</v>
      </c>
      <c r="H22" s="100">
        <f>IFERROR(IF(VLOOKUP($A22,'Annex 2 EHV charges'!$A:$O,11,FALSE)=0,"",VLOOKUP($A22,'Annex 2 EHV charges'!$A:$O,11,FALSE)),"")</f>
        <v>2.89</v>
      </c>
    </row>
    <row r="23" spans="1:8" ht="12.75" customHeight="1" x14ac:dyDescent="0.2">
      <c r="A23" s="93" t="str">
        <f t="array" ref="A23">IFERROR(INDEX('Annex 2 EHV charges'!$A$11:$A$58, MATCH(0, IF(ISBLANK('Annex 2 EHV charges'!$A$11:$A$58),1, COUNTIF(A$4:$A22, 'Annex 2 EHV charges'!$A$11:$A$58)), 0)),"")</f>
        <v>LU_ACT</v>
      </c>
      <c r="B23" s="93">
        <f>IF($A23="","",VLOOKUP($A23,'Annex 2 EHV charges'!$A:$O,2,0))</f>
        <v>0</v>
      </c>
      <c r="C23" s="94" t="str">
        <f>IF($A23="","",VLOOKUP($A23,'Annex 2 EHV charges'!$A:$O,3,0))</f>
        <v>MSID: 1631</v>
      </c>
      <c r="D23" s="93" t="str">
        <f>IF($A23="","",VLOOKUP($A23,'Annex 2 EHV charges'!$A:$O,7,0))</f>
        <v>LU_ACT</v>
      </c>
      <c r="E23" s="98" t="str">
        <f>IFERROR(IF(VLOOKUP($A23,'Annex 2 EHV charges'!$A:$O,8,FALSE)=0,"",VLOOKUP($A23,'Annex 2 EHV charges'!$A:$O,8,FALSE)),"")</f>
        <v/>
      </c>
      <c r="F23" s="99">
        <f>IFERROR(IF(VLOOKUP($A23,'Annex 2 EHV charges'!$A:$O,9,FALSE)=0,"",VLOOKUP($A23,'Annex 2 EHV charges'!$A:$O,9,FALSE)),"")</f>
        <v>198.73</v>
      </c>
      <c r="G23" s="100">
        <f>IFERROR(IF(VLOOKUP($A23,'Annex 2 EHV charges'!$A:$O,10,FALSE)=0,"",VLOOKUP($A23,'Annex 2 EHV charges'!$A:$O,10,FALSE)),"")</f>
        <v>2.44</v>
      </c>
      <c r="H23" s="100">
        <f>IFERROR(IF(VLOOKUP($A23,'Annex 2 EHV charges'!$A:$O,11,FALSE)=0,"",VLOOKUP($A23,'Annex 2 EHV charges'!$A:$O,11,FALSE)),"")</f>
        <v>2.44</v>
      </c>
    </row>
    <row r="24" spans="1:8" ht="12.75" customHeight="1" x14ac:dyDescent="0.2">
      <c r="A24" s="93" t="str">
        <f t="array" ref="A24">IFERROR(INDEX('Annex 2 EHV charges'!$A$11:$A$58, MATCH(0, IF(ISBLANK('Annex 2 EHV charges'!$A$11:$A$58),1, COUNTIF(A$4:$A23, 'Annex 2 EHV charges'!$A$11:$A$58)), 0)),"")</f>
        <v>LU_CAN</v>
      </c>
      <c r="B24" s="93">
        <f>IF($A24="","",VLOOKUP($A24,'Annex 2 EHV charges'!$A:$O,2,0))</f>
        <v>818</v>
      </c>
      <c r="C24" s="94" t="str">
        <f>IF($A24="","",VLOOKUP($A24,'Annex 2 EHV charges'!$A:$O,3,0))</f>
        <v>1200060323207
1200060323216</v>
      </c>
      <c r="D24" s="93" t="str">
        <f>IF($A24="","",VLOOKUP($A24,'Annex 2 EHV charges'!$A:$O,7,0))</f>
        <v>LU_CAN</v>
      </c>
      <c r="E24" s="98" t="str">
        <f>IFERROR(IF(VLOOKUP($A24,'Annex 2 EHV charges'!$A:$O,8,FALSE)=0,"",VLOOKUP($A24,'Annex 2 EHV charges'!$A:$O,8,FALSE)),"")</f>
        <v/>
      </c>
      <c r="F24" s="99">
        <f>IFERROR(IF(VLOOKUP($A24,'Annex 2 EHV charges'!$A:$O,9,FALSE)=0,"",VLOOKUP($A24,'Annex 2 EHV charges'!$A:$O,9,FALSE)),"")</f>
        <v>6413.3</v>
      </c>
      <c r="G24" s="100">
        <f>IFERROR(IF(VLOOKUP($A24,'Annex 2 EHV charges'!$A:$O,10,FALSE)=0,"",VLOOKUP($A24,'Annex 2 EHV charges'!$A:$O,10,FALSE)),"")</f>
        <v>1.2</v>
      </c>
      <c r="H24" s="100">
        <f>IFERROR(IF(VLOOKUP($A24,'Annex 2 EHV charges'!$A:$O,11,FALSE)=0,"",VLOOKUP($A24,'Annex 2 EHV charges'!$A:$O,11,FALSE)),"")</f>
        <v>1.2</v>
      </c>
    </row>
    <row r="25" spans="1:8" ht="12.75" customHeight="1" x14ac:dyDescent="0.2">
      <c r="A25" s="93" t="str">
        <f t="array" ref="A25">IFERROR(INDEX('Annex 2 EHV charges'!$A$11:$A$58, MATCH(0, IF(ISBLANK('Annex 2 EHV charges'!$A$11:$A$58),1, COUNTIF(A$4:$A24, 'Annex 2 EHV charges'!$A$11:$A$58)), 0)),"")</f>
        <v>LU_CHA</v>
      </c>
      <c r="B25" s="93">
        <f>IF($A25="","",VLOOKUP($A25,'Annex 2 EHV charges'!$A:$O,2,0))</f>
        <v>801</v>
      </c>
      <c r="C25" s="94" t="str">
        <f>IF($A25="","",VLOOKUP($A25,'Annex 2 EHV charges'!$A:$O,3,0))</f>
        <v>1200061231921
1200061231930
1200061231940
1200061231959</v>
      </c>
      <c r="D25" s="93" t="str">
        <f>IF($A25="","",VLOOKUP($A25,'Annex 2 EHV charges'!$A:$O,7,0))</f>
        <v>LU_CHA</v>
      </c>
      <c r="E25" s="98" t="str">
        <f>IFERROR(IF(VLOOKUP($A25,'Annex 2 EHV charges'!$A:$O,8,FALSE)=0,"",VLOOKUP($A25,'Annex 2 EHV charges'!$A:$O,8,FALSE)),"")</f>
        <v/>
      </c>
      <c r="F25" s="99">
        <f>IFERROR(IF(VLOOKUP($A25,'Annex 2 EHV charges'!$A:$O,9,FALSE)=0,"",VLOOKUP($A25,'Annex 2 EHV charges'!$A:$O,9,FALSE)),"")</f>
        <v>7011.55</v>
      </c>
      <c r="G25" s="100">
        <f>IFERROR(IF(VLOOKUP($A25,'Annex 2 EHV charges'!$A:$O,10,FALSE)=0,"",VLOOKUP($A25,'Annex 2 EHV charges'!$A:$O,10,FALSE)),"")</f>
        <v>1.56</v>
      </c>
      <c r="H25" s="100">
        <f>IFERROR(IF(VLOOKUP($A25,'Annex 2 EHV charges'!$A:$O,11,FALSE)=0,"",VLOOKUP($A25,'Annex 2 EHV charges'!$A:$O,11,FALSE)),"")</f>
        <v>1.56</v>
      </c>
    </row>
    <row r="26" spans="1:8" ht="12.75" customHeight="1" x14ac:dyDescent="0.2">
      <c r="A26" s="93" t="str">
        <f t="array" ref="A26">IFERROR(INDEX('Annex 2 EHV charges'!$A$11:$A$58, MATCH(0, IF(ISBLANK('Annex 2 EHV charges'!$A$11:$A$58),1, COUNTIF(A$4:$A25, 'Annex 2 EHV charges'!$A$11:$A$58)), 0)),"")</f>
        <v>LU_HOX</v>
      </c>
      <c r="B26" s="93">
        <f>IF($A26="","",VLOOKUP($A26,'Annex 2 EHV charges'!$A:$O,2,0))</f>
        <v>804</v>
      </c>
      <c r="C26" s="94">
        <f>IF($A26="","",VLOOKUP($A26,'Annex 2 EHV charges'!$A:$O,3,0))</f>
        <v>1200060323191</v>
      </c>
      <c r="D26" s="93" t="str">
        <f>IF($A26="","",VLOOKUP($A26,'Annex 2 EHV charges'!$A:$O,7,0))</f>
        <v>LU_HOX</v>
      </c>
      <c r="E26" s="98" t="str">
        <f>IFERROR(IF(VLOOKUP($A26,'Annex 2 EHV charges'!$A:$O,8,FALSE)=0,"",VLOOKUP($A26,'Annex 2 EHV charges'!$A:$O,8,FALSE)),"")</f>
        <v/>
      </c>
      <c r="F26" s="99">
        <f>IFERROR(IF(VLOOKUP($A26,'Annex 2 EHV charges'!$A:$O,9,FALSE)=0,"",VLOOKUP($A26,'Annex 2 EHV charges'!$A:$O,9,FALSE)),"")</f>
        <v>6322.23</v>
      </c>
      <c r="G26" s="100">
        <f>IFERROR(IF(VLOOKUP($A26,'Annex 2 EHV charges'!$A:$O,10,FALSE)=0,"",VLOOKUP($A26,'Annex 2 EHV charges'!$A:$O,10,FALSE)),"")</f>
        <v>0.49</v>
      </c>
      <c r="H26" s="100">
        <f>IFERROR(IF(VLOOKUP($A26,'Annex 2 EHV charges'!$A:$O,11,FALSE)=0,"",VLOOKUP($A26,'Annex 2 EHV charges'!$A:$O,11,FALSE)),"")</f>
        <v>0.49</v>
      </c>
    </row>
    <row r="27" spans="1:8" ht="12.75" customHeight="1" x14ac:dyDescent="0.2">
      <c r="A27" s="93" t="str">
        <f t="array" ref="A27">IFERROR(INDEX('Annex 2 EHV charges'!$A$11:$A$58, MATCH(0, IF(ISBLANK('Annex 2 EHV charges'!$A$11:$A$58),1, COUNTIF(A$4:$A26, 'Annex 2 EHV charges'!$A$11:$A$58)), 0)),"")</f>
        <v>LU_LOT</v>
      </c>
      <c r="B27" s="93">
        <f>IF($A27="","",VLOOKUP($A27,'Annex 2 EHV charges'!$A:$O,2,0))</f>
        <v>838</v>
      </c>
      <c r="C27" s="94" t="str">
        <f>IF($A27="","",VLOOKUP($A27,'Annex 2 EHV charges'!$A:$O,3,0))</f>
        <v>1200050376902
1200050376911</v>
      </c>
      <c r="D27" s="93" t="str">
        <f>IF($A27="","",VLOOKUP($A27,'Annex 2 EHV charges'!$A:$O,7,0))</f>
        <v>LU_LOT</v>
      </c>
      <c r="E27" s="98" t="str">
        <f>IFERROR(IF(VLOOKUP($A27,'Annex 2 EHV charges'!$A:$O,8,FALSE)=0,"",VLOOKUP($A27,'Annex 2 EHV charges'!$A:$O,8,FALSE)),"")</f>
        <v/>
      </c>
      <c r="F27" s="99">
        <f>IFERROR(IF(VLOOKUP($A27,'Annex 2 EHV charges'!$A:$O,9,FALSE)=0,"",VLOOKUP($A27,'Annex 2 EHV charges'!$A:$O,9,FALSE)),"")</f>
        <v>31434.21</v>
      </c>
      <c r="G27" s="100">
        <f>IFERROR(IF(VLOOKUP($A27,'Annex 2 EHV charges'!$A:$O,10,FALSE)=0,"",VLOOKUP($A27,'Annex 2 EHV charges'!$A:$O,10,FALSE)),"")</f>
        <v>1.8</v>
      </c>
      <c r="H27" s="100">
        <f>IFERROR(IF(VLOOKUP($A27,'Annex 2 EHV charges'!$A:$O,11,FALSE)=0,"",VLOOKUP($A27,'Annex 2 EHV charges'!$A:$O,11,FALSE)),"")</f>
        <v>1.8</v>
      </c>
    </row>
    <row r="28" spans="1:8" ht="12.75" customHeight="1" x14ac:dyDescent="0.2">
      <c r="A28" s="93" t="str">
        <f t="array" ref="A28">IFERROR(INDEX('Annex 2 EHV charges'!$A$11:$A$58, MATCH(0, IF(ISBLANK('Annex 2 EHV charges'!$A$11:$A$58),1, COUNTIF(A$4:$A27, 'Annex 2 EHV charges'!$A$11:$A$58)), 0)),"")</f>
        <v>LU_MAN</v>
      </c>
      <c r="B28" s="93">
        <f>IF($A28="","",VLOOKUP($A28,'Annex 2 EHV charges'!$A:$O,2,0))</f>
        <v>837</v>
      </c>
      <c r="C28" s="94">
        <f>IF($A28="","",VLOOKUP($A28,'Annex 2 EHV charges'!$A:$O,3,0))</f>
        <v>1200010200926</v>
      </c>
      <c r="D28" s="93" t="str">
        <f>IF($A28="","",VLOOKUP($A28,'Annex 2 EHV charges'!$A:$O,7,0))</f>
        <v>LU_MAN</v>
      </c>
      <c r="E28" s="98">
        <f>IFERROR(IF(VLOOKUP($A28,'Annex 2 EHV charges'!$A:$O,8,FALSE)=0,"",VLOOKUP($A28,'Annex 2 EHV charges'!$A:$O,8,FALSE)),"")</f>
        <v>1.7999999999999999E-2</v>
      </c>
      <c r="F28" s="99">
        <f>IFERROR(IF(VLOOKUP($A28,'Annex 2 EHV charges'!$A:$O,9,FALSE)=0,"",VLOOKUP($A28,'Annex 2 EHV charges'!$A:$O,9,FALSE)),"")</f>
        <v>22098.51</v>
      </c>
      <c r="G28" s="100">
        <f>IFERROR(IF(VLOOKUP($A28,'Annex 2 EHV charges'!$A:$O,10,FALSE)=0,"",VLOOKUP($A28,'Annex 2 EHV charges'!$A:$O,10,FALSE)),"")</f>
        <v>1.75</v>
      </c>
      <c r="H28" s="100">
        <f>IFERROR(IF(VLOOKUP($A28,'Annex 2 EHV charges'!$A:$O,11,FALSE)=0,"",VLOOKUP($A28,'Annex 2 EHV charges'!$A:$O,11,FALSE)),"")</f>
        <v>1.75</v>
      </c>
    </row>
    <row r="29" spans="1:8" ht="12.75" customHeight="1" x14ac:dyDescent="0.2">
      <c r="A29" s="93" t="str">
        <f t="array" ref="A29">IFERROR(INDEX('Annex 2 EHV charges'!$A$11:$A$58, MATCH(0, IF(ISBLANK('Annex 2 EHV charges'!$A$11:$A$58),1, COUNTIF(A$4:$A28, 'Annex 2 EHV charges'!$A$11:$A$58)), 0)),"")</f>
        <v>LU_STE</v>
      </c>
      <c r="B29" s="93">
        <f>IF($A29="","",VLOOKUP($A29,'Annex 2 EHV charges'!$A:$O,2,0))</f>
        <v>839</v>
      </c>
      <c r="C29" s="94" t="str">
        <f>IF($A29="","",VLOOKUP($A29,'Annex 2 EHV charges'!$A:$O,3,0))</f>
        <v>1200010157225
1200010157234</v>
      </c>
      <c r="D29" s="93" t="str">
        <f>IF($A29="","",VLOOKUP($A29,'Annex 2 EHV charges'!$A:$O,7,0))</f>
        <v>LU_STE</v>
      </c>
      <c r="E29" s="98" t="str">
        <f>IFERROR(IF(VLOOKUP($A29,'Annex 2 EHV charges'!$A:$O,8,FALSE)=0,"",VLOOKUP($A29,'Annex 2 EHV charges'!$A:$O,8,FALSE)),"")</f>
        <v/>
      </c>
      <c r="F29" s="99">
        <f>IFERROR(IF(VLOOKUP($A29,'Annex 2 EHV charges'!$A:$O,9,FALSE)=0,"",VLOOKUP($A29,'Annex 2 EHV charges'!$A:$O,9,FALSE)),"")</f>
        <v>5950.57</v>
      </c>
      <c r="G29" s="100">
        <f>IFERROR(IF(VLOOKUP($A29,'Annex 2 EHV charges'!$A:$O,10,FALSE)=0,"",VLOOKUP($A29,'Annex 2 EHV charges'!$A:$O,10,FALSE)),"")</f>
        <v>3.17</v>
      </c>
      <c r="H29" s="100">
        <f>IFERROR(IF(VLOOKUP($A29,'Annex 2 EHV charges'!$A:$O,11,FALSE)=0,"",VLOOKUP($A29,'Annex 2 EHV charges'!$A:$O,11,FALSE)),"")</f>
        <v>3.17</v>
      </c>
    </row>
    <row r="30" spans="1:8" ht="12.75" customHeight="1" x14ac:dyDescent="0.2">
      <c r="A30" s="93" t="str">
        <f t="array" ref="A30">IFERROR(INDEX('Annex 2 EHV charges'!$A$11:$A$58, MATCH(0, IF(ISBLANK('Annex 2 EHV charges'!$A$11:$A$58),1, COUNTIF(A$4:$A29, 'Annex 2 EHV charges'!$A$11:$A$58)), 0)),"")</f>
        <v>MRKLNE</v>
      </c>
      <c r="B30" s="93">
        <f>IF($A30="","",VLOOKUP($A30,'Annex 2 EHV charges'!$A:$O,2,0))</f>
        <v>806</v>
      </c>
      <c r="C30" s="94" t="str">
        <f>IF($A30="","",VLOOKUP($A30,'Annex 2 EHV charges'!$A:$O,3,0))</f>
        <v>1200061378624
1200061378633</v>
      </c>
      <c r="D30" s="93" t="str">
        <f>IF($A30="","",VLOOKUP($A30,'Annex 2 EHV charges'!$A:$O,7,0))</f>
        <v>MRKLNE</v>
      </c>
      <c r="E30" s="98">
        <f>IFERROR(IF(VLOOKUP($A30,'Annex 2 EHV charges'!$A:$O,8,FALSE)=0,"",VLOOKUP($A30,'Annex 2 EHV charges'!$A:$O,8,FALSE)),"")</f>
        <v>0.40600000000000003</v>
      </c>
      <c r="F30" s="99">
        <f>IFERROR(IF(VLOOKUP($A30,'Annex 2 EHV charges'!$A:$O,9,FALSE)=0,"",VLOOKUP($A30,'Annex 2 EHV charges'!$A:$O,9,FALSE)),"")</f>
        <v>380.07</v>
      </c>
      <c r="G30" s="100">
        <f>IFERROR(IF(VLOOKUP($A30,'Annex 2 EHV charges'!$A:$O,10,FALSE)=0,"",VLOOKUP($A30,'Annex 2 EHV charges'!$A:$O,10,FALSE)),"")</f>
        <v>3.11</v>
      </c>
      <c r="H30" s="100">
        <f>IFERROR(IF(VLOOKUP($A30,'Annex 2 EHV charges'!$A:$O,11,FALSE)=0,"",VLOOKUP($A30,'Annex 2 EHV charges'!$A:$O,11,FALSE)),"")</f>
        <v>3.11</v>
      </c>
    </row>
    <row r="31" spans="1:8" ht="12.75" customHeight="1" x14ac:dyDescent="0.2">
      <c r="A31" s="93" t="str">
        <f t="array" ref="A31">IFERROR(INDEX('Annex 2 EHV charges'!$A$11:$A$58, MATCH(0, IF(ISBLANK('Annex 2 EHV charges'!$A$11:$A$58),1, COUNTIF(A$4:$A30, 'Annex 2 EHV charges'!$A$11:$A$58)), 0)),"")</f>
        <v>NGC_BA</v>
      </c>
      <c r="B31" s="93">
        <f>IF($A31="","",VLOOKUP($A31,'Annex 2 EHV charges'!$A:$O,2,0))</f>
        <v>817</v>
      </c>
      <c r="C31" s="94" t="str">
        <f>IF($A31="","",VLOOKUP($A31,'Annex 2 EHV charges'!$A:$O,3,0))</f>
        <v>1200010151863
1200010151872</v>
      </c>
      <c r="D31" s="93" t="str">
        <f>IF($A31="","",VLOOKUP($A31,'Annex 2 EHV charges'!$A:$O,7,0))</f>
        <v>NGC_BA</v>
      </c>
      <c r="E31" s="98">
        <f>IFERROR(IF(VLOOKUP($A31,'Annex 2 EHV charges'!$A:$O,8,FALSE)=0,"",VLOOKUP($A31,'Annex 2 EHV charges'!$A:$O,8,FALSE)),"")</f>
        <v>0.23400000000000001</v>
      </c>
      <c r="F31" s="99" t="str">
        <f>IFERROR(IF(VLOOKUP($A31,'Annex 2 EHV charges'!$A:$O,9,FALSE)=0,"",VLOOKUP($A31,'Annex 2 EHV charges'!$A:$O,9,FALSE)),"")</f>
        <v/>
      </c>
      <c r="G31" s="100">
        <f>IFERROR(IF(VLOOKUP($A31,'Annex 2 EHV charges'!$A:$O,10,FALSE)=0,"",VLOOKUP($A31,'Annex 2 EHV charges'!$A:$O,10,FALSE)),"")</f>
        <v>0.87</v>
      </c>
      <c r="H31" s="100">
        <f>IFERROR(IF(VLOOKUP($A31,'Annex 2 EHV charges'!$A:$O,11,FALSE)=0,"",VLOOKUP($A31,'Annex 2 EHV charges'!$A:$O,11,FALSE)),"")</f>
        <v>0.87</v>
      </c>
    </row>
    <row r="32" spans="1:8" ht="12.75" customHeight="1" x14ac:dyDescent="0.2">
      <c r="A32" s="93" t="str">
        <f t="array" ref="A32">IFERROR(INDEX('Annex 2 EHV charges'!$A$11:$A$58, MATCH(0, IF(ISBLANK('Annex 2 EHV charges'!$A$11:$A$58),1, COUNTIF(A$4:$A31, 'Annex 2 EHV charges'!$A$11:$A$58)), 0)),"")</f>
        <v>NR_BOW</v>
      </c>
      <c r="B32" s="93">
        <f>IF($A32="","",VLOOKUP($A32,'Annex 2 EHV charges'!$A:$O,2,0))</f>
        <v>807</v>
      </c>
      <c r="C32" s="94" t="str">
        <f>IF($A32="","",VLOOKUP($A32,'Annex 2 EHV charges'!$A:$O,3,0))</f>
        <v>1200060280440
1200060280468</v>
      </c>
      <c r="D32" s="93" t="str">
        <f>IF($A32="","",VLOOKUP($A32,'Annex 2 EHV charges'!$A:$O,7,0))</f>
        <v>NR_BOW</v>
      </c>
      <c r="E32" s="98" t="str">
        <f>IFERROR(IF(VLOOKUP($A32,'Annex 2 EHV charges'!$A:$O,8,FALSE)=0,"",VLOOKUP($A32,'Annex 2 EHV charges'!$A:$O,8,FALSE)),"")</f>
        <v/>
      </c>
      <c r="F32" s="99">
        <f>IFERROR(IF(VLOOKUP($A32,'Annex 2 EHV charges'!$A:$O,9,FALSE)=0,"",VLOOKUP($A32,'Annex 2 EHV charges'!$A:$O,9,FALSE)),"")</f>
        <v>5143.8999999999996</v>
      </c>
      <c r="G32" s="100">
        <f>IFERROR(IF(VLOOKUP($A32,'Annex 2 EHV charges'!$A:$O,10,FALSE)=0,"",VLOOKUP($A32,'Annex 2 EHV charges'!$A:$O,10,FALSE)),"")</f>
        <v>5.52</v>
      </c>
      <c r="H32" s="100">
        <f>IFERROR(IF(VLOOKUP($A32,'Annex 2 EHV charges'!$A:$O,11,FALSE)=0,"",VLOOKUP($A32,'Annex 2 EHV charges'!$A:$O,11,FALSE)),"")</f>
        <v>5.52</v>
      </c>
    </row>
    <row r="33" spans="1:8" ht="12.75" customHeight="1" x14ac:dyDescent="0.2">
      <c r="A33" s="93" t="str">
        <f t="array" ref="A33">IFERROR(INDEX('Annex 2 EHV charges'!$A$11:$A$58, MATCH(0, IF(ISBLANK('Annex 2 EHV charges'!$A$11:$A$58),1, COUNTIF(A$4:$A32, 'Annex 2 EHV charges'!$A$11:$A$58)), 0)),"")</f>
        <v>NR_BRO</v>
      </c>
      <c r="B33" s="93">
        <f>IF($A33="","",VLOOKUP($A33,'Annex 2 EHV charges'!$A:$O,2,0))</f>
        <v>847</v>
      </c>
      <c r="C33" s="94">
        <f>IF($A33="","",VLOOKUP($A33,'Annex 2 EHV charges'!$A:$O,3,0))</f>
        <v>1200010251559</v>
      </c>
      <c r="D33" s="93" t="str">
        <f>IF($A33="","",VLOOKUP($A33,'Annex 2 EHV charges'!$A:$O,7,0))</f>
        <v>NR_BRO</v>
      </c>
      <c r="E33" s="98" t="str">
        <f>IFERROR(IF(VLOOKUP($A33,'Annex 2 EHV charges'!$A:$O,8,FALSE)=0,"",VLOOKUP($A33,'Annex 2 EHV charges'!$A:$O,8,FALSE)),"")</f>
        <v/>
      </c>
      <c r="F33" s="99">
        <f>IFERROR(IF(VLOOKUP($A33,'Annex 2 EHV charges'!$A:$O,9,FALSE)=0,"",VLOOKUP($A33,'Annex 2 EHV charges'!$A:$O,9,FALSE)),"")</f>
        <v>2109.04</v>
      </c>
      <c r="G33" s="100">
        <f>IFERROR(IF(VLOOKUP($A33,'Annex 2 EHV charges'!$A:$O,10,FALSE)=0,"",VLOOKUP($A33,'Annex 2 EHV charges'!$A:$O,10,FALSE)),"")</f>
        <v>1.84</v>
      </c>
      <c r="H33" s="100">
        <f>IFERROR(IF(VLOOKUP($A33,'Annex 2 EHV charges'!$A:$O,11,FALSE)=0,"",VLOOKUP($A33,'Annex 2 EHV charges'!$A:$O,11,FALSE)),"")</f>
        <v>1.84</v>
      </c>
    </row>
    <row r="34" spans="1:8" ht="12.75" customHeight="1" x14ac:dyDescent="0.2">
      <c r="A34" s="93" t="str">
        <f t="array" ref="A34">IFERROR(INDEX('Annex 2 EHV charges'!$A$11:$A$58, MATCH(0, IF(ISBLANK('Annex 2 EHV charges'!$A$11:$A$58),1, COUNTIF(A$4:$A33, 'Annex 2 EHV charges'!$A$11:$A$58)), 0)),"")</f>
        <v>NR_CIT</v>
      </c>
      <c r="B34" s="93">
        <f>IF($A34="","",VLOOKUP($A34,'Annex 2 EHV charges'!$A:$O,2,0))</f>
        <v>846</v>
      </c>
      <c r="C34" s="94">
        <f>IF($A34="","",VLOOKUP($A34,'Annex 2 EHV charges'!$A:$O,3,0))</f>
        <v>1200010251521</v>
      </c>
      <c r="D34" s="93" t="str">
        <f>IF($A34="","",VLOOKUP($A34,'Annex 2 EHV charges'!$A:$O,7,0))</f>
        <v>NR_CIT</v>
      </c>
      <c r="E34" s="98">
        <f>IFERROR(IF(VLOOKUP($A34,'Annex 2 EHV charges'!$A:$O,8,FALSE)=0,"",VLOOKUP($A34,'Annex 2 EHV charges'!$A:$O,8,FALSE)),"")</f>
        <v>2.81</v>
      </c>
      <c r="F34" s="99">
        <f>IFERROR(IF(VLOOKUP($A34,'Annex 2 EHV charges'!$A:$O,9,FALSE)=0,"",VLOOKUP($A34,'Annex 2 EHV charges'!$A:$O,9,FALSE)),"")</f>
        <v>66.239999999999995</v>
      </c>
      <c r="G34" s="100">
        <f>IFERROR(IF(VLOOKUP($A34,'Annex 2 EHV charges'!$A:$O,10,FALSE)=0,"",VLOOKUP($A34,'Annex 2 EHV charges'!$A:$O,10,FALSE)),"")</f>
        <v>2.69</v>
      </c>
      <c r="H34" s="100">
        <f>IFERROR(IF(VLOOKUP($A34,'Annex 2 EHV charges'!$A:$O,11,FALSE)=0,"",VLOOKUP($A34,'Annex 2 EHV charges'!$A:$O,11,FALSE)),"")</f>
        <v>2.69</v>
      </c>
    </row>
    <row r="35" spans="1:8" ht="12.75" customHeight="1" x14ac:dyDescent="0.2">
      <c r="A35" s="93" t="str">
        <f t="array" ref="A35">IFERROR(INDEX('Annex 2 EHV charges'!$A$11:$A$58, MATCH(0, IF(ISBLANK('Annex 2 EHV charges'!$A$11:$A$58),1, COUNTIF(A$4:$A34, 'Annex 2 EHV charges'!$A$11:$A$58)), 0)),"")</f>
        <v>NR_MAD</v>
      </c>
      <c r="B35" s="93">
        <f>IF($A35="","",VLOOKUP($A35,'Annex 2 EHV charges'!$A:$O,2,0))</f>
        <v>840</v>
      </c>
      <c r="C35" s="94">
        <f>IF($A35="","",VLOOKUP($A35,'Annex 2 EHV charges'!$A:$O,3,0))</f>
        <v>1200010251540</v>
      </c>
      <c r="D35" s="93" t="str">
        <f>IF($A35="","",VLOOKUP($A35,'Annex 2 EHV charges'!$A:$O,7,0))</f>
        <v>NR_MAD</v>
      </c>
      <c r="E35" s="98" t="str">
        <f>IFERROR(IF(VLOOKUP($A35,'Annex 2 EHV charges'!$A:$O,8,FALSE)=0,"",VLOOKUP($A35,'Annex 2 EHV charges'!$A:$O,8,FALSE)),"")</f>
        <v/>
      </c>
      <c r="F35" s="99">
        <f>IFERROR(IF(VLOOKUP($A35,'Annex 2 EHV charges'!$A:$O,9,FALSE)=0,"",VLOOKUP($A35,'Annex 2 EHV charges'!$A:$O,9,FALSE)),"")</f>
        <v>132.47999999999999</v>
      </c>
      <c r="G35" s="100">
        <f>IFERROR(IF(VLOOKUP($A35,'Annex 2 EHV charges'!$A:$O,10,FALSE)=0,"",VLOOKUP($A35,'Annex 2 EHV charges'!$A:$O,10,FALSE)),"")</f>
        <v>0.94</v>
      </c>
      <c r="H35" s="100">
        <f>IFERROR(IF(VLOOKUP($A35,'Annex 2 EHV charges'!$A:$O,11,FALSE)=0,"",VLOOKUP($A35,'Annex 2 EHV charges'!$A:$O,11,FALSE)),"")</f>
        <v>0.94</v>
      </c>
    </row>
    <row r="36" spans="1:8" ht="12.75" customHeight="1" x14ac:dyDescent="0.2">
      <c r="A36" s="93" t="str">
        <f t="array" ref="A36">IFERROR(INDEX('Annex 2 EHV charges'!$A$11:$A$58, MATCH(0, IF(ISBLANK('Annex 2 EHV charges'!$A$11:$A$58),1, COUNTIF(A$4:$A35, 'Annex 2 EHV charges'!$A$11:$A$58)), 0)),"")</f>
        <v>NR_NEW</v>
      </c>
      <c r="B36" s="93">
        <f>IF($A36="","",VLOOKUP($A36,'Annex 2 EHV charges'!$A:$O,2,0))</f>
        <v>845</v>
      </c>
      <c r="C36" s="94">
        <f>IF($A36="","",VLOOKUP($A36,'Annex 2 EHV charges'!$A:$O,3,0))</f>
        <v>1200010251530</v>
      </c>
      <c r="D36" s="93" t="str">
        <f>IF($A36="","",VLOOKUP($A36,'Annex 2 EHV charges'!$A:$O,7,0))</f>
        <v>NR_NEW</v>
      </c>
      <c r="E36" s="98" t="str">
        <f>IFERROR(IF(VLOOKUP($A36,'Annex 2 EHV charges'!$A:$O,8,FALSE)=0,"",VLOOKUP($A36,'Annex 2 EHV charges'!$A:$O,8,FALSE)),"")</f>
        <v/>
      </c>
      <c r="F36" s="99">
        <f>IFERROR(IF(VLOOKUP($A36,'Annex 2 EHV charges'!$A:$O,9,FALSE)=0,"",VLOOKUP($A36,'Annex 2 EHV charges'!$A:$O,9,FALSE)),"")</f>
        <v>7533.73</v>
      </c>
      <c r="G36" s="100">
        <f>IFERROR(IF(VLOOKUP($A36,'Annex 2 EHV charges'!$A:$O,10,FALSE)=0,"",VLOOKUP($A36,'Annex 2 EHV charges'!$A:$O,10,FALSE)),"")</f>
        <v>1.54</v>
      </c>
      <c r="H36" s="100">
        <f>IFERROR(IF(VLOOKUP($A36,'Annex 2 EHV charges'!$A:$O,11,FALSE)=0,"",VLOOKUP($A36,'Annex 2 EHV charges'!$A:$O,11,FALSE)),"")</f>
        <v>1.54</v>
      </c>
    </row>
    <row r="37" spans="1:8" ht="12.75" customHeight="1" x14ac:dyDescent="0.2">
      <c r="A37" s="93" t="str">
        <f t="array" ref="A37">IFERROR(INDEX('Annex 2 EHV charges'!$A$11:$A$58, MATCH(0, IF(ISBLANK('Annex 2 EHV charges'!$A$11:$A$58),1, COUNTIF(A$4:$A36, 'Annex 2 EHV charges'!$A$11:$A$58)), 0)),"")</f>
        <v>NR_W11</v>
      </c>
      <c r="B37" s="93">
        <f>IF($A37="","",VLOOKUP($A37,'Annex 2 EHV charges'!$A:$O,2,0))</f>
        <v>841</v>
      </c>
      <c r="C37" s="94">
        <f>IF($A37="","",VLOOKUP($A37,'Annex 2 EHV charges'!$A:$O,3,0))</f>
        <v>1200010251512</v>
      </c>
      <c r="D37" s="93" t="str">
        <f>IF($A37="","",VLOOKUP($A37,'Annex 2 EHV charges'!$A:$O,7,0))</f>
        <v>NR_W11</v>
      </c>
      <c r="E37" s="98" t="str">
        <f>IFERROR(IF(VLOOKUP($A37,'Annex 2 EHV charges'!$A:$O,8,FALSE)=0,"",VLOOKUP($A37,'Annex 2 EHV charges'!$A:$O,8,FALSE)),"")</f>
        <v/>
      </c>
      <c r="F37" s="99">
        <f>IFERROR(IF(VLOOKUP($A37,'Annex 2 EHV charges'!$A:$O,9,FALSE)=0,"",VLOOKUP($A37,'Annex 2 EHV charges'!$A:$O,9,FALSE)),"")</f>
        <v>5522.95</v>
      </c>
      <c r="G37" s="100">
        <f>IFERROR(IF(VLOOKUP($A37,'Annex 2 EHV charges'!$A:$O,10,FALSE)=0,"",VLOOKUP($A37,'Annex 2 EHV charges'!$A:$O,10,FALSE)),"")</f>
        <v>2.14</v>
      </c>
      <c r="H37" s="100">
        <f>IFERROR(IF(VLOOKUP($A37,'Annex 2 EHV charges'!$A:$O,11,FALSE)=0,"",VLOOKUP($A37,'Annex 2 EHV charges'!$A:$O,11,FALSE)),"")</f>
        <v>2.14</v>
      </c>
    </row>
    <row r="38" spans="1:8" ht="12.75" customHeight="1" x14ac:dyDescent="0.2">
      <c r="A38" s="93" t="str">
        <f t="array" ref="A38">IFERROR(INDEX('Annex 2 EHV charges'!$A$11:$A$58, MATCH(0, IF(ISBLANK('Annex 2 EHV charges'!$A$11:$A$58),1, COUNTIF(A$4:$A37, 'Annex 2 EHV charges'!$A$11:$A$58)), 0)),"")</f>
        <v>NR_W25</v>
      </c>
      <c r="B38" s="93">
        <f>IF($A38="","",VLOOKUP($A38,'Annex 2 EHV charges'!$A:$O,2,0))</f>
        <v>842</v>
      </c>
      <c r="C38" s="94">
        <f>IF($A38="","",VLOOKUP($A38,'Annex 2 EHV charges'!$A:$O,3,0))</f>
        <v>1200010251498</v>
      </c>
      <c r="D38" s="93" t="str">
        <f>IF($A38="","",VLOOKUP($A38,'Annex 2 EHV charges'!$A:$O,7,0))</f>
        <v>NR_W25</v>
      </c>
      <c r="E38" s="98">
        <f>IFERROR(IF(VLOOKUP($A38,'Annex 2 EHV charges'!$A:$O,8,FALSE)=0,"",VLOOKUP($A38,'Annex 2 EHV charges'!$A:$O,8,FALSE)),"")</f>
        <v>1.7000000000000001E-2</v>
      </c>
      <c r="F38" s="99">
        <f>IFERROR(IF(VLOOKUP($A38,'Annex 2 EHV charges'!$A:$O,9,FALSE)=0,"",VLOOKUP($A38,'Annex 2 EHV charges'!$A:$O,9,FALSE)),"")</f>
        <v>4722.8999999999996</v>
      </c>
      <c r="G38" s="100">
        <f>IFERROR(IF(VLOOKUP($A38,'Annex 2 EHV charges'!$A:$O,10,FALSE)=0,"",VLOOKUP($A38,'Annex 2 EHV charges'!$A:$O,10,FALSE)),"")</f>
        <v>2.2999999999999998</v>
      </c>
      <c r="H38" s="100">
        <f>IFERROR(IF(VLOOKUP($A38,'Annex 2 EHV charges'!$A:$O,11,FALSE)=0,"",VLOOKUP($A38,'Annex 2 EHV charges'!$A:$O,11,FALSE)),"")</f>
        <v>2.2999999999999998</v>
      </c>
    </row>
    <row r="39" spans="1:8" ht="12.75" customHeight="1" x14ac:dyDescent="0.2">
      <c r="A39" s="93" t="str">
        <f t="array" ref="A39">IFERROR(INDEX('Annex 2 EHV charges'!$A$11:$A$58, MATCH(0, IF(ISBLANK('Annex 2 EHV charges'!$A$11:$A$58),1, COUNTIF(A$4:$A38, 'Annex 2 EHV charges'!$A$11:$A$58)), 0)),"")</f>
        <v>NR_WES</v>
      </c>
      <c r="B39" s="93">
        <f>IF($A39="","",VLOOKUP($A39,'Annex 2 EHV charges'!$A:$O,2,0))</f>
        <v>848</v>
      </c>
      <c r="C39" s="94">
        <f>IF($A39="","",VLOOKUP($A39,'Annex 2 EHV charges'!$A:$O,3,0))</f>
        <v>1200010251568</v>
      </c>
      <c r="D39" s="93" t="str">
        <f>IF($A39="","",VLOOKUP($A39,'Annex 2 EHV charges'!$A:$O,7,0))</f>
        <v>NR_WES</v>
      </c>
      <c r="E39" s="98" t="str">
        <f>IFERROR(IF(VLOOKUP($A39,'Annex 2 EHV charges'!$A:$O,8,FALSE)=0,"",VLOOKUP($A39,'Annex 2 EHV charges'!$A:$O,8,FALSE)),"")</f>
        <v/>
      </c>
      <c r="F39" s="99">
        <f>IFERROR(IF(VLOOKUP($A39,'Annex 2 EHV charges'!$A:$O,9,FALSE)=0,"",VLOOKUP($A39,'Annex 2 EHV charges'!$A:$O,9,FALSE)),"")</f>
        <v>4727.76</v>
      </c>
      <c r="G39" s="100">
        <f>IFERROR(IF(VLOOKUP($A39,'Annex 2 EHV charges'!$A:$O,10,FALSE)=0,"",VLOOKUP($A39,'Annex 2 EHV charges'!$A:$O,10,FALSE)),"")</f>
        <v>2.73</v>
      </c>
      <c r="H39" s="100">
        <f>IFERROR(IF(VLOOKUP($A39,'Annex 2 EHV charges'!$A:$O,11,FALSE)=0,"",VLOOKUP($A39,'Annex 2 EHV charges'!$A:$O,11,FALSE)),"")</f>
        <v>2.73</v>
      </c>
    </row>
    <row r="40" spans="1:8" ht="12.75" customHeight="1" x14ac:dyDescent="0.2">
      <c r="A40" s="93" t="str">
        <f t="array" ref="A40">IFERROR(INDEX('Annex 2 EHV charges'!$A$11:$A$58, MATCH(0, IF(ISBLANK('Annex 2 EHV charges'!$A$11:$A$58),1, COUNTIF(A$4:$A39, 'Annex 2 EHV charges'!$A$11:$A$58)), 0)),"")</f>
        <v>NR_WHI</v>
      </c>
      <c r="B40" s="93">
        <f>IF($A40="","",VLOOKUP($A40,'Annex 2 EHV charges'!$A:$O,2,0))</f>
        <v>849</v>
      </c>
      <c r="C40" s="94">
        <f>IF($A40="","",VLOOKUP($A40,'Annex 2 EHV charges'!$A:$O,3,0))</f>
        <v>1200050493611</v>
      </c>
      <c r="D40" s="93" t="str">
        <f>IF($A40="","",VLOOKUP($A40,'Annex 2 EHV charges'!$A:$O,7,0))</f>
        <v>NR_WHI</v>
      </c>
      <c r="E40" s="98">
        <f>IFERROR(IF(VLOOKUP($A40,'Annex 2 EHV charges'!$A:$O,8,FALSE)=0,"",VLOOKUP($A40,'Annex 2 EHV charges'!$A:$O,8,FALSE)),"")</f>
        <v>4.5170000000000003</v>
      </c>
      <c r="F40" s="99">
        <f>IFERROR(IF(VLOOKUP($A40,'Annex 2 EHV charges'!$A:$O,9,FALSE)=0,"",VLOOKUP($A40,'Annex 2 EHV charges'!$A:$O,9,FALSE)),"")</f>
        <v>66.239999999999995</v>
      </c>
      <c r="G40" s="100">
        <f>IFERROR(IF(VLOOKUP($A40,'Annex 2 EHV charges'!$A:$O,10,FALSE)=0,"",VLOOKUP($A40,'Annex 2 EHV charges'!$A:$O,10,FALSE)),"")</f>
        <v>3.08</v>
      </c>
      <c r="H40" s="100">
        <f>IFERROR(IF(VLOOKUP($A40,'Annex 2 EHV charges'!$A:$O,11,FALSE)=0,"",VLOOKUP($A40,'Annex 2 EHV charges'!$A:$O,11,FALSE)),"")</f>
        <v>3.08</v>
      </c>
    </row>
    <row r="41" spans="1:8" ht="12.75" customHeight="1" x14ac:dyDescent="0.2">
      <c r="A41" s="93" t="str">
        <f t="array" ref="A41">IFERROR(INDEX('Annex 2 EHV charges'!$A$11:$A$58, MATCH(0, IF(ISBLANK('Annex 2 EHV charges'!$A$11:$A$58),1, COUNTIF(A$4:$A40, 'Annex 2 EHV charges'!$A$11:$A$58)), 0)),"")</f>
        <v>NR_WIM</v>
      </c>
      <c r="B41" s="93">
        <f>IF($A41="","",VLOOKUP($A41,'Annex 2 EHV charges'!$A:$O,2,0))</f>
        <v>844</v>
      </c>
      <c r="C41" s="94">
        <f>IF($A41="","",VLOOKUP($A41,'Annex 2 EHV charges'!$A:$O,3,0))</f>
        <v>1200010200874</v>
      </c>
      <c r="D41" s="93" t="str">
        <f>IF($A41="","",VLOOKUP($A41,'Annex 2 EHV charges'!$A:$O,7,0))</f>
        <v>NR_WIM</v>
      </c>
      <c r="E41" s="98" t="str">
        <f>IFERROR(IF(VLOOKUP($A41,'Annex 2 EHV charges'!$A:$O,8,FALSE)=0,"",VLOOKUP($A41,'Annex 2 EHV charges'!$A:$O,8,FALSE)),"")</f>
        <v/>
      </c>
      <c r="F41" s="99">
        <f>IFERROR(IF(VLOOKUP($A41,'Annex 2 EHV charges'!$A:$O,9,FALSE)=0,"",VLOOKUP($A41,'Annex 2 EHV charges'!$A:$O,9,FALSE)),"")</f>
        <v>8002.01</v>
      </c>
      <c r="G41" s="100">
        <f>IFERROR(IF(VLOOKUP($A41,'Annex 2 EHV charges'!$A:$O,10,FALSE)=0,"",VLOOKUP($A41,'Annex 2 EHV charges'!$A:$O,10,FALSE)),"")</f>
        <v>2.15</v>
      </c>
      <c r="H41" s="100">
        <f>IFERROR(IF(VLOOKUP($A41,'Annex 2 EHV charges'!$A:$O,11,FALSE)=0,"",VLOOKUP($A41,'Annex 2 EHV charges'!$A:$O,11,FALSE)),"")</f>
        <v>2.15</v>
      </c>
    </row>
    <row r="42" spans="1:8" ht="12.75" customHeight="1" x14ac:dyDescent="0.2">
      <c r="A42" s="93" t="str">
        <f t="array" ref="A42">IFERROR(INDEX('Annex 2 EHV charges'!$A$11:$A$58, MATCH(0, IF(ISBLANK('Annex 2 EHV charges'!$A$11:$A$58),1, COUNTIF(A$4:$A41, 'Annex 2 EHV charges'!$A$11:$A$58)), 0)),"")</f>
        <v>TELEHW</v>
      </c>
      <c r="B42" s="93">
        <f>IF($A42="","",VLOOKUP($A42,'Annex 2 EHV charges'!$A:$O,2,0))</f>
        <v>809</v>
      </c>
      <c r="C42" s="94" t="str">
        <f>IF($A42="","",VLOOKUP($A42,'Annex 2 EHV charges'!$A:$O,3,0))</f>
        <v>1200060951114
1200060951123</v>
      </c>
      <c r="D42" s="93" t="str">
        <f>IF($A42="","",VLOOKUP($A42,'Annex 2 EHV charges'!$A:$O,7,0))</f>
        <v>TELEHW</v>
      </c>
      <c r="E42" s="98" t="str">
        <f>IFERROR(IF(VLOOKUP($A42,'Annex 2 EHV charges'!$A:$O,8,FALSE)=0,"",VLOOKUP($A42,'Annex 2 EHV charges'!$A:$O,8,FALSE)),"")</f>
        <v/>
      </c>
      <c r="F42" s="99">
        <f>IFERROR(IF(VLOOKUP($A42,'Annex 2 EHV charges'!$A:$O,9,FALSE)=0,"",VLOOKUP($A42,'Annex 2 EHV charges'!$A:$O,9,FALSE)),"")</f>
        <v>930.26</v>
      </c>
      <c r="G42" s="100">
        <f>IFERROR(IF(VLOOKUP($A42,'Annex 2 EHV charges'!$A:$O,10,FALSE)=0,"",VLOOKUP($A42,'Annex 2 EHV charges'!$A:$O,10,FALSE)),"")</f>
        <v>3.93</v>
      </c>
      <c r="H42" s="100">
        <f>IFERROR(IF(VLOOKUP($A42,'Annex 2 EHV charges'!$A:$O,11,FALSE)=0,"",VLOOKUP($A42,'Annex 2 EHV charges'!$A:$O,11,FALSE)),"")</f>
        <v>3.93</v>
      </c>
    </row>
    <row r="43" spans="1:8" ht="12.75" customHeight="1" x14ac:dyDescent="0.2">
      <c r="A43" s="93" t="str">
        <f t="array" ref="A43">IFERROR(INDEX('Annex 2 EHV charges'!$A$11:$A$58, MATCH(0, IF(ISBLANK('Annex 2 EHV charges'!$A$11:$A$58),1, COUNTIF(A$4:$A42, 'Annex 2 EHV charges'!$A$11:$A$58)), 0)),"")</f>
        <v>THAMEB</v>
      </c>
      <c r="B43" s="93">
        <f>IF($A43="","",VLOOKUP($A43,'Annex 2 EHV charges'!$A:$O,2,0))</f>
        <v>828</v>
      </c>
      <c r="C43" s="94" t="str">
        <f>IF($A43="","",VLOOKUP($A43,'Annex 2 EHV charges'!$A:$O,3,0))</f>
        <v>1200010146153
1200010146162
1200010146171
1200061197703</v>
      </c>
      <c r="D43" s="93" t="str">
        <f>IF($A43="","",VLOOKUP($A43,'Annex 2 EHV charges'!$A:$O,7,0))</f>
        <v>THAMEB</v>
      </c>
      <c r="E43" s="98" t="str">
        <f>IFERROR(IF(VLOOKUP($A43,'Annex 2 EHV charges'!$A:$O,8,FALSE)=0,"",VLOOKUP($A43,'Annex 2 EHV charges'!$A:$O,8,FALSE)),"")</f>
        <v/>
      </c>
      <c r="F43" s="99">
        <f>IFERROR(IF(VLOOKUP($A43,'Annex 2 EHV charges'!$A:$O,9,FALSE)=0,"",VLOOKUP($A43,'Annex 2 EHV charges'!$A:$O,9,FALSE)),"")</f>
        <v>3194.94</v>
      </c>
      <c r="G43" s="100">
        <f>IFERROR(IF(VLOOKUP($A43,'Annex 2 EHV charges'!$A:$O,10,FALSE)=0,"",VLOOKUP($A43,'Annex 2 EHV charges'!$A:$O,10,FALSE)),"")</f>
        <v>0.69</v>
      </c>
      <c r="H43" s="100">
        <f>IFERROR(IF(VLOOKUP($A43,'Annex 2 EHV charges'!$A:$O,11,FALSE)=0,"",VLOOKUP($A43,'Annex 2 EHV charges'!$A:$O,11,FALSE)),"")</f>
        <v>0.69</v>
      </c>
    </row>
    <row r="44" spans="1:8" ht="12.75" customHeight="1" x14ac:dyDescent="0.2">
      <c r="A44" s="93" t="str">
        <f t="array" ref="A44">IFERROR(INDEX('Annex 2 EHV charges'!$A$11:$A$58, MATCH(0, IF(ISBLANK('Annex 2 EHV charges'!$A$11:$A$58),1, COUNTIF(A$4:$A43, 'Annex 2 EHV charges'!$A$11:$A$58)), 0)),"")</f>
        <v>THAMEC</v>
      </c>
      <c r="B44" s="93">
        <f>IF($A44="","",VLOOKUP($A44,'Annex 2 EHV charges'!$A:$O,2,0))</f>
        <v>802</v>
      </c>
      <c r="C44" s="94" t="str">
        <f>IF($A44="","",VLOOKUP($A44,'Annex 2 EHV charges'!$A:$O,3,0))</f>
        <v>1200061171324
1200061171333</v>
      </c>
      <c r="D44" s="93" t="str">
        <f>IF($A44="","",VLOOKUP($A44,'Annex 2 EHV charges'!$A:$O,7,0))</f>
        <v>THAMEC</v>
      </c>
      <c r="E44" s="98" t="str">
        <f>IFERROR(IF(VLOOKUP($A44,'Annex 2 EHV charges'!$A:$O,8,FALSE)=0,"",VLOOKUP($A44,'Annex 2 EHV charges'!$A:$O,8,FALSE)),"")</f>
        <v/>
      </c>
      <c r="F44" s="99">
        <f>IFERROR(IF(VLOOKUP($A44,'Annex 2 EHV charges'!$A:$O,9,FALSE)=0,"",VLOOKUP($A44,'Annex 2 EHV charges'!$A:$O,9,FALSE)),"")</f>
        <v>2795.68</v>
      </c>
      <c r="G44" s="100">
        <f>IFERROR(IF(VLOOKUP($A44,'Annex 2 EHV charges'!$A:$O,10,FALSE)=0,"",VLOOKUP($A44,'Annex 2 EHV charges'!$A:$O,10,FALSE)),"")</f>
        <v>1.44</v>
      </c>
      <c r="H44" s="100">
        <f>IFERROR(IF(VLOOKUP($A44,'Annex 2 EHV charges'!$A:$O,11,FALSE)=0,"",VLOOKUP($A44,'Annex 2 EHV charges'!$A:$O,11,FALSE)),"")</f>
        <v>1.44</v>
      </c>
    </row>
    <row r="45" spans="1:8" ht="12.75" customHeight="1" x14ac:dyDescent="0.2">
      <c r="A45" s="93" t="str">
        <f t="array" ref="A45">IFERROR(INDEX('Annex 2 EHV charges'!$A$11:$A$58, MATCH(0, IF(ISBLANK('Annex 2 EHV charges'!$A$11:$A$58),1, COUNTIF(A$4:$A44, 'Annex 2 EHV charges'!$A$11:$A$58)), 0)),"")</f>
        <v>TWCHST</v>
      </c>
      <c r="B45" s="93">
        <f>IF($A45="","",VLOOKUP($A45,'Annex 2 EHV charges'!$A:$O,2,0))</f>
        <v>819</v>
      </c>
      <c r="C45" s="94">
        <f>IF($A45="","",VLOOKUP($A45,'Annex 2 EHV charges'!$A:$O,3,0))</f>
        <v>1200061990150</v>
      </c>
      <c r="D45" s="93" t="str">
        <f>IF($A45="","",VLOOKUP($A45,'Annex 2 EHV charges'!$A:$O,7,0))</f>
        <v>TWCHST</v>
      </c>
      <c r="E45" s="98" t="str">
        <f>IFERROR(IF(VLOOKUP($A45,'Annex 2 EHV charges'!$A:$O,8,FALSE)=0,"",VLOOKUP($A45,'Annex 2 EHV charges'!$A:$O,8,FALSE)),"")</f>
        <v/>
      </c>
      <c r="F45" s="99">
        <f>IFERROR(IF(VLOOKUP($A45,'Annex 2 EHV charges'!$A:$O,9,FALSE)=0,"",VLOOKUP($A45,'Annex 2 EHV charges'!$A:$O,9,FALSE)),"")</f>
        <v>7962.85</v>
      </c>
      <c r="G45" s="100">
        <f>IFERROR(IF(VLOOKUP($A45,'Annex 2 EHV charges'!$A:$O,10,FALSE)=0,"",VLOOKUP($A45,'Annex 2 EHV charges'!$A:$O,10,FALSE)),"")</f>
        <v>1.36</v>
      </c>
      <c r="H45" s="100">
        <f>IFERROR(IF(VLOOKUP($A45,'Annex 2 EHV charges'!$A:$O,11,FALSE)=0,"",VLOOKUP($A45,'Annex 2 EHV charges'!$A:$O,11,FALSE)),"")</f>
        <v>1.36</v>
      </c>
    </row>
    <row r="46" spans="1:8" ht="12.75" customHeight="1" x14ac:dyDescent="0.2">
      <c r="A46" s="93" t="str">
        <f t="array" ref="A46">IFERROR(INDEX('Annex 2 EHV charges'!$A$11:$A$58, MATCH(0, IF(ISBLANK('Annex 2 EHV charges'!$A$11:$A$58),1, COUNTIF(A$4:$A45, 'Annex 2 EHV charges'!$A$11:$A$58)), 0)),"")</f>
        <v>TWGNCH</v>
      </c>
      <c r="B46" s="93">
        <f>IF($A46="","",VLOOKUP($A46,'Annex 2 EHV charges'!$A:$O,2,0))</f>
        <v>822</v>
      </c>
      <c r="C46" s="94">
        <f>IF($A46="","",VLOOKUP($A46,'Annex 2 EHV charges'!$A:$O,3,0))</f>
        <v>1200061990319</v>
      </c>
      <c r="D46" s="93" t="str">
        <f>IF($A46="","",VLOOKUP($A46,'Annex 2 EHV charges'!$A:$O,7,0))</f>
        <v>TWGNCH</v>
      </c>
      <c r="E46" s="98" t="str">
        <f>IFERROR(IF(VLOOKUP($A46,'Annex 2 EHV charges'!$A:$O,8,FALSE)=0,"",VLOOKUP($A46,'Annex 2 EHV charges'!$A:$O,8,FALSE)),"")</f>
        <v/>
      </c>
      <c r="F46" s="99">
        <f>IFERROR(IF(VLOOKUP($A46,'Annex 2 EHV charges'!$A:$O,9,FALSE)=0,"",VLOOKUP($A46,'Annex 2 EHV charges'!$A:$O,9,FALSE)),"")</f>
        <v>132.47999999999999</v>
      </c>
      <c r="G46" s="100">
        <f>IFERROR(IF(VLOOKUP($A46,'Annex 2 EHV charges'!$A:$O,10,FALSE)=0,"",VLOOKUP($A46,'Annex 2 EHV charges'!$A:$O,10,FALSE)),"")</f>
        <v>0.76</v>
      </c>
      <c r="H46" s="100">
        <f>IFERROR(IF(VLOOKUP($A46,'Annex 2 EHV charges'!$A:$O,11,FALSE)=0,"",VLOOKUP($A46,'Annex 2 EHV charges'!$A:$O,11,FALSE)),"")</f>
        <v>0.76</v>
      </c>
    </row>
    <row r="47" spans="1:8" ht="12.75" customHeight="1" x14ac:dyDescent="0.2">
      <c r="A47" s="93" t="str">
        <f t="array" ref="A47">IFERROR(INDEX('Annex 2 EHV charges'!$A$11:$A$58, MATCH(0, IF(ISBLANK('Annex 2 EHV charges'!$A$11:$A$58),1, COUNTIF(A$4:$A46, 'Annex 2 EHV charges'!$A$11:$A$58)), 0)),"")</f>
        <v>TWKIRT</v>
      </c>
      <c r="B47" s="93">
        <f>IF($A47="","",VLOOKUP($A47,'Annex 2 EHV charges'!$A:$O,2,0))</f>
        <v>823</v>
      </c>
      <c r="C47" s="94" t="str">
        <f>IF($A47="","",VLOOKUP($A47,'Annex 2 EHV charges'!$A:$O,3,0))</f>
        <v>1200061999491
1200061999507
1200062001242
1200062001251</v>
      </c>
      <c r="D47" s="93" t="str">
        <f>IF($A47="","",VLOOKUP($A47,'Annex 2 EHV charges'!$A:$O,7,0))</f>
        <v>TWKIRT</v>
      </c>
      <c r="E47" s="98">
        <f>IFERROR(IF(VLOOKUP($A47,'Annex 2 EHV charges'!$A:$O,8,FALSE)=0,"",VLOOKUP($A47,'Annex 2 EHV charges'!$A:$O,8,FALSE)),"")</f>
        <v>1.103</v>
      </c>
      <c r="F47" s="99">
        <f>IFERROR(IF(VLOOKUP($A47,'Annex 2 EHV charges'!$A:$O,9,FALSE)=0,"",VLOOKUP($A47,'Annex 2 EHV charges'!$A:$O,9,FALSE)),"")</f>
        <v>132.47999999999999</v>
      </c>
      <c r="G47" s="100">
        <f>IFERROR(IF(VLOOKUP($A47,'Annex 2 EHV charges'!$A:$O,10,FALSE)=0,"",VLOOKUP($A47,'Annex 2 EHV charges'!$A:$O,10,FALSE)),"")</f>
        <v>1.53</v>
      </c>
      <c r="H47" s="100">
        <f>IFERROR(IF(VLOOKUP($A47,'Annex 2 EHV charges'!$A:$O,11,FALSE)=0,"",VLOOKUP($A47,'Annex 2 EHV charges'!$A:$O,11,FALSE)),"")</f>
        <v>1.53</v>
      </c>
    </row>
    <row r="48" spans="1:8" ht="12.75" customHeight="1" x14ac:dyDescent="0.2">
      <c r="A48" s="93" t="str">
        <f t="array" ref="A48">IFERROR(INDEX('Annex 2 EHV charges'!$A$11:$A$58, MATCH(0, IF(ISBLANK('Annex 2 EHV charges'!$A$11:$A$58),1, COUNTIF(A$4:$A47, 'Annex 2 EHV charges'!$A$11:$A$58)), 0)),"")</f>
        <v>VOLTDC</v>
      </c>
      <c r="B48" s="93">
        <f>IF($A48="","",VLOOKUP($A48,'Annex 2 EHV charges'!$A:$O,2,0))</f>
        <v>803</v>
      </c>
      <c r="C48" s="94" t="str">
        <f>IF($A48="","",VLOOKUP($A48,'Annex 2 EHV charges'!$A:$O,3,0))</f>
        <v>1200061148032
1200061148041</v>
      </c>
      <c r="D48" s="93" t="str">
        <f>IF($A48="","",VLOOKUP($A48,'Annex 2 EHV charges'!$A:$O,7,0))</f>
        <v>VOLTDC</v>
      </c>
      <c r="E48" s="98">
        <f>IFERROR(IF(VLOOKUP($A48,'Annex 2 EHV charges'!$A:$O,8,FALSE)=0,"",VLOOKUP($A48,'Annex 2 EHV charges'!$A:$O,8,FALSE)),"")</f>
        <v>0.41399999999999998</v>
      </c>
      <c r="F48" s="99">
        <f>IFERROR(IF(VLOOKUP($A48,'Annex 2 EHV charges'!$A:$O,9,FALSE)=0,"",VLOOKUP($A48,'Annex 2 EHV charges'!$A:$O,9,FALSE)),"")</f>
        <v>533.76</v>
      </c>
      <c r="G48" s="100">
        <f>IFERROR(IF(VLOOKUP($A48,'Annex 2 EHV charges'!$A:$O,10,FALSE)=0,"",VLOOKUP($A48,'Annex 2 EHV charges'!$A:$O,10,FALSE)),"")</f>
        <v>2.2999999999999998</v>
      </c>
      <c r="H48" s="100">
        <f>IFERROR(IF(VLOOKUP($A48,'Annex 2 EHV charges'!$A:$O,11,FALSE)=0,"",VLOOKUP($A48,'Annex 2 EHV charges'!$A:$O,11,FALSE)),"")</f>
        <v>2.2999999999999998</v>
      </c>
    </row>
    <row r="49" spans="1:8" ht="12.75" customHeight="1" x14ac:dyDescent="0.2">
      <c r="A49" s="93" t="str">
        <f t="array" ref="A49">IFERROR(INDEX('Annex 2 EHV charges'!$A$11:$A$58, MATCH(0, IF(ISBLANK('Annex 2 EHV charges'!$A$11:$A$58),1, COUNTIF(A$4:$A48, 'Annex 2 EHV charges'!$A$11:$A$58)), 0)),"")</f>
        <v>WILKST</v>
      </c>
      <c r="B49" s="93">
        <f>IF($A49="","",VLOOKUP($A49,'Annex 2 EHV charges'!$A:$O,2,0))</f>
        <v>824</v>
      </c>
      <c r="C49" s="94" t="str">
        <f>IF($A49="","",VLOOKUP($A49,'Annex 2 EHV charges'!$A:$O,3,0))</f>
        <v>TBC</v>
      </c>
      <c r="D49" s="93" t="str">
        <f>IF($A49="","",VLOOKUP($A49,'Annex 2 EHV charges'!$A:$O,7,0))</f>
        <v>WILKST</v>
      </c>
      <c r="E49" s="98">
        <f>IFERROR(IF(VLOOKUP($A49,'Annex 2 EHV charges'!$A:$O,8,FALSE)=0,"",VLOOKUP($A49,'Annex 2 EHV charges'!$A:$O,8,FALSE)),"")</f>
        <v>0.36399999999999999</v>
      </c>
      <c r="F49" s="99">
        <f>IFERROR(IF(VLOOKUP($A49,'Annex 2 EHV charges'!$A:$O,9,FALSE)=0,"",VLOOKUP($A49,'Annex 2 EHV charges'!$A:$O,9,FALSE)),"")</f>
        <v>1051.1500000000001</v>
      </c>
      <c r="G49" s="100">
        <f>IFERROR(IF(VLOOKUP($A49,'Annex 2 EHV charges'!$A:$O,10,FALSE)=0,"",VLOOKUP($A49,'Annex 2 EHV charges'!$A:$O,10,FALSE)),"")</f>
        <v>2.16</v>
      </c>
      <c r="H49" s="100">
        <f>IFERROR(IF(VLOOKUP($A49,'Annex 2 EHV charges'!$A:$O,11,FALSE)=0,"",VLOOKUP($A49,'Annex 2 EHV charges'!$A:$O,11,FALSE)),"")</f>
        <v>2.16</v>
      </c>
    </row>
    <row r="50" spans="1:8" ht="12.75" customHeight="1" x14ac:dyDescent="0.2">
      <c r="A50" s="93" t="str">
        <f t="array" ref="A50">IFERROR(INDEX('Annex 2 EHV charges'!$A$11:$A$58, MATCH(0, IF(ISBLANK('Annex 2 EHV charges'!$A$11:$A$58),1, COUNTIF(A$4:$A49, 'Annex 2 EHV charges'!$A$11:$A$58)), 0)),"")</f>
        <v>BELVED</v>
      </c>
      <c r="B50" s="93">
        <f>IF($A50="","",VLOOKUP($A50,'Annex 2 EHV charges'!$A:$O,2,0))</f>
        <v>815</v>
      </c>
      <c r="C50" s="94">
        <f>IF($A50="","",VLOOKUP($A50,'Annex 2 EHV charges'!$A:$O,3,0))</f>
        <v>1200060787109</v>
      </c>
      <c r="D50" s="93" t="str">
        <f>IF($A50="","",VLOOKUP($A50,'Annex 2 EHV charges'!$A:$O,7,0))</f>
        <v>BELVED</v>
      </c>
      <c r="E50" s="98" t="str">
        <f>IFERROR(IF(VLOOKUP($A50,'Annex 2 EHV charges'!$A:$O,8,FALSE)=0,"",VLOOKUP($A50,'Annex 2 EHV charges'!$A:$O,8,FALSE)),"")</f>
        <v/>
      </c>
      <c r="F50" s="99">
        <f>IFERROR(IF(VLOOKUP($A50,'Annex 2 EHV charges'!$A:$O,9,FALSE)=0,"",VLOOKUP($A50,'Annex 2 EHV charges'!$A:$O,9,FALSE)),"")</f>
        <v>321.43</v>
      </c>
      <c r="G50" s="100">
        <f>IFERROR(IF(VLOOKUP($A50,'Annex 2 EHV charges'!$A:$O,10,FALSE)=0,"",VLOOKUP($A50,'Annex 2 EHV charges'!$A:$O,10,FALSE)),"")</f>
        <v>0.8</v>
      </c>
      <c r="H50" s="100">
        <f>IFERROR(IF(VLOOKUP($A50,'Annex 2 EHV charges'!$A:$O,11,FALSE)=0,"",VLOOKUP($A50,'Annex 2 EHV charges'!$A:$O,11,FALSE)),"")</f>
        <v>0.8</v>
      </c>
    </row>
    <row r="51" spans="1:8" ht="12.75" customHeight="1" x14ac:dyDescent="0.2">
      <c r="A51" s="93" t="str">
        <f t="array" ref="A51">IFERROR(INDEX('Annex 2 EHV charges'!$A$11:$A$58, MATCH(0, IF(ISBLANK('Annex 2 EHV charges'!$A$11:$A$58),1, COUNTIF(A$4:$A50, 'Annex 2 EHV charges'!$A$11:$A$58)), 0)),"")</f>
        <v>SELCHP</v>
      </c>
      <c r="B51" s="93">
        <f>IF($A51="","",VLOOKUP($A51,'Annex 2 EHV charges'!$A:$O,2,0))</f>
        <v>827</v>
      </c>
      <c r="C51" s="94">
        <f>IF($A51="","",VLOOKUP($A51,'Annex 2 EHV charges'!$A:$O,3,0))</f>
        <v>1200010175650</v>
      </c>
      <c r="D51" s="93" t="str">
        <f>IF($A51="","",VLOOKUP($A51,'Annex 2 EHV charges'!$A:$O,7,0))</f>
        <v>SELCHP</v>
      </c>
      <c r="E51" s="98" t="str">
        <f>IFERROR(IF(VLOOKUP($A51,'Annex 2 EHV charges'!$A:$O,8,FALSE)=0,"",VLOOKUP($A51,'Annex 2 EHV charges'!$A:$O,8,FALSE)),"")</f>
        <v/>
      </c>
      <c r="F51" s="99">
        <f>IFERROR(IF(VLOOKUP($A51,'Annex 2 EHV charges'!$A:$O,9,FALSE)=0,"",VLOOKUP($A51,'Annex 2 EHV charges'!$A:$O,9,FALSE)),"")</f>
        <v>283.72000000000003</v>
      </c>
      <c r="G51" s="100">
        <f>IFERROR(IF(VLOOKUP($A51,'Annex 2 EHV charges'!$A:$O,10,FALSE)=0,"",VLOOKUP($A51,'Annex 2 EHV charges'!$A:$O,10,FALSE)),"")</f>
        <v>1.2</v>
      </c>
      <c r="H51" s="100">
        <f>IFERROR(IF(VLOOKUP($A51,'Annex 2 EHV charges'!$A:$O,11,FALSE)=0,"",VLOOKUP($A51,'Annex 2 EHV charges'!$A:$O,11,FALSE)),"")</f>
        <v>1.2</v>
      </c>
    </row>
    <row r="52" spans="1:8" ht="12.75" customHeight="1" x14ac:dyDescent="0.2">
      <c r="A52" s="93" t="str">
        <f t="array" ref="A52">IFERROR(INDEX('Annex 2 EHV charges'!$A$11:$A$58, MATCH(0, IF(ISBLANK('Annex 2 EHV charges'!$A$11:$A$58),1, COUNTIF(A$4:$A51, 'Annex 2 EHV charges'!$A$11:$A$58)), 0)),"")</f>
        <v>TLRSLN</v>
      </c>
      <c r="B52" s="93">
        <f>IF($A52="","",VLOOKUP($A52,'Annex 2 EHV charges'!$A:$O,2,0))</f>
        <v>603</v>
      </c>
      <c r="C52" s="94" t="str">
        <f>IF($A52="","",VLOOKUP($A52,'Annex 2 EHV charges'!$A:$O,3,0))</f>
        <v>MSID: 5538</v>
      </c>
      <c r="D52" s="93" t="str">
        <f>IF($A52="","",VLOOKUP($A52,'Annex 2 EHV charges'!$A:$O,7,0))</f>
        <v>TLRSLN</v>
      </c>
      <c r="E52" s="98">
        <f>IFERROR(IF(VLOOKUP($A52,'Annex 2 EHV charges'!$A:$O,8,FALSE)=0,"",VLOOKUP($A52,'Annex 2 EHV charges'!$A:$O,8,FALSE)),"")</f>
        <v>0.01</v>
      </c>
      <c r="F52" s="99">
        <f>IFERROR(IF(VLOOKUP($A52,'Annex 2 EHV charges'!$A:$O,9,FALSE)=0,"",VLOOKUP($A52,'Annex 2 EHV charges'!$A:$O,9,FALSE)),"")</f>
        <v>31.55</v>
      </c>
      <c r="G52" s="100">
        <f>IFERROR(IF(VLOOKUP($A52,'Annex 2 EHV charges'!$A:$O,10,FALSE)=0,"",VLOOKUP($A52,'Annex 2 EHV charges'!$A:$O,10,FALSE)),"")</f>
        <v>1.17</v>
      </c>
      <c r="H52" s="100">
        <f>IFERROR(IF(VLOOKUP($A52,'Annex 2 EHV charges'!$A:$O,11,FALSE)=0,"",VLOOKUP($A52,'Annex 2 EHV charges'!$A:$O,11,FALSE)),"")</f>
        <v>1.17</v>
      </c>
    </row>
    <row r="53" spans="1:8" ht="12.75" customHeight="1" x14ac:dyDescent="0.2">
      <c r="A53" s="93" t="str">
        <f t="array" ref="A53">IFERROR(INDEX('Annex 2 EHV charges'!$A$11:$A$58, MATCH(0, IF(ISBLANK('Annex 2 EHV charges'!$A$11:$A$58),1, COUNTIF(A$4:$A52, 'Annex 2 EHV charges'!$A$11:$A$58)), 0)),"")</f>
        <v/>
      </c>
      <c r="B53" s="93" t="str">
        <f>IF($A53="","",VLOOKUP($A53,'Annex 2 EHV charges'!$A:$O,2,0))</f>
        <v/>
      </c>
      <c r="C53" s="94" t="str">
        <f>IF($A53="","",VLOOKUP($A53,'Annex 2 EHV charges'!$A:$O,3,0))</f>
        <v/>
      </c>
      <c r="D53" s="93" t="str">
        <f>IF($A53="","",VLOOKUP($A53,'Annex 2 EHV charges'!$A:$O,7,0))</f>
        <v/>
      </c>
      <c r="E53" s="98" t="str">
        <f>IFERROR(IF(VLOOKUP($A53,'Annex 2 EHV charges'!$A:$O,8,FALSE)=0,"",VLOOKUP($A53,'Annex 2 EHV charges'!$A:$O,8,FALSE)),"")</f>
        <v/>
      </c>
      <c r="F53" s="99" t="str">
        <f>IFERROR(IF(VLOOKUP($A53,'Annex 2 EHV charges'!$A:$O,9,FALSE)=0,"",VLOOKUP($A53,'Annex 2 EHV charges'!$A:$O,9,FALSE)),"")</f>
        <v/>
      </c>
      <c r="G53" s="100" t="str">
        <f>IFERROR(IF(VLOOKUP($A53,'Annex 2 EHV charges'!$A:$O,10,FALSE)=0,"",VLOOKUP($A53,'Annex 2 EHV charges'!$A:$O,10,FALSE)),"")</f>
        <v/>
      </c>
      <c r="H53" s="100" t="str">
        <f>IFERROR(IF(VLOOKUP($A53,'Annex 2 EHV charges'!$A:$O,11,FALSE)=0,"",VLOOKUP($A53,'Annex 2 EHV charges'!$A:$O,11,FALSE)),"")</f>
        <v/>
      </c>
    </row>
    <row r="54" spans="1:8" ht="12.75" customHeight="1" x14ac:dyDescent="0.2">
      <c r="A54" s="93" t="str">
        <f t="array" ref="A54">IFERROR(INDEX('Annex 2 EHV charges'!$A$11:$A$58, MATCH(0, IF(ISBLANK('Annex 2 EHV charges'!$A$11:$A$58),1, COUNTIF(A$4:$A53, 'Annex 2 EHV charges'!$A$11:$A$58)), 0)),"")</f>
        <v/>
      </c>
      <c r="B54" s="93" t="str">
        <f>IF($A54="","",VLOOKUP($A54,'Annex 2 EHV charges'!$A:$O,2,0))</f>
        <v/>
      </c>
      <c r="C54" s="94" t="str">
        <f>IF($A54="","",VLOOKUP($A54,'Annex 2 EHV charges'!$A:$O,3,0))</f>
        <v/>
      </c>
      <c r="D54" s="93" t="str">
        <f>IF($A54="","",VLOOKUP($A54,'Annex 2 EHV charges'!$A:$O,7,0))</f>
        <v/>
      </c>
      <c r="E54" s="98" t="str">
        <f>IFERROR(IF(VLOOKUP($A54,'Annex 2 EHV charges'!$A:$O,8,FALSE)=0,"",VLOOKUP($A54,'Annex 2 EHV charges'!$A:$O,8,FALSE)),"")</f>
        <v/>
      </c>
      <c r="F54" s="99" t="str">
        <f>IFERROR(IF(VLOOKUP($A54,'Annex 2 EHV charges'!$A:$O,9,FALSE)=0,"",VLOOKUP($A54,'Annex 2 EHV charges'!$A:$O,9,FALSE)),"")</f>
        <v/>
      </c>
      <c r="G54" s="100" t="str">
        <f>IFERROR(IF(VLOOKUP($A54,'Annex 2 EHV charges'!$A:$O,10,FALSE)=0,"",VLOOKUP($A54,'Annex 2 EHV charges'!$A:$O,10,FALSE)),"")</f>
        <v/>
      </c>
      <c r="H54" s="100" t="str">
        <f>IFERROR(IF(VLOOKUP($A54,'Annex 2 EHV charges'!$A:$O,11,FALSE)=0,"",VLOOKUP($A54,'Annex 2 EHV charges'!$A:$O,11,FALSE)),"")</f>
        <v/>
      </c>
    </row>
    <row r="55" spans="1:8" ht="12.75" customHeight="1" x14ac:dyDescent="0.2">
      <c r="A55" s="93" t="str">
        <f t="array" ref="A55">IFERROR(INDEX('Annex 2 EHV charges'!$A$11:$A$58, MATCH(0, IF(ISBLANK('Annex 2 EHV charges'!$A$11:$A$58),1, COUNTIF(A$4:$A54, 'Annex 2 EHV charges'!$A$11:$A$58)), 0)),"")</f>
        <v/>
      </c>
      <c r="B55" s="93" t="str">
        <f>IF($A55="","",VLOOKUP($A55,'Annex 2 EHV charges'!$A:$O,2,0))</f>
        <v/>
      </c>
      <c r="C55" s="94" t="str">
        <f>IF($A55="","",VLOOKUP($A55,'Annex 2 EHV charges'!$A:$O,3,0))</f>
        <v/>
      </c>
      <c r="D55" s="93" t="str">
        <f>IF($A55="","",VLOOKUP($A55,'Annex 2 EHV charges'!$A:$O,7,0))</f>
        <v/>
      </c>
      <c r="E55" s="98" t="str">
        <f>IFERROR(IF(VLOOKUP($A55,'Annex 2 EHV charges'!$A:$O,8,FALSE)=0,"",VLOOKUP($A55,'Annex 2 EHV charges'!$A:$O,8,FALSE)),"")</f>
        <v/>
      </c>
      <c r="F55" s="99" t="str">
        <f>IFERROR(IF(VLOOKUP($A55,'Annex 2 EHV charges'!$A:$O,9,FALSE)=0,"",VLOOKUP($A55,'Annex 2 EHV charges'!$A:$O,9,FALSE)),"")</f>
        <v/>
      </c>
      <c r="G55" s="100" t="str">
        <f>IFERROR(IF(VLOOKUP($A55,'Annex 2 EHV charges'!$A:$O,10,FALSE)=0,"",VLOOKUP($A55,'Annex 2 EHV charges'!$A:$O,10,FALSE)),"")</f>
        <v/>
      </c>
      <c r="H55" s="100" t="str">
        <f>IFERROR(IF(VLOOKUP($A55,'Annex 2 EHV charges'!$A:$O,11,FALSE)=0,"",VLOOKUP($A55,'Annex 2 EHV charges'!$A:$O,11,FALSE)),"")</f>
        <v/>
      </c>
    </row>
    <row r="56" spans="1:8" ht="12.75" customHeight="1" x14ac:dyDescent="0.2">
      <c r="A56" s="93" t="str">
        <f t="array" ref="A56">IFERROR(INDEX('Annex 2 EHV charges'!$A$11:$A$58, MATCH(0, IF(ISBLANK('Annex 2 EHV charges'!$A$11:$A$58),1, COUNTIF(A$4:$A55, 'Annex 2 EHV charges'!$A$11:$A$58)), 0)),"")</f>
        <v/>
      </c>
      <c r="B56" s="93" t="str">
        <f>IF($A56="","",VLOOKUP($A56,'Annex 2 EHV charges'!$A:$O,2,0))</f>
        <v/>
      </c>
      <c r="C56" s="94" t="str">
        <f>IF($A56="","",VLOOKUP($A56,'Annex 2 EHV charges'!$A:$O,3,0))</f>
        <v/>
      </c>
      <c r="D56" s="93" t="str">
        <f>IF($A56="","",VLOOKUP($A56,'Annex 2 EHV charges'!$A:$O,7,0))</f>
        <v/>
      </c>
      <c r="E56" s="98" t="str">
        <f>IFERROR(IF(VLOOKUP($A56,'Annex 2 EHV charges'!$A:$O,8,FALSE)=0,"",VLOOKUP($A56,'Annex 2 EHV charges'!$A:$O,8,FALSE)),"")</f>
        <v/>
      </c>
      <c r="F56" s="99" t="str">
        <f>IFERROR(IF(VLOOKUP($A56,'Annex 2 EHV charges'!$A:$O,9,FALSE)=0,"",VLOOKUP($A56,'Annex 2 EHV charges'!$A:$O,9,FALSE)),"")</f>
        <v/>
      </c>
      <c r="G56" s="100" t="str">
        <f>IFERROR(IF(VLOOKUP($A56,'Annex 2 EHV charges'!$A:$O,10,FALSE)=0,"",VLOOKUP($A56,'Annex 2 EHV charges'!$A:$O,10,FALSE)),"")</f>
        <v/>
      </c>
      <c r="H56" s="100" t="str">
        <f>IFERROR(IF(VLOOKUP($A56,'Annex 2 EHV charges'!$A:$O,11,FALSE)=0,"",VLOOKUP($A56,'Annex 2 EHV charges'!$A:$O,11,FALSE)),"")</f>
        <v/>
      </c>
    </row>
    <row r="57" spans="1:8" ht="12.75" customHeight="1" x14ac:dyDescent="0.2">
      <c r="A57" s="93" t="str">
        <f t="array" ref="A57">IFERROR(INDEX('Annex 2 EHV charges'!$A$11:$A$58, MATCH(0, IF(ISBLANK('Annex 2 EHV charges'!$A$11:$A$58),1, COUNTIF(A$4:$A56, 'Annex 2 EHV charges'!$A$11:$A$58)), 0)),"")</f>
        <v/>
      </c>
      <c r="B57" s="93" t="str">
        <f>IF($A57="","",VLOOKUP($A57,'Annex 2 EHV charges'!$A:$O,2,0))</f>
        <v/>
      </c>
      <c r="C57" s="94" t="str">
        <f>IF($A57="","",VLOOKUP($A57,'Annex 2 EHV charges'!$A:$O,3,0))</f>
        <v/>
      </c>
      <c r="D57" s="93" t="str">
        <f>IF($A57="","",VLOOKUP($A57,'Annex 2 EHV charges'!$A:$O,7,0))</f>
        <v/>
      </c>
      <c r="E57" s="98" t="str">
        <f>IFERROR(IF(VLOOKUP($A57,'Annex 2 EHV charges'!$A:$O,8,FALSE)=0,"",VLOOKUP($A57,'Annex 2 EHV charges'!$A:$O,8,FALSE)),"")</f>
        <v/>
      </c>
      <c r="F57" s="99" t="str">
        <f>IFERROR(IF(VLOOKUP($A57,'Annex 2 EHV charges'!$A:$O,9,FALSE)=0,"",VLOOKUP($A57,'Annex 2 EHV charges'!$A:$O,9,FALSE)),"")</f>
        <v/>
      </c>
      <c r="G57" s="100" t="str">
        <f>IFERROR(IF(VLOOKUP($A57,'Annex 2 EHV charges'!$A:$O,10,FALSE)=0,"",VLOOKUP($A57,'Annex 2 EHV charges'!$A:$O,10,FALSE)),"")</f>
        <v/>
      </c>
      <c r="H57" s="100" t="str">
        <f>IFERROR(IF(VLOOKUP($A57,'Annex 2 EHV charges'!$A:$O,11,FALSE)=0,"",VLOOKUP($A57,'Annex 2 EHV charges'!$A:$O,11,FALSE)),"")</f>
        <v/>
      </c>
    </row>
    <row r="58" spans="1:8" ht="12.75" customHeight="1" x14ac:dyDescent="0.2">
      <c r="A58" s="93" t="str">
        <f t="array" ref="A58">IFERROR(INDEX('Annex 2 EHV charges'!$A$11:$A$58, MATCH(0, IF(ISBLANK('Annex 2 EHV charges'!$A$11:$A$58),1, COUNTIF(A$4:$A57, 'Annex 2 EHV charges'!$A$11:$A$58)), 0)),"")</f>
        <v/>
      </c>
      <c r="B58" s="93" t="str">
        <f>IF($A58="","",VLOOKUP($A58,'Annex 2 EHV charges'!$A:$O,2,0))</f>
        <v/>
      </c>
      <c r="C58" s="94" t="str">
        <f>IF($A58="","",VLOOKUP($A58,'Annex 2 EHV charges'!$A:$O,3,0))</f>
        <v/>
      </c>
      <c r="D58" s="93" t="str">
        <f>IF($A58="","",VLOOKUP($A58,'Annex 2 EHV charges'!$A:$O,7,0))</f>
        <v/>
      </c>
      <c r="E58" s="98" t="str">
        <f>IFERROR(IF(VLOOKUP($A58,'Annex 2 EHV charges'!$A:$O,8,FALSE)=0,"",VLOOKUP($A58,'Annex 2 EHV charges'!$A:$O,8,FALSE)),"")</f>
        <v/>
      </c>
      <c r="F58" s="99" t="str">
        <f>IFERROR(IF(VLOOKUP($A58,'Annex 2 EHV charges'!$A:$O,9,FALSE)=0,"",VLOOKUP($A58,'Annex 2 EHV charges'!$A:$O,9,FALSE)),"")</f>
        <v/>
      </c>
      <c r="G58" s="100" t="str">
        <f>IFERROR(IF(VLOOKUP($A58,'Annex 2 EHV charges'!$A:$O,10,FALSE)=0,"",VLOOKUP($A58,'Annex 2 EHV charges'!$A:$O,10,FALSE)),"")</f>
        <v/>
      </c>
      <c r="H58" s="100" t="str">
        <f>IFERROR(IF(VLOOKUP($A58,'Annex 2 EHV charges'!$A:$O,11,FALSE)=0,"",VLOOKUP($A58,'Annex 2 EHV charges'!$A:$O,11,FALSE)),"")</f>
        <v/>
      </c>
    </row>
    <row r="59" spans="1:8" ht="12.75" customHeight="1" x14ac:dyDescent="0.2">
      <c r="A59" s="93" t="str">
        <f t="array" ref="A59">IFERROR(INDEX('Annex 2 EHV charges'!$A$11:$A$58, MATCH(0, IF(ISBLANK('Annex 2 EHV charges'!$A$11:$A$58),1, COUNTIF(A$4:$A58, 'Annex 2 EHV charges'!$A$11:$A$58)), 0)),"")</f>
        <v/>
      </c>
      <c r="B59" s="93" t="str">
        <f>IF($A59="","",VLOOKUP($A59,'Annex 2 EHV charges'!$A:$O,2,0))</f>
        <v/>
      </c>
      <c r="C59" s="94" t="str">
        <f>IF($A59="","",VLOOKUP($A59,'Annex 2 EHV charges'!$A:$O,3,0))</f>
        <v/>
      </c>
      <c r="D59" s="93" t="str">
        <f>IF($A59="","",VLOOKUP($A59,'Annex 2 EHV charges'!$A:$O,7,0))</f>
        <v/>
      </c>
      <c r="E59" s="98" t="str">
        <f>IFERROR(IF(VLOOKUP($A59,'Annex 2 EHV charges'!$A:$O,8,FALSE)=0,"",VLOOKUP($A59,'Annex 2 EHV charges'!$A:$O,8,FALSE)),"")</f>
        <v/>
      </c>
      <c r="F59" s="99" t="str">
        <f>IFERROR(IF(VLOOKUP($A59,'Annex 2 EHV charges'!$A:$O,9,FALSE)=0,"",VLOOKUP($A59,'Annex 2 EHV charges'!$A:$O,9,FALSE)),"")</f>
        <v/>
      </c>
      <c r="G59" s="100" t="str">
        <f>IFERROR(IF(VLOOKUP($A59,'Annex 2 EHV charges'!$A:$O,10,FALSE)=0,"",VLOOKUP($A59,'Annex 2 EHV charges'!$A:$O,10,FALSE)),"")</f>
        <v/>
      </c>
      <c r="H59" s="100" t="str">
        <f>IFERROR(IF(VLOOKUP($A59,'Annex 2 EHV charges'!$A:$O,11,FALSE)=0,"",VLOOKUP($A59,'Annex 2 EHV charges'!$A:$O,11,FALSE)),"")</f>
        <v/>
      </c>
    </row>
    <row r="60" spans="1:8" ht="12.75" customHeight="1" x14ac:dyDescent="0.2">
      <c r="A60" s="93" t="str">
        <f t="array" ref="A60">IFERROR(INDEX('Annex 2 EHV charges'!$A$11:$A$58, MATCH(0, IF(ISBLANK('Annex 2 EHV charges'!$A$11:$A$58),1, COUNTIF(A$4:$A59, 'Annex 2 EHV charges'!$A$11:$A$58)), 0)),"")</f>
        <v/>
      </c>
      <c r="B60" s="93" t="str">
        <f>IF($A60="","",VLOOKUP($A60,'Annex 2 EHV charges'!$A:$O,2,0))</f>
        <v/>
      </c>
      <c r="C60" s="94" t="str">
        <f>IF($A60="","",VLOOKUP($A60,'Annex 2 EHV charges'!$A:$O,3,0))</f>
        <v/>
      </c>
      <c r="D60" s="93" t="str">
        <f>IF($A60="","",VLOOKUP($A60,'Annex 2 EHV charges'!$A:$O,7,0))</f>
        <v/>
      </c>
      <c r="E60" s="98" t="str">
        <f>IFERROR(IF(VLOOKUP($A60,'Annex 2 EHV charges'!$A:$O,8,FALSE)=0,"",VLOOKUP($A60,'Annex 2 EHV charges'!$A:$O,8,FALSE)),"")</f>
        <v/>
      </c>
      <c r="F60" s="99" t="str">
        <f>IFERROR(IF(VLOOKUP($A60,'Annex 2 EHV charges'!$A:$O,9,FALSE)=0,"",VLOOKUP($A60,'Annex 2 EHV charges'!$A:$O,9,FALSE)),"")</f>
        <v/>
      </c>
      <c r="G60" s="100" t="str">
        <f>IFERROR(IF(VLOOKUP($A60,'Annex 2 EHV charges'!$A:$O,10,FALSE)=0,"",VLOOKUP($A60,'Annex 2 EHV charges'!$A:$O,10,FALSE)),"")</f>
        <v/>
      </c>
      <c r="H60" s="100" t="str">
        <f>IFERROR(IF(VLOOKUP($A60,'Annex 2 EHV charges'!$A:$O,11,FALSE)=0,"",VLOOKUP($A60,'Annex 2 EHV charges'!$A:$O,11,FALSE)),"")</f>
        <v/>
      </c>
    </row>
    <row r="61" spans="1:8" ht="12.75" customHeight="1" x14ac:dyDescent="0.2">
      <c r="A61" s="93" t="str">
        <f t="array" ref="A61">IFERROR(INDEX('Annex 2 EHV charges'!$A$11:$A$58, MATCH(0, IF(ISBLANK('Annex 2 EHV charges'!$A$11:$A$58),1, COUNTIF(A$4:$A60, 'Annex 2 EHV charges'!$A$11:$A$58)), 0)),"")</f>
        <v/>
      </c>
      <c r="B61" s="93" t="str">
        <f>IF($A61="","",VLOOKUP($A61,'Annex 2 EHV charges'!$A:$O,2,0))</f>
        <v/>
      </c>
      <c r="C61" s="94" t="str">
        <f>IF($A61="","",VLOOKUP($A61,'Annex 2 EHV charges'!$A:$O,3,0))</f>
        <v/>
      </c>
      <c r="D61" s="93" t="str">
        <f>IF($A61="","",VLOOKUP($A61,'Annex 2 EHV charges'!$A:$O,7,0))</f>
        <v/>
      </c>
      <c r="E61" s="98" t="str">
        <f>IFERROR(IF(VLOOKUP($A61,'Annex 2 EHV charges'!$A:$O,8,FALSE)=0,"",VLOOKUP($A61,'Annex 2 EHV charges'!$A:$O,8,FALSE)),"")</f>
        <v/>
      </c>
      <c r="F61" s="99" t="str">
        <f>IFERROR(IF(VLOOKUP($A61,'Annex 2 EHV charges'!$A:$O,9,FALSE)=0,"",VLOOKUP($A61,'Annex 2 EHV charges'!$A:$O,9,FALSE)),"")</f>
        <v/>
      </c>
      <c r="G61" s="100" t="str">
        <f>IFERROR(IF(VLOOKUP($A61,'Annex 2 EHV charges'!$A:$O,10,FALSE)=0,"",VLOOKUP($A61,'Annex 2 EHV charges'!$A:$O,10,FALSE)),"")</f>
        <v/>
      </c>
      <c r="H61" s="100" t="str">
        <f>IFERROR(IF(VLOOKUP($A61,'Annex 2 EHV charges'!$A:$O,11,FALSE)=0,"",VLOOKUP($A61,'Annex 2 EHV charges'!$A:$O,11,FALSE)),"")</f>
        <v/>
      </c>
    </row>
    <row r="62" spans="1:8" ht="12.75" customHeight="1" x14ac:dyDescent="0.2">
      <c r="A62" s="93" t="str">
        <f t="array" ref="A62">IFERROR(INDEX('Annex 2 EHV charges'!$A$11:$A$58, MATCH(0, IF(ISBLANK('Annex 2 EHV charges'!$A$11:$A$58),1, COUNTIF(A$4:$A61, 'Annex 2 EHV charges'!$A$11:$A$58)), 0)),"")</f>
        <v/>
      </c>
      <c r="B62" s="93" t="str">
        <f>IF($A62="","",VLOOKUP($A62,'Annex 2 EHV charges'!$A:$O,2,0))</f>
        <v/>
      </c>
      <c r="C62" s="94" t="str">
        <f>IF($A62="","",VLOOKUP($A62,'Annex 2 EHV charges'!$A:$O,3,0))</f>
        <v/>
      </c>
      <c r="D62" s="93" t="str">
        <f>IF($A62="","",VLOOKUP($A62,'Annex 2 EHV charges'!$A:$O,7,0))</f>
        <v/>
      </c>
      <c r="E62" s="98" t="str">
        <f>IFERROR(IF(VLOOKUP($A62,'Annex 2 EHV charges'!$A:$O,8,FALSE)=0,"",VLOOKUP($A62,'Annex 2 EHV charges'!$A:$O,8,FALSE)),"")</f>
        <v/>
      </c>
      <c r="F62" s="99" t="str">
        <f>IFERROR(IF(VLOOKUP($A62,'Annex 2 EHV charges'!$A:$O,9,FALSE)=0,"",VLOOKUP($A62,'Annex 2 EHV charges'!$A:$O,9,FALSE)),"")</f>
        <v/>
      </c>
      <c r="G62" s="100" t="str">
        <f>IFERROR(IF(VLOOKUP($A62,'Annex 2 EHV charges'!$A:$O,10,FALSE)=0,"",VLOOKUP($A62,'Annex 2 EHV charges'!$A:$O,10,FALSE)),"")</f>
        <v/>
      </c>
      <c r="H62" s="100" t="str">
        <f>IFERROR(IF(VLOOKUP($A62,'Annex 2 EHV charges'!$A:$O,11,FALSE)=0,"",VLOOKUP($A62,'Annex 2 EHV charges'!$A:$O,11,FALSE)),"")</f>
        <v/>
      </c>
    </row>
    <row r="63" spans="1:8" ht="12.75" customHeight="1" x14ac:dyDescent="0.2">
      <c r="A63" s="93" t="str">
        <f t="array" ref="A63">IFERROR(INDEX('Annex 2 EHV charges'!$A$11:$A$58, MATCH(0, IF(ISBLANK('Annex 2 EHV charges'!$A$11:$A$58),1, COUNTIF(A$4:$A62, 'Annex 2 EHV charges'!$A$11:$A$58)), 0)),"")</f>
        <v/>
      </c>
      <c r="B63" s="93" t="str">
        <f>IF($A63="","",VLOOKUP($A63,'Annex 2 EHV charges'!$A:$O,2,0))</f>
        <v/>
      </c>
      <c r="C63" s="94" t="str">
        <f>IF($A63="","",VLOOKUP($A63,'Annex 2 EHV charges'!$A:$O,3,0))</f>
        <v/>
      </c>
      <c r="D63" s="93" t="str">
        <f>IF($A63="","",VLOOKUP($A63,'Annex 2 EHV charges'!$A:$O,7,0))</f>
        <v/>
      </c>
      <c r="E63" s="98" t="str">
        <f>IFERROR(IF(VLOOKUP($A63,'Annex 2 EHV charges'!$A:$O,8,FALSE)=0,"",VLOOKUP($A63,'Annex 2 EHV charges'!$A:$O,8,FALSE)),"")</f>
        <v/>
      </c>
      <c r="F63" s="99" t="str">
        <f>IFERROR(IF(VLOOKUP($A63,'Annex 2 EHV charges'!$A:$O,9,FALSE)=0,"",VLOOKUP($A63,'Annex 2 EHV charges'!$A:$O,9,FALSE)),"")</f>
        <v/>
      </c>
      <c r="G63" s="100" t="str">
        <f>IFERROR(IF(VLOOKUP($A63,'Annex 2 EHV charges'!$A:$O,10,FALSE)=0,"",VLOOKUP($A63,'Annex 2 EHV charges'!$A:$O,10,FALSE)),"")</f>
        <v/>
      </c>
      <c r="H63" s="100" t="str">
        <f>IFERROR(IF(VLOOKUP($A63,'Annex 2 EHV charges'!$A:$O,11,FALSE)=0,"",VLOOKUP($A63,'Annex 2 EHV charges'!$A:$O,11,FALSE)),"")</f>
        <v/>
      </c>
    </row>
    <row r="64" spans="1:8" ht="12.75" customHeight="1" x14ac:dyDescent="0.2">
      <c r="A64" s="93" t="str">
        <f t="array" ref="A64">IFERROR(INDEX('Annex 2 EHV charges'!$A$11:$A$58, MATCH(0, IF(ISBLANK('Annex 2 EHV charges'!$A$11:$A$58),1, COUNTIF(A$4:$A63, 'Annex 2 EHV charges'!$A$11:$A$58)), 0)),"")</f>
        <v/>
      </c>
      <c r="B64" s="93" t="str">
        <f>IF($A64="","",VLOOKUP($A64,'Annex 2 EHV charges'!$A:$O,2,0))</f>
        <v/>
      </c>
      <c r="C64" s="94" t="str">
        <f>IF($A64="","",VLOOKUP($A64,'Annex 2 EHV charges'!$A:$O,3,0))</f>
        <v/>
      </c>
      <c r="D64" s="93" t="str">
        <f>IF($A64="","",VLOOKUP($A64,'Annex 2 EHV charges'!$A:$O,7,0))</f>
        <v/>
      </c>
      <c r="E64" s="98" t="str">
        <f>IFERROR(IF(VLOOKUP($A64,'Annex 2 EHV charges'!$A:$O,8,FALSE)=0,"",VLOOKUP($A64,'Annex 2 EHV charges'!$A:$O,8,FALSE)),"")</f>
        <v/>
      </c>
      <c r="F64" s="99" t="str">
        <f>IFERROR(IF(VLOOKUP($A64,'Annex 2 EHV charges'!$A:$O,9,FALSE)=0,"",VLOOKUP($A64,'Annex 2 EHV charges'!$A:$O,9,FALSE)),"")</f>
        <v/>
      </c>
      <c r="G64" s="100" t="str">
        <f>IFERROR(IF(VLOOKUP($A64,'Annex 2 EHV charges'!$A:$O,10,FALSE)=0,"",VLOOKUP($A64,'Annex 2 EHV charges'!$A:$O,10,FALSE)),"")</f>
        <v/>
      </c>
      <c r="H64" s="100" t="str">
        <f>IFERROR(IF(VLOOKUP($A64,'Annex 2 EHV charges'!$A:$O,11,FALSE)=0,"",VLOOKUP($A64,'Annex 2 EHV charges'!$A:$O,11,FALSE)),"")</f>
        <v/>
      </c>
    </row>
    <row r="65" spans="1:8" ht="12.75" customHeight="1" x14ac:dyDescent="0.2">
      <c r="A65" s="93" t="str">
        <f t="array" ref="A65">IFERROR(INDEX('Annex 2 EHV charges'!$A$11:$A$58, MATCH(0, IF(ISBLANK('Annex 2 EHV charges'!$A$11:$A$58),1, COUNTIF(A$4:$A64, 'Annex 2 EHV charges'!$A$11:$A$58)), 0)),"")</f>
        <v/>
      </c>
      <c r="B65" s="93" t="str">
        <f>IF($A65="","",VLOOKUP($A65,'Annex 2 EHV charges'!$A:$O,2,0))</f>
        <v/>
      </c>
      <c r="C65" s="94" t="str">
        <f>IF($A65="","",VLOOKUP($A65,'Annex 2 EHV charges'!$A:$O,3,0))</f>
        <v/>
      </c>
      <c r="D65" s="93" t="str">
        <f>IF($A65="","",VLOOKUP($A65,'Annex 2 EHV charges'!$A:$O,7,0))</f>
        <v/>
      </c>
      <c r="E65" s="98" t="str">
        <f>IFERROR(IF(VLOOKUP($A65,'Annex 2 EHV charges'!$A:$O,8,FALSE)=0,"",VLOOKUP($A65,'Annex 2 EHV charges'!$A:$O,8,FALSE)),"")</f>
        <v/>
      </c>
      <c r="F65" s="99" t="str">
        <f>IFERROR(IF(VLOOKUP($A65,'Annex 2 EHV charges'!$A:$O,9,FALSE)=0,"",VLOOKUP($A65,'Annex 2 EHV charges'!$A:$O,9,FALSE)),"")</f>
        <v/>
      </c>
      <c r="G65" s="100" t="str">
        <f>IFERROR(IF(VLOOKUP($A65,'Annex 2 EHV charges'!$A:$O,10,FALSE)=0,"",VLOOKUP($A65,'Annex 2 EHV charges'!$A:$O,10,FALSE)),"")</f>
        <v/>
      </c>
      <c r="H65" s="100" t="str">
        <f>IFERROR(IF(VLOOKUP($A65,'Annex 2 EHV charges'!$A:$O,11,FALSE)=0,"",VLOOKUP($A65,'Annex 2 EHV charges'!$A:$O,11,FALSE)),"")</f>
        <v/>
      </c>
    </row>
    <row r="66" spans="1:8" ht="12.75" customHeight="1" x14ac:dyDescent="0.2">
      <c r="A66" s="93" t="str">
        <f t="array" ref="A66">IFERROR(INDEX('Annex 2 EHV charges'!$A$11:$A$58, MATCH(0, IF(ISBLANK('Annex 2 EHV charges'!$A$11:$A$58),1, COUNTIF(A$4:$A65, 'Annex 2 EHV charges'!$A$11:$A$58)), 0)),"")</f>
        <v/>
      </c>
      <c r="B66" s="93" t="str">
        <f>IF($A66="","",VLOOKUP($A66,'Annex 2 EHV charges'!$A:$O,2,0))</f>
        <v/>
      </c>
      <c r="C66" s="94" t="str">
        <f>IF($A66="","",VLOOKUP($A66,'Annex 2 EHV charges'!$A:$O,3,0))</f>
        <v/>
      </c>
      <c r="D66" s="93" t="str">
        <f>IF($A66="","",VLOOKUP($A66,'Annex 2 EHV charges'!$A:$O,7,0))</f>
        <v/>
      </c>
      <c r="E66" s="98" t="str">
        <f>IFERROR(IF(VLOOKUP($A66,'Annex 2 EHV charges'!$A:$O,8,FALSE)=0,"",VLOOKUP($A66,'Annex 2 EHV charges'!$A:$O,8,FALSE)),"")</f>
        <v/>
      </c>
      <c r="F66" s="99" t="str">
        <f>IFERROR(IF(VLOOKUP($A66,'Annex 2 EHV charges'!$A:$O,9,FALSE)=0,"",VLOOKUP($A66,'Annex 2 EHV charges'!$A:$O,9,FALSE)),"")</f>
        <v/>
      </c>
      <c r="G66" s="100" t="str">
        <f>IFERROR(IF(VLOOKUP($A66,'Annex 2 EHV charges'!$A:$O,10,FALSE)=0,"",VLOOKUP($A66,'Annex 2 EHV charges'!$A:$O,10,FALSE)),"")</f>
        <v/>
      </c>
      <c r="H66" s="100" t="str">
        <f>IFERROR(IF(VLOOKUP($A66,'Annex 2 EHV charges'!$A:$O,11,FALSE)=0,"",VLOOKUP($A66,'Annex 2 EHV charges'!$A:$O,11,FALSE)),"")</f>
        <v/>
      </c>
    </row>
    <row r="67" spans="1:8" ht="12.75" customHeight="1" x14ac:dyDescent="0.2">
      <c r="A67" s="93" t="str">
        <f t="array" ref="A67">IFERROR(INDEX('Annex 2 EHV charges'!$A$11:$A$58, MATCH(0, IF(ISBLANK('Annex 2 EHV charges'!$A$11:$A$58),1, COUNTIF(A$4:$A66, 'Annex 2 EHV charges'!$A$11:$A$58)), 0)),"")</f>
        <v/>
      </c>
      <c r="B67" s="93" t="str">
        <f>IF($A67="","",VLOOKUP($A67,'Annex 2 EHV charges'!$A:$O,2,0))</f>
        <v/>
      </c>
      <c r="C67" s="94" t="str">
        <f>IF($A67="","",VLOOKUP($A67,'Annex 2 EHV charges'!$A:$O,3,0))</f>
        <v/>
      </c>
      <c r="D67" s="93" t="str">
        <f>IF($A67="","",VLOOKUP($A67,'Annex 2 EHV charges'!$A:$O,7,0))</f>
        <v/>
      </c>
      <c r="E67" s="98" t="str">
        <f>IFERROR(IF(VLOOKUP($A67,'Annex 2 EHV charges'!$A:$O,8,FALSE)=0,"",VLOOKUP($A67,'Annex 2 EHV charges'!$A:$O,8,FALSE)),"")</f>
        <v/>
      </c>
      <c r="F67" s="99" t="str">
        <f>IFERROR(IF(VLOOKUP($A67,'Annex 2 EHV charges'!$A:$O,9,FALSE)=0,"",VLOOKUP($A67,'Annex 2 EHV charges'!$A:$O,9,FALSE)),"")</f>
        <v/>
      </c>
      <c r="G67" s="100" t="str">
        <f>IFERROR(IF(VLOOKUP($A67,'Annex 2 EHV charges'!$A:$O,10,FALSE)=0,"",VLOOKUP($A67,'Annex 2 EHV charges'!$A:$O,10,FALSE)),"")</f>
        <v/>
      </c>
      <c r="H67" s="100" t="str">
        <f>IFERROR(IF(VLOOKUP($A67,'Annex 2 EHV charges'!$A:$O,11,FALSE)=0,"",VLOOKUP($A67,'Annex 2 EHV charges'!$A:$O,11,FALSE)),"")</f>
        <v/>
      </c>
    </row>
    <row r="68" spans="1:8" ht="12.75" customHeight="1" x14ac:dyDescent="0.2">
      <c r="A68" s="93" t="str">
        <f t="array" ref="A68">IFERROR(INDEX('Annex 2 EHV charges'!$A$11:$A$58, MATCH(0, IF(ISBLANK('Annex 2 EHV charges'!$A$11:$A$58),1, COUNTIF(A$4:$A67, 'Annex 2 EHV charges'!$A$11:$A$58)), 0)),"")</f>
        <v/>
      </c>
      <c r="B68" s="93" t="str">
        <f>IF($A68="","",VLOOKUP($A68,'Annex 2 EHV charges'!$A:$O,2,0))</f>
        <v/>
      </c>
      <c r="C68" s="94" t="str">
        <f>IF($A68="","",VLOOKUP($A68,'Annex 2 EHV charges'!$A:$O,3,0))</f>
        <v/>
      </c>
      <c r="D68" s="93" t="str">
        <f>IF($A68="","",VLOOKUP($A68,'Annex 2 EHV charges'!$A:$O,7,0))</f>
        <v/>
      </c>
      <c r="E68" s="98" t="str">
        <f>IFERROR(IF(VLOOKUP($A68,'Annex 2 EHV charges'!$A:$O,8,FALSE)=0,"",VLOOKUP($A68,'Annex 2 EHV charges'!$A:$O,8,FALSE)),"")</f>
        <v/>
      </c>
      <c r="F68" s="99" t="str">
        <f>IFERROR(IF(VLOOKUP($A68,'Annex 2 EHV charges'!$A:$O,9,FALSE)=0,"",VLOOKUP($A68,'Annex 2 EHV charges'!$A:$O,9,FALSE)),"")</f>
        <v/>
      </c>
      <c r="G68" s="100" t="str">
        <f>IFERROR(IF(VLOOKUP($A68,'Annex 2 EHV charges'!$A:$O,10,FALSE)=0,"",VLOOKUP($A68,'Annex 2 EHV charges'!$A:$O,10,FALSE)),"")</f>
        <v/>
      </c>
      <c r="H68" s="100" t="str">
        <f>IFERROR(IF(VLOOKUP($A68,'Annex 2 EHV charges'!$A:$O,11,FALSE)=0,"",VLOOKUP($A68,'Annex 2 EHV charges'!$A:$O,11,FALSE)),"")</f>
        <v/>
      </c>
    </row>
    <row r="69" spans="1:8" ht="12.75" customHeight="1" x14ac:dyDescent="0.2">
      <c r="A69" s="93" t="str">
        <f t="array" ref="A69">IFERROR(INDEX('Annex 2 EHV charges'!$A$11:$A$58, MATCH(0, IF(ISBLANK('Annex 2 EHV charges'!$A$11:$A$58),1, COUNTIF(A$4:$A68, 'Annex 2 EHV charges'!$A$11:$A$58)), 0)),"")</f>
        <v/>
      </c>
      <c r="B69" s="93" t="str">
        <f>IF($A69="","",VLOOKUP($A69,'Annex 2 EHV charges'!$A:$O,2,0))</f>
        <v/>
      </c>
      <c r="C69" s="94" t="str">
        <f>IF($A69="","",VLOOKUP($A69,'Annex 2 EHV charges'!$A:$O,3,0))</f>
        <v/>
      </c>
      <c r="D69" s="93" t="str">
        <f>IF($A69="","",VLOOKUP($A69,'Annex 2 EHV charges'!$A:$O,7,0))</f>
        <v/>
      </c>
      <c r="E69" s="98" t="str">
        <f>IFERROR(IF(VLOOKUP($A69,'Annex 2 EHV charges'!$A:$O,8,FALSE)=0,"",VLOOKUP($A69,'Annex 2 EHV charges'!$A:$O,8,FALSE)),"")</f>
        <v/>
      </c>
      <c r="F69" s="99" t="str">
        <f>IFERROR(IF(VLOOKUP($A69,'Annex 2 EHV charges'!$A:$O,9,FALSE)=0,"",VLOOKUP($A69,'Annex 2 EHV charges'!$A:$O,9,FALSE)),"")</f>
        <v/>
      </c>
      <c r="G69" s="100" t="str">
        <f>IFERROR(IF(VLOOKUP($A69,'Annex 2 EHV charges'!$A:$O,10,FALSE)=0,"",VLOOKUP($A69,'Annex 2 EHV charges'!$A:$O,10,FALSE)),"")</f>
        <v/>
      </c>
      <c r="H69" s="100" t="str">
        <f>IFERROR(IF(VLOOKUP($A69,'Annex 2 EHV charges'!$A:$O,11,FALSE)=0,"",VLOOKUP($A69,'Annex 2 EHV charges'!$A:$O,11,FALSE)),"")</f>
        <v/>
      </c>
    </row>
    <row r="70" spans="1:8" ht="12.75" customHeight="1" x14ac:dyDescent="0.2">
      <c r="A70" s="93" t="str">
        <f t="array" ref="A70">IFERROR(INDEX('Annex 2 EHV charges'!$A$11:$A$58, MATCH(0, IF(ISBLANK('Annex 2 EHV charges'!$A$11:$A$58),1, COUNTIF(A$4:$A69, 'Annex 2 EHV charges'!$A$11:$A$58)), 0)),"")</f>
        <v/>
      </c>
      <c r="B70" s="93" t="str">
        <f>IF($A70="","",VLOOKUP($A70,'Annex 2 EHV charges'!$A:$O,2,0))</f>
        <v/>
      </c>
      <c r="C70" s="94" t="str">
        <f>IF($A70="","",VLOOKUP($A70,'Annex 2 EHV charges'!$A:$O,3,0))</f>
        <v/>
      </c>
      <c r="D70" s="93" t="str">
        <f>IF($A70="","",VLOOKUP($A70,'Annex 2 EHV charges'!$A:$O,7,0))</f>
        <v/>
      </c>
      <c r="E70" s="98" t="str">
        <f>IFERROR(IF(VLOOKUP($A70,'Annex 2 EHV charges'!$A:$O,8,FALSE)=0,"",VLOOKUP($A70,'Annex 2 EHV charges'!$A:$O,8,FALSE)),"")</f>
        <v/>
      </c>
      <c r="F70" s="99" t="str">
        <f>IFERROR(IF(VLOOKUP($A70,'Annex 2 EHV charges'!$A:$O,9,FALSE)=0,"",VLOOKUP($A70,'Annex 2 EHV charges'!$A:$O,9,FALSE)),"")</f>
        <v/>
      </c>
      <c r="G70" s="100" t="str">
        <f>IFERROR(IF(VLOOKUP($A70,'Annex 2 EHV charges'!$A:$O,10,FALSE)=0,"",VLOOKUP($A70,'Annex 2 EHV charges'!$A:$O,10,FALSE)),"")</f>
        <v/>
      </c>
      <c r="H70" s="100" t="str">
        <f>IFERROR(IF(VLOOKUP($A70,'Annex 2 EHV charges'!$A:$O,11,FALSE)=0,"",VLOOKUP($A70,'Annex 2 EHV charges'!$A:$O,11,FALSE)),"")</f>
        <v/>
      </c>
    </row>
    <row r="71" spans="1:8" ht="12.75" customHeight="1" x14ac:dyDescent="0.2">
      <c r="A71" s="93" t="str">
        <f t="array" ref="A71">IFERROR(INDEX('Annex 2 EHV charges'!$A$11:$A$58, MATCH(0, IF(ISBLANK('Annex 2 EHV charges'!$A$11:$A$58),1, COUNTIF(A$4:$A70, 'Annex 2 EHV charges'!$A$11:$A$58)), 0)),"")</f>
        <v/>
      </c>
      <c r="B71" s="93" t="str">
        <f>IF($A71="","",VLOOKUP($A71,'Annex 2 EHV charges'!$A:$O,2,0))</f>
        <v/>
      </c>
      <c r="C71" s="94" t="str">
        <f>IF($A71="","",VLOOKUP($A71,'Annex 2 EHV charges'!$A:$O,3,0))</f>
        <v/>
      </c>
      <c r="D71" s="93" t="str">
        <f>IF($A71="","",VLOOKUP($A71,'Annex 2 EHV charges'!$A:$O,7,0))</f>
        <v/>
      </c>
      <c r="E71" s="98" t="str">
        <f>IFERROR(IF(VLOOKUP($A71,'Annex 2 EHV charges'!$A:$O,8,FALSE)=0,"",VLOOKUP($A71,'Annex 2 EHV charges'!$A:$O,8,FALSE)),"")</f>
        <v/>
      </c>
      <c r="F71" s="99" t="str">
        <f>IFERROR(IF(VLOOKUP($A71,'Annex 2 EHV charges'!$A:$O,9,FALSE)=0,"",VLOOKUP($A71,'Annex 2 EHV charges'!$A:$O,9,FALSE)),"")</f>
        <v/>
      </c>
      <c r="G71" s="100" t="str">
        <f>IFERROR(IF(VLOOKUP($A71,'Annex 2 EHV charges'!$A:$O,10,FALSE)=0,"",VLOOKUP($A71,'Annex 2 EHV charges'!$A:$O,10,FALSE)),"")</f>
        <v/>
      </c>
      <c r="H71" s="100" t="str">
        <f>IFERROR(IF(VLOOKUP($A71,'Annex 2 EHV charges'!$A:$O,11,FALSE)=0,"",VLOOKUP($A71,'Annex 2 EHV charges'!$A:$O,11,FALSE)),"")</f>
        <v/>
      </c>
    </row>
    <row r="72" spans="1:8" ht="12.75" customHeight="1" x14ac:dyDescent="0.2">
      <c r="A72" s="93" t="str">
        <f t="array" ref="A72">IFERROR(INDEX('Annex 2 EHV charges'!$A$11:$A$58, MATCH(0, IF(ISBLANK('Annex 2 EHV charges'!$A$11:$A$58),1, COUNTIF(A$4:$A71, 'Annex 2 EHV charges'!$A$11:$A$58)), 0)),"")</f>
        <v/>
      </c>
      <c r="B72" s="93" t="str">
        <f>IF($A72="","",VLOOKUP($A72,'Annex 2 EHV charges'!$A:$O,2,0))</f>
        <v/>
      </c>
      <c r="C72" s="94" t="str">
        <f>IF($A72="","",VLOOKUP($A72,'Annex 2 EHV charges'!$A:$O,3,0))</f>
        <v/>
      </c>
      <c r="D72" s="93" t="str">
        <f>IF($A72="","",VLOOKUP($A72,'Annex 2 EHV charges'!$A:$O,7,0))</f>
        <v/>
      </c>
      <c r="E72" s="98" t="str">
        <f>IFERROR(IF(VLOOKUP($A72,'Annex 2 EHV charges'!$A:$O,8,FALSE)=0,"",VLOOKUP($A72,'Annex 2 EHV charges'!$A:$O,8,FALSE)),"")</f>
        <v/>
      </c>
      <c r="F72" s="99" t="str">
        <f>IFERROR(IF(VLOOKUP($A72,'Annex 2 EHV charges'!$A:$O,9,FALSE)=0,"",VLOOKUP($A72,'Annex 2 EHV charges'!$A:$O,9,FALSE)),"")</f>
        <v/>
      </c>
      <c r="G72" s="100" t="str">
        <f>IFERROR(IF(VLOOKUP($A72,'Annex 2 EHV charges'!$A:$O,10,FALSE)=0,"",VLOOKUP($A72,'Annex 2 EHV charges'!$A:$O,10,FALSE)),"")</f>
        <v/>
      </c>
      <c r="H72" s="100" t="str">
        <f>IFERROR(IF(VLOOKUP($A72,'Annex 2 EHV charges'!$A:$O,11,FALSE)=0,"",VLOOKUP($A72,'Annex 2 EHV charges'!$A:$O,11,FALSE)),"")</f>
        <v/>
      </c>
    </row>
    <row r="73" spans="1:8" ht="12.75" customHeight="1" x14ac:dyDescent="0.2">
      <c r="A73" s="93" t="str">
        <f t="array" ref="A73">IFERROR(INDEX('Annex 2 EHV charges'!$A$11:$A$58, MATCH(0, IF(ISBLANK('Annex 2 EHV charges'!$A$11:$A$58),1, COUNTIF(A$4:$A72, 'Annex 2 EHV charges'!$A$11:$A$58)), 0)),"")</f>
        <v/>
      </c>
      <c r="B73" s="93" t="str">
        <f>IF($A73="","",VLOOKUP($A73,'Annex 2 EHV charges'!$A:$O,2,0))</f>
        <v/>
      </c>
      <c r="C73" s="94" t="str">
        <f>IF($A73="","",VLOOKUP($A73,'Annex 2 EHV charges'!$A:$O,3,0))</f>
        <v/>
      </c>
      <c r="D73" s="93" t="str">
        <f>IF($A73="","",VLOOKUP($A73,'Annex 2 EHV charges'!$A:$O,7,0))</f>
        <v/>
      </c>
      <c r="E73" s="98" t="str">
        <f>IFERROR(IF(VLOOKUP($A73,'Annex 2 EHV charges'!$A:$O,8,FALSE)=0,"",VLOOKUP($A73,'Annex 2 EHV charges'!$A:$O,8,FALSE)),"")</f>
        <v/>
      </c>
      <c r="F73" s="99" t="str">
        <f>IFERROR(IF(VLOOKUP($A73,'Annex 2 EHV charges'!$A:$O,9,FALSE)=0,"",VLOOKUP($A73,'Annex 2 EHV charges'!$A:$O,9,FALSE)),"")</f>
        <v/>
      </c>
      <c r="G73" s="100" t="str">
        <f>IFERROR(IF(VLOOKUP($A73,'Annex 2 EHV charges'!$A:$O,10,FALSE)=0,"",VLOOKUP($A73,'Annex 2 EHV charges'!$A:$O,10,FALSE)),"")</f>
        <v/>
      </c>
      <c r="H73" s="100" t="str">
        <f>IFERROR(IF(VLOOKUP($A73,'Annex 2 EHV charges'!$A:$O,11,FALSE)=0,"",VLOOKUP($A73,'Annex 2 EHV charges'!$A:$O,11,FALSE)),"")</f>
        <v/>
      </c>
    </row>
    <row r="74" spans="1:8" ht="12.75" customHeight="1" x14ac:dyDescent="0.2">
      <c r="A74" s="93" t="str">
        <f t="array" ref="A74">IFERROR(INDEX('Annex 2 EHV charges'!$A$11:$A$58, MATCH(0, IF(ISBLANK('Annex 2 EHV charges'!$A$11:$A$58),1, COUNTIF(A$4:$A73, 'Annex 2 EHV charges'!$A$11:$A$58)), 0)),"")</f>
        <v/>
      </c>
      <c r="B74" s="93" t="str">
        <f>IF($A74="","",VLOOKUP($A74,'Annex 2 EHV charges'!$A:$O,2,0))</f>
        <v/>
      </c>
      <c r="C74" s="94" t="str">
        <f>IF($A74="","",VLOOKUP($A74,'Annex 2 EHV charges'!$A:$O,3,0))</f>
        <v/>
      </c>
      <c r="D74" s="93" t="str">
        <f>IF($A74="","",VLOOKUP($A74,'Annex 2 EHV charges'!$A:$O,7,0))</f>
        <v/>
      </c>
      <c r="E74" s="98" t="str">
        <f>IFERROR(IF(VLOOKUP($A74,'Annex 2 EHV charges'!$A:$O,8,FALSE)=0,"",VLOOKUP($A74,'Annex 2 EHV charges'!$A:$O,8,FALSE)),"")</f>
        <v/>
      </c>
      <c r="F74" s="99" t="str">
        <f>IFERROR(IF(VLOOKUP($A74,'Annex 2 EHV charges'!$A:$O,9,FALSE)=0,"",VLOOKUP($A74,'Annex 2 EHV charges'!$A:$O,9,FALSE)),"")</f>
        <v/>
      </c>
      <c r="G74" s="100" t="str">
        <f>IFERROR(IF(VLOOKUP($A74,'Annex 2 EHV charges'!$A:$O,10,FALSE)=0,"",VLOOKUP($A74,'Annex 2 EHV charges'!$A:$O,10,FALSE)),"")</f>
        <v/>
      </c>
      <c r="H74" s="100" t="str">
        <f>IFERROR(IF(VLOOKUP($A74,'Annex 2 EHV charges'!$A:$O,11,FALSE)=0,"",VLOOKUP($A74,'Annex 2 EHV charges'!$A:$O,11,FALSE)),"")</f>
        <v/>
      </c>
    </row>
    <row r="75" spans="1:8" ht="12.75" customHeight="1" x14ac:dyDescent="0.2">
      <c r="A75" s="93" t="str">
        <f t="array" ref="A75">IFERROR(INDEX('Annex 2 EHV charges'!$A$11:$A$58, MATCH(0, IF(ISBLANK('Annex 2 EHV charges'!$A$11:$A$58),1, COUNTIF(A$4:$A74, 'Annex 2 EHV charges'!$A$11:$A$58)), 0)),"")</f>
        <v/>
      </c>
      <c r="B75" s="93" t="str">
        <f>IF($A75="","",VLOOKUP($A75,'Annex 2 EHV charges'!$A:$O,2,0))</f>
        <v/>
      </c>
      <c r="C75" s="94" t="str">
        <f>IF($A75="","",VLOOKUP($A75,'Annex 2 EHV charges'!$A:$O,3,0))</f>
        <v/>
      </c>
      <c r="D75" s="93" t="str">
        <f>IF($A75="","",VLOOKUP($A75,'Annex 2 EHV charges'!$A:$O,7,0))</f>
        <v/>
      </c>
      <c r="E75" s="98" t="str">
        <f>IFERROR(IF(VLOOKUP($A75,'Annex 2 EHV charges'!$A:$O,8,FALSE)=0,"",VLOOKUP($A75,'Annex 2 EHV charges'!$A:$O,8,FALSE)),"")</f>
        <v/>
      </c>
      <c r="F75" s="99" t="str">
        <f>IFERROR(IF(VLOOKUP($A75,'Annex 2 EHV charges'!$A:$O,9,FALSE)=0,"",VLOOKUP($A75,'Annex 2 EHV charges'!$A:$O,9,FALSE)),"")</f>
        <v/>
      </c>
      <c r="G75" s="100" t="str">
        <f>IFERROR(IF(VLOOKUP($A75,'Annex 2 EHV charges'!$A:$O,10,FALSE)=0,"",VLOOKUP($A75,'Annex 2 EHV charges'!$A:$O,10,FALSE)),"")</f>
        <v/>
      </c>
      <c r="H75" s="100" t="str">
        <f>IFERROR(IF(VLOOKUP($A75,'Annex 2 EHV charges'!$A:$O,11,FALSE)=0,"",VLOOKUP($A75,'Annex 2 EHV charges'!$A:$O,11,FALSE)),"")</f>
        <v/>
      </c>
    </row>
    <row r="76" spans="1:8" ht="12.75" customHeight="1" x14ac:dyDescent="0.2">
      <c r="A76" s="93" t="str">
        <f t="array" ref="A76">IFERROR(INDEX('Annex 2 EHV charges'!$A$11:$A$58, MATCH(0, IF(ISBLANK('Annex 2 EHV charges'!$A$11:$A$58),1, COUNTIF(A$4:$A75, 'Annex 2 EHV charges'!$A$11:$A$58)), 0)),"")</f>
        <v/>
      </c>
      <c r="B76" s="93" t="str">
        <f>IF($A76="","",VLOOKUP($A76,'Annex 2 EHV charges'!$A:$O,2,0))</f>
        <v/>
      </c>
      <c r="C76" s="94" t="str">
        <f>IF($A76="","",VLOOKUP($A76,'Annex 2 EHV charges'!$A:$O,3,0))</f>
        <v/>
      </c>
      <c r="D76" s="93" t="str">
        <f>IF($A76="","",VLOOKUP($A76,'Annex 2 EHV charges'!$A:$O,7,0))</f>
        <v/>
      </c>
      <c r="E76" s="98" t="str">
        <f>IFERROR(IF(VLOOKUP($A76,'Annex 2 EHV charges'!$A:$O,8,FALSE)=0,"",VLOOKUP($A76,'Annex 2 EHV charges'!$A:$O,8,FALSE)),"")</f>
        <v/>
      </c>
      <c r="F76" s="99" t="str">
        <f>IFERROR(IF(VLOOKUP($A76,'Annex 2 EHV charges'!$A:$O,9,FALSE)=0,"",VLOOKUP($A76,'Annex 2 EHV charges'!$A:$O,9,FALSE)),"")</f>
        <v/>
      </c>
      <c r="G76" s="100" t="str">
        <f>IFERROR(IF(VLOOKUP($A76,'Annex 2 EHV charges'!$A:$O,10,FALSE)=0,"",VLOOKUP($A76,'Annex 2 EHV charges'!$A:$O,10,FALSE)),"")</f>
        <v/>
      </c>
      <c r="H76" s="100" t="str">
        <f>IFERROR(IF(VLOOKUP($A76,'Annex 2 EHV charges'!$A:$O,11,FALSE)=0,"",VLOOKUP($A76,'Annex 2 EHV charges'!$A:$O,11,FALSE)),"")</f>
        <v/>
      </c>
    </row>
    <row r="77" spans="1:8" ht="12.75" customHeight="1" x14ac:dyDescent="0.2">
      <c r="A77" s="93" t="str">
        <f t="array" ref="A77">IFERROR(INDEX('Annex 2 EHV charges'!$A$11:$A$58, MATCH(0, IF(ISBLANK('Annex 2 EHV charges'!$A$11:$A$58),1, COUNTIF(A$4:$A76, 'Annex 2 EHV charges'!$A$11:$A$58)), 0)),"")</f>
        <v/>
      </c>
      <c r="B77" s="93" t="str">
        <f>IF($A77="","",VLOOKUP($A77,'Annex 2 EHV charges'!$A:$O,2,0))</f>
        <v/>
      </c>
      <c r="C77" s="94" t="str">
        <f>IF($A77="","",VLOOKUP($A77,'Annex 2 EHV charges'!$A:$O,3,0))</f>
        <v/>
      </c>
      <c r="D77" s="93" t="str">
        <f>IF($A77="","",VLOOKUP($A77,'Annex 2 EHV charges'!$A:$O,7,0))</f>
        <v/>
      </c>
      <c r="E77" s="98" t="str">
        <f>IFERROR(IF(VLOOKUP($A77,'Annex 2 EHV charges'!$A:$O,8,FALSE)=0,"",VLOOKUP($A77,'Annex 2 EHV charges'!$A:$O,8,FALSE)),"")</f>
        <v/>
      </c>
      <c r="F77" s="99" t="str">
        <f>IFERROR(IF(VLOOKUP($A77,'Annex 2 EHV charges'!$A:$O,9,FALSE)=0,"",VLOOKUP($A77,'Annex 2 EHV charges'!$A:$O,9,FALSE)),"")</f>
        <v/>
      </c>
      <c r="G77" s="100" t="str">
        <f>IFERROR(IF(VLOOKUP($A77,'Annex 2 EHV charges'!$A:$O,10,FALSE)=0,"",VLOOKUP($A77,'Annex 2 EHV charges'!$A:$O,10,FALSE)),"")</f>
        <v/>
      </c>
      <c r="H77" s="100" t="str">
        <f>IFERROR(IF(VLOOKUP($A77,'Annex 2 EHV charges'!$A:$O,11,FALSE)=0,"",VLOOKUP($A77,'Annex 2 EHV charges'!$A:$O,11,FALSE)),"")</f>
        <v/>
      </c>
    </row>
    <row r="78" spans="1:8" ht="12.75" customHeight="1" x14ac:dyDescent="0.2">
      <c r="A78" s="93" t="str">
        <f t="array" ref="A78">IFERROR(INDEX('Annex 2 EHV charges'!$A$11:$A$58, MATCH(0, IF(ISBLANK('Annex 2 EHV charges'!$A$11:$A$58),1, COUNTIF(A$4:$A77, 'Annex 2 EHV charges'!$A$11:$A$58)), 0)),"")</f>
        <v/>
      </c>
      <c r="B78" s="93" t="str">
        <f>IF($A78="","",VLOOKUP($A78,'Annex 2 EHV charges'!$A:$O,2,0))</f>
        <v/>
      </c>
      <c r="C78" s="94" t="str">
        <f>IF($A78="","",VLOOKUP($A78,'Annex 2 EHV charges'!$A:$O,3,0))</f>
        <v/>
      </c>
      <c r="D78" s="93" t="str">
        <f>IF($A78="","",VLOOKUP($A78,'Annex 2 EHV charges'!$A:$O,7,0))</f>
        <v/>
      </c>
      <c r="E78" s="98" t="str">
        <f>IFERROR(IF(VLOOKUP($A78,'Annex 2 EHV charges'!$A:$O,8,FALSE)=0,"",VLOOKUP($A78,'Annex 2 EHV charges'!$A:$O,8,FALSE)),"")</f>
        <v/>
      </c>
      <c r="F78" s="99" t="str">
        <f>IFERROR(IF(VLOOKUP($A78,'Annex 2 EHV charges'!$A:$O,9,FALSE)=0,"",VLOOKUP($A78,'Annex 2 EHV charges'!$A:$O,9,FALSE)),"")</f>
        <v/>
      </c>
      <c r="G78" s="100" t="str">
        <f>IFERROR(IF(VLOOKUP($A78,'Annex 2 EHV charges'!$A:$O,10,FALSE)=0,"",VLOOKUP($A78,'Annex 2 EHV charges'!$A:$O,10,FALSE)),"")</f>
        <v/>
      </c>
      <c r="H78" s="100" t="str">
        <f>IFERROR(IF(VLOOKUP($A78,'Annex 2 EHV charges'!$A:$O,11,FALSE)=0,"",VLOOKUP($A78,'Annex 2 EHV charges'!$A:$O,11,FALSE)),"")</f>
        <v/>
      </c>
    </row>
    <row r="79" spans="1:8" ht="12.75" customHeight="1" x14ac:dyDescent="0.2">
      <c r="A79" s="93" t="str">
        <f t="array" ref="A79">IFERROR(INDEX('Annex 2 EHV charges'!$A$11:$A$58, MATCH(0, IF(ISBLANK('Annex 2 EHV charges'!$A$11:$A$58),1, COUNTIF(A$4:$A78, 'Annex 2 EHV charges'!$A$11:$A$58)), 0)),"")</f>
        <v/>
      </c>
      <c r="B79" s="93" t="str">
        <f>IF($A79="","",VLOOKUP($A79,'Annex 2 EHV charges'!$A:$O,2,0))</f>
        <v/>
      </c>
      <c r="C79" s="94" t="str">
        <f>IF($A79="","",VLOOKUP($A79,'Annex 2 EHV charges'!$A:$O,3,0))</f>
        <v/>
      </c>
      <c r="D79" s="93" t="str">
        <f>IF($A79="","",VLOOKUP($A79,'Annex 2 EHV charges'!$A:$O,7,0))</f>
        <v/>
      </c>
      <c r="E79" s="98" t="str">
        <f>IFERROR(IF(VLOOKUP($A79,'Annex 2 EHV charges'!$A:$O,8,FALSE)=0,"",VLOOKUP($A79,'Annex 2 EHV charges'!$A:$O,8,FALSE)),"")</f>
        <v/>
      </c>
      <c r="F79" s="99" t="str">
        <f>IFERROR(IF(VLOOKUP($A79,'Annex 2 EHV charges'!$A:$O,9,FALSE)=0,"",VLOOKUP($A79,'Annex 2 EHV charges'!$A:$O,9,FALSE)),"")</f>
        <v/>
      </c>
      <c r="G79" s="100" t="str">
        <f>IFERROR(IF(VLOOKUP($A79,'Annex 2 EHV charges'!$A:$O,10,FALSE)=0,"",VLOOKUP($A79,'Annex 2 EHV charges'!$A:$O,10,FALSE)),"")</f>
        <v/>
      </c>
      <c r="H79" s="100" t="str">
        <f>IFERROR(IF(VLOOKUP($A79,'Annex 2 EHV charges'!$A:$O,11,FALSE)=0,"",VLOOKUP($A79,'Annex 2 EHV charges'!$A:$O,11,FALSE)),"")</f>
        <v/>
      </c>
    </row>
    <row r="80" spans="1:8" ht="12.75" customHeight="1" x14ac:dyDescent="0.2">
      <c r="A80" s="93" t="str">
        <f t="array" ref="A80">IFERROR(INDEX('Annex 2 EHV charges'!$A$11:$A$58, MATCH(0, IF(ISBLANK('Annex 2 EHV charges'!$A$11:$A$58),1, COUNTIF(A$4:$A79, 'Annex 2 EHV charges'!$A$11:$A$58)), 0)),"")</f>
        <v/>
      </c>
      <c r="B80" s="93" t="str">
        <f>IF($A80="","",VLOOKUP($A80,'Annex 2 EHV charges'!$A:$O,2,0))</f>
        <v/>
      </c>
      <c r="C80" s="94" t="str">
        <f>IF($A80="","",VLOOKUP($A80,'Annex 2 EHV charges'!$A:$O,3,0))</f>
        <v/>
      </c>
      <c r="D80" s="93" t="str">
        <f>IF($A80="","",VLOOKUP($A80,'Annex 2 EHV charges'!$A:$O,7,0))</f>
        <v/>
      </c>
      <c r="E80" s="98" t="str">
        <f>IFERROR(IF(VLOOKUP($A80,'Annex 2 EHV charges'!$A:$O,8,FALSE)=0,"",VLOOKUP($A80,'Annex 2 EHV charges'!$A:$O,8,FALSE)),"")</f>
        <v/>
      </c>
      <c r="F80" s="99" t="str">
        <f>IFERROR(IF(VLOOKUP($A80,'Annex 2 EHV charges'!$A:$O,9,FALSE)=0,"",VLOOKUP($A80,'Annex 2 EHV charges'!$A:$O,9,FALSE)),"")</f>
        <v/>
      </c>
      <c r="G80" s="100" t="str">
        <f>IFERROR(IF(VLOOKUP($A80,'Annex 2 EHV charges'!$A:$O,10,FALSE)=0,"",VLOOKUP($A80,'Annex 2 EHV charges'!$A:$O,10,FALSE)),"")</f>
        <v/>
      </c>
      <c r="H80" s="100" t="str">
        <f>IFERROR(IF(VLOOKUP($A80,'Annex 2 EHV charges'!$A:$O,11,FALSE)=0,"",VLOOKUP($A80,'Annex 2 EHV charges'!$A:$O,11,FALSE)),"")</f>
        <v/>
      </c>
    </row>
    <row r="81" spans="1:8" ht="12.75" customHeight="1" x14ac:dyDescent="0.2">
      <c r="A81" s="93" t="str">
        <f t="array" ref="A81">IFERROR(INDEX('Annex 2 EHV charges'!$A$11:$A$58, MATCH(0, IF(ISBLANK('Annex 2 EHV charges'!$A$11:$A$58),1, COUNTIF(A$4:$A80, 'Annex 2 EHV charges'!$A$11:$A$58)), 0)),"")</f>
        <v/>
      </c>
      <c r="B81" s="93" t="str">
        <f>IF($A81="","",VLOOKUP($A81,'Annex 2 EHV charges'!$A:$O,2,0))</f>
        <v/>
      </c>
      <c r="C81" s="94" t="str">
        <f>IF($A81="","",VLOOKUP($A81,'Annex 2 EHV charges'!$A:$O,3,0))</f>
        <v/>
      </c>
      <c r="D81" s="93" t="str">
        <f>IF($A81="","",VLOOKUP($A81,'Annex 2 EHV charges'!$A:$O,7,0))</f>
        <v/>
      </c>
      <c r="E81" s="98" t="str">
        <f>IFERROR(IF(VLOOKUP($A81,'Annex 2 EHV charges'!$A:$O,8,FALSE)=0,"",VLOOKUP($A81,'Annex 2 EHV charges'!$A:$O,8,FALSE)),"")</f>
        <v/>
      </c>
      <c r="F81" s="99" t="str">
        <f>IFERROR(IF(VLOOKUP($A81,'Annex 2 EHV charges'!$A:$O,9,FALSE)=0,"",VLOOKUP($A81,'Annex 2 EHV charges'!$A:$O,9,FALSE)),"")</f>
        <v/>
      </c>
      <c r="G81" s="100" t="str">
        <f>IFERROR(IF(VLOOKUP($A81,'Annex 2 EHV charges'!$A:$O,10,FALSE)=0,"",VLOOKUP($A81,'Annex 2 EHV charges'!$A:$O,10,FALSE)),"")</f>
        <v/>
      </c>
      <c r="H81" s="100" t="str">
        <f>IFERROR(IF(VLOOKUP($A81,'Annex 2 EHV charges'!$A:$O,11,FALSE)=0,"",VLOOKUP($A81,'Annex 2 EHV charges'!$A:$O,11,FALSE)),"")</f>
        <v/>
      </c>
    </row>
    <row r="82" spans="1:8" ht="12.75" customHeight="1" x14ac:dyDescent="0.2">
      <c r="A82" s="93" t="str">
        <f t="array" ref="A82">IFERROR(INDEX('Annex 2 EHV charges'!$A$11:$A$58, MATCH(0, IF(ISBLANK('Annex 2 EHV charges'!$A$11:$A$58),1, COUNTIF(A$4:$A81, 'Annex 2 EHV charges'!$A$11:$A$58)), 0)),"")</f>
        <v/>
      </c>
      <c r="B82" s="93" t="str">
        <f>IF($A82="","",VLOOKUP($A82,'Annex 2 EHV charges'!$A:$O,2,0))</f>
        <v/>
      </c>
      <c r="C82" s="94" t="str">
        <f>IF($A82="","",VLOOKUP($A82,'Annex 2 EHV charges'!$A:$O,3,0))</f>
        <v/>
      </c>
      <c r="D82" s="93" t="str">
        <f>IF($A82="","",VLOOKUP($A82,'Annex 2 EHV charges'!$A:$O,7,0))</f>
        <v/>
      </c>
      <c r="E82" s="98" t="str">
        <f>IFERROR(IF(VLOOKUP($A82,'Annex 2 EHV charges'!$A:$O,8,FALSE)=0,"",VLOOKUP($A82,'Annex 2 EHV charges'!$A:$O,8,FALSE)),"")</f>
        <v/>
      </c>
      <c r="F82" s="99" t="str">
        <f>IFERROR(IF(VLOOKUP($A82,'Annex 2 EHV charges'!$A:$O,9,FALSE)=0,"",VLOOKUP($A82,'Annex 2 EHV charges'!$A:$O,9,FALSE)),"")</f>
        <v/>
      </c>
      <c r="G82" s="100" t="str">
        <f>IFERROR(IF(VLOOKUP($A82,'Annex 2 EHV charges'!$A:$O,10,FALSE)=0,"",VLOOKUP($A82,'Annex 2 EHV charges'!$A:$O,10,FALSE)),"")</f>
        <v/>
      </c>
      <c r="H82" s="100" t="str">
        <f>IFERROR(IF(VLOOKUP($A82,'Annex 2 EHV charges'!$A:$O,11,FALSE)=0,"",VLOOKUP($A82,'Annex 2 EHV charges'!$A:$O,11,FALSE)),"")</f>
        <v/>
      </c>
    </row>
    <row r="83" spans="1:8" ht="12.75" customHeight="1" x14ac:dyDescent="0.2">
      <c r="A83" s="93" t="str">
        <f t="array" ref="A83">IFERROR(INDEX('Annex 2 EHV charges'!$A$11:$A$58, MATCH(0, IF(ISBLANK('Annex 2 EHV charges'!$A$11:$A$58),1, COUNTIF(A$4:$A82, 'Annex 2 EHV charges'!$A$11:$A$58)), 0)),"")</f>
        <v/>
      </c>
      <c r="B83" s="93" t="str">
        <f>IF($A83="","",VLOOKUP($A83,'Annex 2 EHV charges'!$A:$O,2,0))</f>
        <v/>
      </c>
      <c r="C83" s="94" t="str">
        <f>IF($A83="","",VLOOKUP($A83,'Annex 2 EHV charges'!$A:$O,3,0))</f>
        <v/>
      </c>
      <c r="D83" s="93" t="str">
        <f>IF($A83="","",VLOOKUP($A83,'Annex 2 EHV charges'!$A:$O,7,0))</f>
        <v/>
      </c>
      <c r="E83" s="98" t="str">
        <f>IFERROR(IF(VLOOKUP($A83,'Annex 2 EHV charges'!$A:$O,8,FALSE)=0,"",VLOOKUP($A83,'Annex 2 EHV charges'!$A:$O,8,FALSE)),"")</f>
        <v/>
      </c>
      <c r="F83" s="99" t="str">
        <f>IFERROR(IF(VLOOKUP($A83,'Annex 2 EHV charges'!$A:$O,9,FALSE)=0,"",VLOOKUP($A83,'Annex 2 EHV charges'!$A:$O,9,FALSE)),"")</f>
        <v/>
      </c>
      <c r="G83" s="100" t="str">
        <f>IFERROR(IF(VLOOKUP($A83,'Annex 2 EHV charges'!$A:$O,10,FALSE)=0,"",VLOOKUP($A83,'Annex 2 EHV charges'!$A:$O,10,FALSE)),"")</f>
        <v/>
      </c>
      <c r="H83" s="100" t="str">
        <f>IFERROR(IF(VLOOKUP($A83,'Annex 2 EHV charges'!$A:$O,11,FALSE)=0,"",VLOOKUP($A83,'Annex 2 EHV charges'!$A:$O,11,FALSE)),"")</f>
        <v/>
      </c>
    </row>
    <row r="84" spans="1:8" ht="12.75" customHeight="1" x14ac:dyDescent="0.2">
      <c r="A84" s="93" t="str">
        <f t="array" ref="A84">IFERROR(INDEX('Annex 2 EHV charges'!$A$11:$A$58, MATCH(0, IF(ISBLANK('Annex 2 EHV charges'!$A$11:$A$58),1, COUNTIF(A$4:$A83, 'Annex 2 EHV charges'!$A$11:$A$58)), 0)),"")</f>
        <v/>
      </c>
      <c r="B84" s="93" t="str">
        <f>IF($A84="","",VLOOKUP($A84,'Annex 2 EHV charges'!$A:$O,2,0))</f>
        <v/>
      </c>
      <c r="C84" s="94" t="str">
        <f>IF($A84="","",VLOOKUP($A84,'Annex 2 EHV charges'!$A:$O,3,0))</f>
        <v/>
      </c>
      <c r="D84" s="93" t="str">
        <f>IF($A84="","",VLOOKUP($A84,'Annex 2 EHV charges'!$A:$O,7,0))</f>
        <v/>
      </c>
      <c r="E84" s="98" t="str">
        <f>IFERROR(IF(VLOOKUP($A84,'Annex 2 EHV charges'!$A:$O,8,FALSE)=0,"",VLOOKUP($A84,'Annex 2 EHV charges'!$A:$O,8,FALSE)),"")</f>
        <v/>
      </c>
      <c r="F84" s="99" t="str">
        <f>IFERROR(IF(VLOOKUP($A84,'Annex 2 EHV charges'!$A:$O,9,FALSE)=0,"",VLOOKUP($A84,'Annex 2 EHV charges'!$A:$O,9,FALSE)),"")</f>
        <v/>
      </c>
      <c r="G84" s="100" t="str">
        <f>IFERROR(IF(VLOOKUP($A84,'Annex 2 EHV charges'!$A:$O,10,FALSE)=0,"",VLOOKUP($A84,'Annex 2 EHV charges'!$A:$O,10,FALSE)),"")</f>
        <v/>
      </c>
      <c r="H84" s="100" t="str">
        <f>IFERROR(IF(VLOOKUP($A84,'Annex 2 EHV charges'!$A:$O,11,FALSE)=0,"",VLOOKUP($A84,'Annex 2 EHV charges'!$A:$O,11,FALSE)),"")</f>
        <v/>
      </c>
    </row>
    <row r="85" spans="1:8" ht="12.75" customHeight="1" x14ac:dyDescent="0.2">
      <c r="A85" s="93" t="str">
        <f t="array" ref="A85">IFERROR(INDEX('Annex 2 EHV charges'!$A$11:$A$58, MATCH(0, IF(ISBLANK('Annex 2 EHV charges'!$A$11:$A$58),1, COUNTIF(A$4:$A84, 'Annex 2 EHV charges'!$A$11:$A$58)), 0)),"")</f>
        <v/>
      </c>
      <c r="B85" s="93" t="str">
        <f>IF($A85="","",VLOOKUP($A85,'Annex 2 EHV charges'!$A:$O,2,0))</f>
        <v/>
      </c>
      <c r="C85" s="94" t="str">
        <f>IF($A85="","",VLOOKUP($A85,'Annex 2 EHV charges'!$A:$O,3,0))</f>
        <v/>
      </c>
      <c r="D85" s="93" t="str">
        <f>IF($A85="","",VLOOKUP($A85,'Annex 2 EHV charges'!$A:$O,7,0))</f>
        <v/>
      </c>
      <c r="E85" s="98" t="str">
        <f>IFERROR(IF(VLOOKUP($A85,'Annex 2 EHV charges'!$A:$O,8,FALSE)=0,"",VLOOKUP($A85,'Annex 2 EHV charges'!$A:$O,8,FALSE)),"")</f>
        <v/>
      </c>
      <c r="F85" s="99" t="str">
        <f>IFERROR(IF(VLOOKUP($A85,'Annex 2 EHV charges'!$A:$O,9,FALSE)=0,"",VLOOKUP($A85,'Annex 2 EHV charges'!$A:$O,9,FALSE)),"")</f>
        <v/>
      </c>
      <c r="G85" s="100" t="str">
        <f>IFERROR(IF(VLOOKUP($A85,'Annex 2 EHV charges'!$A:$O,10,FALSE)=0,"",VLOOKUP($A85,'Annex 2 EHV charges'!$A:$O,10,FALSE)),"")</f>
        <v/>
      </c>
      <c r="H85" s="100" t="str">
        <f>IFERROR(IF(VLOOKUP($A85,'Annex 2 EHV charges'!$A:$O,11,FALSE)=0,"",VLOOKUP($A85,'Annex 2 EHV charges'!$A:$O,11,FALSE)),"")</f>
        <v/>
      </c>
    </row>
    <row r="86" spans="1:8" ht="12.75" customHeight="1" x14ac:dyDescent="0.2">
      <c r="A86" s="93" t="str">
        <f t="array" ref="A86">IFERROR(INDEX('Annex 2 EHV charges'!$A$11:$A$58, MATCH(0, IF(ISBLANK('Annex 2 EHV charges'!$A$11:$A$58),1, COUNTIF(A$4:$A85, 'Annex 2 EHV charges'!$A$11:$A$58)), 0)),"")</f>
        <v/>
      </c>
      <c r="B86" s="93" t="str">
        <f>IF($A86="","",VLOOKUP($A86,'Annex 2 EHV charges'!$A:$O,2,0))</f>
        <v/>
      </c>
      <c r="C86" s="94" t="str">
        <f>IF($A86="","",VLOOKUP($A86,'Annex 2 EHV charges'!$A:$O,3,0))</f>
        <v/>
      </c>
      <c r="D86" s="93" t="str">
        <f>IF($A86="","",VLOOKUP($A86,'Annex 2 EHV charges'!$A:$O,7,0))</f>
        <v/>
      </c>
      <c r="E86" s="98" t="str">
        <f>IFERROR(IF(VLOOKUP($A86,'Annex 2 EHV charges'!$A:$O,8,FALSE)=0,"",VLOOKUP($A86,'Annex 2 EHV charges'!$A:$O,8,FALSE)),"")</f>
        <v/>
      </c>
      <c r="F86" s="99" t="str">
        <f>IFERROR(IF(VLOOKUP($A86,'Annex 2 EHV charges'!$A:$O,9,FALSE)=0,"",VLOOKUP($A86,'Annex 2 EHV charges'!$A:$O,9,FALSE)),"")</f>
        <v/>
      </c>
      <c r="G86" s="100" t="str">
        <f>IFERROR(IF(VLOOKUP($A86,'Annex 2 EHV charges'!$A:$O,10,FALSE)=0,"",VLOOKUP($A86,'Annex 2 EHV charges'!$A:$O,10,FALSE)),"")</f>
        <v/>
      </c>
      <c r="H86" s="100" t="str">
        <f>IFERROR(IF(VLOOKUP($A86,'Annex 2 EHV charges'!$A:$O,11,FALSE)=0,"",VLOOKUP($A86,'Annex 2 EHV charges'!$A:$O,11,FALSE)),"")</f>
        <v/>
      </c>
    </row>
    <row r="87" spans="1:8" ht="12.75" customHeight="1" x14ac:dyDescent="0.2">
      <c r="A87" s="93" t="str">
        <f t="array" ref="A87">IFERROR(INDEX('Annex 2 EHV charges'!$A$11:$A$58, MATCH(0, IF(ISBLANK('Annex 2 EHV charges'!$A$11:$A$58),1, COUNTIF(A$4:$A86, 'Annex 2 EHV charges'!$A$11:$A$58)), 0)),"")</f>
        <v/>
      </c>
      <c r="B87" s="93" t="str">
        <f>IF($A87="","",VLOOKUP($A87,'Annex 2 EHV charges'!$A:$O,2,0))</f>
        <v/>
      </c>
      <c r="C87" s="94" t="str">
        <f>IF($A87="","",VLOOKUP($A87,'Annex 2 EHV charges'!$A:$O,3,0))</f>
        <v/>
      </c>
      <c r="D87" s="93" t="str">
        <f>IF($A87="","",VLOOKUP($A87,'Annex 2 EHV charges'!$A:$O,7,0))</f>
        <v/>
      </c>
      <c r="E87" s="98" t="str">
        <f>IFERROR(IF(VLOOKUP($A87,'Annex 2 EHV charges'!$A:$O,8,FALSE)=0,"",VLOOKUP($A87,'Annex 2 EHV charges'!$A:$O,8,FALSE)),"")</f>
        <v/>
      </c>
      <c r="F87" s="99" t="str">
        <f>IFERROR(IF(VLOOKUP($A87,'Annex 2 EHV charges'!$A:$O,9,FALSE)=0,"",VLOOKUP($A87,'Annex 2 EHV charges'!$A:$O,9,FALSE)),"")</f>
        <v/>
      </c>
      <c r="G87" s="100" t="str">
        <f>IFERROR(IF(VLOOKUP($A87,'Annex 2 EHV charges'!$A:$O,10,FALSE)=0,"",VLOOKUP($A87,'Annex 2 EHV charges'!$A:$O,10,FALSE)),"")</f>
        <v/>
      </c>
      <c r="H87" s="100" t="str">
        <f>IFERROR(IF(VLOOKUP($A87,'Annex 2 EHV charges'!$A:$O,11,FALSE)=0,"",VLOOKUP($A87,'Annex 2 EHV charges'!$A:$O,11,FALSE)),"")</f>
        <v/>
      </c>
    </row>
    <row r="88" spans="1:8" ht="12.75" customHeight="1" x14ac:dyDescent="0.2">
      <c r="A88" s="93" t="str">
        <f t="array" ref="A88">IFERROR(INDEX('Annex 2 EHV charges'!$A$11:$A$58, MATCH(0, IF(ISBLANK('Annex 2 EHV charges'!$A$11:$A$58),1, COUNTIF(A$4:$A87, 'Annex 2 EHV charges'!$A$11:$A$58)), 0)),"")</f>
        <v/>
      </c>
      <c r="B88" s="93" t="str">
        <f>IF($A88="","",VLOOKUP($A88,'Annex 2 EHV charges'!$A:$O,2,0))</f>
        <v/>
      </c>
      <c r="C88" s="94" t="str">
        <f>IF($A88="","",VLOOKUP($A88,'Annex 2 EHV charges'!$A:$O,3,0))</f>
        <v/>
      </c>
      <c r="D88" s="93" t="str">
        <f>IF($A88="","",VLOOKUP($A88,'Annex 2 EHV charges'!$A:$O,7,0))</f>
        <v/>
      </c>
      <c r="E88" s="98" t="str">
        <f>IFERROR(IF(VLOOKUP($A88,'Annex 2 EHV charges'!$A:$O,8,FALSE)=0,"",VLOOKUP($A88,'Annex 2 EHV charges'!$A:$O,8,FALSE)),"")</f>
        <v/>
      </c>
      <c r="F88" s="99" t="str">
        <f>IFERROR(IF(VLOOKUP($A88,'Annex 2 EHV charges'!$A:$O,9,FALSE)=0,"",VLOOKUP($A88,'Annex 2 EHV charges'!$A:$O,9,FALSE)),"")</f>
        <v/>
      </c>
      <c r="G88" s="100" t="str">
        <f>IFERROR(IF(VLOOKUP($A88,'Annex 2 EHV charges'!$A:$O,10,FALSE)=0,"",VLOOKUP($A88,'Annex 2 EHV charges'!$A:$O,10,FALSE)),"")</f>
        <v/>
      </c>
      <c r="H88" s="100" t="str">
        <f>IFERROR(IF(VLOOKUP($A88,'Annex 2 EHV charges'!$A:$O,11,FALSE)=0,"",VLOOKUP($A88,'Annex 2 EHV charges'!$A:$O,11,FALSE)),"")</f>
        <v/>
      </c>
    </row>
    <row r="89" spans="1:8" ht="12.75" customHeight="1" x14ac:dyDescent="0.2">
      <c r="A89" s="93" t="str">
        <f t="array" ref="A89">IFERROR(INDEX('Annex 2 EHV charges'!$A$11:$A$58, MATCH(0, IF(ISBLANK('Annex 2 EHV charges'!$A$11:$A$58),1, COUNTIF(A$4:$A88, 'Annex 2 EHV charges'!$A$11:$A$58)), 0)),"")</f>
        <v/>
      </c>
      <c r="B89" s="93" t="str">
        <f>IF($A89="","",VLOOKUP($A89,'Annex 2 EHV charges'!$A:$O,2,0))</f>
        <v/>
      </c>
      <c r="C89" s="94" t="str">
        <f>IF($A89="","",VLOOKUP($A89,'Annex 2 EHV charges'!$A:$O,3,0))</f>
        <v/>
      </c>
      <c r="D89" s="93" t="str">
        <f>IF($A89="","",VLOOKUP($A89,'Annex 2 EHV charges'!$A:$O,7,0))</f>
        <v/>
      </c>
      <c r="E89" s="98" t="str">
        <f>IFERROR(IF(VLOOKUP($A89,'Annex 2 EHV charges'!$A:$O,8,FALSE)=0,"",VLOOKUP($A89,'Annex 2 EHV charges'!$A:$O,8,FALSE)),"")</f>
        <v/>
      </c>
      <c r="F89" s="99" t="str">
        <f>IFERROR(IF(VLOOKUP($A89,'Annex 2 EHV charges'!$A:$O,9,FALSE)=0,"",VLOOKUP($A89,'Annex 2 EHV charges'!$A:$O,9,FALSE)),"")</f>
        <v/>
      </c>
      <c r="G89" s="100" t="str">
        <f>IFERROR(IF(VLOOKUP($A89,'Annex 2 EHV charges'!$A:$O,10,FALSE)=0,"",VLOOKUP($A89,'Annex 2 EHV charges'!$A:$O,10,FALSE)),"")</f>
        <v/>
      </c>
      <c r="H89" s="100" t="str">
        <f>IFERROR(IF(VLOOKUP($A89,'Annex 2 EHV charges'!$A:$O,11,FALSE)=0,"",VLOOKUP($A89,'Annex 2 EHV charges'!$A:$O,11,FALSE)),"")</f>
        <v/>
      </c>
    </row>
    <row r="90" spans="1:8" ht="12.75" customHeight="1" x14ac:dyDescent="0.2">
      <c r="A90" s="93" t="str">
        <f t="array" ref="A90">IFERROR(INDEX('Annex 2 EHV charges'!$A$11:$A$58, MATCH(0, IF(ISBLANK('Annex 2 EHV charges'!$A$11:$A$58),1, COUNTIF(A$4:$A89, 'Annex 2 EHV charges'!$A$11:$A$58)), 0)),"")</f>
        <v/>
      </c>
      <c r="B90" s="93" t="str">
        <f>IF($A90="","",VLOOKUP($A90,'Annex 2 EHV charges'!$A:$O,2,0))</f>
        <v/>
      </c>
      <c r="C90" s="94" t="str">
        <f>IF($A90="","",VLOOKUP($A90,'Annex 2 EHV charges'!$A:$O,3,0))</f>
        <v/>
      </c>
      <c r="D90" s="93" t="str">
        <f>IF($A90="","",VLOOKUP($A90,'Annex 2 EHV charges'!$A:$O,7,0))</f>
        <v/>
      </c>
      <c r="E90" s="98" t="str">
        <f>IFERROR(IF(VLOOKUP($A90,'Annex 2 EHV charges'!$A:$O,8,FALSE)=0,"",VLOOKUP($A90,'Annex 2 EHV charges'!$A:$O,8,FALSE)),"")</f>
        <v/>
      </c>
      <c r="F90" s="99" t="str">
        <f>IFERROR(IF(VLOOKUP($A90,'Annex 2 EHV charges'!$A:$O,9,FALSE)=0,"",VLOOKUP($A90,'Annex 2 EHV charges'!$A:$O,9,FALSE)),"")</f>
        <v/>
      </c>
      <c r="G90" s="100" t="str">
        <f>IFERROR(IF(VLOOKUP($A90,'Annex 2 EHV charges'!$A:$O,10,FALSE)=0,"",VLOOKUP($A90,'Annex 2 EHV charges'!$A:$O,10,FALSE)),"")</f>
        <v/>
      </c>
      <c r="H90" s="100" t="str">
        <f>IFERROR(IF(VLOOKUP($A90,'Annex 2 EHV charges'!$A:$O,11,FALSE)=0,"",VLOOKUP($A90,'Annex 2 EHV charges'!$A:$O,11,FALSE)),"")</f>
        <v/>
      </c>
    </row>
    <row r="91" spans="1:8" ht="12.75" customHeight="1" x14ac:dyDescent="0.2">
      <c r="A91" s="93" t="str">
        <f t="array" ref="A91">IFERROR(INDEX('Annex 2 EHV charges'!$A$11:$A$58, MATCH(0, IF(ISBLANK('Annex 2 EHV charges'!$A$11:$A$58),1, COUNTIF(A$4:$A90, 'Annex 2 EHV charges'!$A$11:$A$58)), 0)),"")</f>
        <v/>
      </c>
      <c r="B91" s="93" t="str">
        <f>IF($A91="","",VLOOKUP($A91,'Annex 2 EHV charges'!$A:$O,2,0))</f>
        <v/>
      </c>
      <c r="C91" s="94" t="str">
        <f>IF($A91="","",VLOOKUP($A91,'Annex 2 EHV charges'!$A:$O,3,0))</f>
        <v/>
      </c>
      <c r="D91" s="93" t="str">
        <f>IF($A91="","",VLOOKUP($A91,'Annex 2 EHV charges'!$A:$O,7,0))</f>
        <v/>
      </c>
      <c r="E91" s="98" t="str">
        <f>IFERROR(IF(VLOOKUP($A91,'Annex 2 EHV charges'!$A:$O,8,FALSE)=0,"",VLOOKUP($A91,'Annex 2 EHV charges'!$A:$O,8,FALSE)),"")</f>
        <v/>
      </c>
      <c r="F91" s="99" t="str">
        <f>IFERROR(IF(VLOOKUP($A91,'Annex 2 EHV charges'!$A:$O,9,FALSE)=0,"",VLOOKUP($A91,'Annex 2 EHV charges'!$A:$O,9,FALSE)),"")</f>
        <v/>
      </c>
      <c r="G91" s="100" t="str">
        <f>IFERROR(IF(VLOOKUP($A91,'Annex 2 EHV charges'!$A:$O,10,FALSE)=0,"",VLOOKUP($A91,'Annex 2 EHV charges'!$A:$O,10,FALSE)),"")</f>
        <v/>
      </c>
      <c r="H91" s="100" t="str">
        <f>IFERROR(IF(VLOOKUP($A91,'Annex 2 EHV charges'!$A:$O,11,FALSE)=0,"",VLOOKUP($A91,'Annex 2 EHV charges'!$A:$O,11,FALSE)),"")</f>
        <v/>
      </c>
    </row>
    <row r="92" spans="1:8" ht="12.75" customHeight="1" x14ac:dyDescent="0.2">
      <c r="A92" s="93" t="str">
        <f t="array" ref="A92">IFERROR(INDEX('Annex 2 EHV charges'!$A$11:$A$58, MATCH(0, IF(ISBLANK('Annex 2 EHV charges'!$A$11:$A$58),1, COUNTIF(A$4:$A91, 'Annex 2 EHV charges'!$A$11:$A$58)), 0)),"")</f>
        <v/>
      </c>
      <c r="B92" s="93" t="str">
        <f>IF($A92="","",VLOOKUP($A92,'Annex 2 EHV charges'!$A:$O,2,0))</f>
        <v/>
      </c>
      <c r="C92" s="94" t="str">
        <f>IF($A92="","",VLOOKUP($A92,'Annex 2 EHV charges'!$A:$O,3,0))</f>
        <v/>
      </c>
      <c r="D92" s="93" t="str">
        <f>IF($A92="","",VLOOKUP($A92,'Annex 2 EHV charges'!$A:$O,7,0))</f>
        <v/>
      </c>
      <c r="E92" s="98" t="str">
        <f>IFERROR(IF(VLOOKUP($A92,'Annex 2 EHV charges'!$A:$O,8,FALSE)=0,"",VLOOKUP($A92,'Annex 2 EHV charges'!$A:$O,8,FALSE)),"")</f>
        <v/>
      </c>
      <c r="F92" s="99" t="str">
        <f>IFERROR(IF(VLOOKUP($A92,'Annex 2 EHV charges'!$A:$O,9,FALSE)=0,"",VLOOKUP($A92,'Annex 2 EHV charges'!$A:$O,9,FALSE)),"")</f>
        <v/>
      </c>
      <c r="G92" s="100" t="str">
        <f>IFERROR(IF(VLOOKUP($A92,'Annex 2 EHV charges'!$A:$O,10,FALSE)=0,"",VLOOKUP($A92,'Annex 2 EHV charges'!$A:$O,10,FALSE)),"")</f>
        <v/>
      </c>
      <c r="H92" s="100" t="str">
        <f>IFERROR(IF(VLOOKUP($A92,'Annex 2 EHV charges'!$A:$O,11,FALSE)=0,"",VLOOKUP($A92,'Annex 2 EHV charges'!$A:$O,11,FALSE)),"")</f>
        <v/>
      </c>
    </row>
    <row r="93" spans="1:8" ht="12.75" customHeight="1" x14ac:dyDescent="0.2">
      <c r="A93" s="93" t="str">
        <f t="array" ref="A93">IFERROR(INDEX('Annex 2 EHV charges'!$A$11:$A$58, MATCH(0, IF(ISBLANK('Annex 2 EHV charges'!$A$11:$A$58),1, COUNTIF(A$4:$A92, 'Annex 2 EHV charges'!$A$11:$A$58)), 0)),"")</f>
        <v/>
      </c>
      <c r="B93" s="93" t="str">
        <f>IF($A93="","",VLOOKUP($A93,'Annex 2 EHV charges'!$A:$O,2,0))</f>
        <v/>
      </c>
      <c r="C93" s="94" t="str">
        <f>IF($A93="","",VLOOKUP($A93,'Annex 2 EHV charges'!$A:$O,3,0))</f>
        <v/>
      </c>
      <c r="D93" s="93" t="str">
        <f>IF($A93="","",VLOOKUP($A93,'Annex 2 EHV charges'!$A:$O,7,0))</f>
        <v/>
      </c>
      <c r="E93" s="98" t="str">
        <f>IFERROR(IF(VLOOKUP($A93,'Annex 2 EHV charges'!$A:$O,8,FALSE)=0,"",VLOOKUP($A93,'Annex 2 EHV charges'!$A:$O,8,FALSE)),"")</f>
        <v/>
      </c>
      <c r="F93" s="99" t="str">
        <f>IFERROR(IF(VLOOKUP($A93,'Annex 2 EHV charges'!$A:$O,9,FALSE)=0,"",VLOOKUP($A93,'Annex 2 EHV charges'!$A:$O,9,FALSE)),"")</f>
        <v/>
      </c>
      <c r="G93" s="100" t="str">
        <f>IFERROR(IF(VLOOKUP($A93,'Annex 2 EHV charges'!$A:$O,10,FALSE)=0,"",VLOOKUP($A93,'Annex 2 EHV charges'!$A:$O,10,FALSE)),"")</f>
        <v/>
      </c>
      <c r="H93" s="100" t="str">
        <f>IFERROR(IF(VLOOKUP($A93,'Annex 2 EHV charges'!$A:$O,11,FALSE)=0,"",VLOOKUP($A93,'Annex 2 EHV charges'!$A:$O,11,FALSE)),"")</f>
        <v/>
      </c>
    </row>
    <row r="94" spans="1:8" ht="12.75" customHeight="1" x14ac:dyDescent="0.2">
      <c r="A94" s="93" t="str">
        <f t="array" ref="A94">IFERROR(INDEX('Annex 2 EHV charges'!$A$11:$A$58, MATCH(0, IF(ISBLANK('Annex 2 EHV charges'!$A$11:$A$58),1, COUNTIF(A$4:$A93, 'Annex 2 EHV charges'!$A$11:$A$58)), 0)),"")</f>
        <v/>
      </c>
      <c r="B94" s="93" t="str">
        <f>IF($A94="","",VLOOKUP($A94,'Annex 2 EHV charges'!$A:$O,2,0))</f>
        <v/>
      </c>
      <c r="C94" s="94" t="str">
        <f>IF($A94="","",VLOOKUP($A94,'Annex 2 EHV charges'!$A:$O,3,0))</f>
        <v/>
      </c>
      <c r="D94" s="93" t="str">
        <f>IF($A94="","",VLOOKUP($A94,'Annex 2 EHV charges'!$A:$O,7,0))</f>
        <v/>
      </c>
      <c r="E94" s="98" t="str">
        <f>IFERROR(IF(VLOOKUP($A94,'Annex 2 EHV charges'!$A:$O,8,FALSE)=0,"",VLOOKUP($A94,'Annex 2 EHV charges'!$A:$O,8,FALSE)),"")</f>
        <v/>
      </c>
      <c r="F94" s="99" t="str">
        <f>IFERROR(IF(VLOOKUP($A94,'Annex 2 EHV charges'!$A:$O,9,FALSE)=0,"",VLOOKUP($A94,'Annex 2 EHV charges'!$A:$O,9,FALSE)),"")</f>
        <v/>
      </c>
      <c r="G94" s="100" t="str">
        <f>IFERROR(IF(VLOOKUP($A94,'Annex 2 EHV charges'!$A:$O,10,FALSE)=0,"",VLOOKUP($A94,'Annex 2 EHV charges'!$A:$O,10,FALSE)),"")</f>
        <v/>
      </c>
      <c r="H94" s="100" t="str">
        <f>IFERROR(IF(VLOOKUP($A94,'Annex 2 EHV charges'!$A:$O,11,FALSE)=0,"",VLOOKUP($A94,'Annex 2 EHV charges'!$A:$O,11,FALSE)),"")</f>
        <v/>
      </c>
    </row>
    <row r="95" spans="1:8" ht="12.75" customHeight="1" x14ac:dyDescent="0.2">
      <c r="A95" s="93" t="str">
        <f t="array" ref="A95">IFERROR(INDEX('Annex 2 EHV charges'!$A$11:$A$58, MATCH(0, IF(ISBLANK('Annex 2 EHV charges'!$A$11:$A$58),1, COUNTIF(A$4:$A94, 'Annex 2 EHV charges'!$A$11:$A$58)), 0)),"")</f>
        <v/>
      </c>
      <c r="B95" s="93" t="str">
        <f>IF($A95="","",VLOOKUP($A95,'Annex 2 EHV charges'!$A:$O,2,0))</f>
        <v/>
      </c>
      <c r="C95" s="94" t="str">
        <f>IF($A95="","",VLOOKUP($A95,'Annex 2 EHV charges'!$A:$O,3,0))</f>
        <v/>
      </c>
      <c r="D95" s="93" t="str">
        <f>IF($A95="","",VLOOKUP($A95,'Annex 2 EHV charges'!$A:$O,7,0))</f>
        <v/>
      </c>
      <c r="E95" s="98" t="str">
        <f>IFERROR(IF(VLOOKUP($A95,'Annex 2 EHV charges'!$A:$O,8,FALSE)=0,"",VLOOKUP($A95,'Annex 2 EHV charges'!$A:$O,8,FALSE)),"")</f>
        <v/>
      </c>
      <c r="F95" s="99" t="str">
        <f>IFERROR(IF(VLOOKUP($A95,'Annex 2 EHV charges'!$A:$O,9,FALSE)=0,"",VLOOKUP($A95,'Annex 2 EHV charges'!$A:$O,9,FALSE)),"")</f>
        <v/>
      </c>
      <c r="G95" s="100" t="str">
        <f>IFERROR(IF(VLOOKUP($A95,'Annex 2 EHV charges'!$A:$O,10,FALSE)=0,"",VLOOKUP($A95,'Annex 2 EHV charges'!$A:$O,10,FALSE)),"")</f>
        <v/>
      </c>
      <c r="H95" s="100" t="str">
        <f>IFERROR(IF(VLOOKUP($A95,'Annex 2 EHV charges'!$A:$O,11,FALSE)=0,"",VLOOKUP($A95,'Annex 2 EHV charges'!$A:$O,11,FALSE)),"")</f>
        <v/>
      </c>
    </row>
    <row r="96" spans="1:8" ht="12.75" customHeight="1" x14ac:dyDescent="0.2">
      <c r="A96" s="93" t="str">
        <f t="array" ref="A96">IFERROR(INDEX('Annex 2 EHV charges'!$A$11:$A$58, MATCH(0, IF(ISBLANK('Annex 2 EHV charges'!$A$11:$A$58),1, COUNTIF(A$4:$A95, 'Annex 2 EHV charges'!$A$11:$A$58)), 0)),"")</f>
        <v/>
      </c>
      <c r="B96" s="93" t="str">
        <f>IF($A96="","",VLOOKUP($A96,'Annex 2 EHV charges'!$A:$O,2,0))</f>
        <v/>
      </c>
      <c r="C96" s="94" t="str">
        <f>IF($A96="","",VLOOKUP($A96,'Annex 2 EHV charges'!$A:$O,3,0))</f>
        <v/>
      </c>
      <c r="D96" s="93" t="str">
        <f>IF($A96="","",VLOOKUP($A96,'Annex 2 EHV charges'!$A:$O,7,0))</f>
        <v/>
      </c>
      <c r="E96" s="98" t="str">
        <f>IFERROR(IF(VLOOKUP($A96,'Annex 2 EHV charges'!$A:$O,8,FALSE)=0,"",VLOOKUP($A96,'Annex 2 EHV charges'!$A:$O,8,FALSE)),"")</f>
        <v/>
      </c>
      <c r="F96" s="99" t="str">
        <f>IFERROR(IF(VLOOKUP($A96,'Annex 2 EHV charges'!$A:$O,9,FALSE)=0,"",VLOOKUP($A96,'Annex 2 EHV charges'!$A:$O,9,FALSE)),"")</f>
        <v/>
      </c>
      <c r="G96" s="100" t="str">
        <f>IFERROR(IF(VLOOKUP($A96,'Annex 2 EHV charges'!$A:$O,10,FALSE)=0,"",VLOOKUP($A96,'Annex 2 EHV charges'!$A:$O,10,FALSE)),"")</f>
        <v/>
      </c>
      <c r="H96" s="100" t="str">
        <f>IFERROR(IF(VLOOKUP($A96,'Annex 2 EHV charges'!$A:$O,11,FALSE)=0,"",VLOOKUP($A96,'Annex 2 EHV charges'!$A:$O,11,FALSE)),"")</f>
        <v/>
      </c>
    </row>
    <row r="97" spans="1:8" ht="12.75" customHeight="1" x14ac:dyDescent="0.2">
      <c r="A97" s="93" t="str">
        <f t="array" ref="A97">IFERROR(INDEX('Annex 2 EHV charges'!$A$11:$A$58, MATCH(0, IF(ISBLANK('Annex 2 EHV charges'!$A$11:$A$58),1, COUNTIF(A$4:$A96, 'Annex 2 EHV charges'!$A$11:$A$58)), 0)),"")</f>
        <v/>
      </c>
      <c r="B97" s="93" t="str">
        <f>IF($A97="","",VLOOKUP($A97,'Annex 2 EHV charges'!$A:$O,2,0))</f>
        <v/>
      </c>
      <c r="C97" s="94" t="str">
        <f>IF($A97="","",VLOOKUP($A97,'Annex 2 EHV charges'!$A:$O,3,0))</f>
        <v/>
      </c>
      <c r="D97" s="93" t="str">
        <f>IF($A97="","",VLOOKUP($A97,'Annex 2 EHV charges'!$A:$O,7,0))</f>
        <v/>
      </c>
      <c r="E97" s="98" t="str">
        <f>IFERROR(IF(VLOOKUP($A97,'Annex 2 EHV charges'!$A:$O,8,FALSE)=0,"",VLOOKUP($A97,'Annex 2 EHV charges'!$A:$O,8,FALSE)),"")</f>
        <v/>
      </c>
      <c r="F97" s="99" t="str">
        <f>IFERROR(IF(VLOOKUP($A97,'Annex 2 EHV charges'!$A:$O,9,FALSE)=0,"",VLOOKUP($A97,'Annex 2 EHV charges'!$A:$O,9,FALSE)),"")</f>
        <v/>
      </c>
      <c r="G97" s="100" t="str">
        <f>IFERROR(IF(VLOOKUP($A97,'Annex 2 EHV charges'!$A:$O,10,FALSE)=0,"",VLOOKUP($A97,'Annex 2 EHV charges'!$A:$O,10,FALSE)),"")</f>
        <v/>
      </c>
      <c r="H97" s="100" t="str">
        <f>IFERROR(IF(VLOOKUP($A97,'Annex 2 EHV charges'!$A:$O,11,FALSE)=0,"",VLOOKUP($A97,'Annex 2 EHV charges'!$A:$O,11,FALSE)),"")</f>
        <v/>
      </c>
    </row>
    <row r="98" spans="1:8" ht="12.75" customHeight="1" x14ac:dyDescent="0.2">
      <c r="A98" s="93" t="str">
        <f t="array" ref="A98">IFERROR(INDEX('Annex 2 EHV charges'!$A$11:$A$58, MATCH(0, IF(ISBLANK('Annex 2 EHV charges'!$A$11:$A$58),1, COUNTIF(A$4:$A97, 'Annex 2 EHV charges'!$A$11:$A$58)), 0)),"")</f>
        <v/>
      </c>
      <c r="B98" s="93" t="str">
        <f>IF($A98="","",VLOOKUP($A98,'Annex 2 EHV charges'!$A:$O,2,0))</f>
        <v/>
      </c>
      <c r="C98" s="94" t="str">
        <f>IF($A98="","",VLOOKUP($A98,'Annex 2 EHV charges'!$A:$O,3,0))</f>
        <v/>
      </c>
      <c r="D98" s="93" t="str">
        <f>IF($A98="","",VLOOKUP($A98,'Annex 2 EHV charges'!$A:$O,7,0))</f>
        <v/>
      </c>
      <c r="E98" s="98" t="str">
        <f>IFERROR(IF(VLOOKUP($A98,'Annex 2 EHV charges'!$A:$O,8,FALSE)=0,"",VLOOKUP($A98,'Annex 2 EHV charges'!$A:$O,8,FALSE)),"")</f>
        <v/>
      </c>
      <c r="F98" s="99" t="str">
        <f>IFERROR(IF(VLOOKUP($A98,'Annex 2 EHV charges'!$A:$O,9,FALSE)=0,"",VLOOKUP($A98,'Annex 2 EHV charges'!$A:$O,9,FALSE)),"")</f>
        <v/>
      </c>
      <c r="G98" s="100" t="str">
        <f>IFERROR(IF(VLOOKUP($A98,'Annex 2 EHV charges'!$A:$O,10,FALSE)=0,"",VLOOKUP($A98,'Annex 2 EHV charges'!$A:$O,10,FALSE)),"")</f>
        <v/>
      </c>
      <c r="H98" s="100" t="str">
        <f>IFERROR(IF(VLOOKUP($A98,'Annex 2 EHV charges'!$A:$O,11,FALSE)=0,"",VLOOKUP($A98,'Annex 2 EHV charges'!$A:$O,11,FALSE)),"")</f>
        <v/>
      </c>
    </row>
    <row r="99" spans="1:8" ht="12.75" customHeight="1" x14ac:dyDescent="0.2">
      <c r="A99" s="93" t="str">
        <f t="array" ref="A99">IFERROR(INDEX('Annex 2 EHV charges'!$A$11:$A$58, MATCH(0, IF(ISBLANK('Annex 2 EHV charges'!$A$11:$A$58),1, COUNTIF(A$4:$A98, 'Annex 2 EHV charges'!$A$11:$A$58)), 0)),"")</f>
        <v/>
      </c>
      <c r="B99" s="93" t="str">
        <f>IF($A99="","",VLOOKUP($A99,'Annex 2 EHV charges'!$A:$O,2,0))</f>
        <v/>
      </c>
      <c r="C99" s="94" t="str">
        <f>IF($A99="","",VLOOKUP($A99,'Annex 2 EHV charges'!$A:$O,3,0))</f>
        <v/>
      </c>
      <c r="D99" s="93" t="str">
        <f>IF($A99="","",VLOOKUP($A99,'Annex 2 EHV charges'!$A:$O,7,0))</f>
        <v/>
      </c>
      <c r="E99" s="98" t="str">
        <f>IFERROR(IF(VLOOKUP($A99,'Annex 2 EHV charges'!$A:$O,8,FALSE)=0,"",VLOOKUP($A99,'Annex 2 EHV charges'!$A:$O,8,FALSE)),"")</f>
        <v/>
      </c>
      <c r="F99" s="99" t="str">
        <f>IFERROR(IF(VLOOKUP($A99,'Annex 2 EHV charges'!$A:$O,9,FALSE)=0,"",VLOOKUP($A99,'Annex 2 EHV charges'!$A:$O,9,FALSE)),"")</f>
        <v/>
      </c>
      <c r="G99" s="100" t="str">
        <f>IFERROR(IF(VLOOKUP($A99,'Annex 2 EHV charges'!$A:$O,10,FALSE)=0,"",VLOOKUP($A99,'Annex 2 EHV charges'!$A:$O,10,FALSE)),"")</f>
        <v/>
      </c>
      <c r="H99" s="100" t="str">
        <f>IFERROR(IF(VLOOKUP($A99,'Annex 2 EHV charges'!$A:$O,11,FALSE)=0,"",VLOOKUP($A99,'Annex 2 EHV charges'!$A:$O,11,FALSE)),"")</f>
        <v/>
      </c>
    </row>
    <row r="100" spans="1:8" ht="12.75" customHeight="1" x14ac:dyDescent="0.2">
      <c r="A100" s="93" t="str">
        <f t="array" ref="A100">IFERROR(INDEX('Annex 2 EHV charges'!$A$11:$A$58, MATCH(0, IF(ISBLANK('Annex 2 EHV charges'!$A$11:$A$58),1, COUNTIF(A$4:$A99, 'Annex 2 EHV charges'!$A$11:$A$58)), 0)),"")</f>
        <v/>
      </c>
      <c r="B100" s="93" t="str">
        <f>IF($A100="","",VLOOKUP($A100,'Annex 2 EHV charges'!$A:$O,2,0))</f>
        <v/>
      </c>
      <c r="C100" s="94" t="str">
        <f>IF($A100="","",VLOOKUP($A100,'Annex 2 EHV charges'!$A:$O,3,0))</f>
        <v/>
      </c>
      <c r="D100" s="93" t="str">
        <f>IF($A100="","",VLOOKUP($A100,'Annex 2 EHV charges'!$A:$O,7,0))</f>
        <v/>
      </c>
      <c r="E100" s="98" t="str">
        <f>IFERROR(IF(VLOOKUP($A100,'Annex 2 EHV charges'!$A:$O,8,FALSE)=0,"",VLOOKUP($A100,'Annex 2 EHV charges'!$A:$O,8,FALSE)),"")</f>
        <v/>
      </c>
      <c r="F100" s="99" t="str">
        <f>IFERROR(IF(VLOOKUP($A100,'Annex 2 EHV charges'!$A:$O,9,FALSE)=0,"",VLOOKUP($A100,'Annex 2 EHV charges'!$A:$O,9,FALSE)),"")</f>
        <v/>
      </c>
      <c r="G100" s="100" t="str">
        <f>IFERROR(IF(VLOOKUP($A100,'Annex 2 EHV charges'!$A:$O,10,FALSE)=0,"",VLOOKUP($A100,'Annex 2 EHV charges'!$A:$O,10,FALSE)),"")</f>
        <v/>
      </c>
      <c r="H100" s="100" t="str">
        <f>IFERROR(IF(VLOOKUP($A100,'Annex 2 EHV charges'!$A:$O,11,FALSE)=0,"",VLOOKUP($A100,'Annex 2 EHV charges'!$A:$O,11,FALSE)),"")</f>
        <v/>
      </c>
    </row>
    <row r="101" spans="1:8" ht="12.75" customHeight="1" x14ac:dyDescent="0.2">
      <c r="A101" s="93" t="str">
        <f t="array" ref="A101">IFERROR(INDEX('Annex 2 EHV charges'!$A$11:$A$58, MATCH(0, IF(ISBLANK('Annex 2 EHV charges'!$A$11:$A$58),1, COUNTIF(A$4:$A100, 'Annex 2 EHV charges'!$A$11:$A$58)), 0)),"")</f>
        <v/>
      </c>
      <c r="B101" s="93" t="str">
        <f>IF($A101="","",VLOOKUP($A101,'Annex 2 EHV charges'!$A:$O,2,0))</f>
        <v/>
      </c>
      <c r="C101" s="94" t="str">
        <f>IF($A101="","",VLOOKUP($A101,'Annex 2 EHV charges'!$A:$O,3,0))</f>
        <v/>
      </c>
      <c r="D101" s="93" t="str">
        <f>IF($A101="","",VLOOKUP($A101,'Annex 2 EHV charges'!$A:$O,7,0))</f>
        <v/>
      </c>
      <c r="E101" s="98" t="str">
        <f>IFERROR(IF(VLOOKUP($A101,'Annex 2 EHV charges'!$A:$O,8,FALSE)=0,"",VLOOKUP($A101,'Annex 2 EHV charges'!$A:$O,8,FALSE)),"")</f>
        <v/>
      </c>
      <c r="F101" s="99" t="str">
        <f>IFERROR(IF(VLOOKUP($A101,'Annex 2 EHV charges'!$A:$O,9,FALSE)=0,"",VLOOKUP($A101,'Annex 2 EHV charges'!$A:$O,9,FALSE)),"")</f>
        <v/>
      </c>
      <c r="G101" s="100" t="str">
        <f>IFERROR(IF(VLOOKUP($A101,'Annex 2 EHV charges'!$A:$O,10,FALSE)=0,"",VLOOKUP($A101,'Annex 2 EHV charges'!$A:$O,10,FALSE)),"")</f>
        <v/>
      </c>
      <c r="H101" s="100" t="str">
        <f>IFERROR(IF(VLOOKUP($A101,'Annex 2 EHV charges'!$A:$O,11,FALSE)=0,"",VLOOKUP($A101,'Annex 2 EHV charges'!$A:$O,11,FALSE)),"")</f>
        <v/>
      </c>
    </row>
    <row r="102" spans="1:8" ht="12.75" customHeight="1" x14ac:dyDescent="0.2">
      <c r="A102" s="93" t="str">
        <f t="array" ref="A102">IFERROR(INDEX('Annex 2 EHV charges'!$A$11:$A$58, MATCH(0, IF(ISBLANK('Annex 2 EHV charges'!$A$11:$A$58),1, COUNTIF(A$4:$A101, 'Annex 2 EHV charges'!$A$11:$A$58)), 0)),"")</f>
        <v/>
      </c>
      <c r="B102" s="93" t="str">
        <f>IF($A102="","",VLOOKUP($A102,'Annex 2 EHV charges'!$A:$O,2,0))</f>
        <v/>
      </c>
      <c r="C102" s="94" t="str">
        <f>IF($A102="","",VLOOKUP($A102,'Annex 2 EHV charges'!$A:$O,3,0))</f>
        <v/>
      </c>
      <c r="D102" s="93" t="str">
        <f>IF($A102="","",VLOOKUP($A102,'Annex 2 EHV charges'!$A:$O,7,0))</f>
        <v/>
      </c>
      <c r="E102" s="98" t="str">
        <f>IFERROR(IF(VLOOKUP($A102,'Annex 2 EHV charges'!$A:$O,8,FALSE)=0,"",VLOOKUP($A102,'Annex 2 EHV charges'!$A:$O,8,FALSE)),"")</f>
        <v/>
      </c>
      <c r="F102" s="99" t="str">
        <f>IFERROR(IF(VLOOKUP($A102,'Annex 2 EHV charges'!$A:$O,9,FALSE)=0,"",VLOOKUP($A102,'Annex 2 EHV charges'!$A:$O,9,FALSE)),"")</f>
        <v/>
      </c>
      <c r="G102" s="100" t="str">
        <f>IFERROR(IF(VLOOKUP($A102,'Annex 2 EHV charges'!$A:$O,10,FALSE)=0,"",VLOOKUP($A102,'Annex 2 EHV charges'!$A:$O,10,FALSE)),"")</f>
        <v/>
      </c>
      <c r="H102" s="100" t="str">
        <f>IFERROR(IF(VLOOKUP($A102,'Annex 2 EHV charges'!$A:$O,11,FALSE)=0,"",VLOOKUP($A102,'Annex 2 EHV charges'!$A:$O,11,FALSE)),"")</f>
        <v/>
      </c>
    </row>
    <row r="103" spans="1:8" ht="12.75" customHeight="1" x14ac:dyDescent="0.2">
      <c r="A103" s="93" t="str">
        <f t="array" ref="A103">IFERROR(INDEX('Annex 2 EHV charges'!$A$11:$A$58, MATCH(0, IF(ISBLANK('Annex 2 EHV charges'!$A$11:$A$58),1, COUNTIF(A$4:$A102, 'Annex 2 EHV charges'!$A$11:$A$58)), 0)),"")</f>
        <v/>
      </c>
      <c r="B103" s="93" t="str">
        <f>IF($A103="","",VLOOKUP($A103,'Annex 2 EHV charges'!$A:$O,2,0))</f>
        <v/>
      </c>
      <c r="C103" s="94" t="str">
        <f>IF($A103="","",VLOOKUP($A103,'Annex 2 EHV charges'!$A:$O,3,0))</f>
        <v/>
      </c>
      <c r="D103" s="93" t="str">
        <f>IF($A103="","",VLOOKUP($A103,'Annex 2 EHV charges'!$A:$O,7,0))</f>
        <v/>
      </c>
      <c r="E103" s="98" t="str">
        <f>IFERROR(IF(VLOOKUP($A103,'Annex 2 EHV charges'!$A:$O,8,FALSE)=0,"",VLOOKUP($A103,'Annex 2 EHV charges'!$A:$O,8,FALSE)),"")</f>
        <v/>
      </c>
      <c r="F103" s="99" t="str">
        <f>IFERROR(IF(VLOOKUP($A103,'Annex 2 EHV charges'!$A:$O,9,FALSE)=0,"",VLOOKUP($A103,'Annex 2 EHV charges'!$A:$O,9,FALSE)),"")</f>
        <v/>
      </c>
      <c r="G103" s="100" t="str">
        <f>IFERROR(IF(VLOOKUP($A103,'Annex 2 EHV charges'!$A:$O,10,FALSE)=0,"",VLOOKUP($A103,'Annex 2 EHV charges'!$A:$O,10,FALSE)),"")</f>
        <v/>
      </c>
      <c r="H103" s="100" t="str">
        <f>IFERROR(IF(VLOOKUP($A103,'Annex 2 EHV charges'!$A:$O,11,FALSE)=0,"",VLOOKUP($A103,'Annex 2 EHV charges'!$A:$O,11,FALSE)),"")</f>
        <v/>
      </c>
    </row>
    <row r="104" spans="1:8" ht="12.75" customHeight="1" x14ac:dyDescent="0.2">
      <c r="A104" s="93" t="str">
        <f t="array" ref="A104">IFERROR(INDEX('Annex 2 EHV charges'!$A$11:$A$58, MATCH(0, IF(ISBLANK('Annex 2 EHV charges'!$A$11:$A$58),1, COUNTIF(A$4:$A103, 'Annex 2 EHV charges'!$A$11:$A$58)), 0)),"")</f>
        <v/>
      </c>
      <c r="B104" s="93" t="str">
        <f>IF($A104="","",VLOOKUP($A104,'Annex 2 EHV charges'!$A:$O,2,0))</f>
        <v/>
      </c>
      <c r="C104" s="94" t="str">
        <f>IF($A104="","",VLOOKUP($A104,'Annex 2 EHV charges'!$A:$O,3,0))</f>
        <v/>
      </c>
      <c r="D104" s="93" t="str">
        <f>IF($A104="","",VLOOKUP($A104,'Annex 2 EHV charges'!$A:$O,7,0))</f>
        <v/>
      </c>
      <c r="E104" s="98" t="str">
        <f>IFERROR(IF(VLOOKUP($A104,'Annex 2 EHV charges'!$A:$O,8,FALSE)=0,"",VLOOKUP($A104,'Annex 2 EHV charges'!$A:$O,8,FALSE)),"")</f>
        <v/>
      </c>
      <c r="F104" s="99" t="str">
        <f>IFERROR(IF(VLOOKUP($A104,'Annex 2 EHV charges'!$A:$O,9,FALSE)=0,"",VLOOKUP($A104,'Annex 2 EHV charges'!$A:$O,9,FALSE)),"")</f>
        <v/>
      </c>
      <c r="G104" s="100" t="str">
        <f>IFERROR(IF(VLOOKUP($A104,'Annex 2 EHV charges'!$A:$O,10,FALSE)=0,"",VLOOKUP($A104,'Annex 2 EHV charges'!$A:$O,10,FALSE)),"")</f>
        <v/>
      </c>
      <c r="H104" s="100" t="str">
        <f>IFERROR(IF(VLOOKUP($A104,'Annex 2 EHV charges'!$A:$O,11,FALSE)=0,"",VLOOKUP($A104,'Annex 2 EHV charges'!$A:$O,11,FALSE)),"")</f>
        <v/>
      </c>
    </row>
    <row r="105" spans="1:8" ht="12.75" customHeight="1" x14ac:dyDescent="0.2">
      <c r="A105" s="93" t="str">
        <f t="array" ref="A105">IFERROR(INDEX('Annex 2 EHV charges'!$A$11:$A$58, MATCH(0, IF(ISBLANK('Annex 2 EHV charges'!$A$11:$A$58),1, COUNTIF(A$4:$A104, 'Annex 2 EHV charges'!$A$11:$A$58)), 0)),"")</f>
        <v/>
      </c>
      <c r="B105" s="93" t="str">
        <f>IF($A105="","",VLOOKUP($A105,'Annex 2 EHV charges'!$A:$O,2,0))</f>
        <v/>
      </c>
      <c r="C105" s="94" t="str">
        <f>IF($A105="","",VLOOKUP($A105,'Annex 2 EHV charges'!$A:$O,3,0))</f>
        <v/>
      </c>
      <c r="D105" s="93" t="str">
        <f>IF($A105="","",VLOOKUP($A105,'Annex 2 EHV charges'!$A:$O,7,0))</f>
        <v/>
      </c>
      <c r="E105" s="98" t="str">
        <f>IFERROR(IF(VLOOKUP($A105,'Annex 2 EHV charges'!$A:$O,8,FALSE)=0,"",VLOOKUP($A105,'Annex 2 EHV charges'!$A:$O,8,FALSE)),"")</f>
        <v/>
      </c>
      <c r="F105" s="99" t="str">
        <f>IFERROR(IF(VLOOKUP($A105,'Annex 2 EHV charges'!$A:$O,9,FALSE)=0,"",VLOOKUP($A105,'Annex 2 EHV charges'!$A:$O,9,FALSE)),"")</f>
        <v/>
      </c>
      <c r="G105" s="100" t="str">
        <f>IFERROR(IF(VLOOKUP($A105,'Annex 2 EHV charges'!$A:$O,10,FALSE)=0,"",VLOOKUP($A105,'Annex 2 EHV charges'!$A:$O,10,FALSE)),"")</f>
        <v/>
      </c>
      <c r="H105" s="100" t="str">
        <f>IFERROR(IF(VLOOKUP($A105,'Annex 2 EHV charges'!$A:$O,11,FALSE)=0,"",VLOOKUP($A105,'Annex 2 EHV charges'!$A:$O,11,FALSE)),"")</f>
        <v/>
      </c>
    </row>
    <row r="106" spans="1:8" ht="12.75" customHeight="1" x14ac:dyDescent="0.2">
      <c r="A106" s="93" t="str">
        <f t="array" ref="A106">IFERROR(INDEX('Annex 2 EHV charges'!$A$11:$A$58, MATCH(0, IF(ISBLANK('Annex 2 EHV charges'!$A$11:$A$58),1, COUNTIF(A$4:$A105, 'Annex 2 EHV charges'!$A$11:$A$58)), 0)),"")</f>
        <v/>
      </c>
      <c r="B106" s="93" t="str">
        <f>IF($A106="","",VLOOKUP($A106,'Annex 2 EHV charges'!$A:$O,2,0))</f>
        <v/>
      </c>
      <c r="C106" s="94" t="str">
        <f>IF($A106="","",VLOOKUP($A106,'Annex 2 EHV charges'!$A:$O,3,0))</f>
        <v/>
      </c>
      <c r="D106" s="93" t="str">
        <f>IF($A106="","",VLOOKUP($A106,'Annex 2 EHV charges'!$A:$O,7,0))</f>
        <v/>
      </c>
      <c r="E106" s="98" t="str">
        <f>IFERROR(IF(VLOOKUP($A106,'Annex 2 EHV charges'!$A:$O,8,FALSE)=0,"",VLOOKUP($A106,'Annex 2 EHV charges'!$A:$O,8,FALSE)),"")</f>
        <v/>
      </c>
      <c r="F106" s="99" t="str">
        <f>IFERROR(IF(VLOOKUP($A106,'Annex 2 EHV charges'!$A:$O,9,FALSE)=0,"",VLOOKUP($A106,'Annex 2 EHV charges'!$A:$O,9,FALSE)),"")</f>
        <v/>
      </c>
      <c r="G106" s="100" t="str">
        <f>IFERROR(IF(VLOOKUP($A106,'Annex 2 EHV charges'!$A:$O,10,FALSE)=0,"",VLOOKUP($A106,'Annex 2 EHV charges'!$A:$O,10,FALSE)),"")</f>
        <v/>
      </c>
      <c r="H106" s="100" t="str">
        <f>IFERROR(IF(VLOOKUP($A106,'Annex 2 EHV charges'!$A:$O,11,FALSE)=0,"",VLOOKUP($A106,'Annex 2 EHV charges'!$A:$O,11,FALSE)),"")</f>
        <v/>
      </c>
    </row>
    <row r="107" spans="1:8" ht="12.75" customHeight="1" x14ac:dyDescent="0.2">
      <c r="A107" s="93" t="str">
        <f t="array" ref="A107">IFERROR(INDEX('Annex 2 EHV charges'!$A$11:$A$58, MATCH(0, IF(ISBLANK('Annex 2 EHV charges'!$A$11:$A$58),1, COUNTIF(A$4:$A106, 'Annex 2 EHV charges'!$A$11:$A$58)), 0)),"")</f>
        <v/>
      </c>
      <c r="B107" s="93" t="str">
        <f>IF($A107="","",VLOOKUP($A107,'Annex 2 EHV charges'!$A:$O,2,0))</f>
        <v/>
      </c>
      <c r="C107" s="94" t="str">
        <f>IF($A107="","",VLOOKUP($A107,'Annex 2 EHV charges'!$A:$O,3,0))</f>
        <v/>
      </c>
      <c r="D107" s="93" t="str">
        <f>IF($A107="","",VLOOKUP($A107,'Annex 2 EHV charges'!$A:$O,7,0))</f>
        <v/>
      </c>
      <c r="E107" s="98" t="str">
        <f>IFERROR(IF(VLOOKUP($A107,'Annex 2 EHV charges'!$A:$O,8,FALSE)=0,"",VLOOKUP($A107,'Annex 2 EHV charges'!$A:$O,8,FALSE)),"")</f>
        <v/>
      </c>
      <c r="F107" s="99" t="str">
        <f>IFERROR(IF(VLOOKUP($A107,'Annex 2 EHV charges'!$A:$O,9,FALSE)=0,"",VLOOKUP($A107,'Annex 2 EHV charges'!$A:$O,9,FALSE)),"")</f>
        <v/>
      </c>
      <c r="G107" s="100" t="str">
        <f>IFERROR(IF(VLOOKUP($A107,'Annex 2 EHV charges'!$A:$O,10,FALSE)=0,"",VLOOKUP($A107,'Annex 2 EHV charges'!$A:$O,10,FALSE)),"")</f>
        <v/>
      </c>
      <c r="H107" s="100" t="str">
        <f>IFERROR(IF(VLOOKUP($A107,'Annex 2 EHV charges'!$A:$O,11,FALSE)=0,"",VLOOKUP($A107,'Annex 2 EHV charges'!$A:$O,11,FALSE)),"")</f>
        <v/>
      </c>
    </row>
    <row r="108" spans="1:8" ht="12.75" customHeight="1" x14ac:dyDescent="0.2">
      <c r="A108" s="93" t="str">
        <f t="array" ref="A108">IFERROR(INDEX('Annex 2 EHV charges'!$A$11:$A$58, MATCH(0, IF(ISBLANK('Annex 2 EHV charges'!$A$11:$A$58),1, COUNTIF(A$4:$A107, 'Annex 2 EHV charges'!$A$11:$A$58)), 0)),"")</f>
        <v/>
      </c>
      <c r="B108" s="93" t="str">
        <f>IF($A108="","",VLOOKUP($A108,'Annex 2 EHV charges'!$A:$O,2,0))</f>
        <v/>
      </c>
      <c r="C108" s="94" t="str">
        <f>IF($A108="","",VLOOKUP($A108,'Annex 2 EHV charges'!$A:$O,3,0))</f>
        <v/>
      </c>
      <c r="D108" s="93" t="str">
        <f>IF($A108="","",VLOOKUP($A108,'Annex 2 EHV charges'!$A:$O,7,0))</f>
        <v/>
      </c>
      <c r="E108" s="98" t="str">
        <f>IFERROR(IF(VLOOKUP($A108,'Annex 2 EHV charges'!$A:$O,8,FALSE)=0,"",VLOOKUP($A108,'Annex 2 EHV charges'!$A:$O,8,FALSE)),"")</f>
        <v/>
      </c>
      <c r="F108" s="99" t="str">
        <f>IFERROR(IF(VLOOKUP($A108,'Annex 2 EHV charges'!$A:$O,9,FALSE)=0,"",VLOOKUP($A108,'Annex 2 EHV charges'!$A:$O,9,FALSE)),"")</f>
        <v/>
      </c>
      <c r="G108" s="100" t="str">
        <f>IFERROR(IF(VLOOKUP($A108,'Annex 2 EHV charges'!$A:$O,10,FALSE)=0,"",VLOOKUP($A108,'Annex 2 EHV charges'!$A:$O,10,FALSE)),"")</f>
        <v/>
      </c>
      <c r="H108" s="100" t="str">
        <f>IFERROR(IF(VLOOKUP($A108,'Annex 2 EHV charges'!$A:$O,11,FALSE)=0,"",VLOOKUP($A108,'Annex 2 EHV charges'!$A:$O,11,FALSE)),"")</f>
        <v/>
      </c>
    </row>
    <row r="109" spans="1:8" ht="12.75" customHeight="1" x14ac:dyDescent="0.2">
      <c r="A109" s="93" t="str">
        <f t="array" ref="A109">IFERROR(INDEX('Annex 2 EHV charges'!$A$11:$A$58, MATCH(0, IF(ISBLANK('Annex 2 EHV charges'!$A$11:$A$58),1, COUNTIF(A$4:$A108, 'Annex 2 EHV charges'!$A$11:$A$58)), 0)),"")</f>
        <v/>
      </c>
      <c r="B109" s="93" t="str">
        <f>IF($A109="","",VLOOKUP($A109,'Annex 2 EHV charges'!$A:$O,2,0))</f>
        <v/>
      </c>
      <c r="C109" s="94" t="str">
        <f>IF($A109="","",VLOOKUP($A109,'Annex 2 EHV charges'!$A:$O,3,0))</f>
        <v/>
      </c>
      <c r="D109" s="93" t="str">
        <f>IF($A109="","",VLOOKUP($A109,'Annex 2 EHV charges'!$A:$O,7,0))</f>
        <v/>
      </c>
      <c r="E109" s="98" t="str">
        <f>IFERROR(IF(VLOOKUP($A109,'Annex 2 EHV charges'!$A:$O,8,FALSE)=0,"",VLOOKUP($A109,'Annex 2 EHV charges'!$A:$O,8,FALSE)),"")</f>
        <v/>
      </c>
      <c r="F109" s="99" t="str">
        <f>IFERROR(IF(VLOOKUP($A109,'Annex 2 EHV charges'!$A:$O,9,FALSE)=0,"",VLOOKUP($A109,'Annex 2 EHV charges'!$A:$O,9,FALSE)),"")</f>
        <v/>
      </c>
      <c r="G109" s="100" t="str">
        <f>IFERROR(IF(VLOOKUP($A109,'Annex 2 EHV charges'!$A:$O,10,FALSE)=0,"",VLOOKUP($A109,'Annex 2 EHV charges'!$A:$O,10,FALSE)),"")</f>
        <v/>
      </c>
      <c r="H109" s="100" t="str">
        <f>IFERROR(IF(VLOOKUP($A109,'Annex 2 EHV charges'!$A:$O,11,FALSE)=0,"",VLOOKUP($A109,'Annex 2 EHV charges'!$A:$O,11,FALSE)),"")</f>
        <v/>
      </c>
    </row>
    <row r="110" spans="1:8" ht="12.75" customHeight="1" x14ac:dyDescent="0.2">
      <c r="A110" s="93" t="str">
        <f t="array" ref="A110">IFERROR(INDEX('Annex 2 EHV charges'!$A$11:$A$58, MATCH(0, IF(ISBLANK('Annex 2 EHV charges'!$A$11:$A$58),1, COUNTIF(A$4:$A109, 'Annex 2 EHV charges'!$A$11:$A$58)), 0)),"")</f>
        <v/>
      </c>
      <c r="B110" s="93" t="str">
        <f>IF($A110="","",VLOOKUP($A110,'Annex 2 EHV charges'!$A:$O,2,0))</f>
        <v/>
      </c>
      <c r="C110" s="94" t="str">
        <f>IF($A110="","",VLOOKUP($A110,'Annex 2 EHV charges'!$A:$O,3,0))</f>
        <v/>
      </c>
      <c r="D110" s="93" t="str">
        <f>IF($A110="","",VLOOKUP($A110,'Annex 2 EHV charges'!$A:$O,7,0))</f>
        <v/>
      </c>
      <c r="E110" s="98" t="str">
        <f>IFERROR(IF(VLOOKUP($A110,'Annex 2 EHV charges'!$A:$O,8,FALSE)=0,"",VLOOKUP($A110,'Annex 2 EHV charges'!$A:$O,8,FALSE)),"")</f>
        <v/>
      </c>
      <c r="F110" s="99" t="str">
        <f>IFERROR(IF(VLOOKUP($A110,'Annex 2 EHV charges'!$A:$O,9,FALSE)=0,"",VLOOKUP($A110,'Annex 2 EHV charges'!$A:$O,9,FALSE)),"")</f>
        <v/>
      </c>
      <c r="G110" s="100" t="str">
        <f>IFERROR(IF(VLOOKUP($A110,'Annex 2 EHV charges'!$A:$O,10,FALSE)=0,"",VLOOKUP($A110,'Annex 2 EHV charges'!$A:$O,10,FALSE)),"")</f>
        <v/>
      </c>
      <c r="H110" s="100" t="str">
        <f>IFERROR(IF(VLOOKUP($A110,'Annex 2 EHV charges'!$A:$O,11,FALSE)=0,"",VLOOKUP($A110,'Annex 2 EHV charges'!$A:$O,11,FALSE)),"")</f>
        <v/>
      </c>
    </row>
    <row r="111" spans="1:8" ht="12.75" customHeight="1" x14ac:dyDescent="0.2">
      <c r="A111" s="93" t="str">
        <f t="array" ref="A111">IFERROR(INDEX('Annex 2 EHV charges'!$A$11:$A$58, MATCH(0, IF(ISBLANK('Annex 2 EHV charges'!$A$11:$A$58),1, COUNTIF(A$4:$A110, 'Annex 2 EHV charges'!$A$11:$A$58)), 0)),"")</f>
        <v/>
      </c>
      <c r="B111" s="93" t="str">
        <f>IF($A111="","",VLOOKUP($A111,'Annex 2 EHV charges'!$A:$O,2,0))</f>
        <v/>
      </c>
      <c r="C111" s="94" t="str">
        <f>IF($A111="","",VLOOKUP($A111,'Annex 2 EHV charges'!$A:$O,3,0))</f>
        <v/>
      </c>
      <c r="D111" s="93" t="str">
        <f>IF($A111="","",VLOOKUP($A111,'Annex 2 EHV charges'!$A:$O,7,0))</f>
        <v/>
      </c>
      <c r="E111" s="98" t="str">
        <f>IFERROR(IF(VLOOKUP($A111,'Annex 2 EHV charges'!$A:$O,8,FALSE)=0,"",VLOOKUP($A111,'Annex 2 EHV charges'!$A:$O,8,FALSE)),"")</f>
        <v/>
      </c>
      <c r="F111" s="99" t="str">
        <f>IFERROR(IF(VLOOKUP($A111,'Annex 2 EHV charges'!$A:$O,9,FALSE)=0,"",VLOOKUP($A111,'Annex 2 EHV charges'!$A:$O,9,FALSE)),"")</f>
        <v/>
      </c>
      <c r="G111" s="100" t="str">
        <f>IFERROR(IF(VLOOKUP($A111,'Annex 2 EHV charges'!$A:$O,10,FALSE)=0,"",VLOOKUP($A111,'Annex 2 EHV charges'!$A:$O,10,FALSE)),"")</f>
        <v/>
      </c>
      <c r="H111" s="100" t="str">
        <f>IFERROR(IF(VLOOKUP($A111,'Annex 2 EHV charges'!$A:$O,11,FALSE)=0,"",VLOOKUP($A111,'Annex 2 EHV charges'!$A:$O,11,FALSE)),"")</f>
        <v/>
      </c>
    </row>
    <row r="112" spans="1:8" ht="12.75" customHeight="1" x14ac:dyDescent="0.2">
      <c r="A112" s="93" t="str">
        <f t="array" ref="A112">IFERROR(INDEX('Annex 2 EHV charges'!$A$11:$A$58, MATCH(0, IF(ISBLANK('Annex 2 EHV charges'!$A$11:$A$58),1, COUNTIF(A$4:$A111, 'Annex 2 EHV charges'!$A$11:$A$58)), 0)),"")</f>
        <v/>
      </c>
      <c r="B112" s="93" t="str">
        <f>IF($A112="","",VLOOKUP($A112,'Annex 2 EHV charges'!$A:$O,2,0))</f>
        <v/>
      </c>
      <c r="C112" s="94" t="str">
        <f>IF($A112="","",VLOOKUP($A112,'Annex 2 EHV charges'!$A:$O,3,0))</f>
        <v/>
      </c>
      <c r="D112" s="93" t="str">
        <f>IF($A112="","",VLOOKUP($A112,'Annex 2 EHV charges'!$A:$O,7,0))</f>
        <v/>
      </c>
      <c r="E112" s="98" t="str">
        <f>IFERROR(IF(VLOOKUP($A112,'Annex 2 EHV charges'!$A:$O,8,FALSE)=0,"",VLOOKUP($A112,'Annex 2 EHV charges'!$A:$O,8,FALSE)),"")</f>
        <v/>
      </c>
      <c r="F112" s="99" t="str">
        <f>IFERROR(IF(VLOOKUP($A112,'Annex 2 EHV charges'!$A:$O,9,FALSE)=0,"",VLOOKUP($A112,'Annex 2 EHV charges'!$A:$O,9,FALSE)),"")</f>
        <v/>
      </c>
      <c r="G112" s="100" t="str">
        <f>IFERROR(IF(VLOOKUP($A112,'Annex 2 EHV charges'!$A:$O,10,FALSE)=0,"",VLOOKUP($A112,'Annex 2 EHV charges'!$A:$O,10,FALSE)),"")</f>
        <v/>
      </c>
      <c r="H112" s="100" t="str">
        <f>IFERROR(IF(VLOOKUP($A112,'Annex 2 EHV charges'!$A:$O,11,FALSE)=0,"",VLOOKUP($A112,'Annex 2 EHV charges'!$A:$O,11,FALSE)),"")</f>
        <v/>
      </c>
    </row>
    <row r="113" spans="1:8" ht="12.75" customHeight="1" x14ac:dyDescent="0.2">
      <c r="A113" s="93" t="str">
        <f t="array" ref="A113">IFERROR(INDEX('Annex 2 EHV charges'!$A$11:$A$58, MATCH(0, IF(ISBLANK('Annex 2 EHV charges'!$A$11:$A$58),1, COUNTIF(A$4:$A112, 'Annex 2 EHV charges'!$A$11:$A$58)), 0)),"")</f>
        <v/>
      </c>
      <c r="B113" s="93" t="str">
        <f>IF($A113="","",VLOOKUP($A113,'Annex 2 EHV charges'!$A:$O,2,0))</f>
        <v/>
      </c>
      <c r="C113" s="94" t="str">
        <f>IF($A113="","",VLOOKUP($A113,'Annex 2 EHV charges'!$A:$O,3,0))</f>
        <v/>
      </c>
      <c r="D113" s="93" t="str">
        <f>IF($A113="","",VLOOKUP($A113,'Annex 2 EHV charges'!$A:$O,7,0))</f>
        <v/>
      </c>
      <c r="E113" s="98" t="str">
        <f>IFERROR(IF(VLOOKUP($A113,'Annex 2 EHV charges'!$A:$O,8,FALSE)=0,"",VLOOKUP($A113,'Annex 2 EHV charges'!$A:$O,8,FALSE)),"")</f>
        <v/>
      </c>
      <c r="F113" s="99" t="str">
        <f>IFERROR(IF(VLOOKUP($A113,'Annex 2 EHV charges'!$A:$O,9,FALSE)=0,"",VLOOKUP($A113,'Annex 2 EHV charges'!$A:$O,9,FALSE)),"")</f>
        <v/>
      </c>
      <c r="G113" s="100" t="str">
        <f>IFERROR(IF(VLOOKUP($A113,'Annex 2 EHV charges'!$A:$O,10,FALSE)=0,"",VLOOKUP($A113,'Annex 2 EHV charges'!$A:$O,10,FALSE)),"")</f>
        <v/>
      </c>
      <c r="H113" s="100" t="str">
        <f>IFERROR(IF(VLOOKUP($A113,'Annex 2 EHV charges'!$A:$O,11,FALSE)=0,"",VLOOKUP($A113,'Annex 2 EHV charges'!$A:$O,11,FALSE)),"")</f>
        <v/>
      </c>
    </row>
    <row r="114" spans="1:8" ht="12.75" customHeight="1" x14ac:dyDescent="0.2">
      <c r="A114" s="93" t="str">
        <f t="array" ref="A114">IFERROR(INDEX('Annex 2 EHV charges'!$A$11:$A$58, MATCH(0, IF(ISBLANK('Annex 2 EHV charges'!$A$11:$A$58),1, COUNTIF(A$4:$A113, 'Annex 2 EHV charges'!$A$11:$A$58)), 0)),"")</f>
        <v/>
      </c>
      <c r="B114" s="93" t="str">
        <f>IF($A114="","",VLOOKUP($A114,'Annex 2 EHV charges'!$A:$O,2,0))</f>
        <v/>
      </c>
      <c r="C114" s="94" t="str">
        <f>IF($A114="","",VLOOKUP($A114,'Annex 2 EHV charges'!$A:$O,3,0))</f>
        <v/>
      </c>
      <c r="D114" s="93" t="str">
        <f>IF($A114="","",VLOOKUP($A114,'Annex 2 EHV charges'!$A:$O,7,0))</f>
        <v/>
      </c>
      <c r="E114" s="98" t="str">
        <f>IFERROR(IF(VLOOKUP($A114,'Annex 2 EHV charges'!$A:$O,8,FALSE)=0,"",VLOOKUP($A114,'Annex 2 EHV charges'!$A:$O,8,FALSE)),"")</f>
        <v/>
      </c>
      <c r="F114" s="99" t="str">
        <f>IFERROR(IF(VLOOKUP($A114,'Annex 2 EHV charges'!$A:$O,9,FALSE)=0,"",VLOOKUP($A114,'Annex 2 EHV charges'!$A:$O,9,FALSE)),"")</f>
        <v/>
      </c>
      <c r="G114" s="100" t="str">
        <f>IFERROR(IF(VLOOKUP($A114,'Annex 2 EHV charges'!$A:$O,10,FALSE)=0,"",VLOOKUP($A114,'Annex 2 EHV charges'!$A:$O,10,FALSE)),"")</f>
        <v/>
      </c>
      <c r="H114" s="100" t="str">
        <f>IFERROR(IF(VLOOKUP($A114,'Annex 2 EHV charges'!$A:$O,11,FALSE)=0,"",VLOOKUP($A114,'Annex 2 EHV charges'!$A:$O,11,FALSE)),"")</f>
        <v/>
      </c>
    </row>
    <row r="115" spans="1:8" ht="12.75" customHeight="1" x14ac:dyDescent="0.2">
      <c r="A115" s="93" t="str">
        <f t="array" ref="A115">IFERROR(INDEX('Annex 2 EHV charges'!$A$11:$A$58, MATCH(0, IF(ISBLANK('Annex 2 EHV charges'!$A$11:$A$58),1, COUNTIF(A$4:$A114, 'Annex 2 EHV charges'!$A$11:$A$58)), 0)),"")</f>
        <v/>
      </c>
      <c r="B115" s="93" t="str">
        <f>IF($A115="","",VLOOKUP($A115,'Annex 2 EHV charges'!$A:$O,2,0))</f>
        <v/>
      </c>
      <c r="C115" s="94" t="str">
        <f>IF($A115="","",VLOOKUP($A115,'Annex 2 EHV charges'!$A:$O,3,0))</f>
        <v/>
      </c>
      <c r="D115" s="93" t="str">
        <f>IF($A115="","",VLOOKUP($A115,'Annex 2 EHV charges'!$A:$O,7,0))</f>
        <v/>
      </c>
      <c r="E115" s="98" t="str">
        <f>IFERROR(IF(VLOOKUP($A115,'Annex 2 EHV charges'!$A:$O,8,FALSE)=0,"",VLOOKUP($A115,'Annex 2 EHV charges'!$A:$O,8,FALSE)),"")</f>
        <v/>
      </c>
      <c r="F115" s="99" t="str">
        <f>IFERROR(IF(VLOOKUP($A115,'Annex 2 EHV charges'!$A:$O,9,FALSE)=0,"",VLOOKUP($A115,'Annex 2 EHV charges'!$A:$O,9,FALSE)),"")</f>
        <v/>
      </c>
      <c r="G115" s="100" t="str">
        <f>IFERROR(IF(VLOOKUP($A115,'Annex 2 EHV charges'!$A:$O,10,FALSE)=0,"",VLOOKUP($A115,'Annex 2 EHV charges'!$A:$O,10,FALSE)),"")</f>
        <v/>
      </c>
      <c r="H115" s="100" t="str">
        <f>IFERROR(IF(VLOOKUP($A115,'Annex 2 EHV charges'!$A:$O,11,FALSE)=0,"",VLOOKUP($A115,'Annex 2 EHV charges'!$A:$O,11,FALSE)),"")</f>
        <v/>
      </c>
    </row>
    <row r="116" spans="1:8" ht="12.75" customHeight="1" x14ac:dyDescent="0.2">
      <c r="A116" s="93" t="str">
        <f t="array" ref="A116">IFERROR(INDEX('Annex 2 EHV charges'!$A$11:$A$58, MATCH(0, IF(ISBLANK('Annex 2 EHV charges'!$A$11:$A$58),1, COUNTIF(A$4:$A115, 'Annex 2 EHV charges'!$A$11:$A$58)), 0)),"")</f>
        <v/>
      </c>
      <c r="B116" s="93" t="str">
        <f>IF($A116="","",VLOOKUP($A116,'Annex 2 EHV charges'!$A:$O,2,0))</f>
        <v/>
      </c>
      <c r="C116" s="94" t="str">
        <f>IF($A116="","",VLOOKUP($A116,'Annex 2 EHV charges'!$A:$O,3,0))</f>
        <v/>
      </c>
      <c r="D116" s="93" t="str">
        <f>IF($A116="","",VLOOKUP($A116,'Annex 2 EHV charges'!$A:$O,7,0))</f>
        <v/>
      </c>
      <c r="E116" s="98" t="str">
        <f>IFERROR(IF(VLOOKUP($A116,'Annex 2 EHV charges'!$A:$O,8,FALSE)=0,"",VLOOKUP($A116,'Annex 2 EHV charges'!$A:$O,8,FALSE)),"")</f>
        <v/>
      </c>
      <c r="F116" s="99" t="str">
        <f>IFERROR(IF(VLOOKUP($A116,'Annex 2 EHV charges'!$A:$O,9,FALSE)=0,"",VLOOKUP($A116,'Annex 2 EHV charges'!$A:$O,9,FALSE)),"")</f>
        <v/>
      </c>
      <c r="G116" s="100" t="str">
        <f>IFERROR(IF(VLOOKUP($A116,'Annex 2 EHV charges'!$A:$O,10,FALSE)=0,"",VLOOKUP($A116,'Annex 2 EHV charges'!$A:$O,10,FALSE)),"")</f>
        <v/>
      </c>
      <c r="H116" s="100" t="str">
        <f>IFERROR(IF(VLOOKUP($A116,'Annex 2 EHV charges'!$A:$O,11,FALSE)=0,"",VLOOKUP($A116,'Annex 2 EHV charges'!$A:$O,11,FALSE)),"")</f>
        <v/>
      </c>
    </row>
    <row r="117" spans="1:8" ht="12.75" customHeight="1" x14ac:dyDescent="0.2">
      <c r="A117" s="93" t="str">
        <f t="array" ref="A117">IFERROR(INDEX('Annex 2 EHV charges'!$A$11:$A$58, MATCH(0, IF(ISBLANK('Annex 2 EHV charges'!$A$11:$A$58),1, COUNTIF(A$4:$A116, 'Annex 2 EHV charges'!$A$11:$A$58)), 0)),"")</f>
        <v/>
      </c>
      <c r="B117" s="93" t="str">
        <f>IF($A117="","",VLOOKUP($A117,'Annex 2 EHV charges'!$A:$O,2,0))</f>
        <v/>
      </c>
      <c r="C117" s="94" t="str">
        <f>IF($A117="","",VLOOKUP($A117,'Annex 2 EHV charges'!$A:$O,3,0))</f>
        <v/>
      </c>
      <c r="D117" s="93" t="str">
        <f>IF($A117="","",VLOOKUP($A117,'Annex 2 EHV charges'!$A:$O,7,0))</f>
        <v/>
      </c>
      <c r="E117" s="98" t="str">
        <f>IFERROR(IF(VLOOKUP($A117,'Annex 2 EHV charges'!$A:$O,8,FALSE)=0,"",VLOOKUP($A117,'Annex 2 EHV charges'!$A:$O,8,FALSE)),"")</f>
        <v/>
      </c>
      <c r="F117" s="99" t="str">
        <f>IFERROR(IF(VLOOKUP($A117,'Annex 2 EHV charges'!$A:$O,9,FALSE)=0,"",VLOOKUP($A117,'Annex 2 EHV charges'!$A:$O,9,FALSE)),"")</f>
        <v/>
      </c>
      <c r="G117" s="100" t="str">
        <f>IFERROR(IF(VLOOKUP($A117,'Annex 2 EHV charges'!$A:$O,10,FALSE)=0,"",VLOOKUP($A117,'Annex 2 EHV charges'!$A:$O,10,FALSE)),"")</f>
        <v/>
      </c>
      <c r="H117" s="100" t="str">
        <f>IFERROR(IF(VLOOKUP($A117,'Annex 2 EHV charges'!$A:$O,11,FALSE)=0,"",VLOOKUP($A117,'Annex 2 EHV charges'!$A:$O,11,FALSE)),"")</f>
        <v/>
      </c>
    </row>
    <row r="118" spans="1:8" ht="12.75" customHeight="1" x14ac:dyDescent="0.2">
      <c r="A118" s="93" t="str">
        <f t="array" ref="A118">IFERROR(INDEX('Annex 2 EHV charges'!$A$11:$A$58, MATCH(0, IF(ISBLANK('Annex 2 EHV charges'!$A$11:$A$58),1, COUNTIF(A$4:$A117, 'Annex 2 EHV charges'!$A$11:$A$58)), 0)),"")</f>
        <v/>
      </c>
      <c r="B118" s="93" t="str">
        <f>IF($A118="","",VLOOKUP($A118,'Annex 2 EHV charges'!$A:$O,2,0))</f>
        <v/>
      </c>
      <c r="C118" s="94" t="str">
        <f>IF($A118="","",VLOOKUP($A118,'Annex 2 EHV charges'!$A:$O,3,0))</f>
        <v/>
      </c>
      <c r="D118" s="93" t="str">
        <f>IF($A118="","",VLOOKUP($A118,'Annex 2 EHV charges'!$A:$O,7,0))</f>
        <v/>
      </c>
      <c r="E118" s="98" t="str">
        <f>IFERROR(IF(VLOOKUP($A118,'Annex 2 EHV charges'!$A:$O,8,FALSE)=0,"",VLOOKUP($A118,'Annex 2 EHV charges'!$A:$O,8,FALSE)),"")</f>
        <v/>
      </c>
      <c r="F118" s="99" t="str">
        <f>IFERROR(IF(VLOOKUP($A118,'Annex 2 EHV charges'!$A:$O,9,FALSE)=0,"",VLOOKUP($A118,'Annex 2 EHV charges'!$A:$O,9,FALSE)),"")</f>
        <v/>
      </c>
      <c r="G118" s="100" t="str">
        <f>IFERROR(IF(VLOOKUP($A118,'Annex 2 EHV charges'!$A:$O,10,FALSE)=0,"",VLOOKUP($A118,'Annex 2 EHV charges'!$A:$O,10,FALSE)),"")</f>
        <v/>
      </c>
      <c r="H118" s="100" t="str">
        <f>IFERROR(IF(VLOOKUP($A118,'Annex 2 EHV charges'!$A:$O,11,FALSE)=0,"",VLOOKUP($A118,'Annex 2 EHV charges'!$A:$O,11,FALSE)),"")</f>
        <v/>
      </c>
    </row>
    <row r="119" spans="1:8" ht="12.75" customHeight="1" x14ac:dyDescent="0.2">
      <c r="A119" s="93" t="str">
        <f t="array" ref="A119">IFERROR(INDEX('Annex 2 EHV charges'!$A$11:$A$58, MATCH(0, IF(ISBLANK('Annex 2 EHV charges'!$A$11:$A$58),1, COUNTIF(A$4:$A118, 'Annex 2 EHV charges'!$A$11:$A$58)), 0)),"")</f>
        <v/>
      </c>
      <c r="B119" s="93" t="str">
        <f>IF($A119="","",VLOOKUP($A119,'Annex 2 EHV charges'!$A:$O,2,0))</f>
        <v/>
      </c>
      <c r="C119" s="94" t="str">
        <f>IF($A119="","",VLOOKUP($A119,'Annex 2 EHV charges'!$A:$O,3,0))</f>
        <v/>
      </c>
      <c r="D119" s="93" t="str">
        <f>IF($A119="","",VLOOKUP($A119,'Annex 2 EHV charges'!$A:$O,7,0))</f>
        <v/>
      </c>
      <c r="E119" s="98" t="str">
        <f>IFERROR(IF(VLOOKUP($A119,'Annex 2 EHV charges'!$A:$O,8,FALSE)=0,"",VLOOKUP($A119,'Annex 2 EHV charges'!$A:$O,8,FALSE)),"")</f>
        <v/>
      </c>
      <c r="F119" s="99" t="str">
        <f>IFERROR(IF(VLOOKUP($A119,'Annex 2 EHV charges'!$A:$O,9,FALSE)=0,"",VLOOKUP($A119,'Annex 2 EHV charges'!$A:$O,9,FALSE)),"")</f>
        <v/>
      </c>
      <c r="G119" s="100" t="str">
        <f>IFERROR(IF(VLOOKUP($A119,'Annex 2 EHV charges'!$A:$O,10,FALSE)=0,"",VLOOKUP($A119,'Annex 2 EHV charges'!$A:$O,10,FALSE)),"")</f>
        <v/>
      </c>
      <c r="H119" s="100" t="str">
        <f>IFERROR(IF(VLOOKUP($A119,'Annex 2 EHV charges'!$A:$O,11,FALSE)=0,"",VLOOKUP($A119,'Annex 2 EHV charges'!$A:$O,11,FALSE)),"")</f>
        <v/>
      </c>
    </row>
    <row r="120" spans="1:8" ht="12.75" customHeight="1" x14ac:dyDescent="0.2">
      <c r="A120" s="93" t="str">
        <f t="array" ref="A120">IFERROR(INDEX('Annex 2 EHV charges'!$A$11:$A$58, MATCH(0, IF(ISBLANK('Annex 2 EHV charges'!$A$11:$A$58),1, COUNTIF(A$4:$A119, 'Annex 2 EHV charges'!$A$11:$A$58)), 0)),"")</f>
        <v/>
      </c>
      <c r="B120" s="93" t="str">
        <f>IF($A120="","",VLOOKUP($A120,'Annex 2 EHV charges'!$A:$O,2,0))</f>
        <v/>
      </c>
      <c r="C120" s="94" t="str">
        <f>IF($A120="","",VLOOKUP($A120,'Annex 2 EHV charges'!$A:$O,3,0))</f>
        <v/>
      </c>
      <c r="D120" s="93" t="str">
        <f>IF($A120="","",VLOOKUP($A120,'Annex 2 EHV charges'!$A:$O,7,0))</f>
        <v/>
      </c>
      <c r="E120" s="98" t="str">
        <f>IFERROR(IF(VLOOKUP($A120,'Annex 2 EHV charges'!$A:$O,8,FALSE)=0,"",VLOOKUP($A120,'Annex 2 EHV charges'!$A:$O,8,FALSE)),"")</f>
        <v/>
      </c>
      <c r="F120" s="99" t="str">
        <f>IFERROR(IF(VLOOKUP($A120,'Annex 2 EHV charges'!$A:$O,9,FALSE)=0,"",VLOOKUP($A120,'Annex 2 EHV charges'!$A:$O,9,FALSE)),"")</f>
        <v/>
      </c>
      <c r="G120" s="100" t="str">
        <f>IFERROR(IF(VLOOKUP($A120,'Annex 2 EHV charges'!$A:$O,10,FALSE)=0,"",VLOOKUP($A120,'Annex 2 EHV charges'!$A:$O,10,FALSE)),"")</f>
        <v/>
      </c>
      <c r="H120" s="100" t="str">
        <f>IFERROR(IF(VLOOKUP($A120,'Annex 2 EHV charges'!$A:$O,11,FALSE)=0,"",VLOOKUP($A120,'Annex 2 EHV charges'!$A:$O,11,FALSE)),"")</f>
        <v/>
      </c>
    </row>
    <row r="121" spans="1:8" ht="12.75" customHeight="1" x14ac:dyDescent="0.2">
      <c r="A121" s="93" t="str">
        <f t="array" ref="A121">IFERROR(INDEX('Annex 2 EHV charges'!$A$11:$A$58, MATCH(0, IF(ISBLANK('Annex 2 EHV charges'!$A$11:$A$58),1, COUNTIF(A$4:$A120, 'Annex 2 EHV charges'!$A$11:$A$58)), 0)),"")</f>
        <v/>
      </c>
      <c r="B121" s="93" t="str">
        <f>IF($A121="","",VLOOKUP($A121,'Annex 2 EHV charges'!$A:$O,2,0))</f>
        <v/>
      </c>
      <c r="C121" s="94" t="str">
        <f>IF($A121="","",VLOOKUP($A121,'Annex 2 EHV charges'!$A:$O,3,0))</f>
        <v/>
      </c>
      <c r="D121" s="93" t="str">
        <f>IF($A121="","",VLOOKUP($A121,'Annex 2 EHV charges'!$A:$O,7,0))</f>
        <v/>
      </c>
      <c r="E121" s="98" t="str">
        <f>IFERROR(IF(VLOOKUP($A121,'Annex 2 EHV charges'!$A:$O,8,FALSE)=0,"",VLOOKUP($A121,'Annex 2 EHV charges'!$A:$O,8,FALSE)),"")</f>
        <v/>
      </c>
      <c r="F121" s="99" t="str">
        <f>IFERROR(IF(VLOOKUP($A121,'Annex 2 EHV charges'!$A:$O,9,FALSE)=0,"",VLOOKUP($A121,'Annex 2 EHV charges'!$A:$O,9,FALSE)),"")</f>
        <v/>
      </c>
      <c r="G121" s="100" t="str">
        <f>IFERROR(IF(VLOOKUP($A121,'Annex 2 EHV charges'!$A:$O,10,FALSE)=0,"",VLOOKUP($A121,'Annex 2 EHV charges'!$A:$O,10,FALSE)),"")</f>
        <v/>
      </c>
      <c r="H121" s="100" t="str">
        <f>IFERROR(IF(VLOOKUP($A121,'Annex 2 EHV charges'!$A:$O,11,FALSE)=0,"",VLOOKUP($A121,'Annex 2 EHV charges'!$A:$O,11,FALSE)),"")</f>
        <v/>
      </c>
    </row>
    <row r="122" spans="1:8" ht="12.75" customHeight="1" x14ac:dyDescent="0.2">
      <c r="A122" s="93" t="str">
        <f t="array" ref="A122">IFERROR(INDEX('Annex 2 EHV charges'!$A$11:$A$58, MATCH(0, IF(ISBLANK('Annex 2 EHV charges'!$A$11:$A$58),1, COUNTIF(A$4:$A121, 'Annex 2 EHV charges'!$A$11:$A$58)), 0)),"")</f>
        <v/>
      </c>
      <c r="B122" s="93" t="str">
        <f>IF($A122="","",VLOOKUP($A122,'Annex 2 EHV charges'!$A:$O,2,0))</f>
        <v/>
      </c>
      <c r="C122" s="94" t="str">
        <f>IF($A122="","",VLOOKUP($A122,'Annex 2 EHV charges'!$A:$O,3,0))</f>
        <v/>
      </c>
      <c r="D122" s="93" t="str">
        <f>IF($A122="","",VLOOKUP($A122,'Annex 2 EHV charges'!$A:$O,7,0))</f>
        <v/>
      </c>
      <c r="E122" s="98" t="str">
        <f>IFERROR(IF(VLOOKUP($A122,'Annex 2 EHV charges'!$A:$O,8,FALSE)=0,"",VLOOKUP($A122,'Annex 2 EHV charges'!$A:$O,8,FALSE)),"")</f>
        <v/>
      </c>
      <c r="F122" s="99" t="str">
        <f>IFERROR(IF(VLOOKUP($A122,'Annex 2 EHV charges'!$A:$O,9,FALSE)=0,"",VLOOKUP($A122,'Annex 2 EHV charges'!$A:$O,9,FALSE)),"")</f>
        <v/>
      </c>
      <c r="G122" s="100" t="str">
        <f>IFERROR(IF(VLOOKUP($A122,'Annex 2 EHV charges'!$A:$O,10,FALSE)=0,"",VLOOKUP($A122,'Annex 2 EHV charges'!$A:$O,10,FALSE)),"")</f>
        <v/>
      </c>
      <c r="H122" s="100" t="str">
        <f>IFERROR(IF(VLOOKUP($A122,'Annex 2 EHV charges'!$A:$O,11,FALSE)=0,"",VLOOKUP($A122,'Annex 2 EHV charges'!$A:$O,11,FALSE)),"")</f>
        <v/>
      </c>
    </row>
    <row r="123" spans="1:8" ht="12.75" customHeight="1" x14ac:dyDescent="0.2">
      <c r="A123" s="93" t="str">
        <f t="array" ref="A123">IFERROR(INDEX('Annex 2 EHV charges'!$A$11:$A$58, MATCH(0, IF(ISBLANK('Annex 2 EHV charges'!$A$11:$A$58),1, COUNTIF(A$4:$A122, 'Annex 2 EHV charges'!$A$11:$A$58)), 0)),"")</f>
        <v/>
      </c>
      <c r="B123" s="93" t="str">
        <f>IF($A123="","",VLOOKUP($A123,'Annex 2 EHV charges'!$A:$O,2,0))</f>
        <v/>
      </c>
      <c r="C123" s="94" t="str">
        <f>IF($A123="","",VLOOKUP($A123,'Annex 2 EHV charges'!$A:$O,3,0))</f>
        <v/>
      </c>
      <c r="D123" s="93" t="str">
        <f>IF($A123="","",VLOOKUP($A123,'Annex 2 EHV charges'!$A:$O,7,0))</f>
        <v/>
      </c>
      <c r="E123" s="98" t="str">
        <f>IFERROR(IF(VLOOKUP($A123,'Annex 2 EHV charges'!$A:$O,8,FALSE)=0,"",VLOOKUP($A123,'Annex 2 EHV charges'!$A:$O,8,FALSE)),"")</f>
        <v/>
      </c>
      <c r="F123" s="99" t="str">
        <f>IFERROR(IF(VLOOKUP($A123,'Annex 2 EHV charges'!$A:$O,9,FALSE)=0,"",VLOOKUP($A123,'Annex 2 EHV charges'!$A:$O,9,FALSE)),"")</f>
        <v/>
      </c>
      <c r="G123" s="100" t="str">
        <f>IFERROR(IF(VLOOKUP($A123,'Annex 2 EHV charges'!$A:$O,10,FALSE)=0,"",VLOOKUP($A123,'Annex 2 EHV charges'!$A:$O,10,FALSE)),"")</f>
        <v/>
      </c>
      <c r="H123" s="100" t="str">
        <f>IFERROR(IF(VLOOKUP($A123,'Annex 2 EHV charges'!$A:$O,11,FALSE)=0,"",VLOOKUP($A123,'Annex 2 EHV charges'!$A:$O,11,FALSE)),"")</f>
        <v/>
      </c>
    </row>
    <row r="124" spans="1:8" ht="12.75" customHeight="1" x14ac:dyDescent="0.2">
      <c r="A124" s="93" t="str">
        <f t="array" ref="A124">IFERROR(INDEX('Annex 2 EHV charges'!$A$11:$A$58, MATCH(0, IF(ISBLANK('Annex 2 EHV charges'!$A$11:$A$58),1, COUNTIF(A$4:$A123, 'Annex 2 EHV charges'!$A$11:$A$58)), 0)),"")</f>
        <v/>
      </c>
      <c r="B124" s="93" t="str">
        <f>IF($A124="","",VLOOKUP($A124,'Annex 2 EHV charges'!$A:$O,2,0))</f>
        <v/>
      </c>
      <c r="C124" s="94" t="str">
        <f>IF($A124="","",VLOOKUP($A124,'Annex 2 EHV charges'!$A:$O,3,0))</f>
        <v/>
      </c>
      <c r="D124" s="93" t="str">
        <f>IF($A124="","",VLOOKUP($A124,'Annex 2 EHV charges'!$A:$O,7,0))</f>
        <v/>
      </c>
      <c r="E124" s="98" t="str">
        <f>IFERROR(IF(VLOOKUP($A124,'Annex 2 EHV charges'!$A:$O,8,FALSE)=0,"",VLOOKUP($A124,'Annex 2 EHV charges'!$A:$O,8,FALSE)),"")</f>
        <v/>
      </c>
      <c r="F124" s="99" t="str">
        <f>IFERROR(IF(VLOOKUP($A124,'Annex 2 EHV charges'!$A:$O,9,FALSE)=0,"",VLOOKUP($A124,'Annex 2 EHV charges'!$A:$O,9,FALSE)),"")</f>
        <v/>
      </c>
      <c r="G124" s="100" t="str">
        <f>IFERROR(IF(VLOOKUP($A124,'Annex 2 EHV charges'!$A:$O,10,FALSE)=0,"",VLOOKUP($A124,'Annex 2 EHV charges'!$A:$O,10,FALSE)),"")</f>
        <v/>
      </c>
      <c r="H124" s="100" t="str">
        <f>IFERROR(IF(VLOOKUP($A124,'Annex 2 EHV charges'!$A:$O,11,FALSE)=0,"",VLOOKUP($A124,'Annex 2 EHV charges'!$A:$O,11,FALSE)),"")</f>
        <v/>
      </c>
    </row>
    <row r="125" spans="1:8" ht="12.75" customHeight="1" x14ac:dyDescent="0.2">
      <c r="A125" s="93" t="str">
        <f t="array" ref="A125">IFERROR(INDEX('Annex 2 EHV charges'!$A$11:$A$58, MATCH(0, IF(ISBLANK('Annex 2 EHV charges'!$A$11:$A$58),1, COUNTIF(A$4:$A124, 'Annex 2 EHV charges'!$A$11:$A$58)), 0)),"")</f>
        <v/>
      </c>
      <c r="B125" s="93" t="str">
        <f>IF($A125="","",VLOOKUP($A125,'Annex 2 EHV charges'!$A:$O,2,0))</f>
        <v/>
      </c>
      <c r="C125" s="94" t="str">
        <f>IF($A125="","",VLOOKUP($A125,'Annex 2 EHV charges'!$A:$O,3,0))</f>
        <v/>
      </c>
      <c r="D125" s="93" t="str">
        <f>IF($A125="","",VLOOKUP($A125,'Annex 2 EHV charges'!$A:$O,7,0))</f>
        <v/>
      </c>
      <c r="E125" s="98" t="str">
        <f>IFERROR(IF(VLOOKUP($A125,'Annex 2 EHV charges'!$A:$O,8,FALSE)=0,"",VLOOKUP($A125,'Annex 2 EHV charges'!$A:$O,8,FALSE)),"")</f>
        <v/>
      </c>
      <c r="F125" s="99" t="str">
        <f>IFERROR(IF(VLOOKUP($A125,'Annex 2 EHV charges'!$A:$O,9,FALSE)=0,"",VLOOKUP($A125,'Annex 2 EHV charges'!$A:$O,9,FALSE)),"")</f>
        <v/>
      </c>
      <c r="G125" s="100" t="str">
        <f>IFERROR(IF(VLOOKUP($A125,'Annex 2 EHV charges'!$A:$O,10,FALSE)=0,"",VLOOKUP($A125,'Annex 2 EHV charges'!$A:$O,10,FALSE)),"")</f>
        <v/>
      </c>
      <c r="H125" s="100" t="str">
        <f>IFERROR(IF(VLOOKUP($A125,'Annex 2 EHV charges'!$A:$O,11,FALSE)=0,"",VLOOKUP($A125,'Annex 2 EHV charges'!$A:$O,11,FALSE)),"")</f>
        <v/>
      </c>
    </row>
    <row r="126" spans="1:8" ht="12.75" customHeight="1" x14ac:dyDescent="0.2">
      <c r="A126" s="93" t="str">
        <f t="array" ref="A126">IFERROR(INDEX('Annex 2 EHV charges'!$A$11:$A$58, MATCH(0, IF(ISBLANK('Annex 2 EHV charges'!$A$11:$A$58),1, COUNTIF(A$4:$A125, 'Annex 2 EHV charges'!$A$11:$A$58)), 0)),"")</f>
        <v/>
      </c>
      <c r="B126" s="93" t="str">
        <f>IF($A126="","",VLOOKUP($A126,'Annex 2 EHV charges'!$A:$O,2,0))</f>
        <v/>
      </c>
      <c r="C126" s="94" t="str">
        <f>IF($A126="","",VLOOKUP($A126,'Annex 2 EHV charges'!$A:$O,3,0))</f>
        <v/>
      </c>
      <c r="D126" s="93" t="str">
        <f>IF($A126="","",VLOOKUP($A126,'Annex 2 EHV charges'!$A:$O,7,0))</f>
        <v/>
      </c>
      <c r="E126" s="98" t="str">
        <f>IFERROR(IF(VLOOKUP($A126,'Annex 2 EHV charges'!$A:$O,8,FALSE)=0,"",VLOOKUP($A126,'Annex 2 EHV charges'!$A:$O,8,FALSE)),"")</f>
        <v/>
      </c>
      <c r="F126" s="99" t="str">
        <f>IFERROR(IF(VLOOKUP($A126,'Annex 2 EHV charges'!$A:$O,9,FALSE)=0,"",VLOOKUP($A126,'Annex 2 EHV charges'!$A:$O,9,FALSE)),"")</f>
        <v/>
      </c>
      <c r="G126" s="100" t="str">
        <f>IFERROR(IF(VLOOKUP($A126,'Annex 2 EHV charges'!$A:$O,10,FALSE)=0,"",VLOOKUP($A126,'Annex 2 EHV charges'!$A:$O,10,FALSE)),"")</f>
        <v/>
      </c>
      <c r="H126" s="100" t="str">
        <f>IFERROR(IF(VLOOKUP($A126,'Annex 2 EHV charges'!$A:$O,11,FALSE)=0,"",VLOOKUP($A126,'Annex 2 EHV charges'!$A:$O,11,FALSE)),"")</f>
        <v/>
      </c>
    </row>
    <row r="127" spans="1:8" ht="12.75" customHeight="1" x14ac:dyDescent="0.2">
      <c r="A127" s="93" t="str">
        <f t="array" ref="A127">IFERROR(INDEX('Annex 2 EHV charges'!$A$11:$A$58, MATCH(0, IF(ISBLANK('Annex 2 EHV charges'!$A$11:$A$58),1, COUNTIF(A$4:$A126, 'Annex 2 EHV charges'!$A$11:$A$58)), 0)),"")</f>
        <v/>
      </c>
      <c r="B127" s="93" t="str">
        <f>IF($A127="","",VLOOKUP($A127,'Annex 2 EHV charges'!$A:$O,2,0))</f>
        <v/>
      </c>
      <c r="C127" s="94" t="str">
        <f>IF($A127="","",VLOOKUP($A127,'Annex 2 EHV charges'!$A:$O,3,0))</f>
        <v/>
      </c>
      <c r="D127" s="93" t="str">
        <f>IF($A127="","",VLOOKUP($A127,'Annex 2 EHV charges'!$A:$O,7,0))</f>
        <v/>
      </c>
      <c r="E127" s="98" t="str">
        <f>IFERROR(IF(VLOOKUP($A127,'Annex 2 EHV charges'!$A:$O,8,FALSE)=0,"",VLOOKUP($A127,'Annex 2 EHV charges'!$A:$O,8,FALSE)),"")</f>
        <v/>
      </c>
      <c r="F127" s="99" t="str">
        <f>IFERROR(IF(VLOOKUP($A127,'Annex 2 EHV charges'!$A:$O,9,FALSE)=0,"",VLOOKUP($A127,'Annex 2 EHV charges'!$A:$O,9,FALSE)),"")</f>
        <v/>
      </c>
      <c r="G127" s="100" t="str">
        <f>IFERROR(IF(VLOOKUP($A127,'Annex 2 EHV charges'!$A:$O,10,FALSE)=0,"",VLOOKUP($A127,'Annex 2 EHV charges'!$A:$O,10,FALSE)),"")</f>
        <v/>
      </c>
      <c r="H127" s="100" t="str">
        <f>IFERROR(IF(VLOOKUP($A127,'Annex 2 EHV charges'!$A:$O,11,FALSE)=0,"",VLOOKUP($A127,'Annex 2 EHV charges'!$A:$O,11,FALSE)),"")</f>
        <v/>
      </c>
    </row>
    <row r="128" spans="1:8" ht="12.75" customHeight="1" x14ac:dyDescent="0.2">
      <c r="A128" s="93" t="str">
        <f t="array" ref="A128">IFERROR(INDEX('Annex 2 EHV charges'!$A$11:$A$58, MATCH(0, IF(ISBLANK('Annex 2 EHV charges'!$A$11:$A$58),1, COUNTIF(A$4:$A127, 'Annex 2 EHV charges'!$A$11:$A$58)), 0)),"")</f>
        <v/>
      </c>
      <c r="B128" s="93" t="str">
        <f>IF($A128="","",VLOOKUP($A128,'Annex 2 EHV charges'!$A:$O,2,0))</f>
        <v/>
      </c>
      <c r="C128" s="94" t="str">
        <f>IF($A128="","",VLOOKUP($A128,'Annex 2 EHV charges'!$A:$O,3,0))</f>
        <v/>
      </c>
      <c r="D128" s="93" t="str">
        <f>IF($A128="","",VLOOKUP($A128,'Annex 2 EHV charges'!$A:$O,7,0))</f>
        <v/>
      </c>
      <c r="E128" s="98" t="str">
        <f>IFERROR(IF(VLOOKUP($A128,'Annex 2 EHV charges'!$A:$O,8,FALSE)=0,"",VLOOKUP($A128,'Annex 2 EHV charges'!$A:$O,8,FALSE)),"")</f>
        <v/>
      </c>
      <c r="F128" s="99" t="str">
        <f>IFERROR(IF(VLOOKUP($A128,'Annex 2 EHV charges'!$A:$O,9,FALSE)=0,"",VLOOKUP($A128,'Annex 2 EHV charges'!$A:$O,9,FALSE)),"")</f>
        <v/>
      </c>
      <c r="G128" s="100" t="str">
        <f>IFERROR(IF(VLOOKUP($A128,'Annex 2 EHV charges'!$A:$O,10,FALSE)=0,"",VLOOKUP($A128,'Annex 2 EHV charges'!$A:$O,10,FALSE)),"")</f>
        <v/>
      </c>
      <c r="H128" s="100" t="str">
        <f>IFERROR(IF(VLOOKUP($A128,'Annex 2 EHV charges'!$A:$O,11,FALSE)=0,"",VLOOKUP($A128,'Annex 2 EHV charges'!$A:$O,11,FALSE)),"")</f>
        <v/>
      </c>
    </row>
    <row r="129" spans="1:8" ht="12.75" customHeight="1" x14ac:dyDescent="0.2">
      <c r="A129" s="93" t="str">
        <f t="array" ref="A129">IFERROR(INDEX('Annex 2 EHV charges'!$A$11:$A$58, MATCH(0, IF(ISBLANK('Annex 2 EHV charges'!$A$11:$A$58),1, COUNTIF(A$4:$A128, 'Annex 2 EHV charges'!$A$11:$A$58)), 0)),"")</f>
        <v/>
      </c>
      <c r="B129" s="93" t="str">
        <f>IF($A129="","",VLOOKUP($A129,'Annex 2 EHV charges'!$A:$O,2,0))</f>
        <v/>
      </c>
      <c r="C129" s="94" t="str">
        <f>IF($A129="","",VLOOKUP($A129,'Annex 2 EHV charges'!$A:$O,3,0))</f>
        <v/>
      </c>
      <c r="D129" s="93" t="str">
        <f>IF($A129="","",VLOOKUP($A129,'Annex 2 EHV charges'!$A:$O,7,0))</f>
        <v/>
      </c>
      <c r="E129" s="98" t="str">
        <f>IFERROR(IF(VLOOKUP($A129,'Annex 2 EHV charges'!$A:$O,8,FALSE)=0,"",VLOOKUP($A129,'Annex 2 EHV charges'!$A:$O,8,FALSE)),"")</f>
        <v/>
      </c>
      <c r="F129" s="99" t="str">
        <f>IFERROR(IF(VLOOKUP($A129,'Annex 2 EHV charges'!$A:$O,9,FALSE)=0,"",VLOOKUP($A129,'Annex 2 EHV charges'!$A:$O,9,FALSE)),"")</f>
        <v/>
      </c>
      <c r="G129" s="100" t="str">
        <f>IFERROR(IF(VLOOKUP($A129,'Annex 2 EHV charges'!$A:$O,10,FALSE)=0,"",VLOOKUP($A129,'Annex 2 EHV charges'!$A:$O,10,FALSE)),"")</f>
        <v/>
      </c>
      <c r="H129" s="100" t="str">
        <f>IFERROR(IF(VLOOKUP($A129,'Annex 2 EHV charges'!$A:$O,11,FALSE)=0,"",VLOOKUP($A129,'Annex 2 EHV charges'!$A:$O,11,FALSE)),"")</f>
        <v/>
      </c>
    </row>
    <row r="130" spans="1:8" ht="12.75" customHeight="1" x14ac:dyDescent="0.2">
      <c r="A130" s="93" t="str">
        <f t="array" ref="A130">IFERROR(INDEX('Annex 2 EHV charges'!$A$11:$A$58, MATCH(0, IF(ISBLANK('Annex 2 EHV charges'!$A$11:$A$58),1, COUNTIF(A$4:$A129, 'Annex 2 EHV charges'!$A$11:$A$58)), 0)),"")</f>
        <v/>
      </c>
      <c r="B130" s="93" t="str">
        <f>IF($A130="","",VLOOKUP($A130,'Annex 2 EHV charges'!$A:$O,2,0))</f>
        <v/>
      </c>
      <c r="C130" s="94" t="str">
        <f>IF($A130="","",VLOOKUP($A130,'Annex 2 EHV charges'!$A:$O,3,0))</f>
        <v/>
      </c>
      <c r="D130" s="93" t="str">
        <f>IF($A130="","",VLOOKUP($A130,'Annex 2 EHV charges'!$A:$O,7,0))</f>
        <v/>
      </c>
      <c r="E130" s="98" t="str">
        <f>IFERROR(IF(VLOOKUP($A130,'Annex 2 EHV charges'!$A:$O,8,FALSE)=0,"",VLOOKUP($A130,'Annex 2 EHV charges'!$A:$O,8,FALSE)),"")</f>
        <v/>
      </c>
      <c r="F130" s="99" t="str">
        <f>IFERROR(IF(VLOOKUP($A130,'Annex 2 EHV charges'!$A:$O,9,FALSE)=0,"",VLOOKUP($A130,'Annex 2 EHV charges'!$A:$O,9,FALSE)),"")</f>
        <v/>
      </c>
      <c r="G130" s="100" t="str">
        <f>IFERROR(IF(VLOOKUP($A130,'Annex 2 EHV charges'!$A:$O,10,FALSE)=0,"",VLOOKUP($A130,'Annex 2 EHV charges'!$A:$O,10,FALSE)),"")</f>
        <v/>
      </c>
      <c r="H130" s="100" t="str">
        <f>IFERROR(IF(VLOOKUP($A130,'Annex 2 EHV charges'!$A:$O,11,FALSE)=0,"",VLOOKUP($A130,'Annex 2 EHV charges'!$A:$O,11,FALSE)),"")</f>
        <v/>
      </c>
    </row>
    <row r="131" spans="1:8" ht="12.75" customHeight="1" x14ac:dyDescent="0.2">
      <c r="A131" s="93" t="str">
        <f t="array" ref="A131">IFERROR(INDEX('Annex 2 EHV charges'!$A$11:$A$58, MATCH(0, IF(ISBLANK('Annex 2 EHV charges'!$A$11:$A$58),1, COUNTIF(A$4:$A130, 'Annex 2 EHV charges'!$A$11:$A$58)), 0)),"")</f>
        <v/>
      </c>
      <c r="B131" s="93" t="str">
        <f>IF($A131="","",VLOOKUP($A131,'Annex 2 EHV charges'!$A:$O,2,0))</f>
        <v/>
      </c>
      <c r="C131" s="94" t="str">
        <f>IF($A131="","",VLOOKUP($A131,'Annex 2 EHV charges'!$A:$O,3,0))</f>
        <v/>
      </c>
      <c r="D131" s="93" t="str">
        <f>IF($A131="","",VLOOKUP($A131,'Annex 2 EHV charges'!$A:$O,7,0))</f>
        <v/>
      </c>
      <c r="E131" s="98" t="str">
        <f>IFERROR(IF(VLOOKUP($A131,'Annex 2 EHV charges'!$A:$O,8,FALSE)=0,"",VLOOKUP($A131,'Annex 2 EHV charges'!$A:$O,8,FALSE)),"")</f>
        <v/>
      </c>
      <c r="F131" s="99" t="str">
        <f>IFERROR(IF(VLOOKUP($A131,'Annex 2 EHV charges'!$A:$O,9,FALSE)=0,"",VLOOKUP($A131,'Annex 2 EHV charges'!$A:$O,9,FALSE)),"")</f>
        <v/>
      </c>
      <c r="G131" s="100" t="str">
        <f>IFERROR(IF(VLOOKUP($A131,'Annex 2 EHV charges'!$A:$O,10,FALSE)=0,"",VLOOKUP($A131,'Annex 2 EHV charges'!$A:$O,10,FALSE)),"")</f>
        <v/>
      </c>
      <c r="H131" s="100" t="str">
        <f>IFERROR(IF(VLOOKUP($A131,'Annex 2 EHV charges'!$A:$O,11,FALSE)=0,"",VLOOKUP($A131,'Annex 2 EHV charges'!$A:$O,11,FALSE)),"")</f>
        <v/>
      </c>
    </row>
    <row r="132" spans="1:8" ht="12.75" customHeight="1" x14ac:dyDescent="0.2">
      <c r="A132" s="93" t="str">
        <f t="array" ref="A132">IFERROR(INDEX('Annex 2 EHV charges'!$A$11:$A$58, MATCH(0, IF(ISBLANK('Annex 2 EHV charges'!$A$11:$A$58),1, COUNTIF(A$4:$A131, 'Annex 2 EHV charges'!$A$11:$A$58)), 0)),"")</f>
        <v/>
      </c>
      <c r="B132" s="93" t="str">
        <f>IF($A132="","",VLOOKUP($A132,'Annex 2 EHV charges'!$A:$O,2,0))</f>
        <v/>
      </c>
      <c r="C132" s="94" t="str">
        <f>IF($A132="","",VLOOKUP($A132,'Annex 2 EHV charges'!$A:$O,3,0))</f>
        <v/>
      </c>
      <c r="D132" s="93" t="str">
        <f>IF($A132="","",VLOOKUP($A132,'Annex 2 EHV charges'!$A:$O,7,0))</f>
        <v/>
      </c>
      <c r="E132" s="98" t="str">
        <f>IFERROR(IF(VLOOKUP($A132,'Annex 2 EHV charges'!$A:$O,8,FALSE)=0,"",VLOOKUP($A132,'Annex 2 EHV charges'!$A:$O,8,FALSE)),"")</f>
        <v/>
      </c>
      <c r="F132" s="99" t="str">
        <f>IFERROR(IF(VLOOKUP($A132,'Annex 2 EHV charges'!$A:$O,9,FALSE)=0,"",VLOOKUP($A132,'Annex 2 EHV charges'!$A:$O,9,FALSE)),"")</f>
        <v/>
      </c>
      <c r="G132" s="100" t="str">
        <f>IFERROR(IF(VLOOKUP($A132,'Annex 2 EHV charges'!$A:$O,10,FALSE)=0,"",VLOOKUP($A132,'Annex 2 EHV charges'!$A:$O,10,FALSE)),"")</f>
        <v/>
      </c>
      <c r="H132" s="100" t="str">
        <f>IFERROR(IF(VLOOKUP($A132,'Annex 2 EHV charges'!$A:$O,11,FALSE)=0,"",VLOOKUP($A132,'Annex 2 EHV charges'!$A:$O,11,FALSE)),"")</f>
        <v/>
      </c>
    </row>
    <row r="133" spans="1:8" ht="12.75" customHeight="1" x14ac:dyDescent="0.2">
      <c r="A133" s="93" t="str">
        <f t="array" ref="A133">IFERROR(INDEX('Annex 2 EHV charges'!$A$11:$A$58, MATCH(0, IF(ISBLANK('Annex 2 EHV charges'!$A$11:$A$58),1, COUNTIF(A$4:$A132, 'Annex 2 EHV charges'!$A$11:$A$58)), 0)),"")</f>
        <v/>
      </c>
      <c r="B133" s="93" t="str">
        <f>IF($A133="","",VLOOKUP($A133,'Annex 2 EHV charges'!$A:$O,2,0))</f>
        <v/>
      </c>
      <c r="C133" s="94" t="str">
        <f>IF($A133="","",VLOOKUP($A133,'Annex 2 EHV charges'!$A:$O,3,0))</f>
        <v/>
      </c>
      <c r="D133" s="93" t="str">
        <f>IF($A133="","",VLOOKUP($A133,'Annex 2 EHV charges'!$A:$O,7,0))</f>
        <v/>
      </c>
      <c r="E133" s="98" t="str">
        <f>IFERROR(IF(VLOOKUP($A133,'Annex 2 EHV charges'!$A:$O,8,FALSE)=0,"",VLOOKUP($A133,'Annex 2 EHV charges'!$A:$O,8,FALSE)),"")</f>
        <v/>
      </c>
      <c r="F133" s="99" t="str">
        <f>IFERROR(IF(VLOOKUP($A133,'Annex 2 EHV charges'!$A:$O,9,FALSE)=0,"",VLOOKUP($A133,'Annex 2 EHV charges'!$A:$O,9,FALSE)),"")</f>
        <v/>
      </c>
      <c r="G133" s="100" t="str">
        <f>IFERROR(IF(VLOOKUP($A133,'Annex 2 EHV charges'!$A:$O,10,FALSE)=0,"",VLOOKUP($A133,'Annex 2 EHV charges'!$A:$O,10,FALSE)),"")</f>
        <v/>
      </c>
      <c r="H133" s="100" t="str">
        <f>IFERROR(IF(VLOOKUP($A133,'Annex 2 EHV charges'!$A:$O,11,FALSE)=0,"",VLOOKUP($A133,'Annex 2 EHV charges'!$A:$O,11,FALSE)),"")</f>
        <v/>
      </c>
    </row>
    <row r="134" spans="1:8" ht="12.75" customHeight="1" x14ac:dyDescent="0.2">
      <c r="A134" s="93" t="str">
        <f t="array" ref="A134">IFERROR(INDEX('Annex 2 EHV charges'!$A$11:$A$58, MATCH(0, IF(ISBLANK('Annex 2 EHV charges'!$A$11:$A$58),1, COUNTIF(A$4:$A133, 'Annex 2 EHV charges'!$A$11:$A$58)), 0)),"")</f>
        <v/>
      </c>
      <c r="B134" s="93" t="str">
        <f>IF($A134="","",VLOOKUP($A134,'Annex 2 EHV charges'!$A:$O,2,0))</f>
        <v/>
      </c>
      <c r="C134" s="94" t="str">
        <f>IF($A134="","",VLOOKUP($A134,'Annex 2 EHV charges'!$A:$O,3,0))</f>
        <v/>
      </c>
      <c r="D134" s="93" t="str">
        <f>IF($A134="","",VLOOKUP($A134,'Annex 2 EHV charges'!$A:$O,7,0))</f>
        <v/>
      </c>
      <c r="E134" s="98" t="str">
        <f>IFERROR(IF(VLOOKUP($A134,'Annex 2 EHV charges'!$A:$O,8,FALSE)=0,"",VLOOKUP($A134,'Annex 2 EHV charges'!$A:$O,8,FALSE)),"")</f>
        <v/>
      </c>
      <c r="F134" s="99" t="str">
        <f>IFERROR(IF(VLOOKUP($A134,'Annex 2 EHV charges'!$A:$O,9,FALSE)=0,"",VLOOKUP($A134,'Annex 2 EHV charges'!$A:$O,9,FALSE)),"")</f>
        <v/>
      </c>
      <c r="G134" s="100" t="str">
        <f>IFERROR(IF(VLOOKUP($A134,'Annex 2 EHV charges'!$A:$O,10,FALSE)=0,"",VLOOKUP($A134,'Annex 2 EHV charges'!$A:$O,10,FALSE)),"")</f>
        <v/>
      </c>
      <c r="H134" s="100" t="str">
        <f>IFERROR(IF(VLOOKUP($A134,'Annex 2 EHV charges'!$A:$O,11,FALSE)=0,"",VLOOKUP($A134,'Annex 2 EHV charges'!$A:$O,11,FALSE)),"")</f>
        <v/>
      </c>
    </row>
    <row r="135" spans="1:8" ht="12.75" customHeight="1" x14ac:dyDescent="0.2">
      <c r="A135" s="93" t="str">
        <f t="array" ref="A135">IFERROR(INDEX('Annex 2 EHV charges'!$A$11:$A$58, MATCH(0, IF(ISBLANK('Annex 2 EHV charges'!$A$11:$A$58),1, COUNTIF(A$4:$A134, 'Annex 2 EHV charges'!$A$11:$A$58)), 0)),"")</f>
        <v/>
      </c>
      <c r="B135" s="93" t="str">
        <f>IF($A135="","",VLOOKUP($A135,'Annex 2 EHV charges'!$A:$O,2,0))</f>
        <v/>
      </c>
      <c r="C135" s="94" t="str">
        <f>IF($A135="","",VLOOKUP($A135,'Annex 2 EHV charges'!$A:$O,3,0))</f>
        <v/>
      </c>
      <c r="D135" s="93" t="str">
        <f>IF($A135="","",VLOOKUP($A135,'Annex 2 EHV charges'!$A:$O,7,0))</f>
        <v/>
      </c>
      <c r="E135" s="98" t="str">
        <f>IFERROR(IF(VLOOKUP($A135,'Annex 2 EHV charges'!$A:$O,8,FALSE)=0,"",VLOOKUP($A135,'Annex 2 EHV charges'!$A:$O,8,FALSE)),"")</f>
        <v/>
      </c>
      <c r="F135" s="99" t="str">
        <f>IFERROR(IF(VLOOKUP($A135,'Annex 2 EHV charges'!$A:$O,9,FALSE)=0,"",VLOOKUP($A135,'Annex 2 EHV charges'!$A:$O,9,FALSE)),"")</f>
        <v/>
      </c>
      <c r="G135" s="100" t="str">
        <f>IFERROR(IF(VLOOKUP($A135,'Annex 2 EHV charges'!$A:$O,10,FALSE)=0,"",VLOOKUP($A135,'Annex 2 EHV charges'!$A:$O,10,FALSE)),"")</f>
        <v/>
      </c>
      <c r="H135" s="100" t="str">
        <f>IFERROR(IF(VLOOKUP($A135,'Annex 2 EHV charges'!$A:$O,11,FALSE)=0,"",VLOOKUP($A135,'Annex 2 EHV charges'!$A:$O,11,FALSE)),"")</f>
        <v/>
      </c>
    </row>
    <row r="136" spans="1:8" ht="12.75" customHeight="1" x14ac:dyDescent="0.2">
      <c r="A136" s="93" t="str">
        <f t="array" ref="A136">IFERROR(INDEX('Annex 2 EHV charges'!$A$11:$A$58, MATCH(0, IF(ISBLANK('Annex 2 EHV charges'!$A$11:$A$58),1, COUNTIF(A$4:$A135, 'Annex 2 EHV charges'!$A$11:$A$58)), 0)),"")</f>
        <v/>
      </c>
      <c r="B136" s="93" t="str">
        <f>IF($A136="","",VLOOKUP($A136,'Annex 2 EHV charges'!$A:$O,2,0))</f>
        <v/>
      </c>
      <c r="C136" s="94" t="str">
        <f>IF($A136="","",VLOOKUP($A136,'Annex 2 EHV charges'!$A:$O,3,0))</f>
        <v/>
      </c>
      <c r="D136" s="93" t="str">
        <f>IF($A136="","",VLOOKUP($A136,'Annex 2 EHV charges'!$A:$O,7,0))</f>
        <v/>
      </c>
      <c r="E136" s="98" t="str">
        <f>IFERROR(IF(VLOOKUP($A136,'Annex 2 EHV charges'!$A:$O,8,FALSE)=0,"",VLOOKUP($A136,'Annex 2 EHV charges'!$A:$O,8,FALSE)),"")</f>
        <v/>
      </c>
      <c r="F136" s="99" t="str">
        <f>IFERROR(IF(VLOOKUP($A136,'Annex 2 EHV charges'!$A:$O,9,FALSE)=0,"",VLOOKUP($A136,'Annex 2 EHV charges'!$A:$O,9,FALSE)),"")</f>
        <v/>
      </c>
      <c r="G136" s="100" t="str">
        <f>IFERROR(IF(VLOOKUP($A136,'Annex 2 EHV charges'!$A:$O,10,FALSE)=0,"",VLOOKUP($A136,'Annex 2 EHV charges'!$A:$O,10,FALSE)),"")</f>
        <v/>
      </c>
      <c r="H136" s="100" t="str">
        <f>IFERROR(IF(VLOOKUP($A136,'Annex 2 EHV charges'!$A:$O,11,FALSE)=0,"",VLOOKUP($A136,'Annex 2 EHV charges'!$A:$O,11,FALSE)),"")</f>
        <v/>
      </c>
    </row>
    <row r="137" spans="1:8" ht="12.75" customHeight="1" x14ac:dyDescent="0.2">
      <c r="A137" s="93" t="str">
        <f t="array" ref="A137">IFERROR(INDEX('Annex 2 EHV charges'!$A$11:$A$58, MATCH(0, IF(ISBLANK('Annex 2 EHV charges'!$A$11:$A$58),1, COUNTIF(A$4:$A136, 'Annex 2 EHV charges'!$A$11:$A$58)), 0)),"")</f>
        <v/>
      </c>
      <c r="B137" s="93" t="str">
        <f>IF($A137="","",VLOOKUP($A137,'Annex 2 EHV charges'!$A:$O,2,0))</f>
        <v/>
      </c>
      <c r="C137" s="94" t="str">
        <f>IF($A137="","",VLOOKUP($A137,'Annex 2 EHV charges'!$A:$O,3,0))</f>
        <v/>
      </c>
      <c r="D137" s="93" t="str">
        <f>IF($A137="","",VLOOKUP($A137,'Annex 2 EHV charges'!$A:$O,7,0))</f>
        <v/>
      </c>
      <c r="E137" s="98" t="str">
        <f>IFERROR(IF(VLOOKUP($A137,'Annex 2 EHV charges'!$A:$O,8,FALSE)=0,"",VLOOKUP($A137,'Annex 2 EHV charges'!$A:$O,8,FALSE)),"")</f>
        <v/>
      </c>
      <c r="F137" s="99" t="str">
        <f>IFERROR(IF(VLOOKUP($A137,'Annex 2 EHV charges'!$A:$O,9,FALSE)=0,"",VLOOKUP($A137,'Annex 2 EHV charges'!$A:$O,9,FALSE)),"")</f>
        <v/>
      </c>
      <c r="G137" s="100" t="str">
        <f>IFERROR(IF(VLOOKUP($A137,'Annex 2 EHV charges'!$A:$O,10,FALSE)=0,"",VLOOKUP($A137,'Annex 2 EHV charges'!$A:$O,10,FALSE)),"")</f>
        <v/>
      </c>
      <c r="H137" s="100" t="str">
        <f>IFERROR(IF(VLOOKUP($A137,'Annex 2 EHV charges'!$A:$O,11,FALSE)=0,"",VLOOKUP($A137,'Annex 2 EHV charges'!$A:$O,11,FALSE)),"")</f>
        <v/>
      </c>
    </row>
    <row r="138" spans="1:8" ht="12.75" customHeight="1" x14ac:dyDescent="0.2">
      <c r="A138" s="93" t="str">
        <f t="array" ref="A138">IFERROR(INDEX('Annex 2 EHV charges'!$A$11:$A$58, MATCH(0, IF(ISBLANK('Annex 2 EHV charges'!$A$11:$A$58),1, COUNTIF(A$4:$A137, 'Annex 2 EHV charges'!$A$11:$A$58)), 0)),"")</f>
        <v/>
      </c>
      <c r="B138" s="93" t="str">
        <f>IF($A138="","",VLOOKUP($A138,'Annex 2 EHV charges'!$A:$O,2,0))</f>
        <v/>
      </c>
      <c r="C138" s="94" t="str">
        <f>IF($A138="","",VLOOKUP($A138,'Annex 2 EHV charges'!$A:$O,3,0))</f>
        <v/>
      </c>
      <c r="D138" s="93" t="str">
        <f>IF($A138="","",VLOOKUP($A138,'Annex 2 EHV charges'!$A:$O,7,0))</f>
        <v/>
      </c>
      <c r="E138" s="98" t="str">
        <f>IFERROR(IF(VLOOKUP($A138,'Annex 2 EHV charges'!$A:$O,8,FALSE)=0,"",VLOOKUP($A138,'Annex 2 EHV charges'!$A:$O,8,FALSE)),"")</f>
        <v/>
      </c>
      <c r="F138" s="99" t="str">
        <f>IFERROR(IF(VLOOKUP($A138,'Annex 2 EHV charges'!$A:$O,9,FALSE)=0,"",VLOOKUP($A138,'Annex 2 EHV charges'!$A:$O,9,FALSE)),"")</f>
        <v/>
      </c>
      <c r="G138" s="100" t="str">
        <f>IFERROR(IF(VLOOKUP($A138,'Annex 2 EHV charges'!$A:$O,10,FALSE)=0,"",VLOOKUP($A138,'Annex 2 EHV charges'!$A:$O,10,FALSE)),"")</f>
        <v/>
      </c>
      <c r="H138" s="100" t="str">
        <f>IFERROR(IF(VLOOKUP($A138,'Annex 2 EHV charges'!$A:$O,11,FALSE)=0,"",VLOOKUP($A138,'Annex 2 EHV charges'!$A:$O,11,FALSE)),"")</f>
        <v/>
      </c>
    </row>
    <row r="139" spans="1:8" ht="12.75" customHeight="1" x14ac:dyDescent="0.2">
      <c r="A139" s="93" t="str">
        <f t="array" ref="A139">IFERROR(INDEX('Annex 2 EHV charges'!$A$11:$A$58, MATCH(0, IF(ISBLANK('Annex 2 EHV charges'!$A$11:$A$58),1, COUNTIF(A$4:$A138, 'Annex 2 EHV charges'!$A$11:$A$58)), 0)),"")</f>
        <v/>
      </c>
      <c r="B139" s="93" t="str">
        <f>IF($A139="","",VLOOKUP($A139,'Annex 2 EHV charges'!$A:$O,2,0))</f>
        <v/>
      </c>
      <c r="C139" s="94" t="str">
        <f>IF($A139="","",VLOOKUP($A139,'Annex 2 EHV charges'!$A:$O,3,0))</f>
        <v/>
      </c>
      <c r="D139" s="93" t="str">
        <f>IF($A139="","",VLOOKUP($A139,'Annex 2 EHV charges'!$A:$O,7,0))</f>
        <v/>
      </c>
      <c r="E139" s="98" t="str">
        <f>IFERROR(IF(VLOOKUP($A139,'Annex 2 EHV charges'!$A:$O,8,FALSE)=0,"",VLOOKUP($A139,'Annex 2 EHV charges'!$A:$O,8,FALSE)),"")</f>
        <v/>
      </c>
      <c r="F139" s="99" t="str">
        <f>IFERROR(IF(VLOOKUP($A139,'Annex 2 EHV charges'!$A:$O,9,FALSE)=0,"",VLOOKUP($A139,'Annex 2 EHV charges'!$A:$O,9,FALSE)),"")</f>
        <v/>
      </c>
      <c r="G139" s="100" t="str">
        <f>IFERROR(IF(VLOOKUP($A139,'Annex 2 EHV charges'!$A:$O,10,FALSE)=0,"",VLOOKUP($A139,'Annex 2 EHV charges'!$A:$O,10,FALSE)),"")</f>
        <v/>
      </c>
      <c r="H139" s="100" t="str">
        <f>IFERROR(IF(VLOOKUP($A139,'Annex 2 EHV charges'!$A:$O,11,FALSE)=0,"",VLOOKUP($A139,'Annex 2 EHV charges'!$A:$O,11,FALSE)),"")</f>
        <v/>
      </c>
    </row>
    <row r="140" spans="1:8" ht="12.75" customHeight="1" x14ac:dyDescent="0.2">
      <c r="A140" s="93" t="str">
        <f t="array" ref="A140">IFERROR(INDEX('Annex 2 EHV charges'!$A$11:$A$58, MATCH(0, IF(ISBLANK('Annex 2 EHV charges'!$A$11:$A$58),1, COUNTIF(A$4:$A139, 'Annex 2 EHV charges'!$A$11:$A$58)), 0)),"")</f>
        <v/>
      </c>
      <c r="B140" s="93" t="str">
        <f>IF($A140="","",VLOOKUP($A140,'Annex 2 EHV charges'!$A:$O,2,0))</f>
        <v/>
      </c>
      <c r="C140" s="94" t="str">
        <f>IF($A140="","",VLOOKUP($A140,'Annex 2 EHV charges'!$A:$O,3,0))</f>
        <v/>
      </c>
      <c r="D140" s="93" t="str">
        <f>IF($A140="","",VLOOKUP($A140,'Annex 2 EHV charges'!$A:$O,7,0))</f>
        <v/>
      </c>
      <c r="E140" s="98" t="str">
        <f>IFERROR(IF(VLOOKUP($A140,'Annex 2 EHV charges'!$A:$O,8,FALSE)=0,"",VLOOKUP($A140,'Annex 2 EHV charges'!$A:$O,8,FALSE)),"")</f>
        <v/>
      </c>
      <c r="F140" s="99" t="str">
        <f>IFERROR(IF(VLOOKUP($A140,'Annex 2 EHV charges'!$A:$O,9,FALSE)=0,"",VLOOKUP($A140,'Annex 2 EHV charges'!$A:$O,9,FALSE)),"")</f>
        <v/>
      </c>
      <c r="G140" s="100" t="str">
        <f>IFERROR(IF(VLOOKUP($A140,'Annex 2 EHV charges'!$A:$O,10,FALSE)=0,"",VLOOKUP($A140,'Annex 2 EHV charges'!$A:$O,10,FALSE)),"")</f>
        <v/>
      </c>
      <c r="H140" s="100" t="str">
        <f>IFERROR(IF(VLOOKUP($A140,'Annex 2 EHV charges'!$A:$O,11,FALSE)=0,"",VLOOKUP($A140,'Annex 2 EHV charges'!$A:$O,11,FALSE)),"")</f>
        <v/>
      </c>
    </row>
    <row r="141" spans="1:8" ht="12.75" customHeight="1" x14ac:dyDescent="0.2">
      <c r="A141" s="93" t="str">
        <f t="array" ref="A141">IFERROR(INDEX('Annex 2 EHV charges'!$A$11:$A$58, MATCH(0, IF(ISBLANK('Annex 2 EHV charges'!$A$11:$A$58),1, COUNTIF(A$4:$A140, 'Annex 2 EHV charges'!$A$11:$A$58)), 0)),"")</f>
        <v/>
      </c>
      <c r="B141" s="93" t="str">
        <f>IF($A141="","",VLOOKUP($A141,'Annex 2 EHV charges'!$A:$O,2,0))</f>
        <v/>
      </c>
      <c r="C141" s="94" t="str">
        <f>IF($A141="","",VLOOKUP($A141,'Annex 2 EHV charges'!$A:$O,3,0))</f>
        <v/>
      </c>
      <c r="D141" s="93" t="str">
        <f>IF($A141="","",VLOOKUP($A141,'Annex 2 EHV charges'!$A:$O,7,0))</f>
        <v/>
      </c>
      <c r="E141" s="98" t="str">
        <f>IFERROR(IF(VLOOKUP($A141,'Annex 2 EHV charges'!$A:$O,8,FALSE)=0,"",VLOOKUP($A141,'Annex 2 EHV charges'!$A:$O,8,FALSE)),"")</f>
        <v/>
      </c>
      <c r="F141" s="99" t="str">
        <f>IFERROR(IF(VLOOKUP($A141,'Annex 2 EHV charges'!$A:$O,9,FALSE)=0,"",VLOOKUP($A141,'Annex 2 EHV charges'!$A:$O,9,FALSE)),"")</f>
        <v/>
      </c>
      <c r="G141" s="100" t="str">
        <f>IFERROR(IF(VLOOKUP($A141,'Annex 2 EHV charges'!$A:$O,10,FALSE)=0,"",VLOOKUP($A141,'Annex 2 EHV charges'!$A:$O,10,FALSE)),"")</f>
        <v/>
      </c>
      <c r="H141" s="100" t="str">
        <f>IFERROR(IF(VLOOKUP($A141,'Annex 2 EHV charges'!$A:$O,11,FALSE)=0,"",VLOOKUP($A141,'Annex 2 EHV charges'!$A:$O,11,FALSE)),"")</f>
        <v/>
      </c>
    </row>
    <row r="142" spans="1:8" ht="12.75" customHeight="1" x14ac:dyDescent="0.2">
      <c r="A142" s="93" t="str">
        <f t="array" ref="A142">IFERROR(INDEX('Annex 2 EHV charges'!$A$11:$A$58, MATCH(0, IF(ISBLANK('Annex 2 EHV charges'!$A$11:$A$58),1, COUNTIF(A$4:$A141, 'Annex 2 EHV charges'!$A$11:$A$58)), 0)),"")</f>
        <v/>
      </c>
      <c r="B142" s="93" t="str">
        <f>IF($A142="","",VLOOKUP($A142,'Annex 2 EHV charges'!$A:$O,2,0))</f>
        <v/>
      </c>
      <c r="C142" s="94" t="str">
        <f>IF($A142="","",VLOOKUP($A142,'Annex 2 EHV charges'!$A:$O,3,0))</f>
        <v/>
      </c>
      <c r="D142" s="93" t="str">
        <f>IF($A142="","",VLOOKUP($A142,'Annex 2 EHV charges'!$A:$O,7,0))</f>
        <v/>
      </c>
      <c r="E142" s="98" t="str">
        <f>IFERROR(IF(VLOOKUP($A142,'Annex 2 EHV charges'!$A:$O,8,FALSE)=0,"",VLOOKUP($A142,'Annex 2 EHV charges'!$A:$O,8,FALSE)),"")</f>
        <v/>
      </c>
      <c r="F142" s="99" t="str">
        <f>IFERROR(IF(VLOOKUP($A142,'Annex 2 EHV charges'!$A:$O,9,FALSE)=0,"",VLOOKUP($A142,'Annex 2 EHV charges'!$A:$O,9,FALSE)),"")</f>
        <v/>
      </c>
      <c r="G142" s="100" t="str">
        <f>IFERROR(IF(VLOOKUP($A142,'Annex 2 EHV charges'!$A:$O,10,FALSE)=0,"",VLOOKUP($A142,'Annex 2 EHV charges'!$A:$O,10,FALSE)),"")</f>
        <v/>
      </c>
      <c r="H142" s="100" t="str">
        <f>IFERROR(IF(VLOOKUP($A142,'Annex 2 EHV charges'!$A:$O,11,FALSE)=0,"",VLOOKUP($A142,'Annex 2 EHV charges'!$A:$O,11,FALSE)),"")</f>
        <v/>
      </c>
    </row>
    <row r="143" spans="1:8" ht="12.75" customHeight="1" x14ac:dyDescent="0.2">
      <c r="A143" s="93" t="str">
        <f t="array" ref="A143">IFERROR(INDEX('Annex 2 EHV charges'!$A$11:$A$58, MATCH(0, IF(ISBLANK('Annex 2 EHV charges'!$A$11:$A$58),1, COUNTIF(A$4:$A142, 'Annex 2 EHV charges'!$A$11:$A$58)), 0)),"")</f>
        <v/>
      </c>
      <c r="B143" s="93" t="str">
        <f>IF($A143="","",VLOOKUP($A143,'Annex 2 EHV charges'!$A:$O,2,0))</f>
        <v/>
      </c>
      <c r="C143" s="94" t="str">
        <f>IF($A143="","",VLOOKUP($A143,'Annex 2 EHV charges'!$A:$O,3,0))</f>
        <v/>
      </c>
      <c r="D143" s="93" t="str">
        <f>IF($A143="","",VLOOKUP($A143,'Annex 2 EHV charges'!$A:$O,7,0))</f>
        <v/>
      </c>
      <c r="E143" s="98" t="str">
        <f>IFERROR(IF(VLOOKUP($A143,'Annex 2 EHV charges'!$A:$O,8,FALSE)=0,"",VLOOKUP($A143,'Annex 2 EHV charges'!$A:$O,8,FALSE)),"")</f>
        <v/>
      </c>
      <c r="F143" s="99" t="str">
        <f>IFERROR(IF(VLOOKUP($A143,'Annex 2 EHV charges'!$A:$O,9,FALSE)=0,"",VLOOKUP($A143,'Annex 2 EHV charges'!$A:$O,9,FALSE)),"")</f>
        <v/>
      </c>
      <c r="G143" s="100" t="str">
        <f>IFERROR(IF(VLOOKUP($A143,'Annex 2 EHV charges'!$A:$O,10,FALSE)=0,"",VLOOKUP($A143,'Annex 2 EHV charges'!$A:$O,10,FALSE)),"")</f>
        <v/>
      </c>
      <c r="H143" s="100" t="str">
        <f>IFERROR(IF(VLOOKUP($A143,'Annex 2 EHV charges'!$A:$O,11,FALSE)=0,"",VLOOKUP($A143,'Annex 2 EHV charges'!$A:$O,11,FALSE)),"")</f>
        <v/>
      </c>
    </row>
    <row r="144" spans="1:8" x14ac:dyDescent="0.2">
      <c r="A144" s="93" t="str">
        <f t="array" ref="A144">IFERROR(INDEX('Annex 2 EHV charges'!$A$11:$A$58, MATCH(0, IF(ISBLANK('Annex 2 EHV charges'!$A$11:$A$58),1, COUNTIF(A$4:$A143, 'Annex 2 EHV charges'!$A$11:$A$58)), 0)),"")</f>
        <v/>
      </c>
      <c r="B144" s="93" t="str">
        <f>IF($A144="","",VLOOKUP($A144,'Annex 2 EHV charges'!$A:$O,2,0))</f>
        <v/>
      </c>
      <c r="C144" s="94" t="str">
        <f>IF($A144="","",VLOOKUP($A144,'Annex 2 EHV charges'!$A:$O,3,0))</f>
        <v/>
      </c>
      <c r="D144" s="93" t="str">
        <f>IF($A144="","",VLOOKUP($A144,'Annex 2 EHV charges'!$A:$O,7,0))</f>
        <v/>
      </c>
      <c r="E144" s="98" t="str">
        <f>IFERROR(IF(VLOOKUP($A144,'Annex 2 EHV charges'!$A:$O,8,FALSE)=0,"",VLOOKUP($A144,'Annex 2 EHV charges'!$A:$O,8,FALSE)),"")</f>
        <v/>
      </c>
      <c r="F144" s="99" t="str">
        <f>IFERROR(IF(VLOOKUP($A144,'Annex 2 EHV charges'!$A:$O,9,FALSE)=0,"",VLOOKUP($A144,'Annex 2 EHV charges'!$A:$O,9,FALSE)),"")</f>
        <v/>
      </c>
      <c r="G144" s="100" t="str">
        <f>IFERROR(IF(VLOOKUP($A144,'Annex 2 EHV charges'!$A:$O,10,FALSE)=0,"",VLOOKUP($A144,'Annex 2 EHV charges'!$A:$O,10,FALSE)),"")</f>
        <v/>
      </c>
      <c r="H144" s="100" t="str">
        <f>IFERROR(IF(VLOOKUP($A144,'Annex 2 EHV charges'!$A:$O,11,FALSE)=0,"",VLOOKUP($A144,'Annex 2 EHV charges'!$A:$O,11,FALSE)),"")</f>
        <v/>
      </c>
    </row>
    <row r="145" spans="1:8" x14ac:dyDescent="0.2">
      <c r="A145" s="93" t="str">
        <f t="array" ref="A145">IFERROR(INDEX('Annex 2 EHV charges'!$A$11:$A$58, MATCH(0, IF(ISBLANK('Annex 2 EHV charges'!$A$11:$A$58),1, COUNTIF(A$4:$A144, 'Annex 2 EHV charges'!$A$11:$A$58)), 0)),"")</f>
        <v/>
      </c>
      <c r="B145" s="93" t="str">
        <f>IF($A145="","",VLOOKUP($A145,'Annex 2 EHV charges'!$A:$O,2,0))</f>
        <v/>
      </c>
      <c r="C145" s="94" t="str">
        <f>IF($A145="","",VLOOKUP($A145,'Annex 2 EHV charges'!$A:$O,3,0))</f>
        <v/>
      </c>
      <c r="D145" s="93" t="str">
        <f>IF($A145="","",VLOOKUP($A145,'Annex 2 EHV charges'!$A:$O,7,0))</f>
        <v/>
      </c>
      <c r="E145" s="98" t="str">
        <f>IFERROR(IF(VLOOKUP($A145,'Annex 2 EHV charges'!$A:$O,8,FALSE)=0,"",VLOOKUP($A145,'Annex 2 EHV charges'!$A:$O,8,FALSE)),"")</f>
        <v/>
      </c>
      <c r="F145" s="99" t="str">
        <f>IFERROR(IF(VLOOKUP($A145,'Annex 2 EHV charges'!$A:$O,9,FALSE)=0,"",VLOOKUP($A145,'Annex 2 EHV charges'!$A:$O,9,FALSE)),"")</f>
        <v/>
      </c>
      <c r="G145" s="100" t="str">
        <f>IFERROR(IF(VLOOKUP($A145,'Annex 2 EHV charges'!$A:$O,10,FALSE)=0,"",VLOOKUP($A145,'Annex 2 EHV charges'!$A:$O,10,FALSE)),"")</f>
        <v/>
      </c>
      <c r="H145" s="100" t="str">
        <f>IFERROR(IF(VLOOKUP($A145,'Annex 2 EHV charges'!$A:$O,11,FALSE)=0,"",VLOOKUP($A145,'Annex 2 EHV charges'!$A:$O,11,FALSE)),"")</f>
        <v/>
      </c>
    </row>
    <row r="146" spans="1:8" x14ac:dyDescent="0.2">
      <c r="A146" s="93" t="str">
        <f t="array" ref="A146">IFERROR(INDEX('Annex 2 EHV charges'!$A$11:$A$58, MATCH(0, IF(ISBLANK('Annex 2 EHV charges'!$A$11:$A$58),1, COUNTIF(A$4:$A145, 'Annex 2 EHV charges'!$A$11:$A$58)), 0)),"")</f>
        <v/>
      </c>
      <c r="B146" s="93" t="str">
        <f>IF($A146="","",VLOOKUP($A146,'Annex 2 EHV charges'!$A:$O,2,0))</f>
        <v/>
      </c>
      <c r="C146" s="94" t="str">
        <f>IF($A146="","",VLOOKUP($A146,'Annex 2 EHV charges'!$A:$O,3,0))</f>
        <v/>
      </c>
      <c r="D146" s="93" t="str">
        <f>IF($A146="","",VLOOKUP($A146,'Annex 2 EHV charges'!$A:$O,7,0))</f>
        <v/>
      </c>
      <c r="E146" s="98" t="str">
        <f>IFERROR(IF(VLOOKUP($A146,'Annex 2 EHV charges'!$A:$O,8,FALSE)=0,"",VLOOKUP($A146,'Annex 2 EHV charges'!$A:$O,8,FALSE)),"")</f>
        <v/>
      </c>
      <c r="F146" s="99" t="str">
        <f>IFERROR(IF(VLOOKUP($A146,'Annex 2 EHV charges'!$A:$O,9,FALSE)=0,"",VLOOKUP($A146,'Annex 2 EHV charges'!$A:$O,9,FALSE)),"")</f>
        <v/>
      </c>
      <c r="G146" s="100" t="str">
        <f>IFERROR(IF(VLOOKUP($A146,'Annex 2 EHV charges'!$A:$O,10,FALSE)=0,"",VLOOKUP($A146,'Annex 2 EHV charges'!$A:$O,10,FALSE)),"")</f>
        <v/>
      </c>
      <c r="H146" s="100" t="str">
        <f>IFERROR(IF(VLOOKUP($A146,'Annex 2 EHV charges'!$A:$O,11,FALSE)=0,"",VLOOKUP($A146,'Annex 2 EHV charges'!$A:$O,11,FALSE)),"")</f>
        <v/>
      </c>
    </row>
    <row r="147" spans="1:8" x14ac:dyDescent="0.2">
      <c r="A147" s="93" t="str">
        <f t="array" ref="A147">IFERROR(INDEX('Annex 2 EHV charges'!$A$11:$A$58, MATCH(0, IF(ISBLANK('Annex 2 EHV charges'!$A$11:$A$58),1, COUNTIF(A$4:$A146, 'Annex 2 EHV charges'!$A$11:$A$58)), 0)),"")</f>
        <v/>
      </c>
      <c r="B147" s="93" t="str">
        <f>IF($A147="","",VLOOKUP($A147,'Annex 2 EHV charges'!$A:$O,2,0))</f>
        <v/>
      </c>
      <c r="C147" s="94" t="str">
        <f>IF($A147="","",VLOOKUP($A147,'Annex 2 EHV charges'!$A:$O,3,0))</f>
        <v/>
      </c>
      <c r="D147" s="93" t="str">
        <f>IF($A147="","",VLOOKUP($A147,'Annex 2 EHV charges'!$A:$O,7,0))</f>
        <v/>
      </c>
      <c r="E147" s="98" t="str">
        <f>IFERROR(IF(VLOOKUP($A147,'Annex 2 EHV charges'!$A:$O,8,FALSE)=0,"",VLOOKUP($A147,'Annex 2 EHV charges'!$A:$O,8,FALSE)),"")</f>
        <v/>
      </c>
      <c r="F147" s="99" t="str">
        <f>IFERROR(IF(VLOOKUP($A147,'Annex 2 EHV charges'!$A:$O,9,FALSE)=0,"",VLOOKUP($A147,'Annex 2 EHV charges'!$A:$O,9,FALSE)),"")</f>
        <v/>
      </c>
      <c r="G147" s="100" t="str">
        <f>IFERROR(IF(VLOOKUP($A147,'Annex 2 EHV charges'!$A:$O,10,FALSE)=0,"",VLOOKUP($A147,'Annex 2 EHV charges'!$A:$O,10,FALSE)),"")</f>
        <v/>
      </c>
      <c r="H147" s="100" t="str">
        <f>IFERROR(IF(VLOOKUP($A147,'Annex 2 EHV charges'!$A:$O,11,FALSE)=0,"",VLOOKUP($A147,'Annex 2 EHV charges'!$A:$O,11,FALSE)),"")</f>
        <v/>
      </c>
    </row>
    <row r="148" spans="1:8" x14ac:dyDescent="0.2">
      <c r="A148" s="93" t="str">
        <f t="array" ref="A148">IFERROR(INDEX('Annex 2 EHV charges'!$A$11:$A$58, MATCH(0, IF(ISBLANK('Annex 2 EHV charges'!$A$11:$A$58),1, COUNTIF(A$4:$A147, 'Annex 2 EHV charges'!$A$11:$A$58)), 0)),"")</f>
        <v/>
      </c>
      <c r="B148" s="93" t="str">
        <f>IF($A148="","",VLOOKUP($A148,'Annex 2 EHV charges'!$A:$O,2,0))</f>
        <v/>
      </c>
      <c r="C148" s="94" t="str">
        <f>IF($A148="","",VLOOKUP($A148,'Annex 2 EHV charges'!$A:$O,3,0))</f>
        <v/>
      </c>
      <c r="D148" s="93" t="str">
        <f>IF($A148="","",VLOOKUP($A148,'Annex 2 EHV charges'!$A:$O,7,0))</f>
        <v/>
      </c>
      <c r="E148" s="98" t="str">
        <f>IFERROR(IF(VLOOKUP($A148,'Annex 2 EHV charges'!$A:$O,8,FALSE)=0,"",VLOOKUP($A148,'Annex 2 EHV charges'!$A:$O,8,FALSE)),"")</f>
        <v/>
      </c>
      <c r="F148" s="99" t="str">
        <f>IFERROR(IF(VLOOKUP($A148,'Annex 2 EHV charges'!$A:$O,9,FALSE)=0,"",VLOOKUP($A148,'Annex 2 EHV charges'!$A:$O,9,FALSE)),"")</f>
        <v/>
      </c>
      <c r="G148" s="100" t="str">
        <f>IFERROR(IF(VLOOKUP($A148,'Annex 2 EHV charges'!$A:$O,10,FALSE)=0,"",VLOOKUP($A148,'Annex 2 EHV charges'!$A:$O,10,FALSE)),"")</f>
        <v/>
      </c>
      <c r="H148" s="100" t="str">
        <f>IFERROR(IF(VLOOKUP($A148,'Annex 2 EHV charges'!$A:$O,11,FALSE)=0,"",VLOOKUP($A148,'Annex 2 EHV charges'!$A:$O,11,FALSE)),"")</f>
        <v/>
      </c>
    </row>
    <row r="149" spans="1:8" x14ac:dyDescent="0.2">
      <c r="A149" s="93" t="str">
        <f t="array" ref="A149">IFERROR(INDEX('Annex 2 EHV charges'!$A$11:$A$58, MATCH(0, IF(ISBLANK('Annex 2 EHV charges'!$A$11:$A$58),1, COUNTIF(A$4:$A148, 'Annex 2 EHV charges'!$A$11:$A$58)), 0)),"")</f>
        <v/>
      </c>
      <c r="B149" s="93" t="str">
        <f>IF($A149="","",VLOOKUP($A149,'Annex 2 EHV charges'!$A:$O,2,0))</f>
        <v/>
      </c>
      <c r="C149" s="94" t="str">
        <f>IF($A149="","",VLOOKUP($A149,'Annex 2 EHV charges'!$A:$O,3,0))</f>
        <v/>
      </c>
      <c r="D149" s="93" t="str">
        <f>IF($A149="","",VLOOKUP($A149,'Annex 2 EHV charges'!$A:$O,7,0))</f>
        <v/>
      </c>
      <c r="E149" s="98" t="str">
        <f>IFERROR(IF(VLOOKUP($A149,'Annex 2 EHV charges'!$A:$O,8,FALSE)=0,"",VLOOKUP($A149,'Annex 2 EHV charges'!$A:$O,8,FALSE)),"")</f>
        <v/>
      </c>
      <c r="F149" s="99" t="str">
        <f>IFERROR(IF(VLOOKUP($A149,'Annex 2 EHV charges'!$A:$O,9,FALSE)=0,"",VLOOKUP($A149,'Annex 2 EHV charges'!$A:$O,9,FALSE)),"")</f>
        <v/>
      </c>
      <c r="G149" s="100" t="str">
        <f>IFERROR(IF(VLOOKUP($A149,'Annex 2 EHV charges'!$A:$O,10,FALSE)=0,"",VLOOKUP($A149,'Annex 2 EHV charges'!$A:$O,10,FALSE)),"")</f>
        <v/>
      </c>
      <c r="H149" s="100" t="str">
        <f>IFERROR(IF(VLOOKUP($A149,'Annex 2 EHV charges'!$A:$O,11,FALSE)=0,"",VLOOKUP($A149,'Annex 2 EHV charges'!$A:$O,11,FALSE)),"")</f>
        <v/>
      </c>
    </row>
    <row r="150" spans="1:8" x14ac:dyDescent="0.2">
      <c r="A150" s="93" t="str">
        <f t="array" ref="A150">IFERROR(INDEX('Annex 2 EHV charges'!$A$11:$A$58, MATCH(0, IF(ISBLANK('Annex 2 EHV charges'!$A$11:$A$58),1, COUNTIF(A$4:$A149, 'Annex 2 EHV charges'!$A$11:$A$58)), 0)),"")</f>
        <v/>
      </c>
      <c r="B150" s="93" t="str">
        <f>IF($A150="","",VLOOKUP($A150,'Annex 2 EHV charges'!$A:$O,2,0))</f>
        <v/>
      </c>
      <c r="C150" s="94" t="str">
        <f>IF($A150="","",VLOOKUP($A150,'Annex 2 EHV charges'!$A:$O,3,0))</f>
        <v/>
      </c>
      <c r="D150" s="93" t="str">
        <f>IF($A150="","",VLOOKUP($A150,'Annex 2 EHV charges'!$A:$O,7,0))</f>
        <v/>
      </c>
      <c r="E150" s="98" t="str">
        <f>IFERROR(IF(VLOOKUP($A150,'Annex 2 EHV charges'!$A:$O,8,FALSE)=0,"",VLOOKUP($A150,'Annex 2 EHV charges'!$A:$O,8,FALSE)),"")</f>
        <v/>
      </c>
      <c r="F150" s="99" t="str">
        <f>IFERROR(IF(VLOOKUP($A150,'Annex 2 EHV charges'!$A:$O,9,FALSE)=0,"",VLOOKUP($A150,'Annex 2 EHV charges'!$A:$O,9,FALSE)),"")</f>
        <v/>
      </c>
      <c r="G150" s="100" t="str">
        <f>IFERROR(IF(VLOOKUP($A150,'Annex 2 EHV charges'!$A:$O,10,FALSE)=0,"",VLOOKUP($A150,'Annex 2 EHV charges'!$A:$O,10,FALSE)),"")</f>
        <v/>
      </c>
      <c r="H150" s="100" t="str">
        <f>IFERROR(IF(VLOOKUP($A150,'Annex 2 EHV charges'!$A:$O,11,FALSE)=0,"",VLOOKUP($A150,'Annex 2 EHV charges'!$A:$O,11,FALSE)),"")</f>
        <v/>
      </c>
    </row>
    <row r="151" spans="1:8" x14ac:dyDescent="0.2">
      <c r="A151" s="93" t="str">
        <f t="array" ref="A151">IFERROR(INDEX('Annex 2 EHV charges'!$A$11:$A$58, MATCH(0, IF(ISBLANK('Annex 2 EHV charges'!$A$11:$A$58),1, COUNTIF(A$4:$A150, 'Annex 2 EHV charges'!$A$11:$A$58)), 0)),"")</f>
        <v/>
      </c>
      <c r="B151" s="93" t="str">
        <f>IF($A151="","",VLOOKUP($A151,'Annex 2 EHV charges'!$A:$O,2,0))</f>
        <v/>
      </c>
      <c r="C151" s="94" t="str">
        <f>IF($A151="","",VLOOKUP($A151,'Annex 2 EHV charges'!$A:$O,3,0))</f>
        <v/>
      </c>
      <c r="D151" s="93" t="str">
        <f>IF($A151="","",VLOOKUP($A151,'Annex 2 EHV charges'!$A:$O,7,0))</f>
        <v/>
      </c>
      <c r="E151" s="98" t="str">
        <f>IFERROR(IF(VLOOKUP($A151,'Annex 2 EHV charges'!$A:$O,8,FALSE)=0,"",VLOOKUP($A151,'Annex 2 EHV charges'!$A:$O,8,FALSE)),"")</f>
        <v/>
      </c>
      <c r="F151" s="99" t="str">
        <f>IFERROR(IF(VLOOKUP($A151,'Annex 2 EHV charges'!$A:$O,9,FALSE)=0,"",VLOOKUP($A151,'Annex 2 EHV charges'!$A:$O,9,FALSE)),"")</f>
        <v/>
      </c>
      <c r="G151" s="100" t="str">
        <f>IFERROR(IF(VLOOKUP($A151,'Annex 2 EHV charges'!$A:$O,10,FALSE)=0,"",VLOOKUP($A151,'Annex 2 EHV charges'!$A:$O,10,FALSE)),"")</f>
        <v/>
      </c>
      <c r="H151" s="100" t="str">
        <f>IFERROR(IF(VLOOKUP($A151,'Annex 2 EHV charges'!$A:$O,11,FALSE)=0,"",VLOOKUP($A151,'Annex 2 EHV charges'!$A:$O,11,FALSE)),"")</f>
        <v/>
      </c>
    </row>
    <row r="152" spans="1:8" x14ac:dyDescent="0.2">
      <c r="A152" s="93" t="str">
        <f t="array" ref="A152">IFERROR(INDEX('Annex 2 EHV charges'!$A$11:$A$58, MATCH(0, IF(ISBLANK('Annex 2 EHV charges'!$A$11:$A$58),1, COUNTIF(A$4:$A151, 'Annex 2 EHV charges'!$A$11:$A$58)), 0)),"")</f>
        <v/>
      </c>
      <c r="B152" s="93" t="str">
        <f>IF($A152="","",VLOOKUP($A152,'Annex 2 EHV charges'!$A:$O,2,0))</f>
        <v/>
      </c>
      <c r="C152" s="94" t="str">
        <f>IF($A152="","",VLOOKUP($A152,'Annex 2 EHV charges'!$A:$O,3,0))</f>
        <v/>
      </c>
      <c r="D152" s="93" t="str">
        <f>IF($A152="","",VLOOKUP($A152,'Annex 2 EHV charges'!$A:$O,7,0))</f>
        <v/>
      </c>
      <c r="E152" s="98" t="str">
        <f>IFERROR(IF(VLOOKUP($A152,'Annex 2 EHV charges'!$A:$O,8,FALSE)=0,"",VLOOKUP($A152,'Annex 2 EHV charges'!$A:$O,8,FALSE)),"")</f>
        <v/>
      </c>
      <c r="F152" s="99" t="str">
        <f>IFERROR(IF(VLOOKUP($A152,'Annex 2 EHV charges'!$A:$O,9,FALSE)=0,"",VLOOKUP($A152,'Annex 2 EHV charges'!$A:$O,9,FALSE)),"")</f>
        <v/>
      </c>
      <c r="G152" s="100" t="str">
        <f>IFERROR(IF(VLOOKUP($A152,'Annex 2 EHV charges'!$A:$O,10,FALSE)=0,"",VLOOKUP($A152,'Annex 2 EHV charges'!$A:$O,10,FALSE)),"")</f>
        <v/>
      </c>
      <c r="H152" s="100" t="str">
        <f>IFERROR(IF(VLOOKUP($A152,'Annex 2 EHV charges'!$A:$O,11,FALSE)=0,"",VLOOKUP($A152,'Annex 2 EHV charges'!$A:$O,11,FALSE)),"")</f>
        <v/>
      </c>
    </row>
    <row r="153" spans="1:8" x14ac:dyDescent="0.2">
      <c r="A153" s="93" t="str">
        <f t="array" ref="A153">IFERROR(INDEX('Annex 2 EHV charges'!$A$11:$A$58, MATCH(0, IF(ISBLANK('Annex 2 EHV charges'!$A$11:$A$58),1, COUNTIF(A$4:$A152, 'Annex 2 EHV charges'!$A$11:$A$58)), 0)),"")</f>
        <v/>
      </c>
      <c r="B153" s="93" t="str">
        <f>IF($A153="","",VLOOKUP($A153,'Annex 2 EHV charges'!$A:$O,2,0))</f>
        <v/>
      </c>
      <c r="C153" s="94" t="str">
        <f>IF($A153="","",VLOOKUP($A153,'Annex 2 EHV charges'!$A:$O,3,0))</f>
        <v/>
      </c>
      <c r="D153" s="93" t="str">
        <f>IF($A153="","",VLOOKUP($A153,'Annex 2 EHV charges'!$A:$O,7,0))</f>
        <v/>
      </c>
      <c r="E153" s="98" t="str">
        <f>IFERROR(IF(VLOOKUP($A153,'Annex 2 EHV charges'!$A:$O,8,FALSE)=0,"",VLOOKUP($A153,'Annex 2 EHV charges'!$A:$O,8,FALSE)),"")</f>
        <v/>
      </c>
      <c r="F153" s="99" t="str">
        <f>IFERROR(IF(VLOOKUP($A153,'Annex 2 EHV charges'!$A:$O,9,FALSE)=0,"",VLOOKUP($A153,'Annex 2 EHV charges'!$A:$O,9,FALSE)),"")</f>
        <v/>
      </c>
      <c r="G153" s="100" t="str">
        <f>IFERROR(IF(VLOOKUP($A153,'Annex 2 EHV charges'!$A:$O,10,FALSE)=0,"",VLOOKUP($A153,'Annex 2 EHV charges'!$A:$O,10,FALSE)),"")</f>
        <v/>
      </c>
      <c r="H153" s="100" t="str">
        <f>IFERROR(IF(VLOOKUP($A153,'Annex 2 EHV charges'!$A:$O,11,FALSE)=0,"",VLOOKUP($A153,'Annex 2 EHV charges'!$A:$O,11,FALSE)),"")</f>
        <v/>
      </c>
    </row>
    <row r="154" spans="1:8" x14ac:dyDescent="0.2">
      <c r="A154" s="93" t="str">
        <f t="array" ref="A154">IFERROR(INDEX('Annex 2 EHV charges'!$A$11:$A$58, MATCH(0, IF(ISBLANK('Annex 2 EHV charges'!$A$11:$A$58),1, COUNTIF(A$4:$A153, 'Annex 2 EHV charges'!$A$11:$A$58)), 0)),"")</f>
        <v/>
      </c>
      <c r="B154" s="93" t="str">
        <f>IF($A154="","",VLOOKUP($A154,'Annex 2 EHV charges'!$A:$O,2,0))</f>
        <v/>
      </c>
      <c r="C154" s="94" t="str">
        <f>IF($A154="","",VLOOKUP($A154,'Annex 2 EHV charges'!$A:$O,3,0))</f>
        <v/>
      </c>
      <c r="D154" s="93" t="str">
        <f>IF($A154="","",VLOOKUP($A154,'Annex 2 EHV charges'!$A:$O,7,0))</f>
        <v/>
      </c>
      <c r="E154" s="98" t="str">
        <f>IFERROR(IF(VLOOKUP($A154,'Annex 2 EHV charges'!$A:$O,8,FALSE)=0,"",VLOOKUP($A154,'Annex 2 EHV charges'!$A:$O,8,FALSE)),"")</f>
        <v/>
      </c>
      <c r="F154" s="99" t="str">
        <f>IFERROR(IF(VLOOKUP($A154,'Annex 2 EHV charges'!$A:$O,9,FALSE)=0,"",VLOOKUP($A154,'Annex 2 EHV charges'!$A:$O,9,FALSE)),"")</f>
        <v/>
      </c>
      <c r="G154" s="100" t="str">
        <f>IFERROR(IF(VLOOKUP($A154,'Annex 2 EHV charges'!$A:$O,10,FALSE)=0,"",VLOOKUP($A154,'Annex 2 EHV charges'!$A:$O,10,FALSE)),"")</f>
        <v/>
      </c>
      <c r="H154" s="100" t="str">
        <f>IFERROR(IF(VLOOKUP($A154,'Annex 2 EHV charges'!$A:$O,11,FALSE)=0,"",VLOOKUP($A154,'Annex 2 EHV charges'!$A:$O,11,FALSE)),"")</f>
        <v/>
      </c>
    </row>
    <row r="155" spans="1:8" x14ac:dyDescent="0.2">
      <c r="A155" s="93" t="str">
        <f t="array" ref="A155">IFERROR(INDEX('Annex 2 EHV charges'!$A$11:$A$58, MATCH(0, IF(ISBLANK('Annex 2 EHV charges'!$A$11:$A$58),1, COUNTIF(A$4:$A154, 'Annex 2 EHV charges'!$A$11:$A$58)), 0)),"")</f>
        <v/>
      </c>
      <c r="B155" s="93" t="str">
        <f>IF($A155="","",VLOOKUP($A155,'Annex 2 EHV charges'!$A:$O,2,0))</f>
        <v/>
      </c>
      <c r="C155" s="94" t="str">
        <f>IF($A155="","",VLOOKUP($A155,'Annex 2 EHV charges'!$A:$O,3,0))</f>
        <v/>
      </c>
      <c r="D155" s="93" t="str">
        <f>IF($A155="","",VLOOKUP($A155,'Annex 2 EHV charges'!$A:$O,7,0))</f>
        <v/>
      </c>
      <c r="E155" s="98" t="str">
        <f>IFERROR(IF(VLOOKUP($A155,'Annex 2 EHV charges'!$A:$O,8,FALSE)=0,"",VLOOKUP($A155,'Annex 2 EHV charges'!$A:$O,8,FALSE)),"")</f>
        <v/>
      </c>
      <c r="F155" s="99" t="str">
        <f>IFERROR(IF(VLOOKUP($A155,'Annex 2 EHV charges'!$A:$O,9,FALSE)=0,"",VLOOKUP($A155,'Annex 2 EHV charges'!$A:$O,9,FALSE)),"")</f>
        <v/>
      </c>
      <c r="G155" s="100" t="str">
        <f>IFERROR(IF(VLOOKUP($A155,'Annex 2 EHV charges'!$A:$O,10,FALSE)=0,"",VLOOKUP($A155,'Annex 2 EHV charges'!$A:$O,10,FALSE)),"")</f>
        <v/>
      </c>
      <c r="H155" s="100" t="str">
        <f>IFERROR(IF(VLOOKUP($A155,'Annex 2 EHV charges'!$A:$O,11,FALSE)=0,"",VLOOKUP($A155,'Annex 2 EHV charges'!$A:$O,11,FALSE)),"")</f>
        <v/>
      </c>
    </row>
    <row r="156" spans="1:8" x14ac:dyDescent="0.2">
      <c r="A156" s="93" t="str">
        <f t="array" ref="A156">IFERROR(INDEX('Annex 2 EHV charges'!$A$11:$A$58, MATCH(0, IF(ISBLANK('Annex 2 EHV charges'!$A$11:$A$58),1, COUNTIF(A$4:$A155, 'Annex 2 EHV charges'!$A$11:$A$58)), 0)),"")</f>
        <v/>
      </c>
      <c r="B156" s="93" t="str">
        <f>IF($A156="","",VLOOKUP($A156,'Annex 2 EHV charges'!$A:$O,2,0))</f>
        <v/>
      </c>
      <c r="C156" s="94" t="str">
        <f>IF($A156="","",VLOOKUP($A156,'Annex 2 EHV charges'!$A:$O,3,0))</f>
        <v/>
      </c>
      <c r="D156" s="93" t="str">
        <f>IF($A156="","",VLOOKUP($A156,'Annex 2 EHV charges'!$A:$O,7,0))</f>
        <v/>
      </c>
      <c r="E156" s="98" t="str">
        <f>IFERROR(IF(VLOOKUP($A156,'Annex 2 EHV charges'!$A:$O,8,FALSE)=0,"",VLOOKUP($A156,'Annex 2 EHV charges'!$A:$O,8,FALSE)),"")</f>
        <v/>
      </c>
      <c r="F156" s="99" t="str">
        <f>IFERROR(IF(VLOOKUP($A156,'Annex 2 EHV charges'!$A:$O,9,FALSE)=0,"",VLOOKUP($A156,'Annex 2 EHV charges'!$A:$O,9,FALSE)),"")</f>
        <v/>
      </c>
      <c r="G156" s="100" t="str">
        <f>IFERROR(IF(VLOOKUP($A156,'Annex 2 EHV charges'!$A:$O,10,FALSE)=0,"",VLOOKUP($A156,'Annex 2 EHV charges'!$A:$O,10,FALSE)),"")</f>
        <v/>
      </c>
      <c r="H156" s="100" t="str">
        <f>IFERROR(IF(VLOOKUP($A156,'Annex 2 EHV charges'!$A:$O,11,FALSE)=0,"",VLOOKUP($A156,'Annex 2 EHV charges'!$A:$O,11,FALSE)),"")</f>
        <v/>
      </c>
    </row>
    <row r="157" spans="1:8" x14ac:dyDescent="0.2">
      <c r="A157" s="93" t="str">
        <f t="array" ref="A157">IFERROR(INDEX('Annex 2 EHV charges'!$A$11:$A$58, MATCH(0, IF(ISBLANK('Annex 2 EHV charges'!$A$11:$A$58),1, COUNTIF(A$4:$A156, 'Annex 2 EHV charges'!$A$11:$A$58)), 0)),"")</f>
        <v/>
      </c>
      <c r="B157" s="93" t="str">
        <f>IF($A157="","",VLOOKUP($A157,'Annex 2 EHV charges'!$A:$O,2,0))</f>
        <v/>
      </c>
      <c r="C157" s="94" t="str">
        <f>IF($A157="","",VLOOKUP($A157,'Annex 2 EHV charges'!$A:$O,3,0))</f>
        <v/>
      </c>
      <c r="D157" s="93" t="str">
        <f>IF($A157="","",VLOOKUP($A157,'Annex 2 EHV charges'!$A:$O,7,0))</f>
        <v/>
      </c>
      <c r="E157" s="98" t="str">
        <f>IFERROR(IF(VLOOKUP($A157,'Annex 2 EHV charges'!$A:$O,8,FALSE)=0,"",VLOOKUP($A157,'Annex 2 EHV charges'!$A:$O,8,FALSE)),"")</f>
        <v/>
      </c>
      <c r="F157" s="99" t="str">
        <f>IFERROR(IF(VLOOKUP($A157,'Annex 2 EHV charges'!$A:$O,9,FALSE)=0,"",VLOOKUP($A157,'Annex 2 EHV charges'!$A:$O,9,FALSE)),"")</f>
        <v/>
      </c>
      <c r="G157" s="100" t="str">
        <f>IFERROR(IF(VLOOKUP($A157,'Annex 2 EHV charges'!$A:$O,10,FALSE)=0,"",VLOOKUP($A157,'Annex 2 EHV charges'!$A:$O,10,FALSE)),"")</f>
        <v/>
      </c>
      <c r="H157" s="100" t="str">
        <f>IFERROR(IF(VLOOKUP($A157,'Annex 2 EHV charges'!$A:$O,11,FALSE)=0,"",VLOOKUP($A157,'Annex 2 EHV charges'!$A:$O,11,FALSE)),"")</f>
        <v/>
      </c>
    </row>
    <row r="158" spans="1:8" x14ac:dyDescent="0.2">
      <c r="A158" s="93" t="str">
        <f t="array" ref="A158">IFERROR(INDEX('Annex 2 EHV charges'!$A$11:$A$58, MATCH(0, IF(ISBLANK('Annex 2 EHV charges'!$A$11:$A$58),1, COUNTIF(A$4:$A157, 'Annex 2 EHV charges'!$A$11:$A$58)), 0)),"")</f>
        <v/>
      </c>
      <c r="B158" s="93" t="str">
        <f>IF($A158="","",VLOOKUP($A158,'Annex 2 EHV charges'!$A:$O,2,0))</f>
        <v/>
      </c>
      <c r="C158" s="94" t="str">
        <f>IF($A158="","",VLOOKUP($A158,'Annex 2 EHV charges'!$A:$O,3,0))</f>
        <v/>
      </c>
      <c r="D158" s="93" t="str">
        <f>IF($A158="","",VLOOKUP($A158,'Annex 2 EHV charges'!$A:$O,7,0))</f>
        <v/>
      </c>
      <c r="E158" s="98" t="str">
        <f>IFERROR(IF(VLOOKUP($A158,'Annex 2 EHV charges'!$A:$O,8,FALSE)=0,"",VLOOKUP($A158,'Annex 2 EHV charges'!$A:$O,8,FALSE)),"")</f>
        <v/>
      </c>
      <c r="F158" s="99" t="str">
        <f>IFERROR(IF(VLOOKUP($A158,'Annex 2 EHV charges'!$A:$O,9,FALSE)=0,"",VLOOKUP($A158,'Annex 2 EHV charges'!$A:$O,9,FALSE)),"")</f>
        <v/>
      </c>
      <c r="G158" s="100" t="str">
        <f>IFERROR(IF(VLOOKUP($A158,'Annex 2 EHV charges'!$A:$O,10,FALSE)=0,"",VLOOKUP($A158,'Annex 2 EHV charges'!$A:$O,10,FALSE)),"")</f>
        <v/>
      </c>
      <c r="H158" s="100" t="str">
        <f>IFERROR(IF(VLOOKUP($A158,'Annex 2 EHV charges'!$A:$O,11,FALSE)=0,"",VLOOKUP($A158,'Annex 2 EHV charges'!$A:$O,11,FALSE)),"")</f>
        <v/>
      </c>
    </row>
    <row r="159" spans="1:8" x14ac:dyDescent="0.2">
      <c r="A159" s="93" t="str">
        <f t="array" ref="A159">IFERROR(INDEX('Annex 2 EHV charges'!$A$11:$A$58, MATCH(0, IF(ISBLANK('Annex 2 EHV charges'!$A$11:$A$58),1, COUNTIF(A$4:$A158, 'Annex 2 EHV charges'!$A$11:$A$58)), 0)),"")</f>
        <v/>
      </c>
      <c r="B159" s="93" t="str">
        <f>IF($A159="","",VLOOKUP($A159,'Annex 2 EHV charges'!$A:$O,2,0))</f>
        <v/>
      </c>
      <c r="C159" s="94" t="str">
        <f>IF($A159="","",VLOOKUP($A159,'Annex 2 EHV charges'!$A:$O,3,0))</f>
        <v/>
      </c>
      <c r="D159" s="93" t="str">
        <f>IF($A159="","",VLOOKUP($A159,'Annex 2 EHV charges'!$A:$O,7,0))</f>
        <v/>
      </c>
      <c r="E159" s="98" t="str">
        <f>IFERROR(IF(VLOOKUP($A159,'Annex 2 EHV charges'!$A:$O,8,FALSE)=0,"",VLOOKUP($A159,'Annex 2 EHV charges'!$A:$O,8,FALSE)),"")</f>
        <v/>
      </c>
      <c r="F159" s="99" t="str">
        <f>IFERROR(IF(VLOOKUP($A159,'Annex 2 EHV charges'!$A:$O,9,FALSE)=0,"",VLOOKUP($A159,'Annex 2 EHV charges'!$A:$O,9,FALSE)),"")</f>
        <v/>
      </c>
      <c r="G159" s="100" t="str">
        <f>IFERROR(IF(VLOOKUP($A159,'Annex 2 EHV charges'!$A:$O,10,FALSE)=0,"",VLOOKUP($A159,'Annex 2 EHV charges'!$A:$O,10,FALSE)),"")</f>
        <v/>
      </c>
      <c r="H159" s="100" t="str">
        <f>IFERROR(IF(VLOOKUP($A159,'Annex 2 EHV charges'!$A:$O,11,FALSE)=0,"",VLOOKUP($A159,'Annex 2 EHV charges'!$A:$O,11,FALSE)),"")</f>
        <v/>
      </c>
    </row>
    <row r="160" spans="1:8" x14ac:dyDescent="0.2">
      <c r="A160" s="93" t="str">
        <f t="array" ref="A160">IFERROR(INDEX('Annex 2 EHV charges'!$A$11:$A$58, MATCH(0, IF(ISBLANK('Annex 2 EHV charges'!$A$11:$A$58),1, COUNTIF(A$4:$A159, 'Annex 2 EHV charges'!$A$11:$A$58)), 0)),"")</f>
        <v/>
      </c>
      <c r="B160" s="93" t="str">
        <f>IF($A160="","",VLOOKUP($A160,'Annex 2 EHV charges'!$A:$O,2,0))</f>
        <v/>
      </c>
      <c r="C160" s="94" t="str">
        <f>IF($A160="","",VLOOKUP($A160,'Annex 2 EHV charges'!$A:$O,3,0))</f>
        <v/>
      </c>
      <c r="D160" s="93" t="str">
        <f>IF($A160="","",VLOOKUP($A160,'Annex 2 EHV charges'!$A:$O,7,0))</f>
        <v/>
      </c>
      <c r="E160" s="98" t="str">
        <f>IFERROR(IF(VLOOKUP($A160,'Annex 2 EHV charges'!$A:$O,8,FALSE)=0,"",VLOOKUP($A160,'Annex 2 EHV charges'!$A:$O,8,FALSE)),"")</f>
        <v/>
      </c>
      <c r="F160" s="99" t="str">
        <f>IFERROR(IF(VLOOKUP($A160,'Annex 2 EHV charges'!$A:$O,9,FALSE)=0,"",VLOOKUP($A160,'Annex 2 EHV charges'!$A:$O,9,FALSE)),"")</f>
        <v/>
      </c>
      <c r="G160" s="100" t="str">
        <f>IFERROR(IF(VLOOKUP($A160,'Annex 2 EHV charges'!$A:$O,10,FALSE)=0,"",VLOOKUP($A160,'Annex 2 EHV charges'!$A:$O,10,FALSE)),"")</f>
        <v/>
      </c>
      <c r="H160" s="100" t="str">
        <f>IFERROR(IF(VLOOKUP($A160,'Annex 2 EHV charges'!$A:$O,11,FALSE)=0,"",VLOOKUP($A160,'Annex 2 EHV charges'!$A:$O,11,FALSE)),"")</f>
        <v/>
      </c>
    </row>
    <row r="161" spans="1:8" x14ac:dyDescent="0.2">
      <c r="A161" s="93" t="str">
        <f t="array" ref="A161">IFERROR(INDEX('Annex 2 EHV charges'!$A$11:$A$58, MATCH(0, IF(ISBLANK('Annex 2 EHV charges'!$A$11:$A$58),1, COUNTIF(A$4:$A160, 'Annex 2 EHV charges'!$A$11:$A$58)), 0)),"")</f>
        <v/>
      </c>
      <c r="B161" s="93" t="str">
        <f>IF($A161="","",VLOOKUP($A161,'Annex 2 EHV charges'!$A:$O,2,0))</f>
        <v/>
      </c>
      <c r="C161" s="94" t="str">
        <f>IF($A161="","",VLOOKUP($A161,'Annex 2 EHV charges'!$A:$O,3,0))</f>
        <v/>
      </c>
      <c r="D161" s="93" t="str">
        <f>IF($A161="","",VLOOKUP($A161,'Annex 2 EHV charges'!$A:$O,7,0))</f>
        <v/>
      </c>
      <c r="E161" s="98" t="str">
        <f>IFERROR(IF(VLOOKUP($A161,'Annex 2 EHV charges'!$A:$O,8,FALSE)=0,"",VLOOKUP($A161,'Annex 2 EHV charges'!$A:$O,8,FALSE)),"")</f>
        <v/>
      </c>
      <c r="F161" s="99" t="str">
        <f>IFERROR(IF(VLOOKUP($A161,'Annex 2 EHV charges'!$A:$O,9,FALSE)=0,"",VLOOKUP($A161,'Annex 2 EHV charges'!$A:$O,9,FALSE)),"")</f>
        <v/>
      </c>
      <c r="G161" s="100" t="str">
        <f>IFERROR(IF(VLOOKUP($A161,'Annex 2 EHV charges'!$A:$O,10,FALSE)=0,"",VLOOKUP($A161,'Annex 2 EHV charges'!$A:$O,10,FALSE)),"")</f>
        <v/>
      </c>
      <c r="H161" s="100" t="str">
        <f>IFERROR(IF(VLOOKUP($A161,'Annex 2 EHV charges'!$A:$O,11,FALSE)=0,"",VLOOKUP($A161,'Annex 2 EHV charges'!$A:$O,11,FALSE)),"")</f>
        <v/>
      </c>
    </row>
    <row r="162" spans="1:8" x14ac:dyDescent="0.2">
      <c r="A162" s="93" t="str">
        <f t="array" ref="A162">IFERROR(INDEX('Annex 2 EHV charges'!$A$11:$A$58, MATCH(0, IF(ISBLANK('Annex 2 EHV charges'!$A$11:$A$58),1, COUNTIF(A$4:$A161, 'Annex 2 EHV charges'!$A$11:$A$58)), 0)),"")</f>
        <v/>
      </c>
      <c r="B162" s="93" t="str">
        <f>IF($A162="","",VLOOKUP($A162,'Annex 2 EHV charges'!$A:$O,2,0))</f>
        <v/>
      </c>
      <c r="C162" s="94" t="str">
        <f>IF($A162="","",VLOOKUP($A162,'Annex 2 EHV charges'!$A:$O,3,0))</f>
        <v/>
      </c>
      <c r="D162" s="93" t="str">
        <f>IF($A162="","",VLOOKUP($A162,'Annex 2 EHV charges'!$A:$O,7,0))</f>
        <v/>
      </c>
      <c r="E162" s="98" t="str">
        <f>IFERROR(IF(VLOOKUP($A162,'Annex 2 EHV charges'!$A:$O,8,FALSE)=0,"",VLOOKUP($A162,'Annex 2 EHV charges'!$A:$O,8,FALSE)),"")</f>
        <v/>
      </c>
      <c r="F162" s="99" t="str">
        <f>IFERROR(IF(VLOOKUP($A162,'Annex 2 EHV charges'!$A:$O,9,FALSE)=0,"",VLOOKUP($A162,'Annex 2 EHV charges'!$A:$O,9,FALSE)),"")</f>
        <v/>
      </c>
      <c r="G162" s="100" t="str">
        <f>IFERROR(IF(VLOOKUP($A162,'Annex 2 EHV charges'!$A:$O,10,FALSE)=0,"",VLOOKUP($A162,'Annex 2 EHV charges'!$A:$O,10,FALSE)),"")</f>
        <v/>
      </c>
      <c r="H162" s="100" t="str">
        <f>IFERROR(IF(VLOOKUP($A162,'Annex 2 EHV charges'!$A:$O,11,FALSE)=0,"",VLOOKUP($A162,'Annex 2 EHV charges'!$A:$O,11,FALSE)),"")</f>
        <v/>
      </c>
    </row>
    <row r="163" spans="1:8" x14ac:dyDescent="0.2">
      <c r="A163" s="93" t="str">
        <f t="array" ref="A163">IFERROR(INDEX('Annex 2 EHV charges'!$A$11:$A$58, MATCH(0, IF(ISBLANK('Annex 2 EHV charges'!$A$11:$A$58),1, COUNTIF(A$4:$A162, 'Annex 2 EHV charges'!$A$11:$A$58)), 0)),"")</f>
        <v/>
      </c>
      <c r="B163" s="93" t="str">
        <f>IF($A163="","",VLOOKUP($A163,'Annex 2 EHV charges'!$A:$O,2,0))</f>
        <v/>
      </c>
      <c r="C163" s="94" t="str">
        <f>IF($A163="","",VLOOKUP($A163,'Annex 2 EHV charges'!$A:$O,3,0))</f>
        <v/>
      </c>
      <c r="D163" s="93" t="str">
        <f>IF($A163="","",VLOOKUP($A163,'Annex 2 EHV charges'!$A:$O,7,0))</f>
        <v/>
      </c>
      <c r="E163" s="98" t="str">
        <f>IFERROR(IF(VLOOKUP($A163,'Annex 2 EHV charges'!$A:$O,8,FALSE)=0,"",VLOOKUP($A163,'Annex 2 EHV charges'!$A:$O,8,FALSE)),"")</f>
        <v/>
      </c>
      <c r="F163" s="99" t="str">
        <f>IFERROR(IF(VLOOKUP($A163,'Annex 2 EHV charges'!$A:$O,9,FALSE)=0,"",VLOOKUP($A163,'Annex 2 EHV charges'!$A:$O,9,FALSE)),"")</f>
        <v/>
      </c>
      <c r="G163" s="100" t="str">
        <f>IFERROR(IF(VLOOKUP($A163,'Annex 2 EHV charges'!$A:$O,10,FALSE)=0,"",VLOOKUP($A163,'Annex 2 EHV charges'!$A:$O,10,FALSE)),"")</f>
        <v/>
      </c>
      <c r="H163" s="100" t="str">
        <f>IFERROR(IF(VLOOKUP($A163,'Annex 2 EHV charges'!$A:$O,11,FALSE)=0,"",VLOOKUP($A163,'Annex 2 EHV charges'!$A:$O,11,FALSE)),"")</f>
        <v/>
      </c>
    </row>
    <row r="164" spans="1:8" x14ac:dyDescent="0.2">
      <c r="A164" s="93" t="str">
        <f t="array" ref="A164">IFERROR(INDEX('Annex 2 EHV charges'!$A$11:$A$58, MATCH(0, IF(ISBLANK('Annex 2 EHV charges'!$A$11:$A$58),1, COUNTIF(A$4:$A163, 'Annex 2 EHV charges'!$A$11:$A$58)), 0)),"")</f>
        <v/>
      </c>
      <c r="B164" s="93" t="str">
        <f>IF($A164="","",VLOOKUP($A164,'Annex 2 EHV charges'!$A:$O,2,0))</f>
        <v/>
      </c>
      <c r="C164" s="94" t="str">
        <f>IF($A164="","",VLOOKUP($A164,'Annex 2 EHV charges'!$A:$O,3,0))</f>
        <v/>
      </c>
      <c r="D164" s="93" t="str">
        <f>IF($A164="","",VLOOKUP($A164,'Annex 2 EHV charges'!$A:$O,7,0))</f>
        <v/>
      </c>
      <c r="E164" s="98" t="str">
        <f>IFERROR(IF(VLOOKUP($A164,'Annex 2 EHV charges'!$A:$O,8,FALSE)=0,"",VLOOKUP($A164,'Annex 2 EHV charges'!$A:$O,8,FALSE)),"")</f>
        <v/>
      </c>
      <c r="F164" s="99" t="str">
        <f>IFERROR(IF(VLOOKUP($A164,'Annex 2 EHV charges'!$A:$O,9,FALSE)=0,"",VLOOKUP($A164,'Annex 2 EHV charges'!$A:$O,9,FALSE)),"")</f>
        <v/>
      </c>
      <c r="G164" s="100" t="str">
        <f>IFERROR(IF(VLOOKUP($A164,'Annex 2 EHV charges'!$A:$O,10,FALSE)=0,"",VLOOKUP($A164,'Annex 2 EHV charges'!$A:$O,10,FALSE)),"")</f>
        <v/>
      </c>
      <c r="H164" s="100" t="str">
        <f>IFERROR(IF(VLOOKUP($A164,'Annex 2 EHV charges'!$A:$O,11,FALSE)=0,"",VLOOKUP($A164,'Annex 2 EHV charges'!$A:$O,11,FALSE)),"")</f>
        <v/>
      </c>
    </row>
    <row r="165" spans="1:8" x14ac:dyDescent="0.2">
      <c r="A165" s="93" t="str">
        <f t="array" ref="A165">IFERROR(INDEX('Annex 2 EHV charges'!$A$11:$A$58, MATCH(0, IF(ISBLANK('Annex 2 EHV charges'!$A$11:$A$58),1, COUNTIF(A$4:$A164, 'Annex 2 EHV charges'!$A$11:$A$58)), 0)),"")</f>
        <v/>
      </c>
      <c r="B165" s="93" t="str">
        <f>IF($A165="","",VLOOKUP($A165,'Annex 2 EHV charges'!$A:$O,2,0))</f>
        <v/>
      </c>
      <c r="C165" s="94" t="str">
        <f>IF($A165="","",VLOOKUP($A165,'Annex 2 EHV charges'!$A:$O,3,0))</f>
        <v/>
      </c>
      <c r="D165" s="93" t="str">
        <f>IF($A165="","",VLOOKUP($A165,'Annex 2 EHV charges'!$A:$O,7,0))</f>
        <v/>
      </c>
      <c r="E165" s="98" t="str">
        <f>IFERROR(IF(VLOOKUP($A165,'Annex 2 EHV charges'!$A:$O,8,FALSE)=0,"",VLOOKUP($A165,'Annex 2 EHV charges'!$A:$O,8,FALSE)),"")</f>
        <v/>
      </c>
      <c r="F165" s="99" t="str">
        <f>IFERROR(IF(VLOOKUP($A165,'Annex 2 EHV charges'!$A:$O,9,FALSE)=0,"",VLOOKUP($A165,'Annex 2 EHV charges'!$A:$O,9,FALSE)),"")</f>
        <v/>
      </c>
      <c r="G165" s="100" t="str">
        <f>IFERROR(IF(VLOOKUP($A165,'Annex 2 EHV charges'!$A:$O,10,FALSE)=0,"",VLOOKUP($A165,'Annex 2 EHV charges'!$A:$O,10,FALSE)),"")</f>
        <v/>
      </c>
      <c r="H165" s="100" t="str">
        <f>IFERROR(IF(VLOOKUP($A165,'Annex 2 EHV charges'!$A:$O,11,FALSE)=0,"",VLOOKUP($A165,'Annex 2 EHV charges'!$A:$O,11,FALSE)),"")</f>
        <v/>
      </c>
    </row>
    <row r="166" spans="1:8" x14ac:dyDescent="0.2">
      <c r="A166" s="93" t="str">
        <f t="array" ref="A166">IFERROR(INDEX('Annex 2 EHV charges'!$A$11:$A$58, MATCH(0, IF(ISBLANK('Annex 2 EHV charges'!$A$11:$A$58),1, COUNTIF(A$4:$A165, 'Annex 2 EHV charges'!$A$11:$A$58)), 0)),"")</f>
        <v/>
      </c>
      <c r="B166" s="93" t="str">
        <f>IF($A166="","",VLOOKUP($A166,'Annex 2 EHV charges'!$A:$O,2,0))</f>
        <v/>
      </c>
      <c r="C166" s="94" t="str">
        <f>IF($A166="","",VLOOKUP($A166,'Annex 2 EHV charges'!$A:$O,3,0))</f>
        <v/>
      </c>
      <c r="D166" s="93" t="str">
        <f>IF($A166="","",VLOOKUP($A166,'Annex 2 EHV charges'!$A:$O,7,0))</f>
        <v/>
      </c>
      <c r="E166" s="98" t="str">
        <f>IFERROR(IF(VLOOKUP($A166,'Annex 2 EHV charges'!$A:$O,8,FALSE)=0,"",VLOOKUP($A166,'Annex 2 EHV charges'!$A:$O,8,FALSE)),"")</f>
        <v/>
      </c>
      <c r="F166" s="99" t="str">
        <f>IFERROR(IF(VLOOKUP($A166,'Annex 2 EHV charges'!$A:$O,9,FALSE)=0,"",VLOOKUP($A166,'Annex 2 EHV charges'!$A:$O,9,FALSE)),"")</f>
        <v/>
      </c>
      <c r="G166" s="100" t="str">
        <f>IFERROR(IF(VLOOKUP($A166,'Annex 2 EHV charges'!$A:$O,10,FALSE)=0,"",VLOOKUP($A166,'Annex 2 EHV charges'!$A:$O,10,FALSE)),"")</f>
        <v/>
      </c>
      <c r="H166" s="100" t="str">
        <f>IFERROR(IF(VLOOKUP($A166,'Annex 2 EHV charges'!$A:$O,11,FALSE)=0,"",VLOOKUP($A166,'Annex 2 EHV charges'!$A:$O,11,FALSE)),"")</f>
        <v/>
      </c>
    </row>
    <row r="167" spans="1:8" x14ac:dyDescent="0.2">
      <c r="A167" s="93" t="str">
        <f t="array" ref="A167">IFERROR(INDEX('Annex 2 EHV charges'!$A$11:$A$58, MATCH(0, IF(ISBLANK('Annex 2 EHV charges'!$A$11:$A$58),1, COUNTIF(A$4:$A166, 'Annex 2 EHV charges'!$A$11:$A$58)), 0)),"")</f>
        <v/>
      </c>
      <c r="B167" s="93" t="str">
        <f>IF($A167="","",VLOOKUP($A167,'Annex 2 EHV charges'!$A:$O,2,0))</f>
        <v/>
      </c>
      <c r="C167" s="94" t="str">
        <f>IF($A167="","",VLOOKUP($A167,'Annex 2 EHV charges'!$A:$O,3,0))</f>
        <v/>
      </c>
      <c r="D167" s="93" t="str">
        <f>IF($A167="","",VLOOKUP($A167,'Annex 2 EHV charges'!$A:$O,7,0))</f>
        <v/>
      </c>
      <c r="E167" s="98" t="str">
        <f>IFERROR(IF(VLOOKUP($A167,'Annex 2 EHV charges'!$A:$O,8,FALSE)=0,"",VLOOKUP($A167,'Annex 2 EHV charges'!$A:$O,8,FALSE)),"")</f>
        <v/>
      </c>
      <c r="F167" s="99" t="str">
        <f>IFERROR(IF(VLOOKUP($A167,'Annex 2 EHV charges'!$A:$O,9,FALSE)=0,"",VLOOKUP($A167,'Annex 2 EHV charges'!$A:$O,9,FALSE)),"")</f>
        <v/>
      </c>
      <c r="G167" s="100" t="str">
        <f>IFERROR(IF(VLOOKUP($A167,'Annex 2 EHV charges'!$A:$O,10,FALSE)=0,"",VLOOKUP($A167,'Annex 2 EHV charges'!$A:$O,10,FALSE)),"")</f>
        <v/>
      </c>
      <c r="H167" s="100" t="str">
        <f>IFERROR(IF(VLOOKUP($A167,'Annex 2 EHV charges'!$A:$O,11,FALSE)=0,"",VLOOKUP($A167,'Annex 2 EHV charges'!$A:$O,11,FALSE)),"")</f>
        <v/>
      </c>
    </row>
    <row r="168" spans="1:8" x14ac:dyDescent="0.2">
      <c r="A168" s="93" t="str">
        <f t="array" ref="A168">IFERROR(INDEX('Annex 2 EHV charges'!$A$11:$A$58, MATCH(0, IF(ISBLANK('Annex 2 EHV charges'!$A$11:$A$58),1, COUNTIF(A$4:$A167, 'Annex 2 EHV charges'!$A$11:$A$58)), 0)),"")</f>
        <v/>
      </c>
      <c r="B168" s="93" t="str">
        <f>IF($A168="","",VLOOKUP($A168,'Annex 2 EHV charges'!$A:$O,2,0))</f>
        <v/>
      </c>
      <c r="C168" s="94" t="str">
        <f>IF($A168="","",VLOOKUP($A168,'Annex 2 EHV charges'!$A:$O,3,0))</f>
        <v/>
      </c>
      <c r="D168" s="93" t="str">
        <f>IF($A168="","",VLOOKUP($A168,'Annex 2 EHV charges'!$A:$O,7,0))</f>
        <v/>
      </c>
      <c r="E168" s="98" t="str">
        <f>IFERROR(IF(VLOOKUP($A168,'Annex 2 EHV charges'!$A:$O,8,FALSE)=0,"",VLOOKUP($A168,'Annex 2 EHV charges'!$A:$O,8,FALSE)),"")</f>
        <v/>
      </c>
      <c r="F168" s="99" t="str">
        <f>IFERROR(IF(VLOOKUP($A168,'Annex 2 EHV charges'!$A:$O,9,FALSE)=0,"",VLOOKUP($A168,'Annex 2 EHV charges'!$A:$O,9,FALSE)),"")</f>
        <v/>
      </c>
      <c r="G168" s="100" t="str">
        <f>IFERROR(IF(VLOOKUP($A168,'Annex 2 EHV charges'!$A:$O,10,FALSE)=0,"",VLOOKUP($A168,'Annex 2 EHV charges'!$A:$O,10,FALSE)),"")</f>
        <v/>
      </c>
      <c r="H168" s="100" t="str">
        <f>IFERROR(IF(VLOOKUP($A168,'Annex 2 EHV charges'!$A:$O,11,FALSE)=0,"",VLOOKUP($A168,'Annex 2 EHV charges'!$A:$O,11,FALSE)),"")</f>
        <v/>
      </c>
    </row>
    <row r="169" spans="1:8" x14ac:dyDescent="0.2">
      <c r="A169" s="93" t="str">
        <f t="array" ref="A169">IFERROR(INDEX('Annex 2 EHV charges'!$A$11:$A$58, MATCH(0, IF(ISBLANK('Annex 2 EHV charges'!$A$11:$A$58),1, COUNTIF(A$4:$A168, 'Annex 2 EHV charges'!$A$11:$A$58)), 0)),"")</f>
        <v/>
      </c>
      <c r="B169" s="93" t="str">
        <f>IF($A169="","",VLOOKUP($A169,'Annex 2 EHV charges'!$A:$O,2,0))</f>
        <v/>
      </c>
      <c r="C169" s="94" t="str">
        <f>IF($A169="","",VLOOKUP($A169,'Annex 2 EHV charges'!$A:$O,3,0))</f>
        <v/>
      </c>
      <c r="D169" s="93" t="str">
        <f>IF($A169="","",VLOOKUP($A169,'Annex 2 EHV charges'!$A:$O,7,0))</f>
        <v/>
      </c>
      <c r="E169" s="98" t="str">
        <f>IFERROR(IF(VLOOKUP($A169,'Annex 2 EHV charges'!$A:$O,8,FALSE)=0,"",VLOOKUP($A169,'Annex 2 EHV charges'!$A:$O,8,FALSE)),"")</f>
        <v/>
      </c>
      <c r="F169" s="99" t="str">
        <f>IFERROR(IF(VLOOKUP($A169,'Annex 2 EHV charges'!$A:$O,9,FALSE)=0,"",VLOOKUP($A169,'Annex 2 EHV charges'!$A:$O,9,FALSE)),"")</f>
        <v/>
      </c>
      <c r="G169" s="100" t="str">
        <f>IFERROR(IF(VLOOKUP($A169,'Annex 2 EHV charges'!$A:$O,10,FALSE)=0,"",VLOOKUP($A169,'Annex 2 EHV charges'!$A:$O,10,FALSE)),"")</f>
        <v/>
      </c>
      <c r="H169" s="100" t="str">
        <f>IFERROR(IF(VLOOKUP($A169,'Annex 2 EHV charges'!$A:$O,11,FALSE)=0,"",VLOOKUP($A169,'Annex 2 EHV charges'!$A:$O,11,FALSE)),"")</f>
        <v/>
      </c>
    </row>
    <row r="170" spans="1:8" x14ac:dyDescent="0.2">
      <c r="A170" s="93" t="str">
        <f t="array" ref="A170">IFERROR(INDEX('Annex 2 EHV charges'!$A$11:$A$58, MATCH(0, IF(ISBLANK('Annex 2 EHV charges'!$A$11:$A$58),1, COUNTIF(A$4:$A169, 'Annex 2 EHV charges'!$A$11:$A$58)), 0)),"")</f>
        <v/>
      </c>
      <c r="B170" s="93" t="str">
        <f>IF($A170="","",VLOOKUP($A170,'Annex 2 EHV charges'!$A:$O,2,0))</f>
        <v/>
      </c>
      <c r="C170" s="94" t="str">
        <f>IF($A170="","",VLOOKUP($A170,'Annex 2 EHV charges'!$A:$O,3,0))</f>
        <v/>
      </c>
      <c r="D170" s="93" t="str">
        <f>IF($A170="","",VLOOKUP($A170,'Annex 2 EHV charges'!$A:$O,7,0))</f>
        <v/>
      </c>
      <c r="E170" s="98" t="str">
        <f>IFERROR(IF(VLOOKUP($A170,'Annex 2 EHV charges'!$A:$O,8,FALSE)=0,"",VLOOKUP($A170,'Annex 2 EHV charges'!$A:$O,8,FALSE)),"")</f>
        <v/>
      </c>
      <c r="F170" s="99" t="str">
        <f>IFERROR(IF(VLOOKUP($A170,'Annex 2 EHV charges'!$A:$O,9,FALSE)=0,"",VLOOKUP($A170,'Annex 2 EHV charges'!$A:$O,9,FALSE)),"")</f>
        <v/>
      </c>
      <c r="G170" s="100" t="str">
        <f>IFERROR(IF(VLOOKUP($A170,'Annex 2 EHV charges'!$A:$O,10,FALSE)=0,"",VLOOKUP($A170,'Annex 2 EHV charges'!$A:$O,10,FALSE)),"")</f>
        <v/>
      </c>
      <c r="H170" s="100" t="str">
        <f>IFERROR(IF(VLOOKUP($A170,'Annex 2 EHV charges'!$A:$O,11,FALSE)=0,"",VLOOKUP($A170,'Annex 2 EHV charges'!$A:$O,11,FALSE)),"")</f>
        <v/>
      </c>
    </row>
    <row r="171" spans="1:8" x14ac:dyDescent="0.2">
      <c r="A171" s="93" t="str">
        <f t="array" ref="A171">IFERROR(INDEX('Annex 2 EHV charges'!$A$11:$A$58, MATCH(0, IF(ISBLANK('Annex 2 EHV charges'!$A$11:$A$58),1, COUNTIF(A$4:$A170, 'Annex 2 EHV charges'!$A$11:$A$58)), 0)),"")</f>
        <v/>
      </c>
      <c r="B171" s="93" t="str">
        <f>IF($A171="","",VLOOKUP($A171,'Annex 2 EHV charges'!$A:$O,2,0))</f>
        <v/>
      </c>
      <c r="C171" s="94" t="str">
        <f>IF($A171="","",VLOOKUP($A171,'Annex 2 EHV charges'!$A:$O,3,0))</f>
        <v/>
      </c>
      <c r="D171" s="93" t="str">
        <f>IF($A171="","",VLOOKUP($A171,'Annex 2 EHV charges'!$A:$O,7,0))</f>
        <v/>
      </c>
      <c r="E171" s="98" t="str">
        <f>IFERROR(IF(VLOOKUP($A171,'Annex 2 EHV charges'!$A:$O,8,FALSE)=0,"",VLOOKUP($A171,'Annex 2 EHV charges'!$A:$O,8,FALSE)),"")</f>
        <v/>
      </c>
      <c r="F171" s="99" t="str">
        <f>IFERROR(IF(VLOOKUP($A171,'Annex 2 EHV charges'!$A:$O,9,FALSE)=0,"",VLOOKUP($A171,'Annex 2 EHV charges'!$A:$O,9,FALSE)),"")</f>
        <v/>
      </c>
      <c r="G171" s="100" t="str">
        <f>IFERROR(IF(VLOOKUP($A171,'Annex 2 EHV charges'!$A:$O,10,FALSE)=0,"",VLOOKUP($A171,'Annex 2 EHV charges'!$A:$O,10,FALSE)),"")</f>
        <v/>
      </c>
      <c r="H171" s="100" t="str">
        <f>IFERROR(IF(VLOOKUP($A171,'Annex 2 EHV charges'!$A:$O,11,FALSE)=0,"",VLOOKUP($A171,'Annex 2 EHV charges'!$A:$O,11,FALSE)),"")</f>
        <v/>
      </c>
    </row>
    <row r="172" spans="1:8" x14ac:dyDescent="0.2">
      <c r="A172" s="93" t="str">
        <f t="array" ref="A172">IFERROR(INDEX('Annex 2 EHV charges'!$A$11:$A$58, MATCH(0, IF(ISBLANK('Annex 2 EHV charges'!$A$11:$A$58),1, COUNTIF(A$4:$A171, 'Annex 2 EHV charges'!$A$11:$A$58)), 0)),"")</f>
        <v/>
      </c>
      <c r="B172" s="93" t="str">
        <f>IF($A172="","",VLOOKUP($A172,'Annex 2 EHV charges'!$A:$O,2,0))</f>
        <v/>
      </c>
      <c r="C172" s="94" t="str">
        <f>IF($A172="","",VLOOKUP($A172,'Annex 2 EHV charges'!$A:$O,3,0))</f>
        <v/>
      </c>
      <c r="D172" s="93" t="str">
        <f>IF($A172="","",VLOOKUP($A172,'Annex 2 EHV charges'!$A:$O,7,0))</f>
        <v/>
      </c>
      <c r="E172" s="98" t="str">
        <f>IFERROR(IF(VLOOKUP($A172,'Annex 2 EHV charges'!$A:$O,8,FALSE)=0,"",VLOOKUP($A172,'Annex 2 EHV charges'!$A:$O,8,FALSE)),"")</f>
        <v/>
      </c>
      <c r="F172" s="99" t="str">
        <f>IFERROR(IF(VLOOKUP($A172,'Annex 2 EHV charges'!$A:$O,9,FALSE)=0,"",VLOOKUP($A172,'Annex 2 EHV charges'!$A:$O,9,FALSE)),"")</f>
        <v/>
      </c>
      <c r="G172" s="100" t="str">
        <f>IFERROR(IF(VLOOKUP($A172,'Annex 2 EHV charges'!$A:$O,10,FALSE)=0,"",VLOOKUP($A172,'Annex 2 EHV charges'!$A:$O,10,FALSE)),"")</f>
        <v/>
      </c>
      <c r="H172" s="100" t="str">
        <f>IFERROR(IF(VLOOKUP($A172,'Annex 2 EHV charges'!$A:$O,11,FALSE)=0,"",VLOOKUP($A172,'Annex 2 EHV charges'!$A:$O,11,FALSE)),"")</f>
        <v/>
      </c>
    </row>
    <row r="173" spans="1:8" x14ac:dyDescent="0.2">
      <c r="A173" s="93" t="str">
        <f t="array" ref="A173">IFERROR(INDEX('Annex 2 EHV charges'!$A$11:$A$58, MATCH(0, IF(ISBLANK('Annex 2 EHV charges'!$A$11:$A$58),1, COUNTIF(A$4:$A172, 'Annex 2 EHV charges'!$A$11:$A$58)), 0)),"")</f>
        <v/>
      </c>
      <c r="B173" s="93" t="str">
        <f>IF($A173="","",VLOOKUP($A173,'Annex 2 EHV charges'!$A:$O,2,0))</f>
        <v/>
      </c>
      <c r="C173" s="94" t="str">
        <f>IF($A173="","",VLOOKUP($A173,'Annex 2 EHV charges'!$A:$O,3,0))</f>
        <v/>
      </c>
      <c r="D173" s="93" t="str">
        <f>IF($A173="","",VLOOKUP($A173,'Annex 2 EHV charges'!$A:$O,7,0))</f>
        <v/>
      </c>
      <c r="E173" s="98" t="str">
        <f>IFERROR(IF(VLOOKUP($A173,'Annex 2 EHV charges'!$A:$O,8,FALSE)=0,"",VLOOKUP($A173,'Annex 2 EHV charges'!$A:$O,8,FALSE)),"")</f>
        <v/>
      </c>
      <c r="F173" s="99" t="str">
        <f>IFERROR(IF(VLOOKUP($A173,'Annex 2 EHV charges'!$A:$O,9,FALSE)=0,"",VLOOKUP($A173,'Annex 2 EHV charges'!$A:$O,9,FALSE)),"")</f>
        <v/>
      </c>
      <c r="G173" s="100" t="str">
        <f>IFERROR(IF(VLOOKUP($A173,'Annex 2 EHV charges'!$A:$O,10,FALSE)=0,"",VLOOKUP($A173,'Annex 2 EHV charges'!$A:$O,10,FALSE)),"")</f>
        <v/>
      </c>
      <c r="H173" s="100" t="str">
        <f>IFERROR(IF(VLOOKUP($A173,'Annex 2 EHV charges'!$A:$O,11,FALSE)=0,"",VLOOKUP($A173,'Annex 2 EHV charges'!$A:$O,11,FALSE)),"")</f>
        <v/>
      </c>
    </row>
    <row r="174" spans="1:8" x14ac:dyDescent="0.2">
      <c r="A174" s="93" t="str">
        <f t="array" ref="A174">IFERROR(INDEX('Annex 2 EHV charges'!$A$11:$A$58, MATCH(0, IF(ISBLANK('Annex 2 EHV charges'!$A$11:$A$58),1, COUNTIF(A$4:$A173, 'Annex 2 EHV charges'!$A$11:$A$58)), 0)),"")</f>
        <v/>
      </c>
      <c r="B174" s="93" t="str">
        <f>IF($A174="","",VLOOKUP($A174,'Annex 2 EHV charges'!$A:$O,2,0))</f>
        <v/>
      </c>
      <c r="C174" s="94" t="str">
        <f>IF($A174="","",VLOOKUP($A174,'Annex 2 EHV charges'!$A:$O,3,0))</f>
        <v/>
      </c>
      <c r="D174" s="93" t="str">
        <f>IF($A174="","",VLOOKUP($A174,'Annex 2 EHV charges'!$A:$O,7,0))</f>
        <v/>
      </c>
      <c r="E174" s="98" t="str">
        <f>IFERROR(IF(VLOOKUP($A174,'Annex 2 EHV charges'!$A:$O,8,FALSE)=0,"",VLOOKUP($A174,'Annex 2 EHV charges'!$A:$O,8,FALSE)),"")</f>
        <v/>
      </c>
      <c r="F174" s="99" t="str">
        <f>IFERROR(IF(VLOOKUP($A174,'Annex 2 EHV charges'!$A:$O,9,FALSE)=0,"",VLOOKUP($A174,'Annex 2 EHV charges'!$A:$O,9,FALSE)),"")</f>
        <v/>
      </c>
      <c r="G174" s="100" t="str">
        <f>IFERROR(IF(VLOOKUP($A174,'Annex 2 EHV charges'!$A:$O,10,FALSE)=0,"",VLOOKUP($A174,'Annex 2 EHV charges'!$A:$O,10,FALSE)),"")</f>
        <v/>
      </c>
      <c r="H174" s="100" t="str">
        <f>IFERROR(IF(VLOOKUP($A174,'Annex 2 EHV charges'!$A:$O,11,FALSE)=0,"",VLOOKUP($A174,'Annex 2 EHV charges'!$A:$O,11,FALSE)),"")</f>
        <v/>
      </c>
    </row>
    <row r="175" spans="1:8" x14ac:dyDescent="0.2">
      <c r="A175" s="93" t="str">
        <f t="array" ref="A175">IFERROR(INDEX('Annex 2 EHV charges'!$A$11:$A$58, MATCH(0, IF(ISBLANK('Annex 2 EHV charges'!$A$11:$A$58),1, COUNTIF(A$4:$A174, 'Annex 2 EHV charges'!$A$11:$A$58)), 0)),"")</f>
        <v/>
      </c>
      <c r="B175" s="93" t="str">
        <f>IF($A175="","",VLOOKUP($A175,'Annex 2 EHV charges'!$A:$O,2,0))</f>
        <v/>
      </c>
      <c r="C175" s="94" t="str">
        <f>IF($A175="","",VLOOKUP($A175,'Annex 2 EHV charges'!$A:$O,3,0))</f>
        <v/>
      </c>
      <c r="D175" s="93" t="str">
        <f>IF($A175="","",VLOOKUP($A175,'Annex 2 EHV charges'!$A:$O,7,0))</f>
        <v/>
      </c>
      <c r="E175" s="98" t="str">
        <f>IFERROR(IF(VLOOKUP($A175,'Annex 2 EHV charges'!$A:$O,8,FALSE)=0,"",VLOOKUP($A175,'Annex 2 EHV charges'!$A:$O,8,FALSE)),"")</f>
        <v/>
      </c>
      <c r="F175" s="99" t="str">
        <f>IFERROR(IF(VLOOKUP($A175,'Annex 2 EHV charges'!$A:$O,9,FALSE)=0,"",VLOOKUP($A175,'Annex 2 EHV charges'!$A:$O,9,FALSE)),"")</f>
        <v/>
      </c>
      <c r="G175" s="100" t="str">
        <f>IFERROR(IF(VLOOKUP($A175,'Annex 2 EHV charges'!$A:$O,10,FALSE)=0,"",VLOOKUP($A175,'Annex 2 EHV charges'!$A:$O,10,FALSE)),"")</f>
        <v/>
      </c>
      <c r="H175" s="100" t="str">
        <f>IFERROR(IF(VLOOKUP($A175,'Annex 2 EHV charges'!$A:$O,11,FALSE)=0,"",VLOOKUP($A175,'Annex 2 EHV charges'!$A:$O,11,FALSE)),"")</f>
        <v/>
      </c>
    </row>
    <row r="176" spans="1:8" x14ac:dyDescent="0.2">
      <c r="A176" s="93" t="str">
        <f t="array" ref="A176">IFERROR(INDEX('Annex 2 EHV charges'!$A$11:$A$58, MATCH(0, IF(ISBLANK('Annex 2 EHV charges'!$A$11:$A$58),1, COUNTIF(A$4:$A175, 'Annex 2 EHV charges'!$A$11:$A$58)), 0)),"")</f>
        <v/>
      </c>
      <c r="B176" s="93" t="str">
        <f>IF($A176="","",VLOOKUP($A176,'Annex 2 EHV charges'!$A:$O,2,0))</f>
        <v/>
      </c>
      <c r="C176" s="94" t="str">
        <f>IF($A176="","",VLOOKUP($A176,'Annex 2 EHV charges'!$A:$O,3,0))</f>
        <v/>
      </c>
      <c r="D176" s="93" t="str">
        <f>IF($A176="","",VLOOKUP($A176,'Annex 2 EHV charges'!$A:$O,7,0))</f>
        <v/>
      </c>
      <c r="E176" s="98" t="str">
        <f>IFERROR(IF(VLOOKUP($A176,'Annex 2 EHV charges'!$A:$O,8,FALSE)=0,"",VLOOKUP($A176,'Annex 2 EHV charges'!$A:$O,8,FALSE)),"")</f>
        <v/>
      </c>
      <c r="F176" s="99" t="str">
        <f>IFERROR(IF(VLOOKUP($A176,'Annex 2 EHV charges'!$A:$O,9,FALSE)=0,"",VLOOKUP($A176,'Annex 2 EHV charges'!$A:$O,9,FALSE)),"")</f>
        <v/>
      </c>
      <c r="G176" s="100" t="str">
        <f>IFERROR(IF(VLOOKUP($A176,'Annex 2 EHV charges'!$A:$O,10,FALSE)=0,"",VLOOKUP($A176,'Annex 2 EHV charges'!$A:$O,10,FALSE)),"")</f>
        <v/>
      </c>
      <c r="H176" s="100" t="str">
        <f>IFERROR(IF(VLOOKUP($A176,'Annex 2 EHV charges'!$A:$O,11,FALSE)=0,"",VLOOKUP($A176,'Annex 2 EHV charges'!$A:$O,11,FALSE)),"")</f>
        <v/>
      </c>
    </row>
    <row r="177" spans="1:8" x14ac:dyDescent="0.2">
      <c r="A177" s="93" t="str">
        <f t="array" ref="A177">IFERROR(INDEX('Annex 2 EHV charges'!$A$11:$A$58, MATCH(0, IF(ISBLANK('Annex 2 EHV charges'!$A$11:$A$58),1, COUNTIF(A$4:$A176, 'Annex 2 EHV charges'!$A$11:$A$58)), 0)),"")</f>
        <v/>
      </c>
      <c r="B177" s="93" t="str">
        <f>IF($A177="","",VLOOKUP($A177,'Annex 2 EHV charges'!$A:$O,2,0))</f>
        <v/>
      </c>
      <c r="C177" s="94" t="str">
        <f>IF($A177="","",VLOOKUP($A177,'Annex 2 EHV charges'!$A:$O,3,0))</f>
        <v/>
      </c>
      <c r="D177" s="93" t="str">
        <f>IF($A177="","",VLOOKUP($A177,'Annex 2 EHV charges'!$A:$O,7,0))</f>
        <v/>
      </c>
      <c r="E177" s="98" t="str">
        <f>IFERROR(IF(VLOOKUP($A177,'Annex 2 EHV charges'!$A:$O,8,FALSE)=0,"",VLOOKUP($A177,'Annex 2 EHV charges'!$A:$O,8,FALSE)),"")</f>
        <v/>
      </c>
      <c r="F177" s="99" t="str">
        <f>IFERROR(IF(VLOOKUP($A177,'Annex 2 EHV charges'!$A:$O,9,FALSE)=0,"",VLOOKUP($A177,'Annex 2 EHV charges'!$A:$O,9,FALSE)),"")</f>
        <v/>
      </c>
      <c r="G177" s="100" t="str">
        <f>IFERROR(IF(VLOOKUP($A177,'Annex 2 EHV charges'!$A:$O,10,FALSE)=0,"",VLOOKUP($A177,'Annex 2 EHV charges'!$A:$O,10,FALSE)),"")</f>
        <v/>
      </c>
      <c r="H177" s="100" t="str">
        <f>IFERROR(IF(VLOOKUP($A177,'Annex 2 EHV charges'!$A:$O,11,FALSE)=0,"",VLOOKUP($A177,'Annex 2 EHV charges'!$A:$O,11,FALSE)),"")</f>
        <v/>
      </c>
    </row>
    <row r="178" spans="1:8" x14ac:dyDescent="0.2">
      <c r="A178" s="93" t="str">
        <f t="array" ref="A178">IFERROR(INDEX('Annex 2 EHV charges'!$A$11:$A$58, MATCH(0, IF(ISBLANK('Annex 2 EHV charges'!$A$11:$A$58),1, COUNTIF(A$4:$A177, 'Annex 2 EHV charges'!$A$11:$A$58)), 0)),"")</f>
        <v/>
      </c>
      <c r="B178" s="93" t="str">
        <f>IF($A178="","",VLOOKUP($A178,'Annex 2 EHV charges'!$A:$O,2,0))</f>
        <v/>
      </c>
      <c r="C178" s="94" t="str">
        <f>IF($A178="","",VLOOKUP($A178,'Annex 2 EHV charges'!$A:$O,3,0))</f>
        <v/>
      </c>
      <c r="D178" s="93" t="str">
        <f>IF($A178="","",VLOOKUP($A178,'Annex 2 EHV charges'!$A:$O,7,0))</f>
        <v/>
      </c>
      <c r="E178" s="98" t="str">
        <f>IFERROR(IF(VLOOKUP($A178,'Annex 2 EHV charges'!$A:$O,8,FALSE)=0,"",VLOOKUP($A178,'Annex 2 EHV charges'!$A:$O,8,FALSE)),"")</f>
        <v/>
      </c>
      <c r="F178" s="99" t="str">
        <f>IFERROR(IF(VLOOKUP($A178,'Annex 2 EHV charges'!$A:$O,9,FALSE)=0,"",VLOOKUP($A178,'Annex 2 EHV charges'!$A:$O,9,FALSE)),"")</f>
        <v/>
      </c>
      <c r="G178" s="100" t="str">
        <f>IFERROR(IF(VLOOKUP($A178,'Annex 2 EHV charges'!$A:$O,10,FALSE)=0,"",VLOOKUP($A178,'Annex 2 EHV charges'!$A:$O,10,FALSE)),"")</f>
        <v/>
      </c>
      <c r="H178" s="100" t="str">
        <f>IFERROR(IF(VLOOKUP($A178,'Annex 2 EHV charges'!$A:$O,11,FALSE)=0,"",VLOOKUP($A178,'Annex 2 EHV charges'!$A:$O,11,FALSE)),"")</f>
        <v/>
      </c>
    </row>
    <row r="179" spans="1:8" x14ac:dyDescent="0.2">
      <c r="A179" s="93" t="str">
        <f t="array" ref="A179">IFERROR(INDEX('Annex 2 EHV charges'!$A$11:$A$58, MATCH(0, IF(ISBLANK('Annex 2 EHV charges'!$A$11:$A$58),1, COUNTIF(A$4:$A178, 'Annex 2 EHV charges'!$A$11:$A$58)), 0)),"")</f>
        <v/>
      </c>
      <c r="B179" s="93" t="str">
        <f>IF($A179="","",VLOOKUP($A179,'Annex 2 EHV charges'!$A:$O,2,0))</f>
        <v/>
      </c>
      <c r="C179" s="94" t="str">
        <f>IF($A179="","",VLOOKUP($A179,'Annex 2 EHV charges'!$A:$O,3,0))</f>
        <v/>
      </c>
      <c r="D179" s="93" t="str">
        <f>IF($A179="","",VLOOKUP($A179,'Annex 2 EHV charges'!$A:$O,7,0))</f>
        <v/>
      </c>
      <c r="E179" s="98" t="str">
        <f>IFERROR(IF(VLOOKUP($A179,'Annex 2 EHV charges'!$A:$O,8,FALSE)=0,"",VLOOKUP($A179,'Annex 2 EHV charges'!$A:$O,8,FALSE)),"")</f>
        <v/>
      </c>
      <c r="F179" s="99" t="str">
        <f>IFERROR(IF(VLOOKUP($A179,'Annex 2 EHV charges'!$A:$O,9,FALSE)=0,"",VLOOKUP($A179,'Annex 2 EHV charges'!$A:$O,9,FALSE)),"")</f>
        <v/>
      </c>
      <c r="G179" s="100" t="str">
        <f>IFERROR(IF(VLOOKUP($A179,'Annex 2 EHV charges'!$A:$O,10,FALSE)=0,"",VLOOKUP($A179,'Annex 2 EHV charges'!$A:$O,10,FALSE)),"")</f>
        <v/>
      </c>
      <c r="H179" s="100" t="str">
        <f>IFERROR(IF(VLOOKUP($A179,'Annex 2 EHV charges'!$A:$O,11,FALSE)=0,"",VLOOKUP($A179,'Annex 2 EHV charges'!$A:$O,11,FALSE)),"")</f>
        <v/>
      </c>
    </row>
    <row r="180" spans="1:8" x14ac:dyDescent="0.2">
      <c r="A180" s="93" t="str">
        <f t="array" ref="A180">IFERROR(INDEX('Annex 2 EHV charges'!$A$11:$A$58, MATCH(0, IF(ISBLANK('Annex 2 EHV charges'!$A$11:$A$58),1, COUNTIF(A$4:$A179, 'Annex 2 EHV charges'!$A$11:$A$58)), 0)),"")</f>
        <v/>
      </c>
      <c r="B180" s="93" t="str">
        <f>IF($A180="","",VLOOKUP($A180,'Annex 2 EHV charges'!$A:$O,2,0))</f>
        <v/>
      </c>
      <c r="C180" s="94" t="str">
        <f>IF($A180="","",VLOOKUP($A180,'Annex 2 EHV charges'!$A:$O,3,0))</f>
        <v/>
      </c>
      <c r="D180" s="93" t="str">
        <f>IF($A180="","",VLOOKUP($A180,'Annex 2 EHV charges'!$A:$O,7,0))</f>
        <v/>
      </c>
      <c r="E180" s="98" t="str">
        <f>IFERROR(IF(VLOOKUP($A180,'Annex 2 EHV charges'!$A:$O,8,FALSE)=0,"",VLOOKUP($A180,'Annex 2 EHV charges'!$A:$O,8,FALSE)),"")</f>
        <v/>
      </c>
      <c r="F180" s="99" t="str">
        <f>IFERROR(IF(VLOOKUP($A180,'Annex 2 EHV charges'!$A:$O,9,FALSE)=0,"",VLOOKUP($A180,'Annex 2 EHV charges'!$A:$O,9,FALSE)),"")</f>
        <v/>
      </c>
      <c r="G180" s="100" t="str">
        <f>IFERROR(IF(VLOOKUP($A180,'Annex 2 EHV charges'!$A:$O,10,FALSE)=0,"",VLOOKUP($A180,'Annex 2 EHV charges'!$A:$O,10,FALSE)),"")</f>
        <v/>
      </c>
      <c r="H180" s="100" t="str">
        <f>IFERROR(IF(VLOOKUP($A180,'Annex 2 EHV charges'!$A:$O,11,FALSE)=0,"",VLOOKUP($A180,'Annex 2 EHV charges'!$A:$O,11,FALSE)),"")</f>
        <v/>
      </c>
    </row>
    <row r="181" spans="1:8" x14ac:dyDescent="0.2">
      <c r="A181" s="93" t="str">
        <f t="array" ref="A181">IFERROR(INDEX('Annex 2 EHV charges'!$A$11:$A$58, MATCH(0, IF(ISBLANK('Annex 2 EHV charges'!$A$11:$A$58),1, COUNTIF(A$4:$A180, 'Annex 2 EHV charges'!$A$11:$A$58)), 0)),"")</f>
        <v/>
      </c>
      <c r="B181" s="93" t="str">
        <f>IF($A181="","",VLOOKUP($A181,'Annex 2 EHV charges'!$A:$O,2,0))</f>
        <v/>
      </c>
      <c r="C181" s="94" t="str">
        <f>IF($A181="","",VLOOKUP($A181,'Annex 2 EHV charges'!$A:$O,3,0))</f>
        <v/>
      </c>
      <c r="D181" s="93" t="str">
        <f>IF($A181="","",VLOOKUP($A181,'Annex 2 EHV charges'!$A:$O,7,0))</f>
        <v/>
      </c>
      <c r="E181" s="98" t="str">
        <f>IFERROR(IF(VLOOKUP($A181,'Annex 2 EHV charges'!$A:$O,8,FALSE)=0,"",VLOOKUP($A181,'Annex 2 EHV charges'!$A:$O,8,FALSE)),"")</f>
        <v/>
      </c>
      <c r="F181" s="99" t="str">
        <f>IFERROR(IF(VLOOKUP($A181,'Annex 2 EHV charges'!$A:$O,9,FALSE)=0,"",VLOOKUP($A181,'Annex 2 EHV charges'!$A:$O,9,FALSE)),"")</f>
        <v/>
      </c>
      <c r="G181" s="100" t="str">
        <f>IFERROR(IF(VLOOKUP($A181,'Annex 2 EHV charges'!$A:$O,10,FALSE)=0,"",VLOOKUP($A181,'Annex 2 EHV charges'!$A:$O,10,FALSE)),"")</f>
        <v/>
      </c>
      <c r="H181" s="100" t="str">
        <f>IFERROR(IF(VLOOKUP($A181,'Annex 2 EHV charges'!$A:$O,11,FALSE)=0,"",VLOOKUP($A181,'Annex 2 EHV charges'!$A:$O,11,FALSE)),"")</f>
        <v/>
      </c>
    </row>
    <row r="182" spans="1:8" x14ac:dyDescent="0.2">
      <c r="A182" s="93" t="str">
        <f t="array" ref="A182">IFERROR(INDEX('Annex 2 EHV charges'!$A$11:$A$58, MATCH(0, IF(ISBLANK('Annex 2 EHV charges'!$A$11:$A$58),1, COUNTIF(A$4:$A181, 'Annex 2 EHV charges'!$A$11:$A$58)), 0)),"")</f>
        <v/>
      </c>
      <c r="B182" s="93" t="str">
        <f>IF($A182="","",VLOOKUP($A182,'Annex 2 EHV charges'!$A:$O,2,0))</f>
        <v/>
      </c>
      <c r="C182" s="94" t="str">
        <f>IF($A182="","",VLOOKUP($A182,'Annex 2 EHV charges'!$A:$O,3,0))</f>
        <v/>
      </c>
      <c r="D182" s="93" t="str">
        <f>IF($A182="","",VLOOKUP($A182,'Annex 2 EHV charges'!$A:$O,7,0))</f>
        <v/>
      </c>
      <c r="E182" s="98" t="str">
        <f>IFERROR(IF(VLOOKUP($A182,'Annex 2 EHV charges'!$A:$O,8,FALSE)=0,"",VLOOKUP($A182,'Annex 2 EHV charges'!$A:$O,8,FALSE)),"")</f>
        <v/>
      </c>
      <c r="F182" s="99" t="str">
        <f>IFERROR(IF(VLOOKUP($A182,'Annex 2 EHV charges'!$A:$O,9,FALSE)=0,"",VLOOKUP($A182,'Annex 2 EHV charges'!$A:$O,9,FALSE)),"")</f>
        <v/>
      </c>
      <c r="G182" s="100" t="str">
        <f>IFERROR(IF(VLOOKUP($A182,'Annex 2 EHV charges'!$A:$O,10,FALSE)=0,"",VLOOKUP($A182,'Annex 2 EHV charges'!$A:$O,10,FALSE)),"")</f>
        <v/>
      </c>
      <c r="H182" s="100" t="str">
        <f>IFERROR(IF(VLOOKUP($A182,'Annex 2 EHV charges'!$A:$O,11,FALSE)=0,"",VLOOKUP($A182,'Annex 2 EHV charges'!$A:$O,11,FALSE)),"")</f>
        <v/>
      </c>
    </row>
    <row r="183" spans="1:8" x14ac:dyDescent="0.2">
      <c r="A183" s="93" t="str">
        <f t="array" ref="A183">IFERROR(INDEX('Annex 2 EHV charges'!$A$11:$A$58, MATCH(0, IF(ISBLANK('Annex 2 EHV charges'!$A$11:$A$58),1, COUNTIF(A$4:$A182, 'Annex 2 EHV charges'!$A$11:$A$58)), 0)),"")</f>
        <v/>
      </c>
      <c r="B183" s="93" t="str">
        <f>IF($A183="","",VLOOKUP($A183,'Annex 2 EHV charges'!$A:$O,2,0))</f>
        <v/>
      </c>
      <c r="C183" s="94" t="str">
        <f>IF($A183="","",VLOOKUP($A183,'Annex 2 EHV charges'!$A:$O,3,0))</f>
        <v/>
      </c>
      <c r="D183" s="93" t="str">
        <f>IF($A183="","",VLOOKUP($A183,'Annex 2 EHV charges'!$A:$O,7,0))</f>
        <v/>
      </c>
      <c r="E183" s="98" t="str">
        <f>IFERROR(IF(VLOOKUP($A183,'Annex 2 EHV charges'!$A:$O,8,FALSE)=0,"",VLOOKUP($A183,'Annex 2 EHV charges'!$A:$O,8,FALSE)),"")</f>
        <v/>
      </c>
      <c r="F183" s="99" t="str">
        <f>IFERROR(IF(VLOOKUP($A183,'Annex 2 EHV charges'!$A:$O,9,FALSE)=0,"",VLOOKUP($A183,'Annex 2 EHV charges'!$A:$O,9,FALSE)),"")</f>
        <v/>
      </c>
      <c r="G183" s="100" t="str">
        <f>IFERROR(IF(VLOOKUP($A183,'Annex 2 EHV charges'!$A:$O,10,FALSE)=0,"",VLOOKUP($A183,'Annex 2 EHV charges'!$A:$O,10,FALSE)),"")</f>
        <v/>
      </c>
      <c r="H183" s="100" t="str">
        <f>IFERROR(IF(VLOOKUP($A183,'Annex 2 EHV charges'!$A:$O,11,FALSE)=0,"",VLOOKUP($A183,'Annex 2 EHV charges'!$A:$O,11,FALSE)),"")</f>
        <v/>
      </c>
    </row>
    <row r="184" spans="1:8" x14ac:dyDescent="0.2">
      <c r="A184" s="93" t="str">
        <f t="array" ref="A184">IFERROR(INDEX('Annex 2 EHV charges'!$A$11:$A$58, MATCH(0, IF(ISBLANK('Annex 2 EHV charges'!$A$11:$A$58),1, COUNTIF(A$4:$A183, 'Annex 2 EHV charges'!$A$11:$A$58)), 0)),"")</f>
        <v/>
      </c>
      <c r="B184" s="93" t="str">
        <f>IF($A184="","",VLOOKUP($A184,'Annex 2 EHV charges'!$A:$O,2,0))</f>
        <v/>
      </c>
      <c r="C184" s="94" t="str">
        <f>IF($A184="","",VLOOKUP($A184,'Annex 2 EHV charges'!$A:$O,3,0))</f>
        <v/>
      </c>
      <c r="D184" s="93" t="str">
        <f>IF($A184="","",VLOOKUP($A184,'Annex 2 EHV charges'!$A:$O,7,0))</f>
        <v/>
      </c>
      <c r="E184" s="98" t="str">
        <f>IFERROR(IF(VLOOKUP($A184,'Annex 2 EHV charges'!$A:$O,8,FALSE)=0,"",VLOOKUP($A184,'Annex 2 EHV charges'!$A:$O,8,FALSE)),"")</f>
        <v/>
      </c>
      <c r="F184" s="99" t="str">
        <f>IFERROR(IF(VLOOKUP($A184,'Annex 2 EHV charges'!$A:$O,9,FALSE)=0,"",VLOOKUP($A184,'Annex 2 EHV charges'!$A:$O,9,FALSE)),"")</f>
        <v/>
      </c>
      <c r="G184" s="100" t="str">
        <f>IFERROR(IF(VLOOKUP($A184,'Annex 2 EHV charges'!$A:$O,10,FALSE)=0,"",VLOOKUP($A184,'Annex 2 EHV charges'!$A:$O,10,FALSE)),"")</f>
        <v/>
      </c>
      <c r="H184" s="100" t="str">
        <f>IFERROR(IF(VLOOKUP($A184,'Annex 2 EHV charges'!$A:$O,11,FALSE)=0,"",VLOOKUP($A184,'Annex 2 EHV charges'!$A:$O,11,FALSE)),"")</f>
        <v/>
      </c>
    </row>
    <row r="185" spans="1:8" x14ac:dyDescent="0.2">
      <c r="A185" s="93" t="str">
        <f t="array" ref="A185">IFERROR(INDEX('Annex 2 EHV charges'!$A$11:$A$58, MATCH(0, IF(ISBLANK('Annex 2 EHV charges'!$A$11:$A$58),1, COUNTIF(A$4:$A184, 'Annex 2 EHV charges'!$A$11:$A$58)), 0)),"")</f>
        <v/>
      </c>
      <c r="B185" s="93" t="str">
        <f>IF($A185="","",VLOOKUP($A185,'Annex 2 EHV charges'!$A:$O,2,0))</f>
        <v/>
      </c>
      <c r="C185" s="94" t="str">
        <f>IF($A185="","",VLOOKUP($A185,'Annex 2 EHV charges'!$A:$O,3,0))</f>
        <v/>
      </c>
      <c r="D185" s="93" t="str">
        <f>IF($A185="","",VLOOKUP($A185,'Annex 2 EHV charges'!$A:$O,7,0))</f>
        <v/>
      </c>
      <c r="E185" s="98" t="str">
        <f>IFERROR(IF(VLOOKUP($A185,'Annex 2 EHV charges'!$A:$O,8,FALSE)=0,"",VLOOKUP($A185,'Annex 2 EHV charges'!$A:$O,8,FALSE)),"")</f>
        <v/>
      </c>
      <c r="F185" s="99" t="str">
        <f>IFERROR(IF(VLOOKUP($A185,'Annex 2 EHV charges'!$A:$O,9,FALSE)=0,"",VLOOKUP($A185,'Annex 2 EHV charges'!$A:$O,9,FALSE)),"")</f>
        <v/>
      </c>
      <c r="G185" s="100" t="str">
        <f>IFERROR(IF(VLOOKUP($A185,'Annex 2 EHV charges'!$A:$O,10,FALSE)=0,"",VLOOKUP($A185,'Annex 2 EHV charges'!$A:$O,10,FALSE)),"")</f>
        <v/>
      </c>
      <c r="H185" s="100" t="str">
        <f>IFERROR(IF(VLOOKUP($A185,'Annex 2 EHV charges'!$A:$O,11,FALSE)=0,"",VLOOKUP($A185,'Annex 2 EHV charges'!$A:$O,11,FALSE)),"")</f>
        <v/>
      </c>
    </row>
    <row r="186" spans="1:8" x14ac:dyDescent="0.2">
      <c r="A186" s="93" t="str">
        <f t="array" ref="A186">IFERROR(INDEX('Annex 2 EHV charges'!$A$11:$A$58, MATCH(0, IF(ISBLANK('Annex 2 EHV charges'!$A$11:$A$58),1, COUNTIF(A$4:$A185, 'Annex 2 EHV charges'!$A$11:$A$58)), 0)),"")</f>
        <v/>
      </c>
      <c r="B186" s="93" t="str">
        <f>IF($A186="","",VLOOKUP($A186,'Annex 2 EHV charges'!$A:$O,2,0))</f>
        <v/>
      </c>
      <c r="C186" s="94" t="str">
        <f>IF($A186="","",VLOOKUP($A186,'Annex 2 EHV charges'!$A:$O,3,0))</f>
        <v/>
      </c>
      <c r="D186" s="93" t="str">
        <f>IF($A186="","",VLOOKUP($A186,'Annex 2 EHV charges'!$A:$O,7,0))</f>
        <v/>
      </c>
      <c r="E186" s="98" t="str">
        <f>IFERROR(IF(VLOOKUP($A186,'Annex 2 EHV charges'!$A:$O,8,FALSE)=0,"",VLOOKUP($A186,'Annex 2 EHV charges'!$A:$O,8,FALSE)),"")</f>
        <v/>
      </c>
      <c r="F186" s="99" t="str">
        <f>IFERROR(IF(VLOOKUP($A186,'Annex 2 EHV charges'!$A:$O,9,FALSE)=0,"",VLOOKUP($A186,'Annex 2 EHV charges'!$A:$O,9,FALSE)),"")</f>
        <v/>
      </c>
      <c r="G186" s="100" t="str">
        <f>IFERROR(IF(VLOOKUP($A186,'Annex 2 EHV charges'!$A:$O,10,FALSE)=0,"",VLOOKUP($A186,'Annex 2 EHV charges'!$A:$O,10,FALSE)),"")</f>
        <v/>
      </c>
      <c r="H186" s="100" t="str">
        <f>IFERROR(IF(VLOOKUP($A186,'Annex 2 EHV charges'!$A:$O,11,FALSE)=0,"",VLOOKUP($A186,'Annex 2 EHV charges'!$A:$O,11,FALSE)),"")</f>
        <v/>
      </c>
    </row>
    <row r="187" spans="1:8" x14ac:dyDescent="0.2">
      <c r="A187" s="93" t="str">
        <f t="array" ref="A187">IFERROR(INDEX('Annex 2 EHV charges'!$A$11:$A$58, MATCH(0, IF(ISBLANK('Annex 2 EHV charges'!$A$11:$A$58),1, COUNTIF(A$4:$A186, 'Annex 2 EHV charges'!$A$11:$A$58)), 0)),"")</f>
        <v/>
      </c>
      <c r="B187" s="93" t="str">
        <f>IF($A187="","",VLOOKUP($A187,'Annex 2 EHV charges'!$A:$O,2,0))</f>
        <v/>
      </c>
      <c r="C187" s="94" t="str">
        <f>IF($A187="","",VLOOKUP($A187,'Annex 2 EHV charges'!$A:$O,3,0))</f>
        <v/>
      </c>
      <c r="D187" s="93" t="str">
        <f>IF($A187="","",VLOOKUP($A187,'Annex 2 EHV charges'!$A:$O,7,0))</f>
        <v/>
      </c>
      <c r="E187" s="98" t="str">
        <f>IFERROR(IF(VLOOKUP($A187,'Annex 2 EHV charges'!$A:$O,8,FALSE)=0,"",VLOOKUP($A187,'Annex 2 EHV charges'!$A:$O,8,FALSE)),"")</f>
        <v/>
      </c>
      <c r="F187" s="99" t="str">
        <f>IFERROR(IF(VLOOKUP($A187,'Annex 2 EHV charges'!$A:$O,9,FALSE)=0,"",VLOOKUP($A187,'Annex 2 EHV charges'!$A:$O,9,FALSE)),"")</f>
        <v/>
      </c>
      <c r="G187" s="100" t="str">
        <f>IFERROR(IF(VLOOKUP($A187,'Annex 2 EHV charges'!$A:$O,10,FALSE)=0,"",VLOOKUP($A187,'Annex 2 EHV charges'!$A:$O,10,FALSE)),"")</f>
        <v/>
      </c>
      <c r="H187" s="100" t="str">
        <f>IFERROR(IF(VLOOKUP($A187,'Annex 2 EHV charges'!$A:$O,11,FALSE)=0,"",VLOOKUP($A187,'Annex 2 EHV charges'!$A:$O,11,FALSE)),"")</f>
        <v/>
      </c>
    </row>
    <row r="188" spans="1:8" x14ac:dyDescent="0.2">
      <c r="A188" s="93" t="str">
        <f t="array" ref="A188">IFERROR(INDEX('Annex 2 EHV charges'!$A$11:$A$58, MATCH(0, IF(ISBLANK('Annex 2 EHV charges'!$A$11:$A$58),1, COUNTIF(A$4:$A187, 'Annex 2 EHV charges'!$A$11:$A$58)), 0)),"")</f>
        <v/>
      </c>
      <c r="B188" s="93" t="str">
        <f>IF($A188="","",VLOOKUP($A188,'Annex 2 EHV charges'!$A:$O,2,0))</f>
        <v/>
      </c>
      <c r="C188" s="94" t="str">
        <f>IF($A188="","",VLOOKUP($A188,'Annex 2 EHV charges'!$A:$O,3,0))</f>
        <v/>
      </c>
      <c r="D188" s="93" t="str">
        <f>IF($A188="","",VLOOKUP($A188,'Annex 2 EHV charges'!$A:$O,7,0))</f>
        <v/>
      </c>
      <c r="E188" s="98" t="str">
        <f>IFERROR(IF(VLOOKUP($A188,'Annex 2 EHV charges'!$A:$O,8,FALSE)=0,"",VLOOKUP($A188,'Annex 2 EHV charges'!$A:$O,8,FALSE)),"")</f>
        <v/>
      </c>
      <c r="F188" s="99" t="str">
        <f>IFERROR(IF(VLOOKUP($A188,'Annex 2 EHV charges'!$A:$O,9,FALSE)=0,"",VLOOKUP($A188,'Annex 2 EHV charges'!$A:$O,9,FALSE)),"")</f>
        <v/>
      </c>
      <c r="G188" s="100" t="str">
        <f>IFERROR(IF(VLOOKUP($A188,'Annex 2 EHV charges'!$A:$O,10,FALSE)=0,"",VLOOKUP($A188,'Annex 2 EHV charges'!$A:$O,10,FALSE)),"")</f>
        <v/>
      </c>
      <c r="H188" s="100" t="str">
        <f>IFERROR(IF(VLOOKUP($A188,'Annex 2 EHV charges'!$A:$O,11,FALSE)=0,"",VLOOKUP($A188,'Annex 2 EHV charges'!$A:$O,11,FALSE)),"")</f>
        <v/>
      </c>
    </row>
    <row r="189" spans="1:8" x14ac:dyDescent="0.2">
      <c r="A189" s="93" t="str">
        <f t="array" ref="A189">IFERROR(INDEX('Annex 2 EHV charges'!$A$11:$A$58, MATCH(0, IF(ISBLANK('Annex 2 EHV charges'!$A$11:$A$58),1, COUNTIF(A$4:$A188, 'Annex 2 EHV charges'!$A$11:$A$58)), 0)),"")</f>
        <v/>
      </c>
      <c r="B189" s="93" t="str">
        <f>IF($A189="","",VLOOKUP($A189,'Annex 2 EHV charges'!$A:$O,2,0))</f>
        <v/>
      </c>
      <c r="C189" s="94" t="str">
        <f>IF($A189="","",VLOOKUP($A189,'Annex 2 EHV charges'!$A:$O,3,0))</f>
        <v/>
      </c>
      <c r="D189" s="93" t="str">
        <f>IF($A189="","",VLOOKUP($A189,'Annex 2 EHV charges'!$A:$O,7,0))</f>
        <v/>
      </c>
      <c r="E189" s="98" t="str">
        <f>IFERROR(IF(VLOOKUP($A189,'Annex 2 EHV charges'!$A:$O,8,FALSE)=0,"",VLOOKUP($A189,'Annex 2 EHV charges'!$A:$O,8,FALSE)),"")</f>
        <v/>
      </c>
      <c r="F189" s="99" t="str">
        <f>IFERROR(IF(VLOOKUP($A189,'Annex 2 EHV charges'!$A:$O,9,FALSE)=0,"",VLOOKUP($A189,'Annex 2 EHV charges'!$A:$O,9,FALSE)),"")</f>
        <v/>
      </c>
      <c r="G189" s="100" t="str">
        <f>IFERROR(IF(VLOOKUP($A189,'Annex 2 EHV charges'!$A:$O,10,FALSE)=0,"",VLOOKUP($A189,'Annex 2 EHV charges'!$A:$O,10,FALSE)),"")</f>
        <v/>
      </c>
      <c r="H189" s="100" t="str">
        <f>IFERROR(IF(VLOOKUP($A189,'Annex 2 EHV charges'!$A:$O,11,FALSE)=0,"",VLOOKUP($A189,'Annex 2 EHV charges'!$A:$O,11,FALSE)),"")</f>
        <v/>
      </c>
    </row>
    <row r="190" spans="1:8" x14ac:dyDescent="0.2">
      <c r="A190" s="93" t="str">
        <f t="array" ref="A190">IFERROR(INDEX('Annex 2 EHV charges'!$A$11:$A$58, MATCH(0, IF(ISBLANK('Annex 2 EHV charges'!$A$11:$A$58),1, COUNTIF(A$4:$A189, 'Annex 2 EHV charges'!$A$11:$A$58)), 0)),"")</f>
        <v/>
      </c>
      <c r="B190" s="93" t="str">
        <f>IF($A190="","",VLOOKUP($A190,'Annex 2 EHV charges'!$A:$O,2,0))</f>
        <v/>
      </c>
      <c r="C190" s="94" t="str">
        <f>IF($A190="","",VLOOKUP($A190,'Annex 2 EHV charges'!$A:$O,3,0))</f>
        <v/>
      </c>
      <c r="D190" s="93" t="str">
        <f>IF($A190="","",VLOOKUP($A190,'Annex 2 EHV charges'!$A:$O,7,0))</f>
        <v/>
      </c>
      <c r="E190" s="98" t="str">
        <f>IFERROR(IF(VLOOKUP($A190,'Annex 2 EHV charges'!$A:$O,8,FALSE)=0,"",VLOOKUP($A190,'Annex 2 EHV charges'!$A:$O,8,FALSE)),"")</f>
        <v/>
      </c>
      <c r="F190" s="99" t="str">
        <f>IFERROR(IF(VLOOKUP($A190,'Annex 2 EHV charges'!$A:$O,9,FALSE)=0,"",VLOOKUP($A190,'Annex 2 EHV charges'!$A:$O,9,FALSE)),"")</f>
        <v/>
      </c>
      <c r="G190" s="100" t="str">
        <f>IFERROR(IF(VLOOKUP($A190,'Annex 2 EHV charges'!$A:$O,10,FALSE)=0,"",VLOOKUP($A190,'Annex 2 EHV charges'!$A:$O,10,FALSE)),"")</f>
        <v/>
      </c>
      <c r="H190" s="100" t="str">
        <f>IFERROR(IF(VLOOKUP($A190,'Annex 2 EHV charges'!$A:$O,11,FALSE)=0,"",VLOOKUP($A190,'Annex 2 EHV charges'!$A:$O,11,FALSE)),"")</f>
        <v/>
      </c>
    </row>
    <row r="191" spans="1:8" x14ac:dyDescent="0.2">
      <c r="A191" s="93" t="str">
        <f t="array" ref="A191">IFERROR(INDEX('Annex 2 EHV charges'!$A$11:$A$58, MATCH(0, IF(ISBLANK('Annex 2 EHV charges'!$A$11:$A$58),1, COUNTIF(A$4:$A190, 'Annex 2 EHV charges'!$A$11:$A$58)), 0)),"")</f>
        <v/>
      </c>
      <c r="B191" s="93" t="str">
        <f>IF($A191="","",VLOOKUP($A191,'Annex 2 EHV charges'!$A:$O,2,0))</f>
        <v/>
      </c>
      <c r="C191" s="94" t="str">
        <f>IF($A191="","",VLOOKUP($A191,'Annex 2 EHV charges'!$A:$O,3,0))</f>
        <v/>
      </c>
      <c r="D191" s="93" t="str">
        <f>IF($A191="","",VLOOKUP($A191,'Annex 2 EHV charges'!$A:$O,7,0))</f>
        <v/>
      </c>
      <c r="E191" s="98" t="str">
        <f>IFERROR(IF(VLOOKUP($A191,'Annex 2 EHV charges'!$A:$O,8,FALSE)=0,"",VLOOKUP($A191,'Annex 2 EHV charges'!$A:$O,8,FALSE)),"")</f>
        <v/>
      </c>
      <c r="F191" s="99" t="str">
        <f>IFERROR(IF(VLOOKUP($A191,'Annex 2 EHV charges'!$A:$O,9,FALSE)=0,"",VLOOKUP($A191,'Annex 2 EHV charges'!$A:$O,9,FALSE)),"")</f>
        <v/>
      </c>
      <c r="G191" s="100" t="str">
        <f>IFERROR(IF(VLOOKUP($A191,'Annex 2 EHV charges'!$A:$O,10,FALSE)=0,"",VLOOKUP($A191,'Annex 2 EHV charges'!$A:$O,10,FALSE)),"")</f>
        <v/>
      </c>
      <c r="H191" s="100" t="str">
        <f>IFERROR(IF(VLOOKUP($A191,'Annex 2 EHV charges'!$A:$O,11,FALSE)=0,"",VLOOKUP($A191,'Annex 2 EHV charges'!$A:$O,11,FALSE)),"")</f>
        <v/>
      </c>
    </row>
    <row r="192" spans="1:8" x14ac:dyDescent="0.2">
      <c r="A192" s="93" t="str">
        <f t="array" ref="A192">IFERROR(INDEX('Annex 2 EHV charges'!$A$11:$A$58, MATCH(0, IF(ISBLANK('Annex 2 EHV charges'!$A$11:$A$58),1, COUNTIF(A$4:$A191, 'Annex 2 EHV charges'!$A$11:$A$58)), 0)),"")</f>
        <v/>
      </c>
      <c r="B192" s="93" t="str">
        <f>IF($A192="","",VLOOKUP($A192,'Annex 2 EHV charges'!$A:$O,2,0))</f>
        <v/>
      </c>
      <c r="C192" s="94" t="str">
        <f>IF($A192="","",VLOOKUP($A192,'Annex 2 EHV charges'!$A:$O,3,0))</f>
        <v/>
      </c>
      <c r="D192" s="93" t="str">
        <f>IF($A192="","",VLOOKUP($A192,'Annex 2 EHV charges'!$A:$O,7,0))</f>
        <v/>
      </c>
      <c r="E192" s="98" t="str">
        <f>IFERROR(IF(VLOOKUP($A192,'Annex 2 EHV charges'!$A:$O,8,FALSE)=0,"",VLOOKUP($A192,'Annex 2 EHV charges'!$A:$O,8,FALSE)),"")</f>
        <v/>
      </c>
      <c r="F192" s="99" t="str">
        <f>IFERROR(IF(VLOOKUP($A192,'Annex 2 EHV charges'!$A:$O,9,FALSE)=0,"",VLOOKUP($A192,'Annex 2 EHV charges'!$A:$O,9,FALSE)),"")</f>
        <v/>
      </c>
      <c r="G192" s="100" t="str">
        <f>IFERROR(IF(VLOOKUP($A192,'Annex 2 EHV charges'!$A:$O,10,FALSE)=0,"",VLOOKUP($A192,'Annex 2 EHV charges'!$A:$O,10,FALSE)),"")</f>
        <v/>
      </c>
      <c r="H192" s="100" t="str">
        <f>IFERROR(IF(VLOOKUP($A192,'Annex 2 EHV charges'!$A:$O,11,FALSE)=0,"",VLOOKUP($A192,'Annex 2 EHV charges'!$A:$O,11,FALSE)),"")</f>
        <v/>
      </c>
    </row>
    <row r="193" spans="1:8" x14ac:dyDescent="0.2">
      <c r="A193" s="93" t="str">
        <f t="array" ref="A193">IFERROR(INDEX('Annex 2 EHV charges'!$A$11:$A$58, MATCH(0, IF(ISBLANK('Annex 2 EHV charges'!$A$11:$A$58),1, COUNTIF(A$4:$A192, 'Annex 2 EHV charges'!$A$11:$A$58)), 0)),"")</f>
        <v/>
      </c>
      <c r="B193" s="93" t="str">
        <f>IF($A193="","",VLOOKUP($A193,'Annex 2 EHV charges'!$A:$O,2,0))</f>
        <v/>
      </c>
      <c r="C193" s="94" t="str">
        <f>IF($A193="","",VLOOKUP($A193,'Annex 2 EHV charges'!$A:$O,3,0))</f>
        <v/>
      </c>
      <c r="D193" s="93" t="str">
        <f>IF($A193="","",VLOOKUP($A193,'Annex 2 EHV charges'!$A:$O,7,0))</f>
        <v/>
      </c>
      <c r="E193" s="98" t="str">
        <f>IFERROR(IF(VLOOKUP($A193,'Annex 2 EHV charges'!$A:$O,8,FALSE)=0,"",VLOOKUP($A193,'Annex 2 EHV charges'!$A:$O,8,FALSE)),"")</f>
        <v/>
      </c>
      <c r="F193" s="99" t="str">
        <f>IFERROR(IF(VLOOKUP($A193,'Annex 2 EHV charges'!$A:$O,9,FALSE)=0,"",VLOOKUP($A193,'Annex 2 EHV charges'!$A:$O,9,FALSE)),"")</f>
        <v/>
      </c>
      <c r="G193" s="100" t="str">
        <f>IFERROR(IF(VLOOKUP($A193,'Annex 2 EHV charges'!$A:$O,10,FALSE)=0,"",VLOOKUP($A193,'Annex 2 EHV charges'!$A:$O,10,FALSE)),"")</f>
        <v/>
      </c>
      <c r="H193" s="100" t="str">
        <f>IFERROR(IF(VLOOKUP($A193,'Annex 2 EHV charges'!$A:$O,11,FALSE)=0,"",VLOOKUP($A193,'Annex 2 EHV charges'!$A:$O,11,FALSE)),"")</f>
        <v/>
      </c>
    </row>
    <row r="194" spans="1:8" x14ac:dyDescent="0.2">
      <c r="A194" s="93" t="str">
        <f t="array" ref="A194">IFERROR(INDEX('Annex 2 EHV charges'!$A$11:$A$58, MATCH(0, IF(ISBLANK('Annex 2 EHV charges'!$A$11:$A$58),1, COUNTIF(A$4:$A193, 'Annex 2 EHV charges'!$A$11:$A$58)), 0)),"")</f>
        <v/>
      </c>
      <c r="B194" s="93" t="str">
        <f>IF($A194="","",VLOOKUP($A194,'Annex 2 EHV charges'!$A:$O,2,0))</f>
        <v/>
      </c>
      <c r="C194" s="94" t="str">
        <f>IF($A194="","",VLOOKUP($A194,'Annex 2 EHV charges'!$A:$O,3,0))</f>
        <v/>
      </c>
      <c r="D194" s="93" t="str">
        <f>IF($A194="","",VLOOKUP($A194,'Annex 2 EHV charges'!$A:$O,7,0))</f>
        <v/>
      </c>
      <c r="E194" s="98" t="str">
        <f>IFERROR(IF(VLOOKUP($A194,'Annex 2 EHV charges'!$A:$O,8,FALSE)=0,"",VLOOKUP($A194,'Annex 2 EHV charges'!$A:$O,8,FALSE)),"")</f>
        <v/>
      </c>
      <c r="F194" s="99" t="str">
        <f>IFERROR(IF(VLOOKUP($A194,'Annex 2 EHV charges'!$A:$O,9,FALSE)=0,"",VLOOKUP($A194,'Annex 2 EHV charges'!$A:$O,9,FALSE)),"")</f>
        <v/>
      </c>
      <c r="G194" s="100" t="str">
        <f>IFERROR(IF(VLOOKUP($A194,'Annex 2 EHV charges'!$A:$O,10,FALSE)=0,"",VLOOKUP($A194,'Annex 2 EHV charges'!$A:$O,10,FALSE)),"")</f>
        <v/>
      </c>
      <c r="H194" s="100" t="str">
        <f>IFERROR(IF(VLOOKUP($A194,'Annex 2 EHV charges'!$A:$O,11,FALSE)=0,"",VLOOKUP($A194,'Annex 2 EHV charges'!$A:$O,11,FALSE)),"")</f>
        <v/>
      </c>
    </row>
    <row r="195" spans="1:8" x14ac:dyDescent="0.2">
      <c r="A195" s="93" t="str">
        <f t="array" ref="A195">IFERROR(INDEX('Annex 2 EHV charges'!$A$11:$A$58, MATCH(0, IF(ISBLANK('Annex 2 EHV charges'!$A$11:$A$58),1, COUNTIF(A$4:$A194, 'Annex 2 EHV charges'!$A$11:$A$58)), 0)),"")</f>
        <v/>
      </c>
      <c r="B195" s="93" t="str">
        <f>IF($A195="","",VLOOKUP($A195,'Annex 2 EHV charges'!$A:$O,2,0))</f>
        <v/>
      </c>
      <c r="C195" s="94" t="str">
        <f>IF($A195="","",VLOOKUP($A195,'Annex 2 EHV charges'!$A:$O,3,0))</f>
        <v/>
      </c>
      <c r="D195" s="93" t="str">
        <f>IF($A195="","",VLOOKUP($A195,'Annex 2 EHV charges'!$A:$O,7,0))</f>
        <v/>
      </c>
      <c r="E195" s="98" t="str">
        <f>IFERROR(IF(VLOOKUP($A195,'Annex 2 EHV charges'!$A:$O,8,FALSE)=0,"",VLOOKUP($A195,'Annex 2 EHV charges'!$A:$O,8,FALSE)),"")</f>
        <v/>
      </c>
      <c r="F195" s="99" t="str">
        <f>IFERROR(IF(VLOOKUP($A195,'Annex 2 EHV charges'!$A:$O,9,FALSE)=0,"",VLOOKUP($A195,'Annex 2 EHV charges'!$A:$O,9,FALSE)),"")</f>
        <v/>
      </c>
      <c r="G195" s="100" t="str">
        <f>IFERROR(IF(VLOOKUP($A195,'Annex 2 EHV charges'!$A:$O,10,FALSE)=0,"",VLOOKUP($A195,'Annex 2 EHV charges'!$A:$O,10,FALSE)),"")</f>
        <v/>
      </c>
      <c r="H195" s="100" t="str">
        <f>IFERROR(IF(VLOOKUP($A195,'Annex 2 EHV charges'!$A:$O,11,FALSE)=0,"",VLOOKUP($A195,'Annex 2 EHV charges'!$A:$O,11,FALSE)),"")</f>
        <v/>
      </c>
    </row>
    <row r="196" spans="1:8" x14ac:dyDescent="0.2">
      <c r="A196" s="93" t="str">
        <f t="array" ref="A196">IFERROR(INDEX('Annex 2 EHV charges'!$A$11:$A$58, MATCH(0, IF(ISBLANK('Annex 2 EHV charges'!$A$11:$A$58),1, COUNTIF(A$4:$A195, 'Annex 2 EHV charges'!$A$11:$A$58)), 0)),"")</f>
        <v/>
      </c>
      <c r="B196" s="93" t="str">
        <f>IF($A196="","",VLOOKUP($A196,'Annex 2 EHV charges'!$A:$O,2,0))</f>
        <v/>
      </c>
      <c r="C196" s="94" t="str">
        <f>IF($A196="","",VLOOKUP($A196,'Annex 2 EHV charges'!$A:$O,3,0))</f>
        <v/>
      </c>
      <c r="D196" s="93" t="str">
        <f>IF($A196="","",VLOOKUP($A196,'Annex 2 EHV charges'!$A:$O,7,0))</f>
        <v/>
      </c>
      <c r="E196" s="98" t="str">
        <f>IFERROR(IF(VLOOKUP($A196,'Annex 2 EHV charges'!$A:$O,8,FALSE)=0,"",VLOOKUP($A196,'Annex 2 EHV charges'!$A:$O,8,FALSE)),"")</f>
        <v/>
      </c>
      <c r="F196" s="99" t="str">
        <f>IFERROR(IF(VLOOKUP($A196,'Annex 2 EHV charges'!$A:$O,9,FALSE)=0,"",VLOOKUP($A196,'Annex 2 EHV charges'!$A:$O,9,FALSE)),"")</f>
        <v/>
      </c>
      <c r="G196" s="100" t="str">
        <f>IFERROR(IF(VLOOKUP($A196,'Annex 2 EHV charges'!$A:$O,10,FALSE)=0,"",VLOOKUP($A196,'Annex 2 EHV charges'!$A:$O,10,FALSE)),"")</f>
        <v/>
      </c>
      <c r="H196" s="100" t="str">
        <f>IFERROR(IF(VLOOKUP($A196,'Annex 2 EHV charges'!$A:$O,11,FALSE)=0,"",VLOOKUP($A196,'Annex 2 EHV charges'!$A:$O,11,FALSE)),"")</f>
        <v/>
      </c>
    </row>
    <row r="197" spans="1:8" x14ac:dyDescent="0.2">
      <c r="A197" s="93" t="str">
        <f t="array" ref="A197">IFERROR(INDEX('Annex 2 EHV charges'!$A$11:$A$58, MATCH(0, IF(ISBLANK('Annex 2 EHV charges'!$A$11:$A$58),1, COUNTIF(A$4:$A196, 'Annex 2 EHV charges'!$A$11:$A$58)), 0)),"")</f>
        <v/>
      </c>
      <c r="B197" s="93" t="str">
        <f>IF($A197="","",VLOOKUP($A197,'Annex 2 EHV charges'!$A:$O,2,0))</f>
        <v/>
      </c>
      <c r="C197" s="94" t="str">
        <f>IF($A197="","",VLOOKUP($A197,'Annex 2 EHV charges'!$A:$O,3,0))</f>
        <v/>
      </c>
      <c r="D197" s="93" t="str">
        <f>IF($A197="","",VLOOKUP($A197,'Annex 2 EHV charges'!$A:$O,7,0))</f>
        <v/>
      </c>
      <c r="E197" s="98" t="str">
        <f>IFERROR(IF(VLOOKUP($A197,'Annex 2 EHV charges'!$A:$O,8,FALSE)=0,"",VLOOKUP($A197,'Annex 2 EHV charges'!$A:$O,8,FALSE)),"")</f>
        <v/>
      </c>
      <c r="F197" s="99" t="str">
        <f>IFERROR(IF(VLOOKUP($A197,'Annex 2 EHV charges'!$A:$O,9,FALSE)=0,"",VLOOKUP($A197,'Annex 2 EHV charges'!$A:$O,9,FALSE)),"")</f>
        <v/>
      </c>
      <c r="G197" s="100" t="str">
        <f>IFERROR(IF(VLOOKUP($A197,'Annex 2 EHV charges'!$A:$O,10,FALSE)=0,"",VLOOKUP($A197,'Annex 2 EHV charges'!$A:$O,10,FALSE)),"")</f>
        <v/>
      </c>
      <c r="H197" s="100" t="str">
        <f>IFERROR(IF(VLOOKUP($A197,'Annex 2 EHV charges'!$A:$O,11,FALSE)=0,"",VLOOKUP($A197,'Annex 2 EHV charges'!$A:$O,11,FALSE)),"")</f>
        <v/>
      </c>
    </row>
    <row r="198" spans="1:8" x14ac:dyDescent="0.2">
      <c r="A198" s="93" t="str">
        <f t="array" ref="A198">IFERROR(INDEX('Annex 2 EHV charges'!$A$11:$A$58, MATCH(0, IF(ISBLANK('Annex 2 EHV charges'!$A$11:$A$58),1, COUNTIF(A$4:$A197, 'Annex 2 EHV charges'!$A$11:$A$58)), 0)),"")</f>
        <v/>
      </c>
      <c r="B198" s="93" t="str">
        <f>IF($A198="","",VLOOKUP($A198,'Annex 2 EHV charges'!$A:$O,2,0))</f>
        <v/>
      </c>
      <c r="C198" s="94" t="str">
        <f>IF($A198="","",VLOOKUP($A198,'Annex 2 EHV charges'!$A:$O,3,0))</f>
        <v/>
      </c>
      <c r="D198" s="93" t="str">
        <f>IF($A198="","",VLOOKUP($A198,'Annex 2 EHV charges'!$A:$O,7,0))</f>
        <v/>
      </c>
      <c r="E198" s="98" t="str">
        <f>IFERROR(IF(VLOOKUP($A198,'Annex 2 EHV charges'!$A:$O,8,FALSE)=0,"",VLOOKUP($A198,'Annex 2 EHV charges'!$A:$O,8,FALSE)),"")</f>
        <v/>
      </c>
      <c r="F198" s="99" t="str">
        <f>IFERROR(IF(VLOOKUP($A198,'Annex 2 EHV charges'!$A:$O,9,FALSE)=0,"",VLOOKUP($A198,'Annex 2 EHV charges'!$A:$O,9,FALSE)),"")</f>
        <v/>
      </c>
      <c r="G198" s="100" t="str">
        <f>IFERROR(IF(VLOOKUP($A198,'Annex 2 EHV charges'!$A:$O,10,FALSE)=0,"",VLOOKUP($A198,'Annex 2 EHV charges'!$A:$O,10,FALSE)),"")</f>
        <v/>
      </c>
      <c r="H198" s="100" t="str">
        <f>IFERROR(IF(VLOOKUP($A198,'Annex 2 EHV charges'!$A:$O,11,FALSE)=0,"",VLOOKUP($A198,'Annex 2 EHV charges'!$A:$O,11,FALSE)),"")</f>
        <v/>
      </c>
    </row>
    <row r="199" spans="1:8" x14ac:dyDescent="0.2">
      <c r="A199" s="93" t="str">
        <f t="array" ref="A199">IFERROR(INDEX('Annex 2 EHV charges'!$A$11:$A$58, MATCH(0, IF(ISBLANK('Annex 2 EHV charges'!$A$11:$A$58),1, COUNTIF(A$4:$A198, 'Annex 2 EHV charges'!$A$11:$A$58)), 0)),"")</f>
        <v/>
      </c>
      <c r="B199" s="93" t="str">
        <f>IF($A199="","",VLOOKUP($A199,'Annex 2 EHV charges'!$A:$O,2,0))</f>
        <v/>
      </c>
      <c r="C199" s="94" t="str">
        <f>IF($A199="","",VLOOKUP($A199,'Annex 2 EHV charges'!$A:$O,3,0))</f>
        <v/>
      </c>
      <c r="D199" s="93" t="str">
        <f>IF($A199="","",VLOOKUP($A199,'Annex 2 EHV charges'!$A:$O,7,0))</f>
        <v/>
      </c>
      <c r="E199" s="98" t="str">
        <f>IFERROR(IF(VLOOKUP($A199,'Annex 2 EHV charges'!$A:$O,8,FALSE)=0,"",VLOOKUP($A199,'Annex 2 EHV charges'!$A:$O,8,FALSE)),"")</f>
        <v/>
      </c>
      <c r="F199" s="99" t="str">
        <f>IFERROR(IF(VLOOKUP($A199,'Annex 2 EHV charges'!$A:$O,9,FALSE)=0,"",VLOOKUP($A199,'Annex 2 EHV charges'!$A:$O,9,FALSE)),"")</f>
        <v/>
      </c>
      <c r="G199" s="100" t="str">
        <f>IFERROR(IF(VLOOKUP($A199,'Annex 2 EHV charges'!$A:$O,10,FALSE)=0,"",VLOOKUP($A199,'Annex 2 EHV charges'!$A:$O,10,FALSE)),"")</f>
        <v/>
      </c>
      <c r="H199" s="100" t="str">
        <f>IFERROR(IF(VLOOKUP($A199,'Annex 2 EHV charges'!$A:$O,11,FALSE)=0,"",VLOOKUP($A199,'Annex 2 EHV charges'!$A:$O,11,FALSE)),"")</f>
        <v/>
      </c>
    </row>
    <row r="200" spans="1:8" x14ac:dyDescent="0.2">
      <c r="A200" s="93" t="str">
        <f t="array" ref="A200">IFERROR(INDEX('Annex 2 EHV charges'!$A$11:$A$58, MATCH(0, IF(ISBLANK('Annex 2 EHV charges'!$A$11:$A$58),1, COUNTIF(A$4:$A199, 'Annex 2 EHV charges'!$A$11:$A$58)), 0)),"")</f>
        <v/>
      </c>
      <c r="B200" s="93" t="str">
        <f>IF($A200="","",VLOOKUP($A200,'Annex 2 EHV charges'!$A:$O,2,0))</f>
        <v/>
      </c>
      <c r="C200" s="94" t="str">
        <f>IF($A200="","",VLOOKUP($A200,'Annex 2 EHV charges'!$A:$O,3,0))</f>
        <v/>
      </c>
      <c r="D200" s="93" t="str">
        <f>IF($A200="","",VLOOKUP($A200,'Annex 2 EHV charges'!$A:$O,7,0))</f>
        <v/>
      </c>
      <c r="E200" s="98" t="str">
        <f>IFERROR(IF(VLOOKUP($A200,'Annex 2 EHV charges'!$A:$O,8,FALSE)=0,"",VLOOKUP($A200,'Annex 2 EHV charges'!$A:$O,8,FALSE)),"")</f>
        <v/>
      </c>
      <c r="F200" s="99" t="str">
        <f>IFERROR(IF(VLOOKUP($A200,'Annex 2 EHV charges'!$A:$O,9,FALSE)=0,"",VLOOKUP($A200,'Annex 2 EHV charges'!$A:$O,9,FALSE)),"")</f>
        <v/>
      </c>
      <c r="G200" s="100" t="str">
        <f>IFERROR(IF(VLOOKUP($A200,'Annex 2 EHV charges'!$A:$O,10,FALSE)=0,"",VLOOKUP($A200,'Annex 2 EHV charges'!$A:$O,10,FALSE)),"")</f>
        <v/>
      </c>
      <c r="H200" s="100" t="str">
        <f>IFERROR(IF(VLOOKUP($A200,'Annex 2 EHV charges'!$A:$O,11,FALSE)=0,"",VLOOKUP($A200,'Annex 2 EHV charges'!$A:$O,11,FALSE)),"")</f>
        <v/>
      </c>
    </row>
    <row r="201" spans="1:8" x14ac:dyDescent="0.2">
      <c r="A201" s="93" t="str">
        <f t="array" ref="A201">IFERROR(INDEX('Annex 2 EHV charges'!$A$11:$A$58, MATCH(0, IF(ISBLANK('Annex 2 EHV charges'!$A$11:$A$58),1, COUNTIF(A$4:$A200, 'Annex 2 EHV charges'!$A$11:$A$58)), 0)),"")</f>
        <v/>
      </c>
      <c r="B201" s="93" t="str">
        <f>IF($A201="","",VLOOKUP($A201,'Annex 2 EHV charges'!$A:$O,2,0))</f>
        <v/>
      </c>
      <c r="C201" s="94" t="str">
        <f>IF($A201="","",VLOOKUP($A201,'Annex 2 EHV charges'!$A:$O,3,0))</f>
        <v/>
      </c>
      <c r="D201" s="93" t="str">
        <f>IF($A201="","",VLOOKUP($A201,'Annex 2 EHV charges'!$A:$O,7,0))</f>
        <v/>
      </c>
      <c r="E201" s="98" t="str">
        <f>IFERROR(IF(VLOOKUP($A201,'Annex 2 EHV charges'!$A:$O,8,FALSE)=0,"",VLOOKUP($A201,'Annex 2 EHV charges'!$A:$O,8,FALSE)),"")</f>
        <v/>
      </c>
      <c r="F201" s="99" t="str">
        <f>IFERROR(IF(VLOOKUP($A201,'Annex 2 EHV charges'!$A:$O,9,FALSE)=0,"",VLOOKUP($A201,'Annex 2 EHV charges'!$A:$O,9,FALSE)),"")</f>
        <v/>
      </c>
      <c r="G201" s="100" t="str">
        <f>IFERROR(IF(VLOOKUP($A201,'Annex 2 EHV charges'!$A:$O,10,FALSE)=0,"",VLOOKUP($A201,'Annex 2 EHV charges'!$A:$O,10,FALSE)),"")</f>
        <v/>
      </c>
      <c r="H201" s="100" t="str">
        <f>IFERROR(IF(VLOOKUP($A201,'Annex 2 EHV charges'!$A:$O,11,FALSE)=0,"",VLOOKUP($A201,'Annex 2 EHV charges'!$A:$O,11,FALSE)),"")</f>
        <v/>
      </c>
    </row>
    <row r="202" spans="1:8" x14ac:dyDescent="0.2">
      <c r="A202" s="93" t="str">
        <f t="array" ref="A202">IFERROR(INDEX('Annex 2 EHV charges'!$A$11:$A$58, MATCH(0, IF(ISBLANK('Annex 2 EHV charges'!$A$11:$A$58),1, COUNTIF(A$4:$A201, 'Annex 2 EHV charges'!$A$11:$A$58)), 0)),"")</f>
        <v/>
      </c>
      <c r="B202" s="93" t="str">
        <f>IF($A202="","",VLOOKUP($A202,'Annex 2 EHV charges'!$A:$O,2,0))</f>
        <v/>
      </c>
      <c r="C202" s="94" t="str">
        <f>IF($A202="","",VLOOKUP($A202,'Annex 2 EHV charges'!$A:$O,3,0))</f>
        <v/>
      </c>
      <c r="D202" s="93" t="str">
        <f>IF($A202="","",VLOOKUP($A202,'Annex 2 EHV charges'!$A:$O,7,0))</f>
        <v/>
      </c>
      <c r="E202" s="98" t="str">
        <f>IFERROR(IF(VLOOKUP($A202,'Annex 2 EHV charges'!$A:$O,8,FALSE)=0,"",VLOOKUP($A202,'Annex 2 EHV charges'!$A:$O,8,FALSE)),"")</f>
        <v/>
      </c>
      <c r="F202" s="99" t="str">
        <f>IFERROR(IF(VLOOKUP($A202,'Annex 2 EHV charges'!$A:$O,9,FALSE)=0,"",VLOOKUP($A202,'Annex 2 EHV charges'!$A:$O,9,FALSE)),"")</f>
        <v/>
      </c>
      <c r="G202" s="100" t="str">
        <f>IFERROR(IF(VLOOKUP($A202,'Annex 2 EHV charges'!$A:$O,10,FALSE)=0,"",VLOOKUP($A202,'Annex 2 EHV charges'!$A:$O,10,FALSE)),"")</f>
        <v/>
      </c>
      <c r="H202" s="100" t="str">
        <f>IFERROR(IF(VLOOKUP($A202,'Annex 2 EHV charges'!$A:$O,11,FALSE)=0,"",VLOOKUP($A202,'Annex 2 EHV charges'!$A:$O,11,FALSE)),"")</f>
        <v/>
      </c>
    </row>
    <row r="203" spans="1:8" x14ac:dyDescent="0.2">
      <c r="A203" s="93" t="str">
        <f t="array" ref="A203">IFERROR(INDEX('Annex 2 EHV charges'!$A$11:$A$58, MATCH(0, IF(ISBLANK('Annex 2 EHV charges'!$A$11:$A$58),1, COUNTIF(A$4:$A202, 'Annex 2 EHV charges'!$A$11:$A$58)), 0)),"")</f>
        <v/>
      </c>
      <c r="B203" s="93" t="str">
        <f>IF($A203="","",VLOOKUP($A203,'Annex 2 EHV charges'!$A:$O,2,0))</f>
        <v/>
      </c>
      <c r="C203" s="94" t="str">
        <f>IF($A203="","",VLOOKUP($A203,'Annex 2 EHV charges'!$A:$O,3,0))</f>
        <v/>
      </c>
      <c r="D203" s="93" t="str">
        <f>IF($A203="","",VLOOKUP($A203,'Annex 2 EHV charges'!$A:$O,7,0))</f>
        <v/>
      </c>
      <c r="E203" s="98" t="str">
        <f>IFERROR(IF(VLOOKUP($A203,'Annex 2 EHV charges'!$A:$O,8,FALSE)=0,"",VLOOKUP($A203,'Annex 2 EHV charges'!$A:$O,8,FALSE)),"")</f>
        <v/>
      </c>
      <c r="F203" s="99" t="str">
        <f>IFERROR(IF(VLOOKUP($A203,'Annex 2 EHV charges'!$A:$O,9,FALSE)=0,"",VLOOKUP($A203,'Annex 2 EHV charges'!$A:$O,9,FALSE)),"")</f>
        <v/>
      </c>
      <c r="G203" s="100" t="str">
        <f>IFERROR(IF(VLOOKUP($A203,'Annex 2 EHV charges'!$A:$O,10,FALSE)=0,"",VLOOKUP($A203,'Annex 2 EHV charges'!$A:$O,10,FALSE)),"")</f>
        <v/>
      </c>
      <c r="H203" s="100" t="str">
        <f>IFERROR(IF(VLOOKUP($A203,'Annex 2 EHV charges'!$A:$O,11,FALSE)=0,"",VLOOKUP($A203,'Annex 2 EHV charges'!$A:$O,11,FALSE)),"")</f>
        <v/>
      </c>
    </row>
    <row r="204" spans="1:8" x14ac:dyDescent="0.2">
      <c r="A204" s="93" t="str">
        <f t="array" ref="A204">IFERROR(INDEX('Annex 2 EHV charges'!$A$11:$A$58, MATCH(0, IF(ISBLANK('Annex 2 EHV charges'!$A$11:$A$58),1, COUNTIF(A$4:$A203, 'Annex 2 EHV charges'!$A$11:$A$58)), 0)),"")</f>
        <v/>
      </c>
      <c r="B204" s="93" t="str">
        <f>IF($A204="","",VLOOKUP($A204,'Annex 2 EHV charges'!$A:$O,2,0))</f>
        <v/>
      </c>
      <c r="C204" s="94" t="str">
        <f>IF($A204="","",VLOOKUP($A204,'Annex 2 EHV charges'!$A:$O,3,0))</f>
        <v/>
      </c>
      <c r="D204" s="93" t="str">
        <f>IF($A204="","",VLOOKUP($A204,'Annex 2 EHV charges'!$A:$O,7,0))</f>
        <v/>
      </c>
      <c r="E204" s="98" t="str">
        <f>IFERROR(IF(VLOOKUP($A204,'Annex 2 EHV charges'!$A:$O,8,FALSE)=0,"",VLOOKUP($A204,'Annex 2 EHV charges'!$A:$O,8,FALSE)),"")</f>
        <v/>
      </c>
      <c r="F204" s="99" t="str">
        <f>IFERROR(IF(VLOOKUP($A204,'Annex 2 EHV charges'!$A:$O,9,FALSE)=0,"",VLOOKUP($A204,'Annex 2 EHV charges'!$A:$O,9,FALSE)),"")</f>
        <v/>
      </c>
      <c r="G204" s="100" t="str">
        <f>IFERROR(IF(VLOOKUP($A204,'Annex 2 EHV charges'!$A:$O,10,FALSE)=0,"",VLOOKUP($A204,'Annex 2 EHV charges'!$A:$O,10,FALSE)),"")</f>
        <v/>
      </c>
      <c r="H204" s="100" t="str">
        <f>IFERROR(IF(VLOOKUP($A204,'Annex 2 EHV charges'!$A:$O,11,FALSE)=0,"",VLOOKUP($A204,'Annex 2 EHV charges'!$A:$O,11,FALSE)),"")</f>
        <v/>
      </c>
    </row>
    <row r="205" spans="1:8" x14ac:dyDescent="0.2">
      <c r="A205" s="93" t="str">
        <f t="array" ref="A205">IFERROR(INDEX('Annex 2 EHV charges'!$A$11:$A$58, MATCH(0, IF(ISBLANK('Annex 2 EHV charges'!$A$11:$A$58),1, COUNTIF(A$4:$A204, 'Annex 2 EHV charges'!$A$11:$A$58)), 0)),"")</f>
        <v/>
      </c>
      <c r="B205" s="93" t="str">
        <f>IF($A205="","",VLOOKUP($A205,'Annex 2 EHV charges'!$A:$O,2,0))</f>
        <v/>
      </c>
      <c r="C205" s="94" t="str">
        <f>IF($A205="","",VLOOKUP($A205,'Annex 2 EHV charges'!$A:$O,3,0))</f>
        <v/>
      </c>
      <c r="D205" s="93" t="str">
        <f>IF($A205="","",VLOOKUP($A205,'Annex 2 EHV charges'!$A:$O,7,0))</f>
        <v/>
      </c>
      <c r="E205" s="98" t="str">
        <f>IFERROR(IF(VLOOKUP($A205,'Annex 2 EHV charges'!$A:$O,8,FALSE)=0,"",VLOOKUP($A205,'Annex 2 EHV charges'!$A:$O,8,FALSE)),"")</f>
        <v/>
      </c>
      <c r="F205" s="99" t="str">
        <f>IFERROR(IF(VLOOKUP($A205,'Annex 2 EHV charges'!$A:$O,9,FALSE)=0,"",VLOOKUP($A205,'Annex 2 EHV charges'!$A:$O,9,FALSE)),"")</f>
        <v/>
      </c>
      <c r="G205" s="100" t="str">
        <f>IFERROR(IF(VLOOKUP($A205,'Annex 2 EHV charges'!$A:$O,10,FALSE)=0,"",VLOOKUP($A205,'Annex 2 EHV charges'!$A:$O,10,FALSE)),"")</f>
        <v/>
      </c>
      <c r="H205" s="100" t="str">
        <f>IFERROR(IF(VLOOKUP($A205,'Annex 2 EHV charges'!$A:$O,11,FALSE)=0,"",VLOOKUP($A205,'Annex 2 EHV charges'!$A:$O,11,FALSE)),"")</f>
        <v/>
      </c>
    </row>
    <row r="206" spans="1:8" x14ac:dyDescent="0.2">
      <c r="A206" s="93" t="str">
        <f t="array" ref="A206">IFERROR(INDEX('Annex 2 EHV charges'!$A$11:$A$58, MATCH(0, IF(ISBLANK('Annex 2 EHV charges'!$A$11:$A$58),1, COUNTIF(A$4:$A205, 'Annex 2 EHV charges'!$A$11:$A$58)), 0)),"")</f>
        <v/>
      </c>
      <c r="B206" s="93" t="str">
        <f>IF($A206="","",VLOOKUP($A206,'Annex 2 EHV charges'!$A:$O,2,0))</f>
        <v/>
      </c>
      <c r="C206" s="94" t="str">
        <f>IF($A206="","",VLOOKUP($A206,'Annex 2 EHV charges'!$A:$O,3,0))</f>
        <v/>
      </c>
      <c r="D206" s="93" t="str">
        <f>IF($A206="","",VLOOKUP($A206,'Annex 2 EHV charges'!$A:$O,7,0))</f>
        <v/>
      </c>
      <c r="E206" s="98" t="str">
        <f>IFERROR(IF(VLOOKUP($A206,'Annex 2 EHV charges'!$A:$O,8,FALSE)=0,"",VLOOKUP($A206,'Annex 2 EHV charges'!$A:$O,8,FALSE)),"")</f>
        <v/>
      </c>
      <c r="F206" s="99" t="str">
        <f>IFERROR(IF(VLOOKUP($A206,'Annex 2 EHV charges'!$A:$O,9,FALSE)=0,"",VLOOKUP($A206,'Annex 2 EHV charges'!$A:$O,9,FALSE)),"")</f>
        <v/>
      </c>
      <c r="G206" s="100" t="str">
        <f>IFERROR(IF(VLOOKUP($A206,'Annex 2 EHV charges'!$A:$O,10,FALSE)=0,"",VLOOKUP($A206,'Annex 2 EHV charges'!$A:$O,10,FALSE)),"")</f>
        <v/>
      </c>
      <c r="H206" s="100" t="str">
        <f>IFERROR(IF(VLOOKUP($A206,'Annex 2 EHV charges'!$A:$O,11,FALSE)=0,"",VLOOKUP($A206,'Annex 2 EHV charges'!$A:$O,11,FALSE)),"")</f>
        <v/>
      </c>
    </row>
    <row r="207" spans="1:8" x14ac:dyDescent="0.2">
      <c r="A207" s="93" t="str">
        <f t="array" ref="A207">IFERROR(INDEX('Annex 2 EHV charges'!$A$11:$A$58, MATCH(0, IF(ISBLANK('Annex 2 EHV charges'!$A$11:$A$58),1, COUNTIF(A$4:$A206, 'Annex 2 EHV charges'!$A$11:$A$58)), 0)),"")</f>
        <v/>
      </c>
      <c r="B207" s="93" t="str">
        <f>IF($A207="","",VLOOKUP($A207,'Annex 2 EHV charges'!$A:$O,2,0))</f>
        <v/>
      </c>
      <c r="C207" s="94" t="str">
        <f>IF($A207="","",VLOOKUP($A207,'Annex 2 EHV charges'!$A:$O,3,0))</f>
        <v/>
      </c>
      <c r="D207" s="93" t="str">
        <f>IF($A207="","",VLOOKUP($A207,'Annex 2 EHV charges'!$A:$O,7,0))</f>
        <v/>
      </c>
      <c r="E207" s="98" t="str">
        <f>IFERROR(IF(VLOOKUP($A207,'Annex 2 EHV charges'!$A:$O,8,FALSE)=0,"",VLOOKUP($A207,'Annex 2 EHV charges'!$A:$O,8,FALSE)),"")</f>
        <v/>
      </c>
      <c r="F207" s="99" t="str">
        <f>IFERROR(IF(VLOOKUP($A207,'Annex 2 EHV charges'!$A:$O,9,FALSE)=0,"",VLOOKUP($A207,'Annex 2 EHV charges'!$A:$O,9,FALSE)),"")</f>
        <v/>
      </c>
      <c r="G207" s="100" t="str">
        <f>IFERROR(IF(VLOOKUP($A207,'Annex 2 EHV charges'!$A:$O,10,FALSE)=0,"",VLOOKUP($A207,'Annex 2 EHV charges'!$A:$O,10,FALSE)),"")</f>
        <v/>
      </c>
      <c r="H207" s="100" t="str">
        <f>IFERROR(IF(VLOOKUP($A207,'Annex 2 EHV charges'!$A:$O,11,FALSE)=0,"",VLOOKUP($A207,'Annex 2 EHV charges'!$A:$O,11,FALSE)),"")</f>
        <v/>
      </c>
    </row>
    <row r="208" spans="1:8" x14ac:dyDescent="0.2">
      <c r="A208" s="93" t="str">
        <f t="array" ref="A208">IFERROR(INDEX('Annex 2 EHV charges'!$A$11:$A$58, MATCH(0, IF(ISBLANK('Annex 2 EHV charges'!$A$11:$A$58),1, COUNTIF(A$4:$A207, 'Annex 2 EHV charges'!$A$11:$A$58)), 0)),"")</f>
        <v/>
      </c>
      <c r="B208" s="93" t="str">
        <f>IF($A208="","",VLOOKUP($A208,'Annex 2 EHV charges'!$A:$O,2,0))</f>
        <v/>
      </c>
      <c r="C208" s="94" t="str">
        <f>IF($A208="","",VLOOKUP($A208,'Annex 2 EHV charges'!$A:$O,3,0))</f>
        <v/>
      </c>
      <c r="D208" s="93" t="str">
        <f>IF($A208="","",VLOOKUP($A208,'Annex 2 EHV charges'!$A:$O,7,0))</f>
        <v/>
      </c>
      <c r="E208" s="98" t="str">
        <f>IFERROR(IF(VLOOKUP($A208,'Annex 2 EHV charges'!$A:$O,8,FALSE)=0,"",VLOOKUP($A208,'Annex 2 EHV charges'!$A:$O,8,FALSE)),"")</f>
        <v/>
      </c>
      <c r="F208" s="99" t="str">
        <f>IFERROR(IF(VLOOKUP($A208,'Annex 2 EHV charges'!$A:$O,9,FALSE)=0,"",VLOOKUP($A208,'Annex 2 EHV charges'!$A:$O,9,FALSE)),"")</f>
        <v/>
      </c>
      <c r="G208" s="100" t="str">
        <f>IFERROR(IF(VLOOKUP($A208,'Annex 2 EHV charges'!$A:$O,10,FALSE)=0,"",VLOOKUP($A208,'Annex 2 EHV charges'!$A:$O,10,FALSE)),"")</f>
        <v/>
      </c>
      <c r="H208" s="100" t="str">
        <f>IFERROR(IF(VLOOKUP($A208,'Annex 2 EHV charges'!$A:$O,11,FALSE)=0,"",VLOOKUP($A208,'Annex 2 EHV charges'!$A:$O,11,FALSE)),"")</f>
        <v/>
      </c>
    </row>
    <row r="209" spans="1:8" x14ac:dyDescent="0.2">
      <c r="A209" s="93" t="str">
        <f t="array" ref="A209">IFERROR(INDEX('Annex 2 EHV charges'!$A$11:$A$58, MATCH(0, IF(ISBLANK('Annex 2 EHV charges'!$A$11:$A$58),1, COUNTIF(A$4:$A208, 'Annex 2 EHV charges'!$A$11:$A$58)), 0)),"")</f>
        <v/>
      </c>
      <c r="B209" s="93" t="str">
        <f>IF($A209="","",VLOOKUP($A209,'Annex 2 EHV charges'!$A:$O,2,0))</f>
        <v/>
      </c>
      <c r="C209" s="94" t="str">
        <f>IF($A209="","",VLOOKUP($A209,'Annex 2 EHV charges'!$A:$O,3,0))</f>
        <v/>
      </c>
      <c r="D209" s="93" t="str">
        <f>IF($A209="","",VLOOKUP($A209,'Annex 2 EHV charges'!$A:$O,7,0))</f>
        <v/>
      </c>
      <c r="E209" s="98" t="str">
        <f>IFERROR(IF(VLOOKUP($A209,'Annex 2 EHV charges'!$A:$O,8,FALSE)=0,"",VLOOKUP($A209,'Annex 2 EHV charges'!$A:$O,8,FALSE)),"")</f>
        <v/>
      </c>
      <c r="F209" s="99" t="str">
        <f>IFERROR(IF(VLOOKUP($A209,'Annex 2 EHV charges'!$A:$O,9,FALSE)=0,"",VLOOKUP($A209,'Annex 2 EHV charges'!$A:$O,9,FALSE)),"")</f>
        <v/>
      </c>
      <c r="G209" s="100" t="str">
        <f>IFERROR(IF(VLOOKUP($A209,'Annex 2 EHV charges'!$A:$O,10,FALSE)=0,"",VLOOKUP($A209,'Annex 2 EHV charges'!$A:$O,10,FALSE)),"")</f>
        <v/>
      </c>
      <c r="H209" s="100" t="str">
        <f>IFERROR(IF(VLOOKUP($A209,'Annex 2 EHV charges'!$A:$O,11,FALSE)=0,"",VLOOKUP($A209,'Annex 2 EHV charges'!$A:$O,11,FALSE)),"")</f>
        <v/>
      </c>
    </row>
    <row r="210" spans="1:8" x14ac:dyDescent="0.2">
      <c r="A210" s="93" t="str">
        <f t="array" ref="A210">IFERROR(INDEX('Annex 2 EHV charges'!$A$11:$A$58, MATCH(0, IF(ISBLANK('Annex 2 EHV charges'!$A$11:$A$58),1, COUNTIF(A$4:$A209, 'Annex 2 EHV charges'!$A$11:$A$58)), 0)),"")</f>
        <v/>
      </c>
      <c r="B210" s="93" t="str">
        <f>IF($A210="","",VLOOKUP($A210,'Annex 2 EHV charges'!$A:$O,2,0))</f>
        <v/>
      </c>
      <c r="C210" s="94" t="str">
        <f>IF($A210="","",VLOOKUP($A210,'Annex 2 EHV charges'!$A:$O,3,0))</f>
        <v/>
      </c>
      <c r="D210" s="93" t="str">
        <f>IF($A210="","",VLOOKUP($A210,'Annex 2 EHV charges'!$A:$O,7,0))</f>
        <v/>
      </c>
      <c r="E210" s="98" t="str">
        <f>IFERROR(IF(VLOOKUP($A210,'Annex 2 EHV charges'!$A:$O,8,FALSE)=0,"",VLOOKUP($A210,'Annex 2 EHV charges'!$A:$O,8,FALSE)),"")</f>
        <v/>
      </c>
      <c r="F210" s="99" t="str">
        <f>IFERROR(IF(VLOOKUP($A210,'Annex 2 EHV charges'!$A:$O,9,FALSE)=0,"",VLOOKUP($A210,'Annex 2 EHV charges'!$A:$O,9,FALSE)),"")</f>
        <v/>
      </c>
      <c r="G210" s="100" t="str">
        <f>IFERROR(IF(VLOOKUP($A210,'Annex 2 EHV charges'!$A:$O,10,FALSE)=0,"",VLOOKUP($A210,'Annex 2 EHV charges'!$A:$O,10,FALSE)),"")</f>
        <v/>
      </c>
      <c r="H210" s="100" t="str">
        <f>IFERROR(IF(VLOOKUP($A210,'Annex 2 EHV charges'!$A:$O,11,FALSE)=0,"",VLOOKUP($A210,'Annex 2 EHV charges'!$A:$O,11,FALSE)),"")</f>
        <v/>
      </c>
    </row>
    <row r="211" spans="1:8" x14ac:dyDescent="0.2">
      <c r="A211" s="93" t="str">
        <f t="array" ref="A211">IFERROR(INDEX('Annex 2 EHV charges'!$A$11:$A$58, MATCH(0, IF(ISBLANK('Annex 2 EHV charges'!$A$11:$A$58),1, COUNTIF(A$4:$A210, 'Annex 2 EHV charges'!$A$11:$A$58)), 0)),"")</f>
        <v/>
      </c>
      <c r="B211" s="93" t="str">
        <f>IF($A211="","",VLOOKUP($A211,'Annex 2 EHV charges'!$A:$O,2,0))</f>
        <v/>
      </c>
      <c r="C211" s="94" t="str">
        <f>IF($A211="","",VLOOKUP($A211,'Annex 2 EHV charges'!$A:$O,3,0))</f>
        <v/>
      </c>
      <c r="D211" s="93" t="str">
        <f>IF($A211="","",VLOOKUP($A211,'Annex 2 EHV charges'!$A:$O,7,0))</f>
        <v/>
      </c>
      <c r="E211" s="98" t="str">
        <f>IFERROR(IF(VLOOKUP($A211,'Annex 2 EHV charges'!$A:$O,8,FALSE)=0,"",VLOOKUP($A211,'Annex 2 EHV charges'!$A:$O,8,FALSE)),"")</f>
        <v/>
      </c>
      <c r="F211" s="99" t="str">
        <f>IFERROR(IF(VLOOKUP($A211,'Annex 2 EHV charges'!$A:$O,9,FALSE)=0,"",VLOOKUP($A211,'Annex 2 EHV charges'!$A:$O,9,FALSE)),"")</f>
        <v/>
      </c>
      <c r="G211" s="100" t="str">
        <f>IFERROR(IF(VLOOKUP($A211,'Annex 2 EHV charges'!$A:$O,10,FALSE)=0,"",VLOOKUP($A211,'Annex 2 EHV charges'!$A:$O,10,FALSE)),"")</f>
        <v/>
      </c>
      <c r="H211" s="100" t="str">
        <f>IFERROR(IF(VLOOKUP($A211,'Annex 2 EHV charges'!$A:$O,11,FALSE)=0,"",VLOOKUP($A211,'Annex 2 EHV charges'!$A:$O,11,FALSE)),"")</f>
        <v/>
      </c>
    </row>
    <row r="212" spans="1:8" x14ac:dyDescent="0.2">
      <c r="A212" s="93" t="str">
        <f t="array" ref="A212">IFERROR(INDEX('Annex 2 EHV charges'!$A$11:$A$58, MATCH(0, IF(ISBLANK('Annex 2 EHV charges'!$A$11:$A$58),1, COUNTIF(A$4:$A211, 'Annex 2 EHV charges'!$A$11:$A$58)), 0)),"")</f>
        <v/>
      </c>
      <c r="B212" s="93" t="str">
        <f>IF($A212="","",VLOOKUP($A212,'Annex 2 EHV charges'!$A:$O,2,0))</f>
        <v/>
      </c>
      <c r="C212" s="94" t="str">
        <f>IF($A212="","",VLOOKUP($A212,'Annex 2 EHV charges'!$A:$O,3,0))</f>
        <v/>
      </c>
      <c r="D212" s="93" t="str">
        <f>IF($A212="","",VLOOKUP($A212,'Annex 2 EHV charges'!$A:$O,7,0))</f>
        <v/>
      </c>
      <c r="E212" s="98" t="str">
        <f>IFERROR(IF(VLOOKUP($A212,'Annex 2 EHV charges'!$A:$O,8,FALSE)=0,"",VLOOKUP($A212,'Annex 2 EHV charges'!$A:$O,8,FALSE)),"")</f>
        <v/>
      </c>
      <c r="F212" s="99" t="str">
        <f>IFERROR(IF(VLOOKUP($A212,'Annex 2 EHV charges'!$A:$O,9,FALSE)=0,"",VLOOKUP($A212,'Annex 2 EHV charges'!$A:$O,9,FALSE)),"")</f>
        <v/>
      </c>
      <c r="G212" s="100" t="str">
        <f>IFERROR(IF(VLOOKUP($A212,'Annex 2 EHV charges'!$A:$O,10,FALSE)=0,"",VLOOKUP($A212,'Annex 2 EHV charges'!$A:$O,10,FALSE)),"")</f>
        <v/>
      </c>
      <c r="H212" s="100" t="str">
        <f>IFERROR(IF(VLOOKUP($A212,'Annex 2 EHV charges'!$A:$O,11,FALSE)=0,"",VLOOKUP($A212,'Annex 2 EHV charges'!$A:$O,11,FALSE)),"")</f>
        <v/>
      </c>
    </row>
    <row r="213" spans="1:8" x14ac:dyDescent="0.2">
      <c r="A213" s="93" t="str">
        <f t="array" ref="A213">IFERROR(INDEX('Annex 2 EHV charges'!$A$11:$A$58, MATCH(0, IF(ISBLANK('Annex 2 EHV charges'!$A$11:$A$58),1, COUNTIF(A$4:$A212, 'Annex 2 EHV charges'!$A$11:$A$58)), 0)),"")</f>
        <v/>
      </c>
      <c r="B213" s="93" t="str">
        <f>IF($A213="","",VLOOKUP($A213,'Annex 2 EHV charges'!$A:$O,2,0))</f>
        <v/>
      </c>
      <c r="C213" s="94" t="str">
        <f>IF($A213="","",VLOOKUP($A213,'Annex 2 EHV charges'!$A:$O,3,0))</f>
        <v/>
      </c>
      <c r="D213" s="93" t="str">
        <f>IF($A213="","",VLOOKUP($A213,'Annex 2 EHV charges'!$A:$O,7,0))</f>
        <v/>
      </c>
      <c r="E213" s="98" t="str">
        <f>IFERROR(IF(VLOOKUP($A213,'Annex 2 EHV charges'!$A:$O,8,FALSE)=0,"",VLOOKUP($A213,'Annex 2 EHV charges'!$A:$O,8,FALSE)),"")</f>
        <v/>
      </c>
      <c r="F213" s="99" t="str">
        <f>IFERROR(IF(VLOOKUP($A213,'Annex 2 EHV charges'!$A:$O,9,FALSE)=0,"",VLOOKUP($A213,'Annex 2 EHV charges'!$A:$O,9,FALSE)),"")</f>
        <v/>
      </c>
      <c r="G213" s="100" t="str">
        <f>IFERROR(IF(VLOOKUP($A213,'Annex 2 EHV charges'!$A:$O,10,FALSE)=0,"",VLOOKUP($A213,'Annex 2 EHV charges'!$A:$O,10,FALSE)),"")</f>
        <v/>
      </c>
      <c r="H213" s="100" t="str">
        <f>IFERROR(IF(VLOOKUP($A213,'Annex 2 EHV charges'!$A:$O,11,FALSE)=0,"",VLOOKUP($A213,'Annex 2 EHV charges'!$A:$O,11,FALSE)),"")</f>
        <v/>
      </c>
    </row>
    <row r="214" spans="1:8" x14ac:dyDescent="0.2">
      <c r="A214" s="93" t="str">
        <f t="array" ref="A214">IFERROR(INDEX('Annex 2 EHV charges'!$A$11:$A$58, MATCH(0, IF(ISBLANK('Annex 2 EHV charges'!$A$11:$A$58),1, COUNTIF(A$4:$A213, 'Annex 2 EHV charges'!$A$11:$A$58)), 0)),"")</f>
        <v/>
      </c>
      <c r="B214" s="93" t="str">
        <f>IF($A214="","",VLOOKUP($A214,'Annex 2 EHV charges'!$A:$O,2,0))</f>
        <v/>
      </c>
      <c r="C214" s="94" t="str">
        <f>IF($A214="","",VLOOKUP($A214,'Annex 2 EHV charges'!$A:$O,3,0))</f>
        <v/>
      </c>
      <c r="D214" s="93" t="str">
        <f>IF($A214="","",VLOOKUP($A214,'Annex 2 EHV charges'!$A:$O,7,0))</f>
        <v/>
      </c>
      <c r="E214" s="98" t="str">
        <f>IFERROR(IF(VLOOKUP($A214,'Annex 2 EHV charges'!$A:$O,8,FALSE)=0,"",VLOOKUP($A214,'Annex 2 EHV charges'!$A:$O,8,FALSE)),"")</f>
        <v/>
      </c>
      <c r="F214" s="99" t="str">
        <f>IFERROR(IF(VLOOKUP($A214,'Annex 2 EHV charges'!$A:$O,9,FALSE)=0,"",VLOOKUP($A214,'Annex 2 EHV charges'!$A:$O,9,FALSE)),"")</f>
        <v/>
      </c>
      <c r="G214" s="100" t="str">
        <f>IFERROR(IF(VLOOKUP($A214,'Annex 2 EHV charges'!$A:$O,10,FALSE)=0,"",VLOOKUP($A214,'Annex 2 EHV charges'!$A:$O,10,FALSE)),"")</f>
        <v/>
      </c>
      <c r="H214" s="100" t="str">
        <f>IFERROR(IF(VLOOKUP($A214,'Annex 2 EHV charges'!$A:$O,11,FALSE)=0,"",VLOOKUP($A214,'Annex 2 EHV charges'!$A:$O,11,FALSE)),"")</f>
        <v/>
      </c>
    </row>
    <row r="215" spans="1:8" x14ac:dyDescent="0.2">
      <c r="A215" s="93" t="str">
        <f t="array" ref="A215">IFERROR(INDEX('Annex 2 EHV charges'!$A$11:$A$58, MATCH(0, IF(ISBLANK('Annex 2 EHV charges'!$A$11:$A$58),1, COUNTIF(A$4:$A214, 'Annex 2 EHV charges'!$A$11:$A$58)), 0)),"")</f>
        <v/>
      </c>
      <c r="B215" s="93" t="str">
        <f>IF($A215="","",VLOOKUP($A215,'Annex 2 EHV charges'!$A:$O,2,0))</f>
        <v/>
      </c>
      <c r="C215" s="94" t="str">
        <f>IF($A215="","",VLOOKUP($A215,'Annex 2 EHV charges'!$A:$O,3,0))</f>
        <v/>
      </c>
      <c r="D215" s="93" t="str">
        <f>IF($A215="","",VLOOKUP($A215,'Annex 2 EHV charges'!$A:$O,7,0))</f>
        <v/>
      </c>
      <c r="E215" s="98" t="str">
        <f>IFERROR(IF(VLOOKUP($A215,'Annex 2 EHV charges'!$A:$O,8,FALSE)=0,"",VLOOKUP($A215,'Annex 2 EHV charges'!$A:$O,8,FALSE)),"")</f>
        <v/>
      </c>
      <c r="F215" s="99" t="str">
        <f>IFERROR(IF(VLOOKUP($A215,'Annex 2 EHV charges'!$A:$O,9,FALSE)=0,"",VLOOKUP($A215,'Annex 2 EHV charges'!$A:$O,9,FALSE)),"")</f>
        <v/>
      </c>
      <c r="G215" s="100" t="str">
        <f>IFERROR(IF(VLOOKUP($A215,'Annex 2 EHV charges'!$A:$O,10,FALSE)=0,"",VLOOKUP($A215,'Annex 2 EHV charges'!$A:$O,10,FALSE)),"")</f>
        <v/>
      </c>
      <c r="H215" s="100" t="str">
        <f>IFERROR(IF(VLOOKUP($A215,'Annex 2 EHV charges'!$A:$O,11,FALSE)=0,"",VLOOKUP($A215,'Annex 2 EHV charges'!$A:$O,11,FALSE)),"")</f>
        <v/>
      </c>
    </row>
    <row r="216" spans="1:8" x14ac:dyDescent="0.2">
      <c r="A216" s="93" t="str">
        <f t="array" ref="A216">IFERROR(INDEX('Annex 2 EHV charges'!$A$11:$A$58, MATCH(0, IF(ISBLANK('Annex 2 EHV charges'!$A$11:$A$58),1, COUNTIF(A$4:$A215, 'Annex 2 EHV charges'!$A$11:$A$58)), 0)),"")</f>
        <v/>
      </c>
      <c r="B216" s="93" t="str">
        <f>IF($A216="","",VLOOKUP($A216,'Annex 2 EHV charges'!$A:$O,2,0))</f>
        <v/>
      </c>
      <c r="C216" s="94" t="str">
        <f>IF($A216="","",VLOOKUP($A216,'Annex 2 EHV charges'!$A:$O,3,0))</f>
        <v/>
      </c>
      <c r="D216" s="93" t="str">
        <f>IF($A216="","",VLOOKUP($A216,'Annex 2 EHV charges'!$A:$O,7,0))</f>
        <v/>
      </c>
      <c r="E216" s="98" t="str">
        <f>IFERROR(IF(VLOOKUP($A216,'Annex 2 EHV charges'!$A:$O,8,FALSE)=0,"",VLOOKUP($A216,'Annex 2 EHV charges'!$A:$O,8,FALSE)),"")</f>
        <v/>
      </c>
      <c r="F216" s="99" t="str">
        <f>IFERROR(IF(VLOOKUP($A216,'Annex 2 EHV charges'!$A:$O,9,FALSE)=0,"",VLOOKUP($A216,'Annex 2 EHV charges'!$A:$O,9,FALSE)),"")</f>
        <v/>
      </c>
      <c r="G216" s="100" t="str">
        <f>IFERROR(IF(VLOOKUP($A216,'Annex 2 EHV charges'!$A:$O,10,FALSE)=0,"",VLOOKUP($A216,'Annex 2 EHV charges'!$A:$O,10,FALSE)),"")</f>
        <v/>
      </c>
      <c r="H216" s="100" t="str">
        <f>IFERROR(IF(VLOOKUP($A216,'Annex 2 EHV charges'!$A:$O,11,FALSE)=0,"",VLOOKUP($A216,'Annex 2 EHV charges'!$A:$O,11,FALSE)),"")</f>
        <v/>
      </c>
    </row>
    <row r="217" spans="1:8" x14ac:dyDescent="0.2">
      <c r="A217" s="93" t="str">
        <f t="array" ref="A217">IFERROR(INDEX('Annex 2 EHV charges'!$A$11:$A$58, MATCH(0, IF(ISBLANK('Annex 2 EHV charges'!$A$11:$A$58),1, COUNTIF(A$4:$A216, 'Annex 2 EHV charges'!$A$11:$A$58)), 0)),"")</f>
        <v/>
      </c>
      <c r="B217" s="93" t="str">
        <f>IF($A217="","",VLOOKUP($A217,'Annex 2 EHV charges'!$A:$O,2,0))</f>
        <v/>
      </c>
      <c r="C217" s="94" t="str">
        <f>IF($A217="","",VLOOKUP($A217,'Annex 2 EHV charges'!$A:$O,3,0))</f>
        <v/>
      </c>
      <c r="D217" s="93" t="str">
        <f>IF($A217="","",VLOOKUP($A217,'Annex 2 EHV charges'!$A:$O,7,0))</f>
        <v/>
      </c>
      <c r="E217" s="98" t="str">
        <f>IFERROR(IF(VLOOKUP($A217,'Annex 2 EHV charges'!$A:$O,8,FALSE)=0,"",VLOOKUP($A217,'Annex 2 EHV charges'!$A:$O,8,FALSE)),"")</f>
        <v/>
      </c>
      <c r="F217" s="99" t="str">
        <f>IFERROR(IF(VLOOKUP($A217,'Annex 2 EHV charges'!$A:$O,9,FALSE)=0,"",VLOOKUP($A217,'Annex 2 EHV charges'!$A:$O,9,FALSE)),"")</f>
        <v/>
      </c>
      <c r="G217" s="100" t="str">
        <f>IFERROR(IF(VLOOKUP($A217,'Annex 2 EHV charges'!$A:$O,10,FALSE)=0,"",VLOOKUP($A217,'Annex 2 EHV charges'!$A:$O,10,FALSE)),"")</f>
        <v/>
      </c>
      <c r="H217" s="100" t="str">
        <f>IFERROR(IF(VLOOKUP($A217,'Annex 2 EHV charges'!$A:$O,11,FALSE)=0,"",VLOOKUP($A217,'Annex 2 EHV charges'!$A:$O,11,FALSE)),"")</f>
        <v/>
      </c>
    </row>
    <row r="218" spans="1:8" x14ac:dyDescent="0.2">
      <c r="A218" s="93" t="str">
        <f t="array" ref="A218">IFERROR(INDEX('Annex 2 EHV charges'!$A$11:$A$58, MATCH(0, IF(ISBLANK('Annex 2 EHV charges'!$A$11:$A$58),1, COUNTIF(A$4:$A217, 'Annex 2 EHV charges'!$A$11:$A$58)), 0)),"")</f>
        <v/>
      </c>
      <c r="B218" s="93" t="str">
        <f>IF($A218="","",VLOOKUP($A218,'Annex 2 EHV charges'!$A:$O,2,0))</f>
        <v/>
      </c>
      <c r="C218" s="94" t="str">
        <f>IF($A218="","",VLOOKUP($A218,'Annex 2 EHV charges'!$A:$O,3,0))</f>
        <v/>
      </c>
      <c r="D218" s="93" t="str">
        <f>IF($A218="","",VLOOKUP($A218,'Annex 2 EHV charges'!$A:$O,7,0))</f>
        <v/>
      </c>
      <c r="E218" s="98" t="str">
        <f>IFERROR(IF(VLOOKUP($A218,'Annex 2 EHV charges'!$A:$O,8,FALSE)=0,"",VLOOKUP($A218,'Annex 2 EHV charges'!$A:$O,8,FALSE)),"")</f>
        <v/>
      </c>
      <c r="F218" s="99" t="str">
        <f>IFERROR(IF(VLOOKUP($A218,'Annex 2 EHV charges'!$A:$O,9,FALSE)=0,"",VLOOKUP($A218,'Annex 2 EHV charges'!$A:$O,9,FALSE)),"")</f>
        <v/>
      </c>
      <c r="G218" s="100" t="str">
        <f>IFERROR(IF(VLOOKUP($A218,'Annex 2 EHV charges'!$A:$O,10,FALSE)=0,"",VLOOKUP($A218,'Annex 2 EHV charges'!$A:$O,10,FALSE)),"")</f>
        <v/>
      </c>
      <c r="H218" s="100" t="str">
        <f>IFERROR(IF(VLOOKUP($A218,'Annex 2 EHV charges'!$A:$O,11,FALSE)=0,"",VLOOKUP($A218,'Annex 2 EHV charges'!$A:$O,11,FALSE)),"")</f>
        <v/>
      </c>
    </row>
    <row r="219" spans="1:8" x14ac:dyDescent="0.2">
      <c r="A219" s="93" t="str">
        <f t="array" ref="A219">IFERROR(INDEX('Annex 2 EHV charges'!$A$11:$A$58, MATCH(0, IF(ISBLANK('Annex 2 EHV charges'!$A$11:$A$58),1, COUNTIF(A$4:$A218, 'Annex 2 EHV charges'!$A$11:$A$58)), 0)),"")</f>
        <v/>
      </c>
      <c r="B219" s="93" t="str">
        <f>IF($A219="","",VLOOKUP($A219,'Annex 2 EHV charges'!$A:$O,2,0))</f>
        <v/>
      </c>
      <c r="C219" s="94" t="str">
        <f>IF($A219="","",VLOOKUP($A219,'Annex 2 EHV charges'!$A:$O,3,0))</f>
        <v/>
      </c>
      <c r="D219" s="93" t="str">
        <f>IF($A219="","",VLOOKUP($A219,'Annex 2 EHV charges'!$A:$O,7,0))</f>
        <v/>
      </c>
      <c r="E219" s="98" t="str">
        <f>IFERROR(IF(VLOOKUP($A219,'Annex 2 EHV charges'!$A:$O,8,FALSE)=0,"",VLOOKUP($A219,'Annex 2 EHV charges'!$A:$O,8,FALSE)),"")</f>
        <v/>
      </c>
      <c r="F219" s="99" t="str">
        <f>IFERROR(IF(VLOOKUP($A219,'Annex 2 EHV charges'!$A:$O,9,FALSE)=0,"",VLOOKUP($A219,'Annex 2 EHV charges'!$A:$O,9,FALSE)),"")</f>
        <v/>
      </c>
      <c r="G219" s="100" t="str">
        <f>IFERROR(IF(VLOOKUP($A219,'Annex 2 EHV charges'!$A:$O,10,FALSE)=0,"",VLOOKUP($A219,'Annex 2 EHV charges'!$A:$O,10,FALSE)),"")</f>
        <v/>
      </c>
      <c r="H219" s="100" t="str">
        <f>IFERROR(IF(VLOOKUP($A219,'Annex 2 EHV charges'!$A:$O,11,FALSE)=0,"",VLOOKUP($A219,'Annex 2 EHV charges'!$A:$O,11,FALSE)),"")</f>
        <v/>
      </c>
    </row>
    <row r="220" spans="1:8" x14ac:dyDescent="0.2">
      <c r="A220" s="93" t="str">
        <f t="array" ref="A220">IFERROR(INDEX('Annex 2 EHV charges'!$A$11:$A$58, MATCH(0, IF(ISBLANK('Annex 2 EHV charges'!$A$11:$A$58),1, COUNTIF(A$4:$A219, 'Annex 2 EHV charges'!$A$11:$A$58)), 0)),"")</f>
        <v/>
      </c>
      <c r="B220" s="93" t="str">
        <f>IF($A220="","",VLOOKUP($A220,'Annex 2 EHV charges'!$A:$O,2,0))</f>
        <v/>
      </c>
      <c r="C220" s="94" t="str">
        <f>IF($A220="","",VLOOKUP($A220,'Annex 2 EHV charges'!$A:$O,3,0))</f>
        <v/>
      </c>
      <c r="D220" s="93" t="str">
        <f>IF($A220="","",VLOOKUP($A220,'Annex 2 EHV charges'!$A:$O,7,0))</f>
        <v/>
      </c>
      <c r="E220" s="98" t="str">
        <f>IFERROR(IF(VLOOKUP($A220,'Annex 2 EHV charges'!$A:$O,8,FALSE)=0,"",VLOOKUP($A220,'Annex 2 EHV charges'!$A:$O,8,FALSE)),"")</f>
        <v/>
      </c>
      <c r="F220" s="99" t="str">
        <f>IFERROR(IF(VLOOKUP($A220,'Annex 2 EHV charges'!$A:$O,9,FALSE)=0,"",VLOOKUP($A220,'Annex 2 EHV charges'!$A:$O,9,FALSE)),"")</f>
        <v/>
      </c>
      <c r="G220" s="100" t="str">
        <f>IFERROR(IF(VLOOKUP($A220,'Annex 2 EHV charges'!$A:$O,10,FALSE)=0,"",VLOOKUP($A220,'Annex 2 EHV charges'!$A:$O,10,FALSE)),"")</f>
        <v/>
      </c>
      <c r="H220" s="100" t="str">
        <f>IFERROR(IF(VLOOKUP($A220,'Annex 2 EHV charges'!$A:$O,11,FALSE)=0,"",VLOOKUP($A220,'Annex 2 EHV charges'!$A:$O,11,FALSE)),"")</f>
        <v/>
      </c>
    </row>
    <row r="221" spans="1:8" x14ac:dyDescent="0.2">
      <c r="A221" s="93" t="str">
        <f t="array" ref="A221">IFERROR(INDEX('Annex 2 EHV charges'!$A$11:$A$58, MATCH(0, IF(ISBLANK('Annex 2 EHV charges'!$A$11:$A$58),1, COUNTIF(A$4:$A220, 'Annex 2 EHV charges'!$A$11:$A$58)), 0)),"")</f>
        <v/>
      </c>
      <c r="B221" s="93" t="str">
        <f>IF($A221="","",VLOOKUP($A221,'Annex 2 EHV charges'!$A:$O,2,0))</f>
        <v/>
      </c>
      <c r="C221" s="94" t="str">
        <f>IF($A221="","",VLOOKUP($A221,'Annex 2 EHV charges'!$A:$O,3,0))</f>
        <v/>
      </c>
      <c r="D221" s="93" t="str">
        <f>IF($A221="","",VLOOKUP($A221,'Annex 2 EHV charges'!$A:$O,7,0))</f>
        <v/>
      </c>
      <c r="E221" s="98" t="str">
        <f>IFERROR(IF(VLOOKUP($A221,'Annex 2 EHV charges'!$A:$O,8,FALSE)=0,"",VLOOKUP($A221,'Annex 2 EHV charges'!$A:$O,8,FALSE)),"")</f>
        <v/>
      </c>
      <c r="F221" s="99" t="str">
        <f>IFERROR(IF(VLOOKUP($A221,'Annex 2 EHV charges'!$A:$O,9,FALSE)=0,"",VLOOKUP($A221,'Annex 2 EHV charges'!$A:$O,9,FALSE)),"")</f>
        <v/>
      </c>
      <c r="G221" s="100" t="str">
        <f>IFERROR(IF(VLOOKUP($A221,'Annex 2 EHV charges'!$A:$O,10,FALSE)=0,"",VLOOKUP($A221,'Annex 2 EHV charges'!$A:$O,10,FALSE)),"")</f>
        <v/>
      </c>
      <c r="H221" s="100" t="str">
        <f>IFERROR(IF(VLOOKUP($A221,'Annex 2 EHV charges'!$A:$O,11,FALSE)=0,"",VLOOKUP($A221,'Annex 2 EHV charges'!$A:$O,11,FALSE)),"")</f>
        <v/>
      </c>
    </row>
    <row r="222" spans="1:8" x14ac:dyDescent="0.2">
      <c r="A222" s="93" t="str">
        <f t="array" ref="A222">IFERROR(INDEX('Annex 2 EHV charges'!$A$11:$A$58, MATCH(0, IF(ISBLANK('Annex 2 EHV charges'!$A$11:$A$58),1, COUNTIF(A$4:$A221, 'Annex 2 EHV charges'!$A$11:$A$58)), 0)),"")</f>
        <v/>
      </c>
      <c r="B222" s="93" t="str">
        <f>IF($A222="","",VLOOKUP($A222,'Annex 2 EHV charges'!$A:$O,2,0))</f>
        <v/>
      </c>
      <c r="C222" s="94" t="str">
        <f>IF($A222="","",VLOOKUP($A222,'Annex 2 EHV charges'!$A:$O,3,0))</f>
        <v/>
      </c>
      <c r="D222" s="93" t="str">
        <f>IF($A222="","",VLOOKUP($A222,'Annex 2 EHV charges'!$A:$O,7,0))</f>
        <v/>
      </c>
      <c r="E222" s="98" t="str">
        <f>IFERROR(IF(VLOOKUP($A222,'Annex 2 EHV charges'!$A:$O,8,FALSE)=0,"",VLOOKUP($A222,'Annex 2 EHV charges'!$A:$O,8,FALSE)),"")</f>
        <v/>
      </c>
      <c r="F222" s="99" t="str">
        <f>IFERROR(IF(VLOOKUP($A222,'Annex 2 EHV charges'!$A:$O,9,FALSE)=0,"",VLOOKUP($A222,'Annex 2 EHV charges'!$A:$O,9,FALSE)),"")</f>
        <v/>
      </c>
      <c r="G222" s="100" t="str">
        <f>IFERROR(IF(VLOOKUP($A222,'Annex 2 EHV charges'!$A:$O,10,FALSE)=0,"",VLOOKUP($A222,'Annex 2 EHV charges'!$A:$O,10,FALSE)),"")</f>
        <v/>
      </c>
      <c r="H222" s="100" t="str">
        <f>IFERROR(IF(VLOOKUP($A222,'Annex 2 EHV charges'!$A:$O,11,FALSE)=0,"",VLOOKUP($A222,'Annex 2 EHV charges'!$A:$O,11,FALSE)),"")</f>
        <v/>
      </c>
    </row>
    <row r="223" spans="1:8" x14ac:dyDescent="0.2">
      <c r="A223" s="93" t="str">
        <f t="array" ref="A223">IFERROR(INDEX('Annex 2 EHV charges'!$A$11:$A$58, MATCH(0, IF(ISBLANK('Annex 2 EHV charges'!$A$11:$A$58),1, COUNTIF(A$4:$A222, 'Annex 2 EHV charges'!$A$11:$A$58)), 0)),"")</f>
        <v/>
      </c>
      <c r="B223" s="93" t="str">
        <f>IF($A223="","",VLOOKUP($A223,'Annex 2 EHV charges'!$A:$O,2,0))</f>
        <v/>
      </c>
      <c r="C223" s="94" t="str">
        <f>IF($A223="","",VLOOKUP($A223,'Annex 2 EHV charges'!$A:$O,3,0))</f>
        <v/>
      </c>
      <c r="D223" s="93" t="str">
        <f>IF($A223="","",VLOOKUP($A223,'Annex 2 EHV charges'!$A:$O,7,0))</f>
        <v/>
      </c>
      <c r="E223" s="98" t="str">
        <f>IFERROR(IF(VLOOKUP($A223,'Annex 2 EHV charges'!$A:$O,8,FALSE)=0,"",VLOOKUP($A223,'Annex 2 EHV charges'!$A:$O,8,FALSE)),"")</f>
        <v/>
      </c>
      <c r="F223" s="99" t="str">
        <f>IFERROR(IF(VLOOKUP($A223,'Annex 2 EHV charges'!$A:$O,9,FALSE)=0,"",VLOOKUP($A223,'Annex 2 EHV charges'!$A:$O,9,FALSE)),"")</f>
        <v/>
      </c>
      <c r="G223" s="100" t="str">
        <f>IFERROR(IF(VLOOKUP($A223,'Annex 2 EHV charges'!$A:$O,10,FALSE)=0,"",VLOOKUP($A223,'Annex 2 EHV charges'!$A:$O,10,FALSE)),"")</f>
        <v/>
      </c>
      <c r="H223" s="100" t="str">
        <f>IFERROR(IF(VLOOKUP($A223,'Annex 2 EHV charges'!$A:$O,11,FALSE)=0,"",VLOOKUP($A223,'Annex 2 EHV charges'!$A:$O,11,FALSE)),"")</f>
        <v/>
      </c>
    </row>
    <row r="224" spans="1:8" x14ac:dyDescent="0.2">
      <c r="A224" s="93" t="str">
        <f t="array" ref="A224">IFERROR(INDEX('Annex 2 EHV charges'!$A$11:$A$58, MATCH(0, IF(ISBLANK('Annex 2 EHV charges'!$A$11:$A$58),1, COUNTIF(A$4:$A223, 'Annex 2 EHV charges'!$A$11:$A$58)), 0)),"")</f>
        <v/>
      </c>
      <c r="B224" s="93" t="str">
        <f>IF($A224="","",VLOOKUP($A224,'Annex 2 EHV charges'!$A:$O,2,0))</f>
        <v/>
      </c>
      <c r="C224" s="94" t="str">
        <f>IF($A224="","",VLOOKUP($A224,'Annex 2 EHV charges'!$A:$O,3,0))</f>
        <v/>
      </c>
      <c r="D224" s="93" t="str">
        <f>IF($A224="","",VLOOKUP($A224,'Annex 2 EHV charges'!$A:$O,7,0))</f>
        <v/>
      </c>
      <c r="E224" s="98" t="str">
        <f>IFERROR(IF(VLOOKUP($A224,'Annex 2 EHV charges'!$A:$O,8,FALSE)=0,"",VLOOKUP($A224,'Annex 2 EHV charges'!$A:$O,8,FALSE)),"")</f>
        <v/>
      </c>
      <c r="F224" s="99" t="str">
        <f>IFERROR(IF(VLOOKUP($A224,'Annex 2 EHV charges'!$A:$O,9,FALSE)=0,"",VLOOKUP($A224,'Annex 2 EHV charges'!$A:$O,9,FALSE)),"")</f>
        <v/>
      </c>
      <c r="G224" s="100" t="str">
        <f>IFERROR(IF(VLOOKUP($A224,'Annex 2 EHV charges'!$A:$O,10,FALSE)=0,"",VLOOKUP($A224,'Annex 2 EHV charges'!$A:$O,10,FALSE)),"")</f>
        <v/>
      </c>
      <c r="H224" s="100" t="str">
        <f>IFERROR(IF(VLOOKUP($A224,'Annex 2 EHV charges'!$A:$O,11,FALSE)=0,"",VLOOKUP($A224,'Annex 2 EHV charges'!$A:$O,11,FALSE)),"")</f>
        <v/>
      </c>
    </row>
    <row r="225" spans="1:8" x14ac:dyDescent="0.2">
      <c r="A225" s="93" t="str">
        <f t="array" ref="A225">IFERROR(INDEX('Annex 2 EHV charges'!$A$11:$A$58, MATCH(0, IF(ISBLANK('Annex 2 EHV charges'!$A$11:$A$58),1, COUNTIF(A$4:$A224, 'Annex 2 EHV charges'!$A$11:$A$58)), 0)),"")</f>
        <v/>
      </c>
      <c r="B225" s="93" t="str">
        <f>IF($A225="","",VLOOKUP($A225,'Annex 2 EHV charges'!$A:$O,2,0))</f>
        <v/>
      </c>
      <c r="C225" s="94" t="str">
        <f>IF($A225="","",VLOOKUP($A225,'Annex 2 EHV charges'!$A:$O,3,0))</f>
        <v/>
      </c>
      <c r="D225" s="93" t="str">
        <f>IF($A225="","",VLOOKUP($A225,'Annex 2 EHV charges'!$A:$O,7,0))</f>
        <v/>
      </c>
      <c r="E225" s="98" t="str">
        <f>IFERROR(IF(VLOOKUP($A225,'Annex 2 EHV charges'!$A:$O,8,FALSE)=0,"",VLOOKUP($A225,'Annex 2 EHV charges'!$A:$O,8,FALSE)),"")</f>
        <v/>
      </c>
      <c r="F225" s="99" t="str">
        <f>IFERROR(IF(VLOOKUP($A225,'Annex 2 EHV charges'!$A:$O,9,FALSE)=0,"",VLOOKUP($A225,'Annex 2 EHV charges'!$A:$O,9,FALSE)),"")</f>
        <v/>
      </c>
      <c r="G225" s="100" t="str">
        <f>IFERROR(IF(VLOOKUP($A225,'Annex 2 EHV charges'!$A:$O,10,FALSE)=0,"",VLOOKUP($A225,'Annex 2 EHV charges'!$A:$O,10,FALSE)),"")</f>
        <v/>
      </c>
      <c r="H225" s="100" t="str">
        <f>IFERROR(IF(VLOOKUP($A225,'Annex 2 EHV charges'!$A:$O,11,FALSE)=0,"",VLOOKUP($A225,'Annex 2 EHV charges'!$A:$O,11,FALSE)),"")</f>
        <v/>
      </c>
    </row>
    <row r="226" spans="1:8" x14ac:dyDescent="0.2">
      <c r="A226" s="93" t="str">
        <f t="array" ref="A226">IFERROR(INDEX('Annex 2 EHV charges'!$A$11:$A$58, MATCH(0, IF(ISBLANK('Annex 2 EHV charges'!$A$11:$A$58),1, COUNTIF(A$4:$A225, 'Annex 2 EHV charges'!$A$11:$A$58)), 0)),"")</f>
        <v/>
      </c>
      <c r="B226" s="93" t="str">
        <f>IF($A226="","",VLOOKUP($A226,'Annex 2 EHV charges'!$A:$O,2,0))</f>
        <v/>
      </c>
      <c r="C226" s="94" t="str">
        <f>IF($A226="","",VLOOKUP($A226,'Annex 2 EHV charges'!$A:$O,3,0))</f>
        <v/>
      </c>
      <c r="D226" s="93" t="str">
        <f>IF($A226="","",VLOOKUP($A226,'Annex 2 EHV charges'!$A:$O,7,0))</f>
        <v/>
      </c>
      <c r="E226" s="98" t="str">
        <f>IFERROR(IF(VLOOKUP($A226,'Annex 2 EHV charges'!$A:$O,8,FALSE)=0,"",VLOOKUP($A226,'Annex 2 EHV charges'!$A:$O,8,FALSE)),"")</f>
        <v/>
      </c>
      <c r="F226" s="99" t="str">
        <f>IFERROR(IF(VLOOKUP($A226,'Annex 2 EHV charges'!$A:$O,9,FALSE)=0,"",VLOOKUP($A226,'Annex 2 EHV charges'!$A:$O,9,FALSE)),"")</f>
        <v/>
      </c>
      <c r="G226" s="100" t="str">
        <f>IFERROR(IF(VLOOKUP($A226,'Annex 2 EHV charges'!$A:$O,10,FALSE)=0,"",VLOOKUP($A226,'Annex 2 EHV charges'!$A:$O,10,FALSE)),"")</f>
        <v/>
      </c>
      <c r="H226" s="100" t="str">
        <f>IFERROR(IF(VLOOKUP($A226,'Annex 2 EHV charges'!$A:$O,11,FALSE)=0,"",VLOOKUP($A226,'Annex 2 EHV charges'!$A:$O,11,FALSE)),"")</f>
        <v/>
      </c>
    </row>
    <row r="227" spans="1:8" x14ac:dyDescent="0.2">
      <c r="A227" s="93" t="str">
        <f t="array" ref="A227">IFERROR(INDEX('Annex 2 EHV charges'!$A$11:$A$58, MATCH(0, IF(ISBLANK('Annex 2 EHV charges'!$A$11:$A$58),1, COUNTIF(A$4:$A226, 'Annex 2 EHV charges'!$A$11:$A$58)), 0)),"")</f>
        <v/>
      </c>
      <c r="B227" s="93" t="str">
        <f>IF($A227="","",VLOOKUP($A227,'Annex 2 EHV charges'!$A:$O,2,0))</f>
        <v/>
      </c>
      <c r="C227" s="94" t="str">
        <f>IF($A227="","",VLOOKUP($A227,'Annex 2 EHV charges'!$A:$O,3,0))</f>
        <v/>
      </c>
      <c r="D227" s="93" t="str">
        <f>IF($A227="","",VLOOKUP($A227,'Annex 2 EHV charges'!$A:$O,7,0))</f>
        <v/>
      </c>
      <c r="E227" s="98" t="str">
        <f>IFERROR(IF(VLOOKUP($A227,'Annex 2 EHV charges'!$A:$O,8,FALSE)=0,"",VLOOKUP($A227,'Annex 2 EHV charges'!$A:$O,8,FALSE)),"")</f>
        <v/>
      </c>
      <c r="F227" s="99" t="str">
        <f>IFERROR(IF(VLOOKUP($A227,'Annex 2 EHV charges'!$A:$O,9,FALSE)=0,"",VLOOKUP($A227,'Annex 2 EHV charges'!$A:$O,9,FALSE)),"")</f>
        <v/>
      </c>
      <c r="G227" s="100" t="str">
        <f>IFERROR(IF(VLOOKUP($A227,'Annex 2 EHV charges'!$A:$O,10,FALSE)=0,"",VLOOKUP($A227,'Annex 2 EHV charges'!$A:$O,10,FALSE)),"")</f>
        <v/>
      </c>
      <c r="H227" s="100" t="str">
        <f>IFERROR(IF(VLOOKUP($A227,'Annex 2 EHV charges'!$A:$O,11,FALSE)=0,"",VLOOKUP($A227,'Annex 2 EHV charges'!$A:$O,11,FALSE)),"")</f>
        <v/>
      </c>
    </row>
    <row r="228" spans="1:8" x14ac:dyDescent="0.2">
      <c r="A228" s="93" t="str">
        <f t="array" ref="A228">IFERROR(INDEX('Annex 2 EHV charges'!$A$11:$A$58, MATCH(0, IF(ISBLANK('Annex 2 EHV charges'!$A$11:$A$58),1, COUNTIF(A$4:$A227, 'Annex 2 EHV charges'!$A$11:$A$58)), 0)),"")</f>
        <v/>
      </c>
      <c r="B228" s="93" t="str">
        <f>IF($A228="","",VLOOKUP($A228,'Annex 2 EHV charges'!$A:$O,2,0))</f>
        <v/>
      </c>
      <c r="C228" s="94" t="str">
        <f>IF($A228="","",VLOOKUP($A228,'Annex 2 EHV charges'!$A:$O,3,0))</f>
        <v/>
      </c>
      <c r="D228" s="93" t="str">
        <f>IF($A228="","",VLOOKUP($A228,'Annex 2 EHV charges'!$A:$O,7,0))</f>
        <v/>
      </c>
      <c r="E228" s="98" t="str">
        <f>IFERROR(IF(VLOOKUP($A228,'Annex 2 EHV charges'!$A:$O,8,FALSE)=0,"",VLOOKUP($A228,'Annex 2 EHV charges'!$A:$O,8,FALSE)),"")</f>
        <v/>
      </c>
      <c r="F228" s="99" t="str">
        <f>IFERROR(IF(VLOOKUP($A228,'Annex 2 EHV charges'!$A:$O,9,FALSE)=0,"",VLOOKUP($A228,'Annex 2 EHV charges'!$A:$O,9,FALSE)),"")</f>
        <v/>
      </c>
      <c r="G228" s="100" t="str">
        <f>IFERROR(IF(VLOOKUP($A228,'Annex 2 EHV charges'!$A:$O,10,FALSE)=0,"",VLOOKUP($A228,'Annex 2 EHV charges'!$A:$O,10,FALSE)),"")</f>
        <v/>
      </c>
      <c r="H228" s="100" t="str">
        <f>IFERROR(IF(VLOOKUP($A228,'Annex 2 EHV charges'!$A:$O,11,FALSE)=0,"",VLOOKUP($A228,'Annex 2 EHV charges'!$A:$O,11,FALSE)),"")</f>
        <v/>
      </c>
    </row>
    <row r="229" spans="1:8" x14ac:dyDescent="0.2">
      <c r="A229" s="93" t="str">
        <f t="array" ref="A229">IFERROR(INDEX('Annex 2 EHV charges'!$A$11:$A$58, MATCH(0, IF(ISBLANK('Annex 2 EHV charges'!$A$11:$A$58),1, COUNTIF(A$4:$A228, 'Annex 2 EHV charges'!$A$11:$A$58)), 0)),"")</f>
        <v/>
      </c>
      <c r="B229" s="93" t="str">
        <f>IF($A229="","",VLOOKUP($A229,'Annex 2 EHV charges'!$A:$O,2,0))</f>
        <v/>
      </c>
      <c r="C229" s="94" t="str">
        <f>IF($A229="","",VLOOKUP($A229,'Annex 2 EHV charges'!$A:$O,3,0))</f>
        <v/>
      </c>
      <c r="D229" s="93" t="str">
        <f>IF($A229="","",VLOOKUP($A229,'Annex 2 EHV charges'!$A:$O,7,0))</f>
        <v/>
      </c>
      <c r="E229" s="98" t="str">
        <f>IFERROR(IF(VLOOKUP($A229,'Annex 2 EHV charges'!$A:$O,8,FALSE)=0,"",VLOOKUP($A229,'Annex 2 EHV charges'!$A:$O,8,FALSE)),"")</f>
        <v/>
      </c>
      <c r="F229" s="99" t="str">
        <f>IFERROR(IF(VLOOKUP($A229,'Annex 2 EHV charges'!$A:$O,9,FALSE)=0,"",VLOOKUP($A229,'Annex 2 EHV charges'!$A:$O,9,FALSE)),"")</f>
        <v/>
      </c>
      <c r="G229" s="100" t="str">
        <f>IFERROR(IF(VLOOKUP($A229,'Annex 2 EHV charges'!$A:$O,10,FALSE)=0,"",VLOOKUP($A229,'Annex 2 EHV charges'!$A:$O,10,FALSE)),"")</f>
        <v/>
      </c>
      <c r="H229" s="100" t="str">
        <f>IFERROR(IF(VLOOKUP($A229,'Annex 2 EHV charges'!$A:$O,11,FALSE)=0,"",VLOOKUP($A229,'Annex 2 EHV charges'!$A:$O,11,FALSE)),"")</f>
        <v/>
      </c>
    </row>
    <row r="230" spans="1:8" x14ac:dyDescent="0.2">
      <c r="A230" s="93" t="str">
        <f t="array" ref="A230">IFERROR(INDEX('Annex 2 EHV charges'!$A$11:$A$58, MATCH(0, IF(ISBLANK('Annex 2 EHV charges'!$A$11:$A$58),1, COUNTIF(A$4:$A229, 'Annex 2 EHV charges'!$A$11:$A$58)), 0)),"")</f>
        <v/>
      </c>
      <c r="B230" s="93" t="str">
        <f>IF($A230="","",VLOOKUP($A230,'Annex 2 EHV charges'!$A:$O,2,0))</f>
        <v/>
      </c>
      <c r="C230" s="94" t="str">
        <f>IF($A230="","",VLOOKUP($A230,'Annex 2 EHV charges'!$A:$O,3,0))</f>
        <v/>
      </c>
      <c r="D230" s="93" t="str">
        <f>IF($A230="","",VLOOKUP($A230,'Annex 2 EHV charges'!$A:$O,7,0))</f>
        <v/>
      </c>
      <c r="E230" s="98" t="str">
        <f>IFERROR(IF(VLOOKUP($A230,'Annex 2 EHV charges'!$A:$O,8,FALSE)=0,"",VLOOKUP($A230,'Annex 2 EHV charges'!$A:$O,8,FALSE)),"")</f>
        <v/>
      </c>
      <c r="F230" s="99" t="str">
        <f>IFERROR(IF(VLOOKUP($A230,'Annex 2 EHV charges'!$A:$O,9,FALSE)=0,"",VLOOKUP($A230,'Annex 2 EHV charges'!$A:$O,9,FALSE)),"")</f>
        <v/>
      </c>
      <c r="G230" s="100" t="str">
        <f>IFERROR(IF(VLOOKUP($A230,'Annex 2 EHV charges'!$A:$O,10,FALSE)=0,"",VLOOKUP($A230,'Annex 2 EHV charges'!$A:$O,10,FALSE)),"")</f>
        <v/>
      </c>
      <c r="H230" s="100" t="str">
        <f>IFERROR(IF(VLOOKUP($A230,'Annex 2 EHV charges'!$A:$O,11,FALSE)=0,"",VLOOKUP($A230,'Annex 2 EHV charges'!$A:$O,11,FALSE)),"")</f>
        <v/>
      </c>
    </row>
    <row r="231" spans="1:8" x14ac:dyDescent="0.2">
      <c r="A231" s="93" t="str">
        <f t="array" ref="A231">IFERROR(INDEX('Annex 2 EHV charges'!$A$11:$A$58, MATCH(0, IF(ISBLANK('Annex 2 EHV charges'!$A$11:$A$58),1, COUNTIF(A$4:$A230, 'Annex 2 EHV charges'!$A$11:$A$58)), 0)),"")</f>
        <v/>
      </c>
      <c r="B231" s="93" t="str">
        <f>IF($A231="","",VLOOKUP($A231,'Annex 2 EHV charges'!$A:$O,2,0))</f>
        <v/>
      </c>
      <c r="C231" s="94" t="str">
        <f>IF($A231="","",VLOOKUP($A231,'Annex 2 EHV charges'!$A:$O,3,0))</f>
        <v/>
      </c>
      <c r="D231" s="93" t="str">
        <f>IF($A231="","",VLOOKUP($A231,'Annex 2 EHV charges'!$A:$O,7,0))</f>
        <v/>
      </c>
      <c r="E231" s="98" t="str">
        <f>IFERROR(IF(VLOOKUP($A231,'Annex 2 EHV charges'!$A:$O,8,FALSE)=0,"",VLOOKUP($A231,'Annex 2 EHV charges'!$A:$O,8,FALSE)),"")</f>
        <v/>
      </c>
      <c r="F231" s="99" t="str">
        <f>IFERROR(IF(VLOOKUP($A231,'Annex 2 EHV charges'!$A:$O,9,FALSE)=0,"",VLOOKUP($A231,'Annex 2 EHV charges'!$A:$O,9,FALSE)),"")</f>
        <v/>
      </c>
      <c r="G231" s="100" t="str">
        <f>IFERROR(IF(VLOOKUP($A231,'Annex 2 EHV charges'!$A:$O,10,FALSE)=0,"",VLOOKUP($A231,'Annex 2 EHV charges'!$A:$O,10,FALSE)),"")</f>
        <v/>
      </c>
      <c r="H231" s="100" t="str">
        <f>IFERROR(IF(VLOOKUP($A231,'Annex 2 EHV charges'!$A:$O,11,FALSE)=0,"",VLOOKUP($A231,'Annex 2 EHV charges'!$A:$O,11,FALSE)),"")</f>
        <v/>
      </c>
    </row>
    <row r="232" spans="1:8" x14ac:dyDescent="0.2">
      <c r="A232" s="93" t="str">
        <f t="array" ref="A232">IFERROR(INDEX('Annex 2 EHV charges'!$A$11:$A$58, MATCH(0, IF(ISBLANK('Annex 2 EHV charges'!$A$11:$A$58),1, COUNTIF(A$4:$A231, 'Annex 2 EHV charges'!$A$11:$A$58)), 0)),"")</f>
        <v/>
      </c>
      <c r="B232" s="93" t="str">
        <f>IF($A232="","",VLOOKUP($A232,'Annex 2 EHV charges'!$A:$O,2,0))</f>
        <v/>
      </c>
      <c r="C232" s="94" t="str">
        <f>IF($A232="","",VLOOKUP($A232,'Annex 2 EHV charges'!$A:$O,3,0))</f>
        <v/>
      </c>
      <c r="D232" s="93" t="str">
        <f>IF($A232="","",VLOOKUP($A232,'Annex 2 EHV charges'!$A:$O,7,0))</f>
        <v/>
      </c>
      <c r="E232" s="98" t="str">
        <f>IFERROR(IF(VLOOKUP($A232,'Annex 2 EHV charges'!$A:$O,8,FALSE)=0,"",VLOOKUP($A232,'Annex 2 EHV charges'!$A:$O,8,FALSE)),"")</f>
        <v/>
      </c>
      <c r="F232" s="99" t="str">
        <f>IFERROR(IF(VLOOKUP($A232,'Annex 2 EHV charges'!$A:$O,9,FALSE)=0,"",VLOOKUP($A232,'Annex 2 EHV charges'!$A:$O,9,FALSE)),"")</f>
        <v/>
      </c>
      <c r="G232" s="100" t="str">
        <f>IFERROR(IF(VLOOKUP($A232,'Annex 2 EHV charges'!$A:$O,10,FALSE)=0,"",VLOOKUP($A232,'Annex 2 EHV charges'!$A:$O,10,FALSE)),"")</f>
        <v/>
      </c>
      <c r="H232" s="100" t="str">
        <f>IFERROR(IF(VLOOKUP($A232,'Annex 2 EHV charges'!$A:$O,11,FALSE)=0,"",VLOOKUP($A232,'Annex 2 EHV charges'!$A:$O,11,FALSE)),"")</f>
        <v/>
      </c>
    </row>
    <row r="233" spans="1:8" x14ac:dyDescent="0.2">
      <c r="A233" s="93" t="str">
        <f t="array" ref="A233">IFERROR(INDEX('Annex 2 EHV charges'!$A$11:$A$58, MATCH(0, IF(ISBLANK('Annex 2 EHV charges'!$A$11:$A$58),1, COUNTIF(A$4:$A232, 'Annex 2 EHV charges'!$A$11:$A$58)), 0)),"")</f>
        <v/>
      </c>
      <c r="B233" s="93" t="str">
        <f>IF($A233="","",VLOOKUP($A233,'Annex 2 EHV charges'!$A:$O,2,0))</f>
        <v/>
      </c>
      <c r="C233" s="94" t="str">
        <f>IF($A233="","",VLOOKUP($A233,'Annex 2 EHV charges'!$A:$O,3,0))</f>
        <v/>
      </c>
      <c r="D233" s="93" t="str">
        <f>IF($A233="","",VLOOKUP($A233,'Annex 2 EHV charges'!$A:$O,7,0))</f>
        <v/>
      </c>
      <c r="E233" s="98" t="str">
        <f>IFERROR(IF(VLOOKUP($A233,'Annex 2 EHV charges'!$A:$O,8,FALSE)=0,"",VLOOKUP($A233,'Annex 2 EHV charges'!$A:$O,8,FALSE)),"")</f>
        <v/>
      </c>
      <c r="F233" s="99" t="str">
        <f>IFERROR(IF(VLOOKUP($A233,'Annex 2 EHV charges'!$A:$O,9,FALSE)=0,"",VLOOKUP($A233,'Annex 2 EHV charges'!$A:$O,9,FALSE)),"")</f>
        <v/>
      </c>
      <c r="G233" s="100" t="str">
        <f>IFERROR(IF(VLOOKUP($A233,'Annex 2 EHV charges'!$A:$O,10,FALSE)=0,"",VLOOKUP($A233,'Annex 2 EHV charges'!$A:$O,10,FALSE)),"")</f>
        <v/>
      </c>
      <c r="H233" s="100" t="str">
        <f>IFERROR(IF(VLOOKUP($A233,'Annex 2 EHV charges'!$A:$O,11,FALSE)=0,"",VLOOKUP($A233,'Annex 2 EHV charges'!$A:$O,11,FALSE)),"")</f>
        <v/>
      </c>
    </row>
    <row r="234" spans="1:8" x14ac:dyDescent="0.2">
      <c r="A234" s="93" t="str">
        <f t="array" ref="A234">IFERROR(INDEX('Annex 2 EHV charges'!$A$11:$A$58, MATCH(0, IF(ISBLANK('Annex 2 EHV charges'!$A$11:$A$58),1, COUNTIF(A$4:$A233, 'Annex 2 EHV charges'!$A$11:$A$58)), 0)),"")</f>
        <v/>
      </c>
      <c r="B234" s="93" t="str">
        <f>IF($A234="","",VLOOKUP($A234,'Annex 2 EHV charges'!$A:$O,2,0))</f>
        <v/>
      </c>
      <c r="C234" s="94" t="str">
        <f>IF($A234="","",VLOOKUP($A234,'Annex 2 EHV charges'!$A:$O,3,0))</f>
        <v/>
      </c>
      <c r="D234" s="93" t="str">
        <f>IF($A234="","",VLOOKUP($A234,'Annex 2 EHV charges'!$A:$O,7,0))</f>
        <v/>
      </c>
      <c r="E234" s="98" t="str">
        <f>IFERROR(IF(VLOOKUP($A234,'Annex 2 EHV charges'!$A:$O,8,FALSE)=0,"",VLOOKUP($A234,'Annex 2 EHV charges'!$A:$O,8,FALSE)),"")</f>
        <v/>
      </c>
      <c r="F234" s="99" t="str">
        <f>IFERROR(IF(VLOOKUP($A234,'Annex 2 EHV charges'!$A:$O,9,FALSE)=0,"",VLOOKUP($A234,'Annex 2 EHV charges'!$A:$O,9,FALSE)),"")</f>
        <v/>
      </c>
      <c r="G234" s="100" t="str">
        <f>IFERROR(IF(VLOOKUP($A234,'Annex 2 EHV charges'!$A:$O,10,FALSE)=0,"",VLOOKUP($A234,'Annex 2 EHV charges'!$A:$O,10,FALSE)),"")</f>
        <v/>
      </c>
      <c r="H234" s="100" t="str">
        <f>IFERROR(IF(VLOOKUP($A234,'Annex 2 EHV charges'!$A:$O,11,FALSE)=0,"",VLOOKUP($A234,'Annex 2 EHV charges'!$A:$O,11,FALSE)),"")</f>
        <v/>
      </c>
    </row>
    <row r="235" spans="1:8" x14ac:dyDescent="0.2">
      <c r="A235" s="93" t="str">
        <f t="array" ref="A235">IFERROR(INDEX('Annex 2 EHV charges'!$A$11:$A$58, MATCH(0, IF(ISBLANK('Annex 2 EHV charges'!$A$11:$A$58),1, COUNTIF(A$4:$A234, 'Annex 2 EHV charges'!$A$11:$A$58)), 0)),"")</f>
        <v/>
      </c>
      <c r="B235" s="93" t="str">
        <f>IF($A235="","",VLOOKUP($A235,'Annex 2 EHV charges'!$A:$O,2,0))</f>
        <v/>
      </c>
      <c r="C235" s="94" t="str">
        <f>IF($A235="","",VLOOKUP($A235,'Annex 2 EHV charges'!$A:$O,3,0))</f>
        <v/>
      </c>
      <c r="D235" s="93" t="str">
        <f>IF($A235="","",VLOOKUP($A235,'Annex 2 EHV charges'!$A:$O,7,0))</f>
        <v/>
      </c>
      <c r="E235" s="98" t="str">
        <f>IFERROR(IF(VLOOKUP($A235,'Annex 2 EHV charges'!$A:$O,8,FALSE)=0,"",VLOOKUP($A235,'Annex 2 EHV charges'!$A:$O,8,FALSE)),"")</f>
        <v/>
      </c>
      <c r="F235" s="99" t="str">
        <f>IFERROR(IF(VLOOKUP($A235,'Annex 2 EHV charges'!$A:$O,9,FALSE)=0,"",VLOOKUP($A235,'Annex 2 EHV charges'!$A:$O,9,FALSE)),"")</f>
        <v/>
      </c>
      <c r="G235" s="100" t="str">
        <f>IFERROR(IF(VLOOKUP($A235,'Annex 2 EHV charges'!$A:$O,10,FALSE)=0,"",VLOOKUP($A235,'Annex 2 EHV charges'!$A:$O,10,FALSE)),"")</f>
        <v/>
      </c>
      <c r="H235" s="100" t="str">
        <f>IFERROR(IF(VLOOKUP($A235,'Annex 2 EHV charges'!$A:$O,11,FALSE)=0,"",VLOOKUP($A235,'Annex 2 EHV charges'!$A:$O,11,FALSE)),"")</f>
        <v/>
      </c>
    </row>
    <row r="236" spans="1:8" x14ac:dyDescent="0.2">
      <c r="A236" s="93" t="str">
        <f t="array" ref="A236">IFERROR(INDEX('Annex 2 EHV charges'!$A$11:$A$58, MATCH(0, IF(ISBLANK('Annex 2 EHV charges'!$A$11:$A$58),1, COUNTIF(A$4:$A235, 'Annex 2 EHV charges'!$A$11:$A$58)), 0)),"")</f>
        <v/>
      </c>
      <c r="B236" s="93" t="str">
        <f>IF($A236="","",VLOOKUP($A236,'Annex 2 EHV charges'!$A:$O,2,0))</f>
        <v/>
      </c>
      <c r="C236" s="94" t="str">
        <f>IF($A236="","",VLOOKUP($A236,'Annex 2 EHV charges'!$A:$O,3,0))</f>
        <v/>
      </c>
      <c r="D236" s="93" t="str">
        <f>IF($A236="","",VLOOKUP($A236,'Annex 2 EHV charges'!$A:$O,7,0))</f>
        <v/>
      </c>
      <c r="E236" s="98" t="str">
        <f>IFERROR(IF(VLOOKUP($A236,'Annex 2 EHV charges'!$A:$O,8,FALSE)=0,"",VLOOKUP($A236,'Annex 2 EHV charges'!$A:$O,8,FALSE)),"")</f>
        <v/>
      </c>
      <c r="F236" s="99" t="str">
        <f>IFERROR(IF(VLOOKUP($A236,'Annex 2 EHV charges'!$A:$O,9,FALSE)=0,"",VLOOKUP($A236,'Annex 2 EHV charges'!$A:$O,9,FALSE)),"")</f>
        <v/>
      </c>
      <c r="G236" s="100" t="str">
        <f>IFERROR(IF(VLOOKUP($A236,'Annex 2 EHV charges'!$A:$O,10,FALSE)=0,"",VLOOKUP($A236,'Annex 2 EHV charges'!$A:$O,10,FALSE)),"")</f>
        <v/>
      </c>
      <c r="H236" s="100" t="str">
        <f>IFERROR(IF(VLOOKUP($A236,'Annex 2 EHV charges'!$A:$O,11,FALSE)=0,"",VLOOKUP($A236,'Annex 2 EHV charges'!$A:$O,11,FALSE)),"")</f>
        <v/>
      </c>
    </row>
    <row r="237" spans="1:8" x14ac:dyDescent="0.2">
      <c r="A237" s="93" t="str">
        <f t="array" ref="A237">IFERROR(INDEX('Annex 2 EHV charges'!$A$11:$A$58, MATCH(0, IF(ISBLANK('Annex 2 EHV charges'!$A$11:$A$58),1, COUNTIF(A$4:$A236, 'Annex 2 EHV charges'!$A$11:$A$58)), 0)),"")</f>
        <v/>
      </c>
      <c r="B237" s="93" t="str">
        <f>IF($A237="","",VLOOKUP($A237,'Annex 2 EHV charges'!$A:$O,2,0))</f>
        <v/>
      </c>
      <c r="C237" s="94" t="str">
        <f>IF($A237="","",VLOOKUP($A237,'Annex 2 EHV charges'!$A:$O,3,0))</f>
        <v/>
      </c>
      <c r="D237" s="93" t="str">
        <f>IF($A237="","",VLOOKUP($A237,'Annex 2 EHV charges'!$A:$O,7,0))</f>
        <v/>
      </c>
      <c r="E237" s="98" t="str">
        <f>IFERROR(IF(VLOOKUP($A237,'Annex 2 EHV charges'!$A:$O,8,FALSE)=0,"",VLOOKUP($A237,'Annex 2 EHV charges'!$A:$O,8,FALSE)),"")</f>
        <v/>
      </c>
      <c r="F237" s="99" t="str">
        <f>IFERROR(IF(VLOOKUP($A237,'Annex 2 EHV charges'!$A:$O,9,FALSE)=0,"",VLOOKUP($A237,'Annex 2 EHV charges'!$A:$O,9,FALSE)),"")</f>
        <v/>
      </c>
      <c r="G237" s="100" t="str">
        <f>IFERROR(IF(VLOOKUP($A237,'Annex 2 EHV charges'!$A:$O,10,FALSE)=0,"",VLOOKUP($A237,'Annex 2 EHV charges'!$A:$O,10,FALSE)),"")</f>
        <v/>
      </c>
      <c r="H237" s="100" t="str">
        <f>IFERROR(IF(VLOOKUP($A237,'Annex 2 EHV charges'!$A:$O,11,FALSE)=0,"",VLOOKUP($A237,'Annex 2 EHV charges'!$A:$O,11,FALSE)),"")</f>
        <v/>
      </c>
    </row>
    <row r="238" spans="1:8" x14ac:dyDescent="0.2">
      <c r="A238" s="93" t="str">
        <f t="array" ref="A238">IFERROR(INDEX('Annex 2 EHV charges'!$A$11:$A$58, MATCH(0, IF(ISBLANK('Annex 2 EHV charges'!$A$11:$A$58),1, COUNTIF(A$4:$A237, 'Annex 2 EHV charges'!$A$11:$A$58)), 0)),"")</f>
        <v/>
      </c>
      <c r="B238" s="93" t="str">
        <f>IF($A238="","",VLOOKUP($A238,'Annex 2 EHV charges'!$A:$O,2,0))</f>
        <v/>
      </c>
      <c r="C238" s="94" t="str">
        <f>IF($A238="","",VLOOKUP($A238,'Annex 2 EHV charges'!$A:$O,3,0))</f>
        <v/>
      </c>
      <c r="D238" s="93" t="str">
        <f>IF($A238="","",VLOOKUP($A238,'Annex 2 EHV charges'!$A:$O,7,0))</f>
        <v/>
      </c>
      <c r="E238" s="98" t="str">
        <f>IFERROR(IF(VLOOKUP($A238,'Annex 2 EHV charges'!$A:$O,8,FALSE)=0,"",VLOOKUP($A238,'Annex 2 EHV charges'!$A:$O,8,FALSE)),"")</f>
        <v/>
      </c>
      <c r="F238" s="99" t="str">
        <f>IFERROR(IF(VLOOKUP($A238,'Annex 2 EHV charges'!$A:$O,9,FALSE)=0,"",VLOOKUP($A238,'Annex 2 EHV charges'!$A:$O,9,FALSE)),"")</f>
        <v/>
      </c>
      <c r="G238" s="100" t="str">
        <f>IFERROR(IF(VLOOKUP($A238,'Annex 2 EHV charges'!$A:$O,10,FALSE)=0,"",VLOOKUP($A238,'Annex 2 EHV charges'!$A:$O,10,FALSE)),"")</f>
        <v/>
      </c>
      <c r="H238" s="100" t="str">
        <f>IFERROR(IF(VLOOKUP($A238,'Annex 2 EHV charges'!$A:$O,11,FALSE)=0,"",VLOOKUP($A238,'Annex 2 EHV charges'!$A:$O,11,FALSE)),"")</f>
        <v/>
      </c>
    </row>
    <row r="239" spans="1:8" x14ac:dyDescent="0.2">
      <c r="A239" s="93" t="str">
        <f t="array" ref="A239">IFERROR(INDEX('Annex 2 EHV charges'!$A$11:$A$58, MATCH(0, IF(ISBLANK('Annex 2 EHV charges'!$A$11:$A$58),1, COUNTIF(A$4:$A238, 'Annex 2 EHV charges'!$A$11:$A$58)), 0)),"")</f>
        <v/>
      </c>
      <c r="B239" s="93" t="str">
        <f>IF($A239="","",VLOOKUP($A239,'Annex 2 EHV charges'!$A:$O,2,0))</f>
        <v/>
      </c>
      <c r="C239" s="94" t="str">
        <f>IF($A239="","",VLOOKUP($A239,'Annex 2 EHV charges'!$A:$O,3,0))</f>
        <v/>
      </c>
      <c r="D239" s="93" t="str">
        <f>IF($A239="","",VLOOKUP($A239,'Annex 2 EHV charges'!$A:$O,7,0))</f>
        <v/>
      </c>
      <c r="E239" s="98" t="str">
        <f>IFERROR(IF(VLOOKUP($A239,'Annex 2 EHV charges'!$A:$O,8,FALSE)=0,"",VLOOKUP($A239,'Annex 2 EHV charges'!$A:$O,8,FALSE)),"")</f>
        <v/>
      </c>
      <c r="F239" s="99" t="str">
        <f>IFERROR(IF(VLOOKUP($A239,'Annex 2 EHV charges'!$A:$O,9,FALSE)=0,"",VLOOKUP($A239,'Annex 2 EHV charges'!$A:$O,9,FALSE)),"")</f>
        <v/>
      </c>
      <c r="G239" s="100" t="str">
        <f>IFERROR(IF(VLOOKUP($A239,'Annex 2 EHV charges'!$A:$O,10,FALSE)=0,"",VLOOKUP($A239,'Annex 2 EHV charges'!$A:$O,10,FALSE)),"")</f>
        <v/>
      </c>
      <c r="H239" s="100" t="str">
        <f>IFERROR(IF(VLOOKUP($A239,'Annex 2 EHV charges'!$A:$O,11,FALSE)=0,"",VLOOKUP($A239,'Annex 2 EHV charges'!$A:$O,11,FALSE)),"")</f>
        <v/>
      </c>
    </row>
    <row r="240" spans="1:8" x14ac:dyDescent="0.2">
      <c r="A240" s="93" t="str">
        <f t="array" ref="A240">IFERROR(INDEX('Annex 2 EHV charges'!$A$11:$A$58, MATCH(0, IF(ISBLANK('Annex 2 EHV charges'!$A$11:$A$58),1, COUNTIF(A$4:$A239, 'Annex 2 EHV charges'!$A$11:$A$58)), 0)),"")</f>
        <v/>
      </c>
      <c r="B240" s="93" t="str">
        <f>IF($A240="","",VLOOKUP($A240,'Annex 2 EHV charges'!$A:$O,2,0))</f>
        <v/>
      </c>
      <c r="C240" s="94" t="str">
        <f>IF($A240="","",VLOOKUP($A240,'Annex 2 EHV charges'!$A:$O,3,0))</f>
        <v/>
      </c>
      <c r="D240" s="93" t="str">
        <f>IF($A240="","",VLOOKUP($A240,'Annex 2 EHV charges'!$A:$O,7,0))</f>
        <v/>
      </c>
      <c r="E240" s="98" t="str">
        <f>IFERROR(IF(VLOOKUP($A240,'Annex 2 EHV charges'!$A:$O,8,FALSE)=0,"",VLOOKUP($A240,'Annex 2 EHV charges'!$A:$O,8,FALSE)),"")</f>
        <v/>
      </c>
      <c r="F240" s="99" t="str">
        <f>IFERROR(IF(VLOOKUP($A240,'Annex 2 EHV charges'!$A:$O,9,FALSE)=0,"",VLOOKUP($A240,'Annex 2 EHV charges'!$A:$O,9,FALSE)),"")</f>
        <v/>
      </c>
      <c r="G240" s="100" t="str">
        <f>IFERROR(IF(VLOOKUP($A240,'Annex 2 EHV charges'!$A:$O,10,FALSE)=0,"",VLOOKUP($A240,'Annex 2 EHV charges'!$A:$O,10,FALSE)),"")</f>
        <v/>
      </c>
      <c r="H240" s="100" t="str">
        <f>IFERROR(IF(VLOOKUP($A240,'Annex 2 EHV charges'!$A:$O,11,FALSE)=0,"",VLOOKUP($A240,'Annex 2 EHV charges'!$A:$O,11,FALSE)),"")</f>
        <v/>
      </c>
    </row>
    <row r="241" spans="1:8" x14ac:dyDescent="0.2">
      <c r="A241" s="93" t="str">
        <f t="array" ref="A241">IFERROR(INDEX('Annex 2 EHV charges'!$A$11:$A$58, MATCH(0, IF(ISBLANK('Annex 2 EHV charges'!$A$11:$A$58),1, COUNTIF(A$4:$A240, 'Annex 2 EHV charges'!$A$11:$A$58)), 0)),"")</f>
        <v/>
      </c>
      <c r="B241" s="93" t="str">
        <f>IF($A241="","",VLOOKUP($A241,'Annex 2 EHV charges'!$A:$O,2,0))</f>
        <v/>
      </c>
      <c r="C241" s="94" t="str">
        <f>IF($A241="","",VLOOKUP($A241,'Annex 2 EHV charges'!$A:$O,3,0))</f>
        <v/>
      </c>
      <c r="D241" s="93" t="str">
        <f>IF($A241="","",VLOOKUP($A241,'Annex 2 EHV charges'!$A:$O,7,0))</f>
        <v/>
      </c>
      <c r="E241" s="98" t="str">
        <f>IFERROR(IF(VLOOKUP($A241,'Annex 2 EHV charges'!$A:$O,8,FALSE)=0,"",VLOOKUP($A241,'Annex 2 EHV charges'!$A:$O,8,FALSE)),"")</f>
        <v/>
      </c>
      <c r="F241" s="99" t="str">
        <f>IFERROR(IF(VLOOKUP($A241,'Annex 2 EHV charges'!$A:$O,9,FALSE)=0,"",VLOOKUP($A241,'Annex 2 EHV charges'!$A:$O,9,FALSE)),"")</f>
        <v/>
      </c>
      <c r="G241" s="100" t="str">
        <f>IFERROR(IF(VLOOKUP($A241,'Annex 2 EHV charges'!$A:$O,10,FALSE)=0,"",VLOOKUP($A241,'Annex 2 EHV charges'!$A:$O,10,FALSE)),"")</f>
        <v/>
      </c>
      <c r="H241" s="100" t="str">
        <f>IFERROR(IF(VLOOKUP($A241,'Annex 2 EHV charges'!$A:$O,11,FALSE)=0,"",VLOOKUP($A241,'Annex 2 EHV charges'!$A:$O,11,FALSE)),"")</f>
        <v/>
      </c>
    </row>
    <row r="242" spans="1:8" x14ac:dyDescent="0.2">
      <c r="A242" s="93" t="str">
        <f t="array" ref="A242">IFERROR(INDEX('Annex 2 EHV charges'!$A$11:$A$58, MATCH(0, IF(ISBLANK('Annex 2 EHV charges'!$A$11:$A$58),1, COUNTIF(A$4:$A241, 'Annex 2 EHV charges'!$A$11:$A$58)), 0)),"")</f>
        <v/>
      </c>
      <c r="B242" s="93" t="str">
        <f>IF($A242="","",VLOOKUP($A242,'Annex 2 EHV charges'!$A:$O,2,0))</f>
        <v/>
      </c>
      <c r="C242" s="94" t="str">
        <f>IF($A242="","",VLOOKUP($A242,'Annex 2 EHV charges'!$A:$O,3,0))</f>
        <v/>
      </c>
      <c r="D242" s="93" t="str">
        <f>IF($A242="","",VLOOKUP($A242,'Annex 2 EHV charges'!$A:$O,7,0))</f>
        <v/>
      </c>
      <c r="E242" s="98" t="str">
        <f>IFERROR(IF(VLOOKUP($A242,'Annex 2 EHV charges'!$A:$O,8,FALSE)=0,"",VLOOKUP($A242,'Annex 2 EHV charges'!$A:$O,8,FALSE)),"")</f>
        <v/>
      </c>
      <c r="F242" s="99" t="str">
        <f>IFERROR(IF(VLOOKUP($A242,'Annex 2 EHV charges'!$A:$O,9,FALSE)=0,"",VLOOKUP($A242,'Annex 2 EHV charges'!$A:$O,9,FALSE)),"")</f>
        <v/>
      </c>
      <c r="G242" s="100" t="str">
        <f>IFERROR(IF(VLOOKUP($A242,'Annex 2 EHV charges'!$A:$O,10,FALSE)=0,"",VLOOKUP($A242,'Annex 2 EHV charges'!$A:$O,10,FALSE)),"")</f>
        <v/>
      </c>
      <c r="H242" s="100" t="str">
        <f>IFERROR(IF(VLOOKUP($A242,'Annex 2 EHV charges'!$A:$O,11,FALSE)=0,"",VLOOKUP($A242,'Annex 2 EHV charges'!$A:$O,11,FALSE)),"")</f>
        <v/>
      </c>
    </row>
    <row r="243" spans="1:8" x14ac:dyDescent="0.2">
      <c r="A243" s="93" t="str">
        <f t="array" ref="A243">IFERROR(INDEX('Annex 2 EHV charges'!$A$11:$A$58, MATCH(0, IF(ISBLANK('Annex 2 EHV charges'!$A$11:$A$58),1, COUNTIF(A$4:$A242, 'Annex 2 EHV charges'!$A$11:$A$58)), 0)),"")</f>
        <v/>
      </c>
      <c r="B243" s="93" t="str">
        <f>IF($A243="","",VLOOKUP($A243,'Annex 2 EHV charges'!$A:$O,2,0))</f>
        <v/>
      </c>
      <c r="C243" s="94" t="str">
        <f>IF($A243="","",VLOOKUP($A243,'Annex 2 EHV charges'!$A:$O,3,0))</f>
        <v/>
      </c>
      <c r="D243" s="93" t="str">
        <f>IF($A243="","",VLOOKUP($A243,'Annex 2 EHV charges'!$A:$O,7,0))</f>
        <v/>
      </c>
      <c r="E243" s="98" t="str">
        <f>IFERROR(IF(VLOOKUP($A243,'Annex 2 EHV charges'!$A:$O,8,FALSE)=0,"",VLOOKUP($A243,'Annex 2 EHV charges'!$A:$O,8,FALSE)),"")</f>
        <v/>
      </c>
      <c r="F243" s="99" t="str">
        <f>IFERROR(IF(VLOOKUP($A243,'Annex 2 EHV charges'!$A:$O,9,FALSE)=0,"",VLOOKUP($A243,'Annex 2 EHV charges'!$A:$O,9,FALSE)),"")</f>
        <v/>
      </c>
      <c r="G243" s="100" t="str">
        <f>IFERROR(IF(VLOOKUP($A243,'Annex 2 EHV charges'!$A:$O,10,FALSE)=0,"",VLOOKUP($A243,'Annex 2 EHV charges'!$A:$O,10,FALSE)),"")</f>
        <v/>
      </c>
      <c r="H243" s="100" t="str">
        <f>IFERROR(IF(VLOOKUP($A243,'Annex 2 EHV charges'!$A:$O,11,FALSE)=0,"",VLOOKUP($A243,'Annex 2 EHV charges'!$A:$O,11,FALSE)),"")</f>
        <v/>
      </c>
    </row>
    <row r="244" spans="1:8" x14ac:dyDescent="0.2">
      <c r="A244" s="93" t="str">
        <f t="array" ref="A244">IFERROR(INDEX('Annex 2 EHV charges'!$A$11:$A$58, MATCH(0, IF(ISBLANK('Annex 2 EHV charges'!$A$11:$A$58),1, COUNTIF(A$4:$A243, 'Annex 2 EHV charges'!$A$11:$A$58)), 0)),"")</f>
        <v/>
      </c>
      <c r="B244" s="93" t="str">
        <f>IF($A244="","",VLOOKUP($A244,'Annex 2 EHV charges'!$A:$O,2,0))</f>
        <v/>
      </c>
      <c r="C244" s="94" t="str">
        <f>IF($A244="","",VLOOKUP($A244,'Annex 2 EHV charges'!$A:$O,3,0))</f>
        <v/>
      </c>
      <c r="D244" s="93" t="str">
        <f>IF($A244="","",VLOOKUP($A244,'Annex 2 EHV charges'!$A:$O,7,0))</f>
        <v/>
      </c>
      <c r="E244" s="98" t="str">
        <f>IFERROR(IF(VLOOKUP($A244,'Annex 2 EHV charges'!$A:$O,8,FALSE)=0,"",VLOOKUP($A244,'Annex 2 EHV charges'!$A:$O,8,FALSE)),"")</f>
        <v/>
      </c>
      <c r="F244" s="99" t="str">
        <f>IFERROR(IF(VLOOKUP($A244,'Annex 2 EHV charges'!$A:$O,9,FALSE)=0,"",VLOOKUP($A244,'Annex 2 EHV charges'!$A:$O,9,FALSE)),"")</f>
        <v/>
      </c>
      <c r="G244" s="100" t="str">
        <f>IFERROR(IF(VLOOKUP($A244,'Annex 2 EHV charges'!$A:$O,10,FALSE)=0,"",VLOOKUP($A244,'Annex 2 EHV charges'!$A:$O,10,FALSE)),"")</f>
        <v/>
      </c>
      <c r="H244" s="100" t="str">
        <f>IFERROR(IF(VLOOKUP($A244,'Annex 2 EHV charges'!$A:$O,11,FALSE)=0,"",VLOOKUP($A244,'Annex 2 EHV charges'!$A:$O,11,FALSE)),"")</f>
        <v/>
      </c>
    </row>
    <row r="245" spans="1:8" x14ac:dyDescent="0.2">
      <c r="A245" s="93" t="str">
        <f t="array" ref="A245">IFERROR(INDEX('Annex 2 EHV charges'!$A$11:$A$58, MATCH(0, IF(ISBLANK('Annex 2 EHV charges'!$A$11:$A$58),1, COUNTIF(A$4:$A244, 'Annex 2 EHV charges'!$A$11:$A$58)), 0)),"")</f>
        <v/>
      </c>
      <c r="B245" s="93" t="str">
        <f>IF($A245="","",VLOOKUP($A245,'Annex 2 EHV charges'!$A:$O,2,0))</f>
        <v/>
      </c>
      <c r="C245" s="94" t="str">
        <f>IF($A245="","",VLOOKUP($A245,'Annex 2 EHV charges'!$A:$O,3,0))</f>
        <v/>
      </c>
      <c r="D245" s="93" t="str">
        <f>IF($A245="","",VLOOKUP($A245,'Annex 2 EHV charges'!$A:$O,7,0))</f>
        <v/>
      </c>
      <c r="E245" s="98" t="str">
        <f>IFERROR(IF(VLOOKUP($A245,'Annex 2 EHV charges'!$A:$O,8,FALSE)=0,"",VLOOKUP($A245,'Annex 2 EHV charges'!$A:$O,8,FALSE)),"")</f>
        <v/>
      </c>
      <c r="F245" s="99" t="str">
        <f>IFERROR(IF(VLOOKUP($A245,'Annex 2 EHV charges'!$A:$O,9,FALSE)=0,"",VLOOKUP($A245,'Annex 2 EHV charges'!$A:$O,9,FALSE)),"")</f>
        <v/>
      </c>
      <c r="G245" s="100" t="str">
        <f>IFERROR(IF(VLOOKUP($A245,'Annex 2 EHV charges'!$A:$O,10,FALSE)=0,"",VLOOKUP($A245,'Annex 2 EHV charges'!$A:$O,10,FALSE)),"")</f>
        <v/>
      </c>
      <c r="H245" s="100" t="str">
        <f>IFERROR(IF(VLOOKUP($A245,'Annex 2 EHV charges'!$A:$O,11,FALSE)=0,"",VLOOKUP($A245,'Annex 2 EHV charges'!$A:$O,11,FALSE)),"")</f>
        <v/>
      </c>
    </row>
    <row r="246" spans="1:8" x14ac:dyDescent="0.2">
      <c r="A246" s="93" t="str">
        <f t="array" ref="A246">IFERROR(INDEX('Annex 2 EHV charges'!$A$11:$A$58, MATCH(0, IF(ISBLANK('Annex 2 EHV charges'!$A$11:$A$58),1, COUNTIF(A$4:$A245, 'Annex 2 EHV charges'!$A$11:$A$58)), 0)),"")</f>
        <v/>
      </c>
      <c r="B246" s="93" t="str">
        <f>IF($A246="","",VLOOKUP($A246,'Annex 2 EHV charges'!$A:$O,2,0))</f>
        <v/>
      </c>
      <c r="C246" s="94" t="str">
        <f>IF($A246="","",VLOOKUP($A246,'Annex 2 EHV charges'!$A:$O,3,0))</f>
        <v/>
      </c>
      <c r="D246" s="93" t="str">
        <f>IF($A246="","",VLOOKUP($A246,'Annex 2 EHV charges'!$A:$O,7,0))</f>
        <v/>
      </c>
      <c r="E246" s="98" t="str">
        <f>IFERROR(IF(VLOOKUP($A246,'Annex 2 EHV charges'!$A:$O,8,FALSE)=0,"",VLOOKUP($A246,'Annex 2 EHV charges'!$A:$O,8,FALSE)),"")</f>
        <v/>
      </c>
      <c r="F246" s="99" t="str">
        <f>IFERROR(IF(VLOOKUP($A246,'Annex 2 EHV charges'!$A:$O,9,FALSE)=0,"",VLOOKUP($A246,'Annex 2 EHV charges'!$A:$O,9,FALSE)),"")</f>
        <v/>
      </c>
      <c r="G246" s="100" t="str">
        <f>IFERROR(IF(VLOOKUP($A246,'Annex 2 EHV charges'!$A:$O,10,FALSE)=0,"",VLOOKUP($A246,'Annex 2 EHV charges'!$A:$O,10,FALSE)),"")</f>
        <v/>
      </c>
      <c r="H246" s="100" t="str">
        <f>IFERROR(IF(VLOOKUP($A246,'Annex 2 EHV charges'!$A:$O,11,FALSE)=0,"",VLOOKUP($A246,'Annex 2 EHV charges'!$A:$O,11,FALSE)),"")</f>
        <v/>
      </c>
    </row>
    <row r="247" spans="1:8" x14ac:dyDescent="0.2">
      <c r="A247" s="93" t="str">
        <f t="array" ref="A247">IFERROR(INDEX('Annex 2 EHV charges'!$A$11:$A$58, MATCH(0, IF(ISBLANK('Annex 2 EHV charges'!$A$11:$A$58),1, COUNTIF(A$4:$A246, 'Annex 2 EHV charges'!$A$11:$A$58)), 0)),"")</f>
        <v/>
      </c>
      <c r="B247" s="93" t="str">
        <f>IF($A247="","",VLOOKUP($A247,'Annex 2 EHV charges'!$A:$O,2,0))</f>
        <v/>
      </c>
      <c r="C247" s="94" t="str">
        <f>IF($A247="","",VLOOKUP($A247,'Annex 2 EHV charges'!$A:$O,3,0))</f>
        <v/>
      </c>
      <c r="D247" s="93" t="str">
        <f>IF($A247="","",VLOOKUP($A247,'Annex 2 EHV charges'!$A:$O,7,0))</f>
        <v/>
      </c>
      <c r="E247" s="98" t="str">
        <f>IFERROR(IF(VLOOKUP($A247,'Annex 2 EHV charges'!$A:$O,8,FALSE)=0,"",VLOOKUP($A247,'Annex 2 EHV charges'!$A:$O,8,FALSE)),"")</f>
        <v/>
      </c>
      <c r="F247" s="99" t="str">
        <f>IFERROR(IF(VLOOKUP($A247,'Annex 2 EHV charges'!$A:$O,9,FALSE)=0,"",VLOOKUP($A247,'Annex 2 EHV charges'!$A:$O,9,FALSE)),"")</f>
        <v/>
      </c>
      <c r="G247" s="100" t="str">
        <f>IFERROR(IF(VLOOKUP($A247,'Annex 2 EHV charges'!$A:$O,10,FALSE)=0,"",VLOOKUP($A247,'Annex 2 EHV charges'!$A:$O,10,FALSE)),"")</f>
        <v/>
      </c>
      <c r="H247" s="100" t="str">
        <f>IFERROR(IF(VLOOKUP($A247,'Annex 2 EHV charges'!$A:$O,11,FALSE)=0,"",VLOOKUP($A247,'Annex 2 EHV charges'!$A:$O,11,FALSE)),"")</f>
        <v/>
      </c>
    </row>
    <row r="248" spans="1:8" x14ac:dyDescent="0.2">
      <c r="A248" s="93" t="str">
        <f t="array" ref="A248">IFERROR(INDEX('Annex 2 EHV charges'!$A$11:$A$58, MATCH(0, IF(ISBLANK('Annex 2 EHV charges'!$A$11:$A$58),1, COUNTIF(A$4:$A247, 'Annex 2 EHV charges'!$A$11:$A$58)), 0)),"")</f>
        <v/>
      </c>
      <c r="B248" s="93" t="str">
        <f>IF($A248="","",VLOOKUP($A248,'Annex 2 EHV charges'!$A:$O,2,0))</f>
        <v/>
      </c>
      <c r="C248" s="94" t="str">
        <f>IF($A248="","",VLOOKUP($A248,'Annex 2 EHV charges'!$A:$O,3,0))</f>
        <v/>
      </c>
      <c r="D248" s="93" t="str">
        <f>IF($A248="","",VLOOKUP($A248,'Annex 2 EHV charges'!$A:$O,7,0))</f>
        <v/>
      </c>
      <c r="E248" s="98" t="str">
        <f>IFERROR(IF(VLOOKUP($A248,'Annex 2 EHV charges'!$A:$O,8,FALSE)=0,"",VLOOKUP($A248,'Annex 2 EHV charges'!$A:$O,8,FALSE)),"")</f>
        <v/>
      </c>
      <c r="F248" s="99" t="str">
        <f>IFERROR(IF(VLOOKUP($A248,'Annex 2 EHV charges'!$A:$O,9,FALSE)=0,"",VLOOKUP($A248,'Annex 2 EHV charges'!$A:$O,9,FALSE)),"")</f>
        <v/>
      </c>
      <c r="G248" s="100" t="str">
        <f>IFERROR(IF(VLOOKUP($A248,'Annex 2 EHV charges'!$A:$O,10,FALSE)=0,"",VLOOKUP($A248,'Annex 2 EHV charges'!$A:$O,10,FALSE)),"")</f>
        <v/>
      </c>
      <c r="H248" s="100" t="str">
        <f>IFERROR(IF(VLOOKUP($A248,'Annex 2 EHV charges'!$A:$O,11,FALSE)=0,"",VLOOKUP($A248,'Annex 2 EHV charges'!$A:$O,11,FALSE)),"")</f>
        <v/>
      </c>
    </row>
    <row r="249" spans="1:8" x14ac:dyDescent="0.2">
      <c r="A249" s="93" t="str">
        <f t="array" ref="A249">IFERROR(INDEX('Annex 2 EHV charges'!$A$11:$A$58, MATCH(0, IF(ISBLANK('Annex 2 EHV charges'!$A$11:$A$58),1, COUNTIF(A$4:$A248, 'Annex 2 EHV charges'!$A$11:$A$58)), 0)),"")</f>
        <v/>
      </c>
      <c r="B249" s="93" t="str">
        <f>IF($A249="","",VLOOKUP($A249,'Annex 2 EHV charges'!$A:$O,2,0))</f>
        <v/>
      </c>
      <c r="C249" s="94" t="str">
        <f>IF($A249="","",VLOOKUP($A249,'Annex 2 EHV charges'!$A:$O,3,0))</f>
        <v/>
      </c>
      <c r="D249" s="93" t="str">
        <f>IF($A249="","",VLOOKUP($A249,'Annex 2 EHV charges'!$A:$O,7,0))</f>
        <v/>
      </c>
      <c r="E249" s="98" t="str">
        <f>IFERROR(IF(VLOOKUP($A249,'Annex 2 EHV charges'!$A:$O,8,FALSE)=0,"",VLOOKUP($A249,'Annex 2 EHV charges'!$A:$O,8,FALSE)),"")</f>
        <v/>
      </c>
      <c r="F249" s="99" t="str">
        <f>IFERROR(IF(VLOOKUP($A249,'Annex 2 EHV charges'!$A:$O,9,FALSE)=0,"",VLOOKUP($A249,'Annex 2 EHV charges'!$A:$O,9,FALSE)),"")</f>
        <v/>
      </c>
      <c r="G249" s="100" t="str">
        <f>IFERROR(IF(VLOOKUP($A249,'Annex 2 EHV charges'!$A:$O,10,FALSE)=0,"",VLOOKUP($A249,'Annex 2 EHV charges'!$A:$O,10,FALSE)),"")</f>
        <v/>
      </c>
      <c r="H249" s="100" t="str">
        <f>IFERROR(IF(VLOOKUP($A249,'Annex 2 EHV charges'!$A:$O,11,FALSE)=0,"",VLOOKUP($A249,'Annex 2 EHV charges'!$A:$O,11,FALSE)),"")</f>
        <v/>
      </c>
    </row>
    <row r="250" spans="1:8" x14ac:dyDescent="0.2">
      <c r="A250" s="93" t="str">
        <f t="array" ref="A250">IFERROR(INDEX('Annex 2 EHV charges'!$A$11:$A$58, MATCH(0, IF(ISBLANK('Annex 2 EHV charges'!$A$11:$A$58),1, COUNTIF(A$4:$A249, 'Annex 2 EHV charges'!$A$11:$A$58)), 0)),"")</f>
        <v/>
      </c>
      <c r="B250" s="93" t="str">
        <f>IF($A250="","",VLOOKUP($A250,'Annex 2 EHV charges'!$A:$O,2,0))</f>
        <v/>
      </c>
      <c r="C250" s="94" t="str">
        <f>IF($A250="","",VLOOKUP($A250,'Annex 2 EHV charges'!$A:$O,3,0))</f>
        <v/>
      </c>
      <c r="D250" s="93" t="str">
        <f>IF($A250="","",VLOOKUP($A250,'Annex 2 EHV charges'!$A:$O,7,0))</f>
        <v/>
      </c>
      <c r="E250" s="98" t="str">
        <f>IFERROR(IF(VLOOKUP($A250,'Annex 2 EHV charges'!$A:$O,8,FALSE)=0,"",VLOOKUP($A250,'Annex 2 EHV charges'!$A:$O,8,FALSE)),"")</f>
        <v/>
      </c>
      <c r="F250" s="99" t="str">
        <f>IFERROR(IF(VLOOKUP($A250,'Annex 2 EHV charges'!$A:$O,9,FALSE)=0,"",VLOOKUP($A250,'Annex 2 EHV charges'!$A:$O,9,FALSE)),"")</f>
        <v/>
      </c>
      <c r="G250" s="100" t="str">
        <f>IFERROR(IF(VLOOKUP($A250,'Annex 2 EHV charges'!$A:$O,10,FALSE)=0,"",VLOOKUP($A250,'Annex 2 EHV charges'!$A:$O,10,FALSE)),"")</f>
        <v/>
      </c>
      <c r="H250" s="100" t="str">
        <f>IFERROR(IF(VLOOKUP($A250,'Annex 2 EHV charges'!$A:$O,11,FALSE)=0,"",VLOOKUP($A250,'Annex 2 EHV charges'!$A:$O,11,FALSE)),"")</f>
        <v/>
      </c>
    </row>
    <row r="251" spans="1:8" x14ac:dyDescent="0.2">
      <c r="A251" s="93" t="str">
        <f t="array" ref="A251">IFERROR(INDEX('Annex 2 EHV charges'!$A$11:$A$58, MATCH(0, IF(ISBLANK('Annex 2 EHV charges'!$A$11:$A$58),1, COUNTIF(A$4:$A250, 'Annex 2 EHV charges'!$A$11:$A$58)), 0)),"")</f>
        <v/>
      </c>
      <c r="B251" s="93" t="str">
        <f>IF($A251="","",VLOOKUP($A251,'Annex 2 EHV charges'!$A:$O,2,0))</f>
        <v/>
      </c>
      <c r="C251" s="94" t="str">
        <f>IF($A251="","",VLOOKUP($A251,'Annex 2 EHV charges'!$A:$O,3,0))</f>
        <v/>
      </c>
      <c r="D251" s="93" t="str">
        <f>IF($A251="","",VLOOKUP($A251,'Annex 2 EHV charges'!$A:$O,7,0))</f>
        <v/>
      </c>
      <c r="E251" s="98" t="str">
        <f>IFERROR(IF(VLOOKUP($A251,'Annex 2 EHV charges'!$A:$O,8,FALSE)=0,"",VLOOKUP($A251,'Annex 2 EHV charges'!$A:$O,8,FALSE)),"")</f>
        <v/>
      </c>
      <c r="F251" s="99" t="str">
        <f>IFERROR(IF(VLOOKUP($A251,'Annex 2 EHV charges'!$A:$O,9,FALSE)=0,"",VLOOKUP($A251,'Annex 2 EHV charges'!$A:$O,9,FALSE)),"")</f>
        <v/>
      </c>
      <c r="G251" s="100" t="str">
        <f>IFERROR(IF(VLOOKUP($A251,'Annex 2 EHV charges'!$A:$O,10,FALSE)=0,"",VLOOKUP($A251,'Annex 2 EHV charges'!$A:$O,10,FALSE)),"")</f>
        <v/>
      </c>
      <c r="H251" s="100" t="str">
        <f>IFERROR(IF(VLOOKUP($A251,'Annex 2 EHV charges'!$A:$O,11,FALSE)=0,"",VLOOKUP($A251,'Annex 2 EHV charges'!$A:$O,11,FALSE)),"")</f>
        <v/>
      </c>
    </row>
    <row r="252" spans="1:8" x14ac:dyDescent="0.2">
      <c r="A252" s="93" t="str">
        <f t="array" ref="A252">IFERROR(INDEX('Annex 2 EHV charges'!$A$11:$A$58, MATCH(0, IF(ISBLANK('Annex 2 EHV charges'!$A$11:$A$58),1, COUNTIF(A$4:$A251, 'Annex 2 EHV charges'!$A$11:$A$58)), 0)),"")</f>
        <v/>
      </c>
      <c r="B252" s="93" t="str">
        <f>IF($A252="","",VLOOKUP($A252,'Annex 2 EHV charges'!$A:$O,2,0))</f>
        <v/>
      </c>
      <c r="C252" s="94" t="str">
        <f>IF($A252="","",VLOOKUP($A252,'Annex 2 EHV charges'!$A:$O,3,0))</f>
        <v/>
      </c>
      <c r="D252" s="93" t="str">
        <f>IF($A252="","",VLOOKUP($A252,'Annex 2 EHV charges'!$A:$O,7,0))</f>
        <v/>
      </c>
      <c r="E252" s="98" t="str">
        <f>IFERROR(IF(VLOOKUP($A252,'Annex 2 EHV charges'!$A:$O,8,FALSE)=0,"",VLOOKUP($A252,'Annex 2 EHV charges'!$A:$O,8,FALSE)),"")</f>
        <v/>
      </c>
      <c r="F252" s="99" t="str">
        <f>IFERROR(IF(VLOOKUP($A252,'Annex 2 EHV charges'!$A:$O,9,FALSE)=0,"",VLOOKUP($A252,'Annex 2 EHV charges'!$A:$O,9,FALSE)),"")</f>
        <v/>
      </c>
      <c r="G252" s="100" t="str">
        <f>IFERROR(IF(VLOOKUP($A252,'Annex 2 EHV charges'!$A:$O,10,FALSE)=0,"",VLOOKUP($A252,'Annex 2 EHV charges'!$A:$O,10,FALSE)),"")</f>
        <v/>
      </c>
      <c r="H252" s="100" t="str">
        <f>IFERROR(IF(VLOOKUP($A252,'Annex 2 EHV charges'!$A:$O,11,FALSE)=0,"",VLOOKUP($A252,'Annex 2 EHV charges'!$A:$O,11,FALSE)),"")</f>
        <v/>
      </c>
    </row>
    <row r="253" spans="1:8" x14ac:dyDescent="0.2">
      <c r="A253" s="93" t="str">
        <f t="array" ref="A253">IFERROR(INDEX('Annex 2 EHV charges'!$A$11:$A$58, MATCH(0, IF(ISBLANK('Annex 2 EHV charges'!$A$11:$A$58),1, COUNTIF(A$4:$A252, 'Annex 2 EHV charges'!$A$11:$A$58)), 0)),"")</f>
        <v/>
      </c>
      <c r="B253" s="93" t="str">
        <f>IF($A253="","",VLOOKUP($A253,'Annex 2 EHV charges'!$A:$O,2,0))</f>
        <v/>
      </c>
      <c r="C253" s="94" t="str">
        <f>IF($A253="","",VLOOKUP($A253,'Annex 2 EHV charges'!$A:$O,3,0))</f>
        <v/>
      </c>
      <c r="D253" s="93" t="str">
        <f>IF($A253="","",VLOOKUP($A253,'Annex 2 EHV charges'!$A:$O,7,0))</f>
        <v/>
      </c>
      <c r="E253" s="98" t="str">
        <f>IFERROR(IF(VLOOKUP($A253,'Annex 2 EHV charges'!$A:$O,8,FALSE)=0,"",VLOOKUP($A253,'Annex 2 EHV charges'!$A:$O,8,FALSE)),"")</f>
        <v/>
      </c>
      <c r="F253" s="99" t="str">
        <f>IFERROR(IF(VLOOKUP($A253,'Annex 2 EHV charges'!$A:$O,9,FALSE)=0,"",VLOOKUP($A253,'Annex 2 EHV charges'!$A:$O,9,FALSE)),"")</f>
        <v/>
      </c>
      <c r="G253" s="100" t="str">
        <f>IFERROR(IF(VLOOKUP($A253,'Annex 2 EHV charges'!$A:$O,10,FALSE)=0,"",VLOOKUP($A253,'Annex 2 EHV charges'!$A:$O,10,FALSE)),"")</f>
        <v/>
      </c>
      <c r="H253" s="100" t="str">
        <f>IFERROR(IF(VLOOKUP($A253,'Annex 2 EHV charges'!$A:$O,11,FALSE)=0,"",VLOOKUP($A253,'Annex 2 EHV charges'!$A:$O,11,FALSE)),"")</f>
        <v/>
      </c>
    </row>
    <row r="254" spans="1:8" x14ac:dyDescent="0.2">
      <c r="A254" s="93" t="str">
        <f t="array" ref="A254">IFERROR(INDEX('Annex 2 EHV charges'!$A$11:$A$58, MATCH(0, IF(ISBLANK('Annex 2 EHV charges'!$A$11:$A$58),1, COUNTIF(A$4:$A253, 'Annex 2 EHV charges'!$A$11:$A$58)), 0)),"")</f>
        <v/>
      </c>
      <c r="B254" s="93" t="str">
        <f>IF($A254="","",VLOOKUP($A254,'Annex 2 EHV charges'!$A:$O,2,0))</f>
        <v/>
      </c>
      <c r="C254" s="94" t="str">
        <f>IF($A254="","",VLOOKUP($A254,'Annex 2 EHV charges'!$A:$O,3,0))</f>
        <v/>
      </c>
      <c r="D254" s="93" t="str">
        <f>IF($A254="","",VLOOKUP($A254,'Annex 2 EHV charges'!$A:$O,7,0))</f>
        <v/>
      </c>
      <c r="E254" s="98" t="str">
        <f>IFERROR(IF(VLOOKUP($A254,'Annex 2 EHV charges'!$A:$O,8,FALSE)=0,"",VLOOKUP($A254,'Annex 2 EHV charges'!$A:$O,8,FALSE)),"")</f>
        <v/>
      </c>
      <c r="F254" s="99" t="str">
        <f>IFERROR(IF(VLOOKUP($A254,'Annex 2 EHV charges'!$A:$O,9,FALSE)=0,"",VLOOKUP($A254,'Annex 2 EHV charges'!$A:$O,9,FALSE)),"")</f>
        <v/>
      </c>
      <c r="G254" s="100" t="str">
        <f>IFERROR(IF(VLOOKUP($A254,'Annex 2 EHV charges'!$A:$O,10,FALSE)=0,"",VLOOKUP($A254,'Annex 2 EHV charges'!$A:$O,10,FALSE)),"")</f>
        <v/>
      </c>
      <c r="H254" s="100"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45" customWidth="1"/>
    <col min="2" max="2" width="8.7109375" style="45" customWidth="1"/>
    <col min="3" max="3" width="15.7109375" style="52" bestFit="1" customWidth="1"/>
    <col min="4" max="4" width="50.7109375" style="52" customWidth="1"/>
    <col min="5" max="5" width="14.7109375" style="53" customWidth="1"/>
    <col min="6" max="7" width="14.7109375" style="54" customWidth="1"/>
    <col min="8" max="8" width="14.7109375" style="45" customWidth="1"/>
    <col min="9" max="9" width="15.5703125" style="45" customWidth="1"/>
    <col min="10" max="16384" width="9.140625" style="45"/>
  </cols>
  <sheetData>
    <row r="1" spans="1:15" ht="66.75" customHeight="1" x14ac:dyDescent="0.2">
      <c r="A1" s="245" t="s">
        <v>69</v>
      </c>
      <c r="B1" s="245"/>
      <c r="C1" s="245"/>
      <c r="D1" s="245"/>
      <c r="E1" s="245"/>
      <c r="F1" s="245"/>
      <c r="G1" s="245"/>
      <c r="H1" s="245"/>
    </row>
    <row r="2" spans="1:15" s="46" customFormat="1" ht="25.5" customHeight="1" x14ac:dyDescent="0.2">
      <c r="A2" s="250" t="str">
        <f>Overview!B4&amp; " - Effective from "&amp;Overview!D4&amp;" - "&amp;Overview!E4&amp;" EDCM export charges"</f>
        <v>London Power Networks - Effective from 1 April 2021 - Final EDCM export charges</v>
      </c>
      <c r="B2" s="251"/>
      <c r="C2" s="251"/>
      <c r="D2" s="251"/>
      <c r="E2" s="251"/>
      <c r="F2" s="251"/>
      <c r="G2" s="251"/>
      <c r="H2" s="252"/>
    </row>
    <row r="3" spans="1:15" s="81" customFormat="1" ht="18" x14ac:dyDescent="0.2">
      <c r="A3" s="85"/>
      <c r="B3" s="85"/>
      <c r="C3" s="85"/>
      <c r="D3" s="86"/>
      <c r="E3" s="87"/>
      <c r="F3" s="87"/>
      <c r="G3" s="88"/>
      <c r="H3" s="88"/>
      <c r="I3" s="78"/>
      <c r="J3" s="78"/>
      <c r="K3" s="78"/>
      <c r="L3" s="78"/>
      <c r="M3" s="78"/>
      <c r="N3" s="78"/>
      <c r="O3" s="78"/>
    </row>
    <row r="4" spans="1:15" ht="60.75" customHeight="1" x14ac:dyDescent="0.2">
      <c r="A4" s="47" t="s">
        <v>53</v>
      </c>
      <c r="B4" s="48" t="s">
        <v>35</v>
      </c>
      <c r="C4" s="47" t="s">
        <v>37</v>
      </c>
      <c r="D4" s="49" t="s">
        <v>29</v>
      </c>
      <c r="E4" s="49" t="str">
        <f>'Annex 2 EHV charges'!L10</f>
        <v>Export
Super Red
unit charge
(p/kWh)</v>
      </c>
      <c r="F4" s="49" t="str">
        <f>'Annex 2 EHV charges'!M10</f>
        <v>Export
fixed charge
(p/day)</v>
      </c>
      <c r="G4" s="49" t="str">
        <f>'Annex 2 EHV charges'!N10</f>
        <v>Export
capacity charge
(p/kVA/day)</v>
      </c>
      <c r="H4" s="49" t="str">
        <f>'Annex 2 EHV charges'!O10</f>
        <v>Export
exceeded capacity charge
(p/kVA/day)</v>
      </c>
    </row>
    <row r="5" spans="1:15" ht="12.75" customHeight="1" x14ac:dyDescent="0.2">
      <c r="A5" s="94" t="str">
        <f t="array" ref="A5">IFERROR(INDEX('Annex 2 EHV charges'!$D$11:$D$58, MATCH(0, IF(ISBLANK('Annex 2 EHV charges'!$D$11:$D$58),1, COUNTIF(A$4:$A4, 'Annex 2 EHV charges'!$D$11:$D$58)), 0)),"")</f>
        <v>NR_WES</v>
      </c>
      <c r="B5" s="93">
        <f>IF($A5="","",VLOOKUP($A5,'Annex 2 EHV charges'!$D:$O,2,0))</f>
        <v>716</v>
      </c>
      <c r="C5" s="94">
        <f>IF($A5="","",VLOOKUP($A5,'Annex 2 EHV charges'!$D:$O,3,0))</f>
        <v>1200052486875</v>
      </c>
      <c r="D5" s="93" t="str">
        <f>IF($A5="","",VLOOKUP($A5,'Annex 2 EHV charges'!$D:$O,4,0))</f>
        <v>NR_WES</v>
      </c>
      <c r="E5" s="95" t="str">
        <f>IFERROR(IF(VLOOKUP($A5,'Annex 2 EHV charges'!$D:$O,9,FALSE)=0,"",VLOOKUP($A5,'Annex 2 EHV charges'!$D:$O,9,FALSE)),"")</f>
        <v/>
      </c>
      <c r="F5" s="96">
        <f>IFERROR(IF(VLOOKUP($A5,'Annex 2 EHV charges'!$D:$O,10,FALSE)=0,"",VLOOKUP($A5,'Annex 2 EHV charges'!$D:$O,10,FALSE)),"")</f>
        <v>375.22</v>
      </c>
      <c r="G5" s="97">
        <f>IFERROR(IF(VLOOKUP($A5,'Annex 2 EHV charges'!$D:$O,11,FALSE)=0,"",VLOOKUP($A5,'Annex 2 EHV charges'!$D:$O,11,FALSE)),"")</f>
        <v>0.05</v>
      </c>
      <c r="H5" s="97">
        <f>IFERROR(IF(VLOOKUP($A5,'Annex 2 EHV charges'!$D:$O,12,FALSE)=0,"",VLOOKUP($A5,'Annex 2 EHV charges'!$D:$O,12,FALSE)),"")</f>
        <v>0.05</v>
      </c>
    </row>
    <row r="6" spans="1:15" ht="12.75" customHeight="1" x14ac:dyDescent="0.2">
      <c r="A6" s="94" t="str">
        <f t="array" ref="A6">IFERROR(INDEX('Annex 2 EHV charges'!$D$11:$D$58, MATCH(0, IF(ISBLANK('Annex 2 EHV charges'!$D$11:$D$58),1, COUNTIF(A$4:$A5, 'Annex 2 EHV charges'!$D$11:$D$58)), 0)),"")</f>
        <v>THAMEB</v>
      </c>
      <c r="B6" s="93">
        <f>IF($A6="","",VLOOKUP($A6,'Annex 2 EHV charges'!$D:$O,2,0))</f>
        <v>701</v>
      </c>
      <c r="C6" s="94" t="str">
        <f>IF($A6="","",VLOOKUP($A6,'Annex 2 EHV charges'!$D:$O,3,0))</f>
        <v>1200050312030
1200050312040
1200061219394</v>
      </c>
      <c r="D6" s="93" t="str">
        <f>IF($A6="","",VLOOKUP($A6,'Annex 2 EHV charges'!$D:$O,4,0))</f>
        <v>THAMEB</v>
      </c>
      <c r="E6" s="95" t="str">
        <f>IFERROR(IF(VLOOKUP($A6,'Annex 2 EHV charges'!$D:$O,9,FALSE)=0,"",VLOOKUP($A6,'Annex 2 EHV charges'!$D:$O,9,FALSE)),"")</f>
        <v/>
      </c>
      <c r="F6" s="96" t="str">
        <f>IFERROR(IF(VLOOKUP($A6,'Annex 2 EHV charges'!$D:$O,10,FALSE)=0,"",VLOOKUP($A6,'Annex 2 EHV charges'!$D:$O,10,FALSE)),"")</f>
        <v/>
      </c>
      <c r="G6" s="97" t="str">
        <f>IFERROR(IF(VLOOKUP($A6,'Annex 2 EHV charges'!$D:$O,11,FALSE)=0,"",VLOOKUP($A6,'Annex 2 EHV charges'!$D:$O,11,FALSE)),"")</f>
        <v/>
      </c>
      <c r="H6" s="97" t="str">
        <f>IFERROR(IF(VLOOKUP($A6,'Annex 2 EHV charges'!$D:$O,12,FALSE)=0,"",VLOOKUP($A6,'Annex 2 EHV charges'!$D:$O,12,FALSE)),"")</f>
        <v/>
      </c>
    </row>
    <row r="7" spans="1:15" ht="12.75" customHeight="1" x14ac:dyDescent="0.2">
      <c r="A7" s="94" t="str">
        <f t="array" ref="A7">IFERROR(INDEX('Annex 2 EHV charges'!$D$11:$D$58, MATCH(0, IF(ISBLANK('Annex 2 EHV charges'!$D$11:$D$58),1, COUNTIF(A$4:$A6, 'Annex 2 EHV charges'!$D$11:$D$58)), 0)),"")</f>
        <v>THAMEC</v>
      </c>
      <c r="B7" s="93">
        <f>IF($A7="","",VLOOKUP($A7,'Annex 2 EHV charges'!$D:$O,2,0))</f>
        <v>702</v>
      </c>
      <c r="C7" s="94" t="str">
        <f>IF($A7="","",VLOOKUP($A7,'Annex 2 EHV charges'!$D:$O,3,0))</f>
        <v>1200061171342
1200061171351</v>
      </c>
      <c r="D7" s="93" t="str">
        <f>IF($A7="","",VLOOKUP($A7,'Annex 2 EHV charges'!$D:$O,4,0))</f>
        <v>THAMEC</v>
      </c>
      <c r="E7" s="95" t="str">
        <f>IFERROR(IF(VLOOKUP($A7,'Annex 2 EHV charges'!$D:$O,9,FALSE)=0,"",VLOOKUP($A7,'Annex 2 EHV charges'!$D:$O,9,FALSE)),"")</f>
        <v/>
      </c>
      <c r="F7" s="96">
        <f>IFERROR(IF(VLOOKUP($A7,'Annex 2 EHV charges'!$D:$O,10,FALSE)=0,"",VLOOKUP($A7,'Annex 2 EHV charges'!$D:$O,10,FALSE)),"")</f>
        <v>653.98</v>
      </c>
      <c r="G7" s="97">
        <f>IFERROR(IF(VLOOKUP($A7,'Annex 2 EHV charges'!$D:$O,11,FALSE)=0,"",VLOOKUP($A7,'Annex 2 EHV charges'!$D:$O,11,FALSE)),"")</f>
        <v>0.05</v>
      </c>
      <c r="H7" s="97">
        <f>IFERROR(IF(VLOOKUP($A7,'Annex 2 EHV charges'!$D:$O,12,FALSE)=0,"",VLOOKUP($A7,'Annex 2 EHV charges'!$D:$O,12,FALSE)),"")</f>
        <v>0.05</v>
      </c>
    </row>
    <row r="8" spans="1:15" ht="12.75" customHeight="1" x14ac:dyDescent="0.2">
      <c r="A8" s="94" t="str">
        <f t="array" ref="A8">IFERROR(INDEX('Annex 2 EHV charges'!$D$11:$D$58, MATCH(0, IF(ISBLANK('Annex 2 EHV charges'!$D$11:$D$58),1, COUNTIF(A$4:$A7, 'Annex 2 EHV charges'!$D$11:$D$58)), 0)),"")</f>
        <v>BELVED</v>
      </c>
      <c r="B8" s="93">
        <f>IF($A8="","",VLOOKUP($A8,'Annex 2 EHV charges'!$D:$O,2,0))</f>
        <v>711</v>
      </c>
      <c r="C8" s="94">
        <f>IF($A8="","",VLOOKUP($A8,'Annex 2 EHV charges'!$D:$O,3,0))</f>
        <v>1200060787118</v>
      </c>
      <c r="D8" s="93" t="str">
        <f>IF($A8="","",VLOOKUP($A8,'Annex 2 EHV charges'!$D:$O,4,0))</f>
        <v>BELVED</v>
      </c>
      <c r="E8" s="95" t="str">
        <f>IFERROR(IF(VLOOKUP($A8,'Annex 2 EHV charges'!$D:$O,9,FALSE)=0,"",VLOOKUP($A8,'Annex 2 EHV charges'!$D:$O,9,FALSE)),"")</f>
        <v/>
      </c>
      <c r="F8" s="96">
        <f>IFERROR(IF(VLOOKUP($A8,'Annex 2 EHV charges'!$D:$O,10,FALSE)=0,"",VLOOKUP($A8,'Annex 2 EHV charges'!$D:$O,10,FALSE)),"")</f>
        <v>608.83000000000004</v>
      </c>
      <c r="G8" s="97">
        <f>IFERROR(IF(VLOOKUP($A8,'Annex 2 EHV charges'!$D:$O,11,FALSE)=0,"",VLOOKUP($A8,'Annex 2 EHV charges'!$D:$O,11,FALSE)),"")</f>
        <v>0.05</v>
      </c>
      <c r="H8" s="97">
        <f>IFERROR(IF(VLOOKUP($A8,'Annex 2 EHV charges'!$D:$O,12,FALSE)=0,"",VLOOKUP($A8,'Annex 2 EHV charges'!$D:$O,12,FALSE)),"")</f>
        <v>0.05</v>
      </c>
    </row>
    <row r="9" spans="1:15" ht="12.75" customHeight="1" x14ac:dyDescent="0.2">
      <c r="A9" s="94" t="str">
        <f t="array" ref="A9">IFERROR(INDEX('Annex 2 EHV charges'!$D$11:$D$58, MATCH(0, IF(ISBLANK('Annex 2 EHV charges'!$D$11:$D$58),1, COUNTIF(A$4:$A8, 'Annex 2 EHV charges'!$D$11:$D$58)), 0)),"")</f>
        <v>SELCHP</v>
      </c>
      <c r="B9" s="93">
        <f>IF($A9="","",VLOOKUP($A9,'Annex 2 EHV charges'!$D:$O,2,0))</f>
        <v>730</v>
      </c>
      <c r="C9" s="94">
        <f>IF($A9="","",VLOOKUP($A9,'Annex 2 EHV charges'!$D:$O,3,0))</f>
        <v>1200010258304</v>
      </c>
      <c r="D9" s="93" t="str">
        <f>IF($A9="","",VLOOKUP($A9,'Annex 2 EHV charges'!$D:$O,4,0))</f>
        <v>SELCHP</v>
      </c>
      <c r="E9" s="95" t="str">
        <f>IFERROR(IF(VLOOKUP($A9,'Annex 2 EHV charges'!$D:$O,9,FALSE)=0,"",VLOOKUP($A9,'Annex 2 EHV charges'!$D:$O,9,FALSE)),"")</f>
        <v/>
      </c>
      <c r="F9" s="96">
        <f>IFERROR(IF(VLOOKUP($A9,'Annex 2 EHV charges'!$D:$O,10,FALSE)=0,"",VLOOKUP($A9,'Annex 2 EHV charges'!$D:$O,10,FALSE)),"")</f>
        <v>3009.13</v>
      </c>
      <c r="G9" s="97">
        <f>IFERROR(IF(VLOOKUP($A9,'Annex 2 EHV charges'!$D:$O,11,FALSE)=0,"",VLOOKUP($A9,'Annex 2 EHV charges'!$D:$O,11,FALSE)),"")</f>
        <v>0.05</v>
      </c>
      <c r="H9" s="97">
        <f>IFERROR(IF(VLOOKUP($A9,'Annex 2 EHV charges'!$D:$O,12,FALSE)=0,"",VLOOKUP($A9,'Annex 2 EHV charges'!$D:$O,12,FALSE)),"")</f>
        <v>0.05</v>
      </c>
    </row>
    <row r="10" spans="1:15" ht="12.75" customHeight="1" x14ac:dyDescent="0.2">
      <c r="A10" s="94" t="str">
        <f t="array" ref="A10">IFERROR(INDEX('Annex 2 EHV charges'!$D$11:$D$58, MATCH(0, IF(ISBLANK('Annex 2 EHV charges'!$D$11:$D$58),1, COUNTIF(A$4:$A9, 'Annex 2 EHV charges'!$D$11:$D$58)), 0)),"")</f>
        <v>TLRSLN</v>
      </c>
      <c r="B10" s="93">
        <f>IF($A10="","",VLOOKUP($A10,'Annex 2 EHV charges'!$D:$O,2,0))</f>
        <v>607</v>
      </c>
      <c r="C10" s="94" t="str">
        <f>IF($A10="","",VLOOKUP($A10,'Annex 2 EHV charges'!$D:$O,3,0))</f>
        <v>MSID: 5538</v>
      </c>
      <c r="D10" s="93" t="str">
        <f>IF($A10="","",VLOOKUP($A10,'Annex 2 EHV charges'!$D:$O,4,0))</f>
        <v>TLRSLN</v>
      </c>
      <c r="E10" s="95" t="str">
        <f>IFERROR(IF(VLOOKUP($A10,'Annex 2 EHV charges'!$D:$O,9,FALSE)=0,"",VLOOKUP($A10,'Annex 2 EHV charges'!$D:$O,9,FALSE)),"")</f>
        <v/>
      </c>
      <c r="F10" s="96" t="str">
        <f>IFERROR(IF(VLOOKUP($A10,'Annex 2 EHV charges'!$D:$O,10,FALSE)=0,"",VLOOKUP($A10,'Annex 2 EHV charges'!$D:$O,10,FALSE)),"")</f>
        <v/>
      </c>
      <c r="G10" s="97" t="str">
        <f>IFERROR(IF(VLOOKUP($A10,'Annex 2 EHV charges'!$D:$O,11,FALSE)=0,"",VLOOKUP($A10,'Annex 2 EHV charges'!$D:$O,11,FALSE)),"")</f>
        <v/>
      </c>
      <c r="H10" s="97" t="str">
        <f>IFERROR(IF(VLOOKUP($A10,'Annex 2 EHV charges'!$D:$O,12,FALSE)=0,"",VLOOKUP($A10,'Annex 2 EHV charges'!$D:$O,12,FALSE)),"")</f>
        <v/>
      </c>
    </row>
    <row r="11" spans="1:15" ht="12.75" customHeight="1" x14ac:dyDescent="0.2">
      <c r="A11" s="94" t="str">
        <f t="array" ref="A11">IFERROR(INDEX('Annex 2 EHV charges'!$D$11:$D$58, MATCH(0, IF(ISBLANK('Annex 2 EHV charges'!$D$11:$D$58),1, COUNTIF(A$4:$A10, 'Annex 2 EHV charges'!$D$11:$D$58)), 0)),"")</f>
        <v/>
      </c>
      <c r="B11" s="93" t="str">
        <f>IF($A11="","",VLOOKUP($A11,'Annex 2 EHV charges'!$D:$O,2,0))</f>
        <v/>
      </c>
      <c r="C11" s="94" t="str">
        <f>IF($A11="","",VLOOKUP($A11,'Annex 2 EHV charges'!$D:$O,3,0))</f>
        <v/>
      </c>
      <c r="D11" s="93" t="str">
        <f>IF($A11="","",VLOOKUP($A11,'Annex 2 EHV charges'!$D:$O,4,0))</f>
        <v/>
      </c>
      <c r="E11" s="95" t="str">
        <f>IFERROR(IF(VLOOKUP($A11,'Annex 2 EHV charges'!$D:$O,9,FALSE)=0,"",VLOOKUP($A11,'Annex 2 EHV charges'!$D:$O,9,FALSE)),"")</f>
        <v/>
      </c>
      <c r="F11" s="96" t="str">
        <f>IFERROR(IF(VLOOKUP($A11,'Annex 2 EHV charges'!$D:$O,10,FALSE)=0,"",VLOOKUP($A11,'Annex 2 EHV charges'!$D:$O,10,FALSE)),"")</f>
        <v/>
      </c>
      <c r="G11" s="97" t="str">
        <f>IFERROR(IF(VLOOKUP($A11,'Annex 2 EHV charges'!$D:$O,11,FALSE)=0,"",VLOOKUP($A11,'Annex 2 EHV charges'!$D:$O,11,FALSE)),"")</f>
        <v/>
      </c>
      <c r="H11" s="97" t="str">
        <f>IFERROR(IF(VLOOKUP($A11,'Annex 2 EHV charges'!$D:$O,12,FALSE)=0,"",VLOOKUP($A11,'Annex 2 EHV charges'!$D:$O,12,FALSE)),"")</f>
        <v/>
      </c>
    </row>
    <row r="12" spans="1:15" ht="12.75" customHeight="1" x14ac:dyDescent="0.2">
      <c r="A12" s="94" t="str">
        <f t="array" ref="A12">IFERROR(INDEX('Annex 2 EHV charges'!$D$11:$D$58, MATCH(0, IF(ISBLANK('Annex 2 EHV charges'!$D$11:$D$58),1, COUNTIF(A$4:$A11, 'Annex 2 EHV charges'!$D$11:$D$58)), 0)),"")</f>
        <v/>
      </c>
      <c r="B12" s="93" t="str">
        <f>IF($A12="","",VLOOKUP($A12,'Annex 2 EHV charges'!$D:$O,2,0))</f>
        <v/>
      </c>
      <c r="C12" s="94" t="str">
        <f>IF($A12="","",VLOOKUP($A12,'Annex 2 EHV charges'!$D:$O,3,0))</f>
        <v/>
      </c>
      <c r="D12" s="93" t="str">
        <f>IF($A12="","",VLOOKUP($A12,'Annex 2 EHV charges'!$D:$O,4,0))</f>
        <v/>
      </c>
      <c r="E12" s="95" t="str">
        <f>IFERROR(IF(VLOOKUP($A12,'Annex 2 EHV charges'!$D:$O,9,FALSE)=0,"",VLOOKUP($A12,'Annex 2 EHV charges'!$D:$O,9,FALSE)),"")</f>
        <v/>
      </c>
      <c r="F12" s="96" t="str">
        <f>IFERROR(IF(VLOOKUP($A12,'Annex 2 EHV charges'!$D:$O,10,FALSE)=0,"",VLOOKUP($A12,'Annex 2 EHV charges'!$D:$O,10,FALSE)),"")</f>
        <v/>
      </c>
      <c r="G12" s="97" t="str">
        <f>IFERROR(IF(VLOOKUP($A12,'Annex 2 EHV charges'!$D:$O,11,FALSE)=0,"",VLOOKUP($A12,'Annex 2 EHV charges'!$D:$O,11,FALSE)),"")</f>
        <v/>
      </c>
      <c r="H12" s="97" t="str">
        <f>IFERROR(IF(VLOOKUP($A12,'Annex 2 EHV charges'!$D:$O,12,FALSE)=0,"",VLOOKUP($A12,'Annex 2 EHV charges'!$D:$O,12,FALSE)),"")</f>
        <v/>
      </c>
    </row>
    <row r="13" spans="1:15" ht="12.75" customHeight="1" x14ac:dyDescent="0.2">
      <c r="A13" s="94" t="str">
        <f t="array" ref="A13">IFERROR(INDEX('Annex 2 EHV charges'!$D$11:$D$58, MATCH(0, IF(ISBLANK('Annex 2 EHV charges'!$D$11:$D$58),1, COUNTIF(A$4:$A12, 'Annex 2 EHV charges'!$D$11:$D$58)), 0)),"")</f>
        <v/>
      </c>
      <c r="B13" s="93" t="str">
        <f>IF($A13="","",VLOOKUP($A13,'Annex 2 EHV charges'!$D:$O,2,0))</f>
        <v/>
      </c>
      <c r="C13" s="94" t="str">
        <f>IF($A13="","",VLOOKUP($A13,'Annex 2 EHV charges'!$D:$O,3,0))</f>
        <v/>
      </c>
      <c r="D13" s="93" t="str">
        <f>IF($A13="","",VLOOKUP($A13,'Annex 2 EHV charges'!$D:$O,4,0))</f>
        <v/>
      </c>
      <c r="E13" s="95" t="str">
        <f>IFERROR(IF(VLOOKUP($A13,'Annex 2 EHV charges'!$D:$O,9,FALSE)=0,"",VLOOKUP($A13,'Annex 2 EHV charges'!$D:$O,9,FALSE)),"")</f>
        <v/>
      </c>
      <c r="F13" s="96" t="str">
        <f>IFERROR(IF(VLOOKUP($A13,'Annex 2 EHV charges'!$D:$O,10,FALSE)=0,"",VLOOKUP($A13,'Annex 2 EHV charges'!$D:$O,10,FALSE)),"")</f>
        <v/>
      </c>
      <c r="G13" s="97" t="str">
        <f>IFERROR(IF(VLOOKUP($A13,'Annex 2 EHV charges'!$D:$O,11,FALSE)=0,"",VLOOKUP($A13,'Annex 2 EHV charges'!$D:$O,11,FALSE)),"")</f>
        <v/>
      </c>
      <c r="H13" s="97" t="str">
        <f>IFERROR(IF(VLOOKUP($A13,'Annex 2 EHV charges'!$D:$O,12,FALSE)=0,"",VLOOKUP($A13,'Annex 2 EHV charges'!$D:$O,12,FALSE)),"")</f>
        <v/>
      </c>
    </row>
    <row r="14" spans="1:15" ht="12.75" customHeight="1" x14ac:dyDescent="0.2">
      <c r="A14" s="94" t="str">
        <f t="array" ref="A14">IFERROR(INDEX('Annex 2 EHV charges'!$D$11:$D$58, MATCH(0, IF(ISBLANK('Annex 2 EHV charges'!$D$11:$D$58),1, COUNTIF(A$4:$A13, 'Annex 2 EHV charges'!$D$11:$D$58)), 0)),"")</f>
        <v/>
      </c>
      <c r="B14" s="93" t="str">
        <f>IF($A14="","",VLOOKUP($A14,'Annex 2 EHV charges'!$D:$O,2,0))</f>
        <v/>
      </c>
      <c r="C14" s="94" t="str">
        <f>IF($A14="","",VLOOKUP($A14,'Annex 2 EHV charges'!$D:$O,3,0))</f>
        <v/>
      </c>
      <c r="D14" s="93" t="str">
        <f>IF($A14="","",VLOOKUP($A14,'Annex 2 EHV charges'!$D:$O,4,0))</f>
        <v/>
      </c>
      <c r="E14" s="95" t="str">
        <f>IFERROR(IF(VLOOKUP($A14,'Annex 2 EHV charges'!$D:$O,9,FALSE)=0,"",VLOOKUP($A14,'Annex 2 EHV charges'!$D:$O,9,FALSE)),"")</f>
        <v/>
      </c>
      <c r="F14" s="96" t="str">
        <f>IFERROR(IF(VLOOKUP($A14,'Annex 2 EHV charges'!$D:$O,10,FALSE)=0,"",VLOOKUP($A14,'Annex 2 EHV charges'!$D:$O,10,FALSE)),"")</f>
        <v/>
      </c>
      <c r="G14" s="97" t="str">
        <f>IFERROR(IF(VLOOKUP($A14,'Annex 2 EHV charges'!$D:$O,11,FALSE)=0,"",VLOOKUP($A14,'Annex 2 EHV charges'!$D:$O,11,FALSE)),"")</f>
        <v/>
      </c>
      <c r="H14" s="97" t="str">
        <f>IFERROR(IF(VLOOKUP($A14,'Annex 2 EHV charges'!$D:$O,12,FALSE)=0,"",VLOOKUP($A14,'Annex 2 EHV charges'!$D:$O,12,FALSE)),"")</f>
        <v/>
      </c>
    </row>
    <row r="15" spans="1:15" ht="12.75" customHeight="1" x14ac:dyDescent="0.2">
      <c r="A15" s="94" t="str">
        <f t="array" ref="A15">IFERROR(INDEX('Annex 2 EHV charges'!$D$11:$D$58, MATCH(0, IF(ISBLANK('Annex 2 EHV charges'!$D$11:$D$58),1, COUNTIF(A$4:$A14, 'Annex 2 EHV charges'!$D$11:$D$58)), 0)),"")</f>
        <v/>
      </c>
      <c r="B15" s="93" t="str">
        <f>IF($A15="","",VLOOKUP($A15,'Annex 2 EHV charges'!$D:$O,2,0))</f>
        <v/>
      </c>
      <c r="C15" s="94" t="str">
        <f>IF($A15="","",VLOOKUP($A15,'Annex 2 EHV charges'!$D:$O,3,0))</f>
        <v/>
      </c>
      <c r="D15" s="93" t="str">
        <f>IF($A15="","",VLOOKUP($A15,'Annex 2 EHV charges'!$D:$O,4,0))</f>
        <v/>
      </c>
      <c r="E15" s="95" t="str">
        <f>IFERROR(IF(VLOOKUP($A15,'Annex 2 EHV charges'!$D:$O,9,FALSE)=0,"",VLOOKUP($A15,'Annex 2 EHV charges'!$D:$O,9,FALSE)),"")</f>
        <v/>
      </c>
      <c r="F15" s="96" t="str">
        <f>IFERROR(IF(VLOOKUP($A15,'Annex 2 EHV charges'!$D:$O,10,FALSE)=0,"",VLOOKUP($A15,'Annex 2 EHV charges'!$D:$O,10,FALSE)),"")</f>
        <v/>
      </c>
      <c r="G15" s="97" t="str">
        <f>IFERROR(IF(VLOOKUP($A15,'Annex 2 EHV charges'!$D:$O,11,FALSE)=0,"",VLOOKUP($A15,'Annex 2 EHV charges'!$D:$O,11,FALSE)),"")</f>
        <v/>
      </c>
      <c r="H15" s="97" t="str">
        <f>IFERROR(IF(VLOOKUP($A15,'Annex 2 EHV charges'!$D:$O,12,FALSE)=0,"",VLOOKUP($A15,'Annex 2 EHV charges'!$D:$O,12,FALSE)),"")</f>
        <v/>
      </c>
    </row>
    <row r="16" spans="1:15" ht="12.75" customHeight="1" x14ac:dyDescent="0.2">
      <c r="A16" s="94" t="str">
        <f t="array" ref="A16">IFERROR(INDEX('Annex 2 EHV charges'!$D$11:$D$58, MATCH(0, IF(ISBLANK('Annex 2 EHV charges'!$D$11:$D$58),1, COUNTIF(A$4:$A15, 'Annex 2 EHV charges'!$D$11:$D$58)), 0)),"")</f>
        <v/>
      </c>
      <c r="B16" s="93" t="str">
        <f>IF($A16="","",VLOOKUP($A16,'Annex 2 EHV charges'!$D:$O,2,0))</f>
        <v/>
      </c>
      <c r="C16" s="94" t="str">
        <f>IF($A16="","",VLOOKUP($A16,'Annex 2 EHV charges'!$D:$O,3,0))</f>
        <v/>
      </c>
      <c r="D16" s="93" t="str">
        <f>IF($A16="","",VLOOKUP($A16,'Annex 2 EHV charges'!$D:$O,4,0))</f>
        <v/>
      </c>
      <c r="E16" s="95" t="str">
        <f>IFERROR(IF(VLOOKUP($A16,'Annex 2 EHV charges'!$D:$O,9,FALSE)=0,"",VLOOKUP($A16,'Annex 2 EHV charges'!$D:$O,9,FALSE)),"")</f>
        <v/>
      </c>
      <c r="F16" s="96" t="str">
        <f>IFERROR(IF(VLOOKUP($A16,'Annex 2 EHV charges'!$D:$O,10,FALSE)=0,"",VLOOKUP($A16,'Annex 2 EHV charges'!$D:$O,10,FALSE)),"")</f>
        <v/>
      </c>
      <c r="G16" s="97" t="str">
        <f>IFERROR(IF(VLOOKUP($A16,'Annex 2 EHV charges'!$D:$O,11,FALSE)=0,"",VLOOKUP($A16,'Annex 2 EHV charges'!$D:$O,11,FALSE)),"")</f>
        <v/>
      </c>
      <c r="H16" s="97" t="str">
        <f>IFERROR(IF(VLOOKUP($A16,'Annex 2 EHV charges'!$D:$O,12,FALSE)=0,"",VLOOKUP($A16,'Annex 2 EHV charges'!$D:$O,12,FALSE)),"")</f>
        <v/>
      </c>
    </row>
    <row r="17" spans="1:8" ht="12.75" customHeight="1" x14ac:dyDescent="0.2">
      <c r="A17" s="94" t="str">
        <f t="array" ref="A17">IFERROR(INDEX('Annex 2 EHV charges'!$D$11:$D$58, MATCH(0, IF(ISBLANK('Annex 2 EHV charges'!$D$11:$D$58),1, COUNTIF(A$4:$A16, 'Annex 2 EHV charges'!$D$11:$D$58)), 0)),"")</f>
        <v/>
      </c>
      <c r="B17" s="93" t="str">
        <f>IF($A17="","",VLOOKUP($A17,'Annex 2 EHV charges'!$D:$O,2,0))</f>
        <v/>
      </c>
      <c r="C17" s="94" t="str">
        <f>IF($A17="","",VLOOKUP($A17,'Annex 2 EHV charges'!$D:$O,3,0))</f>
        <v/>
      </c>
      <c r="D17" s="93" t="str">
        <f>IF($A17="","",VLOOKUP($A17,'Annex 2 EHV charges'!$D:$O,4,0))</f>
        <v/>
      </c>
      <c r="E17" s="95" t="str">
        <f>IFERROR(IF(VLOOKUP($A17,'Annex 2 EHV charges'!$D:$O,9,FALSE)=0,"",VLOOKUP($A17,'Annex 2 EHV charges'!$D:$O,9,FALSE)),"")</f>
        <v/>
      </c>
      <c r="F17" s="96" t="str">
        <f>IFERROR(IF(VLOOKUP($A17,'Annex 2 EHV charges'!$D:$O,10,FALSE)=0,"",VLOOKUP($A17,'Annex 2 EHV charges'!$D:$O,10,FALSE)),"")</f>
        <v/>
      </c>
      <c r="G17" s="97" t="str">
        <f>IFERROR(IF(VLOOKUP($A17,'Annex 2 EHV charges'!$D:$O,11,FALSE)=0,"",VLOOKUP($A17,'Annex 2 EHV charges'!$D:$O,11,FALSE)),"")</f>
        <v/>
      </c>
      <c r="H17" s="97" t="str">
        <f>IFERROR(IF(VLOOKUP($A17,'Annex 2 EHV charges'!$D:$O,12,FALSE)=0,"",VLOOKUP($A17,'Annex 2 EHV charges'!$D:$O,12,FALSE)),"")</f>
        <v/>
      </c>
    </row>
    <row r="18" spans="1:8" ht="12.75" customHeight="1" x14ac:dyDescent="0.2">
      <c r="A18" s="94" t="str">
        <f t="array" ref="A18">IFERROR(INDEX('Annex 2 EHV charges'!$D$11:$D$58, MATCH(0, IF(ISBLANK('Annex 2 EHV charges'!$D$11:$D$58),1, COUNTIF(A$4:$A17, 'Annex 2 EHV charges'!$D$11:$D$58)), 0)),"")</f>
        <v/>
      </c>
      <c r="B18" s="93" t="str">
        <f>IF($A18="","",VLOOKUP($A18,'Annex 2 EHV charges'!$D:$O,2,0))</f>
        <v/>
      </c>
      <c r="C18" s="94" t="str">
        <f>IF($A18="","",VLOOKUP($A18,'Annex 2 EHV charges'!$D:$O,3,0))</f>
        <v/>
      </c>
      <c r="D18" s="93" t="str">
        <f>IF($A18="","",VLOOKUP($A18,'Annex 2 EHV charges'!$D:$O,4,0))</f>
        <v/>
      </c>
      <c r="E18" s="95" t="str">
        <f>IFERROR(IF(VLOOKUP($A18,'Annex 2 EHV charges'!$D:$O,9,FALSE)=0,"",VLOOKUP($A18,'Annex 2 EHV charges'!$D:$O,9,FALSE)),"")</f>
        <v/>
      </c>
      <c r="F18" s="96" t="str">
        <f>IFERROR(IF(VLOOKUP($A18,'Annex 2 EHV charges'!$D:$O,10,FALSE)=0,"",VLOOKUP($A18,'Annex 2 EHV charges'!$D:$O,10,FALSE)),"")</f>
        <v/>
      </c>
      <c r="G18" s="97" t="str">
        <f>IFERROR(IF(VLOOKUP($A18,'Annex 2 EHV charges'!$D:$O,11,FALSE)=0,"",VLOOKUP($A18,'Annex 2 EHV charges'!$D:$O,11,FALSE)),"")</f>
        <v/>
      </c>
      <c r="H18" s="97" t="str">
        <f>IFERROR(IF(VLOOKUP($A18,'Annex 2 EHV charges'!$D:$O,12,FALSE)=0,"",VLOOKUP($A18,'Annex 2 EHV charges'!$D:$O,12,FALSE)),"")</f>
        <v/>
      </c>
    </row>
    <row r="19" spans="1:8" ht="12.75" customHeight="1" x14ac:dyDescent="0.2">
      <c r="A19" s="94" t="str">
        <f t="array" ref="A19">IFERROR(INDEX('Annex 2 EHV charges'!$D$11:$D$58, MATCH(0, IF(ISBLANK('Annex 2 EHV charges'!$D$11:$D$58),1, COUNTIF(A$4:$A18, 'Annex 2 EHV charges'!$D$11:$D$58)), 0)),"")</f>
        <v/>
      </c>
      <c r="B19" s="93" t="str">
        <f>IF($A19="","",VLOOKUP($A19,'Annex 2 EHV charges'!$D:$O,2,0))</f>
        <v/>
      </c>
      <c r="C19" s="94" t="str">
        <f>IF($A19="","",VLOOKUP($A19,'Annex 2 EHV charges'!$D:$O,3,0))</f>
        <v/>
      </c>
      <c r="D19" s="93" t="str">
        <f>IF($A19="","",VLOOKUP($A19,'Annex 2 EHV charges'!$D:$O,4,0))</f>
        <v/>
      </c>
      <c r="E19" s="95" t="str">
        <f>IFERROR(IF(VLOOKUP($A19,'Annex 2 EHV charges'!$D:$O,9,FALSE)=0,"",VLOOKUP($A19,'Annex 2 EHV charges'!$D:$O,9,FALSE)),"")</f>
        <v/>
      </c>
      <c r="F19" s="96" t="str">
        <f>IFERROR(IF(VLOOKUP($A19,'Annex 2 EHV charges'!$D:$O,10,FALSE)=0,"",VLOOKUP($A19,'Annex 2 EHV charges'!$D:$O,10,FALSE)),"")</f>
        <v/>
      </c>
      <c r="G19" s="97" t="str">
        <f>IFERROR(IF(VLOOKUP($A19,'Annex 2 EHV charges'!$D:$O,11,FALSE)=0,"",VLOOKUP($A19,'Annex 2 EHV charges'!$D:$O,11,FALSE)),"")</f>
        <v/>
      </c>
      <c r="H19" s="97" t="str">
        <f>IFERROR(IF(VLOOKUP($A19,'Annex 2 EHV charges'!$D:$O,12,FALSE)=0,"",VLOOKUP($A19,'Annex 2 EHV charges'!$D:$O,12,FALSE)),"")</f>
        <v/>
      </c>
    </row>
    <row r="20" spans="1:8" ht="12.75" customHeight="1" x14ac:dyDescent="0.2">
      <c r="A20" s="94" t="str">
        <f t="array" ref="A20">IFERROR(INDEX('Annex 2 EHV charges'!$D$11:$D$58, MATCH(0, IF(ISBLANK('Annex 2 EHV charges'!$D$11:$D$58),1, COUNTIF(A$4:$A19, 'Annex 2 EHV charges'!$D$11:$D$58)), 0)),"")</f>
        <v/>
      </c>
      <c r="B20" s="93" t="str">
        <f>IF($A20="","",VLOOKUP($A20,'Annex 2 EHV charges'!$D:$O,2,0))</f>
        <v/>
      </c>
      <c r="C20" s="94" t="str">
        <f>IF($A20="","",VLOOKUP($A20,'Annex 2 EHV charges'!$D:$O,3,0))</f>
        <v/>
      </c>
      <c r="D20" s="93" t="str">
        <f>IF($A20="","",VLOOKUP($A20,'Annex 2 EHV charges'!$D:$O,4,0))</f>
        <v/>
      </c>
      <c r="E20" s="95" t="str">
        <f>IFERROR(IF(VLOOKUP($A20,'Annex 2 EHV charges'!$D:$O,9,FALSE)=0,"",VLOOKUP($A20,'Annex 2 EHV charges'!$D:$O,9,FALSE)),"")</f>
        <v/>
      </c>
      <c r="F20" s="96" t="str">
        <f>IFERROR(IF(VLOOKUP($A20,'Annex 2 EHV charges'!$D:$O,10,FALSE)=0,"",VLOOKUP($A20,'Annex 2 EHV charges'!$D:$O,10,FALSE)),"")</f>
        <v/>
      </c>
      <c r="G20" s="97" t="str">
        <f>IFERROR(IF(VLOOKUP($A20,'Annex 2 EHV charges'!$D:$O,11,FALSE)=0,"",VLOOKUP($A20,'Annex 2 EHV charges'!$D:$O,11,FALSE)),"")</f>
        <v/>
      </c>
      <c r="H20" s="97" t="str">
        <f>IFERROR(IF(VLOOKUP($A20,'Annex 2 EHV charges'!$D:$O,12,FALSE)=0,"",VLOOKUP($A20,'Annex 2 EHV charges'!$D:$O,12,FALSE)),"")</f>
        <v/>
      </c>
    </row>
    <row r="21" spans="1:8" ht="12.75" customHeight="1" x14ac:dyDescent="0.2">
      <c r="A21" s="94" t="str">
        <f t="array" ref="A21">IFERROR(INDEX('Annex 2 EHV charges'!$D$11:$D$58, MATCH(0, IF(ISBLANK('Annex 2 EHV charges'!$D$11:$D$58),1, COUNTIF(A$4:$A20, 'Annex 2 EHV charges'!$D$11:$D$58)), 0)),"")</f>
        <v/>
      </c>
      <c r="B21" s="93" t="str">
        <f>IF($A21="","",VLOOKUP($A21,'Annex 2 EHV charges'!$D:$O,2,0))</f>
        <v/>
      </c>
      <c r="C21" s="94" t="str">
        <f>IF($A21="","",VLOOKUP($A21,'Annex 2 EHV charges'!$D:$O,3,0))</f>
        <v/>
      </c>
      <c r="D21" s="93" t="str">
        <f>IF($A21="","",VLOOKUP($A21,'Annex 2 EHV charges'!$D:$O,4,0))</f>
        <v/>
      </c>
      <c r="E21" s="95" t="str">
        <f>IFERROR(IF(VLOOKUP($A21,'Annex 2 EHV charges'!$D:$O,9,FALSE)=0,"",VLOOKUP($A21,'Annex 2 EHV charges'!$D:$O,9,FALSE)),"")</f>
        <v/>
      </c>
      <c r="F21" s="96" t="str">
        <f>IFERROR(IF(VLOOKUP($A21,'Annex 2 EHV charges'!$D:$O,10,FALSE)=0,"",VLOOKUP($A21,'Annex 2 EHV charges'!$D:$O,10,FALSE)),"")</f>
        <v/>
      </c>
      <c r="G21" s="97" t="str">
        <f>IFERROR(IF(VLOOKUP($A21,'Annex 2 EHV charges'!$D:$O,11,FALSE)=0,"",VLOOKUP($A21,'Annex 2 EHV charges'!$D:$O,11,FALSE)),"")</f>
        <v/>
      </c>
      <c r="H21" s="97" t="str">
        <f>IFERROR(IF(VLOOKUP($A21,'Annex 2 EHV charges'!$D:$O,12,FALSE)=0,"",VLOOKUP($A21,'Annex 2 EHV charges'!$D:$O,12,FALSE)),"")</f>
        <v/>
      </c>
    </row>
    <row r="22" spans="1:8" ht="12.75" customHeight="1" x14ac:dyDescent="0.2">
      <c r="A22" s="94" t="str">
        <f t="array" ref="A22">IFERROR(INDEX('Annex 2 EHV charges'!$D$11:$D$58, MATCH(0, IF(ISBLANK('Annex 2 EHV charges'!$D$11:$D$58),1, COUNTIF(A$4:$A21, 'Annex 2 EHV charges'!$D$11:$D$58)), 0)),"")</f>
        <v/>
      </c>
      <c r="B22" s="93" t="str">
        <f>IF($A22="","",VLOOKUP($A22,'Annex 2 EHV charges'!$D:$O,2,0))</f>
        <v/>
      </c>
      <c r="C22" s="94" t="str">
        <f>IF($A22="","",VLOOKUP($A22,'Annex 2 EHV charges'!$D:$O,3,0))</f>
        <v/>
      </c>
      <c r="D22" s="93" t="str">
        <f>IF($A22="","",VLOOKUP($A22,'Annex 2 EHV charges'!$D:$O,4,0))</f>
        <v/>
      </c>
      <c r="E22" s="95" t="str">
        <f>IFERROR(IF(VLOOKUP($A22,'Annex 2 EHV charges'!$D:$O,9,FALSE)=0,"",VLOOKUP($A22,'Annex 2 EHV charges'!$D:$O,9,FALSE)),"")</f>
        <v/>
      </c>
      <c r="F22" s="96" t="str">
        <f>IFERROR(IF(VLOOKUP($A22,'Annex 2 EHV charges'!$D:$O,10,FALSE)=0,"",VLOOKUP($A22,'Annex 2 EHV charges'!$D:$O,10,FALSE)),"")</f>
        <v/>
      </c>
      <c r="G22" s="97" t="str">
        <f>IFERROR(IF(VLOOKUP($A22,'Annex 2 EHV charges'!$D:$O,11,FALSE)=0,"",VLOOKUP($A22,'Annex 2 EHV charges'!$D:$O,11,FALSE)),"")</f>
        <v/>
      </c>
      <c r="H22" s="97" t="str">
        <f>IFERROR(IF(VLOOKUP($A22,'Annex 2 EHV charges'!$D:$O,12,FALSE)=0,"",VLOOKUP($A22,'Annex 2 EHV charges'!$D:$O,12,FALSE)),"")</f>
        <v/>
      </c>
    </row>
    <row r="23" spans="1:8" ht="12.75" customHeight="1" x14ac:dyDescent="0.2">
      <c r="A23" s="94" t="str">
        <f t="array" ref="A23">IFERROR(INDEX('Annex 2 EHV charges'!$D$11:$D$58, MATCH(0, IF(ISBLANK('Annex 2 EHV charges'!$D$11:$D$58),1, COUNTIF(A$4:$A22, 'Annex 2 EHV charges'!$D$11:$D$58)), 0)),"")</f>
        <v/>
      </c>
      <c r="B23" s="93" t="str">
        <f>IF($A23="","",VLOOKUP($A23,'Annex 2 EHV charges'!$D:$O,2,0))</f>
        <v/>
      </c>
      <c r="C23" s="94" t="str">
        <f>IF($A23="","",VLOOKUP($A23,'Annex 2 EHV charges'!$D:$O,3,0))</f>
        <v/>
      </c>
      <c r="D23" s="93" t="str">
        <f>IF($A23="","",VLOOKUP($A23,'Annex 2 EHV charges'!$D:$O,4,0))</f>
        <v/>
      </c>
      <c r="E23" s="95" t="str">
        <f>IFERROR(IF(VLOOKUP($A23,'Annex 2 EHV charges'!$D:$O,9,FALSE)=0,"",VLOOKUP($A23,'Annex 2 EHV charges'!$D:$O,9,FALSE)),"")</f>
        <v/>
      </c>
      <c r="F23" s="96" t="str">
        <f>IFERROR(IF(VLOOKUP($A23,'Annex 2 EHV charges'!$D:$O,10,FALSE)=0,"",VLOOKUP($A23,'Annex 2 EHV charges'!$D:$O,10,FALSE)),"")</f>
        <v/>
      </c>
      <c r="G23" s="97" t="str">
        <f>IFERROR(IF(VLOOKUP($A23,'Annex 2 EHV charges'!$D:$O,11,FALSE)=0,"",VLOOKUP($A23,'Annex 2 EHV charges'!$D:$O,11,FALSE)),"")</f>
        <v/>
      </c>
      <c r="H23" s="97" t="str">
        <f>IFERROR(IF(VLOOKUP($A23,'Annex 2 EHV charges'!$D:$O,12,FALSE)=0,"",VLOOKUP($A23,'Annex 2 EHV charges'!$D:$O,12,FALSE)),"")</f>
        <v/>
      </c>
    </row>
    <row r="24" spans="1:8" ht="12.75" customHeight="1" x14ac:dyDescent="0.2">
      <c r="A24" s="94" t="str">
        <f t="array" ref="A24">IFERROR(INDEX('Annex 2 EHV charges'!$D$11:$D$58, MATCH(0, IF(ISBLANK('Annex 2 EHV charges'!$D$11:$D$58),1, COUNTIF(A$4:$A23, 'Annex 2 EHV charges'!$D$11:$D$58)), 0)),"")</f>
        <v/>
      </c>
      <c r="B24" s="93" t="str">
        <f>IF($A24="","",VLOOKUP($A24,'Annex 2 EHV charges'!$D:$O,2,0))</f>
        <v/>
      </c>
      <c r="C24" s="94" t="str">
        <f>IF($A24="","",VLOOKUP($A24,'Annex 2 EHV charges'!$D:$O,3,0))</f>
        <v/>
      </c>
      <c r="D24" s="93" t="str">
        <f>IF($A24="","",VLOOKUP($A24,'Annex 2 EHV charges'!$D:$O,4,0))</f>
        <v/>
      </c>
      <c r="E24" s="95" t="str">
        <f>IFERROR(IF(VLOOKUP($A24,'Annex 2 EHV charges'!$D:$O,9,FALSE)=0,"",VLOOKUP($A24,'Annex 2 EHV charges'!$D:$O,9,FALSE)),"")</f>
        <v/>
      </c>
      <c r="F24" s="96" t="str">
        <f>IFERROR(IF(VLOOKUP($A24,'Annex 2 EHV charges'!$D:$O,10,FALSE)=0,"",VLOOKUP($A24,'Annex 2 EHV charges'!$D:$O,10,FALSE)),"")</f>
        <v/>
      </c>
      <c r="G24" s="97" t="str">
        <f>IFERROR(IF(VLOOKUP($A24,'Annex 2 EHV charges'!$D:$O,11,FALSE)=0,"",VLOOKUP($A24,'Annex 2 EHV charges'!$D:$O,11,FALSE)),"")</f>
        <v/>
      </c>
      <c r="H24" s="97" t="str">
        <f>IFERROR(IF(VLOOKUP($A24,'Annex 2 EHV charges'!$D:$O,12,FALSE)=0,"",VLOOKUP($A24,'Annex 2 EHV charges'!$D:$O,12,FALSE)),"")</f>
        <v/>
      </c>
    </row>
    <row r="25" spans="1:8" ht="12.75" customHeight="1" x14ac:dyDescent="0.2">
      <c r="A25" s="94" t="str">
        <f t="array" ref="A25">IFERROR(INDEX('Annex 2 EHV charges'!$D$11:$D$58, MATCH(0, IF(ISBLANK('Annex 2 EHV charges'!$D$11:$D$58),1, COUNTIF(A$4:$A24, 'Annex 2 EHV charges'!$D$11:$D$58)), 0)),"")</f>
        <v/>
      </c>
      <c r="B25" s="93" t="str">
        <f>IF($A25="","",VLOOKUP($A25,'Annex 2 EHV charges'!$D:$O,2,0))</f>
        <v/>
      </c>
      <c r="C25" s="94" t="str">
        <f>IF($A25="","",VLOOKUP($A25,'Annex 2 EHV charges'!$D:$O,3,0))</f>
        <v/>
      </c>
      <c r="D25" s="93" t="str">
        <f>IF($A25="","",VLOOKUP($A25,'Annex 2 EHV charges'!$D:$O,4,0))</f>
        <v/>
      </c>
      <c r="E25" s="95" t="str">
        <f>IFERROR(IF(VLOOKUP($A25,'Annex 2 EHV charges'!$D:$O,9,FALSE)=0,"",VLOOKUP($A25,'Annex 2 EHV charges'!$D:$O,9,FALSE)),"")</f>
        <v/>
      </c>
      <c r="F25" s="96" t="str">
        <f>IFERROR(IF(VLOOKUP($A25,'Annex 2 EHV charges'!$D:$O,10,FALSE)=0,"",VLOOKUP($A25,'Annex 2 EHV charges'!$D:$O,10,FALSE)),"")</f>
        <v/>
      </c>
      <c r="G25" s="97" t="str">
        <f>IFERROR(IF(VLOOKUP($A25,'Annex 2 EHV charges'!$D:$O,11,FALSE)=0,"",VLOOKUP($A25,'Annex 2 EHV charges'!$D:$O,11,FALSE)),"")</f>
        <v/>
      </c>
      <c r="H25" s="97" t="str">
        <f>IFERROR(IF(VLOOKUP($A25,'Annex 2 EHV charges'!$D:$O,12,FALSE)=0,"",VLOOKUP($A25,'Annex 2 EHV charges'!$D:$O,12,FALSE)),"")</f>
        <v/>
      </c>
    </row>
    <row r="26" spans="1:8" ht="12.75" customHeight="1" x14ac:dyDescent="0.2">
      <c r="A26" s="94" t="str">
        <f t="array" ref="A26">IFERROR(INDEX('Annex 2 EHV charges'!$D$11:$D$58, MATCH(0, IF(ISBLANK('Annex 2 EHV charges'!$D$11:$D$58),1, COUNTIF(A$4:$A25, 'Annex 2 EHV charges'!$D$11:$D$58)), 0)),"")</f>
        <v/>
      </c>
      <c r="B26" s="93" t="str">
        <f>IF($A26="","",VLOOKUP($A26,'Annex 2 EHV charges'!$D:$O,2,0))</f>
        <v/>
      </c>
      <c r="C26" s="94" t="str">
        <f>IF($A26="","",VLOOKUP($A26,'Annex 2 EHV charges'!$D:$O,3,0))</f>
        <v/>
      </c>
      <c r="D26" s="93" t="str">
        <f>IF($A26="","",VLOOKUP($A26,'Annex 2 EHV charges'!$D:$O,4,0))</f>
        <v/>
      </c>
      <c r="E26" s="95" t="str">
        <f>IFERROR(IF(VLOOKUP($A26,'Annex 2 EHV charges'!$D:$O,9,FALSE)=0,"",VLOOKUP($A26,'Annex 2 EHV charges'!$D:$O,9,FALSE)),"")</f>
        <v/>
      </c>
      <c r="F26" s="96" t="str">
        <f>IFERROR(IF(VLOOKUP($A26,'Annex 2 EHV charges'!$D:$O,10,FALSE)=0,"",VLOOKUP($A26,'Annex 2 EHV charges'!$D:$O,10,FALSE)),"")</f>
        <v/>
      </c>
      <c r="G26" s="97" t="str">
        <f>IFERROR(IF(VLOOKUP($A26,'Annex 2 EHV charges'!$D:$O,11,FALSE)=0,"",VLOOKUP($A26,'Annex 2 EHV charges'!$D:$O,11,FALSE)),"")</f>
        <v/>
      </c>
      <c r="H26" s="97" t="str">
        <f>IFERROR(IF(VLOOKUP($A26,'Annex 2 EHV charges'!$D:$O,12,FALSE)=0,"",VLOOKUP($A26,'Annex 2 EHV charges'!$D:$O,12,FALSE)),"")</f>
        <v/>
      </c>
    </row>
    <row r="27" spans="1:8" ht="12.75" customHeight="1" x14ac:dyDescent="0.2">
      <c r="A27" s="94" t="str">
        <f t="array" ref="A27">IFERROR(INDEX('Annex 2 EHV charges'!$D$11:$D$58, MATCH(0, IF(ISBLANK('Annex 2 EHV charges'!$D$11:$D$58),1, COUNTIF(A$4:$A26, 'Annex 2 EHV charges'!$D$11:$D$58)), 0)),"")</f>
        <v/>
      </c>
      <c r="B27" s="93" t="str">
        <f>IF($A27="","",VLOOKUP($A27,'Annex 2 EHV charges'!$D:$O,2,0))</f>
        <v/>
      </c>
      <c r="C27" s="94" t="str">
        <f>IF($A27="","",VLOOKUP($A27,'Annex 2 EHV charges'!$D:$O,3,0))</f>
        <v/>
      </c>
      <c r="D27" s="93" t="str">
        <f>IF($A27="","",VLOOKUP($A27,'Annex 2 EHV charges'!$D:$O,4,0))</f>
        <v/>
      </c>
      <c r="E27" s="95" t="str">
        <f>IFERROR(IF(VLOOKUP($A27,'Annex 2 EHV charges'!$D:$O,9,FALSE)=0,"",VLOOKUP($A27,'Annex 2 EHV charges'!$D:$O,9,FALSE)),"")</f>
        <v/>
      </c>
      <c r="F27" s="96" t="str">
        <f>IFERROR(IF(VLOOKUP($A27,'Annex 2 EHV charges'!$D:$O,10,FALSE)=0,"",VLOOKUP($A27,'Annex 2 EHV charges'!$D:$O,10,FALSE)),"")</f>
        <v/>
      </c>
      <c r="G27" s="97" t="str">
        <f>IFERROR(IF(VLOOKUP($A27,'Annex 2 EHV charges'!$D:$O,11,FALSE)=0,"",VLOOKUP($A27,'Annex 2 EHV charges'!$D:$O,11,FALSE)),"")</f>
        <v/>
      </c>
      <c r="H27" s="97" t="str">
        <f>IFERROR(IF(VLOOKUP($A27,'Annex 2 EHV charges'!$D:$O,12,FALSE)=0,"",VLOOKUP($A27,'Annex 2 EHV charges'!$D:$O,12,FALSE)),"")</f>
        <v/>
      </c>
    </row>
    <row r="28" spans="1:8" ht="12.75" customHeight="1" x14ac:dyDescent="0.2">
      <c r="A28" s="94" t="str">
        <f t="array" ref="A28">IFERROR(INDEX('Annex 2 EHV charges'!$D$11:$D$58, MATCH(0, IF(ISBLANK('Annex 2 EHV charges'!$D$11:$D$58),1, COUNTIF(A$4:$A27, 'Annex 2 EHV charges'!$D$11:$D$58)), 0)),"")</f>
        <v/>
      </c>
      <c r="B28" s="93" t="str">
        <f>IF($A28="","",VLOOKUP($A28,'Annex 2 EHV charges'!$D:$O,2,0))</f>
        <v/>
      </c>
      <c r="C28" s="94" t="str">
        <f>IF($A28="","",VLOOKUP($A28,'Annex 2 EHV charges'!$D:$O,3,0))</f>
        <v/>
      </c>
      <c r="D28" s="93" t="str">
        <f>IF($A28="","",VLOOKUP($A28,'Annex 2 EHV charges'!$D:$O,4,0))</f>
        <v/>
      </c>
      <c r="E28" s="95" t="str">
        <f>IFERROR(IF(VLOOKUP($A28,'Annex 2 EHV charges'!$D:$O,9,FALSE)=0,"",VLOOKUP($A28,'Annex 2 EHV charges'!$D:$O,9,FALSE)),"")</f>
        <v/>
      </c>
      <c r="F28" s="96" t="str">
        <f>IFERROR(IF(VLOOKUP($A28,'Annex 2 EHV charges'!$D:$O,10,FALSE)=0,"",VLOOKUP($A28,'Annex 2 EHV charges'!$D:$O,10,FALSE)),"")</f>
        <v/>
      </c>
      <c r="G28" s="97" t="str">
        <f>IFERROR(IF(VLOOKUP($A28,'Annex 2 EHV charges'!$D:$O,11,FALSE)=0,"",VLOOKUP($A28,'Annex 2 EHV charges'!$D:$O,11,FALSE)),"")</f>
        <v/>
      </c>
      <c r="H28" s="97" t="str">
        <f>IFERROR(IF(VLOOKUP($A28,'Annex 2 EHV charges'!$D:$O,12,FALSE)=0,"",VLOOKUP($A28,'Annex 2 EHV charges'!$D:$O,12,FALSE)),"")</f>
        <v/>
      </c>
    </row>
    <row r="29" spans="1:8" ht="12.75" customHeight="1" x14ac:dyDescent="0.2">
      <c r="A29" s="94" t="str">
        <f t="array" ref="A29">IFERROR(INDEX('Annex 2 EHV charges'!$D$11:$D$58, MATCH(0, IF(ISBLANK('Annex 2 EHV charges'!$D$11:$D$58),1, COUNTIF(A$4:$A28, 'Annex 2 EHV charges'!$D$11:$D$58)), 0)),"")</f>
        <v/>
      </c>
      <c r="B29" s="93" t="str">
        <f>IF($A29="","",VLOOKUP($A29,'Annex 2 EHV charges'!$D:$O,2,0))</f>
        <v/>
      </c>
      <c r="C29" s="94" t="str">
        <f>IF($A29="","",VLOOKUP($A29,'Annex 2 EHV charges'!$D:$O,3,0))</f>
        <v/>
      </c>
      <c r="D29" s="93" t="str">
        <f>IF($A29="","",VLOOKUP($A29,'Annex 2 EHV charges'!$D:$O,4,0))</f>
        <v/>
      </c>
      <c r="E29" s="95" t="str">
        <f>IFERROR(IF(VLOOKUP($A29,'Annex 2 EHV charges'!$D:$O,9,FALSE)=0,"",VLOOKUP($A29,'Annex 2 EHV charges'!$D:$O,9,FALSE)),"")</f>
        <v/>
      </c>
      <c r="F29" s="96" t="str">
        <f>IFERROR(IF(VLOOKUP($A29,'Annex 2 EHV charges'!$D:$O,10,FALSE)=0,"",VLOOKUP($A29,'Annex 2 EHV charges'!$D:$O,10,FALSE)),"")</f>
        <v/>
      </c>
      <c r="G29" s="97" t="str">
        <f>IFERROR(IF(VLOOKUP($A29,'Annex 2 EHV charges'!$D:$O,11,FALSE)=0,"",VLOOKUP($A29,'Annex 2 EHV charges'!$D:$O,11,FALSE)),"")</f>
        <v/>
      </c>
      <c r="H29" s="97" t="str">
        <f>IFERROR(IF(VLOOKUP($A29,'Annex 2 EHV charges'!$D:$O,12,FALSE)=0,"",VLOOKUP($A29,'Annex 2 EHV charges'!$D:$O,12,FALSE)),"")</f>
        <v/>
      </c>
    </row>
    <row r="30" spans="1:8" ht="12.75" customHeight="1" x14ac:dyDescent="0.2">
      <c r="A30" s="94" t="str">
        <f t="array" ref="A30">IFERROR(INDEX('Annex 2 EHV charges'!$D$11:$D$58, MATCH(0, IF(ISBLANK('Annex 2 EHV charges'!$D$11:$D$58),1, COUNTIF(A$4:$A29, 'Annex 2 EHV charges'!$D$11:$D$58)), 0)),"")</f>
        <v/>
      </c>
      <c r="B30" s="93" t="str">
        <f>IF($A30="","",VLOOKUP($A30,'Annex 2 EHV charges'!$D:$O,2,0))</f>
        <v/>
      </c>
      <c r="C30" s="94" t="str">
        <f>IF($A30="","",VLOOKUP($A30,'Annex 2 EHV charges'!$D:$O,3,0))</f>
        <v/>
      </c>
      <c r="D30" s="93" t="str">
        <f>IF($A30="","",VLOOKUP($A30,'Annex 2 EHV charges'!$D:$O,4,0))</f>
        <v/>
      </c>
      <c r="E30" s="95" t="str">
        <f>IFERROR(IF(VLOOKUP($A30,'Annex 2 EHV charges'!$D:$O,9,FALSE)=0,"",VLOOKUP($A30,'Annex 2 EHV charges'!$D:$O,9,FALSE)),"")</f>
        <v/>
      </c>
      <c r="F30" s="96" t="str">
        <f>IFERROR(IF(VLOOKUP($A30,'Annex 2 EHV charges'!$D:$O,10,FALSE)=0,"",VLOOKUP($A30,'Annex 2 EHV charges'!$D:$O,10,FALSE)),"")</f>
        <v/>
      </c>
      <c r="G30" s="97" t="str">
        <f>IFERROR(IF(VLOOKUP($A30,'Annex 2 EHV charges'!$D:$O,11,FALSE)=0,"",VLOOKUP($A30,'Annex 2 EHV charges'!$D:$O,11,FALSE)),"")</f>
        <v/>
      </c>
      <c r="H30" s="97" t="str">
        <f>IFERROR(IF(VLOOKUP($A30,'Annex 2 EHV charges'!$D:$O,12,FALSE)=0,"",VLOOKUP($A30,'Annex 2 EHV charges'!$D:$O,12,FALSE)),"")</f>
        <v/>
      </c>
    </row>
    <row r="31" spans="1:8" ht="12.75" customHeight="1" x14ac:dyDescent="0.2">
      <c r="A31" s="94" t="str">
        <f t="array" ref="A31">IFERROR(INDEX('Annex 2 EHV charges'!$D$11:$D$58, MATCH(0, IF(ISBLANK('Annex 2 EHV charges'!$D$11:$D$58),1, COUNTIF(A$4:$A30, 'Annex 2 EHV charges'!$D$11:$D$58)), 0)),"")</f>
        <v/>
      </c>
      <c r="B31" s="93" t="str">
        <f>IF($A31="","",VLOOKUP($A31,'Annex 2 EHV charges'!$D:$O,2,0))</f>
        <v/>
      </c>
      <c r="C31" s="94" t="str">
        <f>IF($A31="","",VLOOKUP($A31,'Annex 2 EHV charges'!$D:$O,3,0))</f>
        <v/>
      </c>
      <c r="D31" s="93" t="str">
        <f>IF($A31="","",VLOOKUP($A31,'Annex 2 EHV charges'!$D:$O,4,0))</f>
        <v/>
      </c>
      <c r="E31" s="95" t="str">
        <f>IFERROR(IF(VLOOKUP($A31,'Annex 2 EHV charges'!$D:$O,9,FALSE)=0,"",VLOOKUP($A31,'Annex 2 EHV charges'!$D:$O,9,FALSE)),"")</f>
        <v/>
      </c>
      <c r="F31" s="96" t="str">
        <f>IFERROR(IF(VLOOKUP($A31,'Annex 2 EHV charges'!$D:$O,10,FALSE)=0,"",VLOOKUP($A31,'Annex 2 EHV charges'!$D:$O,10,FALSE)),"")</f>
        <v/>
      </c>
      <c r="G31" s="97" t="str">
        <f>IFERROR(IF(VLOOKUP($A31,'Annex 2 EHV charges'!$D:$O,11,FALSE)=0,"",VLOOKUP($A31,'Annex 2 EHV charges'!$D:$O,11,FALSE)),"")</f>
        <v/>
      </c>
      <c r="H31" s="97" t="str">
        <f>IFERROR(IF(VLOOKUP($A31,'Annex 2 EHV charges'!$D:$O,12,FALSE)=0,"",VLOOKUP($A31,'Annex 2 EHV charges'!$D:$O,12,FALSE)),"")</f>
        <v/>
      </c>
    </row>
    <row r="32" spans="1:8" ht="12.75" customHeight="1" x14ac:dyDescent="0.2">
      <c r="A32" s="94" t="str">
        <f t="array" ref="A32">IFERROR(INDEX('Annex 2 EHV charges'!$D$11:$D$58, MATCH(0, IF(ISBLANK('Annex 2 EHV charges'!$D$11:$D$58),1, COUNTIF(A$4:$A31, 'Annex 2 EHV charges'!$D$11:$D$58)), 0)),"")</f>
        <v/>
      </c>
      <c r="B32" s="93" t="str">
        <f>IF($A32="","",VLOOKUP($A32,'Annex 2 EHV charges'!$D:$O,2,0))</f>
        <v/>
      </c>
      <c r="C32" s="94" t="str">
        <f>IF($A32="","",VLOOKUP($A32,'Annex 2 EHV charges'!$D:$O,3,0))</f>
        <v/>
      </c>
      <c r="D32" s="93" t="str">
        <f>IF($A32="","",VLOOKUP($A32,'Annex 2 EHV charges'!$D:$O,4,0))</f>
        <v/>
      </c>
      <c r="E32" s="95" t="str">
        <f>IFERROR(IF(VLOOKUP($A32,'Annex 2 EHV charges'!$D:$O,9,FALSE)=0,"",VLOOKUP($A32,'Annex 2 EHV charges'!$D:$O,9,FALSE)),"")</f>
        <v/>
      </c>
      <c r="F32" s="96" t="str">
        <f>IFERROR(IF(VLOOKUP($A32,'Annex 2 EHV charges'!$D:$O,10,FALSE)=0,"",VLOOKUP($A32,'Annex 2 EHV charges'!$D:$O,10,FALSE)),"")</f>
        <v/>
      </c>
      <c r="G32" s="97" t="str">
        <f>IFERROR(IF(VLOOKUP($A32,'Annex 2 EHV charges'!$D:$O,11,FALSE)=0,"",VLOOKUP($A32,'Annex 2 EHV charges'!$D:$O,11,FALSE)),"")</f>
        <v/>
      </c>
      <c r="H32" s="97" t="str">
        <f>IFERROR(IF(VLOOKUP($A32,'Annex 2 EHV charges'!$D:$O,12,FALSE)=0,"",VLOOKUP($A32,'Annex 2 EHV charges'!$D:$O,12,FALSE)),"")</f>
        <v/>
      </c>
    </row>
    <row r="33" spans="1:8" ht="12.75" customHeight="1" x14ac:dyDescent="0.2">
      <c r="A33" s="94" t="str">
        <f t="array" ref="A33">IFERROR(INDEX('Annex 2 EHV charges'!$D$11:$D$58, MATCH(0, IF(ISBLANK('Annex 2 EHV charges'!$D$11:$D$58),1, COUNTIF(A$4:$A32, 'Annex 2 EHV charges'!$D$11:$D$58)), 0)),"")</f>
        <v/>
      </c>
      <c r="B33" s="93" t="str">
        <f>IF($A33="","",VLOOKUP($A33,'Annex 2 EHV charges'!$D:$O,2,0))</f>
        <v/>
      </c>
      <c r="C33" s="94" t="str">
        <f>IF($A33="","",VLOOKUP($A33,'Annex 2 EHV charges'!$D:$O,3,0))</f>
        <v/>
      </c>
      <c r="D33" s="93" t="str">
        <f>IF($A33="","",VLOOKUP($A33,'Annex 2 EHV charges'!$D:$O,4,0))</f>
        <v/>
      </c>
      <c r="E33" s="95" t="str">
        <f>IFERROR(IF(VLOOKUP($A33,'Annex 2 EHV charges'!$D:$O,9,FALSE)=0,"",VLOOKUP($A33,'Annex 2 EHV charges'!$D:$O,9,FALSE)),"")</f>
        <v/>
      </c>
      <c r="F33" s="96" t="str">
        <f>IFERROR(IF(VLOOKUP($A33,'Annex 2 EHV charges'!$D:$O,10,FALSE)=0,"",VLOOKUP($A33,'Annex 2 EHV charges'!$D:$O,10,FALSE)),"")</f>
        <v/>
      </c>
      <c r="G33" s="97" t="str">
        <f>IFERROR(IF(VLOOKUP($A33,'Annex 2 EHV charges'!$D:$O,11,FALSE)=0,"",VLOOKUP($A33,'Annex 2 EHV charges'!$D:$O,11,FALSE)),"")</f>
        <v/>
      </c>
      <c r="H33" s="97" t="str">
        <f>IFERROR(IF(VLOOKUP($A33,'Annex 2 EHV charges'!$D:$O,12,FALSE)=0,"",VLOOKUP($A33,'Annex 2 EHV charges'!$D:$O,12,FALSE)),"")</f>
        <v/>
      </c>
    </row>
    <row r="34" spans="1:8" ht="12.75" customHeight="1" x14ac:dyDescent="0.2">
      <c r="A34" s="94" t="str">
        <f t="array" ref="A34">IFERROR(INDEX('Annex 2 EHV charges'!$D$11:$D$58, MATCH(0, IF(ISBLANK('Annex 2 EHV charges'!$D$11:$D$58),1, COUNTIF(A$4:$A33, 'Annex 2 EHV charges'!$D$11:$D$58)), 0)),"")</f>
        <v/>
      </c>
      <c r="B34" s="93" t="str">
        <f>IF($A34="","",VLOOKUP($A34,'Annex 2 EHV charges'!$D:$O,2,0))</f>
        <v/>
      </c>
      <c r="C34" s="94" t="str">
        <f>IF($A34="","",VLOOKUP($A34,'Annex 2 EHV charges'!$D:$O,3,0))</f>
        <v/>
      </c>
      <c r="D34" s="93" t="str">
        <f>IF($A34="","",VLOOKUP($A34,'Annex 2 EHV charges'!$D:$O,4,0))</f>
        <v/>
      </c>
      <c r="E34" s="95" t="str">
        <f>IFERROR(IF(VLOOKUP($A34,'Annex 2 EHV charges'!$D:$O,9,FALSE)=0,"",VLOOKUP($A34,'Annex 2 EHV charges'!$D:$O,9,FALSE)),"")</f>
        <v/>
      </c>
      <c r="F34" s="96" t="str">
        <f>IFERROR(IF(VLOOKUP($A34,'Annex 2 EHV charges'!$D:$O,10,FALSE)=0,"",VLOOKUP($A34,'Annex 2 EHV charges'!$D:$O,10,FALSE)),"")</f>
        <v/>
      </c>
      <c r="G34" s="97" t="str">
        <f>IFERROR(IF(VLOOKUP($A34,'Annex 2 EHV charges'!$D:$O,11,FALSE)=0,"",VLOOKUP($A34,'Annex 2 EHV charges'!$D:$O,11,FALSE)),"")</f>
        <v/>
      </c>
      <c r="H34" s="97" t="str">
        <f>IFERROR(IF(VLOOKUP($A34,'Annex 2 EHV charges'!$D:$O,12,FALSE)=0,"",VLOOKUP($A34,'Annex 2 EHV charges'!$D:$O,12,FALSE)),"")</f>
        <v/>
      </c>
    </row>
    <row r="35" spans="1:8" ht="12.75" customHeight="1" x14ac:dyDescent="0.2">
      <c r="A35" s="94" t="str">
        <f t="array" ref="A35">IFERROR(INDEX('Annex 2 EHV charges'!$D$11:$D$58, MATCH(0, IF(ISBLANK('Annex 2 EHV charges'!$D$11:$D$58),1, COUNTIF(A$4:$A34, 'Annex 2 EHV charges'!$D$11:$D$58)), 0)),"")</f>
        <v/>
      </c>
      <c r="B35" s="93" t="str">
        <f>IF($A35="","",VLOOKUP($A35,'Annex 2 EHV charges'!$D:$O,2,0))</f>
        <v/>
      </c>
      <c r="C35" s="94" t="str">
        <f>IF($A35="","",VLOOKUP($A35,'Annex 2 EHV charges'!$D:$O,3,0))</f>
        <v/>
      </c>
      <c r="D35" s="93" t="str">
        <f>IF($A35="","",VLOOKUP($A35,'Annex 2 EHV charges'!$D:$O,4,0))</f>
        <v/>
      </c>
      <c r="E35" s="95" t="str">
        <f>IFERROR(IF(VLOOKUP($A35,'Annex 2 EHV charges'!$D:$O,9,FALSE)=0,"",VLOOKUP($A35,'Annex 2 EHV charges'!$D:$O,9,FALSE)),"")</f>
        <v/>
      </c>
      <c r="F35" s="96" t="str">
        <f>IFERROR(IF(VLOOKUP($A35,'Annex 2 EHV charges'!$D:$O,10,FALSE)=0,"",VLOOKUP($A35,'Annex 2 EHV charges'!$D:$O,10,FALSE)),"")</f>
        <v/>
      </c>
      <c r="G35" s="97" t="str">
        <f>IFERROR(IF(VLOOKUP($A35,'Annex 2 EHV charges'!$D:$O,11,FALSE)=0,"",VLOOKUP($A35,'Annex 2 EHV charges'!$D:$O,11,FALSE)),"")</f>
        <v/>
      </c>
      <c r="H35" s="97" t="str">
        <f>IFERROR(IF(VLOOKUP($A35,'Annex 2 EHV charges'!$D:$O,12,FALSE)=0,"",VLOOKUP($A35,'Annex 2 EHV charges'!$D:$O,12,FALSE)),"")</f>
        <v/>
      </c>
    </row>
    <row r="36" spans="1:8" ht="12.75" customHeight="1" x14ac:dyDescent="0.2">
      <c r="A36" s="94" t="str">
        <f t="array" ref="A36">IFERROR(INDEX('Annex 2 EHV charges'!$D$11:$D$58, MATCH(0, IF(ISBLANK('Annex 2 EHV charges'!$D$11:$D$58),1, COUNTIF(A$4:$A35, 'Annex 2 EHV charges'!$D$11:$D$58)), 0)),"")</f>
        <v/>
      </c>
      <c r="B36" s="93" t="str">
        <f>IF($A36="","",VLOOKUP($A36,'Annex 2 EHV charges'!$D:$O,2,0))</f>
        <v/>
      </c>
      <c r="C36" s="94" t="str">
        <f>IF($A36="","",VLOOKUP($A36,'Annex 2 EHV charges'!$D:$O,3,0))</f>
        <v/>
      </c>
      <c r="D36" s="93" t="str">
        <f>IF($A36="","",VLOOKUP($A36,'Annex 2 EHV charges'!$D:$O,4,0))</f>
        <v/>
      </c>
      <c r="E36" s="95" t="str">
        <f>IFERROR(IF(VLOOKUP($A36,'Annex 2 EHV charges'!$D:$O,9,FALSE)=0,"",VLOOKUP($A36,'Annex 2 EHV charges'!$D:$O,9,FALSE)),"")</f>
        <v/>
      </c>
      <c r="F36" s="96" t="str">
        <f>IFERROR(IF(VLOOKUP($A36,'Annex 2 EHV charges'!$D:$O,10,FALSE)=0,"",VLOOKUP($A36,'Annex 2 EHV charges'!$D:$O,10,FALSE)),"")</f>
        <v/>
      </c>
      <c r="G36" s="97" t="str">
        <f>IFERROR(IF(VLOOKUP($A36,'Annex 2 EHV charges'!$D:$O,11,FALSE)=0,"",VLOOKUP($A36,'Annex 2 EHV charges'!$D:$O,11,FALSE)),"")</f>
        <v/>
      </c>
      <c r="H36" s="97" t="str">
        <f>IFERROR(IF(VLOOKUP($A36,'Annex 2 EHV charges'!$D:$O,12,FALSE)=0,"",VLOOKUP($A36,'Annex 2 EHV charges'!$D:$O,12,FALSE)),"")</f>
        <v/>
      </c>
    </row>
    <row r="37" spans="1:8" ht="12.75" customHeight="1" x14ac:dyDescent="0.2">
      <c r="A37" s="94" t="str">
        <f t="array" ref="A37">IFERROR(INDEX('Annex 2 EHV charges'!$D$11:$D$58, MATCH(0, IF(ISBLANK('Annex 2 EHV charges'!$D$11:$D$58),1, COUNTIF(A$4:$A36, 'Annex 2 EHV charges'!$D$11:$D$58)), 0)),"")</f>
        <v/>
      </c>
      <c r="B37" s="93" t="str">
        <f>IF($A37="","",VLOOKUP($A37,'Annex 2 EHV charges'!$D:$O,2,0))</f>
        <v/>
      </c>
      <c r="C37" s="94" t="str">
        <f>IF($A37="","",VLOOKUP($A37,'Annex 2 EHV charges'!$D:$O,3,0))</f>
        <v/>
      </c>
      <c r="D37" s="93" t="str">
        <f>IF($A37="","",VLOOKUP($A37,'Annex 2 EHV charges'!$D:$O,4,0))</f>
        <v/>
      </c>
      <c r="E37" s="95" t="str">
        <f>IFERROR(IF(VLOOKUP($A37,'Annex 2 EHV charges'!$D:$O,9,FALSE)=0,"",VLOOKUP($A37,'Annex 2 EHV charges'!$D:$O,9,FALSE)),"")</f>
        <v/>
      </c>
      <c r="F37" s="96" t="str">
        <f>IFERROR(IF(VLOOKUP($A37,'Annex 2 EHV charges'!$D:$O,10,FALSE)=0,"",VLOOKUP($A37,'Annex 2 EHV charges'!$D:$O,10,FALSE)),"")</f>
        <v/>
      </c>
      <c r="G37" s="97" t="str">
        <f>IFERROR(IF(VLOOKUP($A37,'Annex 2 EHV charges'!$D:$O,11,FALSE)=0,"",VLOOKUP($A37,'Annex 2 EHV charges'!$D:$O,11,FALSE)),"")</f>
        <v/>
      </c>
      <c r="H37" s="97" t="str">
        <f>IFERROR(IF(VLOOKUP($A37,'Annex 2 EHV charges'!$D:$O,12,FALSE)=0,"",VLOOKUP($A37,'Annex 2 EHV charges'!$D:$O,12,FALSE)),"")</f>
        <v/>
      </c>
    </row>
    <row r="38" spans="1:8" ht="12.75" customHeight="1" x14ac:dyDescent="0.2">
      <c r="A38" s="94" t="str">
        <f t="array" ref="A38">IFERROR(INDEX('Annex 2 EHV charges'!$D$11:$D$58, MATCH(0, IF(ISBLANK('Annex 2 EHV charges'!$D$11:$D$58),1, COUNTIF(A$4:$A37, 'Annex 2 EHV charges'!$D$11:$D$58)), 0)),"")</f>
        <v/>
      </c>
      <c r="B38" s="93" t="str">
        <f>IF($A38="","",VLOOKUP($A38,'Annex 2 EHV charges'!$D:$O,2,0))</f>
        <v/>
      </c>
      <c r="C38" s="94" t="str">
        <f>IF($A38="","",VLOOKUP($A38,'Annex 2 EHV charges'!$D:$O,3,0))</f>
        <v/>
      </c>
      <c r="D38" s="93" t="str">
        <f>IF($A38="","",VLOOKUP($A38,'Annex 2 EHV charges'!$D:$O,4,0))</f>
        <v/>
      </c>
      <c r="E38" s="95" t="str">
        <f>IFERROR(IF(VLOOKUP($A38,'Annex 2 EHV charges'!$D:$O,9,FALSE)=0,"",VLOOKUP($A38,'Annex 2 EHV charges'!$D:$O,9,FALSE)),"")</f>
        <v/>
      </c>
      <c r="F38" s="96" t="str">
        <f>IFERROR(IF(VLOOKUP($A38,'Annex 2 EHV charges'!$D:$O,10,FALSE)=0,"",VLOOKUP($A38,'Annex 2 EHV charges'!$D:$O,10,FALSE)),"")</f>
        <v/>
      </c>
      <c r="G38" s="97" t="str">
        <f>IFERROR(IF(VLOOKUP($A38,'Annex 2 EHV charges'!$D:$O,11,FALSE)=0,"",VLOOKUP($A38,'Annex 2 EHV charges'!$D:$O,11,FALSE)),"")</f>
        <v/>
      </c>
      <c r="H38" s="97" t="str">
        <f>IFERROR(IF(VLOOKUP($A38,'Annex 2 EHV charges'!$D:$O,12,FALSE)=0,"",VLOOKUP($A38,'Annex 2 EHV charges'!$D:$O,12,FALSE)),"")</f>
        <v/>
      </c>
    </row>
    <row r="39" spans="1:8" ht="12.75" customHeight="1" x14ac:dyDescent="0.2">
      <c r="A39" s="94" t="str">
        <f t="array" ref="A39">IFERROR(INDEX('Annex 2 EHV charges'!$D$11:$D$58, MATCH(0, IF(ISBLANK('Annex 2 EHV charges'!$D$11:$D$58),1, COUNTIF(A$4:$A38, 'Annex 2 EHV charges'!$D$11:$D$58)), 0)),"")</f>
        <v/>
      </c>
      <c r="B39" s="93" t="str">
        <f>IF($A39="","",VLOOKUP($A39,'Annex 2 EHV charges'!$D:$O,2,0))</f>
        <v/>
      </c>
      <c r="C39" s="94" t="str">
        <f>IF($A39="","",VLOOKUP($A39,'Annex 2 EHV charges'!$D:$O,3,0))</f>
        <v/>
      </c>
      <c r="D39" s="93" t="str">
        <f>IF($A39="","",VLOOKUP($A39,'Annex 2 EHV charges'!$D:$O,4,0))</f>
        <v/>
      </c>
      <c r="E39" s="95" t="str">
        <f>IFERROR(IF(VLOOKUP($A39,'Annex 2 EHV charges'!$D:$O,9,FALSE)=0,"",VLOOKUP($A39,'Annex 2 EHV charges'!$D:$O,9,FALSE)),"")</f>
        <v/>
      </c>
      <c r="F39" s="96" t="str">
        <f>IFERROR(IF(VLOOKUP($A39,'Annex 2 EHV charges'!$D:$O,10,FALSE)=0,"",VLOOKUP($A39,'Annex 2 EHV charges'!$D:$O,10,FALSE)),"")</f>
        <v/>
      </c>
      <c r="G39" s="97" t="str">
        <f>IFERROR(IF(VLOOKUP($A39,'Annex 2 EHV charges'!$D:$O,11,FALSE)=0,"",VLOOKUP($A39,'Annex 2 EHV charges'!$D:$O,11,FALSE)),"")</f>
        <v/>
      </c>
      <c r="H39" s="97" t="str">
        <f>IFERROR(IF(VLOOKUP($A39,'Annex 2 EHV charges'!$D:$O,12,FALSE)=0,"",VLOOKUP($A39,'Annex 2 EHV charges'!$D:$O,12,FALSE)),"")</f>
        <v/>
      </c>
    </row>
    <row r="40" spans="1:8" ht="12.75" customHeight="1" x14ac:dyDescent="0.2">
      <c r="A40" s="94" t="str">
        <f t="array" ref="A40">IFERROR(INDEX('Annex 2 EHV charges'!$D$11:$D$58, MATCH(0, IF(ISBLANK('Annex 2 EHV charges'!$D$11:$D$58),1, COUNTIF(A$4:$A39, 'Annex 2 EHV charges'!$D$11:$D$58)), 0)),"")</f>
        <v/>
      </c>
      <c r="B40" s="93" t="str">
        <f>IF($A40="","",VLOOKUP($A40,'Annex 2 EHV charges'!$D:$O,2,0))</f>
        <v/>
      </c>
      <c r="C40" s="94" t="str">
        <f>IF($A40="","",VLOOKUP($A40,'Annex 2 EHV charges'!$D:$O,3,0))</f>
        <v/>
      </c>
      <c r="D40" s="93" t="str">
        <f>IF($A40="","",VLOOKUP($A40,'Annex 2 EHV charges'!$D:$O,4,0))</f>
        <v/>
      </c>
      <c r="E40" s="95" t="str">
        <f>IFERROR(IF(VLOOKUP($A40,'Annex 2 EHV charges'!$D:$O,9,FALSE)=0,"",VLOOKUP($A40,'Annex 2 EHV charges'!$D:$O,9,FALSE)),"")</f>
        <v/>
      </c>
      <c r="F40" s="96" t="str">
        <f>IFERROR(IF(VLOOKUP($A40,'Annex 2 EHV charges'!$D:$O,10,FALSE)=0,"",VLOOKUP($A40,'Annex 2 EHV charges'!$D:$O,10,FALSE)),"")</f>
        <v/>
      </c>
      <c r="G40" s="97" t="str">
        <f>IFERROR(IF(VLOOKUP($A40,'Annex 2 EHV charges'!$D:$O,11,FALSE)=0,"",VLOOKUP($A40,'Annex 2 EHV charges'!$D:$O,11,FALSE)),"")</f>
        <v/>
      </c>
      <c r="H40" s="97" t="str">
        <f>IFERROR(IF(VLOOKUP($A40,'Annex 2 EHV charges'!$D:$O,12,FALSE)=0,"",VLOOKUP($A40,'Annex 2 EHV charges'!$D:$O,12,FALSE)),"")</f>
        <v/>
      </c>
    </row>
    <row r="41" spans="1:8" ht="12.75" customHeight="1" x14ac:dyDescent="0.2">
      <c r="A41" s="94" t="str">
        <f t="array" ref="A41">IFERROR(INDEX('Annex 2 EHV charges'!$D$11:$D$58, MATCH(0, IF(ISBLANK('Annex 2 EHV charges'!$D$11:$D$58),1, COUNTIF(A$4:$A40, 'Annex 2 EHV charges'!$D$11:$D$58)), 0)),"")</f>
        <v/>
      </c>
      <c r="B41" s="93" t="str">
        <f>IF($A41="","",VLOOKUP($A41,'Annex 2 EHV charges'!$D:$O,2,0))</f>
        <v/>
      </c>
      <c r="C41" s="94" t="str">
        <f>IF($A41="","",VLOOKUP($A41,'Annex 2 EHV charges'!$D:$O,3,0))</f>
        <v/>
      </c>
      <c r="D41" s="93" t="str">
        <f>IF($A41="","",VLOOKUP($A41,'Annex 2 EHV charges'!$D:$O,4,0))</f>
        <v/>
      </c>
      <c r="E41" s="95" t="str">
        <f>IFERROR(IF(VLOOKUP($A41,'Annex 2 EHV charges'!$D:$O,9,FALSE)=0,"",VLOOKUP($A41,'Annex 2 EHV charges'!$D:$O,9,FALSE)),"")</f>
        <v/>
      </c>
      <c r="F41" s="96" t="str">
        <f>IFERROR(IF(VLOOKUP($A41,'Annex 2 EHV charges'!$D:$O,10,FALSE)=0,"",VLOOKUP($A41,'Annex 2 EHV charges'!$D:$O,10,FALSE)),"")</f>
        <v/>
      </c>
      <c r="G41" s="97" t="str">
        <f>IFERROR(IF(VLOOKUP($A41,'Annex 2 EHV charges'!$D:$O,11,FALSE)=0,"",VLOOKUP($A41,'Annex 2 EHV charges'!$D:$O,11,FALSE)),"")</f>
        <v/>
      </c>
      <c r="H41" s="97" t="str">
        <f>IFERROR(IF(VLOOKUP($A41,'Annex 2 EHV charges'!$D:$O,12,FALSE)=0,"",VLOOKUP($A41,'Annex 2 EHV charges'!$D:$O,12,FALSE)),"")</f>
        <v/>
      </c>
    </row>
    <row r="42" spans="1:8" ht="12.75" customHeight="1" x14ac:dyDescent="0.2">
      <c r="A42" s="94" t="str">
        <f t="array" ref="A42">IFERROR(INDEX('Annex 2 EHV charges'!$D$11:$D$58, MATCH(0, IF(ISBLANK('Annex 2 EHV charges'!$D$11:$D$58),1, COUNTIF(A$4:$A41, 'Annex 2 EHV charges'!$D$11:$D$58)), 0)),"")</f>
        <v/>
      </c>
      <c r="B42" s="93" t="str">
        <f>IF($A42="","",VLOOKUP($A42,'Annex 2 EHV charges'!$D:$O,2,0))</f>
        <v/>
      </c>
      <c r="C42" s="94" t="str">
        <f>IF($A42="","",VLOOKUP($A42,'Annex 2 EHV charges'!$D:$O,3,0))</f>
        <v/>
      </c>
      <c r="D42" s="93" t="str">
        <f>IF($A42="","",VLOOKUP($A42,'Annex 2 EHV charges'!$D:$O,4,0))</f>
        <v/>
      </c>
      <c r="E42" s="95" t="str">
        <f>IFERROR(IF(VLOOKUP($A42,'Annex 2 EHV charges'!$D:$O,9,FALSE)=0,"",VLOOKUP($A42,'Annex 2 EHV charges'!$D:$O,9,FALSE)),"")</f>
        <v/>
      </c>
      <c r="F42" s="96" t="str">
        <f>IFERROR(IF(VLOOKUP($A42,'Annex 2 EHV charges'!$D:$O,10,FALSE)=0,"",VLOOKUP($A42,'Annex 2 EHV charges'!$D:$O,10,FALSE)),"")</f>
        <v/>
      </c>
      <c r="G42" s="97" t="str">
        <f>IFERROR(IF(VLOOKUP($A42,'Annex 2 EHV charges'!$D:$O,11,FALSE)=0,"",VLOOKUP($A42,'Annex 2 EHV charges'!$D:$O,11,FALSE)),"")</f>
        <v/>
      </c>
      <c r="H42" s="97" t="str">
        <f>IFERROR(IF(VLOOKUP($A42,'Annex 2 EHV charges'!$D:$O,12,FALSE)=0,"",VLOOKUP($A42,'Annex 2 EHV charges'!$D:$O,12,FALSE)),"")</f>
        <v/>
      </c>
    </row>
    <row r="43" spans="1:8" ht="12.75" customHeight="1" x14ac:dyDescent="0.2">
      <c r="A43" s="94" t="str">
        <f t="array" ref="A43">IFERROR(INDEX('Annex 2 EHV charges'!$D$11:$D$58, MATCH(0, IF(ISBLANK('Annex 2 EHV charges'!$D$11:$D$58),1, COUNTIF(A$4:$A42, 'Annex 2 EHV charges'!$D$11:$D$58)), 0)),"")</f>
        <v/>
      </c>
      <c r="B43" s="93" t="str">
        <f>IF($A43="","",VLOOKUP($A43,'Annex 2 EHV charges'!$D:$O,2,0))</f>
        <v/>
      </c>
      <c r="C43" s="94" t="str">
        <f>IF($A43="","",VLOOKUP($A43,'Annex 2 EHV charges'!$D:$O,3,0))</f>
        <v/>
      </c>
      <c r="D43" s="93" t="str">
        <f>IF($A43="","",VLOOKUP($A43,'Annex 2 EHV charges'!$D:$O,4,0))</f>
        <v/>
      </c>
      <c r="E43" s="95" t="str">
        <f>IFERROR(IF(VLOOKUP($A43,'Annex 2 EHV charges'!$D:$O,9,FALSE)=0,"",VLOOKUP($A43,'Annex 2 EHV charges'!$D:$O,9,FALSE)),"")</f>
        <v/>
      </c>
      <c r="F43" s="96" t="str">
        <f>IFERROR(IF(VLOOKUP($A43,'Annex 2 EHV charges'!$D:$O,10,FALSE)=0,"",VLOOKUP($A43,'Annex 2 EHV charges'!$D:$O,10,FALSE)),"")</f>
        <v/>
      </c>
      <c r="G43" s="97" t="str">
        <f>IFERROR(IF(VLOOKUP($A43,'Annex 2 EHV charges'!$D:$O,11,FALSE)=0,"",VLOOKUP($A43,'Annex 2 EHV charges'!$D:$O,11,FALSE)),"")</f>
        <v/>
      </c>
      <c r="H43" s="97" t="str">
        <f>IFERROR(IF(VLOOKUP($A43,'Annex 2 EHV charges'!$D:$O,12,FALSE)=0,"",VLOOKUP($A43,'Annex 2 EHV charges'!$D:$O,12,FALSE)),"")</f>
        <v/>
      </c>
    </row>
    <row r="44" spans="1:8" ht="12.75" customHeight="1" x14ac:dyDescent="0.2">
      <c r="A44" s="94" t="str">
        <f t="array" ref="A44">IFERROR(INDEX('Annex 2 EHV charges'!$D$11:$D$58, MATCH(0, IF(ISBLANK('Annex 2 EHV charges'!$D$11:$D$58),1, COUNTIF(A$4:$A43, 'Annex 2 EHV charges'!$D$11:$D$58)), 0)),"")</f>
        <v/>
      </c>
      <c r="B44" s="93" t="str">
        <f>IF($A44="","",VLOOKUP($A44,'Annex 2 EHV charges'!$D:$O,2,0))</f>
        <v/>
      </c>
      <c r="C44" s="94" t="str">
        <f>IF($A44="","",VLOOKUP($A44,'Annex 2 EHV charges'!$D:$O,3,0))</f>
        <v/>
      </c>
      <c r="D44" s="93" t="str">
        <f>IF($A44="","",VLOOKUP($A44,'Annex 2 EHV charges'!$D:$O,4,0))</f>
        <v/>
      </c>
      <c r="E44" s="95" t="str">
        <f>IFERROR(IF(VLOOKUP($A44,'Annex 2 EHV charges'!$D:$O,9,FALSE)=0,"",VLOOKUP($A44,'Annex 2 EHV charges'!$D:$O,9,FALSE)),"")</f>
        <v/>
      </c>
      <c r="F44" s="96" t="str">
        <f>IFERROR(IF(VLOOKUP($A44,'Annex 2 EHV charges'!$D:$O,10,FALSE)=0,"",VLOOKUP($A44,'Annex 2 EHV charges'!$D:$O,10,FALSE)),"")</f>
        <v/>
      </c>
      <c r="G44" s="97" t="str">
        <f>IFERROR(IF(VLOOKUP($A44,'Annex 2 EHV charges'!$D:$O,11,FALSE)=0,"",VLOOKUP($A44,'Annex 2 EHV charges'!$D:$O,11,FALSE)),"")</f>
        <v/>
      </c>
      <c r="H44" s="97" t="str">
        <f>IFERROR(IF(VLOOKUP($A44,'Annex 2 EHV charges'!$D:$O,12,FALSE)=0,"",VLOOKUP($A44,'Annex 2 EHV charges'!$D:$O,12,FALSE)),"")</f>
        <v/>
      </c>
    </row>
    <row r="45" spans="1:8" ht="12.75" customHeight="1" x14ac:dyDescent="0.2">
      <c r="A45" s="94" t="str">
        <f t="array" ref="A45">IFERROR(INDEX('Annex 2 EHV charges'!$D$11:$D$58, MATCH(0, IF(ISBLANK('Annex 2 EHV charges'!$D$11:$D$58),1, COUNTIF(A$4:$A44, 'Annex 2 EHV charges'!$D$11:$D$58)), 0)),"")</f>
        <v/>
      </c>
      <c r="B45" s="93" t="str">
        <f>IF($A45="","",VLOOKUP($A45,'Annex 2 EHV charges'!$D:$O,2,0))</f>
        <v/>
      </c>
      <c r="C45" s="94" t="str">
        <f>IF($A45="","",VLOOKUP($A45,'Annex 2 EHV charges'!$D:$O,3,0))</f>
        <v/>
      </c>
      <c r="D45" s="93" t="str">
        <f>IF($A45="","",VLOOKUP($A45,'Annex 2 EHV charges'!$D:$O,4,0))</f>
        <v/>
      </c>
      <c r="E45" s="95" t="str">
        <f>IFERROR(IF(VLOOKUP($A45,'Annex 2 EHV charges'!$D:$O,9,FALSE)=0,"",VLOOKUP($A45,'Annex 2 EHV charges'!$D:$O,9,FALSE)),"")</f>
        <v/>
      </c>
      <c r="F45" s="96" t="str">
        <f>IFERROR(IF(VLOOKUP($A45,'Annex 2 EHV charges'!$D:$O,10,FALSE)=0,"",VLOOKUP($A45,'Annex 2 EHV charges'!$D:$O,10,FALSE)),"")</f>
        <v/>
      </c>
      <c r="G45" s="97" t="str">
        <f>IFERROR(IF(VLOOKUP($A45,'Annex 2 EHV charges'!$D:$O,11,FALSE)=0,"",VLOOKUP($A45,'Annex 2 EHV charges'!$D:$O,11,FALSE)),"")</f>
        <v/>
      </c>
      <c r="H45" s="97" t="str">
        <f>IFERROR(IF(VLOOKUP($A45,'Annex 2 EHV charges'!$D:$O,12,FALSE)=0,"",VLOOKUP($A45,'Annex 2 EHV charges'!$D:$O,12,FALSE)),"")</f>
        <v/>
      </c>
    </row>
    <row r="46" spans="1:8" ht="12.75" customHeight="1" x14ac:dyDescent="0.2">
      <c r="A46" s="94" t="str">
        <f t="array" ref="A46">IFERROR(INDEX('Annex 2 EHV charges'!$D$11:$D$58, MATCH(0, IF(ISBLANK('Annex 2 EHV charges'!$D$11:$D$58),1, COUNTIF(A$4:$A45, 'Annex 2 EHV charges'!$D$11:$D$58)), 0)),"")</f>
        <v/>
      </c>
      <c r="B46" s="93" t="str">
        <f>IF($A46="","",VLOOKUP($A46,'Annex 2 EHV charges'!$D:$O,2,0))</f>
        <v/>
      </c>
      <c r="C46" s="94" t="str">
        <f>IF($A46="","",VLOOKUP($A46,'Annex 2 EHV charges'!$D:$O,3,0))</f>
        <v/>
      </c>
      <c r="D46" s="93" t="str">
        <f>IF($A46="","",VLOOKUP($A46,'Annex 2 EHV charges'!$D:$O,4,0))</f>
        <v/>
      </c>
      <c r="E46" s="95" t="str">
        <f>IFERROR(IF(VLOOKUP($A46,'Annex 2 EHV charges'!$D:$O,9,FALSE)=0,"",VLOOKUP($A46,'Annex 2 EHV charges'!$D:$O,9,FALSE)),"")</f>
        <v/>
      </c>
      <c r="F46" s="96" t="str">
        <f>IFERROR(IF(VLOOKUP($A46,'Annex 2 EHV charges'!$D:$O,10,FALSE)=0,"",VLOOKUP($A46,'Annex 2 EHV charges'!$D:$O,10,FALSE)),"")</f>
        <v/>
      </c>
      <c r="G46" s="97" t="str">
        <f>IFERROR(IF(VLOOKUP($A46,'Annex 2 EHV charges'!$D:$O,11,FALSE)=0,"",VLOOKUP($A46,'Annex 2 EHV charges'!$D:$O,11,FALSE)),"")</f>
        <v/>
      </c>
      <c r="H46" s="97" t="str">
        <f>IFERROR(IF(VLOOKUP($A46,'Annex 2 EHV charges'!$D:$O,12,FALSE)=0,"",VLOOKUP($A46,'Annex 2 EHV charges'!$D:$O,12,FALSE)),"")</f>
        <v/>
      </c>
    </row>
    <row r="47" spans="1:8" ht="12.75" customHeight="1" x14ac:dyDescent="0.2">
      <c r="A47" s="94" t="str">
        <f t="array" ref="A47">IFERROR(INDEX('Annex 2 EHV charges'!$D$11:$D$58, MATCH(0, IF(ISBLANK('Annex 2 EHV charges'!$D$11:$D$58),1, COUNTIF(A$4:$A46, 'Annex 2 EHV charges'!$D$11:$D$58)), 0)),"")</f>
        <v/>
      </c>
      <c r="B47" s="93" t="str">
        <f>IF($A47="","",VLOOKUP($A47,'Annex 2 EHV charges'!$D:$O,2,0))</f>
        <v/>
      </c>
      <c r="C47" s="94" t="str">
        <f>IF($A47="","",VLOOKUP($A47,'Annex 2 EHV charges'!$D:$O,3,0))</f>
        <v/>
      </c>
      <c r="D47" s="93" t="str">
        <f>IF($A47="","",VLOOKUP($A47,'Annex 2 EHV charges'!$D:$O,4,0))</f>
        <v/>
      </c>
      <c r="E47" s="95" t="str">
        <f>IFERROR(IF(VLOOKUP($A47,'Annex 2 EHV charges'!$D:$O,9,FALSE)=0,"",VLOOKUP($A47,'Annex 2 EHV charges'!$D:$O,9,FALSE)),"")</f>
        <v/>
      </c>
      <c r="F47" s="96" t="str">
        <f>IFERROR(IF(VLOOKUP($A47,'Annex 2 EHV charges'!$D:$O,10,FALSE)=0,"",VLOOKUP($A47,'Annex 2 EHV charges'!$D:$O,10,FALSE)),"")</f>
        <v/>
      </c>
      <c r="G47" s="97" t="str">
        <f>IFERROR(IF(VLOOKUP($A47,'Annex 2 EHV charges'!$D:$O,11,FALSE)=0,"",VLOOKUP($A47,'Annex 2 EHV charges'!$D:$O,11,FALSE)),"")</f>
        <v/>
      </c>
      <c r="H47" s="97" t="str">
        <f>IFERROR(IF(VLOOKUP($A47,'Annex 2 EHV charges'!$D:$O,12,FALSE)=0,"",VLOOKUP($A47,'Annex 2 EHV charges'!$D:$O,12,FALSE)),"")</f>
        <v/>
      </c>
    </row>
    <row r="48" spans="1:8" ht="12.75" customHeight="1" x14ac:dyDescent="0.2">
      <c r="A48" s="94" t="str">
        <f t="array" ref="A48">IFERROR(INDEX('Annex 2 EHV charges'!$D$11:$D$58, MATCH(0, IF(ISBLANK('Annex 2 EHV charges'!$D$11:$D$58),1, COUNTIF(A$4:$A47, 'Annex 2 EHV charges'!$D$11:$D$58)), 0)),"")</f>
        <v/>
      </c>
      <c r="B48" s="93" t="str">
        <f>IF($A48="","",VLOOKUP($A48,'Annex 2 EHV charges'!$D:$O,2,0))</f>
        <v/>
      </c>
      <c r="C48" s="94" t="str">
        <f>IF($A48="","",VLOOKUP($A48,'Annex 2 EHV charges'!$D:$O,3,0))</f>
        <v/>
      </c>
      <c r="D48" s="93" t="str">
        <f>IF($A48="","",VLOOKUP($A48,'Annex 2 EHV charges'!$D:$O,4,0))</f>
        <v/>
      </c>
      <c r="E48" s="95" t="str">
        <f>IFERROR(IF(VLOOKUP($A48,'Annex 2 EHV charges'!$D:$O,9,FALSE)=0,"",VLOOKUP($A48,'Annex 2 EHV charges'!$D:$O,9,FALSE)),"")</f>
        <v/>
      </c>
      <c r="F48" s="96" t="str">
        <f>IFERROR(IF(VLOOKUP($A48,'Annex 2 EHV charges'!$D:$O,10,FALSE)=0,"",VLOOKUP($A48,'Annex 2 EHV charges'!$D:$O,10,FALSE)),"")</f>
        <v/>
      </c>
      <c r="G48" s="97" t="str">
        <f>IFERROR(IF(VLOOKUP($A48,'Annex 2 EHV charges'!$D:$O,11,FALSE)=0,"",VLOOKUP($A48,'Annex 2 EHV charges'!$D:$O,11,FALSE)),"")</f>
        <v/>
      </c>
      <c r="H48" s="97" t="str">
        <f>IFERROR(IF(VLOOKUP($A48,'Annex 2 EHV charges'!$D:$O,12,FALSE)=0,"",VLOOKUP($A48,'Annex 2 EHV charges'!$D:$O,12,FALSE)),"")</f>
        <v/>
      </c>
    </row>
    <row r="49" spans="1:8" ht="12.75" customHeight="1" x14ac:dyDescent="0.2">
      <c r="A49" s="94" t="str">
        <f t="array" ref="A49">IFERROR(INDEX('Annex 2 EHV charges'!$D$11:$D$58, MATCH(0, IF(ISBLANK('Annex 2 EHV charges'!$D$11:$D$58),1, COUNTIF(A$4:$A48, 'Annex 2 EHV charges'!$D$11:$D$58)), 0)),"")</f>
        <v/>
      </c>
      <c r="B49" s="93" t="str">
        <f>IF($A49="","",VLOOKUP($A49,'Annex 2 EHV charges'!$D:$O,2,0))</f>
        <v/>
      </c>
      <c r="C49" s="94" t="str">
        <f>IF($A49="","",VLOOKUP($A49,'Annex 2 EHV charges'!$D:$O,3,0))</f>
        <v/>
      </c>
      <c r="D49" s="93" t="str">
        <f>IF($A49="","",VLOOKUP($A49,'Annex 2 EHV charges'!$D:$O,4,0))</f>
        <v/>
      </c>
      <c r="E49" s="95" t="str">
        <f>IFERROR(IF(VLOOKUP($A49,'Annex 2 EHV charges'!$D:$O,9,FALSE)=0,"",VLOOKUP($A49,'Annex 2 EHV charges'!$D:$O,9,FALSE)),"")</f>
        <v/>
      </c>
      <c r="F49" s="96" t="str">
        <f>IFERROR(IF(VLOOKUP($A49,'Annex 2 EHV charges'!$D:$O,10,FALSE)=0,"",VLOOKUP($A49,'Annex 2 EHV charges'!$D:$O,10,FALSE)),"")</f>
        <v/>
      </c>
      <c r="G49" s="97" t="str">
        <f>IFERROR(IF(VLOOKUP($A49,'Annex 2 EHV charges'!$D:$O,11,FALSE)=0,"",VLOOKUP($A49,'Annex 2 EHV charges'!$D:$O,11,FALSE)),"")</f>
        <v/>
      </c>
      <c r="H49" s="97" t="str">
        <f>IFERROR(IF(VLOOKUP($A49,'Annex 2 EHV charges'!$D:$O,12,FALSE)=0,"",VLOOKUP($A49,'Annex 2 EHV charges'!$D:$O,12,FALSE)),"")</f>
        <v/>
      </c>
    </row>
    <row r="50" spans="1:8" ht="12.75" customHeight="1" x14ac:dyDescent="0.2">
      <c r="A50" s="94" t="str">
        <f t="array" ref="A50">IFERROR(INDEX('Annex 2 EHV charges'!$D$11:$D$58, MATCH(0, IF(ISBLANK('Annex 2 EHV charges'!$D$11:$D$58),1, COUNTIF(A$4:$A49, 'Annex 2 EHV charges'!$D$11:$D$58)), 0)),"")</f>
        <v/>
      </c>
      <c r="B50" s="93" t="str">
        <f>IF($A50="","",VLOOKUP($A50,'Annex 2 EHV charges'!$D:$O,2,0))</f>
        <v/>
      </c>
      <c r="C50" s="94" t="str">
        <f>IF($A50="","",VLOOKUP($A50,'Annex 2 EHV charges'!$D:$O,3,0))</f>
        <v/>
      </c>
      <c r="D50" s="93" t="str">
        <f>IF($A50="","",VLOOKUP($A50,'Annex 2 EHV charges'!$D:$O,4,0))</f>
        <v/>
      </c>
      <c r="E50" s="95" t="str">
        <f>IFERROR(IF(VLOOKUP($A50,'Annex 2 EHV charges'!$D:$O,9,FALSE)=0,"",VLOOKUP($A50,'Annex 2 EHV charges'!$D:$O,9,FALSE)),"")</f>
        <v/>
      </c>
      <c r="F50" s="96" t="str">
        <f>IFERROR(IF(VLOOKUP($A50,'Annex 2 EHV charges'!$D:$O,10,FALSE)=0,"",VLOOKUP($A50,'Annex 2 EHV charges'!$D:$O,10,FALSE)),"")</f>
        <v/>
      </c>
      <c r="G50" s="97" t="str">
        <f>IFERROR(IF(VLOOKUP($A50,'Annex 2 EHV charges'!$D:$O,11,FALSE)=0,"",VLOOKUP($A50,'Annex 2 EHV charges'!$D:$O,11,FALSE)),"")</f>
        <v/>
      </c>
      <c r="H50" s="97" t="str">
        <f>IFERROR(IF(VLOOKUP($A50,'Annex 2 EHV charges'!$D:$O,12,FALSE)=0,"",VLOOKUP($A50,'Annex 2 EHV charges'!$D:$O,12,FALSE)),"")</f>
        <v/>
      </c>
    </row>
    <row r="51" spans="1:8" ht="12.75" customHeight="1" x14ac:dyDescent="0.2">
      <c r="A51" s="94" t="str">
        <f t="array" ref="A51">IFERROR(INDEX('Annex 2 EHV charges'!$D$11:$D$58, MATCH(0, IF(ISBLANK('Annex 2 EHV charges'!$D$11:$D$58),1, COUNTIF(A$4:$A50, 'Annex 2 EHV charges'!$D$11:$D$58)), 0)),"")</f>
        <v/>
      </c>
      <c r="B51" s="93" t="str">
        <f>IF($A51="","",VLOOKUP($A51,'Annex 2 EHV charges'!$D:$O,2,0))</f>
        <v/>
      </c>
      <c r="C51" s="94" t="str">
        <f>IF($A51="","",VLOOKUP($A51,'Annex 2 EHV charges'!$D:$O,3,0))</f>
        <v/>
      </c>
      <c r="D51" s="93" t="str">
        <f>IF($A51="","",VLOOKUP($A51,'Annex 2 EHV charges'!$D:$O,4,0))</f>
        <v/>
      </c>
      <c r="E51" s="95" t="str">
        <f>IFERROR(IF(VLOOKUP($A51,'Annex 2 EHV charges'!$D:$O,9,FALSE)=0,"",VLOOKUP($A51,'Annex 2 EHV charges'!$D:$O,9,FALSE)),"")</f>
        <v/>
      </c>
      <c r="F51" s="96" t="str">
        <f>IFERROR(IF(VLOOKUP($A51,'Annex 2 EHV charges'!$D:$O,10,FALSE)=0,"",VLOOKUP($A51,'Annex 2 EHV charges'!$D:$O,10,FALSE)),"")</f>
        <v/>
      </c>
      <c r="G51" s="97" t="str">
        <f>IFERROR(IF(VLOOKUP($A51,'Annex 2 EHV charges'!$D:$O,11,FALSE)=0,"",VLOOKUP($A51,'Annex 2 EHV charges'!$D:$O,11,FALSE)),"")</f>
        <v/>
      </c>
      <c r="H51" s="97" t="str">
        <f>IFERROR(IF(VLOOKUP($A51,'Annex 2 EHV charges'!$D:$O,12,FALSE)=0,"",VLOOKUP($A51,'Annex 2 EHV charges'!$D:$O,12,FALSE)),"")</f>
        <v/>
      </c>
    </row>
    <row r="52" spans="1:8" ht="12.75" customHeight="1" x14ac:dyDescent="0.2">
      <c r="A52" s="94" t="str">
        <f t="array" ref="A52">IFERROR(INDEX('Annex 2 EHV charges'!$D$11:$D$58, MATCH(0, IF(ISBLANK('Annex 2 EHV charges'!$D$11:$D$58),1, COUNTIF(A$4:$A51, 'Annex 2 EHV charges'!$D$11:$D$58)), 0)),"")</f>
        <v/>
      </c>
      <c r="B52" s="93" t="str">
        <f>IF($A52="","",VLOOKUP($A52,'Annex 2 EHV charges'!$D:$O,2,0))</f>
        <v/>
      </c>
      <c r="C52" s="94" t="str">
        <f>IF($A52="","",VLOOKUP($A52,'Annex 2 EHV charges'!$D:$O,3,0))</f>
        <v/>
      </c>
      <c r="D52" s="93" t="str">
        <f>IF($A52="","",VLOOKUP($A52,'Annex 2 EHV charges'!$D:$O,4,0))</f>
        <v/>
      </c>
      <c r="E52" s="95" t="str">
        <f>IFERROR(IF(VLOOKUP($A52,'Annex 2 EHV charges'!$D:$O,9,FALSE)=0,"",VLOOKUP($A52,'Annex 2 EHV charges'!$D:$O,9,FALSE)),"")</f>
        <v/>
      </c>
      <c r="F52" s="96" t="str">
        <f>IFERROR(IF(VLOOKUP($A52,'Annex 2 EHV charges'!$D:$O,10,FALSE)=0,"",VLOOKUP($A52,'Annex 2 EHV charges'!$D:$O,10,FALSE)),"")</f>
        <v/>
      </c>
      <c r="G52" s="97" t="str">
        <f>IFERROR(IF(VLOOKUP($A52,'Annex 2 EHV charges'!$D:$O,11,FALSE)=0,"",VLOOKUP($A52,'Annex 2 EHV charges'!$D:$O,11,FALSE)),"")</f>
        <v/>
      </c>
      <c r="H52" s="97" t="str">
        <f>IFERROR(IF(VLOOKUP($A52,'Annex 2 EHV charges'!$D:$O,12,FALSE)=0,"",VLOOKUP($A52,'Annex 2 EHV charges'!$D:$O,12,FALSE)),"")</f>
        <v/>
      </c>
    </row>
    <row r="53" spans="1:8" ht="12.75" customHeight="1" x14ac:dyDescent="0.2">
      <c r="A53" s="94" t="str">
        <f t="array" ref="A53">IFERROR(INDEX('Annex 2 EHV charges'!$D$11:$D$58, MATCH(0, IF(ISBLANK('Annex 2 EHV charges'!$D$11:$D$58),1, COUNTIF(A$4:$A52, 'Annex 2 EHV charges'!$D$11:$D$58)), 0)),"")</f>
        <v/>
      </c>
      <c r="B53" s="93" t="str">
        <f>IF($A53="","",VLOOKUP($A53,'Annex 2 EHV charges'!$D:$O,2,0))</f>
        <v/>
      </c>
      <c r="C53" s="94" t="str">
        <f>IF($A53="","",VLOOKUP($A53,'Annex 2 EHV charges'!$D:$O,3,0))</f>
        <v/>
      </c>
      <c r="D53" s="93" t="str">
        <f>IF($A53="","",VLOOKUP($A53,'Annex 2 EHV charges'!$D:$O,4,0))</f>
        <v/>
      </c>
      <c r="E53" s="95" t="str">
        <f>IFERROR(IF(VLOOKUP($A53,'Annex 2 EHV charges'!$D:$O,9,FALSE)=0,"",VLOOKUP($A53,'Annex 2 EHV charges'!$D:$O,9,FALSE)),"")</f>
        <v/>
      </c>
      <c r="F53" s="96" t="str">
        <f>IFERROR(IF(VLOOKUP($A53,'Annex 2 EHV charges'!$D:$O,10,FALSE)=0,"",VLOOKUP($A53,'Annex 2 EHV charges'!$D:$O,10,FALSE)),"")</f>
        <v/>
      </c>
      <c r="G53" s="97" t="str">
        <f>IFERROR(IF(VLOOKUP($A53,'Annex 2 EHV charges'!$D:$O,11,FALSE)=0,"",VLOOKUP($A53,'Annex 2 EHV charges'!$D:$O,11,FALSE)),"")</f>
        <v/>
      </c>
      <c r="H53" s="97" t="str">
        <f>IFERROR(IF(VLOOKUP($A53,'Annex 2 EHV charges'!$D:$O,12,FALSE)=0,"",VLOOKUP($A53,'Annex 2 EHV charges'!$D:$O,12,FALSE)),"")</f>
        <v/>
      </c>
    </row>
    <row r="54" spans="1:8" ht="12.75" customHeight="1" x14ac:dyDescent="0.2">
      <c r="A54" s="94" t="str">
        <f t="array" ref="A54">IFERROR(INDEX('Annex 2 EHV charges'!$D$11:$D$58, MATCH(0, IF(ISBLANK('Annex 2 EHV charges'!$D$11:$D$58),1, COUNTIF(A$4:$A53, 'Annex 2 EHV charges'!$D$11:$D$58)), 0)),"")</f>
        <v/>
      </c>
      <c r="B54" s="93" t="str">
        <f>IF($A54="","",VLOOKUP($A54,'Annex 2 EHV charges'!$D:$O,2,0))</f>
        <v/>
      </c>
      <c r="C54" s="94" t="str">
        <f>IF($A54="","",VLOOKUP($A54,'Annex 2 EHV charges'!$D:$O,3,0))</f>
        <v/>
      </c>
      <c r="D54" s="93" t="str">
        <f>IF($A54="","",VLOOKUP($A54,'Annex 2 EHV charges'!$D:$O,4,0))</f>
        <v/>
      </c>
      <c r="E54" s="95" t="str">
        <f>IFERROR(IF(VLOOKUP($A54,'Annex 2 EHV charges'!$D:$O,9,FALSE)=0,"",VLOOKUP($A54,'Annex 2 EHV charges'!$D:$O,9,FALSE)),"")</f>
        <v/>
      </c>
      <c r="F54" s="96" t="str">
        <f>IFERROR(IF(VLOOKUP($A54,'Annex 2 EHV charges'!$D:$O,10,FALSE)=0,"",VLOOKUP($A54,'Annex 2 EHV charges'!$D:$O,10,FALSE)),"")</f>
        <v/>
      </c>
      <c r="G54" s="97" t="str">
        <f>IFERROR(IF(VLOOKUP($A54,'Annex 2 EHV charges'!$D:$O,11,FALSE)=0,"",VLOOKUP($A54,'Annex 2 EHV charges'!$D:$O,11,FALSE)),"")</f>
        <v/>
      </c>
      <c r="H54" s="97" t="str">
        <f>IFERROR(IF(VLOOKUP($A54,'Annex 2 EHV charges'!$D:$O,12,FALSE)=0,"",VLOOKUP($A54,'Annex 2 EHV charges'!$D:$O,12,FALSE)),"")</f>
        <v/>
      </c>
    </row>
    <row r="55" spans="1:8" ht="12.75" customHeight="1" x14ac:dyDescent="0.2">
      <c r="A55" s="94" t="str">
        <f t="array" ref="A55">IFERROR(INDEX('Annex 2 EHV charges'!$D$11:$D$58, MATCH(0, IF(ISBLANK('Annex 2 EHV charges'!$D$11:$D$58),1, COUNTIF(A$4:$A54, 'Annex 2 EHV charges'!$D$11:$D$58)), 0)),"")</f>
        <v/>
      </c>
      <c r="B55" s="93" t="str">
        <f>IF($A55="","",VLOOKUP($A55,'Annex 2 EHV charges'!$D:$O,2,0))</f>
        <v/>
      </c>
      <c r="C55" s="94" t="str">
        <f>IF($A55="","",VLOOKUP($A55,'Annex 2 EHV charges'!$D:$O,3,0))</f>
        <v/>
      </c>
      <c r="D55" s="93" t="str">
        <f>IF($A55="","",VLOOKUP($A55,'Annex 2 EHV charges'!$D:$O,4,0))</f>
        <v/>
      </c>
      <c r="E55" s="95" t="str">
        <f>IFERROR(IF(VLOOKUP($A55,'Annex 2 EHV charges'!$D:$O,9,FALSE)=0,"",VLOOKUP($A55,'Annex 2 EHV charges'!$D:$O,9,FALSE)),"")</f>
        <v/>
      </c>
      <c r="F55" s="96" t="str">
        <f>IFERROR(IF(VLOOKUP($A55,'Annex 2 EHV charges'!$D:$O,10,FALSE)=0,"",VLOOKUP($A55,'Annex 2 EHV charges'!$D:$O,10,FALSE)),"")</f>
        <v/>
      </c>
      <c r="G55" s="97" t="str">
        <f>IFERROR(IF(VLOOKUP($A55,'Annex 2 EHV charges'!$D:$O,11,FALSE)=0,"",VLOOKUP($A55,'Annex 2 EHV charges'!$D:$O,11,FALSE)),"")</f>
        <v/>
      </c>
      <c r="H55" s="97" t="str">
        <f>IFERROR(IF(VLOOKUP($A55,'Annex 2 EHV charges'!$D:$O,12,FALSE)=0,"",VLOOKUP($A55,'Annex 2 EHV charges'!$D:$O,12,FALSE)),"")</f>
        <v/>
      </c>
    </row>
    <row r="56" spans="1:8" ht="12.75" customHeight="1" x14ac:dyDescent="0.2">
      <c r="A56" s="94" t="str">
        <f t="array" ref="A56">IFERROR(INDEX('Annex 2 EHV charges'!$D$11:$D$58, MATCH(0, IF(ISBLANK('Annex 2 EHV charges'!$D$11:$D$58),1, COUNTIF(A$4:$A55, 'Annex 2 EHV charges'!$D$11:$D$58)), 0)),"")</f>
        <v/>
      </c>
      <c r="B56" s="93" t="str">
        <f>IF($A56="","",VLOOKUP($A56,'Annex 2 EHV charges'!$D:$O,2,0))</f>
        <v/>
      </c>
      <c r="C56" s="94" t="str">
        <f>IF($A56="","",VLOOKUP($A56,'Annex 2 EHV charges'!$D:$O,3,0))</f>
        <v/>
      </c>
      <c r="D56" s="93" t="str">
        <f>IF($A56="","",VLOOKUP($A56,'Annex 2 EHV charges'!$D:$O,4,0))</f>
        <v/>
      </c>
      <c r="E56" s="95" t="str">
        <f>IFERROR(IF(VLOOKUP($A56,'Annex 2 EHV charges'!$D:$O,9,FALSE)=0,"",VLOOKUP($A56,'Annex 2 EHV charges'!$D:$O,9,FALSE)),"")</f>
        <v/>
      </c>
      <c r="F56" s="96" t="str">
        <f>IFERROR(IF(VLOOKUP($A56,'Annex 2 EHV charges'!$D:$O,10,FALSE)=0,"",VLOOKUP($A56,'Annex 2 EHV charges'!$D:$O,10,FALSE)),"")</f>
        <v/>
      </c>
      <c r="G56" s="97" t="str">
        <f>IFERROR(IF(VLOOKUP($A56,'Annex 2 EHV charges'!$D:$O,11,FALSE)=0,"",VLOOKUP($A56,'Annex 2 EHV charges'!$D:$O,11,FALSE)),"")</f>
        <v/>
      </c>
      <c r="H56" s="97" t="str">
        <f>IFERROR(IF(VLOOKUP($A56,'Annex 2 EHV charges'!$D:$O,12,FALSE)=0,"",VLOOKUP($A56,'Annex 2 EHV charges'!$D:$O,12,FALSE)),"")</f>
        <v/>
      </c>
    </row>
    <row r="57" spans="1:8" ht="12.75" customHeight="1" x14ac:dyDescent="0.2">
      <c r="A57" s="94" t="str">
        <f t="array" ref="A57">IFERROR(INDEX('Annex 2 EHV charges'!$D$11:$D$58, MATCH(0, IF(ISBLANK('Annex 2 EHV charges'!$D$11:$D$58),1, COUNTIF(A$4:$A56, 'Annex 2 EHV charges'!$D$11:$D$58)), 0)),"")</f>
        <v/>
      </c>
      <c r="B57" s="93" t="str">
        <f>IF($A57="","",VLOOKUP($A57,'Annex 2 EHV charges'!$D:$O,2,0))</f>
        <v/>
      </c>
      <c r="C57" s="94" t="str">
        <f>IF($A57="","",VLOOKUP($A57,'Annex 2 EHV charges'!$D:$O,3,0))</f>
        <v/>
      </c>
      <c r="D57" s="93" t="str">
        <f>IF($A57="","",VLOOKUP($A57,'Annex 2 EHV charges'!$D:$O,4,0))</f>
        <v/>
      </c>
      <c r="E57" s="95" t="str">
        <f>IFERROR(IF(VLOOKUP($A57,'Annex 2 EHV charges'!$D:$O,9,FALSE)=0,"",VLOOKUP($A57,'Annex 2 EHV charges'!$D:$O,9,FALSE)),"")</f>
        <v/>
      </c>
      <c r="F57" s="96" t="str">
        <f>IFERROR(IF(VLOOKUP($A57,'Annex 2 EHV charges'!$D:$O,10,FALSE)=0,"",VLOOKUP($A57,'Annex 2 EHV charges'!$D:$O,10,FALSE)),"")</f>
        <v/>
      </c>
      <c r="G57" s="97" t="str">
        <f>IFERROR(IF(VLOOKUP($A57,'Annex 2 EHV charges'!$D:$O,11,FALSE)=0,"",VLOOKUP($A57,'Annex 2 EHV charges'!$D:$O,11,FALSE)),"")</f>
        <v/>
      </c>
      <c r="H57" s="97" t="str">
        <f>IFERROR(IF(VLOOKUP($A57,'Annex 2 EHV charges'!$D:$O,12,FALSE)=0,"",VLOOKUP($A57,'Annex 2 EHV charges'!$D:$O,12,FALSE)),"")</f>
        <v/>
      </c>
    </row>
    <row r="58" spans="1:8" ht="12.75" customHeight="1" x14ac:dyDescent="0.2">
      <c r="A58" s="94" t="str">
        <f t="array" ref="A58">IFERROR(INDEX('Annex 2 EHV charges'!$D$11:$D$58, MATCH(0, IF(ISBLANK('Annex 2 EHV charges'!$D$11:$D$58),1, COUNTIF(A$4:$A57, 'Annex 2 EHV charges'!$D$11:$D$58)), 0)),"")</f>
        <v/>
      </c>
      <c r="B58" s="93" t="str">
        <f>IF($A58="","",VLOOKUP($A58,'Annex 2 EHV charges'!$D:$O,2,0))</f>
        <v/>
      </c>
      <c r="C58" s="94" t="str">
        <f>IF($A58="","",VLOOKUP($A58,'Annex 2 EHV charges'!$D:$O,3,0))</f>
        <v/>
      </c>
      <c r="D58" s="93" t="str">
        <f>IF($A58="","",VLOOKUP($A58,'Annex 2 EHV charges'!$D:$O,4,0))</f>
        <v/>
      </c>
      <c r="E58" s="95" t="str">
        <f>IFERROR(IF(VLOOKUP($A58,'Annex 2 EHV charges'!$D:$O,9,FALSE)=0,"",VLOOKUP($A58,'Annex 2 EHV charges'!$D:$O,9,FALSE)),"")</f>
        <v/>
      </c>
      <c r="F58" s="96" t="str">
        <f>IFERROR(IF(VLOOKUP($A58,'Annex 2 EHV charges'!$D:$O,10,FALSE)=0,"",VLOOKUP($A58,'Annex 2 EHV charges'!$D:$O,10,FALSE)),"")</f>
        <v/>
      </c>
      <c r="G58" s="97" t="str">
        <f>IFERROR(IF(VLOOKUP($A58,'Annex 2 EHV charges'!$D:$O,11,FALSE)=0,"",VLOOKUP($A58,'Annex 2 EHV charges'!$D:$O,11,FALSE)),"")</f>
        <v/>
      </c>
      <c r="H58" s="97" t="str">
        <f>IFERROR(IF(VLOOKUP($A58,'Annex 2 EHV charges'!$D:$O,12,FALSE)=0,"",VLOOKUP($A58,'Annex 2 EHV charges'!$D:$O,12,FALSE)),"")</f>
        <v/>
      </c>
    </row>
    <row r="59" spans="1:8" ht="12.75" customHeight="1" x14ac:dyDescent="0.2">
      <c r="A59" s="94" t="str">
        <f t="array" ref="A59">IFERROR(INDEX('Annex 2 EHV charges'!$D$11:$D$58, MATCH(0, IF(ISBLANK('Annex 2 EHV charges'!$D$11:$D$58),1, COUNTIF(A$4:$A58, 'Annex 2 EHV charges'!$D$11:$D$58)), 0)),"")</f>
        <v/>
      </c>
      <c r="B59" s="93" t="str">
        <f>IF($A59="","",VLOOKUP($A59,'Annex 2 EHV charges'!$D:$O,2,0))</f>
        <v/>
      </c>
      <c r="C59" s="94" t="str">
        <f>IF($A59="","",VLOOKUP($A59,'Annex 2 EHV charges'!$D:$O,3,0))</f>
        <v/>
      </c>
      <c r="D59" s="93" t="str">
        <f>IF($A59="","",VLOOKUP($A59,'Annex 2 EHV charges'!$D:$O,4,0))</f>
        <v/>
      </c>
      <c r="E59" s="95" t="str">
        <f>IFERROR(IF(VLOOKUP($A59,'Annex 2 EHV charges'!$D:$O,9,FALSE)=0,"",VLOOKUP($A59,'Annex 2 EHV charges'!$D:$O,9,FALSE)),"")</f>
        <v/>
      </c>
      <c r="F59" s="96" t="str">
        <f>IFERROR(IF(VLOOKUP($A59,'Annex 2 EHV charges'!$D:$O,10,FALSE)=0,"",VLOOKUP($A59,'Annex 2 EHV charges'!$D:$O,10,FALSE)),"")</f>
        <v/>
      </c>
      <c r="G59" s="97" t="str">
        <f>IFERROR(IF(VLOOKUP($A59,'Annex 2 EHV charges'!$D:$O,11,FALSE)=0,"",VLOOKUP($A59,'Annex 2 EHV charges'!$D:$O,11,FALSE)),"")</f>
        <v/>
      </c>
      <c r="H59" s="97" t="str">
        <f>IFERROR(IF(VLOOKUP($A59,'Annex 2 EHV charges'!$D:$O,12,FALSE)=0,"",VLOOKUP($A59,'Annex 2 EHV charges'!$D:$O,12,FALSE)),"")</f>
        <v/>
      </c>
    </row>
    <row r="60" spans="1:8" ht="12.75" customHeight="1" x14ac:dyDescent="0.2">
      <c r="A60" s="94" t="str">
        <f t="array" ref="A60">IFERROR(INDEX('Annex 2 EHV charges'!$D$11:$D$58, MATCH(0, IF(ISBLANK('Annex 2 EHV charges'!$D$11:$D$58),1, COUNTIF(A$4:$A59, 'Annex 2 EHV charges'!$D$11:$D$58)), 0)),"")</f>
        <v/>
      </c>
      <c r="B60" s="93" t="str">
        <f>IF($A60="","",VLOOKUP($A60,'Annex 2 EHV charges'!$D:$O,2,0))</f>
        <v/>
      </c>
      <c r="C60" s="94" t="str">
        <f>IF($A60="","",VLOOKUP($A60,'Annex 2 EHV charges'!$D:$O,3,0))</f>
        <v/>
      </c>
      <c r="D60" s="93" t="str">
        <f>IF($A60="","",VLOOKUP($A60,'Annex 2 EHV charges'!$D:$O,4,0))</f>
        <v/>
      </c>
      <c r="E60" s="95" t="str">
        <f>IFERROR(IF(VLOOKUP($A60,'Annex 2 EHV charges'!$D:$O,9,FALSE)=0,"",VLOOKUP($A60,'Annex 2 EHV charges'!$D:$O,9,FALSE)),"")</f>
        <v/>
      </c>
      <c r="F60" s="96" t="str">
        <f>IFERROR(IF(VLOOKUP($A60,'Annex 2 EHV charges'!$D:$O,10,FALSE)=0,"",VLOOKUP($A60,'Annex 2 EHV charges'!$D:$O,10,FALSE)),"")</f>
        <v/>
      </c>
      <c r="G60" s="97" t="str">
        <f>IFERROR(IF(VLOOKUP($A60,'Annex 2 EHV charges'!$D:$O,11,FALSE)=0,"",VLOOKUP($A60,'Annex 2 EHV charges'!$D:$O,11,FALSE)),"")</f>
        <v/>
      </c>
      <c r="H60" s="97" t="str">
        <f>IFERROR(IF(VLOOKUP($A60,'Annex 2 EHV charges'!$D:$O,12,FALSE)=0,"",VLOOKUP($A60,'Annex 2 EHV charges'!$D:$O,12,FALSE)),"")</f>
        <v/>
      </c>
    </row>
    <row r="61" spans="1:8" ht="12.75" customHeight="1" x14ac:dyDescent="0.2">
      <c r="A61" s="94" t="str">
        <f t="array" ref="A61">IFERROR(INDEX('Annex 2 EHV charges'!$D$11:$D$58, MATCH(0, IF(ISBLANK('Annex 2 EHV charges'!$D$11:$D$58),1, COUNTIF(A$4:$A60, 'Annex 2 EHV charges'!$D$11:$D$58)), 0)),"")</f>
        <v/>
      </c>
      <c r="B61" s="93" t="str">
        <f>IF($A61="","",VLOOKUP($A61,'Annex 2 EHV charges'!$D:$O,2,0))</f>
        <v/>
      </c>
      <c r="C61" s="94" t="str">
        <f>IF($A61="","",VLOOKUP($A61,'Annex 2 EHV charges'!$D:$O,3,0))</f>
        <v/>
      </c>
      <c r="D61" s="93" t="str">
        <f>IF($A61="","",VLOOKUP($A61,'Annex 2 EHV charges'!$D:$O,4,0))</f>
        <v/>
      </c>
      <c r="E61" s="95" t="str">
        <f>IFERROR(IF(VLOOKUP($A61,'Annex 2 EHV charges'!$D:$O,9,FALSE)=0,"",VLOOKUP($A61,'Annex 2 EHV charges'!$D:$O,9,FALSE)),"")</f>
        <v/>
      </c>
      <c r="F61" s="96" t="str">
        <f>IFERROR(IF(VLOOKUP($A61,'Annex 2 EHV charges'!$D:$O,10,FALSE)=0,"",VLOOKUP($A61,'Annex 2 EHV charges'!$D:$O,10,FALSE)),"")</f>
        <v/>
      </c>
      <c r="G61" s="97" t="str">
        <f>IFERROR(IF(VLOOKUP($A61,'Annex 2 EHV charges'!$D:$O,11,FALSE)=0,"",VLOOKUP($A61,'Annex 2 EHV charges'!$D:$O,11,FALSE)),"")</f>
        <v/>
      </c>
      <c r="H61" s="97" t="str">
        <f>IFERROR(IF(VLOOKUP($A61,'Annex 2 EHV charges'!$D:$O,12,FALSE)=0,"",VLOOKUP($A61,'Annex 2 EHV charges'!$D:$O,12,FALSE)),"")</f>
        <v/>
      </c>
    </row>
    <row r="62" spans="1:8" ht="12.75" customHeight="1" x14ac:dyDescent="0.2">
      <c r="A62" s="94" t="str">
        <f t="array" ref="A62">IFERROR(INDEX('Annex 2 EHV charges'!$D$11:$D$58, MATCH(0, IF(ISBLANK('Annex 2 EHV charges'!$D$11:$D$58),1, COUNTIF(A$4:$A61, 'Annex 2 EHV charges'!$D$11:$D$58)), 0)),"")</f>
        <v/>
      </c>
      <c r="B62" s="93" t="str">
        <f>IF($A62="","",VLOOKUP($A62,'Annex 2 EHV charges'!$D:$O,2,0))</f>
        <v/>
      </c>
      <c r="C62" s="94" t="str">
        <f>IF($A62="","",VLOOKUP($A62,'Annex 2 EHV charges'!$D:$O,3,0))</f>
        <v/>
      </c>
      <c r="D62" s="93" t="str">
        <f>IF($A62="","",VLOOKUP($A62,'Annex 2 EHV charges'!$D:$O,4,0))</f>
        <v/>
      </c>
      <c r="E62" s="95" t="str">
        <f>IFERROR(IF(VLOOKUP($A62,'Annex 2 EHV charges'!$D:$O,9,FALSE)=0,"",VLOOKUP($A62,'Annex 2 EHV charges'!$D:$O,9,FALSE)),"")</f>
        <v/>
      </c>
      <c r="F62" s="96" t="str">
        <f>IFERROR(IF(VLOOKUP($A62,'Annex 2 EHV charges'!$D:$O,10,FALSE)=0,"",VLOOKUP($A62,'Annex 2 EHV charges'!$D:$O,10,FALSE)),"")</f>
        <v/>
      </c>
      <c r="G62" s="97" t="str">
        <f>IFERROR(IF(VLOOKUP($A62,'Annex 2 EHV charges'!$D:$O,11,FALSE)=0,"",VLOOKUP($A62,'Annex 2 EHV charges'!$D:$O,11,FALSE)),"")</f>
        <v/>
      </c>
      <c r="H62" s="97" t="str">
        <f>IFERROR(IF(VLOOKUP($A62,'Annex 2 EHV charges'!$D:$O,12,FALSE)=0,"",VLOOKUP($A62,'Annex 2 EHV charges'!$D:$O,12,FALSE)),"")</f>
        <v/>
      </c>
    </row>
    <row r="63" spans="1:8" ht="12.75" customHeight="1" x14ac:dyDescent="0.2">
      <c r="A63" s="94" t="str">
        <f t="array" ref="A63">IFERROR(INDEX('Annex 2 EHV charges'!$D$11:$D$58, MATCH(0, IF(ISBLANK('Annex 2 EHV charges'!$D$11:$D$58),1, COUNTIF(A$4:$A62, 'Annex 2 EHV charges'!$D$11:$D$58)), 0)),"")</f>
        <v/>
      </c>
      <c r="B63" s="93" t="str">
        <f>IF($A63="","",VLOOKUP($A63,'Annex 2 EHV charges'!$D:$O,2,0))</f>
        <v/>
      </c>
      <c r="C63" s="94" t="str">
        <f>IF($A63="","",VLOOKUP($A63,'Annex 2 EHV charges'!$D:$O,3,0))</f>
        <v/>
      </c>
      <c r="D63" s="93" t="str">
        <f>IF($A63="","",VLOOKUP($A63,'Annex 2 EHV charges'!$D:$O,4,0))</f>
        <v/>
      </c>
      <c r="E63" s="95" t="str">
        <f>IFERROR(IF(VLOOKUP($A63,'Annex 2 EHV charges'!$D:$O,9,FALSE)=0,"",VLOOKUP($A63,'Annex 2 EHV charges'!$D:$O,9,FALSE)),"")</f>
        <v/>
      </c>
      <c r="F63" s="96" t="str">
        <f>IFERROR(IF(VLOOKUP($A63,'Annex 2 EHV charges'!$D:$O,10,FALSE)=0,"",VLOOKUP($A63,'Annex 2 EHV charges'!$D:$O,10,FALSE)),"")</f>
        <v/>
      </c>
      <c r="G63" s="97" t="str">
        <f>IFERROR(IF(VLOOKUP($A63,'Annex 2 EHV charges'!$D:$O,11,FALSE)=0,"",VLOOKUP($A63,'Annex 2 EHV charges'!$D:$O,11,FALSE)),"")</f>
        <v/>
      </c>
      <c r="H63" s="97" t="str">
        <f>IFERROR(IF(VLOOKUP($A63,'Annex 2 EHV charges'!$D:$O,12,FALSE)=0,"",VLOOKUP($A63,'Annex 2 EHV charges'!$D:$O,12,FALSE)),"")</f>
        <v/>
      </c>
    </row>
    <row r="64" spans="1:8" ht="12.75" customHeight="1" x14ac:dyDescent="0.2">
      <c r="A64" s="94" t="str">
        <f t="array" ref="A64">IFERROR(INDEX('Annex 2 EHV charges'!$D$11:$D$58, MATCH(0, IF(ISBLANK('Annex 2 EHV charges'!$D$11:$D$58),1, COUNTIF(A$4:$A63, 'Annex 2 EHV charges'!$D$11:$D$58)), 0)),"")</f>
        <v/>
      </c>
      <c r="B64" s="93" t="str">
        <f>IF($A64="","",VLOOKUP($A64,'Annex 2 EHV charges'!$D:$O,2,0))</f>
        <v/>
      </c>
      <c r="C64" s="94" t="str">
        <f>IF($A64="","",VLOOKUP($A64,'Annex 2 EHV charges'!$D:$O,3,0))</f>
        <v/>
      </c>
      <c r="D64" s="93" t="str">
        <f>IF($A64="","",VLOOKUP($A64,'Annex 2 EHV charges'!$D:$O,4,0))</f>
        <v/>
      </c>
      <c r="E64" s="95" t="str">
        <f>IFERROR(IF(VLOOKUP($A64,'Annex 2 EHV charges'!$D:$O,9,FALSE)=0,"",VLOOKUP($A64,'Annex 2 EHV charges'!$D:$O,9,FALSE)),"")</f>
        <v/>
      </c>
      <c r="F64" s="96" t="str">
        <f>IFERROR(IF(VLOOKUP($A64,'Annex 2 EHV charges'!$D:$O,10,FALSE)=0,"",VLOOKUP($A64,'Annex 2 EHV charges'!$D:$O,10,FALSE)),"")</f>
        <v/>
      </c>
      <c r="G64" s="97" t="str">
        <f>IFERROR(IF(VLOOKUP($A64,'Annex 2 EHV charges'!$D:$O,11,FALSE)=0,"",VLOOKUP($A64,'Annex 2 EHV charges'!$D:$O,11,FALSE)),"")</f>
        <v/>
      </c>
      <c r="H64" s="97" t="str">
        <f>IFERROR(IF(VLOOKUP($A64,'Annex 2 EHV charges'!$D:$O,12,FALSE)=0,"",VLOOKUP($A64,'Annex 2 EHV charges'!$D:$O,12,FALSE)),"")</f>
        <v/>
      </c>
    </row>
    <row r="65" spans="1:8" ht="12.75" customHeight="1" x14ac:dyDescent="0.2">
      <c r="A65" s="94" t="str">
        <f t="array" ref="A65">IFERROR(INDEX('Annex 2 EHV charges'!$D$11:$D$58, MATCH(0, IF(ISBLANK('Annex 2 EHV charges'!$D$11:$D$58),1, COUNTIF(A$4:$A64, 'Annex 2 EHV charges'!$D$11:$D$58)), 0)),"")</f>
        <v/>
      </c>
      <c r="B65" s="93" t="str">
        <f>IF($A65="","",VLOOKUP($A65,'Annex 2 EHV charges'!$D:$O,2,0))</f>
        <v/>
      </c>
      <c r="C65" s="94" t="str">
        <f>IF($A65="","",VLOOKUP($A65,'Annex 2 EHV charges'!$D:$O,3,0))</f>
        <v/>
      </c>
      <c r="D65" s="93" t="str">
        <f>IF($A65="","",VLOOKUP($A65,'Annex 2 EHV charges'!$D:$O,4,0))</f>
        <v/>
      </c>
      <c r="E65" s="95" t="str">
        <f>IFERROR(IF(VLOOKUP($A65,'Annex 2 EHV charges'!$D:$O,9,FALSE)=0,"",VLOOKUP($A65,'Annex 2 EHV charges'!$D:$O,9,FALSE)),"")</f>
        <v/>
      </c>
      <c r="F65" s="96" t="str">
        <f>IFERROR(IF(VLOOKUP($A65,'Annex 2 EHV charges'!$D:$O,10,FALSE)=0,"",VLOOKUP($A65,'Annex 2 EHV charges'!$D:$O,10,FALSE)),"")</f>
        <v/>
      </c>
      <c r="G65" s="97" t="str">
        <f>IFERROR(IF(VLOOKUP($A65,'Annex 2 EHV charges'!$D:$O,11,FALSE)=0,"",VLOOKUP($A65,'Annex 2 EHV charges'!$D:$O,11,FALSE)),"")</f>
        <v/>
      </c>
      <c r="H65" s="97" t="str">
        <f>IFERROR(IF(VLOOKUP($A65,'Annex 2 EHV charges'!$D:$O,12,FALSE)=0,"",VLOOKUP($A65,'Annex 2 EHV charges'!$D:$O,12,FALSE)),"")</f>
        <v/>
      </c>
    </row>
    <row r="66" spans="1:8" ht="12.75" customHeight="1" x14ac:dyDescent="0.2">
      <c r="A66" s="94" t="str">
        <f t="array" ref="A66">IFERROR(INDEX('Annex 2 EHV charges'!$D$11:$D$58, MATCH(0, IF(ISBLANK('Annex 2 EHV charges'!$D$11:$D$58),1, COUNTIF(A$4:$A65, 'Annex 2 EHV charges'!$D$11:$D$58)), 0)),"")</f>
        <v/>
      </c>
      <c r="B66" s="93" t="str">
        <f>IF($A66="","",VLOOKUP($A66,'Annex 2 EHV charges'!$D:$O,2,0))</f>
        <v/>
      </c>
      <c r="C66" s="94" t="str">
        <f>IF($A66="","",VLOOKUP($A66,'Annex 2 EHV charges'!$D:$O,3,0))</f>
        <v/>
      </c>
      <c r="D66" s="93" t="str">
        <f>IF($A66="","",VLOOKUP($A66,'Annex 2 EHV charges'!$D:$O,4,0))</f>
        <v/>
      </c>
      <c r="E66" s="95" t="str">
        <f>IFERROR(IF(VLOOKUP($A66,'Annex 2 EHV charges'!$D:$O,9,FALSE)=0,"",VLOOKUP($A66,'Annex 2 EHV charges'!$D:$O,9,FALSE)),"")</f>
        <v/>
      </c>
      <c r="F66" s="96" t="str">
        <f>IFERROR(IF(VLOOKUP($A66,'Annex 2 EHV charges'!$D:$O,10,FALSE)=0,"",VLOOKUP($A66,'Annex 2 EHV charges'!$D:$O,10,FALSE)),"")</f>
        <v/>
      </c>
      <c r="G66" s="97" t="str">
        <f>IFERROR(IF(VLOOKUP($A66,'Annex 2 EHV charges'!$D:$O,11,FALSE)=0,"",VLOOKUP($A66,'Annex 2 EHV charges'!$D:$O,11,FALSE)),"")</f>
        <v/>
      </c>
      <c r="H66" s="97" t="str">
        <f>IFERROR(IF(VLOOKUP($A66,'Annex 2 EHV charges'!$D:$O,12,FALSE)=0,"",VLOOKUP($A66,'Annex 2 EHV charges'!$D:$O,12,FALSE)),"")</f>
        <v/>
      </c>
    </row>
    <row r="67" spans="1:8" ht="12.75" customHeight="1" x14ac:dyDescent="0.2">
      <c r="A67" s="94" t="str">
        <f t="array" ref="A67">IFERROR(INDEX('Annex 2 EHV charges'!$D$11:$D$58, MATCH(0, IF(ISBLANK('Annex 2 EHV charges'!$D$11:$D$58),1, COUNTIF(A$4:$A66, 'Annex 2 EHV charges'!$D$11:$D$58)), 0)),"")</f>
        <v/>
      </c>
      <c r="B67" s="93" t="str">
        <f>IF($A67="","",VLOOKUP($A67,'Annex 2 EHV charges'!$D:$O,2,0))</f>
        <v/>
      </c>
      <c r="C67" s="94" t="str">
        <f>IF($A67="","",VLOOKUP($A67,'Annex 2 EHV charges'!$D:$O,3,0))</f>
        <v/>
      </c>
      <c r="D67" s="93" t="str">
        <f>IF($A67="","",VLOOKUP($A67,'Annex 2 EHV charges'!$D:$O,4,0))</f>
        <v/>
      </c>
      <c r="E67" s="95" t="str">
        <f>IFERROR(IF(VLOOKUP($A67,'Annex 2 EHV charges'!$D:$O,9,FALSE)=0,"",VLOOKUP($A67,'Annex 2 EHV charges'!$D:$O,9,FALSE)),"")</f>
        <v/>
      </c>
      <c r="F67" s="96" t="str">
        <f>IFERROR(IF(VLOOKUP($A67,'Annex 2 EHV charges'!$D:$O,10,FALSE)=0,"",VLOOKUP($A67,'Annex 2 EHV charges'!$D:$O,10,FALSE)),"")</f>
        <v/>
      </c>
      <c r="G67" s="97" t="str">
        <f>IFERROR(IF(VLOOKUP($A67,'Annex 2 EHV charges'!$D:$O,11,FALSE)=0,"",VLOOKUP($A67,'Annex 2 EHV charges'!$D:$O,11,FALSE)),"")</f>
        <v/>
      </c>
      <c r="H67" s="97" t="str">
        <f>IFERROR(IF(VLOOKUP($A67,'Annex 2 EHV charges'!$D:$O,12,FALSE)=0,"",VLOOKUP($A67,'Annex 2 EHV charges'!$D:$O,12,FALSE)),"")</f>
        <v/>
      </c>
    </row>
    <row r="68" spans="1:8" ht="12.75" customHeight="1" x14ac:dyDescent="0.2">
      <c r="A68" s="94" t="str">
        <f t="array" ref="A68">IFERROR(INDEX('Annex 2 EHV charges'!$D$11:$D$58, MATCH(0, IF(ISBLANK('Annex 2 EHV charges'!$D$11:$D$58),1, COUNTIF(A$4:$A67, 'Annex 2 EHV charges'!$D$11:$D$58)), 0)),"")</f>
        <v/>
      </c>
      <c r="B68" s="93" t="str">
        <f>IF($A68="","",VLOOKUP($A68,'Annex 2 EHV charges'!$D:$O,2,0))</f>
        <v/>
      </c>
      <c r="C68" s="94" t="str">
        <f>IF($A68="","",VLOOKUP($A68,'Annex 2 EHV charges'!$D:$O,3,0))</f>
        <v/>
      </c>
      <c r="D68" s="93" t="str">
        <f>IF($A68="","",VLOOKUP($A68,'Annex 2 EHV charges'!$D:$O,4,0))</f>
        <v/>
      </c>
      <c r="E68" s="95" t="str">
        <f>IFERROR(IF(VLOOKUP($A68,'Annex 2 EHV charges'!$D:$O,9,FALSE)=0,"",VLOOKUP($A68,'Annex 2 EHV charges'!$D:$O,9,FALSE)),"")</f>
        <v/>
      </c>
      <c r="F68" s="96" t="str">
        <f>IFERROR(IF(VLOOKUP($A68,'Annex 2 EHV charges'!$D:$O,10,FALSE)=0,"",VLOOKUP($A68,'Annex 2 EHV charges'!$D:$O,10,FALSE)),"")</f>
        <v/>
      </c>
      <c r="G68" s="97" t="str">
        <f>IFERROR(IF(VLOOKUP($A68,'Annex 2 EHV charges'!$D:$O,11,FALSE)=0,"",VLOOKUP($A68,'Annex 2 EHV charges'!$D:$O,11,FALSE)),"")</f>
        <v/>
      </c>
      <c r="H68" s="97" t="str">
        <f>IFERROR(IF(VLOOKUP($A68,'Annex 2 EHV charges'!$D:$O,12,FALSE)=0,"",VLOOKUP($A68,'Annex 2 EHV charges'!$D:$O,12,FALSE)),"")</f>
        <v/>
      </c>
    </row>
    <row r="69" spans="1:8" ht="12.75" customHeight="1" x14ac:dyDescent="0.2">
      <c r="A69" s="94" t="str">
        <f t="array" ref="A69">IFERROR(INDEX('Annex 2 EHV charges'!$D$11:$D$58, MATCH(0, IF(ISBLANK('Annex 2 EHV charges'!$D$11:$D$58),1, COUNTIF(A$4:$A68, 'Annex 2 EHV charges'!$D$11:$D$58)), 0)),"")</f>
        <v/>
      </c>
      <c r="B69" s="93" t="str">
        <f>IF($A69="","",VLOOKUP($A69,'Annex 2 EHV charges'!$D:$O,2,0))</f>
        <v/>
      </c>
      <c r="C69" s="94" t="str">
        <f>IF($A69="","",VLOOKUP($A69,'Annex 2 EHV charges'!$D:$O,3,0))</f>
        <v/>
      </c>
      <c r="D69" s="93" t="str">
        <f>IF($A69="","",VLOOKUP($A69,'Annex 2 EHV charges'!$D:$O,4,0))</f>
        <v/>
      </c>
      <c r="E69" s="95" t="str">
        <f>IFERROR(IF(VLOOKUP($A69,'Annex 2 EHV charges'!$D:$O,9,FALSE)=0,"",VLOOKUP($A69,'Annex 2 EHV charges'!$D:$O,9,FALSE)),"")</f>
        <v/>
      </c>
      <c r="F69" s="96" t="str">
        <f>IFERROR(IF(VLOOKUP($A69,'Annex 2 EHV charges'!$D:$O,10,FALSE)=0,"",VLOOKUP($A69,'Annex 2 EHV charges'!$D:$O,10,FALSE)),"")</f>
        <v/>
      </c>
      <c r="G69" s="97" t="str">
        <f>IFERROR(IF(VLOOKUP($A69,'Annex 2 EHV charges'!$D:$O,11,FALSE)=0,"",VLOOKUP($A69,'Annex 2 EHV charges'!$D:$O,11,FALSE)),"")</f>
        <v/>
      </c>
      <c r="H69" s="97" t="str">
        <f>IFERROR(IF(VLOOKUP($A69,'Annex 2 EHV charges'!$D:$O,12,FALSE)=0,"",VLOOKUP($A69,'Annex 2 EHV charges'!$D:$O,12,FALSE)),"")</f>
        <v/>
      </c>
    </row>
    <row r="70" spans="1:8" ht="12.75" customHeight="1" x14ac:dyDescent="0.2">
      <c r="A70" s="94" t="str">
        <f t="array" ref="A70">IFERROR(INDEX('Annex 2 EHV charges'!$D$11:$D$58, MATCH(0, IF(ISBLANK('Annex 2 EHV charges'!$D$11:$D$58),1, COUNTIF(A$4:$A69, 'Annex 2 EHV charges'!$D$11:$D$58)), 0)),"")</f>
        <v/>
      </c>
      <c r="B70" s="93" t="str">
        <f>IF($A70="","",VLOOKUP($A70,'Annex 2 EHV charges'!$D:$O,2,0))</f>
        <v/>
      </c>
      <c r="C70" s="94" t="str">
        <f>IF($A70="","",VLOOKUP($A70,'Annex 2 EHV charges'!$D:$O,3,0))</f>
        <v/>
      </c>
      <c r="D70" s="93" t="str">
        <f>IF($A70="","",VLOOKUP($A70,'Annex 2 EHV charges'!$D:$O,4,0))</f>
        <v/>
      </c>
      <c r="E70" s="95" t="str">
        <f>IFERROR(IF(VLOOKUP($A70,'Annex 2 EHV charges'!$D:$O,9,FALSE)=0,"",VLOOKUP($A70,'Annex 2 EHV charges'!$D:$O,9,FALSE)),"")</f>
        <v/>
      </c>
      <c r="F70" s="96" t="str">
        <f>IFERROR(IF(VLOOKUP($A70,'Annex 2 EHV charges'!$D:$O,10,FALSE)=0,"",VLOOKUP($A70,'Annex 2 EHV charges'!$D:$O,10,FALSE)),"")</f>
        <v/>
      </c>
      <c r="G70" s="97" t="str">
        <f>IFERROR(IF(VLOOKUP($A70,'Annex 2 EHV charges'!$D:$O,11,FALSE)=0,"",VLOOKUP($A70,'Annex 2 EHV charges'!$D:$O,11,FALSE)),"")</f>
        <v/>
      </c>
      <c r="H70" s="97" t="str">
        <f>IFERROR(IF(VLOOKUP($A70,'Annex 2 EHV charges'!$D:$O,12,FALSE)=0,"",VLOOKUP($A70,'Annex 2 EHV charges'!$D:$O,12,FALSE)),"")</f>
        <v/>
      </c>
    </row>
    <row r="71" spans="1:8" ht="12.75" customHeight="1" x14ac:dyDescent="0.2">
      <c r="A71" s="94" t="str">
        <f t="array" ref="A71">IFERROR(INDEX('Annex 2 EHV charges'!$D$11:$D$58, MATCH(0, IF(ISBLANK('Annex 2 EHV charges'!$D$11:$D$58),1, COUNTIF(A$4:$A70, 'Annex 2 EHV charges'!$D$11:$D$58)), 0)),"")</f>
        <v/>
      </c>
      <c r="B71" s="93" t="str">
        <f>IF($A71="","",VLOOKUP($A71,'Annex 2 EHV charges'!$D:$O,2,0))</f>
        <v/>
      </c>
      <c r="C71" s="94" t="str">
        <f>IF($A71="","",VLOOKUP($A71,'Annex 2 EHV charges'!$D:$O,3,0))</f>
        <v/>
      </c>
      <c r="D71" s="93" t="str">
        <f>IF($A71="","",VLOOKUP($A71,'Annex 2 EHV charges'!$D:$O,4,0))</f>
        <v/>
      </c>
      <c r="E71" s="95" t="str">
        <f>IFERROR(IF(VLOOKUP($A71,'Annex 2 EHV charges'!$D:$O,9,FALSE)=0,"",VLOOKUP($A71,'Annex 2 EHV charges'!$D:$O,9,FALSE)),"")</f>
        <v/>
      </c>
      <c r="F71" s="96" t="str">
        <f>IFERROR(IF(VLOOKUP($A71,'Annex 2 EHV charges'!$D:$O,10,FALSE)=0,"",VLOOKUP($A71,'Annex 2 EHV charges'!$D:$O,10,FALSE)),"")</f>
        <v/>
      </c>
      <c r="G71" s="97" t="str">
        <f>IFERROR(IF(VLOOKUP($A71,'Annex 2 EHV charges'!$D:$O,11,FALSE)=0,"",VLOOKUP($A71,'Annex 2 EHV charges'!$D:$O,11,FALSE)),"")</f>
        <v/>
      </c>
      <c r="H71" s="97" t="str">
        <f>IFERROR(IF(VLOOKUP($A71,'Annex 2 EHV charges'!$D:$O,12,FALSE)=0,"",VLOOKUP($A71,'Annex 2 EHV charges'!$D:$O,12,FALSE)),"")</f>
        <v/>
      </c>
    </row>
    <row r="72" spans="1:8" ht="12.75" customHeight="1" x14ac:dyDescent="0.2">
      <c r="A72" s="94" t="str">
        <f t="array" ref="A72">IFERROR(INDEX('Annex 2 EHV charges'!$D$11:$D$58, MATCH(0, IF(ISBLANK('Annex 2 EHV charges'!$D$11:$D$58),1, COUNTIF(A$4:$A71, 'Annex 2 EHV charges'!$D$11:$D$58)), 0)),"")</f>
        <v/>
      </c>
      <c r="B72" s="93" t="str">
        <f>IF($A72="","",VLOOKUP($A72,'Annex 2 EHV charges'!$D:$O,2,0))</f>
        <v/>
      </c>
      <c r="C72" s="94" t="str">
        <f>IF($A72="","",VLOOKUP($A72,'Annex 2 EHV charges'!$D:$O,3,0))</f>
        <v/>
      </c>
      <c r="D72" s="93" t="str">
        <f>IF($A72="","",VLOOKUP($A72,'Annex 2 EHV charges'!$D:$O,4,0))</f>
        <v/>
      </c>
      <c r="E72" s="95" t="str">
        <f>IFERROR(IF(VLOOKUP($A72,'Annex 2 EHV charges'!$D:$O,9,FALSE)=0,"",VLOOKUP($A72,'Annex 2 EHV charges'!$D:$O,9,FALSE)),"")</f>
        <v/>
      </c>
      <c r="F72" s="96" t="str">
        <f>IFERROR(IF(VLOOKUP($A72,'Annex 2 EHV charges'!$D:$O,10,FALSE)=0,"",VLOOKUP($A72,'Annex 2 EHV charges'!$D:$O,10,FALSE)),"")</f>
        <v/>
      </c>
      <c r="G72" s="97" t="str">
        <f>IFERROR(IF(VLOOKUP($A72,'Annex 2 EHV charges'!$D:$O,11,FALSE)=0,"",VLOOKUP($A72,'Annex 2 EHV charges'!$D:$O,11,FALSE)),"")</f>
        <v/>
      </c>
      <c r="H72" s="97" t="str">
        <f>IFERROR(IF(VLOOKUP($A72,'Annex 2 EHV charges'!$D:$O,12,FALSE)=0,"",VLOOKUP($A72,'Annex 2 EHV charges'!$D:$O,12,FALSE)),"")</f>
        <v/>
      </c>
    </row>
    <row r="73" spans="1:8" ht="12.75" customHeight="1" x14ac:dyDescent="0.2">
      <c r="A73" s="94" t="str">
        <f t="array" ref="A73">IFERROR(INDEX('Annex 2 EHV charges'!$D$11:$D$58, MATCH(0, IF(ISBLANK('Annex 2 EHV charges'!$D$11:$D$58),1, COUNTIF(A$4:$A72, 'Annex 2 EHV charges'!$D$11:$D$58)), 0)),"")</f>
        <v/>
      </c>
      <c r="B73" s="93" t="str">
        <f>IF($A73="","",VLOOKUP($A73,'Annex 2 EHV charges'!$D:$O,2,0))</f>
        <v/>
      </c>
      <c r="C73" s="94" t="str">
        <f>IF($A73="","",VLOOKUP($A73,'Annex 2 EHV charges'!$D:$O,3,0))</f>
        <v/>
      </c>
      <c r="D73" s="93" t="str">
        <f>IF($A73="","",VLOOKUP($A73,'Annex 2 EHV charges'!$D:$O,4,0))</f>
        <v/>
      </c>
      <c r="E73" s="95" t="str">
        <f>IFERROR(IF(VLOOKUP($A73,'Annex 2 EHV charges'!$D:$O,9,FALSE)=0,"",VLOOKUP($A73,'Annex 2 EHV charges'!$D:$O,9,FALSE)),"")</f>
        <v/>
      </c>
      <c r="F73" s="96" t="str">
        <f>IFERROR(IF(VLOOKUP($A73,'Annex 2 EHV charges'!$D:$O,10,FALSE)=0,"",VLOOKUP($A73,'Annex 2 EHV charges'!$D:$O,10,FALSE)),"")</f>
        <v/>
      </c>
      <c r="G73" s="97" t="str">
        <f>IFERROR(IF(VLOOKUP($A73,'Annex 2 EHV charges'!$D:$O,11,FALSE)=0,"",VLOOKUP($A73,'Annex 2 EHV charges'!$D:$O,11,FALSE)),"")</f>
        <v/>
      </c>
      <c r="H73" s="97" t="str">
        <f>IFERROR(IF(VLOOKUP($A73,'Annex 2 EHV charges'!$D:$O,12,FALSE)=0,"",VLOOKUP($A73,'Annex 2 EHV charges'!$D:$O,12,FALSE)),"")</f>
        <v/>
      </c>
    </row>
    <row r="74" spans="1:8" ht="12.75" customHeight="1" x14ac:dyDescent="0.2">
      <c r="A74" s="94" t="str">
        <f t="array" ref="A74">IFERROR(INDEX('Annex 2 EHV charges'!$D$11:$D$58, MATCH(0, IF(ISBLANK('Annex 2 EHV charges'!$D$11:$D$58),1, COUNTIF(A$4:$A73, 'Annex 2 EHV charges'!$D$11:$D$58)), 0)),"")</f>
        <v/>
      </c>
      <c r="B74" s="93" t="str">
        <f>IF($A74="","",VLOOKUP($A74,'Annex 2 EHV charges'!$D:$O,2,0))</f>
        <v/>
      </c>
      <c r="C74" s="94" t="str">
        <f>IF($A74="","",VLOOKUP($A74,'Annex 2 EHV charges'!$D:$O,3,0))</f>
        <v/>
      </c>
      <c r="D74" s="93" t="str">
        <f>IF($A74="","",VLOOKUP($A74,'Annex 2 EHV charges'!$D:$O,4,0))</f>
        <v/>
      </c>
      <c r="E74" s="95" t="str">
        <f>IFERROR(IF(VLOOKUP($A74,'Annex 2 EHV charges'!$D:$O,9,FALSE)=0,"",VLOOKUP($A74,'Annex 2 EHV charges'!$D:$O,9,FALSE)),"")</f>
        <v/>
      </c>
      <c r="F74" s="96" t="str">
        <f>IFERROR(IF(VLOOKUP($A74,'Annex 2 EHV charges'!$D:$O,10,FALSE)=0,"",VLOOKUP($A74,'Annex 2 EHV charges'!$D:$O,10,FALSE)),"")</f>
        <v/>
      </c>
      <c r="G74" s="97" t="str">
        <f>IFERROR(IF(VLOOKUP($A74,'Annex 2 EHV charges'!$D:$O,11,FALSE)=0,"",VLOOKUP($A74,'Annex 2 EHV charges'!$D:$O,11,FALSE)),"")</f>
        <v/>
      </c>
      <c r="H74" s="97" t="str">
        <f>IFERROR(IF(VLOOKUP($A74,'Annex 2 EHV charges'!$D:$O,12,FALSE)=0,"",VLOOKUP($A74,'Annex 2 EHV charges'!$D:$O,12,FALSE)),"")</f>
        <v/>
      </c>
    </row>
    <row r="75" spans="1:8" ht="12.75" customHeight="1" x14ac:dyDescent="0.2">
      <c r="A75" s="94" t="str">
        <f t="array" ref="A75">IFERROR(INDEX('Annex 2 EHV charges'!$D$11:$D$58, MATCH(0, IF(ISBLANK('Annex 2 EHV charges'!$D$11:$D$58),1, COUNTIF(A$4:$A74, 'Annex 2 EHV charges'!$D$11:$D$58)), 0)),"")</f>
        <v/>
      </c>
      <c r="B75" s="93" t="str">
        <f>IF($A75="","",VLOOKUP($A75,'Annex 2 EHV charges'!$D:$O,2,0))</f>
        <v/>
      </c>
      <c r="C75" s="94" t="str">
        <f>IF($A75="","",VLOOKUP($A75,'Annex 2 EHV charges'!$D:$O,3,0))</f>
        <v/>
      </c>
      <c r="D75" s="93" t="str">
        <f>IF($A75="","",VLOOKUP($A75,'Annex 2 EHV charges'!$D:$O,4,0))</f>
        <v/>
      </c>
      <c r="E75" s="95" t="str">
        <f>IFERROR(IF(VLOOKUP($A75,'Annex 2 EHV charges'!$D:$O,9,FALSE)=0,"",VLOOKUP($A75,'Annex 2 EHV charges'!$D:$O,9,FALSE)),"")</f>
        <v/>
      </c>
      <c r="F75" s="96" t="str">
        <f>IFERROR(IF(VLOOKUP($A75,'Annex 2 EHV charges'!$D:$O,10,FALSE)=0,"",VLOOKUP($A75,'Annex 2 EHV charges'!$D:$O,10,FALSE)),"")</f>
        <v/>
      </c>
      <c r="G75" s="97" t="str">
        <f>IFERROR(IF(VLOOKUP($A75,'Annex 2 EHV charges'!$D:$O,11,FALSE)=0,"",VLOOKUP($A75,'Annex 2 EHV charges'!$D:$O,11,FALSE)),"")</f>
        <v/>
      </c>
      <c r="H75" s="97" t="str">
        <f>IFERROR(IF(VLOOKUP($A75,'Annex 2 EHV charges'!$D:$O,12,FALSE)=0,"",VLOOKUP($A75,'Annex 2 EHV charges'!$D:$O,12,FALSE)),"")</f>
        <v/>
      </c>
    </row>
    <row r="76" spans="1:8" ht="12.75" customHeight="1" x14ac:dyDescent="0.2">
      <c r="A76" s="94" t="str">
        <f t="array" ref="A76">IFERROR(INDEX('Annex 2 EHV charges'!$D$11:$D$58, MATCH(0, IF(ISBLANK('Annex 2 EHV charges'!$D$11:$D$58),1, COUNTIF(A$4:$A75, 'Annex 2 EHV charges'!$D$11:$D$58)), 0)),"")</f>
        <v/>
      </c>
      <c r="B76" s="93" t="str">
        <f>IF($A76="","",VLOOKUP($A76,'Annex 2 EHV charges'!$D:$O,2,0))</f>
        <v/>
      </c>
      <c r="C76" s="94" t="str">
        <f>IF($A76="","",VLOOKUP($A76,'Annex 2 EHV charges'!$D:$O,3,0))</f>
        <v/>
      </c>
      <c r="D76" s="93" t="str">
        <f>IF($A76="","",VLOOKUP($A76,'Annex 2 EHV charges'!$D:$O,4,0))</f>
        <v/>
      </c>
      <c r="E76" s="95" t="str">
        <f>IFERROR(IF(VLOOKUP($A76,'Annex 2 EHV charges'!$D:$O,9,FALSE)=0,"",VLOOKUP($A76,'Annex 2 EHV charges'!$D:$O,9,FALSE)),"")</f>
        <v/>
      </c>
      <c r="F76" s="96" t="str">
        <f>IFERROR(IF(VLOOKUP($A76,'Annex 2 EHV charges'!$D:$O,10,FALSE)=0,"",VLOOKUP($A76,'Annex 2 EHV charges'!$D:$O,10,FALSE)),"")</f>
        <v/>
      </c>
      <c r="G76" s="97" t="str">
        <f>IFERROR(IF(VLOOKUP($A76,'Annex 2 EHV charges'!$D:$O,11,FALSE)=0,"",VLOOKUP($A76,'Annex 2 EHV charges'!$D:$O,11,FALSE)),"")</f>
        <v/>
      </c>
      <c r="H76" s="97" t="str">
        <f>IFERROR(IF(VLOOKUP($A76,'Annex 2 EHV charges'!$D:$O,12,FALSE)=0,"",VLOOKUP($A76,'Annex 2 EHV charges'!$D:$O,12,FALSE)),"")</f>
        <v/>
      </c>
    </row>
    <row r="77" spans="1:8" ht="12.75" customHeight="1" x14ac:dyDescent="0.2">
      <c r="A77" s="94" t="str">
        <f t="array" ref="A77">IFERROR(INDEX('Annex 2 EHV charges'!$D$11:$D$58, MATCH(0, IF(ISBLANK('Annex 2 EHV charges'!$D$11:$D$58),1, COUNTIF(A$4:$A76, 'Annex 2 EHV charges'!$D$11:$D$58)), 0)),"")</f>
        <v/>
      </c>
      <c r="B77" s="93" t="str">
        <f>IF($A77="","",VLOOKUP($A77,'Annex 2 EHV charges'!$D:$O,2,0))</f>
        <v/>
      </c>
      <c r="C77" s="94" t="str">
        <f>IF($A77="","",VLOOKUP($A77,'Annex 2 EHV charges'!$D:$O,3,0))</f>
        <v/>
      </c>
      <c r="D77" s="93" t="str">
        <f>IF($A77="","",VLOOKUP($A77,'Annex 2 EHV charges'!$D:$O,4,0))</f>
        <v/>
      </c>
      <c r="E77" s="95" t="str">
        <f>IFERROR(IF(VLOOKUP($A77,'Annex 2 EHV charges'!$D:$O,9,FALSE)=0,"",VLOOKUP($A77,'Annex 2 EHV charges'!$D:$O,9,FALSE)),"")</f>
        <v/>
      </c>
      <c r="F77" s="96" t="str">
        <f>IFERROR(IF(VLOOKUP($A77,'Annex 2 EHV charges'!$D:$O,10,FALSE)=0,"",VLOOKUP($A77,'Annex 2 EHV charges'!$D:$O,10,FALSE)),"")</f>
        <v/>
      </c>
      <c r="G77" s="97" t="str">
        <f>IFERROR(IF(VLOOKUP($A77,'Annex 2 EHV charges'!$D:$O,11,FALSE)=0,"",VLOOKUP($A77,'Annex 2 EHV charges'!$D:$O,11,FALSE)),"")</f>
        <v/>
      </c>
      <c r="H77" s="97" t="str">
        <f>IFERROR(IF(VLOOKUP($A77,'Annex 2 EHV charges'!$D:$O,12,FALSE)=0,"",VLOOKUP($A77,'Annex 2 EHV charges'!$D:$O,12,FALSE)),"")</f>
        <v/>
      </c>
    </row>
    <row r="78" spans="1:8" ht="12.75" customHeight="1" x14ac:dyDescent="0.2">
      <c r="A78" s="94" t="str">
        <f t="array" ref="A78">IFERROR(INDEX('Annex 2 EHV charges'!$D$11:$D$58, MATCH(0, IF(ISBLANK('Annex 2 EHV charges'!$D$11:$D$58),1, COUNTIF(A$4:$A77, 'Annex 2 EHV charges'!$D$11:$D$58)), 0)),"")</f>
        <v/>
      </c>
      <c r="B78" s="93" t="str">
        <f>IF($A78="","",VLOOKUP($A78,'Annex 2 EHV charges'!$D:$O,2,0))</f>
        <v/>
      </c>
      <c r="C78" s="94" t="str">
        <f>IF($A78="","",VLOOKUP($A78,'Annex 2 EHV charges'!$D:$O,3,0))</f>
        <v/>
      </c>
      <c r="D78" s="93" t="str">
        <f>IF($A78="","",VLOOKUP($A78,'Annex 2 EHV charges'!$D:$O,4,0))</f>
        <v/>
      </c>
      <c r="E78" s="95" t="str">
        <f>IFERROR(IF(VLOOKUP($A78,'Annex 2 EHV charges'!$D:$O,9,FALSE)=0,"",VLOOKUP($A78,'Annex 2 EHV charges'!$D:$O,9,FALSE)),"")</f>
        <v/>
      </c>
      <c r="F78" s="96" t="str">
        <f>IFERROR(IF(VLOOKUP($A78,'Annex 2 EHV charges'!$D:$O,10,FALSE)=0,"",VLOOKUP($A78,'Annex 2 EHV charges'!$D:$O,10,FALSE)),"")</f>
        <v/>
      </c>
      <c r="G78" s="97" t="str">
        <f>IFERROR(IF(VLOOKUP($A78,'Annex 2 EHV charges'!$D:$O,11,FALSE)=0,"",VLOOKUP($A78,'Annex 2 EHV charges'!$D:$O,11,FALSE)),"")</f>
        <v/>
      </c>
      <c r="H78" s="97" t="str">
        <f>IFERROR(IF(VLOOKUP($A78,'Annex 2 EHV charges'!$D:$O,12,FALSE)=0,"",VLOOKUP($A78,'Annex 2 EHV charges'!$D:$O,12,FALSE)),"")</f>
        <v/>
      </c>
    </row>
    <row r="79" spans="1:8" ht="12.75" customHeight="1" x14ac:dyDescent="0.2">
      <c r="A79" s="94" t="str">
        <f t="array" ref="A79">IFERROR(INDEX('Annex 2 EHV charges'!$D$11:$D$58, MATCH(0, IF(ISBLANK('Annex 2 EHV charges'!$D$11:$D$58),1, COUNTIF(A$4:$A78, 'Annex 2 EHV charges'!$D$11:$D$58)), 0)),"")</f>
        <v/>
      </c>
      <c r="B79" s="93" t="str">
        <f>IF($A79="","",VLOOKUP($A79,'Annex 2 EHV charges'!$D:$O,2,0))</f>
        <v/>
      </c>
      <c r="C79" s="94" t="str">
        <f>IF($A79="","",VLOOKUP($A79,'Annex 2 EHV charges'!$D:$O,3,0))</f>
        <v/>
      </c>
      <c r="D79" s="93" t="str">
        <f>IF($A79="","",VLOOKUP($A79,'Annex 2 EHV charges'!$D:$O,4,0))</f>
        <v/>
      </c>
      <c r="E79" s="95" t="str">
        <f>IFERROR(IF(VLOOKUP($A79,'Annex 2 EHV charges'!$D:$O,9,FALSE)=0,"",VLOOKUP($A79,'Annex 2 EHV charges'!$D:$O,9,FALSE)),"")</f>
        <v/>
      </c>
      <c r="F79" s="96" t="str">
        <f>IFERROR(IF(VLOOKUP($A79,'Annex 2 EHV charges'!$D:$O,10,FALSE)=0,"",VLOOKUP($A79,'Annex 2 EHV charges'!$D:$O,10,FALSE)),"")</f>
        <v/>
      </c>
      <c r="G79" s="97" t="str">
        <f>IFERROR(IF(VLOOKUP($A79,'Annex 2 EHV charges'!$D:$O,11,FALSE)=0,"",VLOOKUP($A79,'Annex 2 EHV charges'!$D:$O,11,FALSE)),"")</f>
        <v/>
      </c>
      <c r="H79" s="97" t="str">
        <f>IFERROR(IF(VLOOKUP($A79,'Annex 2 EHV charges'!$D:$O,12,FALSE)=0,"",VLOOKUP($A79,'Annex 2 EHV charges'!$D:$O,12,FALSE)),"")</f>
        <v/>
      </c>
    </row>
    <row r="80" spans="1:8" ht="12.75" customHeight="1" x14ac:dyDescent="0.2">
      <c r="A80" s="94" t="str">
        <f t="array" ref="A80">IFERROR(INDEX('Annex 2 EHV charges'!$D$11:$D$58, MATCH(0, IF(ISBLANK('Annex 2 EHV charges'!$D$11:$D$58),1, COUNTIF(A$4:$A79, 'Annex 2 EHV charges'!$D$11:$D$58)), 0)),"")</f>
        <v/>
      </c>
      <c r="B80" s="93" t="str">
        <f>IF($A80="","",VLOOKUP($A80,'Annex 2 EHV charges'!$D:$O,2,0))</f>
        <v/>
      </c>
      <c r="C80" s="94" t="str">
        <f>IF($A80="","",VLOOKUP($A80,'Annex 2 EHV charges'!$D:$O,3,0))</f>
        <v/>
      </c>
      <c r="D80" s="93" t="str">
        <f>IF($A80="","",VLOOKUP($A80,'Annex 2 EHV charges'!$D:$O,4,0))</f>
        <v/>
      </c>
      <c r="E80" s="95" t="str">
        <f>IFERROR(IF(VLOOKUP($A80,'Annex 2 EHV charges'!$D:$O,9,FALSE)=0,"",VLOOKUP($A80,'Annex 2 EHV charges'!$D:$O,9,FALSE)),"")</f>
        <v/>
      </c>
      <c r="F80" s="96" t="str">
        <f>IFERROR(IF(VLOOKUP($A80,'Annex 2 EHV charges'!$D:$O,10,FALSE)=0,"",VLOOKUP($A80,'Annex 2 EHV charges'!$D:$O,10,FALSE)),"")</f>
        <v/>
      </c>
      <c r="G80" s="97" t="str">
        <f>IFERROR(IF(VLOOKUP($A80,'Annex 2 EHV charges'!$D:$O,11,FALSE)=0,"",VLOOKUP($A80,'Annex 2 EHV charges'!$D:$O,11,FALSE)),"")</f>
        <v/>
      </c>
      <c r="H80" s="97" t="str">
        <f>IFERROR(IF(VLOOKUP($A80,'Annex 2 EHV charges'!$D:$O,12,FALSE)=0,"",VLOOKUP($A80,'Annex 2 EHV charges'!$D:$O,12,FALSE)),"")</f>
        <v/>
      </c>
    </row>
    <row r="81" spans="1:8" ht="12.75" customHeight="1" x14ac:dyDescent="0.2">
      <c r="A81" s="94" t="str">
        <f t="array" ref="A81">IFERROR(INDEX('Annex 2 EHV charges'!$D$11:$D$58, MATCH(0, IF(ISBLANK('Annex 2 EHV charges'!$D$11:$D$58),1, COUNTIF(A$4:$A80, 'Annex 2 EHV charges'!$D$11:$D$58)), 0)),"")</f>
        <v/>
      </c>
      <c r="B81" s="93" t="str">
        <f>IF($A81="","",VLOOKUP($A81,'Annex 2 EHV charges'!$D:$O,2,0))</f>
        <v/>
      </c>
      <c r="C81" s="94" t="str">
        <f>IF($A81="","",VLOOKUP($A81,'Annex 2 EHV charges'!$D:$O,3,0))</f>
        <v/>
      </c>
      <c r="D81" s="93" t="str">
        <f>IF($A81="","",VLOOKUP($A81,'Annex 2 EHV charges'!$D:$O,4,0))</f>
        <v/>
      </c>
      <c r="E81" s="95" t="str">
        <f>IFERROR(IF(VLOOKUP($A81,'Annex 2 EHV charges'!$D:$O,9,FALSE)=0,"",VLOOKUP($A81,'Annex 2 EHV charges'!$D:$O,9,FALSE)),"")</f>
        <v/>
      </c>
      <c r="F81" s="96" t="str">
        <f>IFERROR(IF(VLOOKUP($A81,'Annex 2 EHV charges'!$D:$O,10,FALSE)=0,"",VLOOKUP($A81,'Annex 2 EHV charges'!$D:$O,10,FALSE)),"")</f>
        <v/>
      </c>
      <c r="G81" s="97" t="str">
        <f>IFERROR(IF(VLOOKUP($A81,'Annex 2 EHV charges'!$D:$O,11,FALSE)=0,"",VLOOKUP($A81,'Annex 2 EHV charges'!$D:$O,11,FALSE)),"")</f>
        <v/>
      </c>
      <c r="H81" s="97" t="str">
        <f>IFERROR(IF(VLOOKUP($A81,'Annex 2 EHV charges'!$D:$O,12,FALSE)=0,"",VLOOKUP($A81,'Annex 2 EHV charges'!$D:$O,12,FALSE)),"")</f>
        <v/>
      </c>
    </row>
    <row r="82" spans="1:8" ht="12.75" customHeight="1" x14ac:dyDescent="0.2">
      <c r="A82" s="94" t="str">
        <f t="array" ref="A82">IFERROR(INDEX('Annex 2 EHV charges'!$D$11:$D$58, MATCH(0, IF(ISBLANK('Annex 2 EHV charges'!$D$11:$D$58),1, COUNTIF(A$4:$A81, 'Annex 2 EHV charges'!$D$11:$D$58)), 0)),"")</f>
        <v/>
      </c>
      <c r="B82" s="93" t="str">
        <f>IF($A82="","",VLOOKUP($A82,'Annex 2 EHV charges'!$D:$O,2,0))</f>
        <v/>
      </c>
      <c r="C82" s="94" t="str">
        <f>IF($A82="","",VLOOKUP($A82,'Annex 2 EHV charges'!$D:$O,3,0))</f>
        <v/>
      </c>
      <c r="D82" s="93" t="str">
        <f>IF($A82="","",VLOOKUP($A82,'Annex 2 EHV charges'!$D:$O,4,0))</f>
        <v/>
      </c>
      <c r="E82" s="95" t="str">
        <f>IFERROR(IF(VLOOKUP($A82,'Annex 2 EHV charges'!$D:$O,9,FALSE)=0,"",VLOOKUP($A82,'Annex 2 EHV charges'!$D:$O,9,FALSE)),"")</f>
        <v/>
      </c>
      <c r="F82" s="96" t="str">
        <f>IFERROR(IF(VLOOKUP($A82,'Annex 2 EHV charges'!$D:$O,10,FALSE)=0,"",VLOOKUP($A82,'Annex 2 EHV charges'!$D:$O,10,FALSE)),"")</f>
        <v/>
      </c>
      <c r="G82" s="97" t="str">
        <f>IFERROR(IF(VLOOKUP($A82,'Annex 2 EHV charges'!$D:$O,11,FALSE)=0,"",VLOOKUP($A82,'Annex 2 EHV charges'!$D:$O,11,FALSE)),"")</f>
        <v/>
      </c>
      <c r="H82" s="97" t="str">
        <f>IFERROR(IF(VLOOKUP($A82,'Annex 2 EHV charges'!$D:$O,12,FALSE)=0,"",VLOOKUP($A82,'Annex 2 EHV charges'!$D:$O,12,FALSE)),"")</f>
        <v/>
      </c>
    </row>
    <row r="83" spans="1:8" ht="12.75" customHeight="1" x14ac:dyDescent="0.2">
      <c r="A83" s="94" t="str">
        <f t="array" ref="A83">IFERROR(INDEX('Annex 2 EHV charges'!$D$11:$D$58, MATCH(0, IF(ISBLANK('Annex 2 EHV charges'!$D$11:$D$58),1, COUNTIF(A$4:$A82, 'Annex 2 EHV charges'!$D$11:$D$58)), 0)),"")</f>
        <v/>
      </c>
      <c r="B83" s="93" t="str">
        <f>IF($A83="","",VLOOKUP($A83,'Annex 2 EHV charges'!$D:$O,2,0))</f>
        <v/>
      </c>
      <c r="C83" s="94" t="str">
        <f>IF($A83="","",VLOOKUP($A83,'Annex 2 EHV charges'!$D:$O,3,0))</f>
        <v/>
      </c>
      <c r="D83" s="93" t="str">
        <f>IF($A83="","",VLOOKUP($A83,'Annex 2 EHV charges'!$D:$O,4,0))</f>
        <v/>
      </c>
      <c r="E83" s="95" t="str">
        <f>IFERROR(IF(VLOOKUP($A83,'Annex 2 EHV charges'!$D:$O,9,FALSE)=0,"",VLOOKUP($A83,'Annex 2 EHV charges'!$D:$O,9,FALSE)),"")</f>
        <v/>
      </c>
      <c r="F83" s="96" t="str">
        <f>IFERROR(IF(VLOOKUP($A83,'Annex 2 EHV charges'!$D:$O,10,FALSE)=0,"",VLOOKUP($A83,'Annex 2 EHV charges'!$D:$O,10,FALSE)),"")</f>
        <v/>
      </c>
      <c r="G83" s="97" t="str">
        <f>IFERROR(IF(VLOOKUP($A83,'Annex 2 EHV charges'!$D:$O,11,FALSE)=0,"",VLOOKUP($A83,'Annex 2 EHV charges'!$D:$O,11,FALSE)),"")</f>
        <v/>
      </c>
      <c r="H83" s="97" t="str">
        <f>IFERROR(IF(VLOOKUP($A83,'Annex 2 EHV charges'!$D:$O,12,FALSE)=0,"",VLOOKUP($A83,'Annex 2 EHV charges'!$D:$O,12,FALSE)),"")</f>
        <v/>
      </c>
    </row>
    <row r="84" spans="1:8" ht="12.75" customHeight="1" x14ac:dyDescent="0.2">
      <c r="A84" s="94" t="str">
        <f t="array" ref="A84">IFERROR(INDEX('Annex 2 EHV charges'!$D$11:$D$58, MATCH(0, IF(ISBLANK('Annex 2 EHV charges'!$D$11:$D$58),1, COUNTIF(A$4:$A83, 'Annex 2 EHV charges'!$D$11:$D$58)), 0)),"")</f>
        <v/>
      </c>
      <c r="B84" s="93" t="str">
        <f>IF($A84="","",VLOOKUP($A84,'Annex 2 EHV charges'!$D:$O,2,0))</f>
        <v/>
      </c>
      <c r="C84" s="94" t="str">
        <f>IF($A84="","",VLOOKUP($A84,'Annex 2 EHV charges'!$D:$O,3,0))</f>
        <v/>
      </c>
      <c r="D84" s="93" t="str">
        <f>IF($A84="","",VLOOKUP($A84,'Annex 2 EHV charges'!$D:$O,4,0))</f>
        <v/>
      </c>
      <c r="E84" s="95" t="str">
        <f>IFERROR(IF(VLOOKUP($A84,'Annex 2 EHV charges'!$D:$O,9,FALSE)=0,"",VLOOKUP($A84,'Annex 2 EHV charges'!$D:$O,9,FALSE)),"")</f>
        <v/>
      </c>
      <c r="F84" s="96" t="str">
        <f>IFERROR(IF(VLOOKUP($A84,'Annex 2 EHV charges'!$D:$O,10,FALSE)=0,"",VLOOKUP($A84,'Annex 2 EHV charges'!$D:$O,10,FALSE)),"")</f>
        <v/>
      </c>
      <c r="G84" s="97" t="str">
        <f>IFERROR(IF(VLOOKUP($A84,'Annex 2 EHV charges'!$D:$O,11,FALSE)=0,"",VLOOKUP($A84,'Annex 2 EHV charges'!$D:$O,11,FALSE)),"")</f>
        <v/>
      </c>
      <c r="H84" s="97" t="str">
        <f>IFERROR(IF(VLOOKUP($A84,'Annex 2 EHV charges'!$D:$O,12,FALSE)=0,"",VLOOKUP($A84,'Annex 2 EHV charges'!$D:$O,12,FALSE)),"")</f>
        <v/>
      </c>
    </row>
    <row r="85" spans="1:8" ht="12.75" customHeight="1" x14ac:dyDescent="0.2">
      <c r="A85" s="94" t="str">
        <f t="array" ref="A85">IFERROR(INDEX('Annex 2 EHV charges'!$D$11:$D$58, MATCH(0, IF(ISBLANK('Annex 2 EHV charges'!$D$11:$D$58),1, COUNTIF(A$4:$A84, 'Annex 2 EHV charges'!$D$11:$D$58)), 0)),"")</f>
        <v/>
      </c>
      <c r="B85" s="93" t="str">
        <f>IF($A85="","",VLOOKUP($A85,'Annex 2 EHV charges'!$D:$O,2,0))</f>
        <v/>
      </c>
      <c r="C85" s="94" t="str">
        <f>IF($A85="","",VLOOKUP($A85,'Annex 2 EHV charges'!$D:$O,3,0))</f>
        <v/>
      </c>
      <c r="D85" s="93" t="str">
        <f>IF($A85="","",VLOOKUP($A85,'Annex 2 EHV charges'!$D:$O,4,0))</f>
        <v/>
      </c>
      <c r="E85" s="95" t="str">
        <f>IFERROR(IF(VLOOKUP($A85,'Annex 2 EHV charges'!$D:$O,9,FALSE)=0,"",VLOOKUP($A85,'Annex 2 EHV charges'!$D:$O,9,FALSE)),"")</f>
        <v/>
      </c>
      <c r="F85" s="96" t="str">
        <f>IFERROR(IF(VLOOKUP($A85,'Annex 2 EHV charges'!$D:$O,10,FALSE)=0,"",VLOOKUP($A85,'Annex 2 EHV charges'!$D:$O,10,FALSE)),"")</f>
        <v/>
      </c>
      <c r="G85" s="97" t="str">
        <f>IFERROR(IF(VLOOKUP($A85,'Annex 2 EHV charges'!$D:$O,11,FALSE)=0,"",VLOOKUP($A85,'Annex 2 EHV charges'!$D:$O,11,FALSE)),"")</f>
        <v/>
      </c>
      <c r="H85" s="97" t="str">
        <f>IFERROR(IF(VLOOKUP($A85,'Annex 2 EHV charges'!$D:$O,12,FALSE)=0,"",VLOOKUP($A85,'Annex 2 EHV charges'!$D:$O,12,FALSE)),"")</f>
        <v/>
      </c>
    </row>
    <row r="86" spans="1:8" ht="12.75" customHeight="1" x14ac:dyDescent="0.2">
      <c r="A86" s="94" t="str">
        <f t="array" ref="A86">IFERROR(INDEX('Annex 2 EHV charges'!$D$11:$D$58, MATCH(0, IF(ISBLANK('Annex 2 EHV charges'!$D$11:$D$58),1, COUNTIF(A$4:$A85, 'Annex 2 EHV charges'!$D$11:$D$58)), 0)),"")</f>
        <v/>
      </c>
      <c r="B86" s="93" t="str">
        <f>IF($A86="","",VLOOKUP($A86,'Annex 2 EHV charges'!$D:$O,2,0))</f>
        <v/>
      </c>
      <c r="C86" s="94" t="str">
        <f>IF($A86="","",VLOOKUP($A86,'Annex 2 EHV charges'!$D:$O,3,0))</f>
        <v/>
      </c>
      <c r="D86" s="93" t="str">
        <f>IF($A86="","",VLOOKUP($A86,'Annex 2 EHV charges'!$D:$O,4,0))</f>
        <v/>
      </c>
      <c r="E86" s="95" t="str">
        <f>IFERROR(IF(VLOOKUP($A86,'Annex 2 EHV charges'!$D:$O,9,FALSE)=0,"",VLOOKUP($A86,'Annex 2 EHV charges'!$D:$O,9,FALSE)),"")</f>
        <v/>
      </c>
      <c r="F86" s="96" t="str">
        <f>IFERROR(IF(VLOOKUP($A86,'Annex 2 EHV charges'!$D:$O,10,FALSE)=0,"",VLOOKUP($A86,'Annex 2 EHV charges'!$D:$O,10,FALSE)),"")</f>
        <v/>
      </c>
      <c r="G86" s="97" t="str">
        <f>IFERROR(IF(VLOOKUP($A86,'Annex 2 EHV charges'!$D:$O,11,FALSE)=0,"",VLOOKUP($A86,'Annex 2 EHV charges'!$D:$O,11,FALSE)),"")</f>
        <v/>
      </c>
      <c r="H86" s="97" t="str">
        <f>IFERROR(IF(VLOOKUP($A86,'Annex 2 EHV charges'!$D:$O,12,FALSE)=0,"",VLOOKUP($A86,'Annex 2 EHV charges'!$D:$O,12,FALSE)),"")</f>
        <v/>
      </c>
    </row>
    <row r="87" spans="1:8" ht="12.75" customHeight="1" x14ac:dyDescent="0.2">
      <c r="A87" s="94" t="str">
        <f t="array" ref="A87">IFERROR(INDEX('Annex 2 EHV charges'!$D$11:$D$58, MATCH(0, IF(ISBLANK('Annex 2 EHV charges'!$D$11:$D$58),1, COUNTIF(A$4:$A86, 'Annex 2 EHV charges'!$D$11:$D$58)), 0)),"")</f>
        <v/>
      </c>
      <c r="B87" s="93" t="str">
        <f>IF($A87="","",VLOOKUP($A87,'Annex 2 EHV charges'!$D:$O,2,0))</f>
        <v/>
      </c>
      <c r="C87" s="94" t="str">
        <f>IF($A87="","",VLOOKUP($A87,'Annex 2 EHV charges'!$D:$O,3,0))</f>
        <v/>
      </c>
      <c r="D87" s="93" t="str">
        <f>IF($A87="","",VLOOKUP($A87,'Annex 2 EHV charges'!$D:$O,4,0))</f>
        <v/>
      </c>
      <c r="E87" s="95" t="str">
        <f>IFERROR(IF(VLOOKUP($A87,'Annex 2 EHV charges'!$D:$O,9,FALSE)=0,"",VLOOKUP($A87,'Annex 2 EHV charges'!$D:$O,9,FALSE)),"")</f>
        <v/>
      </c>
      <c r="F87" s="96" t="str">
        <f>IFERROR(IF(VLOOKUP($A87,'Annex 2 EHV charges'!$D:$O,10,FALSE)=0,"",VLOOKUP($A87,'Annex 2 EHV charges'!$D:$O,10,FALSE)),"")</f>
        <v/>
      </c>
      <c r="G87" s="97" t="str">
        <f>IFERROR(IF(VLOOKUP($A87,'Annex 2 EHV charges'!$D:$O,11,FALSE)=0,"",VLOOKUP($A87,'Annex 2 EHV charges'!$D:$O,11,FALSE)),"")</f>
        <v/>
      </c>
      <c r="H87" s="97" t="str">
        <f>IFERROR(IF(VLOOKUP($A87,'Annex 2 EHV charges'!$D:$O,12,FALSE)=0,"",VLOOKUP($A87,'Annex 2 EHV charges'!$D:$O,12,FALSE)),"")</f>
        <v/>
      </c>
    </row>
    <row r="88" spans="1:8" ht="12.75" customHeight="1" x14ac:dyDescent="0.2">
      <c r="A88" s="94" t="str">
        <f t="array" ref="A88">IFERROR(INDEX('Annex 2 EHV charges'!$D$11:$D$58, MATCH(0, IF(ISBLANK('Annex 2 EHV charges'!$D$11:$D$58),1, COUNTIF(A$4:$A87, 'Annex 2 EHV charges'!$D$11:$D$58)), 0)),"")</f>
        <v/>
      </c>
      <c r="B88" s="93" t="str">
        <f>IF($A88="","",VLOOKUP($A88,'Annex 2 EHV charges'!$D:$O,2,0))</f>
        <v/>
      </c>
      <c r="C88" s="94" t="str">
        <f>IF($A88="","",VLOOKUP($A88,'Annex 2 EHV charges'!$D:$O,3,0))</f>
        <v/>
      </c>
      <c r="D88" s="93" t="str">
        <f>IF($A88="","",VLOOKUP($A88,'Annex 2 EHV charges'!$D:$O,4,0))</f>
        <v/>
      </c>
      <c r="E88" s="95" t="str">
        <f>IFERROR(IF(VLOOKUP($A88,'Annex 2 EHV charges'!$D:$O,9,FALSE)=0,"",VLOOKUP($A88,'Annex 2 EHV charges'!$D:$O,9,FALSE)),"")</f>
        <v/>
      </c>
      <c r="F88" s="96" t="str">
        <f>IFERROR(IF(VLOOKUP($A88,'Annex 2 EHV charges'!$D:$O,10,FALSE)=0,"",VLOOKUP($A88,'Annex 2 EHV charges'!$D:$O,10,FALSE)),"")</f>
        <v/>
      </c>
      <c r="G88" s="97" t="str">
        <f>IFERROR(IF(VLOOKUP($A88,'Annex 2 EHV charges'!$D:$O,11,FALSE)=0,"",VLOOKUP($A88,'Annex 2 EHV charges'!$D:$O,11,FALSE)),"")</f>
        <v/>
      </c>
      <c r="H88" s="97" t="str">
        <f>IFERROR(IF(VLOOKUP($A88,'Annex 2 EHV charges'!$D:$O,12,FALSE)=0,"",VLOOKUP($A88,'Annex 2 EHV charges'!$D:$O,12,FALSE)),"")</f>
        <v/>
      </c>
    </row>
    <row r="89" spans="1:8" ht="12.75" customHeight="1" x14ac:dyDescent="0.2">
      <c r="A89" s="94" t="str">
        <f t="array" ref="A89">IFERROR(INDEX('Annex 2 EHV charges'!$D$11:$D$58, MATCH(0, IF(ISBLANK('Annex 2 EHV charges'!$D$11:$D$58),1, COUNTIF(A$4:$A88, 'Annex 2 EHV charges'!$D$11:$D$58)), 0)),"")</f>
        <v/>
      </c>
      <c r="B89" s="93" t="str">
        <f>IF($A89="","",VLOOKUP($A89,'Annex 2 EHV charges'!$D:$O,2,0))</f>
        <v/>
      </c>
      <c r="C89" s="94" t="str">
        <f>IF($A89="","",VLOOKUP($A89,'Annex 2 EHV charges'!$D:$O,3,0))</f>
        <v/>
      </c>
      <c r="D89" s="93" t="str">
        <f>IF($A89="","",VLOOKUP($A89,'Annex 2 EHV charges'!$D:$O,4,0))</f>
        <v/>
      </c>
      <c r="E89" s="95" t="str">
        <f>IFERROR(IF(VLOOKUP($A89,'Annex 2 EHV charges'!$D:$O,9,FALSE)=0,"",VLOOKUP($A89,'Annex 2 EHV charges'!$D:$O,9,FALSE)),"")</f>
        <v/>
      </c>
      <c r="F89" s="96" t="str">
        <f>IFERROR(IF(VLOOKUP($A89,'Annex 2 EHV charges'!$D:$O,10,FALSE)=0,"",VLOOKUP($A89,'Annex 2 EHV charges'!$D:$O,10,FALSE)),"")</f>
        <v/>
      </c>
      <c r="G89" s="97" t="str">
        <f>IFERROR(IF(VLOOKUP($A89,'Annex 2 EHV charges'!$D:$O,11,FALSE)=0,"",VLOOKUP($A89,'Annex 2 EHV charges'!$D:$O,11,FALSE)),"")</f>
        <v/>
      </c>
      <c r="H89" s="97" t="str">
        <f>IFERROR(IF(VLOOKUP($A89,'Annex 2 EHV charges'!$D:$O,12,FALSE)=0,"",VLOOKUP($A89,'Annex 2 EHV charges'!$D:$O,12,FALSE)),"")</f>
        <v/>
      </c>
    </row>
    <row r="90" spans="1:8" ht="12.75" customHeight="1" x14ac:dyDescent="0.2">
      <c r="A90" s="94" t="str">
        <f t="array" ref="A90">IFERROR(INDEX('Annex 2 EHV charges'!$D$11:$D$58, MATCH(0, IF(ISBLANK('Annex 2 EHV charges'!$D$11:$D$58),1, COUNTIF(A$4:$A89, 'Annex 2 EHV charges'!$D$11:$D$58)), 0)),"")</f>
        <v/>
      </c>
      <c r="B90" s="93" t="str">
        <f>IF($A90="","",VLOOKUP($A90,'Annex 2 EHV charges'!$D:$O,2,0))</f>
        <v/>
      </c>
      <c r="C90" s="94" t="str">
        <f>IF($A90="","",VLOOKUP($A90,'Annex 2 EHV charges'!$D:$O,3,0))</f>
        <v/>
      </c>
      <c r="D90" s="93" t="str">
        <f>IF($A90="","",VLOOKUP($A90,'Annex 2 EHV charges'!$D:$O,4,0))</f>
        <v/>
      </c>
      <c r="E90" s="95" t="str">
        <f>IFERROR(IF(VLOOKUP($A90,'Annex 2 EHV charges'!$D:$O,9,FALSE)=0,"",VLOOKUP($A90,'Annex 2 EHV charges'!$D:$O,9,FALSE)),"")</f>
        <v/>
      </c>
      <c r="F90" s="96" t="str">
        <f>IFERROR(IF(VLOOKUP($A90,'Annex 2 EHV charges'!$D:$O,10,FALSE)=0,"",VLOOKUP($A90,'Annex 2 EHV charges'!$D:$O,10,FALSE)),"")</f>
        <v/>
      </c>
      <c r="G90" s="97" t="str">
        <f>IFERROR(IF(VLOOKUP($A90,'Annex 2 EHV charges'!$D:$O,11,FALSE)=0,"",VLOOKUP($A90,'Annex 2 EHV charges'!$D:$O,11,FALSE)),"")</f>
        <v/>
      </c>
      <c r="H90" s="97" t="str">
        <f>IFERROR(IF(VLOOKUP($A90,'Annex 2 EHV charges'!$D:$O,12,FALSE)=0,"",VLOOKUP($A90,'Annex 2 EHV charges'!$D:$O,12,FALSE)),"")</f>
        <v/>
      </c>
    </row>
    <row r="91" spans="1:8" ht="12.75" customHeight="1" x14ac:dyDescent="0.2">
      <c r="A91" s="94" t="str">
        <f t="array" ref="A91">IFERROR(INDEX('Annex 2 EHV charges'!$D$11:$D$58, MATCH(0, IF(ISBLANK('Annex 2 EHV charges'!$D$11:$D$58),1, COUNTIF(A$4:$A90, 'Annex 2 EHV charges'!$D$11:$D$58)), 0)),"")</f>
        <v/>
      </c>
      <c r="B91" s="93" t="str">
        <f>IF($A91="","",VLOOKUP($A91,'Annex 2 EHV charges'!$D:$O,2,0))</f>
        <v/>
      </c>
      <c r="C91" s="94" t="str">
        <f>IF($A91="","",VLOOKUP($A91,'Annex 2 EHV charges'!$D:$O,3,0))</f>
        <v/>
      </c>
      <c r="D91" s="93" t="str">
        <f>IF($A91="","",VLOOKUP($A91,'Annex 2 EHV charges'!$D:$O,4,0))</f>
        <v/>
      </c>
      <c r="E91" s="95" t="str">
        <f>IFERROR(IF(VLOOKUP($A91,'Annex 2 EHV charges'!$D:$O,9,FALSE)=0,"",VLOOKUP($A91,'Annex 2 EHV charges'!$D:$O,9,FALSE)),"")</f>
        <v/>
      </c>
      <c r="F91" s="96" t="str">
        <f>IFERROR(IF(VLOOKUP($A91,'Annex 2 EHV charges'!$D:$O,10,FALSE)=0,"",VLOOKUP($A91,'Annex 2 EHV charges'!$D:$O,10,FALSE)),"")</f>
        <v/>
      </c>
      <c r="G91" s="97" t="str">
        <f>IFERROR(IF(VLOOKUP($A91,'Annex 2 EHV charges'!$D:$O,11,FALSE)=0,"",VLOOKUP($A91,'Annex 2 EHV charges'!$D:$O,11,FALSE)),"")</f>
        <v/>
      </c>
      <c r="H91" s="97" t="str">
        <f>IFERROR(IF(VLOOKUP($A91,'Annex 2 EHV charges'!$D:$O,12,FALSE)=0,"",VLOOKUP($A91,'Annex 2 EHV charges'!$D:$O,12,FALSE)),"")</f>
        <v/>
      </c>
    </row>
    <row r="92" spans="1:8" ht="12.75" customHeight="1" x14ac:dyDescent="0.2">
      <c r="A92" s="94" t="str">
        <f t="array" ref="A92">IFERROR(INDEX('Annex 2 EHV charges'!$D$11:$D$58, MATCH(0, IF(ISBLANK('Annex 2 EHV charges'!$D$11:$D$58),1, COUNTIF(A$4:$A91, 'Annex 2 EHV charges'!$D$11:$D$58)), 0)),"")</f>
        <v/>
      </c>
      <c r="B92" s="93" t="str">
        <f>IF($A92="","",VLOOKUP($A92,'Annex 2 EHV charges'!$D:$O,2,0))</f>
        <v/>
      </c>
      <c r="C92" s="94" t="str">
        <f>IF($A92="","",VLOOKUP($A92,'Annex 2 EHV charges'!$D:$O,3,0))</f>
        <v/>
      </c>
      <c r="D92" s="93" t="str">
        <f>IF($A92="","",VLOOKUP($A92,'Annex 2 EHV charges'!$D:$O,4,0))</f>
        <v/>
      </c>
      <c r="E92" s="95" t="str">
        <f>IFERROR(IF(VLOOKUP($A92,'Annex 2 EHV charges'!$D:$O,9,FALSE)=0,"",VLOOKUP($A92,'Annex 2 EHV charges'!$D:$O,9,FALSE)),"")</f>
        <v/>
      </c>
      <c r="F92" s="96" t="str">
        <f>IFERROR(IF(VLOOKUP($A92,'Annex 2 EHV charges'!$D:$O,10,FALSE)=0,"",VLOOKUP($A92,'Annex 2 EHV charges'!$D:$O,10,FALSE)),"")</f>
        <v/>
      </c>
      <c r="G92" s="97" t="str">
        <f>IFERROR(IF(VLOOKUP($A92,'Annex 2 EHV charges'!$D:$O,11,FALSE)=0,"",VLOOKUP($A92,'Annex 2 EHV charges'!$D:$O,11,FALSE)),"")</f>
        <v/>
      </c>
      <c r="H92" s="97" t="str">
        <f>IFERROR(IF(VLOOKUP($A92,'Annex 2 EHV charges'!$D:$O,12,FALSE)=0,"",VLOOKUP($A92,'Annex 2 EHV charges'!$D:$O,12,FALSE)),"")</f>
        <v/>
      </c>
    </row>
    <row r="93" spans="1:8" ht="12.75" customHeight="1" x14ac:dyDescent="0.2">
      <c r="A93" s="94" t="str">
        <f t="array" ref="A93">IFERROR(INDEX('Annex 2 EHV charges'!$D$11:$D$58, MATCH(0, IF(ISBLANK('Annex 2 EHV charges'!$D$11:$D$58),1, COUNTIF(A$4:$A92, 'Annex 2 EHV charges'!$D$11:$D$58)), 0)),"")</f>
        <v/>
      </c>
      <c r="B93" s="93" t="str">
        <f>IF($A93="","",VLOOKUP($A93,'Annex 2 EHV charges'!$D:$O,2,0))</f>
        <v/>
      </c>
      <c r="C93" s="94" t="str">
        <f>IF($A93="","",VLOOKUP($A93,'Annex 2 EHV charges'!$D:$O,3,0))</f>
        <v/>
      </c>
      <c r="D93" s="93" t="str">
        <f>IF($A93="","",VLOOKUP($A93,'Annex 2 EHV charges'!$D:$O,4,0))</f>
        <v/>
      </c>
      <c r="E93" s="95" t="str">
        <f>IFERROR(IF(VLOOKUP($A93,'Annex 2 EHV charges'!$D:$O,9,FALSE)=0,"",VLOOKUP($A93,'Annex 2 EHV charges'!$D:$O,9,FALSE)),"")</f>
        <v/>
      </c>
      <c r="F93" s="96" t="str">
        <f>IFERROR(IF(VLOOKUP($A93,'Annex 2 EHV charges'!$D:$O,10,FALSE)=0,"",VLOOKUP($A93,'Annex 2 EHV charges'!$D:$O,10,FALSE)),"")</f>
        <v/>
      </c>
      <c r="G93" s="97" t="str">
        <f>IFERROR(IF(VLOOKUP($A93,'Annex 2 EHV charges'!$D:$O,11,FALSE)=0,"",VLOOKUP($A93,'Annex 2 EHV charges'!$D:$O,11,FALSE)),"")</f>
        <v/>
      </c>
      <c r="H93" s="97" t="str">
        <f>IFERROR(IF(VLOOKUP($A93,'Annex 2 EHV charges'!$D:$O,12,FALSE)=0,"",VLOOKUP($A93,'Annex 2 EHV charges'!$D:$O,12,FALSE)),"")</f>
        <v/>
      </c>
    </row>
    <row r="94" spans="1:8" ht="12.75" customHeight="1" x14ac:dyDescent="0.2">
      <c r="A94" s="94" t="str">
        <f t="array" ref="A94">IFERROR(INDEX('Annex 2 EHV charges'!$D$11:$D$58, MATCH(0, IF(ISBLANK('Annex 2 EHV charges'!$D$11:$D$58),1, COUNTIF(A$4:$A93, 'Annex 2 EHV charges'!$D$11:$D$58)), 0)),"")</f>
        <v/>
      </c>
      <c r="B94" s="93" t="str">
        <f>IF($A94="","",VLOOKUP($A94,'Annex 2 EHV charges'!$D:$O,2,0))</f>
        <v/>
      </c>
      <c r="C94" s="94" t="str">
        <f>IF($A94="","",VLOOKUP($A94,'Annex 2 EHV charges'!$D:$O,3,0))</f>
        <v/>
      </c>
      <c r="D94" s="93" t="str">
        <f>IF($A94="","",VLOOKUP($A94,'Annex 2 EHV charges'!$D:$O,4,0))</f>
        <v/>
      </c>
      <c r="E94" s="95" t="str">
        <f>IFERROR(IF(VLOOKUP($A94,'Annex 2 EHV charges'!$D:$O,9,FALSE)=0,"",VLOOKUP($A94,'Annex 2 EHV charges'!$D:$O,9,FALSE)),"")</f>
        <v/>
      </c>
      <c r="F94" s="96" t="str">
        <f>IFERROR(IF(VLOOKUP($A94,'Annex 2 EHV charges'!$D:$O,10,FALSE)=0,"",VLOOKUP($A94,'Annex 2 EHV charges'!$D:$O,10,FALSE)),"")</f>
        <v/>
      </c>
      <c r="G94" s="97" t="str">
        <f>IFERROR(IF(VLOOKUP($A94,'Annex 2 EHV charges'!$D:$O,11,FALSE)=0,"",VLOOKUP($A94,'Annex 2 EHV charges'!$D:$O,11,FALSE)),"")</f>
        <v/>
      </c>
      <c r="H94" s="97" t="str">
        <f>IFERROR(IF(VLOOKUP($A94,'Annex 2 EHV charges'!$D:$O,12,FALSE)=0,"",VLOOKUP($A94,'Annex 2 EHV charges'!$D:$O,12,FALSE)),"")</f>
        <v/>
      </c>
    </row>
    <row r="95" spans="1:8" ht="12.75" customHeight="1" x14ac:dyDescent="0.2">
      <c r="A95" s="94" t="str">
        <f t="array" ref="A95">IFERROR(INDEX('Annex 2 EHV charges'!$D$11:$D$58, MATCH(0, IF(ISBLANK('Annex 2 EHV charges'!$D$11:$D$58),1, COUNTIF(A$4:$A94, 'Annex 2 EHV charges'!$D$11:$D$58)), 0)),"")</f>
        <v/>
      </c>
      <c r="B95" s="93" t="str">
        <f>IF($A95="","",VLOOKUP($A95,'Annex 2 EHV charges'!$D:$O,2,0))</f>
        <v/>
      </c>
      <c r="C95" s="94" t="str">
        <f>IF($A95="","",VLOOKUP($A95,'Annex 2 EHV charges'!$D:$O,3,0))</f>
        <v/>
      </c>
      <c r="D95" s="93" t="str">
        <f>IF($A95="","",VLOOKUP($A95,'Annex 2 EHV charges'!$D:$O,4,0))</f>
        <v/>
      </c>
      <c r="E95" s="95" t="str">
        <f>IFERROR(IF(VLOOKUP($A95,'Annex 2 EHV charges'!$D:$O,9,FALSE)=0,"",VLOOKUP($A95,'Annex 2 EHV charges'!$D:$O,9,FALSE)),"")</f>
        <v/>
      </c>
      <c r="F95" s="96" t="str">
        <f>IFERROR(IF(VLOOKUP($A95,'Annex 2 EHV charges'!$D:$O,10,FALSE)=0,"",VLOOKUP($A95,'Annex 2 EHV charges'!$D:$O,10,FALSE)),"")</f>
        <v/>
      </c>
      <c r="G95" s="97" t="str">
        <f>IFERROR(IF(VLOOKUP($A95,'Annex 2 EHV charges'!$D:$O,11,FALSE)=0,"",VLOOKUP($A95,'Annex 2 EHV charges'!$D:$O,11,FALSE)),"")</f>
        <v/>
      </c>
      <c r="H95" s="97" t="str">
        <f>IFERROR(IF(VLOOKUP($A95,'Annex 2 EHV charges'!$D:$O,12,FALSE)=0,"",VLOOKUP($A95,'Annex 2 EHV charges'!$D:$O,12,FALSE)),"")</f>
        <v/>
      </c>
    </row>
    <row r="96" spans="1:8" ht="12.75" customHeight="1" x14ac:dyDescent="0.2">
      <c r="A96" s="94" t="str">
        <f t="array" ref="A96">IFERROR(INDEX('Annex 2 EHV charges'!$D$11:$D$58, MATCH(0, IF(ISBLANK('Annex 2 EHV charges'!$D$11:$D$58),1, COUNTIF(A$4:$A95, 'Annex 2 EHV charges'!$D$11:$D$58)), 0)),"")</f>
        <v/>
      </c>
      <c r="B96" s="93" t="str">
        <f>IF($A96="","",VLOOKUP($A96,'Annex 2 EHV charges'!$D:$O,2,0))</f>
        <v/>
      </c>
      <c r="C96" s="94" t="str">
        <f>IF($A96="","",VLOOKUP($A96,'Annex 2 EHV charges'!$D:$O,3,0))</f>
        <v/>
      </c>
      <c r="D96" s="93" t="str">
        <f>IF($A96="","",VLOOKUP($A96,'Annex 2 EHV charges'!$D:$O,4,0))</f>
        <v/>
      </c>
      <c r="E96" s="95" t="str">
        <f>IFERROR(IF(VLOOKUP($A96,'Annex 2 EHV charges'!$D:$O,9,FALSE)=0,"",VLOOKUP($A96,'Annex 2 EHV charges'!$D:$O,9,FALSE)),"")</f>
        <v/>
      </c>
      <c r="F96" s="96" t="str">
        <f>IFERROR(IF(VLOOKUP($A96,'Annex 2 EHV charges'!$D:$O,10,FALSE)=0,"",VLOOKUP($A96,'Annex 2 EHV charges'!$D:$O,10,FALSE)),"")</f>
        <v/>
      </c>
      <c r="G96" s="97" t="str">
        <f>IFERROR(IF(VLOOKUP($A96,'Annex 2 EHV charges'!$D:$O,11,FALSE)=0,"",VLOOKUP($A96,'Annex 2 EHV charges'!$D:$O,11,FALSE)),"")</f>
        <v/>
      </c>
      <c r="H96" s="97" t="str">
        <f>IFERROR(IF(VLOOKUP($A96,'Annex 2 EHV charges'!$D:$O,12,FALSE)=0,"",VLOOKUP($A96,'Annex 2 EHV charges'!$D:$O,12,FALSE)),"")</f>
        <v/>
      </c>
    </row>
    <row r="97" spans="1:8" ht="12.75" customHeight="1" x14ac:dyDescent="0.2">
      <c r="A97" s="94" t="str">
        <f t="array" ref="A97">IFERROR(INDEX('Annex 2 EHV charges'!$D$11:$D$58, MATCH(0, IF(ISBLANK('Annex 2 EHV charges'!$D$11:$D$58),1, COUNTIF(A$4:$A96, 'Annex 2 EHV charges'!$D$11:$D$58)), 0)),"")</f>
        <v/>
      </c>
      <c r="B97" s="93" t="str">
        <f>IF($A97="","",VLOOKUP($A97,'Annex 2 EHV charges'!$D:$O,2,0))</f>
        <v/>
      </c>
      <c r="C97" s="94" t="str">
        <f>IF($A97="","",VLOOKUP($A97,'Annex 2 EHV charges'!$D:$O,3,0))</f>
        <v/>
      </c>
      <c r="D97" s="93" t="str">
        <f>IF($A97="","",VLOOKUP($A97,'Annex 2 EHV charges'!$D:$O,4,0))</f>
        <v/>
      </c>
      <c r="E97" s="95" t="str">
        <f>IFERROR(IF(VLOOKUP($A97,'Annex 2 EHV charges'!$D:$O,9,FALSE)=0,"",VLOOKUP($A97,'Annex 2 EHV charges'!$D:$O,9,FALSE)),"")</f>
        <v/>
      </c>
      <c r="F97" s="96" t="str">
        <f>IFERROR(IF(VLOOKUP($A97,'Annex 2 EHV charges'!$D:$O,10,FALSE)=0,"",VLOOKUP($A97,'Annex 2 EHV charges'!$D:$O,10,FALSE)),"")</f>
        <v/>
      </c>
      <c r="G97" s="97" t="str">
        <f>IFERROR(IF(VLOOKUP($A97,'Annex 2 EHV charges'!$D:$O,11,FALSE)=0,"",VLOOKUP($A97,'Annex 2 EHV charges'!$D:$O,11,FALSE)),"")</f>
        <v/>
      </c>
      <c r="H97" s="97" t="str">
        <f>IFERROR(IF(VLOOKUP($A97,'Annex 2 EHV charges'!$D:$O,12,FALSE)=0,"",VLOOKUP($A97,'Annex 2 EHV charges'!$D:$O,12,FALSE)),"")</f>
        <v/>
      </c>
    </row>
    <row r="98" spans="1:8" ht="12.75" customHeight="1" x14ac:dyDescent="0.2">
      <c r="A98" s="94" t="str">
        <f t="array" ref="A98">IFERROR(INDEX('Annex 2 EHV charges'!$D$11:$D$58, MATCH(0, IF(ISBLANK('Annex 2 EHV charges'!$D$11:$D$58),1, COUNTIF(A$4:$A97, 'Annex 2 EHV charges'!$D$11:$D$58)), 0)),"")</f>
        <v/>
      </c>
      <c r="B98" s="93" t="str">
        <f>IF($A98="","",VLOOKUP($A98,'Annex 2 EHV charges'!$D:$O,2,0))</f>
        <v/>
      </c>
      <c r="C98" s="94" t="str">
        <f>IF($A98="","",VLOOKUP($A98,'Annex 2 EHV charges'!$D:$O,3,0))</f>
        <v/>
      </c>
      <c r="D98" s="93" t="str">
        <f>IF($A98="","",VLOOKUP($A98,'Annex 2 EHV charges'!$D:$O,4,0))</f>
        <v/>
      </c>
      <c r="E98" s="95" t="str">
        <f>IFERROR(IF(VLOOKUP($A98,'Annex 2 EHV charges'!$D:$O,9,FALSE)=0,"",VLOOKUP($A98,'Annex 2 EHV charges'!$D:$O,9,FALSE)),"")</f>
        <v/>
      </c>
      <c r="F98" s="96" t="str">
        <f>IFERROR(IF(VLOOKUP($A98,'Annex 2 EHV charges'!$D:$O,10,FALSE)=0,"",VLOOKUP($A98,'Annex 2 EHV charges'!$D:$O,10,FALSE)),"")</f>
        <v/>
      </c>
      <c r="G98" s="97" t="str">
        <f>IFERROR(IF(VLOOKUP($A98,'Annex 2 EHV charges'!$D:$O,11,FALSE)=0,"",VLOOKUP($A98,'Annex 2 EHV charges'!$D:$O,11,FALSE)),"")</f>
        <v/>
      </c>
      <c r="H98" s="97" t="str">
        <f>IFERROR(IF(VLOOKUP($A98,'Annex 2 EHV charges'!$D:$O,12,FALSE)=0,"",VLOOKUP($A98,'Annex 2 EHV charges'!$D:$O,12,FALSE)),"")</f>
        <v/>
      </c>
    </row>
    <row r="99" spans="1:8" ht="12.75" customHeight="1" x14ac:dyDescent="0.2">
      <c r="A99" s="94" t="str">
        <f t="array" ref="A99">IFERROR(INDEX('Annex 2 EHV charges'!$D$11:$D$58, MATCH(0, IF(ISBLANK('Annex 2 EHV charges'!$D$11:$D$58),1, COUNTIF(A$4:$A98, 'Annex 2 EHV charges'!$D$11:$D$58)), 0)),"")</f>
        <v/>
      </c>
      <c r="B99" s="93" t="str">
        <f>IF($A99="","",VLOOKUP($A99,'Annex 2 EHV charges'!$D:$O,2,0))</f>
        <v/>
      </c>
      <c r="C99" s="94" t="str">
        <f>IF($A99="","",VLOOKUP($A99,'Annex 2 EHV charges'!$D:$O,3,0))</f>
        <v/>
      </c>
      <c r="D99" s="93" t="str">
        <f>IF($A99="","",VLOOKUP($A99,'Annex 2 EHV charges'!$D:$O,4,0))</f>
        <v/>
      </c>
      <c r="E99" s="95" t="str">
        <f>IFERROR(IF(VLOOKUP($A99,'Annex 2 EHV charges'!$D:$O,9,FALSE)=0,"",VLOOKUP($A99,'Annex 2 EHV charges'!$D:$O,9,FALSE)),"")</f>
        <v/>
      </c>
      <c r="F99" s="96" t="str">
        <f>IFERROR(IF(VLOOKUP($A99,'Annex 2 EHV charges'!$D:$O,10,FALSE)=0,"",VLOOKUP($A99,'Annex 2 EHV charges'!$D:$O,10,FALSE)),"")</f>
        <v/>
      </c>
      <c r="G99" s="97" t="str">
        <f>IFERROR(IF(VLOOKUP($A99,'Annex 2 EHV charges'!$D:$O,11,FALSE)=0,"",VLOOKUP($A99,'Annex 2 EHV charges'!$D:$O,11,FALSE)),"")</f>
        <v/>
      </c>
      <c r="H99" s="97" t="str">
        <f>IFERROR(IF(VLOOKUP($A99,'Annex 2 EHV charges'!$D:$O,12,FALSE)=0,"",VLOOKUP($A99,'Annex 2 EHV charges'!$D:$O,12,FALSE)),"")</f>
        <v/>
      </c>
    </row>
    <row r="100" spans="1:8" ht="12.75" customHeight="1" x14ac:dyDescent="0.2">
      <c r="A100" s="94" t="str">
        <f t="array" ref="A100">IFERROR(INDEX('Annex 2 EHV charges'!$D$11:$D$58, MATCH(0, IF(ISBLANK('Annex 2 EHV charges'!$D$11:$D$58),1, COUNTIF(A$4:$A99, 'Annex 2 EHV charges'!$D$11:$D$58)), 0)),"")</f>
        <v/>
      </c>
      <c r="B100" s="93" t="str">
        <f>IF($A100="","",VLOOKUP($A100,'Annex 2 EHV charges'!$D:$O,2,0))</f>
        <v/>
      </c>
      <c r="C100" s="94" t="str">
        <f>IF($A100="","",VLOOKUP($A100,'Annex 2 EHV charges'!$D:$O,3,0))</f>
        <v/>
      </c>
      <c r="D100" s="93" t="str">
        <f>IF($A100="","",VLOOKUP($A100,'Annex 2 EHV charges'!$D:$O,4,0))</f>
        <v/>
      </c>
      <c r="E100" s="95" t="str">
        <f>IFERROR(IF(VLOOKUP($A100,'Annex 2 EHV charges'!$D:$O,9,FALSE)=0,"",VLOOKUP($A100,'Annex 2 EHV charges'!$D:$O,9,FALSE)),"")</f>
        <v/>
      </c>
      <c r="F100" s="96" t="str">
        <f>IFERROR(IF(VLOOKUP($A100,'Annex 2 EHV charges'!$D:$O,10,FALSE)=0,"",VLOOKUP($A100,'Annex 2 EHV charges'!$D:$O,10,FALSE)),"")</f>
        <v/>
      </c>
      <c r="G100" s="97" t="str">
        <f>IFERROR(IF(VLOOKUP($A100,'Annex 2 EHV charges'!$D:$O,11,FALSE)=0,"",VLOOKUP($A100,'Annex 2 EHV charges'!$D:$O,11,FALSE)),"")</f>
        <v/>
      </c>
      <c r="H100" s="97" t="str">
        <f>IFERROR(IF(VLOOKUP($A100,'Annex 2 EHV charges'!$D:$O,12,FALSE)=0,"",VLOOKUP($A100,'Annex 2 EHV charges'!$D:$O,12,FALSE)),"")</f>
        <v/>
      </c>
    </row>
    <row r="101" spans="1:8" ht="12.75" customHeight="1" x14ac:dyDescent="0.2">
      <c r="A101" s="94" t="str">
        <f t="array" ref="A101">IFERROR(INDEX('Annex 2 EHV charges'!$D$11:$D$58, MATCH(0, IF(ISBLANK('Annex 2 EHV charges'!$D$11:$D$58),1, COUNTIF(A$4:$A100, 'Annex 2 EHV charges'!$D$11:$D$58)), 0)),"")</f>
        <v/>
      </c>
      <c r="B101" s="93" t="str">
        <f>IF($A101="","",VLOOKUP($A101,'Annex 2 EHV charges'!$D:$O,2,0))</f>
        <v/>
      </c>
      <c r="C101" s="94" t="str">
        <f>IF($A101="","",VLOOKUP($A101,'Annex 2 EHV charges'!$D:$O,3,0))</f>
        <v/>
      </c>
      <c r="D101" s="93" t="str">
        <f>IF($A101="","",VLOOKUP($A101,'Annex 2 EHV charges'!$D:$O,4,0))</f>
        <v/>
      </c>
      <c r="E101" s="95" t="str">
        <f>IFERROR(IF(VLOOKUP($A101,'Annex 2 EHV charges'!$D:$O,9,FALSE)=0,"",VLOOKUP($A101,'Annex 2 EHV charges'!$D:$O,9,FALSE)),"")</f>
        <v/>
      </c>
      <c r="F101" s="96" t="str">
        <f>IFERROR(IF(VLOOKUP($A101,'Annex 2 EHV charges'!$D:$O,10,FALSE)=0,"",VLOOKUP($A101,'Annex 2 EHV charges'!$D:$O,10,FALSE)),"")</f>
        <v/>
      </c>
      <c r="G101" s="97" t="str">
        <f>IFERROR(IF(VLOOKUP($A101,'Annex 2 EHV charges'!$D:$O,11,FALSE)=0,"",VLOOKUP($A101,'Annex 2 EHV charges'!$D:$O,11,FALSE)),"")</f>
        <v/>
      </c>
      <c r="H101" s="97" t="str">
        <f>IFERROR(IF(VLOOKUP($A101,'Annex 2 EHV charges'!$D:$O,12,FALSE)=0,"",VLOOKUP($A101,'Annex 2 EHV charges'!$D:$O,12,FALSE)),"")</f>
        <v/>
      </c>
    </row>
    <row r="102" spans="1:8" ht="12.75" customHeight="1" x14ac:dyDescent="0.2">
      <c r="A102" s="94" t="str">
        <f t="array" ref="A102">IFERROR(INDEX('Annex 2 EHV charges'!$D$11:$D$58, MATCH(0, IF(ISBLANK('Annex 2 EHV charges'!$D$11:$D$58),1, COUNTIF(A$4:$A101, 'Annex 2 EHV charges'!$D$11:$D$58)), 0)),"")</f>
        <v/>
      </c>
      <c r="B102" s="93" t="str">
        <f>IF($A102="","",VLOOKUP($A102,'Annex 2 EHV charges'!$D:$O,2,0))</f>
        <v/>
      </c>
      <c r="C102" s="94" t="str">
        <f>IF($A102="","",VLOOKUP($A102,'Annex 2 EHV charges'!$D:$O,3,0))</f>
        <v/>
      </c>
      <c r="D102" s="93" t="str">
        <f>IF($A102="","",VLOOKUP($A102,'Annex 2 EHV charges'!$D:$O,4,0))</f>
        <v/>
      </c>
      <c r="E102" s="95" t="str">
        <f>IFERROR(IF(VLOOKUP($A102,'Annex 2 EHV charges'!$D:$O,9,FALSE)=0,"",VLOOKUP($A102,'Annex 2 EHV charges'!$D:$O,9,FALSE)),"")</f>
        <v/>
      </c>
      <c r="F102" s="96" t="str">
        <f>IFERROR(IF(VLOOKUP($A102,'Annex 2 EHV charges'!$D:$O,10,FALSE)=0,"",VLOOKUP($A102,'Annex 2 EHV charges'!$D:$O,10,FALSE)),"")</f>
        <v/>
      </c>
      <c r="G102" s="97" t="str">
        <f>IFERROR(IF(VLOOKUP($A102,'Annex 2 EHV charges'!$D:$O,11,FALSE)=0,"",VLOOKUP($A102,'Annex 2 EHV charges'!$D:$O,11,FALSE)),"")</f>
        <v/>
      </c>
      <c r="H102" s="97" t="str">
        <f>IFERROR(IF(VLOOKUP($A102,'Annex 2 EHV charges'!$D:$O,12,FALSE)=0,"",VLOOKUP($A102,'Annex 2 EHV charges'!$D:$O,12,FALSE)),"")</f>
        <v/>
      </c>
    </row>
    <row r="103" spans="1:8" ht="12.75" customHeight="1" x14ac:dyDescent="0.2">
      <c r="A103" s="94" t="str">
        <f t="array" ref="A103">IFERROR(INDEX('Annex 2 EHV charges'!$D$11:$D$58, MATCH(0, IF(ISBLANK('Annex 2 EHV charges'!$D$11:$D$58),1, COUNTIF(A$4:$A102, 'Annex 2 EHV charges'!$D$11:$D$58)), 0)),"")</f>
        <v/>
      </c>
      <c r="B103" s="93" t="str">
        <f>IF($A103="","",VLOOKUP($A103,'Annex 2 EHV charges'!$D:$O,2,0))</f>
        <v/>
      </c>
      <c r="C103" s="94" t="str">
        <f>IF($A103="","",VLOOKUP($A103,'Annex 2 EHV charges'!$D:$O,3,0))</f>
        <v/>
      </c>
      <c r="D103" s="93" t="str">
        <f>IF($A103="","",VLOOKUP($A103,'Annex 2 EHV charges'!$D:$O,4,0))</f>
        <v/>
      </c>
      <c r="E103" s="95" t="str">
        <f>IFERROR(IF(VLOOKUP($A103,'Annex 2 EHV charges'!$D:$O,9,FALSE)=0,"",VLOOKUP($A103,'Annex 2 EHV charges'!$D:$O,9,FALSE)),"")</f>
        <v/>
      </c>
      <c r="F103" s="96" t="str">
        <f>IFERROR(IF(VLOOKUP($A103,'Annex 2 EHV charges'!$D:$O,10,FALSE)=0,"",VLOOKUP($A103,'Annex 2 EHV charges'!$D:$O,10,FALSE)),"")</f>
        <v/>
      </c>
      <c r="G103" s="97" t="str">
        <f>IFERROR(IF(VLOOKUP($A103,'Annex 2 EHV charges'!$D:$O,11,FALSE)=0,"",VLOOKUP($A103,'Annex 2 EHV charges'!$D:$O,11,FALSE)),"")</f>
        <v/>
      </c>
      <c r="H103" s="97" t="str">
        <f>IFERROR(IF(VLOOKUP($A103,'Annex 2 EHV charges'!$D:$O,12,FALSE)=0,"",VLOOKUP($A103,'Annex 2 EHV charges'!$D:$O,12,FALSE)),"")</f>
        <v/>
      </c>
    </row>
    <row r="104" spans="1:8" ht="12.75" customHeight="1" x14ac:dyDescent="0.2">
      <c r="A104" s="94" t="str">
        <f t="array" ref="A104">IFERROR(INDEX('Annex 2 EHV charges'!$D$11:$D$58, MATCH(0, IF(ISBLANK('Annex 2 EHV charges'!$D$11:$D$58),1, COUNTIF(A$4:$A103, 'Annex 2 EHV charges'!$D$11:$D$58)), 0)),"")</f>
        <v/>
      </c>
      <c r="B104" s="93" t="str">
        <f>IF($A104="","",VLOOKUP($A104,'Annex 2 EHV charges'!$D:$O,2,0))</f>
        <v/>
      </c>
      <c r="C104" s="94" t="str">
        <f>IF($A104="","",VLOOKUP($A104,'Annex 2 EHV charges'!$D:$O,3,0))</f>
        <v/>
      </c>
      <c r="D104" s="93" t="str">
        <f>IF($A104="","",VLOOKUP($A104,'Annex 2 EHV charges'!$D:$O,4,0))</f>
        <v/>
      </c>
      <c r="E104" s="95" t="str">
        <f>IFERROR(IF(VLOOKUP($A104,'Annex 2 EHV charges'!$D:$O,9,FALSE)=0,"",VLOOKUP($A104,'Annex 2 EHV charges'!$D:$O,9,FALSE)),"")</f>
        <v/>
      </c>
      <c r="F104" s="96" t="str">
        <f>IFERROR(IF(VLOOKUP($A104,'Annex 2 EHV charges'!$D:$O,10,FALSE)=0,"",VLOOKUP($A104,'Annex 2 EHV charges'!$D:$O,10,FALSE)),"")</f>
        <v/>
      </c>
      <c r="G104" s="97" t="str">
        <f>IFERROR(IF(VLOOKUP($A104,'Annex 2 EHV charges'!$D:$O,11,FALSE)=0,"",VLOOKUP($A104,'Annex 2 EHV charges'!$D:$O,11,FALSE)),"")</f>
        <v/>
      </c>
      <c r="H104" s="97" t="str">
        <f>IFERROR(IF(VLOOKUP($A104,'Annex 2 EHV charges'!$D:$O,12,FALSE)=0,"",VLOOKUP($A104,'Annex 2 EHV charges'!$D:$O,12,FALSE)),"")</f>
        <v/>
      </c>
    </row>
    <row r="105" spans="1:8" ht="12.75" customHeight="1" x14ac:dyDescent="0.2">
      <c r="A105" s="94" t="str">
        <f t="array" ref="A105">IFERROR(INDEX('Annex 2 EHV charges'!$D$11:$D$58, MATCH(0, IF(ISBLANK('Annex 2 EHV charges'!$D$11:$D$58),1, COUNTIF(A$4:$A104, 'Annex 2 EHV charges'!$D$11:$D$58)), 0)),"")</f>
        <v/>
      </c>
      <c r="B105" s="93" t="str">
        <f>IF($A105="","",VLOOKUP($A105,'Annex 2 EHV charges'!$D:$O,2,0))</f>
        <v/>
      </c>
      <c r="C105" s="94" t="str">
        <f>IF($A105="","",VLOOKUP($A105,'Annex 2 EHV charges'!$D:$O,3,0))</f>
        <v/>
      </c>
      <c r="D105" s="93" t="str">
        <f>IF($A105="","",VLOOKUP($A105,'Annex 2 EHV charges'!$D:$O,4,0))</f>
        <v/>
      </c>
      <c r="E105" s="95" t="str">
        <f>IFERROR(IF(VLOOKUP($A105,'Annex 2 EHV charges'!$D:$O,9,FALSE)=0,"",VLOOKUP($A105,'Annex 2 EHV charges'!$D:$O,9,FALSE)),"")</f>
        <v/>
      </c>
      <c r="F105" s="96" t="str">
        <f>IFERROR(IF(VLOOKUP($A105,'Annex 2 EHV charges'!$D:$O,10,FALSE)=0,"",VLOOKUP($A105,'Annex 2 EHV charges'!$D:$O,10,FALSE)),"")</f>
        <v/>
      </c>
      <c r="G105" s="97" t="str">
        <f>IFERROR(IF(VLOOKUP($A105,'Annex 2 EHV charges'!$D:$O,11,FALSE)=0,"",VLOOKUP($A105,'Annex 2 EHV charges'!$D:$O,11,FALSE)),"")</f>
        <v/>
      </c>
      <c r="H105" s="97" t="str">
        <f>IFERROR(IF(VLOOKUP($A105,'Annex 2 EHV charges'!$D:$O,12,FALSE)=0,"",VLOOKUP($A105,'Annex 2 EHV charges'!$D:$O,12,FALSE)),"")</f>
        <v/>
      </c>
    </row>
    <row r="106" spans="1:8" ht="12.75" customHeight="1" x14ac:dyDescent="0.2">
      <c r="A106" s="94" t="str">
        <f t="array" ref="A106">IFERROR(INDEX('Annex 2 EHV charges'!$D$11:$D$58, MATCH(0, IF(ISBLANK('Annex 2 EHV charges'!$D$11:$D$58),1, COUNTIF(A$4:$A105, 'Annex 2 EHV charges'!$D$11:$D$58)), 0)),"")</f>
        <v/>
      </c>
      <c r="B106" s="93" t="str">
        <f>IF($A106="","",VLOOKUP($A106,'Annex 2 EHV charges'!$D:$O,2,0))</f>
        <v/>
      </c>
      <c r="C106" s="94" t="str">
        <f>IF($A106="","",VLOOKUP($A106,'Annex 2 EHV charges'!$D:$O,3,0))</f>
        <v/>
      </c>
      <c r="D106" s="93" t="str">
        <f>IF($A106="","",VLOOKUP($A106,'Annex 2 EHV charges'!$D:$O,4,0))</f>
        <v/>
      </c>
      <c r="E106" s="95" t="str">
        <f>IFERROR(IF(VLOOKUP($A106,'Annex 2 EHV charges'!$D:$O,9,FALSE)=0,"",VLOOKUP($A106,'Annex 2 EHV charges'!$D:$O,9,FALSE)),"")</f>
        <v/>
      </c>
      <c r="F106" s="96" t="str">
        <f>IFERROR(IF(VLOOKUP($A106,'Annex 2 EHV charges'!$D:$O,10,FALSE)=0,"",VLOOKUP($A106,'Annex 2 EHV charges'!$D:$O,10,FALSE)),"")</f>
        <v/>
      </c>
      <c r="G106" s="97" t="str">
        <f>IFERROR(IF(VLOOKUP($A106,'Annex 2 EHV charges'!$D:$O,11,FALSE)=0,"",VLOOKUP($A106,'Annex 2 EHV charges'!$D:$O,11,FALSE)),"")</f>
        <v/>
      </c>
      <c r="H106" s="97" t="str">
        <f>IFERROR(IF(VLOOKUP($A106,'Annex 2 EHV charges'!$D:$O,12,FALSE)=0,"",VLOOKUP($A106,'Annex 2 EHV charges'!$D:$O,12,FALSE)),"")</f>
        <v/>
      </c>
    </row>
    <row r="107" spans="1:8" ht="12.75" customHeight="1" x14ac:dyDescent="0.2">
      <c r="A107" s="94" t="str">
        <f t="array" ref="A107">IFERROR(INDEX('Annex 2 EHV charges'!$D$11:$D$58, MATCH(0, IF(ISBLANK('Annex 2 EHV charges'!$D$11:$D$58),1, COUNTIF(A$4:$A106, 'Annex 2 EHV charges'!$D$11:$D$58)), 0)),"")</f>
        <v/>
      </c>
      <c r="B107" s="93" t="str">
        <f>IF($A107="","",VLOOKUP($A107,'Annex 2 EHV charges'!$D:$O,2,0))</f>
        <v/>
      </c>
      <c r="C107" s="94" t="str">
        <f>IF($A107="","",VLOOKUP($A107,'Annex 2 EHV charges'!$D:$O,3,0))</f>
        <v/>
      </c>
      <c r="D107" s="93" t="str">
        <f>IF($A107="","",VLOOKUP($A107,'Annex 2 EHV charges'!$D:$O,4,0))</f>
        <v/>
      </c>
      <c r="E107" s="95" t="str">
        <f>IFERROR(IF(VLOOKUP($A107,'Annex 2 EHV charges'!$D:$O,9,FALSE)=0,"",VLOOKUP($A107,'Annex 2 EHV charges'!$D:$O,9,FALSE)),"")</f>
        <v/>
      </c>
      <c r="F107" s="96" t="str">
        <f>IFERROR(IF(VLOOKUP($A107,'Annex 2 EHV charges'!$D:$O,10,FALSE)=0,"",VLOOKUP($A107,'Annex 2 EHV charges'!$D:$O,10,FALSE)),"")</f>
        <v/>
      </c>
      <c r="G107" s="97" t="str">
        <f>IFERROR(IF(VLOOKUP($A107,'Annex 2 EHV charges'!$D:$O,11,FALSE)=0,"",VLOOKUP($A107,'Annex 2 EHV charges'!$D:$O,11,FALSE)),"")</f>
        <v/>
      </c>
      <c r="H107" s="97" t="str">
        <f>IFERROR(IF(VLOOKUP($A107,'Annex 2 EHV charges'!$D:$O,12,FALSE)=0,"",VLOOKUP($A107,'Annex 2 EHV charges'!$D:$O,12,FALSE)),"")</f>
        <v/>
      </c>
    </row>
    <row r="108" spans="1:8" ht="12.75" customHeight="1" x14ac:dyDescent="0.2">
      <c r="A108" s="94" t="str">
        <f t="array" ref="A108">IFERROR(INDEX('Annex 2 EHV charges'!$D$11:$D$58, MATCH(0, IF(ISBLANK('Annex 2 EHV charges'!$D$11:$D$58),1, COUNTIF(A$4:$A107, 'Annex 2 EHV charges'!$D$11:$D$58)), 0)),"")</f>
        <v/>
      </c>
      <c r="B108" s="93" t="str">
        <f>IF($A108="","",VLOOKUP($A108,'Annex 2 EHV charges'!$D:$O,2,0))</f>
        <v/>
      </c>
      <c r="C108" s="94" t="str">
        <f>IF($A108="","",VLOOKUP($A108,'Annex 2 EHV charges'!$D:$O,3,0))</f>
        <v/>
      </c>
      <c r="D108" s="93" t="str">
        <f>IF($A108="","",VLOOKUP($A108,'Annex 2 EHV charges'!$D:$O,4,0))</f>
        <v/>
      </c>
      <c r="E108" s="95" t="str">
        <f>IFERROR(IF(VLOOKUP($A108,'Annex 2 EHV charges'!$D:$O,9,FALSE)=0,"",VLOOKUP($A108,'Annex 2 EHV charges'!$D:$O,9,FALSE)),"")</f>
        <v/>
      </c>
      <c r="F108" s="96" t="str">
        <f>IFERROR(IF(VLOOKUP($A108,'Annex 2 EHV charges'!$D:$O,10,FALSE)=0,"",VLOOKUP($A108,'Annex 2 EHV charges'!$D:$O,10,FALSE)),"")</f>
        <v/>
      </c>
      <c r="G108" s="97" t="str">
        <f>IFERROR(IF(VLOOKUP($A108,'Annex 2 EHV charges'!$D:$O,11,FALSE)=0,"",VLOOKUP($A108,'Annex 2 EHV charges'!$D:$O,11,FALSE)),"")</f>
        <v/>
      </c>
      <c r="H108" s="97" t="str">
        <f>IFERROR(IF(VLOOKUP($A108,'Annex 2 EHV charges'!$D:$O,12,FALSE)=0,"",VLOOKUP($A108,'Annex 2 EHV charges'!$D:$O,12,FALSE)),"")</f>
        <v/>
      </c>
    </row>
    <row r="109" spans="1:8" ht="12.75" customHeight="1" x14ac:dyDescent="0.2">
      <c r="A109" s="94" t="str">
        <f t="array" ref="A109">IFERROR(INDEX('Annex 2 EHV charges'!$D$11:$D$58, MATCH(0, IF(ISBLANK('Annex 2 EHV charges'!$D$11:$D$58),1, COUNTIF(A$4:$A108, 'Annex 2 EHV charges'!$D$11:$D$58)), 0)),"")</f>
        <v/>
      </c>
      <c r="B109" s="93" t="str">
        <f>IF($A109="","",VLOOKUP($A109,'Annex 2 EHV charges'!$D:$O,2,0))</f>
        <v/>
      </c>
      <c r="C109" s="94" t="str">
        <f>IF($A109="","",VLOOKUP($A109,'Annex 2 EHV charges'!$D:$O,3,0))</f>
        <v/>
      </c>
      <c r="D109" s="93" t="str">
        <f>IF($A109="","",VLOOKUP($A109,'Annex 2 EHV charges'!$D:$O,4,0))</f>
        <v/>
      </c>
      <c r="E109" s="95" t="str">
        <f>IFERROR(IF(VLOOKUP($A109,'Annex 2 EHV charges'!$D:$O,9,FALSE)=0,"",VLOOKUP($A109,'Annex 2 EHV charges'!$D:$O,9,FALSE)),"")</f>
        <v/>
      </c>
      <c r="F109" s="96" t="str">
        <f>IFERROR(IF(VLOOKUP($A109,'Annex 2 EHV charges'!$D:$O,10,FALSE)=0,"",VLOOKUP($A109,'Annex 2 EHV charges'!$D:$O,10,FALSE)),"")</f>
        <v/>
      </c>
      <c r="G109" s="97" t="str">
        <f>IFERROR(IF(VLOOKUP($A109,'Annex 2 EHV charges'!$D:$O,11,FALSE)=0,"",VLOOKUP($A109,'Annex 2 EHV charges'!$D:$O,11,FALSE)),"")</f>
        <v/>
      </c>
      <c r="H109" s="97" t="str">
        <f>IFERROR(IF(VLOOKUP($A109,'Annex 2 EHV charges'!$D:$O,12,FALSE)=0,"",VLOOKUP($A109,'Annex 2 EHV charges'!$D:$O,12,FALSE)),"")</f>
        <v/>
      </c>
    </row>
    <row r="110" spans="1:8" ht="12.75" customHeight="1" x14ac:dyDescent="0.2">
      <c r="A110" s="94" t="str">
        <f t="array" ref="A110">IFERROR(INDEX('Annex 2 EHV charges'!$D$11:$D$58, MATCH(0, IF(ISBLANK('Annex 2 EHV charges'!$D$11:$D$58),1, COUNTIF(A$4:$A109, 'Annex 2 EHV charges'!$D$11:$D$58)), 0)),"")</f>
        <v/>
      </c>
      <c r="B110" s="93" t="str">
        <f>IF($A110="","",VLOOKUP($A110,'Annex 2 EHV charges'!$D:$O,2,0))</f>
        <v/>
      </c>
      <c r="C110" s="94" t="str">
        <f>IF($A110="","",VLOOKUP($A110,'Annex 2 EHV charges'!$D:$O,3,0))</f>
        <v/>
      </c>
      <c r="D110" s="93" t="str">
        <f>IF($A110="","",VLOOKUP($A110,'Annex 2 EHV charges'!$D:$O,4,0))</f>
        <v/>
      </c>
      <c r="E110" s="95" t="str">
        <f>IFERROR(IF(VLOOKUP($A110,'Annex 2 EHV charges'!$D:$O,9,FALSE)=0,"",VLOOKUP($A110,'Annex 2 EHV charges'!$D:$O,9,FALSE)),"")</f>
        <v/>
      </c>
      <c r="F110" s="96" t="str">
        <f>IFERROR(IF(VLOOKUP($A110,'Annex 2 EHV charges'!$D:$O,10,FALSE)=0,"",VLOOKUP($A110,'Annex 2 EHV charges'!$D:$O,10,FALSE)),"")</f>
        <v/>
      </c>
      <c r="G110" s="97" t="str">
        <f>IFERROR(IF(VLOOKUP($A110,'Annex 2 EHV charges'!$D:$O,11,FALSE)=0,"",VLOOKUP($A110,'Annex 2 EHV charges'!$D:$O,11,FALSE)),"")</f>
        <v/>
      </c>
      <c r="H110" s="97" t="str">
        <f>IFERROR(IF(VLOOKUP($A110,'Annex 2 EHV charges'!$D:$O,12,FALSE)=0,"",VLOOKUP($A110,'Annex 2 EHV charges'!$D:$O,12,FALSE)),"")</f>
        <v/>
      </c>
    </row>
    <row r="111" spans="1:8" ht="12.75" customHeight="1" x14ac:dyDescent="0.2">
      <c r="A111" s="94" t="str">
        <f t="array" ref="A111">IFERROR(INDEX('Annex 2 EHV charges'!$D$11:$D$58, MATCH(0, IF(ISBLANK('Annex 2 EHV charges'!$D$11:$D$58),1, COUNTIF(A$4:$A110, 'Annex 2 EHV charges'!$D$11:$D$58)), 0)),"")</f>
        <v/>
      </c>
      <c r="B111" s="93" t="str">
        <f>IF($A111="","",VLOOKUP($A111,'Annex 2 EHV charges'!$D:$O,2,0))</f>
        <v/>
      </c>
      <c r="C111" s="94" t="str">
        <f>IF($A111="","",VLOOKUP($A111,'Annex 2 EHV charges'!$D:$O,3,0))</f>
        <v/>
      </c>
      <c r="D111" s="93" t="str">
        <f>IF($A111="","",VLOOKUP($A111,'Annex 2 EHV charges'!$D:$O,4,0))</f>
        <v/>
      </c>
      <c r="E111" s="95" t="str">
        <f>IFERROR(IF(VLOOKUP($A111,'Annex 2 EHV charges'!$D:$O,9,FALSE)=0,"",VLOOKUP($A111,'Annex 2 EHV charges'!$D:$O,9,FALSE)),"")</f>
        <v/>
      </c>
      <c r="F111" s="96" t="str">
        <f>IFERROR(IF(VLOOKUP($A111,'Annex 2 EHV charges'!$D:$O,10,FALSE)=0,"",VLOOKUP($A111,'Annex 2 EHV charges'!$D:$O,10,FALSE)),"")</f>
        <v/>
      </c>
      <c r="G111" s="97" t="str">
        <f>IFERROR(IF(VLOOKUP($A111,'Annex 2 EHV charges'!$D:$O,11,FALSE)=0,"",VLOOKUP($A111,'Annex 2 EHV charges'!$D:$O,11,FALSE)),"")</f>
        <v/>
      </c>
      <c r="H111" s="97" t="str">
        <f>IFERROR(IF(VLOOKUP($A111,'Annex 2 EHV charges'!$D:$O,12,FALSE)=0,"",VLOOKUP($A111,'Annex 2 EHV charges'!$D:$O,12,FALSE)),"")</f>
        <v/>
      </c>
    </row>
    <row r="112" spans="1:8" ht="12.75" customHeight="1" x14ac:dyDescent="0.2">
      <c r="A112" s="94" t="str">
        <f t="array" ref="A112">IFERROR(INDEX('Annex 2 EHV charges'!$D$11:$D$58, MATCH(0, IF(ISBLANK('Annex 2 EHV charges'!$D$11:$D$58),1, COUNTIF(A$4:$A111, 'Annex 2 EHV charges'!$D$11:$D$58)), 0)),"")</f>
        <v/>
      </c>
      <c r="B112" s="93" t="str">
        <f>IF($A112="","",VLOOKUP($A112,'Annex 2 EHV charges'!$D:$O,2,0))</f>
        <v/>
      </c>
      <c r="C112" s="94" t="str">
        <f>IF($A112="","",VLOOKUP($A112,'Annex 2 EHV charges'!$D:$O,3,0))</f>
        <v/>
      </c>
      <c r="D112" s="93" t="str">
        <f>IF($A112="","",VLOOKUP($A112,'Annex 2 EHV charges'!$D:$O,4,0))</f>
        <v/>
      </c>
      <c r="E112" s="95" t="str">
        <f>IFERROR(IF(VLOOKUP($A112,'Annex 2 EHV charges'!$D:$O,9,FALSE)=0,"",VLOOKUP($A112,'Annex 2 EHV charges'!$D:$O,9,FALSE)),"")</f>
        <v/>
      </c>
      <c r="F112" s="96" t="str">
        <f>IFERROR(IF(VLOOKUP($A112,'Annex 2 EHV charges'!$D:$O,10,FALSE)=0,"",VLOOKUP($A112,'Annex 2 EHV charges'!$D:$O,10,FALSE)),"")</f>
        <v/>
      </c>
      <c r="G112" s="97" t="str">
        <f>IFERROR(IF(VLOOKUP($A112,'Annex 2 EHV charges'!$D:$O,11,FALSE)=0,"",VLOOKUP($A112,'Annex 2 EHV charges'!$D:$O,11,FALSE)),"")</f>
        <v/>
      </c>
      <c r="H112" s="97" t="str">
        <f>IFERROR(IF(VLOOKUP($A112,'Annex 2 EHV charges'!$D:$O,12,FALSE)=0,"",VLOOKUP($A112,'Annex 2 EHV charges'!$D:$O,12,FALSE)),"")</f>
        <v/>
      </c>
    </row>
    <row r="113" spans="1:8" ht="12.75" customHeight="1" x14ac:dyDescent="0.2">
      <c r="A113" s="94" t="str">
        <f t="array" ref="A113">IFERROR(INDEX('Annex 2 EHV charges'!$D$11:$D$58, MATCH(0, IF(ISBLANK('Annex 2 EHV charges'!$D$11:$D$58),1, COUNTIF(A$4:$A112, 'Annex 2 EHV charges'!$D$11:$D$58)), 0)),"")</f>
        <v/>
      </c>
      <c r="B113" s="93" t="str">
        <f>IF($A113="","",VLOOKUP($A113,'Annex 2 EHV charges'!$D:$O,2,0))</f>
        <v/>
      </c>
      <c r="C113" s="94" t="str">
        <f>IF($A113="","",VLOOKUP($A113,'Annex 2 EHV charges'!$D:$O,3,0))</f>
        <v/>
      </c>
      <c r="D113" s="93" t="str">
        <f>IF($A113="","",VLOOKUP($A113,'Annex 2 EHV charges'!$D:$O,4,0))</f>
        <v/>
      </c>
      <c r="E113" s="95" t="str">
        <f>IFERROR(IF(VLOOKUP($A113,'Annex 2 EHV charges'!$D:$O,9,FALSE)=0,"",VLOOKUP($A113,'Annex 2 EHV charges'!$D:$O,9,FALSE)),"")</f>
        <v/>
      </c>
      <c r="F113" s="96" t="str">
        <f>IFERROR(IF(VLOOKUP($A113,'Annex 2 EHV charges'!$D:$O,10,FALSE)=0,"",VLOOKUP($A113,'Annex 2 EHV charges'!$D:$O,10,FALSE)),"")</f>
        <v/>
      </c>
      <c r="G113" s="97" t="str">
        <f>IFERROR(IF(VLOOKUP($A113,'Annex 2 EHV charges'!$D:$O,11,FALSE)=0,"",VLOOKUP($A113,'Annex 2 EHV charges'!$D:$O,11,FALSE)),"")</f>
        <v/>
      </c>
      <c r="H113" s="97" t="str">
        <f>IFERROR(IF(VLOOKUP($A113,'Annex 2 EHV charges'!$D:$O,12,FALSE)=0,"",VLOOKUP($A113,'Annex 2 EHV charges'!$D:$O,12,FALSE)),"")</f>
        <v/>
      </c>
    </row>
    <row r="114" spans="1:8" ht="12.75" customHeight="1" x14ac:dyDescent="0.2">
      <c r="A114" s="94" t="str">
        <f t="array" ref="A114">IFERROR(INDEX('Annex 2 EHV charges'!$D$11:$D$58, MATCH(0, IF(ISBLANK('Annex 2 EHV charges'!$D$11:$D$58),1, COUNTIF(A$4:$A113, 'Annex 2 EHV charges'!$D$11:$D$58)), 0)),"")</f>
        <v/>
      </c>
      <c r="B114" s="93" t="str">
        <f>IF($A114="","",VLOOKUP($A114,'Annex 2 EHV charges'!$D:$O,2,0))</f>
        <v/>
      </c>
      <c r="C114" s="94" t="str">
        <f>IF($A114="","",VLOOKUP($A114,'Annex 2 EHV charges'!$D:$O,3,0))</f>
        <v/>
      </c>
      <c r="D114" s="93" t="str">
        <f>IF($A114="","",VLOOKUP($A114,'Annex 2 EHV charges'!$D:$O,4,0))</f>
        <v/>
      </c>
      <c r="E114" s="95" t="str">
        <f>IFERROR(IF(VLOOKUP($A114,'Annex 2 EHV charges'!$D:$O,9,FALSE)=0,"",VLOOKUP($A114,'Annex 2 EHV charges'!$D:$O,9,FALSE)),"")</f>
        <v/>
      </c>
      <c r="F114" s="96" t="str">
        <f>IFERROR(IF(VLOOKUP($A114,'Annex 2 EHV charges'!$D:$O,10,FALSE)=0,"",VLOOKUP($A114,'Annex 2 EHV charges'!$D:$O,10,FALSE)),"")</f>
        <v/>
      </c>
      <c r="G114" s="97" t="str">
        <f>IFERROR(IF(VLOOKUP($A114,'Annex 2 EHV charges'!$D:$O,11,FALSE)=0,"",VLOOKUP($A114,'Annex 2 EHV charges'!$D:$O,11,FALSE)),"")</f>
        <v/>
      </c>
      <c r="H114" s="97" t="str">
        <f>IFERROR(IF(VLOOKUP($A114,'Annex 2 EHV charges'!$D:$O,12,FALSE)=0,"",VLOOKUP($A114,'Annex 2 EHV charges'!$D:$O,12,FALSE)),"")</f>
        <v/>
      </c>
    </row>
    <row r="115" spans="1:8" ht="12.75" customHeight="1" x14ac:dyDescent="0.2">
      <c r="A115" s="94" t="str">
        <f t="array" ref="A115">IFERROR(INDEX('Annex 2 EHV charges'!$D$11:$D$58, MATCH(0, IF(ISBLANK('Annex 2 EHV charges'!$D$11:$D$58),1, COUNTIF(A$4:$A114, 'Annex 2 EHV charges'!$D$11:$D$58)), 0)),"")</f>
        <v/>
      </c>
      <c r="B115" s="93" t="str">
        <f>IF($A115="","",VLOOKUP($A115,'Annex 2 EHV charges'!$D:$O,2,0))</f>
        <v/>
      </c>
      <c r="C115" s="94" t="str">
        <f>IF($A115="","",VLOOKUP($A115,'Annex 2 EHV charges'!$D:$O,3,0))</f>
        <v/>
      </c>
      <c r="D115" s="93" t="str">
        <f>IF($A115="","",VLOOKUP($A115,'Annex 2 EHV charges'!$D:$O,4,0))</f>
        <v/>
      </c>
      <c r="E115" s="95" t="str">
        <f>IFERROR(IF(VLOOKUP($A115,'Annex 2 EHV charges'!$D:$O,9,FALSE)=0,"",VLOOKUP($A115,'Annex 2 EHV charges'!$D:$O,9,FALSE)),"")</f>
        <v/>
      </c>
      <c r="F115" s="96" t="str">
        <f>IFERROR(IF(VLOOKUP($A115,'Annex 2 EHV charges'!$D:$O,10,FALSE)=0,"",VLOOKUP($A115,'Annex 2 EHV charges'!$D:$O,10,FALSE)),"")</f>
        <v/>
      </c>
      <c r="G115" s="97" t="str">
        <f>IFERROR(IF(VLOOKUP($A115,'Annex 2 EHV charges'!$D:$O,11,FALSE)=0,"",VLOOKUP($A115,'Annex 2 EHV charges'!$D:$O,11,FALSE)),"")</f>
        <v/>
      </c>
      <c r="H115" s="97" t="str">
        <f>IFERROR(IF(VLOOKUP($A115,'Annex 2 EHV charges'!$D:$O,12,FALSE)=0,"",VLOOKUP($A115,'Annex 2 EHV charges'!$D:$O,12,FALSE)),"")</f>
        <v/>
      </c>
    </row>
    <row r="116" spans="1:8" ht="12.75" customHeight="1" x14ac:dyDescent="0.2">
      <c r="A116" s="94" t="str">
        <f t="array" ref="A116">IFERROR(INDEX('Annex 2 EHV charges'!$D$11:$D$58, MATCH(0, IF(ISBLANK('Annex 2 EHV charges'!$D$11:$D$58),1, COUNTIF(A$4:$A115, 'Annex 2 EHV charges'!$D$11:$D$58)), 0)),"")</f>
        <v/>
      </c>
      <c r="B116" s="93" t="str">
        <f>IF($A116="","",VLOOKUP($A116,'Annex 2 EHV charges'!$D:$O,2,0))</f>
        <v/>
      </c>
      <c r="C116" s="94" t="str">
        <f>IF($A116="","",VLOOKUP($A116,'Annex 2 EHV charges'!$D:$O,3,0))</f>
        <v/>
      </c>
      <c r="D116" s="93" t="str">
        <f>IF($A116="","",VLOOKUP($A116,'Annex 2 EHV charges'!$D:$O,4,0))</f>
        <v/>
      </c>
      <c r="E116" s="95" t="str">
        <f>IFERROR(IF(VLOOKUP($A116,'Annex 2 EHV charges'!$D:$O,9,FALSE)=0,"",VLOOKUP($A116,'Annex 2 EHV charges'!$D:$O,9,FALSE)),"")</f>
        <v/>
      </c>
      <c r="F116" s="96" t="str">
        <f>IFERROR(IF(VLOOKUP($A116,'Annex 2 EHV charges'!$D:$O,10,FALSE)=0,"",VLOOKUP($A116,'Annex 2 EHV charges'!$D:$O,10,FALSE)),"")</f>
        <v/>
      </c>
      <c r="G116" s="97" t="str">
        <f>IFERROR(IF(VLOOKUP($A116,'Annex 2 EHV charges'!$D:$O,11,FALSE)=0,"",VLOOKUP($A116,'Annex 2 EHV charges'!$D:$O,11,FALSE)),"")</f>
        <v/>
      </c>
      <c r="H116" s="97" t="str">
        <f>IFERROR(IF(VLOOKUP($A116,'Annex 2 EHV charges'!$D:$O,12,FALSE)=0,"",VLOOKUP($A116,'Annex 2 EHV charges'!$D:$O,12,FALSE)),"")</f>
        <v/>
      </c>
    </row>
    <row r="117" spans="1:8" ht="12.75" customHeight="1" x14ac:dyDescent="0.2">
      <c r="A117" s="94" t="str">
        <f t="array" ref="A117">IFERROR(INDEX('Annex 2 EHV charges'!$D$11:$D$58, MATCH(0, IF(ISBLANK('Annex 2 EHV charges'!$D$11:$D$58),1, COUNTIF(A$4:$A116, 'Annex 2 EHV charges'!$D$11:$D$58)), 0)),"")</f>
        <v/>
      </c>
      <c r="B117" s="93" t="str">
        <f>IF($A117="","",VLOOKUP($A117,'Annex 2 EHV charges'!$D:$O,2,0))</f>
        <v/>
      </c>
      <c r="C117" s="94" t="str">
        <f>IF($A117="","",VLOOKUP($A117,'Annex 2 EHV charges'!$D:$O,3,0))</f>
        <v/>
      </c>
      <c r="D117" s="93" t="str">
        <f>IF($A117="","",VLOOKUP($A117,'Annex 2 EHV charges'!$D:$O,4,0))</f>
        <v/>
      </c>
      <c r="E117" s="95" t="str">
        <f>IFERROR(IF(VLOOKUP($A117,'Annex 2 EHV charges'!$D:$O,9,FALSE)=0,"",VLOOKUP($A117,'Annex 2 EHV charges'!$D:$O,9,FALSE)),"")</f>
        <v/>
      </c>
      <c r="F117" s="96" t="str">
        <f>IFERROR(IF(VLOOKUP($A117,'Annex 2 EHV charges'!$D:$O,10,FALSE)=0,"",VLOOKUP($A117,'Annex 2 EHV charges'!$D:$O,10,FALSE)),"")</f>
        <v/>
      </c>
      <c r="G117" s="97" t="str">
        <f>IFERROR(IF(VLOOKUP($A117,'Annex 2 EHV charges'!$D:$O,11,FALSE)=0,"",VLOOKUP($A117,'Annex 2 EHV charges'!$D:$O,11,FALSE)),"")</f>
        <v/>
      </c>
      <c r="H117" s="97" t="str">
        <f>IFERROR(IF(VLOOKUP($A117,'Annex 2 EHV charges'!$D:$O,12,FALSE)=0,"",VLOOKUP($A117,'Annex 2 EHV charges'!$D:$O,12,FALSE)),"")</f>
        <v/>
      </c>
    </row>
    <row r="118" spans="1:8" ht="12.75" customHeight="1" x14ac:dyDescent="0.2">
      <c r="A118" s="94" t="str">
        <f t="array" ref="A118">IFERROR(INDEX('Annex 2 EHV charges'!$D$11:$D$58, MATCH(0, IF(ISBLANK('Annex 2 EHV charges'!$D$11:$D$58),1, COUNTIF(A$4:$A117, 'Annex 2 EHV charges'!$D$11:$D$58)), 0)),"")</f>
        <v/>
      </c>
      <c r="B118" s="93" t="str">
        <f>IF($A118="","",VLOOKUP($A118,'Annex 2 EHV charges'!$D:$O,2,0))</f>
        <v/>
      </c>
      <c r="C118" s="94" t="str">
        <f>IF($A118="","",VLOOKUP($A118,'Annex 2 EHV charges'!$D:$O,3,0))</f>
        <v/>
      </c>
      <c r="D118" s="93" t="str">
        <f>IF($A118="","",VLOOKUP($A118,'Annex 2 EHV charges'!$D:$O,4,0))</f>
        <v/>
      </c>
      <c r="E118" s="95" t="str">
        <f>IFERROR(IF(VLOOKUP($A118,'Annex 2 EHV charges'!$D:$O,9,FALSE)=0,"",VLOOKUP($A118,'Annex 2 EHV charges'!$D:$O,9,FALSE)),"")</f>
        <v/>
      </c>
      <c r="F118" s="96" t="str">
        <f>IFERROR(IF(VLOOKUP($A118,'Annex 2 EHV charges'!$D:$O,10,FALSE)=0,"",VLOOKUP($A118,'Annex 2 EHV charges'!$D:$O,10,FALSE)),"")</f>
        <v/>
      </c>
      <c r="G118" s="97" t="str">
        <f>IFERROR(IF(VLOOKUP($A118,'Annex 2 EHV charges'!$D:$O,11,FALSE)=0,"",VLOOKUP($A118,'Annex 2 EHV charges'!$D:$O,11,FALSE)),"")</f>
        <v/>
      </c>
      <c r="H118" s="97" t="str">
        <f>IFERROR(IF(VLOOKUP($A118,'Annex 2 EHV charges'!$D:$O,12,FALSE)=0,"",VLOOKUP($A118,'Annex 2 EHV charges'!$D:$O,12,FALSE)),"")</f>
        <v/>
      </c>
    </row>
    <row r="119" spans="1:8" ht="12.75" customHeight="1" x14ac:dyDescent="0.2">
      <c r="A119" s="94" t="str">
        <f t="array" ref="A119">IFERROR(INDEX('Annex 2 EHV charges'!$D$11:$D$58, MATCH(0, IF(ISBLANK('Annex 2 EHV charges'!$D$11:$D$58),1, COUNTIF(A$4:$A118, 'Annex 2 EHV charges'!$D$11:$D$58)), 0)),"")</f>
        <v/>
      </c>
      <c r="B119" s="93" t="str">
        <f>IF($A119="","",VLOOKUP($A119,'Annex 2 EHV charges'!$D:$O,2,0))</f>
        <v/>
      </c>
      <c r="C119" s="94" t="str">
        <f>IF($A119="","",VLOOKUP($A119,'Annex 2 EHV charges'!$D:$O,3,0))</f>
        <v/>
      </c>
      <c r="D119" s="93" t="str">
        <f>IF($A119="","",VLOOKUP($A119,'Annex 2 EHV charges'!$D:$O,4,0))</f>
        <v/>
      </c>
      <c r="E119" s="95" t="str">
        <f>IFERROR(IF(VLOOKUP($A119,'Annex 2 EHV charges'!$D:$O,9,FALSE)=0,"",VLOOKUP($A119,'Annex 2 EHV charges'!$D:$O,9,FALSE)),"")</f>
        <v/>
      </c>
      <c r="F119" s="96" t="str">
        <f>IFERROR(IF(VLOOKUP($A119,'Annex 2 EHV charges'!$D:$O,10,FALSE)=0,"",VLOOKUP($A119,'Annex 2 EHV charges'!$D:$O,10,FALSE)),"")</f>
        <v/>
      </c>
      <c r="G119" s="97" t="str">
        <f>IFERROR(IF(VLOOKUP($A119,'Annex 2 EHV charges'!$D:$O,11,FALSE)=0,"",VLOOKUP($A119,'Annex 2 EHV charges'!$D:$O,11,FALSE)),"")</f>
        <v/>
      </c>
      <c r="H119" s="97" t="str">
        <f>IFERROR(IF(VLOOKUP($A119,'Annex 2 EHV charges'!$D:$O,12,FALSE)=0,"",VLOOKUP($A119,'Annex 2 EHV charges'!$D:$O,12,FALSE)),"")</f>
        <v/>
      </c>
    </row>
    <row r="120" spans="1:8" ht="12.75" customHeight="1" x14ac:dyDescent="0.2">
      <c r="A120" s="94" t="str">
        <f t="array" ref="A120">IFERROR(INDEX('Annex 2 EHV charges'!$D$11:$D$58, MATCH(0, IF(ISBLANK('Annex 2 EHV charges'!$D$11:$D$58),1, COUNTIF(A$4:$A119, 'Annex 2 EHV charges'!$D$11:$D$58)), 0)),"")</f>
        <v/>
      </c>
      <c r="B120" s="93" t="str">
        <f>IF($A120="","",VLOOKUP($A120,'Annex 2 EHV charges'!$D:$O,2,0))</f>
        <v/>
      </c>
      <c r="C120" s="94" t="str">
        <f>IF($A120="","",VLOOKUP($A120,'Annex 2 EHV charges'!$D:$O,3,0))</f>
        <v/>
      </c>
      <c r="D120" s="93" t="str">
        <f>IF($A120="","",VLOOKUP($A120,'Annex 2 EHV charges'!$D:$O,4,0))</f>
        <v/>
      </c>
      <c r="E120" s="95" t="str">
        <f>IFERROR(IF(VLOOKUP($A120,'Annex 2 EHV charges'!$D:$O,9,FALSE)=0,"",VLOOKUP($A120,'Annex 2 EHV charges'!$D:$O,9,FALSE)),"")</f>
        <v/>
      </c>
      <c r="F120" s="96" t="str">
        <f>IFERROR(IF(VLOOKUP($A120,'Annex 2 EHV charges'!$D:$O,10,FALSE)=0,"",VLOOKUP($A120,'Annex 2 EHV charges'!$D:$O,10,FALSE)),"")</f>
        <v/>
      </c>
      <c r="G120" s="97" t="str">
        <f>IFERROR(IF(VLOOKUP($A120,'Annex 2 EHV charges'!$D:$O,11,FALSE)=0,"",VLOOKUP($A120,'Annex 2 EHV charges'!$D:$O,11,FALSE)),"")</f>
        <v/>
      </c>
      <c r="H120" s="97" t="str">
        <f>IFERROR(IF(VLOOKUP($A120,'Annex 2 EHV charges'!$D:$O,12,FALSE)=0,"",VLOOKUP($A120,'Annex 2 EHV charges'!$D:$O,12,FALSE)),"")</f>
        <v/>
      </c>
    </row>
    <row r="121" spans="1:8" ht="12.75" customHeight="1" x14ac:dyDescent="0.2">
      <c r="A121" s="94" t="str">
        <f t="array" ref="A121">IFERROR(INDEX('Annex 2 EHV charges'!$D$11:$D$58, MATCH(0, IF(ISBLANK('Annex 2 EHV charges'!$D$11:$D$58),1, COUNTIF(A$4:$A120, 'Annex 2 EHV charges'!$D$11:$D$58)), 0)),"")</f>
        <v/>
      </c>
      <c r="B121" s="93" t="str">
        <f>IF($A121="","",VLOOKUP($A121,'Annex 2 EHV charges'!$D:$O,2,0))</f>
        <v/>
      </c>
      <c r="C121" s="94" t="str">
        <f>IF($A121="","",VLOOKUP($A121,'Annex 2 EHV charges'!$D:$O,3,0))</f>
        <v/>
      </c>
      <c r="D121" s="93" t="str">
        <f>IF($A121="","",VLOOKUP($A121,'Annex 2 EHV charges'!$D:$O,4,0))</f>
        <v/>
      </c>
      <c r="E121" s="95" t="str">
        <f>IFERROR(IF(VLOOKUP($A121,'Annex 2 EHV charges'!$D:$O,9,FALSE)=0,"",VLOOKUP($A121,'Annex 2 EHV charges'!$D:$O,9,FALSE)),"")</f>
        <v/>
      </c>
      <c r="F121" s="96" t="str">
        <f>IFERROR(IF(VLOOKUP($A121,'Annex 2 EHV charges'!$D:$O,10,FALSE)=0,"",VLOOKUP($A121,'Annex 2 EHV charges'!$D:$O,10,FALSE)),"")</f>
        <v/>
      </c>
      <c r="G121" s="97" t="str">
        <f>IFERROR(IF(VLOOKUP($A121,'Annex 2 EHV charges'!$D:$O,11,FALSE)=0,"",VLOOKUP($A121,'Annex 2 EHV charges'!$D:$O,11,FALSE)),"")</f>
        <v/>
      </c>
      <c r="H121" s="97" t="str">
        <f>IFERROR(IF(VLOOKUP($A121,'Annex 2 EHV charges'!$D:$O,12,FALSE)=0,"",VLOOKUP($A121,'Annex 2 EHV charges'!$D:$O,12,FALSE)),"")</f>
        <v/>
      </c>
    </row>
    <row r="122" spans="1:8" ht="12.75" customHeight="1" x14ac:dyDescent="0.2">
      <c r="A122" s="94" t="str">
        <f t="array" ref="A122">IFERROR(INDEX('Annex 2 EHV charges'!$D$11:$D$58, MATCH(0, IF(ISBLANK('Annex 2 EHV charges'!$D$11:$D$58),1, COUNTIF(A$4:$A121, 'Annex 2 EHV charges'!$D$11:$D$58)), 0)),"")</f>
        <v/>
      </c>
      <c r="B122" s="93" t="str">
        <f>IF($A122="","",VLOOKUP($A122,'Annex 2 EHV charges'!$D:$O,2,0))</f>
        <v/>
      </c>
      <c r="C122" s="94" t="str">
        <f>IF($A122="","",VLOOKUP($A122,'Annex 2 EHV charges'!$D:$O,3,0))</f>
        <v/>
      </c>
      <c r="D122" s="93" t="str">
        <f>IF($A122="","",VLOOKUP($A122,'Annex 2 EHV charges'!$D:$O,4,0))</f>
        <v/>
      </c>
      <c r="E122" s="95" t="str">
        <f>IFERROR(IF(VLOOKUP($A122,'Annex 2 EHV charges'!$D:$O,9,FALSE)=0,"",VLOOKUP($A122,'Annex 2 EHV charges'!$D:$O,9,FALSE)),"")</f>
        <v/>
      </c>
      <c r="F122" s="96" t="str">
        <f>IFERROR(IF(VLOOKUP($A122,'Annex 2 EHV charges'!$D:$O,10,FALSE)=0,"",VLOOKUP($A122,'Annex 2 EHV charges'!$D:$O,10,FALSE)),"")</f>
        <v/>
      </c>
      <c r="G122" s="97" t="str">
        <f>IFERROR(IF(VLOOKUP($A122,'Annex 2 EHV charges'!$D:$O,11,FALSE)=0,"",VLOOKUP($A122,'Annex 2 EHV charges'!$D:$O,11,FALSE)),"")</f>
        <v/>
      </c>
      <c r="H122" s="97" t="str">
        <f>IFERROR(IF(VLOOKUP($A122,'Annex 2 EHV charges'!$D:$O,12,FALSE)=0,"",VLOOKUP($A122,'Annex 2 EHV charges'!$D:$O,12,FALSE)),"")</f>
        <v/>
      </c>
    </row>
    <row r="123" spans="1:8" ht="12.75" customHeight="1" x14ac:dyDescent="0.2">
      <c r="A123" s="94" t="str">
        <f t="array" ref="A123">IFERROR(INDEX('Annex 2 EHV charges'!$D$11:$D$58, MATCH(0, IF(ISBLANK('Annex 2 EHV charges'!$D$11:$D$58),1, COUNTIF(A$4:$A122, 'Annex 2 EHV charges'!$D$11:$D$58)), 0)),"")</f>
        <v/>
      </c>
      <c r="B123" s="93" t="str">
        <f>IF($A123="","",VLOOKUP($A123,'Annex 2 EHV charges'!$D:$O,2,0))</f>
        <v/>
      </c>
      <c r="C123" s="94" t="str">
        <f>IF($A123="","",VLOOKUP($A123,'Annex 2 EHV charges'!$D:$O,3,0))</f>
        <v/>
      </c>
      <c r="D123" s="93" t="str">
        <f>IF($A123="","",VLOOKUP($A123,'Annex 2 EHV charges'!$D:$O,4,0))</f>
        <v/>
      </c>
      <c r="E123" s="95" t="str">
        <f>IFERROR(IF(VLOOKUP($A123,'Annex 2 EHV charges'!$D:$O,9,FALSE)=0,"",VLOOKUP($A123,'Annex 2 EHV charges'!$D:$O,9,FALSE)),"")</f>
        <v/>
      </c>
      <c r="F123" s="96" t="str">
        <f>IFERROR(IF(VLOOKUP($A123,'Annex 2 EHV charges'!$D:$O,10,FALSE)=0,"",VLOOKUP($A123,'Annex 2 EHV charges'!$D:$O,10,FALSE)),"")</f>
        <v/>
      </c>
      <c r="G123" s="97" t="str">
        <f>IFERROR(IF(VLOOKUP($A123,'Annex 2 EHV charges'!$D:$O,11,FALSE)=0,"",VLOOKUP($A123,'Annex 2 EHV charges'!$D:$O,11,FALSE)),"")</f>
        <v/>
      </c>
      <c r="H123" s="97" t="str">
        <f>IFERROR(IF(VLOOKUP($A123,'Annex 2 EHV charges'!$D:$O,12,FALSE)=0,"",VLOOKUP($A123,'Annex 2 EHV charges'!$D:$O,12,FALSE)),"")</f>
        <v/>
      </c>
    </row>
    <row r="124" spans="1:8" ht="12.75" customHeight="1" x14ac:dyDescent="0.2">
      <c r="A124" s="94" t="str">
        <f t="array" ref="A124">IFERROR(INDEX('Annex 2 EHV charges'!$D$11:$D$58, MATCH(0, IF(ISBLANK('Annex 2 EHV charges'!$D$11:$D$58),1, COUNTIF(A$4:$A123, 'Annex 2 EHV charges'!$D$11:$D$58)), 0)),"")</f>
        <v/>
      </c>
      <c r="B124" s="93" t="str">
        <f>IF($A124="","",VLOOKUP($A124,'Annex 2 EHV charges'!$D:$O,2,0))</f>
        <v/>
      </c>
      <c r="C124" s="94" t="str">
        <f>IF($A124="","",VLOOKUP($A124,'Annex 2 EHV charges'!$D:$O,3,0))</f>
        <v/>
      </c>
      <c r="D124" s="93" t="str">
        <f>IF($A124="","",VLOOKUP($A124,'Annex 2 EHV charges'!$D:$O,4,0))</f>
        <v/>
      </c>
      <c r="E124" s="95" t="str">
        <f>IFERROR(IF(VLOOKUP($A124,'Annex 2 EHV charges'!$D:$O,9,FALSE)=0,"",VLOOKUP($A124,'Annex 2 EHV charges'!$D:$O,9,FALSE)),"")</f>
        <v/>
      </c>
      <c r="F124" s="96" t="str">
        <f>IFERROR(IF(VLOOKUP($A124,'Annex 2 EHV charges'!$D:$O,10,FALSE)=0,"",VLOOKUP($A124,'Annex 2 EHV charges'!$D:$O,10,FALSE)),"")</f>
        <v/>
      </c>
      <c r="G124" s="97" t="str">
        <f>IFERROR(IF(VLOOKUP($A124,'Annex 2 EHV charges'!$D:$O,11,FALSE)=0,"",VLOOKUP($A124,'Annex 2 EHV charges'!$D:$O,11,FALSE)),"")</f>
        <v/>
      </c>
      <c r="H124" s="97" t="str">
        <f>IFERROR(IF(VLOOKUP($A124,'Annex 2 EHV charges'!$D:$O,12,FALSE)=0,"",VLOOKUP($A124,'Annex 2 EHV charges'!$D:$O,12,FALSE)),"")</f>
        <v/>
      </c>
    </row>
    <row r="125" spans="1:8" ht="12.75" customHeight="1" x14ac:dyDescent="0.2">
      <c r="A125" s="94" t="str">
        <f t="array" ref="A125">IFERROR(INDEX('Annex 2 EHV charges'!$D$11:$D$58, MATCH(0, IF(ISBLANK('Annex 2 EHV charges'!$D$11:$D$58),1, COUNTIF(A$4:$A124, 'Annex 2 EHV charges'!$D$11:$D$58)), 0)),"")</f>
        <v/>
      </c>
      <c r="B125" s="93" t="str">
        <f>IF($A125="","",VLOOKUP($A125,'Annex 2 EHV charges'!$D:$O,2,0))</f>
        <v/>
      </c>
      <c r="C125" s="94" t="str">
        <f>IF($A125="","",VLOOKUP($A125,'Annex 2 EHV charges'!$D:$O,3,0))</f>
        <v/>
      </c>
      <c r="D125" s="93" t="str">
        <f>IF($A125="","",VLOOKUP($A125,'Annex 2 EHV charges'!$D:$O,4,0))</f>
        <v/>
      </c>
      <c r="E125" s="95" t="str">
        <f>IFERROR(IF(VLOOKUP($A125,'Annex 2 EHV charges'!$D:$O,9,FALSE)=0,"",VLOOKUP($A125,'Annex 2 EHV charges'!$D:$O,9,FALSE)),"")</f>
        <v/>
      </c>
      <c r="F125" s="96" t="str">
        <f>IFERROR(IF(VLOOKUP($A125,'Annex 2 EHV charges'!$D:$O,10,FALSE)=0,"",VLOOKUP($A125,'Annex 2 EHV charges'!$D:$O,10,FALSE)),"")</f>
        <v/>
      </c>
      <c r="G125" s="97" t="str">
        <f>IFERROR(IF(VLOOKUP($A125,'Annex 2 EHV charges'!$D:$O,11,FALSE)=0,"",VLOOKUP($A125,'Annex 2 EHV charges'!$D:$O,11,FALSE)),"")</f>
        <v/>
      </c>
      <c r="H125" s="97" t="str">
        <f>IFERROR(IF(VLOOKUP($A125,'Annex 2 EHV charges'!$D:$O,12,FALSE)=0,"",VLOOKUP($A125,'Annex 2 EHV charges'!$D:$O,12,FALSE)),"")</f>
        <v/>
      </c>
    </row>
    <row r="126" spans="1:8" ht="12.75" customHeight="1" x14ac:dyDescent="0.2">
      <c r="A126" s="94" t="str">
        <f t="array" ref="A126">IFERROR(INDEX('Annex 2 EHV charges'!$D$11:$D$58, MATCH(0, IF(ISBLANK('Annex 2 EHV charges'!$D$11:$D$58),1, COUNTIF(A$4:$A125, 'Annex 2 EHV charges'!$D$11:$D$58)), 0)),"")</f>
        <v/>
      </c>
      <c r="B126" s="93" t="str">
        <f>IF($A126="","",VLOOKUP($A126,'Annex 2 EHV charges'!$D:$O,2,0))</f>
        <v/>
      </c>
      <c r="C126" s="94" t="str">
        <f>IF($A126="","",VLOOKUP($A126,'Annex 2 EHV charges'!$D:$O,3,0))</f>
        <v/>
      </c>
      <c r="D126" s="93" t="str">
        <f>IF($A126="","",VLOOKUP($A126,'Annex 2 EHV charges'!$D:$O,4,0))</f>
        <v/>
      </c>
      <c r="E126" s="95" t="str">
        <f>IFERROR(IF(VLOOKUP($A126,'Annex 2 EHV charges'!$D:$O,9,FALSE)=0,"",VLOOKUP($A126,'Annex 2 EHV charges'!$D:$O,9,FALSE)),"")</f>
        <v/>
      </c>
      <c r="F126" s="96" t="str">
        <f>IFERROR(IF(VLOOKUP($A126,'Annex 2 EHV charges'!$D:$O,10,FALSE)=0,"",VLOOKUP($A126,'Annex 2 EHV charges'!$D:$O,10,FALSE)),"")</f>
        <v/>
      </c>
      <c r="G126" s="97" t="str">
        <f>IFERROR(IF(VLOOKUP($A126,'Annex 2 EHV charges'!$D:$O,11,FALSE)=0,"",VLOOKUP($A126,'Annex 2 EHV charges'!$D:$O,11,FALSE)),"")</f>
        <v/>
      </c>
      <c r="H126" s="97" t="str">
        <f>IFERROR(IF(VLOOKUP($A126,'Annex 2 EHV charges'!$D:$O,12,FALSE)=0,"",VLOOKUP($A126,'Annex 2 EHV charges'!$D:$O,12,FALSE)),"")</f>
        <v/>
      </c>
    </row>
    <row r="127" spans="1:8" ht="12.75" customHeight="1" x14ac:dyDescent="0.2">
      <c r="A127" s="94" t="str">
        <f t="array" ref="A127">IFERROR(INDEX('Annex 2 EHV charges'!$D$11:$D$58, MATCH(0, IF(ISBLANK('Annex 2 EHV charges'!$D$11:$D$58),1, COUNTIF(A$4:$A126, 'Annex 2 EHV charges'!$D$11:$D$58)), 0)),"")</f>
        <v/>
      </c>
      <c r="B127" s="93" t="str">
        <f>IF($A127="","",VLOOKUP($A127,'Annex 2 EHV charges'!$D:$O,2,0))</f>
        <v/>
      </c>
      <c r="C127" s="94" t="str">
        <f>IF($A127="","",VLOOKUP($A127,'Annex 2 EHV charges'!$D:$O,3,0))</f>
        <v/>
      </c>
      <c r="D127" s="93" t="str">
        <f>IF($A127="","",VLOOKUP($A127,'Annex 2 EHV charges'!$D:$O,4,0))</f>
        <v/>
      </c>
      <c r="E127" s="95" t="str">
        <f>IFERROR(IF(VLOOKUP($A127,'Annex 2 EHV charges'!$D:$O,9,FALSE)=0,"",VLOOKUP($A127,'Annex 2 EHV charges'!$D:$O,9,FALSE)),"")</f>
        <v/>
      </c>
      <c r="F127" s="96" t="str">
        <f>IFERROR(IF(VLOOKUP($A127,'Annex 2 EHV charges'!$D:$O,10,FALSE)=0,"",VLOOKUP($A127,'Annex 2 EHV charges'!$D:$O,10,FALSE)),"")</f>
        <v/>
      </c>
      <c r="G127" s="97" t="str">
        <f>IFERROR(IF(VLOOKUP($A127,'Annex 2 EHV charges'!$D:$O,11,FALSE)=0,"",VLOOKUP($A127,'Annex 2 EHV charges'!$D:$O,11,FALSE)),"")</f>
        <v/>
      </c>
      <c r="H127" s="97" t="str">
        <f>IFERROR(IF(VLOOKUP($A127,'Annex 2 EHV charges'!$D:$O,12,FALSE)=0,"",VLOOKUP($A127,'Annex 2 EHV charges'!$D:$O,12,FALSE)),"")</f>
        <v/>
      </c>
    </row>
    <row r="128" spans="1:8" ht="12.75" customHeight="1" x14ac:dyDescent="0.2">
      <c r="A128" s="94" t="str">
        <f t="array" ref="A128">IFERROR(INDEX('Annex 2 EHV charges'!$D$11:$D$58, MATCH(0, IF(ISBLANK('Annex 2 EHV charges'!$D$11:$D$58),1, COUNTIF(A$4:$A127, 'Annex 2 EHV charges'!$D$11:$D$58)), 0)),"")</f>
        <v/>
      </c>
      <c r="B128" s="93" t="str">
        <f>IF($A128="","",VLOOKUP($A128,'Annex 2 EHV charges'!$D:$O,2,0))</f>
        <v/>
      </c>
      <c r="C128" s="94" t="str">
        <f>IF($A128="","",VLOOKUP($A128,'Annex 2 EHV charges'!$D:$O,3,0))</f>
        <v/>
      </c>
      <c r="D128" s="93" t="str">
        <f>IF($A128="","",VLOOKUP($A128,'Annex 2 EHV charges'!$D:$O,4,0))</f>
        <v/>
      </c>
      <c r="E128" s="95" t="str">
        <f>IFERROR(IF(VLOOKUP($A128,'Annex 2 EHV charges'!$D:$O,9,FALSE)=0,"",VLOOKUP($A128,'Annex 2 EHV charges'!$D:$O,9,FALSE)),"")</f>
        <v/>
      </c>
      <c r="F128" s="96" t="str">
        <f>IFERROR(IF(VLOOKUP($A128,'Annex 2 EHV charges'!$D:$O,10,FALSE)=0,"",VLOOKUP($A128,'Annex 2 EHV charges'!$D:$O,10,FALSE)),"")</f>
        <v/>
      </c>
      <c r="G128" s="97" t="str">
        <f>IFERROR(IF(VLOOKUP($A128,'Annex 2 EHV charges'!$D:$O,11,FALSE)=0,"",VLOOKUP($A128,'Annex 2 EHV charges'!$D:$O,11,FALSE)),"")</f>
        <v/>
      </c>
      <c r="H128" s="97" t="str">
        <f>IFERROR(IF(VLOOKUP($A128,'Annex 2 EHV charges'!$D:$O,12,FALSE)=0,"",VLOOKUP($A128,'Annex 2 EHV charges'!$D:$O,12,FALSE)),"")</f>
        <v/>
      </c>
    </row>
    <row r="129" spans="1:8" ht="12.75" customHeight="1" x14ac:dyDescent="0.2">
      <c r="A129" s="94" t="str">
        <f t="array" ref="A129">IFERROR(INDEX('Annex 2 EHV charges'!$D$11:$D$58, MATCH(0, IF(ISBLANK('Annex 2 EHV charges'!$D$11:$D$58),1, COUNTIF(A$4:$A128, 'Annex 2 EHV charges'!$D$11:$D$58)), 0)),"")</f>
        <v/>
      </c>
      <c r="B129" s="93" t="str">
        <f>IF($A129="","",VLOOKUP($A129,'Annex 2 EHV charges'!$D:$O,2,0))</f>
        <v/>
      </c>
      <c r="C129" s="94" t="str">
        <f>IF($A129="","",VLOOKUP($A129,'Annex 2 EHV charges'!$D:$O,3,0))</f>
        <v/>
      </c>
      <c r="D129" s="93" t="str">
        <f>IF($A129="","",VLOOKUP($A129,'Annex 2 EHV charges'!$D:$O,4,0))</f>
        <v/>
      </c>
      <c r="E129" s="95" t="str">
        <f>IFERROR(IF(VLOOKUP($A129,'Annex 2 EHV charges'!$D:$O,9,FALSE)=0,"",VLOOKUP($A129,'Annex 2 EHV charges'!$D:$O,9,FALSE)),"")</f>
        <v/>
      </c>
      <c r="F129" s="96" t="str">
        <f>IFERROR(IF(VLOOKUP($A129,'Annex 2 EHV charges'!$D:$O,10,FALSE)=0,"",VLOOKUP($A129,'Annex 2 EHV charges'!$D:$O,10,FALSE)),"")</f>
        <v/>
      </c>
      <c r="G129" s="97" t="str">
        <f>IFERROR(IF(VLOOKUP($A129,'Annex 2 EHV charges'!$D:$O,11,FALSE)=0,"",VLOOKUP($A129,'Annex 2 EHV charges'!$D:$O,11,FALSE)),"")</f>
        <v/>
      </c>
      <c r="H129" s="97" t="str">
        <f>IFERROR(IF(VLOOKUP($A129,'Annex 2 EHV charges'!$D:$O,12,FALSE)=0,"",VLOOKUP($A129,'Annex 2 EHV charges'!$D:$O,12,FALSE)),"")</f>
        <v/>
      </c>
    </row>
    <row r="130" spans="1:8" ht="12.75" customHeight="1" x14ac:dyDescent="0.2">
      <c r="A130" s="94" t="str">
        <f t="array" ref="A130">IFERROR(INDEX('Annex 2 EHV charges'!$D$11:$D$58, MATCH(0, IF(ISBLANK('Annex 2 EHV charges'!$D$11:$D$58),1, COUNTIF(A$4:$A129, 'Annex 2 EHV charges'!$D$11:$D$58)), 0)),"")</f>
        <v/>
      </c>
      <c r="B130" s="93" t="str">
        <f>IF($A130="","",VLOOKUP($A130,'Annex 2 EHV charges'!$D:$O,2,0))</f>
        <v/>
      </c>
      <c r="C130" s="94" t="str">
        <f>IF($A130="","",VLOOKUP($A130,'Annex 2 EHV charges'!$D:$O,3,0))</f>
        <v/>
      </c>
      <c r="D130" s="93" t="str">
        <f>IF($A130="","",VLOOKUP($A130,'Annex 2 EHV charges'!$D:$O,4,0))</f>
        <v/>
      </c>
      <c r="E130" s="95" t="str">
        <f>IFERROR(IF(VLOOKUP($A130,'Annex 2 EHV charges'!$D:$O,9,FALSE)=0,"",VLOOKUP($A130,'Annex 2 EHV charges'!$D:$O,9,FALSE)),"")</f>
        <v/>
      </c>
      <c r="F130" s="96" t="str">
        <f>IFERROR(IF(VLOOKUP($A130,'Annex 2 EHV charges'!$D:$O,10,FALSE)=0,"",VLOOKUP($A130,'Annex 2 EHV charges'!$D:$O,10,FALSE)),"")</f>
        <v/>
      </c>
      <c r="G130" s="97" t="str">
        <f>IFERROR(IF(VLOOKUP($A130,'Annex 2 EHV charges'!$D:$O,11,FALSE)=0,"",VLOOKUP($A130,'Annex 2 EHV charges'!$D:$O,11,FALSE)),"")</f>
        <v/>
      </c>
      <c r="H130" s="97" t="str">
        <f>IFERROR(IF(VLOOKUP($A130,'Annex 2 EHV charges'!$D:$O,12,FALSE)=0,"",VLOOKUP($A130,'Annex 2 EHV charges'!$D:$O,12,FALSE)),"")</f>
        <v/>
      </c>
    </row>
    <row r="131" spans="1:8" ht="12.75" customHeight="1" x14ac:dyDescent="0.2">
      <c r="A131" s="94" t="str">
        <f t="array" ref="A131">IFERROR(INDEX('Annex 2 EHV charges'!$D$11:$D$58, MATCH(0, IF(ISBLANK('Annex 2 EHV charges'!$D$11:$D$58),1, COUNTIF(A$4:$A130, 'Annex 2 EHV charges'!$D$11:$D$58)), 0)),"")</f>
        <v/>
      </c>
      <c r="B131" s="93" t="str">
        <f>IF($A131="","",VLOOKUP($A131,'Annex 2 EHV charges'!$D:$O,2,0))</f>
        <v/>
      </c>
      <c r="C131" s="94" t="str">
        <f>IF($A131="","",VLOOKUP($A131,'Annex 2 EHV charges'!$D:$O,3,0))</f>
        <v/>
      </c>
      <c r="D131" s="93" t="str">
        <f>IF($A131="","",VLOOKUP($A131,'Annex 2 EHV charges'!$D:$O,4,0))</f>
        <v/>
      </c>
      <c r="E131" s="95" t="str">
        <f>IFERROR(IF(VLOOKUP($A131,'Annex 2 EHV charges'!$D:$O,9,FALSE)=0,"",VLOOKUP($A131,'Annex 2 EHV charges'!$D:$O,9,FALSE)),"")</f>
        <v/>
      </c>
      <c r="F131" s="96" t="str">
        <f>IFERROR(IF(VLOOKUP($A131,'Annex 2 EHV charges'!$D:$O,10,FALSE)=0,"",VLOOKUP($A131,'Annex 2 EHV charges'!$D:$O,10,FALSE)),"")</f>
        <v/>
      </c>
      <c r="G131" s="97" t="str">
        <f>IFERROR(IF(VLOOKUP($A131,'Annex 2 EHV charges'!$D:$O,11,FALSE)=0,"",VLOOKUP($A131,'Annex 2 EHV charges'!$D:$O,11,FALSE)),"")</f>
        <v/>
      </c>
      <c r="H131" s="97" t="str">
        <f>IFERROR(IF(VLOOKUP($A131,'Annex 2 EHV charges'!$D:$O,12,FALSE)=0,"",VLOOKUP($A131,'Annex 2 EHV charges'!$D:$O,12,FALSE)),"")</f>
        <v/>
      </c>
    </row>
    <row r="132" spans="1:8" ht="12.75" customHeight="1" x14ac:dyDescent="0.2">
      <c r="A132" s="94" t="str">
        <f t="array" ref="A132">IFERROR(INDEX('Annex 2 EHV charges'!$D$11:$D$58, MATCH(0, IF(ISBLANK('Annex 2 EHV charges'!$D$11:$D$58),1, COUNTIF(A$4:$A131, 'Annex 2 EHV charges'!$D$11:$D$58)), 0)),"")</f>
        <v/>
      </c>
      <c r="B132" s="93" t="str">
        <f>IF($A132="","",VLOOKUP($A132,'Annex 2 EHV charges'!$D:$O,2,0))</f>
        <v/>
      </c>
      <c r="C132" s="94" t="str">
        <f>IF($A132="","",VLOOKUP($A132,'Annex 2 EHV charges'!$D:$O,3,0))</f>
        <v/>
      </c>
      <c r="D132" s="93" t="str">
        <f>IF($A132="","",VLOOKUP($A132,'Annex 2 EHV charges'!$D:$O,4,0))</f>
        <v/>
      </c>
      <c r="E132" s="95" t="str">
        <f>IFERROR(IF(VLOOKUP($A132,'Annex 2 EHV charges'!$D:$O,9,FALSE)=0,"",VLOOKUP($A132,'Annex 2 EHV charges'!$D:$O,9,FALSE)),"")</f>
        <v/>
      </c>
      <c r="F132" s="96" t="str">
        <f>IFERROR(IF(VLOOKUP($A132,'Annex 2 EHV charges'!$D:$O,10,FALSE)=0,"",VLOOKUP($A132,'Annex 2 EHV charges'!$D:$O,10,FALSE)),"")</f>
        <v/>
      </c>
      <c r="G132" s="97" t="str">
        <f>IFERROR(IF(VLOOKUP($A132,'Annex 2 EHV charges'!$D:$O,11,FALSE)=0,"",VLOOKUP($A132,'Annex 2 EHV charges'!$D:$O,11,FALSE)),"")</f>
        <v/>
      </c>
      <c r="H132" s="97" t="str">
        <f>IFERROR(IF(VLOOKUP($A132,'Annex 2 EHV charges'!$D:$O,12,FALSE)=0,"",VLOOKUP($A132,'Annex 2 EHV charges'!$D:$O,12,FALSE)),"")</f>
        <v/>
      </c>
    </row>
    <row r="133" spans="1:8" ht="12.75" customHeight="1" x14ac:dyDescent="0.2">
      <c r="A133" s="94" t="str">
        <f t="array" ref="A133">IFERROR(INDEX('Annex 2 EHV charges'!$D$11:$D$58, MATCH(0, IF(ISBLANK('Annex 2 EHV charges'!$D$11:$D$58),1, COUNTIF(A$4:$A132, 'Annex 2 EHV charges'!$D$11:$D$58)), 0)),"")</f>
        <v/>
      </c>
      <c r="B133" s="93" t="str">
        <f>IF($A133="","",VLOOKUP($A133,'Annex 2 EHV charges'!$D:$O,2,0))</f>
        <v/>
      </c>
      <c r="C133" s="94" t="str">
        <f>IF($A133="","",VLOOKUP($A133,'Annex 2 EHV charges'!$D:$O,3,0))</f>
        <v/>
      </c>
      <c r="D133" s="93" t="str">
        <f>IF($A133="","",VLOOKUP($A133,'Annex 2 EHV charges'!$D:$O,4,0))</f>
        <v/>
      </c>
      <c r="E133" s="95" t="str">
        <f>IFERROR(IF(VLOOKUP($A133,'Annex 2 EHV charges'!$D:$O,9,FALSE)=0,"",VLOOKUP($A133,'Annex 2 EHV charges'!$D:$O,9,FALSE)),"")</f>
        <v/>
      </c>
      <c r="F133" s="96" t="str">
        <f>IFERROR(IF(VLOOKUP($A133,'Annex 2 EHV charges'!$D:$O,10,FALSE)=0,"",VLOOKUP($A133,'Annex 2 EHV charges'!$D:$O,10,FALSE)),"")</f>
        <v/>
      </c>
      <c r="G133" s="97" t="str">
        <f>IFERROR(IF(VLOOKUP($A133,'Annex 2 EHV charges'!$D:$O,11,FALSE)=0,"",VLOOKUP($A133,'Annex 2 EHV charges'!$D:$O,11,FALSE)),"")</f>
        <v/>
      </c>
      <c r="H133" s="97" t="str">
        <f>IFERROR(IF(VLOOKUP($A133,'Annex 2 EHV charges'!$D:$O,12,FALSE)=0,"",VLOOKUP($A133,'Annex 2 EHV charges'!$D:$O,12,FALSE)),"")</f>
        <v/>
      </c>
    </row>
    <row r="134" spans="1:8" ht="12.75" customHeight="1" x14ac:dyDescent="0.2">
      <c r="A134" s="94" t="str">
        <f t="array" ref="A134">IFERROR(INDEX('Annex 2 EHV charges'!$D$11:$D$58, MATCH(0, IF(ISBLANK('Annex 2 EHV charges'!$D$11:$D$58),1, COUNTIF(A$4:$A133, 'Annex 2 EHV charges'!$D$11:$D$58)), 0)),"")</f>
        <v/>
      </c>
      <c r="B134" s="93" t="str">
        <f>IF($A134="","",VLOOKUP($A134,'Annex 2 EHV charges'!$D:$O,2,0))</f>
        <v/>
      </c>
      <c r="C134" s="94" t="str">
        <f>IF($A134="","",VLOOKUP($A134,'Annex 2 EHV charges'!$D:$O,3,0))</f>
        <v/>
      </c>
      <c r="D134" s="93" t="str">
        <f>IF($A134="","",VLOOKUP($A134,'Annex 2 EHV charges'!$D:$O,4,0))</f>
        <v/>
      </c>
      <c r="E134" s="95" t="str">
        <f>IFERROR(IF(VLOOKUP($A134,'Annex 2 EHV charges'!$D:$O,9,FALSE)=0,"",VLOOKUP($A134,'Annex 2 EHV charges'!$D:$O,9,FALSE)),"")</f>
        <v/>
      </c>
      <c r="F134" s="96" t="str">
        <f>IFERROR(IF(VLOOKUP($A134,'Annex 2 EHV charges'!$D:$O,10,FALSE)=0,"",VLOOKUP($A134,'Annex 2 EHV charges'!$D:$O,10,FALSE)),"")</f>
        <v/>
      </c>
      <c r="G134" s="97" t="str">
        <f>IFERROR(IF(VLOOKUP($A134,'Annex 2 EHV charges'!$D:$O,11,FALSE)=0,"",VLOOKUP($A134,'Annex 2 EHV charges'!$D:$O,11,FALSE)),"")</f>
        <v/>
      </c>
      <c r="H134" s="97" t="str">
        <f>IFERROR(IF(VLOOKUP($A134,'Annex 2 EHV charges'!$D:$O,12,FALSE)=0,"",VLOOKUP($A134,'Annex 2 EHV charges'!$D:$O,12,FALSE)),"")</f>
        <v/>
      </c>
    </row>
    <row r="135" spans="1:8" ht="12.75" customHeight="1" x14ac:dyDescent="0.2">
      <c r="A135" s="94" t="str">
        <f t="array" ref="A135">IFERROR(INDEX('Annex 2 EHV charges'!$D$11:$D$58, MATCH(0, IF(ISBLANK('Annex 2 EHV charges'!$D$11:$D$58),1, COUNTIF(A$4:$A134, 'Annex 2 EHV charges'!$D$11:$D$58)), 0)),"")</f>
        <v/>
      </c>
      <c r="B135" s="93" t="str">
        <f>IF($A135="","",VLOOKUP($A135,'Annex 2 EHV charges'!$D:$O,2,0))</f>
        <v/>
      </c>
      <c r="C135" s="94" t="str">
        <f>IF($A135="","",VLOOKUP($A135,'Annex 2 EHV charges'!$D:$O,3,0))</f>
        <v/>
      </c>
      <c r="D135" s="93" t="str">
        <f>IF($A135="","",VLOOKUP($A135,'Annex 2 EHV charges'!$D:$O,4,0))</f>
        <v/>
      </c>
      <c r="E135" s="95" t="str">
        <f>IFERROR(IF(VLOOKUP($A135,'Annex 2 EHV charges'!$D:$O,9,FALSE)=0,"",VLOOKUP($A135,'Annex 2 EHV charges'!$D:$O,9,FALSE)),"")</f>
        <v/>
      </c>
      <c r="F135" s="96" t="str">
        <f>IFERROR(IF(VLOOKUP($A135,'Annex 2 EHV charges'!$D:$O,10,FALSE)=0,"",VLOOKUP($A135,'Annex 2 EHV charges'!$D:$O,10,FALSE)),"")</f>
        <v/>
      </c>
      <c r="G135" s="97" t="str">
        <f>IFERROR(IF(VLOOKUP($A135,'Annex 2 EHV charges'!$D:$O,11,FALSE)=0,"",VLOOKUP($A135,'Annex 2 EHV charges'!$D:$O,11,FALSE)),"")</f>
        <v/>
      </c>
      <c r="H135" s="97" t="str">
        <f>IFERROR(IF(VLOOKUP($A135,'Annex 2 EHV charges'!$D:$O,12,FALSE)=0,"",VLOOKUP($A135,'Annex 2 EHV charges'!$D:$O,12,FALSE)),"")</f>
        <v/>
      </c>
    </row>
    <row r="136" spans="1:8" ht="12.75" customHeight="1" x14ac:dyDescent="0.2">
      <c r="A136" s="94" t="str">
        <f t="array" ref="A136">IFERROR(INDEX('Annex 2 EHV charges'!$D$11:$D$58, MATCH(0, IF(ISBLANK('Annex 2 EHV charges'!$D$11:$D$58),1, COUNTIF(A$4:$A135, 'Annex 2 EHV charges'!$D$11:$D$58)), 0)),"")</f>
        <v/>
      </c>
      <c r="B136" s="93" t="str">
        <f>IF($A136="","",VLOOKUP($A136,'Annex 2 EHV charges'!$D:$O,2,0))</f>
        <v/>
      </c>
      <c r="C136" s="94" t="str">
        <f>IF($A136="","",VLOOKUP($A136,'Annex 2 EHV charges'!$D:$O,3,0))</f>
        <v/>
      </c>
      <c r="D136" s="93" t="str">
        <f>IF($A136="","",VLOOKUP($A136,'Annex 2 EHV charges'!$D:$O,4,0))</f>
        <v/>
      </c>
      <c r="E136" s="95" t="str">
        <f>IFERROR(IF(VLOOKUP($A136,'Annex 2 EHV charges'!$D:$O,9,FALSE)=0,"",VLOOKUP($A136,'Annex 2 EHV charges'!$D:$O,9,FALSE)),"")</f>
        <v/>
      </c>
      <c r="F136" s="96" t="str">
        <f>IFERROR(IF(VLOOKUP($A136,'Annex 2 EHV charges'!$D:$O,10,FALSE)=0,"",VLOOKUP($A136,'Annex 2 EHV charges'!$D:$O,10,FALSE)),"")</f>
        <v/>
      </c>
      <c r="G136" s="97" t="str">
        <f>IFERROR(IF(VLOOKUP($A136,'Annex 2 EHV charges'!$D:$O,11,FALSE)=0,"",VLOOKUP($A136,'Annex 2 EHV charges'!$D:$O,11,FALSE)),"")</f>
        <v/>
      </c>
      <c r="H136" s="97" t="str">
        <f>IFERROR(IF(VLOOKUP($A136,'Annex 2 EHV charges'!$D:$O,12,FALSE)=0,"",VLOOKUP($A136,'Annex 2 EHV charges'!$D:$O,12,FALSE)),"")</f>
        <v/>
      </c>
    </row>
    <row r="137" spans="1:8" ht="12.75" customHeight="1" x14ac:dyDescent="0.2">
      <c r="A137" s="94" t="str">
        <f t="array" ref="A137">IFERROR(INDEX('Annex 2 EHV charges'!$D$11:$D$58, MATCH(0, IF(ISBLANK('Annex 2 EHV charges'!$D$11:$D$58),1, COUNTIF(A$4:$A136, 'Annex 2 EHV charges'!$D$11:$D$58)), 0)),"")</f>
        <v/>
      </c>
      <c r="B137" s="93" t="str">
        <f>IF($A137="","",VLOOKUP($A137,'Annex 2 EHV charges'!$D:$O,2,0))</f>
        <v/>
      </c>
      <c r="C137" s="94" t="str">
        <f>IF($A137="","",VLOOKUP($A137,'Annex 2 EHV charges'!$D:$O,3,0))</f>
        <v/>
      </c>
      <c r="D137" s="93" t="str">
        <f>IF($A137="","",VLOOKUP($A137,'Annex 2 EHV charges'!$D:$O,4,0))</f>
        <v/>
      </c>
      <c r="E137" s="95" t="str">
        <f>IFERROR(IF(VLOOKUP($A137,'Annex 2 EHV charges'!$D:$O,9,FALSE)=0,"",VLOOKUP($A137,'Annex 2 EHV charges'!$D:$O,9,FALSE)),"")</f>
        <v/>
      </c>
      <c r="F137" s="96" t="str">
        <f>IFERROR(IF(VLOOKUP($A137,'Annex 2 EHV charges'!$D:$O,10,FALSE)=0,"",VLOOKUP($A137,'Annex 2 EHV charges'!$D:$O,10,FALSE)),"")</f>
        <v/>
      </c>
      <c r="G137" s="97" t="str">
        <f>IFERROR(IF(VLOOKUP($A137,'Annex 2 EHV charges'!$D:$O,11,FALSE)=0,"",VLOOKUP($A137,'Annex 2 EHV charges'!$D:$O,11,FALSE)),"")</f>
        <v/>
      </c>
      <c r="H137" s="97" t="str">
        <f>IFERROR(IF(VLOOKUP($A137,'Annex 2 EHV charges'!$D:$O,12,FALSE)=0,"",VLOOKUP($A137,'Annex 2 EHV charges'!$D:$O,12,FALSE)),"")</f>
        <v/>
      </c>
    </row>
    <row r="138" spans="1:8" ht="12.75" customHeight="1" x14ac:dyDescent="0.2">
      <c r="A138" s="94" t="str">
        <f t="array" ref="A138">IFERROR(INDEX('Annex 2 EHV charges'!$D$11:$D$58, MATCH(0, IF(ISBLANK('Annex 2 EHV charges'!$D$11:$D$58),1, COUNTIF(A$4:$A137, 'Annex 2 EHV charges'!$D$11:$D$58)), 0)),"")</f>
        <v/>
      </c>
      <c r="B138" s="93" t="str">
        <f>IF($A138="","",VLOOKUP($A138,'Annex 2 EHV charges'!$D:$O,2,0))</f>
        <v/>
      </c>
      <c r="C138" s="94" t="str">
        <f>IF($A138="","",VLOOKUP($A138,'Annex 2 EHV charges'!$D:$O,3,0))</f>
        <v/>
      </c>
      <c r="D138" s="93" t="str">
        <f>IF($A138="","",VLOOKUP($A138,'Annex 2 EHV charges'!$D:$O,4,0))</f>
        <v/>
      </c>
      <c r="E138" s="95" t="str">
        <f>IFERROR(IF(VLOOKUP($A138,'Annex 2 EHV charges'!$D:$O,9,FALSE)=0,"",VLOOKUP($A138,'Annex 2 EHV charges'!$D:$O,9,FALSE)),"")</f>
        <v/>
      </c>
      <c r="F138" s="96" t="str">
        <f>IFERROR(IF(VLOOKUP($A138,'Annex 2 EHV charges'!$D:$O,10,FALSE)=0,"",VLOOKUP($A138,'Annex 2 EHV charges'!$D:$O,10,FALSE)),"")</f>
        <v/>
      </c>
      <c r="G138" s="97" t="str">
        <f>IFERROR(IF(VLOOKUP($A138,'Annex 2 EHV charges'!$D:$O,11,FALSE)=0,"",VLOOKUP($A138,'Annex 2 EHV charges'!$D:$O,11,FALSE)),"")</f>
        <v/>
      </c>
      <c r="H138" s="97" t="str">
        <f>IFERROR(IF(VLOOKUP($A138,'Annex 2 EHV charges'!$D:$O,12,FALSE)=0,"",VLOOKUP($A138,'Annex 2 EHV charges'!$D:$O,12,FALSE)),"")</f>
        <v/>
      </c>
    </row>
    <row r="139" spans="1:8" ht="12.75" customHeight="1" x14ac:dyDescent="0.2">
      <c r="A139" s="94" t="str">
        <f t="array" ref="A139">IFERROR(INDEX('Annex 2 EHV charges'!$D$11:$D$58, MATCH(0, IF(ISBLANK('Annex 2 EHV charges'!$D$11:$D$58),1, COUNTIF(A$4:$A138, 'Annex 2 EHV charges'!$D$11:$D$58)), 0)),"")</f>
        <v/>
      </c>
      <c r="B139" s="93" t="str">
        <f>IF($A139="","",VLOOKUP($A139,'Annex 2 EHV charges'!$D:$O,2,0))</f>
        <v/>
      </c>
      <c r="C139" s="94" t="str">
        <f>IF($A139="","",VLOOKUP($A139,'Annex 2 EHV charges'!$D:$O,3,0))</f>
        <v/>
      </c>
      <c r="D139" s="93" t="str">
        <f>IF($A139="","",VLOOKUP($A139,'Annex 2 EHV charges'!$D:$O,4,0))</f>
        <v/>
      </c>
      <c r="E139" s="95" t="str">
        <f>IFERROR(IF(VLOOKUP($A139,'Annex 2 EHV charges'!$D:$O,9,FALSE)=0,"",VLOOKUP($A139,'Annex 2 EHV charges'!$D:$O,9,FALSE)),"")</f>
        <v/>
      </c>
      <c r="F139" s="96" t="str">
        <f>IFERROR(IF(VLOOKUP($A139,'Annex 2 EHV charges'!$D:$O,10,FALSE)=0,"",VLOOKUP($A139,'Annex 2 EHV charges'!$D:$O,10,FALSE)),"")</f>
        <v/>
      </c>
      <c r="G139" s="97" t="str">
        <f>IFERROR(IF(VLOOKUP($A139,'Annex 2 EHV charges'!$D:$O,11,FALSE)=0,"",VLOOKUP($A139,'Annex 2 EHV charges'!$D:$O,11,FALSE)),"")</f>
        <v/>
      </c>
      <c r="H139" s="97" t="str">
        <f>IFERROR(IF(VLOOKUP($A139,'Annex 2 EHV charges'!$D:$O,12,FALSE)=0,"",VLOOKUP($A139,'Annex 2 EHV charges'!$D:$O,12,FALSE)),"")</f>
        <v/>
      </c>
    </row>
    <row r="140" spans="1:8" ht="12.75" customHeight="1" x14ac:dyDescent="0.2">
      <c r="A140" s="94" t="str">
        <f t="array" ref="A140">IFERROR(INDEX('Annex 2 EHV charges'!$D$11:$D$58, MATCH(0, IF(ISBLANK('Annex 2 EHV charges'!$D$11:$D$58),1, COUNTIF(A$4:$A139, 'Annex 2 EHV charges'!$D$11:$D$58)), 0)),"")</f>
        <v/>
      </c>
      <c r="B140" s="93" t="str">
        <f>IF($A140="","",VLOOKUP($A140,'Annex 2 EHV charges'!$D:$O,2,0))</f>
        <v/>
      </c>
      <c r="C140" s="94" t="str">
        <f>IF($A140="","",VLOOKUP($A140,'Annex 2 EHV charges'!$D:$O,3,0))</f>
        <v/>
      </c>
      <c r="D140" s="93" t="str">
        <f>IF($A140="","",VLOOKUP($A140,'Annex 2 EHV charges'!$D:$O,4,0))</f>
        <v/>
      </c>
      <c r="E140" s="95" t="str">
        <f>IFERROR(IF(VLOOKUP($A140,'Annex 2 EHV charges'!$D:$O,9,FALSE)=0,"",VLOOKUP($A140,'Annex 2 EHV charges'!$D:$O,9,FALSE)),"")</f>
        <v/>
      </c>
      <c r="F140" s="96" t="str">
        <f>IFERROR(IF(VLOOKUP($A140,'Annex 2 EHV charges'!$D:$O,10,FALSE)=0,"",VLOOKUP($A140,'Annex 2 EHV charges'!$D:$O,10,FALSE)),"")</f>
        <v/>
      </c>
      <c r="G140" s="97" t="str">
        <f>IFERROR(IF(VLOOKUP($A140,'Annex 2 EHV charges'!$D:$O,11,FALSE)=0,"",VLOOKUP($A140,'Annex 2 EHV charges'!$D:$O,11,FALSE)),"")</f>
        <v/>
      </c>
      <c r="H140" s="97" t="str">
        <f>IFERROR(IF(VLOOKUP($A140,'Annex 2 EHV charges'!$D:$O,12,FALSE)=0,"",VLOOKUP($A140,'Annex 2 EHV charges'!$D:$O,12,FALSE)),"")</f>
        <v/>
      </c>
    </row>
    <row r="141" spans="1:8" ht="12.75" customHeight="1" x14ac:dyDescent="0.2">
      <c r="A141" s="94" t="str">
        <f t="array" ref="A141">IFERROR(INDEX('Annex 2 EHV charges'!$D$11:$D$58, MATCH(0, IF(ISBLANK('Annex 2 EHV charges'!$D$11:$D$58),1, COUNTIF(A$4:$A140, 'Annex 2 EHV charges'!$D$11:$D$58)), 0)),"")</f>
        <v/>
      </c>
      <c r="B141" s="93" t="str">
        <f>IF($A141="","",VLOOKUP($A141,'Annex 2 EHV charges'!$D:$O,2,0))</f>
        <v/>
      </c>
      <c r="C141" s="94" t="str">
        <f>IF($A141="","",VLOOKUP($A141,'Annex 2 EHV charges'!$D:$O,3,0))</f>
        <v/>
      </c>
      <c r="D141" s="93" t="str">
        <f>IF($A141="","",VLOOKUP($A141,'Annex 2 EHV charges'!$D:$O,4,0))</f>
        <v/>
      </c>
      <c r="E141" s="95" t="str">
        <f>IFERROR(IF(VLOOKUP($A141,'Annex 2 EHV charges'!$D:$O,9,FALSE)=0,"",VLOOKUP($A141,'Annex 2 EHV charges'!$D:$O,9,FALSE)),"")</f>
        <v/>
      </c>
      <c r="F141" s="96" t="str">
        <f>IFERROR(IF(VLOOKUP($A141,'Annex 2 EHV charges'!$D:$O,10,FALSE)=0,"",VLOOKUP($A141,'Annex 2 EHV charges'!$D:$O,10,FALSE)),"")</f>
        <v/>
      </c>
      <c r="G141" s="97" t="str">
        <f>IFERROR(IF(VLOOKUP($A141,'Annex 2 EHV charges'!$D:$O,11,FALSE)=0,"",VLOOKUP($A141,'Annex 2 EHV charges'!$D:$O,11,FALSE)),"")</f>
        <v/>
      </c>
      <c r="H141" s="97" t="str">
        <f>IFERROR(IF(VLOOKUP($A141,'Annex 2 EHV charges'!$D:$O,12,FALSE)=0,"",VLOOKUP($A141,'Annex 2 EHV charges'!$D:$O,12,FALSE)),"")</f>
        <v/>
      </c>
    </row>
    <row r="142" spans="1:8" ht="12.75" customHeight="1" x14ac:dyDescent="0.2">
      <c r="A142" s="94" t="str">
        <f t="array" ref="A142">IFERROR(INDEX('Annex 2 EHV charges'!$D$11:$D$58, MATCH(0, IF(ISBLANK('Annex 2 EHV charges'!$D$11:$D$58),1, COUNTIF(A$4:$A141, 'Annex 2 EHV charges'!$D$11:$D$58)), 0)),"")</f>
        <v/>
      </c>
      <c r="B142" s="93" t="str">
        <f>IF($A142="","",VLOOKUP($A142,'Annex 2 EHV charges'!$D:$O,2,0))</f>
        <v/>
      </c>
      <c r="C142" s="94" t="str">
        <f>IF($A142="","",VLOOKUP($A142,'Annex 2 EHV charges'!$D:$O,3,0))</f>
        <v/>
      </c>
      <c r="D142" s="93" t="str">
        <f>IF($A142="","",VLOOKUP($A142,'Annex 2 EHV charges'!$D:$O,4,0))</f>
        <v/>
      </c>
      <c r="E142" s="95" t="str">
        <f>IFERROR(IF(VLOOKUP($A142,'Annex 2 EHV charges'!$D:$O,9,FALSE)=0,"",VLOOKUP($A142,'Annex 2 EHV charges'!$D:$O,9,FALSE)),"")</f>
        <v/>
      </c>
      <c r="F142" s="96" t="str">
        <f>IFERROR(IF(VLOOKUP($A142,'Annex 2 EHV charges'!$D:$O,10,FALSE)=0,"",VLOOKUP($A142,'Annex 2 EHV charges'!$D:$O,10,FALSE)),"")</f>
        <v/>
      </c>
      <c r="G142" s="97" t="str">
        <f>IFERROR(IF(VLOOKUP($A142,'Annex 2 EHV charges'!$D:$O,11,FALSE)=0,"",VLOOKUP($A142,'Annex 2 EHV charges'!$D:$O,11,FALSE)),"")</f>
        <v/>
      </c>
      <c r="H142" s="97" t="str">
        <f>IFERROR(IF(VLOOKUP($A142,'Annex 2 EHV charges'!$D:$O,12,FALSE)=0,"",VLOOKUP($A142,'Annex 2 EHV charges'!$D:$O,12,FALSE)),"")</f>
        <v/>
      </c>
    </row>
    <row r="143" spans="1:8" ht="12.75" customHeight="1" x14ac:dyDescent="0.2">
      <c r="A143" s="94" t="str">
        <f t="array" ref="A143">IFERROR(INDEX('Annex 2 EHV charges'!$D$11:$D$58, MATCH(0, IF(ISBLANK('Annex 2 EHV charges'!$D$11:$D$58),1, COUNTIF(A$4:$A142, 'Annex 2 EHV charges'!$D$11:$D$58)), 0)),"")</f>
        <v/>
      </c>
      <c r="B143" s="93" t="str">
        <f>IF($A143="","",VLOOKUP($A143,'Annex 2 EHV charges'!$D:$O,2,0))</f>
        <v/>
      </c>
      <c r="C143" s="94" t="str">
        <f>IF($A143="","",VLOOKUP($A143,'Annex 2 EHV charges'!$D:$O,3,0))</f>
        <v/>
      </c>
      <c r="D143" s="93" t="str">
        <f>IF($A143="","",VLOOKUP($A143,'Annex 2 EHV charges'!$D:$O,4,0))</f>
        <v/>
      </c>
      <c r="E143" s="95" t="str">
        <f>IFERROR(IF(VLOOKUP($A143,'Annex 2 EHV charges'!$D:$O,9,FALSE)=0,"",VLOOKUP($A143,'Annex 2 EHV charges'!$D:$O,9,FALSE)),"")</f>
        <v/>
      </c>
      <c r="F143" s="96" t="str">
        <f>IFERROR(IF(VLOOKUP($A143,'Annex 2 EHV charges'!$D:$O,10,FALSE)=0,"",VLOOKUP($A143,'Annex 2 EHV charges'!$D:$O,10,FALSE)),"")</f>
        <v/>
      </c>
      <c r="G143" s="97" t="str">
        <f>IFERROR(IF(VLOOKUP($A143,'Annex 2 EHV charges'!$D:$O,11,FALSE)=0,"",VLOOKUP($A143,'Annex 2 EHV charges'!$D:$O,11,FALSE)),"")</f>
        <v/>
      </c>
      <c r="H143" s="97" t="str">
        <f>IFERROR(IF(VLOOKUP($A143,'Annex 2 EHV charges'!$D:$O,12,FALSE)=0,"",VLOOKUP($A143,'Annex 2 EHV charges'!$D:$O,12,FALSE)),"")</f>
        <v/>
      </c>
    </row>
    <row r="144" spans="1:8" ht="12.75" customHeight="1" x14ac:dyDescent="0.2">
      <c r="A144" s="94" t="str">
        <f t="array" ref="A144">IFERROR(INDEX('Annex 2 EHV charges'!$D$11:$D$58, MATCH(0, IF(ISBLANK('Annex 2 EHV charges'!$D$11:$D$58),1, COUNTIF(A$4:$A143, 'Annex 2 EHV charges'!$D$11:$D$58)), 0)),"")</f>
        <v/>
      </c>
      <c r="B144" s="93" t="str">
        <f>IF($A144="","",VLOOKUP($A144,'Annex 2 EHV charges'!$D:$O,2,0))</f>
        <v/>
      </c>
      <c r="C144" s="94" t="str">
        <f>IF($A144="","",VLOOKUP($A144,'Annex 2 EHV charges'!$D:$O,3,0))</f>
        <v/>
      </c>
      <c r="D144" s="93" t="str">
        <f>IF($A144="","",VLOOKUP($A144,'Annex 2 EHV charges'!$D:$O,4,0))</f>
        <v/>
      </c>
      <c r="E144" s="95" t="str">
        <f>IFERROR(IF(VLOOKUP($A144,'Annex 2 EHV charges'!$D:$O,9,FALSE)=0,"",VLOOKUP($A144,'Annex 2 EHV charges'!$D:$O,9,FALSE)),"")</f>
        <v/>
      </c>
      <c r="F144" s="96" t="str">
        <f>IFERROR(IF(VLOOKUP($A144,'Annex 2 EHV charges'!$D:$O,10,FALSE)=0,"",VLOOKUP($A144,'Annex 2 EHV charges'!$D:$O,10,FALSE)),"")</f>
        <v/>
      </c>
      <c r="G144" s="97" t="str">
        <f>IFERROR(IF(VLOOKUP($A144,'Annex 2 EHV charges'!$D:$O,11,FALSE)=0,"",VLOOKUP($A144,'Annex 2 EHV charges'!$D:$O,11,FALSE)),"")</f>
        <v/>
      </c>
      <c r="H144" s="97" t="str">
        <f>IFERROR(IF(VLOOKUP($A144,'Annex 2 EHV charges'!$D:$O,12,FALSE)=0,"",VLOOKUP($A144,'Annex 2 EHV charges'!$D:$O,12,FALSE)),"")</f>
        <v/>
      </c>
    </row>
    <row r="145" spans="1:8" ht="12.75" customHeight="1" x14ac:dyDescent="0.2">
      <c r="A145" s="94" t="str">
        <f t="array" ref="A145">IFERROR(INDEX('Annex 2 EHV charges'!$D$11:$D$58, MATCH(0, IF(ISBLANK('Annex 2 EHV charges'!$D$11:$D$58),1, COUNTIF(A$4:$A144, 'Annex 2 EHV charges'!$D$11:$D$58)), 0)),"")</f>
        <v/>
      </c>
      <c r="B145" s="93" t="str">
        <f>IF($A145="","",VLOOKUP($A145,'Annex 2 EHV charges'!$D:$O,2,0))</f>
        <v/>
      </c>
      <c r="C145" s="94" t="str">
        <f>IF($A145="","",VLOOKUP($A145,'Annex 2 EHV charges'!$D:$O,3,0))</f>
        <v/>
      </c>
      <c r="D145" s="93" t="str">
        <f>IF($A145="","",VLOOKUP($A145,'Annex 2 EHV charges'!$D:$O,4,0))</f>
        <v/>
      </c>
      <c r="E145" s="95" t="str">
        <f>IFERROR(IF(VLOOKUP($A145,'Annex 2 EHV charges'!$D:$O,9,FALSE)=0,"",VLOOKUP($A145,'Annex 2 EHV charges'!$D:$O,9,FALSE)),"")</f>
        <v/>
      </c>
      <c r="F145" s="96" t="str">
        <f>IFERROR(IF(VLOOKUP($A145,'Annex 2 EHV charges'!$D:$O,10,FALSE)=0,"",VLOOKUP($A145,'Annex 2 EHV charges'!$D:$O,10,FALSE)),"")</f>
        <v/>
      </c>
      <c r="G145" s="97" t="str">
        <f>IFERROR(IF(VLOOKUP($A145,'Annex 2 EHV charges'!$D:$O,11,FALSE)=0,"",VLOOKUP($A145,'Annex 2 EHV charges'!$D:$O,11,FALSE)),"")</f>
        <v/>
      </c>
      <c r="H145" s="97" t="str">
        <f>IFERROR(IF(VLOOKUP($A145,'Annex 2 EHV charges'!$D:$O,12,FALSE)=0,"",VLOOKUP($A145,'Annex 2 EHV charges'!$D:$O,12,FALSE)),"")</f>
        <v/>
      </c>
    </row>
    <row r="146" spans="1:8" ht="12.75" customHeight="1" x14ac:dyDescent="0.2">
      <c r="A146" s="94" t="str">
        <f t="array" ref="A146">IFERROR(INDEX('Annex 2 EHV charges'!$D$11:$D$58, MATCH(0, IF(ISBLANK('Annex 2 EHV charges'!$D$11:$D$58),1, COUNTIF(A$4:$A145, 'Annex 2 EHV charges'!$D$11:$D$58)), 0)),"")</f>
        <v/>
      </c>
      <c r="B146" s="93" t="str">
        <f>IF($A146="","",VLOOKUP($A146,'Annex 2 EHV charges'!$D:$O,2,0))</f>
        <v/>
      </c>
      <c r="C146" s="94" t="str">
        <f>IF($A146="","",VLOOKUP($A146,'Annex 2 EHV charges'!$D:$O,3,0))</f>
        <v/>
      </c>
      <c r="D146" s="93" t="str">
        <f>IF($A146="","",VLOOKUP($A146,'Annex 2 EHV charges'!$D:$O,4,0))</f>
        <v/>
      </c>
      <c r="E146" s="95" t="str">
        <f>IFERROR(IF(VLOOKUP($A146,'Annex 2 EHV charges'!$D:$O,9,FALSE)=0,"",VLOOKUP($A146,'Annex 2 EHV charges'!$D:$O,9,FALSE)),"")</f>
        <v/>
      </c>
      <c r="F146" s="96" t="str">
        <f>IFERROR(IF(VLOOKUP($A146,'Annex 2 EHV charges'!$D:$O,10,FALSE)=0,"",VLOOKUP($A146,'Annex 2 EHV charges'!$D:$O,10,FALSE)),"")</f>
        <v/>
      </c>
      <c r="G146" s="97" t="str">
        <f>IFERROR(IF(VLOOKUP($A146,'Annex 2 EHV charges'!$D:$O,11,FALSE)=0,"",VLOOKUP($A146,'Annex 2 EHV charges'!$D:$O,11,FALSE)),"")</f>
        <v/>
      </c>
      <c r="H146" s="97" t="str">
        <f>IFERROR(IF(VLOOKUP($A146,'Annex 2 EHV charges'!$D:$O,12,FALSE)=0,"",VLOOKUP($A146,'Annex 2 EHV charges'!$D:$O,12,FALSE)),"")</f>
        <v/>
      </c>
    </row>
    <row r="147" spans="1:8" ht="12.75" customHeight="1" x14ac:dyDescent="0.2">
      <c r="A147" s="94" t="str">
        <f t="array" ref="A147">IFERROR(INDEX('Annex 2 EHV charges'!$D$11:$D$58, MATCH(0, IF(ISBLANK('Annex 2 EHV charges'!$D$11:$D$58),1, COUNTIF(A$4:$A146, 'Annex 2 EHV charges'!$D$11:$D$58)), 0)),"")</f>
        <v/>
      </c>
      <c r="B147" s="93" t="str">
        <f>IF($A147="","",VLOOKUP($A147,'Annex 2 EHV charges'!$D:$O,2,0))</f>
        <v/>
      </c>
      <c r="C147" s="94" t="str">
        <f>IF($A147="","",VLOOKUP($A147,'Annex 2 EHV charges'!$D:$O,3,0))</f>
        <v/>
      </c>
      <c r="D147" s="93" t="str">
        <f>IF($A147="","",VLOOKUP($A147,'Annex 2 EHV charges'!$D:$O,4,0))</f>
        <v/>
      </c>
      <c r="E147" s="95" t="str">
        <f>IFERROR(IF(VLOOKUP($A147,'Annex 2 EHV charges'!$D:$O,9,FALSE)=0,"",VLOOKUP($A147,'Annex 2 EHV charges'!$D:$O,9,FALSE)),"")</f>
        <v/>
      </c>
      <c r="F147" s="96" t="str">
        <f>IFERROR(IF(VLOOKUP($A147,'Annex 2 EHV charges'!$D:$O,10,FALSE)=0,"",VLOOKUP($A147,'Annex 2 EHV charges'!$D:$O,10,FALSE)),"")</f>
        <v/>
      </c>
      <c r="G147" s="97" t="str">
        <f>IFERROR(IF(VLOOKUP($A147,'Annex 2 EHV charges'!$D:$O,11,FALSE)=0,"",VLOOKUP($A147,'Annex 2 EHV charges'!$D:$O,11,FALSE)),"")</f>
        <v/>
      </c>
      <c r="H147" s="97" t="str">
        <f>IFERROR(IF(VLOOKUP($A147,'Annex 2 EHV charges'!$D:$O,12,FALSE)=0,"",VLOOKUP($A147,'Annex 2 EHV charges'!$D:$O,12,FALSE)),"")</f>
        <v/>
      </c>
    </row>
    <row r="148" spans="1:8" ht="12.75" customHeight="1" x14ac:dyDescent="0.2">
      <c r="A148" s="94" t="str">
        <f t="array" ref="A148">IFERROR(INDEX('Annex 2 EHV charges'!$D$11:$D$58, MATCH(0, IF(ISBLANK('Annex 2 EHV charges'!$D$11:$D$58),1, COUNTIF(A$4:$A147, 'Annex 2 EHV charges'!$D$11:$D$58)), 0)),"")</f>
        <v/>
      </c>
      <c r="B148" s="93" t="str">
        <f>IF($A148="","",VLOOKUP($A148,'Annex 2 EHV charges'!$D:$O,2,0))</f>
        <v/>
      </c>
      <c r="C148" s="94" t="str">
        <f>IF($A148="","",VLOOKUP($A148,'Annex 2 EHV charges'!$D:$O,3,0))</f>
        <v/>
      </c>
      <c r="D148" s="93" t="str">
        <f>IF($A148="","",VLOOKUP($A148,'Annex 2 EHV charges'!$D:$O,4,0))</f>
        <v/>
      </c>
      <c r="E148" s="95" t="str">
        <f>IFERROR(IF(VLOOKUP($A148,'Annex 2 EHV charges'!$D:$O,9,FALSE)=0,"",VLOOKUP($A148,'Annex 2 EHV charges'!$D:$O,9,FALSE)),"")</f>
        <v/>
      </c>
      <c r="F148" s="96" t="str">
        <f>IFERROR(IF(VLOOKUP($A148,'Annex 2 EHV charges'!$D:$O,10,FALSE)=0,"",VLOOKUP($A148,'Annex 2 EHV charges'!$D:$O,10,FALSE)),"")</f>
        <v/>
      </c>
      <c r="G148" s="97" t="str">
        <f>IFERROR(IF(VLOOKUP($A148,'Annex 2 EHV charges'!$D:$O,11,FALSE)=0,"",VLOOKUP($A148,'Annex 2 EHV charges'!$D:$O,11,FALSE)),"")</f>
        <v/>
      </c>
      <c r="H148" s="97" t="str">
        <f>IFERROR(IF(VLOOKUP($A148,'Annex 2 EHV charges'!$D:$O,12,FALSE)=0,"",VLOOKUP($A148,'Annex 2 EHV charges'!$D:$O,12,FALSE)),"")</f>
        <v/>
      </c>
    </row>
    <row r="149" spans="1:8" ht="12.75" customHeight="1" x14ac:dyDescent="0.2">
      <c r="A149" s="94" t="str">
        <f t="array" ref="A149">IFERROR(INDEX('Annex 2 EHV charges'!$D$11:$D$58, MATCH(0, IF(ISBLANK('Annex 2 EHV charges'!$D$11:$D$58),1, COUNTIF(A$4:$A148, 'Annex 2 EHV charges'!$D$11:$D$58)), 0)),"")</f>
        <v/>
      </c>
      <c r="B149" s="93" t="str">
        <f>IF($A149="","",VLOOKUP($A149,'Annex 2 EHV charges'!$D:$O,2,0))</f>
        <v/>
      </c>
      <c r="C149" s="94" t="str">
        <f>IF($A149="","",VLOOKUP($A149,'Annex 2 EHV charges'!$D:$O,3,0))</f>
        <v/>
      </c>
      <c r="D149" s="93" t="str">
        <f>IF($A149="","",VLOOKUP($A149,'Annex 2 EHV charges'!$D:$O,4,0))</f>
        <v/>
      </c>
      <c r="E149" s="95" t="str">
        <f>IFERROR(IF(VLOOKUP($A149,'Annex 2 EHV charges'!$D:$O,9,FALSE)=0,"",VLOOKUP($A149,'Annex 2 EHV charges'!$D:$O,9,FALSE)),"")</f>
        <v/>
      </c>
      <c r="F149" s="96" t="str">
        <f>IFERROR(IF(VLOOKUP($A149,'Annex 2 EHV charges'!$D:$O,10,FALSE)=0,"",VLOOKUP($A149,'Annex 2 EHV charges'!$D:$O,10,FALSE)),"")</f>
        <v/>
      </c>
      <c r="G149" s="97" t="str">
        <f>IFERROR(IF(VLOOKUP($A149,'Annex 2 EHV charges'!$D:$O,11,FALSE)=0,"",VLOOKUP($A149,'Annex 2 EHV charges'!$D:$O,11,FALSE)),"")</f>
        <v/>
      </c>
      <c r="H149" s="97" t="str">
        <f>IFERROR(IF(VLOOKUP($A149,'Annex 2 EHV charges'!$D:$O,12,FALSE)=0,"",VLOOKUP($A149,'Annex 2 EHV charges'!$D:$O,12,FALSE)),"")</f>
        <v/>
      </c>
    </row>
    <row r="150" spans="1:8" ht="12.75" customHeight="1" x14ac:dyDescent="0.2">
      <c r="A150" s="94" t="str">
        <f t="array" ref="A150">IFERROR(INDEX('Annex 2 EHV charges'!$D$11:$D$58, MATCH(0, IF(ISBLANK('Annex 2 EHV charges'!$D$11:$D$58),1, COUNTIF(A$4:$A149, 'Annex 2 EHV charges'!$D$11:$D$58)), 0)),"")</f>
        <v/>
      </c>
      <c r="B150" s="93" t="str">
        <f>IF($A150="","",VLOOKUP($A150,'Annex 2 EHV charges'!$D:$O,2,0))</f>
        <v/>
      </c>
      <c r="C150" s="94" t="str">
        <f>IF($A150="","",VLOOKUP($A150,'Annex 2 EHV charges'!$D:$O,3,0))</f>
        <v/>
      </c>
      <c r="D150" s="93" t="str">
        <f>IF($A150="","",VLOOKUP($A150,'Annex 2 EHV charges'!$D:$O,4,0))</f>
        <v/>
      </c>
      <c r="E150" s="95" t="str">
        <f>IFERROR(IF(VLOOKUP($A150,'Annex 2 EHV charges'!$D:$O,9,FALSE)=0,"",VLOOKUP($A150,'Annex 2 EHV charges'!$D:$O,9,FALSE)),"")</f>
        <v/>
      </c>
      <c r="F150" s="96" t="str">
        <f>IFERROR(IF(VLOOKUP($A150,'Annex 2 EHV charges'!$D:$O,10,FALSE)=0,"",VLOOKUP($A150,'Annex 2 EHV charges'!$D:$O,10,FALSE)),"")</f>
        <v/>
      </c>
      <c r="G150" s="97" t="str">
        <f>IFERROR(IF(VLOOKUP($A150,'Annex 2 EHV charges'!$D:$O,11,FALSE)=0,"",VLOOKUP($A150,'Annex 2 EHV charges'!$D:$O,11,FALSE)),"")</f>
        <v/>
      </c>
      <c r="H150" s="97" t="str">
        <f>IFERROR(IF(VLOOKUP($A150,'Annex 2 EHV charges'!$D:$O,12,FALSE)=0,"",VLOOKUP($A150,'Annex 2 EHV charges'!$D:$O,12,FALSE)),"")</f>
        <v/>
      </c>
    </row>
    <row r="151" spans="1:8" ht="12.75" customHeight="1" x14ac:dyDescent="0.2">
      <c r="A151" s="94" t="str">
        <f t="array" ref="A151">IFERROR(INDEX('Annex 2 EHV charges'!$D$11:$D$58, MATCH(0, IF(ISBLANK('Annex 2 EHV charges'!$D$11:$D$58),1, COUNTIF(A$4:$A150, 'Annex 2 EHV charges'!$D$11:$D$58)), 0)),"")</f>
        <v/>
      </c>
      <c r="B151" s="93" t="str">
        <f>IF($A151="","",VLOOKUP($A151,'Annex 2 EHV charges'!$D:$O,2,0))</f>
        <v/>
      </c>
      <c r="C151" s="94" t="str">
        <f>IF($A151="","",VLOOKUP($A151,'Annex 2 EHV charges'!$D:$O,3,0))</f>
        <v/>
      </c>
      <c r="D151" s="93" t="str">
        <f>IF($A151="","",VLOOKUP($A151,'Annex 2 EHV charges'!$D:$O,4,0))</f>
        <v/>
      </c>
      <c r="E151" s="95" t="str">
        <f>IFERROR(IF(VLOOKUP($A151,'Annex 2 EHV charges'!$D:$O,9,FALSE)=0,"",VLOOKUP($A151,'Annex 2 EHV charges'!$D:$O,9,FALSE)),"")</f>
        <v/>
      </c>
      <c r="F151" s="96" t="str">
        <f>IFERROR(IF(VLOOKUP($A151,'Annex 2 EHV charges'!$D:$O,10,FALSE)=0,"",VLOOKUP($A151,'Annex 2 EHV charges'!$D:$O,10,FALSE)),"")</f>
        <v/>
      </c>
      <c r="G151" s="97" t="str">
        <f>IFERROR(IF(VLOOKUP($A151,'Annex 2 EHV charges'!$D:$O,11,FALSE)=0,"",VLOOKUP($A151,'Annex 2 EHV charges'!$D:$O,11,FALSE)),"")</f>
        <v/>
      </c>
      <c r="H151" s="97" t="str">
        <f>IFERROR(IF(VLOOKUP($A151,'Annex 2 EHV charges'!$D:$O,12,FALSE)=0,"",VLOOKUP($A151,'Annex 2 EHV charges'!$D:$O,12,FALSE)),"")</f>
        <v/>
      </c>
    </row>
    <row r="152" spans="1:8" x14ac:dyDescent="0.2">
      <c r="A152" s="94" t="str">
        <f t="array" ref="A152">IFERROR(INDEX('Annex 2 EHV charges'!$D$11:$D$58, MATCH(0, IF(ISBLANK('Annex 2 EHV charges'!$D$11:$D$58),1, COUNTIF(A$4:$A151, 'Annex 2 EHV charges'!$D$11:$D$58)), 0)),"")</f>
        <v/>
      </c>
      <c r="B152" s="93" t="str">
        <f>IF($A152="","",VLOOKUP($A152,'Annex 2 EHV charges'!$D:$O,2,0))</f>
        <v/>
      </c>
      <c r="C152" s="94" t="str">
        <f>IF($A152="","",VLOOKUP($A152,'Annex 2 EHV charges'!$D:$O,3,0))</f>
        <v/>
      </c>
      <c r="D152" s="93" t="str">
        <f>IF($A152="","",VLOOKUP($A152,'Annex 2 EHV charges'!$D:$O,4,0))</f>
        <v/>
      </c>
      <c r="E152" s="95" t="str">
        <f>IFERROR(IF(VLOOKUP($A152,'Annex 2 EHV charges'!$D:$O,9,FALSE)=0,"",VLOOKUP($A152,'Annex 2 EHV charges'!$D:$O,9,FALSE)),"")</f>
        <v/>
      </c>
      <c r="F152" s="96" t="str">
        <f>IFERROR(IF(VLOOKUP($A152,'Annex 2 EHV charges'!$D:$O,10,FALSE)=0,"",VLOOKUP($A152,'Annex 2 EHV charges'!$D:$O,10,FALSE)),"")</f>
        <v/>
      </c>
      <c r="G152" s="97" t="str">
        <f>IFERROR(IF(VLOOKUP($A152,'Annex 2 EHV charges'!$D:$O,11,FALSE)=0,"",VLOOKUP($A152,'Annex 2 EHV charges'!$D:$O,11,FALSE)),"")</f>
        <v/>
      </c>
      <c r="H152" s="97" t="str">
        <f>IFERROR(IF(VLOOKUP($A152,'Annex 2 EHV charges'!$D:$O,12,FALSE)=0,"",VLOOKUP($A152,'Annex 2 EHV charges'!$D:$O,12,FALSE)),"")</f>
        <v/>
      </c>
    </row>
    <row r="153" spans="1:8" x14ac:dyDescent="0.2">
      <c r="A153" s="94" t="str">
        <f t="array" ref="A153">IFERROR(INDEX('Annex 2 EHV charges'!$D$11:$D$58, MATCH(0, IF(ISBLANK('Annex 2 EHV charges'!$D$11:$D$58),1, COUNTIF(A$4:$A152, 'Annex 2 EHV charges'!$D$11:$D$58)), 0)),"")</f>
        <v/>
      </c>
      <c r="B153" s="93" t="str">
        <f>IF($A153="","",VLOOKUP($A153,'Annex 2 EHV charges'!$D:$O,2,0))</f>
        <v/>
      </c>
      <c r="C153" s="94" t="str">
        <f>IF($A153="","",VLOOKUP($A153,'Annex 2 EHV charges'!$D:$O,3,0))</f>
        <v/>
      </c>
      <c r="D153" s="93" t="str">
        <f>IF($A153="","",VLOOKUP($A153,'Annex 2 EHV charges'!$D:$O,4,0))</f>
        <v/>
      </c>
      <c r="E153" s="95" t="str">
        <f>IFERROR(IF(VLOOKUP($A153,'Annex 2 EHV charges'!$D:$O,9,FALSE)=0,"",VLOOKUP($A153,'Annex 2 EHV charges'!$D:$O,9,FALSE)),"")</f>
        <v/>
      </c>
      <c r="F153" s="96" t="str">
        <f>IFERROR(IF(VLOOKUP($A153,'Annex 2 EHV charges'!$D:$O,10,FALSE)=0,"",VLOOKUP($A153,'Annex 2 EHV charges'!$D:$O,10,FALSE)),"")</f>
        <v/>
      </c>
      <c r="G153" s="97" t="str">
        <f>IFERROR(IF(VLOOKUP($A153,'Annex 2 EHV charges'!$D:$O,11,FALSE)=0,"",VLOOKUP($A153,'Annex 2 EHV charges'!$D:$O,11,FALSE)),"")</f>
        <v/>
      </c>
      <c r="H153" s="97" t="str">
        <f>IFERROR(IF(VLOOKUP($A153,'Annex 2 EHV charges'!$D:$O,12,FALSE)=0,"",VLOOKUP($A153,'Annex 2 EHV charges'!$D:$O,12,FALSE)),"")</f>
        <v/>
      </c>
    </row>
    <row r="154" spans="1:8" x14ac:dyDescent="0.2">
      <c r="A154" s="94" t="str">
        <f t="array" ref="A154">IFERROR(INDEX('Annex 2 EHV charges'!$D$11:$D$58, MATCH(0, IF(ISBLANK('Annex 2 EHV charges'!$D$11:$D$58),1, COUNTIF(A$4:$A153, 'Annex 2 EHV charges'!$D$11:$D$58)), 0)),"")</f>
        <v/>
      </c>
      <c r="B154" s="93" t="str">
        <f>IF($A154="","",VLOOKUP($A154,'Annex 2 EHV charges'!$D:$O,2,0))</f>
        <v/>
      </c>
      <c r="C154" s="94" t="str">
        <f>IF($A154="","",VLOOKUP($A154,'Annex 2 EHV charges'!$D:$O,3,0))</f>
        <v/>
      </c>
      <c r="D154" s="93" t="str">
        <f>IF($A154="","",VLOOKUP($A154,'Annex 2 EHV charges'!$D:$O,4,0))</f>
        <v/>
      </c>
      <c r="E154" s="95" t="str">
        <f>IFERROR(IF(VLOOKUP($A154,'Annex 2 EHV charges'!$D:$O,9,FALSE)=0,"",VLOOKUP($A154,'Annex 2 EHV charges'!$D:$O,9,FALSE)),"")</f>
        <v/>
      </c>
      <c r="F154" s="96" t="str">
        <f>IFERROR(IF(VLOOKUP($A154,'Annex 2 EHV charges'!$D:$O,10,FALSE)=0,"",VLOOKUP($A154,'Annex 2 EHV charges'!$D:$O,10,FALSE)),"")</f>
        <v/>
      </c>
      <c r="G154" s="97" t="str">
        <f>IFERROR(IF(VLOOKUP($A154,'Annex 2 EHV charges'!$D:$O,11,FALSE)=0,"",VLOOKUP($A154,'Annex 2 EHV charges'!$D:$O,11,FALSE)),"")</f>
        <v/>
      </c>
      <c r="H154" s="97" t="str">
        <f>IFERROR(IF(VLOOKUP($A154,'Annex 2 EHV charges'!$D:$O,12,FALSE)=0,"",VLOOKUP($A154,'Annex 2 EHV charges'!$D:$O,12,FALSE)),"")</f>
        <v/>
      </c>
    </row>
    <row r="155" spans="1:8" x14ac:dyDescent="0.2">
      <c r="A155" s="94" t="str">
        <f t="array" ref="A155">IFERROR(INDEX('Annex 2 EHV charges'!$D$11:$D$58, MATCH(0, IF(ISBLANK('Annex 2 EHV charges'!$D$11:$D$58),1, COUNTIF(A$4:$A154, 'Annex 2 EHV charges'!$D$11:$D$58)), 0)),"")</f>
        <v/>
      </c>
      <c r="B155" s="93" t="str">
        <f>IF($A155="","",VLOOKUP($A155,'Annex 2 EHV charges'!$D:$O,2,0))</f>
        <v/>
      </c>
      <c r="C155" s="94" t="str">
        <f>IF($A155="","",VLOOKUP($A155,'Annex 2 EHV charges'!$D:$O,3,0))</f>
        <v/>
      </c>
      <c r="D155" s="93" t="str">
        <f>IF($A155="","",VLOOKUP($A155,'Annex 2 EHV charges'!$D:$O,4,0))</f>
        <v/>
      </c>
      <c r="E155" s="95" t="str">
        <f>IFERROR(IF(VLOOKUP($A155,'Annex 2 EHV charges'!$D:$O,9,FALSE)=0,"",VLOOKUP($A155,'Annex 2 EHV charges'!$D:$O,9,FALSE)),"")</f>
        <v/>
      </c>
      <c r="F155" s="96" t="str">
        <f>IFERROR(IF(VLOOKUP($A155,'Annex 2 EHV charges'!$D:$O,10,FALSE)=0,"",VLOOKUP($A155,'Annex 2 EHV charges'!$D:$O,10,FALSE)),"")</f>
        <v/>
      </c>
      <c r="G155" s="97" t="str">
        <f>IFERROR(IF(VLOOKUP($A155,'Annex 2 EHV charges'!$D:$O,11,FALSE)=0,"",VLOOKUP($A155,'Annex 2 EHV charges'!$D:$O,11,FALSE)),"")</f>
        <v/>
      </c>
      <c r="H155" s="97" t="str">
        <f>IFERROR(IF(VLOOKUP($A155,'Annex 2 EHV charges'!$D:$O,12,FALSE)=0,"",VLOOKUP($A155,'Annex 2 EHV charges'!$D:$O,12,FALSE)),"")</f>
        <v/>
      </c>
    </row>
    <row r="156" spans="1:8" x14ac:dyDescent="0.2">
      <c r="A156" s="94" t="str">
        <f t="array" ref="A156">IFERROR(INDEX('Annex 2 EHV charges'!$D$11:$D$58, MATCH(0, IF(ISBLANK('Annex 2 EHV charges'!$D$11:$D$58),1, COUNTIF(A$4:$A155, 'Annex 2 EHV charges'!$D$11:$D$58)), 0)),"")</f>
        <v/>
      </c>
      <c r="B156" s="93" t="str">
        <f>IF($A156="","",VLOOKUP($A156,'Annex 2 EHV charges'!$D:$O,2,0))</f>
        <v/>
      </c>
      <c r="C156" s="94" t="str">
        <f>IF($A156="","",VLOOKUP($A156,'Annex 2 EHV charges'!$D:$O,3,0))</f>
        <v/>
      </c>
      <c r="D156" s="93" t="str">
        <f>IF($A156="","",VLOOKUP($A156,'Annex 2 EHV charges'!$D:$O,4,0))</f>
        <v/>
      </c>
      <c r="E156" s="95" t="str">
        <f>IFERROR(IF(VLOOKUP($A156,'Annex 2 EHV charges'!$D:$O,9,FALSE)=0,"",VLOOKUP($A156,'Annex 2 EHV charges'!$D:$O,9,FALSE)),"")</f>
        <v/>
      </c>
      <c r="F156" s="96" t="str">
        <f>IFERROR(IF(VLOOKUP($A156,'Annex 2 EHV charges'!$D:$O,10,FALSE)=0,"",VLOOKUP($A156,'Annex 2 EHV charges'!$D:$O,10,FALSE)),"")</f>
        <v/>
      </c>
      <c r="G156" s="97" t="str">
        <f>IFERROR(IF(VLOOKUP($A156,'Annex 2 EHV charges'!$D:$O,11,FALSE)=0,"",VLOOKUP($A156,'Annex 2 EHV charges'!$D:$O,11,FALSE)),"")</f>
        <v/>
      </c>
      <c r="H156" s="97" t="str">
        <f>IFERROR(IF(VLOOKUP($A156,'Annex 2 EHV charges'!$D:$O,12,FALSE)=0,"",VLOOKUP($A156,'Annex 2 EHV charges'!$D:$O,12,FALSE)),"")</f>
        <v/>
      </c>
    </row>
    <row r="157" spans="1:8" x14ac:dyDescent="0.2">
      <c r="A157" s="94" t="str">
        <f t="array" ref="A157">IFERROR(INDEX('Annex 2 EHV charges'!$D$11:$D$58, MATCH(0, IF(ISBLANK('Annex 2 EHV charges'!$D$11:$D$58),1, COUNTIF(A$4:$A156, 'Annex 2 EHV charges'!$D$11:$D$58)), 0)),"")</f>
        <v/>
      </c>
      <c r="B157" s="93" t="str">
        <f>IF($A157="","",VLOOKUP($A157,'Annex 2 EHV charges'!$D:$O,2,0))</f>
        <v/>
      </c>
      <c r="C157" s="94" t="str">
        <f>IF($A157="","",VLOOKUP($A157,'Annex 2 EHV charges'!$D:$O,3,0))</f>
        <v/>
      </c>
      <c r="D157" s="93" t="str">
        <f>IF($A157="","",VLOOKUP($A157,'Annex 2 EHV charges'!$D:$O,4,0))</f>
        <v/>
      </c>
      <c r="E157" s="95" t="str">
        <f>IFERROR(IF(VLOOKUP($A157,'Annex 2 EHV charges'!$D:$O,9,FALSE)=0,"",VLOOKUP($A157,'Annex 2 EHV charges'!$D:$O,9,FALSE)),"")</f>
        <v/>
      </c>
      <c r="F157" s="96" t="str">
        <f>IFERROR(IF(VLOOKUP($A157,'Annex 2 EHV charges'!$D:$O,10,FALSE)=0,"",VLOOKUP($A157,'Annex 2 EHV charges'!$D:$O,10,FALSE)),"")</f>
        <v/>
      </c>
      <c r="G157" s="97" t="str">
        <f>IFERROR(IF(VLOOKUP($A157,'Annex 2 EHV charges'!$D:$O,11,FALSE)=0,"",VLOOKUP($A157,'Annex 2 EHV charges'!$D:$O,11,FALSE)),"")</f>
        <v/>
      </c>
      <c r="H157" s="97" t="str">
        <f>IFERROR(IF(VLOOKUP($A157,'Annex 2 EHV charges'!$D:$O,12,FALSE)=0,"",VLOOKUP($A157,'Annex 2 EHV charges'!$D:$O,12,FALSE)),"")</f>
        <v/>
      </c>
    </row>
    <row r="158" spans="1:8" x14ac:dyDescent="0.2">
      <c r="A158" s="94" t="str">
        <f t="array" ref="A158">IFERROR(INDEX('Annex 2 EHV charges'!$D$11:$D$58, MATCH(0, IF(ISBLANK('Annex 2 EHV charges'!$D$11:$D$58),1, COUNTIF(A$4:$A157, 'Annex 2 EHV charges'!$D$11:$D$58)), 0)),"")</f>
        <v/>
      </c>
      <c r="B158" s="93" t="str">
        <f>IF($A158="","",VLOOKUP($A158,'Annex 2 EHV charges'!$D:$O,2,0))</f>
        <v/>
      </c>
      <c r="C158" s="94" t="str">
        <f>IF($A158="","",VLOOKUP($A158,'Annex 2 EHV charges'!$D:$O,3,0))</f>
        <v/>
      </c>
      <c r="D158" s="93" t="str">
        <f>IF($A158="","",VLOOKUP($A158,'Annex 2 EHV charges'!$D:$O,4,0))</f>
        <v/>
      </c>
      <c r="E158" s="95" t="str">
        <f>IFERROR(IF(VLOOKUP($A158,'Annex 2 EHV charges'!$D:$O,9,FALSE)=0,"",VLOOKUP($A158,'Annex 2 EHV charges'!$D:$O,9,FALSE)),"")</f>
        <v/>
      </c>
      <c r="F158" s="96" t="str">
        <f>IFERROR(IF(VLOOKUP($A158,'Annex 2 EHV charges'!$D:$O,10,FALSE)=0,"",VLOOKUP($A158,'Annex 2 EHV charges'!$D:$O,10,FALSE)),"")</f>
        <v/>
      </c>
      <c r="G158" s="97" t="str">
        <f>IFERROR(IF(VLOOKUP($A158,'Annex 2 EHV charges'!$D:$O,11,FALSE)=0,"",VLOOKUP($A158,'Annex 2 EHV charges'!$D:$O,11,FALSE)),"")</f>
        <v/>
      </c>
      <c r="H158" s="97" t="str">
        <f>IFERROR(IF(VLOOKUP($A158,'Annex 2 EHV charges'!$D:$O,12,FALSE)=0,"",VLOOKUP($A158,'Annex 2 EHV charges'!$D:$O,12,FALSE)),"")</f>
        <v/>
      </c>
    </row>
    <row r="159" spans="1:8" x14ac:dyDescent="0.2">
      <c r="A159" s="94" t="str">
        <f t="array" ref="A159">IFERROR(INDEX('Annex 2 EHV charges'!$D$11:$D$58, MATCH(0, IF(ISBLANK('Annex 2 EHV charges'!$D$11:$D$58),1, COUNTIF(A$4:$A158, 'Annex 2 EHV charges'!$D$11:$D$58)), 0)),"")</f>
        <v/>
      </c>
      <c r="B159" s="93" t="str">
        <f>IF($A159="","",VLOOKUP($A159,'Annex 2 EHV charges'!$D:$O,2,0))</f>
        <v/>
      </c>
      <c r="C159" s="94" t="str">
        <f>IF($A159="","",VLOOKUP($A159,'Annex 2 EHV charges'!$D:$O,3,0))</f>
        <v/>
      </c>
      <c r="D159" s="93" t="str">
        <f>IF($A159="","",VLOOKUP($A159,'Annex 2 EHV charges'!$D:$O,4,0))</f>
        <v/>
      </c>
      <c r="E159" s="95" t="str">
        <f>IFERROR(IF(VLOOKUP($A159,'Annex 2 EHV charges'!$D:$O,9,FALSE)=0,"",VLOOKUP($A159,'Annex 2 EHV charges'!$D:$O,9,FALSE)),"")</f>
        <v/>
      </c>
      <c r="F159" s="96" t="str">
        <f>IFERROR(IF(VLOOKUP($A159,'Annex 2 EHV charges'!$D:$O,10,FALSE)=0,"",VLOOKUP($A159,'Annex 2 EHV charges'!$D:$O,10,FALSE)),"")</f>
        <v/>
      </c>
      <c r="G159" s="97" t="str">
        <f>IFERROR(IF(VLOOKUP($A159,'Annex 2 EHV charges'!$D:$O,11,FALSE)=0,"",VLOOKUP($A159,'Annex 2 EHV charges'!$D:$O,11,FALSE)),"")</f>
        <v/>
      </c>
      <c r="H159" s="97" t="str">
        <f>IFERROR(IF(VLOOKUP($A159,'Annex 2 EHV charges'!$D:$O,12,FALSE)=0,"",VLOOKUP($A159,'Annex 2 EHV charges'!$D:$O,12,FALSE)),"")</f>
        <v/>
      </c>
    </row>
    <row r="160" spans="1:8" x14ac:dyDescent="0.2">
      <c r="A160" s="94" t="str">
        <f t="array" ref="A160">IFERROR(INDEX('Annex 2 EHV charges'!$D$11:$D$58, MATCH(0, IF(ISBLANK('Annex 2 EHV charges'!$D$11:$D$58),1, COUNTIF(A$4:$A159, 'Annex 2 EHV charges'!$D$11:$D$58)), 0)),"")</f>
        <v/>
      </c>
      <c r="B160" s="93" t="str">
        <f>IF($A160="","",VLOOKUP($A160,'Annex 2 EHV charges'!$D:$O,2,0))</f>
        <v/>
      </c>
      <c r="C160" s="94" t="str">
        <f>IF($A160="","",VLOOKUP($A160,'Annex 2 EHV charges'!$D:$O,3,0))</f>
        <v/>
      </c>
      <c r="D160" s="93" t="str">
        <f>IF($A160="","",VLOOKUP($A160,'Annex 2 EHV charges'!$D:$O,4,0))</f>
        <v/>
      </c>
      <c r="E160" s="95" t="str">
        <f>IFERROR(IF(VLOOKUP($A160,'Annex 2 EHV charges'!$D:$O,9,FALSE)=0,"",VLOOKUP($A160,'Annex 2 EHV charges'!$D:$O,9,FALSE)),"")</f>
        <v/>
      </c>
      <c r="F160" s="96" t="str">
        <f>IFERROR(IF(VLOOKUP($A160,'Annex 2 EHV charges'!$D:$O,10,FALSE)=0,"",VLOOKUP($A160,'Annex 2 EHV charges'!$D:$O,10,FALSE)),"")</f>
        <v/>
      </c>
      <c r="G160" s="97" t="str">
        <f>IFERROR(IF(VLOOKUP($A160,'Annex 2 EHV charges'!$D:$O,11,FALSE)=0,"",VLOOKUP($A160,'Annex 2 EHV charges'!$D:$O,11,FALSE)),"")</f>
        <v/>
      </c>
      <c r="H160" s="97" t="str">
        <f>IFERROR(IF(VLOOKUP($A160,'Annex 2 EHV charges'!$D:$O,12,FALSE)=0,"",VLOOKUP($A160,'Annex 2 EHV charges'!$D:$O,12,FALSE)),"")</f>
        <v/>
      </c>
    </row>
    <row r="161" spans="1:8" x14ac:dyDescent="0.2">
      <c r="A161" s="94" t="str">
        <f t="array" ref="A161">IFERROR(INDEX('Annex 2 EHV charges'!$D$11:$D$58, MATCH(0, IF(ISBLANK('Annex 2 EHV charges'!$D$11:$D$58),1, COUNTIF(A$4:$A160, 'Annex 2 EHV charges'!$D$11:$D$58)), 0)),"")</f>
        <v/>
      </c>
      <c r="B161" s="93" t="str">
        <f>IF($A161="","",VLOOKUP($A161,'Annex 2 EHV charges'!$D:$O,2,0))</f>
        <v/>
      </c>
      <c r="C161" s="94" t="str">
        <f>IF($A161="","",VLOOKUP($A161,'Annex 2 EHV charges'!$D:$O,3,0))</f>
        <v/>
      </c>
      <c r="D161" s="93" t="str">
        <f>IF($A161="","",VLOOKUP($A161,'Annex 2 EHV charges'!$D:$O,4,0))</f>
        <v/>
      </c>
      <c r="E161" s="95" t="str">
        <f>IFERROR(IF(VLOOKUP($A161,'Annex 2 EHV charges'!$D:$O,9,FALSE)=0,"",VLOOKUP($A161,'Annex 2 EHV charges'!$D:$O,9,FALSE)),"")</f>
        <v/>
      </c>
      <c r="F161" s="96" t="str">
        <f>IFERROR(IF(VLOOKUP($A161,'Annex 2 EHV charges'!$D:$O,10,FALSE)=0,"",VLOOKUP($A161,'Annex 2 EHV charges'!$D:$O,10,FALSE)),"")</f>
        <v/>
      </c>
      <c r="G161" s="97" t="str">
        <f>IFERROR(IF(VLOOKUP($A161,'Annex 2 EHV charges'!$D:$O,11,FALSE)=0,"",VLOOKUP($A161,'Annex 2 EHV charges'!$D:$O,11,FALSE)),"")</f>
        <v/>
      </c>
      <c r="H161" s="97" t="str">
        <f>IFERROR(IF(VLOOKUP($A161,'Annex 2 EHV charges'!$D:$O,12,FALSE)=0,"",VLOOKUP($A161,'Annex 2 EHV charges'!$D:$O,12,FALSE)),"")</f>
        <v/>
      </c>
    </row>
    <row r="162" spans="1:8" x14ac:dyDescent="0.2">
      <c r="A162" s="94" t="str">
        <f t="array" ref="A162">IFERROR(INDEX('Annex 2 EHV charges'!$D$11:$D$58, MATCH(0, IF(ISBLANK('Annex 2 EHV charges'!$D$11:$D$58),1, COUNTIF(A$4:$A161, 'Annex 2 EHV charges'!$D$11:$D$58)), 0)),"")</f>
        <v/>
      </c>
      <c r="B162" s="93" t="str">
        <f>IF($A162="","",VLOOKUP($A162,'Annex 2 EHV charges'!$D:$O,2,0))</f>
        <v/>
      </c>
      <c r="C162" s="94" t="str">
        <f>IF($A162="","",VLOOKUP($A162,'Annex 2 EHV charges'!$D:$O,3,0))</f>
        <v/>
      </c>
      <c r="D162" s="93" t="str">
        <f>IF($A162="","",VLOOKUP($A162,'Annex 2 EHV charges'!$D:$O,4,0))</f>
        <v/>
      </c>
      <c r="E162" s="95" t="str">
        <f>IFERROR(IF(VLOOKUP($A162,'Annex 2 EHV charges'!$D:$O,9,FALSE)=0,"",VLOOKUP($A162,'Annex 2 EHV charges'!$D:$O,9,FALSE)),"")</f>
        <v/>
      </c>
      <c r="F162" s="96" t="str">
        <f>IFERROR(IF(VLOOKUP($A162,'Annex 2 EHV charges'!$D:$O,10,FALSE)=0,"",VLOOKUP($A162,'Annex 2 EHV charges'!$D:$O,10,FALSE)),"")</f>
        <v/>
      </c>
      <c r="G162" s="97" t="str">
        <f>IFERROR(IF(VLOOKUP($A162,'Annex 2 EHV charges'!$D:$O,11,FALSE)=0,"",VLOOKUP($A162,'Annex 2 EHV charges'!$D:$O,11,FALSE)),"")</f>
        <v/>
      </c>
      <c r="H162" s="97" t="str">
        <f>IFERROR(IF(VLOOKUP($A162,'Annex 2 EHV charges'!$D:$O,12,FALSE)=0,"",VLOOKUP($A162,'Annex 2 EHV charges'!$D:$O,12,FALSE)),"")</f>
        <v/>
      </c>
    </row>
    <row r="163" spans="1:8" x14ac:dyDescent="0.2">
      <c r="A163" s="94" t="str">
        <f t="array" ref="A163">IFERROR(INDEX('Annex 2 EHV charges'!$D$11:$D$58, MATCH(0, IF(ISBLANK('Annex 2 EHV charges'!$D$11:$D$58),1, COUNTIF(A$4:$A162, 'Annex 2 EHV charges'!$D$11:$D$58)), 0)),"")</f>
        <v/>
      </c>
      <c r="B163" s="93" t="str">
        <f>IF($A163="","",VLOOKUP($A163,'Annex 2 EHV charges'!$D:$O,2,0))</f>
        <v/>
      </c>
      <c r="C163" s="94" t="str">
        <f>IF($A163="","",VLOOKUP($A163,'Annex 2 EHV charges'!$D:$O,3,0))</f>
        <v/>
      </c>
      <c r="D163" s="93" t="str">
        <f>IF($A163="","",VLOOKUP($A163,'Annex 2 EHV charges'!$D:$O,4,0))</f>
        <v/>
      </c>
      <c r="E163" s="95" t="str">
        <f>IFERROR(IF(VLOOKUP($A163,'Annex 2 EHV charges'!$D:$O,9,FALSE)=0,"",VLOOKUP($A163,'Annex 2 EHV charges'!$D:$O,9,FALSE)),"")</f>
        <v/>
      </c>
      <c r="F163" s="96" t="str">
        <f>IFERROR(IF(VLOOKUP($A163,'Annex 2 EHV charges'!$D:$O,10,FALSE)=0,"",VLOOKUP($A163,'Annex 2 EHV charges'!$D:$O,10,FALSE)),"")</f>
        <v/>
      </c>
      <c r="G163" s="97" t="str">
        <f>IFERROR(IF(VLOOKUP($A163,'Annex 2 EHV charges'!$D:$O,11,FALSE)=0,"",VLOOKUP($A163,'Annex 2 EHV charges'!$D:$O,11,FALSE)),"")</f>
        <v/>
      </c>
      <c r="H163" s="97" t="str">
        <f>IFERROR(IF(VLOOKUP($A163,'Annex 2 EHV charges'!$D:$O,12,FALSE)=0,"",VLOOKUP($A163,'Annex 2 EHV charges'!$D:$O,12,FALSE)),"")</f>
        <v/>
      </c>
    </row>
    <row r="164" spans="1:8" x14ac:dyDescent="0.2">
      <c r="A164" s="94" t="str">
        <f t="array" ref="A164">IFERROR(INDEX('Annex 2 EHV charges'!$D$11:$D$58, MATCH(0, IF(ISBLANK('Annex 2 EHV charges'!$D$11:$D$58),1, COUNTIF(A$4:$A163, 'Annex 2 EHV charges'!$D$11:$D$58)), 0)),"")</f>
        <v/>
      </c>
      <c r="B164" s="93" t="str">
        <f>IF($A164="","",VLOOKUP($A164,'Annex 2 EHV charges'!$D:$O,2,0))</f>
        <v/>
      </c>
      <c r="C164" s="94" t="str">
        <f>IF($A164="","",VLOOKUP($A164,'Annex 2 EHV charges'!$D:$O,3,0))</f>
        <v/>
      </c>
      <c r="D164" s="93" t="str">
        <f>IF($A164="","",VLOOKUP($A164,'Annex 2 EHV charges'!$D:$O,4,0))</f>
        <v/>
      </c>
      <c r="E164" s="95" t="str">
        <f>IFERROR(IF(VLOOKUP($A164,'Annex 2 EHV charges'!$D:$O,9,FALSE)=0,"",VLOOKUP($A164,'Annex 2 EHV charges'!$D:$O,9,FALSE)),"")</f>
        <v/>
      </c>
      <c r="F164" s="96" t="str">
        <f>IFERROR(IF(VLOOKUP($A164,'Annex 2 EHV charges'!$D:$O,10,FALSE)=0,"",VLOOKUP($A164,'Annex 2 EHV charges'!$D:$O,10,FALSE)),"")</f>
        <v/>
      </c>
      <c r="G164" s="97" t="str">
        <f>IFERROR(IF(VLOOKUP($A164,'Annex 2 EHV charges'!$D:$O,11,FALSE)=0,"",VLOOKUP($A164,'Annex 2 EHV charges'!$D:$O,11,FALSE)),"")</f>
        <v/>
      </c>
      <c r="H164" s="97" t="str">
        <f>IFERROR(IF(VLOOKUP($A164,'Annex 2 EHV charges'!$D:$O,12,FALSE)=0,"",VLOOKUP($A164,'Annex 2 EHV charges'!$D:$O,12,FALSE)),"")</f>
        <v/>
      </c>
    </row>
    <row r="165" spans="1:8" x14ac:dyDescent="0.2">
      <c r="A165" s="94" t="str">
        <f t="array" ref="A165">IFERROR(INDEX('Annex 2 EHV charges'!$D$11:$D$58, MATCH(0, IF(ISBLANK('Annex 2 EHV charges'!$D$11:$D$58),1, COUNTIF(A$4:$A164, 'Annex 2 EHV charges'!$D$11:$D$58)), 0)),"")</f>
        <v/>
      </c>
      <c r="B165" s="93" t="str">
        <f>IF($A165="","",VLOOKUP($A165,'Annex 2 EHV charges'!$D:$O,2,0))</f>
        <v/>
      </c>
      <c r="C165" s="94" t="str">
        <f>IF($A165="","",VLOOKUP($A165,'Annex 2 EHV charges'!$D:$O,3,0))</f>
        <v/>
      </c>
      <c r="D165" s="93" t="str">
        <f>IF($A165="","",VLOOKUP($A165,'Annex 2 EHV charges'!$D:$O,4,0))</f>
        <v/>
      </c>
      <c r="E165" s="95" t="str">
        <f>IFERROR(IF(VLOOKUP($A165,'Annex 2 EHV charges'!$D:$O,9,FALSE)=0,"",VLOOKUP($A165,'Annex 2 EHV charges'!$D:$O,9,FALSE)),"")</f>
        <v/>
      </c>
      <c r="F165" s="96" t="str">
        <f>IFERROR(IF(VLOOKUP($A165,'Annex 2 EHV charges'!$D:$O,10,FALSE)=0,"",VLOOKUP($A165,'Annex 2 EHV charges'!$D:$O,10,FALSE)),"")</f>
        <v/>
      </c>
      <c r="G165" s="97" t="str">
        <f>IFERROR(IF(VLOOKUP($A165,'Annex 2 EHV charges'!$D:$O,11,FALSE)=0,"",VLOOKUP($A165,'Annex 2 EHV charges'!$D:$O,11,FALSE)),"")</f>
        <v/>
      </c>
      <c r="H165" s="97" t="str">
        <f>IFERROR(IF(VLOOKUP($A165,'Annex 2 EHV charges'!$D:$O,12,FALSE)=0,"",VLOOKUP($A165,'Annex 2 EHV charges'!$D:$O,12,FALSE)),"")</f>
        <v/>
      </c>
    </row>
    <row r="166" spans="1:8" x14ac:dyDescent="0.2">
      <c r="A166" s="94" t="str">
        <f t="array" ref="A166">IFERROR(INDEX('Annex 2 EHV charges'!$D$11:$D$58, MATCH(0, IF(ISBLANK('Annex 2 EHV charges'!$D$11:$D$58),1, COUNTIF(A$4:$A165, 'Annex 2 EHV charges'!$D$11:$D$58)), 0)),"")</f>
        <v/>
      </c>
      <c r="B166" s="93" t="str">
        <f>IF($A166="","",VLOOKUP($A166,'Annex 2 EHV charges'!$D:$O,2,0))</f>
        <v/>
      </c>
      <c r="C166" s="94" t="str">
        <f>IF($A166="","",VLOOKUP($A166,'Annex 2 EHV charges'!$D:$O,3,0))</f>
        <v/>
      </c>
      <c r="D166" s="93" t="str">
        <f>IF($A166="","",VLOOKUP($A166,'Annex 2 EHV charges'!$D:$O,4,0))</f>
        <v/>
      </c>
      <c r="E166" s="95" t="str">
        <f>IFERROR(IF(VLOOKUP($A166,'Annex 2 EHV charges'!$D:$O,9,FALSE)=0,"",VLOOKUP($A166,'Annex 2 EHV charges'!$D:$O,9,FALSE)),"")</f>
        <v/>
      </c>
      <c r="F166" s="96" t="str">
        <f>IFERROR(IF(VLOOKUP($A166,'Annex 2 EHV charges'!$D:$O,10,FALSE)=0,"",VLOOKUP($A166,'Annex 2 EHV charges'!$D:$O,10,FALSE)),"")</f>
        <v/>
      </c>
      <c r="G166" s="97" t="str">
        <f>IFERROR(IF(VLOOKUP($A166,'Annex 2 EHV charges'!$D:$O,11,FALSE)=0,"",VLOOKUP($A166,'Annex 2 EHV charges'!$D:$O,11,FALSE)),"")</f>
        <v/>
      </c>
      <c r="H166" s="97" t="str">
        <f>IFERROR(IF(VLOOKUP($A166,'Annex 2 EHV charges'!$D:$O,12,FALSE)=0,"",VLOOKUP($A166,'Annex 2 EHV charges'!$D:$O,12,FALSE)),"")</f>
        <v/>
      </c>
    </row>
    <row r="167" spans="1:8" x14ac:dyDescent="0.2">
      <c r="A167" s="94" t="str">
        <f t="array" ref="A167">IFERROR(INDEX('Annex 2 EHV charges'!$D$11:$D$58, MATCH(0, IF(ISBLANK('Annex 2 EHV charges'!$D$11:$D$58),1, COUNTIF(A$4:$A166, 'Annex 2 EHV charges'!$D$11:$D$58)), 0)),"")</f>
        <v/>
      </c>
      <c r="B167" s="93" t="str">
        <f>IF($A167="","",VLOOKUP($A167,'Annex 2 EHV charges'!$D:$O,2,0))</f>
        <v/>
      </c>
      <c r="C167" s="94" t="str">
        <f>IF($A167="","",VLOOKUP($A167,'Annex 2 EHV charges'!$D:$O,3,0))</f>
        <v/>
      </c>
      <c r="D167" s="93" t="str">
        <f>IF($A167="","",VLOOKUP($A167,'Annex 2 EHV charges'!$D:$O,4,0))</f>
        <v/>
      </c>
      <c r="E167" s="95" t="str">
        <f>IFERROR(IF(VLOOKUP($A167,'Annex 2 EHV charges'!$D:$O,9,FALSE)=0,"",VLOOKUP($A167,'Annex 2 EHV charges'!$D:$O,9,FALSE)),"")</f>
        <v/>
      </c>
      <c r="F167" s="96" t="str">
        <f>IFERROR(IF(VLOOKUP($A167,'Annex 2 EHV charges'!$D:$O,10,FALSE)=0,"",VLOOKUP($A167,'Annex 2 EHV charges'!$D:$O,10,FALSE)),"")</f>
        <v/>
      </c>
      <c r="G167" s="97" t="str">
        <f>IFERROR(IF(VLOOKUP($A167,'Annex 2 EHV charges'!$D:$O,11,FALSE)=0,"",VLOOKUP($A167,'Annex 2 EHV charges'!$D:$O,11,FALSE)),"")</f>
        <v/>
      </c>
      <c r="H167" s="97" t="str">
        <f>IFERROR(IF(VLOOKUP($A167,'Annex 2 EHV charges'!$D:$O,12,FALSE)=0,"",VLOOKUP($A167,'Annex 2 EHV charges'!$D:$O,12,FALSE)),"")</f>
        <v/>
      </c>
    </row>
    <row r="168" spans="1:8" x14ac:dyDescent="0.2">
      <c r="A168" s="94" t="str">
        <f t="array" ref="A168">IFERROR(INDEX('Annex 2 EHV charges'!$D$11:$D$58, MATCH(0, IF(ISBLANK('Annex 2 EHV charges'!$D$11:$D$58),1, COUNTIF(A$4:$A167, 'Annex 2 EHV charges'!$D$11:$D$58)), 0)),"")</f>
        <v/>
      </c>
      <c r="B168" s="93" t="str">
        <f>IF($A168="","",VLOOKUP($A168,'Annex 2 EHV charges'!$D:$O,2,0))</f>
        <v/>
      </c>
      <c r="C168" s="94" t="str">
        <f>IF($A168="","",VLOOKUP($A168,'Annex 2 EHV charges'!$D:$O,3,0))</f>
        <v/>
      </c>
      <c r="D168" s="93" t="str">
        <f>IF($A168="","",VLOOKUP($A168,'Annex 2 EHV charges'!$D:$O,4,0))</f>
        <v/>
      </c>
      <c r="E168" s="95" t="str">
        <f>IFERROR(IF(VLOOKUP($A168,'Annex 2 EHV charges'!$D:$O,9,FALSE)=0,"",VLOOKUP($A168,'Annex 2 EHV charges'!$D:$O,9,FALSE)),"")</f>
        <v/>
      </c>
      <c r="F168" s="96" t="str">
        <f>IFERROR(IF(VLOOKUP($A168,'Annex 2 EHV charges'!$D:$O,10,FALSE)=0,"",VLOOKUP($A168,'Annex 2 EHV charges'!$D:$O,10,FALSE)),"")</f>
        <v/>
      </c>
      <c r="G168" s="97" t="str">
        <f>IFERROR(IF(VLOOKUP($A168,'Annex 2 EHV charges'!$D:$O,11,FALSE)=0,"",VLOOKUP($A168,'Annex 2 EHV charges'!$D:$O,11,FALSE)),"")</f>
        <v/>
      </c>
      <c r="H168" s="97" t="str">
        <f>IFERROR(IF(VLOOKUP($A168,'Annex 2 EHV charges'!$D:$O,12,FALSE)=0,"",VLOOKUP($A168,'Annex 2 EHV charges'!$D:$O,12,FALSE)),"")</f>
        <v/>
      </c>
    </row>
    <row r="169" spans="1:8" x14ac:dyDescent="0.2">
      <c r="A169" s="94" t="str">
        <f t="array" ref="A169">IFERROR(INDEX('Annex 2 EHV charges'!$D$11:$D$58, MATCH(0, IF(ISBLANK('Annex 2 EHV charges'!$D$11:$D$58),1, COUNTIF(A$4:$A168, 'Annex 2 EHV charges'!$D$11:$D$58)), 0)),"")</f>
        <v/>
      </c>
      <c r="B169" s="93" t="str">
        <f>IF($A169="","",VLOOKUP($A169,'Annex 2 EHV charges'!$D:$O,2,0))</f>
        <v/>
      </c>
      <c r="C169" s="94" t="str">
        <f>IF($A169="","",VLOOKUP($A169,'Annex 2 EHV charges'!$D:$O,3,0))</f>
        <v/>
      </c>
      <c r="D169" s="93" t="str">
        <f>IF($A169="","",VLOOKUP($A169,'Annex 2 EHV charges'!$D:$O,4,0))</f>
        <v/>
      </c>
      <c r="E169" s="95" t="str">
        <f>IFERROR(IF(VLOOKUP($A169,'Annex 2 EHV charges'!$D:$O,9,FALSE)=0,"",VLOOKUP($A169,'Annex 2 EHV charges'!$D:$O,9,FALSE)),"")</f>
        <v/>
      </c>
      <c r="F169" s="96" t="str">
        <f>IFERROR(IF(VLOOKUP($A169,'Annex 2 EHV charges'!$D:$O,10,FALSE)=0,"",VLOOKUP($A169,'Annex 2 EHV charges'!$D:$O,10,FALSE)),"")</f>
        <v/>
      </c>
      <c r="G169" s="97" t="str">
        <f>IFERROR(IF(VLOOKUP($A169,'Annex 2 EHV charges'!$D:$O,11,FALSE)=0,"",VLOOKUP($A169,'Annex 2 EHV charges'!$D:$O,11,FALSE)),"")</f>
        <v/>
      </c>
      <c r="H169" s="97" t="str">
        <f>IFERROR(IF(VLOOKUP($A169,'Annex 2 EHV charges'!$D:$O,12,FALSE)=0,"",VLOOKUP($A169,'Annex 2 EHV charges'!$D:$O,12,FALSE)),"")</f>
        <v/>
      </c>
    </row>
    <row r="170" spans="1:8" x14ac:dyDescent="0.2">
      <c r="A170" s="94" t="str">
        <f t="array" ref="A170">IFERROR(INDEX('Annex 2 EHV charges'!$D$11:$D$58, MATCH(0, IF(ISBLANK('Annex 2 EHV charges'!$D$11:$D$58),1, COUNTIF(A$4:$A169, 'Annex 2 EHV charges'!$D$11:$D$58)), 0)),"")</f>
        <v/>
      </c>
      <c r="B170" s="93" t="str">
        <f>IF($A170="","",VLOOKUP($A170,'Annex 2 EHV charges'!$D:$O,2,0))</f>
        <v/>
      </c>
      <c r="C170" s="94" t="str">
        <f>IF($A170="","",VLOOKUP($A170,'Annex 2 EHV charges'!$D:$O,3,0))</f>
        <v/>
      </c>
      <c r="D170" s="93" t="str">
        <f>IF($A170="","",VLOOKUP($A170,'Annex 2 EHV charges'!$D:$O,4,0))</f>
        <v/>
      </c>
      <c r="E170" s="95" t="str">
        <f>IFERROR(IF(VLOOKUP($A170,'Annex 2 EHV charges'!$D:$O,9,FALSE)=0,"",VLOOKUP($A170,'Annex 2 EHV charges'!$D:$O,9,FALSE)),"")</f>
        <v/>
      </c>
      <c r="F170" s="96" t="str">
        <f>IFERROR(IF(VLOOKUP($A170,'Annex 2 EHV charges'!$D:$O,10,FALSE)=0,"",VLOOKUP($A170,'Annex 2 EHV charges'!$D:$O,10,FALSE)),"")</f>
        <v/>
      </c>
      <c r="G170" s="97" t="str">
        <f>IFERROR(IF(VLOOKUP($A170,'Annex 2 EHV charges'!$D:$O,11,FALSE)=0,"",VLOOKUP($A170,'Annex 2 EHV charges'!$D:$O,11,FALSE)),"")</f>
        <v/>
      </c>
      <c r="H170" s="97" t="str">
        <f>IFERROR(IF(VLOOKUP($A170,'Annex 2 EHV charges'!$D:$O,12,FALSE)=0,"",VLOOKUP($A170,'Annex 2 EHV charges'!$D:$O,12,FALSE)),"")</f>
        <v/>
      </c>
    </row>
    <row r="171" spans="1:8" x14ac:dyDescent="0.2">
      <c r="A171" s="94" t="str">
        <f t="array" ref="A171">IFERROR(INDEX('Annex 2 EHV charges'!$D$11:$D$58, MATCH(0, IF(ISBLANK('Annex 2 EHV charges'!$D$11:$D$58),1, COUNTIF(A$4:$A170, 'Annex 2 EHV charges'!$D$11:$D$58)), 0)),"")</f>
        <v/>
      </c>
      <c r="B171" s="93" t="str">
        <f>IF($A171="","",VLOOKUP($A171,'Annex 2 EHV charges'!$D:$O,2,0))</f>
        <v/>
      </c>
      <c r="C171" s="94" t="str">
        <f>IF($A171="","",VLOOKUP($A171,'Annex 2 EHV charges'!$D:$O,3,0))</f>
        <v/>
      </c>
      <c r="D171" s="93" t="str">
        <f>IF($A171="","",VLOOKUP($A171,'Annex 2 EHV charges'!$D:$O,4,0))</f>
        <v/>
      </c>
      <c r="E171" s="95" t="str">
        <f>IFERROR(IF(VLOOKUP($A171,'Annex 2 EHV charges'!$D:$O,9,FALSE)=0,"",VLOOKUP($A171,'Annex 2 EHV charges'!$D:$O,9,FALSE)),"")</f>
        <v/>
      </c>
      <c r="F171" s="96" t="str">
        <f>IFERROR(IF(VLOOKUP($A171,'Annex 2 EHV charges'!$D:$O,10,FALSE)=0,"",VLOOKUP($A171,'Annex 2 EHV charges'!$D:$O,10,FALSE)),"")</f>
        <v/>
      </c>
      <c r="G171" s="97" t="str">
        <f>IFERROR(IF(VLOOKUP($A171,'Annex 2 EHV charges'!$D:$O,11,FALSE)=0,"",VLOOKUP($A171,'Annex 2 EHV charges'!$D:$O,11,FALSE)),"")</f>
        <v/>
      </c>
      <c r="H171" s="97" t="str">
        <f>IFERROR(IF(VLOOKUP($A171,'Annex 2 EHV charges'!$D:$O,12,FALSE)=0,"",VLOOKUP($A171,'Annex 2 EHV charges'!$D:$O,12,FALSE)),"")</f>
        <v/>
      </c>
    </row>
    <row r="172" spans="1:8" x14ac:dyDescent="0.2">
      <c r="A172" s="94" t="str">
        <f t="array" ref="A172">IFERROR(INDEX('Annex 2 EHV charges'!$D$11:$D$58, MATCH(0, IF(ISBLANK('Annex 2 EHV charges'!$D$11:$D$58),1, COUNTIF(A$4:$A171, 'Annex 2 EHV charges'!$D$11:$D$58)), 0)),"")</f>
        <v/>
      </c>
      <c r="B172" s="93" t="str">
        <f>IF($A172="","",VLOOKUP($A172,'Annex 2 EHV charges'!$D:$O,2,0))</f>
        <v/>
      </c>
      <c r="C172" s="94" t="str">
        <f>IF($A172="","",VLOOKUP($A172,'Annex 2 EHV charges'!$D:$O,3,0))</f>
        <v/>
      </c>
      <c r="D172" s="93" t="str">
        <f>IF($A172="","",VLOOKUP($A172,'Annex 2 EHV charges'!$D:$O,4,0))</f>
        <v/>
      </c>
      <c r="E172" s="95" t="str">
        <f>IFERROR(IF(VLOOKUP($A172,'Annex 2 EHV charges'!$D:$O,9,FALSE)=0,"",VLOOKUP($A172,'Annex 2 EHV charges'!$D:$O,9,FALSE)),"")</f>
        <v/>
      </c>
      <c r="F172" s="96" t="str">
        <f>IFERROR(IF(VLOOKUP($A172,'Annex 2 EHV charges'!$D:$O,10,FALSE)=0,"",VLOOKUP($A172,'Annex 2 EHV charges'!$D:$O,10,FALSE)),"")</f>
        <v/>
      </c>
      <c r="G172" s="97" t="str">
        <f>IFERROR(IF(VLOOKUP($A172,'Annex 2 EHV charges'!$D:$O,11,FALSE)=0,"",VLOOKUP($A172,'Annex 2 EHV charges'!$D:$O,11,FALSE)),"")</f>
        <v/>
      </c>
      <c r="H172" s="97" t="str">
        <f>IFERROR(IF(VLOOKUP($A172,'Annex 2 EHV charges'!$D:$O,12,FALSE)=0,"",VLOOKUP($A172,'Annex 2 EHV charges'!$D:$O,12,FALSE)),"")</f>
        <v/>
      </c>
    </row>
    <row r="173" spans="1:8" x14ac:dyDescent="0.2">
      <c r="A173" s="94" t="str">
        <f t="array" ref="A173">IFERROR(INDEX('Annex 2 EHV charges'!$D$11:$D$58, MATCH(0, IF(ISBLANK('Annex 2 EHV charges'!$D$11:$D$58),1, COUNTIF(A$4:$A172, 'Annex 2 EHV charges'!$D$11:$D$58)), 0)),"")</f>
        <v/>
      </c>
      <c r="B173" s="93" t="str">
        <f>IF($A173="","",VLOOKUP($A173,'Annex 2 EHV charges'!$D:$O,2,0))</f>
        <v/>
      </c>
      <c r="C173" s="94" t="str">
        <f>IF($A173="","",VLOOKUP($A173,'Annex 2 EHV charges'!$D:$O,3,0))</f>
        <v/>
      </c>
      <c r="D173" s="93" t="str">
        <f>IF($A173="","",VLOOKUP($A173,'Annex 2 EHV charges'!$D:$O,4,0))</f>
        <v/>
      </c>
      <c r="E173" s="95" t="str">
        <f>IFERROR(IF(VLOOKUP($A173,'Annex 2 EHV charges'!$D:$O,9,FALSE)=0,"",VLOOKUP($A173,'Annex 2 EHV charges'!$D:$O,9,FALSE)),"")</f>
        <v/>
      </c>
      <c r="F173" s="96" t="str">
        <f>IFERROR(IF(VLOOKUP($A173,'Annex 2 EHV charges'!$D:$O,10,FALSE)=0,"",VLOOKUP($A173,'Annex 2 EHV charges'!$D:$O,10,FALSE)),"")</f>
        <v/>
      </c>
      <c r="G173" s="97" t="str">
        <f>IFERROR(IF(VLOOKUP($A173,'Annex 2 EHV charges'!$D:$O,11,FALSE)=0,"",VLOOKUP($A173,'Annex 2 EHV charges'!$D:$O,11,FALSE)),"")</f>
        <v/>
      </c>
      <c r="H173" s="97" t="str">
        <f>IFERROR(IF(VLOOKUP($A173,'Annex 2 EHV charges'!$D:$O,12,FALSE)=0,"",VLOOKUP($A173,'Annex 2 EHV charges'!$D:$O,12,FALSE)),"")</f>
        <v/>
      </c>
    </row>
    <row r="174" spans="1:8" x14ac:dyDescent="0.2">
      <c r="A174" s="94" t="str">
        <f t="array" ref="A174">IFERROR(INDEX('Annex 2 EHV charges'!$D$11:$D$58, MATCH(0, IF(ISBLANK('Annex 2 EHV charges'!$D$11:$D$58),1, COUNTIF(A$4:$A173, 'Annex 2 EHV charges'!$D$11:$D$58)), 0)),"")</f>
        <v/>
      </c>
      <c r="B174" s="93" t="str">
        <f>IF($A174="","",VLOOKUP($A174,'Annex 2 EHV charges'!$D:$O,2,0))</f>
        <v/>
      </c>
      <c r="C174" s="94" t="str">
        <f>IF($A174="","",VLOOKUP($A174,'Annex 2 EHV charges'!$D:$O,3,0))</f>
        <v/>
      </c>
      <c r="D174" s="93" t="str">
        <f>IF($A174="","",VLOOKUP($A174,'Annex 2 EHV charges'!$D:$O,4,0))</f>
        <v/>
      </c>
      <c r="E174" s="95" t="str">
        <f>IFERROR(IF(VLOOKUP($A174,'Annex 2 EHV charges'!$D:$O,9,FALSE)=0,"",VLOOKUP($A174,'Annex 2 EHV charges'!$D:$O,9,FALSE)),"")</f>
        <v/>
      </c>
      <c r="F174" s="96" t="str">
        <f>IFERROR(IF(VLOOKUP($A174,'Annex 2 EHV charges'!$D:$O,10,FALSE)=0,"",VLOOKUP($A174,'Annex 2 EHV charges'!$D:$O,10,FALSE)),"")</f>
        <v/>
      </c>
      <c r="G174" s="97" t="str">
        <f>IFERROR(IF(VLOOKUP($A174,'Annex 2 EHV charges'!$D:$O,11,FALSE)=0,"",VLOOKUP($A174,'Annex 2 EHV charges'!$D:$O,11,FALSE)),"")</f>
        <v/>
      </c>
      <c r="H174" s="97" t="str">
        <f>IFERROR(IF(VLOOKUP($A174,'Annex 2 EHV charges'!$D:$O,12,FALSE)=0,"",VLOOKUP($A174,'Annex 2 EHV charges'!$D:$O,12,FALSE)),"")</f>
        <v/>
      </c>
    </row>
    <row r="175" spans="1:8" x14ac:dyDescent="0.2">
      <c r="A175" s="94" t="str">
        <f t="array" ref="A175">IFERROR(INDEX('Annex 2 EHV charges'!$D$11:$D$58, MATCH(0, IF(ISBLANK('Annex 2 EHV charges'!$D$11:$D$58),1, COUNTIF(A$4:$A174, 'Annex 2 EHV charges'!$D$11:$D$58)), 0)),"")</f>
        <v/>
      </c>
      <c r="B175" s="93" t="str">
        <f>IF($A175="","",VLOOKUP($A175,'Annex 2 EHV charges'!$D:$O,2,0))</f>
        <v/>
      </c>
      <c r="C175" s="94" t="str">
        <f>IF($A175="","",VLOOKUP($A175,'Annex 2 EHV charges'!$D:$O,3,0))</f>
        <v/>
      </c>
      <c r="D175" s="93" t="str">
        <f>IF($A175="","",VLOOKUP($A175,'Annex 2 EHV charges'!$D:$O,4,0))</f>
        <v/>
      </c>
      <c r="E175" s="95" t="str">
        <f>IFERROR(IF(VLOOKUP($A175,'Annex 2 EHV charges'!$D:$O,9,FALSE)=0,"",VLOOKUP($A175,'Annex 2 EHV charges'!$D:$O,9,FALSE)),"")</f>
        <v/>
      </c>
      <c r="F175" s="96" t="str">
        <f>IFERROR(IF(VLOOKUP($A175,'Annex 2 EHV charges'!$D:$O,10,FALSE)=0,"",VLOOKUP($A175,'Annex 2 EHV charges'!$D:$O,10,FALSE)),"")</f>
        <v/>
      </c>
      <c r="G175" s="97" t="str">
        <f>IFERROR(IF(VLOOKUP($A175,'Annex 2 EHV charges'!$D:$O,11,FALSE)=0,"",VLOOKUP($A175,'Annex 2 EHV charges'!$D:$O,11,FALSE)),"")</f>
        <v/>
      </c>
      <c r="H175" s="97" t="str">
        <f>IFERROR(IF(VLOOKUP($A175,'Annex 2 EHV charges'!$D:$O,12,FALSE)=0,"",VLOOKUP($A175,'Annex 2 EHV charges'!$D:$O,12,FALSE)),"")</f>
        <v/>
      </c>
    </row>
    <row r="176" spans="1:8" x14ac:dyDescent="0.2">
      <c r="A176" s="94" t="str">
        <f t="array" ref="A176">IFERROR(INDEX('Annex 2 EHV charges'!$D$11:$D$58, MATCH(0, IF(ISBLANK('Annex 2 EHV charges'!$D$11:$D$58),1, COUNTIF(A$4:$A175, 'Annex 2 EHV charges'!$D$11:$D$58)), 0)),"")</f>
        <v/>
      </c>
      <c r="B176" s="93" t="str">
        <f>IF($A176="","",VLOOKUP($A176,'Annex 2 EHV charges'!$D:$O,2,0))</f>
        <v/>
      </c>
      <c r="C176" s="94" t="str">
        <f>IF($A176="","",VLOOKUP($A176,'Annex 2 EHV charges'!$D:$O,3,0))</f>
        <v/>
      </c>
      <c r="D176" s="93" t="str">
        <f>IF($A176="","",VLOOKUP($A176,'Annex 2 EHV charges'!$D:$O,4,0))</f>
        <v/>
      </c>
      <c r="E176" s="95" t="str">
        <f>IFERROR(IF(VLOOKUP($A176,'Annex 2 EHV charges'!$D:$O,9,FALSE)=0,"",VLOOKUP($A176,'Annex 2 EHV charges'!$D:$O,9,FALSE)),"")</f>
        <v/>
      </c>
      <c r="F176" s="96" t="str">
        <f>IFERROR(IF(VLOOKUP($A176,'Annex 2 EHV charges'!$D:$O,10,FALSE)=0,"",VLOOKUP($A176,'Annex 2 EHV charges'!$D:$O,10,FALSE)),"")</f>
        <v/>
      </c>
      <c r="G176" s="97" t="str">
        <f>IFERROR(IF(VLOOKUP($A176,'Annex 2 EHV charges'!$D:$O,11,FALSE)=0,"",VLOOKUP($A176,'Annex 2 EHV charges'!$D:$O,11,FALSE)),"")</f>
        <v/>
      </c>
      <c r="H176" s="97" t="str">
        <f>IFERROR(IF(VLOOKUP($A176,'Annex 2 EHV charges'!$D:$O,12,FALSE)=0,"",VLOOKUP($A176,'Annex 2 EHV charges'!$D:$O,12,FALSE)),"")</f>
        <v/>
      </c>
    </row>
    <row r="177" spans="1:8" x14ac:dyDescent="0.2">
      <c r="A177" s="94" t="str">
        <f t="array" ref="A177">IFERROR(INDEX('Annex 2 EHV charges'!$D$11:$D$58, MATCH(0, IF(ISBLANK('Annex 2 EHV charges'!$D$11:$D$58),1, COUNTIF(A$4:$A176, 'Annex 2 EHV charges'!$D$11:$D$58)), 0)),"")</f>
        <v/>
      </c>
      <c r="B177" s="93" t="str">
        <f>IF($A177="","",VLOOKUP($A177,'Annex 2 EHV charges'!$D:$O,2,0))</f>
        <v/>
      </c>
      <c r="C177" s="94" t="str">
        <f>IF($A177="","",VLOOKUP($A177,'Annex 2 EHV charges'!$D:$O,3,0))</f>
        <v/>
      </c>
      <c r="D177" s="93" t="str">
        <f>IF($A177="","",VLOOKUP($A177,'Annex 2 EHV charges'!$D:$O,4,0))</f>
        <v/>
      </c>
      <c r="E177" s="95" t="str">
        <f>IFERROR(IF(VLOOKUP($A177,'Annex 2 EHV charges'!$D:$O,9,FALSE)=0,"",VLOOKUP($A177,'Annex 2 EHV charges'!$D:$O,9,FALSE)),"")</f>
        <v/>
      </c>
      <c r="F177" s="96" t="str">
        <f>IFERROR(IF(VLOOKUP($A177,'Annex 2 EHV charges'!$D:$O,10,FALSE)=0,"",VLOOKUP($A177,'Annex 2 EHV charges'!$D:$O,10,FALSE)),"")</f>
        <v/>
      </c>
      <c r="G177" s="97" t="str">
        <f>IFERROR(IF(VLOOKUP($A177,'Annex 2 EHV charges'!$D:$O,11,FALSE)=0,"",VLOOKUP($A177,'Annex 2 EHV charges'!$D:$O,11,FALSE)),"")</f>
        <v/>
      </c>
      <c r="H177" s="97" t="str">
        <f>IFERROR(IF(VLOOKUP($A177,'Annex 2 EHV charges'!$D:$O,12,FALSE)=0,"",VLOOKUP($A177,'Annex 2 EHV charges'!$D:$O,12,FALSE)),"")</f>
        <v/>
      </c>
    </row>
    <row r="178" spans="1:8" x14ac:dyDescent="0.2">
      <c r="A178" s="94" t="str">
        <f t="array" ref="A178">IFERROR(INDEX('Annex 2 EHV charges'!$D$11:$D$58, MATCH(0, IF(ISBLANK('Annex 2 EHV charges'!$D$11:$D$58),1, COUNTIF(A$4:$A177, 'Annex 2 EHV charges'!$D$11:$D$58)), 0)),"")</f>
        <v/>
      </c>
      <c r="B178" s="93" t="str">
        <f>IF($A178="","",VLOOKUP($A178,'Annex 2 EHV charges'!$D:$O,2,0))</f>
        <v/>
      </c>
      <c r="C178" s="94" t="str">
        <f>IF($A178="","",VLOOKUP($A178,'Annex 2 EHV charges'!$D:$O,3,0))</f>
        <v/>
      </c>
      <c r="D178" s="93" t="str">
        <f>IF($A178="","",VLOOKUP($A178,'Annex 2 EHV charges'!$D:$O,4,0))</f>
        <v/>
      </c>
      <c r="E178" s="95" t="str">
        <f>IFERROR(IF(VLOOKUP($A178,'Annex 2 EHV charges'!$D:$O,9,FALSE)=0,"",VLOOKUP($A178,'Annex 2 EHV charges'!$D:$O,9,FALSE)),"")</f>
        <v/>
      </c>
      <c r="F178" s="96" t="str">
        <f>IFERROR(IF(VLOOKUP($A178,'Annex 2 EHV charges'!$D:$O,10,FALSE)=0,"",VLOOKUP($A178,'Annex 2 EHV charges'!$D:$O,10,FALSE)),"")</f>
        <v/>
      </c>
      <c r="G178" s="97" t="str">
        <f>IFERROR(IF(VLOOKUP($A178,'Annex 2 EHV charges'!$D:$O,11,FALSE)=0,"",VLOOKUP($A178,'Annex 2 EHV charges'!$D:$O,11,FALSE)),"")</f>
        <v/>
      </c>
      <c r="H178" s="97" t="str">
        <f>IFERROR(IF(VLOOKUP($A178,'Annex 2 EHV charges'!$D:$O,12,FALSE)=0,"",VLOOKUP($A178,'Annex 2 EHV charges'!$D:$O,12,FALSE)),"")</f>
        <v/>
      </c>
    </row>
    <row r="179" spans="1:8" x14ac:dyDescent="0.2">
      <c r="A179" s="94" t="str">
        <f t="array" ref="A179">IFERROR(INDEX('Annex 2 EHV charges'!$D$11:$D$58, MATCH(0, IF(ISBLANK('Annex 2 EHV charges'!$D$11:$D$58),1, COUNTIF(A$4:$A178, 'Annex 2 EHV charges'!$D$11:$D$58)), 0)),"")</f>
        <v/>
      </c>
      <c r="B179" s="93" t="str">
        <f>IF($A179="","",VLOOKUP($A179,'Annex 2 EHV charges'!$D:$O,2,0))</f>
        <v/>
      </c>
      <c r="C179" s="94" t="str">
        <f>IF($A179="","",VLOOKUP($A179,'Annex 2 EHV charges'!$D:$O,3,0))</f>
        <v/>
      </c>
      <c r="D179" s="93" t="str">
        <f>IF($A179="","",VLOOKUP($A179,'Annex 2 EHV charges'!$D:$O,4,0))</f>
        <v/>
      </c>
      <c r="E179" s="95" t="str">
        <f>IFERROR(IF(VLOOKUP($A179,'Annex 2 EHV charges'!$D:$O,9,FALSE)=0,"",VLOOKUP($A179,'Annex 2 EHV charges'!$D:$O,9,FALSE)),"")</f>
        <v/>
      </c>
      <c r="F179" s="96" t="str">
        <f>IFERROR(IF(VLOOKUP($A179,'Annex 2 EHV charges'!$D:$O,10,FALSE)=0,"",VLOOKUP($A179,'Annex 2 EHV charges'!$D:$O,10,FALSE)),"")</f>
        <v/>
      </c>
      <c r="G179" s="97" t="str">
        <f>IFERROR(IF(VLOOKUP($A179,'Annex 2 EHV charges'!$D:$O,11,FALSE)=0,"",VLOOKUP($A179,'Annex 2 EHV charges'!$D:$O,11,FALSE)),"")</f>
        <v/>
      </c>
      <c r="H179" s="97" t="str">
        <f>IFERROR(IF(VLOOKUP($A179,'Annex 2 EHV charges'!$D:$O,12,FALSE)=0,"",VLOOKUP($A179,'Annex 2 EHV charges'!$D:$O,12,FALSE)),"")</f>
        <v/>
      </c>
    </row>
    <row r="180" spans="1:8" x14ac:dyDescent="0.2">
      <c r="A180" s="94" t="str">
        <f t="array" ref="A180">IFERROR(INDEX('Annex 2 EHV charges'!$D$11:$D$58, MATCH(0, IF(ISBLANK('Annex 2 EHV charges'!$D$11:$D$58),1, COUNTIF(A$4:$A179, 'Annex 2 EHV charges'!$D$11:$D$58)), 0)),"")</f>
        <v/>
      </c>
      <c r="B180" s="93" t="str">
        <f>IF($A180="","",VLOOKUP($A180,'Annex 2 EHV charges'!$D:$O,2,0))</f>
        <v/>
      </c>
      <c r="C180" s="94" t="str">
        <f>IF($A180="","",VLOOKUP($A180,'Annex 2 EHV charges'!$D:$O,3,0))</f>
        <v/>
      </c>
      <c r="D180" s="93" t="str">
        <f>IF($A180="","",VLOOKUP($A180,'Annex 2 EHV charges'!$D:$O,4,0))</f>
        <v/>
      </c>
      <c r="E180" s="95" t="str">
        <f>IFERROR(IF(VLOOKUP($A180,'Annex 2 EHV charges'!$D:$O,9,FALSE)=0,"",VLOOKUP($A180,'Annex 2 EHV charges'!$D:$O,9,FALSE)),"")</f>
        <v/>
      </c>
      <c r="F180" s="96" t="str">
        <f>IFERROR(IF(VLOOKUP($A180,'Annex 2 EHV charges'!$D:$O,10,FALSE)=0,"",VLOOKUP($A180,'Annex 2 EHV charges'!$D:$O,10,FALSE)),"")</f>
        <v/>
      </c>
      <c r="G180" s="97" t="str">
        <f>IFERROR(IF(VLOOKUP($A180,'Annex 2 EHV charges'!$D:$O,11,FALSE)=0,"",VLOOKUP($A180,'Annex 2 EHV charges'!$D:$O,11,FALSE)),"")</f>
        <v/>
      </c>
      <c r="H180" s="97" t="str">
        <f>IFERROR(IF(VLOOKUP($A180,'Annex 2 EHV charges'!$D:$O,12,FALSE)=0,"",VLOOKUP($A180,'Annex 2 EHV charges'!$D:$O,12,FALSE)),"")</f>
        <v/>
      </c>
    </row>
    <row r="181" spans="1:8" x14ac:dyDescent="0.2">
      <c r="A181" s="94" t="str">
        <f t="array" ref="A181">IFERROR(INDEX('Annex 2 EHV charges'!$D$11:$D$58, MATCH(0, IF(ISBLANK('Annex 2 EHV charges'!$D$11:$D$58),1, COUNTIF(A$4:$A180, 'Annex 2 EHV charges'!$D$11:$D$58)), 0)),"")</f>
        <v/>
      </c>
      <c r="B181" s="93" t="str">
        <f>IF($A181="","",VLOOKUP($A181,'Annex 2 EHV charges'!$D:$O,2,0))</f>
        <v/>
      </c>
      <c r="C181" s="94" t="str">
        <f>IF($A181="","",VLOOKUP($A181,'Annex 2 EHV charges'!$D:$O,3,0))</f>
        <v/>
      </c>
      <c r="D181" s="93" t="str">
        <f>IF($A181="","",VLOOKUP($A181,'Annex 2 EHV charges'!$D:$O,4,0))</f>
        <v/>
      </c>
      <c r="E181" s="95" t="str">
        <f>IFERROR(IF(VLOOKUP($A181,'Annex 2 EHV charges'!$D:$O,9,FALSE)=0,"",VLOOKUP($A181,'Annex 2 EHV charges'!$D:$O,9,FALSE)),"")</f>
        <v/>
      </c>
      <c r="F181" s="96" t="str">
        <f>IFERROR(IF(VLOOKUP($A181,'Annex 2 EHV charges'!$D:$O,10,FALSE)=0,"",VLOOKUP($A181,'Annex 2 EHV charges'!$D:$O,10,FALSE)),"")</f>
        <v/>
      </c>
      <c r="G181" s="97" t="str">
        <f>IFERROR(IF(VLOOKUP($A181,'Annex 2 EHV charges'!$D:$O,11,FALSE)=0,"",VLOOKUP($A181,'Annex 2 EHV charges'!$D:$O,11,FALSE)),"")</f>
        <v/>
      </c>
      <c r="H181" s="97" t="str">
        <f>IFERROR(IF(VLOOKUP($A181,'Annex 2 EHV charges'!$D:$O,12,FALSE)=0,"",VLOOKUP($A181,'Annex 2 EHV charges'!$D:$O,12,FALSE)),"")</f>
        <v/>
      </c>
    </row>
    <row r="182" spans="1:8" x14ac:dyDescent="0.2">
      <c r="A182" s="94" t="str">
        <f t="array" ref="A182">IFERROR(INDEX('Annex 2 EHV charges'!$D$11:$D$58, MATCH(0, IF(ISBLANK('Annex 2 EHV charges'!$D$11:$D$58),1, COUNTIF(A$4:$A181, 'Annex 2 EHV charges'!$D$11:$D$58)), 0)),"")</f>
        <v/>
      </c>
      <c r="B182" s="93" t="str">
        <f>IF($A182="","",VLOOKUP($A182,'Annex 2 EHV charges'!$D:$O,2,0))</f>
        <v/>
      </c>
      <c r="C182" s="94" t="str">
        <f>IF($A182="","",VLOOKUP($A182,'Annex 2 EHV charges'!$D:$O,3,0))</f>
        <v/>
      </c>
      <c r="D182" s="93" t="str">
        <f>IF($A182="","",VLOOKUP($A182,'Annex 2 EHV charges'!$D:$O,4,0))</f>
        <v/>
      </c>
      <c r="E182" s="95" t="str">
        <f>IFERROR(IF(VLOOKUP($A182,'Annex 2 EHV charges'!$D:$O,9,FALSE)=0,"",VLOOKUP($A182,'Annex 2 EHV charges'!$D:$O,9,FALSE)),"")</f>
        <v/>
      </c>
      <c r="F182" s="96" t="str">
        <f>IFERROR(IF(VLOOKUP($A182,'Annex 2 EHV charges'!$D:$O,10,FALSE)=0,"",VLOOKUP($A182,'Annex 2 EHV charges'!$D:$O,10,FALSE)),"")</f>
        <v/>
      </c>
      <c r="G182" s="97" t="str">
        <f>IFERROR(IF(VLOOKUP($A182,'Annex 2 EHV charges'!$D:$O,11,FALSE)=0,"",VLOOKUP($A182,'Annex 2 EHV charges'!$D:$O,11,FALSE)),"")</f>
        <v/>
      </c>
      <c r="H182" s="97" t="str">
        <f>IFERROR(IF(VLOOKUP($A182,'Annex 2 EHV charges'!$D:$O,12,FALSE)=0,"",VLOOKUP($A182,'Annex 2 EHV charges'!$D:$O,12,FALSE)),"")</f>
        <v/>
      </c>
    </row>
    <row r="183" spans="1:8" x14ac:dyDescent="0.2">
      <c r="A183" s="94" t="str">
        <f t="array" ref="A183">IFERROR(INDEX('Annex 2 EHV charges'!$D$11:$D$58, MATCH(0, IF(ISBLANK('Annex 2 EHV charges'!$D$11:$D$58),1, COUNTIF(A$4:$A182, 'Annex 2 EHV charges'!$D$11:$D$58)), 0)),"")</f>
        <v/>
      </c>
      <c r="B183" s="93" t="str">
        <f>IF($A183="","",VLOOKUP($A183,'Annex 2 EHV charges'!$D:$O,2,0))</f>
        <v/>
      </c>
      <c r="C183" s="94" t="str">
        <f>IF($A183="","",VLOOKUP($A183,'Annex 2 EHV charges'!$D:$O,3,0))</f>
        <v/>
      </c>
      <c r="D183" s="93" t="str">
        <f>IF($A183="","",VLOOKUP($A183,'Annex 2 EHV charges'!$D:$O,4,0))</f>
        <v/>
      </c>
      <c r="E183" s="95" t="str">
        <f>IFERROR(IF(VLOOKUP($A183,'Annex 2 EHV charges'!$D:$O,9,FALSE)=0,"",VLOOKUP($A183,'Annex 2 EHV charges'!$D:$O,9,FALSE)),"")</f>
        <v/>
      </c>
      <c r="F183" s="96" t="str">
        <f>IFERROR(IF(VLOOKUP($A183,'Annex 2 EHV charges'!$D:$O,10,FALSE)=0,"",VLOOKUP($A183,'Annex 2 EHV charges'!$D:$O,10,FALSE)),"")</f>
        <v/>
      </c>
      <c r="G183" s="97" t="str">
        <f>IFERROR(IF(VLOOKUP($A183,'Annex 2 EHV charges'!$D:$O,11,FALSE)=0,"",VLOOKUP($A183,'Annex 2 EHV charges'!$D:$O,11,FALSE)),"")</f>
        <v/>
      </c>
      <c r="H183" s="97" t="str">
        <f>IFERROR(IF(VLOOKUP($A183,'Annex 2 EHV charges'!$D:$O,12,FALSE)=0,"",VLOOKUP($A183,'Annex 2 EHV charges'!$D:$O,12,FALSE)),"")</f>
        <v/>
      </c>
    </row>
    <row r="184" spans="1:8" x14ac:dyDescent="0.2">
      <c r="A184" s="94" t="str">
        <f t="array" ref="A184">IFERROR(INDEX('Annex 2 EHV charges'!$D$11:$D$58, MATCH(0, IF(ISBLANK('Annex 2 EHV charges'!$D$11:$D$58),1, COUNTIF(A$4:$A183, 'Annex 2 EHV charges'!$D$11:$D$58)), 0)),"")</f>
        <v/>
      </c>
      <c r="B184" s="93" t="str">
        <f>IF($A184="","",VLOOKUP($A184,'Annex 2 EHV charges'!$D:$O,2,0))</f>
        <v/>
      </c>
      <c r="C184" s="94" t="str">
        <f>IF($A184="","",VLOOKUP($A184,'Annex 2 EHV charges'!$D:$O,3,0))</f>
        <v/>
      </c>
      <c r="D184" s="93" t="str">
        <f>IF($A184="","",VLOOKUP($A184,'Annex 2 EHV charges'!$D:$O,4,0))</f>
        <v/>
      </c>
      <c r="E184" s="95" t="str">
        <f>IFERROR(IF(VLOOKUP($A184,'Annex 2 EHV charges'!$D:$O,9,FALSE)=0,"",VLOOKUP($A184,'Annex 2 EHV charges'!$D:$O,9,FALSE)),"")</f>
        <v/>
      </c>
      <c r="F184" s="96" t="str">
        <f>IFERROR(IF(VLOOKUP($A184,'Annex 2 EHV charges'!$D:$O,10,FALSE)=0,"",VLOOKUP($A184,'Annex 2 EHV charges'!$D:$O,10,FALSE)),"")</f>
        <v/>
      </c>
      <c r="G184" s="97" t="str">
        <f>IFERROR(IF(VLOOKUP($A184,'Annex 2 EHV charges'!$D:$O,11,FALSE)=0,"",VLOOKUP($A184,'Annex 2 EHV charges'!$D:$O,11,FALSE)),"")</f>
        <v/>
      </c>
      <c r="H184" s="97" t="str">
        <f>IFERROR(IF(VLOOKUP($A184,'Annex 2 EHV charges'!$D:$O,12,FALSE)=0,"",VLOOKUP($A184,'Annex 2 EHV charges'!$D:$O,12,FALSE)),"")</f>
        <v/>
      </c>
    </row>
    <row r="185" spans="1:8" x14ac:dyDescent="0.2">
      <c r="A185" s="94" t="str">
        <f t="array" ref="A185">IFERROR(INDEX('Annex 2 EHV charges'!$D$11:$D$58, MATCH(0, IF(ISBLANK('Annex 2 EHV charges'!$D$11:$D$58),1, COUNTIF(A$4:$A184, 'Annex 2 EHV charges'!$D$11:$D$58)), 0)),"")</f>
        <v/>
      </c>
      <c r="B185" s="93" t="str">
        <f>IF($A185="","",VLOOKUP($A185,'Annex 2 EHV charges'!$D:$O,2,0))</f>
        <v/>
      </c>
      <c r="C185" s="94" t="str">
        <f>IF($A185="","",VLOOKUP($A185,'Annex 2 EHV charges'!$D:$O,3,0))</f>
        <v/>
      </c>
      <c r="D185" s="93" t="str">
        <f>IF($A185="","",VLOOKUP($A185,'Annex 2 EHV charges'!$D:$O,4,0))</f>
        <v/>
      </c>
      <c r="E185" s="95" t="str">
        <f>IFERROR(IF(VLOOKUP($A185,'Annex 2 EHV charges'!$D:$O,9,FALSE)=0,"",VLOOKUP($A185,'Annex 2 EHV charges'!$D:$O,9,FALSE)),"")</f>
        <v/>
      </c>
      <c r="F185" s="96" t="str">
        <f>IFERROR(IF(VLOOKUP($A185,'Annex 2 EHV charges'!$D:$O,10,FALSE)=0,"",VLOOKUP($A185,'Annex 2 EHV charges'!$D:$O,10,FALSE)),"")</f>
        <v/>
      </c>
      <c r="G185" s="97" t="str">
        <f>IFERROR(IF(VLOOKUP($A185,'Annex 2 EHV charges'!$D:$O,11,FALSE)=0,"",VLOOKUP($A185,'Annex 2 EHV charges'!$D:$O,11,FALSE)),"")</f>
        <v/>
      </c>
      <c r="H185" s="97" t="str">
        <f>IFERROR(IF(VLOOKUP($A185,'Annex 2 EHV charges'!$D:$O,12,FALSE)=0,"",VLOOKUP($A185,'Annex 2 EHV charges'!$D:$O,12,FALSE)),"")</f>
        <v/>
      </c>
    </row>
    <row r="186" spans="1:8" x14ac:dyDescent="0.2">
      <c r="A186" s="94" t="str">
        <f t="array" ref="A186">IFERROR(INDEX('Annex 2 EHV charges'!$D$11:$D$58, MATCH(0, IF(ISBLANK('Annex 2 EHV charges'!$D$11:$D$58),1, COUNTIF(A$4:$A185, 'Annex 2 EHV charges'!$D$11:$D$58)), 0)),"")</f>
        <v/>
      </c>
      <c r="B186" s="93" t="str">
        <f>IF($A186="","",VLOOKUP($A186,'Annex 2 EHV charges'!$D:$O,2,0))</f>
        <v/>
      </c>
      <c r="C186" s="94" t="str">
        <f>IF($A186="","",VLOOKUP($A186,'Annex 2 EHV charges'!$D:$O,3,0))</f>
        <v/>
      </c>
      <c r="D186" s="93" t="str">
        <f>IF($A186="","",VLOOKUP($A186,'Annex 2 EHV charges'!$D:$O,4,0))</f>
        <v/>
      </c>
      <c r="E186" s="95" t="str">
        <f>IFERROR(IF(VLOOKUP($A186,'Annex 2 EHV charges'!$D:$O,9,FALSE)=0,"",VLOOKUP($A186,'Annex 2 EHV charges'!$D:$O,9,FALSE)),"")</f>
        <v/>
      </c>
      <c r="F186" s="96" t="str">
        <f>IFERROR(IF(VLOOKUP($A186,'Annex 2 EHV charges'!$D:$O,10,FALSE)=0,"",VLOOKUP($A186,'Annex 2 EHV charges'!$D:$O,10,FALSE)),"")</f>
        <v/>
      </c>
      <c r="G186" s="97" t="str">
        <f>IFERROR(IF(VLOOKUP($A186,'Annex 2 EHV charges'!$D:$O,11,FALSE)=0,"",VLOOKUP($A186,'Annex 2 EHV charges'!$D:$O,11,FALSE)),"")</f>
        <v/>
      </c>
      <c r="H186" s="97" t="str">
        <f>IFERROR(IF(VLOOKUP($A186,'Annex 2 EHV charges'!$D:$O,12,FALSE)=0,"",VLOOKUP($A186,'Annex 2 EHV charges'!$D:$O,12,FALSE)),"")</f>
        <v/>
      </c>
    </row>
    <row r="187" spans="1:8" x14ac:dyDescent="0.2">
      <c r="A187" s="94" t="str">
        <f t="array" ref="A187">IFERROR(INDEX('Annex 2 EHV charges'!$D$11:$D$58, MATCH(0, IF(ISBLANK('Annex 2 EHV charges'!$D$11:$D$58),1, COUNTIF(A$4:$A186, 'Annex 2 EHV charges'!$D$11:$D$58)), 0)),"")</f>
        <v/>
      </c>
      <c r="B187" s="93" t="str">
        <f>IF($A187="","",VLOOKUP($A187,'Annex 2 EHV charges'!$D:$O,2,0))</f>
        <v/>
      </c>
      <c r="C187" s="94" t="str">
        <f>IF($A187="","",VLOOKUP($A187,'Annex 2 EHV charges'!$D:$O,3,0))</f>
        <v/>
      </c>
      <c r="D187" s="93" t="str">
        <f>IF($A187="","",VLOOKUP($A187,'Annex 2 EHV charges'!$D:$O,4,0))</f>
        <v/>
      </c>
      <c r="E187" s="95" t="str">
        <f>IFERROR(IF(VLOOKUP($A187,'Annex 2 EHV charges'!$D:$O,9,FALSE)=0,"",VLOOKUP($A187,'Annex 2 EHV charges'!$D:$O,9,FALSE)),"")</f>
        <v/>
      </c>
      <c r="F187" s="96" t="str">
        <f>IFERROR(IF(VLOOKUP($A187,'Annex 2 EHV charges'!$D:$O,10,FALSE)=0,"",VLOOKUP($A187,'Annex 2 EHV charges'!$D:$O,10,FALSE)),"")</f>
        <v/>
      </c>
      <c r="G187" s="97" t="str">
        <f>IFERROR(IF(VLOOKUP($A187,'Annex 2 EHV charges'!$D:$O,11,FALSE)=0,"",VLOOKUP($A187,'Annex 2 EHV charges'!$D:$O,11,FALSE)),"")</f>
        <v/>
      </c>
      <c r="H187" s="97" t="str">
        <f>IFERROR(IF(VLOOKUP($A187,'Annex 2 EHV charges'!$D:$O,12,FALSE)=0,"",VLOOKUP($A187,'Annex 2 EHV charges'!$D:$O,12,FALSE)),"")</f>
        <v/>
      </c>
    </row>
    <row r="188" spans="1:8" x14ac:dyDescent="0.2">
      <c r="A188" s="94" t="str">
        <f t="array" ref="A188">IFERROR(INDEX('Annex 2 EHV charges'!$D$11:$D$58, MATCH(0, IF(ISBLANK('Annex 2 EHV charges'!$D$11:$D$58),1, COUNTIF(A$4:$A187, 'Annex 2 EHV charges'!$D$11:$D$58)), 0)),"")</f>
        <v/>
      </c>
      <c r="B188" s="93" t="str">
        <f>IF($A188="","",VLOOKUP($A188,'Annex 2 EHV charges'!$D:$O,2,0))</f>
        <v/>
      </c>
      <c r="C188" s="94" t="str">
        <f>IF($A188="","",VLOOKUP($A188,'Annex 2 EHV charges'!$D:$O,3,0))</f>
        <v/>
      </c>
      <c r="D188" s="93" t="str">
        <f>IF($A188="","",VLOOKUP($A188,'Annex 2 EHV charges'!$D:$O,4,0))</f>
        <v/>
      </c>
      <c r="E188" s="95" t="str">
        <f>IFERROR(IF(VLOOKUP($A188,'Annex 2 EHV charges'!$D:$O,9,FALSE)=0,"",VLOOKUP($A188,'Annex 2 EHV charges'!$D:$O,9,FALSE)),"")</f>
        <v/>
      </c>
      <c r="F188" s="96" t="str">
        <f>IFERROR(IF(VLOOKUP($A188,'Annex 2 EHV charges'!$D:$O,10,FALSE)=0,"",VLOOKUP($A188,'Annex 2 EHV charges'!$D:$O,10,FALSE)),"")</f>
        <v/>
      </c>
      <c r="G188" s="97" t="str">
        <f>IFERROR(IF(VLOOKUP($A188,'Annex 2 EHV charges'!$D:$O,11,FALSE)=0,"",VLOOKUP($A188,'Annex 2 EHV charges'!$D:$O,11,FALSE)),"")</f>
        <v/>
      </c>
      <c r="H188" s="97" t="str">
        <f>IFERROR(IF(VLOOKUP($A188,'Annex 2 EHV charges'!$D:$O,12,FALSE)=0,"",VLOOKUP($A188,'Annex 2 EHV charges'!$D:$O,12,FALSE)),"")</f>
        <v/>
      </c>
    </row>
    <row r="189" spans="1:8" x14ac:dyDescent="0.2">
      <c r="A189" s="94" t="str">
        <f t="array" ref="A189">IFERROR(INDEX('Annex 2 EHV charges'!$D$11:$D$58, MATCH(0, IF(ISBLANK('Annex 2 EHV charges'!$D$11:$D$58),1, COUNTIF(A$4:$A188, 'Annex 2 EHV charges'!$D$11:$D$58)), 0)),"")</f>
        <v/>
      </c>
      <c r="B189" s="93" t="str">
        <f>IF($A189="","",VLOOKUP($A189,'Annex 2 EHV charges'!$D:$O,2,0))</f>
        <v/>
      </c>
      <c r="C189" s="94" t="str">
        <f>IF($A189="","",VLOOKUP($A189,'Annex 2 EHV charges'!$D:$O,3,0))</f>
        <v/>
      </c>
      <c r="D189" s="93" t="str">
        <f>IF($A189="","",VLOOKUP($A189,'Annex 2 EHV charges'!$D:$O,4,0))</f>
        <v/>
      </c>
      <c r="E189" s="95" t="str">
        <f>IFERROR(IF(VLOOKUP($A189,'Annex 2 EHV charges'!$D:$O,9,FALSE)=0,"",VLOOKUP($A189,'Annex 2 EHV charges'!$D:$O,9,FALSE)),"")</f>
        <v/>
      </c>
      <c r="F189" s="96" t="str">
        <f>IFERROR(IF(VLOOKUP($A189,'Annex 2 EHV charges'!$D:$O,10,FALSE)=0,"",VLOOKUP($A189,'Annex 2 EHV charges'!$D:$O,10,FALSE)),"")</f>
        <v/>
      </c>
      <c r="G189" s="97" t="str">
        <f>IFERROR(IF(VLOOKUP($A189,'Annex 2 EHV charges'!$D:$O,11,FALSE)=0,"",VLOOKUP($A189,'Annex 2 EHV charges'!$D:$O,11,FALSE)),"")</f>
        <v/>
      </c>
      <c r="H189" s="97" t="str">
        <f>IFERROR(IF(VLOOKUP($A189,'Annex 2 EHV charges'!$D:$O,12,FALSE)=0,"",VLOOKUP($A189,'Annex 2 EHV charges'!$D:$O,12,FALSE)),"")</f>
        <v/>
      </c>
    </row>
    <row r="190" spans="1:8" x14ac:dyDescent="0.2">
      <c r="A190" s="94" t="str">
        <f t="array" ref="A190">IFERROR(INDEX('Annex 2 EHV charges'!$D$11:$D$58, MATCH(0, IF(ISBLANK('Annex 2 EHV charges'!$D$11:$D$58),1, COUNTIF(A$4:$A189, 'Annex 2 EHV charges'!$D$11:$D$58)), 0)),"")</f>
        <v/>
      </c>
      <c r="B190" s="93" t="str">
        <f>IF($A190="","",VLOOKUP($A190,'Annex 2 EHV charges'!$D:$O,2,0))</f>
        <v/>
      </c>
      <c r="C190" s="94" t="str">
        <f>IF($A190="","",VLOOKUP($A190,'Annex 2 EHV charges'!$D:$O,3,0))</f>
        <v/>
      </c>
      <c r="D190" s="93" t="str">
        <f>IF($A190="","",VLOOKUP($A190,'Annex 2 EHV charges'!$D:$O,4,0))</f>
        <v/>
      </c>
      <c r="E190" s="95" t="str">
        <f>IFERROR(IF(VLOOKUP($A190,'Annex 2 EHV charges'!$D:$O,9,FALSE)=0,"",VLOOKUP($A190,'Annex 2 EHV charges'!$D:$O,9,FALSE)),"")</f>
        <v/>
      </c>
      <c r="F190" s="96" t="str">
        <f>IFERROR(IF(VLOOKUP($A190,'Annex 2 EHV charges'!$D:$O,10,FALSE)=0,"",VLOOKUP($A190,'Annex 2 EHV charges'!$D:$O,10,FALSE)),"")</f>
        <v/>
      </c>
      <c r="G190" s="97" t="str">
        <f>IFERROR(IF(VLOOKUP($A190,'Annex 2 EHV charges'!$D:$O,11,FALSE)=0,"",VLOOKUP($A190,'Annex 2 EHV charges'!$D:$O,11,FALSE)),"")</f>
        <v/>
      </c>
      <c r="H190" s="97" t="str">
        <f>IFERROR(IF(VLOOKUP($A190,'Annex 2 EHV charges'!$D:$O,12,FALSE)=0,"",VLOOKUP($A190,'Annex 2 EHV charges'!$D:$O,12,FALSE)),"")</f>
        <v/>
      </c>
    </row>
    <row r="191" spans="1:8" x14ac:dyDescent="0.2">
      <c r="A191" s="94" t="str">
        <f t="array" ref="A191">IFERROR(INDEX('Annex 2 EHV charges'!$D$11:$D$58, MATCH(0, IF(ISBLANK('Annex 2 EHV charges'!$D$11:$D$58),1, COUNTIF(A$4:$A190, 'Annex 2 EHV charges'!$D$11:$D$58)), 0)),"")</f>
        <v/>
      </c>
      <c r="B191" s="93" t="str">
        <f>IF($A191="","",VLOOKUP($A191,'Annex 2 EHV charges'!$D:$O,2,0))</f>
        <v/>
      </c>
      <c r="C191" s="94" t="str">
        <f>IF($A191="","",VLOOKUP($A191,'Annex 2 EHV charges'!$D:$O,3,0))</f>
        <v/>
      </c>
      <c r="D191" s="93" t="str">
        <f>IF($A191="","",VLOOKUP($A191,'Annex 2 EHV charges'!$D:$O,4,0))</f>
        <v/>
      </c>
      <c r="E191" s="95" t="str">
        <f>IFERROR(IF(VLOOKUP($A191,'Annex 2 EHV charges'!$D:$O,9,FALSE)=0,"",VLOOKUP($A191,'Annex 2 EHV charges'!$D:$O,9,FALSE)),"")</f>
        <v/>
      </c>
      <c r="F191" s="96" t="str">
        <f>IFERROR(IF(VLOOKUP($A191,'Annex 2 EHV charges'!$D:$O,10,FALSE)=0,"",VLOOKUP($A191,'Annex 2 EHV charges'!$D:$O,10,FALSE)),"")</f>
        <v/>
      </c>
      <c r="G191" s="97" t="str">
        <f>IFERROR(IF(VLOOKUP($A191,'Annex 2 EHV charges'!$D:$O,11,FALSE)=0,"",VLOOKUP($A191,'Annex 2 EHV charges'!$D:$O,11,FALSE)),"")</f>
        <v/>
      </c>
      <c r="H191" s="97" t="str">
        <f>IFERROR(IF(VLOOKUP($A191,'Annex 2 EHV charges'!$D:$O,12,FALSE)=0,"",VLOOKUP($A191,'Annex 2 EHV charges'!$D:$O,12,FALSE)),"")</f>
        <v/>
      </c>
    </row>
    <row r="192" spans="1:8" x14ac:dyDescent="0.2">
      <c r="A192" s="94" t="str">
        <f t="array" ref="A192">IFERROR(INDEX('Annex 2 EHV charges'!$D$11:$D$58, MATCH(0, IF(ISBLANK('Annex 2 EHV charges'!$D$11:$D$58),1, COUNTIF(A$4:$A191, 'Annex 2 EHV charges'!$D$11:$D$58)), 0)),"")</f>
        <v/>
      </c>
      <c r="B192" s="93" t="str">
        <f>IF($A192="","",VLOOKUP($A192,'Annex 2 EHV charges'!$D:$O,2,0))</f>
        <v/>
      </c>
      <c r="C192" s="94" t="str">
        <f>IF($A192="","",VLOOKUP($A192,'Annex 2 EHV charges'!$D:$O,3,0))</f>
        <v/>
      </c>
      <c r="D192" s="93" t="str">
        <f>IF($A192="","",VLOOKUP($A192,'Annex 2 EHV charges'!$D:$O,4,0))</f>
        <v/>
      </c>
      <c r="E192" s="95" t="str">
        <f>IFERROR(IF(VLOOKUP($A192,'Annex 2 EHV charges'!$D:$O,9,FALSE)=0,"",VLOOKUP($A192,'Annex 2 EHV charges'!$D:$O,9,FALSE)),"")</f>
        <v/>
      </c>
      <c r="F192" s="96" t="str">
        <f>IFERROR(IF(VLOOKUP($A192,'Annex 2 EHV charges'!$D:$O,10,FALSE)=0,"",VLOOKUP($A192,'Annex 2 EHV charges'!$D:$O,10,FALSE)),"")</f>
        <v/>
      </c>
      <c r="G192" s="97" t="str">
        <f>IFERROR(IF(VLOOKUP($A192,'Annex 2 EHV charges'!$D:$O,11,FALSE)=0,"",VLOOKUP($A192,'Annex 2 EHV charges'!$D:$O,11,FALSE)),"")</f>
        <v/>
      </c>
      <c r="H192" s="97" t="str">
        <f>IFERROR(IF(VLOOKUP($A192,'Annex 2 EHV charges'!$D:$O,12,FALSE)=0,"",VLOOKUP($A192,'Annex 2 EHV charges'!$D:$O,12,FALSE)),"")</f>
        <v/>
      </c>
    </row>
    <row r="193" spans="1:8" x14ac:dyDescent="0.2">
      <c r="A193" s="94" t="str">
        <f t="array" ref="A193">IFERROR(INDEX('Annex 2 EHV charges'!$D$11:$D$58, MATCH(0, IF(ISBLANK('Annex 2 EHV charges'!$D$11:$D$58),1, COUNTIF(A$4:$A192, 'Annex 2 EHV charges'!$D$11:$D$58)), 0)),"")</f>
        <v/>
      </c>
      <c r="B193" s="93" t="str">
        <f>IF($A193="","",VLOOKUP($A193,'Annex 2 EHV charges'!$D:$O,2,0))</f>
        <v/>
      </c>
      <c r="C193" s="94" t="str">
        <f>IF($A193="","",VLOOKUP($A193,'Annex 2 EHV charges'!$D:$O,3,0))</f>
        <v/>
      </c>
      <c r="D193" s="93" t="str">
        <f>IF($A193="","",VLOOKUP($A193,'Annex 2 EHV charges'!$D:$O,4,0))</f>
        <v/>
      </c>
      <c r="E193" s="95" t="str">
        <f>IFERROR(IF(VLOOKUP($A193,'Annex 2 EHV charges'!$D:$O,9,FALSE)=0,"",VLOOKUP($A193,'Annex 2 EHV charges'!$D:$O,9,FALSE)),"")</f>
        <v/>
      </c>
      <c r="F193" s="96" t="str">
        <f>IFERROR(IF(VLOOKUP($A193,'Annex 2 EHV charges'!$D:$O,10,FALSE)=0,"",VLOOKUP($A193,'Annex 2 EHV charges'!$D:$O,10,FALSE)),"")</f>
        <v/>
      </c>
      <c r="G193" s="97" t="str">
        <f>IFERROR(IF(VLOOKUP($A193,'Annex 2 EHV charges'!$D:$O,11,FALSE)=0,"",VLOOKUP($A193,'Annex 2 EHV charges'!$D:$O,11,FALSE)),"")</f>
        <v/>
      </c>
      <c r="H193" s="97" t="str">
        <f>IFERROR(IF(VLOOKUP($A193,'Annex 2 EHV charges'!$D:$O,12,FALSE)=0,"",VLOOKUP($A193,'Annex 2 EHV charges'!$D:$O,12,FALSE)),"")</f>
        <v/>
      </c>
    </row>
    <row r="194" spans="1:8" x14ac:dyDescent="0.2">
      <c r="A194" s="94" t="str">
        <f t="array" ref="A194">IFERROR(INDEX('Annex 2 EHV charges'!$D$11:$D$58, MATCH(0, IF(ISBLANK('Annex 2 EHV charges'!$D$11:$D$58),1, COUNTIF(A$4:$A193, 'Annex 2 EHV charges'!$D$11:$D$58)), 0)),"")</f>
        <v/>
      </c>
      <c r="B194" s="93" t="str">
        <f>IF($A194="","",VLOOKUP($A194,'Annex 2 EHV charges'!$D:$O,2,0))</f>
        <v/>
      </c>
      <c r="C194" s="94" t="str">
        <f>IF($A194="","",VLOOKUP($A194,'Annex 2 EHV charges'!$D:$O,3,0))</f>
        <v/>
      </c>
      <c r="D194" s="93" t="str">
        <f>IF($A194="","",VLOOKUP($A194,'Annex 2 EHV charges'!$D:$O,4,0))</f>
        <v/>
      </c>
      <c r="E194" s="95" t="str">
        <f>IFERROR(IF(VLOOKUP($A194,'Annex 2 EHV charges'!$D:$O,9,FALSE)=0,"",VLOOKUP($A194,'Annex 2 EHV charges'!$D:$O,9,FALSE)),"")</f>
        <v/>
      </c>
      <c r="F194" s="96" t="str">
        <f>IFERROR(IF(VLOOKUP($A194,'Annex 2 EHV charges'!$D:$O,10,FALSE)=0,"",VLOOKUP($A194,'Annex 2 EHV charges'!$D:$O,10,FALSE)),"")</f>
        <v/>
      </c>
      <c r="G194" s="97" t="str">
        <f>IFERROR(IF(VLOOKUP($A194,'Annex 2 EHV charges'!$D:$O,11,FALSE)=0,"",VLOOKUP($A194,'Annex 2 EHV charges'!$D:$O,11,FALSE)),"")</f>
        <v/>
      </c>
      <c r="H194" s="97" t="str">
        <f>IFERROR(IF(VLOOKUP($A194,'Annex 2 EHV charges'!$D:$O,12,FALSE)=0,"",VLOOKUP($A194,'Annex 2 EHV charges'!$D:$O,12,FALSE)),"")</f>
        <v/>
      </c>
    </row>
    <row r="195" spans="1:8" x14ac:dyDescent="0.2">
      <c r="A195" s="94" t="str">
        <f t="array" ref="A195">IFERROR(INDEX('Annex 2 EHV charges'!$D$11:$D$58, MATCH(0, IF(ISBLANK('Annex 2 EHV charges'!$D$11:$D$58),1, COUNTIF(A$4:$A194, 'Annex 2 EHV charges'!$D$11:$D$58)), 0)),"")</f>
        <v/>
      </c>
      <c r="B195" s="93" t="str">
        <f>IF($A195="","",VLOOKUP($A195,'Annex 2 EHV charges'!$D:$O,2,0))</f>
        <v/>
      </c>
      <c r="C195" s="94" t="str">
        <f>IF($A195="","",VLOOKUP($A195,'Annex 2 EHV charges'!$D:$O,3,0))</f>
        <v/>
      </c>
      <c r="D195" s="93" t="str">
        <f>IF($A195="","",VLOOKUP($A195,'Annex 2 EHV charges'!$D:$O,4,0))</f>
        <v/>
      </c>
      <c r="E195" s="95" t="str">
        <f>IFERROR(IF(VLOOKUP($A195,'Annex 2 EHV charges'!$D:$O,9,FALSE)=0,"",VLOOKUP($A195,'Annex 2 EHV charges'!$D:$O,9,FALSE)),"")</f>
        <v/>
      </c>
      <c r="F195" s="96" t="str">
        <f>IFERROR(IF(VLOOKUP($A195,'Annex 2 EHV charges'!$D:$O,10,FALSE)=0,"",VLOOKUP($A195,'Annex 2 EHV charges'!$D:$O,10,FALSE)),"")</f>
        <v/>
      </c>
      <c r="G195" s="97" t="str">
        <f>IFERROR(IF(VLOOKUP($A195,'Annex 2 EHV charges'!$D:$O,11,FALSE)=0,"",VLOOKUP($A195,'Annex 2 EHV charges'!$D:$O,11,FALSE)),"")</f>
        <v/>
      </c>
      <c r="H195" s="97" t="str">
        <f>IFERROR(IF(VLOOKUP($A195,'Annex 2 EHV charges'!$D:$O,12,FALSE)=0,"",VLOOKUP($A195,'Annex 2 EHV charges'!$D:$O,12,FALSE)),"")</f>
        <v/>
      </c>
    </row>
    <row r="196" spans="1:8" x14ac:dyDescent="0.2">
      <c r="A196" s="94" t="str">
        <f t="array" ref="A196">IFERROR(INDEX('Annex 2 EHV charges'!$D$11:$D$58, MATCH(0, IF(ISBLANK('Annex 2 EHV charges'!$D$11:$D$58),1, COUNTIF(A$4:$A195, 'Annex 2 EHV charges'!$D$11:$D$58)), 0)),"")</f>
        <v/>
      </c>
      <c r="B196" s="93" t="str">
        <f>IF($A196="","",VLOOKUP($A196,'Annex 2 EHV charges'!$D:$O,2,0))</f>
        <v/>
      </c>
      <c r="C196" s="94" t="str">
        <f>IF($A196="","",VLOOKUP($A196,'Annex 2 EHV charges'!$D:$O,3,0))</f>
        <v/>
      </c>
      <c r="D196" s="93" t="str">
        <f>IF($A196="","",VLOOKUP($A196,'Annex 2 EHV charges'!$D:$O,4,0))</f>
        <v/>
      </c>
      <c r="E196" s="95" t="str">
        <f>IFERROR(IF(VLOOKUP($A196,'Annex 2 EHV charges'!$D:$O,9,FALSE)=0,"",VLOOKUP($A196,'Annex 2 EHV charges'!$D:$O,9,FALSE)),"")</f>
        <v/>
      </c>
      <c r="F196" s="96" t="str">
        <f>IFERROR(IF(VLOOKUP($A196,'Annex 2 EHV charges'!$D:$O,10,FALSE)=0,"",VLOOKUP($A196,'Annex 2 EHV charges'!$D:$O,10,FALSE)),"")</f>
        <v/>
      </c>
      <c r="G196" s="97" t="str">
        <f>IFERROR(IF(VLOOKUP($A196,'Annex 2 EHV charges'!$D:$O,11,FALSE)=0,"",VLOOKUP($A196,'Annex 2 EHV charges'!$D:$O,11,FALSE)),"")</f>
        <v/>
      </c>
      <c r="H196" s="97" t="str">
        <f>IFERROR(IF(VLOOKUP($A196,'Annex 2 EHV charges'!$D:$O,12,FALSE)=0,"",VLOOKUP($A196,'Annex 2 EHV charges'!$D:$O,12,FALSE)),"")</f>
        <v/>
      </c>
    </row>
    <row r="197" spans="1:8" x14ac:dyDescent="0.2">
      <c r="A197" s="94" t="str">
        <f t="array" ref="A197">IFERROR(INDEX('Annex 2 EHV charges'!$D$11:$D$58, MATCH(0, IF(ISBLANK('Annex 2 EHV charges'!$D$11:$D$58),1, COUNTIF(A$4:$A196, 'Annex 2 EHV charges'!$D$11:$D$58)), 0)),"")</f>
        <v/>
      </c>
      <c r="B197" s="93" t="str">
        <f>IF($A197="","",VLOOKUP($A197,'Annex 2 EHV charges'!$D:$O,2,0))</f>
        <v/>
      </c>
      <c r="C197" s="94" t="str">
        <f>IF($A197="","",VLOOKUP($A197,'Annex 2 EHV charges'!$D:$O,3,0))</f>
        <v/>
      </c>
      <c r="D197" s="93" t="str">
        <f>IF($A197="","",VLOOKUP($A197,'Annex 2 EHV charges'!$D:$O,4,0))</f>
        <v/>
      </c>
      <c r="E197" s="95" t="str">
        <f>IFERROR(IF(VLOOKUP($A197,'Annex 2 EHV charges'!$D:$O,9,FALSE)=0,"",VLOOKUP($A197,'Annex 2 EHV charges'!$D:$O,9,FALSE)),"")</f>
        <v/>
      </c>
      <c r="F197" s="96" t="str">
        <f>IFERROR(IF(VLOOKUP($A197,'Annex 2 EHV charges'!$D:$O,10,FALSE)=0,"",VLOOKUP($A197,'Annex 2 EHV charges'!$D:$O,10,FALSE)),"")</f>
        <v/>
      </c>
      <c r="G197" s="97" t="str">
        <f>IFERROR(IF(VLOOKUP($A197,'Annex 2 EHV charges'!$D:$O,11,FALSE)=0,"",VLOOKUP($A197,'Annex 2 EHV charges'!$D:$O,11,FALSE)),"")</f>
        <v/>
      </c>
      <c r="H197" s="97" t="str">
        <f>IFERROR(IF(VLOOKUP($A197,'Annex 2 EHV charges'!$D:$O,12,FALSE)=0,"",VLOOKUP($A197,'Annex 2 EHV charges'!$D:$O,12,FALSE)),"")</f>
        <v/>
      </c>
    </row>
    <row r="198" spans="1:8" x14ac:dyDescent="0.2">
      <c r="A198" s="94" t="str">
        <f t="array" ref="A198">IFERROR(INDEX('Annex 2 EHV charges'!$D$11:$D$58, MATCH(0, IF(ISBLANK('Annex 2 EHV charges'!$D$11:$D$58),1, COUNTIF(A$4:$A197, 'Annex 2 EHV charges'!$D$11:$D$58)), 0)),"")</f>
        <v/>
      </c>
      <c r="B198" s="93" t="str">
        <f>IF($A198="","",VLOOKUP($A198,'Annex 2 EHV charges'!$D:$O,2,0))</f>
        <v/>
      </c>
      <c r="C198" s="94" t="str">
        <f>IF($A198="","",VLOOKUP($A198,'Annex 2 EHV charges'!$D:$O,3,0))</f>
        <v/>
      </c>
      <c r="D198" s="93" t="str">
        <f>IF($A198="","",VLOOKUP($A198,'Annex 2 EHV charges'!$D:$O,4,0))</f>
        <v/>
      </c>
      <c r="E198" s="95" t="str">
        <f>IFERROR(IF(VLOOKUP($A198,'Annex 2 EHV charges'!$D:$O,9,FALSE)=0,"",VLOOKUP($A198,'Annex 2 EHV charges'!$D:$O,9,FALSE)),"")</f>
        <v/>
      </c>
      <c r="F198" s="96" t="str">
        <f>IFERROR(IF(VLOOKUP($A198,'Annex 2 EHV charges'!$D:$O,10,FALSE)=0,"",VLOOKUP($A198,'Annex 2 EHV charges'!$D:$O,10,FALSE)),"")</f>
        <v/>
      </c>
      <c r="G198" s="97" t="str">
        <f>IFERROR(IF(VLOOKUP($A198,'Annex 2 EHV charges'!$D:$O,11,FALSE)=0,"",VLOOKUP($A198,'Annex 2 EHV charges'!$D:$O,11,FALSE)),"")</f>
        <v/>
      </c>
      <c r="H198" s="97" t="str">
        <f>IFERROR(IF(VLOOKUP($A198,'Annex 2 EHV charges'!$D:$O,12,FALSE)=0,"",VLOOKUP($A198,'Annex 2 EHV charges'!$D:$O,12,FALSE)),"")</f>
        <v/>
      </c>
    </row>
    <row r="199" spans="1:8" x14ac:dyDescent="0.2">
      <c r="A199" s="94" t="str">
        <f t="array" ref="A199">IFERROR(INDEX('Annex 2 EHV charges'!$D$11:$D$58, MATCH(0, IF(ISBLANK('Annex 2 EHV charges'!$D$11:$D$58),1, COUNTIF(A$4:$A198, 'Annex 2 EHV charges'!$D$11:$D$58)), 0)),"")</f>
        <v/>
      </c>
      <c r="B199" s="93" t="str">
        <f>IF($A199="","",VLOOKUP($A199,'Annex 2 EHV charges'!$D:$O,2,0))</f>
        <v/>
      </c>
      <c r="C199" s="94" t="str">
        <f>IF($A199="","",VLOOKUP($A199,'Annex 2 EHV charges'!$D:$O,3,0))</f>
        <v/>
      </c>
      <c r="D199" s="93" t="str">
        <f>IF($A199="","",VLOOKUP($A199,'Annex 2 EHV charges'!$D:$O,4,0))</f>
        <v/>
      </c>
      <c r="E199" s="95" t="str">
        <f>IFERROR(IF(VLOOKUP($A199,'Annex 2 EHV charges'!$D:$O,9,FALSE)=0,"",VLOOKUP($A199,'Annex 2 EHV charges'!$D:$O,9,FALSE)),"")</f>
        <v/>
      </c>
      <c r="F199" s="96" t="str">
        <f>IFERROR(IF(VLOOKUP($A199,'Annex 2 EHV charges'!$D:$O,10,FALSE)=0,"",VLOOKUP($A199,'Annex 2 EHV charges'!$D:$O,10,FALSE)),"")</f>
        <v/>
      </c>
      <c r="G199" s="97" t="str">
        <f>IFERROR(IF(VLOOKUP($A199,'Annex 2 EHV charges'!$D:$O,11,FALSE)=0,"",VLOOKUP($A199,'Annex 2 EHV charges'!$D:$O,11,FALSE)),"")</f>
        <v/>
      </c>
      <c r="H199" s="97" t="str">
        <f>IFERROR(IF(VLOOKUP($A199,'Annex 2 EHV charges'!$D:$O,12,FALSE)=0,"",VLOOKUP($A199,'Annex 2 EHV charges'!$D:$O,12,FALSE)),"")</f>
        <v/>
      </c>
    </row>
    <row r="200" spans="1:8" x14ac:dyDescent="0.2">
      <c r="A200" s="94" t="str">
        <f t="array" ref="A200">IFERROR(INDEX('Annex 2 EHV charges'!$D$11:$D$58, MATCH(0, IF(ISBLANK('Annex 2 EHV charges'!$D$11:$D$58),1, COUNTIF(A$4:$A199, 'Annex 2 EHV charges'!$D$11:$D$58)), 0)),"")</f>
        <v/>
      </c>
      <c r="B200" s="93" t="str">
        <f>IF($A200="","",VLOOKUP($A200,'Annex 2 EHV charges'!$D:$O,2,0))</f>
        <v/>
      </c>
      <c r="C200" s="94" t="str">
        <f>IF($A200="","",VLOOKUP($A200,'Annex 2 EHV charges'!$D:$O,3,0))</f>
        <v/>
      </c>
      <c r="D200" s="93" t="str">
        <f>IF($A200="","",VLOOKUP($A200,'Annex 2 EHV charges'!$D:$O,4,0))</f>
        <v/>
      </c>
      <c r="E200" s="95" t="str">
        <f>IFERROR(IF(VLOOKUP($A200,'Annex 2 EHV charges'!$D:$O,9,FALSE)=0,"",VLOOKUP($A200,'Annex 2 EHV charges'!$D:$O,9,FALSE)),"")</f>
        <v/>
      </c>
      <c r="F200" s="96" t="str">
        <f>IFERROR(IF(VLOOKUP($A200,'Annex 2 EHV charges'!$D:$O,10,FALSE)=0,"",VLOOKUP($A200,'Annex 2 EHV charges'!$D:$O,10,FALSE)),"")</f>
        <v/>
      </c>
      <c r="G200" s="97" t="str">
        <f>IFERROR(IF(VLOOKUP($A200,'Annex 2 EHV charges'!$D:$O,11,FALSE)=0,"",VLOOKUP($A200,'Annex 2 EHV charges'!$D:$O,11,FALSE)),"")</f>
        <v/>
      </c>
      <c r="H200" s="97" t="str">
        <f>IFERROR(IF(VLOOKUP($A200,'Annex 2 EHV charges'!$D:$O,12,FALSE)=0,"",VLOOKUP($A200,'Annex 2 EHV charges'!$D:$O,12,FALSE)),"")</f>
        <v/>
      </c>
    </row>
    <row r="201" spans="1:8" x14ac:dyDescent="0.2">
      <c r="A201" s="94" t="str">
        <f t="array" ref="A201">IFERROR(INDEX('Annex 2 EHV charges'!$D$11:$D$58, MATCH(0, IF(ISBLANK('Annex 2 EHV charges'!$D$11:$D$58),1, COUNTIF(A$4:$A200, 'Annex 2 EHV charges'!$D$11:$D$58)), 0)),"")</f>
        <v/>
      </c>
      <c r="B201" s="93" t="str">
        <f>IF($A201="","",VLOOKUP($A201,'Annex 2 EHV charges'!$D:$O,2,0))</f>
        <v/>
      </c>
      <c r="C201" s="94" t="str">
        <f>IF($A201="","",VLOOKUP($A201,'Annex 2 EHV charges'!$D:$O,3,0))</f>
        <v/>
      </c>
      <c r="D201" s="93" t="str">
        <f>IF($A201="","",VLOOKUP($A201,'Annex 2 EHV charges'!$D:$O,4,0))</f>
        <v/>
      </c>
      <c r="E201" s="95" t="str">
        <f>IFERROR(IF(VLOOKUP($A201,'Annex 2 EHV charges'!$D:$O,9,FALSE)=0,"",VLOOKUP($A201,'Annex 2 EHV charges'!$D:$O,9,FALSE)),"")</f>
        <v/>
      </c>
      <c r="F201" s="96" t="str">
        <f>IFERROR(IF(VLOOKUP($A201,'Annex 2 EHV charges'!$D:$O,10,FALSE)=0,"",VLOOKUP($A201,'Annex 2 EHV charges'!$D:$O,10,FALSE)),"")</f>
        <v/>
      </c>
      <c r="G201" s="97" t="str">
        <f>IFERROR(IF(VLOOKUP($A201,'Annex 2 EHV charges'!$D:$O,11,FALSE)=0,"",VLOOKUP($A201,'Annex 2 EHV charges'!$D:$O,11,FALSE)),"")</f>
        <v/>
      </c>
      <c r="H201" s="97" t="str">
        <f>IFERROR(IF(VLOOKUP($A201,'Annex 2 EHV charges'!$D:$O,12,FALSE)=0,"",VLOOKUP($A201,'Annex 2 EHV charges'!$D:$O,12,FALSE)),"")</f>
        <v/>
      </c>
    </row>
    <row r="202" spans="1:8" x14ac:dyDescent="0.2">
      <c r="A202" s="94" t="str">
        <f t="array" ref="A202">IFERROR(INDEX('Annex 2 EHV charges'!$D$11:$D$58, MATCH(0, IF(ISBLANK('Annex 2 EHV charges'!$D$11:$D$58),1, COUNTIF(A$4:$A201, 'Annex 2 EHV charges'!$D$11:$D$58)), 0)),"")</f>
        <v/>
      </c>
      <c r="B202" s="93" t="str">
        <f>IF($A202="","",VLOOKUP($A202,'Annex 2 EHV charges'!$D:$O,2,0))</f>
        <v/>
      </c>
      <c r="C202" s="94" t="str">
        <f>IF($A202="","",VLOOKUP($A202,'Annex 2 EHV charges'!$D:$O,3,0))</f>
        <v/>
      </c>
      <c r="D202" s="93" t="str">
        <f>IF($A202="","",VLOOKUP($A202,'Annex 2 EHV charges'!$D:$O,4,0))</f>
        <v/>
      </c>
      <c r="E202" s="95" t="str">
        <f>IFERROR(IF(VLOOKUP($A202,'Annex 2 EHV charges'!$D:$O,9,FALSE)=0,"",VLOOKUP($A202,'Annex 2 EHV charges'!$D:$O,9,FALSE)),"")</f>
        <v/>
      </c>
      <c r="F202" s="96" t="str">
        <f>IFERROR(IF(VLOOKUP($A202,'Annex 2 EHV charges'!$D:$O,10,FALSE)=0,"",VLOOKUP($A202,'Annex 2 EHV charges'!$D:$O,10,FALSE)),"")</f>
        <v/>
      </c>
      <c r="G202" s="97" t="str">
        <f>IFERROR(IF(VLOOKUP($A202,'Annex 2 EHV charges'!$D:$O,11,FALSE)=0,"",VLOOKUP($A202,'Annex 2 EHV charges'!$D:$O,11,FALSE)),"")</f>
        <v/>
      </c>
      <c r="H202" s="97" t="str">
        <f>IFERROR(IF(VLOOKUP($A202,'Annex 2 EHV charges'!$D:$O,12,FALSE)=0,"",VLOOKUP($A202,'Annex 2 EHV charges'!$D:$O,12,FALSE)),"")</f>
        <v/>
      </c>
    </row>
    <row r="203" spans="1:8" x14ac:dyDescent="0.2">
      <c r="A203" s="94" t="str">
        <f t="array" ref="A203">IFERROR(INDEX('Annex 2 EHV charges'!$D$11:$D$58, MATCH(0, IF(ISBLANK('Annex 2 EHV charges'!$D$11:$D$58),1, COUNTIF(A$4:$A202, 'Annex 2 EHV charges'!$D$11:$D$58)), 0)),"")</f>
        <v/>
      </c>
      <c r="B203" s="93" t="str">
        <f>IF($A203="","",VLOOKUP($A203,'Annex 2 EHV charges'!$D:$O,2,0))</f>
        <v/>
      </c>
      <c r="C203" s="94" t="str">
        <f>IF($A203="","",VLOOKUP($A203,'Annex 2 EHV charges'!$D:$O,3,0))</f>
        <v/>
      </c>
      <c r="D203" s="93" t="str">
        <f>IF($A203="","",VLOOKUP($A203,'Annex 2 EHV charges'!$D:$O,4,0))</f>
        <v/>
      </c>
      <c r="E203" s="95" t="str">
        <f>IFERROR(IF(VLOOKUP($A203,'Annex 2 EHV charges'!$D:$O,9,FALSE)=0,"",VLOOKUP($A203,'Annex 2 EHV charges'!$D:$O,9,FALSE)),"")</f>
        <v/>
      </c>
      <c r="F203" s="96" t="str">
        <f>IFERROR(IF(VLOOKUP($A203,'Annex 2 EHV charges'!$D:$O,10,FALSE)=0,"",VLOOKUP($A203,'Annex 2 EHV charges'!$D:$O,10,FALSE)),"")</f>
        <v/>
      </c>
      <c r="G203" s="97" t="str">
        <f>IFERROR(IF(VLOOKUP($A203,'Annex 2 EHV charges'!$D:$O,11,FALSE)=0,"",VLOOKUP($A203,'Annex 2 EHV charges'!$D:$O,11,FALSE)),"")</f>
        <v/>
      </c>
      <c r="H203" s="97" t="str">
        <f>IFERROR(IF(VLOOKUP($A203,'Annex 2 EHV charges'!$D:$O,12,FALSE)=0,"",VLOOKUP($A203,'Annex 2 EHV charges'!$D:$O,12,FALSE)),"")</f>
        <v/>
      </c>
    </row>
    <row r="204" spans="1:8" x14ac:dyDescent="0.2">
      <c r="A204" s="94" t="str">
        <f t="array" ref="A204">IFERROR(INDEX('Annex 2 EHV charges'!$D$11:$D$58, MATCH(0, IF(ISBLANK('Annex 2 EHV charges'!$D$11:$D$58),1, COUNTIF(A$4:$A203, 'Annex 2 EHV charges'!$D$11:$D$58)), 0)),"")</f>
        <v/>
      </c>
      <c r="B204" s="93" t="str">
        <f>IF($A204="","",VLOOKUP($A204,'Annex 2 EHV charges'!$D:$O,2,0))</f>
        <v/>
      </c>
      <c r="C204" s="94" t="str">
        <f>IF($A204="","",VLOOKUP($A204,'Annex 2 EHV charges'!$D:$O,3,0))</f>
        <v/>
      </c>
      <c r="D204" s="93" t="str">
        <f>IF($A204="","",VLOOKUP($A204,'Annex 2 EHV charges'!$D:$O,4,0))</f>
        <v/>
      </c>
      <c r="E204" s="95" t="str">
        <f>IFERROR(IF(VLOOKUP($A204,'Annex 2 EHV charges'!$D:$O,9,FALSE)=0,"",VLOOKUP($A204,'Annex 2 EHV charges'!$D:$O,9,FALSE)),"")</f>
        <v/>
      </c>
      <c r="F204" s="96" t="str">
        <f>IFERROR(IF(VLOOKUP($A204,'Annex 2 EHV charges'!$D:$O,10,FALSE)=0,"",VLOOKUP($A204,'Annex 2 EHV charges'!$D:$O,10,FALSE)),"")</f>
        <v/>
      </c>
      <c r="G204" s="97" t="str">
        <f>IFERROR(IF(VLOOKUP($A204,'Annex 2 EHV charges'!$D:$O,11,FALSE)=0,"",VLOOKUP($A204,'Annex 2 EHV charges'!$D:$O,11,FALSE)),"")</f>
        <v/>
      </c>
      <c r="H204" s="97" t="str">
        <f>IFERROR(IF(VLOOKUP($A204,'Annex 2 EHV charges'!$D:$O,12,FALSE)=0,"",VLOOKUP($A204,'Annex 2 EHV charges'!$D:$O,12,FALSE)),"")</f>
        <v/>
      </c>
    </row>
    <row r="205" spans="1:8" x14ac:dyDescent="0.2">
      <c r="A205" s="94" t="str">
        <f t="array" ref="A205">IFERROR(INDEX('Annex 2 EHV charges'!$D$11:$D$58, MATCH(0, IF(ISBLANK('Annex 2 EHV charges'!$D$11:$D$58),1, COUNTIF(A$4:$A204, 'Annex 2 EHV charges'!$D$11:$D$58)), 0)),"")</f>
        <v/>
      </c>
      <c r="B205" s="93" t="str">
        <f>IF($A205="","",VLOOKUP($A205,'Annex 2 EHV charges'!$D:$O,2,0))</f>
        <v/>
      </c>
      <c r="C205" s="94" t="str">
        <f>IF($A205="","",VLOOKUP($A205,'Annex 2 EHV charges'!$D:$O,3,0))</f>
        <v/>
      </c>
      <c r="D205" s="93" t="str">
        <f>IF($A205="","",VLOOKUP($A205,'Annex 2 EHV charges'!$D:$O,4,0))</f>
        <v/>
      </c>
      <c r="E205" s="95" t="str">
        <f>IFERROR(IF(VLOOKUP($A205,'Annex 2 EHV charges'!$D:$O,9,FALSE)=0,"",VLOOKUP($A205,'Annex 2 EHV charges'!$D:$O,9,FALSE)),"")</f>
        <v/>
      </c>
      <c r="F205" s="96" t="str">
        <f>IFERROR(IF(VLOOKUP($A205,'Annex 2 EHV charges'!$D:$O,10,FALSE)=0,"",VLOOKUP($A205,'Annex 2 EHV charges'!$D:$O,10,FALSE)),"")</f>
        <v/>
      </c>
      <c r="G205" s="97" t="str">
        <f>IFERROR(IF(VLOOKUP($A205,'Annex 2 EHV charges'!$D:$O,11,FALSE)=0,"",VLOOKUP($A205,'Annex 2 EHV charges'!$D:$O,11,FALSE)),"")</f>
        <v/>
      </c>
      <c r="H205" s="97" t="str">
        <f>IFERROR(IF(VLOOKUP($A205,'Annex 2 EHV charges'!$D:$O,12,FALSE)=0,"",VLOOKUP($A205,'Annex 2 EHV charges'!$D:$O,12,FALSE)),"")</f>
        <v/>
      </c>
    </row>
    <row r="206" spans="1:8" x14ac:dyDescent="0.2">
      <c r="A206" s="94" t="str">
        <f t="array" ref="A206">IFERROR(INDEX('Annex 2 EHV charges'!$D$11:$D$58, MATCH(0, IF(ISBLANK('Annex 2 EHV charges'!$D$11:$D$58),1, COUNTIF(A$4:$A205, 'Annex 2 EHV charges'!$D$11:$D$58)), 0)),"")</f>
        <v/>
      </c>
      <c r="B206" s="93" t="str">
        <f>IF($A206="","",VLOOKUP($A206,'Annex 2 EHV charges'!$D:$O,2,0))</f>
        <v/>
      </c>
      <c r="C206" s="94" t="str">
        <f>IF($A206="","",VLOOKUP($A206,'Annex 2 EHV charges'!$D:$O,3,0))</f>
        <v/>
      </c>
      <c r="D206" s="93" t="str">
        <f>IF($A206="","",VLOOKUP($A206,'Annex 2 EHV charges'!$D:$O,4,0))</f>
        <v/>
      </c>
      <c r="E206" s="95" t="str">
        <f>IFERROR(IF(VLOOKUP($A206,'Annex 2 EHV charges'!$D:$O,9,FALSE)=0,"",VLOOKUP($A206,'Annex 2 EHV charges'!$D:$O,9,FALSE)),"")</f>
        <v/>
      </c>
      <c r="F206" s="96" t="str">
        <f>IFERROR(IF(VLOOKUP($A206,'Annex 2 EHV charges'!$D:$O,10,FALSE)=0,"",VLOOKUP($A206,'Annex 2 EHV charges'!$D:$O,10,FALSE)),"")</f>
        <v/>
      </c>
      <c r="G206" s="97" t="str">
        <f>IFERROR(IF(VLOOKUP($A206,'Annex 2 EHV charges'!$D:$O,11,FALSE)=0,"",VLOOKUP($A206,'Annex 2 EHV charges'!$D:$O,11,FALSE)),"")</f>
        <v/>
      </c>
      <c r="H206" s="97" t="str">
        <f>IFERROR(IF(VLOOKUP($A206,'Annex 2 EHV charges'!$D:$O,12,FALSE)=0,"",VLOOKUP($A206,'Annex 2 EHV charges'!$D:$O,12,FALSE)),"")</f>
        <v/>
      </c>
    </row>
    <row r="207" spans="1:8" x14ac:dyDescent="0.2">
      <c r="A207" s="94" t="str">
        <f t="array" ref="A207">IFERROR(INDEX('Annex 2 EHV charges'!$D$11:$D$58, MATCH(0, IF(ISBLANK('Annex 2 EHV charges'!$D$11:$D$58),1, COUNTIF(A$4:$A206, 'Annex 2 EHV charges'!$D$11:$D$58)), 0)),"")</f>
        <v/>
      </c>
      <c r="B207" s="93" t="str">
        <f>IF($A207="","",VLOOKUP($A207,'Annex 2 EHV charges'!$D:$O,2,0))</f>
        <v/>
      </c>
      <c r="C207" s="94" t="str">
        <f>IF($A207="","",VLOOKUP($A207,'Annex 2 EHV charges'!$D:$O,3,0))</f>
        <v/>
      </c>
      <c r="D207" s="93" t="str">
        <f>IF($A207="","",VLOOKUP($A207,'Annex 2 EHV charges'!$D:$O,4,0))</f>
        <v/>
      </c>
      <c r="E207" s="95" t="str">
        <f>IFERROR(IF(VLOOKUP($A207,'Annex 2 EHV charges'!$D:$O,9,FALSE)=0,"",VLOOKUP($A207,'Annex 2 EHV charges'!$D:$O,9,FALSE)),"")</f>
        <v/>
      </c>
      <c r="F207" s="96" t="str">
        <f>IFERROR(IF(VLOOKUP($A207,'Annex 2 EHV charges'!$D:$O,10,FALSE)=0,"",VLOOKUP($A207,'Annex 2 EHV charges'!$D:$O,10,FALSE)),"")</f>
        <v/>
      </c>
      <c r="G207" s="97" t="str">
        <f>IFERROR(IF(VLOOKUP($A207,'Annex 2 EHV charges'!$D:$O,11,FALSE)=0,"",VLOOKUP($A207,'Annex 2 EHV charges'!$D:$O,11,FALSE)),"")</f>
        <v/>
      </c>
      <c r="H207" s="97" t="str">
        <f>IFERROR(IF(VLOOKUP($A207,'Annex 2 EHV charges'!$D:$O,12,FALSE)=0,"",VLOOKUP($A207,'Annex 2 EHV charges'!$D:$O,12,FALSE)),"")</f>
        <v/>
      </c>
    </row>
    <row r="208" spans="1:8" x14ac:dyDescent="0.2">
      <c r="A208" s="94" t="str">
        <f t="array" ref="A208">IFERROR(INDEX('Annex 2 EHV charges'!$D$11:$D$58, MATCH(0, IF(ISBLANK('Annex 2 EHV charges'!$D$11:$D$58),1, COUNTIF(A$4:$A207, 'Annex 2 EHV charges'!$D$11:$D$58)), 0)),"")</f>
        <v/>
      </c>
      <c r="B208" s="93" t="str">
        <f>IF($A208="","",VLOOKUP($A208,'Annex 2 EHV charges'!$D:$O,2,0))</f>
        <v/>
      </c>
      <c r="C208" s="94" t="str">
        <f>IF($A208="","",VLOOKUP($A208,'Annex 2 EHV charges'!$D:$O,3,0))</f>
        <v/>
      </c>
      <c r="D208" s="93" t="str">
        <f>IF($A208="","",VLOOKUP($A208,'Annex 2 EHV charges'!$D:$O,4,0))</f>
        <v/>
      </c>
      <c r="E208" s="95" t="str">
        <f>IFERROR(IF(VLOOKUP($A208,'Annex 2 EHV charges'!$D:$O,9,FALSE)=0,"",VLOOKUP($A208,'Annex 2 EHV charges'!$D:$O,9,FALSE)),"")</f>
        <v/>
      </c>
      <c r="F208" s="96" t="str">
        <f>IFERROR(IF(VLOOKUP($A208,'Annex 2 EHV charges'!$D:$O,10,FALSE)=0,"",VLOOKUP($A208,'Annex 2 EHV charges'!$D:$O,10,FALSE)),"")</f>
        <v/>
      </c>
      <c r="G208" s="97" t="str">
        <f>IFERROR(IF(VLOOKUP($A208,'Annex 2 EHV charges'!$D:$O,11,FALSE)=0,"",VLOOKUP($A208,'Annex 2 EHV charges'!$D:$O,11,FALSE)),"")</f>
        <v/>
      </c>
      <c r="H208" s="97" t="str">
        <f>IFERROR(IF(VLOOKUP($A208,'Annex 2 EHV charges'!$D:$O,12,FALSE)=0,"",VLOOKUP($A208,'Annex 2 EHV charges'!$D:$O,12,FALSE)),"")</f>
        <v/>
      </c>
    </row>
    <row r="209" spans="1:8" x14ac:dyDescent="0.2">
      <c r="A209" s="94" t="str">
        <f t="array" ref="A209">IFERROR(INDEX('Annex 2 EHV charges'!$D$11:$D$58, MATCH(0, IF(ISBLANK('Annex 2 EHV charges'!$D$11:$D$58),1, COUNTIF(A$4:$A208, 'Annex 2 EHV charges'!$D$11:$D$58)), 0)),"")</f>
        <v/>
      </c>
      <c r="B209" s="93" t="str">
        <f>IF($A209="","",VLOOKUP($A209,'Annex 2 EHV charges'!$D:$O,2,0))</f>
        <v/>
      </c>
      <c r="C209" s="94" t="str">
        <f>IF($A209="","",VLOOKUP($A209,'Annex 2 EHV charges'!$D:$O,3,0))</f>
        <v/>
      </c>
      <c r="D209" s="93" t="str">
        <f>IF($A209="","",VLOOKUP($A209,'Annex 2 EHV charges'!$D:$O,4,0))</f>
        <v/>
      </c>
      <c r="E209" s="95" t="str">
        <f>IFERROR(IF(VLOOKUP($A209,'Annex 2 EHV charges'!$D:$O,9,FALSE)=0,"",VLOOKUP($A209,'Annex 2 EHV charges'!$D:$O,9,FALSE)),"")</f>
        <v/>
      </c>
      <c r="F209" s="96" t="str">
        <f>IFERROR(IF(VLOOKUP($A209,'Annex 2 EHV charges'!$D:$O,10,FALSE)=0,"",VLOOKUP($A209,'Annex 2 EHV charges'!$D:$O,10,FALSE)),"")</f>
        <v/>
      </c>
      <c r="G209" s="97" t="str">
        <f>IFERROR(IF(VLOOKUP($A209,'Annex 2 EHV charges'!$D:$O,11,FALSE)=0,"",VLOOKUP($A209,'Annex 2 EHV charges'!$D:$O,11,FALSE)),"")</f>
        <v/>
      </c>
      <c r="H209" s="97" t="str">
        <f>IFERROR(IF(VLOOKUP($A209,'Annex 2 EHV charges'!$D:$O,12,FALSE)=0,"",VLOOKUP($A209,'Annex 2 EHV charges'!$D:$O,12,FALSE)),"")</f>
        <v/>
      </c>
    </row>
    <row r="210" spans="1:8" x14ac:dyDescent="0.2">
      <c r="A210" s="94" t="str">
        <f t="array" ref="A210">IFERROR(INDEX('Annex 2 EHV charges'!$D$11:$D$58, MATCH(0, IF(ISBLANK('Annex 2 EHV charges'!$D$11:$D$58),1, COUNTIF(A$4:$A209, 'Annex 2 EHV charges'!$D$11:$D$58)), 0)),"")</f>
        <v/>
      </c>
      <c r="B210" s="93" t="str">
        <f>IF($A210="","",VLOOKUP($A210,'Annex 2 EHV charges'!$D:$O,2,0))</f>
        <v/>
      </c>
      <c r="C210" s="94" t="str">
        <f>IF($A210="","",VLOOKUP($A210,'Annex 2 EHV charges'!$D:$O,3,0))</f>
        <v/>
      </c>
      <c r="D210" s="93" t="str">
        <f>IF($A210="","",VLOOKUP($A210,'Annex 2 EHV charges'!$D:$O,4,0))</f>
        <v/>
      </c>
      <c r="E210" s="95" t="str">
        <f>IFERROR(IF(VLOOKUP($A210,'Annex 2 EHV charges'!$D:$O,9,FALSE)=0,"",VLOOKUP($A210,'Annex 2 EHV charges'!$D:$O,9,FALSE)),"")</f>
        <v/>
      </c>
      <c r="F210" s="96" t="str">
        <f>IFERROR(IF(VLOOKUP($A210,'Annex 2 EHV charges'!$D:$O,10,FALSE)=0,"",VLOOKUP($A210,'Annex 2 EHV charges'!$D:$O,10,FALSE)),"")</f>
        <v/>
      </c>
      <c r="G210" s="97" t="str">
        <f>IFERROR(IF(VLOOKUP($A210,'Annex 2 EHV charges'!$D:$O,11,FALSE)=0,"",VLOOKUP($A210,'Annex 2 EHV charges'!$D:$O,11,FALSE)),"")</f>
        <v/>
      </c>
      <c r="H210" s="97" t="str">
        <f>IFERROR(IF(VLOOKUP($A210,'Annex 2 EHV charges'!$D:$O,12,FALSE)=0,"",VLOOKUP($A210,'Annex 2 EHV charges'!$D:$O,12,FALSE)),"")</f>
        <v/>
      </c>
    </row>
    <row r="211" spans="1:8" x14ac:dyDescent="0.2">
      <c r="A211" s="94" t="str">
        <f t="array" ref="A211">IFERROR(INDEX('Annex 2 EHV charges'!$D$11:$D$58, MATCH(0, IF(ISBLANK('Annex 2 EHV charges'!$D$11:$D$58),1, COUNTIF(A$4:$A210, 'Annex 2 EHV charges'!$D$11:$D$58)), 0)),"")</f>
        <v/>
      </c>
      <c r="B211" s="93" t="str">
        <f>IF($A211="","",VLOOKUP($A211,'Annex 2 EHV charges'!$D:$O,2,0))</f>
        <v/>
      </c>
      <c r="C211" s="94" t="str">
        <f>IF($A211="","",VLOOKUP($A211,'Annex 2 EHV charges'!$D:$O,3,0))</f>
        <v/>
      </c>
      <c r="D211" s="93" t="str">
        <f>IF($A211="","",VLOOKUP($A211,'Annex 2 EHV charges'!$D:$O,4,0))</f>
        <v/>
      </c>
      <c r="E211" s="95" t="str">
        <f>IFERROR(IF(VLOOKUP($A211,'Annex 2 EHV charges'!$D:$O,9,FALSE)=0,"",VLOOKUP($A211,'Annex 2 EHV charges'!$D:$O,9,FALSE)),"")</f>
        <v/>
      </c>
      <c r="F211" s="96" t="str">
        <f>IFERROR(IF(VLOOKUP($A211,'Annex 2 EHV charges'!$D:$O,10,FALSE)=0,"",VLOOKUP($A211,'Annex 2 EHV charges'!$D:$O,10,FALSE)),"")</f>
        <v/>
      </c>
      <c r="G211" s="97" t="str">
        <f>IFERROR(IF(VLOOKUP($A211,'Annex 2 EHV charges'!$D:$O,11,FALSE)=0,"",VLOOKUP($A211,'Annex 2 EHV charges'!$D:$O,11,FALSE)),"")</f>
        <v/>
      </c>
      <c r="H211" s="97" t="str">
        <f>IFERROR(IF(VLOOKUP($A211,'Annex 2 EHV charges'!$D:$O,12,FALSE)=0,"",VLOOKUP($A211,'Annex 2 EHV charges'!$D:$O,12,FALSE)),"")</f>
        <v/>
      </c>
    </row>
    <row r="212" spans="1:8" x14ac:dyDescent="0.2">
      <c r="A212" s="94" t="str">
        <f t="array" ref="A212">IFERROR(INDEX('Annex 2 EHV charges'!$D$11:$D$58, MATCH(0, IF(ISBLANK('Annex 2 EHV charges'!$D$11:$D$58),1, COUNTIF(A$4:$A211, 'Annex 2 EHV charges'!$D$11:$D$58)), 0)),"")</f>
        <v/>
      </c>
      <c r="B212" s="93" t="str">
        <f>IF($A212="","",VLOOKUP($A212,'Annex 2 EHV charges'!$D:$O,2,0))</f>
        <v/>
      </c>
      <c r="C212" s="94" t="str">
        <f>IF($A212="","",VLOOKUP($A212,'Annex 2 EHV charges'!$D:$O,3,0))</f>
        <v/>
      </c>
      <c r="D212" s="93" t="str">
        <f>IF($A212="","",VLOOKUP($A212,'Annex 2 EHV charges'!$D:$O,4,0))</f>
        <v/>
      </c>
      <c r="E212" s="95" t="str">
        <f>IFERROR(IF(VLOOKUP($A212,'Annex 2 EHV charges'!$D:$O,9,FALSE)=0,"",VLOOKUP($A212,'Annex 2 EHV charges'!$D:$O,9,FALSE)),"")</f>
        <v/>
      </c>
      <c r="F212" s="96" t="str">
        <f>IFERROR(IF(VLOOKUP($A212,'Annex 2 EHV charges'!$D:$O,10,FALSE)=0,"",VLOOKUP($A212,'Annex 2 EHV charges'!$D:$O,10,FALSE)),"")</f>
        <v/>
      </c>
      <c r="G212" s="97" t="str">
        <f>IFERROR(IF(VLOOKUP($A212,'Annex 2 EHV charges'!$D:$O,11,FALSE)=0,"",VLOOKUP($A212,'Annex 2 EHV charges'!$D:$O,11,FALSE)),"")</f>
        <v/>
      </c>
      <c r="H212" s="97" t="str">
        <f>IFERROR(IF(VLOOKUP($A212,'Annex 2 EHV charges'!$D:$O,12,FALSE)=0,"",VLOOKUP($A212,'Annex 2 EHV charges'!$D:$O,12,FALSE)),"")</f>
        <v/>
      </c>
    </row>
    <row r="213" spans="1:8" x14ac:dyDescent="0.2">
      <c r="A213" s="94" t="str">
        <f t="array" ref="A213">IFERROR(INDEX('Annex 2 EHV charges'!$D$11:$D$58, MATCH(0, IF(ISBLANK('Annex 2 EHV charges'!$D$11:$D$58),1, COUNTIF(A$4:$A212, 'Annex 2 EHV charges'!$D$11:$D$58)), 0)),"")</f>
        <v/>
      </c>
      <c r="B213" s="93" t="str">
        <f>IF($A213="","",VLOOKUP($A213,'Annex 2 EHV charges'!$D:$O,2,0))</f>
        <v/>
      </c>
      <c r="C213" s="94" t="str">
        <f>IF($A213="","",VLOOKUP($A213,'Annex 2 EHV charges'!$D:$O,3,0))</f>
        <v/>
      </c>
      <c r="D213" s="93" t="str">
        <f>IF($A213="","",VLOOKUP($A213,'Annex 2 EHV charges'!$D:$O,4,0))</f>
        <v/>
      </c>
      <c r="E213" s="95" t="str">
        <f>IFERROR(IF(VLOOKUP($A213,'Annex 2 EHV charges'!$D:$O,9,FALSE)=0,"",VLOOKUP($A213,'Annex 2 EHV charges'!$D:$O,9,FALSE)),"")</f>
        <v/>
      </c>
      <c r="F213" s="96" t="str">
        <f>IFERROR(IF(VLOOKUP($A213,'Annex 2 EHV charges'!$D:$O,10,FALSE)=0,"",VLOOKUP($A213,'Annex 2 EHV charges'!$D:$O,10,FALSE)),"")</f>
        <v/>
      </c>
      <c r="G213" s="97" t="str">
        <f>IFERROR(IF(VLOOKUP($A213,'Annex 2 EHV charges'!$D:$O,11,FALSE)=0,"",VLOOKUP($A213,'Annex 2 EHV charges'!$D:$O,11,FALSE)),"")</f>
        <v/>
      </c>
      <c r="H213" s="97" t="str">
        <f>IFERROR(IF(VLOOKUP($A213,'Annex 2 EHV charges'!$D:$O,12,FALSE)=0,"",VLOOKUP($A213,'Annex 2 EHV charges'!$D:$O,12,FALSE)),"")</f>
        <v/>
      </c>
    </row>
    <row r="214" spans="1:8" x14ac:dyDescent="0.2">
      <c r="A214" s="94" t="str">
        <f t="array" ref="A214">IFERROR(INDEX('Annex 2 EHV charges'!$D$11:$D$58, MATCH(0, IF(ISBLANK('Annex 2 EHV charges'!$D$11:$D$58),1, COUNTIF(A$4:$A213, 'Annex 2 EHV charges'!$D$11:$D$58)), 0)),"")</f>
        <v/>
      </c>
      <c r="B214" s="93" t="str">
        <f>IF($A214="","",VLOOKUP($A214,'Annex 2 EHV charges'!$D:$O,2,0))</f>
        <v/>
      </c>
      <c r="C214" s="94" t="str">
        <f>IF($A214="","",VLOOKUP($A214,'Annex 2 EHV charges'!$D:$O,3,0))</f>
        <v/>
      </c>
      <c r="D214" s="93" t="str">
        <f>IF($A214="","",VLOOKUP($A214,'Annex 2 EHV charges'!$D:$O,4,0))</f>
        <v/>
      </c>
      <c r="E214" s="95" t="str">
        <f>IFERROR(IF(VLOOKUP($A214,'Annex 2 EHV charges'!$D:$O,9,FALSE)=0,"",VLOOKUP($A214,'Annex 2 EHV charges'!$D:$O,9,FALSE)),"")</f>
        <v/>
      </c>
      <c r="F214" s="96" t="str">
        <f>IFERROR(IF(VLOOKUP($A214,'Annex 2 EHV charges'!$D:$O,10,FALSE)=0,"",VLOOKUP($A214,'Annex 2 EHV charges'!$D:$O,10,FALSE)),"")</f>
        <v/>
      </c>
      <c r="G214" s="97" t="str">
        <f>IFERROR(IF(VLOOKUP($A214,'Annex 2 EHV charges'!$D:$O,11,FALSE)=0,"",VLOOKUP($A214,'Annex 2 EHV charges'!$D:$O,11,FALSE)),"")</f>
        <v/>
      </c>
      <c r="H214" s="97" t="str">
        <f>IFERROR(IF(VLOOKUP($A214,'Annex 2 EHV charges'!$D:$O,12,FALSE)=0,"",VLOOKUP($A214,'Annex 2 EHV charges'!$D:$O,12,FALSE)),"")</f>
        <v/>
      </c>
    </row>
    <row r="215" spans="1:8" x14ac:dyDescent="0.2">
      <c r="A215" s="94" t="str">
        <f t="array" ref="A215">IFERROR(INDEX('Annex 2 EHV charges'!$D$11:$D$58, MATCH(0, IF(ISBLANK('Annex 2 EHV charges'!$D$11:$D$58),1, COUNTIF(A$4:$A214, 'Annex 2 EHV charges'!$D$11:$D$58)), 0)),"")</f>
        <v/>
      </c>
      <c r="B215" s="93" t="str">
        <f>IF($A215="","",VLOOKUP($A215,'Annex 2 EHV charges'!$D:$O,2,0))</f>
        <v/>
      </c>
      <c r="C215" s="94" t="str">
        <f>IF($A215="","",VLOOKUP($A215,'Annex 2 EHV charges'!$D:$O,3,0))</f>
        <v/>
      </c>
      <c r="D215" s="93" t="str">
        <f>IF($A215="","",VLOOKUP($A215,'Annex 2 EHV charges'!$D:$O,4,0))</f>
        <v/>
      </c>
      <c r="E215" s="95" t="str">
        <f>IFERROR(IF(VLOOKUP($A215,'Annex 2 EHV charges'!$D:$O,9,FALSE)=0,"",VLOOKUP($A215,'Annex 2 EHV charges'!$D:$O,9,FALSE)),"")</f>
        <v/>
      </c>
      <c r="F215" s="96" t="str">
        <f>IFERROR(IF(VLOOKUP($A215,'Annex 2 EHV charges'!$D:$O,10,FALSE)=0,"",VLOOKUP($A215,'Annex 2 EHV charges'!$D:$O,10,FALSE)),"")</f>
        <v/>
      </c>
      <c r="G215" s="97" t="str">
        <f>IFERROR(IF(VLOOKUP($A215,'Annex 2 EHV charges'!$D:$O,11,FALSE)=0,"",VLOOKUP($A215,'Annex 2 EHV charges'!$D:$O,11,FALSE)),"")</f>
        <v/>
      </c>
      <c r="H215" s="97" t="str">
        <f>IFERROR(IF(VLOOKUP($A215,'Annex 2 EHV charges'!$D:$O,12,FALSE)=0,"",VLOOKUP($A215,'Annex 2 EHV charges'!$D:$O,12,FALSE)),"")</f>
        <v/>
      </c>
    </row>
    <row r="216" spans="1:8" x14ac:dyDescent="0.2">
      <c r="A216" s="94" t="str">
        <f t="array" ref="A216">IFERROR(INDEX('Annex 2 EHV charges'!$D$11:$D$58, MATCH(0, IF(ISBLANK('Annex 2 EHV charges'!$D$11:$D$58),1, COUNTIF(A$4:$A215, 'Annex 2 EHV charges'!$D$11:$D$58)), 0)),"")</f>
        <v/>
      </c>
      <c r="B216" s="93" t="str">
        <f>IF($A216="","",VLOOKUP($A216,'Annex 2 EHV charges'!$D:$O,2,0))</f>
        <v/>
      </c>
      <c r="C216" s="94" t="str">
        <f>IF($A216="","",VLOOKUP($A216,'Annex 2 EHV charges'!$D:$O,3,0))</f>
        <v/>
      </c>
      <c r="D216" s="93" t="str">
        <f>IF($A216="","",VLOOKUP($A216,'Annex 2 EHV charges'!$D:$O,4,0))</f>
        <v/>
      </c>
      <c r="E216" s="95" t="str">
        <f>IFERROR(IF(VLOOKUP($A216,'Annex 2 EHV charges'!$D:$O,9,FALSE)=0,"",VLOOKUP($A216,'Annex 2 EHV charges'!$D:$O,9,FALSE)),"")</f>
        <v/>
      </c>
      <c r="F216" s="96" t="str">
        <f>IFERROR(IF(VLOOKUP($A216,'Annex 2 EHV charges'!$D:$O,10,FALSE)=0,"",VLOOKUP($A216,'Annex 2 EHV charges'!$D:$O,10,FALSE)),"")</f>
        <v/>
      </c>
      <c r="G216" s="97" t="str">
        <f>IFERROR(IF(VLOOKUP($A216,'Annex 2 EHV charges'!$D:$O,11,FALSE)=0,"",VLOOKUP($A216,'Annex 2 EHV charges'!$D:$O,11,FALSE)),"")</f>
        <v/>
      </c>
      <c r="H216" s="97" t="str">
        <f>IFERROR(IF(VLOOKUP($A216,'Annex 2 EHV charges'!$D:$O,12,FALSE)=0,"",VLOOKUP($A216,'Annex 2 EHV charges'!$D:$O,12,FALSE)),"")</f>
        <v/>
      </c>
    </row>
    <row r="217" spans="1:8" x14ac:dyDescent="0.2">
      <c r="A217" s="94" t="str">
        <f t="array" ref="A217">IFERROR(INDEX('Annex 2 EHV charges'!$D$11:$D$58, MATCH(0, IF(ISBLANK('Annex 2 EHV charges'!$D$11:$D$58),1, COUNTIF(A$4:$A216, 'Annex 2 EHV charges'!$D$11:$D$58)), 0)),"")</f>
        <v/>
      </c>
      <c r="B217" s="93" t="str">
        <f>IF($A217="","",VLOOKUP($A217,'Annex 2 EHV charges'!$D:$O,2,0))</f>
        <v/>
      </c>
      <c r="C217" s="94" t="str">
        <f>IF($A217="","",VLOOKUP($A217,'Annex 2 EHV charges'!$D:$O,3,0))</f>
        <v/>
      </c>
      <c r="D217" s="93" t="str">
        <f>IF($A217="","",VLOOKUP($A217,'Annex 2 EHV charges'!$D:$O,4,0))</f>
        <v/>
      </c>
      <c r="E217" s="95" t="str">
        <f>IFERROR(IF(VLOOKUP($A217,'Annex 2 EHV charges'!$D:$O,9,FALSE)=0,"",VLOOKUP($A217,'Annex 2 EHV charges'!$D:$O,9,FALSE)),"")</f>
        <v/>
      </c>
      <c r="F217" s="96" t="str">
        <f>IFERROR(IF(VLOOKUP($A217,'Annex 2 EHV charges'!$D:$O,10,FALSE)=0,"",VLOOKUP($A217,'Annex 2 EHV charges'!$D:$O,10,FALSE)),"")</f>
        <v/>
      </c>
      <c r="G217" s="97" t="str">
        <f>IFERROR(IF(VLOOKUP($A217,'Annex 2 EHV charges'!$D:$O,11,FALSE)=0,"",VLOOKUP($A217,'Annex 2 EHV charges'!$D:$O,11,FALSE)),"")</f>
        <v/>
      </c>
      <c r="H217" s="97" t="str">
        <f>IFERROR(IF(VLOOKUP($A217,'Annex 2 EHV charges'!$D:$O,12,FALSE)=0,"",VLOOKUP($A217,'Annex 2 EHV charges'!$D:$O,12,FALSE)),"")</f>
        <v/>
      </c>
    </row>
    <row r="218" spans="1:8" x14ac:dyDescent="0.2">
      <c r="A218" s="94" t="str">
        <f t="array" ref="A218">IFERROR(INDEX('Annex 2 EHV charges'!$D$11:$D$58, MATCH(0, IF(ISBLANK('Annex 2 EHV charges'!$D$11:$D$58),1, COUNTIF(A$4:$A217, 'Annex 2 EHV charges'!$D$11:$D$58)), 0)),"")</f>
        <v/>
      </c>
      <c r="B218" s="93" t="str">
        <f>IF($A218="","",VLOOKUP($A218,'Annex 2 EHV charges'!$D:$O,2,0))</f>
        <v/>
      </c>
      <c r="C218" s="94" t="str">
        <f>IF($A218="","",VLOOKUP($A218,'Annex 2 EHV charges'!$D:$O,3,0))</f>
        <v/>
      </c>
      <c r="D218" s="93" t="str">
        <f>IF($A218="","",VLOOKUP($A218,'Annex 2 EHV charges'!$D:$O,4,0))</f>
        <v/>
      </c>
      <c r="E218" s="95" t="str">
        <f>IFERROR(IF(VLOOKUP($A218,'Annex 2 EHV charges'!$D:$O,9,FALSE)=0,"",VLOOKUP($A218,'Annex 2 EHV charges'!$D:$O,9,FALSE)),"")</f>
        <v/>
      </c>
      <c r="F218" s="96" t="str">
        <f>IFERROR(IF(VLOOKUP($A218,'Annex 2 EHV charges'!$D:$O,10,FALSE)=0,"",VLOOKUP($A218,'Annex 2 EHV charges'!$D:$O,10,FALSE)),"")</f>
        <v/>
      </c>
      <c r="G218" s="97" t="str">
        <f>IFERROR(IF(VLOOKUP($A218,'Annex 2 EHV charges'!$D:$O,11,FALSE)=0,"",VLOOKUP($A218,'Annex 2 EHV charges'!$D:$O,11,FALSE)),"")</f>
        <v/>
      </c>
      <c r="H218" s="97" t="str">
        <f>IFERROR(IF(VLOOKUP($A218,'Annex 2 EHV charges'!$D:$O,12,FALSE)=0,"",VLOOKUP($A218,'Annex 2 EHV charges'!$D:$O,12,FALSE)),"")</f>
        <v/>
      </c>
    </row>
    <row r="219" spans="1:8" x14ac:dyDescent="0.2">
      <c r="A219" s="94" t="str">
        <f t="array" ref="A219">IFERROR(INDEX('Annex 2 EHV charges'!$D$11:$D$58, MATCH(0, IF(ISBLANK('Annex 2 EHV charges'!$D$11:$D$58),1, COUNTIF(A$4:$A218, 'Annex 2 EHV charges'!$D$11:$D$58)), 0)),"")</f>
        <v/>
      </c>
      <c r="B219" s="93" t="str">
        <f>IF($A219="","",VLOOKUP($A219,'Annex 2 EHV charges'!$D:$O,2,0))</f>
        <v/>
      </c>
      <c r="C219" s="94" t="str">
        <f>IF($A219="","",VLOOKUP($A219,'Annex 2 EHV charges'!$D:$O,3,0))</f>
        <v/>
      </c>
      <c r="D219" s="93" t="str">
        <f>IF($A219="","",VLOOKUP($A219,'Annex 2 EHV charges'!$D:$O,4,0))</f>
        <v/>
      </c>
      <c r="E219" s="95" t="str">
        <f>IFERROR(IF(VLOOKUP($A219,'Annex 2 EHV charges'!$D:$O,9,FALSE)=0,"",VLOOKUP($A219,'Annex 2 EHV charges'!$D:$O,9,FALSE)),"")</f>
        <v/>
      </c>
      <c r="F219" s="96" t="str">
        <f>IFERROR(IF(VLOOKUP($A219,'Annex 2 EHV charges'!$D:$O,10,FALSE)=0,"",VLOOKUP($A219,'Annex 2 EHV charges'!$D:$O,10,FALSE)),"")</f>
        <v/>
      </c>
      <c r="G219" s="97" t="str">
        <f>IFERROR(IF(VLOOKUP($A219,'Annex 2 EHV charges'!$D:$O,11,FALSE)=0,"",VLOOKUP($A219,'Annex 2 EHV charges'!$D:$O,11,FALSE)),"")</f>
        <v/>
      </c>
      <c r="H219" s="97" t="str">
        <f>IFERROR(IF(VLOOKUP($A219,'Annex 2 EHV charges'!$D:$O,12,FALSE)=0,"",VLOOKUP($A219,'Annex 2 EHV charges'!$D:$O,12,FALSE)),"")</f>
        <v/>
      </c>
    </row>
    <row r="220" spans="1:8" x14ac:dyDescent="0.2">
      <c r="A220" s="94" t="str">
        <f t="array" ref="A220">IFERROR(INDEX('Annex 2 EHV charges'!$D$11:$D$58, MATCH(0, IF(ISBLANK('Annex 2 EHV charges'!$D$11:$D$58),1, COUNTIF(A$4:$A219, 'Annex 2 EHV charges'!$D$11:$D$58)), 0)),"")</f>
        <v/>
      </c>
      <c r="B220" s="93" t="str">
        <f>IF($A220="","",VLOOKUP($A220,'Annex 2 EHV charges'!$D:$O,2,0))</f>
        <v/>
      </c>
      <c r="C220" s="94" t="str">
        <f>IF($A220="","",VLOOKUP($A220,'Annex 2 EHV charges'!$D:$O,3,0))</f>
        <v/>
      </c>
      <c r="D220" s="93" t="str">
        <f>IF($A220="","",VLOOKUP($A220,'Annex 2 EHV charges'!$D:$O,4,0))</f>
        <v/>
      </c>
      <c r="E220" s="95" t="str">
        <f>IFERROR(IF(VLOOKUP($A220,'Annex 2 EHV charges'!$D:$O,9,FALSE)=0,"",VLOOKUP($A220,'Annex 2 EHV charges'!$D:$O,9,FALSE)),"")</f>
        <v/>
      </c>
      <c r="F220" s="96" t="str">
        <f>IFERROR(IF(VLOOKUP($A220,'Annex 2 EHV charges'!$D:$O,10,FALSE)=0,"",VLOOKUP($A220,'Annex 2 EHV charges'!$D:$O,10,FALSE)),"")</f>
        <v/>
      </c>
      <c r="G220" s="97" t="str">
        <f>IFERROR(IF(VLOOKUP($A220,'Annex 2 EHV charges'!$D:$O,11,FALSE)=0,"",VLOOKUP($A220,'Annex 2 EHV charges'!$D:$O,11,FALSE)),"")</f>
        <v/>
      </c>
      <c r="H220" s="97" t="str">
        <f>IFERROR(IF(VLOOKUP($A220,'Annex 2 EHV charges'!$D:$O,12,FALSE)=0,"",VLOOKUP($A220,'Annex 2 EHV charges'!$D:$O,12,FALSE)),"")</f>
        <v/>
      </c>
    </row>
    <row r="221" spans="1:8" x14ac:dyDescent="0.2">
      <c r="A221" s="94" t="str">
        <f t="array" ref="A221">IFERROR(INDEX('Annex 2 EHV charges'!$D$11:$D$58, MATCH(0, IF(ISBLANK('Annex 2 EHV charges'!$D$11:$D$58),1, COUNTIF(A$4:$A220, 'Annex 2 EHV charges'!$D$11:$D$58)), 0)),"")</f>
        <v/>
      </c>
      <c r="B221" s="93" t="str">
        <f>IF($A221="","",VLOOKUP($A221,'Annex 2 EHV charges'!$D:$O,2,0))</f>
        <v/>
      </c>
      <c r="C221" s="94" t="str">
        <f>IF($A221="","",VLOOKUP($A221,'Annex 2 EHV charges'!$D:$O,3,0))</f>
        <v/>
      </c>
      <c r="D221" s="93" t="str">
        <f>IF($A221="","",VLOOKUP($A221,'Annex 2 EHV charges'!$D:$O,4,0))</f>
        <v/>
      </c>
      <c r="E221" s="95" t="str">
        <f>IFERROR(IF(VLOOKUP($A221,'Annex 2 EHV charges'!$D:$O,9,FALSE)=0,"",VLOOKUP($A221,'Annex 2 EHV charges'!$D:$O,9,FALSE)),"")</f>
        <v/>
      </c>
      <c r="F221" s="96" t="str">
        <f>IFERROR(IF(VLOOKUP($A221,'Annex 2 EHV charges'!$D:$O,10,FALSE)=0,"",VLOOKUP($A221,'Annex 2 EHV charges'!$D:$O,10,FALSE)),"")</f>
        <v/>
      </c>
      <c r="G221" s="97" t="str">
        <f>IFERROR(IF(VLOOKUP($A221,'Annex 2 EHV charges'!$D:$O,11,FALSE)=0,"",VLOOKUP($A221,'Annex 2 EHV charges'!$D:$O,11,FALSE)),"")</f>
        <v/>
      </c>
      <c r="H221" s="97" t="str">
        <f>IFERROR(IF(VLOOKUP($A221,'Annex 2 EHV charges'!$D:$O,12,FALSE)=0,"",VLOOKUP($A221,'Annex 2 EHV charges'!$D:$O,12,FALSE)),"")</f>
        <v/>
      </c>
    </row>
    <row r="222" spans="1:8" x14ac:dyDescent="0.2">
      <c r="A222" s="94" t="str">
        <f t="array" ref="A222">IFERROR(INDEX('Annex 2 EHV charges'!$D$11:$D$58, MATCH(0, IF(ISBLANK('Annex 2 EHV charges'!$D$11:$D$58),1, COUNTIF(A$4:$A221, 'Annex 2 EHV charges'!$D$11:$D$58)), 0)),"")</f>
        <v/>
      </c>
      <c r="B222" s="93" t="str">
        <f>IF($A222="","",VLOOKUP($A222,'Annex 2 EHV charges'!$D:$O,2,0))</f>
        <v/>
      </c>
      <c r="C222" s="94" t="str">
        <f>IF($A222="","",VLOOKUP($A222,'Annex 2 EHV charges'!$D:$O,3,0))</f>
        <v/>
      </c>
      <c r="D222" s="93" t="str">
        <f>IF($A222="","",VLOOKUP($A222,'Annex 2 EHV charges'!$D:$O,4,0))</f>
        <v/>
      </c>
      <c r="E222" s="95" t="str">
        <f>IFERROR(IF(VLOOKUP($A222,'Annex 2 EHV charges'!$D:$O,9,FALSE)=0,"",VLOOKUP($A222,'Annex 2 EHV charges'!$D:$O,9,FALSE)),"")</f>
        <v/>
      </c>
      <c r="F222" s="96" t="str">
        <f>IFERROR(IF(VLOOKUP($A222,'Annex 2 EHV charges'!$D:$O,10,FALSE)=0,"",VLOOKUP($A222,'Annex 2 EHV charges'!$D:$O,10,FALSE)),"")</f>
        <v/>
      </c>
      <c r="G222" s="97" t="str">
        <f>IFERROR(IF(VLOOKUP($A222,'Annex 2 EHV charges'!$D:$O,11,FALSE)=0,"",VLOOKUP($A222,'Annex 2 EHV charges'!$D:$O,11,FALSE)),"")</f>
        <v/>
      </c>
      <c r="H222" s="97" t="str">
        <f>IFERROR(IF(VLOOKUP($A222,'Annex 2 EHV charges'!$D:$O,12,FALSE)=0,"",VLOOKUP($A222,'Annex 2 EHV charges'!$D:$O,12,FALSE)),"")</f>
        <v/>
      </c>
    </row>
    <row r="223" spans="1:8" x14ac:dyDescent="0.2">
      <c r="A223" s="94" t="str">
        <f t="array" ref="A223">IFERROR(INDEX('Annex 2 EHV charges'!$D$11:$D$58, MATCH(0, IF(ISBLANK('Annex 2 EHV charges'!$D$11:$D$58),1, COUNTIF(A$4:$A222, 'Annex 2 EHV charges'!$D$11:$D$58)), 0)),"")</f>
        <v/>
      </c>
      <c r="B223" s="93" t="str">
        <f>IF($A223="","",VLOOKUP($A223,'Annex 2 EHV charges'!$D:$O,2,0))</f>
        <v/>
      </c>
      <c r="C223" s="94" t="str">
        <f>IF($A223="","",VLOOKUP($A223,'Annex 2 EHV charges'!$D:$O,3,0))</f>
        <v/>
      </c>
      <c r="D223" s="93" t="str">
        <f>IF($A223="","",VLOOKUP($A223,'Annex 2 EHV charges'!$D:$O,4,0))</f>
        <v/>
      </c>
      <c r="E223" s="95" t="str">
        <f>IFERROR(IF(VLOOKUP($A223,'Annex 2 EHV charges'!$D:$O,9,FALSE)=0,"",VLOOKUP($A223,'Annex 2 EHV charges'!$D:$O,9,FALSE)),"")</f>
        <v/>
      </c>
      <c r="F223" s="96" t="str">
        <f>IFERROR(IF(VLOOKUP($A223,'Annex 2 EHV charges'!$D:$O,10,FALSE)=0,"",VLOOKUP($A223,'Annex 2 EHV charges'!$D:$O,10,FALSE)),"")</f>
        <v/>
      </c>
      <c r="G223" s="97" t="str">
        <f>IFERROR(IF(VLOOKUP($A223,'Annex 2 EHV charges'!$D:$O,11,FALSE)=0,"",VLOOKUP($A223,'Annex 2 EHV charges'!$D:$O,11,FALSE)),"")</f>
        <v/>
      </c>
      <c r="H223" s="97" t="str">
        <f>IFERROR(IF(VLOOKUP($A223,'Annex 2 EHV charges'!$D:$O,12,FALSE)=0,"",VLOOKUP($A223,'Annex 2 EHV charges'!$D:$O,12,FALSE)),"")</f>
        <v/>
      </c>
    </row>
    <row r="224" spans="1:8" x14ac:dyDescent="0.2">
      <c r="A224" s="94" t="str">
        <f t="array" ref="A224">IFERROR(INDEX('Annex 2 EHV charges'!$D$11:$D$58, MATCH(0, IF(ISBLANK('Annex 2 EHV charges'!$D$11:$D$58),1, COUNTIF(A$4:$A223, 'Annex 2 EHV charges'!$D$11:$D$58)), 0)),"")</f>
        <v/>
      </c>
      <c r="B224" s="93" t="str">
        <f>IF($A224="","",VLOOKUP($A224,'Annex 2 EHV charges'!$D:$O,2,0))</f>
        <v/>
      </c>
      <c r="C224" s="94" t="str">
        <f>IF($A224="","",VLOOKUP($A224,'Annex 2 EHV charges'!$D:$O,3,0))</f>
        <v/>
      </c>
      <c r="D224" s="93" t="str">
        <f>IF($A224="","",VLOOKUP($A224,'Annex 2 EHV charges'!$D:$O,4,0))</f>
        <v/>
      </c>
      <c r="E224" s="95" t="str">
        <f>IFERROR(IF(VLOOKUP($A224,'Annex 2 EHV charges'!$D:$O,9,FALSE)=0,"",VLOOKUP($A224,'Annex 2 EHV charges'!$D:$O,9,FALSE)),"")</f>
        <v/>
      </c>
      <c r="F224" s="96" t="str">
        <f>IFERROR(IF(VLOOKUP($A224,'Annex 2 EHV charges'!$D:$O,10,FALSE)=0,"",VLOOKUP($A224,'Annex 2 EHV charges'!$D:$O,10,FALSE)),"")</f>
        <v/>
      </c>
      <c r="G224" s="97" t="str">
        <f>IFERROR(IF(VLOOKUP($A224,'Annex 2 EHV charges'!$D:$O,11,FALSE)=0,"",VLOOKUP($A224,'Annex 2 EHV charges'!$D:$O,11,FALSE)),"")</f>
        <v/>
      </c>
      <c r="H224" s="97" t="str">
        <f>IFERROR(IF(VLOOKUP($A224,'Annex 2 EHV charges'!$D:$O,12,FALSE)=0,"",VLOOKUP($A224,'Annex 2 EHV charges'!$D:$O,12,FALSE)),"")</f>
        <v/>
      </c>
    </row>
    <row r="225" spans="1:8" x14ac:dyDescent="0.2">
      <c r="A225" s="94" t="str">
        <f t="array" ref="A225">IFERROR(INDEX('Annex 2 EHV charges'!$D$11:$D$58, MATCH(0, IF(ISBLANK('Annex 2 EHV charges'!$D$11:$D$58),1, COUNTIF(A$4:$A224, 'Annex 2 EHV charges'!$D$11:$D$58)), 0)),"")</f>
        <v/>
      </c>
      <c r="B225" s="93" t="str">
        <f>IF($A225="","",VLOOKUP($A225,'Annex 2 EHV charges'!$D:$O,2,0))</f>
        <v/>
      </c>
      <c r="C225" s="94" t="str">
        <f>IF($A225="","",VLOOKUP($A225,'Annex 2 EHV charges'!$D:$O,3,0))</f>
        <v/>
      </c>
      <c r="D225" s="93" t="str">
        <f>IF($A225="","",VLOOKUP($A225,'Annex 2 EHV charges'!$D:$O,4,0))</f>
        <v/>
      </c>
      <c r="E225" s="95" t="str">
        <f>IFERROR(IF(VLOOKUP($A225,'Annex 2 EHV charges'!$D:$O,9,FALSE)=0,"",VLOOKUP($A225,'Annex 2 EHV charges'!$D:$O,9,FALSE)),"")</f>
        <v/>
      </c>
      <c r="F225" s="96" t="str">
        <f>IFERROR(IF(VLOOKUP($A225,'Annex 2 EHV charges'!$D:$O,10,FALSE)=0,"",VLOOKUP($A225,'Annex 2 EHV charges'!$D:$O,10,FALSE)),"")</f>
        <v/>
      </c>
      <c r="G225" s="97" t="str">
        <f>IFERROR(IF(VLOOKUP($A225,'Annex 2 EHV charges'!$D:$O,11,FALSE)=0,"",VLOOKUP($A225,'Annex 2 EHV charges'!$D:$O,11,FALSE)),"")</f>
        <v/>
      </c>
      <c r="H225" s="97" t="str">
        <f>IFERROR(IF(VLOOKUP($A225,'Annex 2 EHV charges'!$D:$O,12,FALSE)=0,"",VLOOKUP($A225,'Annex 2 EHV charges'!$D:$O,12,FALSE)),"")</f>
        <v/>
      </c>
    </row>
    <row r="226" spans="1:8" x14ac:dyDescent="0.2">
      <c r="A226" s="94" t="str">
        <f t="array" ref="A226">IFERROR(INDEX('Annex 2 EHV charges'!$D$11:$D$58, MATCH(0, IF(ISBLANK('Annex 2 EHV charges'!$D$11:$D$58),1, COUNTIF(A$4:$A225, 'Annex 2 EHV charges'!$D$11:$D$58)), 0)),"")</f>
        <v/>
      </c>
      <c r="B226" s="93" t="str">
        <f>IF($A226="","",VLOOKUP($A226,'Annex 2 EHV charges'!$D:$O,2,0))</f>
        <v/>
      </c>
      <c r="C226" s="94" t="str">
        <f>IF($A226="","",VLOOKUP($A226,'Annex 2 EHV charges'!$D:$O,3,0))</f>
        <v/>
      </c>
      <c r="D226" s="93" t="str">
        <f>IF($A226="","",VLOOKUP($A226,'Annex 2 EHV charges'!$D:$O,4,0))</f>
        <v/>
      </c>
      <c r="E226" s="95" t="str">
        <f>IFERROR(IF(VLOOKUP($A226,'Annex 2 EHV charges'!$D:$O,9,FALSE)=0,"",VLOOKUP($A226,'Annex 2 EHV charges'!$D:$O,9,FALSE)),"")</f>
        <v/>
      </c>
      <c r="F226" s="96" t="str">
        <f>IFERROR(IF(VLOOKUP($A226,'Annex 2 EHV charges'!$D:$O,10,FALSE)=0,"",VLOOKUP($A226,'Annex 2 EHV charges'!$D:$O,10,FALSE)),"")</f>
        <v/>
      </c>
      <c r="G226" s="97" t="str">
        <f>IFERROR(IF(VLOOKUP($A226,'Annex 2 EHV charges'!$D:$O,11,FALSE)=0,"",VLOOKUP($A226,'Annex 2 EHV charges'!$D:$O,11,FALSE)),"")</f>
        <v/>
      </c>
      <c r="H226" s="97" t="str">
        <f>IFERROR(IF(VLOOKUP($A226,'Annex 2 EHV charges'!$D:$O,12,FALSE)=0,"",VLOOKUP($A226,'Annex 2 EHV charges'!$D:$O,12,FALSE)),"")</f>
        <v/>
      </c>
    </row>
    <row r="227" spans="1:8" x14ac:dyDescent="0.2">
      <c r="A227" s="94" t="str">
        <f t="array" ref="A227">IFERROR(INDEX('Annex 2 EHV charges'!$D$11:$D$58, MATCH(0, IF(ISBLANK('Annex 2 EHV charges'!$D$11:$D$58),1, COUNTIF(A$4:$A226, 'Annex 2 EHV charges'!$D$11:$D$58)), 0)),"")</f>
        <v/>
      </c>
      <c r="B227" s="93" t="str">
        <f>IF($A227="","",VLOOKUP($A227,'Annex 2 EHV charges'!$D:$O,2,0))</f>
        <v/>
      </c>
      <c r="C227" s="94" t="str">
        <f>IF($A227="","",VLOOKUP($A227,'Annex 2 EHV charges'!$D:$O,3,0))</f>
        <v/>
      </c>
      <c r="D227" s="93" t="str">
        <f>IF($A227="","",VLOOKUP($A227,'Annex 2 EHV charges'!$D:$O,4,0))</f>
        <v/>
      </c>
      <c r="E227" s="95" t="str">
        <f>IFERROR(IF(VLOOKUP($A227,'Annex 2 EHV charges'!$D:$O,9,FALSE)=0,"",VLOOKUP($A227,'Annex 2 EHV charges'!$D:$O,9,FALSE)),"")</f>
        <v/>
      </c>
      <c r="F227" s="96" t="str">
        <f>IFERROR(IF(VLOOKUP($A227,'Annex 2 EHV charges'!$D:$O,10,FALSE)=0,"",VLOOKUP($A227,'Annex 2 EHV charges'!$D:$O,10,FALSE)),"")</f>
        <v/>
      </c>
      <c r="G227" s="97" t="str">
        <f>IFERROR(IF(VLOOKUP($A227,'Annex 2 EHV charges'!$D:$O,11,FALSE)=0,"",VLOOKUP($A227,'Annex 2 EHV charges'!$D:$O,11,FALSE)),"")</f>
        <v/>
      </c>
      <c r="H227" s="97" t="str">
        <f>IFERROR(IF(VLOOKUP($A227,'Annex 2 EHV charges'!$D:$O,12,FALSE)=0,"",VLOOKUP($A227,'Annex 2 EHV charges'!$D:$O,12,FALSE)),"")</f>
        <v/>
      </c>
    </row>
    <row r="228" spans="1:8" x14ac:dyDescent="0.2">
      <c r="A228" s="94" t="str">
        <f t="array" ref="A228">IFERROR(INDEX('Annex 2 EHV charges'!$D$11:$D$58, MATCH(0, IF(ISBLANK('Annex 2 EHV charges'!$D$11:$D$58),1, COUNTIF(A$4:$A227, 'Annex 2 EHV charges'!$D$11:$D$58)), 0)),"")</f>
        <v/>
      </c>
      <c r="B228" s="93" t="str">
        <f>IF($A228="","",VLOOKUP($A228,'Annex 2 EHV charges'!$D:$O,2,0))</f>
        <v/>
      </c>
      <c r="C228" s="94" t="str">
        <f>IF($A228="","",VLOOKUP($A228,'Annex 2 EHV charges'!$D:$O,3,0))</f>
        <v/>
      </c>
      <c r="D228" s="93" t="str">
        <f>IF($A228="","",VLOOKUP($A228,'Annex 2 EHV charges'!$D:$O,4,0))</f>
        <v/>
      </c>
      <c r="E228" s="95" t="str">
        <f>IFERROR(IF(VLOOKUP($A228,'Annex 2 EHV charges'!$D:$O,9,FALSE)=0,"",VLOOKUP($A228,'Annex 2 EHV charges'!$D:$O,9,FALSE)),"")</f>
        <v/>
      </c>
      <c r="F228" s="96" t="str">
        <f>IFERROR(IF(VLOOKUP($A228,'Annex 2 EHV charges'!$D:$O,10,FALSE)=0,"",VLOOKUP($A228,'Annex 2 EHV charges'!$D:$O,10,FALSE)),"")</f>
        <v/>
      </c>
      <c r="G228" s="97" t="str">
        <f>IFERROR(IF(VLOOKUP($A228,'Annex 2 EHV charges'!$D:$O,11,FALSE)=0,"",VLOOKUP($A228,'Annex 2 EHV charges'!$D:$O,11,FALSE)),"")</f>
        <v/>
      </c>
      <c r="H228" s="97" t="str">
        <f>IFERROR(IF(VLOOKUP($A228,'Annex 2 EHV charges'!$D:$O,12,FALSE)=0,"",VLOOKUP($A228,'Annex 2 EHV charges'!$D:$O,12,FALSE)),"")</f>
        <v/>
      </c>
    </row>
    <row r="229" spans="1:8" x14ac:dyDescent="0.2">
      <c r="A229" s="94" t="str">
        <f t="array" ref="A229">IFERROR(INDEX('Annex 2 EHV charges'!$D$11:$D$58, MATCH(0, IF(ISBLANK('Annex 2 EHV charges'!$D$11:$D$58),1, COUNTIF(A$4:$A228, 'Annex 2 EHV charges'!$D$11:$D$58)), 0)),"")</f>
        <v/>
      </c>
      <c r="B229" s="93" t="str">
        <f>IF($A229="","",VLOOKUP($A229,'Annex 2 EHV charges'!$D:$O,2,0))</f>
        <v/>
      </c>
      <c r="C229" s="94" t="str">
        <f>IF($A229="","",VLOOKUP($A229,'Annex 2 EHV charges'!$D:$O,3,0))</f>
        <v/>
      </c>
      <c r="D229" s="93" t="str">
        <f>IF($A229="","",VLOOKUP($A229,'Annex 2 EHV charges'!$D:$O,4,0))</f>
        <v/>
      </c>
      <c r="E229" s="95" t="str">
        <f>IFERROR(IF(VLOOKUP($A229,'Annex 2 EHV charges'!$D:$O,9,FALSE)=0,"",VLOOKUP($A229,'Annex 2 EHV charges'!$D:$O,9,FALSE)),"")</f>
        <v/>
      </c>
      <c r="F229" s="96" t="str">
        <f>IFERROR(IF(VLOOKUP($A229,'Annex 2 EHV charges'!$D:$O,10,FALSE)=0,"",VLOOKUP($A229,'Annex 2 EHV charges'!$D:$O,10,FALSE)),"")</f>
        <v/>
      </c>
      <c r="G229" s="97" t="str">
        <f>IFERROR(IF(VLOOKUP($A229,'Annex 2 EHV charges'!$D:$O,11,FALSE)=0,"",VLOOKUP($A229,'Annex 2 EHV charges'!$D:$O,11,FALSE)),"")</f>
        <v/>
      </c>
      <c r="H229" s="97" t="str">
        <f>IFERROR(IF(VLOOKUP($A229,'Annex 2 EHV charges'!$D:$O,12,FALSE)=0,"",VLOOKUP($A229,'Annex 2 EHV charges'!$D:$O,12,FALSE)),"")</f>
        <v/>
      </c>
    </row>
    <row r="230" spans="1:8" x14ac:dyDescent="0.2">
      <c r="A230" s="94" t="str">
        <f t="array" ref="A230">IFERROR(INDEX('Annex 2 EHV charges'!$D$11:$D$58, MATCH(0, IF(ISBLANK('Annex 2 EHV charges'!$D$11:$D$58),1, COUNTIF(A$4:$A229, 'Annex 2 EHV charges'!$D$11:$D$58)), 0)),"")</f>
        <v/>
      </c>
      <c r="B230" s="93" t="str">
        <f>IF($A230="","",VLOOKUP($A230,'Annex 2 EHV charges'!$D:$O,2,0))</f>
        <v/>
      </c>
      <c r="C230" s="94" t="str">
        <f>IF($A230="","",VLOOKUP($A230,'Annex 2 EHV charges'!$D:$O,3,0))</f>
        <v/>
      </c>
      <c r="D230" s="93" t="str">
        <f>IF($A230="","",VLOOKUP($A230,'Annex 2 EHV charges'!$D:$O,4,0))</f>
        <v/>
      </c>
      <c r="E230" s="95" t="str">
        <f>IFERROR(IF(VLOOKUP($A230,'Annex 2 EHV charges'!$D:$O,9,FALSE)=0,"",VLOOKUP($A230,'Annex 2 EHV charges'!$D:$O,9,FALSE)),"")</f>
        <v/>
      </c>
      <c r="F230" s="96" t="str">
        <f>IFERROR(IF(VLOOKUP($A230,'Annex 2 EHV charges'!$D:$O,10,FALSE)=0,"",VLOOKUP($A230,'Annex 2 EHV charges'!$D:$O,10,FALSE)),"")</f>
        <v/>
      </c>
      <c r="G230" s="97" t="str">
        <f>IFERROR(IF(VLOOKUP($A230,'Annex 2 EHV charges'!$D:$O,11,FALSE)=0,"",VLOOKUP($A230,'Annex 2 EHV charges'!$D:$O,11,FALSE)),"")</f>
        <v/>
      </c>
      <c r="H230" s="97" t="str">
        <f>IFERROR(IF(VLOOKUP($A230,'Annex 2 EHV charges'!$D:$O,12,FALSE)=0,"",VLOOKUP($A230,'Annex 2 EHV charges'!$D:$O,12,FALSE)),"")</f>
        <v/>
      </c>
    </row>
    <row r="231" spans="1:8" x14ac:dyDescent="0.2">
      <c r="A231" s="94" t="str">
        <f t="array" ref="A231">IFERROR(INDEX('Annex 2 EHV charges'!$D$11:$D$58, MATCH(0, IF(ISBLANK('Annex 2 EHV charges'!$D$11:$D$58),1, COUNTIF(A$4:$A230, 'Annex 2 EHV charges'!$D$11:$D$58)), 0)),"")</f>
        <v/>
      </c>
      <c r="B231" s="93" t="str">
        <f>IF($A231="","",VLOOKUP($A231,'Annex 2 EHV charges'!$D:$O,2,0))</f>
        <v/>
      </c>
      <c r="C231" s="94" t="str">
        <f>IF($A231="","",VLOOKUP($A231,'Annex 2 EHV charges'!$D:$O,3,0))</f>
        <v/>
      </c>
      <c r="D231" s="93" t="str">
        <f>IF($A231="","",VLOOKUP($A231,'Annex 2 EHV charges'!$D:$O,4,0))</f>
        <v/>
      </c>
      <c r="E231" s="95" t="str">
        <f>IFERROR(IF(VLOOKUP($A231,'Annex 2 EHV charges'!$D:$O,9,FALSE)=0,"",VLOOKUP($A231,'Annex 2 EHV charges'!$D:$O,9,FALSE)),"")</f>
        <v/>
      </c>
      <c r="F231" s="96" t="str">
        <f>IFERROR(IF(VLOOKUP($A231,'Annex 2 EHV charges'!$D:$O,10,FALSE)=0,"",VLOOKUP($A231,'Annex 2 EHV charges'!$D:$O,10,FALSE)),"")</f>
        <v/>
      </c>
      <c r="G231" s="97" t="str">
        <f>IFERROR(IF(VLOOKUP($A231,'Annex 2 EHV charges'!$D:$O,11,FALSE)=0,"",VLOOKUP($A231,'Annex 2 EHV charges'!$D:$O,11,FALSE)),"")</f>
        <v/>
      </c>
      <c r="H231" s="97" t="str">
        <f>IFERROR(IF(VLOOKUP($A231,'Annex 2 EHV charges'!$D:$O,12,FALSE)=0,"",VLOOKUP($A231,'Annex 2 EHV charges'!$D:$O,12,FALSE)),"")</f>
        <v/>
      </c>
    </row>
    <row r="232" spans="1:8" x14ac:dyDescent="0.2">
      <c r="A232" s="94" t="str">
        <f t="array" ref="A232">IFERROR(INDEX('Annex 2 EHV charges'!$D$11:$D$58, MATCH(0, IF(ISBLANK('Annex 2 EHV charges'!$D$11:$D$58),1, COUNTIF(A$4:$A231, 'Annex 2 EHV charges'!$D$11:$D$58)), 0)),"")</f>
        <v/>
      </c>
      <c r="B232" s="93" t="str">
        <f>IF($A232="","",VLOOKUP($A232,'Annex 2 EHV charges'!$D:$O,2,0))</f>
        <v/>
      </c>
      <c r="C232" s="94" t="str">
        <f>IF($A232="","",VLOOKUP($A232,'Annex 2 EHV charges'!$D:$O,3,0))</f>
        <v/>
      </c>
      <c r="D232" s="93" t="str">
        <f>IF($A232="","",VLOOKUP($A232,'Annex 2 EHV charges'!$D:$O,4,0))</f>
        <v/>
      </c>
      <c r="E232" s="95" t="str">
        <f>IFERROR(IF(VLOOKUP($A232,'Annex 2 EHV charges'!$D:$O,9,FALSE)=0,"",VLOOKUP($A232,'Annex 2 EHV charges'!$D:$O,9,FALSE)),"")</f>
        <v/>
      </c>
      <c r="F232" s="96" t="str">
        <f>IFERROR(IF(VLOOKUP($A232,'Annex 2 EHV charges'!$D:$O,10,FALSE)=0,"",VLOOKUP($A232,'Annex 2 EHV charges'!$D:$O,10,FALSE)),"")</f>
        <v/>
      </c>
      <c r="G232" s="97" t="str">
        <f>IFERROR(IF(VLOOKUP($A232,'Annex 2 EHV charges'!$D:$O,11,FALSE)=0,"",VLOOKUP($A232,'Annex 2 EHV charges'!$D:$O,11,FALSE)),"")</f>
        <v/>
      </c>
      <c r="H232" s="97" t="str">
        <f>IFERROR(IF(VLOOKUP($A232,'Annex 2 EHV charges'!$D:$O,12,FALSE)=0,"",VLOOKUP($A232,'Annex 2 EHV charges'!$D:$O,12,FALSE)),"")</f>
        <v/>
      </c>
    </row>
    <row r="233" spans="1:8" x14ac:dyDescent="0.2">
      <c r="A233" s="94" t="str">
        <f t="array" ref="A233">IFERROR(INDEX('Annex 2 EHV charges'!$D$11:$D$58, MATCH(0, IF(ISBLANK('Annex 2 EHV charges'!$D$11:$D$58),1, COUNTIF(A$4:$A232, 'Annex 2 EHV charges'!$D$11:$D$58)), 0)),"")</f>
        <v/>
      </c>
      <c r="B233" s="93" t="str">
        <f>IF($A233="","",VLOOKUP($A233,'Annex 2 EHV charges'!$D:$O,2,0))</f>
        <v/>
      </c>
      <c r="C233" s="94" t="str">
        <f>IF($A233="","",VLOOKUP($A233,'Annex 2 EHV charges'!$D:$O,3,0))</f>
        <v/>
      </c>
      <c r="D233" s="93" t="str">
        <f>IF($A233="","",VLOOKUP($A233,'Annex 2 EHV charges'!$D:$O,4,0))</f>
        <v/>
      </c>
      <c r="E233" s="95" t="str">
        <f>IFERROR(IF(VLOOKUP($A233,'Annex 2 EHV charges'!$D:$O,9,FALSE)=0,"",VLOOKUP($A233,'Annex 2 EHV charges'!$D:$O,9,FALSE)),"")</f>
        <v/>
      </c>
      <c r="F233" s="96" t="str">
        <f>IFERROR(IF(VLOOKUP($A233,'Annex 2 EHV charges'!$D:$O,10,FALSE)=0,"",VLOOKUP($A233,'Annex 2 EHV charges'!$D:$O,10,FALSE)),"")</f>
        <v/>
      </c>
      <c r="G233" s="97" t="str">
        <f>IFERROR(IF(VLOOKUP($A233,'Annex 2 EHV charges'!$D:$O,11,FALSE)=0,"",VLOOKUP($A233,'Annex 2 EHV charges'!$D:$O,11,FALSE)),"")</f>
        <v/>
      </c>
      <c r="H233" s="97" t="str">
        <f>IFERROR(IF(VLOOKUP($A233,'Annex 2 EHV charges'!$D:$O,12,FALSE)=0,"",VLOOKUP($A233,'Annex 2 EHV charges'!$D:$O,12,FALSE)),"")</f>
        <v/>
      </c>
    </row>
    <row r="234" spans="1:8" x14ac:dyDescent="0.2">
      <c r="A234" s="94" t="str">
        <f t="array" ref="A234">IFERROR(INDEX('Annex 2 EHV charges'!$D$11:$D$58, MATCH(0, IF(ISBLANK('Annex 2 EHV charges'!$D$11:$D$58),1, COUNTIF(A$4:$A233, 'Annex 2 EHV charges'!$D$11:$D$58)), 0)),"")</f>
        <v/>
      </c>
      <c r="B234" s="93" t="str">
        <f>IF($A234="","",VLOOKUP($A234,'Annex 2 EHV charges'!$D:$O,2,0))</f>
        <v/>
      </c>
      <c r="C234" s="94" t="str">
        <f>IF($A234="","",VLOOKUP($A234,'Annex 2 EHV charges'!$D:$O,3,0))</f>
        <v/>
      </c>
      <c r="D234" s="93" t="str">
        <f>IF($A234="","",VLOOKUP($A234,'Annex 2 EHV charges'!$D:$O,4,0))</f>
        <v/>
      </c>
      <c r="E234" s="95" t="str">
        <f>IFERROR(IF(VLOOKUP($A234,'Annex 2 EHV charges'!$D:$O,9,FALSE)=0,"",VLOOKUP($A234,'Annex 2 EHV charges'!$D:$O,9,FALSE)),"")</f>
        <v/>
      </c>
      <c r="F234" s="96" t="str">
        <f>IFERROR(IF(VLOOKUP($A234,'Annex 2 EHV charges'!$D:$O,10,FALSE)=0,"",VLOOKUP($A234,'Annex 2 EHV charges'!$D:$O,10,FALSE)),"")</f>
        <v/>
      </c>
      <c r="G234" s="97" t="str">
        <f>IFERROR(IF(VLOOKUP($A234,'Annex 2 EHV charges'!$D:$O,11,FALSE)=0,"",VLOOKUP($A234,'Annex 2 EHV charges'!$D:$O,11,FALSE)),"")</f>
        <v/>
      </c>
      <c r="H234" s="97" t="str">
        <f>IFERROR(IF(VLOOKUP($A234,'Annex 2 EHV charges'!$D:$O,12,FALSE)=0,"",VLOOKUP($A234,'Annex 2 EHV charges'!$D:$O,12,FALSE)),"")</f>
        <v/>
      </c>
    </row>
    <row r="235" spans="1:8" x14ac:dyDescent="0.2">
      <c r="A235" s="94" t="str">
        <f t="array" ref="A235">IFERROR(INDEX('Annex 2 EHV charges'!$D$11:$D$58, MATCH(0, IF(ISBLANK('Annex 2 EHV charges'!$D$11:$D$58),1, COUNTIF(A$4:$A234, 'Annex 2 EHV charges'!$D$11:$D$58)), 0)),"")</f>
        <v/>
      </c>
      <c r="B235" s="93" t="str">
        <f>IF($A235="","",VLOOKUP($A235,'Annex 2 EHV charges'!$D:$O,2,0))</f>
        <v/>
      </c>
      <c r="C235" s="94" t="str">
        <f>IF($A235="","",VLOOKUP($A235,'Annex 2 EHV charges'!$D:$O,3,0))</f>
        <v/>
      </c>
      <c r="D235" s="93" t="str">
        <f>IF($A235="","",VLOOKUP($A235,'Annex 2 EHV charges'!$D:$O,4,0))</f>
        <v/>
      </c>
      <c r="E235" s="95" t="str">
        <f>IFERROR(IF(VLOOKUP($A235,'Annex 2 EHV charges'!$D:$O,9,FALSE)=0,"",VLOOKUP($A235,'Annex 2 EHV charges'!$D:$O,9,FALSE)),"")</f>
        <v/>
      </c>
      <c r="F235" s="96" t="str">
        <f>IFERROR(IF(VLOOKUP($A235,'Annex 2 EHV charges'!$D:$O,10,FALSE)=0,"",VLOOKUP($A235,'Annex 2 EHV charges'!$D:$O,10,FALSE)),"")</f>
        <v/>
      </c>
      <c r="G235" s="97" t="str">
        <f>IFERROR(IF(VLOOKUP($A235,'Annex 2 EHV charges'!$D:$O,11,FALSE)=0,"",VLOOKUP($A235,'Annex 2 EHV charges'!$D:$O,11,FALSE)),"")</f>
        <v/>
      </c>
      <c r="H235" s="97" t="str">
        <f>IFERROR(IF(VLOOKUP($A235,'Annex 2 EHV charges'!$D:$O,12,FALSE)=0,"",VLOOKUP($A235,'Annex 2 EHV charges'!$D:$O,12,FALSE)),"")</f>
        <v/>
      </c>
    </row>
    <row r="236" spans="1:8" x14ac:dyDescent="0.2">
      <c r="A236" s="94" t="str">
        <f t="array" ref="A236">IFERROR(INDEX('Annex 2 EHV charges'!$D$11:$D$58, MATCH(0, IF(ISBLANK('Annex 2 EHV charges'!$D$11:$D$58),1, COUNTIF(A$4:$A235, 'Annex 2 EHV charges'!$D$11:$D$58)), 0)),"")</f>
        <v/>
      </c>
      <c r="B236" s="93" t="str">
        <f>IF($A236="","",VLOOKUP($A236,'Annex 2 EHV charges'!$D:$O,2,0))</f>
        <v/>
      </c>
      <c r="C236" s="94" t="str">
        <f>IF($A236="","",VLOOKUP($A236,'Annex 2 EHV charges'!$D:$O,3,0))</f>
        <v/>
      </c>
      <c r="D236" s="93" t="str">
        <f>IF($A236="","",VLOOKUP($A236,'Annex 2 EHV charges'!$D:$O,4,0))</f>
        <v/>
      </c>
      <c r="E236" s="95" t="str">
        <f>IFERROR(IF(VLOOKUP($A236,'Annex 2 EHV charges'!$D:$O,9,FALSE)=0,"",VLOOKUP($A236,'Annex 2 EHV charges'!$D:$O,9,FALSE)),"")</f>
        <v/>
      </c>
      <c r="F236" s="96" t="str">
        <f>IFERROR(IF(VLOOKUP($A236,'Annex 2 EHV charges'!$D:$O,10,FALSE)=0,"",VLOOKUP($A236,'Annex 2 EHV charges'!$D:$O,10,FALSE)),"")</f>
        <v/>
      </c>
      <c r="G236" s="97" t="str">
        <f>IFERROR(IF(VLOOKUP($A236,'Annex 2 EHV charges'!$D:$O,11,FALSE)=0,"",VLOOKUP($A236,'Annex 2 EHV charges'!$D:$O,11,FALSE)),"")</f>
        <v/>
      </c>
      <c r="H236" s="97" t="str">
        <f>IFERROR(IF(VLOOKUP($A236,'Annex 2 EHV charges'!$D:$O,12,FALSE)=0,"",VLOOKUP($A236,'Annex 2 EHV charges'!$D:$O,12,FALSE)),"")</f>
        <v/>
      </c>
    </row>
    <row r="237" spans="1:8" x14ac:dyDescent="0.2">
      <c r="A237" s="94" t="str">
        <f t="array" ref="A237">IFERROR(INDEX('Annex 2 EHV charges'!$D$11:$D$58, MATCH(0, IF(ISBLANK('Annex 2 EHV charges'!$D$11:$D$58),1, COUNTIF(A$4:$A236, 'Annex 2 EHV charges'!$D$11:$D$58)), 0)),"")</f>
        <v/>
      </c>
      <c r="B237" s="93" t="str">
        <f>IF($A237="","",VLOOKUP($A237,'Annex 2 EHV charges'!$D:$O,2,0))</f>
        <v/>
      </c>
      <c r="C237" s="94" t="str">
        <f>IF($A237="","",VLOOKUP($A237,'Annex 2 EHV charges'!$D:$O,3,0))</f>
        <v/>
      </c>
      <c r="D237" s="93" t="str">
        <f>IF($A237="","",VLOOKUP($A237,'Annex 2 EHV charges'!$D:$O,4,0))</f>
        <v/>
      </c>
      <c r="E237" s="95" t="str">
        <f>IFERROR(IF(VLOOKUP($A237,'Annex 2 EHV charges'!$D:$O,9,FALSE)=0,"",VLOOKUP($A237,'Annex 2 EHV charges'!$D:$O,9,FALSE)),"")</f>
        <v/>
      </c>
      <c r="F237" s="96" t="str">
        <f>IFERROR(IF(VLOOKUP($A237,'Annex 2 EHV charges'!$D:$O,10,FALSE)=0,"",VLOOKUP($A237,'Annex 2 EHV charges'!$D:$O,10,FALSE)),"")</f>
        <v/>
      </c>
      <c r="G237" s="97" t="str">
        <f>IFERROR(IF(VLOOKUP($A237,'Annex 2 EHV charges'!$D:$O,11,FALSE)=0,"",VLOOKUP($A237,'Annex 2 EHV charges'!$D:$O,11,FALSE)),"")</f>
        <v/>
      </c>
      <c r="H237" s="97" t="str">
        <f>IFERROR(IF(VLOOKUP($A237,'Annex 2 EHV charges'!$D:$O,12,FALSE)=0,"",VLOOKUP($A237,'Annex 2 EHV charges'!$D:$O,12,FALSE)),"")</f>
        <v/>
      </c>
    </row>
    <row r="238" spans="1:8" x14ac:dyDescent="0.2">
      <c r="A238" s="94" t="str">
        <f t="array" ref="A238">IFERROR(INDEX('Annex 2 EHV charges'!$D$11:$D$58, MATCH(0, IF(ISBLANK('Annex 2 EHV charges'!$D$11:$D$58),1, COUNTIF(A$4:$A237, 'Annex 2 EHV charges'!$D$11:$D$58)), 0)),"")</f>
        <v/>
      </c>
      <c r="B238" s="93" t="str">
        <f>IF($A238="","",VLOOKUP($A238,'Annex 2 EHV charges'!$D:$O,2,0))</f>
        <v/>
      </c>
      <c r="C238" s="94" t="str">
        <f>IF($A238="","",VLOOKUP($A238,'Annex 2 EHV charges'!$D:$O,3,0))</f>
        <v/>
      </c>
      <c r="D238" s="93" t="str">
        <f>IF($A238="","",VLOOKUP($A238,'Annex 2 EHV charges'!$D:$O,4,0))</f>
        <v/>
      </c>
      <c r="E238" s="95" t="str">
        <f>IFERROR(IF(VLOOKUP($A238,'Annex 2 EHV charges'!$D:$O,9,FALSE)=0,"",VLOOKUP($A238,'Annex 2 EHV charges'!$D:$O,9,FALSE)),"")</f>
        <v/>
      </c>
      <c r="F238" s="96" t="str">
        <f>IFERROR(IF(VLOOKUP($A238,'Annex 2 EHV charges'!$D:$O,10,FALSE)=0,"",VLOOKUP($A238,'Annex 2 EHV charges'!$D:$O,10,FALSE)),"")</f>
        <v/>
      </c>
      <c r="G238" s="97" t="str">
        <f>IFERROR(IF(VLOOKUP($A238,'Annex 2 EHV charges'!$D:$O,11,FALSE)=0,"",VLOOKUP($A238,'Annex 2 EHV charges'!$D:$O,11,FALSE)),"")</f>
        <v/>
      </c>
      <c r="H238" s="97" t="str">
        <f>IFERROR(IF(VLOOKUP($A238,'Annex 2 EHV charges'!$D:$O,12,FALSE)=0,"",VLOOKUP($A238,'Annex 2 EHV charges'!$D:$O,12,FALSE)),"")</f>
        <v/>
      </c>
    </row>
    <row r="239" spans="1:8" x14ac:dyDescent="0.2">
      <c r="A239" s="94" t="str">
        <f t="array" ref="A239">IFERROR(INDEX('Annex 2 EHV charges'!$D$11:$D$58, MATCH(0, IF(ISBLANK('Annex 2 EHV charges'!$D$11:$D$58),1, COUNTIF(A$4:$A238, 'Annex 2 EHV charges'!$D$11:$D$58)), 0)),"")</f>
        <v/>
      </c>
      <c r="B239" s="93" t="str">
        <f>IF($A239="","",VLOOKUP($A239,'Annex 2 EHV charges'!$D:$O,2,0))</f>
        <v/>
      </c>
      <c r="C239" s="94" t="str">
        <f>IF($A239="","",VLOOKUP($A239,'Annex 2 EHV charges'!$D:$O,3,0))</f>
        <v/>
      </c>
      <c r="D239" s="93" t="str">
        <f>IF($A239="","",VLOOKUP($A239,'Annex 2 EHV charges'!$D:$O,4,0))</f>
        <v/>
      </c>
      <c r="E239" s="95" t="str">
        <f>IFERROR(IF(VLOOKUP($A239,'Annex 2 EHV charges'!$D:$O,9,FALSE)=0,"",VLOOKUP($A239,'Annex 2 EHV charges'!$D:$O,9,FALSE)),"")</f>
        <v/>
      </c>
      <c r="F239" s="96" t="str">
        <f>IFERROR(IF(VLOOKUP($A239,'Annex 2 EHV charges'!$D:$O,10,FALSE)=0,"",VLOOKUP($A239,'Annex 2 EHV charges'!$D:$O,10,FALSE)),"")</f>
        <v/>
      </c>
      <c r="G239" s="97" t="str">
        <f>IFERROR(IF(VLOOKUP($A239,'Annex 2 EHV charges'!$D:$O,11,FALSE)=0,"",VLOOKUP($A239,'Annex 2 EHV charges'!$D:$O,11,FALSE)),"")</f>
        <v/>
      </c>
      <c r="H239" s="97" t="str">
        <f>IFERROR(IF(VLOOKUP($A239,'Annex 2 EHV charges'!$D:$O,12,FALSE)=0,"",VLOOKUP($A239,'Annex 2 EHV charges'!$D:$O,12,FALSE)),"")</f>
        <v/>
      </c>
    </row>
    <row r="240" spans="1:8" x14ac:dyDescent="0.2">
      <c r="A240" s="94" t="str">
        <f t="array" ref="A240">IFERROR(INDEX('Annex 2 EHV charges'!$D$11:$D$58, MATCH(0, IF(ISBLANK('Annex 2 EHV charges'!$D$11:$D$58),1, COUNTIF(A$4:$A239, 'Annex 2 EHV charges'!$D$11:$D$58)), 0)),"")</f>
        <v/>
      </c>
      <c r="B240" s="93" t="str">
        <f>IF($A240="","",VLOOKUP($A240,'Annex 2 EHV charges'!$D:$O,2,0))</f>
        <v/>
      </c>
      <c r="C240" s="94" t="str">
        <f>IF($A240="","",VLOOKUP($A240,'Annex 2 EHV charges'!$D:$O,3,0))</f>
        <v/>
      </c>
      <c r="D240" s="93" t="str">
        <f>IF($A240="","",VLOOKUP($A240,'Annex 2 EHV charges'!$D:$O,4,0))</f>
        <v/>
      </c>
      <c r="E240" s="95" t="str">
        <f>IFERROR(IF(VLOOKUP($A240,'Annex 2 EHV charges'!$D:$O,9,FALSE)=0,"",VLOOKUP($A240,'Annex 2 EHV charges'!$D:$O,9,FALSE)),"")</f>
        <v/>
      </c>
      <c r="F240" s="96" t="str">
        <f>IFERROR(IF(VLOOKUP($A240,'Annex 2 EHV charges'!$D:$O,10,FALSE)=0,"",VLOOKUP($A240,'Annex 2 EHV charges'!$D:$O,10,FALSE)),"")</f>
        <v/>
      </c>
      <c r="G240" s="97" t="str">
        <f>IFERROR(IF(VLOOKUP($A240,'Annex 2 EHV charges'!$D:$O,11,FALSE)=0,"",VLOOKUP($A240,'Annex 2 EHV charges'!$D:$O,11,FALSE)),"")</f>
        <v/>
      </c>
      <c r="H240" s="97" t="str">
        <f>IFERROR(IF(VLOOKUP($A240,'Annex 2 EHV charges'!$D:$O,12,FALSE)=0,"",VLOOKUP($A240,'Annex 2 EHV charges'!$D:$O,12,FALSE)),"")</f>
        <v/>
      </c>
    </row>
    <row r="241" spans="1:8" x14ac:dyDescent="0.2">
      <c r="A241" s="94" t="str">
        <f t="array" ref="A241">IFERROR(INDEX('Annex 2 EHV charges'!$D$11:$D$58, MATCH(0, IF(ISBLANK('Annex 2 EHV charges'!$D$11:$D$58),1, COUNTIF(A$4:$A240, 'Annex 2 EHV charges'!$D$11:$D$58)), 0)),"")</f>
        <v/>
      </c>
      <c r="B241" s="93" t="str">
        <f>IF($A241="","",VLOOKUP($A241,'Annex 2 EHV charges'!$D:$O,2,0))</f>
        <v/>
      </c>
      <c r="C241" s="94" t="str">
        <f>IF($A241="","",VLOOKUP($A241,'Annex 2 EHV charges'!$D:$O,3,0))</f>
        <v/>
      </c>
      <c r="D241" s="93" t="str">
        <f>IF($A241="","",VLOOKUP($A241,'Annex 2 EHV charges'!$D:$O,4,0))</f>
        <v/>
      </c>
      <c r="E241" s="95" t="str">
        <f>IFERROR(IF(VLOOKUP($A241,'Annex 2 EHV charges'!$D:$O,9,FALSE)=0,"",VLOOKUP($A241,'Annex 2 EHV charges'!$D:$O,9,FALSE)),"")</f>
        <v/>
      </c>
      <c r="F241" s="96" t="str">
        <f>IFERROR(IF(VLOOKUP($A241,'Annex 2 EHV charges'!$D:$O,10,FALSE)=0,"",VLOOKUP($A241,'Annex 2 EHV charges'!$D:$O,10,FALSE)),"")</f>
        <v/>
      </c>
      <c r="G241" s="97" t="str">
        <f>IFERROR(IF(VLOOKUP($A241,'Annex 2 EHV charges'!$D:$O,11,FALSE)=0,"",VLOOKUP($A241,'Annex 2 EHV charges'!$D:$O,11,FALSE)),"")</f>
        <v/>
      </c>
      <c r="H241" s="97" t="str">
        <f>IFERROR(IF(VLOOKUP($A241,'Annex 2 EHV charges'!$D:$O,12,FALSE)=0,"",VLOOKUP($A241,'Annex 2 EHV charges'!$D:$O,12,FALSE)),"")</f>
        <v/>
      </c>
    </row>
    <row r="242" spans="1:8" x14ac:dyDescent="0.2">
      <c r="A242" s="94" t="str">
        <f t="array" ref="A242">IFERROR(INDEX('Annex 2 EHV charges'!$D$11:$D$58, MATCH(0, IF(ISBLANK('Annex 2 EHV charges'!$D$11:$D$58),1, COUNTIF(A$4:$A241, 'Annex 2 EHV charges'!$D$11:$D$58)), 0)),"")</f>
        <v/>
      </c>
      <c r="B242" s="93" t="str">
        <f>IF($A242="","",VLOOKUP($A242,'Annex 2 EHV charges'!$D:$O,2,0))</f>
        <v/>
      </c>
      <c r="C242" s="94" t="str">
        <f>IF($A242="","",VLOOKUP($A242,'Annex 2 EHV charges'!$D:$O,3,0))</f>
        <v/>
      </c>
      <c r="D242" s="93" t="str">
        <f>IF($A242="","",VLOOKUP($A242,'Annex 2 EHV charges'!$D:$O,4,0))</f>
        <v/>
      </c>
      <c r="E242" s="95" t="str">
        <f>IFERROR(IF(VLOOKUP($A242,'Annex 2 EHV charges'!$D:$O,9,FALSE)=0,"",VLOOKUP($A242,'Annex 2 EHV charges'!$D:$O,9,FALSE)),"")</f>
        <v/>
      </c>
      <c r="F242" s="96" t="str">
        <f>IFERROR(IF(VLOOKUP($A242,'Annex 2 EHV charges'!$D:$O,10,FALSE)=0,"",VLOOKUP($A242,'Annex 2 EHV charges'!$D:$O,10,FALSE)),"")</f>
        <v/>
      </c>
      <c r="G242" s="97" t="str">
        <f>IFERROR(IF(VLOOKUP($A242,'Annex 2 EHV charges'!$D:$O,11,FALSE)=0,"",VLOOKUP($A242,'Annex 2 EHV charges'!$D:$O,11,FALSE)),"")</f>
        <v/>
      </c>
      <c r="H242" s="97" t="str">
        <f>IFERROR(IF(VLOOKUP($A242,'Annex 2 EHV charges'!$D:$O,12,FALSE)=0,"",VLOOKUP($A242,'Annex 2 EHV charges'!$D:$O,12,FALSE)),"")</f>
        <v/>
      </c>
    </row>
    <row r="243" spans="1:8" x14ac:dyDescent="0.2">
      <c r="A243" s="94" t="str">
        <f t="array" ref="A243">IFERROR(INDEX('Annex 2 EHV charges'!$D$11:$D$58, MATCH(0, IF(ISBLANK('Annex 2 EHV charges'!$D$11:$D$58),1, COUNTIF(A$4:$A242, 'Annex 2 EHV charges'!$D$11:$D$58)), 0)),"")</f>
        <v/>
      </c>
      <c r="B243" s="93" t="str">
        <f>IF($A243="","",VLOOKUP($A243,'Annex 2 EHV charges'!$D:$O,2,0))</f>
        <v/>
      </c>
      <c r="C243" s="94" t="str">
        <f>IF($A243="","",VLOOKUP($A243,'Annex 2 EHV charges'!$D:$O,3,0))</f>
        <v/>
      </c>
      <c r="D243" s="93" t="str">
        <f>IF($A243="","",VLOOKUP($A243,'Annex 2 EHV charges'!$D:$O,4,0))</f>
        <v/>
      </c>
      <c r="E243" s="95" t="str">
        <f>IFERROR(IF(VLOOKUP($A243,'Annex 2 EHV charges'!$D:$O,9,FALSE)=0,"",VLOOKUP($A243,'Annex 2 EHV charges'!$D:$O,9,FALSE)),"")</f>
        <v/>
      </c>
      <c r="F243" s="96" t="str">
        <f>IFERROR(IF(VLOOKUP($A243,'Annex 2 EHV charges'!$D:$O,10,FALSE)=0,"",VLOOKUP($A243,'Annex 2 EHV charges'!$D:$O,10,FALSE)),"")</f>
        <v/>
      </c>
      <c r="G243" s="97" t="str">
        <f>IFERROR(IF(VLOOKUP($A243,'Annex 2 EHV charges'!$D:$O,11,FALSE)=0,"",VLOOKUP($A243,'Annex 2 EHV charges'!$D:$O,11,FALSE)),"")</f>
        <v/>
      </c>
      <c r="H243" s="97" t="str">
        <f>IFERROR(IF(VLOOKUP($A243,'Annex 2 EHV charges'!$D:$O,12,FALSE)=0,"",VLOOKUP($A243,'Annex 2 EHV charges'!$D:$O,12,FALSE)),"")</f>
        <v/>
      </c>
    </row>
    <row r="244" spans="1:8" x14ac:dyDescent="0.2">
      <c r="A244" s="94" t="str">
        <f t="array" ref="A244">IFERROR(INDEX('Annex 2 EHV charges'!$D$11:$D$58, MATCH(0, IF(ISBLANK('Annex 2 EHV charges'!$D$11:$D$58),1, COUNTIF(A$4:$A243, 'Annex 2 EHV charges'!$D$11:$D$58)), 0)),"")</f>
        <v/>
      </c>
      <c r="B244" s="93" t="str">
        <f>IF($A244="","",VLOOKUP($A244,'Annex 2 EHV charges'!$D:$O,2,0))</f>
        <v/>
      </c>
      <c r="C244" s="94" t="str">
        <f>IF($A244="","",VLOOKUP($A244,'Annex 2 EHV charges'!$D:$O,3,0))</f>
        <v/>
      </c>
      <c r="D244" s="93" t="str">
        <f>IF($A244="","",VLOOKUP($A244,'Annex 2 EHV charges'!$D:$O,4,0))</f>
        <v/>
      </c>
      <c r="E244" s="95" t="str">
        <f>IFERROR(IF(VLOOKUP($A244,'Annex 2 EHV charges'!$D:$O,9,FALSE)=0,"",VLOOKUP($A244,'Annex 2 EHV charges'!$D:$O,9,FALSE)),"")</f>
        <v/>
      </c>
      <c r="F244" s="96" t="str">
        <f>IFERROR(IF(VLOOKUP($A244,'Annex 2 EHV charges'!$D:$O,10,FALSE)=0,"",VLOOKUP($A244,'Annex 2 EHV charges'!$D:$O,10,FALSE)),"")</f>
        <v/>
      </c>
      <c r="G244" s="97" t="str">
        <f>IFERROR(IF(VLOOKUP($A244,'Annex 2 EHV charges'!$D:$O,11,FALSE)=0,"",VLOOKUP($A244,'Annex 2 EHV charges'!$D:$O,11,FALSE)),"")</f>
        <v/>
      </c>
      <c r="H244" s="97" t="str">
        <f>IFERROR(IF(VLOOKUP($A244,'Annex 2 EHV charges'!$D:$O,12,FALSE)=0,"",VLOOKUP($A244,'Annex 2 EHV charges'!$D:$O,12,FALSE)),"")</f>
        <v/>
      </c>
    </row>
    <row r="245" spans="1:8" x14ac:dyDescent="0.2">
      <c r="A245" s="94" t="str">
        <f t="array" ref="A245">IFERROR(INDEX('Annex 2 EHV charges'!$D$11:$D$58, MATCH(0, IF(ISBLANK('Annex 2 EHV charges'!$D$11:$D$58),1, COUNTIF(A$4:$A244, 'Annex 2 EHV charges'!$D$11:$D$58)), 0)),"")</f>
        <v/>
      </c>
      <c r="B245" s="93" t="str">
        <f>IF($A245="","",VLOOKUP($A245,'Annex 2 EHV charges'!$D:$O,2,0))</f>
        <v/>
      </c>
      <c r="C245" s="94" t="str">
        <f>IF($A245="","",VLOOKUP($A245,'Annex 2 EHV charges'!$D:$O,3,0))</f>
        <v/>
      </c>
      <c r="D245" s="93" t="str">
        <f>IF($A245="","",VLOOKUP($A245,'Annex 2 EHV charges'!$D:$O,4,0))</f>
        <v/>
      </c>
      <c r="E245" s="95" t="str">
        <f>IFERROR(IF(VLOOKUP($A245,'Annex 2 EHV charges'!$D:$O,9,FALSE)=0,"",VLOOKUP($A245,'Annex 2 EHV charges'!$D:$O,9,FALSE)),"")</f>
        <v/>
      </c>
      <c r="F245" s="96" t="str">
        <f>IFERROR(IF(VLOOKUP($A245,'Annex 2 EHV charges'!$D:$O,10,FALSE)=0,"",VLOOKUP($A245,'Annex 2 EHV charges'!$D:$O,10,FALSE)),"")</f>
        <v/>
      </c>
      <c r="G245" s="97" t="str">
        <f>IFERROR(IF(VLOOKUP($A245,'Annex 2 EHV charges'!$D:$O,11,FALSE)=0,"",VLOOKUP($A245,'Annex 2 EHV charges'!$D:$O,11,FALSE)),"")</f>
        <v/>
      </c>
      <c r="H245" s="97" t="str">
        <f>IFERROR(IF(VLOOKUP($A245,'Annex 2 EHV charges'!$D:$O,12,FALSE)=0,"",VLOOKUP($A245,'Annex 2 EHV charges'!$D:$O,12,FALSE)),"")</f>
        <v/>
      </c>
    </row>
    <row r="246" spans="1:8" x14ac:dyDescent="0.2">
      <c r="A246" s="94" t="str">
        <f t="array" ref="A246">IFERROR(INDEX('Annex 2 EHV charges'!$D$11:$D$58, MATCH(0, IF(ISBLANK('Annex 2 EHV charges'!$D$11:$D$58),1, COUNTIF(A$4:$A245, 'Annex 2 EHV charges'!$D$11:$D$58)), 0)),"")</f>
        <v/>
      </c>
      <c r="B246" s="93" t="str">
        <f>IF($A246="","",VLOOKUP($A246,'Annex 2 EHV charges'!$D:$O,2,0))</f>
        <v/>
      </c>
      <c r="C246" s="94" t="str">
        <f>IF($A246="","",VLOOKUP($A246,'Annex 2 EHV charges'!$D:$O,3,0))</f>
        <v/>
      </c>
      <c r="D246" s="93" t="str">
        <f>IF($A246="","",VLOOKUP($A246,'Annex 2 EHV charges'!$D:$O,4,0))</f>
        <v/>
      </c>
      <c r="E246" s="95" t="str">
        <f>IFERROR(IF(VLOOKUP($A246,'Annex 2 EHV charges'!$D:$O,9,FALSE)=0,"",VLOOKUP($A246,'Annex 2 EHV charges'!$D:$O,9,FALSE)),"")</f>
        <v/>
      </c>
      <c r="F246" s="96" t="str">
        <f>IFERROR(IF(VLOOKUP($A246,'Annex 2 EHV charges'!$D:$O,10,FALSE)=0,"",VLOOKUP($A246,'Annex 2 EHV charges'!$D:$O,10,FALSE)),"")</f>
        <v/>
      </c>
      <c r="G246" s="97" t="str">
        <f>IFERROR(IF(VLOOKUP($A246,'Annex 2 EHV charges'!$D:$O,11,FALSE)=0,"",VLOOKUP($A246,'Annex 2 EHV charges'!$D:$O,11,FALSE)),"")</f>
        <v/>
      </c>
      <c r="H246" s="97" t="str">
        <f>IFERROR(IF(VLOOKUP($A246,'Annex 2 EHV charges'!$D:$O,12,FALSE)=0,"",VLOOKUP($A246,'Annex 2 EHV charges'!$D:$O,12,FALSE)),"")</f>
        <v/>
      </c>
    </row>
    <row r="247" spans="1:8" x14ac:dyDescent="0.2">
      <c r="A247" s="94" t="str">
        <f t="array" ref="A247">IFERROR(INDEX('Annex 2 EHV charges'!$D$11:$D$58, MATCH(0, IF(ISBLANK('Annex 2 EHV charges'!$D$11:$D$58),1, COUNTIF(A$4:$A246, 'Annex 2 EHV charges'!$D$11:$D$58)), 0)),"")</f>
        <v/>
      </c>
      <c r="B247" s="93" t="str">
        <f>IF($A247="","",VLOOKUP($A247,'Annex 2 EHV charges'!$D:$O,2,0))</f>
        <v/>
      </c>
      <c r="C247" s="94" t="str">
        <f>IF($A247="","",VLOOKUP($A247,'Annex 2 EHV charges'!$D:$O,3,0))</f>
        <v/>
      </c>
      <c r="D247" s="93" t="str">
        <f>IF($A247="","",VLOOKUP($A247,'Annex 2 EHV charges'!$D:$O,4,0))</f>
        <v/>
      </c>
      <c r="E247" s="95" t="str">
        <f>IFERROR(IF(VLOOKUP($A247,'Annex 2 EHV charges'!$D:$O,9,FALSE)=0,"",VLOOKUP($A247,'Annex 2 EHV charges'!$D:$O,9,FALSE)),"")</f>
        <v/>
      </c>
      <c r="F247" s="96" t="str">
        <f>IFERROR(IF(VLOOKUP($A247,'Annex 2 EHV charges'!$D:$O,10,FALSE)=0,"",VLOOKUP($A247,'Annex 2 EHV charges'!$D:$O,10,FALSE)),"")</f>
        <v/>
      </c>
      <c r="G247" s="97" t="str">
        <f>IFERROR(IF(VLOOKUP($A247,'Annex 2 EHV charges'!$D:$O,11,FALSE)=0,"",VLOOKUP($A247,'Annex 2 EHV charges'!$D:$O,11,FALSE)),"")</f>
        <v/>
      </c>
      <c r="H247" s="97" t="str">
        <f>IFERROR(IF(VLOOKUP($A247,'Annex 2 EHV charges'!$D:$O,12,FALSE)=0,"",VLOOKUP($A247,'Annex 2 EHV charges'!$D:$O,12,FALSE)),"")</f>
        <v/>
      </c>
    </row>
    <row r="248" spans="1:8" x14ac:dyDescent="0.2">
      <c r="A248" s="94" t="str">
        <f t="array" ref="A248">IFERROR(INDEX('Annex 2 EHV charges'!$D$11:$D$58, MATCH(0, IF(ISBLANK('Annex 2 EHV charges'!$D$11:$D$58),1, COUNTIF(A$4:$A247, 'Annex 2 EHV charges'!$D$11:$D$58)), 0)),"")</f>
        <v/>
      </c>
      <c r="B248" s="93" t="str">
        <f>IF($A248="","",VLOOKUP($A248,'Annex 2 EHV charges'!$D:$O,2,0))</f>
        <v/>
      </c>
      <c r="C248" s="94" t="str">
        <f>IF($A248="","",VLOOKUP($A248,'Annex 2 EHV charges'!$D:$O,3,0))</f>
        <v/>
      </c>
      <c r="D248" s="93" t="str">
        <f>IF($A248="","",VLOOKUP($A248,'Annex 2 EHV charges'!$D:$O,4,0))</f>
        <v/>
      </c>
      <c r="E248" s="95" t="str">
        <f>IFERROR(IF(VLOOKUP($A248,'Annex 2 EHV charges'!$D:$O,9,FALSE)=0,"",VLOOKUP($A248,'Annex 2 EHV charges'!$D:$O,9,FALSE)),"")</f>
        <v/>
      </c>
      <c r="F248" s="96" t="str">
        <f>IFERROR(IF(VLOOKUP($A248,'Annex 2 EHV charges'!$D:$O,10,FALSE)=0,"",VLOOKUP($A248,'Annex 2 EHV charges'!$D:$O,10,FALSE)),"")</f>
        <v/>
      </c>
      <c r="G248" s="97" t="str">
        <f>IFERROR(IF(VLOOKUP($A248,'Annex 2 EHV charges'!$D:$O,11,FALSE)=0,"",VLOOKUP($A248,'Annex 2 EHV charges'!$D:$O,11,FALSE)),"")</f>
        <v/>
      </c>
      <c r="H248" s="97" t="str">
        <f>IFERROR(IF(VLOOKUP($A248,'Annex 2 EHV charges'!$D:$O,12,FALSE)=0,"",VLOOKUP($A248,'Annex 2 EHV charges'!$D:$O,12,FALSE)),"")</f>
        <v/>
      </c>
    </row>
    <row r="249" spans="1:8" x14ac:dyDescent="0.2">
      <c r="A249" s="94" t="str">
        <f t="array" ref="A249">IFERROR(INDEX('Annex 2 EHV charges'!$D$11:$D$58, MATCH(0, IF(ISBLANK('Annex 2 EHV charges'!$D$11:$D$58),1, COUNTIF(A$4:$A248, 'Annex 2 EHV charges'!$D$11:$D$58)), 0)),"")</f>
        <v/>
      </c>
      <c r="B249" s="93" t="str">
        <f>IF($A249="","",VLOOKUP($A249,'Annex 2 EHV charges'!$D:$O,2,0))</f>
        <v/>
      </c>
      <c r="C249" s="94" t="str">
        <f>IF($A249="","",VLOOKUP($A249,'Annex 2 EHV charges'!$D:$O,3,0))</f>
        <v/>
      </c>
      <c r="D249" s="93" t="str">
        <f>IF($A249="","",VLOOKUP($A249,'Annex 2 EHV charges'!$D:$O,4,0))</f>
        <v/>
      </c>
      <c r="E249" s="95" t="str">
        <f>IFERROR(IF(VLOOKUP($A249,'Annex 2 EHV charges'!$D:$O,9,FALSE)=0,"",VLOOKUP($A249,'Annex 2 EHV charges'!$D:$O,9,FALSE)),"")</f>
        <v/>
      </c>
      <c r="F249" s="96" t="str">
        <f>IFERROR(IF(VLOOKUP($A249,'Annex 2 EHV charges'!$D:$O,10,FALSE)=0,"",VLOOKUP($A249,'Annex 2 EHV charges'!$D:$O,10,FALSE)),"")</f>
        <v/>
      </c>
      <c r="G249" s="97" t="str">
        <f>IFERROR(IF(VLOOKUP($A249,'Annex 2 EHV charges'!$D:$O,11,FALSE)=0,"",VLOOKUP($A249,'Annex 2 EHV charges'!$D:$O,11,FALSE)),"")</f>
        <v/>
      </c>
      <c r="H249" s="97" t="str">
        <f>IFERROR(IF(VLOOKUP($A249,'Annex 2 EHV charges'!$D:$O,12,FALSE)=0,"",VLOOKUP($A249,'Annex 2 EHV charges'!$D:$O,12,FALSE)),"")</f>
        <v/>
      </c>
    </row>
    <row r="250" spans="1:8" x14ac:dyDescent="0.2">
      <c r="A250" s="94" t="str">
        <f t="array" ref="A250">IFERROR(INDEX('Annex 2 EHV charges'!$D$11:$D$58, MATCH(0, IF(ISBLANK('Annex 2 EHV charges'!$D$11:$D$58),1, COUNTIF(A$4:$A249, 'Annex 2 EHV charges'!$D$11:$D$58)), 0)),"")</f>
        <v/>
      </c>
      <c r="B250" s="93" t="str">
        <f>IF($A250="","",VLOOKUP($A250,'Annex 2 EHV charges'!$D:$O,2,0))</f>
        <v/>
      </c>
      <c r="C250" s="94" t="str">
        <f>IF($A250="","",VLOOKUP($A250,'Annex 2 EHV charges'!$D:$O,3,0))</f>
        <v/>
      </c>
      <c r="D250" s="93" t="str">
        <f>IF($A250="","",VLOOKUP($A250,'Annex 2 EHV charges'!$D:$O,4,0))</f>
        <v/>
      </c>
      <c r="E250" s="95" t="str">
        <f>IFERROR(IF(VLOOKUP($A250,'Annex 2 EHV charges'!$D:$O,9,FALSE)=0,"",VLOOKUP($A250,'Annex 2 EHV charges'!$D:$O,9,FALSE)),"")</f>
        <v/>
      </c>
      <c r="F250" s="96" t="str">
        <f>IFERROR(IF(VLOOKUP($A250,'Annex 2 EHV charges'!$D:$O,10,FALSE)=0,"",VLOOKUP($A250,'Annex 2 EHV charges'!$D:$O,10,FALSE)),"")</f>
        <v/>
      </c>
      <c r="G250" s="97" t="str">
        <f>IFERROR(IF(VLOOKUP($A250,'Annex 2 EHV charges'!$D:$O,11,FALSE)=0,"",VLOOKUP($A250,'Annex 2 EHV charges'!$D:$O,11,FALSE)),"")</f>
        <v/>
      </c>
      <c r="H250" s="97" t="str">
        <f>IFERROR(IF(VLOOKUP($A250,'Annex 2 EHV charges'!$D:$O,12,FALSE)=0,"",VLOOKUP($A250,'Annex 2 EHV charges'!$D:$O,12,FALSE)),"")</f>
        <v/>
      </c>
    </row>
    <row r="251" spans="1:8" x14ac:dyDescent="0.2">
      <c r="A251" s="94" t="str">
        <f t="array" ref="A251">IFERROR(INDEX('Annex 2 EHV charges'!$D$11:$D$58, MATCH(0, IF(ISBLANK('Annex 2 EHV charges'!$D$11:$D$58),1, COUNTIF(A$4:$A250, 'Annex 2 EHV charges'!$D$11:$D$58)), 0)),"")</f>
        <v/>
      </c>
      <c r="B251" s="93" t="str">
        <f>IF($A251="","",VLOOKUP($A251,'Annex 2 EHV charges'!$D:$O,2,0))</f>
        <v/>
      </c>
      <c r="C251" s="94" t="str">
        <f>IF($A251="","",VLOOKUP($A251,'Annex 2 EHV charges'!$D:$O,3,0))</f>
        <v/>
      </c>
      <c r="D251" s="93" t="str">
        <f>IF($A251="","",VLOOKUP($A251,'Annex 2 EHV charges'!$D:$O,4,0))</f>
        <v/>
      </c>
      <c r="E251" s="95" t="str">
        <f>IFERROR(IF(VLOOKUP($A251,'Annex 2 EHV charges'!$D:$O,9,FALSE)=0,"",VLOOKUP($A251,'Annex 2 EHV charges'!$D:$O,9,FALSE)),"")</f>
        <v/>
      </c>
      <c r="F251" s="96" t="str">
        <f>IFERROR(IF(VLOOKUP($A251,'Annex 2 EHV charges'!$D:$O,10,FALSE)=0,"",VLOOKUP($A251,'Annex 2 EHV charges'!$D:$O,10,FALSE)),"")</f>
        <v/>
      </c>
      <c r="G251" s="97" t="str">
        <f>IFERROR(IF(VLOOKUP($A251,'Annex 2 EHV charges'!$D:$O,11,FALSE)=0,"",VLOOKUP($A251,'Annex 2 EHV charges'!$D:$O,11,FALSE)),"")</f>
        <v/>
      </c>
      <c r="H251" s="97" t="str">
        <f>IFERROR(IF(VLOOKUP($A251,'Annex 2 EHV charges'!$D:$O,12,FALSE)=0,"",VLOOKUP($A251,'Annex 2 EHV charges'!$D:$O,12,FALSE)),"")</f>
        <v/>
      </c>
    </row>
    <row r="252" spans="1:8" x14ac:dyDescent="0.2">
      <c r="A252" s="94" t="str">
        <f t="array" ref="A252">IFERROR(INDEX('Annex 2 EHV charges'!$D$11:$D$58, MATCH(0, IF(ISBLANK('Annex 2 EHV charges'!$D$11:$D$58),1, COUNTIF(A$4:$A251, 'Annex 2 EHV charges'!$D$11:$D$58)), 0)),"")</f>
        <v/>
      </c>
      <c r="B252" s="93" t="str">
        <f>IF($A252="","",VLOOKUP($A252,'Annex 2 EHV charges'!$D:$O,2,0))</f>
        <v/>
      </c>
      <c r="C252" s="94" t="str">
        <f>IF($A252="","",VLOOKUP($A252,'Annex 2 EHV charges'!$D:$O,3,0))</f>
        <v/>
      </c>
      <c r="D252" s="93" t="str">
        <f>IF($A252="","",VLOOKUP($A252,'Annex 2 EHV charges'!$D:$O,4,0))</f>
        <v/>
      </c>
      <c r="E252" s="95" t="str">
        <f>IFERROR(IF(VLOOKUP($A252,'Annex 2 EHV charges'!$D:$O,9,FALSE)=0,"",VLOOKUP($A252,'Annex 2 EHV charges'!$D:$O,9,FALSE)),"")</f>
        <v/>
      </c>
      <c r="F252" s="96" t="str">
        <f>IFERROR(IF(VLOOKUP($A252,'Annex 2 EHV charges'!$D:$O,10,FALSE)=0,"",VLOOKUP($A252,'Annex 2 EHV charges'!$D:$O,10,FALSE)),"")</f>
        <v/>
      </c>
      <c r="G252" s="97" t="str">
        <f>IFERROR(IF(VLOOKUP($A252,'Annex 2 EHV charges'!$D:$O,11,FALSE)=0,"",VLOOKUP($A252,'Annex 2 EHV charges'!$D:$O,11,FALSE)),"")</f>
        <v/>
      </c>
      <c r="H252" s="97" t="str">
        <f>IFERROR(IF(VLOOKUP($A252,'Annex 2 EHV charges'!$D:$O,12,FALSE)=0,"",VLOOKUP($A252,'Annex 2 EHV charges'!$D:$O,12,FALSE)),"")</f>
        <v/>
      </c>
    </row>
    <row r="253" spans="1:8" x14ac:dyDescent="0.2">
      <c r="A253" s="94" t="str">
        <f t="array" ref="A253">IFERROR(INDEX('Annex 2 EHV charges'!$D$11:$D$58, MATCH(0, IF(ISBLANK('Annex 2 EHV charges'!$D$11:$D$58),1, COUNTIF(A$4:$A252, 'Annex 2 EHV charges'!$D$11:$D$58)), 0)),"")</f>
        <v/>
      </c>
      <c r="B253" s="93" t="str">
        <f>IF($A253="","",VLOOKUP($A253,'Annex 2 EHV charges'!$D:$O,2,0))</f>
        <v/>
      </c>
      <c r="C253" s="94" t="str">
        <f>IF($A253="","",VLOOKUP($A253,'Annex 2 EHV charges'!$D:$O,3,0))</f>
        <v/>
      </c>
      <c r="D253" s="93" t="str">
        <f>IF($A253="","",VLOOKUP($A253,'Annex 2 EHV charges'!$D:$O,4,0))</f>
        <v/>
      </c>
      <c r="E253" s="95" t="str">
        <f>IFERROR(IF(VLOOKUP($A253,'Annex 2 EHV charges'!$D:$O,9,FALSE)=0,"",VLOOKUP($A253,'Annex 2 EHV charges'!$D:$O,9,FALSE)),"")</f>
        <v/>
      </c>
      <c r="F253" s="96" t="str">
        <f>IFERROR(IF(VLOOKUP($A253,'Annex 2 EHV charges'!$D:$O,10,FALSE)=0,"",VLOOKUP($A253,'Annex 2 EHV charges'!$D:$O,10,FALSE)),"")</f>
        <v/>
      </c>
      <c r="G253" s="97" t="str">
        <f>IFERROR(IF(VLOOKUP($A253,'Annex 2 EHV charges'!$D:$O,11,FALSE)=0,"",VLOOKUP($A253,'Annex 2 EHV charges'!$D:$O,11,FALSE)),"")</f>
        <v/>
      </c>
      <c r="H253" s="97" t="str">
        <f>IFERROR(IF(VLOOKUP($A253,'Annex 2 EHV charges'!$D:$O,12,FALSE)=0,"",VLOOKUP($A253,'Annex 2 EHV charges'!$D:$O,12,FALSE)),"")</f>
        <v/>
      </c>
    </row>
    <row r="254" spans="1:8" x14ac:dyDescent="0.2">
      <c r="A254" s="94" t="str">
        <f t="array" ref="A254">IFERROR(INDEX('Annex 2 EHV charges'!$D$11:$D$58, MATCH(0, IF(ISBLANK('Annex 2 EHV charges'!$D$11:$D$58),1, COUNTIF(A$4:$A253, 'Annex 2 EHV charges'!$D$11:$D$58)), 0)),"")</f>
        <v/>
      </c>
      <c r="B254" s="93" t="str">
        <f>IF($A254="","",VLOOKUP($A254,'Annex 2 EHV charges'!$D:$O,2,0))</f>
        <v/>
      </c>
      <c r="C254" s="94" t="str">
        <f>IF($A254="","",VLOOKUP($A254,'Annex 2 EHV charges'!$D:$O,3,0))</f>
        <v/>
      </c>
      <c r="D254" s="93" t="str">
        <f>IF($A254="","",VLOOKUP($A254,'Annex 2 EHV charges'!$D:$O,4,0))</f>
        <v/>
      </c>
      <c r="E254" s="95" t="str">
        <f>IFERROR(IF(VLOOKUP($A254,'Annex 2 EHV charges'!$D:$O,9,FALSE)=0,"",VLOOKUP($A254,'Annex 2 EHV charges'!$D:$O,9,FALSE)),"")</f>
        <v/>
      </c>
      <c r="F254" s="96" t="str">
        <f>IFERROR(IF(VLOOKUP($A254,'Annex 2 EHV charges'!$D:$O,10,FALSE)=0,"",VLOOKUP($A254,'Annex 2 EHV charges'!$D:$O,10,FALSE)),"")</f>
        <v/>
      </c>
      <c r="G254" s="97" t="str">
        <f>IFERROR(IF(VLOOKUP($A254,'Annex 2 EHV charges'!$D:$O,11,FALSE)=0,"",VLOOKUP($A254,'Annex 2 EHV charges'!$D:$O,11,FALSE)),"")</f>
        <v/>
      </c>
      <c r="H254" s="97"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1" t="s">
        <v>18</v>
      </c>
      <c r="B1" s="3"/>
      <c r="D1" s="3"/>
      <c r="E1" s="3"/>
      <c r="F1" s="3"/>
      <c r="G1" s="8"/>
      <c r="H1" s="4"/>
      <c r="I1" s="4"/>
    </row>
    <row r="2" spans="1:12" s="2" customFormat="1" ht="27" customHeight="1" x14ac:dyDescent="0.2">
      <c r="A2" s="236" t="str">
        <f>Overview!B4&amp; " - Effective from "&amp;Overview!D4&amp;" - "&amp;Overview!E4&amp;" LV and HV tariffs"</f>
        <v>London Power Networks - Effective from 1 April 2021 - Final LV and HV tariffs</v>
      </c>
      <c r="B2" s="236"/>
      <c r="C2" s="236"/>
      <c r="D2" s="236"/>
      <c r="E2" s="236"/>
      <c r="F2" s="236"/>
      <c r="G2" s="236"/>
      <c r="H2" s="236"/>
      <c r="I2" s="236"/>
      <c r="J2" s="236"/>
      <c r="K2" s="4"/>
      <c r="L2" s="4"/>
    </row>
    <row r="3" spans="1:12" s="2" customFormat="1" ht="27" customHeight="1" x14ac:dyDescent="0.2">
      <c r="A3" s="268" t="s">
        <v>164</v>
      </c>
      <c r="B3" s="268"/>
      <c r="C3" s="268"/>
      <c r="D3" s="268"/>
      <c r="E3" s="268"/>
      <c r="F3" s="268"/>
      <c r="G3" s="268"/>
      <c r="H3" s="268"/>
      <c r="I3" s="268"/>
      <c r="J3" s="268"/>
      <c r="K3" s="4"/>
      <c r="L3" s="4"/>
    </row>
    <row r="4" spans="1:12" s="2" customFormat="1" ht="71.25" customHeight="1" x14ac:dyDescent="0.2">
      <c r="A4" s="13"/>
      <c r="B4" s="24" t="s">
        <v>0</v>
      </c>
      <c r="C4" s="12" t="s">
        <v>23</v>
      </c>
      <c r="D4" s="47" t="s">
        <v>165</v>
      </c>
      <c r="E4" s="47" t="s">
        <v>167</v>
      </c>
      <c r="F4" s="47" t="s">
        <v>166</v>
      </c>
      <c r="G4" s="147" t="s">
        <v>24</v>
      </c>
      <c r="H4" s="12"/>
      <c r="I4" s="12"/>
      <c r="J4" s="12"/>
      <c r="K4" s="4"/>
      <c r="L4" s="4"/>
    </row>
    <row r="5" spans="1:12" s="2" customFormat="1" ht="32.25" customHeight="1" x14ac:dyDescent="0.2">
      <c r="A5" s="14"/>
      <c r="B5" s="23"/>
      <c r="C5" s="15"/>
      <c r="D5" s="16"/>
      <c r="E5" s="16"/>
      <c r="F5" s="16"/>
      <c r="G5" s="17"/>
      <c r="H5" s="22"/>
      <c r="I5" s="22"/>
      <c r="J5" s="22"/>
      <c r="K5" s="4"/>
      <c r="L5" s="4"/>
    </row>
    <row r="6" spans="1:12" ht="12.75" customHeight="1" x14ac:dyDescent="0.2">
      <c r="A6" s="269" t="s">
        <v>2</v>
      </c>
      <c r="B6" s="253" t="s">
        <v>547</v>
      </c>
      <c r="C6" s="254"/>
      <c r="D6" s="254"/>
      <c r="E6" s="254"/>
      <c r="F6" s="254"/>
      <c r="G6" s="254"/>
      <c r="H6" s="254"/>
      <c r="I6" s="254"/>
      <c r="J6" s="255"/>
    </row>
    <row r="7" spans="1:12" x14ac:dyDescent="0.2">
      <c r="A7" s="269"/>
      <c r="B7" s="256"/>
      <c r="C7" s="257"/>
      <c r="D7" s="257"/>
      <c r="E7" s="257"/>
      <c r="F7" s="257"/>
      <c r="G7" s="257"/>
      <c r="H7" s="257"/>
      <c r="I7" s="257"/>
      <c r="J7" s="258"/>
    </row>
    <row r="8" spans="1:12" x14ac:dyDescent="0.2">
      <c r="A8" s="269"/>
      <c r="B8" s="259"/>
      <c r="C8" s="260"/>
      <c r="D8" s="260"/>
      <c r="E8" s="260"/>
      <c r="F8" s="260"/>
      <c r="G8" s="260"/>
      <c r="H8" s="260"/>
      <c r="I8" s="260"/>
      <c r="J8" s="261"/>
    </row>
    <row r="9" spans="1:12" x14ac:dyDescent="0.2">
      <c r="A9" s="42"/>
      <c r="B9" s="42"/>
      <c r="C9" s="42"/>
      <c r="D9" s="42"/>
      <c r="E9" s="42"/>
      <c r="F9" s="42"/>
      <c r="G9" s="42"/>
      <c r="H9" s="42"/>
      <c r="I9" s="42"/>
      <c r="J9" s="42"/>
    </row>
    <row r="10" spans="1:12" x14ac:dyDescent="0.2">
      <c r="A10" s="42"/>
      <c r="B10" s="42"/>
      <c r="C10" s="42"/>
      <c r="D10" s="42"/>
      <c r="E10" s="42"/>
      <c r="F10" s="42"/>
      <c r="G10" s="42"/>
      <c r="H10" s="42"/>
      <c r="I10" s="42"/>
      <c r="J10" s="42"/>
    </row>
    <row r="11" spans="1:12" s="2" customFormat="1" ht="27" customHeight="1" x14ac:dyDescent="0.2">
      <c r="A11" s="268" t="s">
        <v>161</v>
      </c>
      <c r="B11" s="268"/>
      <c r="C11" s="268"/>
      <c r="D11" s="268"/>
      <c r="E11" s="268"/>
      <c r="F11" s="268"/>
      <c r="G11" s="268"/>
      <c r="H11" s="268"/>
      <c r="I11" s="268"/>
      <c r="J11" s="268"/>
      <c r="K11" s="4"/>
      <c r="L11" s="4"/>
    </row>
    <row r="12" spans="1:12" s="2" customFormat="1" ht="58.5" customHeight="1" x14ac:dyDescent="0.2">
      <c r="A12" s="13"/>
      <c r="B12" s="24" t="s">
        <v>0</v>
      </c>
      <c r="C12" s="12" t="s">
        <v>23</v>
      </c>
      <c r="D12" s="47" t="s">
        <v>165</v>
      </c>
      <c r="E12" s="47" t="s">
        <v>167</v>
      </c>
      <c r="F12" s="47" t="s">
        <v>166</v>
      </c>
      <c r="G12" s="130" t="s">
        <v>24</v>
      </c>
      <c r="H12" s="130" t="s">
        <v>25</v>
      </c>
      <c r="I12" s="24" t="s">
        <v>132</v>
      </c>
      <c r="J12" s="130" t="s">
        <v>32</v>
      </c>
      <c r="K12" s="4"/>
      <c r="L12" s="4"/>
    </row>
    <row r="13" spans="1:12" s="2" customFormat="1" ht="32.25" customHeight="1" x14ac:dyDescent="0.2">
      <c r="A13" s="14"/>
      <c r="B13" s="23"/>
      <c r="C13" s="15"/>
      <c r="D13" s="16"/>
      <c r="E13" s="16"/>
      <c r="F13" s="16"/>
      <c r="G13" s="17"/>
      <c r="H13" s="17"/>
      <c r="I13" s="17"/>
      <c r="J13" s="16"/>
      <c r="K13" s="4"/>
      <c r="L13" s="4"/>
    </row>
    <row r="14" spans="1:12" ht="12.75" customHeight="1" x14ac:dyDescent="0.2">
      <c r="A14" s="262" t="s">
        <v>2</v>
      </c>
      <c r="B14" s="253" t="s">
        <v>548</v>
      </c>
      <c r="C14" s="254"/>
      <c r="D14" s="254"/>
      <c r="E14" s="254"/>
      <c r="F14" s="254"/>
      <c r="G14" s="254"/>
      <c r="H14" s="254"/>
      <c r="I14" s="254"/>
      <c r="J14" s="265"/>
    </row>
    <row r="15" spans="1:12" ht="12.75" customHeight="1" x14ac:dyDescent="0.2">
      <c r="A15" s="263"/>
      <c r="B15" s="256"/>
      <c r="C15" s="257"/>
      <c r="D15" s="257"/>
      <c r="E15" s="257"/>
      <c r="F15" s="257"/>
      <c r="G15" s="257"/>
      <c r="H15" s="257"/>
      <c r="I15" s="257"/>
      <c r="J15" s="266"/>
    </row>
    <row r="16" spans="1:12" ht="12.75" customHeight="1" x14ac:dyDescent="0.2">
      <c r="A16" s="264"/>
      <c r="B16" s="259"/>
      <c r="C16" s="260"/>
      <c r="D16" s="260"/>
      <c r="E16" s="260"/>
      <c r="F16" s="260"/>
      <c r="G16" s="260"/>
      <c r="H16" s="260"/>
      <c r="I16" s="260"/>
      <c r="J16" s="267"/>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10"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3" fitToHeight="0" orientation="portrait" r:id="rId2"/>
  <headerFooter scaleWithDoc="0">
    <oddHeader>&amp;L
Annex 3 - Schedule of Charges for use of the Distribution System to Preserved/Additional LLFC Classes</oddHeader>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117"/>
  <sheetViews>
    <sheetView zoomScale="70" zoomScaleNormal="7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7"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1" t="s">
        <v>18</v>
      </c>
      <c r="B1" s="270" t="s">
        <v>128</v>
      </c>
      <c r="C1" s="271"/>
      <c r="D1" s="271"/>
      <c r="F1" s="272" t="s">
        <v>131</v>
      </c>
      <c r="G1" s="273"/>
      <c r="H1" s="274"/>
      <c r="I1" s="4"/>
      <c r="J1" s="2"/>
      <c r="K1" s="2"/>
    </row>
    <row r="2" spans="1:13" ht="31.5" customHeight="1" x14ac:dyDescent="0.2">
      <c r="A2" s="275" t="str">
        <f>Overview!B4&amp; " - Effective from "&amp;Overview!D4&amp;" - "&amp;Overview!E4&amp;" LDNO tariffs"</f>
        <v>London Power Networks - Effective from 1 April 2021 - Final LDNO tariffs</v>
      </c>
      <c r="B2" s="275"/>
      <c r="C2" s="275"/>
      <c r="D2" s="275"/>
      <c r="E2" s="275"/>
      <c r="F2" s="275"/>
      <c r="G2" s="275"/>
      <c r="H2" s="275"/>
      <c r="I2" s="275"/>
      <c r="J2" s="275"/>
    </row>
    <row r="3" spans="1:13" ht="8.25" customHeight="1" x14ac:dyDescent="0.2">
      <c r="A3" s="82"/>
      <c r="B3" s="82"/>
      <c r="C3" s="82"/>
      <c r="D3" s="82"/>
      <c r="E3" s="82"/>
      <c r="F3" s="82"/>
      <c r="G3" s="82"/>
      <c r="H3" s="82"/>
      <c r="I3" s="82"/>
      <c r="J3" s="82"/>
    </row>
    <row r="4" spans="1:13" ht="27" customHeight="1" x14ac:dyDescent="0.2">
      <c r="A4" s="236" t="s">
        <v>162</v>
      </c>
      <c r="B4" s="236"/>
      <c r="C4" s="236"/>
      <c r="D4" s="236"/>
      <c r="E4" s="84"/>
      <c r="F4" s="236" t="s">
        <v>163</v>
      </c>
      <c r="G4" s="236"/>
      <c r="H4" s="236"/>
      <c r="I4" s="236"/>
      <c r="J4" s="236"/>
      <c r="L4" s="4"/>
    </row>
    <row r="5" spans="1:13" ht="32.25" customHeight="1" x14ac:dyDescent="0.2">
      <c r="A5" s="69" t="s">
        <v>12</v>
      </c>
      <c r="B5" s="74" t="s">
        <v>57</v>
      </c>
      <c r="C5" s="89" t="s">
        <v>58</v>
      </c>
      <c r="D5" s="71" t="s">
        <v>59</v>
      </c>
      <c r="E5" s="78"/>
      <c r="F5" s="240"/>
      <c r="G5" s="241"/>
      <c r="H5" s="75" t="s">
        <v>64</v>
      </c>
      <c r="I5" s="76" t="s">
        <v>65</v>
      </c>
      <c r="J5" s="71" t="s">
        <v>59</v>
      </c>
      <c r="K5" s="78"/>
      <c r="L5" s="4"/>
      <c r="M5" s="4"/>
    </row>
    <row r="6" spans="1:13" ht="56.25" customHeight="1" x14ac:dyDescent="0.2">
      <c r="A6" s="191" t="s">
        <v>60</v>
      </c>
      <c r="B6" s="19" t="s">
        <v>532</v>
      </c>
      <c r="C6" s="193" t="s">
        <v>533</v>
      </c>
      <c r="D6" s="194" t="s">
        <v>534</v>
      </c>
      <c r="E6" s="78"/>
      <c r="F6" s="232" t="s">
        <v>61</v>
      </c>
      <c r="G6" s="232"/>
      <c r="H6" s="19" t="s">
        <v>537</v>
      </c>
      <c r="I6" s="77" t="s">
        <v>538</v>
      </c>
      <c r="J6" s="194" t="s">
        <v>534</v>
      </c>
      <c r="K6" s="78"/>
      <c r="L6" s="4"/>
      <c r="M6" s="4"/>
    </row>
    <row r="7" spans="1:13" ht="56.25" customHeight="1" x14ac:dyDescent="0.2">
      <c r="A7" s="191" t="s">
        <v>14</v>
      </c>
      <c r="B7" s="192"/>
      <c r="C7" s="198"/>
      <c r="D7" s="77" t="s">
        <v>535</v>
      </c>
      <c r="E7" s="78"/>
      <c r="F7" s="232" t="s">
        <v>62</v>
      </c>
      <c r="G7" s="232"/>
      <c r="H7" s="190" t="s">
        <v>539</v>
      </c>
      <c r="I7" s="77" t="s">
        <v>540</v>
      </c>
      <c r="J7" s="194" t="s">
        <v>534</v>
      </c>
      <c r="K7" s="78"/>
      <c r="L7" s="4"/>
      <c r="M7" s="4"/>
    </row>
    <row r="8" spans="1:13" ht="55.5" customHeight="1" x14ac:dyDescent="0.2">
      <c r="A8" s="73" t="s">
        <v>13</v>
      </c>
      <c r="B8" s="230" t="s">
        <v>536</v>
      </c>
      <c r="C8" s="243"/>
      <c r="D8" s="231"/>
      <c r="E8" s="78"/>
      <c r="F8" s="232" t="s">
        <v>541</v>
      </c>
      <c r="G8" s="232"/>
      <c r="H8" s="192"/>
      <c r="I8" s="77" t="s">
        <v>542</v>
      </c>
      <c r="J8" s="194" t="s">
        <v>534</v>
      </c>
      <c r="K8" s="78"/>
      <c r="L8" s="4"/>
      <c r="M8" s="4"/>
    </row>
    <row r="9" spans="1:13" s="70" customFormat="1" ht="55.5" customHeight="1" x14ac:dyDescent="0.2">
      <c r="A9" s="80"/>
      <c r="E9" s="83"/>
      <c r="F9" s="232" t="s">
        <v>68</v>
      </c>
      <c r="G9" s="232"/>
      <c r="H9" s="192"/>
      <c r="I9" s="192"/>
      <c r="J9" s="77" t="s">
        <v>535</v>
      </c>
      <c r="K9" s="78"/>
      <c r="L9" s="42"/>
      <c r="M9" s="42"/>
    </row>
    <row r="10" spans="1:13" ht="27.75" customHeight="1" x14ac:dyDescent="0.2">
      <c r="F10" s="232" t="s">
        <v>13</v>
      </c>
      <c r="G10" s="232"/>
      <c r="H10" s="232" t="s">
        <v>536</v>
      </c>
      <c r="I10" s="232"/>
      <c r="J10" s="232"/>
    </row>
    <row r="12" spans="1:13" ht="38.25" x14ac:dyDescent="0.2">
      <c r="A12" s="182" t="s">
        <v>130</v>
      </c>
      <c r="B12" s="182" t="s">
        <v>511</v>
      </c>
      <c r="C12" s="183" t="s">
        <v>23</v>
      </c>
      <c r="D12" s="47" t="s">
        <v>165</v>
      </c>
      <c r="E12" s="47" t="s">
        <v>167</v>
      </c>
      <c r="F12" s="47" t="s">
        <v>166</v>
      </c>
      <c r="G12" s="183" t="s">
        <v>24</v>
      </c>
      <c r="H12" s="183" t="s">
        <v>25</v>
      </c>
      <c r="I12" s="183" t="s">
        <v>132</v>
      </c>
      <c r="J12" s="183" t="s">
        <v>32</v>
      </c>
    </row>
    <row r="13" spans="1:13" ht="27.75" customHeight="1" x14ac:dyDescent="0.2">
      <c r="A13" s="177" t="s">
        <v>425</v>
      </c>
      <c r="B13" s="33" t="s">
        <v>1158</v>
      </c>
      <c r="C13" s="178" t="s">
        <v>543</v>
      </c>
      <c r="D13" s="141">
        <v>7.069</v>
      </c>
      <c r="E13" s="142">
        <v>0.66100000000000003</v>
      </c>
      <c r="F13" s="143">
        <v>0</v>
      </c>
      <c r="G13" s="179">
        <v>2.4500000000000002</v>
      </c>
      <c r="H13" s="180"/>
      <c r="I13" s="184"/>
      <c r="J13" s="35"/>
    </row>
    <row r="14" spans="1:13" ht="27.75" customHeight="1" x14ac:dyDescent="0.2">
      <c r="A14" s="177" t="s">
        <v>426</v>
      </c>
      <c r="B14" s="33" t="s">
        <v>1159</v>
      </c>
      <c r="C14" s="178" t="s">
        <v>422</v>
      </c>
      <c r="D14" s="141">
        <v>7.069</v>
      </c>
      <c r="E14" s="142">
        <v>0.66100000000000003</v>
      </c>
      <c r="F14" s="143">
        <v>0</v>
      </c>
      <c r="G14" s="180"/>
      <c r="H14" s="180"/>
      <c r="I14" s="184"/>
      <c r="J14" s="35"/>
    </row>
    <row r="15" spans="1:13" ht="27.75" customHeight="1" x14ac:dyDescent="0.2">
      <c r="A15" s="177" t="s">
        <v>427</v>
      </c>
      <c r="B15" s="33" t="s">
        <v>1160</v>
      </c>
      <c r="C15" s="178" t="s">
        <v>544</v>
      </c>
      <c r="D15" s="141">
        <v>3.746</v>
      </c>
      <c r="E15" s="142">
        <v>0.19900000000000001</v>
      </c>
      <c r="F15" s="143">
        <v>0</v>
      </c>
      <c r="G15" s="179">
        <v>2.52</v>
      </c>
      <c r="H15" s="180"/>
      <c r="I15" s="184"/>
      <c r="J15" s="35"/>
    </row>
    <row r="16" spans="1:13" ht="27.75" customHeight="1" x14ac:dyDescent="0.2">
      <c r="A16" s="177" t="s">
        <v>428</v>
      </c>
      <c r="B16" s="33" t="s">
        <v>1161</v>
      </c>
      <c r="C16" s="178" t="s">
        <v>423</v>
      </c>
      <c r="D16" s="141">
        <v>3.746</v>
      </c>
      <c r="E16" s="142">
        <v>0.19900000000000001</v>
      </c>
      <c r="F16" s="143">
        <v>0</v>
      </c>
      <c r="G16" s="180"/>
      <c r="H16" s="180"/>
      <c r="I16" s="184"/>
      <c r="J16" s="35"/>
    </row>
    <row r="17" spans="1:10" ht="27.75" customHeight="1" x14ac:dyDescent="0.2">
      <c r="A17" s="177" t="s">
        <v>429</v>
      </c>
      <c r="B17" s="33" t="s">
        <v>1162</v>
      </c>
      <c r="C17" s="178">
        <v>0</v>
      </c>
      <c r="D17" s="141">
        <v>3.0910000000000002</v>
      </c>
      <c r="E17" s="142">
        <v>0.105</v>
      </c>
      <c r="F17" s="143">
        <v>0</v>
      </c>
      <c r="G17" s="179">
        <v>5.98</v>
      </c>
      <c r="H17" s="179">
        <v>3.05</v>
      </c>
      <c r="I17" s="185">
        <v>4.75</v>
      </c>
      <c r="J17" s="34">
        <v>0.28299999999999997</v>
      </c>
    </row>
    <row r="18" spans="1:10" ht="27.75" customHeight="1" x14ac:dyDescent="0.2">
      <c r="A18" s="177" t="s">
        <v>1063</v>
      </c>
      <c r="B18" s="33" t="s">
        <v>1163</v>
      </c>
      <c r="C18" s="178">
        <v>0</v>
      </c>
      <c r="D18" s="141">
        <v>3.4660000000000002</v>
      </c>
      <c r="E18" s="142">
        <v>0.47899999999999998</v>
      </c>
      <c r="F18" s="143">
        <v>2.1000000000000001E-2</v>
      </c>
      <c r="G18" s="179">
        <v>5.98</v>
      </c>
      <c r="H18" s="179">
        <v>3.05</v>
      </c>
      <c r="I18" s="185">
        <v>4.75</v>
      </c>
      <c r="J18" s="34">
        <v>0.28299999999999997</v>
      </c>
    </row>
    <row r="19" spans="1:10" ht="27.75" customHeight="1" x14ac:dyDescent="0.2">
      <c r="A19" s="177" t="s">
        <v>430</v>
      </c>
      <c r="B19" s="33" t="s">
        <v>1164</v>
      </c>
      <c r="C19" s="186" t="s">
        <v>545</v>
      </c>
      <c r="D19" s="144">
        <v>21.446000000000002</v>
      </c>
      <c r="E19" s="145">
        <v>1.4179999999999999</v>
      </c>
      <c r="F19" s="143">
        <v>0.02</v>
      </c>
      <c r="G19" s="180"/>
      <c r="H19" s="180"/>
      <c r="I19" s="184"/>
      <c r="J19" s="35"/>
    </row>
    <row r="20" spans="1:10" ht="27.75" customHeight="1" x14ac:dyDescent="0.2">
      <c r="A20" s="177" t="s">
        <v>431</v>
      </c>
      <c r="B20" s="33" t="s">
        <v>1165</v>
      </c>
      <c r="C20" s="186" t="s">
        <v>546</v>
      </c>
      <c r="D20" s="141">
        <v>-5.5110000000000001</v>
      </c>
      <c r="E20" s="142">
        <v>-0.76700000000000002</v>
      </c>
      <c r="F20" s="143">
        <v>-3.2000000000000001E-2</v>
      </c>
      <c r="G20" s="179">
        <v>0</v>
      </c>
      <c r="H20" s="180"/>
      <c r="I20" s="184"/>
      <c r="J20" s="35"/>
    </row>
    <row r="21" spans="1:10" ht="27.75" customHeight="1" x14ac:dyDescent="0.2">
      <c r="A21" s="177" t="s">
        <v>432</v>
      </c>
      <c r="B21" s="33" t="s">
        <v>1166</v>
      </c>
      <c r="C21" s="186">
        <v>0</v>
      </c>
      <c r="D21" s="141">
        <v>-5.5110000000000001</v>
      </c>
      <c r="E21" s="142">
        <v>-0.76700000000000002</v>
      </c>
      <c r="F21" s="143">
        <v>-3.2000000000000001E-2</v>
      </c>
      <c r="G21" s="179">
        <v>0</v>
      </c>
      <c r="H21" s="180"/>
      <c r="I21" s="184"/>
      <c r="J21" s="34">
        <v>0.36699999999999999</v>
      </c>
    </row>
    <row r="22" spans="1:10" ht="27.75" customHeight="1" x14ac:dyDescent="0.2">
      <c r="A22" s="181" t="s">
        <v>433</v>
      </c>
      <c r="B22" s="33" t="s">
        <v>1167</v>
      </c>
      <c r="C22" s="186" t="s">
        <v>543</v>
      </c>
      <c r="D22" s="141">
        <v>5.43</v>
      </c>
      <c r="E22" s="142">
        <v>0.50800000000000001</v>
      </c>
      <c r="F22" s="143">
        <v>0</v>
      </c>
      <c r="G22" s="179">
        <v>1.92</v>
      </c>
      <c r="H22" s="180"/>
      <c r="I22" s="184"/>
      <c r="J22" s="35"/>
    </row>
    <row r="23" spans="1:10" ht="27.75" customHeight="1" x14ac:dyDescent="0.2">
      <c r="A23" s="181" t="s">
        <v>434</v>
      </c>
      <c r="B23" s="33" t="s">
        <v>1168</v>
      </c>
      <c r="C23" s="186" t="s">
        <v>422</v>
      </c>
      <c r="D23" s="141">
        <v>5.43</v>
      </c>
      <c r="E23" s="142">
        <v>0.50800000000000001</v>
      </c>
      <c r="F23" s="143">
        <v>0</v>
      </c>
      <c r="G23" s="180"/>
      <c r="H23" s="180"/>
      <c r="I23" s="184"/>
      <c r="J23" s="35"/>
    </row>
    <row r="24" spans="1:10" ht="27.75" customHeight="1" x14ac:dyDescent="0.2">
      <c r="A24" s="181" t="s">
        <v>435</v>
      </c>
      <c r="B24" s="33" t="s">
        <v>1169</v>
      </c>
      <c r="C24" s="186" t="s">
        <v>544</v>
      </c>
      <c r="D24" s="141">
        <v>2.8769999999999998</v>
      </c>
      <c r="E24" s="142">
        <v>0.153</v>
      </c>
      <c r="F24" s="143">
        <v>0</v>
      </c>
      <c r="G24" s="179">
        <v>1.97</v>
      </c>
      <c r="H24" s="180"/>
      <c r="I24" s="184"/>
      <c r="J24" s="35"/>
    </row>
    <row r="25" spans="1:10" ht="27.75" customHeight="1" x14ac:dyDescent="0.2">
      <c r="A25" s="181" t="s">
        <v>436</v>
      </c>
      <c r="B25" s="33" t="s">
        <v>1170</v>
      </c>
      <c r="C25" s="186" t="s">
        <v>423</v>
      </c>
      <c r="D25" s="141">
        <v>2.8769999999999998</v>
      </c>
      <c r="E25" s="142">
        <v>0.153</v>
      </c>
      <c r="F25" s="143">
        <v>0</v>
      </c>
      <c r="G25" s="180"/>
      <c r="H25" s="180"/>
      <c r="I25" s="184"/>
      <c r="J25" s="35"/>
    </row>
    <row r="26" spans="1:10" ht="27.75" customHeight="1" x14ac:dyDescent="0.2">
      <c r="A26" s="181" t="s">
        <v>437</v>
      </c>
      <c r="B26" s="33" t="s">
        <v>1171</v>
      </c>
      <c r="C26" s="186">
        <v>0</v>
      </c>
      <c r="D26" s="141">
        <v>2.375</v>
      </c>
      <c r="E26" s="142">
        <v>0.08</v>
      </c>
      <c r="F26" s="143">
        <v>0</v>
      </c>
      <c r="G26" s="179">
        <v>4.62</v>
      </c>
      <c r="H26" s="179">
        <v>2.34</v>
      </c>
      <c r="I26" s="185">
        <v>3.65</v>
      </c>
      <c r="J26" s="34">
        <v>0.217</v>
      </c>
    </row>
    <row r="27" spans="1:10" ht="27.75" customHeight="1" x14ac:dyDescent="0.2">
      <c r="A27" s="181" t="s">
        <v>438</v>
      </c>
      <c r="B27" s="33" t="s">
        <v>1172</v>
      </c>
      <c r="C27" s="186">
        <v>0</v>
      </c>
      <c r="D27" s="141">
        <v>2.2989999999999999</v>
      </c>
      <c r="E27" s="142">
        <v>0</v>
      </c>
      <c r="F27" s="143">
        <v>0</v>
      </c>
      <c r="G27" s="179">
        <v>4.74</v>
      </c>
      <c r="H27" s="179">
        <v>5.68</v>
      </c>
      <c r="I27" s="185">
        <v>6.47</v>
      </c>
      <c r="J27" s="34">
        <v>0.182</v>
      </c>
    </row>
    <row r="28" spans="1:10" ht="27.75" customHeight="1" x14ac:dyDescent="0.2">
      <c r="A28" s="181" t="s">
        <v>439</v>
      </c>
      <c r="B28" s="33" t="s">
        <v>1173</v>
      </c>
      <c r="C28" s="186">
        <v>0</v>
      </c>
      <c r="D28" s="141">
        <v>1.7829999999999999</v>
      </c>
      <c r="E28" s="142">
        <v>0</v>
      </c>
      <c r="F28" s="143">
        <v>0</v>
      </c>
      <c r="G28" s="179">
        <v>69.38</v>
      </c>
      <c r="H28" s="179">
        <v>6.41</v>
      </c>
      <c r="I28" s="185">
        <v>7.2</v>
      </c>
      <c r="J28" s="34">
        <v>0.17399999999999999</v>
      </c>
    </row>
    <row r="29" spans="1:10" ht="27.75" customHeight="1" x14ac:dyDescent="0.2">
      <c r="A29" s="181" t="s">
        <v>1064</v>
      </c>
      <c r="B29" s="33" t="s">
        <v>1174</v>
      </c>
      <c r="C29" s="186">
        <v>0</v>
      </c>
      <c r="D29" s="141">
        <v>2.6619999999999999</v>
      </c>
      <c r="E29" s="142">
        <v>0.36799999999999999</v>
      </c>
      <c r="F29" s="143">
        <v>1.6E-2</v>
      </c>
      <c r="G29" s="179">
        <v>4.62</v>
      </c>
      <c r="H29" s="179">
        <v>2.34</v>
      </c>
      <c r="I29" s="185">
        <v>3.65</v>
      </c>
      <c r="J29" s="34">
        <v>0.217</v>
      </c>
    </row>
    <row r="30" spans="1:10" ht="27.75" customHeight="1" x14ac:dyDescent="0.2">
      <c r="A30" s="181" t="s">
        <v>1065</v>
      </c>
      <c r="B30" s="33" t="s">
        <v>1175</v>
      </c>
      <c r="C30" s="186">
        <v>0</v>
      </c>
      <c r="D30" s="141">
        <v>2.6989999999999998</v>
      </c>
      <c r="E30" s="142">
        <v>0.36699999999999999</v>
      </c>
      <c r="F30" s="143">
        <v>1.9E-2</v>
      </c>
      <c r="G30" s="179">
        <v>4.74</v>
      </c>
      <c r="H30" s="179">
        <v>5.68</v>
      </c>
      <c r="I30" s="185">
        <v>6.47</v>
      </c>
      <c r="J30" s="34">
        <v>0.182</v>
      </c>
    </row>
    <row r="31" spans="1:10" ht="27.75" customHeight="1" x14ac:dyDescent="0.2">
      <c r="A31" s="181" t="s">
        <v>1066</v>
      </c>
      <c r="B31" s="33" t="s">
        <v>1176</v>
      </c>
      <c r="C31" s="186">
        <v>0</v>
      </c>
      <c r="D31" s="141">
        <v>2.2290000000000001</v>
      </c>
      <c r="E31" s="142">
        <v>0.27400000000000002</v>
      </c>
      <c r="F31" s="143">
        <v>1.4E-2</v>
      </c>
      <c r="G31" s="179">
        <v>69.38</v>
      </c>
      <c r="H31" s="179">
        <v>6.41</v>
      </c>
      <c r="I31" s="185">
        <v>7.2</v>
      </c>
      <c r="J31" s="34">
        <v>0.17399999999999999</v>
      </c>
    </row>
    <row r="32" spans="1:10" ht="27.75" customHeight="1" x14ac:dyDescent="0.2">
      <c r="A32" s="181" t="s">
        <v>440</v>
      </c>
      <c r="B32" s="33" t="s">
        <v>1177</v>
      </c>
      <c r="C32" s="186" t="s">
        <v>545</v>
      </c>
      <c r="D32" s="144">
        <v>16.474</v>
      </c>
      <c r="E32" s="145">
        <v>1.089</v>
      </c>
      <c r="F32" s="143">
        <v>1.6E-2</v>
      </c>
      <c r="G32" s="180"/>
      <c r="H32" s="180"/>
      <c r="I32" s="184"/>
      <c r="J32" s="35"/>
    </row>
    <row r="33" spans="1:10" ht="27.75" customHeight="1" x14ac:dyDescent="0.2">
      <c r="A33" s="181" t="s">
        <v>441</v>
      </c>
      <c r="B33" s="33" t="s">
        <v>1178</v>
      </c>
      <c r="C33" s="186" t="s">
        <v>546</v>
      </c>
      <c r="D33" s="141">
        <v>-5.5110000000000001</v>
      </c>
      <c r="E33" s="142">
        <v>-0.76700000000000002</v>
      </c>
      <c r="F33" s="143">
        <v>-3.2000000000000001E-2</v>
      </c>
      <c r="G33" s="179">
        <v>0</v>
      </c>
      <c r="H33" s="180"/>
      <c r="I33" s="184"/>
      <c r="J33" s="35"/>
    </row>
    <row r="34" spans="1:10" ht="27.75" customHeight="1" x14ac:dyDescent="0.2">
      <c r="A34" s="181" t="s">
        <v>442</v>
      </c>
      <c r="B34" s="33" t="s">
        <v>1179</v>
      </c>
      <c r="C34" s="186">
        <v>0</v>
      </c>
      <c r="D34" s="141">
        <v>-4.9039999999999999</v>
      </c>
      <c r="E34" s="142">
        <v>-0.68</v>
      </c>
      <c r="F34" s="143">
        <v>-2.9000000000000001E-2</v>
      </c>
      <c r="G34" s="179">
        <v>0</v>
      </c>
      <c r="H34" s="180"/>
      <c r="I34" s="184"/>
      <c r="J34" s="35"/>
    </row>
    <row r="35" spans="1:10" ht="27.75" customHeight="1" x14ac:dyDescent="0.2">
      <c r="A35" s="181" t="s">
        <v>443</v>
      </c>
      <c r="B35" s="33" t="s">
        <v>1180</v>
      </c>
      <c r="C35" s="186" t="s">
        <v>549</v>
      </c>
      <c r="D35" s="141">
        <v>-5.5110000000000001</v>
      </c>
      <c r="E35" s="142">
        <v>-0.76700000000000002</v>
      </c>
      <c r="F35" s="143">
        <v>-3.2000000000000001E-2</v>
      </c>
      <c r="G35" s="179">
        <v>0</v>
      </c>
      <c r="H35" s="180"/>
      <c r="I35" s="184"/>
      <c r="J35" s="34">
        <v>0.36699999999999999</v>
      </c>
    </row>
    <row r="36" spans="1:10" ht="27.75" customHeight="1" x14ac:dyDescent="0.2">
      <c r="A36" s="181" t="s">
        <v>444</v>
      </c>
      <c r="B36" s="33" t="s">
        <v>1181</v>
      </c>
      <c r="C36" s="186" t="s">
        <v>549</v>
      </c>
      <c r="D36" s="141">
        <v>-4.9039999999999999</v>
      </c>
      <c r="E36" s="142">
        <v>-0.68</v>
      </c>
      <c r="F36" s="143">
        <v>-2.9000000000000001E-2</v>
      </c>
      <c r="G36" s="179">
        <v>0</v>
      </c>
      <c r="H36" s="180"/>
      <c r="I36" s="184"/>
      <c r="J36" s="34">
        <v>0.32800000000000001</v>
      </c>
    </row>
    <row r="37" spans="1:10" ht="27.75" customHeight="1" x14ac:dyDescent="0.2">
      <c r="A37" s="181" t="s">
        <v>445</v>
      </c>
      <c r="B37" s="33" t="s">
        <v>1182</v>
      </c>
      <c r="C37" s="186" t="s">
        <v>549</v>
      </c>
      <c r="D37" s="141">
        <v>-3.2029999999999998</v>
      </c>
      <c r="E37" s="142">
        <v>-0.433</v>
      </c>
      <c r="F37" s="143">
        <v>-2.1999999999999999E-2</v>
      </c>
      <c r="G37" s="179">
        <v>0</v>
      </c>
      <c r="H37" s="180"/>
      <c r="I37" s="184"/>
      <c r="J37" s="34">
        <v>0.28299999999999997</v>
      </c>
    </row>
    <row r="38" spans="1:10" ht="27.75" customHeight="1" x14ac:dyDescent="0.2">
      <c r="A38" s="177" t="s">
        <v>446</v>
      </c>
      <c r="B38" s="33" t="s">
        <v>1183</v>
      </c>
      <c r="C38" s="186" t="s">
        <v>543</v>
      </c>
      <c r="D38" s="141">
        <v>4.8310000000000004</v>
      </c>
      <c r="E38" s="142">
        <v>0.45200000000000001</v>
      </c>
      <c r="F38" s="143">
        <v>0</v>
      </c>
      <c r="G38" s="179">
        <v>1.72</v>
      </c>
      <c r="H38" s="180"/>
      <c r="I38" s="184"/>
      <c r="J38" s="35"/>
    </row>
    <row r="39" spans="1:10" ht="27.75" customHeight="1" x14ac:dyDescent="0.2">
      <c r="A39" s="177" t="s">
        <v>447</v>
      </c>
      <c r="B39" s="33" t="s">
        <v>1184</v>
      </c>
      <c r="C39" s="186" t="s">
        <v>422</v>
      </c>
      <c r="D39" s="141">
        <v>4.8310000000000004</v>
      </c>
      <c r="E39" s="142">
        <v>0.45200000000000001</v>
      </c>
      <c r="F39" s="143">
        <v>0</v>
      </c>
      <c r="G39" s="180"/>
      <c r="H39" s="180"/>
      <c r="I39" s="184"/>
      <c r="J39" s="35"/>
    </row>
    <row r="40" spans="1:10" ht="27.75" customHeight="1" x14ac:dyDescent="0.2">
      <c r="A40" s="177" t="s">
        <v>448</v>
      </c>
      <c r="B40" s="33" t="s">
        <v>1185</v>
      </c>
      <c r="C40" s="186" t="s">
        <v>544</v>
      </c>
      <c r="D40" s="141">
        <v>2.56</v>
      </c>
      <c r="E40" s="142">
        <v>0.13600000000000001</v>
      </c>
      <c r="F40" s="143">
        <v>0</v>
      </c>
      <c r="G40" s="179">
        <v>1.77</v>
      </c>
      <c r="H40" s="180"/>
      <c r="I40" s="184"/>
      <c r="J40" s="35"/>
    </row>
    <row r="41" spans="1:10" ht="27.75" customHeight="1" x14ac:dyDescent="0.2">
      <c r="A41" s="177" t="s">
        <v>449</v>
      </c>
      <c r="B41" s="33" t="s">
        <v>1186</v>
      </c>
      <c r="C41" s="186" t="s">
        <v>423</v>
      </c>
      <c r="D41" s="141">
        <v>2.56</v>
      </c>
      <c r="E41" s="142">
        <v>0.13600000000000001</v>
      </c>
      <c r="F41" s="143">
        <v>0</v>
      </c>
      <c r="G41" s="180"/>
      <c r="H41" s="180"/>
      <c r="I41" s="184"/>
      <c r="J41" s="35"/>
    </row>
    <row r="42" spans="1:10" ht="27.75" customHeight="1" x14ac:dyDescent="0.2">
      <c r="A42" s="177" t="s">
        <v>450</v>
      </c>
      <c r="B42" s="33" t="s">
        <v>1187</v>
      </c>
      <c r="C42" s="186" t="s">
        <v>549</v>
      </c>
      <c r="D42" s="141">
        <v>2.113</v>
      </c>
      <c r="E42" s="142">
        <v>7.1999999999999995E-2</v>
      </c>
      <c r="F42" s="143">
        <v>0</v>
      </c>
      <c r="G42" s="179">
        <v>4.13</v>
      </c>
      <c r="H42" s="179">
        <v>2.08</v>
      </c>
      <c r="I42" s="185">
        <v>3.25</v>
      </c>
      <c r="J42" s="34">
        <v>0.193</v>
      </c>
    </row>
    <row r="43" spans="1:10" ht="27.75" customHeight="1" x14ac:dyDescent="0.2">
      <c r="A43" s="177" t="s">
        <v>451</v>
      </c>
      <c r="B43" s="33" t="s">
        <v>1188</v>
      </c>
      <c r="C43" s="186" t="s">
        <v>549</v>
      </c>
      <c r="D43" s="141">
        <v>2.032</v>
      </c>
      <c r="E43" s="142">
        <v>0</v>
      </c>
      <c r="F43" s="143">
        <v>0</v>
      </c>
      <c r="G43" s="179">
        <v>4.2</v>
      </c>
      <c r="H43" s="179">
        <v>5.0199999999999996</v>
      </c>
      <c r="I43" s="185">
        <v>5.72</v>
      </c>
      <c r="J43" s="34">
        <v>0.161</v>
      </c>
    </row>
    <row r="44" spans="1:10" ht="27.75" customHeight="1" x14ac:dyDescent="0.2">
      <c r="A44" s="177" t="s">
        <v>452</v>
      </c>
      <c r="B44" s="33" t="s">
        <v>1189</v>
      </c>
      <c r="C44" s="186" t="s">
        <v>549</v>
      </c>
      <c r="D44" s="141">
        <v>1.57</v>
      </c>
      <c r="E44" s="142">
        <v>0</v>
      </c>
      <c r="F44" s="143">
        <v>0</v>
      </c>
      <c r="G44" s="179">
        <v>61.11</v>
      </c>
      <c r="H44" s="179">
        <v>5.64</v>
      </c>
      <c r="I44" s="185">
        <v>6.34</v>
      </c>
      <c r="J44" s="34">
        <v>0.153</v>
      </c>
    </row>
    <row r="45" spans="1:10" ht="27.75" customHeight="1" x14ac:dyDescent="0.2">
      <c r="A45" s="177" t="s">
        <v>1067</v>
      </c>
      <c r="B45" s="33" t="s">
        <v>1190</v>
      </c>
      <c r="C45" s="186">
        <v>0</v>
      </c>
      <c r="D45" s="141">
        <v>2.3679999999999999</v>
      </c>
      <c r="E45" s="142">
        <v>0.32700000000000001</v>
      </c>
      <c r="F45" s="143">
        <v>1.4999999999999999E-2</v>
      </c>
      <c r="G45" s="179">
        <v>4.13</v>
      </c>
      <c r="H45" s="179">
        <v>2.08</v>
      </c>
      <c r="I45" s="185">
        <v>3.25</v>
      </c>
      <c r="J45" s="34">
        <v>0.193</v>
      </c>
    </row>
    <row r="46" spans="1:10" ht="27.75" customHeight="1" x14ac:dyDescent="0.2">
      <c r="A46" s="177" t="s">
        <v>1068</v>
      </c>
      <c r="B46" s="33" t="s">
        <v>1191</v>
      </c>
      <c r="C46" s="186">
        <v>0</v>
      </c>
      <c r="D46" s="141">
        <v>2.3849999999999998</v>
      </c>
      <c r="E46" s="142">
        <v>0.32400000000000001</v>
      </c>
      <c r="F46" s="143">
        <v>1.7000000000000001E-2</v>
      </c>
      <c r="G46" s="179">
        <v>4.2</v>
      </c>
      <c r="H46" s="179">
        <v>5.0199999999999996</v>
      </c>
      <c r="I46" s="185">
        <v>5.72</v>
      </c>
      <c r="J46" s="34">
        <v>0.161</v>
      </c>
    </row>
    <row r="47" spans="1:10" ht="27.75" customHeight="1" x14ac:dyDescent="0.2">
      <c r="A47" s="177" t="s">
        <v>1069</v>
      </c>
      <c r="B47" s="33" t="s">
        <v>1192</v>
      </c>
      <c r="C47" s="186">
        <v>0</v>
      </c>
      <c r="D47" s="141">
        <v>1.962</v>
      </c>
      <c r="E47" s="142">
        <v>0.24199999999999999</v>
      </c>
      <c r="F47" s="143">
        <v>1.2999999999999999E-2</v>
      </c>
      <c r="G47" s="179">
        <v>61.11</v>
      </c>
      <c r="H47" s="179">
        <v>5.64</v>
      </c>
      <c r="I47" s="185">
        <v>6.34</v>
      </c>
      <c r="J47" s="34">
        <v>0.153</v>
      </c>
    </row>
    <row r="48" spans="1:10" ht="27.75" customHeight="1" x14ac:dyDescent="0.2">
      <c r="A48" s="177" t="s">
        <v>453</v>
      </c>
      <c r="B48" s="33" t="s">
        <v>1193</v>
      </c>
      <c r="C48" s="186" t="s">
        <v>545</v>
      </c>
      <c r="D48" s="144">
        <v>14.656000000000001</v>
      </c>
      <c r="E48" s="145">
        <v>0.96899999999999997</v>
      </c>
      <c r="F48" s="143">
        <v>1.4E-2</v>
      </c>
      <c r="G48" s="180"/>
      <c r="H48" s="180"/>
      <c r="I48" s="184"/>
      <c r="J48" s="35"/>
    </row>
    <row r="49" spans="1:10" ht="27.75" customHeight="1" x14ac:dyDescent="0.2">
      <c r="A49" s="177" t="s">
        <v>454</v>
      </c>
      <c r="B49" s="33" t="s">
        <v>1194</v>
      </c>
      <c r="C49" s="186" t="s">
        <v>546</v>
      </c>
      <c r="D49" s="141">
        <v>-3.798</v>
      </c>
      <c r="E49" s="142">
        <v>-0.52800000000000002</v>
      </c>
      <c r="F49" s="143">
        <v>-2.1999999999999999E-2</v>
      </c>
      <c r="G49" s="179">
        <v>0</v>
      </c>
      <c r="H49" s="180"/>
      <c r="I49" s="184"/>
      <c r="J49" s="35"/>
    </row>
    <row r="50" spans="1:10" ht="27.75" customHeight="1" x14ac:dyDescent="0.2">
      <c r="A50" s="177" t="s">
        <v>455</v>
      </c>
      <c r="B50" s="33" t="s">
        <v>1195</v>
      </c>
      <c r="C50" s="186">
        <v>0</v>
      </c>
      <c r="D50" s="141">
        <v>-3.7450000000000001</v>
      </c>
      <c r="E50" s="142">
        <v>-0.51900000000000002</v>
      </c>
      <c r="F50" s="143">
        <v>-2.1999999999999999E-2</v>
      </c>
      <c r="G50" s="179">
        <v>0</v>
      </c>
      <c r="H50" s="180"/>
      <c r="I50" s="184"/>
      <c r="J50" s="35"/>
    </row>
    <row r="51" spans="1:10" ht="27.75" customHeight="1" x14ac:dyDescent="0.2">
      <c r="A51" s="177" t="s">
        <v>456</v>
      </c>
      <c r="B51" s="33" t="s">
        <v>1196</v>
      </c>
      <c r="C51" s="186" t="s">
        <v>549</v>
      </c>
      <c r="D51" s="141">
        <v>-3.798</v>
      </c>
      <c r="E51" s="142">
        <v>-0.52800000000000002</v>
      </c>
      <c r="F51" s="143">
        <v>-2.1999999999999999E-2</v>
      </c>
      <c r="G51" s="179">
        <v>0</v>
      </c>
      <c r="H51" s="180"/>
      <c r="I51" s="184"/>
      <c r="J51" s="34">
        <v>0.253</v>
      </c>
    </row>
    <row r="52" spans="1:10" ht="27.75" customHeight="1" x14ac:dyDescent="0.2">
      <c r="A52" s="177" t="s">
        <v>457</v>
      </c>
      <c r="B52" s="33" t="s">
        <v>1197</v>
      </c>
      <c r="C52" s="186" t="s">
        <v>549</v>
      </c>
      <c r="D52" s="141">
        <v>-3.7450000000000001</v>
      </c>
      <c r="E52" s="142">
        <v>-0.51900000000000002</v>
      </c>
      <c r="F52" s="143">
        <v>-2.1999999999999999E-2</v>
      </c>
      <c r="G52" s="179">
        <v>0</v>
      </c>
      <c r="H52" s="180"/>
      <c r="I52" s="184"/>
      <c r="J52" s="34">
        <v>0.251</v>
      </c>
    </row>
    <row r="53" spans="1:10" ht="27.75" customHeight="1" x14ac:dyDescent="0.2">
      <c r="A53" s="177" t="s">
        <v>458</v>
      </c>
      <c r="B53" s="33" t="s">
        <v>1198</v>
      </c>
      <c r="C53" s="186" t="s">
        <v>549</v>
      </c>
      <c r="D53" s="141">
        <v>-3.2029999999999998</v>
      </c>
      <c r="E53" s="142">
        <v>-0.433</v>
      </c>
      <c r="F53" s="143">
        <v>-2.1999999999999999E-2</v>
      </c>
      <c r="G53" s="179">
        <v>6.76</v>
      </c>
      <c r="H53" s="180"/>
      <c r="I53" s="184"/>
      <c r="J53" s="34">
        <v>0.28299999999999997</v>
      </c>
    </row>
    <row r="54" spans="1:10" ht="27.75" customHeight="1" x14ac:dyDescent="0.2">
      <c r="A54" s="177" t="s">
        <v>459</v>
      </c>
      <c r="B54" s="33" t="s">
        <v>1199</v>
      </c>
      <c r="C54" s="186" t="s">
        <v>543</v>
      </c>
      <c r="D54" s="141">
        <v>3.7229999999999999</v>
      </c>
      <c r="E54" s="142">
        <v>0.34799999999999998</v>
      </c>
      <c r="F54" s="143">
        <v>0</v>
      </c>
      <c r="G54" s="179">
        <v>1.36</v>
      </c>
      <c r="H54" s="180"/>
      <c r="I54" s="184"/>
      <c r="J54" s="35"/>
    </row>
    <row r="55" spans="1:10" ht="27.75" customHeight="1" x14ac:dyDescent="0.2">
      <c r="A55" s="177" t="s">
        <v>460</v>
      </c>
      <c r="B55" s="33" t="s">
        <v>1200</v>
      </c>
      <c r="C55" s="186" t="s">
        <v>422</v>
      </c>
      <c r="D55" s="141">
        <v>3.7229999999999999</v>
      </c>
      <c r="E55" s="142">
        <v>0.34799999999999998</v>
      </c>
      <c r="F55" s="143">
        <v>0</v>
      </c>
      <c r="G55" s="180"/>
      <c r="H55" s="180"/>
      <c r="I55" s="184"/>
      <c r="J55" s="35"/>
    </row>
    <row r="56" spans="1:10" ht="27.75" customHeight="1" x14ac:dyDescent="0.2">
      <c r="A56" s="177" t="s">
        <v>461</v>
      </c>
      <c r="B56" s="33" t="s">
        <v>1201</v>
      </c>
      <c r="C56" s="186" t="s">
        <v>544</v>
      </c>
      <c r="D56" s="141">
        <v>1.9730000000000001</v>
      </c>
      <c r="E56" s="142">
        <v>0.105</v>
      </c>
      <c r="F56" s="143">
        <v>0</v>
      </c>
      <c r="G56" s="179">
        <v>1.39</v>
      </c>
      <c r="H56" s="180"/>
      <c r="I56" s="184"/>
      <c r="J56" s="35"/>
    </row>
    <row r="57" spans="1:10" ht="27.75" customHeight="1" x14ac:dyDescent="0.2">
      <c r="A57" s="177" t="s">
        <v>462</v>
      </c>
      <c r="B57" s="33" t="s">
        <v>1202</v>
      </c>
      <c r="C57" s="186" t="s">
        <v>423</v>
      </c>
      <c r="D57" s="141">
        <v>1.9730000000000001</v>
      </c>
      <c r="E57" s="142">
        <v>0.105</v>
      </c>
      <c r="F57" s="143">
        <v>0</v>
      </c>
      <c r="G57" s="180"/>
      <c r="H57" s="180"/>
      <c r="I57" s="184"/>
      <c r="J57" s="35"/>
    </row>
    <row r="58" spans="1:10" ht="27.75" customHeight="1" x14ac:dyDescent="0.2">
      <c r="A58" s="177" t="s">
        <v>463</v>
      </c>
      <c r="B58" s="33" t="s">
        <v>1203</v>
      </c>
      <c r="C58" s="186" t="s">
        <v>549</v>
      </c>
      <c r="D58" s="141">
        <v>1.6279999999999999</v>
      </c>
      <c r="E58" s="142">
        <v>5.5E-2</v>
      </c>
      <c r="F58" s="143">
        <v>0</v>
      </c>
      <c r="G58" s="179">
        <v>3.21</v>
      </c>
      <c r="H58" s="179">
        <v>1.61</v>
      </c>
      <c r="I58" s="185">
        <v>2.5</v>
      </c>
      <c r="J58" s="34">
        <v>0.14899999999999999</v>
      </c>
    </row>
    <row r="59" spans="1:10" ht="27.75" customHeight="1" x14ac:dyDescent="0.2">
      <c r="A59" s="177" t="s">
        <v>464</v>
      </c>
      <c r="B59" s="33" t="s">
        <v>1204</v>
      </c>
      <c r="C59" s="186" t="s">
        <v>549</v>
      </c>
      <c r="D59" s="141">
        <v>1.5660000000000001</v>
      </c>
      <c r="E59" s="142">
        <v>0</v>
      </c>
      <c r="F59" s="143">
        <v>0</v>
      </c>
      <c r="G59" s="179">
        <v>3.27</v>
      </c>
      <c r="H59" s="179">
        <v>3.87</v>
      </c>
      <c r="I59" s="185">
        <v>4.4000000000000004</v>
      </c>
      <c r="J59" s="34">
        <v>0.124</v>
      </c>
    </row>
    <row r="60" spans="1:10" ht="27.75" customHeight="1" x14ac:dyDescent="0.2">
      <c r="A60" s="177" t="s">
        <v>465</v>
      </c>
      <c r="B60" s="33" t="s">
        <v>1205</v>
      </c>
      <c r="C60" s="186" t="s">
        <v>549</v>
      </c>
      <c r="D60" s="141">
        <v>1.21</v>
      </c>
      <c r="E60" s="142">
        <v>0</v>
      </c>
      <c r="F60" s="143">
        <v>0</v>
      </c>
      <c r="G60" s="179">
        <v>47.12</v>
      </c>
      <c r="H60" s="179">
        <v>4.3499999999999996</v>
      </c>
      <c r="I60" s="185">
        <v>4.8899999999999997</v>
      </c>
      <c r="J60" s="34">
        <v>0.11799999999999999</v>
      </c>
    </row>
    <row r="61" spans="1:10" ht="27.75" customHeight="1" x14ac:dyDescent="0.2">
      <c r="A61" s="177" t="s">
        <v>1070</v>
      </c>
      <c r="B61" s="33" t="s">
        <v>1206</v>
      </c>
      <c r="C61" s="186">
        <v>0</v>
      </c>
      <c r="D61" s="141">
        <v>1.825</v>
      </c>
      <c r="E61" s="142">
        <v>0.252</v>
      </c>
      <c r="F61" s="143">
        <v>1.0999999999999999E-2</v>
      </c>
      <c r="G61" s="179">
        <v>3.21</v>
      </c>
      <c r="H61" s="179">
        <v>1.61</v>
      </c>
      <c r="I61" s="185">
        <v>2.5</v>
      </c>
      <c r="J61" s="34">
        <v>0.14899999999999999</v>
      </c>
    </row>
    <row r="62" spans="1:10" ht="27.75" customHeight="1" x14ac:dyDescent="0.2">
      <c r="A62" s="177" t="s">
        <v>1071</v>
      </c>
      <c r="B62" s="33" t="s">
        <v>1207</v>
      </c>
      <c r="C62" s="186">
        <v>0</v>
      </c>
      <c r="D62" s="141">
        <v>1.8380000000000001</v>
      </c>
      <c r="E62" s="142">
        <v>0.25</v>
      </c>
      <c r="F62" s="143">
        <v>1.2999999999999999E-2</v>
      </c>
      <c r="G62" s="179">
        <v>3.27</v>
      </c>
      <c r="H62" s="179">
        <v>3.87</v>
      </c>
      <c r="I62" s="185">
        <v>4.4000000000000004</v>
      </c>
      <c r="J62" s="34">
        <v>0.124</v>
      </c>
    </row>
    <row r="63" spans="1:10" ht="27.75" customHeight="1" x14ac:dyDescent="0.2">
      <c r="A63" s="177" t="s">
        <v>1072</v>
      </c>
      <c r="B63" s="33" t="s">
        <v>1208</v>
      </c>
      <c r="C63" s="186">
        <v>0</v>
      </c>
      <c r="D63" s="141">
        <v>1.512</v>
      </c>
      <c r="E63" s="142">
        <v>0.186</v>
      </c>
      <c r="F63" s="143">
        <v>0.01</v>
      </c>
      <c r="G63" s="179">
        <v>47.12</v>
      </c>
      <c r="H63" s="179">
        <v>4.3499999999999996</v>
      </c>
      <c r="I63" s="185">
        <v>4.8899999999999997</v>
      </c>
      <c r="J63" s="34">
        <v>0.11799999999999999</v>
      </c>
    </row>
    <row r="64" spans="1:10" ht="27.75" customHeight="1" x14ac:dyDescent="0.2">
      <c r="A64" s="177" t="s">
        <v>466</v>
      </c>
      <c r="B64" s="33" t="s">
        <v>1209</v>
      </c>
      <c r="C64" s="186" t="s">
        <v>545</v>
      </c>
      <c r="D64" s="144">
        <v>11.294</v>
      </c>
      <c r="E64" s="145">
        <v>0.746</v>
      </c>
      <c r="F64" s="143">
        <v>1.0999999999999999E-2</v>
      </c>
      <c r="G64" s="180"/>
      <c r="H64" s="180"/>
      <c r="I64" s="184"/>
      <c r="J64" s="35"/>
    </row>
    <row r="65" spans="1:10" ht="27.75" customHeight="1" x14ac:dyDescent="0.2">
      <c r="A65" s="177" t="s">
        <v>467</v>
      </c>
      <c r="B65" s="33" t="s">
        <v>1210</v>
      </c>
      <c r="C65" s="186" t="s">
        <v>546</v>
      </c>
      <c r="D65" s="141">
        <v>-2.927</v>
      </c>
      <c r="E65" s="142">
        <v>-0.40699999999999997</v>
      </c>
      <c r="F65" s="143">
        <v>-1.7000000000000001E-2</v>
      </c>
      <c r="G65" s="179">
        <v>0</v>
      </c>
      <c r="H65" s="180"/>
      <c r="I65" s="184"/>
      <c r="J65" s="35"/>
    </row>
    <row r="66" spans="1:10" ht="27.75" customHeight="1" x14ac:dyDescent="0.2">
      <c r="A66" s="177" t="s">
        <v>468</v>
      </c>
      <c r="B66" s="33" t="s">
        <v>1211</v>
      </c>
      <c r="C66" s="186">
        <v>0</v>
      </c>
      <c r="D66" s="141">
        <v>-2.8860000000000001</v>
      </c>
      <c r="E66" s="142">
        <v>-0.4</v>
      </c>
      <c r="F66" s="143">
        <v>-1.7000000000000001E-2</v>
      </c>
      <c r="G66" s="179">
        <v>0</v>
      </c>
      <c r="H66" s="180"/>
      <c r="I66" s="184"/>
      <c r="J66" s="35"/>
    </row>
    <row r="67" spans="1:10" ht="27.75" customHeight="1" x14ac:dyDescent="0.2">
      <c r="A67" s="177" t="s">
        <v>469</v>
      </c>
      <c r="B67" s="33" t="s">
        <v>1212</v>
      </c>
      <c r="C67" s="186" t="s">
        <v>549</v>
      </c>
      <c r="D67" s="141">
        <v>-2.927</v>
      </c>
      <c r="E67" s="142">
        <v>-0.40699999999999997</v>
      </c>
      <c r="F67" s="143">
        <v>-1.7000000000000001E-2</v>
      </c>
      <c r="G67" s="179">
        <v>0</v>
      </c>
      <c r="H67" s="180"/>
      <c r="I67" s="184"/>
      <c r="J67" s="34">
        <v>0.19500000000000001</v>
      </c>
    </row>
    <row r="68" spans="1:10" ht="27.75" customHeight="1" x14ac:dyDescent="0.2">
      <c r="A68" s="177" t="s">
        <v>470</v>
      </c>
      <c r="B68" s="33" t="s">
        <v>1213</v>
      </c>
      <c r="C68" s="186" t="s">
        <v>549</v>
      </c>
      <c r="D68" s="141">
        <v>-2.8860000000000001</v>
      </c>
      <c r="E68" s="142">
        <v>-0.4</v>
      </c>
      <c r="F68" s="143">
        <v>-1.7000000000000001E-2</v>
      </c>
      <c r="G68" s="179">
        <v>0</v>
      </c>
      <c r="H68" s="180"/>
      <c r="I68" s="184"/>
      <c r="J68" s="34">
        <v>0.193</v>
      </c>
    </row>
    <row r="69" spans="1:10" ht="27.75" customHeight="1" x14ac:dyDescent="0.2">
      <c r="A69" s="177" t="s">
        <v>471</v>
      </c>
      <c r="B69" s="33" t="s">
        <v>1214</v>
      </c>
      <c r="C69" s="186" t="s">
        <v>549</v>
      </c>
      <c r="D69" s="141">
        <v>-2.468</v>
      </c>
      <c r="E69" s="142">
        <v>-0.33300000000000002</v>
      </c>
      <c r="F69" s="143">
        <v>-1.7000000000000001E-2</v>
      </c>
      <c r="G69" s="179">
        <v>5.21</v>
      </c>
      <c r="H69" s="180"/>
      <c r="I69" s="184"/>
      <c r="J69" s="34">
        <v>0.218</v>
      </c>
    </row>
    <row r="70" spans="1:10" ht="27.75" customHeight="1" x14ac:dyDescent="0.2">
      <c r="A70" s="177" t="s">
        <v>472</v>
      </c>
      <c r="B70" s="33" t="s">
        <v>1215</v>
      </c>
      <c r="C70" s="186" t="s">
        <v>543</v>
      </c>
      <c r="D70" s="141">
        <v>2.3330000000000002</v>
      </c>
      <c r="E70" s="142">
        <v>0.218</v>
      </c>
      <c r="F70" s="143">
        <v>0</v>
      </c>
      <c r="G70" s="179">
        <v>0.91</v>
      </c>
      <c r="H70" s="180"/>
      <c r="I70" s="184"/>
      <c r="J70" s="35"/>
    </row>
    <row r="71" spans="1:10" ht="27.75" customHeight="1" x14ac:dyDescent="0.2">
      <c r="A71" s="177" t="s">
        <v>473</v>
      </c>
      <c r="B71" s="33" t="s">
        <v>1216</v>
      </c>
      <c r="C71" s="186" t="s">
        <v>422</v>
      </c>
      <c r="D71" s="141">
        <v>2.3330000000000002</v>
      </c>
      <c r="E71" s="142">
        <v>0.218</v>
      </c>
      <c r="F71" s="143">
        <v>0</v>
      </c>
      <c r="G71" s="180"/>
      <c r="H71" s="180"/>
      <c r="I71" s="184"/>
      <c r="J71" s="35"/>
    </row>
    <row r="72" spans="1:10" ht="27.75" customHeight="1" x14ac:dyDescent="0.2">
      <c r="A72" s="177" t="s">
        <v>474</v>
      </c>
      <c r="B72" s="33" t="s">
        <v>1217</v>
      </c>
      <c r="C72" s="186" t="s">
        <v>544</v>
      </c>
      <c r="D72" s="141">
        <v>1.236</v>
      </c>
      <c r="E72" s="142">
        <v>6.6000000000000003E-2</v>
      </c>
      <c r="F72" s="143">
        <v>0</v>
      </c>
      <c r="G72" s="179">
        <v>0.92</v>
      </c>
      <c r="H72" s="180"/>
      <c r="I72" s="184"/>
      <c r="J72" s="35"/>
    </row>
    <row r="73" spans="1:10" ht="27.75" customHeight="1" x14ac:dyDescent="0.2">
      <c r="A73" s="177" t="s">
        <v>475</v>
      </c>
      <c r="B73" s="33" t="s">
        <v>1218</v>
      </c>
      <c r="C73" s="186" t="s">
        <v>423</v>
      </c>
      <c r="D73" s="141">
        <v>1.236</v>
      </c>
      <c r="E73" s="142">
        <v>6.6000000000000003E-2</v>
      </c>
      <c r="F73" s="143">
        <v>0</v>
      </c>
      <c r="G73" s="180"/>
      <c r="H73" s="180"/>
      <c r="I73" s="184"/>
      <c r="J73" s="35"/>
    </row>
    <row r="74" spans="1:10" ht="27.75" customHeight="1" x14ac:dyDescent="0.2">
      <c r="A74" s="177" t="s">
        <v>476</v>
      </c>
      <c r="B74" s="33" t="s">
        <v>1219</v>
      </c>
      <c r="C74" s="186" t="s">
        <v>549</v>
      </c>
      <c r="D74" s="141">
        <v>1.02</v>
      </c>
      <c r="E74" s="142">
        <v>3.5000000000000003E-2</v>
      </c>
      <c r="F74" s="143">
        <v>0</v>
      </c>
      <c r="G74" s="179">
        <v>2.06</v>
      </c>
      <c r="H74" s="179">
        <v>1.01</v>
      </c>
      <c r="I74" s="185">
        <v>1.57</v>
      </c>
      <c r="J74" s="34">
        <v>9.2999999999999999E-2</v>
      </c>
    </row>
    <row r="75" spans="1:10" ht="27.75" customHeight="1" x14ac:dyDescent="0.2">
      <c r="A75" s="177" t="s">
        <v>477</v>
      </c>
      <c r="B75" s="33" t="s">
        <v>1220</v>
      </c>
      <c r="C75" s="186" t="s">
        <v>549</v>
      </c>
      <c r="D75" s="141">
        <v>0.98099999999999998</v>
      </c>
      <c r="E75" s="142">
        <v>0</v>
      </c>
      <c r="F75" s="143">
        <v>0</v>
      </c>
      <c r="G75" s="179">
        <v>2.1</v>
      </c>
      <c r="H75" s="179">
        <v>2.42</v>
      </c>
      <c r="I75" s="185">
        <v>2.76</v>
      </c>
      <c r="J75" s="34">
        <v>7.8E-2</v>
      </c>
    </row>
    <row r="76" spans="1:10" ht="27.75" customHeight="1" x14ac:dyDescent="0.2">
      <c r="A76" s="177" t="s">
        <v>478</v>
      </c>
      <c r="B76" s="33" t="s">
        <v>1221</v>
      </c>
      <c r="C76" s="186" t="s">
        <v>549</v>
      </c>
      <c r="D76" s="141">
        <v>0.75800000000000001</v>
      </c>
      <c r="E76" s="142">
        <v>0</v>
      </c>
      <c r="F76" s="143">
        <v>0</v>
      </c>
      <c r="G76" s="179">
        <v>29.58</v>
      </c>
      <c r="H76" s="179">
        <v>2.72</v>
      </c>
      <c r="I76" s="185">
        <v>3.06</v>
      </c>
      <c r="J76" s="34">
        <v>7.3999999999999996E-2</v>
      </c>
    </row>
    <row r="77" spans="1:10" ht="27.75" customHeight="1" x14ac:dyDescent="0.2">
      <c r="A77" s="177" t="s">
        <v>1073</v>
      </c>
      <c r="B77" s="33" t="s">
        <v>1222</v>
      </c>
      <c r="C77" s="186">
        <v>0</v>
      </c>
      <c r="D77" s="141">
        <v>1.1439999999999999</v>
      </c>
      <c r="E77" s="142">
        <v>0.158</v>
      </c>
      <c r="F77" s="143">
        <v>7.0000000000000001E-3</v>
      </c>
      <c r="G77" s="179">
        <v>2.06</v>
      </c>
      <c r="H77" s="179">
        <v>1.01</v>
      </c>
      <c r="I77" s="185">
        <v>1.57</v>
      </c>
      <c r="J77" s="34">
        <v>9.2999999999999999E-2</v>
      </c>
    </row>
    <row r="78" spans="1:10" ht="27.75" customHeight="1" x14ac:dyDescent="0.2">
      <c r="A78" s="177" t="s">
        <v>1074</v>
      </c>
      <c r="B78" s="33" t="s">
        <v>1223</v>
      </c>
      <c r="C78" s="186">
        <v>0</v>
      </c>
      <c r="D78" s="141">
        <v>1.1519999999999999</v>
      </c>
      <c r="E78" s="142">
        <v>0.156</v>
      </c>
      <c r="F78" s="143">
        <v>8.0000000000000002E-3</v>
      </c>
      <c r="G78" s="179">
        <v>2.1</v>
      </c>
      <c r="H78" s="179">
        <v>2.42</v>
      </c>
      <c r="I78" s="185">
        <v>2.76</v>
      </c>
      <c r="J78" s="34">
        <v>7.8E-2</v>
      </c>
    </row>
    <row r="79" spans="1:10" ht="27.75" customHeight="1" x14ac:dyDescent="0.2">
      <c r="A79" s="177" t="s">
        <v>1075</v>
      </c>
      <c r="B79" s="33" t="s">
        <v>1224</v>
      </c>
      <c r="C79" s="186">
        <v>0</v>
      </c>
      <c r="D79" s="141">
        <v>0.94799999999999995</v>
      </c>
      <c r="E79" s="142">
        <v>0.11700000000000001</v>
      </c>
      <c r="F79" s="143">
        <v>6.0000000000000001E-3</v>
      </c>
      <c r="G79" s="179">
        <v>29.58</v>
      </c>
      <c r="H79" s="179">
        <v>2.72</v>
      </c>
      <c r="I79" s="185">
        <v>3.06</v>
      </c>
      <c r="J79" s="34">
        <v>7.3999999999999996E-2</v>
      </c>
    </row>
    <row r="80" spans="1:10" ht="27.75" customHeight="1" x14ac:dyDescent="0.2">
      <c r="A80" s="177" t="s">
        <v>479</v>
      </c>
      <c r="B80" s="33" t="s">
        <v>1225</v>
      </c>
      <c r="C80" s="186" t="s">
        <v>545</v>
      </c>
      <c r="D80" s="144">
        <v>7.077</v>
      </c>
      <c r="E80" s="145">
        <v>0.46800000000000003</v>
      </c>
      <c r="F80" s="143">
        <v>7.0000000000000001E-3</v>
      </c>
      <c r="G80" s="180"/>
      <c r="H80" s="180"/>
      <c r="I80" s="184"/>
      <c r="J80" s="35"/>
    </row>
    <row r="81" spans="1:10" ht="27.75" customHeight="1" x14ac:dyDescent="0.2">
      <c r="A81" s="177" t="s">
        <v>480</v>
      </c>
      <c r="B81" s="33" t="s">
        <v>1226</v>
      </c>
      <c r="C81" s="186" t="s">
        <v>546</v>
      </c>
      <c r="D81" s="141">
        <v>-1.8340000000000001</v>
      </c>
      <c r="E81" s="142">
        <v>-0.255</v>
      </c>
      <c r="F81" s="143">
        <v>-1.0999999999999999E-2</v>
      </c>
      <c r="G81" s="179">
        <v>0</v>
      </c>
      <c r="H81" s="180"/>
      <c r="I81" s="184"/>
      <c r="J81" s="35"/>
    </row>
    <row r="82" spans="1:10" ht="27.75" customHeight="1" x14ac:dyDescent="0.2">
      <c r="A82" s="177" t="s">
        <v>481</v>
      </c>
      <c r="B82" s="33" t="s">
        <v>1227</v>
      </c>
      <c r="C82" s="186">
        <v>0</v>
      </c>
      <c r="D82" s="141">
        <v>-1.8080000000000001</v>
      </c>
      <c r="E82" s="142">
        <v>-0.251</v>
      </c>
      <c r="F82" s="143">
        <v>-1.0999999999999999E-2</v>
      </c>
      <c r="G82" s="179">
        <v>0</v>
      </c>
      <c r="H82" s="180"/>
      <c r="I82" s="184"/>
      <c r="J82" s="35"/>
    </row>
    <row r="83" spans="1:10" ht="27.75" customHeight="1" x14ac:dyDescent="0.2">
      <c r="A83" s="177" t="s">
        <v>482</v>
      </c>
      <c r="B83" s="33" t="s">
        <v>1228</v>
      </c>
      <c r="C83" s="186" t="s">
        <v>549</v>
      </c>
      <c r="D83" s="141">
        <v>-1.8340000000000001</v>
      </c>
      <c r="E83" s="142">
        <v>-0.255</v>
      </c>
      <c r="F83" s="143">
        <v>-1.0999999999999999E-2</v>
      </c>
      <c r="G83" s="179">
        <v>0</v>
      </c>
      <c r="H83" s="180"/>
      <c r="I83" s="184"/>
      <c r="J83" s="34">
        <v>0.122</v>
      </c>
    </row>
    <row r="84" spans="1:10" ht="27.75" customHeight="1" x14ac:dyDescent="0.2">
      <c r="A84" s="177" t="s">
        <v>483</v>
      </c>
      <c r="B84" s="33" t="s">
        <v>1229</v>
      </c>
      <c r="C84" s="186" t="s">
        <v>549</v>
      </c>
      <c r="D84" s="141">
        <v>-1.8080000000000001</v>
      </c>
      <c r="E84" s="142">
        <v>-0.251</v>
      </c>
      <c r="F84" s="143">
        <v>-1.0999999999999999E-2</v>
      </c>
      <c r="G84" s="179">
        <v>0</v>
      </c>
      <c r="H84" s="180"/>
      <c r="I84" s="184"/>
      <c r="J84" s="34">
        <v>0.121</v>
      </c>
    </row>
    <row r="85" spans="1:10" ht="27.75" customHeight="1" x14ac:dyDescent="0.2">
      <c r="A85" s="177" t="s">
        <v>484</v>
      </c>
      <c r="B85" s="33" t="s">
        <v>1230</v>
      </c>
      <c r="C85" s="186" t="s">
        <v>549</v>
      </c>
      <c r="D85" s="141">
        <v>-1.5469999999999999</v>
      </c>
      <c r="E85" s="142">
        <v>-0.20899999999999999</v>
      </c>
      <c r="F85" s="143">
        <v>-1.0999999999999999E-2</v>
      </c>
      <c r="G85" s="179">
        <v>3.26</v>
      </c>
      <c r="H85" s="180"/>
      <c r="I85" s="184"/>
      <c r="J85" s="34">
        <v>0.13700000000000001</v>
      </c>
    </row>
    <row r="86" spans="1:10" ht="27.75" customHeight="1" x14ac:dyDescent="0.2">
      <c r="A86" s="177" t="s">
        <v>485</v>
      </c>
      <c r="B86" s="33" t="s">
        <v>1231</v>
      </c>
      <c r="C86" s="186" t="s">
        <v>543</v>
      </c>
      <c r="D86" s="141">
        <v>1.661</v>
      </c>
      <c r="E86" s="142">
        <v>0.155</v>
      </c>
      <c r="F86" s="143">
        <v>0</v>
      </c>
      <c r="G86" s="179">
        <v>0.69</v>
      </c>
      <c r="H86" s="180"/>
      <c r="I86" s="184"/>
      <c r="J86" s="35"/>
    </row>
    <row r="87" spans="1:10" ht="27.75" customHeight="1" x14ac:dyDescent="0.2">
      <c r="A87" s="177" t="s">
        <v>486</v>
      </c>
      <c r="B87" s="33" t="s">
        <v>1232</v>
      </c>
      <c r="C87" s="186" t="s">
        <v>422</v>
      </c>
      <c r="D87" s="141">
        <v>1.661</v>
      </c>
      <c r="E87" s="142">
        <v>0.155</v>
      </c>
      <c r="F87" s="143">
        <v>0</v>
      </c>
      <c r="G87" s="180"/>
      <c r="H87" s="180"/>
      <c r="I87" s="184"/>
      <c r="J87" s="35"/>
    </row>
    <row r="88" spans="1:10" ht="27.75" customHeight="1" x14ac:dyDescent="0.2">
      <c r="A88" s="177" t="s">
        <v>487</v>
      </c>
      <c r="B88" s="33" t="s">
        <v>1233</v>
      </c>
      <c r="C88" s="186" t="s">
        <v>544</v>
      </c>
      <c r="D88" s="141">
        <v>0.88</v>
      </c>
      <c r="E88" s="142">
        <v>4.7E-2</v>
      </c>
      <c r="F88" s="143">
        <v>0</v>
      </c>
      <c r="G88" s="179">
        <v>0.7</v>
      </c>
      <c r="H88" s="180"/>
      <c r="I88" s="184"/>
      <c r="J88" s="35"/>
    </row>
    <row r="89" spans="1:10" ht="27.75" customHeight="1" x14ac:dyDescent="0.2">
      <c r="A89" s="177" t="s">
        <v>488</v>
      </c>
      <c r="B89" s="33" t="s">
        <v>1234</v>
      </c>
      <c r="C89" s="186" t="s">
        <v>423</v>
      </c>
      <c r="D89" s="141">
        <v>0.88</v>
      </c>
      <c r="E89" s="142">
        <v>4.7E-2</v>
      </c>
      <c r="F89" s="143">
        <v>0</v>
      </c>
      <c r="G89" s="180"/>
      <c r="H89" s="180"/>
      <c r="I89" s="184"/>
      <c r="J89" s="35"/>
    </row>
    <row r="90" spans="1:10" ht="27.75" customHeight="1" x14ac:dyDescent="0.2">
      <c r="A90" s="177" t="s">
        <v>489</v>
      </c>
      <c r="B90" s="33" t="s">
        <v>1235</v>
      </c>
      <c r="C90" s="186" t="s">
        <v>549</v>
      </c>
      <c r="D90" s="141">
        <v>0.72599999999999998</v>
      </c>
      <c r="E90" s="142">
        <v>2.5000000000000001E-2</v>
      </c>
      <c r="F90" s="143">
        <v>0</v>
      </c>
      <c r="G90" s="179">
        <v>1.51</v>
      </c>
      <c r="H90" s="179">
        <v>0.72</v>
      </c>
      <c r="I90" s="185">
        <v>1.1200000000000001</v>
      </c>
      <c r="J90" s="34">
        <v>6.7000000000000004E-2</v>
      </c>
    </row>
    <row r="91" spans="1:10" ht="27.75" customHeight="1" x14ac:dyDescent="0.2">
      <c r="A91" s="177" t="s">
        <v>490</v>
      </c>
      <c r="B91" s="33" t="s">
        <v>1236</v>
      </c>
      <c r="C91" s="186" t="s">
        <v>549</v>
      </c>
      <c r="D91" s="141">
        <v>0.69899999999999995</v>
      </c>
      <c r="E91" s="142">
        <v>0</v>
      </c>
      <c r="F91" s="143">
        <v>0</v>
      </c>
      <c r="G91" s="179">
        <v>1.54</v>
      </c>
      <c r="H91" s="179">
        <v>1.73</v>
      </c>
      <c r="I91" s="185">
        <v>1.97</v>
      </c>
      <c r="J91" s="34">
        <v>5.5E-2</v>
      </c>
    </row>
    <row r="92" spans="1:10" ht="27.75" customHeight="1" x14ac:dyDescent="0.2">
      <c r="A92" s="177" t="s">
        <v>491</v>
      </c>
      <c r="B92" s="33" t="s">
        <v>1237</v>
      </c>
      <c r="C92" s="186" t="s">
        <v>549</v>
      </c>
      <c r="D92" s="141">
        <v>0.54</v>
      </c>
      <c r="E92" s="142">
        <v>0</v>
      </c>
      <c r="F92" s="143">
        <v>0</v>
      </c>
      <c r="G92" s="179">
        <v>21.1</v>
      </c>
      <c r="H92" s="179">
        <v>1.94</v>
      </c>
      <c r="I92" s="185">
        <v>2.1800000000000002</v>
      </c>
      <c r="J92" s="34">
        <v>5.2999999999999999E-2</v>
      </c>
    </row>
    <row r="93" spans="1:10" ht="27.75" customHeight="1" x14ac:dyDescent="0.2">
      <c r="A93" s="177" t="s">
        <v>1076</v>
      </c>
      <c r="B93" s="33" t="s">
        <v>1238</v>
      </c>
      <c r="C93" s="186">
        <v>0</v>
      </c>
      <c r="D93" s="141">
        <v>0.81399999999999995</v>
      </c>
      <c r="E93" s="142">
        <v>0.113</v>
      </c>
      <c r="F93" s="143">
        <v>5.0000000000000001E-3</v>
      </c>
      <c r="G93" s="179">
        <v>1.51</v>
      </c>
      <c r="H93" s="179">
        <v>0.72</v>
      </c>
      <c r="I93" s="185">
        <v>1.1200000000000001</v>
      </c>
      <c r="J93" s="34">
        <v>6.7000000000000004E-2</v>
      </c>
    </row>
    <row r="94" spans="1:10" ht="27.75" customHeight="1" x14ac:dyDescent="0.2">
      <c r="A94" s="177" t="s">
        <v>1077</v>
      </c>
      <c r="B94" s="33" t="s">
        <v>1239</v>
      </c>
      <c r="C94" s="186">
        <v>0</v>
      </c>
      <c r="D94" s="141">
        <v>0.82</v>
      </c>
      <c r="E94" s="142">
        <v>0.111</v>
      </c>
      <c r="F94" s="143">
        <v>6.0000000000000001E-3</v>
      </c>
      <c r="G94" s="179">
        <v>1.54</v>
      </c>
      <c r="H94" s="179">
        <v>1.73</v>
      </c>
      <c r="I94" s="185">
        <v>1.97</v>
      </c>
      <c r="J94" s="34">
        <v>5.5E-2</v>
      </c>
    </row>
    <row r="95" spans="1:10" ht="27.75" customHeight="1" x14ac:dyDescent="0.2">
      <c r="A95" s="177" t="s">
        <v>1078</v>
      </c>
      <c r="B95" s="33" t="s">
        <v>1240</v>
      </c>
      <c r="C95" s="186">
        <v>0</v>
      </c>
      <c r="D95" s="141">
        <v>0.67500000000000004</v>
      </c>
      <c r="E95" s="142">
        <v>8.3000000000000004E-2</v>
      </c>
      <c r="F95" s="143">
        <v>4.0000000000000001E-3</v>
      </c>
      <c r="G95" s="179">
        <v>21.1</v>
      </c>
      <c r="H95" s="179">
        <v>1.94</v>
      </c>
      <c r="I95" s="185">
        <v>2.1800000000000002</v>
      </c>
      <c r="J95" s="34">
        <v>5.2999999999999999E-2</v>
      </c>
    </row>
    <row r="96" spans="1:10" ht="27.75" customHeight="1" x14ac:dyDescent="0.2">
      <c r="A96" s="177" t="s">
        <v>492</v>
      </c>
      <c r="B96" s="33" t="s">
        <v>1241</v>
      </c>
      <c r="C96" s="186" t="s">
        <v>545</v>
      </c>
      <c r="D96" s="144">
        <v>5.0389999999999997</v>
      </c>
      <c r="E96" s="145">
        <v>0.33300000000000002</v>
      </c>
      <c r="F96" s="143">
        <v>5.0000000000000001E-3</v>
      </c>
      <c r="G96" s="180"/>
      <c r="H96" s="180"/>
      <c r="I96" s="184"/>
      <c r="J96" s="35"/>
    </row>
    <row r="97" spans="1:10" ht="27.75" customHeight="1" x14ac:dyDescent="0.2">
      <c r="A97" s="177" t="s">
        <v>493</v>
      </c>
      <c r="B97" s="33" t="s">
        <v>1242</v>
      </c>
      <c r="C97" s="186" t="s">
        <v>546</v>
      </c>
      <c r="D97" s="141">
        <v>-1.306</v>
      </c>
      <c r="E97" s="142">
        <v>-0.182</v>
      </c>
      <c r="F97" s="143">
        <v>-8.0000000000000002E-3</v>
      </c>
      <c r="G97" s="179">
        <v>0</v>
      </c>
      <c r="H97" s="180"/>
      <c r="I97" s="184"/>
      <c r="J97" s="35"/>
    </row>
    <row r="98" spans="1:10" ht="27.75" customHeight="1" x14ac:dyDescent="0.2">
      <c r="A98" s="177" t="s">
        <v>494</v>
      </c>
      <c r="B98" s="33" t="s">
        <v>1243</v>
      </c>
      <c r="C98" s="186">
        <v>0</v>
      </c>
      <c r="D98" s="141">
        <v>-1.288</v>
      </c>
      <c r="E98" s="142">
        <v>-0.17799999999999999</v>
      </c>
      <c r="F98" s="143">
        <v>-8.0000000000000002E-3</v>
      </c>
      <c r="G98" s="179">
        <v>0</v>
      </c>
      <c r="H98" s="180"/>
      <c r="I98" s="184"/>
      <c r="J98" s="35"/>
    </row>
    <row r="99" spans="1:10" ht="27.75" customHeight="1" x14ac:dyDescent="0.2">
      <c r="A99" s="177" t="s">
        <v>495</v>
      </c>
      <c r="B99" s="33" t="s">
        <v>1244</v>
      </c>
      <c r="C99" s="186" t="s">
        <v>549</v>
      </c>
      <c r="D99" s="141">
        <v>-1.306</v>
      </c>
      <c r="E99" s="142">
        <v>-0.182</v>
      </c>
      <c r="F99" s="143">
        <v>-8.0000000000000002E-3</v>
      </c>
      <c r="G99" s="179">
        <v>0</v>
      </c>
      <c r="H99" s="180"/>
      <c r="I99" s="184"/>
      <c r="J99" s="34">
        <v>8.6999999999999994E-2</v>
      </c>
    </row>
    <row r="100" spans="1:10" ht="27.75" customHeight="1" x14ac:dyDescent="0.2">
      <c r="A100" s="177" t="s">
        <v>496</v>
      </c>
      <c r="B100" s="33" t="s">
        <v>1245</v>
      </c>
      <c r="C100" s="186" t="s">
        <v>549</v>
      </c>
      <c r="D100" s="141">
        <v>-1.288</v>
      </c>
      <c r="E100" s="142">
        <v>-0.17799999999999999</v>
      </c>
      <c r="F100" s="143">
        <v>-8.0000000000000002E-3</v>
      </c>
      <c r="G100" s="179">
        <v>0</v>
      </c>
      <c r="H100" s="180"/>
      <c r="I100" s="184"/>
      <c r="J100" s="34">
        <v>8.5999999999999993E-2</v>
      </c>
    </row>
    <row r="101" spans="1:10" ht="27.75" customHeight="1" x14ac:dyDescent="0.2">
      <c r="A101" s="177" t="s">
        <v>497</v>
      </c>
      <c r="B101" s="33" t="s">
        <v>1246</v>
      </c>
      <c r="C101" s="186" t="s">
        <v>549</v>
      </c>
      <c r="D101" s="141">
        <v>-1.101</v>
      </c>
      <c r="E101" s="142">
        <v>-0.14899999999999999</v>
      </c>
      <c r="F101" s="143">
        <v>-8.0000000000000002E-3</v>
      </c>
      <c r="G101" s="179">
        <v>2.3199999999999998</v>
      </c>
      <c r="H101" s="180"/>
      <c r="I101" s="184"/>
      <c r="J101" s="34">
        <v>9.7000000000000003E-2</v>
      </c>
    </row>
    <row r="102" spans="1:10" ht="27.75" customHeight="1" x14ac:dyDescent="0.2">
      <c r="A102" s="177" t="s">
        <v>498</v>
      </c>
      <c r="B102" s="33" t="s">
        <v>1247</v>
      </c>
      <c r="C102" s="186" t="s">
        <v>543</v>
      </c>
      <c r="D102" s="141">
        <v>0.72299999999999998</v>
      </c>
      <c r="E102" s="142">
        <v>6.8000000000000005E-2</v>
      </c>
      <c r="F102" s="143">
        <v>0</v>
      </c>
      <c r="G102" s="179">
        <v>0.38</v>
      </c>
      <c r="H102" s="180"/>
      <c r="I102" s="184"/>
      <c r="J102" s="35"/>
    </row>
    <row r="103" spans="1:10" ht="27.75" customHeight="1" x14ac:dyDescent="0.2">
      <c r="A103" s="177" t="s">
        <v>499</v>
      </c>
      <c r="B103" s="33" t="s">
        <v>1248</v>
      </c>
      <c r="C103" s="186" t="s">
        <v>422</v>
      </c>
      <c r="D103" s="141">
        <v>0.72299999999999998</v>
      </c>
      <c r="E103" s="142">
        <v>6.8000000000000005E-2</v>
      </c>
      <c r="F103" s="143">
        <v>0</v>
      </c>
      <c r="G103" s="180"/>
      <c r="H103" s="180"/>
      <c r="I103" s="184"/>
      <c r="J103" s="35"/>
    </row>
    <row r="104" spans="1:10" ht="27.75" customHeight="1" x14ac:dyDescent="0.2">
      <c r="A104" s="177" t="s">
        <v>500</v>
      </c>
      <c r="B104" s="33" t="s">
        <v>1249</v>
      </c>
      <c r="C104" s="186" t="s">
        <v>544</v>
      </c>
      <c r="D104" s="141">
        <v>0.38300000000000001</v>
      </c>
      <c r="E104" s="142">
        <v>0.02</v>
      </c>
      <c r="F104" s="143">
        <v>0</v>
      </c>
      <c r="G104" s="179">
        <v>0.38</v>
      </c>
      <c r="H104" s="180"/>
      <c r="I104" s="184"/>
      <c r="J104" s="35"/>
    </row>
    <row r="105" spans="1:10" ht="27.75" customHeight="1" x14ac:dyDescent="0.2">
      <c r="A105" s="177" t="s">
        <v>501</v>
      </c>
      <c r="B105" s="33" t="s">
        <v>1250</v>
      </c>
      <c r="C105" s="186" t="s">
        <v>423</v>
      </c>
      <c r="D105" s="141">
        <v>0.38300000000000001</v>
      </c>
      <c r="E105" s="142">
        <v>0.02</v>
      </c>
      <c r="F105" s="143">
        <v>0</v>
      </c>
      <c r="G105" s="180"/>
      <c r="H105" s="180"/>
      <c r="I105" s="184"/>
      <c r="J105" s="35"/>
    </row>
    <row r="106" spans="1:10" ht="27.75" customHeight="1" x14ac:dyDescent="0.2">
      <c r="A106" s="177" t="s">
        <v>502</v>
      </c>
      <c r="B106" s="33" t="s">
        <v>1251</v>
      </c>
      <c r="C106" s="186" t="s">
        <v>549</v>
      </c>
      <c r="D106" s="141">
        <v>0.316</v>
      </c>
      <c r="E106" s="142">
        <v>1.0999999999999999E-2</v>
      </c>
      <c r="F106" s="143">
        <v>0</v>
      </c>
      <c r="G106" s="179">
        <v>0.73</v>
      </c>
      <c r="H106" s="179">
        <v>0.31</v>
      </c>
      <c r="I106" s="185">
        <v>0.49</v>
      </c>
      <c r="J106" s="34">
        <v>2.9000000000000001E-2</v>
      </c>
    </row>
    <row r="107" spans="1:10" ht="27.75" customHeight="1" x14ac:dyDescent="0.2">
      <c r="A107" s="177" t="s">
        <v>503</v>
      </c>
      <c r="B107" s="33" t="s">
        <v>1252</v>
      </c>
      <c r="C107" s="186" t="s">
        <v>549</v>
      </c>
      <c r="D107" s="141">
        <v>0.30399999999999999</v>
      </c>
      <c r="E107" s="142">
        <v>0</v>
      </c>
      <c r="F107" s="143">
        <v>0</v>
      </c>
      <c r="G107" s="179">
        <v>0.75</v>
      </c>
      <c r="H107" s="179">
        <v>0.75</v>
      </c>
      <c r="I107" s="185">
        <v>0.86</v>
      </c>
      <c r="J107" s="34">
        <v>2.4E-2</v>
      </c>
    </row>
    <row r="108" spans="1:10" ht="27.75" customHeight="1" x14ac:dyDescent="0.2">
      <c r="A108" s="177" t="s">
        <v>504</v>
      </c>
      <c r="B108" s="33" t="s">
        <v>1253</v>
      </c>
      <c r="C108" s="186" t="s">
        <v>549</v>
      </c>
      <c r="D108" s="141">
        <v>0.23499999999999999</v>
      </c>
      <c r="E108" s="142">
        <v>0</v>
      </c>
      <c r="F108" s="143">
        <v>0</v>
      </c>
      <c r="G108" s="179">
        <v>9.26</v>
      </c>
      <c r="H108" s="179">
        <v>0.84</v>
      </c>
      <c r="I108" s="185">
        <v>0.95</v>
      </c>
      <c r="J108" s="34">
        <v>2.3E-2</v>
      </c>
    </row>
    <row r="109" spans="1:10" ht="27.75" customHeight="1" x14ac:dyDescent="0.2">
      <c r="A109" s="177" t="s">
        <v>1079</v>
      </c>
      <c r="B109" s="33" t="s">
        <v>1254</v>
      </c>
      <c r="C109" s="186">
        <v>0</v>
      </c>
      <c r="D109" s="141">
        <v>0.35399999999999998</v>
      </c>
      <c r="E109" s="142">
        <v>4.9000000000000002E-2</v>
      </c>
      <c r="F109" s="143">
        <v>2E-3</v>
      </c>
      <c r="G109" s="179">
        <v>0.73</v>
      </c>
      <c r="H109" s="179">
        <v>0.31</v>
      </c>
      <c r="I109" s="185">
        <v>0.49</v>
      </c>
      <c r="J109" s="34">
        <v>2.9000000000000001E-2</v>
      </c>
    </row>
    <row r="110" spans="1:10" ht="27.75" customHeight="1" x14ac:dyDescent="0.2">
      <c r="A110" s="177" t="s">
        <v>1080</v>
      </c>
      <c r="B110" s="33" t="s">
        <v>1255</v>
      </c>
      <c r="C110" s="186">
        <v>0</v>
      </c>
      <c r="D110" s="141">
        <v>0.35699999999999998</v>
      </c>
      <c r="E110" s="142">
        <v>4.8000000000000001E-2</v>
      </c>
      <c r="F110" s="143">
        <v>3.0000000000000001E-3</v>
      </c>
      <c r="G110" s="179">
        <v>0.75</v>
      </c>
      <c r="H110" s="179">
        <v>0.75</v>
      </c>
      <c r="I110" s="185">
        <v>0.86</v>
      </c>
      <c r="J110" s="34">
        <v>2.4E-2</v>
      </c>
    </row>
    <row r="111" spans="1:10" ht="27.75" customHeight="1" x14ac:dyDescent="0.2">
      <c r="A111" s="177" t="s">
        <v>1081</v>
      </c>
      <c r="B111" s="33" t="s">
        <v>1256</v>
      </c>
      <c r="C111" s="186">
        <v>0</v>
      </c>
      <c r="D111" s="141">
        <v>0.29399999999999998</v>
      </c>
      <c r="E111" s="142">
        <v>3.5999999999999997E-2</v>
      </c>
      <c r="F111" s="143">
        <v>2E-3</v>
      </c>
      <c r="G111" s="179">
        <v>9.26</v>
      </c>
      <c r="H111" s="179">
        <v>0.84</v>
      </c>
      <c r="I111" s="185">
        <v>0.95</v>
      </c>
      <c r="J111" s="34">
        <v>2.3E-2</v>
      </c>
    </row>
    <row r="112" spans="1:10" ht="27.75" customHeight="1" x14ac:dyDescent="0.2">
      <c r="A112" s="177" t="s">
        <v>505</v>
      </c>
      <c r="B112" s="33" t="s">
        <v>1257</v>
      </c>
      <c r="C112" s="186" t="s">
        <v>545</v>
      </c>
      <c r="D112" s="144">
        <v>2.1930000000000001</v>
      </c>
      <c r="E112" s="145">
        <v>0.14499999999999999</v>
      </c>
      <c r="F112" s="143">
        <v>2E-3</v>
      </c>
      <c r="G112" s="180"/>
      <c r="H112" s="180"/>
      <c r="I112" s="184"/>
      <c r="J112" s="35"/>
    </row>
    <row r="113" spans="1:10" ht="27.75" customHeight="1" x14ac:dyDescent="0.2">
      <c r="A113" s="177" t="s">
        <v>506</v>
      </c>
      <c r="B113" s="33" t="s">
        <v>1258</v>
      </c>
      <c r="C113" s="186" t="s">
        <v>546</v>
      </c>
      <c r="D113" s="141">
        <v>-0.56799999999999995</v>
      </c>
      <c r="E113" s="142">
        <v>-7.9000000000000001E-2</v>
      </c>
      <c r="F113" s="143">
        <v>-3.0000000000000001E-3</v>
      </c>
      <c r="G113" s="179">
        <v>0</v>
      </c>
      <c r="H113" s="180"/>
      <c r="I113" s="184"/>
      <c r="J113" s="35"/>
    </row>
    <row r="114" spans="1:10" ht="27.75" customHeight="1" x14ac:dyDescent="0.2">
      <c r="A114" s="177" t="s">
        <v>507</v>
      </c>
      <c r="B114" s="33" t="s">
        <v>1259</v>
      </c>
      <c r="C114" s="186">
        <v>0</v>
      </c>
      <c r="D114" s="141">
        <v>-0.56100000000000005</v>
      </c>
      <c r="E114" s="142">
        <v>-7.8E-2</v>
      </c>
      <c r="F114" s="143">
        <v>-3.0000000000000001E-3</v>
      </c>
      <c r="G114" s="179">
        <v>0</v>
      </c>
      <c r="H114" s="180"/>
      <c r="I114" s="184"/>
      <c r="J114" s="35"/>
    </row>
    <row r="115" spans="1:10" ht="27.75" customHeight="1" x14ac:dyDescent="0.2">
      <c r="A115" s="177" t="s">
        <v>508</v>
      </c>
      <c r="B115" s="33" t="s">
        <v>1260</v>
      </c>
      <c r="C115" s="186" t="s">
        <v>549</v>
      </c>
      <c r="D115" s="141">
        <v>-0.56799999999999995</v>
      </c>
      <c r="E115" s="142">
        <v>-7.9000000000000001E-2</v>
      </c>
      <c r="F115" s="143">
        <v>-3.0000000000000001E-3</v>
      </c>
      <c r="G115" s="179">
        <v>0</v>
      </c>
      <c r="H115" s="180"/>
      <c r="I115" s="184"/>
      <c r="J115" s="34">
        <v>3.7999999999999999E-2</v>
      </c>
    </row>
    <row r="116" spans="1:10" ht="27.75" customHeight="1" x14ac:dyDescent="0.2">
      <c r="A116" s="177" t="s">
        <v>509</v>
      </c>
      <c r="B116" s="33" t="s">
        <v>1261</v>
      </c>
      <c r="C116" s="186" t="s">
        <v>549</v>
      </c>
      <c r="D116" s="141">
        <v>-0.56100000000000005</v>
      </c>
      <c r="E116" s="142">
        <v>-7.8E-2</v>
      </c>
      <c r="F116" s="143">
        <v>-3.0000000000000001E-3</v>
      </c>
      <c r="G116" s="179">
        <v>0</v>
      </c>
      <c r="H116" s="180"/>
      <c r="I116" s="184"/>
      <c r="J116" s="34">
        <v>3.7999999999999999E-2</v>
      </c>
    </row>
    <row r="117" spans="1:10" ht="27.75" customHeight="1" x14ac:dyDescent="0.2">
      <c r="A117" s="177" t="s">
        <v>510</v>
      </c>
      <c r="B117" s="33" t="s">
        <v>1262</v>
      </c>
      <c r="C117" s="186" t="s">
        <v>549</v>
      </c>
      <c r="D117" s="141">
        <v>-0.47899999999999998</v>
      </c>
      <c r="E117" s="142">
        <v>-6.5000000000000002E-2</v>
      </c>
      <c r="F117" s="143">
        <v>-3.0000000000000001E-3</v>
      </c>
      <c r="G117" s="179">
        <v>1.01</v>
      </c>
      <c r="H117" s="180"/>
      <c r="I117" s="184"/>
      <c r="J117" s="34">
        <v>4.2000000000000003E-2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10:G10"/>
    <mergeCell ref="H10:J10"/>
    <mergeCell ref="F9:G9"/>
    <mergeCell ref="B8:D8"/>
    <mergeCell ref="A4:D4"/>
    <mergeCell ref="F6:G6"/>
    <mergeCell ref="F7:G7"/>
    <mergeCell ref="F8:G8"/>
    <mergeCell ref="B1:D1"/>
    <mergeCell ref="F1:H1"/>
    <mergeCell ref="A2:J2"/>
    <mergeCell ref="F4:J4"/>
    <mergeCell ref="F5:G5"/>
  </mergeCells>
  <phoneticPr fontId="5"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3" fitToHeight="0" orientation="portrait" r:id="rId2"/>
  <headerFooter differentFirst="1" scaleWithDoc="0">
    <oddFooter>&amp;R&amp;P of &amp;N</oddFooter>
    <firstHeader>&amp;L
Annex 4 - Charges applied to LDNOs with HV/LV end users</firstHeader>
    <firstFooter>&amp;R&amp;P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D88"/>
  <sheetViews>
    <sheetView zoomScale="80" zoomScaleNormal="80" zoomScaleSheetLayoutView="100" workbookViewId="0"/>
  </sheetViews>
  <sheetFormatPr defaultRowHeight="12.75" x14ac:dyDescent="0.2"/>
  <cols>
    <col min="1" max="1" width="28" bestFit="1" customWidth="1"/>
    <col min="2" max="7" width="24" customWidth="1"/>
  </cols>
  <sheetData>
    <row r="1" spans="1:16384" s="2" customFormat="1" ht="27.75" customHeight="1" x14ac:dyDescent="0.2">
      <c r="A1" s="138" t="s">
        <v>18</v>
      </c>
      <c r="B1"/>
      <c r="C1" s="137"/>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280" t="s">
        <v>1143</v>
      </c>
      <c r="B2" s="280"/>
      <c r="C2" s="280"/>
      <c r="D2" s="280"/>
      <c r="E2" s="280"/>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50" t="str">
        <f>Overview!B4&amp; " - Illustrative LLFs for year beginning "&amp;Overview!D4</f>
        <v>London Power Networks - Illustrative LLFs for year beginning 1 April 2021</v>
      </c>
      <c r="B3" s="251"/>
      <c r="C3" s="251"/>
      <c r="D3" s="251"/>
      <c r="E3" s="251"/>
      <c r="F3" s="251"/>
      <c r="G3" s="252"/>
    </row>
    <row r="4" spans="1:16384" ht="19.5" customHeight="1" x14ac:dyDescent="0.2">
      <c r="A4" s="281" t="s">
        <v>12</v>
      </c>
      <c r="B4" s="282"/>
      <c r="C4" s="18" t="s">
        <v>4</v>
      </c>
      <c r="D4" s="18" t="s">
        <v>5</v>
      </c>
      <c r="E4" s="18" t="s">
        <v>6</v>
      </c>
      <c r="F4" s="18" t="s">
        <v>7</v>
      </c>
      <c r="G4" s="18" t="s">
        <v>550</v>
      </c>
    </row>
    <row r="5" spans="1:16384" ht="19.5" customHeight="1" x14ac:dyDescent="0.2">
      <c r="A5" s="283"/>
      <c r="B5" s="284"/>
      <c r="C5" s="18" t="s">
        <v>551</v>
      </c>
      <c r="D5" s="18" t="s">
        <v>552</v>
      </c>
      <c r="E5" s="18" t="s">
        <v>553</v>
      </c>
      <c r="F5" s="18" t="s">
        <v>554</v>
      </c>
      <c r="G5" s="18" t="s">
        <v>555</v>
      </c>
    </row>
    <row r="6" spans="1:16384" ht="45" customHeight="1" x14ac:dyDescent="0.2">
      <c r="A6" s="230" t="s">
        <v>556</v>
      </c>
      <c r="B6" s="231"/>
      <c r="C6" s="19" t="s">
        <v>557</v>
      </c>
      <c r="D6" s="192"/>
      <c r="E6" s="77" t="s">
        <v>558</v>
      </c>
      <c r="F6" s="192"/>
      <c r="G6" s="192"/>
    </row>
    <row r="7" spans="1:16384" ht="45" customHeight="1" x14ac:dyDescent="0.2">
      <c r="A7" s="230" t="s">
        <v>559</v>
      </c>
      <c r="B7" s="231"/>
      <c r="C7" s="192"/>
      <c r="D7" s="19" t="s">
        <v>560</v>
      </c>
      <c r="E7" s="192"/>
      <c r="F7" s="192"/>
      <c r="G7" s="192"/>
    </row>
    <row r="8" spans="1:16384" ht="45" customHeight="1" x14ac:dyDescent="0.2">
      <c r="A8" s="230" t="s">
        <v>561</v>
      </c>
      <c r="B8" s="231"/>
      <c r="C8" s="192"/>
      <c r="D8" s="192"/>
      <c r="E8" s="19" t="s">
        <v>560</v>
      </c>
      <c r="F8" s="192"/>
      <c r="G8" s="192"/>
    </row>
    <row r="9" spans="1:16384" ht="45" customHeight="1" x14ac:dyDescent="0.2">
      <c r="A9" s="230" t="s">
        <v>562</v>
      </c>
      <c r="B9" s="231"/>
      <c r="C9" s="192"/>
      <c r="D9" s="192"/>
      <c r="E9" s="192"/>
      <c r="F9" s="77" t="s">
        <v>563</v>
      </c>
      <c r="G9" s="77" t="s">
        <v>564</v>
      </c>
    </row>
    <row r="10" spans="1:16384" ht="25.5" customHeight="1" x14ac:dyDescent="0.2">
      <c r="A10" s="230" t="s">
        <v>13</v>
      </c>
      <c r="B10" s="231"/>
      <c r="C10" s="230" t="s">
        <v>536</v>
      </c>
      <c r="D10" s="243"/>
      <c r="E10" s="243"/>
      <c r="F10" s="243"/>
      <c r="G10" s="231"/>
    </row>
    <row r="11" spans="1:16384" x14ac:dyDescent="0.2">
      <c r="B11" s="10"/>
      <c r="C11" s="10"/>
      <c r="D11" s="10"/>
      <c r="E11" s="10"/>
    </row>
    <row r="12" spans="1:16384" ht="22.5" customHeight="1" x14ac:dyDescent="0.2">
      <c r="A12" s="240" t="s">
        <v>42</v>
      </c>
      <c r="B12" s="279"/>
      <c r="C12" s="279"/>
      <c r="D12" s="279"/>
      <c r="E12" s="279"/>
      <c r="F12" s="279"/>
      <c r="G12" s="241"/>
    </row>
    <row r="13" spans="1:16384" ht="22.5" customHeight="1" x14ac:dyDescent="0.2">
      <c r="A13" s="240" t="s">
        <v>3</v>
      </c>
      <c r="B13" s="279"/>
      <c r="C13" s="279"/>
      <c r="D13" s="279"/>
      <c r="E13" s="279"/>
      <c r="F13" s="279"/>
      <c r="G13" s="241"/>
    </row>
    <row r="14" spans="1:16384" ht="33" customHeight="1" x14ac:dyDescent="0.2">
      <c r="A14" s="18" t="s">
        <v>43</v>
      </c>
      <c r="B14" s="18" t="s">
        <v>4</v>
      </c>
      <c r="C14" s="18" t="s">
        <v>5</v>
      </c>
      <c r="D14" s="18" t="s">
        <v>6</v>
      </c>
      <c r="E14" s="18" t="s">
        <v>7</v>
      </c>
      <c r="F14" s="18" t="s">
        <v>550</v>
      </c>
      <c r="G14" s="18" t="s">
        <v>8</v>
      </c>
    </row>
    <row r="15" spans="1:16384" ht="123" customHeight="1" x14ac:dyDescent="0.2">
      <c r="A15" s="1" t="s">
        <v>44</v>
      </c>
      <c r="B15" s="208">
        <v>1.099</v>
      </c>
      <c r="C15" s="208">
        <v>1.0820000000000001</v>
      </c>
      <c r="D15" s="208">
        <v>1.0920000000000001</v>
      </c>
      <c r="E15" s="208">
        <v>1.0649999999999999</v>
      </c>
      <c r="F15" s="208">
        <v>1.08</v>
      </c>
      <c r="G15" s="1" t="s">
        <v>1144</v>
      </c>
    </row>
    <row r="16" spans="1:16384" ht="42" customHeight="1" x14ac:dyDescent="0.2">
      <c r="A16" s="1" t="s">
        <v>45</v>
      </c>
      <c r="B16" s="208">
        <v>1.0629999999999999</v>
      </c>
      <c r="C16" s="208">
        <v>1.054</v>
      </c>
      <c r="D16" s="208">
        <v>1.0589999999999999</v>
      </c>
      <c r="E16" s="208">
        <v>1.044</v>
      </c>
      <c r="F16" s="208">
        <v>1.052</v>
      </c>
      <c r="G16" s="1" t="s">
        <v>1145</v>
      </c>
    </row>
    <row r="17" spans="1:7" ht="39" customHeight="1" x14ac:dyDescent="0.2">
      <c r="A17" s="1" t="s">
        <v>46</v>
      </c>
      <c r="B17" s="208">
        <v>1.038</v>
      </c>
      <c r="C17" s="208">
        <v>1.034</v>
      </c>
      <c r="D17" s="208">
        <v>1.036</v>
      </c>
      <c r="E17" s="208">
        <v>1.026</v>
      </c>
      <c r="F17" s="208">
        <v>1.032</v>
      </c>
      <c r="G17" s="1" t="s">
        <v>1146</v>
      </c>
    </row>
    <row r="18" spans="1:7" ht="21.75" customHeight="1" x14ac:dyDescent="0.2">
      <c r="A18" s="1" t="s">
        <v>47</v>
      </c>
      <c r="B18" s="208">
        <v>1.032</v>
      </c>
      <c r="C18" s="208">
        <v>1.0289999999999999</v>
      </c>
      <c r="D18" s="208">
        <v>1.0309999999999999</v>
      </c>
      <c r="E18" s="208">
        <v>1.026</v>
      </c>
      <c r="F18" s="208">
        <v>1.0289999999999999</v>
      </c>
      <c r="G18" s="209" t="s">
        <v>1082</v>
      </c>
    </row>
    <row r="19" spans="1:7" ht="22.5" customHeight="1" x14ac:dyDescent="0.2">
      <c r="A19" s="1" t="s">
        <v>48</v>
      </c>
      <c r="B19" s="208">
        <v>1.0229999999999999</v>
      </c>
      <c r="C19" s="208">
        <v>1.0209999999999999</v>
      </c>
      <c r="D19" s="208">
        <v>1.0229999999999999</v>
      </c>
      <c r="E19" s="208">
        <v>1.018</v>
      </c>
      <c r="F19" s="208">
        <v>1.0209999999999999</v>
      </c>
      <c r="G19" s="209" t="s">
        <v>1083</v>
      </c>
    </row>
    <row r="20" spans="1:7" ht="22.5" customHeight="1" x14ac:dyDescent="0.2">
      <c r="A20" s="1" t="s">
        <v>49</v>
      </c>
      <c r="B20" s="208">
        <v>1.0029999999999999</v>
      </c>
      <c r="C20" s="208">
        <v>1.002</v>
      </c>
      <c r="D20" s="208">
        <v>1.002</v>
      </c>
      <c r="E20" s="208">
        <v>1.002</v>
      </c>
      <c r="F20" s="208">
        <v>1.002</v>
      </c>
      <c r="G20" s="209" t="s">
        <v>1084</v>
      </c>
    </row>
    <row r="22" spans="1:7" ht="22.5" customHeight="1" x14ac:dyDescent="0.2">
      <c r="A22" s="240" t="s">
        <v>50</v>
      </c>
      <c r="B22" s="279"/>
      <c r="C22" s="279"/>
      <c r="D22" s="279"/>
      <c r="E22" s="279"/>
      <c r="F22" s="279"/>
      <c r="G22" s="241"/>
    </row>
    <row r="23" spans="1:7" ht="22.5" customHeight="1" x14ac:dyDescent="0.2">
      <c r="A23" s="240" t="s">
        <v>10</v>
      </c>
      <c r="B23" s="279"/>
      <c r="C23" s="279"/>
      <c r="D23" s="279"/>
      <c r="E23" s="279"/>
      <c r="F23" s="279"/>
      <c r="G23" s="241"/>
    </row>
    <row r="24" spans="1:7" ht="33" customHeight="1" x14ac:dyDescent="0.2">
      <c r="A24" s="18" t="s">
        <v>9</v>
      </c>
      <c r="B24" s="18" t="s">
        <v>4</v>
      </c>
      <c r="C24" s="18" t="s">
        <v>5</v>
      </c>
      <c r="D24" s="18" t="s">
        <v>6</v>
      </c>
      <c r="E24" s="18" t="s">
        <v>7</v>
      </c>
      <c r="F24" s="18" t="s">
        <v>550</v>
      </c>
      <c r="G24" s="18" t="s">
        <v>8</v>
      </c>
    </row>
    <row r="25" spans="1:7" ht="22.5" customHeight="1" x14ac:dyDescent="0.2">
      <c r="A25" s="212" t="s">
        <v>1085</v>
      </c>
      <c r="B25" s="208">
        <v>1.0089999999999999</v>
      </c>
      <c r="C25" s="208">
        <v>1.0069999999999999</v>
      </c>
      <c r="D25" s="208">
        <v>1.0089999999999999</v>
      </c>
      <c r="E25" s="208">
        <v>1.006</v>
      </c>
      <c r="F25" s="208">
        <v>1.0069999999999999</v>
      </c>
      <c r="G25" s="210">
        <v>800</v>
      </c>
    </row>
    <row r="26" spans="1:7" ht="22.5" customHeight="1" x14ac:dyDescent="0.2">
      <c r="A26" s="212" t="s">
        <v>1086</v>
      </c>
      <c r="B26" s="208">
        <v>1.006</v>
      </c>
      <c r="C26" s="208">
        <v>1.006</v>
      </c>
      <c r="D26" s="208">
        <v>1.006</v>
      </c>
      <c r="E26" s="208">
        <v>1.006</v>
      </c>
      <c r="F26" s="208">
        <v>1.006</v>
      </c>
      <c r="G26" s="210">
        <v>801</v>
      </c>
    </row>
    <row r="27" spans="1:7" ht="22.5" customHeight="1" x14ac:dyDescent="0.2">
      <c r="A27" s="212" t="s">
        <v>1087</v>
      </c>
      <c r="B27" s="208">
        <v>1.0009999999999999</v>
      </c>
      <c r="C27" s="208">
        <v>1.0009999999999999</v>
      </c>
      <c r="D27" s="208">
        <v>1.0009999999999999</v>
      </c>
      <c r="E27" s="208">
        <v>1.0009999999999999</v>
      </c>
      <c r="F27" s="208">
        <v>1.0009999999999999</v>
      </c>
      <c r="G27" s="210">
        <v>802</v>
      </c>
    </row>
    <row r="28" spans="1:7" ht="22.5" customHeight="1" x14ac:dyDescent="0.2">
      <c r="A28" s="212" t="s">
        <v>1088</v>
      </c>
      <c r="B28" s="208">
        <v>1.006</v>
      </c>
      <c r="C28" s="208">
        <v>1.0049999999999999</v>
      </c>
      <c r="D28" s="208">
        <v>1.006</v>
      </c>
      <c r="E28" s="208">
        <v>1.0049999999999999</v>
      </c>
      <c r="F28" s="208">
        <v>1.006</v>
      </c>
      <c r="G28" s="210">
        <v>803</v>
      </c>
    </row>
    <row r="29" spans="1:7" ht="22.5" customHeight="1" x14ac:dyDescent="0.2">
      <c r="A29" s="212" t="s">
        <v>1089</v>
      </c>
      <c r="B29" s="208">
        <v>1.0229999999999999</v>
      </c>
      <c r="C29" s="208">
        <v>1.0209999999999999</v>
      </c>
      <c r="D29" s="208">
        <v>1.0229999999999999</v>
      </c>
      <c r="E29" s="208">
        <v>1.018</v>
      </c>
      <c r="F29" s="208">
        <v>1.0209999999999999</v>
      </c>
      <c r="G29" s="210">
        <v>804</v>
      </c>
    </row>
    <row r="30" spans="1:7" ht="22.5" customHeight="1" x14ac:dyDescent="0.2">
      <c r="A30" s="212" t="s">
        <v>1090</v>
      </c>
      <c r="B30" s="208">
        <v>1.012</v>
      </c>
      <c r="C30" s="208">
        <v>1.0109999999999999</v>
      </c>
      <c r="D30" s="208">
        <v>1.012</v>
      </c>
      <c r="E30" s="208">
        <v>1.008</v>
      </c>
      <c r="F30" s="208">
        <v>1.008</v>
      </c>
      <c r="G30" s="210">
        <v>805</v>
      </c>
    </row>
    <row r="31" spans="1:7" ht="22.5" customHeight="1" x14ac:dyDescent="0.2">
      <c r="A31" s="212" t="s">
        <v>1091</v>
      </c>
      <c r="B31" s="208">
        <v>1.0189999999999999</v>
      </c>
      <c r="C31" s="208">
        <v>1.0169999999999999</v>
      </c>
      <c r="D31" s="208">
        <v>1.0169999999999999</v>
      </c>
      <c r="E31" s="208">
        <v>1.0149999999999999</v>
      </c>
      <c r="F31" s="208">
        <v>1.016</v>
      </c>
      <c r="G31" s="210">
        <v>806</v>
      </c>
    </row>
    <row r="32" spans="1:7" ht="22.5" customHeight="1" x14ac:dyDescent="0.2">
      <c r="A32" s="212" t="s">
        <v>1092</v>
      </c>
      <c r="B32" s="208">
        <v>1.012</v>
      </c>
      <c r="C32" s="208">
        <v>1.012</v>
      </c>
      <c r="D32" s="208">
        <v>1.012</v>
      </c>
      <c r="E32" s="208">
        <v>1.0109999999999999</v>
      </c>
      <c r="F32" s="208">
        <v>1.0109999999999999</v>
      </c>
      <c r="G32" s="210">
        <v>807</v>
      </c>
    </row>
    <row r="33" spans="1:7" ht="22.5" customHeight="1" x14ac:dyDescent="0.2">
      <c r="A33" s="212" t="s">
        <v>1142</v>
      </c>
      <c r="B33" s="208">
        <v>1.01</v>
      </c>
      <c r="C33" s="208">
        <v>1.0069999999999999</v>
      </c>
      <c r="D33" s="208">
        <v>1.01</v>
      </c>
      <c r="E33" s="208">
        <v>1.006</v>
      </c>
      <c r="F33" s="208">
        <v>1.008</v>
      </c>
      <c r="G33" s="210">
        <v>808</v>
      </c>
    </row>
    <row r="34" spans="1:7" ht="22.5" customHeight="1" x14ac:dyDescent="0.2">
      <c r="A34" s="212" t="s">
        <v>1093</v>
      </c>
      <c r="B34" s="208">
        <v>1.004</v>
      </c>
      <c r="C34" s="208">
        <v>1.0029999999999999</v>
      </c>
      <c r="D34" s="208">
        <v>1.0049999999999999</v>
      </c>
      <c r="E34" s="208">
        <v>1</v>
      </c>
      <c r="F34" s="208">
        <v>1.0089999999999999</v>
      </c>
      <c r="G34" s="210">
        <v>809</v>
      </c>
    </row>
    <row r="35" spans="1:7" ht="22.5" customHeight="1" x14ac:dyDescent="0.2">
      <c r="A35" s="212" t="s">
        <v>1094</v>
      </c>
      <c r="B35" s="208">
        <v>1.014</v>
      </c>
      <c r="C35" s="208">
        <v>1.0149999999999999</v>
      </c>
      <c r="D35" s="208">
        <v>1.0149999999999999</v>
      </c>
      <c r="E35" s="208">
        <v>1.0129999999999999</v>
      </c>
      <c r="F35" s="208">
        <v>1.0129999999999999</v>
      </c>
      <c r="G35" s="210">
        <v>810</v>
      </c>
    </row>
    <row r="36" spans="1:7" ht="22.5" customHeight="1" x14ac:dyDescent="0.2">
      <c r="A36" s="212" t="s">
        <v>1095</v>
      </c>
      <c r="B36" s="208">
        <v>1.02</v>
      </c>
      <c r="C36" s="208">
        <v>1.0189999999999999</v>
      </c>
      <c r="D36" s="208">
        <v>1.0189999999999999</v>
      </c>
      <c r="E36" s="208">
        <v>1.0189999999999999</v>
      </c>
      <c r="F36" s="208">
        <v>1.0189999999999999</v>
      </c>
      <c r="G36" s="210">
        <v>811</v>
      </c>
    </row>
    <row r="37" spans="1:7" ht="22.5" customHeight="1" x14ac:dyDescent="0.2">
      <c r="A37" s="212" t="s">
        <v>1096</v>
      </c>
      <c r="B37" s="208">
        <v>1.0509999999999999</v>
      </c>
      <c r="C37" s="208">
        <v>1.05</v>
      </c>
      <c r="D37" s="208">
        <v>1.0509999999999999</v>
      </c>
      <c r="E37" s="208">
        <v>1.0509999999999999</v>
      </c>
      <c r="F37" s="208">
        <v>1.0509999999999999</v>
      </c>
      <c r="G37" s="210">
        <v>812</v>
      </c>
    </row>
    <row r="38" spans="1:7" ht="22.5" customHeight="1" x14ac:dyDescent="0.2">
      <c r="A38" s="212" t="s">
        <v>1097</v>
      </c>
      <c r="B38" s="208">
        <v>1.0089999999999999</v>
      </c>
      <c r="C38" s="208">
        <v>1.0069999999999999</v>
      </c>
      <c r="D38" s="208">
        <v>1.0089999999999999</v>
      </c>
      <c r="E38" s="208">
        <v>1.0069999999999999</v>
      </c>
      <c r="F38" s="208">
        <v>1.006</v>
      </c>
      <c r="G38" s="210">
        <v>813</v>
      </c>
    </row>
    <row r="39" spans="1:7" ht="22.5" customHeight="1" x14ac:dyDescent="0.2">
      <c r="A39" s="212" t="s">
        <v>1098</v>
      </c>
      <c r="B39" s="208">
        <v>1.01</v>
      </c>
      <c r="C39" s="208">
        <v>1.008</v>
      </c>
      <c r="D39" s="208">
        <v>1.01</v>
      </c>
      <c r="E39" s="208">
        <v>1.008</v>
      </c>
      <c r="F39" s="208">
        <v>1.0069999999999999</v>
      </c>
      <c r="G39" s="210">
        <v>814</v>
      </c>
    </row>
    <row r="40" spans="1:7" ht="22.5" customHeight="1" x14ac:dyDescent="0.2">
      <c r="A40" s="212" t="s">
        <v>1099</v>
      </c>
      <c r="B40" s="208">
        <v>1.0029999999999999</v>
      </c>
      <c r="C40" s="208">
        <v>1.0029999999999999</v>
      </c>
      <c r="D40" s="208">
        <v>1.0029999999999999</v>
      </c>
      <c r="E40" s="208">
        <v>1.0029999999999999</v>
      </c>
      <c r="F40" s="208">
        <v>1.0029999999999999</v>
      </c>
      <c r="G40" s="210">
        <v>815</v>
      </c>
    </row>
    <row r="41" spans="1:7" ht="22.5" customHeight="1" x14ac:dyDescent="0.2">
      <c r="A41" s="212" t="s">
        <v>1100</v>
      </c>
      <c r="B41" s="208">
        <v>1.008</v>
      </c>
      <c r="C41" s="208">
        <v>1.006</v>
      </c>
      <c r="D41" s="208">
        <v>1.008</v>
      </c>
      <c r="E41" s="208">
        <v>1.006</v>
      </c>
      <c r="F41" s="208">
        <v>1.006</v>
      </c>
      <c r="G41" s="210">
        <v>816</v>
      </c>
    </row>
    <row r="42" spans="1:7" ht="22.5" customHeight="1" x14ac:dyDescent="0.2">
      <c r="A42" s="212" t="s">
        <v>1101</v>
      </c>
      <c r="B42" s="208">
        <v>1</v>
      </c>
      <c r="C42" s="208">
        <v>1</v>
      </c>
      <c r="D42" s="208">
        <v>1</v>
      </c>
      <c r="E42" s="208">
        <v>1</v>
      </c>
      <c r="F42" s="208">
        <v>1</v>
      </c>
      <c r="G42" s="210">
        <v>817</v>
      </c>
    </row>
    <row r="43" spans="1:7" ht="22.5" customHeight="1" x14ac:dyDescent="0.2">
      <c r="A43" s="212" t="s">
        <v>1102</v>
      </c>
      <c r="B43" s="208">
        <v>1</v>
      </c>
      <c r="C43" s="208">
        <v>1</v>
      </c>
      <c r="D43" s="208">
        <v>1</v>
      </c>
      <c r="E43" s="208">
        <v>1</v>
      </c>
      <c r="F43" s="208">
        <v>1</v>
      </c>
      <c r="G43" s="210">
        <v>818</v>
      </c>
    </row>
    <row r="44" spans="1:7" ht="22.5" customHeight="1" x14ac:dyDescent="0.2">
      <c r="A44" s="212" t="s">
        <v>1103</v>
      </c>
      <c r="B44" s="208">
        <v>1.032</v>
      </c>
      <c r="C44" s="208">
        <v>1.0289999999999999</v>
      </c>
      <c r="D44" s="208">
        <v>1.0309999999999999</v>
      </c>
      <c r="E44" s="208">
        <v>1.026</v>
      </c>
      <c r="F44" s="208">
        <v>1.0289999999999999</v>
      </c>
      <c r="G44" s="210">
        <v>819</v>
      </c>
    </row>
    <row r="45" spans="1:7" ht="22.5" customHeight="1" x14ac:dyDescent="0.2">
      <c r="A45" s="212" t="s">
        <v>1104</v>
      </c>
      <c r="B45" s="208">
        <v>1.0089999999999999</v>
      </c>
      <c r="C45" s="208">
        <v>1.0109999999999999</v>
      </c>
      <c r="D45" s="208">
        <v>1.012</v>
      </c>
      <c r="E45" s="208">
        <v>1.0089999999999999</v>
      </c>
      <c r="F45" s="208">
        <v>1.008</v>
      </c>
      <c r="G45" s="210">
        <v>820</v>
      </c>
    </row>
    <row r="46" spans="1:7" ht="22.5" customHeight="1" x14ac:dyDescent="0.2">
      <c r="A46" s="212" t="s">
        <v>1105</v>
      </c>
      <c r="B46" s="208">
        <v>1.0149999999999999</v>
      </c>
      <c r="C46" s="208">
        <v>1.01</v>
      </c>
      <c r="D46" s="208">
        <v>1.014</v>
      </c>
      <c r="E46" s="208">
        <v>1.01</v>
      </c>
      <c r="F46" s="208">
        <v>1.008</v>
      </c>
      <c r="G46" s="210">
        <v>821</v>
      </c>
    </row>
    <row r="47" spans="1:7" ht="22.5" customHeight="1" x14ac:dyDescent="0.2">
      <c r="A47" s="212" t="s">
        <v>1106</v>
      </c>
      <c r="B47" s="208">
        <v>1.032</v>
      </c>
      <c r="C47" s="208">
        <v>1.0289999999999999</v>
      </c>
      <c r="D47" s="208">
        <v>1.0309999999999999</v>
      </c>
      <c r="E47" s="208">
        <v>1.026</v>
      </c>
      <c r="F47" s="208">
        <v>1.0289999999999999</v>
      </c>
      <c r="G47" s="210">
        <v>822</v>
      </c>
    </row>
    <row r="48" spans="1:7" ht="22.5" customHeight="1" x14ac:dyDescent="0.2">
      <c r="A48" s="212" t="s">
        <v>1107</v>
      </c>
      <c r="B48" s="208">
        <v>1.032</v>
      </c>
      <c r="C48" s="208">
        <v>1.0289999999999999</v>
      </c>
      <c r="D48" s="208">
        <v>1.0309999999999999</v>
      </c>
      <c r="E48" s="208">
        <v>1.026</v>
      </c>
      <c r="F48" s="208">
        <v>1.0289999999999999</v>
      </c>
      <c r="G48" s="210">
        <v>823</v>
      </c>
    </row>
    <row r="49" spans="1:7" ht="22.5" customHeight="1" x14ac:dyDescent="0.2">
      <c r="A49" s="212" t="s">
        <v>1108</v>
      </c>
      <c r="B49" s="208">
        <v>1.032</v>
      </c>
      <c r="C49" s="208">
        <v>1.0289999999999999</v>
      </c>
      <c r="D49" s="208">
        <v>1.0309999999999999</v>
      </c>
      <c r="E49" s="208">
        <v>1.026</v>
      </c>
      <c r="F49" s="208">
        <v>1.0289999999999999</v>
      </c>
      <c r="G49" s="210">
        <v>824</v>
      </c>
    </row>
    <row r="50" spans="1:7" ht="22.5" customHeight="1" x14ac:dyDescent="0.2">
      <c r="A50" s="212" t="s">
        <v>1109</v>
      </c>
      <c r="B50" s="208">
        <v>1.0249999999999999</v>
      </c>
      <c r="C50" s="208">
        <v>1.0249999999999999</v>
      </c>
      <c r="D50" s="208">
        <v>1.0249999999999999</v>
      </c>
      <c r="E50" s="208">
        <v>1.0249999999999999</v>
      </c>
      <c r="F50" s="208">
        <v>1.0249999999999999</v>
      </c>
      <c r="G50" s="210">
        <v>827</v>
      </c>
    </row>
    <row r="51" spans="1:7" ht="22.5" customHeight="1" x14ac:dyDescent="0.2">
      <c r="A51" s="212" t="s">
        <v>1110</v>
      </c>
      <c r="B51" s="208">
        <v>1.0029999999999999</v>
      </c>
      <c r="C51" s="208">
        <v>1.0029999999999999</v>
      </c>
      <c r="D51" s="208">
        <v>1.002</v>
      </c>
      <c r="E51" s="208">
        <v>1.002</v>
      </c>
      <c r="F51" s="208">
        <v>1.0029999999999999</v>
      </c>
      <c r="G51" s="210">
        <v>828</v>
      </c>
    </row>
    <row r="52" spans="1:7" ht="22.5" customHeight="1" x14ac:dyDescent="0.2">
      <c r="A52" s="212" t="s">
        <v>1111</v>
      </c>
      <c r="B52" s="208">
        <v>1.0229999999999999</v>
      </c>
      <c r="C52" s="208">
        <v>1.02</v>
      </c>
      <c r="D52" s="208">
        <v>1.0229999999999999</v>
      </c>
      <c r="E52" s="208">
        <v>1.02</v>
      </c>
      <c r="F52" s="208">
        <v>1.0209999999999999</v>
      </c>
      <c r="G52" s="210">
        <v>829</v>
      </c>
    </row>
    <row r="53" spans="1:7" ht="22.5" customHeight="1" x14ac:dyDescent="0.2">
      <c r="A53" s="212" t="s">
        <v>1112</v>
      </c>
      <c r="B53" s="208">
        <v>1.012</v>
      </c>
      <c r="C53" s="208">
        <v>1.0109999999999999</v>
      </c>
      <c r="D53" s="208">
        <v>1.0109999999999999</v>
      </c>
      <c r="E53" s="208">
        <v>1.0069999999999999</v>
      </c>
      <c r="F53" s="208">
        <v>1.01</v>
      </c>
      <c r="G53" s="210">
        <v>837</v>
      </c>
    </row>
    <row r="54" spans="1:7" ht="22.5" customHeight="1" x14ac:dyDescent="0.2">
      <c r="A54" s="212" t="s">
        <v>1113</v>
      </c>
      <c r="B54" s="208">
        <v>1.0069999999999999</v>
      </c>
      <c r="C54" s="208">
        <v>1.008</v>
      </c>
      <c r="D54" s="208">
        <v>1.006</v>
      </c>
      <c r="E54" s="208">
        <v>1.004</v>
      </c>
      <c r="F54" s="208">
        <v>1.0069999999999999</v>
      </c>
      <c r="G54" s="210">
        <v>838</v>
      </c>
    </row>
    <row r="55" spans="1:7" ht="22.5" customHeight="1" x14ac:dyDescent="0.2">
      <c r="A55" s="212" t="s">
        <v>1114</v>
      </c>
      <c r="B55" s="208">
        <v>1.0069999999999999</v>
      </c>
      <c r="C55" s="208">
        <v>1.006</v>
      </c>
      <c r="D55" s="208">
        <v>1.0069999999999999</v>
      </c>
      <c r="E55" s="208">
        <v>1.0029999999999999</v>
      </c>
      <c r="F55" s="208">
        <v>1.006</v>
      </c>
      <c r="G55" s="210">
        <v>839</v>
      </c>
    </row>
    <row r="56" spans="1:7" ht="22.5" customHeight="1" x14ac:dyDescent="0.2">
      <c r="A56" s="212" t="s">
        <v>1115</v>
      </c>
      <c r="B56" s="208">
        <v>1.0109999999999999</v>
      </c>
      <c r="C56" s="208">
        <v>1.0109999999999999</v>
      </c>
      <c r="D56" s="208">
        <v>1.0109999999999999</v>
      </c>
      <c r="E56" s="208">
        <v>1.0109999999999999</v>
      </c>
      <c r="F56" s="208">
        <v>1.0109999999999999</v>
      </c>
      <c r="G56" s="210">
        <v>840</v>
      </c>
    </row>
    <row r="57" spans="1:7" ht="22.5" customHeight="1" x14ac:dyDescent="0.2">
      <c r="A57" s="212" t="s">
        <v>1116</v>
      </c>
      <c r="B57" s="208">
        <v>1.008</v>
      </c>
      <c r="C57" s="208">
        <v>1.008</v>
      </c>
      <c r="D57" s="208">
        <v>1.008</v>
      </c>
      <c r="E57" s="208">
        <v>1.006</v>
      </c>
      <c r="F57" s="208">
        <v>1.008</v>
      </c>
      <c r="G57" s="210">
        <v>841</v>
      </c>
    </row>
    <row r="58" spans="1:7" ht="22.5" customHeight="1" x14ac:dyDescent="0.2">
      <c r="A58" s="212" t="s">
        <v>1117</v>
      </c>
      <c r="B58" s="208">
        <v>1.0129999999999999</v>
      </c>
      <c r="C58" s="208">
        <v>1.012</v>
      </c>
      <c r="D58" s="208">
        <v>1.012</v>
      </c>
      <c r="E58" s="208">
        <v>1.01</v>
      </c>
      <c r="F58" s="208">
        <v>1.0109999999999999</v>
      </c>
      <c r="G58" s="210">
        <v>842</v>
      </c>
    </row>
    <row r="59" spans="1:7" ht="22.5" customHeight="1" x14ac:dyDescent="0.2">
      <c r="A59" s="212" t="s">
        <v>1118</v>
      </c>
      <c r="B59" s="208">
        <v>1.0049999999999999</v>
      </c>
      <c r="C59" s="208">
        <v>1.0049999999999999</v>
      </c>
      <c r="D59" s="208">
        <v>1.0049999999999999</v>
      </c>
      <c r="E59" s="208">
        <v>1.0049999999999999</v>
      </c>
      <c r="F59" s="208">
        <v>1.0049999999999999</v>
      </c>
      <c r="G59" s="210">
        <v>843</v>
      </c>
    </row>
    <row r="60" spans="1:7" ht="22.5" customHeight="1" x14ac:dyDescent="0.2">
      <c r="A60" s="212" t="s">
        <v>1119</v>
      </c>
      <c r="B60" s="208">
        <v>1.0049999999999999</v>
      </c>
      <c r="C60" s="208">
        <v>1.0049999999999999</v>
      </c>
      <c r="D60" s="208">
        <v>1.0049999999999999</v>
      </c>
      <c r="E60" s="208">
        <v>1.0049999999999999</v>
      </c>
      <c r="F60" s="208">
        <v>1.0049999999999999</v>
      </c>
      <c r="G60" s="210">
        <v>844</v>
      </c>
    </row>
    <row r="61" spans="1:7" ht="22.5" customHeight="1" x14ac:dyDescent="0.2">
      <c r="A61" s="212" t="s">
        <v>1120</v>
      </c>
      <c r="B61" s="208">
        <v>1.002</v>
      </c>
      <c r="C61" s="208">
        <v>1.002</v>
      </c>
      <c r="D61" s="208">
        <v>1.002</v>
      </c>
      <c r="E61" s="208">
        <v>1.0009999999999999</v>
      </c>
      <c r="F61" s="208">
        <v>1.002</v>
      </c>
      <c r="G61" s="210">
        <v>845</v>
      </c>
    </row>
    <row r="62" spans="1:7" ht="22.5" customHeight="1" x14ac:dyDescent="0.2">
      <c r="A62" s="212" t="s">
        <v>1121</v>
      </c>
      <c r="B62" s="208">
        <v>1.0109999999999999</v>
      </c>
      <c r="C62" s="208">
        <v>1.01</v>
      </c>
      <c r="D62" s="208">
        <v>1.01</v>
      </c>
      <c r="E62" s="208">
        <v>1.008</v>
      </c>
      <c r="F62" s="208">
        <v>1.0089999999999999</v>
      </c>
      <c r="G62" s="210">
        <v>846</v>
      </c>
    </row>
    <row r="63" spans="1:7" ht="22.5" customHeight="1" x14ac:dyDescent="0.2">
      <c r="A63" s="212" t="s">
        <v>1122</v>
      </c>
      <c r="B63" s="208">
        <v>1.012</v>
      </c>
      <c r="C63" s="208">
        <v>1.01</v>
      </c>
      <c r="D63" s="208">
        <v>1.012</v>
      </c>
      <c r="E63" s="208">
        <v>1.0069999999999999</v>
      </c>
      <c r="F63" s="208">
        <v>1.0089999999999999</v>
      </c>
      <c r="G63" s="210">
        <v>847</v>
      </c>
    </row>
    <row r="64" spans="1:7" ht="22.5" customHeight="1" x14ac:dyDescent="0.2">
      <c r="A64" s="212" t="s">
        <v>1123</v>
      </c>
      <c r="B64" s="208">
        <v>1.0249999999999999</v>
      </c>
      <c r="C64" s="208">
        <v>1.022</v>
      </c>
      <c r="D64" s="208">
        <v>1.0229999999999999</v>
      </c>
      <c r="E64" s="208">
        <v>1.0209999999999999</v>
      </c>
      <c r="F64" s="208">
        <v>1.0209999999999999</v>
      </c>
      <c r="G64" s="210">
        <v>848</v>
      </c>
    </row>
    <row r="65" spans="1:7" ht="22.5" customHeight="1" x14ac:dyDescent="0.2">
      <c r="A65" s="212" t="s">
        <v>1124</v>
      </c>
      <c r="B65" s="208">
        <v>1.0209999999999999</v>
      </c>
      <c r="C65" s="208">
        <v>1.0209999999999999</v>
      </c>
      <c r="D65" s="208">
        <v>1.018</v>
      </c>
      <c r="E65" s="208">
        <v>1.016</v>
      </c>
      <c r="F65" s="208">
        <v>1.0189999999999999</v>
      </c>
      <c r="G65" s="210">
        <v>849</v>
      </c>
    </row>
    <row r="67" spans="1:7" x14ac:dyDescent="0.2">
      <c r="A67" s="240" t="s">
        <v>50</v>
      </c>
      <c r="B67" s="279"/>
      <c r="C67" s="279"/>
      <c r="D67" s="279"/>
      <c r="E67" s="279"/>
      <c r="F67" s="279"/>
      <c r="G67" s="241"/>
    </row>
    <row r="68" spans="1:7" x14ac:dyDescent="0.2">
      <c r="A68" s="240" t="s">
        <v>11</v>
      </c>
      <c r="B68" s="279"/>
      <c r="C68" s="279"/>
      <c r="D68" s="279"/>
      <c r="E68" s="279"/>
      <c r="F68" s="279"/>
      <c r="G68" s="241"/>
    </row>
    <row r="69" spans="1:7" x14ac:dyDescent="0.2">
      <c r="A69" s="18" t="s">
        <v>9</v>
      </c>
      <c r="B69" s="18" t="s">
        <v>4</v>
      </c>
      <c r="C69" s="18" t="s">
        <v>5</v>
      </c>
      <c r="D69" s="18" t="s">
        <v>6</v>
      </c>
      <c r="E69" s="18" t="s">
        <v>7</v>
      </c>
      <c r="F69" s="18" t="s">
        <v>550</v>
      </c>
      <c r="G69" s="18" t="s">
        <v>8</v>
      </c>
    </row>
    <row r="70" spans="1:7" ht="22.5" customHeight="1" x14ac:dyDescent="0.2">
      <c r="A70" s="212" t="s">
        <v>1125</v>
      </c>
      <c r="B70" s="208">
        <v>0.999</v>
      </c>
      <c r="C70" s="208">
        <v>0.999</v>
      </c>
      <c r="D70" s="208">
        <v>0.999</v>
      </c>
      <c r="E70" s="208">
        <v>0.999</v>
      </c>
      <c r="F70" s="208">
        <v>0.999</v>
      </c>
      <c r="G70" s="210">
        <v>701</v>
      </c>
    </row>
    <row r="71" spans="1:7" ht="22.5" customHeight="1" x14ac:dyDescent="0.2">
      <c r="A71" s="212" t="s">
        <v>1126</v>
      </c>
      <c r="B71" s="208">
        <v>1</v>
      </c>
      <c r="C71" s="208">
        <v>0.999</v>
      </c>
      <c r="D71" s="208">
        <v>1</v>
      </c>
      <c r="E71" s="208">
        <v>0.999</v>
      </c>
      <c r="F71" s="208">
        <v>1</v>
      </c>
      <c r="G71" s="210">
        <v>702</v>
      </c>
    </row>
    <row r="72" spans="1:7" ht="22.5" customHeight="1" x14ac:dyDescent="0.2">
      <c r="A72" s="212" t="s">
        <v>1127</v>
      </c>
      <c r="B72" s="208">
        <v>0.94599999999999995</v>
      </c>
      <c r="C72" s="208">
        <v>0.94699999999999995</v>
      </c>
      <c r="D72" s="208">
        <v>0.94599999999999995</v>
      </c>
      <c r="E72" s="208">
        <v>0.94499999999999995</v>
      </c>
      <c r="F72" s="208">
        <v>0.94599999999999995</v>
      </c>
      <c r="G72" s="210">
        <v>703</v>
      </c>
    </row>
    <row r="73" spans="1:7" ht="22.5" customHeight="1" x14ac:dyDescent="0.2">
      <c r="A73" s="212" t="s">
        <v>1127</v>
      </c>
      <c r="B73" s="208">
        <v>0.94599999999999995</v>
      </c>
      <c r="C73" s="208">
        <v>0.94699999999999995</v>
      </c>
      <c r="D73" s="208">
        <v>0.94599999999999995</v>
      </c>
      <c r="E73" s="208">
        <v>0.94499999999999995</v>
      </c>
      <c r="F73" s="208">
        <v>0.94599999999999995</v>
      </c>
      <c r="G73" s="210">
        <v>706</v>
      </c>
    </row>
    <row r="74" spans="1:7" ht="22.5" customHeight="1" x14ac:dyDescent="0.2">
      <c r="A74" s="212" t="s">
        <v>1128</v>
      </c>
      <c r="B74" s="208">
        <v>0.95499999999999996</v>
      </c>
      <c r="C74" s="208">
        <v>0.95399999999999996</v>
      </c>
      <c r="D74" s="208">
        <v>0.95399999999999996</v>
      </c>
      <c r="E74" s="208">
        <v>0.95399999999999996</v>
      </c>
      <c r="F74" s="208">
        <v>0.95399999999999996</v>
      </c>
      <c r="G74" s="210">
        <v>707</v>
      </c>
    </row>
    <row r="75" spans="1:7" ht="22.5" customHeight="1" x14ac:dyDescent="0.2">
      <c r="A75" s="212" t="s">
        <v>1129</v>
      </c>
      <c r="B75" s="208">
        <v>0.999</v>
      </c>
      <c r="C75" s="208">
        <v>0.998</v>
      </c>
      <c r="D75" s="208">
        <v>0.999</v>
      </c>
      <c r="E75" s="208">
        <v>0.998</v>
      </c>
      <c r="F75" s="208">
        <v>0.998</v>
      </c>
      <c r="G75" s="210">
        <v>711</v>
      </c>
    </row>
    <row r="76" spans="1:7" ht="22.5" customHeight="1" x14ac:dyDescent="0.2">
      <c r="A76" s="212" t="s">
        <v>1130</v>
      </c>
      <c r="B76" s="208">
        <v>0.97599999999999998</v>
      </c>
      <c r="C76" s="208">
        <v>0.97499999999999998</v>
      </c>
      <c r="D76" s="208">
        <v>0.96899999999999997</v>
      </c>
      <c r="E76" s="208">
        <v>0.97499999999999998</v>
      </c>
      <c r="F76" s="208">
        <v>0.97499999999999998</v>
      </c>
      <c r="G76" s="210">
        <v>716</v>
      </c>
    </row>
    <row r="77" spans="1:7" ht="22.5" customHeight="1" x14ac:dyDescent="0.2">
      <c r="A77" s="212" t="s">
        <v>1131</v>
      </c>
      <c r="B77" s="208">
        <v>1</v>
      </c>
      <c r="C77" s="208">
        <v>1</v>
      </c>
      <c r="D77" s="208">
        <v>1</v>
      </c>
      <c r="E77" s="208">
        <v>1</v>
      </c>
      <c r="F77" s="208">
        <v>1</v>
      </c>
      <c r="G77" s="210">
        <v>730</v>
      </c>
    </row>
    <row r="79" spans="1:7" x14ac:dyDescent="0.2">
      <c r="A79" s="276" t="s">
        <v>1132</v>
      </c>
      <c r="B79" s="277"/>
      <c r="C79" s="277"/>
      <c r="D79" s="277"/>
      <c r="E79" s="277"/>
      <c r="F79" s="277"/>
      <c r="G79" s="278"/>
    </row>
    <row r="80" spans="1:7" x14ac:dyDescent="0.2">
      <c r="A80" s="18" t="s">
        <v>1133</v>
      </c>
      <c r="B80" s="18" t="s">
        <v>9</v>
      </c>
      <c r="C80" s="18" t="s">
        <v>4</v>
      </c>
      <c r="D80" s="18" t="s">
        <v>5</v>
      </c>
      <c r="E80" s="18" t="s">
        <v>6</v>
      </c>
      <c r="F80" s="18" t="s">
        <v>7</v>
      </c>
      <c r="G80" s="18" t="s">
        <v>550</v>
      </c>
    </row>
    <row r="81" spans="1:7" ht="22.5" customHeight="1" x14ac:dyDescent="0.2">
      <c r="A81" s="211">
        <v>1000</v>
      </c>
      <c r="B81" s="208" t="s">
        <v>1134</v>
      </c>
      <c r="C81" s="208">
        <v>1</v>
      </c>
      <c r="D81" s="208">
        <v>1</v>
      </c>
      <c r="E81" s="208">
        <v>1</v>
      </c>
      <c r="F81" s="208">
        <v>1</v>
      </c>
      <c r="G81" s="208">
        <v>1</v>
      </c>
    </row>
    <row r="82" spans="1:7" ht="22.5" customHeight="1" x14ac:dyDescent="0.2">
      <c r="A82" s="211">
        <v>1027</v>
      </c>
      <c r="B82" s="208" t="s">
        <v>1135</v>
      </c>
      <c r="C82" s="208">
        <v>1.0049999999999999</v>
      </c>
      <c r="D82" s="208">
        <v>1.0029999999999999</v>
      </c>
      <c r="E82" s="208">
        <v>1.0049999999999999</v>
      </c>
      <c r="F82" s="208">
        <v>1.002</v>
      </c>
      <c r="G82" s="208">
        <v>1.002</v>
      </c>
    </row>
    <row r="83" spans="1:7" ht="29.25" customHeight="1" x14ac:dyDescent="0.2">
      <c r="A83" s="211">
        <v>1436</v>
      </c>
      <c r="B83" s="208" t="s">
        <v>1136</v>
      </c>
      <c r="C83" s="208">
        <v>1.006</v>
      </c>
      <c r="D83" s="208">
        <v>1.0029999999999999</v>
      </c>
      <c r="E83" s="208">
        <v>1.004</v>
      </c>
      <c r="F83" s="208">
        <v>1.002</v>
      </c>
      <c r="G83" s="208">
        <v>1.004</v>
      </c>
    </row>
    <row r="84" spans="1:7" ht="22.5" customHeight="1" x14ac:dyDescent="0.2">
      <c r="A84" s="211">
        <v>1608</v>
      </c>
      <c r="B84" s="208" t="s">
        <v>1137</v>
      </c>
      <c r="C84" s="208">
        <v>1</v>
      </c>
      <c r="D84" s="208">
        <v>0.999</v>
      </c>
      <c r="E84" s="208">
        <v>1</v>
      </c>
      <c r="F84" s="208">
        <v>1</v>
      </c>
      <c r="G84" s="208">
        <v>1</v>
      </c>
    </row>
    <row r="85" spans="1:7" ht="26.25" customHeight="1" x14ac:dyDescent="0.2">
      <c r="A85" s="211">
        <v>1625</v>
      </c>
      <c r="B85" s="208" t="s">
        <v>1138</v>
      </c>
      <c r="C85" s="208">
        <v>1.008</v>
      </c>
      <c r="D85" s="208">
        <v>1.006</v>
      </c>
      <c r="E85" s="208">
        <v>1.0069999999999999</v>
      </c>
      <c r="F85" s="208">
        <v>1.004</v>
      </c>
      <c r="G85" s="208">
        <v>1.006</v>
      </c>
    </row>
    <row r="86" spans="1:7" ht="22.5" customHeight="1" x14ac:dyDescent="0.2">
      <c r="A86" s="211">
        <v>5538</v>
      </c>
      <c r="B86" s="208" t="s">
        <v>1139</v>
      </c>
      <c r="C86" s="208">
        <v>1.0629999999999999</v>
      </c>
      <c r="D86" s="208">
        <v>1.054</v>
      </c>
      <c r="E86" s="208">
        <v>1.0589999999999999</v>
      </c>
      <c r="F86" s="208">
        <v>1.044</v>
      </c>
      <c r="G86" s="208">
        <v>1.052</v>
      </c>
    </row>
    <row r="87" spans="1:7" ht="28.5" customHeight="1" x14ac:dyDescent="0.2">
      <c r="A87" s="211">
        <v>7167</v>
      </c>
      <c r="B87" s="208" t="s">
        <v>1140</v>
      </c>
      <c r="C87" s="208">
        <v>1.006</v>
      </c>
      <c r="D87" s="208">
        <v>1.004</v>
      </c>
      <c r="E87" s="208">
        <v>1.0049999999999999</v>
      </c>
      <c r="F87" s="208">
        <v>1.002</v>
      </c>
      <c r="G87" s="208">
        <v>1.004</v>
      </c>
    </row>
    <row r="88" spans="1:7" ht="29.25" customHeight="1" x14ac:dyDescent="0.2">
      <c r="A88" s="211">
        <v>7198</v>
      </c>
      <c r="B88" s="208" t="s">
        <v>1141</v>
      </c>
      <c r="C88" s="208">
        <v>1.0009999999999999</v>
      </c>
      <c r="D88" s="208">
        <v>1.0009999999999999</v>
      </c>
      <c r="E88" s="208">
        <v>1.0009999999999999</v>
      </c>
      <c r="F88" s="208">
        <v>1</v>
      </c>
      <c r="G88" s="208">
        <v>1</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C10:G10"/>
    <mergeCell ref="A2:E2"/>
    <mergeCell ref="A4:B5"/>
    <mergeCell ref="A6:B6"/>
    <mergeCell ref="A7:B7"/>
    <mergeCell ref="A8:B8"/>
    <mergeCell ref="A9:B9"/>
    <mergeCell ref="A10:B10"/>
    <mergeCell ref="A3:G3"/>
    <mergeCell ref="A79:G79"/>
    <mergeCell ref="A12:G12"/>
    <mergeCell ref="A68:G68"/>
    <mergeCell ref="A67:G67"/>
    <mergeCell ref="A23:G23"/>
    <mergeCell ref="A22:G22"/>
    <mergeCell ref="A13:G13"/>
  </mergeCells>
  <phoneticPr fontId="10" type="noConversion"/>
  <hyperlinks>
    <hyperlink ref="A1" location="Overview!A1" display="Back to Overview"/>
  </hyperlinks>
  <pageMargins left="0.70866141732283472" right="0.70866141732283472" top="0.74803149606299213" bottom="0.74803149606299213" header="0.31496062992125984" footer="0.31496062992125984"/>
  <pageSetup paperSize="9" scale="51" fitToHeight="0" orientation="portrait" r:id="rId2"/>
  <headerFooter differentFirst="1" scaleWithDoc="0">
    <oddFooter>&amp;R&amp;P of &amp;N</oddFooter>
    <firstHeader>&amp;L
Annex 5 – Schedule of Line Loss Factors</firstHeader>
    <firstFooter>&amp;R&amp;P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29"/>
  <sheetViews>
    <sheetView zoomScale="80" zoomScaleNormal="80" zoomScaleSheetLayoutView="100" workbookViewId="0">
      <selection activeCell="H10" sqref="H10"/>
    </sheetView>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8" customWidth="1"/>
    <col min="12" max="13" width="15.5703125" style="4" customWidth="1"/>
    <col min="14" max="17" width="15.5703125" style="2" customWidth="1"/>
    <col min="18" max="16384" width="9.140625" style="2"/>
  </cols>
  <sheetData>
    <row r="1" spans="1:16" ht="100.5" customHeight="1" x14ac:dyDescent="0.2">
      <c r="A1" s="11" t="s">
        <v>18</v>
      </c>
      <c r="B1" s="11"/>
      <c r="C1" s="285" t="s">
        <v>141</v>
      </c>
      <c r="D1" s="285"/>
      <c r="E1" s="285"/>
      <c r="F1" s="285"/>
      <c r="G1" s="285"/>
      <c r="H1" s="285"/>
      <c r="I1" s="285"/>
      <c r="J1" s="285"/>
      <c r="K1" s="285"/>
      <c r="L1" s="285"/>
      <c r="M1" s="285"/>
      <c r="N1" s="285"/>
    </row>
    <row r="2" spans="1:16" ht="27.75" customHeight="1" x14ac:dyDescent="0.2">
      <c r="A2" s="250" t="s">
        <v>140</v>
      </c>
      <c r="B2" s="251"/>
      <c r="C2" s="251"/>
      <c r="D2" s="251"/>
      <c r="E2" s="251"/>
      <c r="F2" s="251"/>
      <c r="G2" s="251"/>
      <c r="H2" s="251"/>
      <c r="I2" s="251"/>
      <c r="J2" s="251"/>
      <c r="K2" s="251"/>
      <c r="L2" s="251"/>
      <c r="M2" s="251"/>
      <c r="N2" s="251"/>
      <c r="O2" s="251"/>
      <c r="P2" s="252"/>
    </row>
    <row r="3" spans="1:16" ht="17.25" customHeight="1" x14ac:dyDescent="0.2">
      <c r="A3" s="11"/>
      <c r="B3" s="11"/>
      <c r="C3" s="11"/>
      <c r="D3" s="11"/>
      <c r="G3" s="20"/>
    </row>
    <row r="4" spans="1:16" s="9" customFormat="1" ht="25.5" customHeight="1" x14ac:dyDescent="0.2">
      <c r="A4" s="250" t="str">
        <f>Overview!B4&amp; " - Effective from "&amp;Overview!D4&amp;" - "&amp;Overview!E4&amp;" new designated EHV charges"</f>
        <v>London Power Networks - Effective from 1 April 2021 - Final new designated EHV charges</v>
      </c>
      <c r="B4" s="251"/>
      <c r="C4" s="251"/>
      <c r="D4" s="251"/>
      <c r="E4" s="251"/>
      <c r="F4" s="251"/>
      <c r="G4" s="251"/>
      <c r="H4" s="251"/>
      <c r="I4" s="251"/>
      <c r="J4" s="251"/>
      <c r="K4" s="251"/>
      <c r="L4" s="251"/>
      <c r="M4" s="251"/>
      <c r="N4" s="251"/>
      <c r="O4" s="251"/>
      <c r="P4" s="252"/>
    </row>
    <row r="5" spans="1:16" ht="69.75" customHeight="1" x14ac:dyDescent="0.2">
      <c r="A5" s="24" t="s">
        <v>144</v>
      </c>
      <c r="B5" s="24" t="s">
        <v>52</v>
      </c>
      <c r="C5" s="24" t="s">
        <v>35</v>
      </c>
      <c r="D5" s="24" t="s">
        <v>36</v>
      </c>
      <c r="E5" s="24" t="s">
        <v>53</v>
      </c>
      <c r="F5" s="24" t="s">
        <v>35</v>
      </c>
      <c r="G5" s="24" t="s">
        <v>37</v>
      </c>
      <c r="H5" s="67" t="s">
        <v>29</v>
      </c>
      <c r="I5" s="67" t="str">
        <f>'Annex 2 EHV charges'!H10</f>
        <v>Import
Super Red
unit charge
(p/kWh)</v>
      </c>
      <c r="J5" s="67" t="str">
        <f>'Annex 2 EHV charges'!I10</f>
        <v>Import
fixed charge
(p/day)</v>
      </c>
      <c r="K5" s="67" t="str">
        <f>'Annex 2 EHV charges'!J10</f>
        <v>Import
capacity charge
(p/kVA/day)</v>
      </c>
      <c r="L5" s="67" t="str">
        <f>'Annex 2 EHV charges'!K10</f>
        <v>Import
exceeded capacity charge
(p/kVA/day)</v>
      </c>
      <c r="M5" s="67" t="str">
        <f>'Annex 2 EHV charges'!L10</f>
        <v>Export
Super Red
unit charge
(p/kWh)</v>
      </c>
      <c r="N5" s="67" t="str">
        <f>'Annex 2 EHV charges'!M10</f>
        <v>Export
fixed charge
(p/day)</v>
      </c>
      <c r="O5" s="67" t="str">
        <f>'Annex 2 EHV charges'!N10</f>
        <v>Export
capacity charge
(p/kVA/day)</v>
      </c>
      <c r="P5" s="67" t="str">
        <f>'Annex 2 EHV charges'!O10</f>
        <v>Export
exceeded capacity charge
(p/kVA/day)</v>
      </c>
    </row>
    <row r="6" spans="1:16" ht="22.5" customHeight="1" x14ac:dyDescent="0.2">
      <c r="A6" s="40" t="s">
        <v>1147</v>
      </c>
      <c r="B6" s="204" t="s">
        <v>1148</v>
      </c>
      <c r="C6" s="40" t="s">
        <v>1149</v>
      </c>
      <c r="D6" s="40"/>
      <c r="E6" s="205"/>
      <c r="F6" s="41"/>
      <c r="G6" s="41"/>
      <c r="H6" s="206" t="s">
        <v>1148</v>
      </c>
      <c r="I6" s="55">
        <v>0.36399999999999999</v>
      </c>
      <c r="J6" s="56">
        <v>1097.8699999999999</v>
      </c>
      <c r="K6" s="56">
        <v>2.89</v>
      </c>
      <c r="L6" s="56">
        <v>2.89</v>
      </c>
      <c r="M6" s="57"/>
      <c r="N6" s="58"/>
      <c r="O6" s="58"/>
      <c r="P6" s="58"/>
    </row>
    <row r="7" spans="1:16" ht="22.5" customHeight="1" x14ac:dyDescent="0.2">
      <c r="A7" s="40" t="s">
        <v>1147</v>
      </c>
      <c r="B7" s="204" t="s">
        <v>614</v>
      </c>
      <c r="C7" s="40">
        <v>824</v>
      </c>
      <c r="D7" s="40" t="s">
        <v>644</v>
      </c>
      <c r="E7" s="205"/>
      <c r="F7" s="41"/>
      <c r="G7" s="41"/>
      <c r="H7" s="206" t="s">
        <v>614</v>
      </c>
      <c r="I7" s="55">
        <v>0.36399999999999999</v>
      </c>
      <c r="J7" s="56">
        <v>1050.74</v>
      </c>
      <c r="K7" s="56">
        <v>2.64</v>
      </c>
      <c r="L7" s="56">
        <v>2.64</v>
      </c>
      <c r="M7" s="57"/>
      <c r="N7" s="58"/>
      <c r="O7" s="58"/>
      <c r="P7" s="58"/>
    </row>
    <row r="8" spans="1:16" ht="22.5" customHeight="1" x14ac:dyDescent="0.2">
      <c r="A8" s="40"/>
      <c r="B8" s="204"/>
      <c r="C8" s="40"/>
      <c r="D8" s="40"/>
      <c r="E8" s="205"/>
      <c r="F8" s="41"/>
      <c r="G8" s="41"/>
      <c r="H8" s="206"/>
      <c r="I8" s="55"/>
      <c r="J8" s="56"/>
      <c r="K8" s="56"/>
      <c r="L8" s="56"/>
      <c r="M8" s="57"/>
      <c r="N8" s="58"/>
      <c r="O8" s="58"/>
      <c r="P8" s="58"/>
    </row>
    <row r="9" spans="1:16" ht="22.5" customHeight="1" x14ac:dyDescent="0.2">
      <c r="A9" s="40"/>
      <c r="B9" s="204"/>
      <c r="C9" s="40"/>
      <c r="D9" s="40"/>
      <c r="E9" s="205"/>
      <c r="F9" s="41"/>
      <c r="G9" s="41"/>
      <c r="H9" s="206"/>
      <c r="I9" s="55"/>
      <c r="J9" s="56"/>
      <c r="K9" s="56"/>
      <c r="L9" s="56"/>
      <c r="M9" s="57"/>
      <c r="N9" s="58"/>
      <c r="O9" s="58"/>
      <c r="P9" s="58"/>
    </row>
    <row r="10" spans="1:16" ht="22.5" customHeight="1" x14ac:dyDescent="0.2">
      <c r="A10" s="40"/>
      <c r="B10" s="204"/>
      <c r="C10" s="40"/>
      <c r="D10" s="40"/>
      <c r="E10" s="205"/>
      <c r="F10" s="41"/>
      <c r="G10" s="41"/>
      <c r="H10" s="206"/>
      <c r="I10" s="55"/>
      <c r="J10" s="56"/>
      <c r="K10" s="56"/>
      <c r="L10" s="56"/>
      <c r="M10" s="57"/>
      <c r="N10" s="58"/>
      <c r="O10" s="58"/>
      <c r="P10" s="58"/>
    </row>
    <row r="11" spans="1:16" ht="22.5" customHeight="1" x14ac:dyDescent="0.2">
      <c r="A11" s="40"/>
      <c r="B11" s="204"/>
      <c r="C11" s="40"/>
      <c r="D11" s="40"/>
      <c r="E11" s="205"/>
      <c r="F11" s="41"/>
      <c r="G11" s="41"/>
      <c r="H11" s="206"/>
      <c r="I11" s="55"/>
      <c r="J11" s="56"/>
      <c r="K11" s="56"/>
      <c r="L11" s="56"/>
      <c r="M11" s="57"/>
      <c r="N11" s="58"/>
      <c r="O11" s="58"/>
      <c r="P11" s="58"/>
    </row>
    <row r="12" spans="1:16" ht="22.5" customHeight="1" x14ac:dyDescent="0.2">
      <c r="A12" s="40"/>
      <c r="B12" s="204"/>
      <c r="C12" s="40"/>
      <c r="D12" s="40"/>
      <c r="E12" s="205"/>
      <c r="F12" s="41"/>
      <c r="G12" s="41"/>
      <c r="H12" s="206"/>
      <c r="I12" s="55"/>
      <c r="J12" s="56"/>
      <c r="K12" s="56"/>
      <c r="L12" s="56"/>
      <c r="M12" s="57"/>
      <c r="N12" s="58"/>
      <c r="O12" s="58"/>
      <c r="P12" s="58"/>
    </row>
    <row r="13" spans="1:16" ht="22.5" customHeight="1" x14ac:dyDescent="0.2">
      <c r="A13" s="40"/>
      <c r="B13" s="204"/>
      <c r="C13" s="40"/>
      <c r="D13" s="40"/>
      <c r="E13" s="205"/>
      <c r="F13" s="41"/>
      <c r="G13" s="41"/>
      <c r="H13" s="206"/>
      <c r="I13" s="55"/>
      <c r="J13" s="56"/>
      <c r="K13" s="56"/>
      <c r="L13" s="56"/>
      <c r="M13" s="57"/>
      <c r="N13" s="58"/>
      <c r="O13" s="58"/>
      <c r="P13" s="58"/>
    </row>
    <row r="14" spans="1:16" ht="22.5" customHeight="1" x14ac:dyDescent="0.2">
      <c r="A14" s="40"/>
      <c r="B14" s="204"/>
      <c r="C14" s="40"/>
      <c r="D14" s="40"/>
      <c r="E14" s="205"/>
      <c r="F14" s="41"/>
      <c r="G14" s="41"/>
      <c r="H14" s="206"/>
      <c r="I14" s="55"/>
      <c r="J14" s="56"/>
      <c r="K14" s="56"/>
      <c r="L14" s="56"/>
      <c r="M14" s="57"/>
      <c r="N14" s="58"/>
      <c r="O14" s="58"/>
      <c r="P14" s="58"/>
    </row>
    <row r="15" spans="1:16" ht="22.5" customHeight="1" x14ac:dyDescent="0.2">
      <c r="A15" s="40"/>
      <c r="B15" s="204"/>
      <c r="C15" s="40"/>
      <c r="D15" s="40"/>
      <c r="E15" s="205"/>
      <c r="F15" s="41"/>
      <c r="G15" s="41"/>
      <c r="H15" s="206"/>
      <c r="I15" s="55"/>
      <c r="J15" s="56"/>
      <c r="K15" s="56"/>
      <c r="L15" s="56"/>
      <c r="M15" s="57"/>
      <c r="N15" s="58"/>
      <c r="O15" s="58"/>
      <c r="P15" s="58"/>
    </row>
    <row r="17" spans="1:16" ht="27.75" customHeight="1" x14ac:dyDescent="0.2">
      <c r="A17" s="250" t="str">
        <f>Overview!B4&amp; " - Effective from "&amp;Overview!D4&amp;" - "&amp;Overview!E4&amp;" new designated EHV line loss factors"</f>
        <v>London Power Networks - Effective from 1 April 2021 - Final new designated EHV line loss factors</v>
      </c>
      <c r="B17" s="251"/>
      <c r="C17" s="251"/>
      <c r="D17" s="251"/>
      <c r="E17" s="251"/>
      <c r="F17" s="251"/>
      <c r="G17" s="251"/>
      <c r="H17" s="251"/>
      <c r="I17" s="251"/>
      <c r="J17" s="251"/>
      <c r="K17" s="251"/>
      <c r="L17" s="251"/>
      <c r="M17" s="251"/>
      <c r="N17" s="251"/>
      <c r="O17" s="251"/>
      <c r="P17" s="252"/>
    </row>
    <row r="18" spans="1:16" ht="62.25" customHeight="1" x14ac:dyDescent="0.2">
      <c r="A18" s="24" t="s">
        <v>144</v>
      </c>
      <c r="B18" s="24" t="s">
        <v>52</v>
      </c>
      <c r="C18" s="24" t="s">
        <v>35</v>
      </c>
      <c r="D18" s="24" t="s">
        <v>36</v>
      </c>
      <c r="E18" s="24" t="s">
        <v>53</v>
      </c>
      <c r="F18" s="24" t="s">
        <v>35</v>
      </c>
      <c r="G18" s="24" t="s">
        <v>37</v>
      </c>
      <c r="H18" s="67" t="s">
        <v>29</v>
      </c>
      <c r="I18" s="28" t="s">
        <v>112</v>
      </c>
      <c r="J18" s="28" t="s">
        <v>111</v>
      </c>
      <c r="K18" s="28" t="s">
        <v>113</v>
      </c>
      <c r="L18" s="28" t="s">
        <v>114</v>
      </c>
      <c r="M18" s="30" t="s">
        <v>115</v>
      </c>
      <c r="N18" s="30" t="s">
        <v>116</v>
      </c>
      <c r="O18" s="30" t="s">
        <v>117</v>
      </c>
      <c r="P18" s="30" t="s">
        <v>118</v>
      </c>
    </row>
    <row r="19" spans="1:16" ht="22.5" customHeight="1" x14ac:dyDescent="0.2">
      <c r="A19" s="40"/>
      <c r="B19" s="204"/>
      <c r="C19" s="40"/>
      <c r="D19" s="40"/>
      <c r="E19" s="205"/>
      <c r="F19" s="31"/>
      <c r="G19" s="31"/>
      <c r="H19" s="207"/>
      <c r="I19" s="32"/>
      <c r="J19" s="32"/>
      <c r="K19" s="26"/>
      <c r="L19" s="27"/>
      <c r="M19" s="29"/>
      <c r="N19" s="29"/>
      <c r="O19" s="29"/>
      <c r="P19" s="29"/>
    </row>
    <row r="20" spans="1:16" ht="22.5" customHeight="1" x14ac:dyDescent="0.2">
      <c r="A20" s="40"/>
      <c r="B20" s="204"/>
      <c r="C20" s="40"/>
      <c r="D20" s="40"/>
      <c r="E20" s="205"/>
      <c r="F20" s="31"/>
      <c r="G20" s="31"/>
      <c r="H20" s="207"/>
      <c r="I20" s="32"/>
      <c r="J20" s="32"/>
      <c r="K20" s="26"/>
      <c r="L20" s="27"/>
      <c r="M20" s="29"/>
      <c r="N20" s="29"/>
      <c r="O20" s="29"/>
      <c r="P20" s="29"/>
    </row>
    <row r="21" spans="1:16" ht="22.5" customHeight="1" x14ac:dyDescent="0.2">
      <c r="A21" s="40"/>
      <c r="B21" s="204"/>
      <c r="C21" s="40"/>
      <c r="D21" s="40"/>
      <c r="E21" s="205"/>
      <c r="F21" s="31"/>
      <c r="G21" s="31"/>
      <c r="H21" s="207"/>
      <c r="I21" s="32"/>
      <c r="J21" s="32"/>
      <c r="K21" s="26"/>
      <c r="L21" s="27"/>
      <c r="M21" s="29"/>
      <c r="N21" s="29"/>
      <c r="O21" s="29"/>
      <c r="P21" s="29"/>
    </row>
    <row r="22" spans="1:16" ht="22.5" customHeight="1" x14ac:dyDescent="0.2">
      <c r="A22" s="40"/>
      <c r="B22" s="204"/>
      <c r="C22" s="40"/>
      <c r="D22" s="40"/>
      <c r="E22" s="205"/>
      <c r="F22" s="31"/>
      <c r="G22" s="31"/>
      <c r="H22" s="207"/>
      <c r="I22" s="32"/>
      <c r="J22" s="32"/>
      <c r="K22" s="26"/>
      <c r="L22" s="27"/>
      <c r="M22" s="29"/>
      <c r="N22" s="29"/>
      <c r="O22" s="29"/>
      <c r="P22" s="29"/>
    </row>
    <row r="23" spans="1:16" ht="22.5" customHeight="1" x14ac:dyDescent="0.2">
      <c r="A23" s="40"/>
      <c r="B23" s="204"/>
      <c r="C23" s="40"/>
      <c r="D23" s="40"/>
      <c r="E23" s="205"/>
      <c r="F23" s="31"/>
      <c r="G23" s="31"/>
      <c r="H23" s="207"/>
      <c r="I23" s="32"/>
      <c r="J23" s="32"/>
      <c r="K23" s="26"/>
      <c r="L23" s="27"/>
      <c r="M23" s="29"/>
      <c r="N23" s="29"/>
      <c r="O23" s="29"/>
      <c r="P23" s="29"/>
    </row>
    <row r="24" spans="1:16" ht="22.5" customHeight="1" x14ac:dyDescent="0.2">
      <c r="A24" s="40"/>
      <c r="B24" s="204"/>
      <c r="C24" s="40"/>
      <c r="D24" s="40"/>
      <c r="E24" s="205"/>
      <c r="F24" s="31"/>
      <c r="G24" s="31"/>
      <c r="H24" s="207"/>
      <c r="I24" s="32"/>
      <c r="J24" s="32"/>
      <c r="K24" s="26"/>
      <c r="L24" s="27"/>
      <c r="M24" s="29"/>
      <c r="N24" s="29"/>
      <c r="O24" s="29"/>
      <c r="P24" s="29"/>
    </row>
    <row r="25" spans="1:16" ht="22.5" customHeight="1" x14ac:dyDescent="0.2">
      <c r="A25" s="40"/>
      <c r="B25" s="204"/>
      <c r="C25" s="40"/>
      <c r="D25" s="40"/>
      <c r="E25" s="205"/>
      <c r="F25" s="31"/>
      <c r="G25" s="31"/>
      <c r="H25" s="207"/>
      <c r="I25" s="32"/>
      <c r="J25" s="32"/>
      <c r="K25" s="26"/>
      <c r="L25" s="27"/>
      <c r="M25" s="29"/>
      <c r="N25" s="29"/>
      <c r="O25" s="29"/>
      <c r="P25" s="29"/>
    </row>
    <row r="26" spans="1:16" ht="22.5" customHeight="1" x14ac:dyDescent="0.2">
      <c r="A26" s="40"/>
      <c r="B26" s="204"/>
      <c r="C26" s="40"/>
      <c r="D26" s="40"/>
      <c r="E26" s="205"/>
      <c r="F26" s="31"/>
      <c r="G26" s="31"/>
      <c r="H26" s="207"/>
      <c r="I26" s="32"/>
      <c r="J26" s="32"/>
      <c r="K26" s="26"/>
      <c r="L26" s="27"/>
      <c r="M26" s="29"/>
      <c r="N26" s="29"/>
      <c r="O26" s="29"/>
      <c r="P26" s="29"/>
    </row>
    <row r="27" spans="1:16" ht="22.5" customHeight="1" x14ac:dyDescent="0.2">
      <c r="A27" s="40"/>
      <c r="B27" s="204"/>
      <c r="C27" s="40"/>
      <c r="D27" s="40"/>
      <c r="E27" s="205"/>
      <c r="F27" s="31"/>
      <c r="G27" s="31"/>
      <c r="H27" s="207"/>
      <c r="I27" s="32"/>
      <c r="J27" s="32"/>
      <c r="K27" s="26"/>
      <c r="L27" s="27"/>
      <c r="M27" s="29"/>
      <c r="N27" s="29"/>
      <c r="O27" s="29"/>
      <c r="P27" s="29"/>
    </row>
    <row r="28" spans="1:16" ht="22.5" customHeight="1" x14ac:dyDescent="0.2">
      <c r="A28" s="40"/>
      <c r="B28" s="204"/>
      <c r="C28" s="40"/>
      <c r="D28" s="40"/>
      <c r="E28" s="205"/>
      <c r="F28" s="31"/>
      <c r="G28" s="31"/>
      <c r="H28" s="207"/>
      <c r="I28" s="32"/>
      <c r="J28" s="32"/>
      <c r="K28" s="26"/>
      <c r="L28" s="27"/>
      <c r="M28" s="29"/>
      <c r="N28" s="29"/>
      <c r="O28" s="29"/>
      <c r="P28" s="29"/>
    </row>
    <row r="29" spans="1:16" ht="27.75" customHeight="1" x14ac:dyDescent="0.2">
      <c r="A29" s="2" t="s">
        <v>565</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P4"/>
    <mergeCell ref="A2:P2"/>
    <mergeCell ref="A17:P17"/>
    <mergeCell ref="C1:N1"/>
  </mergeCells>
  <hyperlinks>
    <hyperlink ref="A1" location="Overview!A1" display="Back to Overview"/>
  </hyperlinks>
  <pageMargins left="0.39370078740157483" right="0.35433070866141736" top="1.1023622047244095" bottom="0.55118110236220474" header="0.35433070866141736" footer="0.31496062992125984"/>
  <pageSetup paperSize="9" scale="50"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7"/>
  <sheetViews>
    <sheetView zoomScale="80" zoomScaleNormal="80" zoomScaleSheetLayoutView="80" workbookViewId="0">
      <selection activeCell="H5" sqref="H5"/>
    </sheetView>
  </sheetViews>
  <sheetFormatPr defaultRowHeight="27.75" customHeight="1" x14ac:dyDescent="0.2"/>
  <cols>
    <col min="1" max="1" width="53.5703125" style="2" customWidth="1"/>
    <col min="2" max="2" width="28.85546875" style="3" customWidth="1"/>
    <col min="3" max="3" width="14.5703125" style="2" customWidth="1"/>
    <col min="4" max="6" width="17.5703125" style="3" customWidth="1"/>
    <col min="7" max="16384" width="9.140625" style="2"/>
  </cols>
  <sheetData>
    <row r="1" spans="1:7" ht="27.75" customHeight="1" x14ac:dyDescent="0.2">
      <c r="A1" s="43" t="s">
        <v>18</v>
      </c>
      <c r="B1" s="286"/>
      <c r="C1" s="286"/>
      <c r="D1" s="187"/>
      <c r="E1" s="187"/>
      <c r="F1" s="187"/>
    </row>
    <row r="2" spans="1:7" ht="35.1" customHeight="1" x14ac:dyDescent="0.2">
      <c r="A2" s="250" t="str">
        <f>Overview!B4&amp; " - Effective from "&amp;Overview!D4&amp;" - "&amp;Overview!E4&amp;" Supplier of Last Resort and Eligible Bad Debt Pass-Through Costs"</f>
        <v>London Power Networks - Effective from 1 April 2021 - Final Supplier of Last Resort and Eligible Bad Debt Pass-Through Costs</v>
      </c>
      <c r="B2" s="251"/>
      <c r="C2" s="251"/>
      <c r="D2" s="251"/>
      <c r="E2" s="251"/>
      <c r="F2" s="252"/>
    </row>
    <row r="3" spans="1:7" s="80" customFormat="1" ht="21" customHeight="1" x14ac:dyDescent="0.2">
      <c r="A3" s="188"/>
      <c r="B3" s="188"/>
      <c r="C3" s="188"/>
      <c r="D3" s="188"/>
      <c r="E3" s="188"/>
      <c r="F3" s="188"/>
    </row>
    <row r="4" spans="1:7" ht="78.75" customHeight="1" x14ac:dyDescent="0.2">
      <c r="A4" s="24" t="s">
        <v>130</v>
      </c>
      <c r="B4" s="221" t="s">
        <v>424</v>
      </c>
      <c r="C4" s="221" t="s">
        <v>23</v>
      </c>
      <c r="D4" s="221" t="s">
        <v>515</v>
      </c>
      <c r="E4" s="221" t="s">
        <v>516</v>
      </c>
      <c r="F4" s="221" t="s">
        <v>517</v>
      </c>
    </row>
    <row r="5" spans="1:7" ht="32.25" customHeight="1" x14ac:dyDescent="0.2">
      <c r="A5" s="14" t="s">
        <v>145</v>
      </c>
      <c r="B5" s="175" t="str">
        <f>IFERROR(INDEX('Annex 1 LV, HV and UMS charges'!$B$13:$B$31,MATCH($A5,'Annex 1 LV, HV and UMS charges'!$A$13:$A$296,0)),INDEX('Annex 4 LDNO charges'!$B$13:$B$117,MATCH($A5,'Annex 4 LDNO charges'!$A$13:$A$117,0)))</f>
        <v>1, 902, 906</v>
      </c>
      <c r="C5" s="176" t="str">
        <f>IFERROR(INDEX('Annex 1 LV, HV and UMS charges'!$C$13:$C$31,MATCH($A5,'Annex 1 LV, HV and UMS charges'!$A$13:$A$296,0)),INDEX('Annex 4 LDNO charges'!$C$13:$C$117,MATCH($A5,'Annex 4 LDNO charges'!$A$13:$A$117,0)))</f>
        <v>1, 2 or 0</v>
      </c>
      <c r="D5" s="201">
        <v>8.0553851474889099E-3</v>
      </c>
      <c r="E5" s="201"/>
      <c r="F5" s="201">
        <v>0.13648857606477777</v>
      </c>
      <c r="G5" s="200"/>
    </row>
    <row r="6" spans="1:7" ht="27" customHeight="1" x14ac:dyDescent="0.2">
      <c r="A6" s="14" t="s">
        <v>147</v>
      </c>
      <c r="B6" s="175" t="str">
        <f>IFERROR(INDEX('Annex 1 LV, HV and UMS charges'!$B$13:$B$31,MATCH($A6,'Annex 1 LV, HV and UMS charges'!$A$13:$A$296,0)),INDEX('Annex 4 LDNO charges'!$B$13:$B$117,MATCH($A6,'Annex 4 LDNO charges'!$A$13:$A$117,0)))</f>
        <v>199, 200, 201, 202, 203, 204, 400, 952, 956</v>
      </c>
      <c r="C6" s="176" t="str">
        <f>IFERROR(INDEX('Annex 1 LV, HV and UMS charges'!$C$13:$C$31,MATCH($A6,'Annex 1 LV, HV and UMS charges'!$A$13:$A$296,0)),INDEX('Annex 4 LDNO charges'!$C$13:$C$117,MATCH($A6,'Annex 4 LDNO charges'!$A$13:$A$117,0)))</f>
        <v>3-8 or 0</v>
      </c>
      <c r="D6" s="39"/>
      <c r="E6" s="39"/>
      <c r="F6" s="201">
        <v>0.13648857606477777</v>
      </c>
      <c r="G6" s="200"/>
    </row>
    <row r="7" spans="1:7" ht="27" customHeight="1" x14ac:dyDescent="0.2">
      <c r="A7" s="14" t="s">
        <v>149</v>
      </c>
      <c r="B7" s="175" t="str">
        <f>IFERROR(INDEX('Annex 1 LV, HV and UMS charges'!$B$13:$B$31,MATCH($A7,'Annex 1 LV, HV and UMS charges'!$A$13:$A$296,0)),INDEX('Annex 4 LDNO charges'!$B$13:$B$117,MATCH($A7,'Annex 4 LDNO charges'!$A$13:$A$117,0)))</f>
        <v>9, 71, 72, 73, 74</v>
      </c>
      <c r="C7" s="176">
        <f>IFERROR(INDEX('Annex 1 LV, HV and UMS charges'!$C$13:$C$31,MATCH($A7,'Annex 1 LV, HV and UMS charges'!$A$13:$A$296,0)),INDEX('Annex 4 LDNO charges'!$C$13:$C$117,MATCH($A7,'Annex 4 LDNO charges'!$A$13:$A$117,0)))</f>
        <v>0</v>
      </c>
      <c r="D7" s="39"/>
      <c r="E7" s="39"/>
      <c r="F7" s="201">
        <v>0.13648857606477777</v>
      </c>
      <c r="G7" s="200"/>
    </row>
    <row r="8" spans="1:7" ht="27" customHeight="1" x14ac:dyDescent="0.2">
      <c r="A8" s="14" t="s">
        <v>150</v>
      </c>
      <c r="B8" s="175" t="str">
        <f>IFERROR(INDEX('Annex 1 LV, HV and UMS charges'!$B$13:$B$31,MATCH($A8,'Annex 1 LV, HV and UMS charges'!$A$13:$A$296,0)),INDEX('Annex 4 LDNO charges'!$B$13:$B$117,MATCH($A8,'Annex 4 LDNO charges'!$A$13:$A$117,0)))</f>
        <v>81, 82, 83, 84, 756</v>
      </c>
      <c r="C8" s="176">
        <f>IFERROR(INDEX('Annex 1 LV, HV and UMS charges'!$C$13:$C$31,MATCH($A8,'Annex 1 LV, HV and UMS charges'!$A$13:$A$296,0)),INDEX('Annex 4 LDNO charges'!$C$13:$C$117,MATCH($A8,'Annex 4 LDNO charges'!$A$13:$A$117,0)))</f>
        <v>0</v>
      </c>
      <c r="D8" s="39"/>
      <c r="E8" s="39"/>
      <c r="F8" s="201">
        <v>0.13648857606477777</v>
      </c>
      <c r="G8" s="200"/>
    </row>
    <row r="9" spans="1:7" ht="27" customHeight="1" x14ac:dyDescent="0.2">
      <c r="A9" s="14" t="s">
        <v>151</v>
      </c>
      <c r="B9" s="175" t="str">
        <f>IFERROR(INDEX('Annex 1 LV, HV and UMS charges'!$B$13:$B$31,MATCH($A9,'Annex 1 LV, HV and UMS charges'!$A$13:$A$296,0)),INDEX('Annex 4 LDNO charges'!$B$13:$B$117,MATCH($A9,'Annex 4 LDNO charges'!$A$13:$A$117,0)))</f>
        <v>91, 92, 93, 94, 359</v>
      </c>
      <c r="C9" s="176">
        <f>IFERROR(INDEX('Annex 1 LV, HV and UMS charges'!$C$13:$C$31,MATCH($A9,'Annex 1 LV, HV and UMS charges'!$A$13:$A$296,0)),INDEX('Annex 4 LDNO charges'!$C$13:$C$117,MATCH($A9,'Annex 4 LDNO charges'!$A$13:$A$117,0)))</f>
        <v>0</v>
      </c>
      <c r="D9" s="39"/>
      <c r="E9" s="39"/>
      <c r="F9" s="201">
        <v>0.13648857606477777</v>
      </c>
      <c r="G9" s="200"/>
    </row>
    <row r="10" spans="1:7" ht="27" customHeight="1" x14ac:dyDescent="0.2">
      <c r="A10" s="14" t="s">
        <v>1060</v>
      </c>
      <c r="B10" s="175" t="str">
        <f>IFERROR(INDEX('Annex 1 LV, HV and UMS charges'!$B$13:$B$31,MATCH($A10,'Annex 1 LV, HV and UMS charges'!$A$13:$A$296,0)),INDEX('Annex 4 LDNO charges'!$B$13:$B$117,MATCH($A10,'Annex 4 LDNO charges'!$A$13:$A$117,0)))</f>
        <v>19, 70</v>
      </c>
      <c r="C10" s="176">
        <f>IFERROR(INDEX('Annex 1 LV, HV and UMS charges'!$C$13:$C$31,MATCH($A10,'Annex 1 LV, HV and UMS charges'!$A$13:$A$296,0)),INDEX('Annex 4 LDNO charges'!$C$13:$C$117,MATCH($A10,'Annex 4 LDNO charges'!$A$13:$A$117,0)))</f>
        <v>0</v>
      </c>
      <c r="D10" s="39"/>
      <c r="E10" s="39"/>
      <c r="F10" s="201">
        <v>0.13648857606477777</v>
      </c>
      <c r="G10" s="200"/>
    </row>
    <row r="11" spans="1:7" ht="27" customHeight="1" x14ac:dyDescent="0.2">
      <c r="A11" s="14" t="s">
        <v>1061</v>
      </c>
      <c r="B11" s="175" t="str">
        <f>IFERROR(INDEX('Annex 1 LV, HV and UMS charges'!$B$13:$B$31,MATCH($A11,'Annex 1 LV, HV and UMS charges'!$A$13:$A$296,0)),INDEX('Annex 4 LDNO charges'!$B$13:$B$117,MATCH($A11,'Annex 4 LDNO charges'!$A$13:$A$117,0)))</f>
        <v>79, 80</v>
      </c>
      <c r="C11" s="176">
        <f>IFERROR(INDEX('Annex 1 LV, HV and UMS charges'!$C$13:$C$31,MATCH($A11,'Annex 1 LV, HV and UMS charges'!$A$13:$A$296,0)),INDEX('Annex 4 LDNO charges'!$C$13:$C$117,MATCH($A11,'Annex 4 LDNO charges'!$A$13:$A$117,0)))</f>
        <v>0</v>
      </c>
      <c r="D11" s="39"/>
      <c r="E11" s="39"/>
      <c r="F11" s="201">
        <v>0.13648857606477777</v>
      </c>
      <c r="G11" s="200"/>
    </row>
    <row r="12" spans="1:7" ht="27" customHeight="1" x14ac:dyDescent="0.2">
      <c r="A12" s="14" t="s">
        <v>1062</v>
      </c>
      <c r="B12" s="175" t="str">
        <f>IFERROR(INDEX('Annex 1 LV, HV and UMS charges'!$B$13:$B$31,MATCH($A12,'Annex 1 LV, HV and UMS charges'!$A$13:$A$296,0)),INDEX('Annex 4 LDNO charges'!$B$13:$B$117,MATCH($A12,'Annex 4 LDNO charges'!$A$13:$A$117,0)))</f>
        <v>89, 90</v>
      </c>
      <c r="C12" s="176">
        <f>IFERROR(INDEX('Annex 1 LV, HV and UMS charges'!$C$13:$C$31,MATCH($A12,'Annex 1 LV, HV and UMS charges'!$A$13:$A$296,0)),INDEX('Annex 4 LDNO charges'!$C$13:$C$117,MATCH($A12,'Annex 4 LDNO charges'!$A$13:$A$117,0)))</f>
        <v>0</v>
      </c>
      <c r="D12" s="39"/>
      <c r="E12" s="39"/>
      <c r="F12" s="201">
        <v>0.13648857606477777</v>
      </c>
      <c r="G12" s="200"/>
    </row>
    <row r="13" spans="1:7" ht="27" customHeight="1" x14ac:dyDescent="0.2">
      <c r="A13" s="177" t="s">
        <v>425</v>
      </c>
      <c r="B13" s="175" t="str">
        <f>IFERROR(INDEX('Annex 1 LV, HV and UMS charges'!$B$13:$B$31,MATCH($A13,'Annex 1 LV, HV and UMS charges'!$A$13:$A$296,0)),INDEX('Annex 4 LDNO charges'!$B$13:$B$117,MATCH($A13,'Annex 4 LDNO charges'!$A$13:$A$117,0)))</f>
        <v>A00</v>
      </c>
      <c r="C13" s="176" t="str">
        <f>IFERROR(INDEX('Annex 1 LV, HV and UMS charges'!$C$13:$C$31,MATCH($A13,'Annex 1 LV, HV and UMS charges'!$A$13:$A$296,0)),INDEX('Annex 4 LDNO charges'!$C$13:$C$117,MATCH($A13,'Annex 4 LDNO charges'!$A$13:$A$117,0)))</f>
        <v>1, 2 or 0</v>
      </c>
      <c r="D13" s="201">
        <v>8.0553851474889099E-3</v>
      </c>
      <c r="E13" s="201"/>
      <c r="F13" s="201">
        <v>0.13648857606477777</v>
      </c>
      <c r="G13" s="200"/>
    </row>
    <row r="14" spans="1:7" ht="27" customHeight="1" x14ac:dyDescent="0.2">
      <c r="A14" s="177" t="s">
        <v>427</v>
      </c>
      <c r="B14" s="175" t="str">
        <f>IFERROR(INDEX('Annex 1 LV, HV and UMS charges'!$B$13:$B$31,MATCH($A14,'Annex 1 LV, HV and UMS charges'!$A$13:$A$296,0)),INDEX('Annex 4 LDNO charges'!$B$13:$B$117,MATCH($A14,'Annex 4 LDNO charges'!$A$13:$A$117,0)))</f>
        <v>C00, C01, C02, C03, C04</v>
      </c>
      <c r="C14" s="176" t="str">
        <f>IFERROR(INDEX('Annex 1 LV, HV and UMS charges'!$C$13:$C$31,MATCH($A14,'Annex 1 LV, HV and UMS charges'!$A$13:$A$296,0)),INDEX('Annex 4 LDNO charges'!$C$13:$C$117,MATCH($A14,'Annex 4 LDNO charges'!$A$13:$A$117,0)))</f>
        <v>3-8 or 0</v>
      </c>
      <c r="D14" s="39"/>
      <c r="E14" s="39"/>
      <c r="F14" s="201">
        <v>0.13648857606477777</v>
      </c>
      <c r="G14" s="200"/>
    </row>
    <row r="15" spans="1:7" ht="27" customHeight="1" x14ac:dyDescent="0.2">
      <c r="A15" s="177" t="s">
        <v>429</v>
      </c>
      <c r="B15" s="175" t="str">
        <f>IFERROR(INDEX('Annex 1 LV, HV and UMS charges'!$B$13:$B$31,MATCH($A15,'Annex 1 LV, HV and UMS charges'!$A$13:$A$296,0)),INDEX('Annex 4 LDNO charges'!$B$13:$B$117,MATCH($A15,'Annex 4 LDNO charges'!$A$13:$A$117,0)))</f>
        <v>E01, E02, E03, E04</v>
      </c>
      <c r="C15" s="176">
        <f>IFERROR(INDEX('Annex 1 LV, HV and UMS charges'!$C$13:$C$31,MATCH($A15,'Annex 1 LV, HV and UMS charges'!$A$13:$A$296,0)),INDEX('Annex 4 LDNO charges'!$C$13:$C$117,MATCH($A15,'Annex 4 LDNO charges'!$A$13:$A$117,0)))</f>
        <v>0</v>
      </c>
      <c r="D15" s="39"/>
      <c r="E15" s="39"/>
      <c r="F15" s="201">
        <v>0.13648857606477777</v>
      </c>
    </row>
    <row r="16" spans="1:7" ht="27" customHeight="1" x14ac:dyDescent="0.2">
      <c r="A16" s="177" t="s">
        <v>1063</v>
      </c>
      <c r="B16" s="175" t="str">
        <f>IFERROR(INDEX('Annex 1 LV, HV and UMS charges'!$B$13:$B$31,MATCH($A16,'Annex 1 LV, HV and UMS charges'!$A$13:$A$296,0)),INDEX('Annex 4 LDNO charges'!$B$13:$B$117,MATCH($A16,'Annex 4 LDNO charges'!$A$13:$A$117,0)))</f>
        <v>E00</v>
      </c>
      <c r="C16" s="176">
        <f>IFERROR(INDEX('Annex 1 LV, HV and UMS charges'!$C$13:$C$31,MATCH($A16,'Annex 1 LV, HV and UMS charges'!$A$13:$A$296,0)),INDEX('Annex 4 LDNO charges'!$C$13:$C$117,MATCH($A16,'Annex 4 LDNO charges'!$A$13:$A$117,0)))</f>
        <v>0</v>
      </c>
      <c r="D16" s="39"/>
      <c r="E16" s="39"/>
      <c r="F16" s="201">
        <v>0.13648857606477777</v>
      </c>
    </row>
    <row r="17" spans="1:6" ht="27" customHeight="1" x14ac:dyDescent="0.2">
      <c r="A17" s="181" t="s">
        <v>433</v>
      </c>
      <c r="B17" s="175" t="str">
        <f>IFERROR(INDEX('Annex 1 LV, HV and UMS charges'!$B$13:$B$31,MATCH($A17,'Annex 1 LV, HV and UMS charges'!$A$13:$A$296,0)),INDEX('Annex 4 LDNO charges'!$B$13:$B$117,MATCH($A17,'Annex 4 LDNO charges'!$A$13:$A$117,0)))</f>
        <v>A10</v>
      </c>
      <c r="C17" s="176" t="str">
        <f>IFERROR(INDEX('Annex 1 LV, HV and UMS charges'!$C$13:$C$31,MATCH($A17,'Annex 1 LV, HV and UMS charges'!$A$13:$A$296,0)),INDEX('Annex 4 LDNO charges'!$C$13:$C$117,MATCH($A17,'Annex 4 LDNO charges'!$A$13:$A$117,0)))</f>
        <v>1, 2 or 0</v>
      </c>
      <c r="D17" s="201">
        <v>8.0553851474889099E-3</v>
      </c>
      <c r="E17" s="201"/>
      <c r="F17" s="201">
        <v>0.13648857606477777</v>
      </c>
    </row>
    <row r="18" spans="1:6" ht="27.75" customHeight="1" x14ac:dyDescent="0.2">
      <c r="A18" s="181" t="s">
        <v>435</v>
      </c>
      <c r="B18" s="175" t="str">
        <f>IFERROR(INDEX('Annex 1 LV, HV and UMS charges'!$B$13:$B$31,MATCH($A18,'Annex 1 LV, HV and UMS charges'!$A$13:$A$296,0)),INDEX('Annex 4 LDNO charges'!$B$13:$B$117,MATCH($A18,'Annex 4 LDNO charges'!$A$13:$A$117,0)))</f>
        <v>C10, C11, C12, C13, C14</v>
      </c>
      <c r="C18" s="176" t="str">
        <f>IFERROR(INDEX('Annex 1 LV, HV and UMS charges'!$C$13:$C$31,MATCH($A18,'Annex 1 LV, HV and UMS charges'!$A$13:$A$296,0)),INDEX('Annex 4 LDNO charges'!$C$13:$C$117,MATCH($A18,'Annex 4 LDNO charges'!$A$13:$A$117,0)))</f>
        <v>3-8 or 0</v>
      </c>
      <c r="D18" s="39"/>
      <c r="E18" s="39"/>
      <c r="F18" s="201">
        <v>0.13648857606477777</v>
      </c>
    </row>
    <row r="19" spans="1:6" ht="27.75" customHeight="1" x14ac:dyDescent="0.2">
      <c r="A19" s="181" t="s">
        <v>437</v>
      </c>
      <c r="B19" s="175" t="str">
        <f>IFERROR(INDEX('Annex 1 LV, HV and UMS charges'!$B$13:$B$31,MATCH($A19,'Annex 1 LV, HV and UMS charges'!$A$13:$A$296,0)),INDEX('Annex 4 LDNO charges'!$B$13:$B$117,MATCH($A19,'Annex 4 LDNO charges'!$A$13:$A$117,0)))</f>
        <v>E11, E12, E13, E14</v>
      </c>
      <c r="C19" s="176">
        <f>IFERROR(INDEX('Annex 1 LV, HV and UMS charges'!$C$13:$C$31,MATCH($A19,'Annex 1 LV, HV and UMS charges'!$A$13:$A$296,0)),INDEX('Annex 4 LDNO charges'!$C$13:$C$117,MATCH($A19,'Annex 4 LDNO charges'!$A$13:$A$117,0)))</f>
        <v>0</v>
      </c>
      <c r="D19" s="39"/>
      <c r="E19" s="39"/>
      <c r="F19" s="201">
        <v>0.13648857606477777</v>
      </c>
    </row>
    <row r="20" spans="1:6" ht="27.75" customHeight="1" x14ac:dyDescent="0.2">
      <c r="A20" s="181" t="s">
        <v>438</v>
      </c>
      <c r="B20" s="175" t="str">
        <f>IFERROR(INDEX('Annex 1 LV, HV and UMS charges'!$B$13:$B$31,MATCH($A20,'Annex 1 LV, HV and UMS charges'!$A$13:$A$296,0)),INDEX('Annex 4 LDNO charges'!$B$13:$B$117,MATCH($A20,'Annex 4 LDNO charges'!$A$13:$A$117,0)))</f>
        <v>J11, J12, J13, J14</v>
      </c>
      <c r="C20" s="176">
        <f>IFERROR(INDEX('Annex 1 LV, HV and UMS charges'!$C$13:$C$31,MATCH($A20,'Annex 1 LV, HV and UMS charges'!$A$13:$A$296,0)),INDEX('Annex 4 LDNO charges'!$C$13:$C$117,MATCH($A20,'Annex 4 LDNO charges'!$A$13:$A$117,0)))</f>
        <v>0</v>
      </c>
      <c r="D20" s="39"/>
      <c r="E20" s="39"/>
      <c r="F20" s="201">
        <v>0.13648857606477777</v>
      </c>
    </row>
    <row r="21" spans="1:6" ht="27.75" customHeight="1" x14ac:dyDescent="0.2">
      <c r="A21" s="181" t="s">
        <v>439</v>
      </c>
      <c r="B21" s="175" t="str">
        <f>IFERROR(INDEX('Annex 1 LV, HV and UMS charges'!$B$13:$B$31,MATCH($A21,'Annex 1 LV, HV and UMS charges'!$A$13:$A$296,0)),INDEX('Annex 4 LDNO charges'!$B$13:$B$117,MATCH($A21,'Annex 4 LDNO charges'!$A$13:$A$117,0)))</f>
        <v>K11, K12, K13, K14</v>
      </c>
      <c r="C21" s="176">
        <f>IFERROR(INDEX('Annex 1 LV, HV and UMS charges'!$C$13:$C$31,MATCH($A21,'Annex 1 LV, HV and UMS charges'!$A$13:$A$296,0)),INDEX('Annex 4 LDNO charges'!$C$13:$C$117,MATCH($A21,'Annex 4 LDNO charges'!$A$13:$A$117,0)))</f>
        <v>0</v>
      </c>
      <c r="D21" s="39"/>
      <c r="E21" s="39"/>
      <c r="F21" s="201">
        <v>0.13648857606477777</v>
      </c>
    </row>
    <row r="22" spans="1:6" ht="27.75" customHeight="1" x14ac:dyDescent="0.2">
      <c r="A22" s="181" t="s">
        <v>1064</v>
      </c>
      <c r="B22" s="175" t="str">
        <f>IFERROR(INDEX('Annex 1 LV, HV and UMS charges'!$B$13:$B$31,MATCH($A22,'Annex 1 LV, HV and UMS charges'!$A$13:$A$296,0)),INDEX('Annex 4 LDNO charges'!$B$13:$B$117,MATCH($A22,'Annex 4 LDNO charges'!$A$13:$A$117,0)))</f>
        <v>E10</v>
      </c>
      <c r="C22" s="176">
        <f>IFERROR(INDEX('Annex 1 LV, HV and UMS charges'!$C$13:$C$31,MATCH($A22,'Annex 1 LV, HV and UMS charges'!$A$13:$A$296,0)),INDEX('Annex 4 LDNO charges'!$C$13:$C$117,MATCH($A22,'Annex 4 LDNO charges'!$A$13:$A$117,0)))</f>
        <v>0</v>
      </c>
      <c r="D22" s="39"/>
      <c r="E22" s="39"/>
      <c r="F22" s="201">
        <v>0.13648857606477777</v>
      </c>
    </row>
    <row r="23" spans="1:6" ht="27.75" customHeight="1" x14ac:dyDescent="0.2">
      <c r="A23" s="181" t="s">
        <v>1065</v>
      </c>
      <c r="B23" s="175" t="str">
        <f>IFERROR(INDEX('Annex 1 LV, HV and UMS charges'!$B$13:$B$31,MATCH($A23,'Annex 1 LV, HV and UMS charges'!$A$13:$A$296,0)),INDEX('Annex 4 LDNO charges'!$B$13:$B$117,MATCH($A23,'Annex 4 LDNO charges'!$A$13:$A$117,0)))</f>
        <v>J10</v>
      </c>
      <c r="C23" s="176">
        <f>IFERROR(INDEX('Annex 1 LV, HV and UMS charges'!$C$13:$C$31,MATCH($A23,'Annex 1 LV, HV and UMS charges'!$A$13:$A$296,0)),INDEX('Annex 4 LDNO charges'!$C$13:$C$117,MATCH($A23,'Annex 4 LDNO charges'!$A$13:$A$117,0)))</f>
        <v>0</v>
      </c>
      <c r="D23" s="39"/>
      <c r="E23" s="39"/>
      <c r="F23" s="201">
        <v>0.13648857606477777</v>
      </c>
    </row>
    <row r="24" spans="1:6" ht="27.75" customHeight="1" x14ac:dyDescent="0.2">
      <c r="A24" s="181" t="s">
        <v>1066</v>
      </c>
      <c r="B24" s="175" t="str">
        <f>IFERROR(INDEX('Annex 1 LV, HV and UMS charges'!$B$13:$B$31,MATCH($A24,'Annex 1 LV, HV and UMS charges'!$A$13:$A$296,0)),INDEX('Annex 4 LDNO charges'!$B$13:$B$117,MATCH($A24,'Annex 4 LDNO charges'!$A$13:$A$117,0)))</f>
        <v>K10</v>
      </c>
      <c r="C24" s="176">
        <f>IFERROR(INDEX('Annex 1 LV, HV and UMS charges'!$C$13:$C$31,MATCH($A24,'Annex 1 LV, HV and UMS charges'!$A$13:$A$296,0)),INDEX('Annex 4 LDNO charges'!$C$13:$C$117,MATCH($A24,'Annex 4 LDNO charges'!$A$13:$A$117,0)))</f>
        <v>0</v>
      </c>
      <c r="D24" s="39"/>
      <c r="E24" s="39"/>
      <c r="F24" s="201">
        <v>0.13648857606477777</v>
      </c>
    </row>
    <row r="25" spans="1:6" ht="27.75" customHeight="1" x14ac:dyDescent="0.2">
      <c r="A25" s="177" t="s">
        <v>446</v>
      </c>
      <c r="B25" s="175" t="str">
        <f>IFERROR(INDEX('Annex 1 LV, HV and UMS charges'!$B$13:$B$31,MATCH($A25,'Annex 1 LV, HV and UMS charges'!$A$13:$A$296,0)),INDEX('Annex 4 LDNO charges'!$B$13:$B$117,MATCH($A25,'Annex 4 LDNO charges'!$A$13:$A$117,0)))</f>
        <v>A20</v>
      </c>
      <c r="C25" s="176" t="str">
        <f>IFERROR(INDEX('Annex 1 LV, HV and UMS charges'!$C$13:$C$31,MATCH($A25,'Annex 1 LV, HV and UMS charges'!$A$13:$A$296,0)),INDEX('Annex 4 LDNO charges'!$C$13:$C$117,MATCH($A25,'Annex 4 LDNO charges'!$A$13:$A$117,0)))</f>
        <v>1, 2 or 0</v>
      </c>
      <c r="D25" s="201">
        <v>8.0553851474889099E-3</v>
      </c>
      <c r="E25" s="201"/>
      <c r="F25" s="201">
        <v>0.13648857606477777</v>
      </c>
    </row>
    <row r="26" spans="1:6" ht="27.75" customHeight="1" x14ac:dyDescent="0.2">
      <c r="A26" s="177" t="s">
        <v>448</v>
      </c>
      <c r="B26" s="175" t="str">
        <f>IFERROR(INDEX('Annex 1 LV, HV and UMS charges'!$B$13:$B$31,MATCH($A26,'Annex 1 LV, HV and UMS charges'!$A$13:$A$296,0)),INDEX('Annex 4 LDNO charges'!$B$13:$B$117,MATCH($A26,'Annex 4 LDNO charges'!$A$13:$A$117,0)))</f>
        <v>C20, C21, C22, C23, C24</v>
      </c>
      <c r="C26" s="176" t="str">
        <f>IFERROR(INDEX('Annex 1 LV, HV and UMS charges'!$C$13:$C$31,MATCH($A26,'Annex 1 LV, HV and UMS charges'!$A$13:$A$296,0)),INDEX('Annex 4 LDNO charges'!$C$13:$C$117,MATCH($A26,'Annex 4 LDNO charges'!$A$13:$A$117,0)))</f>
        <v>3-8 or 0</v>
      </c>
      <c r="D26" s="39"/>
      <c r="E26" s="39"/>
      <c r="F26" s="201">
        <v>0.13648857606477777</v>
      </c>
    </row>
    <row r="27" spans="1:6" ht="27.75" customHeight="1" x14ac:dyDescent="0.2">
      <c r="A27" s="177" t="s">
        <v>450</v>
      </c>
      <c r="B27" s="175" t="str">
        <f>IFERROR(INDEX('Annex 1 LV, HV and UMS charges'!$B$13:$B$31,MATCH($A27,'Annex 1 LV, HV and UMS charges'!$A$13:$A$296,0)),INDEX('Annex 4 LDNO charges'!$B$13:$B$117,MATCH($A27,'Annex 4 LDNO charges'!$A$13:$A$117,0)))</f>
        <v>E21, E22, E23, E24</v>
      </c>
      <c r="C27" s="176" t="str">
        <f>IFERROR(INDEX('Annex 1 LV, HV and UMS charges'!$C$13:$C$31,MATCH($A27,'Annex 1 LV, HV and UMS charges'!$A$13:$A$296,0)),INDEX('Annex 4 LDNO charges'!$C$13:$C$117,MATCH($A27,'Annex 4 LDNO charges'!$A$13:$A$117,0)))</f>
        <v>0</v>
      </c>
      <c r="D27" s="39"/>
      <c r="E27" s="39"/>
      <c r="F27" s="201">
        <v>0.13648857606477777</v>
      </c>
    </row>
    <row r="28" spans="1:6" ht="27.75" customHeight="1" x14ac:dyDescent="0.2">
      <c r="A28" s="177" t="s">
        <v>451</v>
      </c>
      <c r="B28" s="175" t="str">
        <f>IFERROR(INDEX('Annex 1 LV, HV and UMS charges'!$B$13:$B$31,MATCH($A28,'Annex 1 LV, HV and UMS charges'!$A$13:$A$296,0)),INDEX('Annex 4 LDNO charges'!$B$13:$B$117,MATCH($A28,'Annex 4 LDNO charges'!$A$13:$A$117,0)))</f>
        <v>J21, J22, J23, J24</v>
      </c>
      <c r="C28" s="176" t="str">
        <f>IFERROR(INDEX('Annex 1 LV, HV and UMS charges'!$C$13:$C$31,MATCH($A28,'Annex 1 LV, HV and UMS charges'!$A$13:$A$296,0)),INDEX('Annex 4 LDNO charges'!$C$13:$C$117,MATCH($A28,'Annex 4 LDNO charges'!$A$13:$A$117,0)))</f>
        <v>0</v>
      </c>
      <c r="D28" s="39"/>
      <c r="E28" s="39"/>
      <c r="F28" s="201">
        <v>0.13648857606477777</v>
      </c>
    </row>
    <row r="29" spans="1:6" ht="27.75" customHeight="1" x14ac:dyDescent="0.2">
      <c r="A29" s="177" t="s">
        <v>452</v>
      </c>
      <c r="B29" s="175" t="str">
        <f>IFERROR(INDEX('Annex 1 LV, HV and UMS charges'!$B$13:$B$31,MATCH($A29,'Annex 1 LV, HV and UMS charges'!$A$13:$A$296,0)),INDEX('Annex 4 LDNO charges'!$B$13:$B$117,MATCH($A29,'Annex 4 LDNO charges'!$A$13:$A$117,0)))</f>
        <v>K21, K22, K23, K24</v>
      </c>
      <c r="C29" s="176" t="str">
        <f>IFERROR(INDEX('Annex 1 LV, HV and UMS charges'!$C$13:$C$31,MATCH($A29,'Annex 1 LV, HV and UMS charges'!$A$13:$A$296,0)),INDEX('Annex 4 LDNO charges'!$C$13:$C$117,MATCH($A29,'Annex 4 LDNO charges'!$A$13:$A$117,0)))</f>
        <v>0</v>
      </c>
      <c r="D29" s="39"/>
      <c r="E29" s="39"/>
      <c r="F29" s="201">
        <v>0.13648857606477777</v>
      </c>
    </row>
    <row r="30" spans="1:6" ht="27.75" customHeight="1" x14ac:dyDescent="0.2">
      <c r="A30" s="177" t="s">
        <v>1067</v>
      </c>
      <c r="B30" s="175" t="str">
        <f>IFERROR(INDEX('Annex 1 LV, HV and UMS charges'!$B$13:$B$31,MATCH($A30,'Annex 1 LV, HV and UMS charges'!$A$13:$A$296,0)),INDEX('Annex 4 LDNO charges'!$B$13:$B$117,MATCH($A30,'Annex 4 LDNO charges'!$A$13:$A$117,0)))</f>
        <v>E20</v>
      </c>
      <c r="C30" s="176">
        <f>IFERROR(INDEX('Annex 1 LV, HV and UMS charges'!$C$13:$C$31,MATCH($A30,'Annex 1 LV, HV and UMS charges'!$A$13:$A$296,0)),INDEX('Annex 4 LDNO charges'!$C$13:$C$117,MATCH($A30,'Annex 4 LDNO charges'!$A$13:$A$117,0)))</f>
        <v>0</v>
      </c>
      <c r="D30" s="39"/>
      <c r="E30" s="39"/>
      <c r="F30" s="201">
        <v>0.13648857606477777</v>
      </c>
    </row>
    <row r="31" spans="1:6" ht="27.75" customHeight="1" x14ac:dyDescent="0.2">
      <c r="A31" s="177" t="s">
        <v>1068</v>
      </c>
      <c r="B31" s="175" t="str">
        <f>IFERROR(INDEX('Annex 1 LV, HV and UMS charges'!$B$13:$B$31,MATCH($A31,'Annex 1 LV, HV and UMS charges'!$A$13:$A$296,0)),INDEX('Annex 4 LDNO charges'!$B$13:$B$117,MATCH($A31,'Annex 4 LDNO charges'!$A$13:$A$117,0)))</f>
        <v>J20</v>
      </c>
      <c r="C31" s="176">
        <f>IFERROR(INDEX('Annex 1 LV, HV and UMS charges'!$C$13:$C$31,MATCH($A31,'Annex 1 LV, HV and UMS charges'!$A$13:$A$296,0)),INDEX('Annex 4 LDNO charges'!$C$13:$C$117,MATCH($A31,'Annex 4 LDNO charges'!$A$13:$A$117,0)))</f>
        <v>0</v>
      </c>
      <c r="D31" s="39"/>
      <c r="E31" s="39"/>
      <c r="F31" s="201">
        <v>0.13648857606477777</v>
      </c>
    </row>
    <row r="32" spans="1:6" ht="27.75" customHeight="1" x14ac:dyDescent="0.2">
      <c r="A32" s="177" t="s">
        <v>1069</v>
      </c>
      <c r="B32" s="175" t="str">
        <f>IFERROR(INDEX('Annex 1 LV, HV and UMS charges'!$B$13:$B$31,MATCH($A32,'Annex 1 LV, HV and UMS charges'!$A$13:$A$296,0)),INDEX('Annex 4 LDNO charges'!$B$13:$B$117,MATCH($A32,'Annex 4 LDNO charges'!$A$13:$A$117,0)))</f>
        <v>K20</v>
      </c>
      <c r="C32" s="176">
        <f>IFERROR(INDEX('Annex 1 LV, HV and UMS charges'!$C$13:$C$31,MATCH($A32,'Annex 1 LV, HV and UMS charges'!$A$13:$A$296,0)),INDEX('Annex 4 LDNO charges'!$C$13:$C$117,MATCH($A32,'Annex 4 LDNO charges'!$A$13:$A$117,0)))</f>
        <v>0</v>
      </c>
      <c r="D32" s="39"/>
      <c r="E32" s="39"/>
      <c r="F32" s="201">
        <v>0.13648857606477777</v>
      </c>
    </row>
    <row r="33" spans="1:6" ht="27.75" customHeight="1" x14ac:dyDescent="0.2">
      <c r="A33" s="177" t="s">
        <v>459</v>
      </c>
      <c r="B33" s="175" t="str">
        <f>IFERROR(INDEX('Annex 1 LV, HV and UMS charges'!$B$13:$B$31,MATCH($A33,'Annex 1 LV, HV and UMS charges'!$A$13:$A$296,0)),INDEX('Annex 4 LDNO charges'!$B$13:$B$117,MATCH($A33,'Annex 4 LDNO charges'!$A$13:$A$117,0)))</f>
        <v>A30</v>
      </c>
      <c r="C33" s="176" t="str">
        <f>IFERROR(INDEX('Annex 1 LV, HV and UMS charges'!$C$13:$C$31,MATCH($A33,'Annex 1 LV, HV and UMS charges'!$A$13:$A$296,0)),INDEX('Annex 4 LDNO charges'!$C$13:$C$117,MATCH($A33,'Annex 4 LDNO charges'!$A$13:$A$117,0)))</f>
        <v>1, 2 or 0</v>
      </c>
      <c r="D33" s="201">
        <v>8.0553851474889099E-3</v>
      </c>
      <c r="E33" s="201"/>
      <c r="F33" s="201">
        <v>0.13648857606477777</v>
      </c>
    </row>
    <row r="34" spans="1:6" ht="27.75" customHeight="1" x14ac:dyDescent="0.2">
      <c r="A34" s="177" t="s">
        <v>461</v>
      </c>
      <c r="B34" s="175" t="str">
        <f>IFERROR(INDEX('Annex 1 LV, HV and UMS charges'!$B$13:$B$31,MATCH($A34,'Annex 1 LV, HV and UMS charges'!$A$13:$A$296,0)),INDEX('Annex 4 LDNO charges'!$B$13:$B$117,MATCH($A34,'Annex 4 LDNO charges'!$A$13:$A$117,0)))</f>
        <v>C30, C31, C32, C33, C34</v>
      </c>
      <c r="C34" s="176" t="str">
        <f>IFERROR(INDEX('Annex 1 LV, HV and UMS charges'!$C$13:$C$31,MATCH($A34,'Annex 1 LV, HV and UMS charges'!$A$13:$A$296,0)),INDEX('Annex 4 LDNO charges'!$C$13:$C$117,MATCH($A34,'Annex 4 LDNO charges'!$A$13:$A$117,0)))</f>
        <v>3-8 or 0</v>
      </c>
      <c r="D34" s="39"/>
      <c r="E34" s="39"/>
      <c r="F34" s="201">
        <v>0.13648857606477777</v>
      </c>
    </row>
    <row r="35" spans="1:6" ht="27.75" customHeight="1" x14ac:dyDescent="0.2">
      <c r="A35" s="177" t="s">
        <v>463</v>
      </c>
      <c r="B35" s="175" t="str">
        <f>IFERROR(INDEX('Annex 1 LV, HV and UMS charges'!$B$13:$B$31,MATCH($A35,'Annex 1 LV, HV and UMS charges'!$A$13:$A$296,0)),INDEX('Annex 4 LDNO charges'!$B$13:$B$117,MATCH($A35,'Annex 4 LDNO charges'!$A$13:$A$117,0)))</f>
        <v>E31, E32, E33, E34</v>
      </c>
      <c r="C35" s="176" t="str">
        <f>IFERROR(INDEX('Annex 1 LV, HV and UMS charges'!$C$13:$C$31,MATCH($A35,'Annex 1 LV, HV and UMS charges'!$A$13:$A$296,0)),INDEX('Annex 4 LDNO charges'!$C$13:$C$117,MATCH($A35,'Annex 4 LDNO charges'!$A$13:$A$117,0)))</f>
        <v>0</v>
      </c>
      <c r="D35" s="39"/>
      <c r="E35" s="39"/>
      <c r="F35" s="201">
        <v>0.13648857606477777</v>
      </c>
    </row>
    <row r="36" spans="1:6" ht="27.75" customHeight="1" x14ac:dyDescent="0.2">
      <c r="A36" s="177" t="s">
        <v>464</v>
      </c>
      <c r="B36" s="175" t="str">
        <f>IFERROR(INDEX('Annex 1 LV, HV and UMS charges'!$B$13:$B$31,MATCH($A36,'Annex 1 LV, HV and UMS charges'!$A$13:$A$296,0)),INDEX('Annex 4 LDNO charges'!$B$13:$B$117,MATCH($A36,'Annex 4 LDNO charges'!$A$13:$A$117,0)))</f>
        <v>J31, J32, J33, J34</v>
      </c>
      <c r="C36" s="176" t="str">
        <f>IFERROR(INDEX('Annex 1 LV, HV and UMS charges'!$C$13:$C$31,MATCH($A36,'Annex 1 LV, HV and UMS charges'!$A$13:$A$296,0)),INDEX('Annex 4 LDNO charges'!$C$13:$C$117,MATCH($A36,'Annex 4 LDNO charges'!$A$13:$A$117,0)))</f>
        <v>0</v>
      </c>
      <c r="D36" s="39"/>
      <c r="E36" s="39"/>
      <c r="F36" s="201">
        <v>0.13648857606477777</v>
      </c>
    </row>
    <row r="37" spans="1:6" ht="27.75" customHeight="1" x14ac:dyDescent="0.2">
      <c r="A37" s="177" t="s">
        <v>465</v>
      </c>
      <c r="B37" s="175" t="str">
        <f>IFERROR(INDEX('Annex 1 LV, HV and UMS charges'!$B$13:$B$31,MATCH($A37,'Annex 1 LV, HV and UMS charges'!$A$13:$A$296,0)),INDEX('Annex 4 LDNO charges'!$B$13:$B$117,MATCH($A37,'Annex 4 LDNO charges'!$A$13:$A$117,0)))</f>
        <v>K31, K32, K33, K34</v>
      </c>
      <c r="C37" s="176" t="str">
        <f>IFERROR(INDEX('Annex 1 LV, HV and UMS charges'!$C$13:$C$31,MATCH($A37,'Annex 1 LV, HV and UMS charges'!$A$13:$A$296,0)),INDEX('Annex 4 LDNO charges'!$C$13:$C$117,MATCH($A37,'Annex 4 LDNO charges'!$A$13:$A$117,0)))</f>
        <v>0</v>
      </c>
      <c r="D37" s="39"/>
      <c r="E37" s="39"/>
      <c r="F37" s="201">
        <v>0.13648857606477777</v>
      </c>
    </row>
    <row r="38" spans="1:6" ht="27.75" customHeight="1" x14ac:dyDescent="0.2">
      <c r="A38" s="177" t="s">
        <v>1070</v>
      </c>
      <c r="B38" s="175" t="str">
        <f>IFERROR(INDEX('Annex 1 LV, HV and UMS charges'!$B$13:$B$31,MATCH($A38,'Annex 1 LV, HV and UMS charges'!$A$13:$A$296,0)),INDEX('Annex 4 LDNO charges'!$B$13:$B$117,MATCH($A38,'Annex 4 LDNO charges'!$A$13:$A$117,0)))</f>
        <v>E30</v>
      </c>
      <c r="C38" s="176">
        <f>IFERROR(INDEX('Annex 1 LV, HV and UMS charges'!$C$13:$C$31,MATCH($A38,'Annex 1 LV, HV and UMS charges'!$A$13:$A$296,0)),INDEX('Annex 4 LDNO charges'!$C$13:$C$117,MATCH($A38,'Annex 4 LDNO charges'!$A$13:$A$117,0)))</f>
        <v>0</v>
      </c>
      <c r="D38" s="39"/>
      <c r="E38" s="39"/>
      <c r="F38" s="201">
        <v>0.13648857606477777</v>
      </c>
    </row>
    <row r="39" spans="1:6" ht="27.75" customHeight="1" x14ac:dyDescent="0.2">
      <c r="A39" s="177" t="s">
        <v>1071</v>
      </c>
      <c r="B39" s="175" t="str">
        <f>IFERROR(INDEX('Annex 1 LV, HV and UMS charges'!$B$13:$B$31,MATCH($A39,'Annex 1 LV, HV and UMS charges'!$A$13:$A$296,0)),INDEX('Annex 4 LDNO charges'!$B$13:$B$117,MATCH($A39,'Annex 4 LDNO charges'!$A$13:$A$117,0)))</f>
        <v>J30</v>
      </c>
      <c r="C39" s="176">
        <f>IFERROR(INDEX('Annex 1 LV, HV and UMS charges'!$C$13:$C$31,MATCH($A39,'Annex 1 LV, HV and UMS charges'!$A$13:$A$296,0)),INDEX('Annex 4 LDNO charges'!$C$13:$C$117,MATCH($A39,'Annex 4 LDNO charges'!$A$13:$A$117,0)))</f>
        <v>0</v>
      </c>
      <c r="D39" s="39"/>
      <c r="E39" s="39"/>
      <c r="F39" s="201">
        <v>0.13648857606477777</v>
      </c>
    </row>
    <row r="40" spans="1:6" ht="27.75" customHeight="1" x14ac:dyDescent="0.2">
      <c r="A40" s="177" t="s">
        <v>1072</v>
      </c>
      <c r="B40" s="175" t="str">
        <f>IFERROR(INDEX('Annex 1 LV, HV and UMS charges'!$B$13:$B$31,MATCH($A40,'Annex 1 LV, HV and UMS charges'!$A$13:$A$296,0)),INDEX('Annex 4 LDNO charges'!$B$13:$B$117,MATCH($A40,'Annex 4 LDNO charges'!$A$13:$A$117,0)))</f>
        <v>K30</v>
      </c>
      <c r="C40" s="176">
        <f>IFERROR(INDEX('Annex 1 LV, HV and UMS charges'!$C$13:$C$31,MATCH($A40,'Annex 1 LV, HV and UMS charges'!$A$13:$A$296,0)),INDEX('Annex 4 LDNO charges'!$C$13:$C$117,MATCH($A40,'Annex 4 LDNO charges'!$A$13:$A$117,0)))</f>
        <v>0</v>
      </c>
      <c r="D40" s="39"/>
      <c r="E40" s="39"/>
      <c r="F40" s="201">
        <v>0.13648857606477777</v>
      </c>
    </row>
    <row r="41" spans="1:6" ht="27.75" customHeight="1" x14ac:dyDescent="0.2">
      <c r="A41" s="177" t="s">
        <v>472</v>
      </c>
      <c r="B41" s="175" t="str">
        <f>IFERROR(INDEX('Annex 1 LV, HV and UMS charges'!$B$13:$B$31,MATCH($A41,'Annex 1 LV, HV and UMS charges'!$A$13:$A$296,0)),INDEX('Annex 4 LDNO charges'!$B$13:$B$117,MATCH($A41,'Annex 4 LDNO charges'!$A$13:$A$117,0)))</f>
        <v>A40</v>
      </c>
      <c r="C41" s="176" t="str">
        <f>IFERROR(INDEX('Annex 1 LV, HV and UMS charges'!$C$13:$C$31,MATCH($A41,'Annex 1 LV, HV and UMS charges'!$A$13:$A$296,0)),INDEX('Annex 4 LDNO charges'!$C$13:$C$117,MATCH($A41,'Annex 4 LDNO charges'!$A$13:$A$117,0)))</f>
        <v>1, 2 or 0</v>
      </c>
      <c r="D41" s="201">
        <v>8.0553851474889099E-3</v>
      </c>
      <c r="E41" s="201"/>
      <c r="F41" s="201">
        <v>0.13648857606477777</v>
      </c>
    </row>
    <row r="42" spans="1:6" ht="27.75" customHeight="1" x14ac:dyDescent="0.2">
      <c r="A42" s="177" t="s">
        <v>474</v>
      </c>
      <c r="B42" s="175" t="str">
        <f>IFERROR(INDEX('Annex 1 LV, HV and UMS charges'!$B$13:$B$31,MATCH($A42,'Annex 1 LV, HV and UMS charges'!$A$13:$A$296,0)),INDEX('Annex 4 LDNO charges'!$B$13:$B$117,MATCH($A42,'Annex 4 LDNO charges'!$A$13:$A$117,0)))</f>
        <v>C40, C41, C42, C43, C44</v>
      </c>
      <c r="C42" s="176" t="str">
        <f>IFERROR(INDEX('Annex 1 LV, HV and UMS charges'!$C$13:$C$31,MATCH($A42,'Annex 1 LV, HV and UMS charges'!$A$13:$A$296,0)),INDEX('Annex 4 LDNO charges'!$C$13:$C$117,MATCH($A42,'Annex 4 LDNO charges'!$A$13:$A$117,0)))</f>
        <v>3-8 or 0</v>
      </c>
      <c r="D42" s="39"/>
      <c r="E42" s="39"/>
      <c r="F42" s="201">
        <v>0.13648857606477777</v>
      </c>
    </row>
    <row r="43" spans="1:6" ht="27.75" customHeight="1" x14ac:dyDescent="0.2">
      <c r="A43" s="177" t="s">
        <v>476</v>
      </c>
      <c r="B43" s="175" t="str">
        <f>IFERROR(INDEX('Annex 1 LV, HV and UMS charges'!$B$13:$B$31,MATCH($A43,'Annex 1 LV, HV and UMS charges'!$A$13:$A$296,0)),INDEX('Annex 4 LDNO charges'!$B$13:$B$117,MATCH($A43,'Annex 4 LDNO charges'!$A$13:$A$117,0)))</f>
        <v>E41, E42, E43, E44</v>
      </c>
      <c r="C43" s="176" t="str">
        <f>IFERROR(INDEX('Annex 1 LV, HV and UMS charges'!$C$13:$C$31,MATCH($A43,'Annex 1 LV, HV and UMS charges'!$A$13:$A$296,0)),INDEX('Annex 4 LDNO charges'!$C$13:$C$117,MATCH($A43,'Annex 4 LDNO charges'!$A$13:$A$117,0)))</f>
        <v>0</v>
      </c>
      <c r="D43" s="39"/>
      <c r="E43" s="39"/>
      <c r="F43" s="201">
        <v>0.13648857606477777</v>
      </c>
    </row>
    <row r="44" spans="1:6" ht="27.75" customHeight="1" x14ac:dyDescent="0.2">
      <c r="A44" s="177" t="s">
        <v>477</v>
      </c>
      <c r="B44" s="175" t="str">
        <f>IFERROR(INDEX('Annex 1 LV, HV and UMS charges'!$B$13:$B$31,MATCH($A44,'Annex 1 LV, HV and UMS charges'!$A$13:$A$296,0)),INDEX('Annex 4 LDNO charges'!$B$13:$B$117,MATCH($A44,'Annex 4 LDNO charges'!$A$13:$A$117,0)))</f>
        <v>J41, J42, J43, J44</v>
      </c>
      <c r="C44" s="176" t="str">
        <f>IFERROR(INDEX('Annex 1 LV, HV and UMS charges'!$C$13:$C$31,MATCH($A44,'Annex 1 LV, HV and UMS charges'!$A$13:$A$296,0)),INDEX('Annex 4 LDNO charges'!$C$13:$C$117,MATCH($A44,'Annex 4 LDNO charges'!$A$13:$A$117,0)))</f>
        <v>0</v>
      </c>
      <c r="D44" s="39"/>
      <c r="E44" s="39"/>
      <c r="F44" s="201">
        <v>0.13648857606477777</v>
      </c>
    </row>
    <row r="45" spans="1:6" ht="27.75" customHeight="1" x14ac:dyDescent="0.2">
      <c r="A45" s="177" t="s">
        <v>478</v>
      </c>
      <c r="B45" s="175" t="str">
        <f>IFERROR(INDEX('Annex 1 LV, HV and UMS charges'!$B$13:$B$31,MATCH($A45,'Annex 1 LV, HV and UMS charges'!$A$13:$A$296,0)),INDEX('Annex 4 LDNO charges'!$B$13:$B$117,MATCH($A45,'Annex 4 LDNO charges'!$A$13:$A$117,0)))</f>
        <v>K41, K42, K43, K44</v>
      </c>
      <c r="C45" s="176" t="str">
        <f>IFERROR(INDEX('Annex 1 LV, HV and UMS charges'!$C$13:$C$31,MATCH($A45,'Annex 1 LV, HV and UMS charges'!$A$13:$A$296,0)),INDEX('Annex 4 LDNO charges'!$C$13:$C$117,MATCH($A45,'Annex 4 LDNO charges'!$A$13:$A$117,0)))</f>
        <v>0</v>
      </c>
      <c r="D45" s="39"/>
      <c r="E45" s="39"/>
      <c r="F45" s="201">
        <v>0.13648857606477777</v>
      </c>
    </row>
    <row r="46" spans="1:6" ht="27.75" customHeight="1" x14ac:dyDescent="0.2">
      <c r="A46" s="177" t="s">
        <v>1073</v>
      </c>
      <c r="B46" s="175" t="str">
        <f>IFERROR(INDEX('Annex 1 LV, HV and UMS charges'!$B$13:$B$31,MATCH($A46,'Annex 1 LV, HV and UMS charges'!$A$13:$A$296,0)),INDEX('Annex 4 LDNO charges'!$B$13:$B$117,MATCH($A46,'Annex 4 LDNO charges'!$A$13:$A$117,0)))</f>
        <v>E40</v>
      </c>
      <c r="C46" s="176">
        <f>IFERROR(INDEX('Annex 1 LV, HV and UMS charges'!$C$13:$C$31,MATCH($A46,'Annex 1 LV, HV and UMS charges'!$A$13:$A$296,0)),INDEX('Annex 4 LDNO charges'!$C$13:$C$117,MATCH($A46,'Annex 4 LDNO charges'!$A$13:$A$117,0)))</f>
        <v>0</v>
      </c>
      <c r="D46" s="39"/>
      <c r="E46" s="39"/>
      <c r="F46" s="201">
        <v>0.13648857606477777</v>
      </c>
    </row>
    <row r="47" spans="1:6" ht="27.75" customHeight="1" x14ac:dyDescent="0.2">
      <c r="A47" s="177" t="s">
        <v>1074</v>
      </c>
      <c r="B47" s="175" t="str">
        <f>IFERROR(INDEX('Annex 1 LV, HV and UMS charges'!$B$13:$B$31,MATCH($A47,'Annex 1 LV, HV and UMS charges'!$A$13:$A$296,0)),INDEX('Annex 4 LDNO charges'!$B$13:$B$117,MATCH($A47,'Annex 4 LDNO charges'!$A$13:$A$117,0)))</f>
        <v>J40</v>
      </c>
      <c r="C47" s="176">
        <f>IFERROR(INDEX('Annex 1 LV, HV and UMS charges'!$C$13:$C$31,MATCH($A47,'Annex 1 LV, HV and UMS charges'!$A$13:$A$296,0)),INDEX('Annex 4 LDNO charges'!$C$13:$C$117,MATCH($A47,'Annex 4 LDNO charges'!$A$13:$A$117,0)))</f>
        <v>0</v>
      </c>
      <c r="D47" s="39"/>
      <c r="E47" s="39"/>
      <c r="F47" s="201">
        <v>0.13648857606477777</v>
      </c>
    </row>
    <row r="48" spans="1:6" ht="27.75" customHeight="1" x14ac:dyDescent="0.2">
      <c r="A48" s="177" t="s">
        <v>1075</v>
      </c>
      <c r="B48" s="175" t="str">
        <f>IFERROR(INDEX('Annex 1 LV, HV and UMS charges'!$B$13:$B$31,MATCH($A48,'Annex 1 LV, HV and UMS charges'!$A$13:$A$296,0)),INDEX('Annex 4 LDNO charges'!$B$13:$B$117,MATCH($A48,'Annex 4 LDNO charges'!$A$13:$A$117,0)))</f>
        <v>K40</v>
      </c>
      <c r="C48" s="176">
        <f>IFERROR(INDEX('Annex 1 LV, HV and UMS charges'!$C$13:$C$31,MATCH($A48,'Annex 1 LV, HV and UMS charges'!$A$13:$A$296,0)),INDEX('Annex 4 LDNO charges'!$C$13:$C$117,MATCH($A48,'Annex 4 LDNO charges'!$A$13:$A$117,0)))</f>
        <v>0</v>
      </c>
      <c r="D48" s="39"/>
      <c r="E48" s="39"/>
      <c r="F48" s="201">
        <v>0.13648857606477777</v>
      </c>
    </row>
    <row r="49" spans="1:6" ht="27.75" customHeight="1" x14ac:dyDescent="0.2">
      <c r="A49" s="177" t="s">
        <v>485</v>
      </c>
      <c r="B49" s="175" t="str">
        <f>IFERROR(INDEX('Annex 1 LV, HV and UMS charges'!$B$13:$B$31,MATCH($A49,'Annex 1 LV, HV and UMS charges'!$A$13:$A$296,0)),INDEX('Annex 4 LDNO charges'!$B$13:$B$117,MATCH($A49,'Annex 4 LDNO charges'!$A$13:$A$117,0)))</f>
        <v>A50</v>
      </c>
      <c r="C49" s="176" t="str">
        <f>IFERROR(INDEX('Annex 1 LV, HV and UMS charges'!$C$13:$C$31,MATCH($A49,'Annex 1 LV, HV and UMS charges'!$A$13:$A$296,0)),INDEX('Annex 4 LDNO charges'!$C$13:$C$117,MATCH($A49,'Annex 4 LDNO charges'!$A$13:$A$117,0)))</f>
        <v>1, 2 or 0</v>
      </c>
      <c r="D49" s="201">
        <v>8.0553851474889099E-3</v>
      </c>
      <c r="E49" s="201"/>
      <c r="F49" s="201">
        <v>0.13648857606477777</v>
      </c>
    </row>
    <row r="50" spans="1:6" ht="27.75" customHeight="1" x14ac:dyDescent="0.2">
      <c r="A50" s="177" t="s">
        <v>487</v>
      </c>
      <c r="B50" s="175" t="str">
        <f>IFERROR(INDEX('Annex 1 LV, HV and UMS charges'!$B$13:$B$31,MATCH($A50,'Annex 1 LV, HV and UMS charges'!$A$13:$A$296,0)),INDEX('Annex 4 LDNO charges'!$B$13:$B$117,MATCH($A50,'Annex 4 LDNO charges'!$A$13:$A$117,0)))</f>
        <v>C50, C51, C52, C53, C54</v>
      </c>
      <c r="C50" s="176" t="str">
        <f>IFERROR(INDEX('Annex 1 LV, HV and UMS charges'!$C$13:$C$31,MATCH($A50,'Annex 1 LV, HV and UMS charges'!$A$13:$A$296,0)),INDEX('Annex 4 LDNO charges'!$C$13:$C$117,MATCH($A50,'Annex 4 LDNO charges'!$A$13:$A$117,0)))</f>
        <v>3-8 or 0</v>
      </c>
      <c r="D50" s="39"/>
      <c r="E50" s="39"/>
      <c r="F50" s="201">
        <v>0.13648857606477777</v>
      </c>
    </row>
    <row r="51" spans="1:6" ht="27.75" customHeight="1" x14ac:dyDescent="0.2">
      <c r="A51" s="177" t="s">
        <v>489</v>
      </c>
      <c r="B51" s="175" t="str">
        <f>IFERROR(INDEX('Annex 1 LV, HV and UMS charges'!$B$13:$B$31,MATCH($A51,'Annex 1 LV, HV and UMS charges'!$A$13:$A$296,0)),INDEX('Annex 4 LDNO charges'!$B$13:$B$117,MATCH($A51,'Annex 4 LDNO charges'!$A$13:$A$117,0)))</f>
        <v>E51, E52, E53, E54</v>
      </c>
      <c r="C51" s="176" t="str">
        <f>IFERROR(INDEX('Annex 1 LV, HV and UMS charges'!$C$13:$C$31,MATCH($A51,'Annex 1 LV, HV and UMS charges'!$A$13:$A$296,0)),INDEX('Annex 4 LDNO charges'!$C$13:$C$117,MATCH($A51,'Annex 4 LDNO charges'!$A$13:$A$117,0)))</f>
        <v>0</v>
      </c>
      <c r="D51" s="39"/>
      <c r="E51" s="39"/>
      <c r="F51" s="201">
        <v>0.13648857606477777</v>
      </c>
    </row>
    <row r="52" spans="1:6" ht="27.75" customHeight="1" x14ac:dyDescent="0.2">
      <c r="A52" s="177" t="s">
        <v>490</v>
      </c>
      <c r="B52" s="175" t="str">
        <f>IFERROR(INDEX('Annex 1 LV, HV and UMS charges'!$B$13:$B$31,MATCH($A52,'Annex 1 LV, HV and UMS charges'!$A$13:$A$296,0)),INDEX('Annex 4 LDNO charges'!$B$13:$B$117,MATCH($A52,'Annex 4 LDNO charges'!$A$13:$A$117,0)))</f>
        <v>J51, J52, J53, J54</v>
      </c>
      <c r="C52" s="176" t="str">
        <f>IFERROR(INDEX('Annex 1 LV, HV and UMS charges'!$C$13:$C$31,MATCH($A52,'Annex 1 LV, HV and UMS charges'!$A$13:$A$296,0)),INDEX('Annex 4 LDNO charges'!$C$13:$C$117,MATCH($A52,'Annex 4 LDNO charges'!$A$13:$A$117,0)))</f>
        <v>0</v>
      </c>
      <c r="D52" s="39"/>
      <c r="E52" s="39"/>
      <c r="F52" s="201">
        <v>0.13648857606477777</v>
      </c>
    </row>
    <row r="53" spans="1:6" ht="27.75" customHeight="1" x14ac:dyDescent="0.2">
      <c r="A53" s="177" t="s">
        <v>491</v>
      </c>
      <c r="B53" s="175" t="str">
        <f>IFERROR(INDEX('Annex 1 LV, HV and UMS charges'!$B$13:$B$31,MATCH($A53,'Annex 1 LV, HV and UMS charges'!$A$13:$A$296,0)),INDEX('Annex 4 LDNO charges'!$B$13:$B$117,MATCH($A53,'Annex 4 LDNO charges'!$A$13:$A$117,0)))</f>
        <v>K51, K52, K53, K54</v>
      </c>
      <c r="C53" s="176" t="str">
        <f>IFERROR(INDEX('Annex 1 LV, HV and UMS charges'!$C$13:$C$31,MATCH($A53,'Annex 1 LV, HV and UMS charges'!$A$13:$A$296,0)),INDEX('Annex 4 LDNO charges'!$C$13:$C$117,MATCH($A53,'Annex 4 LDNO charges'!$A$13:$A$117,0)))</f>
        <v>0</v>
      </c>
      <c r="D53" s="39"/>
      <c r="E53" s="39"/>
      <c r="F53" s="201">
        <v>0.13648857606477777</v>
      </c>
    </row>
    <row r="54" spans="1:6" ht="27.75" customHeight="1" x14ac:dyDescent="0.2">
      <c r="A54" s="177" t="s">
        <v>1076</v>
      </c>
      <c r="B54" s="175" t="str">
        <f>IFERROR(INDEX('Annex 1 LV, HV and UMS charges'!$B$13:$B$31,MATCH($A54,'Annex 1 LV, HV and UMS charges'!$A$13:$A$296,0)),INDEX('Annex 4 LDNO charges'!$B$13:$B$117,MATCH($A54,'Annex 4 LDNO charges'!$A$13:$A$117,0)))</f>
        <v>E50</v>
      </c>
      <c r="C54" s="176">
        <f>IFERROR(INDEX('Annex 1 LV, HV and UMS charges'!$C$13:$C$31,MATCH($A54,'Annex 1 LV, HV and UMS charges'!$A$13:$A$296,0)),INDEX('Annex 4 LDNO charges'!$C$13:$C$117,MATCH($A54,'Annex 4 LDNO charges'!$A$13:$A$117,0)))</f>
        <v>0</v>
      </c>
      <c r="D54" s="39"/>
      <c r="E54" s="39"/>
      <c r="F54" s="201">
        <v>0.13648857606477777</v>
      </c>
    </row>
    <row r="55" spans="1:6" ht="27.75" customHeight="1" x14ac:dyDescent="0.2">
      <c r="A55" s="177" t="s">
        <v>1077</v>
      </c>
      <c r="B55" s="175" t="str">
        <f>IFERROR(INDEX('Annex 1 LV, HV and UMS charges'!$B$13:$B$31,MATCH($A55,'Annex 1 LV, HV and UMS charges'!$A$13:$A$296,0)),INDEX('Annex 4 LDNO charges'!$B$13:$B$117,MATCH($A55,'Annex 4 LDNO charges'!$A$13:$A$117,0)))</f>
        <v>J50</v>
      </c>
      <c r="C55" s="176">
        <f>IFERROR(INDEX('Annex 1 LV, HV and UMS charges'!$C$13:$C$31,MATCH($A55,'Annex 1 LV, HV and UMS charges'!$A$13:$A$296,0)),INDEX('Annex 4 LDNO charges'!$C$13:$C$117,MATCH($A55,'Annex 4 LDNO charges'!$A$13:$A$117,0)))</f>
        <v>0</v>
      </c>
      <c r="D55" s="39"/>
      <c r="E55" s="39"/>
      <c r="F55" s="201">
        <v>0.13648857606477777</v>
      </c>
    </row>
    <row r="56" spans="1:6" ht="27.75" customHeight="1" x14ac:dyDescent="0.2">
      <c r="A56" s="177" t="s">
        <v>1078</v>
      </c>
      <c r="B56" s="175" t="str">
        <f>IFERROR(INDEX('Annex 1 LV, HV and UMS charges'!$B$13:$B$31,MATCH($A56,'Annex 1 LV, HV and UMS charges'!$A$13:$A$296,0)),INDEX('Annex 4 LDNO charges'!$B$13:$B$117,MATCH($A56,'Annex 4 LDNO charges'!$A$13:$A$117,0)))</f>
        <v>K50</v>
      </c>
      <c r="C56" s="176">
        <f>IFERROR(INDEX('Annex 1 LV, HV and UMS charges'!$C$13:$C$31,MATCH($A56,'Annex 1 LV, HV and UMS charges'!$A$13:$A$296,0)),INDEX('Annex 4 LDNO charges'!$C$13:$C$117,MATCH($A56,'Annex 4 LDNO charges'!$A$13:$A$117,0)))</f>
        <v>0</v>
      </c>
      <c r="D56" s="39"/>
      <c r="E56" s="39"/>
      <c r="F56" s="201">
        <v>0.13648857606477777</v>
      </c>
    </row>
    <row r="57" spans="1:6" ht="27.75" customHeight="1" x14ac:dyDescent="0.2">
      <c r="A57" s="177" t="s">
        <v>498</v>
      </c>
      <c r="B57" s="175" t="str">
        <f>IFERROR(INDEX('Annex 1 LV, HV and UMS charges'!$B$13:$B$31,MATCH($A57,'Annex 1 LV, HV and UMS charges'!$A$13:$A$296,0)),INDEX('Annex 4 LDNO charges'!$B$13:$B$117,MATCH($A57,'Annex 4 LDNO charges'!$A$13:$A$117,0)))</f>
        <v>A60</v>
      </c>
      <c r="C57" s="176" t="str">
        <f>IFERROR(INDEX('Annex 1 LV, HV and UMS charges'!$C$13:$C$31,MATCH($A57,'Annex 1 LV, HV and UMS charges'!$A$13:$A$296,0)),INDEX('Annex 4 LDNO charges'!$C$13:$C$117,MATCH($A57,'Annex 4 LDNO charges'!$A$13:$A$117,0)))</f>
        <v>1, 2 or 0</v>
      </c>
      <c r="D57" s="201">
        <v>8.0553851474889099E-3</v>
      </c>
      <c r="E57" s="201"/>
      <c r="F57" s="201">
        <v>0.13648857606477777</v>
      </c>
    </row>
    <row r="58" spans="1:6" ht="27.75" customHeight="1" x14ac:dyDescent="0.2">
      <c r="A58" s="177" t="s">
        <v>500</v>
      </c>
      <c r="B58" s="175" t="str">
        <f>IFERROR(INDEX('Annex 1 LV, HV and UMS charges'!$B$13:$B$31,MATCH($A58,'Annex 1 LV, HV and UMS charges'!$A$13:$A$296,0)),INDEX('Annex 4 LDNO charges'!$B$13:$B$117,MATCH($A58,'Annex 4 LDNO charges'!$A$13:$A$117,0)))</f>
        <v>C60, C61, C62, C63, C64</v>
      </c>
      <c r="C58" s="176" t="str">
        <f>IFERROR(INDEX('Annex 1 LV, HV and UMS charges'!$C$13:$C$31,MATCH($A58,'Annex 1 LV, HV and UMS charges'!$A$13:$A$296,0)),INDEX('Annex 4 LDNO charges'!$C$13:$C$117,MATCH($A58,'Annex 4 LDNO charges'!$A$13:$A$117,0)))</f>
        <v>3-8 or 0</v>
      </c>
      <c r="D58" s="39"/>
      <c r="E58" s="39"/>
      <c r="F58" s="201">
        <v>0.13648857606477777</v>
      </c>
    </row>
    <row r="59" spans="1:6" ht="27.75" customHeight="1" x14ac:dyDescent="0.2">
      <c r="A59" s="177" t="s">
        <v>502</v>
      </c>
      <c r="B59" s="175" t="str">
        <f>IFERROR(INDEX('Annex 1 LV, HV and UMS charges'!$B$13:$B$31,MATCH($A59,'Annex 1 LV, HV and UMS charges'!$A$13:$A$296,0)),INDEX('Annex 4 LDNO charges'!$B$13:$B$117,MATCH($A59,'Annex 4 LDNO charges'!$A$13:$A$117,0)))</f>
        <v>E61, E62, E63, E64</v>
      </c>
      <c r="C59" s="176" t="str">
        <f>IFERROR(INDEX('Annex 1 LV, HV and UMS charges'!$C$13:$C$31,MATCH($A59,'Annex 1 LV, HV and UMS charges'!$A$13:$A$296,0)),INDEX('Annex 4 LDNO charges'!$C$13:$C$117,MATCH($A59,'Annex 4 LDNO charges'!$A$13:$A$117,0)))</f>
        <v>0</v>
      </c>
      <c r="D59" s="39"/>
      <c r="E59" s="39"/>
      <c r="F59" s="201">
        <v>0.13648857606477777</v>
      </c>
    </row>
    <row r="60" spans="1:6" ht="27.75" customHeight="1" x14ac:dyDescent="0.2">
      <c r="A60" s="177" t="s">
        <v>503</v>
      </c>
      <c r="B60" s="175" t="str">
        <f>IFERROR(INDEX('Annex 1 LV, HV and UMS charges'!$B$13:$B$31,MATCH($A60,'Annex 1 LV, HV and UMS charges'!$A$13:$A$296,0)),INDEX('Annex 4 LDNO charges'!$B$13:$B$117,MATCH($A60,'Annex 4 LDNO charges'!$A$13:$A$117,0)))</f>
        <v>J61, J62, J63, J64</v>
      </c>
      <c r="C60" s="176" t="str">
        <f>IFERROR(INDEX('Annex 1 LV, HV and UMS charges'!$C$13:$C$31,MATCH($A60,'Annex 1 LV, HV and UMS charges'!$A$13:$A$296,0)),INDEX('Annex 4 LDNO charges'!$C$13:$C$117,MATCH($A60,'Annex 4 LDNO charges'!$A$13:$A$117,0)))</f>
        <v>0</v>
      </c>
      <c r="D60" s="39"/>
      <c r="E60" s="39"/>
      <c r="F60" s="201">
        <v>0.13648857606477777</v>
      </c>
    </row>
    <row r="61" spans="1:6" ht="27.75" customHeight="1" x14ac:dyDescent="0.2">
      <c r="A61" s="177" t="s">
        <v>504</v>
      </c>
      <c r="B61" s="175" t="str">
        <f>IFERROR(INDEX('Annex 1 LV, HV and UMS charges'!$B$13:$B$31,MATCH($A61,'Annex 1 LV, HV and UMS charges'!$A$13:$A$296,0)),INDEX('Annex 4 LDNO charges'!$B$13:$B$117,MATCH($A61,'Annex 4 LDNO charges'!$A$13:$A$117,0)))</f>
        <v>K61, K62, K63, K64</v>
      </c>
      <c r="C61" s="176" t="str">
        <f>IFERROR(INDEX('Annex 1 LV, HV and UMS charges'!$C$13:$C$31,MATCH($A61,'Annex 1 LV, HV and UMS charges'!$A$13:$A$296,0)),INDEX('Annex 4 LDNO charges'!$C$13:$C$117,MATCH($A61,'Annex 4 LDNO charges'!$A$13:$A$117,0)))</f>
        <v>0</v>
      </c>
      <c r="D61" s="39"/>
      <c r="E61" s="39"/>
      <c r="F61" s="201">
        <v>0.13648857606477777</v>
      </c>
    </row>
    <row r="62" spans="1:6" ht="27.75" customHeight="1" x14ac:dyDescent="0.2">
      <c r="A62" s="177" t="s">
        <v>1079</v>
      </c>
      <c r="B62" s="175" t="str">
        <f>IFERROR(INDEX('Annex 1 LV, HV and UMS charges'!$B$13:$B$31,MATCH($A62,'Annex 1 LV, HV and UMS charges'!$A$13:$A$296,0)),INDEX('Annex 4 LDNO charges'!$B$13:$B$117,MATCH($A62,'Annex 4 LDNO charges'!$A$13:$A$117,0)))</f>
        <v>E60</v>
      </c>
      <c r="C62" s="176">
        <f>IFERROR(INDEX('Annex 1 LV, HV and UMS charges'!$C$13:$C$31,MATCH($A62,'Annex 1 LV, HV and UMS charges'!$A$13:$A$296,0)),INDEX('Annex 4 LDNO charges'!$C$13:$C$117,MATCH($A62,'Annex 4 LDNO charges'!$A$13:$A$117,0)))</f>
        <v>0</v>
      </c>
      <c r="D62" s="39"/>
      <c r="E62" s="39"/>
      <c r="F62" s="201">
        <v>0.13648857606477777</v>
      </c>
    </row>
    <row r="63" spans="1:6" ht="27.75" customHeight="1" x14ac:dyDescent="0.2">
      <c r="A63" s="177" t="s">
        <v>1080</v>
      </c>
      <c r="B63" s="175" t="str">
        <f>IFERROR(INDEX('Annex 1 LV, HV and UMS charges'!$B$13:$B$31,MATCH($A63,'Annex 1 LV, HV and UMS charges'!$A$13:$A$296,0)),INDEX('Annex 4 LDNO charges'!$B$13:$B$117,MATCH($A63,'Annex 4 LDNO charges'!$A$13:$A$117,0)))</f>
        <v>J60</v>
      </c>
      <c r="C63" s="176">
        <f>IFERROR(INDEX('Annex 1 LV, HV and UMS charges'!$C$13:$C$31,MATCH($A63,'Annex 1 LV, HV and UMS charges'!$A$13:$A$296,0)),INDEX('Annex 4 LDNO charges'!$C$13:$C$117,MATCH($A63,'Annex 4 LDNO charges'!$A$13:$A$117,0)))</f>
        <v>0</v>
      </c>
      <c r="D63" s="39"/>
      <c r="E63" s="39"/>
      <c r="F63" s="201">
        <v>0.13648857606477777</v>
      </c>
    </row>
    <row r="64" spans="1:6" ht="27.75" customHeight="1" x14ac:dyDescent="0.2">
      <c r="A64" s="177" t="s">
        <v>1081</v>
      </c>
      <c r="B64" s="175" t="str">
        <f>IFERROR(INDEX('Annex 1 LV, HV and UMS charges'!$B$13:$B$31,MATCH($A64,'Annex 1 LV, HV and UMS charges'!$A$13:$A$296,0)),INDEX('Annex 4 LDNO charges'!$B$13:$B$117,MATCH($A64,'Annex 4 LDNO charges'!$A$13:$A$117,0)))</f>
        <v>K60</v>
      </c>
      <c r="C64" s="176">
        <f>IFERROR(INDEX('Annex 1 LV, HV and UMS charges'!$C$13:$C$31,MATCH($A64,'Annex 1 LV, HV and UMS charges'!$A$13:$A$296,0)),INDEX('Annex 4 LDNO charges'!$C$13:$C$117,MATCH($A64,'Annex 4 LDNO charges'!$A$13:$A$117,0)))</f>
        <v>0</v>
      </c>
      <c r="D64" s="39"/>
      <c r="E64" s="39"/>
      <c r="F64" s="201">
        <v>0.13648857606477777</v>
      </c>
    </row>
    <row r="65" spans="1:1" ht="27.75" customHeight="1" x14ac:dyDescent="0.2">
      <c r="A65" s="2" t="s">
        <v>512</v>
      </c>
    </row>
    <row r="66" spans="1:1" ht="27.75" customHeight="1" x14ac:dyDescent="0.2">
      <c r="A66" s="2" t="s">
        <v>513</v>
      </c>
    </row>
    <row r="67" spans="1:1" ht="27.75" customHeight="1" x14ac:dyDescent="0.2">
      <c r="A67" s="2" t="s">
        <v>514</v>
      </c>
    </row>
  </sheetData>
  <mergeCells count="2">
    <mergeCell ref="A2:F2"/>
    <mergeCell ref="B1:C1"/>
  </mergeCells>
  <hyperlinks>
    <hyperlink ref="A1" location="Overview!A1" display="Back to Overview"/>
  </hyperlinks>
  <printOptions horizontalCentered="1"/>
  <pageMargins left="0.39370078740157483" right="0.39370078740157483" top="0.9055118110236221" bottom="0.74803149606299213" header="0.51181102362204722" footer="0.51181102362204722"/>
  <pageSetup paperSize="9" scale="65" fitToHeight="0" orientation="portrait" r:id="rId1"/>
  <headerFooter differentFirst="1" scaleWithDoc="0">
    <oddFooter>&amp;R&amp;P of &amp;N</oddFooter>
    <firstHeader>&amp;L
Annex 7 - Schedule of Charges to recover Excess Supplier of Last Resort pass-through costs</firstHeader>
    <firstFooter>&amp;R&amp;P of &amp;N</firstFooter>
  </headerFooter>
  <rowBreaks count="1" manualBreakCount="1">
    <brk id="35"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255"/>
  <sheetViews>
    <sheetView zoomScale="85" zoomScaleNormal="85" zoomScaleSheetLayoutView="100" workbookViewId="0"/>
  </sheetViews>
  <sheetFormatPr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1" t="s">
        <v>18</v>
      </c>
      <c r="B1" s="3"/>
      <c r="C1" s="2"/>
      <c r="E1" s="8"/>
      <c r="F1" s="4"/>
      <c r="G1" s="4"/>
    </row>
    <row r="2" spans="1:7" s="9" customFormat="1" ht="22.5" customHeight="1" x14ac:dyDescent="0.2">
      <c r="A2" s="250" t="str">
        <f>Overview!B4&amp; " - Effective from "&amp;Overview!D4&amp;" - "&amp;Overview!E4&amp;" Nodal/Zonal charges"</f>
        <v>London Power Networks - Effective from 1 April 2021 - Final Nodal/Zonal charges</v>
      </c>
      <c r="B2" s="251"/>
      <c r="C2" s="251"/>
      <c r="D2" s="252"/>
    </row>
    <row r="3" spans="1:7" ht="60.75" customHeight="1" x14ac:dyDescent="0.2">
      <c r="A3" s="18" t="s">
        <v>51</v>
      </c>
      <c r="B3" s="18" t="s">
        <v>1</v>
      </c>
      <c r="C3" s="18" t="s">
        <v>33</v>
      </c>
      <c r="D3" s="18" t="s">
        <v>34</v>
      </c>
    </row>
    <row r="4" spans="1:7" ht="21.75" customHeight="1" x14ac:dyDescent="0.2">
      <c r="A4" s="202" t="s">
        <v>652</v>
      </c>
      <c r="B4" s="202" t="s">
        <v>904</v>
      </c>
      <c r="C4" s="203">
        <v>4.5826315053638798</v>
      </c>
      <c r="D4" s="203">
        <v>8.2339773781257009E-3</v>
      </c>
    </row>
    <row r="5" spans="1:7" ht="21.75" customHeight="1" x14ac:dyDescent="0.2">
      <c r="A5" s="202" t="s">
        <v>653</v>
      </c>
      <c r="B5" s="202" t="s">
        <v>904</v>
      </c>
      <c r="C5" s="203">
        <v>0.90520308577028696</v>
      </c>
      <c r="D5" s="203">
        <v>1.4800849222329493E-4</v>
      </c>
    </row>
    <row r="6" spans="1:7" ht="21.75" customHeight="1" x14ac:dyDescent="0.2">
      <c r="A6" s="202" t="s">
        <v>654</v>
      </c>
      <c r="B6" s="202" t="s">
        <v>904</v>
      </c>
      <c r="C6" s="203">
        <v>4.8850658219645302</v>
      </c>
      <c r="D6" s="203">
        <v>2.9560505311367891E-3</v>
      </c>
    </row>
    <row r="7" spans="1:7" ht="21.75" customHeight="1" x14ac:dyDescent="0.2">
      <c r="A7" s="202" t="s">
        <v>655</v>
      </c>
      <c r="B7" s="202" t="s">
        <v>905</v>
      </c>
      <c r="C7" s="203">
        <v>0</v>
      </c>
      <c r="D7" s="203">
        <v>0</v>
      </c>
    </row>
    <row r="8" spans="1:7" ht="21.75" customHeight="1" x14ac:dyDescent="0.2">
      <c r="A8" s="202" t="s">
        <v>656</v>
      </c>
      <c r="B8" s="202" t="s">
        <v>906</v>
      </c>
      <c r="C8" s="203">
        <v>0</v>
      </c>
      <c r="D8" s="203">
        <v>0</v>
      </c>
    </row>
    <row r="9" spans="1:7" ht="21.75" customHeight="1" x14ac:dyDescent="0.2">
      <c r="A9" s="202" t="s">
        <v>657</v>
      </c>
      <c r="B9" s="202" t="s">
        <v>907</v>
      </c>
      <c r="C9" s="203">
        <v>2.4789373279726199</v>
      </c>
      <c r="D9" s="203">
        <v>10.128046472939012</v>
      </c>
    </row>
    <row r="10" spans="1:7" ht="21.75" customHeight="1" x14ac:dyDescent="0.2">
      <c r="A10" s="202" t="s">
        <v>658</v>
      </c>
      <c r="B10" s="202" t="s">
        <v>907</v>
      </c>
      <c r="C10" s="203">
        <v>1.0550788199036081</v>
      </c>
      <c r="D10" s="203">
        <v>3.5113314634091299</v>
      </c>
    </row>
    <row r="11" spans="1:7" ht="21.75" customHeight="1" x14ac:dyDescent="0.2">
      <c r="A11" s="202" t="s">
        <v>659</v>
      </c>
      <c r="B11" s="202" t="s">
        <v>908</v>
      </c>
      <c r="C11" s="203">
        <v>1.2200707808917519</v>
      </c>
      <c r="D11" s="203">
        <v>1.6451584361883143</v>
      </c>
    </row>
    <row r="12" spans="1:7" ht="21.75" customHeight="1" x14ac:dyDescent="0.2">
      <c r="A12" s="202" t="s">
        <v>660</v>
      </c>
      <c r="B12" s="202" t="s">
        <v>908</v>
      </c>
      <c r="C12" s="203">
        <v>0.154232801998228</v>
      </c>
      <c r="D12" s="203">
        <v>9.2662898711146913E-3</v>
      </c>
    </row>
    <row r="13" spans="1:7" ht="21.75" customHeight="1" x14ac:dyDescent="0.2">
      <c r="A13" s="202" t="s">
        <v>661</v>
      </c>
      <c r="B13" s="202" t="s">
        <v>909</v>
      </c>
      <c r="C13" s="203">
        <v>0</v>
      </c>
      <c r="D13" s="203">
        <v>0</v>
      </c>
    </row>
    <row r="14" spans="1:7" ht="21.75" customHeight="1" x14ac:dyDescent="0.2">
      <c r="A14" s="202" t="s">
        <v>662</v>
      </c>
      <c r="B14" s="202" t="s">
        <v>910</v>
      </c>
      <c r="C14" s="203">
        <v>0</v>
      </c>
      <c r="D14" s="203">
        <v>1.0044249986752061</v>
      </c>
    </row>
    <row r="15" spans="1:7" ht="21.75" customHeight="1" x14ac:dyDescent="0.2">
      <c r="A15" s="202" t="s">
        <v>663</v>
      </c>
      <c r="B15" s="202" t="s">
        <v>911</v>
      </c>
      <c r="C15" s="203">
        <v>0.20083686053589661</v>
      </c>
      <c r="D15" s="203">
        <v>0.54797360313378651</v>
      </c>
    </row>
    <row r="16" spans="1:7" ht="21.75" customHeight="1" x14ac:dyDescent="0.2">
      <c r="A16" s="202" t="s">
        <v>664</v>
      </c>
      <c r="B16" s="202" t="s">
        <v>911</v>
      </c>
      <c r="C16" s="203">
        <v>0.128250894961319</v>
      </c>
      <c r="D16" s="203">
        <v>0.693448277895229</v>
      </c>
    </row>
    <row r="17" spans="1:4" ht="21.75" customHeight="1" x14ac:dyDescent="0.2">
      <c r="A17" s="202" t="s">
        <v>665</v>
      </c>
      <c r="B17" s="202" t="s">
        <v>912</v>
      </c>
      <c r="C17" s="203">
        <v>1.9857665774120989</v>
      </c>
      <c r="D17" s="203">
        <v>1.8066214849099911</v>
      </c>
    </row>
    <row r="18" spans="1:4" ht="21.75" customHeight="1" x14ac:dyDescent="0.2">
      <c r="A18" s="202" t="s">
        <v>666</v>
      </c>
      <c r="B18" s="202" t="s">
        <v>913</v>
      </c>
      <c r="C18" s="203">
        <v>1.985771405182307</v>
      </c>
      <c r="D18" s="203">
        <v>1.8049298760063364</v>
      </c>
    </row>
    <row r="19" spans="1:4" ht="21.75" customHeight="1" x14ac:dyDescent="0.2">
      <c r="A19" s="202" t="s">
        <v>667</v>
      </c>
      <c r="B19" s="202" t="s">
        <v>914</v>
      </c>
      <c r="C19" s="203">
        <v>8.3869597220983094E-11</v>
      </c>
      <c r="D19" s="203">
        <v>0</v>
      </c>
    </row>
    <row r="20" spans="1:4" ht="21.75" customHeight="1" x14ac:dyDescent="0.2">
      <c r="A20" s="202" t="s">
        <v>668</v>
      </c>
      <c r="B20" s="202" t="s">
        <v>915</v>
      </c>
      <c r="C20" s="203">
        <v>0.87453282716778602</v>
      </c>
      <c r="D20" s="203">
        <v>1.5404317313296589</v>
      </c>
    </row>
    <row r="21" spans="1:4" ht="21.75" customHeight="1" x14ac:dyDescent="0.2">
      <c r="A21" s="202" t="s">
        <v>669</v>
      </c>
      <c r="B21" s="202" t="s">
        <v>916</v>
      </c>
      <c r="C21" s="203">
        <v>0.87003081292916806</v>
      </c>
      <c r="D21" s="203">
        <v>1.9382901271216635</v>
      </c>
    </row>
    <row r="22" spans="1:4" ht="21.75" customHeight="1" x14ac:dyDescent="0.2">
      <c r="A22" s="202" t="s">
        <v>670</v>
      </c>
      <c r="B22" s="202" t="s">
        <v>916</v>
      </c>
      <c r="C22" s="203">
        <v>0.28067360310148098</v>
      </c>
      <c r="D22" s="203">
        <v>1.6775658019274098</v>
      </c>
    </row>
    <row r="23" spans="1:4" ht="21.75" customHeight="1" x14ac:dyDescent="0.2">
      <c r="A23" s="202" t="s">
        <v>671</v>
      </c>
      <c r="B23" s="202" t="s">
        <v>1051</v>
      </c>
      <c r="C23" s="203">
        <v>1.9844010902555449</v>
      </c>
      <c r="D23" s="203">
        <v>1.8239005967825928</v>
      </c>
    </row>
    <row r="24" spans="1:4" ht="21.75" customHeight="1" x14ac:dyDescent="0.2">
      <c r="A24" s="202" t="s">
        <v>672</v>
      </c>
      <c r="B24" s="202" t="s">
        <v>1052</v>
      </c>
      <c r="C24" s="203">
        <v>1.9844432003002579</v>
      </c>
      <c r="D24" s="203">
        <v>1.8179051343328361</v>
      </c>
    </row>
    <row r="25" spans="1:4" ht="21.75" customHeight="1" x14ac:dyDescent="0.2">
      <c r="A25" s="202" t="s">
        <v>673</v>
      </c>
      <c r="B25" s="202" t="s">
        <v>917</v>
      </c>
      <c r="C25" s="203">
        <v>0</v>
      </c>
      <c r="D25" s="203">
        <v>0</v>
      </c>
    </row>
    <row r="26" spans="1:4" ht="21.75" customHeight="1" x14ac:dyDescent="0.2">
      <c r="A26" s="202" t="s">
        <v>674</v>
      </c>
      <c r="B26" s="202" t="s">
        <v>917</v>
      </c>
      <c r="C26" s="203">
        <v>0</v>
      </c>
      <c r="D26" s="203">
        <v>0</v>
      </c>
    </row>
    <row r="27" spans="1:4" ht="21.75" customHeight="1" x14ac:dyDescent="0.2">
      <c r="A27" s="202" t="s">
        <v>675</v>
      </c>
      <c r="B27" s="202" t="s">
        <v>918</v>
      </c>
      <c r="C27" s="203">
        <v>3.87469051409956</v>
      </c>
      <c r="D27" s="203">
        <v>2.0813766602309802</v>
      </c>
    </row>
    <row r="28" spans="1:4" ht="21.75" customHeight="1" x14ac:dyDescent="0.2">
      <c r="A28" s="202" t="s">
        <v>676</v>
      </c>
      <c r="B28" s="202" t="s">
        <v>918</v>
      </c>
      <c r="C28" s="203">
        <v>0.27852506083693601</v>
      </c>
      <c r="D28" s="203">
        <v>2.384187829919989</v>
      </c>
    </row>
    <row r="29" spans="1:4" ht="21.75" customHeight="1" x14ac:dyDescent="0.2">
      <c r="A29" s="202" t="s">
        <v>677</v>
      </c>
      <c r="B29" s="202" t="s">
        <v>919</v>
      </c>
      <c r="C29" s="203">
        <v>5.5772283100271203</v>
      </c>
      <c r="D29" s="203">
        <v>0.64298404123989794</v>
      </c>
    </row>
    <row r="30" spans="1:4" ht="21.75" customHeight="1" x14ac:dyDescent="0.2">
      <c r="A30" s="202" t="s">
        <v>678</v>
      </c>
      <c r="B30" s="202" t="s">
        <v>919</v>
      </c>
      <c r="C30" s="203">
        <v>7.2038238743447405</v>
      </c>
      <c r="D30" s="203">
        <v>1.0581532076682052</v>
      </c>
    </row>
    <row r="31" spans="1:4" ht="21.75" customHeight="1" x14ac:dyDescent="0.2">
      <c r="A31" s="202" t="s">
        <v>679</v>
      </c>
      <c r="B31" s="202" t="s">
        <v>920</v>
      </c>
      <c r="C31" s="203">
        <v>0.63958911484564196</v>
      </c>
      <c r="D31" s="203">
        <v>4.3511992032836622</v>
      </c>
    </row>
    <row r="32" spans="1:4" ht="21.75" customHeight="1" x14ac:dyDescent="0.2">
      <c r="A32" s="202" t="s">
        <v>680</v>
      </c>
      <c r="B32" s="202" t="s">
        <v>920</v>
      </c>
      <c r="C32" s="203">
        <v>0.25826775506848998</v>
      </c>
      <c r="D32" s="203">
        <v>6.8505910732587072</v>
      </c>
    </row>
    <row r="33" spans="1:4" ht="21.75" customHeight="1" x14ac:dyDescent="0.2">
      <c r="A33" s="202" t="s">
        <v>681</v>
      </c>
      <c r="B33" s="202" t="s">
        <v>921</v>
      </c>
      <c r="C33" s="203">
        <v>5.5948849174126902</v>
      </c>
      <c r="D33" s="203">
        <v>-2.9214273298188003</v>
      </c>
    </row>
    <row r="34" spans="1:4" ht="21.75" customHeight="1" x14ac:dyDescent="0.2">
      <c r="A34" s="202" t="s">
        <v>682</v>
      </c>
      <c r="B34" s="202" t="s">
        <v>921</v>
      </c>
      <c r="C34" s="203">
        <v>6.93864067372966</v>
      </c>
      <c r="D34" s="203">
        <v>-2.8316649466826771</v>
      </c>
    </row>
    <row r="35" spans="1:4" ht="21.75" customHeight="1" x14ac:dyDescent="0.2">
      <c r="A35" s="202" t="s">
        <v>683</v>
      </c>
      <c r="B35" s="202" t="s">
        <v>922</v>
      </c>
      <c r="C35" s="203">
        <v>0</v>
      </c>
      <c r="D35" s="203">
        <v>0</v>
      </c>
    </row>
    <row r="36" spans="1:4" ht="21.75" customHeight="1" x14ac:dyDescent="0.2">
      <c r="A36" s="202" t="s">
        <v>684</v>
      </c>
      <c r="B36" s="202" t="s">
        <v>923</v>
      </c>
      <c r="C36" s="203">
        <v>1.9924037645982711</v>
      </c>
      <c r="D36" s="203">
        <v>13.629927463386522</v>
      </c>
    </row>
    <row r="37" spans="1:4" ht="21.75" customHeight="1" x14ac:dyDescent="0.2">
      <c r="A37" s="202" t="s">
        <v>685</v>
      </c>
      <c r="B37" s="202" t="s">
        <v>923</v>
      </c>
      <c r="C37" s="203">
        <v>2.5317746449109801</v>
      </c>
      <c r="D37" s="203">
        <v>14.842444989756183</v>
      </c>
    </row>
    <row r="38" spans="1:4" ht="21.75" customHeight="1" x14ac:dyDescent="0.2">
      <c r="A38" s="202" t="s">
        <v>686</v>
      </c>
      <c r="B38" s="202" t="s">
        <v>924</v>
      </c>
      <c r="C38" s="203">
        <v>1.9249728750645159</v>
      </c>
      <c r="D38" s="203">
        <v>1.7889945698909986</v>
      </c>
    </row>
    <row r="39" spans="1:4" ht="21.75" customHeight="1" x14ac:dyDescent="0.2">
      <c r="A39" s="202" t="s">
        <v>687</v>
      </c>
      <c r="B39" s="202" t="s">
        <v>924</v>
      </c>
      <c r="C39" s="203">
        <v>1.2822895726171151</v>
      </c>
      <c r="D39" s="203">
        <v>1.2900825131123295</v>
      </c>
    </row>
    <row r="40" spans="1:4" ht="21.75" customHeight="1" x14ac:dyDescent="0.2">
      <c r="A40" s="202" t="s">
        <v>688</v>
      </c>
      <c r="B40" s="202" t="s">
        <v>925</v>
      </c>
      <c r="C40" s="203">
        <v>1.63311498888674</v>
      </c>
      <c r="D40" s="203">
        <v>-0.21322817988643483</v>
      </c>
    </row>
    <row r="41" spans="1:4" ht="21.75" customHeight="1" x14ac:dyDescent="0.2">
      <c r="A41" s="202" t="s">
        <v>689</v>
      </c>
      <c r="B41" s="202" t="s">
        <v>925</v>
      </c>
      <c r="C41" s="203">
        <v>1.5926930349766</v>
      </c>
      <c r="D41" s="203">
        <v>0.89673408602691174</v>
      </c>
    </row>
    <row r="42" spans="1:4" ht="21.75" customHeight="1" x14ac:dyDescent="0.2">
      <c r="A42" s="202" t="s">
        <v>690</v>
      </c>
      <c r="B42" s="202" t="s">
        <v>926</v>
      </c>
      <c r="C42" s="203">
        <v>1.9840060345922321</v>
      </c>
      <c r="D42" s="203">
        <v>1.900781145562302</v>
      </c>
    </row>
    <row r="43" spans="1:4" ht="21.75" customHeight="1" x14ac:dyDescent="0.2">
      <c r="A43" s="202" t="s">
        <v>691</v>
      </c>
      <c r="B43" s="202" t="s">
        <v>927</v>
      </c>
      <c r="C43" s="203">
        <v>1.9840155976093872</v>
      </c>
      <c r="D43" s="203">
        <v>1.8944657631373385</v>
      </c>
    </row>
    <row r="44" spans="1:4" ht="21.75" customHeight="1" x14ac:dyDescent="0.2">
      <c r="A44" s="202" t="s">
        <v>692</v>
      </c>
      <c r="B44" s="202" t="s">
        <v>928</v>
      </c>
      <c r="C44" s="203">
        <v>4.6870881575771</v>
      </c>
      <c r="D44" s="203">
        <v>5.8567270264757392</v>
      </c>
    </row>
    <row r="45" spans="1:4" ht="21.75" customHeight="1" x14ac:dyDescent="0.2">
      <c r="A45" s="202" t="s">
        <v>693</v>
      </c>
      <c r="B45" s="202" t="s">
        <v>928</v>
      </c>
      <c r="C45" s="203">
        <v>5.2689021654087602</v>
      </c>
      <c r="D45" s="203">
        <v>6.5665443673251209</v>
      </c>
    </row>
    <row r="46" spans="1:4" ht="21.75" customHeight="1" x14ac:dyDescent="0.2">
      <c r="A46" s="202" t="s">
        <v>694</v>
      </c>
      <c r="B46" s="202" t="s">
        <v>929</v>
      </c>
      <c r="C46" s="203">
        <v>3.092351607081</v>
      </c>
      <c r="D46" s="203">
        <v>3.7784232234566129</v>
      </c>
    </row>
    <row r="47" spans="1:4" ht="21.75" customHeight="1" x14ac:dyDescent="0.2">
      <c r="A47" s="202" t="s">
        <v>695</v>
      </c>
      <c r="B47" s="202" t="s">
        <v>929</v>
      </c>
      <c r="C47" s="203">
        <v>0.6328188952743159</v>
      </c>
      <c r="D47" s="203">
        <v>2.8028328403329552</v>
      </c>
    </row>
    <row r="48" spans="1:4" ht="21.75" customHeight="1" x14ac:dyDescent="0.2">
      <c r="A48" s="202" t="s">
        <v>696</v>
      </c>
      <c r="B48" s="202" t="s">
        <v>930</v>
      </c>
      <c r="C48" s="203">
        <v>0.13435179277822573</v>
      </c>
      <c r="D48" s="203">
        <v>3.9745984281580604E-13</v>
      </c>
    </row>
    <row r="49" spans="1:4" ht="21.75" customHeight="1" x14ac:dyDescent="0.2">
      <c r="A49" s="202" t="s">
        <v>697</v>
      </c>
      <c r="B49" s="202" t="s">
        <v>930</v>
      </c>
      <c r="C49" s="203">
        <v>0.13435164697593288</v>
      </c>
      <c r="D49" s="203">
        <v>4.0084602304091277E-13</v>
      </c>
    </row>
    <row r="50" spans="1:4" ht="21.75" customHeight="1" x14ac:dyDescent="0.2">
      <c r="A50" s="202" t="s">
        <v>698</v>
      </c>
      <c r="B50" s="202" t="s">
        <v>931</v>
      </c>
      <c r="C50" s="203">
        <v>0</v>
      </c>
      <c r="D50" s="203">
        <v>0</v>
      </c>
    </row>
    <row r="51" spans="1:4" ht="21.75" customHeight="1" x14ac:dyDescent="0.2">
      <c r="A51" s="202" t="s">
        <v>699</v>
      </c>
      <c r="B51" s="202" t="s">
        <v>932</v>
      </c>
      <c r="C51" s="203">
        <v>5.5092421595856103E-2</v>
      </c>
      <c r="D51" s="203">
        <v>-2.3003511638682421</v>
      </c>
    </row>
    <row r="52" spans="1:4" ht="21.75" customHeight="1" x14ac:dyDescent="0.2">
      <c r="A52" s="202" t="s">
        <v>700</v>
      </c>
      <c r="B52" s="202" t="s">
        <v>933</v>
      </c>
      <c r="C52" s="203">
        <v>0</v>
      </c>
      <c r="D52" s="203">
        <v>6.0926480589341221</v>
      </c>
    </row>
    <row r="53" spans="1:4" ht="21.75" customHeight="1" x14ac:dyDescent="0.2">
      <c r="A53" s="202" t="s">
        <v>701</v>
      </c>
      <c r="B53" s="202" t="s">
        <v>933</v>
      </c>
      <c r="C53" s="203">
        <v>4.5595033189826299</v>
      </c>
      <c r="D53" s="203">
        <v>4.1689633720756412</v>
      </c>
    </row>
    <row r="54" spans="1:4" ht="21.75" customHeight="1" x14ac:dyDescent="0.2">
      <c r="A54" s="202" t="s">
        <v>702</v>
      </c>
      <c r="B54" s="202" t="s">
        <v>934</v>
      </c>
      <c r="C54" s="203">
        <v>0</v>
      </c>
      <c r="D54" s="203">
        <v>0</v>
      </c>
    </row>
    <row r="55" spans="1:4" ht="21.75" customHeight="1" x14ac:dyDescent="0.2">
      <c r="A55" s="202" t="s">
        <v>703</v>
      </c>
      <c r="B55" s="202" t="s">
        <v>934</v>
      </c>
      <c r="C55" s="203">
        <v>0</v>
      </c>
      <c r="D55" s="203">
        <v>0</v>
      </c>
    </row>
    <row r="56" spans="1:4" ht="21.75" customHeight="1" x14ac:dyDescent="0.2">
      <c r="A56" s="202" t="s">
        <v>704</v>
      </c>
      <c r="B56" s="202" t="s">
        <v>935</v>
      </c>
      <c r="C56" s="203">
        <v>2.1921265995796899</v>
      </c>
      <c r="D56" s="203">
        <v>5.5512616725650332E-10</v>
      </c>
    </row>
    <row r="57" spans="1:4" ht="21.75" customHeight="1" x14ac:dyDescent="0.2">
      <c r="A57" s="202" t="s">
        <v>705</v>
      </c>
      <c r="B57" s="202" t="s">
        <v>936</v>
      </c>
      <c r="C57" s="203">
        <v>0</v>
      </c>
      <c r="D57" s="203">
        <v>0</v>
      </c>
    </row>
    <row r="58" spans="1:4" ht="21.75" customHeight="1" x14ac:dyDescent="0.2">
      <c r="A58" s="202" t="s">
        <v>706</v>
      </c>
      <c r="B58" s="202" t="s">
        <v>937</v>
      </c>
      <c r="C58" s="203">
        <v>0</v>
      </c>
      <c r="D58" s="203">
        <v>0</v>
      </c>
    </row>
    <row r="59" spans="1:4" ht="21.75" customHeight="1" x14ac:dyDescent="0.2">
      <c r="A59" s="202" t="s">
        <v>707</v>
      </c>
      <c r="B59" s="202" t="s">
        <v>938</v>
      </c>
      <c r="C59" s="203">
        <v>5.6027661628042388E-2</v>
      </c>
      <c r="D59" s="203">
        <v>-0.34046734565273878</v>
      </c>
    </row>
    <row r="60" spans="1:4" ht="21.75" customHeight="1" x14ac:dyDescent="0.2">
      <c r="A60" s="202" t="s">
        <v>708</v>
      </c>
      <c r="B60" s="202" t="s">
        <v>939</v>
      </c>
      <c r="C60" s="203">
        <v>2.1926102321571896</v>
      </c>
      <c r="D60" s="203">
        <v>1.6382934875355253</v>
      </c>
    </row>
    <row r="61" spans="1:4" ht="21.75" customHeight="1" x14ac:dyDescent="0.2">
      <c r="A61" s="202" t="s">
        <v>709</v>
      </c>
      <c r="B61" s="202" t="s">
        <v>939</v>
      </c>
      <c r="C61" s="203">
        <v>2.4938472624969501</v>
      </c>
      <c r="D61" s="203">
        <v>1.4250849390653193</v>
      </c>
    </row>
    <row r="62" spans="1:4" ht="21.75" customHeight="1" x14ac:dyDescent="0.2">
      <c r="A62" s="202" t="s">
        <v>710</v>
      </c>
      <c r="B62" s="202" t="s">
        <v>940</v>
      </c>
      <c r="C62" s="203">
        <v>2.4201113747233101</v>
      </c>
      <c r="D62" s="203">
        <v>3.4074918376720249</v>
      </c>
    </row>
    <row r="63" spans="1:4" ht="21.75" customHeight="1" x14ac:dyDescent="0.2">
      <c r="A63" s="202" t="s">
        <v>711</v>
      </c>
      <c r="B63" s="202" t="s">
        <v>940</v>
      </c>
      <c r="C63" s="203">
        <v>2.8150933681480197</v>
      </c>
      <c r="D63" s="203">
        <v>3.7357245318846388</v>
      </c>
    </row>
    <row r="64" spans="1:4" ht="21.75" customHeight="1" x14ac:dyDescent="0.2">
      <c r="A64" s="202" t="s">
        <v>712</v>
      </c>
      <c r="B64" s="202" t="s">
        <v>941</v>
      </c>
      <c r="C64" s="203">
        <v>0.10884213215784821</v>
      </c>
      <c r="D64" s="203">
        <v>-0.10859093700810707</v>
      </c>
    </row>
    <row r="65" spans="1:4" ht="21.75" customHeight="1" x14ac:dyDescent="0.2">
      <c r="A65" s="202" t="s">
        <v>713</v>
      </c>
      <c r="B65" s="202" t="s">
        <v>941</v>
      </c>
      <c r="C65" s="203">
        <v>3.7762584899351799</v>
      </c>
      <c r="D65" s="203">
        <v>-0.10544490189612743</v>
      </c>
    </row>
    <row r="66" spans="1:4" ht="21.75" customHeight="1" x14ac:dyDescent="0.2">
      <c r="A66" s="202" t="s">
        <v>714</v>
      </c>
      <c r="B66" s="202" t="s">
        <v>941</v>
      </c>
      <c r="C66" s="203">
        <v>0</v>
      </c>
      <c r="D66" s="203">
        <v>0</v>
      </c>
    </row>
    <row r="67" spans="1:4" ht="21.75" customHeight="1" x14ac:dyDescent="0.2">
      <c r="A67" s="202" t="s">
        <v>715</v>
      </c>
      <c r="B67" s="202" t="s">
        <v>942</v>
      </c>
      <c r="C67" s="203">
        <v>1.744444469395434</v>
      </c>
      <c r="D67" s="203">
        <v>2.7177880682903588</v>
      </c>
    </row>
    <row r="68" spans="1:4" ht="21.75" customHeight="1" x14ac:dyDescent="0.2">
      <c r="A68" s="202" t="s">
        <v>716</v>
      </c>
      <c r="B68" s="202" t="s">
        <v>942</v>
      </c>
      <c r="C68" s="203">
        <v>2.0629193051225982</v>
      </c>
      <c r="D68" s="203">
        <v>3.4400276689548468</v>
      </c>
    </row>
    <row r="69" spans="1:4" ht="21.75" customHeight="1" x14ac:dyDescent="0.2">
      <c r="A69" s="202" t="s">
        <v>717</v>
      </c>
      <c r="B69" s="202" t="s">
        <v>943</v>
      </c>
      <c r="C69" s="203">
        <v>2.2824494910859396</v>
      </c>
      <c r="D69" s="203">
        <v>5.5947154217417907</v>
      </c>
    </row>
    <row r="70" spans="1:4" ht="21.75" customHeight="1" x14ac:dyDescent="0.2">
      <c r="A70" s="202" t="s">
        <v>718</v>
      </c>
      <c r="B70" s="202" t="s">
        <v>943</v>
      </c>
      <c r="C70" s="203">
        <v>2.2346210117738696</v>
      </c>
      <c r="D70" s="203">
        <v>5.3047746717134174</v>
      </c>
    </row>
    <row r="71" spans="1:4" ht="21.75" customHeight="1" x14ac:dyDescent="0.2">
      <c r="A71" s="202" t="s">
        <v>719</v>
      </c>
      <c r="B71" s="202" t="s">
        <v>944</v>
      </c>
      <c r="C71" s="203">
        <v>0</v>
      </c>
      <c r="D71" s="203">
        <v>0</v>
      </c>
    </row>
    <row r="72" spans="1:4" ht="21.75" customHeight="1" x14ac:dyDescent="0.2">
      <c r="A72" s="202" t="s">
        <v>720</v>
      </c>
      <c r="B72" s="202" t="s">
        <v>945</v>
      </c>
      <c r="C72" s="203">
        <v>2.8246675538353001</v>
      </c>
      <c r="D72" s="203">
        <v>6.2291403932735134</v>
      </c>
    </row>
    <row r="73" spans="1:4" ht="21.75" customHeight="1" x14ac:dyDescent="0.2">
      <c r="A73" s="202" t="s">
        <v>721</v>
      </c>
      <c r="B73" s="202" t="s">
        <v>945</v>
      </c>
      <c r="C73" s="203">
        <v>2.84100026060606</v>
      </c>
      <c r="D73" s="203">
        <v>5.666326923947878</v>
      </c>
    </row>
    <row r="74" spans="1:4" ht="21.75" customHeight="1" x14ac:dyDescent="0.2">
      <c r="A74" s="202" t="s">
        <v>722</v>
      </c>
      <c r="B74" s="202" t="s">
        <v>946</v>
      </c>
      <c r="C74" s="203">
        <v>0</v>
      </c>
      <c r="D74" s="203">
        <v>0</v>
      </c>
    </row>
    <row r="75" spans="1:4" ht="21.75" customHeight="1" x14ac:dyDescent="0.2">
      <c r="A75" s="202" t="s">
        <v>723</v>
      </c>
      <c r="B75" s="202" t="s">
        <v>947</v>
      </c>
      <c r="C75" s="203">
        <v>1.984594290354138</v>
      </c>
      <c r="D75" s="203">
        <v>1.7856672225569579</v>
      </c>
    </row>
    <row r="76" spans="1:4" ht="21.75" customHeight="1" x14ac:dyDescent="0.2">
      <c r="A76" s="202" t="s">
        <v>724</v>
      </c>
      <c r="B76" s="202" t="s">
        <v>948</v>
      </c>
      <c r="C76" s="203">
        <v>1.985077178934638</v>
      </c>
      <c r="D76" s="203">
        <v>1.6632343163464911</v>
      </c>
    </row>
    <row r="77" spans="1:4" ht="21.75" customHeight="1" x14ac:dyDescent="0.2">
      <c r="A77" s="202" t="s">
        <v>725</v>
      </c>
      <c r="B77" s="202" t="s">
        <v>949</v>
      </c>
      <c r="C77" s="203">
        <v>3.1593072501814499</v>
      </c>
      <c r="D77" s="203">
        <v>1.7689033737470359</v>
      </c>
    </row>
    <row r="78" spans="1:4" ht="21.75" customHeight="1" x14ac:dyDescent="0.2">
      <c r="A78" s="202" t="s">
        <v>726</v>
      </c>
      <c r="B78" s="202" t="s">
        <v>949</v>
      </c>
      <c r="C78" s="203">
        <v>4.4279832306868805</v>
      </c>
      <c r="D78" s="203">
        <v>1.0466030724359552</v>
      </c>
    </row>
    <row r="79" spans="1:4" ht="21.75" customHeight="1" x14ac:dyDescent="0.2">
      <c r="A79" s="202" t="s">
        <v>727</v>
      </c>
      <c r="B79" s="202" t="s">
        <v>949</v>
      </c>
      <c r="C79" s="203">
        <v>4.4149488136629902</v>
      </c>
      <c r="D79" s="203">
        <v>0.79733633357628175</v>
      </c>
    </row>
    <row r="80" spans="1:4" ht="21.75" customHeight="1" x14ac:dyDescent="0.2">
      <c r="A80" s="202" t="s">
        <v>728</v>
      </c>
      <c r="B80" s="202" t="s">
        <v>950</v>
      </c>
      <c r="C80" s="203">
        <v>0</v>
      </c>
      <c r="D80" s="203">
        <v>0</v>
      </c>
    </row>
    <row r="81" spans="1:4" ht="21.75" customHeight="1" x14ac:dyDescent="0.2">
      <c r="A81" s="202" t="s">
        <v>729</v>
      </c>
      <c r="B81" s="202" t="s">
        <v>951</v>
      </c>
      <c r="C81" s="203">
        <v>2.5316697101426198</v>
      </c>
      <c r="D81" s="203">
        <v>3.4218884771481037</v>
      </c>
    </row>
    <row r="82" spans="1:4" ht="21.75" customHeight="1" x14ac:dyDescent="0.2">
      <c r="A82" s="202" t="s">
        <v>730</v>
      </c>
      <c r="B82" s="202" t="s">
        <v>952</v>
      </c>
      <c r="C82" s="203">
        <v>1.70149329306574</v>
      </c>
      <c r="D82" s="203">
        <v>0.47547522474833515</v>
      </c>
    </row>
    <row r="83" spans="1:4" ht="21.75" customHeight="1" x14ac:dyDescent="0.2">
      <c r="A83" s="202" t="s">
        <v>731</v>
      </c>
      <c r="B83" s="202" t="s">
        <v>952</v>
      </c>
      <c r="C83" s="203">
        <v>1.2491896540402101</v>
      </c>
      <c r="D83" s="203">
        <v>0.47530304255507994</v>
      </c>
    </row>
    <row r="84" spans="1:4" ht="21.75" customHeight="1" x14ac:dyDescent="0.2">
      <c r="A84" s="202" t="s">
        <v>732</v>
      </c>
      <c r="B84" s="202" t="s">
        <v>952</v>
      </c>
      <c r="C84" s="203">
        <v>1.67354487664318</v>
      </c>
      <c r="D84" s="203">
        <v>0.68398907826487498</v>
      </c>
    </row>
    <row r="85" spans="1:4" ht="21.75" customHeight="1" x14ac:dyDescent="0.2">
      <c r="A85" s="202" t="s">
        <v>733</v>
      </c>
      <c r="B85" s="202" t="s">
        <v>953</v>
      </c>
      <c r="C85" s="203">
        <v>2.6462498213138659</v>
      </c>
      <c r="D85" s="203">
        <v>3.4332243624028314</v>
      </c>
    </row>
    <row r="86" spans="1:4" ht="21.75" customHeight="1" x14ac:dyDescent="0.2">
      <c r="A86" s="202" t="s">
        <v>734</v>
      </c>
      <c r="B86" s="202" t="s">
        <v>954</v>
      </c>
      <c r="C86" s="203">
        <v>2.7719644613871903</v>
      </c>
      <c r="D86" s="203">
        <v>3.2288500402424223</v>
      </c>
    </row>
    <row r="87" spans="1:4" ht="21.75" customHeight="1" x14ac:dyDescent="0.2">
      <c r="A87" s="202" t="s">
        <v>735</v>
      </c>
      <c r="B87" s="202" t="s">
        <v>954</v>
      </c>
      <c r="C87" s="203">
        <v>2.7579277206302697</v>
      </c>
      <c r="D87" s="203">
        <v>3.2029386562969746</v>
      </c>
    </row>
    <row r="88" spans="1:4" ht="21.75" customHeight="1" x14ac:dyDescent="0.2">
      <c r="A88" s="202" t="s">
        <v>736</v>
      </c>
      <c r="B88" s="202" t="s">
        <v>955</v>
      </c>
      <c r="C88" s="203">
        <v>2.5460031967927561</v>
      </c>
      <c r="D88" s="203">
        <v>0.21344512767263257</v>
      </c>
    </row>
    <row r="89" spans="1:4" ht="21.75" customHeight="1" x14ac:dyDescent="0.2">
      <c r="A89" s="202" t="s">
        <v>737</v>
      </c>
      <c r="B89" s="202" t="s">
        <v>955</v>
      </c>
      <c r="C89" s="203">
        <v>3.0004620268420297</v>
      </c>
      <c r="D89" s="203">
        <v>0.33444790059688323</v>
      </c>
    </row>
    <row r="90" spans="1:4" ht="21.75" customHeight="1" x14ac:dyDescent="0.2">
      <c r="A90" s="202" t="s">
        <v>738</v>
      </c>
      <c r="B90" s="202" t="s">
        <v>955</v>
      </c>
      <c r="C90" s="203">
        <v>3.6108030567923799</v>
      </c>
      <c r="D90" s="203">
        <v>0.25103237648966426</v>
      </c>
    </row>
    <row r="91" spans="1:4" ht="21.75" customHeight="1" x14ac:dyDescent="0.2">
      <c r="A91" s="202" t="s">
        <v>739</v>
      </c>
      <c r="B91" s="202" t="s">
        <v>956</v>
      </c>
      <c r="C91" s="203">
        <v>2.85002866812086</v>
      </c>
      <c r="D91" s="203">
        <v>4.2607971166542908</v>
      </c>
    </row>
    <row r="92" spans="1:4" ht="21.75" customHeight="1" x14ac:dyDescent="0.2">
      <c r="A92" s="202" t="s">
        <v>740</v>
      </c>
      <c r="B92" s="202" t="s">
        <v>956</v>
      </c>
      <c r="C92" s="203">
        <v>3.0162080512846101</v>
      </c>
      <c r="D92" s="203">
        <v>2.2226410890779134</v>
      </c>
    </row>
    <row r="93" spans="1:4" ht="21.75" customHeight="1" x14ac:dyDescent="0.2">
      <c r="A93" s="202" t="s">
        <v>741</v>
      </c>
      <c r="B93" s="202" t="s">
        <v>956</v>
      </c>
      <c r="C93" s="203">
        <v>2.028437567863357</v>
      </c>
      <c r="D93" s="203">
        <v>1.7862221868521111</v>
      </c>
    </row>
    <row r="94" spans="1:4" ht="21.75" customHeight="1" x14ac:dyDescent="0.2">
      <c r="A94" s="202" t="s">
        <v>742</v>
      </c>
      <c r="B94" s="202" t="s">
        <v>957</v>
      </c>
      <c r="C94" s="203">
        <v>3.7020011170585603</v>
      </c>
      <c r="D94" s="203">
        <v>0.98643104032969653</v>
      </c>
    </row>
    <row r="95" spans="1:4" ht="21.75" customHeight="1" x14ac:dyDescent="0.2">
      <c r="A95" s="202" t="s">
        <v>743</v>
      </c>
      <c r="B95" s="202" t="s">
        <v>957</v>
      </c>
      <c r="C95" s="203">
        <v>4.9498617180109203</v>
      </c>
      <c r="D95" s="203">
        <v>0.73657322931815017</v>
      </c>
    </row>
    <row r="96" spans="1:4" ht="21.75" customHeight="1" x14ac:dyDescent="0.2">
      <c r="A96" s="202" t="s">
        <v>744</v>
      </c>
      <c r="B96" s="202" t="s">
        <v>958</v>
      </c>
      <c r="C96" s="203">
        <v>0.89361662948493104</v>
      </c>
      <c r="D96" s="203">
        <v>22.24299693443653</v>
      </c>
    </row>
    <row r="97" spans="1:4" ht="21.75" customHeight="1" x14ac:dyDescent="0.2">
      <c r="A97" s="202" t="s">
        <v>745</v>
      </c>
      <c r="B97" s="202" t="s">
        <v>958</v>
      </c>
      <c r="C97" s="203">
        <v>0.42303856953357</v>
      </c>
      <c r="D97" s="203">
        <v>17.195676936005835</v>
      </c>
    </row>
    <row r="98" spans="1:4" ht="21.75" customHeight="1" x14ac:dyDescent="0.2">
      <c r="A98" s="202" t="s">
        <v>746</v>
      </c>
      <c r="B98" s="202" t="s">
        <v>959</v>
      </c>
      <c r="C98" s="203">
        <v>2.4891620833384271</v>
      </c>
      <c r="D98" s="203">
        <v>3.2751094038313395</v>
      </c>
    </row>
    <row r="99" spans="1:4" ht="21.75" customHeight="1" x14ac:dyDescent="0.2">
      <c r="A99" s="202" t="s">
        <v>747</v>
      </c>
      <c r="B99" s="202" t="s">
        <v>960</v>
      </c>
      <c r="C99" s="203">
        <v>3.4116779492103104</v>
      </c>
      <c r="D99" s="203">
        <v>0.59942293129595914</v>
      </c>
    </row>
    <row r="100" spans="1:4" ht="21.75" customHeight="1" x14ac:dyDescent="0.2">
      <c r="A100" s="202" t="s">
        <v>748</v>
      </c>
      <c r="B100" s="202" t="s">
        <v>960</v>
      </c>
      <c r="C100" s="203">
        <v>3.7599051307627098</v>
      </c>
      <c r="D100" s="203">
        <v>0.56261611308395487</v>
      </c>
    </row>
    <row r="101" spans="1:4" ht="21.75" customHeight="1" x14ac:dyDescent="0.2">
      <c r="A101" s="202" t="s">
        <v>749</v>
      </c>
      <c r="B101" s="202" t="s">
        <v>961</v>
      </c>
      <c r="C101" s="203">
        <v>2.0589592613586296</v>
      </c>
      <c r="D101" s="203">
        <v>3.4937253534099293</v>
      </c>
    </row>
    <row r="102" spans="1:4" ht="21.75" customHeight="1" x14ac:dyDescent="0.2">
      <c r="A102" s="202" t="s">
        <v>750</v>
      </c>
      <c r="B102" s="202" t="s">
        <v>961</v>
      </c>
      <c r="C102" s="203">
        <v>2.3320593575562598</v>
      </c>
      <c r="D102" s="203">
        <v>3.6231064254327907</v>
      </c>
    </row>
    <row r="103" spans="1:4" ht="21.75" customHeight="1" x14ac:dyDescent="0.2">
      <c r="A103" s="202" t="s">
        <v>751</v>
      </c>
      <c r="B103" s="202" t="s">
        <v>962</v>
      </c>
      <c r="C103" s="203">
        <v>3.74994763687855</v>
      </c>
      <c r="D103" s="203">
        <v>2.3872912552888637</v>
      </c>
    </row>
    <row r="104" spans="1:4" ht="21.75" customHeight="1" x14ac:dyDescent="0.2">
      <c r="A104" s="202" t="s">
        <v>752</v>
      </c>
      <c r="B104" s="202" t="s">
        <v>962</v>
      </c>
      <c r="C104" s="203">
        <v>4.5749686127415394</v>
      </c>
      <c r="D104" s="203">
        <v>1.9828498438910822</v>
      </c>
    </row>
    <row r="105" spans="1:4" ht="21.75" customHeight="1" x14ac:dyDescent="0.2">
      <c r="A105" s="202" t="s">
        <v>753</v>
      </c>
      <c r="B105" s="202" t="s">
        <v>963</v>
      </c>
      <c r="C105" s="203">
        <v>2.57192482249864</v>
      </c>
      <c r="D105" s="203">
        <v>6.7401486314325849</v>
      </c>
    </row>
    <row r="106" spans="1:4" ht="21.75" customHeight="1" x14ac:dyDescent="0.2">
      <c r="A106" s="202" t="s">
        <v>754</v>
      </c>
      <c r="B106" s="202" t="s">
        <v>963</v>
      </c>
      <c r="C106" s="203">
        <v>2.9394459790719099</v>
      </c>
      <c r="D106" s="203">
        <v>6.8031224637801992</v>
      </c>
    </row>
    <row r="107" spans="1:4" ht="21.75" customHeight="1" x14ac:dyDescent="0.2">
      <c r="A107" s="202" t="s">
        <v>755</v>
      </c>
      <c r="B107" s="202" t="s">
        <v>964</v>
      </c>
      <c r="C107" s="203">
        <v>2.42639860941788</v>
      </c>
      <c r="D107" s="203">
        <v>5.3587254706115566</v>
      </c>
    </row>
    <row r="108" spans="1:4" ht="21.75" customHeight="1" x14ac:dyDescent="0.2">
      <c r="A108" s="202" t="s">
        <v>756</v>
      </c>
      <c r="B108" s="202" t="s">
        <v>964</v>
      </c>
      <c r="C108" s="203">
        <v>1.3702374084802931</v>
      </c>
      <c r="D108" s="203">
        <v>4.8306390163270354</v>
      </c>
    </row>
    <row r="109" spans="1:4" ht="21.75" customHeight="1" x14ac:dyDescent="0.2">
      <c r="A109" s="202" t="s">
        <v>757</v>
      </c>
      <c r="B109" s="202" t="s">
        <v>965</v>
      </c>
      <c r="C109" s="203">
        <v>1.9845186634649541</v>
      </c>
      <c r="D109" s="203">
        <v>1.6866458905104116</v>
      </c>
    </row>
    <row r="110" spans="1:4" ht="21.75" customHeight="1" x14ac:dyDescent="0.2">
      <c r="A110" s="202" t="s">
        <v>758</v>
      </c>
      <c r="B110" s="202" t="s">
        <v>966</v>
      </c>
      <c r="C110" s="203">
        <v>1.9840242208834289</v>
      </c>
      <c r="D110" s="203">
        <v>1.8842812677086089</v>
      </c>
    </row>
    <row r="111" spans="1:4" ht="21.75" customHeight="1" x14ac:dyDescent="0.2">
      <c r="A111" s="202" t="s">
        <v>759</v>
      </c>
      <c r="B111" s="202" t="s">
        <v>967</v>
      </c>
      <c r="C111" s="203">
        <v>1.984012791324349</v>
      </c>
      <c r="D111" s="203">
        <v>1.8968795058508179</v>
      </c>
    </row>
    <row r="112" spans="1:4" ht="21.75" customHeight="1" x14ac:dyDescent="0.2">
      <c r="A112" s="202" t="s">
        <v>760</v>
      </c>
      <c r="B112" s="202" t="s">
        <v>968</v>
      </c>
      <c r="C112" s="203">
        <v>1.984596137473166</v>
      </c>
      <c r="D112" s="203">
        <v>1.6748206755708486</v>
      </c>
    </row>
    <row r="113" spans="1:4" ht="21.75" customHeight="1" x14ac:dyDescent="0.2">
      <c r="A113" s="202" t="s">
        <v>761</v>
      </c>
      <c r="B113" s="202" t="s">
        <v>969</v>
      </c>
      <c r="C113" s="203">
        <v>0.91032109804395001</v>
      </c>
      <c r="D113" s="203">
        <v>0.51575384864159979</v>
      </c>
    </row>
    <row r="114" spans="1:4" ht="21.75" customHeight="1" x14ac:dyDescent="0.2">
      <c r="A114" s="202" t="s">
        <v>762</v>
      </c>
      <c r="B114" s="202" t="s">
        <v>969</v>
      </c>
      <c r="C114" s="203">
        <v>0.22721468617936699</v>
      </c>
      <c r="D114" s="203">
        <v>2.092353471775998</v>
      </c>
    </row>
    <row r="115" spans="1:4" ht="21.75" customHeight="1" x14ac:dyDescent="0.2">
      <c r="A115" s="202" t="s">
        <v>763</v>
      </c>
      <c r="B115" s="202" t="s">
        <v>969</v>
      </c>
      <c r="C115" s="203">
        <v>0.41943982866486901</v>
      </c>
      <c r="D115" s="203">
        <v>2.5342496968514854</v>
      </c>
    </row>
    <row r="116" spans="1:4" ht="21.75" customHeight="1" x14ac:dyDescent="0.2">
      <c r="A116" s="202" t="s">
        <v>764</v>
      </c>
      <c r="B116" s="202" t="s">
        <v>969</v>
      </c>
      <c r="C116" s="203">
        <v>0</v>
      </c>
      <c r="D116" s="203">
        <v>0</v>
      </c>
    </row>
    <row r="117" spans="1:4" ht="21.75" customHeight="1" x14ac:dyDescent="0.2">
      <c r="A117" s="202" t="s">
        <v>765</v>
      </c>
      <c r="B117" s="202" t="s">
        <v>970</v>
      </c>
      <c r="C117" s="203">
        <v>0.43232374505193999</v>
      </c>
      <c r="D117" s="203">
        <v>1.9309216995512393</v>
      </c>
    </row>
    <row r="118" spans="1:4" ht="21.75" customHeight="1" x14ac:dyDescent="0.2">
      <c r="A118" s="202" t="s">
        <v>766</v>
      </c>
      <c r="B118" s="202" t="s">
        <v>971</v>
      </c>
      <c r="C118" s="203">
        <v>1.9913273142367958</v>
      </c>
      <c r="D118" s="203">
        <v>5.2695405923350194</v>
      </c>
    </row>
    <row r="119" spans="1:4" ht="21.75" customHeight="1" x14ac:dyDescent="0.2">
      <c r="A119" s="202" t="s">
        <v>767</v>
      </c>
      <c r="B119" s="202" t="s">
        <v>972</v>
      </c>
      <c r="C119" s="203">
        <v>0</v>
      </c>
      <c r="D119" s="203">
        <v>0</v>
      </c>
    </row>
    <row r="120" spans="1:4" ht="21.75" customHeight="1" x14ac:dyDescent="0.2">
      <c r="A120" s="202" t="s">
        <v>768</v>
      </c>
      <c r="B120" s="202" t="s">
        <v>973</v>
      </c>
      <c r="C120" s="203">
        <v>0</v>
      </c>
      <c r="D120" s="203">
        <v>0</v>
      </c>
    </row>
    <row r="121" spans="1:4" ht="21.75" customHeight="1" x14ac:dyDescent="0.2">
      <c r="A121" s="202" t="s">
        <v>769</v>
      </c>
      <c r="B121" s="202" t="s">
        <v>974</v>
      </c>
      <c r="C121" s="203">
        <v>4.8928542140095406</v>
      </c>
      <c r="D121" s="203">
        <v>2.4814855762761461</v>
      </c>
    </row>
    <row r="122" spans="1:4" ht="21.75" customHeight="1" x14ac:dyDescent="0.2">
      <c r="A122" s="202" t="s">
        <v>770</v>
      </c>
      <c r="B122" s="202" t="s">
        <v>975</v>
      </c>
      <c r="C122" s="203">
        <v>1.798841889525074</v>
      </c>
      <c r="D122" s="203">
        <v>3.367941336562565</v>
      </c>
    </row>
    <row r="123" spans="1:4" ht="21.75" customHeight="1" x14ac:dyDescent="0.2">
      <c r="A123" s="202" t="s">
        <v>771</v>
      </c>
      <c r="B123" s="202" t="s">
        <v>975</v>
      </c>
      <c r="C123" s="203">
        <v>2.5307911228880897</v>
      </c>
      <c r="D123" s="203">
        <v>2.9593748346028255</v>
      </c>
    </row>
    <row r="124" spans="1:4" ht="21.75" customHeight="1" x14ac:dyDescent="0.2">
      <c r="A124" s="202" t="s">
        <v>772</v>
      </c>
      <c r="B124" s="202" t="s">
        <v>976</v>
      </c>
      <c r="C124" s="203">
        <v>0</v>
      </c>
      <c r="D124" s="203">
        <v>0</v>
      </c>
    </row>
    <row r="125" spans="1:4" ht="21.75" customHeight="1" x14ac:dyDescent="0.2">
      <c r="A125" s="202" t="s">
        <v>773</v>
      </c>
      <c r="B125" s="202" t="s">
        <v>977</v>
      </c>
      <c r="C125" s="203">
        <v>2.9146824045286701</v>
      </c>
      <c r="D125" s="203">
        <v>8.0981885774420519</v>
      </c>
    </row>
    <row r="126" spans="1:4" ht="21.75" customHeight="1" x14ac:dyDescent="0.2">
      <c r="A126" s="202" t="s">
        <v>774</v>
      </c>
      <c r="B126" s="202" t="s">
        <v>977</v>
      </c>
      <c r="C126" s="203">
        <v>2.7202756484645798</v>
      </c>
      <c r="D126" s="203">
        <v>6.6829892503797241</v>
      </c>
    </row>
    <row r="127" spans="1:4" ht="21.75" customHeight="1" x14ac:dyDescent="0.2">
      <c r="A127" s="202" t="s">
        <v>775</v>
      </c>
      <c r="B127" s="202" t="s">
        <v>978</v>
      </c>
      <c r="C127" s="203">
        <v>1.9862522019573801</v>
      </c>
      <c r="D127" s="203">
        <v>1.8107619183092045</v>
      </c>
    </row>
    <row r="128" spans="1:4" ht="21.75" customHeight="1" x14ac:dyDescent="0.2">
      <c r="A128" s="202" t="s">
        <v>776</v>
      </c>
      <c r="B128" s="202" t="s">
        <v>979</v>
      </c>
      <c r="C128" s="203">
        <v>4.4615352634506795</v>
      </c>
      <c r="D128" s="203">
        <v>20.039879003588496</v>
      </c>
    </row>
    <row r="129" spans="1:4" ht="21.75" customHeight="1" x14ac:dyDescent="0.2">
      <c r="A129" s="202" t="s">
        <v>777</v>
      </c>
      <c r="B129" s="202" t="s">
        <v>979</v>
      </c>
      <c r="C129" s="203">
        <v>5.1102263522621403</v>
      </c>
      <c r="D129" s="203">
        <v>21.794151139436451</v>
      </c>
    </row>
    <row r="130" spans="1:4" ht="21.75" customHeight="1" x14ac:dyDescent="0.2">
      <c r="A130" s="202" t="s">
        <v>778</v>
      </c>
      <c r="B130" s="202" t="s">
        <v>980</v>
      </c>
      <c r="C130" s="203">
        <v>1.181509521711424</v>
      </c>
      <c r="D130" s="203">
        <v>6.2557612033258572</v>
      </c>
    </row>
    <row r="131" spans="1:4" ht="21.75" customHeight="1" x14ac:dyDescent="0.2">
      <c r="A131" s="202" t="s">
        <v>779</v>
      </c>
      <c r="B131" s="202" t="s">
        <v>980</v>
      </c>
      <c r="C131" s="203">
        <v>8.5947769178659206E-2</v>
      </c>
      <c r="D131" s="203">
        <v>2.2860469927188278</v>
      </c>
    </row>
    <row r="132" spans="1:4" ht="21.75" customHeight="1" x14ac:dyDescent="0.2">
      <c r="A132" s="202" t="s">
        <v>780</v>
      </c>
      <c r="B132" s="202" t="s">
        <v>981</v>
      </c>
      <c r="C132" s="203">
        <v>0</v>
      </c>
      <c r="D132" s="203">
        <v>0</v>
      </c>
    </row>
    <row r="133" spans="1:4" ht="21.75" customHeight="1" x14ac:dyDescent="0.2">
      <c r="A133" s="202" t="s">
        <v>781</v>
      </c>
      <c r="B133" s="202" t="s">
        <v>981</v>
      </c>
      <c r="C133" s="203">
        <v>0</v>
      </c>
      <c r="D133" s="203">
        <v>0</v>
      </c>
    </row>
    <row r="134" spans="1:4" ht="21.75" customHeight="1" x14ac:dyDescent="0.2">
      <c r="A134" s="202" t="s">
        <v>782</v>
      </c>
      <c r="B134" s="202" t="s">
        <v>982</v>
      </c>
      <c r="C134" s="203">
        <v>0</v>
      </c>
      <c r="D134" s="203">
        <v>0</v>
      </c>
    </row>
    <row r="135" spans="1:4" ht="21.75" customHeight="1" x14ac:dyDescent="0.2">
      <c r="A135" s="202" t="s">
        <v>783</v>
      </c>
      <c r="B135" s="202" t="s">
        <v>983</v>
      </c>
      <c r="C135" s="203">
        <v>2.6404453695490302</v>
      </c>
      <c r="D135" s="203">
        <v>5.2691743858388298</v>
      </c>
    </row>
    <row r="136" spans="1:4" ht="21.75" customHeight="1" x14ac:dyDescent="0.2">
      <c r="A136" s="202" t="s">
        <v>784</v>
      </c>
      <c r="B136" s="202" t="s">
        <v>983</v>
      </c>
      <c r="C136" s="203">
        <v>3.4025353269769401</v>
      </c>
      <c r="D136" s="203">
        <v>7.9987333175996493</v>
      </c>
    </row>
    <row r="137" spans="1:4" ht="21.75" customHeight="1" x14ac:dyDescent="0.2">
      <c r="A137" s="202" t="s">
        <v>785</v>
      </c>
      <c r="B137" s="202" t="s">
        <v>983</v>
      </c>
      <c r="C137" s="203">
        <v>4.7699817957221002</v>
      </c>
      <c r="D137" s="203">
        <v>8.0641712103762302</v>
      </c>
    </row>
    <row r="138" spans="1:4" ht="21.75" customHeight="1" x14ac:dyDescent="0.2">
      <c r="A138" s="202" t="s">
        <v>786</v>
      </c>
      <c r="B138" s="202" t="s">
        <v>983</v>
      </c>
      <c r="C138" s="203">
        <v>5.4238696204140799</v>
      </c>
      <c r="D138" s="203">
        <v>5.2011113468964902</v>
      </c>
    </row>
    <row r="139" spans="1:4" ht="21.75" customHeight="1" x14ac:dyDescent="0.2">
      <c r="A139" s="202" t="s">
        <v>787</v>
      </c>
      <c r="B139" s="202" t="s">
        <v>984</v>
      </c>
      <c r="C139" s="203">
        <v>3.7537974862164201</v>
      </c>
      <c r="D139" s="203">
        <v>19.471395576897656</v>
      </c>
    </row>
    <row r="140" spans="1:4" ht="21.75" customHeight="1" x14ac:dyDescent="0.2">
      <c r="A140" s="202" t="s">
        <v>788</v>
      </c>
      <c r="B140" s="202" t="s">
        <v>984</v>
      </c>
      <c r="C140" s="203">
        <v>1.7713802751292449</v>
      </c>
      <c r="D140" s="203">
        <v>16.225172240776768</v>
      </c>
    </row>
    <row r="141" spans="1:4" ht="21.75" customHeight="1" x14ac:dyDescent="0.2">
      <c r="A141" s="202" t="s">
        <v>789</v>
      </c>
      <c r="B141" s="202" t="s">
        <v>985</v>
      </c>
      <c r="C141" s="203">
        <v>3.4456801397338097</v>
      </c>
      <c r="D141" s="203">
        <v>5.5877967973258826</v>
      </c>
    </row>
    <row r="142" spans="1:4" ht="21.75" customHeight="1" x14ac:dyDescent="0.2">
      <c r="A142" s="202" t="s">
        <v>790</v>
      </c>
      <c r="B142" s="202" t="s">
        <v>985</v>
      </c>
      <c r="C142" s="203">
        <v>1.1233825071491079</v>
      </c>
      <c r="D142" s="203">
        <v>7.4211865708239628</v>
      </c>
    </row>
    <row r="143" spans="1:4" ht="21.75" customHeight="1" x14ac:dyDescent="0.2">
      <c r="A143" s="202" t="s">
        <v>791</v>
      </c>
      <c r="B143" s="202" t="s">
        <v>986</v>
      </c>
      <c r="C143" s="203">
        <v>2.61935033905318</v>
      </c>
      <c r="D143" s="203">
        <v>7.5670981483697792</v>
      </c>
    </row>
    <row r="144" spans="1:4" ht="21.75" customHeight="1" x14ac:dyDescent="0.2">
      <c r="A144" s="202" t="s">
        <v>792</v>
      </c>
      <c r="B144" s="202" t="s">
        <v>987</v>
      </c>
      <c r="C144" s="203">
        <v>2.5091920248232498</v>
      </c>
      <c r="D144" s="203">
        <v>8.9782965493879807</v>
      </c>
    </row>
    <row r="145" spans="1:4" ht="21.75" customHeight="1" x14ac:dyDescent="0.2">
      <c r="A145" s="202" t="s">
        <v>793</v>
      </c>
      <c r="B145" s="202" t="s">
        <v>987</v>
      </c>
      <c r="C145" s="203">
        <v>0.72513887523053999</v>
      </c>
      <c r="D145" s="203">
        <v>11.085072889715509</v>
      </c>
    </row>
    <row r="146" spans="1:4" ht="21.75" customHeight="1" x14ac:dyDescent="0.2">
      <c r="A146" s="202" t="s">
        <v>794</v>
      </c>
      <c r="B146" s="202" t="s">
        <v>988</v>
      </c>
      <c r="C146" s="203">
        <v>2.771690823084715</v>
      </c>
      <c r="D146" s="203">
        <v>4.8282507987577628</v>
      </c>
    </row>
    <row r="147" spans="1:4" ht="21.75" customHeight="1" x14ac:dyDescent="0.2">
      <c r="A147" s="202" t="s">
        <v>795</v>
      </c>
      <c r="B147" s="202" t="s">
        <v>989</v>
      </c>
      <c r="C147" s="203">
        <v>0</v>
      </c>
      <c r="D147" s="203">
        <v>0</v>
      </c>
    </row>
    <row r="148" spans="1:4" ht="21.75" customHeight="1" x14ac:dyDescent="0.2">
      <c r="A148" s="202" t="s">
        <v>796</v>
      </c>
      <c r="B148" s="202" t="s">
        <v>990</v>
      </c>
      <c r="C148" s="203">
        <v>2.19356453651642</v>
      </c>
      <c r="D148" s="203">
        <v>8.3786598352900512</v>
      </c>
    </row>
    <row r="149" spans="1:4" ht="21.75" customHeight="1" x14ac:dyDescent="0.2">
      <c r="A149" s="202" t="s">
        <v>797</v>
      </c>
      <c r="B149" s="202" t="s">
        <v>990</v>
      </c>
      <c r="C149" s="203">
        <v>0.78965753851492804</v>
      </c>
      <c r="D149" s="203">
        <v>5.3311824958343941</v>
      </c>
    </row>
    <row r="150" spans="1:4" ht="21.75" customHeight="1" x14ac:dyDescent="0.2">
      <c r="A150" s="202" t="s">
        <v>798</v>
      </c>
      <c r="B150" s="202" t="s">
        <v>1054</v>
      </c>
      <c r="C150" s="203">
        <v>0</v>
      </c>
      <c r="D150" s="203">
        <v>0</v>
      </c>
    </row>
    <row r="151" spans="1:4" ht="21.75" customHeight="1" x14ac:dyDescent="0.2">
      <c r="A151" s="202" t="s">
        <v>799</v>
      </c>
      <c r="B151" s="202" t="s">
        <v>991</v>
      </c>
      <c r="C151" s="203">
        <v>1.9839447985451171</v>
      </c>
      <c r="D151" s="203">
        <v>1.9032226594312827</v>
      </c>
    </row>
    <row r="152" spans="1:4" ht="21.75" customHeight="1" x14ac:dyDescent="0.2">
      <c r="A152" s="202" t="s">
        <v>800</v>
      </c>
      <c r="B152" s="202" t="s">
        <v>992</v>
      </c>
      <c r="C152" s="203">
        <v>1.9839457877771829</v>
      </c>
      <c r="D152" s="203">
        <v>1.9037702706096589</v>
      </c>
    </row>
    <row r="153" spans="1:4" ht="21.75" customHeight="1" x14ac:dyDescent="0.2">
      <c r="A153" s="202" t="s">
        <v>801</v>
      </c>
      <c r="B153" s="202" t="s">
        <v>993</v>
      </c>
      <c r="C153" s="203">
        <v>-3.6327372025087301E-6</v>
      </c>
      <c r="D153" s="203">
        <v>4.534619046535756E-2</v>
      </c>
    </row>
    <row r="154" spans="1:4" ht="21.75" customHeight="1" x14ac:dyDescent="0.2">
      <c r="A154" s="202" t="s">
        <v>802</v>
      </c>
      <c r="B154" s="202" t="s">
        <v>994</v>
      </c>
      <c r="C154" s="203">
        <v>0</v>
      </c>
      <c r="D154" s="203">
        <v>0</v>
      </c>
    </row>
    <row r="155" spans="1:4" ht="21.75" customHeight="1" x14ac:dyDescent="0.2">
      <c r="A155" s="202" t="s">
        <v>803</v>
      </c>
      <c r="B155" s="202" t="s">
        <v>995</v>
      </c>
      <c r="C155" s="203">
        <v>2.6092458305563202</v>
      </c>
      <c r="D155" s="203">
        <v>1.9358296554334338</v>
      </c>
    </row>
    <row r="156" spans="1:4" ht="21.75" customHeight="1" x14ac:dyDescent="0.2">
      <c r="A156" s="202" t="s">
        <v>804</v>
      </c>
      <c r="B156" s="202" t="s">
        <v>995</v>
      </c>
      <c r="C156" s="203">
        <v>2.6101103252927498</v>
      </c>
      <c r="D156" s="203">
        <v>0.40978908827035365</v>
      </c>
    </row>
    <row r="157" spans="1:4" ht="21.75" customHeight="1" x14ac:dyDescent="0.2">
      <c r="A157" s="202" t="s">
        <v>805</v>
      </c>
      <c r="B157" s="202" t="s">
        <v>996</v>
      </c>
      <c r="C157" s="203">
        <v>0</v>
      </c>
      <c r="D157" s="203">
        <v>0</v>
      </c>
    </row>
    <row r="158" spans="1:4" ht="21.75" customHeight="1" x14ac:dyDescent="0.2">
      <c r="A158" s="202" t="s">
        <v>806</v>
      </c>
      <c r="B158" s="202" t="s">
        <v>997</v>
      </c>
      <c r="C158" s="203">
        <v>1.35183678662625</v>
      </c>
      <c r="D158" s="203">
        <v>6.6398300848154701</v>
      </c>
    </row>
    <row r="159" spans="1:4" ht="21.75" customHeight="1" x14ac:dyDescent="0.2">
      <c r="A159" s="202" t="s">
        <v>807</v>
      </c>
      <c r="B159" s="202" t="s">
        <v>997</v>
      </c>
      <c r="C159" s="203">
        <v>4.0992471280483</v>
      </c>
      <c r="D159" s="203">
        <v>20.020578015951326</v>
      </c>
    </row>
    <row r="160" spans="1:4" ht="21.75" customHeight="1" x14ac:dyDescent="0.2">
      <c r="A160" s="202" t="s">
        <v>808</v>
      </c>
      <c r="B160" s="202" t="s">
        <v>1053</v>
      </c>
      <c r="C160" s="203">
        <v>0</v>
      </c>
      <c r="D160" s="203">
        <v>0</v>
      </c>
    </row>
    <row r="161" spans="1:4" ht="21.75" customHeight="1" x14ac:dyDescent="0.2">
      <c r="A161" s="202" t="s">
        <v>809</v>
      </c>
      <c r="B161" s="202" t="s">
        <v>998</v>
      </c>
      <c r="C161" s="203">
        <v>1.9840710768022309</v>
      </c>
      <c r="D161" s="203">
        <v>1.8645258037464099</v>
      </c>
    </row>
    <row r="162" spans="1:4" ht="21.75" customHeight="1" x14ac:dyDescent="0.2">
      <c r="A162" s="202" t="s">
        <v>810</v>
      </c>
      <c r="B162" s="202" t="s">
        <v>999</v>
      </c>
      <c r="C162" s="203">
        <v>1.984120801443054</v>
      </c>
      <c r="D162" s="203">
        <v>1.8542530460057964</v>
      </c>
    </row>
    <row r="163" spans="1:4" ht="21.75" customHeight="1" x14ac:dyDescent="0.2">
      <c r="A163" s="202" t="s">
        <v>811</v>
      </c>
      <c r="B163" s="202" t="s">
        <v>1000</v>
      </c>
      <c r="C163" s="203">
        <v>2.2142274445921102E-2</v>
      </c>
      <c r="D163" s="203">
        <v>2.8694893553812917</v>
      </c>
    </row>
    <row r="164" spans="1:4" ht="21.75" customHeight="1" x14ac:dyDescent="0.2">
      <c r="A164" s="202" t="s">
        <v>812</v>
      </c>
      <c r="B164" s="202" t="s">
        <v>1000</v>
      </c>
      <c r="C164" s="203">
        <v>0.1305343101176325</v>
      </c>
      <c r="D164" s="203">
        <v>0.10579005377869838</v>
      </c>
    </row>
    <row r="165" spans="1:4" ht="21.75" customHeight="1" x14ac:dyDescent="0.2">
      <c r="A165" s="202" t="s">
        <v>813</v>
      </c>
      <c r="B165" s="202" t="s">
        <v>1001</v>
      </c>
      <c r="C165" s="203">
        <v>0</v>
      </c>
      <c r="D165" s="203">
        <v>0</v>
      </c>
    </row>
    <row r="166" spans="1:4" ht="21.75" customHeight="1" x14ac:dyDescent="0.2">
      <c r="A166" s="202" t="s">
        <v>814</v>
      </c>
      <c r="B166" s="202" t="s">
        <v>1002</v>
      </c>
      <c r="C166" s="203">
        <v>0</v>
      </c>
      <c r="D166" s="203">
        <v>0</v>
      </c>
    </row>
    <row r="167" spans="1:4" ht="21.75" customHeight="1" x14ac:dyDescent="0.2">
      <c r="A167" s="202" t="s">
        <v>815</v>
      </c>
      <c r="B167" s="202" t="s">
        <v>1055</v>
      </c>
      <c r="C167" s="203">
        <v>2.2225562539438348</v>
      </c>
      <c r="D167" s="203">
        <v>1.5936514094342344</v>
      </c>
    </row>
    <row r="168" spans="1:4" ht="21.75" customHeight="1" x14ac:dyDescent="0.2">
      <c r="A168" s="202" t="s">
        <v>816</v>
      </c>
      <c r="B168" s="202" t="s">
        <v>1056</v>
      </c>
      <c r="C168" s="203">
        <v>2.2261313660138535</v>
      </c>
      <c r="D168" s="203">
        <v>1.5936491726974622</v>
      </c>
    </row>
    <row r="169" spans="1:4" ht="21.75" customHeight="1" x14ac:dyDescent="0.2">
      <c r="A169" s="202" t="s">
        <v>817</v>
      </c>
      <c r="B169" s="202" t="s">
        <v>1057</v>
      </c>
      <c r="C169" s="203">
        <v>2.2262135458385237</v>
      </c>
      <c r="D169" s="203">
        <v>1.5936489239917768</v>
      </c>
    </row>
    <row r="170" spans="1:4" ht="21.75" customHeight="1" x14ac:dyDescent="0.2">
      <c r="A170" s="202" t="s">
        <v>818</v>
      </c>
      <c r="B170" s="202" t="s">
        <v>1058</v>
      </c>
      <c r="C170" s="203">
        <v>2.2237106313512669</v>
      </c>
      <c r="D170" s="203">
        <v>1.5936491726974626</v>
      </c>
    </row>
    <row r="171" spans="1:4" ht="21.75" customHeight="1" x14ac:dyDescent="0.2">
      <c r="A171" s="202" t="s">
        <v>819</v>
      </c>
      <c r="B171" s="202" t="s">
        <v>1003</v>
      </c>
      <c r="C171" s="203">
        <v>0</v>
      </c>
      <c r="D171" s="203">
        <v>8.2961427091538198E-2</v>
      </c>
    </row>
    <row r="172" spans="1:4" ht="21.75" customHeight="1" x14ac:dyDescent="0.2">
      <c r="A172" s="202" t="s">
        <v>820</v>
      </c>
      <c r="B172" s="202" t="s">
        <v>1004</v>
      </c>
      <c r="C172" s="203">
        <v>1.9844508343472023</v>
      </c>
      <c r="D172" s="203">
        <v>1.8160822940663994</v>
      </c>
    </row>
    <row r="173" spans="1:4" ht="21.75" customHeight="1" x14ac:dyDescent="0.2">
      <c r="A173" s="202" t="s">
        <v>821</v>
      </c>
      <c r="B173" s="202" t="s">
        <v>1005</v>
      </c>
      <c r="C173" s="203">
        <v>2.0235154076424631</v>
      </c>
      <c r="D173" s="203">
        <v>2.5846499981635485</v>
      </c>
    </row>
    <row r="174" spans="1:4" ht="21.75" customHeight="1" x14ac:dyDescent="0.2">
      <c r="A174" s="202" t="s">
        <v>822</v>
      </c>
      <c r="B174" s="202" t="s">
        <v>1006</v>
      </c>
      <c r="C174" s="203">
        <v>1.8410708587411719</v>
      </c>
      <c r="D174" s="203">
        <v>4.6414731153133832</v>
      </c>
    </row>
    <row r="175" spans="1:4" ht="21.75" customHeight="1" x14ac:dyDescent="0.2">
      <c r="A175" s="202" t="s">
        <v>823</v>
      </c>
      <c r="B175" s="202" t="s">
        <v>1006</v>
      </c>
      <c r="C175" s="203">
        <v>2.0634200123095203</v>
      </c>
      <c r="D175" s="203">
        <v>4.6465222517809952</v>
      </c>
    </row>
    <row r="176" spans="1:4" ht="21.75" customHeight="1" x14ac:dyDescent="0.2">
      <c r="A176" s="202" t="s">
        <v>824</v>
      </c>
      <c r="B176" s="202" t="s">
        <v>1007</v>
      </c>
      <c r="C176" s="203">
        <v>2.24129486020591</v>
      </c>
      <c r="D176" s="203">
        <v>9.6212226146364319</v>
      </c>
    </row>
    <row r="177" spans="1:4" ht="21.75" customHeight="1" x14ac:dyDescent="0.2">
      <c r="A177" s="202" t="s">
        <v>825</v>
      </c>
      <c r="B177" s="202" t="s">
        <v>1007</v>
      </c>
      <c r="C177" s="203">
        <v>0.28671044489902497</v>
      </c>
      <c r="D177" s="203">
        <v>5.4844467824691865</v>
      </c>
    </row>
    <row r="178" spans="1:4" ht="21.75" customHeight="1" x14ac:dyDescent="0.2">
      <c r="A178" s="202" t="s">
        <v>826</v>
      </c>
      <c r="B178" s="202" t="s">
        <v>1007</v>
      </c>
      <c r="C178" s="203">
        <v>2.8360822418004115</v>
      </c>
      <c r="D178" s="203">
        <v>10.164581165675255</v>
      </c>
    </row>
    <row r="179" spans="1:4" ht="21.75" customHeight="1" x14ac:dyDescent="0.2">
      <c r="A179" s="202" t="s">
        <v>827</v>
      </c>
      <c r="B179" s="202" t="s">
        <v>1007</v>
      </c>
      <c r="C179" s="203">
        <v>-2.9225852173278008E-3</v>
      </c>
      <c r="D179" s="203">
        <v>2.5054442153755319</v>
      </c>
    </row>
    <row r="180" spans="1:4" ht="21.75" customHeight="1" x14ac:dyDescent="0.2">
      <c r="A180" s="202" t="s">
        <v>828</v>
      </c>
      <c r="B180" s="202" t="s">
        <v>1008</v>
      </c>
      <c r="C180" s="203">
        <v>0.60961742897909998</v>
      </c>
      <c r="D180" s="203">
        <v>13.690901360967533</v>
      </c>
    </row>
    <row r="181" spans="1:4" ht="21.75" customHeight="1" x14ac:dyDescent="0.2">
      <c r="A181" s="202" t="s">
        <v>829</v>
      </c>
      <c r="B181" s="202" t="s">
        <v>1008</v>
      </c>
      <c r="C181" s="203">
        <v>0.49337047944309298</v>
      </c>
      <c r="D181" s="203">
        <v>14.360096574888679</v>
      </c>
    </row>
    <row r="182" spans="1:4" ht="21.75" customHeight="1" x14ac:dyDescent="0.2">
      <c r="A182" s="202" t="s">
        <v>830</v>
      </c>
      <c r="B182" s="202" t="s">
        <v>1008</v>
      </c>
      <c r="C182" s="203">
        <v>0</v>
      </c>
      <c r="D182" s="203">
        <v>0</v>
      </c>
    </row>
    <row r="183" spans="1:4" ht="21.75" customHeight="1" x14ac:dyDescent="0.2">
      <c r="A183" s="202" t="s">
        <v>831</v>
      </c>
      <c r="B183" s="202" t="s">
        <v>1008</v>
      </c>
      <c r="C183" s="203">
        <v>0</v>
      </c>
      <c r="D183" s="203">
        <v>0</v>
      </c>
    </row>
    <row r="184" spans="1:4" ht="21.75" customHeight="1" x14ac:dyDescent="0.2">
      <c r="A184" s="202" t="s">
        <v>832</v>
      </c>
      <c r="B184" s="202" t="s">
        <v>1009</v>
      </c>
      <c r="C184" s="203">
        <v>3.3763921174176801</v>
      </c>
      <c r="D184" s="203">
        <v>13.245126551907092</v>
      </c>
    </row>
    <row r="185" spans="1:4" ht="21.75" customHeight="1" x14ac:dyDescent="0.2">
      <c r="A185" s="202" t="s">
        <v>833</v>
      </c>
      <c r="B185" s="202" t="s">
        <v>1009</v>
      </c>
      <c r="C185" s="203">
        <v>3.3710066736434001</v>
      </c>
      <c r="D185" s="203">
        <v>13.251747747225</v>
      </c>
    </row>
    <row r="186" spans="1:4" ht="21.75" customHeight="1" x14ac:dyDescent="0.2">
      <c r="A186" s="202" t="s">
        <v>834</v>
      </c>
      <c r="B186" s="202" t="s">
        <v>1010</v>
      </c>
      <c r="C186" s="203">
        <v>1.6448449186397343</v>
      </c>
      <c r="D186" s="203">
        <v>2.4574478794119177</v>
      </c>
    </row>
    <row r="187" spans="1:4" ht="21.75" customHeight="1" x14ac:dyDescent="0.2">
      <c r="A187" s="202" t="s">
        <v>835</v>
      </c>
      <c r="B187" s="202" t="s">
        <v>1010</v>
      </c>
      <c r="C187" s="203">
        <v>2.7114333230981185</v>
      </c>
      <c r="D187" s="203">
        <v>3.3848511045313661</v>
      </c>
    </row>
    <row r="188" spans="1:4" ht="21.75" customHeight="1" x14ac:dyDescent="0.2">
      <c r="A188" s="202" t="s">
        <v>836</v>
      </c>
      <c r="B188" s="202" t="s">
        <v>1011</v>
      </c>
      <c r="C188" s="203">
        <v>3.5944132473487302</v>
      </c>
      <c r="D188" s="203">
        <v>15.071634251121438</v>
      </c>
    </row>
    <row r="189" spans="1:4" ht="21.75" customHeight="1" x14ac:dyDescent="0.2">
      <c r="A189" s="202" t="s">
        <v>837</v>
      </c>
      <c r="B189" s="202" t="s">
        <v>1012</v>
      </c>
      <c r="C189" s="203">
        <v>0</v>
      </c>
      <c r="D189" s="203">
        <v>0</v>
      </c>
    </row>
    <row r="190" spans="1:4" ht="21.75" customHeight="1" x14ac:dyDescent="0.2">
      <c r="A190" s="202" t="s">
        <v>838</v>
      </c>
      <c r="B190" s="202" t="s">
        <v>1012</v>
      </c>
      <c r="C190" s="203">
        <v>0</v>
      </c>
      <c r="D190" s="203">
        <v>0</v>
      </c>
    </row>
    <row r="191" spans="1:4" ht="21.75" customHeight="1" x14ac:dyDescent="0.2">
      <c r="A191" s="202" t="s">
        <v>839</v>
      </c>
      <c r="B191" s="202" t="s">
        <v>1013</v>
      </c>
      <c r="C191" s="203">
        <v>0</v>
      </c>
      <c r="D191" s="203">
        <v>0</v>
      </c>
    </row>
    <row r="192" spans="1:4" ht="21.75" customHeight="1" x14ac:dyDescent="0.2">
      <c r="A192" s="202" t="s">
        <v>840</v>
      </c>
      <c r="B192" s="202" t="s">
        <v>1014</v>
      </c>
      <c r="C192" s="203">
        <v>1.482657515747086</v>
      </c>
      <c r="D192" s="203">
        <v>4.0109637435615078</v>
      </c>
    </row>
    <row r="193" spans="1:4" ht="21.75" customHeight="1" x14ac:dyDescent="0.2">
      <c r="A193" s="202" t="s">
        <v>841</v>
      </c>
      <c r="B193" s="202" t="s">
        <v>1015</v>
      </c>
      <c r="C193" s="203">
        <v>0</v>
      </c>
      <c r="D193" s="203">
        <v>0</v>
      </c>
    </row>
    <row r="194" spans="1:4" ht="21.75" customHeight="1" x14ac:dyDescent="0.2">
      <c r="A194" s="202" t="s">
        <v>842</v>
      </c>
      <c r="B194" s="202" t="s">
        <v>1016</v>
      </c>
      <c r="C194" s="203">
        <v>-2.8518059937779476</v>
      </c>
      <c r="D194" s="203">
        <v>-0.11019311319498293</v>
      </c>
    </row>
    <row r="195" spans="1:4" ht="21.75" customHeight="1" x14ac:dyDescent="0.2">
      <c r="A195" s="202" t="s">
        <v>843</v>
      </c>
      <c r="B195" s="202" t="s">
        <v>1016</v>
      </c>
      <c r="C195" s="203">
        <v>-2.8289347543163612</v>
      </c>
      <c r="D195" s="203">
        <v>-0.10933978029661517</v>
      </c>
    </row>
    <row r="196" spans="1:4" ht="21.75" customHeight="1" x14ac:dyDescent="0.2">
      <c r="A196" s="202" t="s">
        <v>844</v>
      </c>
      <c r="B196" s="202" t="s">
        <v>1017</v>
      </c>
      <c r="C196" s="203">
        <v>3.3986056345754001</v>
      </c>
      <c r="D196" s="203">
        <v>0.9912798502128588</v>
      </c>
    </row>
    <row r="197" spans="1:4" ht="21.75" customHeight="1" x14ac:dyDescent="0.2">
      <c r="A197" s="202" t="s">
        <v>845</v>
      </c>
      <c r="B197" s="202" t="s">
        <v>1017</v>
      </c>
      <c r="C197" s="203">
        <v>3.6964846150114901</v>
      </c>
      <c r="D197" s="203">
        <v>1.2525545763316237</v>
      </c>
    </row>
    <row r="198" spans="1:4" ht="21.75" customHeight="1" x14ac:dyDescent="0.2">
      <c r="A198" s="202" t="s">
        <v>846</v>
      </c>
      <c r="B198" s="202" t="s">
        <v>1017</v>
      </c>
      <c r="C198" s="203">
        <v>3.6968040171916297</v>
      </c>
      <c r="D198" s="203">
        <v>0.77018369274339982</v>
      </c>
    </row>
    <row r="199" spans="1:4" ht="21.75" customHeight="1" x14ac:dyDescent="0.2">
      <c r="A199" s="202" t="s">
        <v>847</v>
      </c>
      <c r="B199" s="202" t="s">
        <v>1018</v>
      </c>
      <c r="C199" s="203">
        <v>0</v>
      </c>
      <c r="D199" s="203">
        <v>1.9793000689602942</v>
      </c>
    </row>
    <row r="200" spans="1:4" ht="21.75" customHeight="1" x14ac:dyDescent="0.2">
      <c r="A200" s="202" t="s">
        <v>848</v>
      </c>
      <c r="B200" s="202" t="s">
        <v>1018</v>
      </c>
      <c r="C200" s="203">
        <v>0</v>
      </c>
      <c r="D200" s="203">
        <v>1.9792996883232599</v>
      </c>
    </row>
    <row r="201" spans="1:4" ht="21.75" customHeight="1" x14ac:dyDescent="0.2">
      <c r="A201" s="202" t="s">
        <v>849</v>
      </c>
      <c r="B201" s="202" t="s">
        <v>1019</v>
      </c>
      <c r="C201" s="203">
        <v>0</v>
      </c>
      <c r="D201" s="203">
        <v>0</v>
      </c>
    </row>
    <row r="202" spans="1:4" ht="21.75" customHeight="1" x14ac:dyDescent="0.2">
      <c r="A202" s="202" t="s">
        <v>850</v>
      </c>
      <c r="B202" s="202" t="s">
        <v>1019</v>
      </c>
      <c r="C202" s="203">
        <v>0</v>
      </c>
      <c r="D202" s="203">
        <v>0</v>
      </c>
    </row>
    <row r="203" spans="1:4" ht="21.75" customHeight="1" x14ac:dyDescent="0.2">
      <c r="A203" s="202" t="s">
        <v>851</v>
      </c>
      <c r="B203" s="202" t="s">
        <v>1020</v>
      </c>
      <c r="C203" s="203">
        <v>0</v>
      </c>
      <c r="D203" s="203">
        <v>0</v>
      </c>
    </row>
    <row r="204" spans="1:4" ht="21.75" customHeight="1" x14ac:dyDescent="0.2">
      <c r="A204" s="202" t="s">
        <v>852</v>
      </c>
      <c r="B204" s="202" t="s">
        <v>1021</v>
      </c>
      <c r="C204" s="203">
        <v>0</v>
      </c>
      <c r="D204" s="203">
        <v>0</v>
      </c>
    </row>
    <row r="205" spans="1:4" ht="21.75" customHeight="1" x14ac:dyDescent="0.2">
      <c r="A205" s="202" t="s">
        <v>853</v>
      </c>
      <c r="B205" s="202" t="s">
        <v>1021</v>
      </c>
      <c r="C205" s="203">
        <v>0.44238444278573302</v>
      </c>
      <c r="D205" s="203">
        <v>1.5825870374131052</v>
      </c>
    </row>
    <row r="206" spans="1:4" ht="21.75" customHeight="1" x14ac:dyDescent="0.2">
      <c r="A206" s="202" t="s">
        <v>854</v>
      </c>
      <c r="B206" s="202" t="s">
        <v>1022</v>
      </c>
      <c r="C206" s="203">
        <v>1.9857312240299421</v>
      </c>
      <c r="D206" s="203">
        <v>1.8056494722846477</v>
      </c>
    </row>
    <row r="207" spans="1:4" ht="21.75" customHeight="1" x14ac:dyDescent="0.2">
      <c r="A207" s="202" t="s">
        <v>855</v>
      </c>
      <c r="B207" s="202" t="s">
        <v>1023</v>
      </c>
      <c r="C207" s="203">
        <v>1.9851527758259091</v>
      </c>
      <c r="D207" s="203">
        <v>1.6473884732605475</v>
      </c>
    </row>
    <row r="208" spans="1:4" ht="21.75" customHeight="1" x14ac:dyDescent="0.2">
      <c r="A208" s="202" t="s">
        <v>856</v>
      </c>
      <c r="B208" s="202" t="s">
        <v>1024</v>
      </c>
      <c r="C208" s="203">
        <v>2.774310111308242</v>
      </c>
      <c r="D208" s="203">
        <v>8.1981177402212779E-10</v>
      </c>
    </row>
    <row r="209" spans="1:4" ht="21.75" customHeight="1" x14ac:dyDescent="0.2">
      <c r="A209" s="202" t="s">
        <v>857</v>
      </c>
      <c r="B209" s="202" t="s">
        <v>1024</v>
      </c>
      <c r="C209" s="203">
        <v>5.0552895352872298</v>
      </c>
      <c r="D209" s="203">
        <v>8.4432194569217245E-10</v>
      </c>
    </row>
    <row r="210" spans="1:4" ht="21.75" customHeight="1" x14ac:dyDescent="0.2">
      <c r="A210" s="202" t="s">
        <v>858</v>
      </c>
      <c r="B210" s="202" t="s">
        <v>1025</v>
      </c>
      <c r="C210" s="203">
        <v>2.06274115300161</v>
      </c>
      <c r="D210" s="203">
        <v>4.3714338783050195</v>
      </c>
    </row>
    <row r="211" spans="1:4" ht="21.75" customHeight="1" x14ac:dyDescent="0.2">
      <c r="A211" s="202" t="s">
        <v>859</v>
      </c>
      <c r="B211" s="202" t="s">
        <v>1025</v>
      </c>
      <c r="C211" s="203">
        <v>2.04886707661873</v>
      </c>
      <c r="D211" s="203">
        <v>4.3529793128602208</v>
      </c>
    </row>
    <row r="212" spans="1:4" ht="21.75" customHeight="1" x14ac:dyDescent="0.2">
      <c r="A212" s="202" t="s">
        <v>860</v>
      </c>
      <c r="B212" s="202" t="s">
        <v>1026</v>
      </c>
      <c r="C212" s="203">
        <v>0.23328111788395381</v>
      </c>
      <c r="D212" s="203">
        <v>15.603102423682865</v>
      </c>
    </row>
    <row r="213" spans="1:4" ht="21.75" customHeight="1" x14ac:dyDescent="0.2">
      <c r="A213" s="202" t="s">
        <v>861</v>
      </c>
      <c r="B213" s="202" t="s">
        <v>1027</v>
      </c>
      <c r="C213" s="203">
        <v>4.6656288370560901</v>
      </c>
      <c r="D213" s="203">
        <v>2.6757870290649057</v>
      </c>
    </row>
    <row r="214" spans="1:4" ht="21.75" customHeight="1" x14ac:dyDescent="0.2">
      <c r="A214" s="202" t="s">
        <v>862</v>
      </c>
      <c r="B214" s="202" t="s">
        <v>1027</v>
      </c>
      <c r="C214" s="203">
        <v>2.4188736363082599</v>
      </c>
      <c r="D214" s="203">
        <v>2.5056420036890747</v>
      </c>
    </row>
    <row r="215" spans="1:4" ht="21.75" customHeight="1" x14ac:dyDescent="0.2">
      <c r="A215" s="202" t="s">
        <v>863</v>
      </c>
      <c r="B215" s="202" t="s">
        <v>1028</v>
      </c>
      <c r="C215" s="203">
        <v>0</v>
      </c>
      <c r="D215" s="203">
        <v>0</v>
      </c>
    </row>
    <row r="216" spans="1:4" ht="21.75" customHeight="1" x14ac:dyDescent="0.2">
      <c r="A216" s="202" t="s">
        <v>864</v>
      </c>
      <c r="B216" s="202" t="s">
        <v>1028</v>
      </c>
      <c r="C216" s="203">
        <v>0</v>
      </c>
      <c r="D216" s="203">
        <v>0</v>
      </c>
    </row>
    <row r="217" spans="1:4" ht="21.75" customHeight="1" x14ac:dyDescent="0.2">
      <c r="A217" s="202" t="s">
        <v>865</v>
      </c>
      <c r="B217" s="202" t="s">
        <v>1028</v>
      </c>
      <c r="C217" s="203">
        <v>0</v>
      </c>
      <c r="D217" s="203">
        <v>0</v>
      </c>
    </row>
    <row r="218" spans="1:4" ht="21.75" customHeight="1" x14ac:dyDescent="0.2">
      <c r="A218" s="202" t="s">
        <v>866</v>
      </c>
      <c r="B218" s="202" t="s">
        <v>1029</v>
      </c>
      <c r="C218" s="203">
        <v>2.30992685221065E-9</v>
      </c>
      <c r="D218" s="203">
        <v>0</v>
      </c>
    </row>
    <row r="219" spans="1:4" ht="21.75" customHeight="1" x14ac:dyDescent="0.2">
      <c r="A219" s="202" t="s">
        <v>867</v>
      </c>
      <c r="B219" s="202" t="s">
        <v>1029</v>
      </c>
      <c r="C219" s="203">
        <v>2.30992685221065E-9</v>
      </c>
      <c r="D219" s="203">
        <v>0</v>
      </c>
    </row>
    <row r="220" spans="1:4" ht="21.75" customHeight="1" x14ac:dyDescent="0.2">
      <c r="A220" s="202" t="s">
        <v>868</v>
      </c>
      <c r="B220" s="202" t="s">
        <v>1030</v>
      </c>
      <c r="C220" s="203">
        <v>0</v>
      </c>
      <c r="D220" s="203">
        <v>0</v>
      </c>
    </row>
    <row r="221" spans="1:4" ht="21.75" customHeight="1" x14ac:dyDescent="0.2">
      <c r="A221" s="202" t="s">
        <v>869</v>
      </c>
      <c r="B221" s="202" t="s">
        <v>1031</v>
      </c>
      <c r="C221" s="203">
        <v>3.3647039703424499</v>
      </c>
      <c r="D221" s="203">
        <v>0.82856632219978588</v>
      </c>
    </row>
    <row r="222" spans="1:4" ht="21.75" customHeight="1" x14ac:dyDescent="0.2">
      <c r="A222" s="202" t="s">
        <v>870</v>
      </c>
      <c r="B222" s="202" t="s">
        <v>1031</v>
      </c>
      <c r="C222" s="203">
        <v>2.42048849819937</v>
      </c>
      <c r="D222" s="203">
        <v>0.82904790681040241</v>
      </c>
    </row>
    <row r="223" spans="1:4" ht="21.75" customHeight="1" x14ac:dyDescent="0.2">
      <c r="A223" s="202" t="s">
        <v>871</v>
      </c>
      <c r="B223" s="202" t="s">
        <v>1032</v>
      </c>
      <c r="C223" s="203">
        <v>0</v>
      </c>
      <c r="D223" s="203">
        <v>1.0683211840054172</v>
      </c>
    </row>
    <row r="224" spans="1:4" ht="21.75" customHeight="1" x14ac:dyDescent="0.2">
      <c r="A224" s="202" t="s">
        <v>872</v>
      </c>
      <c r="B224" s="202" t="s">
        <v>1033</v>
      </c>
      <c r="C224" s="203">
        <v>0.65881017116298501</v>
      </c>
      <c r="D224" s="203">
        <v>3.6734582670036424</v>
      </c>
    </row>
    <row r="225" spans="1:4" ht="21.75" customHeight="1" x14ac:dyDescent="0.2">
      <c r="A225" s="202" t="s">
        <v>873</v>
      </c>
      <c r="B225" s="202" t="s">
        <v>1033</v>
      </c>
      <c r="C225" s="203">
        <v>0.41238957006600502</v>
      </c>
      <c r="D225" s="203">
        <v>3.7218860215041536</v>
      </c>
    </row>
    <row r="226" spans="1:4" ht="21.75" customHeight="1" x14ac:dyDescent="0.2">
      <c r="A226" s="202" t="s">
        <v>874</v>
      </c>
      <c r="B226" s="202" t="s">
        <v>1034</v>
      </c>
      <c r="C226" s="203">
        <v>2.27631108500516</v>
      </c>
      <c r="D226" s="203">
        <v>3.792333620591565</v>
      </c>
    </row>
    <row r="227" spans="1:4" ht="21.75" customHeight="1" x14ac:dyDescent="0.2">
      <c r="A227" s="202" t="s">
        <v>875</v>
      </c>
      <c r="B227" s="202" t="s">
        <v>1034</v>
      </c>
      <c r="C227" s="203">
        <v>2.6041552859549499</v>
      </c>
      <c r="D227" s="203">
        <v>3.1855954708369651</v>
      </c>
    </row>
    <row r="228" spans="1:4" ht="21.75" customHeight="1" x14ac:dyDescent="0.2">
      <c r="A228" s="202" t="s">
        <v>876</v>
      </c>
      <c r="B228" s="202" t="s">
        <v>1035</v>
      </c>
      <c r="C228" s="203">
        <v>5.8242430684357096</v>
      </c>
      <c r="D228" s="203">
        <v>2.7248682036830605</v>
      </c>
    </row>
    <row r="229" spans="1:4" ht="21.75" customHeight="1" x14ac:dyDescent="0.2">
      <c r="A229" s="202" t="s">
        <v>877</v>
      </c>
      <c r="B229" s="202" t="s">
        <v>1035</v>
      </c>
      <c r="C229" s="203">
        <v>6.8611306644429</v>
      </c>
      <c r="D229" s="203">
        <v>3.1699712266711906</v>
      </c>
    </row>
    <row r="230" spans="1:4" ht="21.75" customHeight="1" x14ac:dyDescent="0.2">
      <c r="A230" s="202" t="s">
        <v>878</v>
      </c>
      <c r="B230" s="202" t="s">
        <v>1036</v>
      </c>
      <c r="C230" s="203">
        <v>2.34860379382746</v>
      </c>
      <c r="D230" s="203">
        <v>9.3440035291677805</v>
      </c>
    </row>
    <row r="231" spans="1:4" ht="21.75" customHeight="1" x14ac:dyDescent="0.2">
      <c r="A231" s="202" t="s">
        <v>879</v>
      </c>
      <c r="B231" s="202" t="s">
        <v>1036</v>
      </c>
      <c r="C231" s="203">
        <v>3.48182386865445</v>
      </c>
      <c r="D231" s="203">
        <v>10.387098248922259</v>
      </c>
    </row>
    <row r="232" spans="1:4" ht="21.75" customHeight="1" x14ac:dyDescent="0.2">
      <c r="A232" s="202" t="s">
        <v>880</v>
      </c>
      <c r="B232" s="202" t="s">
        <v>1037</v>
      </c>
      <c r="C232" s="203">
        <v>0</v>
      </c>
      <c r="D232" s="203">
        <v>0</v>
      </c>
    </row>
    <row r="233" spans="1:4" ht="21.75" customHeight="1" x14ac:dyDescent="0.2">
      <c r="A233" s="202" t="s">
        <v>881</v>
      </c>
      <c r="B233" s="202" t="s">
        <v>1038</v>
      </c>
      <c r="C233" s="203">
        <v>4.2969149355894514</v>
      </c>
      <c r="D233" s="203">
        <v>0.12453123772908725</v>
      </c>
    </row>
    <row r="234" spans="1:4" ht="21.75" customHeight="1" x14ac:dyDescent="0.2">
      <c r="A234" s="202" t="s">
        <v>882</v>
      </c>
      <c r="B234" s="202" t="s">
        <v>1038</v>
      </c>
      <c r="C234" s="203">
        <v>4.3017015530182636</v>
      </c>
      <c r="D234" s="203">
        <v>0.12351528753117069</v>
      </c>
    </row>
    <row r="235" spans="1:4" ht="21.75" customHeight="1" x14ac:dyDescent="0.2">
      <c r="A235" s="202" t="s">
        <v>883</v>
      </c>
      <c r="B235" s="202" t="s">
        <v>1039</v>
      </c>
      <c r="C235" s="203">
        <v>3.4584280760796302</v>
      </c>
      <c r="D235" s="203">
        <v>12.916339505001538</v>
      </c>
    </row>
    <row r="236" spans="1:4" ht="21.75" customHeight="1" x14ac:dyDescent="0.2">
      <c r="A236" s="202" t="s">
        <v>884</v>
      </c>
      <c r="B236" s="202" t="s">
        <v>1039</v>
      </c>
      <c r="C236" s="203">
        <v>4.27237238587775</v>
      </c>
      <c r="D236" s="203">
        <v>14.395384950858437</v>
      </c>
    </row>
    <row r="237" spans="1:4" ht="21.75" customHeight="1" x14ac:dyDescent="0.2">
      <c r="A237" s="202" t="s">
        <v>885</v>
      </c>
      <c r="B237" s="202" t="s">
        <v>1040</v>
      </c>
      <c r="C237" s="203">
        <v>1.590519047438641</v>
      </c>
      <c r="D237" s="203">
        <v>6.845447118131637</v>
      </c>
    </row>
    <row r="238" spans="1:4" ht="21.75" customHeight="1" x14ac:dyDescent="0.2">
      <c r="A238" s="202" t="s">
        <v>886</v>
      </c>
      <c r="B238" s="202" t="s">
        <v>1041</v>
      </c>
      <c r="C238" s="203">
        <v>3.0908036789890199</v>
      </c>
      <c r="D238" s="203">
        <v>1.0597010145491401</v>
      </c>
    </row>
    <row r="239" spans="1:4" ht="21.75" customHeight="1" x14ac:dyDescent="0.2">
      <c r="A239" s="202" t="s">
        <v>887</v>
      </c>
      <c r="B239" s="202" t="s">
        <v>1041</v>
      </c>
      <c r="C239" s="203">
        <v>3.64867244126278</v>
      </c>
      <c r="D239" s="203">
        <v>0.70529867459731799</v>
      </c>
    </row>
    <row r="240" spans="1:4" ht="21.75" customHeight="1" x14ac:dyDescent="0.2">
      <c r="A240" s="202" t="s">
        <v>888</v>
      </c>
      <c r="B240" s="202" t="s">
        <v>1041</v>
      </c>
      <c r="C240" s="203">
        <v>1.1610928888398151</v>
      </c>
      <c r="D240" s="203">
        <v>0.20303789653891102</v>
      </c>
    </row>
    <row r="241" spans="1:4" ht="21.75" customHeight="1" x14ac:dyDescent="0.2">
      <c r="A241" s="202" t="s">
        <v>889</v>
      </c>
      <c r="B241" s="202" t="s">
        <v>1042</v>
      </c>
      <c r="C241" s="203">
        <v>7.2115363988324896E-2</v>
      </c>
      <c r="D241" s="203">
        <v>0.66396416187861196</v>
      </c>
    </row>
    <row r="242" spans="1:4" ht="21.75" customHeight="1" x14ac:dyDescent="0.2">
      <c r="A242" s="202" t="s">
        <v>890</v>
      </c>
      <c r="B242" s="202" t="s">
        <v>1042</v>
      </c>
      <c r="C242" s="203">
        <v>7.2005791027922206E-2</v>
      </c>
      <c r="D242" s="203">
        <v>0.66251223190283604</v>
      </c>
    </row>
    <row r="243" spans="1:4" ht="21.75" customHeight="1" x14ac:dyDescent="0.2">
      <c r="A243" s="202" t="s">
        <v>891</v>
      </c>
      <c r="B243" s="202" t="s">
        <v>1043</v>
      </c>
      <c r="C243" s="203">
        <v>0.649466137772025</v>
      </c>
      <c r="D243" s="203">
        <v>8.2285324928932368E-5</v>
      </c>
    </row>
    <row r="244" spans="1:4" ht="21.75" customHeight="1" x14ac:dyDescent="0.2">
      <c r="A244" s="202" t="s">
        <v>892</v>
      </c>
      <c r="B244" s="202" t="s">
        <v>1043</v>
      </c>
      <c r="C244" s="203">
        <v>0.65046584089040904</v>
      </c>
      <c r="D244" s="203">
        <v>8.2285324928932368E-5</v>
      </c>
    </row>
    <row r="245" spans="1:4" ht="21.75" customHeight="1" x14ac:dyDescent="0.2">
      <c r="A245" s="202" t="s">
        <v>893</v>
      </c>
      <c r="B245" s="202" t="s">
        <v>1044</v>
      </c>
      <c r="C245" s="203">
        <v>2.471279428020797</v>
      </c>
      <c r="D245" s="203">
        <v>25.914997808708236</v>
      </c>
    </row>
    <row r="246" spans="1:4" ht="21.75" customHeight="1" x14ac:dyDescent="0.2">
      <c r="A246" s="202" t="s">
        <v>894</v>
      </c>
      <c r="B246" s="202" t="s">
        <v>1044</v>
      </c>
      <c r="C246" s="203">
        <v>1.79909146119603</v>
      </c>
      <c r="D246" s="203">
        <v>5.4508229602556906</v>
      </c>
    </row>
    <row r="247" spans="1:4" ht="21.75" customHeight="1" x14ac:dyDescent="0.2">
      <c r="A247" s="202" t="s">
        <v>895</v>
      </c>
      <c r="B247" s="202" t="s">
        <v>1045</v>
      </c>
      <c r="C247" s="203">
        <v>0</v>
      </c>
      <c r="D247" s="203">
        <v>0</v>
      </c>
    </row>
    <row r="248" spans="1:4" ht="21.75" customHeight="1" x14ac:dyDescent="0.2">
      <c r="A248" s="202" t="s">
        <v>896</v>
      </c>
      <c r="B248" s="202" t="s">
        <v>1046</v>
      </c>
      <c r="C248" s="203">
        <v>0</v>
      </c>
      <c r="D248" s="203">
        <v>0</v>
      </c>
    </row>
    <row r="249" spans="1:4" ht="21.75" customHeight="1" x14ac:dyDescent="0.2">
      <c r="A249" s="202" t="s">
        <v>897</v>
      </c>
      <c r="B249" s="202" t="s">
        <v>1047</v>
      </c>
      <c r="C249" s="203">
        <v>1.7400357877959038</v>
      </c>
      <c r="D249" s="203">
        <v>4.1651246532463588</v>
      </c>
    </row>
    <row r="250" spans="1:4" ht="21.75" customHeight="1" x14ac:dyDescent="0.2">
      <c r="A250" s="202" t="s">
        <v>898</v>
      </c>
      <c r="B250" s="202" t="s">
        <v>1047</v>
      </c>
      <c r="C250" s="203">
        <v>3.0613100705718601</v>
      </c>
      <c r="D250" s="203">
        <v>5.324138921170249</v>
      </c>
    </row>
    <row r="251" spans="1:4" ht="21.75" customHeight="1" x14ac:dyDescent="0.2">
      <c r="A251" s="202" t="s">
        <v>899</v>
      </c>
      <c r="B251" s="202" t="s">
        <v>1048</v>
      </c>
      <c r="C251" s="203">
        <v>0</v>
      </c>
      <c r="D251" s="203">
        <v>7.4792729811172798E-2</v>
      </c>
    </row>
    <row r="252" spans="1:4" ht="21.75" customHeight="1" x14ac:dyDescent="0.2">
      <c r="A252" s="202" t="s">
        <v>900</v>
      </c>
      <c r="B252" s="202" t="s">
        <v>1049</v>
      </c>
      <c r="C252" s="203">
        <v>2.3777677542192301</v>
      </c>
      <c r="D252" s="203">
        <v>3.6745093370062452</v>
      </c>
    </row>
    <row r="253" spans="1:4" ht="21.75" customHeight="1" x14ac:dyDescent="0.2">
      <c r="A253" s="202" t="s">
        <v>901</v>
      </c>
      <c r="B253" s="202" t="s">
        <v>1049</v>
      </c>
      <c r="C253" s="203">
        <v>2.7042090039179802</v>
      </c>
      <c r="D253" s="203">
        <v>3.3772075188788984</v>
      </c>
    </row>
    <row r="254" spans="1:4" ht="21.75" customHeight="1" x14ac:dyDescent="0.2">
      <c r="A254" s="202" t="s">
        <v>902</v>
      </c>
      <c r="B254" s="202" t="s">
        <v>1050</v>
      </c>
      <c r="C254" s="203">
        <v>2.1974803879710878</v>
      </c>
      <c r="D254" s="203">
        <v>1.5936949875366544</v>
      </c>
    </row>
    <row r="255" spans="1:4" ht="21.75" customHeight="1" x14ac:dyDescent="0.2">
      <c r="A255" s="202" t="s">
        <v>903</v>
      </c>
      <c r="B255" s="202" t="s">
        <v>1059</v>
      </c>
      <c r="C255" s="203">
        <v>2.1989877372096931</v>
      </c>
      <c r="D255" s="203">
        <v>1.5936829515299413</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61" customWidth="1"/>
    <col min="2" max="2" width="37.42578125" style="161" bestFit="1" customWidth="1"/>
    <col min="3" max="3" width="19" style="162" customWidth="1"/>
    <col min="4" max="4" width="5.28515625" style="161" bestFit="1" customWidth="1"/>
    <col min="5" max="5" width="4.7109375" style="161" customWidth="1"/>
    <col min="6" max="6" width="29.140625" style="161" bestFit="1" customWidth="1"/>
    <col min="7" max="7" width="11.5703125" style="161"/>
    <col min="8" max="8" width="64.5703125" style="161" bestFit="1" customWidth="1"/>
    <col min="9" max="16384" width="11.5703125" style="161"/>
  </cols>
  <sheetData>
    <row r="1" spans="1:8" ht="26.25" customHeight="1" x14ac:dyDescent="0.35">
      <c r="A1" s="172" t="s">
        <v>18</v>
      </c>
      <c r="H1" s="163"/>
    </row>
    <row r="2" spans="1:8" ht="12.75" customHeight="1" x14ac:dyDescent="0.2">
      <c r="A2" s="164"/>
    </row>
    <row r="3" spans="1:8" ht="12.75" customHeight="1" x14ac:dyDescent="0.2">
      <c r="A3" s="164"/>
    </row>
    <row r="4" spans="1:8" ht="12.75" customHeight="1" x14ac:dyDescent="0.2">
      <c r="A4" s="164"/>
    </row>
    <row r="5" spans="1:8" ht="12.75" customHeight="1" x14ac:dyDescent="0.2">
      <c r="A5" s="164"/>
    </row>
    <row r="6" spans="1:8" ht="12.75" customHeight="1" x14ac:dyDescent="0.2">
      <c r="A6" s="164"/>
    </row>
    <row r="7" spans="1:8" ht="12.75" customHeight="1" x14ac:dyDescent="0.2">
      <c r="A7" s="164"/>
    </row>
    <row r="8" spans="1:8" ht="12.75" customHeight="1" x14ac:dyDescent="0.2">
      <c r="A8" s="164"/>
    </row>
    <row r="9" spans="1:8" ht="12.75" customHeight="1" x14ac:dyDescent="0.2">
      <c r="A9" s="164"/>
    </row>
    <row r="10" spans="1:8" ht="12.75" customHeight="1" x14ac:dyDescent="0.2">
      <c r="A10" s="164"/>
    </row>
    <row r="11" spans="1:8" ht="12.75" customHeight="1" x14ac:dyDescent="0.2">
      <c r="A11" s="164"/>
    </row>
    <row r="12" spans="1:8" ht="12.75" customHeight="1" x14ac:dyDescent="0.2">
      <c r="A12" s="164"/>
    </row>
    <row r="13" spans="1:8" ht="12.75" customHeight="1" x14ac:dyDescent="0.2">
      <c r="A13" s="164"/>
    </row>
    <row r="14" spans="1:8" ht="12.75" customHeight="1" x14ac:dyDescent="0.2">
      <c r="A14" s="164"/>
    </row>
    <row r="15" spans="1:8" ht="12.75" customHeight="1" x14ac:dyDescent="0.2">
      <c r="A15" s="164"/>
    </row>
    <row r="16" spans="1:8" ht="12.75" customHeight="1" x14ac:dyDescent="0.2">
      <c r="A16" s="164"/>
    </row>
    <row r="17" spans="1:8" ht="12.75" customHeight="1" x14ac:dyDescent="0.2">
      <c r="A17" s="164"/>
    </row>
    <row r="18" spans="1:8" ht="12.75" customHeight="1" x14ac:dyDescent="0.2">
      <c r="A18" s="164"/>
    </row>
    <row r="19" spans="1:8" ht="12.75" customHeight="1" x14ac:dyDescent="0.2">
      <c r="A19" s="164"/>
    </row>
    <row r="20" spans="1:8" ht="12.75" customHeight="1" x14ac:dyDescent="0.2">
      <c r="A20" s="164"/>
    </row>
    <row r="21" spans="1:8" ht="12.75" customHeight="1" x14ac:dyDescent="0.2">
      <c r="A21" s="164"/>
    </row>
    <row r="22" spans="1:8" ht="12.75" customHeight="1" x14ac:dyDescent="0.2">
      <c r="A22" s="164"/>
    </row>
    <row r="23" spans="1:8" ht="12.75" customHeight="1" x14ac:dyDescent="0.2">
      <c r="A23" s="164"/>
    </row>
    <row r="24" spans="1:8" ht="12.75" customHeight="1" x14ac:dyDescent="0.2">
      <c r="A24" s="164"/>
    </row>
    <row r="25" spans="1:8" ht="12.75" customHeight="1" x14ac:dyDescent="0.2">
      <c r="A25" s="164"/>
    </row>
    <row r="26" spans="1:8" ht="12.75" customHeight="1" x14ac:dyDescent="0.2">
      <c r="A26" s="164"/>
    </row>
    <row r="27" spans="1:8" ht="12.75" customHeight="1" x14ac:dyDescent="0.2">
      <c r="A27" s="164"/>
    </row>
    <row r="28" spans="1:8" s="166" customFormat="1" ht="51" x14ac:dyDescent="0.2">
      <c r="A28" s="48" t="s">
        <v>180</v>
      </c>
      <c r="B28" s="48" t="s">
        <v>181</v>
      </c>
      <c r="C28" s="48" t="s">
        <v>408</v>
      </c>
      <c r="D28" s="165"/>
      <c r="E28" s="165"/>
      <c r="F28" s="48" t="s">
        <v>409</v>
      </c>
      <c r="G28" s="48" t="s">
        <v>410</v>
      </c>
      <c r="H28" s="48" t="s">
        <v>411</v>
      </c>
    </row>
    <row r="29" spans="1:8" x14ac:dyDescent="0.2">
      <c r="A29" s="174">
        <v>3</v>
      </c>
      <c r="B29" s="167" t="s">
        <v>182</v>
      </c>
      <c r="C29" s="173" t="s">
        <v>417</v>
      </c>
      <c r="F29" s="161" t="s">
        <v>414</v>
      </c>
      <c r="G29" s="168">
        <v>43626</v>
      </c>
      <c r="H29" s="161" t="s">
        <v>415</v>
      </c>
    </row>
    <row r="30" spans="1:8" x14ac:dyDescent="0.2">
      <c r="A30" s="174">
        <v>4</v>
      </c>
      <c r="B30" s="167" t="s">
        <v>182</v>
      </c>
      <c r="C30" s="173" t="s">
        <v>417</v>
      </c>
      <c r="F30" s="161" t="s">
        <v>419</v>
      </c>
      <c r="G30" s="168">
        <v>43626</v>
      </c>
      <c r="H30" s="161" t="s">
        <v>415</v>
      </c>
    </row>
    <row r="31" spans="1:8" x14ac:dyDescent="0.2">
      <c r="A31" s="174">
        <v>5</v>
      </c>
      <c r="B31" s="167" t="s">
        <v>183</v>
      </c>
      <c r="C31" s="173" t="s">
        <v>417</v>
      </c>
      <c r="F31" s="161" t="s">
        <v>418</v>
      </c>
      <c r="G31" s="168">
        <v>43626</v>
      </c>
      <c r="H31" s="161" t="s">
        <v>415</v>
      </c>
    </row>
    <row r="32" spans="1:8" x14ac:dyDescent="0.2">
      <c r="A32" s="174">
        <v>6</v>
      </c>
      <c r="B32" s="167" t="s">
        <v>184</v>
      </c>
      <c r="C32" s="173" t="s">
        <v>417</v>
      </c>
      <c r="F32" s="161" t="s">
        <v>420</v>
      </c>
      <c r="G32" s="168">
        <v>43626</v>
      </c>
      <c r="H32" s="161" t="s">
        <v>421</v>
      </c>
    </row>
    <row r="33" spans="1:8" x14ac:dyDescent="0.2">
      <c r="A33" s="174">
        <v>7</v>
      </c>
      <c r="B33" s="167" t="s">
        <v>184</v>
      </c>
      <c r="C33" s="173" t="s">
        <v>417</v>
      </c>
      <c r="F33" s="171"/>
      <c r="G33" s="168"/>
      <c r="H33" s="170"/>
    </row>
    <row r="34" spans="1:8" x14ac:dyDescent="0.2">
      <c r="A34" s="174">
        <v>8</v>
      </c>
      <c r="B34" s="167" t="s">
        <v>184</v>
      </c>
      <c r="C34" s="173" t="s">
        <v>417</v>
      </c>
      <c r="F34" s="169"/>
      <c r="G34" s="168"/>
    </row>
    <row r="35" spans="1:8" x14ac:dyDescent="0.2">
      <c r="A35" s="174">
        <v>9</v>
      </c>
      <c r="B35" s="167" t="s">
        <v>184</v>
      </c>
      <c r="C35" s="173" t="s">
        <v>417</v>
      </c>
      <c r="G35" s="168"/>
      <c r="H35" s="169"/>
    </row>
    <row r="36" spans="1:8" x14ac:dyDescent="0.2">
      <c r="A36" s="174">
        <v>10</v>
      </c>
      <c r="B36" s="167" t="s">
        <v>184</v>
      </c>
      <c r="C36" s="173" t="s">
        <v>417</v>
      </c>
      <c r="G36" s="168"/>
      <c r="H36" s="169"/>
    </row>
    <row r="37" spans="1:8" x14ac:dyDescent="0.2">
      <c r="A37" s="174">
        <v>11</v>
      </c>
      <c r="B37" s="167" t="s">
        <v>184</v>
      </c>
      <c r="C37" s="173" t="s">
        <v>417</v>
      </c>
      <c r="G37" s="168"/>
    </row>
    <row r="38" spans="1:8" x14ac:dyDescent="0.2">
      <c r="A38" s="174">
        <v>12</v>
      </c>
      <c r="B38" s="167" t="s">
        <v>184</v>
      </c>
      <c r="C38" s="173" t="s">
        <v>417</v>
      </c>
      <c r="G38" s="168"/>
    </row>
    <row r="39" spans="1:8" x14ac:dyDescent="0.2">
      <c r="A39" s="174">
        <v>13</v>
      </c>
      <c r="B39" s="167" t="s">
        <v>185</v>
      </c>
      <c r="C39" s="173" t="s">
        <v>417</v>
      </c>
      <c r="G39" s="168"/>
    </row>
    <row r="40" spans="1:8" x14ac:dyDescent="0.2">
      <c r="A40" s="174">
        <v>15</v>
      </c>
      <c r="B40" s="167" t="s">
        <v>185</v>
      </c>
      <c r="C40" s="173" t="s">
        <v>417</v>
      </c>
      <c r="F40" s="169"/>
      <c r="G40" s="168"/>
      <c r="H40" s="169"/>
    </row>
    <row r="41" spans="1:8" x14ac:dyDescent="0.2">
      <c r="A41" s="174">
        <v>16</v>
      </c>
      <c r="B41" s="167" t="s">
        <v>186</v>
      </c>
      <c r="C41" s="173" t="s">
        <v>417</v>
      </c>
      <c r="G41" s="168"/>
      <c r="H41" s="169"/>
    </row>
    <row r="42" spans="1:8" x14ac:dyDescent="0.2">
      <c r="A42" s="174">
        <v>17</v>
      </c>
      <c r="B42" s="167" t="s">
        <v>186</v>
      </c>
      <c r="C42" s="173" t="s">
        <v>417</v>
      </c>
      <c r="G42" s="168"/>
    </row>
    <row r="43" spans="1:8" x14ac:dyDescent="0.2">
      <c r="A43" s="174">
        <v>18</v>
      </c>
      <c r="B43" s="167" t="s">
        <v>186</v>
      </c>
      <c r="C43" s="173" t="s">
        <v>417</v>
      </c>
      <c r="G43" s="168"/>
    </row>
    <row r="44" spans="1:8" x14ac:dyDescent="0.2">
      <c r="A44" s="174">
        <v>19</v>
      </c>
      <c r="B44" s="167" t="s">
        <v>186</v>
      </c>
      <c r="C44" s="173" t="s">
        <v>417</v>
      </c>
      <c r="G44" s="168"/>
    </row>
    <row r="45" spans="1:8" x14ac:dyDescent="0.2">
      <c r="A45" s="174">
        <v>20</v>
      </c>
      <c r="B45" s="167" t="s">
        <v>186</v>
      </c>
      <c r="C45" s="173" t="s">
        <v>417</v>
      </c>
      <c r="G45" s="168"/>
    </row>
    <row r="46" spans="1:8" x14ac:dyDescent="0.2">
      <c r="A46" s="174">
        <v>21</v>
      </c>
      <c r="B46" s="167" t="s">
        <v>186</v>
      </c>
      <c r="C46" s="173" t="s">
        <v>417</v>
      </c>
      <c r="G46" s="168"/>
    </row>
    <row r="47" spans="1:8" x14ac:dyDescent="0.2">
      <c r="A47" s="174">
        <v>22</v>
      </c>
      <c r="B47" s="167" t="s">
        <v>186</v>
      </c>
      <c r="C47" s="173" t="s">
        <v>417</v>
      </c>
      <c r="G47" s="168"/>
    </row>
    <row r="48" spans="1:8" x14ac:dyDescent="0.2">
      <c r="A48" s="174">
        <v>23</v>
      </c>
      <c r="B48" s="167" t="s">
        <v>187</v>
      </c>
      <c r="C48" s="173" t="s">
        <v>417</v>
      </c>
      <c r="G48" s="168"/>
    </row>
    <row r="49" spans="1:8" x14ac:dyDescent="0.2">
      <c r="A49" s="174">
        <v>24</v>
      </c>
      <c r="B49" s="167" t="s">
        <v>187</v>
      </c>
      <c r="C49" s="173" t="s">
        <v>417</v>
      </c>
      <c r="G49" s="168"/>
    </row>
    <row r="50" spans="1:8" x14ac:dyDescent="0.2">
      <c r="A50" s="174">
        <v>25</v>
      </c>
      <c r="B50" s="167" t="s">
        <v>187</v>
      </c>
      <c r="C50" s="173" t="s">
        <v>417</v>
      </c>
      <c r="G50" s="168"/>
    </row>
    <row r="51" spans="1:8" x14ac:dyDescent="0.2">
      <c r="A51" s="174">
        <v>26</v>
      </c>
      <c r="B51" s="167" t="s">
        <v>187</v>
      </c>
      <c r="C51" s="173" t="s">
        <v>417</v>
      </c>
      <c r="G51" s="168"/>
    </row>
    <row r="52" spans="1:8" x14ac:dyDescent="0.2">
      <c r="A52" s="174">
        <v>28</v>
      </c>
      <c r="B52" s="167" t="s">
        <v>187</v>
      </c>
      <c r="C52" s="173" t="s">
        <v>417</v>
      </c>
      <c r="G52" s="168"/>
    </row>
    <row r="53" spans="1:8" x14ac:dyDescent="0.2">
      <c r="A53" s="174">
        <v>29</v>
      </c>
      <c r="B53" s="167" t="s">
        <v>187</v>
      </c>
      <c r="C53" s="173" t="s">
        <v>417</v>
      </c>
      <c r="G53" s="168"/>
    </row>
    <row r="54" spans="1:8" x14ac:dyDescent="0.2">
      <c r="A54" s="174">
        <v>30</v>
      </c>
      <c r="B54" s="167" t="s">
        <v>187</v>
      </c>
      <c r="C54" s="173" t="s">
        <v>417</v>
      </c>
      <c r="G54" s="168"/>
    </row>
    <row r="55" spans="1:8" x14ac:dyDescent="0.2">
      <c r="A55" s="174">
        <v>31</v>
      </c>
      <c r="B55" s="167" t="s">
        <v>187</v>
      </c>
      <c r="C55" s="173" t="s">
        <v>417</v>
      </c>
      <c r="G55" s="168"/>
    </row>
    <row r="56" spans="1:8" x14ac:dyDescent="0.2">
      <c r="A56" s="174">
        <v>32</v>
      </c>
      <c r="B56" s="167" t="s">
        <v>187</v>
      </c>
      <c r="C56" s="173" t="s">
        <v>417</v>
      </c>
      <c r="F56" s="169"/>
      <c r="G56" s="168"/>
      <c r="H56" s="169"/>
    </row>
    <row r="57" spans="1:8" x14ac:dyDescent="0.2">
      <c r="A57" s="174">
        <v>33</v>
      </c>
      <c r="B57" s="167" t="s">
        <v>187</v>
      </c>
      <c r="C57" s="173" t="s">
        <v>417</v>
      </c>
      <c r="F57" s="169"/>
      <c r="G57" s="168"/>
      <c r="H57" s="169"/>
    </row>
    <row r="58" spans="1:8" x14ac:dyDescent="0.2">
      <c r="A58" s="174">
        <v>34</v>
      </c>
      <c r="B58" s="167" t="s">
        <v>187</v>
      </c>
      <c r="C58" s="173" t="s">
        <v>417</v>
      </c>
      <c r="F58" s="169"/>
      <c r="G58" s="168"/>
      <c r="H58" s="169"/>
    </row>
    <row r="59" spans="1:8" x14ac:dyDescent="0.2">
      <c r="A59" s="174">
        <v>35</v>
      </c>
      <c r="B59" s="167" t="s">
        <v>187</v>
      </c>
      <c r="C59" s="173" t="s">
        <v>417</v>
      </c>
      <c r="F59" s="169"/>
      <c r="G59" s="168"/>
      <c r="H59" s="169"/>
    </row>
    <row r="60" spans="1:8" x14ac:dyDescent="0.2">
      <c r="A60" s="174">
        <v>36</v>
      </c>
      <c r="B60" s="167" t="s">
        <v>187</v>
      </c>
      <c r="C60" s="173" t="s">
        <v>417</v>
      </c>
      <c r="F60" s="169"/>
      <c r="G60" s="168"/>
      <c r="H60" s="169"/>
    </row>
    <row r="61" spans="1:8" x14ac:dyDescent="0.2">
      <c r="A61" s="174">
        <v>37</v>
      </c>
      <c r="B61" s="167" t="s">
        <v>187</v>
      </c>
      <c r="C61" s="173" t="s">
        <v>417</v>
      </c>
      <c r="F61" s="169"/>
      <c r="G61" s="168"/>
      <c r="H61" s="169"/>
    </row>
    <row r="62" spans="1:8" x14ac:dyDescent="0.2">
      <c r="A62" s="174">
        <v>38</v>
      </c>
      <c r="B62" s="167" t="s">
        <v>187</v>
      </c>
      <c r="C62" s="173" t="s">
        <v>417</v>
      </c>
      <c r="F62" s="169"/>
      <c r="G62" s="168"/>
      <c r="H62" s="169"/>
    </row>
    <row r="63" spans="1:8" x14ac:dyDescent="0.2">
      <c r="A63" s="174">
        <v>39</v>
      </c>
      <c r="B63" s="167" t="s">
        <v>187</v>
      </c>
      <c r="C63" s="173" t="s">
        <v>417</v>
      </c>
      <c r="F63" s="169"/>
      <c r="G63" s="168"/>
      <c r="H63" s="169"/>
    </row>
    <row r="64" spans="1:8" x14ac:dyDescent="0.2">
      <c r="A64" s="174">
        <v>40</v>
      </c>
      <c r="B64" s="167" t="s">
        <v>186</v>
      </c>
      <c r="C64" s="173" t="s">
        <v>417</v>
      </c>
      <c r="F64" s="169"/>
      <c r="G64" s="168"/>
      <c r="H64" s="169"/>
    </row>
    <row r="65" spans="1:8" x14ac:dyDescent="0.2">
      <c r="A65" s="174">
        <v>41</v>
      </c>
      <c r="B65" s="167" t="s">
        <v>188</v>
      </c>
      <c r="C65" s="173" t="s">
        <v>417</v>
      </c>
      <c r="F65" s="169"/>
      <c r="G65" s="168"/>
      <c r="H65" s="169"/>
    </row>
    <row r="66" spans="1:8" x14ac:dyDescent="0.2">
      <c r="A66" s="174">
        <v>42</v>
      </c>
      <c r="B66" s="167" t="s">
        <v>189</v>
      </c>
      <c r="C66" s="173" t="s">
        <v>417</v>
      </c>
      <c r="F66" s="169"/>
      <c r="G66" s="168"/>
      <c r="H66" s="169"/>
    </row>
    <row r="67" spans="1:8" x14ac:dyDescent="0.2">
      <c r="A67" s="174">
        <v>43</v>
      </c>
      <c r="B67" s="167" t="s">
        <v>189</v>
      </c>
      <c r="C67" s="173" t="s">
        <v>417</v>
      </c>
      <c r="F67" s="169"/>
      <c r="G67" s="168"/>
      <c r="H67" s="169"/>
    </row>
    <row r="68" spans="1:8" x14ac:dyDescent="0.2">
      <c r="A68" s="174">
        <v>44</v>
      </c>
      <c r="B68" s="167" t="s">
        <v>188</v>
      </c>
      <c r="C68" s="173" t="s">
        <v>417</v>
      </c>
      <c r="F68" s="169"/>
      <c r="G68" s="168"/>
      <c r="H68" s="169"/>
    </row>
    <row r="69" spans="1:8" x14ac:dyDescent="0.2">
      <c r="A69" s="174">
        <v>45</v>
      </c>
      <c r="B69" s="167" t="s">
        <v>190</v>
      </c>
      <c r="C69" s="173" t="s">
        <v>417</v>
      </c>
      <c r="F69" s="169"/>
      <c r="G69" s="168"/>
      <c r="H69" s="169"/>
    </row>
    <row r="70" spans="1:8" x14ac:dyDescent="0.2">
      <c r="A70" s="174">
        <v>46</v>
      </c>
      <c r="B70" s="167" t="s">
        <v>191</v>
      </c>
      <c r="C70" s="173" t="s">
        <v>417</v>
      </c>
      <c r="F70" s="169"/>
      <c r="G70" s="168"/>
      <c r="H70" s="169"/>
    </row>
    <row r="71" spans="1:8" x14ac:dyDescent="0.2">
      <c r="A71" s="174">
        <v>47</v>
      </c>
      <c r="B71" s="167" t="s">
        <v>192</v>
      </c>
      <c r="C71" s="173" t="s">
        <v>417</v>
      </c>
      <c r="F71" s="169"/>
      <c r="G71" s="168"/>
      <c r="H71" s="169"/>
    </row>
    <row r="72" spans="1:8" x14ac:dyDescent="0.2">
      <c r="A72" s="174">
        <v>48</v>
      </c>
      <c r="B72" s="167" t="s">
        <v>193</v>
      </c>
      <c r="C72" s="173" t="s">
        <v>417</v>
      </c>
      <c r="F72" s="169"/>
      <c r="G72" s="168"/>
      <c r="H72" s="169"/>
    </row>
    <row r="73" spans="1:8" x14ac:dyDescent="0.2">
      <c r="A73" s="174">
        <v>49</v>
      </c>
      <c r="B73" s="167" t="s">
        <v>186</v>
      </c>
      <c r="C73" s="173" t="s">
        <v>417</v>
      </c>
      <c r="F73" s="169"/>
      <c r="G73" s="168"/>
      <c r="H73" s="169"/>
    </row>
    <row r="74" spans="1:8" x14ac:dyDescent="0.2">
      <c r="A74" s="174">
        <v>50</v>
      </c>
      <c r="B74" s="167" t="s">
        <v>194</v>
      </c>
      <c r="C74" s="173" t="s">
        <v>417</v>
      </c>
      <c r="F74" s="169"/>
      <c r="G74" s="168"/>
      <c r="H74" s="169"/>
    </row>
    <row r="75" spans="1:8" x14ac:dyDescent="0.2">
      <c r="A75" s="174">
        <v>51</v>
      </c>
      <c r="B75" s="167" t="s">
        <v>195</v>
      </c>
      <c r="C75" s="173" t="s">
        <v>416</v>
      </c>
      <c r="F75" s="169"/>
      <c r="G75" s="168"/>
      <c r="H75" s="169"/>
    </row>
    <row r="76" spans="1:8" x14ac:dyDescent="0.2">
      <c r="A76" s="174">
        <v>52</v>
      </c>
      <c r="B76" s="167" t="s">
        <v>196</v>
      </c>
      <c r="C76" s="173" t="s">
        <v>417</v>
      </c>
      <c r="F76" s="169"/>
      <c r="G76" s="168"/>
      <c r="H76" s="169"/>
    </row>
    <row r="77" spans="1:8" x14ac:dyDescent="0.2">
      <c r="A77" s="174">
        <v>53</v>
      </c>
      <c r="B77" s="167" t="s">
        <v>196</v>
      </c>
      <c r="C77" s="173" t="s">
        <v>417</v>
      </c>
      <c r="F77" s="169"/>
      <c r="G77" s="168"/>
      <c r="H77" s="169"/>
    </row>
    <row r="78" spans="1:8" x14ac:dyDescent="0.2">
      <c r="A78" s="174">
        <v>55</v>
      </c>
      <c r="B78" s="167" t="s">
        <v>196</v>
      </c>
      <c r="C78" s="173" t="s">
        <v>417</v>
      </c>
      <c r="F78" s="169"/>
      <c r="G78" s="168"/>
      <c r="H78" s="169"/>
    </row>
    <row r="79" spans="1:8" x14ac:dyDescent="0.2">
      <c r="A79" s="174">
        <v>56</v>
      </c>
      <c r="B79" s="167" t="s">
        <v>196</v>
      </c>
      <c r="C79" s="173" t="s">
        <v>417</v>
      </c>
      <c r="F79" s="169"/>
      <c r="G79" s="168"/>
      <c r="H79" s="169"/>
    </row>
    <row r="80" spans="1:8" x14ac:dyDescent="0.2">
      <c r="A80" s="174">
        <v>57</v>
      </c>
      <c r="B80" s="167" t="s">
        <v>196</v>
      </c>
      <c r="C80" s="173" t="s">
        <v>417</v>
      </c>
      <c r="F80" s="169"/>
      <c r="G80" s="168"/>
      <c r="H80" s="169"/>
    </row>
    <row r="81" spans="1:8" x14ac:dyDescent="0.2">
      <c r="A81" s="174">
        <v>58</v>
      </c>
      <c r="B81" s="167" t="s">
        <v>197</v>
      </c>
      <c r="C81" s="173" t="s">
        <v>416</v>
      </c>
      <c r="F81" s="169"/>
      <c r="G81" s="168"/>
      <c r="H81" s="169"/>
    </row>
    <row r="82" spans="1:8" x14ac:dyDescent="0.2">
      <c r="A82" s="174">
        <v>59</v>
      </c>
      <c r="B82" s="167" t="s">
        <v>196</v>
      </c>
      <c r="C82" s="173" t="s">
        <v>417</v>
      </c>
      <c r="F82" s="169"/>
      <c r="G82" s="168"/>
      <c r="H82" s="169"/>
    </row>
    <row r="83" spans="1:8" x14ac:dyDescent="0.2">
      <c r="A83" s="174">
        <v>60</v>
      </c>
      <c r="B83" s="167" t="s">
        <v>196</v>
      </c>
      <c r="C83" s="173" t="s">
        <v>417</v>
      </c>
      <c r="F83" s="169"/>
      <c r="G83" s="168"/>
      <c r="H83" s="169"/>
    </row>
    <row r="84" spans="1:8" x14ac:dyDescent="0.2">
      <c r="A84" s="174">
        <v>62</v>
      </c>
      <c r="B84" s="167" t="s">
        <v>198</v>
      </c>
      <c r="C84" s="173" t="s">
        <v>416</v>
      </c>
    </row>
    <row r="85" spans="1:8" x14ac:dyDescent="0.2">
      <c r="A85" s="174">
        <v>63</v>
      </c>
      <c r="B85" s="167" t="s">
        <v>189</v>
      </c>
      <c r="C85" s="173" t="s">
        <v>417</v>
      </c>
    </row>
    <row r="86" spans="1:8" x14ac:dyDescent="0.2">
      <c r="A86" s="174">
        <v>64</v>
      </c>
      <c r="B86" s="167" t="s">
        <v>196</v>
      </c>
      <c r="C86" s="173" t="s">
        <v>417</v>
      </c>
    </row>
    <row r="87" spans="1:8" x14ac:dyDescent="0.2">
      <c r="A87" s="174">
        <v>65</v>
      </c>
      <c r="B87" s="167" t="s">
        <v>199</v>
      </c>
      <c r="C87" s="173" t="s">
        <v>417</v>
      </c>
    </row>
    <row r="88" spans="1:8" x14ac:dyDescent="0.2">
      <c r="A88" s="174">
        <v>66</v>
      </c>
      <c r="B88" s="167" t="s">
        <v>199</v>
      </c>
      <c r="C88" s="173" t="s">
        <v>417</v>
      </c>
    </row>
    <row r="89" spans="1:8" x14ac:dyDescent="0.2">
      <c r="A89" s="174">
        <v>67</v>
      </c>
      <c r="B89" s="167" t="s">
        <v>200</v>
      </c>
      <c r="C89" s="173" t="s">
        <v>417</v>
      </c>
    </row>
    <row r="90" spans="1:8" x14ac:dyDescent="0.2">
      <c r="A90" s="174">
        <v>71</v>
      </c>
      <c r="B90" s="167" t="s">
        <v>200</v>
      </c>
      <c r="C90" s="173" t="s">
        <v>417</v>
      </c>
    </row>
    <row r="91" spans="1:8" x14ac:dyDescent="0.2">
      <c r="A91" s="174">
        <v>72</v>
      </c>
      <c r="B91" s="167" t="s">
        <v>200</v>
      </c>
      <c r="C91" s="173" t="s">
        <v>417</v>
      </c>
    </row>
    <row r="92" spans="1:8" x14ac:dyDescent="0.2">
      <c r="A92" s="174">
        <v>73</v>
      </c>
      <c r="B92" s="167" t="s">
        <v>200</v>
      </c>
      <c r="C92" s="173" t="s">
        <v>417</v>
      </c>
    </row>
    <row r="93" spans="1:8" x14ac:dyDescent="0.2">
      <c r="A93" s="174">
        <v>74</v>
      </c>
      <c r="B93" s="167" t="s">
        <v>201</v>
      </c>
      <c r="C93" s="173" t="s">
        <v>417</v>
      </c>
    </row>
    <row r="94" spans="1:8" x14ac:dyDescent="0.2">
      <c r="A94" s="174">
        <v>75</v>
      </c>
      <c r="B94" s="167" t="s">
        <v>202</v>
      </c>
      <c r="C94" s="173" t="s">
        <v>417</v>
      </c>
    </row>
    <row r="95" spans="1:8" x14ac:dyDescent="0.2">
      <c r="A95" s="174">
        <v>76</v>
      </c>
      <c r="B95" s="167" t="s">
        <v>202</v>
      </c>
      <c r="C95" s="173" t="s">
        <v>417</v>
      </c>
    </row>
    <row r="96" spans="1:8" x14ac:dyDescent="0.2">
      <c r="A96" s="174">
        <v>77</v>
      </c>
      <c r="B96" s="167" t="s">
        <v>202</v>
      </c>
      <c r="C96" s="173" t="s">
        <v>417</v>
      </c>
    </row>
    <row r="97" spans="1:3" x14ac:dyDescent="0.2">
      <c r="A97" s="174">
        <v>78</v>
      </c>
      <c r="B97" s="167" t="s">
        <v>203</v>
      </c>
      <c r="C97" s="173" t="s">
        <v>417</v>
      </c>
    </row>
    <row r="98" spans="1:3" x14ac:dyDescent="0.2">
      <c r="A98" s="174">
        <v>79</v>
      </c>
      <c r="B98" s="167" t="s">
        <v>204</v>
      </c>
      <c r="C98" s="173" t="s">
        <v>416</v>
      </c>
    </row>
    <row r="99" spans="1:3" x14ac:dyDescent="0.2">
      <c r="A99" s="174">
        <v>80</v>
      </c>
      <c r="B99" s="167" t="s">
        <v>205</v>
      </c>
      <c r="C99" s="173" t="s">
        <v>417</v>
      </c>
    </row>
    <row r="100" spans="1:3" x14ac:dyDescent="0.2">
      <c r="A100" s="174">
        <v>81</v>
      </c>
      <c r="B100" s="167" t="s">
        <v>206</v>
      </c>
      <c r="C100" s="173" t="s">
        <v>417</v>
      </c>
    </row>
    <row r="101" spans="1:3" x14ac:dyDescent="0.2">
      <c r="A101" s="174">
        <v>82</v>
      </c>
      <c r="B101" s="167" t="s">
        <v>207</v>
      </c>
      <c r="C101" s="173" t="s">
        <v>417</v>
      </c>
    </row>
    <row r="102" spans="1:3" x14ac:dyDescent="0.2">
      <c r="A102" s="174">
        <v>83</v>
      </c>
      <c r="B102" s="167" t="s">
        <v>207</v>
      </c>
      <c r="C102" s="173" t="s">
        <v>417</v>
      </c>
    </row>
    <row r="103" spans="1:3" x14ac:dyDescent="0.2">
      <c r="A103" s="174">
        <v>84</v>
      </c>
      <c r="B103" s="167" t="s">
        <v>207</v>
      </c>
      <c r="C103" s="173" t="s">
        <v>417</v>
      </c>
    </row>
    <row r="104" spans="1:3" x14ac:dyDescent="0.2">
      <c r="A104" s="174">
        <v>85</v>
      </c>
      <c r="B104" s="167" t="s">
        <v>207</v>
      </c>
      <c r="C104" s="173" t="s">
        <v>417</v>
      </c>
    </row>
    <row r="105" spans="1:3" x14ac:dyDescent="0.2">
      <c r="A105" s="174">
        <v>86</v>
      </c>
      <c r="B105" s="167" t="s">
        <v>207</v>
      </c>
      <c r="C105" s="173" t="s">
        <v>417</v>
      </c>
    </row>
    <row r="106" spans="1:3" x14ac:dyDescent="0.2">
      <c r="A106" s="174">
        <v>87</v>
      </c>
      <c r="B106" s="167" t="s">
        <v>207</v>
      </c>
      <c r="C106" s="173" t="s">
        <v>417</v>
      </c>
    </row>
    <row r="107" spans="1:3" x14ac:dyDescent="0.2">
      <c r="A107" s="174">
        <v>88</v>
      </c>
      <c r="B107" s="167" t="s">
        <v>207</v>
      </c>
      <c r="C107" s="173" t="s">
        <v>417</v>
      </c>
    </row>
    <row r="108" spans="1:3" x14ac:dyDescent="0.2">
      <c r="A108" s="174">
        <v>91</v>
      </c>
      <c r="B108" s="167" t="s">
        <v>208</v>
      </c>
      <c r="C108" s="173" t="s">
        <v>417</v>
      </c>
    </row>
    <row r="109" spans="1:3" x14ac:dyDescent="0.2">
      <c r="A109" s="174">
        <v>92</v>
      </c>
      <c r="B109" s="167" t="s">
        <v>208</v>
      </c>
      <c r="C109" s="173" t="s">
        <v>417</v>
      </c>
    </row>
    <row r="110" spans="1:3" x14ac:dyDescent="0.2">
      <c r="A110" s="174">
        <v>93</v>
      </c>
      <c r="B110" s="167" t="s">
        <v>209</v>
      </c>
      <c r="C110" s="173" t="s">
        <v>416</v>
      </c>
    </row>
    <row r="111" spans="1:3" x14ac:dyDescent="0.2">
      <c r="A111" s="174">
        <v>94</v>
      </c>
      <c r="B111" s="167" t="s">
        <v>208</v>
      </c>
      <c r="C111" s="173" t="s">
        <v>417</v>
      </c>
    </row>
    <row r="112" spans="1:3" x14ac:dyDescent="0.2">
      <c r="A112" s="174">
        <v>95</v>
      </c>
      <c r="B112" s="167" t="s">
        <v>208</v>
      </c>
      <c r="C112" s="173" t="s">
        <v>417</v>
      </c>
    </row>
    <row r="113" spans="1:3" x14ac:dyDescent="0.2">
      <c r="A113" s="174">
        <v>96</v>
      </c>
      <c r="B113" s="167" t="s">
        <v>208</v>
      </c>
      <c r="C113" s="173" t="s">
        <v>417</v>
      </c>
    </row>
    <row r="114" spans="1:3" x14ac:dyDescent="0.2">
      <c r="A114" s="174">
        <v>97</v>
      </c>
      <c r="B114" s="167" t="s">
        <v>210</v>
      </c>
      <c r="C114" s="173" t="s">
        <v>417</v>
      </c>
    </row>
    <row r="115" spans="1:3" x14ac:dyDescent="0.2">
      <c r="A115" s="174">
        <v>98</v>
      </c>
      <c r="B115" s="167" t="s">
        <v>211</v>
      </c>
      <c r="C115" s="173" t="s">
        <v>417</v>
      </c>
    </row>
    <row r="116" spans="1:3" x14ac:dyDescent="0.2">
      <c r="A116" s="174">
        <v>99</v>
      </c>
      <c r="B116" s="167" t="s">
        <v>212</v>
      </c>
      <c r="C116" s="173" t="s">
        <v>417</v>
      </c>
    </row>
    <row r="117" spans="1:3" x14ac:dyDescent="0.2">
      <c r="A117" s="174">
        <v>100</v>
      </c>
      <c r="B117" s="167" t="s">
        <v>212</v>
      </c>
      <c r="C117" s="173" t="s">
        <v>417</v>
      </c>
    </row>
    <row r="118" spans="1:3" x14ac:dyDescent="0.2">
      <c r="A118" s="174">
        <v>101</v>
      </c>
      <c r="B118" s="167" t="s">
        <v>213</v>
      </c>
      <c r="C118" s="173" t="s">
        <v>417</v>
      </c>
    </row>
    <row r="119" spans="1:3" x14ac:dyDescent="0.2">
      <c r="A119" s="174">
        <v>102</v>
      </c>
      <c r="B119" s="167" t="s">
        <v>213</v>
      </c>
      <c r="C119" s="173" t="s">
        <v>417</v>
      </c>
    </row>
    <row r="120" spans="1:3" x14ac:dyDescent="0.2">
      <c r="A120" s="174">
        <v>103</v>
      </c>
      <c r="B120" s="167" t="s">
        <v>213</v>
      </c>
      <c r="C120" s="173" t="s">
        <v>417</v>
      </c>
    </row>
    <row r="121" spans="1:3" x14ac:dyDescent="0.2">
      <c r="A121" s="174">
        <v>104</v>
      </c>
      <c r="B121" s="167" t="s">
        <v>214</v>
      </c>
      <c r="C121" s="173" t="s">
        <v>417</v>
      </c>
    </row>
    <row r="122" spans="1:3" x14ac:dyDescent="0.2">
      <c r="A122" s="174">
        <v>105</v>
      </c>
      <c r="B122" s="167" t="s">
        <v>214</v>
      </c>
      <c r="C122" s="173" t="s">
        <v>417</v>
      </c>
    </row>
    <row r="123" spans="1:3" x14ac:dyDescent="0.2">
      <c r="A123" s="174">
        <v>106</v>
      </c>
      <c r="B123" s="167" t="s">
        <v>214</v>
      </c>
      <c r="C123" s="173" t="s">
        <v>417</v>
      </c>
    </row>
    <row r="124" spans="1:3" x14ac:dyDescent="0.2">
      <c r="A124" s="174">
        <v>107</v>
      </c>
      <c r="B124" s="167" t="s">
        <v>214</v>
      </c>
      <c r="C124" s="173" t="s">
        <v>417</v>
      </c>
    </row>
    <row r="125" spans="1:3" x14ac:dyDescent="0.2">
      <c r="A125" s="174">
        <v>108</v>
      </c>
      <c r="B125" s="167" t="s">
        <v>214</v>
      </c>
      <c r="C125" s="173" t="s">
        <v>417</v>
      </c>
    </row>
    <row r="126" spans="1:3" x14ac:dyDescent="0.2">
      <c r="A126" s="174">
        <v>109</v>
      </c>
      <c r="B126" s="167" t="s">
        <v>214</v>
      </c>
      <c r="C126" s="173" t="s">
        <v>417</v>
      </c>
    </row>
    <row r="127" spans="1:3" x14ac:dyDescent="0.2">
      <c r="A127" s="174">
        <v>110</v>
      </c>
      <c r="B127" s="167" t="s">
        <v>214</v>
      </c>
      <c r="C127" s="173" t="s">
        <v>417</v>
      </c>
    </row>
    <row r="128" spans="1:3" x14ac:dyDescent="0.2">
      <c r="A128" s="174">
        <v>111</v>
      </c>
      <c r="B128" s="167" t="s">
        <v>215</v>
      </c>
      <c r="C128" s="173" t="s">
        <v>417</v>
      </c>
    </row>
    <row r="129" spans="1:3" x14ac:dyDescent="0.2">
      <c r="A129" s="174">
        <v>112</v>
      </c>
      <c r="B129" s="167" t="s">
        <v>216</v>
      </c>
      <c r="C129" s="173" t="s">
        <v>417</v>
      </c>
    </row>
    <row r="130" spans="1:3" x14ac:dyDescent="0.2">
      <c r="A130" s="174">
        <v>113</v>
      </c>
      <c r="B130" s="167" t="s">
        <v>216</v>
      </c>
      <c r="C130" s="173" t="s">
        <v>417</v>
      </c>
    </row>
    <row r="131" spans="1:3" x14ac:dyDescent="0.2">
      <c r="A131" s="174">
        <v>115</v>
      </c>
      <c r="B131" s="167" t="s">
        <v>216</v>
      </c>
      <c r="C131" s="173" t="s">
        <v>417</v>
      </c>
    </row>
    <row r="132" spans="1:3" x14ac:dyDescent="0.2">
      <c r="A132" s="174">
        <v>116</v>
      </c>
      <c r="B132" s="167" t="s">
        <v>216</v>
      </c>
      <c r="C132" s="173" t="s">
        <v>417</v>
      </c>
    </row>
    <row r="133" spans="1:3" x14ac:dyDescent="0.2">
      <c r="A133" s="174">
        <v>117</v>
      </c>
      <c r="B133" s="167" t="s">
        <v>216</v>
      </c>
      <c r="C133" s="173" t="s">
        <v>417</v>
      </c>
    </row>
    <row r="134" spans="1:3" x14ac:dyDescent="0.2">
      <c r="A134" s="174">
        <v>118</v>
      </c>
      <c r="B134" s="167" t="s">
        <v>217</v>
      </c>
      <c r="C134" s="173" t="s">
        <v>417</v>
      </c>
    </row>
    <row r="135" spans="1:3" x14ac:dyDescent="0.2">
      <c r="A135" s="174">
        <v>119</v>
      </c>
      <c r="B135" s="167" t="s">
        <v>217</v>
      </c>
      <c r="C135" s="173" t="s">
        <v>417</v>
      </c>
    </row>
    <row r="136" spans="1:3" x14ac:dyDescent="0.2">
      <c r="A136" s="174">
        <v>120</v>
      </c>
      <c r="B136" s="167" t="s">
        <v>189</v>
      </c>
      <c r="C136" s="173" t="s">
        <v>417</v>
      </c>
    </row>
    <row r="137" spans="1:3" x14ac:dyDescent="0.2">
      <c r="A137" s="174">
        <v>121</v>
      </c>
      <c r="B137" s="167" t="s">
        <v>218</v>
      </c>
      <c r="C137" s="173" t="s">
        <v>416</v>
      </c>
    </row>
    <row r="138" spans="1:3" x14ac:dyDescent="0.2">
      <c r="A138" s="174">
        <v>122</v>
      </c>
      <c r="B138" s="167" t="s">
        <v>219</v>
      </c>
      <c r="C138" s="173" t="s">
        <v>416</v>
      </c>
    </row>
    <row r="139" spans="1:3" x14ac:dyDescent="0.2">
      <c r="A139" s="174">
        <v>123</v>
      </c>
      <c r="B139" s="167" t="s">
        <v>220</v>
      </c>
      <c r="C139" s="173" t="s">
        <v>416</v>
      </c>
    </row>
    <row r="140" spans="1:3" x14ac:dyDescent="0.2">
      <c r="A140" s="174">
        <v>124</v>
      </c>
      <c r="B140" s="167" t="s">
        <v>220</v>
      </c>
      <c r="C140" s="173" t="s">
        <v>416</v>
      </c>
    </row>
    <row r="141" spans="1:3" x14ac:dyDescent="0.2">
      <c r="A141" s="174">
        <v>125</v>
      </c>
      <c r="B141" s="167" t="s">
        <v>220</v>
      </c>
      <c r="C141" s="173" t="s">
        <v>416</v>
      </c>
    </row>
    <row r="142" spans="1:3" x14ac:dyDescent="0.2">
      <c r="A142" s="174">
        <v>126</v>
      </c>
      <c r="B142" s="167" t="s">
        <v>221</v>
      </c>
      <c r="C142" s="173" t="s">
        <v>416</v>
      </c>
    </row>
    <row r="143" spans="1:3" x14ac:dyDescent="0.2">
      <c r="A143" s="174">
        <v>127</v>
      </c>
      <c r="B143" s="167" t="s">
        <v>222</v>
      </c>
      <c r="C143" s="173" t="s">
        <v>416</v>
      </c>
    </row>
    <row r="144" spans="1:3" x14ac:dyDescent="0.2">
      <c r="A144" s="174">
        <v>128</v>
      </c>
      <c r="B144" s="167" t="s">
        <v>223</v>
      </c>
      <c r="C144" s="173" t="s">
        <v>416</v>
      </c>
    </row>
    <row r="145" spans="1:3" x14ac:dyDescent="0.2">
      <c r="A145" s="174">
        <v>129</v>
      </c>
      <c r="B145" s="167" t="s">
        <v>222</v>
      </c>
      <c r="C145" s="173" t="s">
        <v>416</v>
      </c>
    </row>
    <row r="146" spans="1:3" x14ac:dyDescent="0.2">
      <c r="A146" s="174">
        <v>130</v>
      </c>
      <c r="B146" s="167" t="s">
        <v>224</v>
      </c>
      <c r="C146" s="173" t="s">
        <v>416</v>
      </c>
    </row>
    <row r="147" spans="1:3" x14ac:dyDescent="0.2">
      <c r="A147" s="174">
        <v>131</v>
      </c>
      <c r="B147" s="167" t="s">
        <v>224</v>
      </c>
      <c r="C147" s="173" t="s">
        <v>416</v>
      </c>
    </row>
    <row r="148" spans="1:3" x14ac:dyDescent="0.2">
      <c r="A148" s="174">
        <v>132</v>
      </c>
      <c r="B148" s="167" t="s">
        <v>225</v>
      </c>
      <c r="C148" s="173" t="s">
        <v>416</v>
      </c>
    </row>
    <row r="149" spans="1:3" x14ac:dyDescent="0.2">
      <c r="A149" s="174">
        <v>133</v>
      </c>
      <c r="B149" s="167" t="s">
        <v>225</v>
      </c>
      <c r="C149" s="173" t="s">
        <v>416</v>
      </c>
    </row>
    <row r="150" spans="1:3" x14ac:dyDescent="0.2">
      <c r="A150" s="174">
        <v>134</v>
      </c>
      <c r="B150" s="167" t="s">
        <v>225</v>
      </c>
      <c r="C150" s="173" t="s">
        <v>416</v>
      </c>
    </row>
    <row r="151" spans="1:3" x14ac:dyDescent="0.2">
      <c r="A151" s="174">
        <v>135</v>
      </c>
      <c r="B151" s="167" t="s">
        <v>225</v>
      </c>
      <c r="C151" s="173" t="s">
        <v>416</v>
      </c>
    </row>
    <row r="152" spans="1:3" x14ac:dyDescent="0.2">
      <c r="A152" s="174">
        <v>136</v>
      </c>
      <c r="B152" s="167" t="s">
        <v>225</v>
      </c>
      <c r="C152" s="173" t="s">
        <v>416</v>
      </c>
    </row>
    <row r="153" spans="1:3" x14ac:dyDescent="0.2">
      <c r="A153" s="174">
        <v>137</v>
      </c>
      <c r="B153" s="167" t="s">
        <v>225</v>
      </c>
      <c r="C153" s="173" t="s">
        <v>416</v>
      </c>
    </row>
    <row r="154" spans="1:3" x14ac:dyDescent="0.2">
      <c r="A154" s="174">
        <v>138</v>
      </c>
      <c r="B154" s="167" t="s">
        <v>225</v>
      </c>
      <c r="C154" s="173" t="s">
        <v>416</v>
      </c>
    </row>
    <row r="155" spans="1:3" x14ac:dyDescent="0.2">
      <c r="A155" s="174">
        <v>140</v>
      </c>
      <c r="B155" s="167" t="s">
        <v>209</v>
      </c>
      <c r="C155" s="173" t="s">
        <v>416</v>
      </c>
    </row>
    <row r="156" spans="1:3" x14ac:dyDescent="0.2">
      <c r="A156" s="174">
        <v>141</v>
      </c>
      <c r="B156" s="167" t="s">
        <v>226</v>
      </c>
      <c r="C156" s="173" t="s">
        <v>416</v>
      </c>
    </row>
    <row r="157" spans="1:3" x14ac:dyDescent="0.2">
      <c r="A157" s="174">
        <v>142</v>
      </c>
      <c r="B157" s="167" t="s">
        <v>226</v>
      </c>
      <c r="C157" s="173" t="s">
        <v>416</v>
      </c>
    </row>
    <row r="158" spans="1:3" x14ac:dyDescent="0.2">
      <c r="A158" s="174">
        <v>143</v>
      </c>
      <c r="B158" s="167" t="s">
        <v>212</v>
      </c>
      <c r="C158" s="173" t="s">
        <v>417</v>
      </c>
    </row>
    <row r="159" spans="1:3" x14ac:dyDescent="0.2">
      <c r="A159" s="174">
        <v>144</v>
      </c>
      <c r="B159" s="167" t="s">
        <v>227</v>
      </c>
      <c r="C159" s="173" t="s">
        <v>416</v>
      </c>
    </row>
    <row r="160" spans="1:3" x14ac:dyDescent="0.2">
      <c r="A160" s="174">
        <v>145</v>
      </c>
      <c r="B160" s="167" t="s">
        <v>227</v>
      </c>
      <c r="C160" s="173" t="s">
        <v>416</v>
      </c>
    </row>
    <row r="161" spans="1:3" x14ac:dyDescent="0.2">
      <c r="A161" s="174">
        <v>146</v>
      </c>
      <c r="B161" s="167" t="s">
        <v>227</v>
      </c>
      <c r="C161" s="173" t="s">
        <v>416</v>
      </c>
    </row>
    <row r="162" spans="1:3" x14ac:dyDescent="0.2">
      <c r="A162" s="174">
        <v>147</v>
      </c>
      <c r="B162" s="167" t="s">
        <v>227</v>
      </c>
      <c r="C162" s="173" t="s">
        <v>416</v>
      </c>
    </row>
    <row r="163" spans="1:3" x14ac:dyDescent="0.2">
      <c r="A163" s="174">
        <v>148</v>
      </c>
      <c r="B163" s="167" t="s">
        <v>228</v>
      </c>
      <c r="C163" s="173" t="s">
        <v>416</v>
      </c>
    </row>
    <row r="164" spans="1:3" x14ac:dyDescent="0.2">
      <c r="A164" s="174">
        <v>149</v>
      </c>
      <c r="B164" s="167" t="s">
        <v>229</v>
      </c>
      <c r="C164" s="173" t="s">
        <v>416</v>
      </c>
    </row>
    <row r="165" spans="1:3" x14ac:dyDescent="0.2">
      <c r="A165" s="174">
        <v>150</v>
      </c>
      <c r="B165" s="167" t="s">
        <v>221</v>
      </c>
      <c r="C165" s="173" t="s">
        <v>416</v>
      </c>
    </row>
    <row r="166" spans="1:3" x14ac:dyDescent="0.2">
      <c r="A166" s="174">
        <v>151</v>
      </c>
      <c r="B166" s="167" t="s">
        <v>221</v>
      </c>
      <c r="C166" s="173" t="s">
        <v>416</v>
      </c>
    </row>
    <row r="167" spans="1:3" x14ac:dyDescent="0.2">
      <c r="A167" s="174">
        <v>152</v>
      </c>
      <c r="B167" s="167" t="s">
        <v>221</v>
      </c>
      <c r="C167" s="173" t="s">
        <v>416</v>
      </c>
    </row>
    <row r="168" spans="1:3" x14ac:dyDescent="0.2">
      <c r="A168" s="174">
        <v>153</v>
      </c>
      <c r="B168" s="167" t="s">
        <v>221</v>
      </c>
      <c r="C168" s="173" t="s">
        <v>416</v>
      </c>
    </row>
    <row r="169" spans="1:3" x14ac:dyDescent="0.2">
      <c r="A169" s="174">
        <v>154</v>
      </c>
      <c r="B169" s="167" t="s">
        <v>221</v>
      </c>
      <c r="C169" s="173" t="s">
        <v>416</v>
      </c>
    </row>
    <row r="170" spans="1:3" x14ac:dyDescent="0.2">
      <c r="A170" s="174">
        <v>155</v>
      </c>
      <c r="B170" s="167" t="s">
        <v>209</v>
      </c>
      <c r="C170" s="173" t="s">
        <v>417</v>
      </c>
    </row>
    <row r="171" spans="1:3" x14ac:dyDescent="0.2">
      <c r="A171" s="174">
        <v>156</v>
      </c>
      <c r="B171" s="167" t="s">
        <v>221</v>
      </c>
      <c r="C171" s="173" t="s">
        <v>416</v>
      </c>
    </row>
    <row r="172" spans="1:3" x14ac:dyDescent="0.2">
      <c r="A172" s="174">
        <v>157</v>
      </c>
      <c r="B172" s="167" t="s">
        <v>221</v>
      </c>
      <c r="C172" s="173" t="s">
        <v>416</v>
      </c>
    </row>
    <row r="173" spans="1:3" x14ac:dyDescent="0.2">
      <c r="A173" s="174">
        <v>158</v>
      </c>
      <c r="B173" s="167" t="s">
        <v>221</v>
      </c>
      <c r="C173" s="173" t="s">
        <v>416</v>
      </c>
    </row>
    <row r="174" spans="1:3" x14ac:dyDescent="0.2">
      <c r="A174" s="174">
        <v>159</v>
      </c>
      <c r="B174" s="167" t="s">
        <v>196</v>
      </c>
      <c r="C174" s="173" t="s">
        <v>417</v>
      </c>
    </row>
    <row r="175" spans="1:3" x14ac:dyDescent="0.2">
      <c r="A175" s="174">
        <v>160</v>
      </c>
      <c r="B175" s="167" t="s">
        <v>221</v>
      </c>
      <c r="C175" s="173" t="s">
        <v>416</v>
      </c>
    </row>
    <row r="176" spans="1:3" x14ac:dyDescent="0.2">
      <c r="A176" s="174">
        <v>161</v>
      </c>
      <c r="B176" s="167" t="s">
        <v>221</v>
      </c>
      <c r="C176" s="173" t="s">
        <v>416</v>
      </c>
    </row>
    <row r="177" spans="1:3" x14ac:dyDescent="0.2">
      <c r="A177" s="174">
        <v>162</v>
      </c>
      <c r="B177" s="167" t="s">
        <v>221</v>
      </c>
      <c r="C177" s="173" t="s">
        <v>416</v>
      </c>
    </row>
    <row r="178" spans="1:3" x14ac:dyDescent="0.2">
      <c r="A178" s="174">
        <v>163</v>
      </c>
      <c r="B178" s="167" t="s">
        <v>221</v>
      </c>
      <c r="C178" s="173" t="s">
        <v>416</v>
      </c>
    </row>
    <row r="179" spans="1:3" x14ac:dyDescent="0.2">
      <c r="A179" s="174">
        <v>164</v>
      </c>
      <c r="B179" s="167" t="s">
        <v>221</v>
      </c>
      <c r="C179" s="173" t="s">
        <v>416</v>
      </c>
    </row>
    <row r="180" spans="1:3" x14ac:dyDescent="0.2">
      <c r="A180" s="174">
        <v>165</v>
      </c>
      <c r="B180" s="167" t="s">
        <v>221</v>
      </c>
      <c r="C180" s="173" t="s">
        <v>416</v>
      </c>
    </row>
    <row r="181" spans="1:3" x14ac:dyDescent="0.2">
      <c r="A181" s="174">
        <v>166</v>
      </c>
      <c r="B181" s="167" t="s">
        <v>221</v>
      </c>
      <c r="C181" s="173" t="s">
        <v>416</v>
      </c>
    </row>
    <row r="182" spans="1:3" x14ac:dyDescent="0.2">
      <c r="A182" s="174">
        <v>167</v>
      </c>
      <c r="B182" s="167" t="s">
        <v>221</v>
      </c>
      <c r="C182" s="173" t="s">
        <v>416</v>
      </c>
    </row>
    <row r="183" spans="1:3" x14ac:dyDescent="0.2">
      <c r="A183" s="174">
        <v>168</v>
      </c>
      <c r="B183" s="167" t="s">
        <v>221</v>
      </c>
      <c r="C183" s="173" t="s">
        <v>416</v>
      </c>
    </row>
    <row r="184" spans="1:3" x14ac:dyDescent="0.2">
      <c r="A184" s="174">
        <v>169</v>
      </c>
      <c r="B184" s="167" t="s">
        <v>221</v>
      </c>
      <c r="C184" s="173" t="s">
        <v>416</v>
      </c>
    </row>
    <row r="185" spans="1:3" x14ac:dyDescent="0.2">
      <c r="A185" s="174">
        <v>170</v>
      </c>
      <c r="B185" s="167" t="s">
        <v>221</v>
      </c>
      <c r="C185" s="173" t="s">
        <v>416</v>
      </c>
    </row>
    <row r="186" spans="1:3" x14ac:dyDescent="0.2">
      <c r="A186" s="174">
        <v>171</v>
      </c>
      <c r="B186" s="167" t="s">
        <v>221</v>
      </c>
      <c r="C186" s="173" t="s">
        <v>416</v>
      </c>
    </row>
    <row r="187" spans="1:3" x14ac:dyDescent="0.2">
      <c r="A187" s="174">
        <v>172</v>
      </c>
      <c r="B187" s="167" t="s">
        <v>221</v>
      </c>
      <c r="C187" s="173" t="s">
        <v>416</v>
      </c>
    </row>
    <row r="188" spans="1:3" x14ac:dyDescent="0.2">
      <c r="A188" s="174">
        <v>173</v>
      </c>
      <c r="B188" s="167" t="s">
        <v>221</v>
      </c>
      <c r="C188" s="173" t="s">
        <v>416</v>
      </c>
    </row>
    <row r="189" spans="1:3" x14ac:dyDescent="0.2">
      <c r="A189" s="174">
        <v>174</v>
      </c>
      <c r="B189" s="167" t="s">
        <v>221</v>
      </c>
      <c r="C189" s="173" t="s">
        <v>416</v>
      </c>
    </row>
    <row r="190" spans="1:3" x14ac:dyDescent="0.2">
      <c r="A190" s="174">
        <v>175</v>
      </c>
      <c r="B190" s="167" t="s">
        <v>221</v>
      </c>
      <c r="C190" s="173" t="s">
        <v>416</v>
      </c>
    </row>
    <row r="191" spans="1:3" x14ac:dyDescent="0.2">
      <c r="A191" s="174">
        <v>176</v>
      </c>
      <c r="B191" s="167" t="s">
        <v>221</v>
      </c>
      <c r="C191" s="173" t="s">
        <v>416</v>
      </c>
    </row>
    <row r="192" spans="1:3" x14ac:dyDescent="0.2">
      <c r="A192" s="174">
        <v>177</v>
      </c>
      <c r="B192" s="167" t="s">
        <v>221</v>
      </c>
      <c r="C192" s="173" t="s">
        <v>416</v>
      </c>
    </row>
    <row r="193" spans="1:3" x14ac:dyDescent="0.2">
      <c r="A193" s="174">
        <v>178</v>
      </c>
      <c r="B193" s="167" t="s">
        <v>230</v>
      </c>
      <c r="C193" s="173" t="s">
        <v>416</v>
      </c>
    </row>
    <row r="194" spans="1:3" x14ac:dyDescent="0.2">
      <c r="A194" s="174">
        <v>179</v>
      </c>
      <c r="B194" s="167" t="s">
        <v>221</v>
      </c>
      <c r="C194" s="173" t="s">
        <v>416</v>
      </c>
    </row>
    <row r="195" spans="1:3" x14ac:dyDescent="0.2">
      <c r="A195" s="174">
        <v>180</v>
      </c>
      <c r="B195" s="167" t="s">
        <v>221</v>
      </c>
      <c r="C195" s="173" t="s">
        <v>416</v>
      </c>
    </row>
    <row r="196" spans="1:3" x14ac:dyDescent="0.2">
      <c r="A196" s="174">
        <v>181</v>
      </c>
      <c r="B196" s="167" t="s">
        <v>221</v>
      </c>
      <c r="C196" s="173" t="s">
        <v>416</v>
      </c>
    </row>
    <row r="197" spans="1:3" x14ac:dyDescent="0.2">
      <c r="A197" s="174">
        <v>182</v>
      </c>
      <c r="B197" s="167" t="s">
        <v>221</v>
      </c>
      <c r="C197" s="173" t="s">
        <v>416</v>
      </c>
    </row>
    <row r="198" spans="1:3" x14ac:dyDescent="0.2">
      <c r="A198" s="174">
        <v>183</v>
      </c>
      <c r="B198" s="167" t="s">
        <v>221</v>
      </c>
      <c r="C198" s="173" t="s">
        <v>416</v>
      </c>
    </row>
    <row r="199" spans="1:3" x14ac:dyDescent="0.2">
      <c r="A199" s="174">
        <v>184</v>
      </c>
      <c r="B199" s="167" t="s">
        <v>221</v>
      </c>
      <c r="C199" s="173" t="s">
        <v>416</v>
      </c>
    </row>
    <row r="200" spans="1:3" x14ac:dyDescent="0.2">
      <c r="A200" s="174">
        <v>185</v>
      </c>
      <c r="B200" s="167" t="s">
        <v>221</v>
      </c>
      <c r="C200" s="173" t="s">
        <v>416</v>
      </c>
    </row>
    <row r="201" spans="1:3" x14ac:dyDescent="0.2">
      <c r="A201" s="174">
        <v>186</v>
      </c>
      <c r="B201" s="167" t="s">
        <v>221</v>
      </c>
      <c r="C201" s="173" t="s">
        <v>416</v>
      </c>
    </row>
    <row r="202" spans="1:3" x14ac:dyDescent="0.2">
      <c r="A202" s="174">
        <v>187</v>
      </c>
      <c r="B202" s="167" t="s">
        <v>221</v>
      </c>
      <c r="C202" s="173" t="s">
        <v>416</v>
      </c>
    </row>
    <row r="203" spans="1:3" x14ac:dyDescent="0.2">
      <c r="A203" s="174">
        <v>188</v>
      </c>
      <c r="B203" s="167" t="s">
        <v>221</v>
      </c>
      <c r="C203" s="173" t="s">
        <v>416</v>
      </c>
    </row>
    <row r="204" spans="1:3" x14ac:dyDescent="0.2">
      <c r="A204" s="174">
        <v>189</v>
      </c>
      <c r="B204" s="167" t="s">
        <v>221</v>
      </c>
      <c r="C204" s="173" t="s">
        <v>417</v>
      </c>
    </row>
    <row r="205" spans="1:3" x14ac:dyDescent="0.2">
      <c r="A205" s="174">
        <v>190</v>
      </c>
      <c r="B205" s="167" t="s">
        <v>221</v>
      </c>
      <c r="C205" s="173" t="s">
        <v>417</v>
      </c>
    </row>
    <row r="206" spans="1:3" x14ac:dyDescent="0.2">
      <c r="A206" s="174">
        <v>191</v>
      </c>
      <c r="B206" s="167" t="s">
        <v>221</v>
      </c>
      <c r="C206" s="173" t="s">
        <v>417</v>
      </c>
    </row>
    <row r="207" spans="1:3" x14ac:dyDescent="0.2">
      <c r="A207" s="174">
        <v>192</v>
      </c>
      <c r="B207" s="167" t="s">
        <v>221</v>
      </c>
      <c r="C207" s="173" t="s">
        <v>417</v>
      </c>
    </row>
    <row r="208" spans="1:3" x14ac:dyDescent="0.2">
      <c r="A208" s="174">
        <v>193</v>
      </c>
      <c r="B208" s="167" t="s">
        <v>221</v>
      </c>
      <c r="C208" s="173" t="s">
        <v>417</v>
      </c>
    </row>
    <row r="209" spans="1:3" x14ac:dyDescent="0.2">
      <c r="A209" s="174">
        <v>194</v>
      </c>
      <c r="B209" s="167" t="s">
        <v>221</v>
      </c>
      <c r="C209" s="173" t="s">
        <v>417</v>
      </c>
    </row>
    <row r="210" spans="1:3" x14ac:dyDescent="0.2">
      <c r="A210" s="174">
        <v>195</v>
      </c>
      <c r="B210" s="167" t="s">
        <v>221</v>
      </c>
      <c r="C210" s="173" t="s">
        <v>417</v>
      </c>
    </row>
    <row r="211" spans="1:3" x14ac:dyDescent="0.2">
      <c r="A211" s="174">
        <v>196</v>
      </c>
      <c r="B211" s="167" t="s">
        <v>221</v>
      </c>
      <c r="C211" s="173" t="s">
        <v>417</v>
      </c>
    </row>
    <row r="212" spans="1:3" x14ac:dyDescent="0.2">
      <c r="A212" s="174">
        <v>197</v>
      </c>
      <c r="B212" s="167" t="s">
        <v>221</v>
      </c>
      <c r="C212" s="173" t="s">
        <v>417</v>
      </c>
    </row>
    <row r="213" spans="1:3" x14ac:dyDescent="0.2">
      <c r="A213" s="174">
        <v>198</v>
      </c>
      <c r="B213" s="167" t="s">
        <v>221</v>
      </c>
      <c r="C213" s="173" t="s">
        <v>417</v>
      </c>
    </row>
    <row r="214" spans="1:3" x14ac:dyDescent="0.2">
      <c r="A214" s="174">
        <v>199</v>
      </c>
      <c r="B214" s="167" t="s">
        <v>221</v>
      </c>
      <c r="C214" s="173" t="s">
        <v>417</v>
      </c>
    </row>
    <row r="215" spans="1:3" x14ac:dyDescent="0.2">
      <c r="A215" s="174">
        <v>201</v>
      </c>
      <c r="B215" s="167" t="s">
        <v>221</v>
      </c>
      <c r="C215" s="173" t="s">
        <v>417</v>
      </c>
    </row>
    <row r="216" spans="1:3" x14ac:dyDescent="0.2">
      <c r="A216" s="174">
        <v>202</v>
      </c>
      <c r="B216" s="167" t="s">
        <v>221</v>
      </c>
      <c r="C216" s="173" t="s">
        <v>417</v>
      </c>
    </row>
    <row r="217" spans="1:3" x14ac:dyDescent="0.2">
      <c r="A217" s="174">
        <v>203</v>
      </c>
      <c r="B217" s="167" t="s">
        <v>221</v>
      </c>
      <c r="C217" s="173" t="s">
        <v>417</v>
      </c>
    </row>
    <row r="218" spans="1:3" x14ac:dyDescent="0.2">
      <c r="A218" s="174">
        <v>204</v>
      </c>
      <c r="B218" s="167" t="s">
        <v>221</v>
      </c>
      <c r="C218" s="173" t="s">
        <v>417</v>
      </c>
    </row>
    <row r="219" spans="1:3" x14ac:dyDescent="0.2">
      <c r="A219" s="174">
        <v>205</v>
      </c>
      <c r="B219" s="167" t="s">
        <v>221</v>
      </c>
      <c r="C219" s="173" t="s">
        <v>417</v>
      </c>
    </row>
    <row r="220" spans="1:3" x14ac:dyDescent="0.2">
      <c r="A220" s="174">
        <v>206</v>
      </c>
      <c r="B220" s="167" t="s">
        <v>221</v>
      </c>
      <c r="C220" s="173" t="s">
        <v>417</v>
      </c>
    </row>
    <row r="221" spans="1:3" x14ac:dyDescent="0.2">
      <c r="A221" s="174">
        <v>207</v>
      </c>
      <c r="B221" s="167" t="s">
        <v>221</v>
      </c>
      <c r="C221" s="173" t="s">
        <v>417</v>
      </c>
    </row>
    <row r="222" spans="1:3" x14ac:dyDescent="0.2">
      <c r="A222" s="174">
        <v>208</v>
      </c>
      <c r="B222" s="167" t="s">
        <v>221</v>
      </c>
      <c r="C222" s="173" t="s">
        <v>417</v>
      </c>
    </row>
    <row r="223" spans="1:3" x14ac:dyDescent="0.2">
      <c r="A223" s="174">
        <v>209</v>
      </c>
      <c r="B223" s="167" t="s">
        <v>221</v>
      </c>
      <c r="C223" s="173" t="s">
        <v>416</v>
      </c>
    </row>
    <row r="224" spans="1:3" x14ac:dyDescent="0.2">
      <c r="A224" s="174">
        <v>210</v>
      </c>
      <c r="B224" s="167" t="s">
        <v>221</v>
      </c>
      <c r="C224" s="173" t="s">
        <v>416</v>
      </c>
    </row>
    <row r="225" spans="1:3" x14ac:dyDescent="0.2">
      <c r="A225" s="174">
        <v>211</v>
      </c>
      <c r="B225" s="167" t="s">
        <v>221</v>
      </c>
      <c r="C225" s="173" t="s">
        <v>416</v>
      </c>
    </row>
    <row r="226" spans="1:3" x14ac:dyDescent="0.2">
      <c r="A226" s="174">
        <v>212</v>
      </c>
      <c r="B226" s="167" t="s">
        <v>221</v>
      </c>
      <c r="C226" s="173" t="s">
        <v>416</v>
      </c>
    </row>
    <row r="227" spans="1:3" x14ac:dyDescent="0.2">
      <c r="A227" s="174">
        <v>213</v>
      </c>
      <c r="B227" s="167" t="s">
        <v>221</v>
      </c>
      <c r="C227" s="173" t="s">
        <v>416</v>
      </c>
    </row>
    <row r="228" spans="1:3" x14ac:dyDescent="0.2">
      <c r="A228" s="174">
        <v>214</v>
      </c>
      <c r="B228" s="167" t="s">
        <v>221</v>
      </c>
      <c r="C228" s="173" t="s">
        <v>416</v>
      </c>
    </row>
    <row r="229" spans="1:3" x14ac:dyDescent="0.2">
      <c r="A229" s="174">
        <v>215</v>
      </c>
      <c r="B229" s="167" t="s">
        <v>221</v>
      </c>
      <c r="C229" s="173" t="s">
        <v>416</v>
      </c>
    </row>
    <row r="230" spans="1:3" x14ac:dyDescent="0.2">
      <c r="A230" s="174">
        <v>216</v>
      </c>
      <c r="B230" s="167" t="s">
        <v>221</v>
      </c>
      <c r="C230" s="173" t="s">
        <v>416</v>
      </c>
    </row>
    <row r="231" spans="1:3" x14ac:dyDescent="0.2">
      <c r="A231" s="174">
        <v>217</v>
      </c>
      <c r="B231" s="167" t="s">
        <v>221</v>
      </c>
      <c r="C231" s="173" t="s">
        <v>416</v>
      </c>
    </row>
    <row r="232" spans="1:3" x14ac:dyDescent="0.2">
      <c r="A232" s="174">
        <v>218</v>
      </c>
      <c r="B232" s="167" t="s">
        <v>221</v>
      </c>
      <c r="C232" s="173" t="s">
        <v>416</v>
      </c>
    </row>
    <row r="233" spans="1:3" x14ac:dyDescent="0.2">
      <c r="A233" s="174">
        <v>219</v>
      </c>
      <c r="B233" s="167" t="s">
        <v>221</v>
      </c>
      <c r="C233" s="173" t="s">
        <v>416</v>
      </c>
    </row>
    <row r="234" spans="1:3" x14ac:dyDescent="0.2">
      <c r="A234" s="174">
        <v>220</v>
      </c>
      <c r="B234" s="167" t="s">
        <v>221</v>
      </c>
      <c r="C234" s="173" t="s">
        <v>416</v>
      </c>
    </row>
    <row r="235" spans="1:3" x14ac:dyDescent="0.2">
      <c r="A235" s="174">
        <v>221</v>
      </c>
      <c r="B235" s="167" t="s">
        <v>221</v>
      </c>
      <c r="C235" s="173" t="s">
        <v>416</v>
      </c>
    </row>
    <row r="236" spans="1:3" x14ac:dyDescent="0.2">
      <c r="A236" s="174">
        <v>222</v>
      </c>
      <c r="B236" s="167" t="s">
        <v>221</v>
      </c>
      <c r="C236" s="173" t="s">
        <v>416</v>
      </c>
    </row>
    <row r="237" spans="1:3" x14ac:dyDescent="0.2">
      <c r="A237" s="174">
        <v>223</v>
      </c>
      <c r="B237" s="167" t="s">
        <v>221</v>
      </c>
      <c r="C237" s="173" t="s">
        <v>416</v>
      </c>
    </row>
    <row r="238" spans="1:3" x14ac:dyDescent="0.2">
      <c r="A238" s="174">
        <v>224</v>
      </c>
      <c r="B238" s="167" t="s">
        <v>221</v>
      </c>
      <c r="C238" s="173" t="s">
        <v>416</v>
      </c>
    </row>
    <row r="239" spans="1:3" x14ac:dyDescent="0.2">
      <c r="A239" s="174">
        <v>225</v>
      </c>
      <c r="B239" s="167" t="s">
        <v>221</v>
      </c>
      <c r="C239" s="173" t="s">
        <v>416</v>
      </c>
    </row>
    <row r="240" spans="1:3" x14ac:dyDescent="0.2">
      <c r="A240" s="174">
        <v>226</v>
      </c>
      <c r="B240" s="167" t="s">
        <v>221</v>
      </c>
      <c r="C240" s="173" t="s">
        <v>416</v>
      </c>
    </row>
    <row r="241" spans="1:3" x14ac:dyDescent="0.2">
      <c r="A241" s="174">
        <v>227</v>
      </c>
      <c r="B241" s="167" t="s">
        <v>221</v>
      </c>
      <c r="C241" s="173" t="s">
        <v>416</v>
      </c>
    </row>
    <row r="242" spans="1:3" x14ac:dyDescent="0.2">
      <c r="A242" s="174">
        <v>228</v>
      </c>
      <c r="B242" s="167" t="s">
        <v>231</v>
      </c>
      <c r="C242" s="173" t="s">
        <v>417</v>
      </c>
    </row>
    <row r="243" spans="1:3" x14ac:dyDescent="0.2">
      <c r="A243" s="174">
        <v>229</v>
      </c>
      <c r="B243" s="167" t="s">
        <v>231</v>
      </c>
      <c r="C243" s="173" t="s">
        <v>417</v>
      </c>
    </row>
    <row r="244" spans="1:3" x14ac:dyDescent="0.2">
      <c r="A244" s="174">
        <v>230</v>
      </c>
      <c r="B244" s="167" t="s">
        <v>221</v>
      </c>
      <c r="C244" s="173" t="s">
        <v>417</v>
      </c>
    </row>
    <row r="245" spans="1:3" x14ac:dyDescent="0.2">
      <c r="A245" s="174">
        <v>231</v>
      </c>
      <c r="B245" s="167" t="s">
        <v>209</v>
      </c>
      <c r="C245" s="173" t="s">
        <v>416</v>
      </c>
    </row>
    <row r="246" spans="1:3" x14ac:dyDescent="0.2">
      <c r="A246" s="174">
        <v>233</v>
      </c>
      <c r="B246" s="167" t="s">
        <v>209</v>
      </c>
      <c r="C246" s="173" t="s">
        <v>416</v>
      </c>
    </row>
    <row r="247" spans="1:3" x14ac:dyDescent="0.2">
      <c r="A247" s="174">
        <v>234</v>
      </c>
      <c r="B247" s="167" t="s">
        <v>209</v>
      </c>
      <c r="C247" s="173" t="s">
        <v>416</v>
      </c>
    </row>
    <row r="248" spans="1:3" x14ac:dyDescent="0.2">
      <c r="A248" s="174">
        <v>235</v>
      </c>
      <c r="B248" s="167" t="s">
        <v>209</v>
      </c>
      <c r="C248" s="173" t="s">
        <v>416</v>
      </c>
    </row>
    <row r="249" spans="1:3" x14ac:dyDescent="0.2">
      <c r="A249" s="174">
        <v>236</v>
      </c>
      <c r="B249" s="167" t="s">
        <v>209</v>
      </c>
      <c r="C249" s="173" t="s">
        <v>416</v>
      </c>
    </row>
    <row r="250" spans="1:3" x14ac:dyDescent="0.2">
      <c r="A250" s="174">
        <v>237</v>
      </c>
      <c r="B250" s="167" t="s">
        <v>209</v>
      </c>
      <c r="C250" s="173" t="s">
        <v>416</v>
      </c>
    </row>
    <row r="251" spans="1:3" x14ac:dyDescent="0.2">
      <c r="A251" s="174">
        <v>238</v>
      </c>
      <c r="B251" s="167" t="s">
        <v>221</v>
      </c>
      <c r="C251" s="173" t="s">
        <v>416</v>
      </c>
    </row>
    <row r="252" spans="1:3" x14ac:dyDescent="0.2">
      <c r="A252" s="174">
        <v>241</v>
      </c>
      <c r="B252" s="167" t="s">
        <v>232</v>
      </c>
      <c r="C252" s="173" t="s">
        <v>416</v>
      </c>
    </row>
    <row r="253" spans="1:3" x14ac:dyDescent="0.2">
      <c r="A253" s="174">
        <v>242</v>
      </c>
      <c r="B253" s="167" t="s">
        <v>233</v>
      </c>
      <c r="C253" s="173" t="s">
        <v>416</v>
      </c>
    </row>
    <row r="254" spans="1:3" x14ac:dyDescent="0.2">
      <c r="A254" s="174">
        <v>243</v>
      </c>
      <c r="B254" s="167" t="s">
        <v>197</v>
      </c>
      <c r="C254" s="173" t="s">
        <v>416</v>
      </c>
    </row>
    <row r="255" spans="1:3" x14ac:dyDescent="0.2">
      <c r="A255" s="174">
        <v>244</v>
      </c>
      <c r="B255" s="167" t="s">
        <v>221</v>
      </c>
      <c r="C255" s="173" t="s">
        <v>416</v>
      </c>
    </row>
    <row r="256" spans="1:3" x14ac:dyDescent="0.2">
      <c r="A256" s="174">
        <v>245</v>
      </c>
      <c r="B256" s="167" t="s">
        <v>233</v>
      </c>
      <c r="C256" s="173" t="s">
        <v>416</v>
      </c>
    </row>
    <row r="257" spans="1:3" x14ac:dyDescent="0.2">
      <c r="A257" s="174">
        <v>246</v>
      </c>
      <c r="B257" s="167" t="s">
        <v>234</v>
      </c>
      <c r="C257" s="173" t="s">
        <v>416</v>
      </c>
    </row>
    <row r="258" spans="1:3" x14ac:dyDescent="0.2">
      <c r="A258" s="174">
        <v>247</v>
      </c>
      <c r="B258" s="167" t="s">
        <v>233</v>
      </c>
      <c r="C258" s="173" t="s">
        <v>416</v>
      </c>
    </row>
    <row r="259" spans="1:3" x14ac:dyDescent="0.2">
      <c r="A259" s="174">
        <v>248</v>
      </c>
      <c r="B259" s="167" t="s">
        <v>221</v>
      </c>
      <c r="C259" s="173" t="s">
        <v>416</v>
      </c>
    </row>
    <row r="260" spans="1:3" x14ac:dyDescent="0.2">
      <c r="A260" s="174">
        <v>249</v>
      </c>
      <c r="B260" s="167" t="s">
        <v>233</v>
      </c>
      <c r="C260" s="173" t="s">
        <v>416</v>
      </c>
    </row>
    <row r="261" spans="1:3" x14ac:dyDescent="0.2">
      <c r="A261" s="174">
        <v>250</v>
      </c>
      <c r="B261" s="167" t="s">
        <v>235</v>
      </c>
      <c r="C261" s="173" t="s">
        <v>417</v>
      </c>
    </row>
    <row r="262" spans="1:3" x14ac:dyDescent="0.2">
      <c r="A262" s="174">
        <v>251</v>
      </c>
      <c r="B262" s="167" t="s">
        <v>235</v>
      </c>
      <c r="C262" s="173" t="s">
        <v>417</v>
      </c>
    </row>
    <row r="263" spans="1:3" x14ac:dyDescent="0.2">
      <c r="A263" s="174">
        <v>252</v>
      </c>
      <c r="B263" s="167" t="s">
        <v>235</v>
      </c>
      <c r="C263" s="173" t="s">
        <v>417</v>
      </c>
    </row>
    <row r="264" spans="1:3" x14ac:dyDescent="0.2">
      <c r="A264" s="174">
        <v>253</v>
      </c>
      <c r="B264" s="167" t="s">
        <v>235</v>
      </c>
      <c r="C264" s="173" t="s">
        <v>417</v>
      </c>
    </row>
    <row r="265" spans="1:3" x14ac:dyDescent="0.2">
      <c r="A265" s="174">
        <v>254</v>
      </c>
      <c r="B265" s="167" t="s">
        <v>236</v>
      </c>
      <c r="C265" s="173" t="s">
        <v>416</v>
      </c>
    </row>
    <row r="266" spans="1:3" x14ac:dyDescent="0.2">
      <c r="A266" s="174">
        <v>255</v>
      </c>
      <c r="B266" s="167" t="s">
        <v>237</v>
      </c>
      <c r="C266" s="173" t="s">
        <v>416</v>
      </c>
    </row>
    <row r="267" spans="1:3" x14ac:dyDescent="0.2">
      <c r="A267" s="174">
        <v>257</v>
      </c>
      <c r="B267" s="167" t="s">
        <v>238</v>
      </c>
      <c r="C267" s="173" t="s">
        <v>416</v>
      </c>
    </row>
    <row r="268" spans="1:3" x14ac:dyDescent="0.2">
      <c r="A268" s="174">
        <v>258</v>
      </c>
      <c r="B268" s="167" t="s">
        <v>239</v>
      </c>
      <c r="C268" s="173" t="s">
        <v>416</v>
      </c>
    </row>
    <row r="269" spans="1:3" x14ac:dyDescent="0.2">
      <c r="A269" s="174">
        <v>259</v>
      </c>
      <c r="B269" s="167" t="s">
        <v>240</v>
      </c>
      <c r="C269" s="173" t="s">
        <v>416</v>
      </c>
    </row>
    <row r="270" spans="1:3" x14ac:dyDescent="0.2">
      <c r="A270" s="174">
        <v>260</v>
      </c>
      <c r="B270" s="167" t="s">
        <v>239</v>
      </c>
      <c r="C270" s="173" t="s">
        <v>417</v>
      </c>
    </row>
    <row r="271" spans="1:3" x14ac:dyDescent="0.2">
      <c r="A271" s="174">
        <v>261</v>
      </c>
      <c r="B271" s="167" t="s">
        <v>239</v>
      </c>
      <c r="C271" s="173" t="s">
        <v>416</v>
      </c>
    </row>
    <row r="272" spans="1:3" x14ac:dyDescent="0.2">
      <c r="A272" s="174">
        <v>262</v>
      </c>
      <c r="B272" s="167" t="s">
        <v>239</v>
      </c>
      <c r="C272" s="173" t="s">
        <v>416</v>
      </c>
    </row>
    <row r="273" spans="1:3" x14ac:dyDescent="0.2">
      <c r="A273" s="174">
        <v>263</v>
      </c>
      <c r="B273" s="167" t="s">
        <v>239</v>
      </c>
      <c r="C273" s="173" t="s">
        <v>416</v>
      </c>
    </row>
    <row r="274" spans="1:3" x14ac:dyDescent="0.2">
      <c r="A274" s="174">
        <v>264</v>
      </c>
      <c r="B274" s="167" t="s">
        <v>239</v>
      </c>
      <c r="C274" s="173" t="s">
        <v>416</v>
      </c>
    </row>
    <row r="275" spans="1:3" x14ac:dyDescent="0.2">
      <c r="A275" s="174">
        <v>265</v>
      </c>
      <c r="B275" s="167" t="s">
        <v>241</v>
      </c>
      <c r="C275" s="173" t="s">
        <v>417</v>
      </c>
    </row>
    <row r="276" spans="1:3" x14ac:dyDescent="0.2">
      <c r="A276" s="174">
        <v>266</v>
      </c>
      <c r="B276" s="167" t="s">
        <v>241</v>
      </c>
      <c r="C276" s="173" t="s">
        <v>417</v>
      </c>
    </row>
    <row r="277" spans="1:3" x14ac:dyDescent="0.2">
      <c r="A277" s="174">
        <v>267</v>
      </c>
      <c r="B277" s="167" t="s">
        <v>241</v>
      </c>
      <c r="C277" s="173" t="s">
        <v>417</v>
      </c>
    </row>
    <row r="278" spans="1:3" x14ac:dyDescent="0.2">
      <c r="A278" s="174">
        <v>268</v>
      </c>
      <c r="B278" s="167" t="s">
        <v>241</v>
      </c>
      <c r="C278" s="173" t="s">
        <v>417</v>
      </c>
    </row>
    <row r="279" spans="1:3" x14ac:dyDescent="0.2">
      <c r="A279" s="174">
        <v>269</v>
      </c>
      <c r="B279" s="167" t="s">
        <v>241</v>
      </c>
      <c r="C279" s="173" t="s">
        <v>417</v>
      </c>
    </row>
    <row r="280" spans="1:3" x14ac:dyDescent="0.2">
      <c r="A280" s="174">
        <v>270</v>
      </c>
      <c r="B280" s="167" t="s">
        <v>241</v>
      </c>
      <c r="C280" s="173" t="s">
        <v>417</v>
      </c>
    </row>
    <row r="281" spans="1:3" x14ac:dyDescent="0.2">
      <c r="A281" s="174">
        <v>271</v>
      </c>
      <c r="B281" s="167" t="s">
        <v>241</v>
      </c>
      <c r="C281" s="173" t="s">
        <v>417</v>
      </c>
    </row>
    <row r="282" spans="1:3" x14ac:dyDescent="0.2">
      <c r="A282" s="174">
        <v>272</v>
      </c>
      <c r="B282" s="167" t="s">
        <v>241</v>
      </c>
      <c r="C282" s="173" t="s">
        <v>417</v>
      </c>
    </row>
    <row r="283" spans="1:3" x14ac:dyDescent="0.2">
      <c r="A283" s="174">
        <v>273</v>
      </c>
      <c r="B283" s="167" t="s">
        <v>241</v>
      </c>
      <c r="C283" s="173" t="s">
        <v>417</v>
      </c>
    </row>
    <row r="284" spans="1:3" x14ac:dyDescent="0.2">
      <c r="A284" s="174">
        <v>274</v>
      </c>
      <c r="B284" s="167" t="s">
        <v>241</v>
      </c>
      <c r="C284" s="173" t="s">
        <v>417</v>
      </c>
    </row>
    <row r="285" spans="1:3" x14ac:dyDescent="0.2">
      <c r="A285" s="174">
        <v>276</v>
      </c>
      <c r="B285" s="167" t="s">
        <v>241</v>
      </c>
      <c r="C285" s="173" t="s">
        <v>417</v>
      </c>
    </row>
    <row r="286" spans="1:3" x14ac:dyDescent="0.2">
      <c r="A286" s="174">
        <v>277</v>
      </c>
      <c r="B286" s="167" t="s">
        <v>242</v>
      </c>
      <c r="C286" s="173" t="s">
        <v>417</v>
      </c>
    </row>
    <row r="287" spans="1:3" x14ac:dyDescent="0.2">
      <c r="A287" s="174">
        <v>278</v>
      </c>
      <c r="B287" s="167" t="s">
        <v>243</v>
      </c>
      <c r="C287" s="173" t="s">
        <v>417</v>
      </c>
    </row>
    <row r="288" spans="1:3" x14ac:dyDescent="0.2">
      <c r="A288" s="174">
        <v>279</v>
      </c>
      <c r="B288" s="167" t="s">
        <v>244</v>
      </c>
      <c r="C288" s="173" t="s">
        <v>417</v>
      </c>
    </row>
    <row r="289" spans="1:3" x14ac:dyDescent="0.2">
      <c r="A289" s="174">
        <v>280</v>
      </c>
      <c r="B289" s="167" t="s">
        <v>245</v>
      </c>
      <c r="C289" s="173" t="s">
        <v>417</v>
      </c>
    </row>
    <row r="290" spans="1:3" x14ac:dyDescent="0.2">
      <c r="A290" s="174">
        <v>281</v>
      </c>
      <c r="B290" s="167" t="s">
        <v>246</v>
      </c>
      <c r="C290" s="173" t="s">
        <v>416</v>
      </c>
    </row>
    <row r="291" spans="1:3" x14ac:dyDescent="0.2">
      <c r="A291" s="174">
        <v>283</v>
      </c>
      <c r="B291" s="167" t="s">
        <v>247</v>
      </c>
      <c r="C291" s="173" t="s">
        <v>416</v>
      </c>
    </row>
    <row r="292" spans="1:3" x14ac:dyDescent="0.2">
      <c r="A292" s="174">
        <v>284</v>
      </c>
      <c r="B292" s="167" t="s">
        <v>189</v>
      </c>
      <c r="C292" s="173" t="s">
        <v>417</v>
      </c>
    </row>
    <row r="293" spans="1:3" x14ac:dyDescent="0.2">
      <c r="A293" s="174">
        <v>285</v>
      </c>
      <c r="B293" s="167" t="s">
        <v>189</v>
      </c>
      <c r="C293" s="173" t="s">
        <v>417</v>
      </c>
    </row>
    <row r="294" spans="1:3" x14ac:dyDescent="0.2">
      <c r="A294" s="174">
        <v>286</v>
      </c>
      <c r="B294" s="167" t="s">
        <v>248</v>
      </c>
      <c r="C294" s="173" t="s">
        <v>417</v>
      </c>
    </row>
    <row r="295" spans="1:3" x14ac:dyDescent="0.2">
      <c r="A295" s="174">
        <v>287</v>
      </c>
      <c r="B295" s="167" t="s">
        <v>249</v>
      </c>
      <c r="C295" s="173" t="s">
        <v>417</v>
      </c>
    </row>
    <row r="296" spans="1:3" x14ac:dyDescent="0.2">
      <c r="A296" s="174">
        <v>288</v>
      </c>
      <c r="B296" s="167" t="s">
        <v>250</v>
      </c>
      <c r="C296" s="173" t="s">
        <v>417</v>
      </c>
    </row>
    <row r="297" spans="1:3" x14ac:dyDescent="0.2">
      <c r="A297" s="174">
        <v>289</v>
      </c>
      <c r="B297" s="167" t="s">
        <v>250</v>
      </c>
      <c r="C297" s="173" t="s">
        <v>417</v>
      </c>
    </row>
    <row r="298" spans="1:3" x14ac:dyDescent="0.2">
      <c r="A298" s="174">
        <v>290</v>
      </c>
      <c r="B298" s="167" t="s">
        <v>250</v>
      </c>
      <c r="C298" s="173" t="s">
        <v>417</v>
      </c>
    </row>
    <row r="299" spans="1:3" x14ac:dyDescent="0.2">
      <c r="A299" s="174">
        <v>291</v>
      </c>
      <c r="B299" s="167" t="s">
        <v>250</v>
      </c>
      <c r="C299" s="173" t="s">
        <v>417</v>
      </c>
    </row>
    <row r="300" spans="1:3" x14ac:dyDescent="0.2">
      <c r="A300" s="174">
        <v>292</v>
      </c>
      <c r="B300" s="167" t="s">
        <v>250</v>
      </c>
      <c r="C300" s="173" t="s">
        <v>417</v>
      </c>
    </row>
    <row r="301" spans="1:3" x14ac:dyDescent="0.2">
      <c r="A301" s="174">
        <v>297</v>
      </c>
      <c r="B301" s="167" t="s">
        <v>250</v>
      </c>
      <c r="C301" s="173" t="s">
        <v>417</v>
      </c>
    </row>
    <row r="302" spans="1:3" x14ac:dyDescent="0.2">
      <c r="A302" s="174">
        <v>298</v>
      </c>
      <c r="B302" s="167" t="s">
        <v>250</v>
      </c>
      <c r="C302" s="173" t="s">
        <v>417</v>
      </c>
    </row>
    <row r="303" spans="1:3" x14ac:dyDescent="0.2">
      <c r="A303" s="174">
        <v>299</v>
      </c>
      <c r="B303" s="167" t="s">
        <v>250</v>
      </c>
      <c r="C303" s="173" t="s">
        <v>417</v>
      </c>
    </row>
    <row r="304" spans="1:3" x14ac:dyDescent="0.2">
      <c r="A304" s="174">
        <v>300</v>
      </c>
      <c r="B304" s="167" t="s">
        <v>251</v>
      </c>
      <c r="C304" s="173" t="s">
        <v>416</v>
      </c>
    </row>
    <row r="305" spans="1:3" x14ac:dyDescent="0.2">
      <c r="A305" s="174">
        <v>301</v>
      </c>
      <c r="B305" s="167" t="s">
        <v>252</v>
      </c>
      <c r="C305" s="173" t="s">
        <v>416</v>
      </c>
    </row>
    <row r="306" spans="1:3" x14ac:dyDescent="0.2">
      <c r="A306" s="174">
        <v>302</v>
      </c>
      <c r="B306" s="167" t="s">
        <v>253</v>
      </c>
      <c r="C306" s="173" t="s">
        <v>416</v>
      </c>
    </row>
    <row r="307" spans="1:3" x14ac:dyDescent="0.2">
      <c r="A307" s="174">
        <v>303</v>
      </c>
      <c r="B307" s="167" t="s">
        <v>250</v>
      </c>
      <c r="C307" s="173" t="s">
        <v>417</v>
      </c>
    </row>
    <row r="308" spans="1:3" x14ac:dyDescent="0.2">
      <c r="A308" s="174">
        <v>304</v>
      </c>
      <c r="B308" s="167" t="s">
        <v>250</v>
      </c>
      <c r="C308" s="173" t="s">
        <v>417</v>
      </c>
    </row>
    <row r="309" spans="1:3" x14ac:dyDescent="0.2">
      <c r="A309" s="174">
        <v>305</v>
      </c>
      <c r="B309" s="167" t="s">
        <v>254</v>
      </c>
      <c r="C309" s="173" t="s">
        <v>416</v>
      </c>
    </row>
    <row r="310" spans="1:3" x14ac:dyDescent="0.2">
      <c r="A310" s="174">
        <v>306</v>
      </c>
      <c r="B310" s="167" t="s">
        <v>254</v>
      </c>
      <c r="C310" s="173" t="s">
        <v>416</v>
      </c>
    </row>
    <row r="311" spans="1:3" x14ac:dyDescent="0.2">
      <c r="A311" s="174">
        <v>307</v>
      </c>
      <c r="B311" s="167" t="s">
        <v>254</v>
      </c>
      <c r="C311" s="173" t="s">
        <v>416</v>
      </c>
    </row>
    <row r="312" spans="1:3" x14ac:dyDescent="0.2">
      <c r="A312" s="174">
        <v>308</v>
      </c>
      <c r="B312" s="167" t="s">
        <v>254</v>
      </c>
      <c r="C312" s="173" t="s">
        <v>416</v>
      </c>
    </row>
    <row r="313" spans="1:3" x14ac:dyDescent="0.2">
      <c r="A313" s="174">
        <v>309</v>
      </c>
      <c r="B313" s="167" t="s">
        <v>255</v>
      </c>
      <c r="C313" s="173" t="s">
        <v>416</v>
      </c>
    </row>
    <row r="314" spans="1:3" x14ac:dyDescent="0.2">
      <c r="A314" s="174">
        <v>310</v>
      </c>
      <c r="B314" s="167" t="s">
        <v>256</v>
      </c>
      <c r="C314" s="173" t="s">
        <v>416</v>
      </c>
    </row>
    <row r="315" spans="1:3" x14ac:dyDescent="0.2">
      <c r="A315" s="174">
        <v>312</v>
      </c>
      <c r="B315" s="167" t="s">
        <v>257</v>
      </c>
      <c r="C315" s="173" t="s">
        <v>416</v>
      </c>
    </row>
    <row r="316" spans="1:3" x14ac:dyDescent="0.2">
      <c r="A316" s="174">
        <v>313</v>
      </c>
      <c r="B316" s="167" t="s">
        <v>258</v>
      </c>
      <c r="C316" s="173" t="s">
        <v>417</v>
      </c>
    </row>
    <row r="317" spans="1:3" x14ac:dyDescent="0.2">
      <c r="A317" s="174">
        <v>314</v>
      </c>
      <c r="B317" s="167" t="s">
        <v>259</v>
      </c>
      <c r="C317" s="173" t="s">
        <v>417</v>
      </c>
    </row>
    <row r="318" spans="1:3" x14ac:dyDescent="0.2">
      <c r="A318" s="174">
        <v>315</v>
      </c>
      <c r="B318" s="167" t="s">
        <v>260</v>
      </c>
      <c r="C318" s="173" t="s">
        <v>417</v>
      </c>
    </row>
    <row r="319" spans="1:3" x14ac:dyDescent="0.2">
      <c r="A319" s="174">
        <v>316</v>
      </c>
      <c r="B319" s="167" t="s">
        <v>261</v>
      </c>
      <c r="C319" s="173" t="s">
        <v>416</v>
      </c>
    </row>
    <row r="320" spans="1:3" x14ac:dyDescent="0.2">
      <c r="A320" s="174">
        <v>317</v>
      </c>
      <c r="B320" s="167" t="s">
        <v>261</v>
      </c>
      <c r="C320" s="173" t="s">
        <v>416</v>
      </c>
    </row>
    <row r="321" spans="1:3" x14ac:dyDescent="0.2">
      <c r="A321" s="174">
        <v>318</v>
      </c>
      <c r="B321" s="167" t="s">
        <v>261</v>
      </c>
      <c r="C321" s="173" t="s">
        <v>416</v>
      </c>
    </row>
    <row r="322" spans="1:3" x14ac:dyDescent="0.2">
      <c r="A322" s="174">
        <v>319</v>
      </c>
      <c r="B322" s="167" t="s">
        <v>262</v>
      </c>
      <c r="C322" s="173" t="s">
        <v>416</v>
      </c>
    </row>
    <row r="323" spans="1:3" x14ac:dyDescent="0.2">
      <c r="A323" s="174">
        <v>320</v>
      </c>
      <c r="B323" s="167" t="s">
        <v>261</v>
      </c>
      <c r="C323" s="173" t="s">
        <v>416</v>
      </c>
    </row>
    <row r="324" spans="1:3" x14ac:dyDescent="0.2">
      <c r="A324" s="174">
        <v>321</v>
      </c>
      <c r="B324" s="167" t="s">
        <v>261</v>
      </c>
      <c r="C324" s="173" t="s">
        <v>416</v>
      </c>
    </row>
    <row r="325" spans="1:3" x14ac:dyDescent="0.2">
      <c r="A325" s="174">
        <v>322</v>
      </c>
      <c r="B325" s="167" t="s">
        <v>261</v>
      </c>
      <c r="C325" s="173" t="s">
        <v>416</v>
      </c>
    </row>
    <row r="326" spans="1:3" x14ac:dyDescent="0.2">
      <c r="A326" s="174">
        <v>323</v>
      </c>
      <c r="B326" s="167" t="s">
        <v>261</v>
      </c>
      <c r="C326" s="173" t="s">
        <v>416</v>
      </c>
    </row>
    <row r="327" spans="1:3" x14ac:dyDescent="0.2">
      <c r="A327" s="174">
        <v>324</v>
      </c>
      <c r="B327" s="167" t="s">
        <v>263</v>
      </c>
      <c r="C327" s="173" t="s">
        <v>416</v>
      </c>
    </row>
    <row r="328" spans="1:3" x14ac:dyDescent="0.2">
      <c r="A328" s="174">
        <v>325</v>
      </c>
      <c r="B328" s="167" t="s">
        <v>264</v>
      </c>
      <c r="C328" s="173" t="s">
        <v>416</v>
      </c>
    </row>
    <row r="329" spans="1:3" x14ac:dyDescent="0.2">
      <c r="A329" s="174">
        <v>326</v>
      </c>
      <c r="B329" s="167" t="s">
        <v>264</v>
      </c>
      <c r="C329" s="173" t="s">
        <v>416</v>
      </c>
    </row>
    <row r="330" spans="1:3" x14ac:dyDescent="0.2">
      <c r="A330" s="174">
        <v>327</v>
      </c>
      <c r="B330" s="167" t="s">
        <v>264</v>
      </c>
      <c r="C330" s="173" t="s">
        <v>416</v>
      </c>
    </row>
    <row r="331" spans="1:3" x14ac:dyDescent="0.2">
      <c r="A331" s="174">
        <v>328</v>
      </c>
      <c r="B331" s="167" t="s">
        <v>264</v>
      </c>
      <c r="C331" s="173" t="s">
        <v>416</v>
      </c>
    </row>
    <row r="332" spans="1:3" x14ac:dyDescent="0.2">
      <c r="A332" s="174">
        <v>329</v>
      </c>
      <c r="B332" s="167" t="s">
        <v>264</v>
      </c>
      <c r="C332" s="173" t="s">
        <v>416</v>
      </c>
    </row>
    <row r="333" spans="1:3" x14ac:dyDescent="0.2">
      <c r="A333" s="174">
        <v>330</v>
      </c>
      <c r="B333" s="167" t="s">
        <v>264</v>
      </c>
      <c r="C333" s="173" t="s">
        <v>416</v>
      </c>
    </row>
    <row r="334" spans="1:3" x14ac:dyDescent="0.2">
      <c r="A334" s="174">
        <v>331</v>
      </c>
      <c r="B334" s="167" t="s">
        <v>264</v>
      </c>
      <c r="C334" s="173" t="s">
        <v>416</v>
      </c>
    </row>
    <row r="335" spans="1:3" x14ac:dyDescent="0.2">
      <c r="A335" s="174">
        <v>332</v>
      </c>
      <c r="B335" s="167" t="s">
        <v>264</v>
      </c>
      <c r="C335" s="173" t="s">
        <v>417</v>
      </c>
    </row>
    <row r="336" spans="1:3" x14ac:dyDescent="0.2">
      <c r="A336" s="174">
        <v>334</v>
      </c>
      <c r="B336" s="167" t="s">
        <v>265</v>
      </c>
      <c r="C336" s="173" t="s">
        <v>416</v>
      </c>
    </row>
    <row r="337" spans="1:3" x14ac:dyDescent="0.2">
      <c r="A337" s="174">
        <v>335</v>
      </c>
      <c r="B337" s="167" t="s">
        <v>266</v>
      </c>
      <c r="C337" s="173" t="s">
        <v>416</v>
      </c>
    </row>
    <row r="338" spans="1:3" x14ac:dyDescent="0.2">
      <c r="A338" s="174">
        <v>336</v>
      </c>
      <c r="B338" s="167" t="s">
        <v>267</v>
      </c>
      <c r="C338" s="173" t="s">
        <v>417</v>
      </c>
    </row>
    <row r="339" spans="1:3" x14ac:dyDescent="0.2">
      <c r="A339" s="174">
        <v>337</v>
      </c>
      <c r="B339" s="167" t="s">
        <v>267</v>
      </c>
      <c r="C339" s="173" t="s">
        <v>417</v>
      </c>
    </row>
    <row r="340" spans="1:3" x14ac:dyDescent="0.2">
      <c r="A340" s="174">
        <v>338</v>
      </c>
      <c r="B340" s="167" t="s">
        <v>268</v>
      </c>
      <c r="C340" s="173" t="s">
        <v>416</v>
      </c>
    </row>
    <row r="341" spans="1:3" x14ac:dyDescent="0.2">
      <c r="A341" s="174">
        <v>339</v>
      </c>
      <c r="B341" s="167" t="s">
        <v>269</v>
      </c>
      <c r="C341" s="173" t="s">
        <v>417</v>
      </c>
    </row>
    <row r="342" spans="1:3" x14ac:dyDescent="0.2">
      <c r="A342" s="174">
        <v>340</v>
      </c>
      <c r="B342" s="167" t="s">
        <v>269</v>
      </c>
      <c r="C342" s="173" t="s">
        <v>417</v>
      </c>
    </row>
    <row r="343" spans="1:3" x14ac:dyDescent="0.2">
      <c r="A343" s="174">
        <v>341</v>
      </c>
      <c r="B343" s="167" t="s">
        <v>269</v>
      </c>
      <c r="C343" s="173" t="s">
        <v>417</v>
      </c>
    </row>
    <row r="344" spans="1:3" x14ac:dyDescent="0.2">
      <c r="A344" s="174">
        <v>342</v>
      </c>
      <c r="B344" s="167" t="s">
        <v>270</v>
      </c>
      <c r="C344" s="173" t="s">
        <v>416</v>
      </c>
    </row>
    <row r="345" spans="1:3" x14ac:dyDescent="0.2">
      <c r="A345" s="174">
        <v>343</v>
      </c>
      <c r="B345" s="167" t="s">
        <v>271</v>
      </c>
      <c r="C345" s="173" t="s">
        <v>416</v>
      </c>
    </row>
    <row r="346" spans="1:3" x14ac:dyDescent="0.2">
      <c r="A346" s="174">
        <v>344</v>
      </c>
      <c r="B346" s="167" t="s">
        <v>272</v>
      </c>
      <c r="C346" s="173" t="s">
        <v>416</v>
      </c>
    </row>
    <row r="347" spans="1:3" x14ac:dyDescent="0.2">
      <c r="A347" s="174">
        <v>344</v>
      </c>
      <c r="B347" s="167" t="s">
        <v>272</v>
      </c>
      <c r="C347" s="173" t="s">
        <v>417</v>
      </c>
    </row>
    <row r="348" spans="1:3" x14ac:dyDescent="0.2">
      <c r="A348" s="174">
        <v>345</v>
      </c>
      <c r="B348" s="167" t="s">
        <v>273</v>
      </c>
      <c r="C348" s="173" t="s">
        <v>416</v>
      </c>
    </row>
    <row r="349" spans="1:3" x14ac:dyDescent="0.2">
      <c r="A349" s="174">
        <v>346</v>
      </c>
      <c r="B349" s="167" t="s">
        <v>274</v>
      </c>
      <c r="C349" s="173" t="s">
        <v>417</v>
      </c>
    </row>
    <row r="350" spans="1:3" x14ac:dyDescent="0.2">
      <c r="A350" s="174">
        <v>347</v>
      </c>
      <c r="B350" s="167" t="s">
        <v>275</v>
      </c>
      <c r="C350" s="173" t="s">
        <v>417</v>
      </c>
    </row>
    <row r="351" spans="1:3" x14ac:dyDescent="0.2">
      <c r="A351" s="174">
        <v>348</v>
      </c>
      <c r="B351" s="167" t="s">
        <v>275</v>
      </c>
      <c r="C351" s="173" t="s">
        <v>417</v>
      </c>
    </row>
    <row r="352" spans="1:3" x14ac:dyDescent="0.2">
      <c r="A352" s="174">
        <v>349</v>
      </c>
      <c r="B352" s="167" t="s">
        <v>221</v>
      </c>
      <c r="C352" s="173" t="s">
        <v>416</v>
      </c>
    </row>
    <row r="353" spans="1:3" x14ac:dyDescent="0.2">
      <c r="A353" s="174">
        <v>350</v>
      </c>
      <c r="B353" s="167" t="s">
        <v>276</v>
      </c>
      <c r="C353" s="173" t="s">
        <v>417</v>
      </c>
    </row>
    <row r="354" spans="1:3" x14ac:dyDescent="0.2">
      <c r="A354" s="174">
        <v>351</v>
      </c>
      <c r="B354" s="167" t="s">
        <v>277</v>
      </c>
      <c r="C354" s="173" t="s">
        <v>416</v>
      </c>
    </row>
    <row r="355" spans="1:3" x14ac:dyDescent="0.2">
      <c r="A355" s="174">
        <v>352</v>
      </c>
      <c r="B355" s="167" t="s">
        <v>278</v>
      </c>
      <c r="C355" s="173" t="s">
        <v>416</v>
      </c>
    </row>
    <row r="356" spans="1:3" x14ac:dyDescent="0.2">
      <c r="A356" s="174">
        <v>353</v>
      </c>
      <c r="B356" s="167" t="s">
        <v>279</v>
      </c>
      <c r="C356" s="173" t="s">
        <v>416</v>
      </c>
    </row>
    <row r="357" spans="1:3" x14ac:dyDescent="0.2">
      <c r="A357" s="174">
        <v>354</v>
      </c>
      <c r="B357" s="167" t="s">
        <v>196</v>
      </c>
      <c r="C357" s="173" t="s">
        <v>417</v>
      </c>
    </row>
    <row r="358" spans="1:3" x14ac:dyDescent="0.2">
      <c r="A358" s="174">
        <v>355</v>
      </c>
      <c r="B358" s="167" t="s">
        <v>280</v>
      </c>
      <c r="C358" s="173" t="s">
        <v>416</v>
      </c>
    </row>
    <row r="359" spans="1:3" x14ac:dyDescent="0.2">
      <c r="A359" s="174">
        <v>357</v>
      </c>
      <c r="B359" s="167" t="s">
        <v>281</v>
      </c>
      <c r="C359" s="173" t="s">
        <v>417</v>
      </c>
    </row>
    <row r="360" spans="1:3" x14ac:dyDescent="0.2">
      <c r="A360" s="174">
        <v>358</v>
      </c>
      <c r="B360" s="167" t="s">
        <v>281</v>
      </c>
      <c r="C360" s="173" t="s">
        <v>417</v>
      </c>
    </row>
    <row r="361" spans="1:3" x14ac:dyDescent="0.2">
      <c r="A361" s="174">
        <v>359</v>
      </c>
      <c r="B361" s="167" t="s">
        <v>281</v>
      </c>
      <c r="C361" s="173" t="s">
        <v>417</v>
      </c>
    </row>
    <row r="362" spans="1:3" x14ac:dyDescent="0.2">
      <c r="A362" s="174">
        <v>360</v>
      </c>
      <c r="B362" s="167" t="s">
        <v>281</v>
      </c>
      <c r="C362" s="173" t="s">
        <v>417</v>
      </c>
    </row>
    <row r="363" spans="1:3" x14ac:dyDescent="0.2">
      <c r="A363" s="174">
        <v>361</v>
      </c>
      <c r="B363" s="167" t="s">
        <v>281</v>
      </c>
      <c r="C363" s="173" t="s">
        <v>417</v>
      </c>
    </row>
    <row r="364" spans="1:3" x14ac:dyDescent="0.2">
      <c r="A364" s="174">
        <v>362</v>
      </c>
      <c r="B364" s="167" t="s">
        <v>281</v>
      </c>
      <c r="C364" s="173" t="s">
        <v>417</v>
      </c>
    </row>
    <row r="365" spans="1:3" x14ac:dyDescent="0.2">
      <c r="A365" s="174">
        <v>363</v>
      </c>
      <c r="B365" s="167" t="s">
        <v>281</v>
      </c>
      <c r="C365" s="173" t="s">
        <v>417</v>
      </c>
    </row>
    <row r="366" spans="1:3" x14ac:dyDescent="0.2">
      <c r="A366" s="174">
        <v>364</v>
      </c>
      <c r="B366" s="167" t="s">
        <v>281</v>
      </c>
      <c r="C366" s="173" t="s">
        <v>417</v>
      </c>
    </row>
    <row r="367" spans="1:3" x14ac:dyDescent="0.2">
      <c r="A367" s="174">
        <v>365</v>
      </c>
      <c r="B367" s="167" t="s">
        <v>281</v>
      </c>
      <c r="C367" s="173" t="s">
        <v>417</v>
      </c>
    </row>
    <row r="368" spans="1:3" x14ac:dyDescent="0.2">
      <c r="A368" s="174">
        <v>366</v>
      </c>
      <c r="B368" s="167" t="s">
        <v>281</v>
      </c>
      <c r="C368" s="173" t="s">
        <v>417</v>
      </c>
    </row>
    <row r="369" spans="1:3" x14ac:dyDescent="0.2">
      <c r="A369" s="174">
        <v>367</v>
      </c>
      <c r="B369" s="167" t="s">
        <v>281</v>
      </c>
      <c r="C369" s="173" t="s">
        <v>417</v>
      </c>
    </row>
    <row r="370" spans="1:3" x14ac:dyDescent="0.2">
      <c r="A370" s="174">
        <v>368</v>
      </c>
      <c r="B370" s="167" t="s">
        <v>281</v>
      </c>
      <c r="C370" s="173" t="s">
        <v>417</v>
      </c>
    </row>
    <row r="371" spans="1:3" x14ac:dyDescent="0.2">
      <c r="A371" s="174">
        <v>369</v>
      </c>
      <c r="B371" s="167" t="s">
        <v>281</v>
      </c>
      <c r="C371" s="173" t="s">
        <v>417</v>
      </c>
    </row>
    <row r="372" spans="1:3" x14ac:dyDescent="0.2">
      <c r="A372" s="174">
        <v>370</v>
      </c>
      <c r="B372" s="167" t="s">
        <v>281</v>
      </c>
      <c r="C372" s="173" t="s">
        <v>417</v>
      </c>
    </row>
    <row r="373" spans="1:3" x14ac:dyDescent="0.2">
      <c r="A373" s="174">
        <v>371</v>
      </c>
      <c r="B373" s="167" t="s">
        <v>281</v>
      </c>
      <c r="C373" s="173" t="s">
        <v>417</v>
      </c>
    </row>
    <row r="374" spans="1:3" x14ac:dyDescent="0.2">
      <c r="A374" s="174">
        <v>372</v>
      </c>
      <c r="B374" s="167" t="s">
        <v>261</v>
      </c>
      <c r="C374" s="173" t="s">
        <v>416</v>
      </c>
    </row>
    <row r="375" spans="1:3" x14ac:dyDescent="0.2">
      <c r="A375" s="174">
        <v>373</v>
      </c>
      <c r="B375" s="167" t="s">
        <v>209</v>
      </c>
      <c r="C375" s="173" t="s">
        <v>416</v>
      </c>
    </row>
    <row r="376" spans="1:3" x14ac:dyDescent="0.2">
      <c r="A376" s="174">
        <v>374</v>
      </c>
      <c r="B376" s="167" t="s">
        <v>209</v>
      </c>
      <c r="C376" s="173" t="s">
        <v>416</v>
      </c>
    </row>
    <row r="377" spans="1:3" x14ac:dyDescent="0.2">
      <c r="A377" s="174">
        <v>375</v>
      </c>
      <c r="B377" s="167" t="s">
        <v>209</v>
      </c>
      <c r="C377" s="173" t="s">
        <v>416</v>
      </c>
    </row>
    <row r="378" spans="1:3" x14ac:dyDescent="0.2">
      <c r="A378" s="174">
        <v>376</v>
      </c>
      <c r="B378" s="167" t="s">
        <v>209</v>
      </c>
      <c r="C378" s="173" t="s">
        <v>416</v>
      </c>
    </row>
    <row r="379" spans="1:3" x14ac:dyDescent="0.2">
      <c r="A379" s="174">
        <v>377</v>
      </c>
      <c r="B379" s="167" t="s">
        <v>209</v>
      </c>
      <c r="C379" s="173" t="s">
        <v>416</v>
      </c>
    </row>
    <row r="380" spans="1:3" x14ac:dyDescent="0.2">
      <c r="A380" s="174">
        <v>378</v>
      </c>
      <c r="B380" s="167" t="s">
        <v>209</v>
      </c>
      <c r="C380" s="173" t="s">
        <v>416</v>
      </c>
    </row>
    <row r="381" spans="1:3" x14ac:dyDescent="0.2">
      <c r="A381" s="174">
        <v>380</v>
      </c>
      <c r="B381" s="167" t="s">
        <v>209</v>
      </c>
      <c r="C381" s="173" t="s">
        <v>416</v>
      </c>
    </row>
    <row r="382" spans="1:3" x14ac:dyDescent="0.2">
      <c r="A382" s="174">
        <v>381</v>
      </c>
      <c r="B382" s="167" t="s">
        <v>209</v>
      </c>
      <c r="C382" s="173" t="s">
        <v>416</v>
      </c>
    </row>
    <row r="383" spans="1:3" x14ac:dyDescent="0.2">
      <c r="A383" s="174">
        <v>382</v>
      </c>
      <c r="B383" s="167" t="s">
        <v>209</v>
      </c>
      <c r="C383" s="173" t="s">
        <v>416</v>
      </c>
    </row>
    <row r="384" spans="1:3" x14ac:dyDescent="0.2">
      <c r="A384" s="174">
        <v>384</v>
      </c>
      <c r="B384" s="167" t="s">
        <v>221</v>
      </c>
      <c r="C384" s="173" t="s">
        <v>416</v>
      </c>
    </row>
    <row r="385" spans="1:3" x14ac:dyDescent="0.2">
      <c r="A385" s="174">
        <v>385</v>
      </c>
      <c r="B385" s="167" t="s">
        <v>209</v>
      </c>
      <c r="C385" s="173" t="s">
        <v>417</v>
      </c>
    </row>
    <row r="386" spans="1:3" x14ac:dyDescent="0.2">
      <c r="A386" s="174">
        <v>386</v>
      </c>
      <c r="B386" s="167" t="s">
        <v>189</v>
      </c>
      <c r="C386" s="173" t="s">
        <v>417</v>
      </c>
    </row>
    <row r="387" spans="1:3" x14ac:dyDescent="0.2">
      <c r="A387" s="174">
        <v>387</v>
      </c>
      <c r="B387" s="167" t="s">
        <v>214</v>
      </c>
      <c r="C387" s="173" t="s">
        <v>417</v>
      </c>
    </row>
    <row r="388" spans="1:3" x14ac:dyDescent="0.2">
      <c r="A388" s="174">
        <v>388</v>
      </c>
      <c r="B388" s="167" t="s">
        <v>209</v>
      </c>
      <c r="C388" s="173" t="s">
        <v>417</v>
      </c>
    </row>
    <row r="389" spans="1:3" x14ac:dyDescent="0.2">
      <c r="A389" s="174">
        <v>389</v>
      </c>
      <c r="B389" s="167" t="s">
        <v>200</v>
      </c>
      <c r="C389" s="173" t="s">
        <v>417</v>
      </c>
    </row>
    <row r="390" spans="1:3" x14ac:dyDescent="0.2">
      <c r="A390" s="174">
        <v>390</v>
      </c>
      <c r="B390" s="167" t="s">
        <v>209</v>
      </c>
      <c r="C390" s="173" t="s">
        <v>416</v>
      </c>
    </row>
    <row r="391" spans="1:3" x14ac:dyDescent="0.2">
      <c r="A391" s="174">
        <v>391</v>
      </c>
      <c r="B391" s="167" t="s">
        <v>282</v>
      </c>
      <c r="C391" s="173" t="s">
        <v>417</v>
      </c>
    </row>
    <row r="392" spans="1:3" x14ac:dyDescent="0.2">
      <c r="A392" s="174">
        <v>392</v>
      </c>
      <c r="B392" s="167" t="s">
        <v>283</v>
      </c>
      <c r="C392" s="173" t="s">
        <v>416</v>
      </c>
    </row>
    <row r="393" spans="1:3" x14ac:dyDescent="0.2">
      <c r="A393" s="174">
        <v>393</v>
      </c>
      <c r="B393" s="167" t="s">
        <v>284</v>
      </c>
      <c r="C393" s="173" t="s">
        <v>416</v>
      </c>
    </row>
    <row r="394" spans="1:3" x14ac:dyDescent="0.2">
      <c r="A394" s="174">
        <v>394</v>
      </c>
      <c r="B394" s="167" t="s">
        <v>240</v>
      </c>
      <c r="C394" s="173" t="s">
        <v>416</v>
      </c>
    </row>
    <row r="395" spans="1:3" x14ac:dyDescent="0.2">
      <c r="A395" s="174">
        <v>395</v>
      </c>
      <c r="B395" s="167" t="s">
        <v>285</v>
      </c>
      <c r="C395" s="173" t="s">
        <v>416</v>
      </c>
    </row>
    <row r="396" spans="1:3" x14ac:dyDescent="0.2">
      <c r="A396" s="174">
        <v>396</v>
      </c>
      <c r="B396" s="167" t="s">
        <v>219</v>
      </c>
      <c r="C396" s="173" t="s">
        <v>416</v>
      </c>
    </row>
    <row r="397" spans="1:3" x14ac:dyDescent="0.2">
      <c r="A397" s="174">
        <v>397</v>
      </c>
      <c r="B397" s="167" t="s">
        <v>286</v>
      </c>
      <c r="C397" s="173" t="s">
        <v>416</v>
      </c>
    </row>
    <row r="398" spans="1:3" x14ac:dyDescent="0.2">
      <c r="A398" s="174">
        <v>398</v>
      </c>
      <c r="B398" s="167" t="s">
        <v>287</v>
      </c>
      <c r="C398" s="173" t="s">
        <v>416</v>
      </c>
    </row>
    <row r="399" spans="1:3" x14ac:dyDescent="0.2">
      <c r="A399" s="174">
        <v>399</v>
      </c>
      <c r="B399" s="167" t="s">
        <v>288</v>
      </c>
      <c r="C399" s="173" t="s">
        <v>417</v>
      </c>
    </row>
    <row r="400" spans="1:3" x14ac:dyDescent="0.2">
      <c r="A400" s="174">
        <v>400</v>
      </c>
      <c r="B400" s="167" t="s">
        <v>239</v>
      </c>
      <c r="C400" s="173" t="s">
        <v>416</v>
      </c>
    </row>
    <row r="401" spans="1:3" x14ac:dyDescent="0.2">
      <c r="A401" s="174">
        <v>401</v>
      </c>
      <c r="B401" s="167" t="s">
        <v>289</v>
      </c>
      <c r="C401" s="173" t="s">
        <v>417</v>
      </c>
    </row>
    <row r="402" spans="1:3" x14ac:dyDescent="0.2">
      <c r="A402" s="174">
        <v>403</v>
      </c>
      <c r="B402" s="167" t="s">
        <v>195</v>
      </c>
      <c r="C402" s="173" t="s">
        <v>416</v>
      </c>
    </row>
    <row r="403" spans="1:3" x14ac:dyDescent="0.2">
      <c r="A403" s="174">
        <v>404</v>
      </c>
      <c r="B403" s="167" t="s">
        <v>290</v>
      </c>
      <c r="C403" s="173" t="s">
        <v>416</v>
      </c>
    </row>
    <row r="404" spans="1:3" x14ac:dyDescent="0.2">
      <c r="A404" s="174">
        <v>405</v>
      </c>
      <c r="B404" s="167" t="s">
        <v>291</v>
      </c>
      <c r="C404" s="173" t="s">
        <v>417</v>
      </c>
    </row>
    <row r="405" spans="1:3" x14ac:dyDescent="0.2">
      <c r="A405" s="174">
        <v>406</v>
      </c>
      <c r="B405" s="167" t="s">
        <v>292</v>
      </c>
      <c r="C405" s="173" t="s">
        <v>417</v>
      </c>
    </row>
    <row r="406" spans="1:3" x14ac:dyDescent="0.2">
      <c r="A406" s="174">
        <v>407</v>
      </c>
      <c r="B406" s="167" t="s">
        <v>293</v>
      </c>
      <c r="C406" s="173" t="s">
        <v>417</v>
      </c>
    </row>
    <row r="407" spans="1:3" x14ac:dyDescent="0.2">
      <c r="A407" s="174">
        <v>408</v>
      </c>
      <c r="B407" s="167" t="s">
        <v>294</v>
      </c>
      <c r="C407" s="173" t="s">
        <v>417</v>
      </c>
    </row>
    <row r="408" spans="1:3" x14ac:dyDescent="0.2">
      <c r="A408" s="174">
        <v>409</v>
      </c>
      <c r="B408" s="167" t="s">
        <v>295</v>
      </c>
      <c r="C408" s="173" t="s">
        <v>417</v>
      </c>
    </row>
    <row r="409" spans="1:3" x14ac:dyDescent="0.2">
      <c r="A409" s="174">
        <v>410</v>
      </c>
      <c r="B409" s="167" t="s">
        <v>296</v>
      </c>
      <c r="C409" s="173" t="s">
        <v>417</v>
      </c>
    </row>
    <row r="410" spans="1:3" x14ac:dyDescent="0.2">
      <c r="A410" s="174">
        <v>411</v>
      </c>
      <c r="B410" s="167" t="s">
        <v>297</v>
      </c>
      <c r="C410" s="173" t="s">
        <v>417</v>
      </c>
    </row>
    <row r="411" spans="1:3" x14ac:dyDescent="0.2">
      <c r="A411" s="174">
        <v>412</v>
      </c>
      <c r="B411" s="167" t="s">
        <v>298</v>
      </c>
      <c r="C411" s="173" t="s">
        <v>417</v>
      </c>
    </row>
    <row r="412" spans="1:3" x14ac:dyDescent="0.2">
      <c r="A412" s="174">
        <v>413</v>
      </c>
      <c r="B412" s="167" t="s">
        <v>299</v>
      </c>
      <c r="C412" s="173" t="s">
        <v>417</v>
      </c>
    </row>
    <row r="413" spans="1:3" x14ac:dyDescent="0.2">
      <c r="A413" s="174">
        <v>414</v>
      </c>
      <c r="B413" s="167" t="s">
        <v>300</v>
      </c>
      <c r="C413" s="173" t="s">
        <v>417</v>
      </c>
    </row>
    <row r="414" spans="1:3" x14ac:dyDescent="0.2">
      <c r="A414" s="174">
        <v>415</v>
      </c>
      <c r="B414" s="167" t="s">
        <v>301</v>
      </c>
      <c r="C414" s="173" t="s">
        <v>417</v>
      </c>
    </row>
    <row r="415" spans="1:3" x14ac:dyDescent="0.2">
      <c r="A415" s="174">
        <v>416</v>
      </c>
      <c r="B415" s="167" t="s">
        <v>302</v>
      </c>
      <c r="C415" s="173" t="s">
        <v>417</v>
      </c>
    </row>
    <row r="416" spans="1:3" x14ac:dyDescent="0.2">
      <c r="A416" s="174">
        <v>417</v>
      </c>
      <c r="B416" s="167" t="s">
        <v>303</v>
      </c>
      <c r="C416" s="173" t="s">
        <v>417</v>
      </c>
    </row>
    <row r="417" spans="1:3" x14ac:dyDescent="0.2">
      <c r="A417" s="174">
        <v>418</v>
      </c>
      <c r="B417" s="167" t="s">
        <v>304</v>
      </c>
      <c r="C417" s="173" t="s">
        <v>417</v>
      </c>
    </row>
    <row r="418" spans="1:3" x14ac:dyDescent="0.2">
      <c r="A418" s="174">
        <v>419</v>
      </c>
      <c r="B418" s="167" t="s">
        <v>305</v>
      </c>
      <c r="C418" s="173" t="s">
        <v>417</v>
      </c>
    </row>
    <row r="419" spans="1:3" x14ac:dyDescent="0.2">
      <c r="A419" s="174">
        <v>420</v>
      </c>
      <c r="B419" s="167" t="s">
        <v>306</v>
      </c>
      <c r="C419" s="173" t="s">
        <v>417</v>
      </c>
    </row>
    <row r="420" spans="1:3" x14ac:dyDescent="0.2">
      <c r="A420" s="174">
        <v>421</v>
      </c>
      <c r="B420" s="167" t="s">
        <v>307</v>
      </c>
      <c r="C420" s="173" t="s">
        <v>417</v>
      </c>
    </row>
    <row r="421" spans="1:3" x14ac:dyDescent="0.2">
      <c r="A421" s="174">
        <v>422</v>
      </c>
      <c r="B421" s="167" t="s">
        <v>308</v>
      </c>
      <c r="C421" s="173" t="s">
        <v>417</v>
      </c>
    </row>
    <row r="422" spans="1:3" x14ac:dyDescent="0.2">
      <c r="A422" s="174">
        <v>423</v>
      </c>
      <c r="B422" s="167" t="s">
        <v>309</v>
      </c>
      <c r="C422" s="173" t="s">
        <v>417</v>
      </c>
    </row>
    <row r="423" spans="1:3" x14ac:dyDescent="0.2">
      <c r="A423" s="174">
        <v>424</v>
      </c>
      <c r="B423" s="167" t="s">
        <v>310</v>
      </c>
      <c r="C423" s="173" t="s">
        <v>417</v>
      </c>
    </row>
    <row r="424" spans="1:3" x14ac:dyDescent="0.2">
      <c r="A424" s="174">
        <v>425</v>
      </c>
      <c r="B424" s="167" t="s">
        <v>311</v>
      </c>
      <c r="C424" s="173" t="s">
        <v>416</v>
      </c>
    </row>
    <row r="425" spans="1:3" x14ac:dyDescent="0.2">
      <c r="A425" s="174">
        <v>426</v>
      </c>
      <c r="B425" s="167" t="s">
        <v>221</v>
      </c>
      <c r="C425" s="173" t="s">
        <v>416</v>
      </c>
    </row>
    <row r="426" spans="1:3" x14ac:dyDescent="0.2">
      <c r="A426" s="174">
        <v>427</v>
      </c>
      <c r="B426" s="167" t="s">
        <v>312</v>
      </c>
      <c r="C426" s="173" t="s">
        <v>416</v>
      </c>
    </row>
    <row r="427" spans="1:3" x14ac:dyDescent="0.2">
      <c r="A427" s="174">
        <v>428</v>
      </c>
      <c r="B427" s="167" t="s">
        <v>313</v>
      </c>
      <c r="C427" s="173" t="s">
        <v>412</v>
      </c>
    </row>
    <row r="428" spans="1:3" x14ac:dyDescent="0.2">
      <c r="A428" s="174">
        <v>429</v>
      </c>
      <c r="B428" s="167" t="s">
        <v>314</v>
      </c>
      <c r="C428" s="173" t="s">
        <v>412</v>
      </c>
    </row>
    <row r="429" spans="1:3" x14ac:dyDescent="0.2">
      <c r="A429" s="174">
        <v>430</v>
      </c>
      <c r="B429" s="167" t="s">
        <v>315</v>
      </c>
      <c r="C429" s="173" t="s">
        <v>412</v>
      </c>
    </row>
    <row r="430" spans="1:3" x14ac:dyDescent="0.2">
      <c r="A430" s="174">
        <v>431</v>
      </c>
      <c r="B430" s="167" t="s">
        <v>316</v>
      </c>
      <c r="C430" s="173" t="s">
        <v>412</v>
      </c>
    </row>
    <row r="431" spans="1:3" x14ac:dyDescent="0.2">
      <c r="A431" s="174">
        <v>432</v>
      </c>
      <c r="B431" s="167" t="s">
        <v>221</v>
      </c>
      <c r="C431" s="173" t="s">
        <v>416</v>
      </c>
    </row>
    <row r="432" spans="1:3" x14ac:dyDescent="0.2">
      <c r="A432" s="174">
        <v>434</v>
      </c>
      <c r="B432" s="167" t="s">
        <v>317</v>
      </c>
      <c r="C432" s="173" t="s">
        <v>417</v>
      </c>
    </row>
    <row r="433" spans="1:3" x14ac:dyDescent="0.2">
      <c r="A433" s="174">
        <v>435</v>
      </c>
      <c r="B433" s="167" t="s">
        <v>318</v>
      </c>
      <c r="C433" s="173" t="s">
        <v>416</v>
      </c>
    </row>
    <row r="434" spans="1:3" x14ac:dyDescent="0.2">
      <c r="A434" s="174">
        <v>436</v>
      </c>
      <c r="B434" s="167" t="s">
        <v>319</v>
      </c>
      <c r="C434" s="173" t="s">
        <v>416</v>
      </c>
    </row>
    <row r="435" spans="1:3" x14ac:dyDescent="0.2">
      <c r="A435" s="174">
        <v>437</v>
      </c>
      <c r="B435" s="167" t="s">
        <v>320</v>
      </c>
      <c r="C435" s="173" t="s">
        <v>416</v>
      </c>
    </row>
    <row r="436" spans="1:3" x14ac:dyDescent="0.2">
      <c r="A436" s="174">
        <v>439</v>
      </c>
      <c r="B436" s="167" t="s">
        <v>321</v>
      </c>
      <c r="C436" s="173" t="s">
        <v>416</v>
      </c>
    </row>
    <row r="437" spans="1:3" x14ac:dyDescent="0.2">
      <c r="A437" s="174">
        <v>440</v>
      </c>
      <c r="B437" s="167" t="s">
        <v>322</v>
      </c>
      <c r="C437" s="173" t="s">
        <v>416</v>
      </c>
    </row>
    <row r="438" spans="1:3" x14ac:dyDescent="0.2">
      <c r="A438" s="174">
        <v>441</v>
      </c>
      <c r="B438" s="167" t="s">
        <v>225</v>
      </c>
      <c r="C438" s="173" t="s">
        <v>416</v>
      </c>
    </row>
    <row r="439" spans="1:3" x14ac:dyDescent="0.2">
      <c r="A439" s="174">
        <v>442</v>
      </c>
      <c r="B439" s="167" t="s">
        <v>221</v>
      </c>
      <c r="C439" s="173" t="s">
        <v>417</v>
      </c>
    </row>
    <row r="440" spans="1:3" x14ac:dyDescent="0.2">
      <c r="A440" s="174">
        <v>443</v>
      </c>
      <c r="B440" s="167" t="s">
        <v>261</v>
      </c>
      <c r="C440" s="173" t="s">
        <v>416</v>
      </c>
    </row>
    <row r="441" spans="1:3" x14ac:dyDescent="0.2">
      <c r="A441" s="174">
        <v>444</v>
      </c>
      <c r="B441" s="167" t="s">
        <v>264</v>
      </c>
      <c r="C441" s="173" t="s">
        <v>416</v>
      </c>
    </row>
    <row r="442" spans="1:3" x14ac:dyDescent="0.2">
      <c r="A442" s="174">
        <v>444</v>
      </c>
      <c r="B442" s="167" t="s">
        <v>264</v>
      </c>
      <c r="C442" s="173" t="s">
        <v>417</v>
      </c>
    </row>
    <row r="443" spans="1:3" x14ac:dyDescent="0.2">
      <c r="A443" s="174">
        <v>445</v>
      </c>
      <c r="B443" s="167" t="s">
        <v>323</v>
      </c>
      <c r="C443" s="173" t="s">
        <v>416</v>
      </c>
    </row>
    <row r="444" spans="1:3" x14ac:dyDescent="0.2">
      <c r="A444" s="174">
        <v>446</v>
      </c>
      <c r="B444" s="167" t="s">
        <v>323</v>
      </c>
      <c r="C444" s="173" t="s">
        <v>416</v>
      </c>
    </row>
    <row r="445" spans="1:3" x14ac:dyDescent="0.2">
      <c r="A445" s="174">
        <v>447</v>
      </c>
      <c r="B445" s="167" t="s">
        <v>235</v>
      </c>
      <c r="C445" s="173" t="s">
        <v>416</v>
      </c>
    </row>
    <row r="446" spans="1:3" x14ac:dyDescent="0.2">
      <c r="A446" s="174">
        <v>448</v>
      </c>
      <c r="B446" s="167" t="s">
        <v>235</v>
      </c>
      <c r="C446" s="173" t="s">
        <v>416</v>
      </c>
    </row>
    <row r="447" spans="1:3" x14ac:dyDescent="0.2">
      <c r="A447" s="174">
        <v>449</v>
      </c>
      <c r="B447" s="167" t="s">
        <v>235</v>
      </c>
      <c r="C447" s="173" t="s">
        <v>416</v>
      </c>
    </row>
    <row r="448" spans="1:3" x14ac:dyDescent="0.2">
      <c r="A448" s="174">
        <v>450</v>
      </c>
      <c r="B448" s="167" t="s">
        <v>235</v>
      </c>
      <c r="C448" s="173" t="s">
        <v>416</v>
      </c>
    </row>
    <row r="449" spans="1:3" x14ac:dyDescent="0.2">
      <c r="A449" s="174">
        <v>451</v>
      </c>
      <c r="B449" s="167" t="s">
        <v>235</v>
      </c>
      <c r="C449" s="173" t="s">
        <v>416</v>
      </c>
    </row>
    <row r="450" spans="1:3" x14ac:dyDescent="0.2">
      <c r="A450" s="174">
        <v>452</v>
      </c>
      <c r="B450" s="167" t="s">
        <v>235</v>
      </c>
      <c r="C450" s="173" t="s">
        <v>416</v>
      </c>
    </row>
    <row r="451" spans="1:3" x14ac:dyDescent="0.2">
      <c r="A451" s="174">
        <v>453</v>
      </c>
      <c r="B451" s="167" t="s">
        <v>235</v>
      </c>
      <c r="C451" s="173" t="s">
        <v>416</v>
      </c>
    </row>
    <row r="452" spans="1:3" x14ac:dyDescent="0.2">
      <c r="A452" s="174">
        <v>454</v>
      </c>
      <c r="B452" s="167" t="s">
        <v>235</v>
      </c>
      <c r="C452" s="173" t="s">
        <v>416</v>
      </c>
    </row>
    <row r="453" spans="1:3" x14ac:dyDescent="0.2">
      <c r="A453" s="174">
        <v>455</v>
      </c>
      <c r="B453" s="167" t="s">
        <v>235</v>
      </c>
      <c r="C453" s="173" t="s">
        <v>416</v>
      </c>
    </row>
    <row r="454" spans="1:3" x14ac:dyDescent="0.2">
      <c r="A454" s="174">
        <v>456</v>
      </c>
      <c r="B454" s="167" t="s">
        <v>235</v>
      </c>
      <c r="C454" s="173" t="s">
        <v>416</v>
      </c>
    </row>
    <row r="455" spans="1:3" x14ac:dyDescent="0.2">
      <c r="A455" s="174">
        <v>459</v>
      </c>
      <c r="B455" s="167" t="s">
        <v>235</v>
      </c>
      <c r="C455" s="173" t="s">
        <v>416</v>
      </c>
    </row>
    <row r="456" spans="1:3" x14ac:dyDescent="0.2">
      <c r="A456" s="174">
        <v>460</v>
      </c>
      <c r="B456" s="167" t="s">
        <v>324</v>
      </c>
      <c r="C456" s="173" t="s">
        <v>417</v>
      </c>
    </row>
    <row r="457" spans="1:3" x14ac:dyDescent="0.2">
      <c r="A457" s="174">
        <v>461</v>
      </c>
      <c r="B457" s="167" t="s">
        <v>324</v>
      </c>
      <c r="C457" s="173" t="s">
        <v>417</v>
      </c>
    </row>
    <row r="458" spans="1:3" x14ac:dyDescent="0.2">
      <c r="A458" s="174">
        <v>462</v>
      </c>
      <c r="B458" s="167" t="s">
        <v>325</v>
      </c>
      <c r="C458" s="173" t="s">
        <v>417</v>
      </c>
    </row>
    <row r="459" spans="1:3" x14ac:dyDescent="0.2">
      <c r="A459" s="174">
        <v>463</v>
      </c>
      <c r="B459" s="167" t="s">
        <v>326</v>
      </c>
      <c r="C459" s="173" t="s">
        <v>417</v>
      </c>
    </row>
    <row r="460" spans="1:3" x14ac:dyDescent="0.2">
      <c r="A460" s="174">
        <v>464</v>
      </c>
      <c r="B460" s="167" t="s">
        <v>327</v>
      </c>
      <c r="C460" s="173" t="s">
        <v>416</v>
      </c>
    </row>
    <row r="461" spans="1:3" x14ac:dyDescent="0.2">
      <c r="A461" s="174">
        <v>465</v>
      </c>
      <c r="B461" s="167" t="s">
        <v>328</v>
      </c>
      <c r="C461" s="173" t="s">
        <v>416</v>
      </c>
    </row>
    <row r="462" spans="1:3" x14ac:dyDescent="0.2">
      <c r="A462" s="174">
        <v>466</v>
      </c>
      <c r="B462" s="167" t="s">
        <v>329</v>
      </c>
      <c r="C462" s="173" t="s">
        <v>416</v>
      </c>
    </row>
    <row r="463" spans="1:3" x14ac:dyDescent="0.2">
      <c r="A463" s="174">
        <v>467</v>
      </c>
      <c r="B463" s="167" t="s">
        <v>329</v>
      </c>
      <c r="C463" s="173" t="s">
        <v>416</v>
      </c>
    </row>
    <row r="464" spans="1:3" x14ac:dyDescent="0.2">
      <c r="A464" s="174">
        <v>468</v>
      </c>
      <c r="B464" s="167" t="s">
        <v>329</v>
      </c>
      <c r="C464" s="173" t="s">
        <v>416</v>
      </c>
    </row>
    <row r="465" spans="1:3" x14ac:dyDescent="0.2">
      <c r="A465" s="174">
        <v>469</v>
      </c>
      <c r="B465" s="167" t="s">
        <v>329</v>
      </c>
      <c r="C465" s="173" t="s">
        <v>416</v>
      </c>
    </row>
    <row r="466" spans="1:3" x14ac:dyDescent="0.2">
      <c r="A466" s="174">
        <v>470</v>
      </c>
      <c r="B466" s="167" t="s">
        <v>329</v>
      </c>
      <c r="C466" s="173" t="s">
        <v>416</v>
      </c>
    </row>
    <row r="467" spans="1:3" x14ac:dyDescent="0.2">
      <c r="A467" s="174">
        <v>473</v>
      </c>
      <c r="B467" s="167" t="s">
        <v>330</v>
      </c>
      <c r="C467" s="173" t="s">
        <v>416</v>
      </c>
    </row>
    <row r="468" spans="1:3" x14ac:dyDescent="0.2">
      <c r="A468" s="174">
        <v>474</v>
      </c>
      <c r="B468" s="167" t="s">
        <v>331</v>
      </c>
      <c r="C468" s="173" t="s">
        <v>417</v>
      </c>
    </row>
    <row r="469" spans="1:3" x14ac:dyDescent="0.2">
      <c r="A469" s="174">
        <v>475</v>
      </c>
      <c r="B469" s="167" t="s">
        <v>332</v>
      </c>
      <c r="C469" s="173" t="s">
        <v>416</v>
      </c>
    </row>
    <row r="470" spans="1:3" x14ac:dyDescent="0.2">
      <c r="A470" s="174">
        <v>476</v>
      </c>
      <c r="B470" s="167" t="s">
        <v>333</v>
      </c>
      <c r="C470" s="173" t="s">
        <v>417</v>
      </c>
    </row>
    <row r="471" spans="1:3" x14ac:dyDescent="0.2">
      <c r="A471" s="174">
        <v>477</v>
      </c>
      <c r="B471" s="167" t="s">
        <v>333</v>
      </c>
      <c r="C471" s="173" t="s">
        <v>417</v>
      </c>
    </row>
    <row r="472" spans="1:3" x14ac:dyDescent="0.2">
      <c r="A472" s="174">
        <v>478</v>
      </c>
      <c r="B472" s="167" t="s">
        <v>264</v>
      </c>
      <c r="C472" s="173" t="s">
        <v>416</v>
      </c>
    </row>
    <row r="473" spans="1:3" x14ac:dyDescent="0.2">
      <c r="A473" s="174">
        <v>479</v>
      </c>
      <c r="B473" s="167" t="s">
        <v>321</v>
      </c>
      <c r="C473" s="173" t="s">
        <v>416</v>
      </c>
    </row>
    <row r="474" spans="1:3" x14ac:dyDescent="0.2">
      <c r="A474" s="174">
        <v>480</v>
      </c>
      <c r="B474" s="167" t="s">
        <v>321</v>
      </c>
      <c r="C474" s="173" t="s">
        <v>416</v>
      </c>
    </row>
    <row r="475" spans="1:3" x14ac:dyDescent="0.2">
      <c r="A475" s="174">
        <v>481</v>
      </c>
      <c r="B475" s="167" t="s">
        <v>321</v>
      </c>
      <c r="C475" s="173" t="s">
        <v>416</v>
      </c>
    </row>
    <row r="476" spans="1:3" x14ac:dyDescent="0.2">
      <c r="A476" s="174">
        <v>482</v>
      </c>
      <c r="B476" s="167" t="s">
        <v>334</v>
      </c>
      <c r="C476" s="173" t="s">
        <v>413</v>
      </c>
    </row>
    <row r="477" spans="1:3" x14ac:dyDescent="0.2">
      <c r="A477" s="174">
        <v>483</v>
      </c>
      <c r="B477" s="167" t="s">
        <v>335</v>
      </c>
      <c r="C477" s="173" t="s">
        <v>413</v>
      </c>
    </row>
    <row r="478" spans="1:3" x14ac:dyDescent="0.2">
      <c r="A478" s="174">
        <v>484</v>
      </c>
      <c r="B478" s="167" t="s">
        <v>336</v>
      </c>
      <c r="C478" s="173" t="s">
        <v>413</v>
      </c>
    </row>
    <row r="479" spans="1:3" x14ac:dyDescent="0.2">
      <c r="A479" s="174">
        <v>485</v>
      </c>
      <c r="B479" s="167" t="s">
        <v>337</v>
      </c>
      <c r="C479" s="173" t="s">
        <v>413</v>
      </c>
    </row>
    <row r="480" spans="1:3" x14ac:dyDescent="0.2">
      <c r="A480" s="174">
        <v>486</v>
      </c>
      <c r="B480" s="167" t="s">
        <v>338</v>
      </c>
      <c r="C480" s="173" t="s">
        <v>413</v>
      </c>
    </row>
    <row r="481" spans="1:3" x14ac:dyDescent="0.2">
      <c r="A481" s="174">
        <v>487</v>
      </c>
      <c r="B481" s="167" t="s">
        <v>339</v>
      </c>
      <c r="C481" s="173" t="s">
        <v>413</v>
      </c>
    </row>
    <row r="482" spans="1:3" x14ac:dyDescent="0.2">
      <c r="A482" s="174">
        <v>488</v>
      </c>
      <c r="B482" s="167" t="s">
        <v>340</v>
      </c>
      <c r="C482" s="173" t="s">
        <v>413</v>
      </c>
    </row>
    <row r="483" spans="1:3" x14ac:dyDescent="0.2">
      <c r="A483" s="174">
        <v>489</v>
      </c>
      <c r="B483" s="167" t="s">
        <v>341</v>
      </c>
      <c r="C483" s="173" t="s">
        <v>413</v>
      </c>
    </row>
    <row r="484" spans="1:3" x14ac:dyDescent="0.2">
      <c r="A484" s="174">
        <v>490</v>
      </c>
      <c r="B484" s="167" t="s">
        <v>342</v>
      </c>
      <c r="C484" s="173" t="s">
        <v>413</v>
      </c>
    </row>
    <row r="485" spans="1:3" x14ac:dyDescent="0.2">
      <c r="A485" s="174">
        <v>491</v>
      </c>
      <c r="B485" s="167" t="s">
        <v>343</v>
      </c>
      <c r="C485" s="173" t="s">
        <v>413</v>
      </c>
    </row>
    <row r="486" spans="1:3" x14ac:dyDescent="0.2">
      <c r="A486" s="174">
        <v>492</v>
      </c>
      <c r="B486" s="167" t="s">
        <v>344</v>
      </c>
      <c r="C486" s="173" t="s">
        <v>413</v>
      </c>
    </row>
    <row r="487" spans="1:3" x14ac:dyDescent="0.2">
      <c r="A487" s="174">
        <v>493</v>
      </c>
      <c r="B487" s="167" t="s">
        <v>345</v>
      </c>
      <c r="C487" s="173" t="s">
        <v>413</v>
      </c>
    </row>
    <row r="488" spans="1:3" x14ac:dyDescent="0.2">
      <c r="A488" s="174">
        <v>494</v>
      </c>
      <c r="B488" s="167" t="s">
        <v>346</v>
      </c>
      <c r="C488" s="173" t="s">
        <v>413</v>
      </c>
    </row>
    <row r="489" spans="1:3" x14ac:dyDescent="0.2">
      <c r="A489" s="174">
        <v>495</v>
      </c>
      <c r="B489" s="167" t="s">
        <v>347</v>
      </c>
      <c r="C489" s="173" t="s">
        <v>413</v>
      </c>
    </row>
    <row r="490" spans="1:3" x14ac:dyDescent="0.2">
      <c r="A490" s="174">
        <v>496</v>
      </c>
      <c r="B490" s="167" t="s">
        <v>348</v>
      </c>
      <c r="C490" s="173" t="s">
        <v>413</v>
      </c>
    </row>
    <row r="491" spans="1:3" x14ac:dyDescent="0.2">
      <c r="A491" s="174">
        <v>497</v>
      </c>
      <c r="B491" s="167" t="s">
        <v>349</v>
      </c>
      <c r="C491" s="173" t="s">
        <v>413</v>
      </c>
    </row>
    <row r="492" spans="1:3" x14ac:dyDescent="0.2">
      <c r="A492" s="174">
        <v>498</v>
      </c>
      <c r="B492" s="167" t="s">
        <v>350</v>
      </c>
      <c r="C492" s="173" t="s">
        <v>413</v>
      </c>
    </row>
    <row r="493" spans="1:3" x14ac:dyDescent="0.2">
      <c r="A493" s="174">
        <v>701</v>
      </c>
      <c r="B493" s="167" t="s">
        <v>351</v>
      </c>
      <c r="C493" s="173" t="s">
        <v>417</v>
      </c>
    </row>
    <row r="494" spans="1:3" x14ac:dyDescent="0.2">
      <c r="A494" s="174">
        <v>702</v>
      </c>
      <c r="B494" s="167" t="s">
        <v>351</v>
      </c>
      <c r="C494" s="173" t="s">
        <v>417</v>
      </c>
    </row>
    <row r="495" spans="1:3" x14ac:dyDescent="0.2">
      <c r="A495" s="174">
        <v>703</v>
      </c>
      <c r="B495" s="167" t="s">
        <v>287</v>
      </c>
      <c r="C495" s="173" t="s">
        <v>417</v>
      </c>
    </row>
    <row r="496" spans="1:3" x14ac:dyDescent="0.2">
      <c r="A496" s="174">
        <v>704</v>
      </c>
      <c r="B496" s="167" t="s">
        <v>287</v>
      </c>
      <c r="C496" s="173" t="s">
        <v>417</v>
      </c>
    </row>
    <row r="497" spans="1:3" x14ac:dyDescent="0.2">
      <c r="A497" s="174">
        <v>705</v>
      </c>
      <c r="B497" s="167" t="s">
        <v>287</v>
      </c>
      <c r="C497" s="173" t="s">
        <v>417</v>
      </c>
    </row>
    <row r="498" spans="1:3" x14ac:dyDescent="0.2">
      <c r="A498" s="174">
        <v>706</v>
      </c>
      <c r="B498" s="167" t="s">
        <v>287</v>
      </c>
      <c r="C498" s="173" t="s">
        <v>417</v>
      </c>
    </row>
    <row r="499" spans="1:3" x14ac:dyDescent="0.2">
      <c r="A499" s="174">
        <v>707</v>
      </c>
      <c r="B499" s="167" t="s">
        <v>287</v>
      </c>
      <c r="C499" s="173" t="s">
        <v>417</v>
      </c>
    </row>
    <row r="500" spans="1:3" x14ac:dyDescent="0.2">
      <c r="A500" s="174">
        <v>708</v>
      </c>
      <c r="B500" s="167" t="s">
        <v>287</v>
      </c>
      <c r="C500" s="173" t="s">
        <v>417</v>
      </c>
    </row>
    <row r="501" spans="1:3" x14ac:dyDescent="0.2">
      <c r="A501" s="174">
        <v>709</v>
      </c>
      <c r="B501" s="167" t="s">
        <v>287</v>
      </c>
      <c r="C501" s="173" t="s">
        <v>417</v>
      </c>
    </row>
    <row r="502" spans="1:3" x14ac:dyDescent="0.2">
      <c r="A502" s="174">
        <v>710</v>
      </c>
      <c r="B502" s="167" t="s">
        <v>287</v>
      </c>
      <c r="C502" s="173" t="s">
        <v>417</v>
      </c>
    </row>
    <row r="503" spans="1:3" x14ac:dyDescent="0.2">
      <c r="A503" s="174">
        <v>711</v>
      </c>
      <c r="B503" s="167" t="s">
        <v>287</v>
      </c>
      <c r="C503" s="173" t="s">
        <v>417</v>
      </c>
    </row>
    <row r="504" spans="1:3" x14ac:dyDescent="0.2">
      <c r="A504" s="174">
        <v>712</v>
      </c>
      <c r="B504" s="167" t="s">
        <v>352</v>
      </c>
      <c r="C504" s="173" t="s">
        <v>417</v>
      </c>
    </row>
    <row r="505" spans="1:3" x14ac:dyDescent="0.2">
      <c r="A505" s="174">
        <v>713</v>
      </c>
      <c r="B505" s="167" t="s">
        <v>352</v>
      </c>
      <c r="C505" s="173" t="s">
        <v>417</v>
      </c>
    </row>
    <row r="506" spans="1:3" x14ac:dyDescent="0.2">
      <c r="A506" s="174">
        <v>714</v>
      </c>
      <c r="B506" s="167" t="s">
        <v>352</v>
      </c>
      <c r="C506" s="173" t="s">
        <v>417</v>
      </c>
    </row>
    <row r="507" spans="1:3" x14ac:dyDescent="0.2">
      <c r="A507" s="174">
        <v>715</v>
      </c>
      <c r="B507" s="167" t="s">
        <v>352</v>
      </c>
      <c r="C507" s="173" t="s">
        <v>417</v>
      </c>
    </row>
    <row r="508" spans="1:3" x14ac:dyDescent="0.2">
      <c r="A508" s="174">
        <v>716</v>
      </c>
      <c r="B508" s="167" t="s">
        <v>353</v>
      </c>
      <c r="C508" s="173" t="s">
        <v>417</v>
      </c>
    </row>
    <row r="509" spans="1:3" x14ac:dyDescent="0.2">
      <c r="A509" s="174">
        <v>717</v>
      </c>
      <c r="B509" s="167" t="s">
        <v>353</v>
      </c>
      <c r="C509" s="173" t="s">
        <v>417</v>
      </c>
    </row>
    <row r="510" spans="1:3" x14ac:dyDescent="0.2">
      <c r="A510" s="174">
        <v>718</v>
      </c>
      <c r="B510" s="167" t="s">
        <v>354</v>
      </c>
      <c r="C510" s="173" t="s">
        <v>417</v>
      </c>
    </row>
    <row r="511" spans="1:3" x14ac:dyDescent="0.2">
      <c r="A511" s="174">
        <v>719</v>
      </c>
      <c r="B511" s="167" t="s">
        <v>354</v>
      </c>
      <c r="C511" s="173" t="s">
        <v>417</v>
      </c>
    </row>
    <row r="512" spans="1:3" x14ac:dyDescent="0.2">
      <c r="A512" s="174">
        <v>720</v>
      </c>
      <c r="B512" s="167" t="s">
        <v>222</v>
      </c>
      <c r="C512" s="173" t="s">
        <v>416</v>
      </c>
    </row>
    <row r="513" spans="1:3" x14ac:dyDescent="0.2">
      <c r="A513" s="174">
        <v>721</v>
      </c>
      <c r="B513" s="167" t="s">
        <v>355</v>
      </c>
      <c r="C513" s="173" t="s">
        <v>416</v>
      </c>
    </row>
    <row r="514" spans="1:3" x14ac:dyDescent="0.2">
      <c r="A514" s="174">
        <v>722</v>
      </c>
      <c r="B514" s="167" t="s">
        <v>355</v>
      </c>
      <c r="C514" s="173" t="s">
        <v>416</v>
      </c>
    </row>
    <row r="515" spans="1:3" x14ac:dyDescent="0.2">
      <c r="A515" s="174">
        <v>723</v>
      </c>
      <c r="B515" s="167" t="s">
        <v>355</v>
      </c>
      <c r="C515" s="173" t="s">
        <v>416</v>
      </c>
    </row>
    <row r="516" spans="1:3" x14ac:dyDescent="0.2">
      <c r="A516" s="174">
        <v>724</v>
      </c>
      <c r="B516" s="167" t="s">
        <v>355</v>
      </c>
      <c r="C516" s="173" t="s">
        <v>416</v>
      </c>
    </row>
    <row r="517" spans="1:3" x14ac:dyDescent="0.2">
      <c r="A517" s="174">
        <v>725</v>
      </c>
      <c r="B517" s="167" t="s">
        <v>355</v>
      </c>
      <c r="C517" s="173" t="s">
        <v>416</v>
      </c>
    </row>
    <row r="518" spans="1:3" x14ac:dyDescent="0.2">
      <c r="A518" s="174">
        <v>726</v>
      </c>
      <c r="B518" s="167" t="s">
        <v>355</v>
      </c>
      <c r="C518" s="173" t="s">
        <v>416</v>
      </c>
    </row>
    <row r="519" spans="1:3" x14ac:dyDescent="0.2">
      <c r="A519" s="174">
        <v>727</v>
      </c>
      <c r="B519" s="167" t="s">
        <v>355</v>
      </c>
      <c r="C519" s="173" t="s">
        <v>416</v>
      </c>
    </row>
    <row r="520" spans="1:3" x14ac:dyDescent="0.2">
      <c r="A520" s="174">
        <v>728</v>
      </c>
      <c r="B520" s="167" t="s">
        <v>356</v>
      </c>
      <c r="C520" s="173" t="s">
        <v>416</v>
      </c>
    </row>
    <row r="521" spans="1:3" x14ac:dyDescent="0.2">
      <c r="A521" s="174">
        <v>729</v>
      </c>
      <c r="B521" s="167" t="s">
        <v>355</v>
      </c>
      <c r="C521" s="173" t="s">
        <v>416</v>
      </c>
    </row>
    <row r="522" spans="1:3" x14ac:dyDescent="0.2">
      <c r="A522" s="174">
        <v>730</v>
      </c>
      <c r="B522" s="167" t="s">
        <v>356</v>
      </c>
      <c r="C522" s="173" t="s">
        <v>416</v>
      </c>
    </row>
    <row r="523" spans="1:3" x14ac:dyDescent="0.2">
      <c r="A523" s="174">
        <v>731</v>
      </c>
      <c r="B523" s="167" t="s">
        <v>355</v>
      </c>
      <c r="C523" s="173" t="s">
        <v>416</v>
      </c>
    </row>
    <row r="524" spans="1:3" x14ac:dyDescent="0.2">
      <c r="A524" s="174">
        <v>732</v>
      </c>
      <c r="B524" s="167" t="s">
        <v>356</v>
      </c>
      <c r="C524" s="173" t="s">
        <v>416</v>
      </c>
    </row>
    <row r="525" spans="1:3" x14ac:dyDescent="0.2">
      <c r="A525" s="174">
        <v>733</v>
      </c>
      <c r="B525" s="167" t="s">
        <v>355</v>
      </c>
      <c r="C525" s="173" t="s">
        <v>416</v>
      </c>
    </row>
    <row r="526" spans="1:3" x14ac:dyDescent="0.2">
      <c r="A526" s="174">
        <v>734</v>
      </c>
      <c r="B526" s="167" t="s">
        <v>356</v>
      </c>
      <c r="C526" s="173" t="s">
        <v>416</v>
      </c>
    </row>
    <row r="527" spans="1:3" x14ac:dyDescent="0.2">
      <c r="A527" s="174">
        <v>735</v>
      </c>
      <c r="B527" s="167" t="s">
        <v>355</v>
      </c>
      <c r="C527" s="173" t="s">
        <v>416</v>
      </c>
    </row>
    <row r="528" spans="1:3" x14ac:dyDescent="0.2">
      <c r="A528" s="174">
        <v>736</v>
      </c>
      <c r="B528" s="167" t="s">
        <v>356</v>
      </c>
      <c r="C528" s="173" t="s">
        <v>416</v>
      </c>
    </row>
    <row r="529" spans="1:3" x14ac:dyDescent="0.2">
      <c r="A529" s="174">
        <v>737</v>
      </c>
      <c r="B529" s="167" t="s">
        <v>355</v>
      </c>
      <c r="C529" s="173" t="s">
        <v>416</v>
      </c>
    </row>
    <row r="530" spans="1:3" x14ac:dyDescent="0.2">
      <c r="A530" s="174">
        <v>738</v>
      </c>
      <c r="B530" s="167" t="s">
        <v>356</v>
      </c>
      <c r="C530" s="173" t="s">
        <v>416</v>
      </c>
    </row>
    <row r="531" spans="1:3" x14ac:dyDescent="0.2">
      <c r="A531" s="174">
        <v>739</v>
      </c>
      <c r="B531" s="167" t="s">
        <v>355</v>
      </c>
      <c r="C531" s="173" t="s">
        <v>416</v>
      </c>
    </row>
    <row r="532" spans="1:3" x14ac:dyDescent="0.2">
      <c r="A532" s="174">
        <v>740</v>
      </c>
      <c r="B532" s="167" t="s">
        <v>356</v>
      </c>
      <c r="C532" s="173" t="s">
        <v>416</v>
      </c>
    </row>
    <row r="533" spans="1:3" x14ac:dyDescent="0.2">
      <c r="A533" s="174">
        <v>741</v>
      </c>
      <c r="B533" s="167" t="s">
        <v>355</v>
      </c>
      <c r="C533" s="173" t="s">
        <v>416</v>
      </c>
    </row>
    <row r="534" spans="1:3" x14ac:dyDescent="0.2">
      <c r="A534" s="174">
        <v>742</v>
      </c>
      <c r="B534" s="167" t="s">
        <v>356</v>
      </c>
      <c r="C534" s="173" t="s">
        <v>416</v>
      </c>
    </row>
    <row r="535" spans="1:3" x14ac:dyDescent="0.2">
      <c r="A535" s="174">
        <v>743</v>
      </c>
      <c r="B535" s="167" t="s">
        <v>355</v>
      </c>
      <c r="C535" s="173" t="s">
        <v>416</v>
      </c>
    </row>
    <row r="536" spans="1:3" x14ac:dyDescent="0.2">
      <c r="A536" s="174">
        <v>744</v>
      </c>
      <c r="B536" s="167" t="s">
        <v>356</v>
      </c>
      <c r="C536" s="173" t="s">
        <v>416</v>
      </c>
    </row>
    <row r="537" spans="1:3" x14ac:dyDescent="0.2">
      <c r="A537" s="174">
        <v>745</v>
      </c>
      <c r="B537" s="167" t="s">
        <v>355</v>
      </c>
      <c r="C537" s="173" t="s">
        <v>416</v>
      </c>
    </row>
    <row r="538" spans="1:3" x14ac:dyDescent="0.2">
      <c r="A538" s="174">
        <v>746</v>
      </c>
      <c r="B538" s="167" t="s">
        <v>356</v>
      </c>
      <c r="C538" s="173" t="s">
        <v>416</v>
      </c>
    </row>
    <row r="539" spans="1:3" x14ac:dyDescent="0.2">
      <c r="A539" s="174">
        <v>747</v>
      </c>
      <c r="B539" s="167" t="s">
        <v>355</v>
      </c>
      <c r="C539" s="173" t="s">
        <v>416</v>
      </c>
    </row>
    <row r="540" spans="1:3" x14ac:dyDescent="0.2">
      <c r="A540" s="174">
        <v>748</v>
      </c>
      <c r="B540" s="167" t="s">
        <v>355</v>
      </c>
      <c r="C540" s="173" t="s">
        <v>416</v>
      </c>
    </row>
    <row r="541" spans="1:3" x14ac:dyDescent="0.2">
      <c r="A541" s="174">
        <v>749</v>
      </c>
      <c r="B541" s="167" t="s">
        <v>356</v>
      </c>
      <c r="C541" s="173" t="s">
        <v>416</v>
      </c>
    </row>
    <row r="542" spans="1:3" x14ac:dyDescent="0.2">
      <c r="A542" s="174">
        <v>752</v>
      </c>
      <c r="B542" s="167" t="s">
        <v>355</v>
      </c>
      <c r="C542" s="173" t="s">
        <v>416</v>
      </c>
    </row>
    <row r="543" spans="1:3" x14ac:dyDescent="0.2">
      <c r="A543" s="174">
        <v>753</v>
      </c>
      <c r="B543" s="167" t="s">
        <v>357</v>
      </c>
      <c r="C543" s="173" t="s">
        <v>416</v>
      </c>
    </row>
    <row r="544" spans="1:3" x14ac:dyDescent="0.2">
      <c r="A544" s="174">
        <v>754</v>
      </c>
      <c r="B544" s="167" t="s">
        <v>355</v>
      </c>
      <c r="C544" s="173" t="s">
        <v>416</v>
      </c>
    </row>
    <row r="545" spans="1:3" x14ac:dyDescent="0.2">
      <c r="A545" s="174">
        <v>755</v>
      </c>
      <c r="B545" s="167" t="s">
        <v>357</v>
      </c>
      <c r="C545" s="173" t="s">
        <v>416</v>
      </c>
    </row>
    <row r="546" spans="1:3" x14ac:dyDescent="0.2">
      <c r="A546" s="174">
        <v>756</v>
      </c>
      <c r="B546" s="167" t="s">
        <v>355</v>
      </c>
      <c r="C546" s="173" t="s">
        <v>416</v>
      </c>
    </row>
    <row r="547" spans="1:3" x14ac:dyDescent="0.2">
      <c r="A547" s="174">
        <v>757</v>
      </c>
      <c r="B547" s="167" t="s">
        <v>357</v>
      </c>
      <c r="C547" s="173" t="s">
        <v>416</v>
      </c>
    </row>
    <row r="548" spans="1:3" x14ac:dyDescent="0.2">
      <c r="A548" s="174">
        <v>758</v>
      </c>
      <c r="B548" s="167" t="s">
        <v>355</v>
      </c>
      <c r="C548" s="173" t="s">
        <v>416</v>
      </c>
    </row>
    <row r="549" spans="1:3" x14ac:dyDescent="0.2">
      <c r="A549" s="174">
        <v>759</v>
      </c>
      <c r="B549" s="167" t="s">
        <v>357</v>
      </c>
      <c r="C549" s="173" t="s">
        <v>416</v>
      </c>
    </row>
    <row r="550" spans="1:3" x14ac:dyDescent="0.2">
      <c r="A550" s="174">
        <v>760</v>
      </c>
      <c r="B550" s="167" t="s">
        <v>355</v>
      </c>
      <c r="C550" s="173" t="s">
        <v>416</v>
      </c>
    </row>
    <row r="551" spans="1:3" x14ac:dyDescent="0.2">
      <c r="A551" s="174">
        <v>761</v>
      </c>
      <c r="B551" s="167" t="s">
        <v>357</v>
      </c>
      <c r="C551" s="173" t="s">
        <v>416</v>
      </c>
    </row>
    <row r="552" spans="1:3" x14ac:dyDescent="0.2">
      <c r="A552" s="174">
        <v>762</v>
      </c>
      <c r="B552" s="167" t="s">
        <v>355</v>
      </c>
      <c r="C552" s="173" t="s">
        <v>416</v>
      </c>
    </row>
    <row r="553" spans="1:3" x14ac:dyDescent="0.2">
      <c r="A553" s="174">
        <v>763</v>
      </c>
      <c r="B553" s="167" t="s">
        <v>357</v>
      </c>
      <c r="C553" s="173" t="s">
        <v>416</v>
      </c>
    </row>
    <row r="554" spans="1:3" x14ac:dyDescent="0.2">
      <c r="A554" s="174">
        <v>764</v>
      </c>
      <c r="B554" s="167" t="s">
        <v>355</v>
      </c>
      <c r="C554" s="173" t="s">
        <v>416</v>
      </c>
    </row>
    <row r="555" spans="1:3" x14ac:dyDescent="0.2">
      <c r="A555" s="174">
        <v>765</v>
      </c>
      <c r="B555" s="167" t="s">
        <v>357</v>
      </c>
      <c r="C555" s="173" t="s">
        <v>416</v>
      </c>
    </row>
    <row r="556" spans="1:3" x14ac:dyDescent="0.2">
      <c r="A556" s="174">
        <v>766</v>
      </c>
      <c r="B556" s="167" t="s">
        <v>355</v>
      </c>
      <c r="C556" s="173" t="s">
        <v>416</v>
      </c>
    </row>
    <row r="557" spans="1:3" x14ac:dyDescent="0.2">
      <c r="A557" s="174">
        <v>767</v>
      </c>
      <c r="B557" s="167" t="s">
        <v>357</v>
      </c>
      <c r="C557" s="173" t="s">
        <v>416</v>
      </c>
    </row>
    <row r="558" spans="1:3" x14ac:dyDescent="0.2">
      <c r="A558" s="174">
        <v>768</v>
      </c>
      <c r="B558" s="167" t="s">
        <v>355</v>
      </c>
      <c r="C558" s="173" t="s">
        <v>416</v>
      </c>
    </row>
    <row r="559" spans="1:3" x14ac:dyDescent="0.2">
      <c r="A559" s="174">
        <v>769</v>
      </c>
      <c r="B559" s="167" t="s">
        <v>357</v>
      </c>
      <c r="C559" s="173" t="s">
        <v>416</v>
      </c>
    </row>
    <row r="560" spans="1:3" x14ac:dyDescent="0.2">
      <c r="A560" s="174">
        <v>770</v>
      </c>
      <c r="B560" s="167" t="s">
        <v>358</v>
      </c>
      <c r="C560" s="173" t="s">
        <v>416</v>
      </c>
    </row>
    <row r="561" spans="1:3" x14ac:dyDescent="0.2">
      <c r="A561" s="174">
        <v>775</v>
      </c>
      <c r="B561" s="167" t="s">
        <v>359</v>
      </c>
      <c r="C561" s="173" t="s">
        <v>416</v>
      </c>
    </row>
    <row r="562" spans="1:3" x14ac:dyDescent="0.2">
      <c r="A562" s="174">
        <v>776</v>
      </c>
      <c r="B562" s="167" t="s">
        <v>359</v>
      </c>
      <c r="C562" s="173" t="s">
        <v>416</v>
      </c>
    </row>
    <row r="563" spans="1:3" x14ac:dyDescent="0.2">
      <c r="A563" s="174">
        <v>781</v>
      </c>
      <c r="B563" s="167" t="s">
        <v>355</v>
      </c>
      <c r="C563" s="173" t="s">
        <v>417</v>
      </c>
    </row>
    <row r="564" spans="1:3" x14ac:dyDescent="0.2">
      <c r="A564" s="174">
        <v>782</v>
      </c>
      <c r="B564" s="167" t="s">
        <v>355</v>
      </c>
      <c r="C564" s="173" t="s">
        <v>416</v>
      </c>
    </row>
    <row r="565" spans="1:3" x14ac:dyDescent="0.2">
      <c r="A565" s="174">
        <v>783</v>
      </c>
      <c r="B565" s="167" t="s">
        <v>355</v>
      </c>
      <c r="C565" s="173" t="s">
        <v>416</v>
      </c>
    </row>
    <row r="566" spans="1:3" x14ac:dyDescent="0.2">
      <c r="A566" s="174">
        <v>784</v>
      </c>
      <c r="B566" s="167" t="s">
        <v>355</v>
      </c>
      <c r="C566" s="173" t="s">
        <v>416</v>
      </c>
    </row>
    <row r="567" spans="1:3" x14ac:dyDescent="0.2">
      <c r="A567" s="174">
        <v>785</v>
      </c>
      <c r="B567" s="167" t="s">
        <v>355</v>
      </c>
      <c r="C567" s="173" t="s">
        <v>416</v>
      </c>
    </row>
    <row r="568" spans="1:3" x14ac:dyDescent="0.2">
      <c r="A568" s="174">
        <v>786</v>
      </c>
      <c r="B568" s="167" t="s">
        <v>355</v>
      </c>
      <c r="C568" s="173" t="s">
        <v>416</v>
      </c>
    </row>
    <row r="569" spans="1:3" x14ac:dyDescent="0.2">
      <c r="A569" s="174">
        <v>787</v>
      </c>
      <c r="B569" s="167" t="s">
        <v>360</v>
      </c>
      <c r="C569" s="173" t="s">
        <v>416</v>
      </c>
    </row>
    <row r="570" spans="1:3" x14ac:dyDescent="0.2">
      <c r="A570" s="174">
        <v>788</v>
      </c>
      <c r="B570" s="167" t="s">
        <v>361</v>
      </c>
      <c r="C570" s="173" t="s">
        <v>416</v>
      </c>
    </row>
    <row r="571" spans="1:3" x14ac:dyDescent="0.2">
      <c r="A571" s="174">
        <v>789</v>
      </c>
      <c r="B571" s="167" t="s">
        <v>362</v>
      </c>
      <c r="C571" s="173" t="s">
        <v>416</v>
      </c>
    </row>
    <row r="572" spans="1:3" x14ac:dyDescent="0.2">
      <c r="A572" s="174">
        <v>790</v>
      </c>
      <c r="B572" s="167" t="s">
        <v>363</v>
      </c>
      <c r="C572" s="173" t="s">
        <v>416</v>
      </c>
    </row>
    <row r="573" spans="1:3" x14ac:dyDescent="0.2">
      <c r="A573" s="174">
        <v>791</v>
      </c>
      <c r="B573" s="167" t="s">
        <v>364</v>
      </c>
      <c r="C573" s="173" t="s">
        <v>416</v>
      </c>
    </row>
    <row r="574" spans="1:3" x14ac:dyDescent="0.2">
      <c r="A574" s="174">
        <v>792</v>
      </c>
      <c r="B574" s="167" t="s">
        <v>365</v>
      </c>
      <c r="C574" s="173" t="s">
        <v>416</v>
      </c>
    </row>
    <row r="575" spans="1:3" x14ac:dyDescent="0.2">
      <c r="A575" s="174">
        <v>793</v>
      </c>
      <c r="B575" s="167" t="s">
        <v>355</v>
      </c>
      <c r="C575" s="173" t="s">
        <v>416</v>
      </c>
    </row>
    <row r="576" spans="1:3" x14ac:dyDescent="0.2">
      <c r="A576" s="174">
        <v>794</v>
      </c>
      <c r="B576" s="167" t="s">
        <v>356</v>
      </c>
      <c r="C576" s="173" t="s">
        <v>416</v>
      </c>
    </row>
    <row r="577" spans="1:3" x14ac:dyDescent="0.2">
      <c r="A577" s="174">
        <v>801</v>
      </c>
      <c r="B577" s="167" t="s">
        <v>284</v>
      </c>
      <c r="C577" s="173" t="s">
        <v>416</v>
      </c>
    </row>
    <row r="578" spans="1:3" x14ac:dyDescent="0.2">
      <c r="A578" s="174">
        <v>802</v>
      </c>
      <c r="B578" s="167" t="s">
        <v>366</v>
      </c>
      <c r="C578" s="173" t="s">
        <v>416</v>
      </c>
    </row>
    <row r="579" spans="1:3" x14ac:dyDescent="0.2">
      <c r="A579" s="174">
        <v>803</v>
      </c>
      <c r="B579" s="167" t="s">
        <v>367</v>
      </c>
      <c r="C579" s="173" t="s">
        <v>417</v>
      </c>
    </row>
    <row r="580" spans="1:3" x14ac:dyDescent="0.2">
      <c r="A580" s="174">
        <v>804</v>
      </c>
      <c r="B580" s="167" t="s">
        <v>366</v>
      </c>
      <c r="C580" s="173" t="s">
        <v>416</v>
      </c>
    </row>
    <row r="581" spans="1:3" x14ac:dyDescent="0.2">
      <c r="A581" s="174">
        <v>805</v>
      </c>
      <c r="B581" s="167" t="s">
        <v>367</v>
      </c>
      <c r="C581" s="173" t="s">
        <v>417</v>
      </c>
    </row>
    <row r="582" spans="1:3" x14ac:dyDescent="0.2">
      <c r="A582" s="174">
        <v>806</v>
      </c>
      <c r="B582" s="167" t="s">
        <v>366</v>
      </c>
      <c r="C582" s="173" t="s">
        <v>416</v>
      </c>
    </row>
    <row r="583" spans="1:3" x14ac:dyDescent="0.2">
      <c r="A583" s="174">
        <v>807</v>
      </c>
      <c r="B583" s="167" t="s">
        <v>367</v>
      </c>
      <c r="C583" s="173" t="s">
        <v>417</v>
      </c>
    </row>
    <row r="584" spans="1:3" x14ac:dyDescent="0.2">
      <c r="A584" s="174">
        <v>808</v>
      </c>
      <c r="B584" s="167" t="s">
        <v>366</v>
      </c>
      <c r="C584" s="173" t="s">
        <v>416</v>
      </c>
    </row>
    <row r="585" spans="1:3" x14ac:dyDescent="0.2">
      <c r="A585" s="174">
        <v>809</v>
      </c>
      <c r="B585" s="167" t="s">
        <v>367</v>
      </c>
      <c r="C585" s="173" t="s">
        <v>417</v>
      </c>
    </row>
    <row r="586" spans="1:3" x14ac:dyDescent="0.2">
      <c r="A586" s="174">
        <v>810</v>
      </c>
      <c r="B586" s="167" t="s">
        <v>366</v>
      </c>
      <c r="C586" s="173" t="s">
        <v>416</v>
      </c>
    </row>
    <row r="587" spans="1:3" x14ac:dyDescent="0.2">
      <c r="A587" s="174">
        <v>811</v>
      </c>
      <c r="B587" s="167" t="s">
        <v>367</v>
      </c>
      <c r="C587" s="173" t="s">
        <v>417</v>
      </c>
    </row>
    <row r="588" spans="1:3" x14ac:dyDescent="0.2">
      <c r="A588" s="174">
        <v>812</v>
      </c>
      <c r="B588" s="167" t="s">
        <v>366</v>
      </c>
      <c r="C588" s="173" t="s">
        <v>416</v>
      </c>
    </row>
    <row r="589" spans="1:3" x14ac:dyDescent="0.2">
      <c r="A589" s="174">
        <v>813</v>
      </c>
      <c r="B589" s="167" t="s">
        <v>367</v>
      </c>
      <c r="C589" s="173" t="s">
        <v>417</v>
      </c>
    </row>
    <row r="590" spans="1:3" x14ac:dyDescent="0.2">
      <c r="A590" s="174">
        <v>814</v>
      </c>
      <c r="B590" s="167" t="s">
        <v>366</v>
      </c>
      <c r="C590" s="173" t="s">
        <v>416</v>
      </c>
    </row>
    <row r="591" spans="1:3" x14ac:dyDescent="0.2">
      <c r="A591" s="174">
        <v>815</v>
      </c>
      <c r="B591" s="167" t="s">
        <v>367</v>
      </c>
      <c r="C591" s="173" t="s">
        <v>417</v>
      </c>
    </row>
    <row r="592" spans="1:3" x14ac:dyDescent="0.2">
      <c r="A592" s="174">
        <v>816</v>
      </c>
      <c r="B592" s="167" t="s">
        <v>366</v>
      </c>
      <c r="C592" s="173" t="s">
        <v>416</v>
      </c>
    </row>
    <row r="593" spans="1:3" x14ac:dyDescent="0.2">
      <c r="A593" s="174">
        <v>817</v>
      </c>
      <c r="B593" s="167" t="s">
        <v>367</v>
      </c>
      <c r="C593" s="173" t="s">
        <v>417</v>
      </c>
    </row>
    <row r="594" spans="1:3" x14ac:dyDescent="0.2">
      <c r="A594" s="174">
        <v>818</v>
      </c>
      <c r="B594" s="167" t="s">
        <v>366</v>
      </c>
      <c r="C594" s="173" t="s">
        <v>416</v>
      </c>
    </row>
    <row r="595" spans="1:3" x14ac:dyDescent="0.2">
      <c r="A595" s="174">
        <v>819</v>
      </c>
      <c r="B595" s="167" t="s">
        <v>367</v>
      </c>
      <c r="C595" s="173" t="s">
        <v>417</v>
      </c>
    </row>
    <row r="596" spans="1:3" x14ac:dyDescent="0.2">
      <c r="A596" s="174">
        <v>820</v>
      </c>
      <c r="B596" s="167" t="s">
        <v>366</v>
      </c>
      <c r="C596" s="173" t="s">
        <v>416</v>
      </c>
    </row>
    <row r="597" spans="1:3" x14ac:dyDescent="0.2">
      <c r="A597" s="174">
        <v>821</v>
      </c>
      <c r="B597" s="167" t="s">
        <v>367</v>
      </c>
      <c r="C597" s="173" t="s">
        <v>417</v>
      </c>
    </row>
    <row r="598" spans="1:3" x14ac:dyDescent="0.2">
      <c r="A598" s="174">
        <v>822</v>
      </c>
      <c r="B598" s="167" t="s">
        <v>366</v>
      </c>
      <c r="C598" s="173" t="s">
        <v>416</v>
      </c>
    </row>
    <row r="599" spans="1:3" x14ac:dyDescent="0.2">
      <c r="A599" s="174">
        <v>823</v>
      </c>
      <c r="B599" s="167" t="s">
        <v>367</v>
      </c>
      <c r="C599" s="173" t="s">
        <v>417</v>
      </c>
    </row>
    <row r="600" spans="1:3" x14ac:dyDescent="0.2">
      <c r="A600" s="174">
        <v>824</v>
      </c>
      <c r="B600" s="167" t="s">
        <v>366</v>
      </c>
      <c r="C600" s="173" t="s">
        <v>416</v>
      </c>
    </row>
    <row r="601" spans="1:3" x14ac:dyDescent="0.2">
      <c r="A601" s="174">
        <v>825</v>
      </c>
      <c r="B601" s="167" t="s">
        <v>367</v>
      </c>
      <c r="C601" s="173" t="s">
        <v>417</v>
      </c>
    </row>
    <row r="602" spans="1:3" x14ac:dyDescent="0.2">
      <c r="A602" s="174">
        <v>826</v>
      </c>
      <c r="B602" s="167" t="s">
        <v>366</v>
      </c>
      <c r="C602" s="173" t="s">
        <v>416</v>
      </c>
    </row>
    <row r="603" spans="1:3" x14ac:dyDescent="0.2">
      <c r="A603" s="174">
        <v>827</v>
      </c>
      <c r="B603" s="167" t="s">
        <v>367</v>
      </c>
      <c r="C603" s="173" t="s">
        <v>417</v>
      </c>
    </row>
    <row r="604" spans="1:3" x14ac:dyDescent="0.2">
      <c r="A604" s="174">
        <v>828</v>
      </c>
      <c r="B604" s="167" t="s">
        <v>366</v>
      </c>
      <c r="C604" s="173" t="s">
        <v>416</v>
      </c>
    </row>
    <row r="605" spans="1:3" x14ac:dyDescent="0.2">
      <c r="A605" s="174">
        <v>829</v>
      </c>
      <c r="B605" s="167" t="s">
        <v>367</v>
      </c>
      <c r="C605" s="173" t="s">
        <v>417</v>
      </c>
    </row>
    <row r="606" spans="1:3" x14ac:dyDescent="0.2">
      <c r="A606" s="174">
        <v>830</v>
      </c>
      <c r="B606" s="167" t="s">
        <v>366</v>
      </c>
      <c r="C606" s="173" t="s">
        <v>416</v>
      </c>
    </row>
    <row r="607" spans="1:3" x14ac:dyDescent="0.2">
      <c r="A607" s="174">
        <v>831</v>
      </c>
      <c r="B607" s="167" t="s">
        <v>367</v>
      </c>
      <c r="C607" s="173" t="s">
        <v>417</v>
      </c>
    </row>
    <row r="608" spans="1:3" x14ac:dyDescent="0.2">
      <c r="A608" s="174">
        <v>832</v>
      </c>
      <c r="B608" s="167" t="s">
        <v>366</v>
      </c>
      <c r="C608" s="173" t="s">
        <v>416</v>
      </c>
    </row>
    <row r="609" spans="1:3" x14ac:dyDescent="0.2">
      <c r="A609" s="174">
        <v>833</v>
      </c>
      <c r="B609" s="167" t="s">
        <v>367</v>
      </c>
      <c r="C609" s="173" t="s">
        <v>417</v>
      </c>
    </row>
    <row r="610" spans="1:3" x14ac:dyDescent="0.2">
      <c r="A610" s="174">
        <v>834</v>
      </c>
      <c r="B610" s="167" t="s">
        <v>366</v>
      </c>
      <c r="C610" s="173" t="s">
        <v>416</v>
      </c>
    </row>
    <row r="611" spans="1:3" x14ac:dyDescent="0.2">
      <c r="A611" s="174">
        <v>835</v>
      </c>
      <c r="B611" s="167" t="s">
        <v>367</v>
      </c>
      <c r="C611" s="173" t="s">
        <v>417</v>
      </c>
    </row>
    <row r="612" spans="1:3" x14ac:dyDescent="0.2">
      <c r="A612" s="174">
        <v>836</v>
      </c>
      <c r="B612" s="167" t="s">
        <v>366</v>
      </c>
      <c r="C612" s="173" t="s">
        <v>416</v>
      </c>
    </row>
    <row r="613" spans="1:3" x14ac:dyDescent="0.2">
      <c r="A613" s="174">
        <v>837</v>
      </c>
      <c r="B613" s="167" t="s">
        <v>367</v>
      </c>
      <c r="C613" s="173" t="s">
        <v>417</v>
      </c>
    </row>
    <row r="614" spans="1:3" x14ac:dyDescent="0.2">
      <c r="A614" s="174">
        <v>838</v>
      </c>
      <c r="B614" s="167" t="s">
        <v>366</v>
      </c>
      <c r="C614" s="173" t="s">
        <v>416</v>
      </c>
    </row>
    <row r="615" spans="1:3" x14ac:dyDescent="0.2">
      <c r="A615" s="174">
        <v>839</v>
      </c>
      <c r="B615" s="167" t="s">
        <v>367</v>
      </c>
      <c r="C615" s="173" t="s">
        <v>417</v>
      </c>
    </row>
    <row r="616" spans="1:3" x14ac:dyDescent="0.2">
      <c r="A616" s="174">
        <v>840</v>
      </c>
      <c r="B616" s="167" t="s">
        <v>366</v>
      </c>
      <c r="C616" s="173" t="s">
        <v>416</v>
      </c>
    </row>
    <row r="617" spans="1:3" x14ac:dyDescent="0.2">
      <c r="A617" s="174">
        <v>841</v>
      </c>
      <c r="B617" s="167" t="s">
        <v>367</v>
      </c>
      <c r="C617" s="173" t="s">
        <v>417</v>
      </c>
    </row>
    <row r="618" spans="1:3" x14ac:dyDescent="0.2">
      <c r="A618" s="174">
        <v>842</v>
      </c>
      <c r="B618" s="167" t="s">
        <v>366</v>
      </c>
      <c r="C618" s="173" t="s">
        <v>416</v>
      </c>
    </row>
    <row r="619" spans="1:3" x14ac:dyDescent="0.2">
      <c r="A619" s="174">
        <v>843</v>
      </c>
      <c r="B619" s="167" t="s">
        <v>367</v>
      </c>
      <c r="C619" s="173" t="s">
        <v>417</v>
      </c>
    </row>
    <row r="620" spans="1:3" x14ac:dyDescent="0.2">
      <c r="A620" s="174">
        <v>844</v>
      </c>
      <c r="B620" s="167" t="s">
        <v>366</v>
      </c>
      <c r="C620" s="173" t="s">
        <v>416</v>
      </c>
    </row>
    <row r="621" spans="1:3" x14ac:dyDescent="0.2">
      <c r="A621" s="174">
        <v>845</v>
      </c>
      <c r="B621" s="167" t="s">
        <v>367</v>
      </c>
      <c r="C621" s="173" t="s">
        <v>417</v>
      </c>
    </row>
    <row r="622" spans="1:3" x14ac:dyDescent="0.2">
      <c r="A622" s="174">
        <v>846</v>
      </c>
      <c r="B622" s="167" t="s">
        <v>366</v>
      </c>
      <c r="C622" s="173" t="s">
        <v>416</v>
      </c>
    </row>
    <row r="623" spans="1:3" x14ac:dyDescent="0.2">
      <c r="A623" s="174">
        <v>847</v>
      </c>
      <c r="B623" s="167" t="s">
        <v>367</v>
      </c>
      <c r="C623" s="173" t="s">
        <v>417</v>
      </c>
    </row>
    <row r="624" spans="1:3" x14ac:dyDescent="0.2">
      <c r="A624" s="174">
        <v>848</v>
      </c>
      <c r="B624" s="167" t="s">
        <v>366</v>
      </c>
      <c r="C624" s="173" t="s">
        <v>416</v>
      </c>
    </row>
    <row r="625" spans="1:3" x14ac:dyDescent="0.2">
      <c r="A625" s="174">
        <v>849</v>
      </c>
      <c r="B625" s="167" t="s">
        <v>367</v>
      </c>
      <c r="C625" s="173" t="s">
        <v>417</v>
      </c>
    </row>
    <row r="626" spans="1:3" x14ac:dyDescent="0.2">
      <c r="A626" s="174">
        <v>850</v>
      </c>
      <c r="B626" s="167" t="s">
        <v>367</v>
      </c>
      <c r="C626" s="173" t="s">
        <v>417</v>
      </c>
    </row>
    <row r="627" spans="1:3" x14ac:dyDescent="0.2">
      <c r="A627" s="174">
        <v>851</v>
      </c>
      <c r="B627" s="167" t="s">
        <v>367</v>
      </c>
      <c r="C627" s="173" t="s">
        <v>417</v>
      </c>
    </row>
    <row r="628" spans="1:3" x14ac:dyDescent="0.2">
      <c r="A628" s="174">
        <v>852</v>
      </c>
      <c r="B628" s="167" t="s">
        <v>366</v>
      </c>
      <c r="C628" s="173" t="s">
        <v>416</v>
      </c>
    </row>
    <row r="629" spans="1:3" x14ac:dyDescent="0.2">
      <c r="A629" s="174">
        <v>853</v>
      </c>
      <c r="B629" s="167" t="s">
        <v>366</v>
      </c>
      <c r="C629" s="173" t="s">
        <v>416</v>
      </c>
    </row>
    <row r="630" spans="1:3" x14ac:dyDescent="0.2">
      <c r="A630" s="174">
        <v>854</v>
      </c>
      <c r="B630" s="167" t="s">
        <v>366</v>
      </c>
      <c r="C630" s="173" t="s">
        <v>416</v>
      </c>
    </row>
    <row r="631" spans="1:3" x14ac:dyDescent="0.2">
      <c r="A631" s="174">
        <v>855</v>
      </c>
      <c r="B631" s="167" t="s">
        <v>366</v>
      </c>
      <c r="C631" s="173" t="s">
        <v>416</v>
      </c>
    </row>
    <row r="632" spans="1:3" x14ac:dyDescent="0.2">
      <c r="A632" s="174">
        <v>856</v>
      </c>
      <c r="B632" s="167" t="s">
        <v>366</v>
      </c>
      <c r="C632" s="173" t="s">
        <v>416</v>
      </c>
    </row>
    <row r="633" spans="1:3" x14ac:dyDescent="0.2">
      <c r="A633" s="174">
        <v>857</v>
      </c>
      <c r="B633" s="167" t="s">
        <v>366</v>
      </c>
      <c r="C633" s="173" t="s">
        <v>416</v>
      </c>
    </row>
    <row r="634" spans="1:3" x14ac:dyDescent="0.2">
      <c r="A634" s="174">
        <v>858</v>
      </c>
      <c r="B634" s="167" t="s">
        <v>366</v>
      </c>
      <c r="C634" s="173" t="s">
        <v>416</v>
      </c>
    </row>
    <row r="635" spans="1:3" x14ac:dyDescent="0.2">
      <c r="A635" s="174">
        <v>859</v>
      </c>
      <c r="B635" s="167" t="s">
        <v>366</v>
      </c>
      <c r="C635" s="173" t="s">
        <v>416</v>
      </c>
    </row>
    <row r="636" spans="1:3" x14ac:dyDescent="0.2">
      <c r="A636" s="174">
        <v>860</v>
      </c>
      <c r="B636" s="167" t="s">
        <v>366</v>
      </c>
      <c r="C636" s="173" t="s">
        <v>416</v>
      </c>
    </row>
    <row r="637" spans="1:3" x14ac:dyDescent="0.2">
      <c r="A637" s="174">
        <v>861</v>
      </c>
      <c r="B637" s="167" t="s">
        <v>366</v>
      </c>
      <c r="C637" s="173" t="s">
        <v>416</v>
      </c>
    </row>
    <row r="638" spans="1:3" x14ac:dyDescent="0.2">
      <c r="A638" s="174">
        <v>862</v>
      </c>
      <c r="B638" s="167" t="s">
        <v>366</v>
      </c>
      <c r="C638" s="173" t="s">
        <v>416</v>
      </c>
    </row>
    <row r="639" spans="1:3" x14ac:dyDescent="0.2">
      <c r="A639" s="174">
        <v>863</v>
      </c>
      <c r="B639" s="167" t="s">
        <v>366</v>
      </c>
      <c r="C639" s="173" t="s">
        <v>416</v>
      </c>
    </row>
    <row r="640" spans="1:3" x14ac:dyDescent="0.2">
      <c r="A640" s="174">
        <v>864</v>
      </c>
      <c r="B640" s="167" t="s">
        <v>366</v>
      </c>
      <c r="C640" s="173" t="s">
        <v>416</v>
      </c>
    </row>
    <row r="641" spans="1:3" x14ac:dyDescent="0.2">
      <c r="A641" s="174">
        <v>865</v>
      </c>
      <c r="B641" s="167" t="s">
        <v>366</v>
      </c>
      <c r="C641" s="173" t="s">
        <v>416</v>
      </c>
    </row>
    <row r="642" spans="1:3" x14ac:dyDescent="0.2">
      <c r="A642" s="174">
        <v>866</v>
      </c>
      <c r="B642" s="167" t="s">
        <v>367</v>
      </c>
      <c r="C642" s="173" t="s">
        <v>417</v>
      </c>
    </row>
    <row r="643" spans="1:3" x14ac:dyDescent="0.2">
      <c r="A643" s="174">
        <v>867</v>
      </c>
      <c r="B643" s="167" t="s">
        <v>366</v>
      </c>
      <c r="C643" s="173" t="s">
        <v>416</v>
      </c>
    </row>
    <row r="644" spans="1:3" x14ac:dyDescent="0.2">
      <c r="A644" s="174">
        <v>868</v>
      </c>
      <c r="B644" s="167" t="s">
        <v>367</v>
      </c>
      <c r="C644" s="173" t="s">
        <v>417</v>
      </c>
    </row>
    <row r="645" spans="1:3" x14ac:dyDescent="0.2">
      <c r="A645" s="174">
        <v>869</v>
      </c>
      <c r="B645" s="167" t="s">
        <v>366</v>
      </c>
      <c r="C645" s="173" t="s">
        <v>416</v>
      </c>
    </row>
    <row r="646" spans="1:3" x14ac:dyDescent="0.2">
      <c r="A646" s="174">
        <v>870</v>
      </c>
      <c r="B646" s="167" t="s">
        <v>367</v>
      </c>
      <c r="C646" s="173" t="s">
        <v>417</v>
      </c>
    </row>
    <row r="647" spans="1:3" x14ac:dyDescent="0.2">
      <c r="A647" s="174">
        <v>871</v>
      </c>
      <c r="B647" s="167" t="s">
        <v>366</v>
      </c>
      <c r="C647" s="173" t="s">
        <v>416</v>
      </c>
    </row>
    <row r="648" spans="1:3" x14ac:dyDescent="0.2">
      <c r="A648" s="174">
        <v>872</v>
      </c>
      <c r="B648" s="167" t="s">
        <v>367</v>
      </c>
      <c r="C648" s="173" t="s">
        <v>417</v>
      </c>
    </row>
    <row r="649" spans="1:3" x14ac:dyDescent="0.2">
      <c r="A649" s="174">
        <v>873</v>
      </c>
      <c r="B649" s="167" t="s">
        <v>366</v>
      </c>
      <c r="C649" s="173" t="s">
        <v>416</v>
      </c>
    </row>
    <row r="650" spans="1:3" x14ac:dyDescent="0.2">
      <c r="A650" s="174">
        <v>874</v>
      </c>
      <c r="B650" s="167" t="s">
        <v>367</v>
      </c>
      <c r="C650" s="173" t="s">
        <v>417</v>
      </c>
    </row>
    <row r="651" spans="1:3" x14ac:dyDescent="0.2">
      <c r="A651" s="174">
        <v>875</v>
      </c>
      <c r="B651" s="167" t="s">
        <v>366</v>
      </c>
      <c r="C651" s="173" t="s">
        <v>416</v>
      </c>
    </row>
    <row r="652" spans="1:3" x14ac:dyDescent="0.2">
      <c r="A652" s="174">
        <v>876</v>
      </c>
      <c r="B652" s="167" t="s">
        <v>367</v>
      </c>
      <c r="C652" s="173" t="s">
        <v>417</v>
      </c>
    </row>
    <row r="653" spans="1:3" x14ac:dyDescent="0.2">
      <c r="A653" s="174">
        <v>877</v>
      </c>
      <c r="B653" s="167" t="s">
        <v>366</v>
      </c>
      <c r="C653" s="173" t="s">
        <v>416</v>
      </c>
    </row>
    <row r="654" spans="1:3" x14ac:dyDescent="0.2">
      <c r="A654" s="174">
        <v>878</v>
      </c>
      <c r="B654" s="167" t="s">
        <v>367</v>
      </c>
      <c r="C654" s="173" t="s">
        <v>417</v>
      </c>
    </row>
    <row r="655" spans="1:3" x14ac:dyDescent="0.2">
      <c r="A655" s="174">
        <v>879</v>
      </c>
      <c r="B655" s="167" t="s">
        <v>366</v>
      </c>
      <c r="C655" s="173" t="s">
        <v>416</v>
      </c>
    </row>
    <row r="656" spans="1:3" x14ac:dyDescent="0.2">
      <c r="A656" s="174">
        <v>880</v>
      </c>
      <c r="B656" s="167" t="s">
        <v>367</v>
      </c>
      <c r="C656" s="173" t="s">
        <v>417</v>
      </c>
    </row>
    <row r="657" spans="1:3" x14ac:dyDescent="0.2">
      <c r="A657" s="174">
        <v>881</v>
      </c>
      <c r="B657" s="167" t="s">
        <v>366</v>
      </c>
      <c r="C657" s="173" t="s">
        <v>416</v>
      </c>
    </row>
    <row r="658" spans="1:3" x14ac:dyDescent="0.2">
      <c r="A658" s="174">
        <v>882</v>
      </c>
      <c r="B658" s="167" t="s">
        <v>367</v>
      </c>
      <c r="C658" s="173" t="s">
        <v>417</v>
      </c>
    </row>
    <row r="659" spans="1:3" x14ac:dyDescent="0.2">
      <c r="A659" s="174">
        <v>883</v>
      </c>
      <c r="B659" s="167" t="s">
        <v>366</v>
      </c>
      <c r="C659" s="173" t="s">
        <v>416</v>
      </c>
    </row>
    <row r="660" spans="1:3" x14ac:dyDescent="0.2">
      <c r="A660" s="174">
        <v>884</v>
      </c>
      <c r="B660" s="167" t="s">
        <v>367</v>
      </c>
      <c r="C660" s="173" t="s">
        <v>417</v>
      </c>
    </row>
    <row r="661" spans="1:3" x14ac:dyDescent="0.2">
      <c r="A661" s="174">
        <v>885</v>
      </c>
      <c r="B661" s="167" t="s">
        <v>366</v>
      </c>
      <c r="C661" s="173" t="s">
        <v>416</v>
      </c>
    </row>
    <row r="662" spans="1:3" x14ac:dyDescent="0.2">
      <c r="A662" s="174">
        <v>886</v>
      </c>
      <c r="B662" s="167" t="s">
        <v>367</v>
      </c>
      <c r="C662" s="173" t="s">
        <v>417</v>
      </c>
    </row>
    <row r="663" spans="1:3" x14ac:dyDescent="0.2">
      <c r="A663" s="174">
        <v>887</v>
      </c>
      <c r="B663" s="167" t="s">
        <v>366</v>
      </c>
      <c r="C663" s="173" t="s">
        <v>416</v>
      </c>
    </row>
    <row r="664" spans="1:3" x14ac:dyDescent="0.2">
      <c r="A664" s="174">
        <v>888</v>
      </c>
      <c r="B664" s="167" t="s">
        <v>367</v>
      </c>
      <c r="C664" s="173" t="s">
        <v>417</v>
      </c>
    </row>
    <row r="665" spans="1:3" x14ac:dyDescent="0.2">
      <c r="A665" s="174">
        <v>889</v>
      </c>
      <c r="B665" s="167" t="s">
        <v>366</v>
      </c>
      <c r="C665" s="173" t="s">
        <v>416</v>
      </c>
    </row>
    <row r="666" spans="1:3" x14ac:dyDescent="0.2">
      <c r="A666" s="174">
        <v>890</v>
      </c>
      <c r="B666" s="167" t="s">
        <v>367</v>
      </c>
      <c r="C666" s="173" t="s">
        <v>417</v>
      </c>
    </row>
    <row r="667" spans="1:3" x14ac:dyDescent="0.2">
      <c r="A667" s="174">
        <v>891</v>
      </c>
      <c r="B667" s="167" t="s">
        <v>367</v>
      </c>
      <c r="C667" s="173" t="s">
        <v>417</v>
      </c>
    </row>
    <row r="668" spans="1:3" x14ac:dyDescent="0.2">
      <c r="A668" s="174">
        <v>892</v>
      </c>
      <c r="B668" s="167" t="s">
        <v>367</v>
      </c>
      <c r="C668" s="173" t="s">
        <v>417</v>
      </c>
    </row>
    <row r="669" spans="1:3" x14ac:dyDescent="0.2">
      <c r="A669" s="174">
        <v>893</v>
      </c>
      <c r="B669" s="167" t="s">
        <v>367</v>
      </c>
      <c r="C669" s="173" t="s">
        <v>417</v>
      </c>
    </row>
    <row r="670" spans="1:3" x14ac:dyDescent="0.2">
      <c r="A670" s="174">
        <v>894</v>
      </c>
      <c r="B670" s="167" t="s">
        <v>325</v>
      </c>
      <c r="C670" s="173" t="s">
        <v>417</v>
      </c>
    </row>
    <row r="671" spans="1:3" x14ac:dyDescent="0.2">
      <c r="A671" s="174">
        <v>895</v>
      </c>
      <c r="B671" s="167" t="s">
        <v>325</v>
      </c>
      <c r="C671" s="173" t="s">
        <v>417</v>
      </c>
    </row>
    <row r="672" spans="1:3" x14ac:dyDescent="0.2">
      <c r="A672" s="174">
        <v>896</v>
      </c>
      <c r="B672" s="167" t="s">
        <v>325</v>
      </c>
      <c r="C672" s="173" t="s">
        <v>417</v>
      </c>
    </row>
    <row r="673" spans="1:3" x14ac:dyDescent="0.2">
      <c r="A673" s="174">
        <v>897</v>
      </c>
      <c r="B673" s="167" t="s">
        <v>367</v>
      </c>
      <c r="C673" s="173" t="s">
        <v>417</v>
      </c>
    </row>
    <row r="674" spans="1:3" x14ac:dyDescent="0.2">
      <c r="A674" s="174">
        <v>898</v>
      </c>
      <c r="B674" s="167" t="s">
        <v>367</v>
      </c>
      <c r="C674" s="173" t="s">
        <v>417</v>
      </c>
    </row>
    <row r="675" spans="1:3" x14ac:dyDescent="0.2">
      <c r="A675" s="174">
        <v>899</v>
      </c>
      <c r="B675" s="167" t="s">
        <v>368</v>
      </c>
      <c r="C675" s="173" t="s">
        <v>417</v>
      </c>
    </row>
    <row r="676" spans="1:3" x14ac:dyDescent="0.2">
      <c r="A676" s="174">
        <v>900</v>
      </c>
      <c r="B676" s="167" t="s">
        <v>368</v>
      </c>
      <c r="C676" s="173" t="s">
        <v>417</v>
      </c>
    </row>
    <row r="677" spans="1:3" x14ac:dyDescent="0.2">
      <c r="A677" s="174">
        <v>901</v>
      </c>
      <c r="B677" s="167" t="s">
        <v>368</v>
      </c>
      <c r="C677" s="173" t="s">
        <v>417</v>
      </c>
    </row>
    <row r="678" spans="1:3" x14ac:dyDescent="0.2">
      <c r="A678" s="174">
        <v>902</v>
      </c>
      <c r="B678" s="167" t="s">
        <v>368</v>
      </c>
      <c r="C678" s="173" t="s">
        <v>417</v>
      </c>
    </row>
    <row r="679" spans="1:3" x14ac:dyDescent="0.2">
      <c r="A679" s="174">
        <v>903</v>
      </c>
      <c r="B679" s="167" t="s">
        <v>368</v>
      </c>
      <c r="C679" s="173" t="s">
        <v>417</v>
      </c>
    </row>
    <row r="680" spans="1:3" x14ac:dyDescent="0.2">
      <c r="A680" s="174">
        <v>904</v>
      </c>
      <c r="B680" s="167" t="s">
        <v>369</v>
      </c>
      <c r="C680" s="173" t="s">
        <v>417</v>
      </c>
    </row>
    <row r="681" spans="1:3" x14ac:dyDescent="0.2">
      <c r="A681" s="174">
        <v>905</v>
      </c>
      <c r="B681" s="167" t="s">
        <v>369</v>
      </c>
      <c r="C681" s="173" t="s">
        <v>417</v>
      </c>
    </row>
    <row r="682" spans="1:3" x14ac:dyDescent="0.2">
      <c r="A682" s="174">
        <v>906</v>
      </c>
      <c r="B682" s="167" t="s">
        <v>369</v>
      </c>
      <c r="C682" s="173" t="s">
        <v>417</v>
      </c>
    </row>
    <row r="683" spans="1:3" x14ac:dyDescent="0.2">
      <c r="A683" s="174">
        <v>907</v>
      </c>
      <c r="B683" s="167" t="s">
        <v>370</v>
      </c>
      <c r="C683" s="173" t="s">
        <v>417</v>
      </c>
    </row>
    <row r="684" spans="1:3" x14ac:dyDescent="0.2">
      <c r="A684" s="174">
        <v>908</v>
      </c>
      <c r="B684" s="167" t="s">
        <v>370</v>
      </c>
      <c r="C684" s="173" t="s">
        <v>417</v>
      </c>
    </row>
    <row r="685" spans="1:3" x14ac:dyDescent="0.2">
      <c r="A685" s="174">
        <v>909</v>
      </c>
      <c r="B685" s="167" t="s">
        <v>370</v>
      </c>
      <c r="C685" s="173" t="s">
        <v>417</v>
      </c>
    </row>
    <row r="686" spans="1:3" x14ac:dyDescent="0.2">
      <c r="A686" s="174">
        <v>910</v>
      </c>
      <c r="B686" s="167" t="s">
        <v>370</v>
      </c>
      <c r="C686" s="173" t="s">
        <v>417</v>
      </c>
    </row>
    <row r="687" spans="1:3" x14ac:dyDescent="0.2">
      <c r="A687" s="174">
        <v>911</v>
      </c>
      <c r="B687" s="167" t="s">
        <v>370</v>
      </c>
      <c r="C687" s="173" t="s">
        <v>417</v>
      </c>
    </row>
    <row r="688" spans="1:3" x14ac:dyDescent="0.2">
      <c r="A688" s="174">
        <v>912</v>
      </c>
      <c r="B688" s="167" t="s">
        <v>370</v>
      </c>
      <c r="C688" s="173" t="s">
        <v>417</v>
      </c>
    </row>
    <row r="689" spans="1:3" x14ac:dyDescent="0.2">
      <c r="A689" s="174">
        <v>913</v>
      </c>
      <c r="B689" s="167" t="s">
        <v>370</v>
      </c>
      <c r="C689" s="173" t="s">
        <v>417</v>
      </c>
    </row>
    <row r="690" spans="1:3" x14ac:dyDescent="0.2">
      <c r="A690" s="174">
        <v>914</v>
      </c>
      <c r="B690" s="167" t="s">
        <v>371</v>
      </c>
      <c r="C690" s="173" t="s">
        <v>416</v>
      </c>
    </row>
    <row r="691" spans="1:3" x14ac:dyDescent="0.2">
      <c r="A691" s="174">
        <v>915</v>
      </c>
      <c r="B691" s="167" t="s">
        <v>325</v>
      </c>
      <c r="C691" s="173" t="s">
        <v>416</v>
      </c>
    </row>
    <row r="692" spans="1:3" x14ac:dyDescent="0.2">
      <c r="A692" s="174">
        <v>916</v>
      </c>
      <c r="B692" s="167" t="s">
        <v>325</v>
      </c>
      <c r="C692" s="173" t="s">
        <v>416</v>
      </c>
    </row>
    <row r="693" spans="1:3" x14ac:dyDescent="0.2">
      <c r="A693" s="174">
        <v>917</v>
      </c>
      <c r="B693" s="167" t="s">
        <v>325</v>
      </c>
      <c r="C693" s="173" t="s">
        <v>416</v>
      </c>
    </row>
    <row r="694" spans="1:3" x14ac:dyDescent="0.2">
      <c r="A694" s="174">
        <v>918</v>
      </c>
      <c r="B694" s="167" t="s">
        <v>261</v>
      </c>
      <c r="C694" s="173" t="s">
        <v>416</v>
      </c>
    </row>
    <row r="695" spans="1:3" x14ac:dyDescent="0.2">
      <c r="A695" s="174">
        <v>919</v>
      </c>
      <c r="B695" s="167" t="s">
        <v>372</v>
      </c>
      <c r="C695" s="173" t="s">
        <v>416</v>
      </c>
    </row>
    <row r="696" spans="1:3" x14ac:dyDescent="0.2">
      <c r="A696" s="174">
        <v>920</v>
      </c>
      <c r="B696" s="167" t="s">
        <v>372</v>
      </c>
      <c r="C696" s="173" t="s">
        <v>416</v>
      </c>
    </row>
    <row r="697" spans="1:3" x14ac:dyDescent="0.2">
      <c r="A697" s="174">
        <v>922</v>
      </c>
      <c r="B697" s="167" t="s">
        <v>284</v>
      </c>
      <c r="C697" s="173" t="s">
        <v>416</v>
      </c>
    </row>
    <row r="698" spans="1:3" x14ac:dyDescent="0.2">
      <c r="A698" s="174">
        <v>923</v>
      </c>
      <c r="B698" s="167" t="s">
        <v>284</v>
      </c>
      <c r="C698" s="173" t="s">
        <v>416</v>
      </c>
    </row>
    <row r="699" spans="1:3" x14ac:dyDescent="0.2">
      <c r="A699" s="174">
        <v>924</v>
      </c>
      <c r="B699" s="167" t="s">
        <v>284</v>
      </c>
      <c r="C699" s="173" t="s">
        <v>416</v>
      </c>
    </row>
    <row r="700" spans="1:3" x14ac:dyDescent="0.2">
      <c r="A700" s="174">
        <v>925</v>
      </c>
      <c r="B700" s="167" t="s">
        <v>373</v>
      </c>
      <c r="C700" s="173" t="s">
        <v>412</v>
      </c>
    </row>
    <row r="701" spans="1:3" x14ac:dyDescent="0.2">
      <c r="A701" s="174">
        <v>926</v>
      </c>
      <c r="B701" s="167" t="s">
        <v>314</v>
      </c>
      <c r="C701" s="173" t="s">
        <v>412</v>
      </c>
    </row>
    <row r="702" spans="1:3" x14ac:dyDescent="0.2">
      <c r="A702" s="174">
        <v>927</v>
      </c>
      <c r="B702" s="167" t="s">
        <v>316</v>
      </c>
      <c r="C702" s="173" t="s">
        <v>412</v>
      </c>
    </row>
    <row r="703" spans="1:3" x14ac:dyDescent="0.2">
      <c r="A703" s="174">
        <v>928</v>
      </c>
      <c r="B703" s="167" t="s">
        <v>315</v>
      </c>
      <c r="C703" s="173" t="s">
        <v>412</v>
      </c>
    </row>
    <row r="704" spans="1:3" x14ac:dyDescent="0.2">
      <c r="A704" s="174">
        <v>929</v>
      </c>
      <c r="B704" s="167" t="s">
        <v>368</v>
      </c>
      <c r="C704" s="173" t="s">
        <v>417</v>
      </c>
    </row>
    <row r="705" spans="1:3" x14ac:dyDescent="0.2">
      <c r="A705" s="174">
        <v>930</v>
      </c>
      <c r="B705" s="167" t="s">
        <v>368</v>
      </c>
      <c r="C705" s="173" t="s">
        <v>417</v>
      </c>
    </row>
    <row r="706" spans="1:3" x14ac:dyDescent="0.2">
      <c r="A706" s="174">
        <v>931</v>
      </c>
      <c r="B706" s="167" t="s">
        <v>368</v>
      </c>
      <c r="C706" s="173" t="s">
        <v>417</v>
      </c>
    </row>
    <row r="707" spans="1:3" x14ac:dyDescent="0.2">
      <c r="A707" s="174">
        <v>932</v>
      </c>
      <c r="B707" s="167" t="s">
        <v>374</v>
      </c>
      <c r="C707" s="173" t="s">
        <v>416</v>
      </c>
    </row>
    <row r="708" spans="1:3" x14ac:dyDescent="0.2">
      <c r="A708" s="174">
        <v>933</v>
      </c>
      <c r="B708" s="167" t="s">
        <v>366</v>
      </c>
      <c r="C708" s="173" t="s">
        <v>416</v>
      </c>
    </row>
    <row r="709" spans="1:3" x14ac:dyDescent="0.2">
      <c r="A709" s="174">
        <v>934</v>
      </c>
      <c r="B709" s="167" t="s">
        <v>367</v>
      </c>
      <c r="C709" s="173" t="s">
        <v>417</v>
      </c>
    </row>
    <row r="710" spans="1:3" x14ac:dyDescent="0.2">
      <c r="A710" s="174">
        <v>935</v>
      </c>
      <c r="B710" s="167" t="s">
        <v>375</v>
      </c>
      <c r="C710" s="173" t="s">
        <v>416</v>
      </c>
    </row>
    <row r="711" spans="1:3" x14ac:dyDescent="0.2">
      <c r="A711" s="174">
        <v>936</v>
      </c>
      <c r="B711" s="167" t="s">
        <v>375</v>
      </c>
      <c r="C711" s="173" t="s">
        <v>416</v>
      </c>
    </row>
    <row r="712" spans="1:3" x14ac:dyDescent="0.2">
      <c r="A712" s="174">
        <v>937</v>
      </c>
      <c r="B712" s="167" t="s">
        <v>375</v>
      </c>
      <c r="C712" s="173" t="s">
        <v>416</v>
      </c>
    </row>
    <row r="713" spans="1:3" x14ac:dyDescent="0.2">
      <c r="A713" s="174">
        <v>938</v>
      </c>
      <c r="B713" s="167" t="s">
        <v>375</v>
      </c>
      <c r="C713" s="173" t="s">
        <v>416</v>
      </c>
    </row>
    <row r="714" spans="1:3" x14ac:dyDescent="0.2">
      <c r="A714" s="174">
        <v>939</v>
      </c>
      <c r="B714" s="167" t="s">
        <v>375</v>
      </c>
      <c r="C714" s="173" t="s">
        <v>416</v>
      </c>
    </row>
    <row r="715" spans="1:3" x14ac:dyDescent="0.2">
      <c r="A715" s="174">
        <v>940</v>
      </c>
      <c r="B715" s="167" t="s">
        <v>376</v>
      </c>
      <c r="C715" s="173" t="s">
        <v>413</v>
      </c>
    </row>
    <row r="716" spans="1:3" x14ac:dyDescent="0.2">
      <c r="A716" s="174">
        <v>941</v>
      </c>
      <c r="B716" s="167" t="s">
        <v>377</v>
      </c>
      <c r="C716" s="173" t="s">
        <v>413</v>
      </c>
    </row>
    <row r="717" spans="1:3" x14ac:dyDescent="0.2">
      <c r="A717" s="174">
        <v>942</v>
      </c>
      <c r="B717" s="167" t="s">
        <v>230</v>
      </c>
      <c r="C717" s="173" t="s">
        <v>416</v>
      </c>
    </row>
    <row r="718" spans="1:3" x14ac:dyDescent="0.2">
      <c r="A718" s="174">
        <v>943</v>
      </c>
      <c r="B718" s="167" t="s">
        <v>221</v>
      </c>
      <c r="C718" s="173" t="s">
        <v>416</v>
      </c>
    </row>
    <row r="719" spans="1:3" x14ac:dyDescent="0.2">
      <c r="A719" s="174">
        <v>944</v>
      </c>
      <c r="B719" s="167" t="s">
        <v>221</v>
      </c>
      <c r="C719" s="173" t="s">
        <v>416</v>
      </c>
    </row>
    <row r="720" spans="1:3" x14ac:dyDescent="0.2">
      <c r="A720" s="174">
        <v>945</v>
      </c>
      <c r="B720" s="167" t="s">
        <v>221</v>
      </c>
      <c r="C720" s="173" t="s">
        <v>416</v>
      </c>
    </row>
    <row r="721" spans="1:3" x14ac:dyDescent="0.2">
      <c r="A721" s="174">
        <v>946</v>
      </c>
      <c r="B721" s="167" t="s">
        <v>221</v>
      </c>
      <c r="C721" s="173" t="s">
        <v>416</v>
      </c>
    </row>
    <row r="722" spans="1:3" x14ac:dyDescent="0.2">
      <c r="A722" s="174">
        <v>947</v>
      </c>
      <c r="B722" s="167" t="s">
        <v>378</v>
      </c>
      <c r="C722" s="173" t="s">
        <v>416</v>
      </c>
    </row>
    <row r="723" spans="1:3" x14ac:dyDescent="0.2">
      <c r="A723" s="174">
        <v>948</v>
      </c>
      <c r="B723" s="167" t="s">
        <v>379</v>
      </c>
      <c r="C723" s="173" t="s">
        <v>416</v>
      </c>
    </row>
    <row r="724" spans="1:3" x14ac:dyDescent="0.2">
      <c r="A724" s="174">
        <v>949</v>
      </c>
      <c r="B724" s="167" t="s">
        <v>380</v>
      </c>
      <c r="C724" s="173" t="s">
        <v>416</v>
      </c>
    </row>
    <row r="725" spans="1:3" x14ac:dyDescent="0.2">
      <c r="A725" s="174">
        <v>950</v>
      </c>
      <c r="B725" s="167" t="s">
        <v>381</v>
      </c>
      <c r="C725" s="173" t="s">
        <v>417</v>
      </c>
    </row>
    <row r="726" spans="1:3" x14ac:dyDescent="0.2">
      <c r="A726" s="174">
        <v>951</v>
      </c>
      <c r="B726" s="167" t="s">
        <v>382</v>
      </c>
      <c r="C726" s="173" t="s">
        <v>417</v>
      </c>
    </row>
    <row r="727" spans="1:3" x14ac:dyDescent="0.2">
      <c r="A727" s="174">
        <v>952</v>
      </c>
      <c r="B727" s="167" t="s">
        <v>383</v>
      </c>
      <c r="C727" s="173" t="s">
        <v>416</v>
      </c>
    </row>
    <row r="728" spans="1:3" x14ac:dyDescent="0.2">
      <c r="A728" s="174">
        <v>953</v>
      </c>
      <c r="B728" s="167" t="s">
        <v>384</v>
      </c>
      <c r="C728" s="173" t="s">
        <v>416</v>
      </c>
    </row>
    <row r="729" spans="1:3" x14ac:dyDescent="0.2">
      <c r="A729" s="174">
        <v>954</v>
      </c>
      <c r="B729" s="167" t="s">
        <v>385</v>
      </c>
      <c r="C729" s="173" t="s">
        <v>416</v>
      </c>
    </row>
    <row r="730" spans="1:3" x14ac:dyDescent="0.2">
      <c r="A730" s="174">
        <v>955</v>
      </c>
      <c r="B730" s="167" t="s">
        <v>386</v>
      </c>
      <c r="C730" s="173" t="s">
        <v>416</v>
      </c>
    </row>
    <row r="731" spans="1:3" x14ac:dyDescent="0.2">
      <c r="A731" s="174">
        <v>956</v>
      </c>
      <c r="B731" s="167" t="s">
        <v>387</v>
      </c>
      <c r="C731" s="173" t="s">
        <v>416</v>
      </c>
    </row>
    <row r="732" spans="1:3" x14ac:dyDescent="0.2">
      <c r="A732" s="174">
        <v>957</v>
      </c>
      <c r="B732" s="167" t="s">
        <v>388</v>
      </c>
      <c r="C732" s="173" t="s">
        <v>416</v>
      </c>
    </row>
    <row r="733" spans="1:3" x14ac:dyDescent="0.2">
      <c r="A733" s="174">
        <v>958</v>
      </c>
      <c r="B733" s="167" t="s">
        <v>389</v>
      </c>
      <c r="C733" s="173" t="s">
        <v>416</v>
      </c>
    </row>
    <row r="734" spans="1:3" x14ac:dyDescent="0.2">
      <c r="A734" s="174">
        <v>959</v>
      </c>
      <c r="B734" s="167" t="s">
        <v>390</v>
      </c>
      <c r="C734" s="173" t="s">
        <v>416</v>
      </c>
    </row>
    <row r="735" spans="1:3" x14ac:dyDescent="0.2">
      <c r="A735" s="174">
        <v>960</v>
      </c>
      <c r="B735" s="167" t="s">
        <v>391</v>
      </c>
      <c r="C735" s="173" t="s">
        <v>416</v>
      </c>
    </row>
    <row r="736" spans="1:3" x14ac:dyDescent="0.2">
      <c r="A736" s="174">
        <v>961</v>
      </c>
      <c r="B736" s="167" t="s">
        <v>392</v>
      </c>
      <c r="C736" s="173" t="s">
        <v>416</v>
      </c>
    </row>
    <row r="737" spans="1:3" x14ac:dyDescent="0.2">
      <c r="A737" s="174">
        <v>962</v>
      </c>
      <c r="B737" s="167" t="s">
        <v>393</v>
      </c>
      <c r="C737" s="173" t="s">
        <v>416</v>
      </c>
    </row>
    <row r="738" spans="1:3" x14ac:dyDescent="0.2">
      <c r="A738" s="174">
        <v>963</v>
      </c>
      <c r="B738" s="167" t="s">
        <v>394</v>
      </c>
      <c r="C738" s="173" t="s">
        <v>416</v>
      </c>
    </row>
    <row r="739" spans="1:3" x14ac:dyDescent="0.2">
      <c r="A739" s="174">
        <v>964</v>
      </c>
      <c r="B739" s="167" t="s">
        <v>395</v>
      </c>
      <c r="C739" s="173" t="s">
        <v>416</v>
      </c>
    </row>
    <row r="740" spans="1:3" x14ac:dyDescent="0.2">
      <c r="A740" s="174">
        <v>965</v>
      </c>
      <c r="B740" s="167" t="s">
        <v>396</v>
      </c>
      <c r="C740" s="173" t="s">
        <v>416</v>
      </c>
    </row>
    <row r="741" spans="1:3" x14ac:dyDescent="0.2">
      <c r="A741" s="174">
        <v>966</v>
      </c>
      <c r="B741" s="167" t="s">
        <v>241</v>
      </c>
      <c r="C741" s="173" t="s">
        <v>417</v>
      </c>
    </row>
    <row r="742" spans="1:3" x14ac:dyDescent="0.2">
      <c r="A742" s="174">
        <v>967</v>
      </c>
      <c r="B742" s="167" t="s">
        <v>253</v>
      </c>
      <c r="C742" s="173" t="s">
        <v>416</v>
      </c>
    </row>
    <row r="743" spans="1:3" x14ac:dyDescent="0.2">
      <c r="A743" s="174">
        <v>968</v>
      </c>
      <c r="B743" s="167" t="s">
        <v>253</v>
      </c>
      <c r="C743" s="173" t="s">
        <v>416</v>
      </c>
    </row>
    <row r="744" spans="1:3" x14ac:dyDescent="0.2">
      <c r="A744" s="174">
        <v>969</v>
      </c>
      <c r="B744" s="167" t="s">
        <v>396</v>
      </c>
      <c r="C744" s="173" t="s">
        <v>416</v>
      </c>
    </row>
    <row r="745" spans="1:3" x14ac:dyDescent="0.2">
      <c r="A745" s="174">
        <v>970</v>
      </c>
      <c r="B745" s="167" t="s">
        <v>209</v>
      </c>
      <c r="C745" s="173" t="s">
        <v>416</v>
      </c>
    </row>
    <row r="746" spans="1:3" x14ac:dyDescent="0.2">
      <c r="A746" s="174">
        <v>971</v>
      </c>
      <c r="B746" s="167" t="s">
        <v>397</v>
      </c>
      <c r="C746" s="173" t="s">
        <v>416</v>
      </c>
    </row>
    <row r="747" spans="1:3" x14ac:dyDescent="0.2">
      <c r="A747" s="174">
        <v>972</v>
      </c>
      <c r="B747" s="167" t="s">
        <v>398</v>
      </c>
      <c r="C747" s="173" t="s">
        <v>416</v>
      </c>
    </row>
    <row r="748" spans="1:3" x14ac:dyDescent="0.2">
      <c r="A748" s="174">
        <v>973</v>
      </c>
      <c r="B748" s="167" t="s">
        <v>251</v>
      </c>
      <c r="C748" s="173" t="s">
        <v>416</v>
      </c>
    </row>
    <row r="749" spans="1:3" x14ac:dyDescent="0.2">
      <c r="A749" s="174">
        <v>974</v>
      </c>
      <c r="B749" s="167" t="s">
        <v>277</v>
      </c>
      <c r="C749" s="173" t="s">
        <v>416</v>
      </c>
    </row>
    <row r="750" spans="1:3" x14ac:dyDescent="0.2">
      <c r="A750" s="174">
        <v>975</v>
      </c>
      <c r="B750" s="167" t="s">
        <v>399</v>
      </c>
      <c r="C750" s="173" t="s">
        <v>416</v>
      </c>
    </row>
    <row r="751" spans="1:3" x14ac:dyDescent="0.2">
      <c r="A751" s="174">
        <v>976</v>
      </c>
      <c r="B751" s="167" t="s">
        <v>400</v>
      </c>
      <c r="C751" s="173" t="s">
        <v>416</v>
      </c>
    </row>
    <row r="752" spans="1:3" x14ac:dyDescent="0.2">
      <c r="A752" s="174">
        <v>978</v>
      </c>
      <c r="B752" s="167" t="s">
        <v>235</v>
      </c>
      <c r="C752" s="173" t="s">
        <v>417</v>
      </c>
    </row>
    <row r="753" spans="1:3" x14ac:dyDescent="0.2">
      <c r="A753" s="174">
        <v>979</v>
      </c>
      <c r="B753" s="167" t="s">
        <v>274</v>
      </c>
      <c r="C753" s="173" t="s">
        <v>417</v>
      </c>
    </row>
    <row r="754" spans="1:3" x14ac:dyDescent="0.2">
      <c r="A754" s="174">
        <v>980</v>
      </c>
      <c r="B754" s="167" t="s">
        <v>401</v>
      </c>
      <c r="C754" s="173" t="s">
        <v>416</v>
      </c>
    </row>
    <row r="755" spans="1:3" x14ac:dyDescent="0.2">
      <c r="A755" s="174">
        <v>981</v>
      </c>
      <c r="B755" s="167" t="s">
        <v>402</v>
      </c>
      <c r="C755" s="173" t="s">
        <v>417</v>
      </c>
    </row>
    <row r="756" spans="1:3" x14ac:dyDescent="0.2">
      <c r="A756" s="174">
        <v>982</v>
      </c>
      <c r="B756" s="167" t="s">
        <v>403</v>
      </c>
      <c r="C756" s="173" t="s">
        <v>416</v>
      </c>
    </row>
    <row r="757" spans="1:3" x14ac:dyDescent="0.2">
      <c r="A757" s="174">
        <v>983</v>
      </c>
      <c r="B757" s="167" t="s">
        <v>404</v>
      </c>
      <c r="C757" s="173" t="s">
        <v>416</v>
      </c>
    </row>
    <row r="758" spans="1:3" x14ac:dyDescent="0.2">
      <c r="A758" s="174">
        <v>984</v>
      </c>
      <c r="B758" s="167" t="s">
        <v>405</v>
      </c>
      <c r="C758" s="173" t="s">
        <v>416</v>
      </c>
    </row>
    <row r="759" spans="1:3" x14ac:dyDescent="0.2">
      <c r="A759" s="174">
        <v>985</v>
      </c>
      <c r="B759" s="167" t="s">
        <v>406</v>
      </c>
      <c r="C759" s="173" t="s">
        <v>416</v>
      </c>
    </row>
    <row r="760" spans="1:3" x14ac:dyDescent="0.2">
      <c r="A760" s="174">
        <v>989</v>
      </c>
      <c r="B760" s="167" t="s">
        <v>290</v>
      </c>
      <c r="C760" s="173" t="s">
        <v>416</v>
      </c>
    </row>
    <row r="761" spans="1:3" x14ac:dyDescent="0.2">
      <c r="A761" s="174">
        <v>990</v>
      </c>
      <c r="B761" s="167" t="s">
        <v>291</v>
      </c>
      <c r="C761" s="173" t="s">
        <v>417</v>
      </c>
    </row>
    <row r="762" spans="1:3" x14ac:dyDescent="0.2">
      <c r="A762" s="174">
        <v>991</v>
      </c>
      <c r="B762" s="167" t="s">
        <v>241</v>
      </c>
      <c r="C762" s="173" t="s">
        <v>417</v>
      </c>
    </row>
    <row r="763" spans="1:3" x14ac:dyDescent="0.2">
      <c r="A763" s="174">
        <v>996</v>
      </c>
      <c r="B763" s="167" t="s">
        <v>320</v>
      </c>
      <c r="C763" s="173" t="s">
        <v>416</v>
      </c>
    </row>
    <row r="764" spans="1:3" x14ac:dyDescent="0.2">
      <c r="A764" s="174">
        <v>997</v>
      </c>
      <c r="B764" s="167" t="s">
        <v>407</v>
      </c>
      <c r="C764" s="173" t="s">
        <v>416</v>
      </c>
    </row>
  </sheetData>
  <hyperlinks>
    <hyperlink ref="A1" location="Overview!A1" display="Back to Overview"/>
    <hyperlink ref="A1" location="Overview!A1" display="Back to Overview"/>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X24"/>
  <sheetViews>
    <sheetView zoomScaleNormal="100" workbookViewId="0">
      <selection activeCell="B10" sqref="B10"/>
    </sheetView>
  </sheetViews>
  <sheetFormatPr defaultRowHeight="12.75" x14ac:dyDescent="0.2"/>
  <cols>
    <col min="1" max="1" width="2.42578125" style="107" customWidth="1"/>
    <col min="2" max="2" width="33.7109375" style="107" customWidth="1"/>
    <col min="3" max="4" width="14.140625" style="107" customWidth="1"/>
    <col min="5" max="9" width="12.140625" style="107" customWidth="1"/>
    <col min="10" max="10" width="5.5703125" style="107" customWidth="1"/>
    <col min="11" max="11" width="5.28515625" style="107" customWidth="1"/>
    <col min="12" max="12" width="35.28515625" style="107" customWidth="1"/>
    <col min="13" max="20" width="11.7109375" style="107" customWidth="1"/>
    <col min="21" max="27" width="9.140625" style="107"/>
    <col min="28" max="28" width="25" style="107" bestFit="1" customWidth="1"/>
    <col min="29" max="29" width="14.5703125" style="107" bestFit="1" customWidth="1"/>
    <col min="30" max="16384" width="9.140625" style="107"/>
  </cols>
  <sheetData>
    <row r="1" spans="1:154" x14ac:dyDescent="0.2">
      <c r="B1" s="90" t="s">
        <v>18</v>
      </c>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8"/>
      <c r="BF1" s="108"/>
      <c r="BG1" s="108"/>
      <c r="BH1" s="108"/>
      <c r="BI1" s="108"/>
      <c r="BJ1" s="108"/>
      <c r="BK1" s="108"/>
      <c r="BL1" s="108"/>
      <c r="BM1" s="108"/>
      <c r="BN1" s="108"/>
      <c r="BO1" s="108"/>
      <c r="BP1" s="108"/>
      <c r="BQ1" s="108"/>
      <c r="BR1" s="108"/>
      <c r="BS1" s="108"/>
      <c r="BT1" s="108"/>
      <c r="BU1" s="108"/>
      <c r="BV1" s="108"/>
      <c r="BW1" s="108"/>
      <c r="BX1" s="108"/>
      <c r="BY1" s="108"/>
      <c r="BZ1" s="108"/>
      <c r="CA1" s="108"/>
      <c r="CB1" s="108"/>
      <c r="CC1" s="108"/>
      <c r="CD1" s="108"/>
      <c r="CE1" s="108"/>
      <c r="CF1" s="108"/>
      <c r="CG1" s="108"/>
      <c r="CH1" s="108"/>
      <c r="CI1" s="108"/>
      <c r="CJ1" s="108"/>
      <c r="CK1" s="108"/>
      <c r="CL1" s="108"/>
      <c r="CM1" s="108"/>
      <c r="CN1" s="108"/>
      <c r="CO1" s="108"/>
      <c r="CP1" s="108"/>
      <c r="CQ1" s="108"/>
      <c r="CR1" s="108"/>
      <c r="CS1" s="108"/>
      <c r="CT1" s="108"/>
      <c r="CU1" s="108"/>
      <c r="CV1" s="108"/>
      <c r="CW1" s="108"/>
      <c r="CX1" s="108"/>
      <c r="CY1" s="108"/>
      <c r="CZ1" s="108"/>
      <c r="DA1" s="108"/>
      <c r="DB1" s="108"/>
      <c r="DC1" s="108"/>
      <c r="DD1" s="108"/>
      <c r="DE1" s="108"/>
      <c r="DF1" s="108"/>
      <c r="DG1" s="108"/>
      <c r="DH1" s="108"/>
      <c r="DI1" s="108"/>
      <c r="DJ1" s="108"/>
      <c r="DK1" s="108"/>
      <c r="DL1" s="108"/>
      <c r="DM1" s="108"/>
      <c r="DN1" s="108"/>
      <c r="DO1" s="108"/>
      <c r="DP1" s="108"/>
      <c r="DQ1" s="108"/>
      <c r="DR1" s="108"/>
      <c r="DS1" s="108"/>
      <c r="DT1" s="108"/>
      <c r="DU1" s="108"/>
      <c r="DV1" s="108"/>
      <c r="DW1" s="108"/>
      <c r="DX1" s="108"/>
      <c r="DY1" s="108"/>
      <c r="DZ1" s="108"/>
      <c r="EA1" s="108"/>
      <c r="EB1" s="108"/>
      <c r="EC1" s="108"/>
      <c r="ED1" s="108"/>
      <c r="EE1" s="108"/>
      <c r="EF1" s="108"/>
      <c r="EG1" s="108"/>
      <c r="EH1" s="108"/>
      <c r="EI1" s="108"/>
      <c r="EJ1" s="108"/>
      <c r="EK1" s="108"/>
      <c r="EL1" s="108"/>
      <c r="EM1" s="108"/>
      <c r="EN1" s="108"/>
      <c r="EO1" s="108"/>
      <c r="EP1" s="108"/>
      <c r="EQ1" s="108"/>
      <c r="ER1" s="108"/>
      <c r="ES1" s="108"/>
      <c r="ET1" s="108"/>
      <c r="EU1" s="108"/>
      <c r="EV1" s="108"/>
      <c r="EW1" s="108"/>
      <c r="EX1" s="108"/>
    </row>
    <row r="2" spans="1:154" s="109" customFormat="1" ht="21.75" customHeight="1" x14ac:dyDescent="0.2">
      <c r="B2" s="287" t="str">
        <f>Overview!B4&amp; " - Effective from "&amp;Overview!D4&amp;" - "&amp;Overview!E4</f>
        <v>London Power Networks - Effective from 1 April 2021 - Final</v>
      </c>
      <c r="C2" s="288"/>
      <c r="D2" s="288"/>
      <c r="E2" s="288"/>
      <c r="F2" s="288"/>
      <c r="G2" s="288"/>
      <c r="H2" s="288"/>
      <c r="I2" s="288"/>
      <c r="J2" s="288"/>
      <c r="K2" s="288"/>
      <c r="L2" s="288"/>
      <c r="M2" s="288"/>
      <c r="N2" s="288"/>
      <c r="O2" s="288"/>
      <c r="P2" s="288"/>
      <c r="Q2" s="288"/>
      <c r="R2" s="288"/>
      <c r="S2" s="288"/>
      <c r="T2" s="289"/>
      <c r="U2" s="108"/>
      <c r="V2" s="108"/>
      <c r="W2" s="108"/>
      <c r="X2" s="108"/>
      <c r="Y2" s="108"/>
      <c r="Z2" s="108"/>
      <c r="AA2" s="108"/>
      <c r="AB2" s="24"/>
      <c r="AC2" s="47" t="s">
        <v>165</v>
      </c>
      <c r="AD2" s="47" t="s">
        <v>167</v>
      </c>
      <c r="AE2" s="47" t="s">
        <v>166</v>
      </c>
      <c r="AF2" s="148" t="s">
        <v>24</v>
      </c>
      <c r="AG2" s="148" t="s">
        <v>25</v>
      </c>
      <c r="AH2" s="24" t="s">
        <v>132</v>
      </c>
      <c r="AI2" s="148" t="s">
        <v>32</v>
      </c>
      <c r="AJ2" s="108"/>
      <c r="AK2" s="108"/>
      <c r="AL2" s="108"/>
      <c r="AM2" s="108"/>
      <c r="AN2" s="108"/>
      <c r="AO2" s="108"/>
      <c r="AP2" s="108"/>
      <c r="AQ2" s="108"/>
      <c r="AR2" s="108"/>
      <c r="AS2" s="108"/>
      <c r="AT2" s="108"/>
      <c r="AU2" s="108"/>
      <c r="AV2" s="108"/>
      <c r="AW2" s="108"/>
      <c r="AX2" s="108"/>
      <c r="AY2" s="108"/>
      <c r="AZ2" s="108"/>
      <c r="BA2" s="108"/>
      <c r="BB2" s="108"/>
      <c r="BC2" s="108"/>
      <c r="BD2" s="108"/>
      <c r="BE2" s="108"/>
      <c r="BF2" s="108"/>
      <c r="BG2" s="108"/>
      <c r="BH2" s="108"/>
      <c r="BI2" s="108"/>
      <c r="BJ2" s="108"/>
      <c r="BK2" s="108"/>
      <c r="BL2" s="108"/>
      <c r="BM2" s="108"/>
      <c r="BN2" s="108"/>
      <c r="BO2" s="108"/>
      <c r="BP2" s="108"/>
      <c r="BQ2" s="108"/>
      <c r="BR2" s="108"/>
      <c r="BS2" s="108"/>
      <c r="BT2" s="108"/>
      <c r="BU2" s="108"/>
      <c r="BV2" s="108"/>
      <c r="BW2" s="108"/>
      <c r="BX2" s="108"/>
      <c r="BY2" s="108"/>
      <c r="BZ2" s="108"/>
      <c r="CA2" s="108"/>
      <c r="CB2" s="108"/>
      <c r="CC2" s="108"/>
      <c r="CD2" s="108"/>
      <c r="CE2" s="108"/>
      <c r="CF2" s="108"/>
      <c r="CG2" s="108"/>
      <c r="CH2" s="108"/>
      <c r="CI2" s="108"/>
      <c r="CJ2" s="108"/>
      <c r="CK2" s="108"/>
      <c r="CL2" s="108"/>
      <c r="CM2" s="108"/>
      <c r="CN2" s="108"/>
      <c r="CO2" s="108"/>
      <c r="CP2" s="108"/>
      <c r="CQ2" s="108"/>
      <c r="CR2" s="108"/>
      <c r="CS2" s="108"/>
      <c r="CT2" s="108"/>
      <c r="CU2" s="108"/>
      <c r="CV2" s="108"/>
      <c r="CW2" s="108"/>
      <c r="CX2" s="108"/>
      <c r="CY2" s="108"/>
      <c r="CZ2" s="108"/>
      <c r="DA2" s="108"/>
      <c r="DB2" s="108"/>
      <c r="DC2" s="108"/>
      <c r="DD2" s="108"/>
      <c r="DE2" s="108"/>
      <c r="DF2" s="108"/>
      <c r="DG2" s="108"/>
      <c r="DH2" s="108"/>
      <c r="DI2" s="108"/>
      <c r="DJ2" s="108"/>
      <c r="DK2" s="108"/>
      <c r="DL2" s="108"/>
      <c r="DM2" s="108"/>
      <c r="DN2" s="108"/>
      <c r="DO2" s="108"/>
      <c r="DP2" s="108"/>
      <c r="DQ2" s="108"/>
      <c r="DR2" s="108"/>
      <c r="DS2" s="108"/>
      <c r="DT2" s="108"/>
      <c r="DU2" s="108"/>
      <c r="DV2" s="108"/>
      <c r="DW2" s="108"/>
      <c r="DX2" s="108"/>
      <c r="DY2" s="108"/>
      <c r="DZ2" s="108"/>
      <c r="EA2" s="108"/>
      <c r="EB2" s="108"/>
      <c r="EC2" s="108"/>
      <c r="ED2" s="108"/>
      <c r="EE2" s="108"/>
      <c r="EF2" s="108"/>
      <c r="EG2" s="108"/>
      <c r="EH2" s="108"/>
      <c r="EI2" s="108"/>
      <c r="EJ2" s="108"/>
      <c r="EK2" s="108"/>
      <c r="EL2" s="108"/>
      <c r="EM2" s="108"/>
      <c r="EN2" s="108"/>
      <c r="EO2" s="108"/>
      <c r="EP2" s="108"/>
      <c r="EQ2" s="108"/>
      <c r="ER2" s="108"/>
      <c r="ES2" s="108"/>
      <c r="ET2" s="108"/>
      <c r="EU2" s="108"/>
      <c r="EV2" s="108"/>
      <c r="EW2" s="108"/>
      <c r="EX2" s="108"/>
    </row>
    <row r="3" spans="1:154" s="111" customFormat="1" ht="9" customHeight="1" x14ac:dyDescent="0.2">
      <c r="A3" s="110"/>
      <c r="B3" s="110"/>
      <c r="C3" s="110"/>
      <c r="D3" s="110"/>
      <c r="E3" s="110"/>
      <c r="F3" s="110"/>
      <c r="G3" s="110"/>
      <c r="H3" s="110"/>
      <c r="I3" s="110"/>
      <c r="J3" s="110"/>
      <c r="K3" s="110"/>
      <c r="L3" s="108"/>
      <c r="M3" s="108"/>
      <c r="N3" s="108"/>
      <c r="O3" s="108"/>
      <c r="P3" s="108"/>
      <c r="Q3" s="108"/>
      <c r="R3" s="108"/>
      <c r="S3" s="108"/>
      <c r="T3" s="108"/>
      <c r="U3" s="108"/>
      <c r="V3" s="108"/>
      <c r="W3" s="108"/>
      <c r="X3" s="108"/>
      <c r="Y3" s="108"/>
      <c r="Z3" s="108"/>
      <c r="AA3" s="108"/>
      <c r="AB3" s="14" t="s">
        <v>145</v>
      </c>
      <c r="AC3" s="150" t="s">
        <v>171</v>
      </c>
      <c r="AD3" s="151" t="s">
        <v>173</v>
      </c>
      <c r="AE3" s="152" t="s">
        <v>166</v>
      </c>
      <c r="AF3" s="158" t="s">
        <v>175</v>
      </c>
      <c r="AG3" s="153" t="s">
        <v>178</v>
      </c>
      <c r="AH3" s="153" t="s">
        <v>178</v>
      </c>
      <c r="AI3" s="154" t="s">
        <v>178</v>
      </c>
      <c r="AJ3" s="108"/>
      <c r="AK3" s="108"/>
      <c r="AL3" s="108"/>
      <c r="AM3" s="108"/>
      <c r="AN3" s="108"/>
      <c r="AO3" s="108"/>
      <c r="AP3" s="108"/>
      <c r="AQ3" s="108"/>
      <c r="AR3" s="108"/>
      <c r="AS3" s="108"/>
      <c r="AT3" s="108"/>
      <c r="AU3" s="108"/>
      <c r="AV3" s="108"/>
      <c r="AW3" s="108"/>
      <c r="AX3" s="108"/>
      <c r="AY3" s="108"/>
      <c r="AZ3" s="108"/>
      <c r="BA3" s="108"/>
      <c r="BB3" s="108"/>
      <c r="BC3" s="108"/>
      <c r="BD3" s="108"/>
      <c r="BE3" s="108"/>
      <c r="BF3" s="108"/>
      <c r="BG3" s="108"/>
      <c r="BH3" s="108"/>
      <c r="BI3" s="108"/>
      <c r="BJ3" s="108"/>
      <c r="BK3" s="108"/>
      <c r="BL3" s="108"/>
      <c r="BM3" s="108"/>
      <c r="BN3" s="108"/>
      <c r="BO3" s="108"/>
      <c r="BP3" s="108"/>
      <c r="BQ3" s="108"/>
      <c r="BR3" s="108"/>
      <c r="BS3" s="108"/>
      <c r="BT3" s="108"/>
      <c r="BU3" s="108"/>
      <c r="BV3" s="108"/>
      <c r="BW3" s="108"/>
      <c r="BX3" s="108"/>
      <c r="BY3" s="108"/>
      <c r="BZ3" s="108"/>
      <c r="CA3" s="108"/>
      <c r="CB3" s="108"/>
      <c r="CC3" s="108"/>
      <c r="CD3" s="108"/>
      <c r="CE3" s="108"/>
      <c r="CF3" s="108"/>
      <c r="CG3" s="108"/>
      <c r="CH3" s="108"/>
      <c r="CI3" s="108"/>
      <c r="CJ3" s="108"/>
      <c r="CK3" s="108"/>
      <c r="CL3" s="108"/>
      <c r="CM3" s="108"/>
      <c r="CN3" s="108"/>
      <c r="CO3" s="108"/>
      <c r="CP3" s="108"/>
      <c r="CQ3" s="108"/>
      <c r="CR3" s="108"/>
      <c r="CS3" s="108"/>
      <c r="CT3" s="108"/>
      <c r="CU3" s="108"/>
      <c r="CV3" s="108"/>
      <c r="CW3" s="108"/>
      <c r="CX3" s="108"/>
      <c r="CY3" s="108"/>
      <c r="CZ3" s="108"/>
      <c r="DA3" s="108"/>
      <c r="DB3" s="108"/>
      <c r="DC3" s="108"/>
      <c r="DD3" s="108"/>
      <c r="DE3" s="108"/>
      <c r="DF3" s="108"/>
      <c r="DG3" s="108"/>
      <c r="DH3" s="108"/>
      <c r="DI3" s="108"/>
      <c r="DJ3" s="108"/>
      <c r="DK3" s="108"/>
      <c r="DL3" s="108"/>
      <c r="DM3" s="108"/>
      <c r="DN3" s="108"/>
      <c r="DO3" s="108"/>
      <c r="DP3" s="108"/>
      <c r="DQ3" s="108"/>
      <c r="DR3" s="108"/>
      <c r="DS3" s="108"/>
      <c r="DT3" s="108"/>
      <c r="DU3" s="108"/>
      <c r="DV3" s="108"/>
      <c r="DW3" s="108"/>
      <c r="DX3" s="108"/>
      <c r="DY3" s="108"/>
      <c r="DZ3" s="108"/>
      <c r="EA3" s="108"/>
      <c r="EB3" s="108"/>
      <c r="EC3" s="108"/>
      <c r="ED3" s="108"/>
      <c r="EE3" s="108"/>
      <c r="EF3" s="108"/>
      <c r="EG3" s="108"/>
      <c r="EH3" s="108"/>
      <c r="EI3" s="108"/>
      <c r="EJ3" s="108"/>
      <c r="EK3" s="108"/>
      <c r="EL3" s="108"/>
      <c r="EM3" s="108"/>
      <c r="EN3" s="108"/>
      <c r="EO3" s="108"/>
      <c r="EP3" s="108"/>
      <c r="EQ3" s="108"/>
      <c r="ER3" s="108"/>
      <c r="ES3" s="108"/>
      <c r="ET3" s="108"/>
      <c r="EU3" s="108"/>
      <c r="EV3" s="108"/>
      <c r="EW3" s="108"/>
      <c r="EX3" s="108"/>
    </row>
    <row r="4" spans="1:154" ht="26.25" customHeight="1" x14ac:dyDescent="0.2">
      <c r="B4" s="293" t="s">
        <v>169</v>
      </c>
      <c r="C4" s="294"/>
      <c r="D4" s="294"/>
      <c r="E4" s="294"/>
      <c r="F4" s="294"/>
      <c r="G4" s="294"/>
      <c r="H4" s="294"/>
      <c r="I4" s="295"/>
      <c r="L4" s="293" t="s">
        <v>170</v>
      </c>
      <c r="M4" s="294"/>
      <c r="N4" s="294"/>
      <c r="O4" s="294"/>
      <c r="P4" s="294"/>
      <c r="Q4" s="294"/>
      <c r="R4" s="294"/>
      <c r="S4" s="294"/>
      <c r="T4" s="295"/>
      <c r="AB4" s="14" t="s">
        <v>146</v>
      </c>
      <c r="AC4" s="150" t="s">
        <v>171</v>
      </c>
      <c r="AD4" s="151" t="s">
        <v>173</v>
      </c>
      <c r="AE4" s="152" t="s">
        <v>166</v>
      </c>
      <c r="AF4" s="153" t="s">
        <v>178</v>
      </c>
      <c r="AG4" s="153" t="s">
        <v>178</v>
      </c>
      <c r="AH4" s="153" t="s">
        <v>178</v>
      </c>
      <c r="AI4" s="154" t="s">
        <v>178</v>
      </c>
    </row>
    <row r="5" spans="1:154" ht="18" customHeight="1" x14ac:dyDescent="0.2">
      <c r="B5" s="297" t="s">
        <v>102</v>
      </c>
      <c r="C5" s="297"/>
      <c r="D5" s="297"/>
      <c r="E5" s="297"/>
      <c r="F5" s="297"/>
      <c r="G5" s="297"/>
      <c r="H5" s="297"/>
      <c r="I5" s="297"/>
      <c r="L5" s="297" t="s">
        <v>104</v>
      </c>
      <c r="M5" s="297"/>
      <c r="N5" s="297"/>
      <c r="O5" s="297"/>
      <c r="P5" s="297"/>
      <c r="Q5" s="297"/>
      <c r="R5" s="297"/>
      <c r="S5" s="297"/>
      <c r="T5" s="297"/>
      <c r="AB5" s="14" t="s">
        <v>147</v>
      </c>
      <c r="AC5" s="150" t="s">
        <v>171</v>
      </c>
      <c r="AD5" s="151" t="s">
        <v>173</v>
      </c>
      <c r="AE5" s="152" t="s">
        <v>166</v>
      </c>
      <c r="AF5" s="158" t="s">
        <v>175</v>
      </c>
      <c r="AG5" s="153" t="s">
        <v>178</v>
      </c>
      <c r="AH5" s="153" t="s">
        <v>178</v>
      </c>
      <c r="AI5" s="154" t="s">
        <v>178</v>
      </c>
    </row>
    <row r="6" spans="1:154" s="112" customFormat="1" ht="27.75" customHeight="1" x14ac:dyDescent="0.2">
      <c r="B6" s="296" t="s">
        <v>108</v>
      </c>
      <c r="C6" s="296"/>
      <c r="D6" s="296"/>
      <c r="E6" s="296"/>
      <c r="F6" s="296"/>
      <c r="G6" s="296"/>
      <c r="H6" s="296"/>
      <c r="I6" s="296"/>
      <c r="L6" s="296" t="s">
        <v>109</v>
      </c>
      <c r="M6" s="296"/>
      <c r="N6" s="296"/>
      <c r="O6" s="296"/>
      <c r="P6" s="296"/>
      <c r="Q6" s="296"/>
      <c r="R6" s="296"/>
      <c r="S6" s="296"/>
      <c r="T6" s="296"/>
      <c r="AB6" s="14" t="s">
        <v>148</v>
      </c>
      <c r="AC6" s="150" t="s">
        <v>171</v>
      </c>
      <c r="AD6" s="151" t="s">
        <v>173</v>
      </c>
      <c r="AE6" s="152" t="s">
        <v>166</v>
      </c>
      <c r="AF6" s="153" t="s">
        <v>178</v>
      </c>
      <c r="AG6" s="153" t="s">
        <v>178</v>
      </c>
      <c r="AH6" s="153" t="s">
        <v>178</v>
      </c>
      <c r="AI6" s="154" t="s">
        <v>178</v>
      </c>
    </row>
    <row r="7" spans="1:154" ht="18" customHeight="1" x14ac:dyDescent="0.2">
      <c r="B7" s="297" t="s">
        <v>103</v>
      </c>
      <c r="C7" s="297"/>
      <c r="D7" s="297"/>
      <c r="E7" s="297"/>
      <c r="F7" s="297"/>
      <c r="G7" s="297"/>
      <c r="H7" s="297"/>
      <c r="I7" s="297"/>
      <c r="L7" s="297" t="s">
        <v>105</v>
      </c>
      <c r="M7" s="297"/>
      <c r="N7" s="297"/>
      <c r="O7" s="297"/>
      <c r="P7" s="297"/>
      <c r="Q7" s="297"/>
      <c r="R7" s="297"/>
      <c r="S7" s="297"/>
      <c r="T7" s="297"/>
      <c r="AB7" s="14" t="s">
        <v>149</v>
      </c>
      <c r="AC7" s="150" t="s">
        <v>171</v>
      </c>
      <c r="AD7" s="151" t="s">
        <v>173</v>
      </c>
      <c r="AE7" s="152" t="s">
        <v>166</v>
      </c>
      <c r="AF7" s="158" t="s">
        <v>175</v>
      </c>
      <c r="AG7" s="158" t="s">
        <v>176</v>
      </c>
      <c r="AH7" s="159" t="s">
        <v>177</v>
      </c>
      <c r="AI7" s="160" t="s">
        <v>32</v>
      </c>
    </row>
    <row r="8" spans="1:154" ht="8.25" customHeight="1" x14ac:dyDescent="0.2">
      <c r="AB8" s="14" t="s">
        <v>150</v>
      </c>
      <c r="AC8" s="150" t="s">
        <v>171</v>
      </c>
      <c r="AD8" s="151" t="s">
        <v>173</v>
      </c>
      <c r="AE8" s="152" t="s">
        <v>166</v>
      </c>
      <c r="AF8" s="158" t="s">
        <v>175</v>
      </c>
      <c r="AG8" s="158" t="s">
        <v>176</v>
      </c>
      <c r="AH8" s="159" t="s">
        <v>177</v>
      </c>
      <c r="AI8" s="155" t="s">
        <v>32</v>
      </c>
    </row>
    <row r="9" spans="1:154" ht="72" customHeight="1" x14ac:dyDescent="0.2">
      <c r="B9" s="113" t="s">
        <v>106</v>
      </c>
      <c r="C9" s="114" t="str">
        <f>IFERROR(VLOOKUP($B$10,$AB$2:$AI$18,2,FALSE),AC2)</f>
        <v>Red/black unit charge
p/kWh</v>
      </c>
      <c r="D9" s="114" t="str">
        <f>IFERROR(VLOOKUP($B$10,$AB$2:$AI$18,3,FALSE),AD2)</f>
        <v>Amber/yellow unit charge
p/kWh</v>
      </c>
      <c r="E9" s="114" t="str">
        <f>IFERROR(VLOOKUP($B$10,$AB$2:$AI$18,4,FALSE),AE2)</f>
        <v>Green unit charge
p/kWh</v>
      </c>
      <c r="F9" s="114" t="str">
        <f>IFERROR(VLOOKUP($B$10,$AB$2:$AI$18,5,FALSE),AF2)</f>
        <v>Fixed charge p/MPAN/day</v>
      </c>
      <c r="G9" s="114" t="str">
        <f>IFERROR(VLOOKUP($B$10,$AB$2:$AI$18,6,FALSE),AG2)</f>
        <v>Capacity charge p/kVA/day</v>
      </c>
      <c r="H9" s="114" t="str">
        <f>IFERROR(VLOOKUP($B$10,$AB$2:$AI$18,7,FALSE),AH2)</f>
        <v>Exceeded capacity charge
p/kVA/day</v>
      </c>
      <c r="I9" s="114" t="str">
        <f>IFERROR(VLOOKUP($B$10,$AB$2:$AI$18,8,FALSE),AI2)</f>
        <v>Reactive power charge
p/kVArh</v>
      </c>
      <c r="L9" s="113" t="s">
        <v>107</v>
      </c>
      <c r="M9" s="132" t="str">
        <f>'Annex 2 EHV charges'!H10</f>
        <v>Import
Super Red
unit charge
(p/kWh)</v>
      </c>
      <c r="N9" s="132" t="str">
        <f>'Annex 2 EHV charges'!I10</f>
        <v>Import
fixed charge
(p/day)</v>
      </c>
      <c r="O9" s="132" t="str">
        <f>'Annex 2 EHV charges'!J10</f>
        <v>Import
capacity charge
(p/kVA/day)</v>
      </c>
      <c r="P9" s="132" t="str">
        <f>'Annex 2 EHV charges'!K10</f>
        <v>Import
exceeded capacity charge
(p/kVA/day)</v>
      </c>
      <c r="Q9" s="133" t="str">
        <f>'Annex 2 EHV charges'!L10</f>
        <v>Export
Super Red
unit charge
(p/kWh)</v>
      </c>
      <c r="R9" s="133" t="str">
        <f>'Annex 2 EHV charges'!M10</f>
        <v>Export
fixed charge
(p/day)</v>
      </c>
      <c r="S9" s="133" t="str">
        <f>'Annex 2 EHV charges'!N10</f>
        <v>Export
capacity charge
(p/kVA/day)</v>
      </c>
      <c r="T9" s="133" t="str">
        <f>'Annex 2 EHV charges'!O10</f>
        <v>Export
exceeded capacity charge
(p/kVA/day)</v>
      </c>
      <c r="AB9" s="14" t="s">
        <v>151</v>
      </c>
      <c r="AC9" s="150" t="s">
        <v>171</v>
      </c>
      <c r="AD9" s="151" t="s">
        <v>173</v>
      </c>
      <c r="AE9" s="152" t="s">
        <v>166</v>
      </c>
      <c r="AF9" s="158" t="s">
        <v>175</v>
      </c>
      <c r="AG9" s="158" t="s">
        <v>176</v>
      </c>
      <c r="AH9" s="159" t="s">
        <v>177</v>
      </c>
      <c r="AI9" s="155" t="s">
        <v>32</v>
      </c>
    </row>
    <row r="10" spans="1:154" ht="30" customHeight="1" x14ac:dyDescent="0.2">
      <c r="B10" s="101"/>
      <c r="C10" s="128" t="str">
        <f>IFERROR(VLOOKUP($B$10,'Annex 1 LV, HV and UMS charges'!$A:$K,4,FALSE),"")</f>
        <v/>
      </c>
      <c r="D10" s="129" t="str">
        <f>IFERROR(VLOOKUP($B$10,'Annex 1 LV, HV and UMS charges'!$A:$K,5,FALSE),"")</f>
        <v/>
      </c>
      <c r="E10" s="129" t="str">
        <f>IFERROR(VLOOKUP($B$10,'Annex 1 LV, HV and UMS charges'!$A:$K,6,FALSE),"")</f>
        <v/>
      </c>
      <c r="F10" s="103" t="str">
        <f>IFERROR(VLOOKUP($B$10,'Annex 1 LV, HV and UMS charges'!$A:$K,7,FALSE),"")</f>
        <v/>
      </c>
      <c r="G10" s="103" t="str">
        <f>IFERROR(VLOOKUP($B$10,'Annex 1 LV, HV and UMS charges'!$A:$K,8,FALSE),"")</f>
        <v/>
      </c>
      <c r="H10" s="103" t="str">
        <f>IFERROR(VLOOKUP($B$10,'Annex 1 LV, HV and UMS charges'!$A:$K,9,FALSE),"")</f>
        <v/>
      </c>
      <c r="I10" s="103" t="str">
        <f>IFERROR(VLOOKUP($B$10,'Annex 1 LV, HV and UMS charges'!$A:$K,10,FALSE),"")</f>
        <v/>
      </c>
      <c r="L10" s="101"/>
      <c r="M10" s="103" t="str">
        <f>IFERROR(VLOOKUP($L$10,'Annex 2 EHV charges'!$G:$O,2,FALSE),"")</f>
        <v/>
      </c>
      <c r="N10" s="103" t="str">
        <f>IFERROR(VLOOKUP($L$10,'Annex 2 EHV charges'!$G:$O,3,FALSE),"")</f>
        <v/>
      </c>
      <c r="O10" s="103" t="str">
        <f>IFERROR(VLOOKUP($L$10,'Annex 2 EHV charges'!$G:$O,4,FALSE),"")</f>
        <v/>
      </c>
      <c r="P10" s="103" t="str">
        <f>IFERROR(VLOOKUP($L$10,'Annex 2 EHV charges'!$G:$O,5,FALSE),"")</f>
        <v/>
      </c>
      <c r="Q10" s="116" t="str">
        <f>IFERROR(VLOOKUP($L$10,'Annex 2 EHV charges'!$G:$O,6,FALSE),"")</f>
        <v/>
      </c>
      <c r="R10" s="116" t="str">
        <f>IFERROR(VLOOKUP($L$10,'Annex 2 EHV charges'!$G:$O,7,FALSE),"")</f>
        <v/>
      </c>
      <c r="S10" s="116" t="str">
        <f>IFERROR(VLOOKUP($L$10,'Annex 2 EHV charges'!$G:$O,8,FALSE),"")</f>
        <v/>
      </c>
      <c r="T10" s="116" t="str">
        <f>IFERROR(VLOOKUP($L$10,'Annex 2 EHV charges'!$G:$O,9,FALSE),"")</f>
        <v/>
      </c>
      <c r="AB10" s="14" t="s">
        <v>152</v>
      </c>
      <c r="AC10" s="156" t="s">
        <v>172</v>
      </c>
      <c r="AD10" s="157" t="s">
        <v>174</v>
      </c>
      <c r="AE10" s="152" t="s">
        <v>166</v>
      </c>
      <c r="AF10" s="153" t="s">
        <v>178</v>
      </c>
      <c r="AG10" s="153" t="s">
        <v>178</v>
      </c>
      <c r="AH10" s="153" t="s">
        <v>178</v>
      </c>
      <c r="AI10" s="153" t="s">
        <v>178</v>
      </c>
    </row>
    <row r="11" spans="1:154" ht="7.5" customHeight="1" x14ac:dyDescent="0.2">
      <c r="AB11" s="14" t="s">
        <v>153</v>
      </c>
      <c r="AC11" s="150" t="s">
        <v>171</v>
      </c>
      <c r="AD11" s="151" t="s">
        <v>173</v>
      </c>
      <c r="AE11" s="152" t="s">
        <v>166</v>
      </c>
      <c r="AF11" s="158" t="s">
        <v>175</v>
      </c>
      <c r="AG11" s="153" t="s">
        <v>178</v>
      </c>
      <c r="AH11" s="153" t="s">
        <v>178</v>
      </c>
      <c r="AI11" s="153" t="s">
        <v>178</v>
      </c>
    </row>
    <row r="12" spans="1:154" ht="88.5" customHeight="1" x14ac:dyDescent="0.2">
      <c r="B12" s="117" t="s">
        <v>72</v>
      </c>
      <c r="C12" s="114" t="str">
        <f>C9</f>
        <v>Red/black unit charge
p/kWh</v>
      </c>
      <c r="D12" s="114" t="str">
        <f>D9</f>
        <v>Amber/yellow unit charge
p/kWh</v>
      </c>
      <c r="E12" s="114" t="str">
        <f>E9</f>
        <v>Green unit charge
p/kWh</v>
      </c>
      <c r="F12" s="114" t="s">
        <v>73</v>
      </c>
      <c r="G12" s="114" t="s">
        <v>70</v>
      </c>
      <c r="H12" s="114" t="s">
        <v>135</v>
      </c>
      <c r="I12" s="114" t="s">
        <v>71</v>
      </c>
      <c r="L12" s="117" t="s">
        <v>72</v>
      </c>
      <c r="M12" s="114" t="s">
        <v>92</v>
      </c>
      <c r="N12" s="114" t="s">
        <v>73</v>
      </c>
      <c r="O12" s="114" t="s">
        <v>88</v>
      </c>
      <c r="P12" s="114" t="s">
        <v>135</v>
      </c>
      <c r="Q12" s="115" t="s">
        <v>90</v>
      </c>
      <c r="R12" s="115" t="s">
        <v>73</v>
      </c>
      <c r="S12" s="115" t="s">
        <v>89</v>
      </c>
      <c r="T12" s="115" t="s">
        <v>135</v>
      </c>
      <c r="AB12" s="14" t="s">
        <v>154</v>
      </c>
      <c r="AC12" s="150" t="s">
        <v>171</v>
      </c>
      <c r="AD12" s="151" t="s">
        <v>173</v>
      </c>
      <c r="AE12" s="152" t="s">
        <v>166</v>
      </c>
      <c r="AF12" s="158" t="s">
        <v>175</v>
      </c>
      <c r="AG12" s="153" t="s">
        <v>178</v>
      </c>
      <c r="AH12" s="153" t="s">
        <v>178</v>
      </c>
      <c r="AI12" s="153" t="s">
        <v>178</v>
      </c>
    </row>
    <row r="13" spans="1:154" ht="30" customHeight="1" x14ac:dyDescent="0.2">
      <c r="B13" s="118" t="s">
        <v>74</v>
      </c>
      <c r="C13" s="123"/>
      <c r="D13" s="123"/>
      <c r="E13" s="123"/>
      <c r="F13" s="123"/>
      <c r="G13" s="123"/>
      <c r="H13" s="123"/>
      <c r="I13" s="123"/>
      <c r="L13" s="118" t="s">
        <v>74</v>
      </c>
      <c r="M13" s="104"/>
      <c r="N13" s="104"/>
      <c r="O13" s="104"/>
      <c r="P13" s="104"/>
      <c r="Q13" s="105"/>
      <c r="R13" s="105">
        <f>N13</f>
        <v>0</v>
      </c>
      <c r="S13" s="105"/>
      <c r="T13" s="105"/>
      <c r="AB13" s="14" t="s">
        <v>155</v>
      </c>
      <c r="AC13" s="150" t="s">
        <v>171</v>
      </c>
      <c r="AD13" s="151" t="s">
        <v>173</v>
      </c>
      <c r="AE13" s="152" t="s">
        <v>166</v>
      </c>
      <c r="AF13" s="158" t="s">
        <v>175</v>
      </c>
      <c r="AG13" s="153" t="s">
        <v>178</v>
      </c>
      <c r="AH13" s="153" t="s">
        <v>178</v>
      </c>
      <c r="AI13" s="155" t="s">
        <v>32</v>
      </c>
    </row>
    <row r="14" spans="1:154" ht="30" customHeight="1" x14ac:dyDescent="0.2">
      <c r="B14" s="119" t="s">
        <v>76</v>
      </c>
      <c r="C14" s="102">
        <f t="shared" ref="C14:I14" si="0">C13</f>
        <v>0</v>
      </c>
      <c r="D14" s="102">
        <f t="shared" si="0"/>
        <v>0</v>
      </c>
      <c r="E14" s="102">
        <f t="shared" si="0"/>
        <v>0</v>
      </c>
      <c r="F14" s="102">
        <f t="shared" si="0"/>
        <v>0</v>
      </c>
      <c r="G14" s="102">
        <f t="shared" si="0"/>
        <v>0</v>
      </c>
      <c r="H14" s="102">
        <f t="shared" si="0"/>
        <v>0</v>
      </c>
      <c r="I14" s="102">
        <f t="shared" si="0"/>
        <v>0</v>
      </c>
      <c r="L14" s="119" t="s">
        <v>76</v>
      </c>
      <c r="M14" s="102">
        <f>M13</f>
        <v>0</v>
      </c>
      <c r="N14" s="102">
        <f t="shared" ref="N14:T14" si="1">N13</f>
        <v>0</v>
      </c>
      <c r="O14" s="102">
        <f t="shared" si="1"/>
        <v>0</v>
      </c>
      <c r="P14" s="102">
        <f t="shared" si="1"/>
        <v>0</v>
      </c>
      <c r="Q14" s="106">
        <f t="shared" si="1"/>
        <v>0</v>
      </c>
      <c r="R14" s="106">
        <f t="shared" si="1"/>
        <v>0</v>
      </c>
      <c r="S14" s="106">
        <f t="shared" si="1"/>
        <v>0</v>
      </c>
      <c r="T14" s="106">
        <f t="shared" si="1"/>
        <v>0</v>
      </c>
      <c r="AB14" s="14" t="s">
        <v>156</v>
      </c>
      <c r="AC14" s="150" t="s">
        <v>171</v>
      </c>
      <c r="AD14" s="151" t="s">
        <v>173</v>
      </c>
      <c r="AE14" s="152" t="s">
        <v>166</v>
      </c>
      <c r="AF14" s="158" t="s">
        <v>175</v>
      </c>
      <c r="AG14" s="153" t="s">
        <v>178</v>
      </c>
      <c r="AH14" s="153" t="s">
        <v>178</v>
      </c>
      <c r="AI14" s="153" t="s">
        <v>178</v>
      </c>
    </row>
    <row r="15" spans="1:154" ht="7.5" customHeight="1" x14ac:dyDescent="0.2">
      <c r="AB15" s="14" t="s">
        <v>157</v>
      </c>
      <c r="AC15" s="150" t="s">
        <v>171</v>
      </c>
      <c r="AD15" s="151" t="s">
        <v>173</v>
      </c>
      <c r="AE15" s="152" t="s">
        <v>166</v>
      </c>
      <c r="AF15" s="158" t="s">
        <v>175</v>
      </c>
      <c r="AG15" s="153" t="s">
        <v>178</v>
      </c>
      <c r="AH15" s="153" t="s">
        <v>178</v>
      </c>
      <c r="AI15" s="155" t="s">
        <v>32</v>
      </c>
    </row>
    <row r="16" spans="1:154" ht="63.75" customHeight="1" x14ac:dyDescent="0.2">
      <c r="B16" s="117" t="s">
        <v>75</v>
      </c>
      <c r="C16" s="114" t="s">
        <v>85</v>
      </c>
      <c r="D16" s="114" t="s">
        <v>86</v>
      </c>
      <c r="E16" s="114" t="s">
        <v>87</v>
      </c>
      <c r="F16" s="114" t="s">
        <v>81</v>
      </c>
      <c r="G16" s="114" t="s">
        <v>80</v>
      </c>
      <c r="H16" s="114" t="s">
        <v>136</v>
      </c>
      <c r="I16" s="114" t="s">
        <v>79</v>
      </c>
      <c r="L16" s="117" t="s">
        <v>75</v>
      </c>
      <c r="M16" s="114" t="s">
        <v>93</v>
      </c>
      <c r="N16" s="114" t="s">
        <v>91</v>
      </c>
      <c r="O16" s="114" t="s">
        <v>96</v>
      </c>
      <c r="P16" s="114" t="s">
        <v>137</v>
      </c>
      <c r="Q16" s="115" t="s">
        <v>94</v>
      </c>
      <c r="R16" s="115" t="s">
        <v>95</v>
      </c>
      <c r="S16" s="115" t="s">
        <v>97</v>
      </c>
      <c r="T16" s="115" t="s">
        <v>138</v>
      </c>
      <c r="AB16" s="14" t="s">
        <v>158</v>
      </c>
      <c r="AC16" s="150" t="s">
        <v>171</v>
      </c>
      <c r="AD16" s="151" t="s">
        <v>173</v>
      </c>
      <c r="AE16" s="152" t="s">
        <v>166</v>
      </c>
      <c r="AF16" s="158" t="s">
        <v>175</v>
      </c>
      <c r="AG16" s="153" t="s">
        <v>178</v>
      </c>
      <c r="AH16" s="153" t="s">
        <v>178</v>
      </c>
      <c r="AI16" s="153" t="s">
        <v>178</v>
      </c>
    </row>
    <row r="17" spans="2:35" ht="30" customHeight="1" x14ac:dyDescent="0.2">
      <c r="B17" s="118" t="s">
        <v>77</v>
      </c>
      <c r="C17" s="124" t="str">
        <f>IFERROR(C10*C13/100,"")</f>
        <v/>
      </c>
      <c r="D17" s="124" t="str">
        <f t="shared" ref="D17:I17" si="2">IFERROR(D10*D13/100,"")</f>
        <v/>
      </c>
      <c r="E17" s="124" t="str">
        <f t="shared" si="2"/>
        <v/>
      </c>
      <c r="F17" s="124" t="str">
        <f t="shared" si="2"/>
        <v/>
      </c>
      <c r="G17" s="124" t="str">
        <f>IFERROR(G10*G13*F13/100,"")</f>
        <v/>
      </c>
      <c r="H17" s="124" t="str">
        <f>IFERROR(H10*H13*F13/100,"")</f>
        <v/>
      </c>
      <c r="I17" s="124" t="str">
        <f t="shared" si="2"/>
        <v/>
      </c>
      <c r="L17" s="120" t="s">
        <v>77</v>
      </c>
      <c r="M17" s="124" t="str">
        <f>IFERROR(M10*M13/100,"")</f>
        <v/>
      </c>
      <c r="N17" s="124" t="str">
        <f>IFERROR(N10*N13/100,"")</f>
        <v/>
      </c>
      <c r="O17" s="124" t="str">
        <f>IFERROR(O10*O13*N13/100,"")</f>
        <v/>
      </c>
      <c r="P17" s="124" t="str">
        <f>IFERROR(P10*P13*N13/100,"")</f>
        <v/>
      </c>
      <c r="Q17" s="125" t="str">
        <f>IFERROR(Q10*Q13/100,"")</f>
        <v/>
      </c>
      <c r="R17" s="125" t="str">
        <f>IFERROR(R10*R13/100,"")</f>
        <v/>
      </c>
      <c r="S17" s="125" t="str">
        <f>IFERROR(S10*S13*R13/100,"")</f>
        <v/>
      </c>
      <c r="T17" s="125" t="str">
        <f>IFERROR(T10*T13*R13/100,"")</f>
        <v/>
      </c>
      <c r="AB17" s="14" t="s">
        <v>159</v>
      </c>
      <c r="AC17" s="150" t="s">
        <v>171</v>
      </c>
      <c r="AD17" s="151" t="s">
        <v>173</v>
      </c>
      <c r="AE17" s="152" t="s">
        <v>166</v>
      </c>
      <c r="AF17" s="158" t="s">
        <v>175</v>
      </c>
      <c r="AG17" s="153" t="s">
        <v>178</v>
      </c>
      <c r="AH17" s="153" t="s">
        <v>178</v>
      </c>
      <c r="AI17" s="155" t="s">
        <v>32</v>
      </c>
    </row>
    <row r="18" spans="2:35" ht="30" customHeight="1" x14ac:dyDescent="0.2">
      <c r="B18" s="119" t="s">
        <v>78</v>
      </c>
      <c r="C18" s="126" t="str">
        <f>IFERROR(C10*C14/100,"")</f>
        <v/>
      </c>
      <c r="D18" s="126" t="str">
        <f t="shared" ref="D18:I18" si="3">IFERROR(D10*D14/100,"")</f>
        <v/>
      </c>
      <c r="E18" s="126" t="str">
        <f t="shared" si="3"/>
        <v/>
      </c>
      <c r="F18" s="126" t="str">
        <f t="shared" si="3"/>
        <v/>
      </c>
      <c r="G18" s="126" t="str">
        <f>IFERROR(G10*G14*F14/100,"")</f>
        <v/>
      </c>
      <c r="H18" s="126" t="str">
        <f>IFERROR(H10*H14*F14/100,"")</f>
        <v/>
      </c>
      <c r="I18" s="126" t="str">
        <f t="shared" si="3"/>
        <v/>
      </c>
      <c r="L18" s="121" t="s">
        <v>78</v>
      </c>
      <c r="M18" s="126" t="str">
        <f>IFERROR(M10*M14/100,"")</f>
        <v/>
      </c>
      <c r="N18" s="126" t="str">
        <f>IFERROR(N10*N14/100,"")</f>
        <v/>
      </c>
      <c r="O18" s="126" t="str">
        <f>IFERROR(O10*O14*N14/100,"")</f>
        <v/>
      </c>
      <c r="P18" s="126" t="str">
        <f>IFERROR(P10*P14*N14/100,"")</f>
        <v/>
      </c>
      <c r="Q18" s="127" t="str">
        <f>IFERROR(Q10*Q14/100,"")</f>
        <v/>
      </c>
      <c r="R18" s="127" t="str">
        <f>IFERROR(R10*R14/100,"")</f>
        <v/>
      </c>
      <c r="S18" s="127" t="str">
        <f>IFERROR(S10*S14*R14/100,"")</f>
        <v/>
      </c>
      <c r="T18" s="127" t="str">
        <f>IFERROR(T10*T14*R14/100,"")</f>
        <v/>
      </c>
      <c r="AB18" s="14" t="s">
        <v>160</v>
      </c>
      <c r="AC18" s="150" t="s">
        <v>171</v>
      </c>
      <c r="AD18" s="151" t="s">
        <v>173</v>
      </c>
      <c r="AE18" s="152" t="s">
        <v>166</v>
      </c>
      <c r="AF18" s="158" t="s">
        <v>175</v>
      </c>
      <c r="AG18" s="153" t="s">
        <v>178</v>
      </c>
      <c r="AH18" s="153" t="s">
        <v>178</v>
      </c>
      <c r="AI18" s="153" t="s">
        <v>178</v>
      </c>
    </row>
    <row r="19" spans="2:35" ht="7.5" customHeight="1" x14ac:dyDescent="0.2"/>
    <row r="20" spans="2:35" ht="39.75" customHeight="1" x14ac:dyDescent="0.2">
      <c r="C20" s="122" t="s">
        <v>82</v>
      </c>
      <c r="M20" s="114" t="s">
        <v>98</v>
      </c>
      <c r="N20" s="115" t="s">
        <v>99</v>
      </c>
    </row>
    <row r="21" spans="2:35" ht="30" customHeight="1" x14ac:dyDescent="0.2">
      <c r="B21" s="118" t="s">
        <v>77</v>
      </c>
      <c r="C21" s="124">
        <f>SUM(C17:I17)</f>
        <v>0</v>
      </c>
      <c r="L21" s="118" t="s">
        <v>77</v>
      </c>
      <c r="M21" s="124">
        <f>SUM(M17:P17)</f>
        <v>0</v>
      </c>
      <c r="N21" s="125">
        <f>SUM(Q17:T17)</f>
        <v>0</v>
      </c>
    </row>
    <row r="22" spans="2:35" ht="30" customHeight="1" x14ac:dyDescent="0.2">
      <c r="B22" s="119" t="s">
        <v>78</v>
      </c>
      <c r="C22" s="126">
        <f>SUM(C18:I18)</f>
        <v>0</v>
      </c>
      <c r="L22" s="119" t="s">
        <v>78</v>
      </c>
      <c r="M22" s="126">
        <f>SUM(M18:P18)</f>
        <v>0</v>
      </c>
      <c r="N22" s="127">
        <f>SUM(Q18:T18)</f>
        <v>0</v>
      </c>
    </row>
    <row r="24" spans="2:35" ht="30.75" customHeight="1" x14ac:dyDescent="0.2">
      <c r="B24" s="290" t="s">
        <v>100</v>
      </c>
      <c r="C24" s="291"/>
      <c r="D24" s="292"/>
      <c r="L24" s="290" t="s">
        <v>101</v>
      </c>
      <c r="M24" s="291"/>
      <c r="N24" s="292"/>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31"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HV and UMS charges'!$A$13:$A$31</xm:f>
          </x14:formula1>
          <xm:sqref>B10</xm:sqref>
        </x14:dataValidation>
        <x14:dataValidation type="list" errorStyle="information" allowBlank="1" showInputMessage="1" showErrorMessage="1" promptTitle="Choose site" prompt="Select the EHV site that you would like to calculate charges.">
          <x14:formula1>
            <xm:f>'Annex 2 EHV charges'!$G$11:$G$58</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Fetherston, Chloe</cp:lastModifiedBy>
  <cp:lastPrinted>2021-04-06T14:20:53Z</cp:lastPrinted>
  <dcterms:created xsi:type="dcterms:W3CDTF">2009-11-12T11:38:00Z</dcterms:created>
  <dcterms:modified xsi:type="dcterms:W3CDTF">2021-04-06T14:21:02Z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