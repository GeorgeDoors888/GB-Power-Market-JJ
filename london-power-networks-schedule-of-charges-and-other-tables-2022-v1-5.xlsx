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codeName="ThisWorkbook" defaultThemeVersion="124226"/>
  <mc:AlternateContent xmlns:mc="http://schemas.openxmlformats.org/markup-compatibility/2006">
    <mc:Choice Requires="x15">
      <x15ac:absPath xmlns:x15ac="http://schemas.microsoft.com/office/spreadsheetml/2010/11/ac" url="T:\Use of System\Price Reviews\2022-04-01\Statements\Excel documents\"/>
    </mc:Choice>
  </mc:AlternateContent>
  <xr:revisionPtr revIDLastSave="0" documentId="13_ncr:1_{246F598B-7ADE-4CD4-9B81-26AEEB870D63}" xr6:coauthVersionLast="47" xr6:coauthVersionMax="47" xr10:uidLastSave="{00000000-0000-0000-0000-000000000000}"/>
  <bookViews>
    <workbookView xWindow="-120" yWindow="-120" windowWidth="29040" windowHeight="1584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charges'!$A$10:$O$57</definedName>
    <definedName name="_xlnm._FilterDatabase" localSheetId="6" hidden="1">'Annex 4 LDNO charges'!$A$12:$J$202</definedName>
    <definedName name="_xlnm._FilterDatabase" localSheetId="9" hidden="1">'Annex 7 Pass-Through Costs'!$A$4:$F$165</definedName>
    <definedName name="_xlnm._FilterDatabase" localSheetId="10" hidden="1">'Nodal prices'!$C$3:$D$258</definedName>
    <definedName name="_xlnm._FilterDatabase" localSheetId="11" hidden="1">'SSC unit rate lookup'!$A$28:$D$764</definedName>
    <definedName name="OLE_LINK1" localSheetId="5">'Annex 3 Preserved charges'!#REF!</definedName>
    <definedName name="_xlnm.Print_Area" localSheetId="1">'Annex 1 LV, HV and UMS charges'!$A$2:$K$44</definedName>
    <definedName name="_xlnm.Print_Area" localSheetId="2">'Annex 2 EHV charges'!$A$2:$O$57</definedName>
    <definedName name="_xlnm.Print_Area" localSheetId="3">'Annex 2a Import'!$A$2:$H$51</definedName>
    <definedName name="_xlnm.Print_Area" localSheetId="4">'Annex 2b Export'!$A$2:$H$10</definedName>
    <definedName name="_xlnm.Print_Area" localSheetId="5">'Annex 3 Preserved charges'!$A$2:$J$16</definedName>
    <definedName name="_xlnm.Print_Area" localSheetId="6">'Annex 4 LDNO charges'!$A$2:$J$202</definedName>
    <definedName name="_xlnm.Print_Area" localSheetId="7">'Annex 5 LLFs'!$A$2:$G$86</definedName>
    <definedName name="_xlnm.Print_Area" localSheetId="8">'Annex 6 New or Amended EHV'!$A$2:$R$27</definedName>
    <definedName name="_xlnm.Print_Area" localSheetId="9">'Annex 7 Pass-Through Costs'!$A$2:$F$165</definedName>
    <definedName name="_xlnm.Print_Area" localSheetId="10">'Nodal prices'!$A$2:$D$26</definedName>
    <definedName name="_xlnm.Print_Titles" localSheetId="1">'Annex 1 LV, HV and UMS charges'!$2:$12</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charges'!$A$2:$K$44</definedName>
    <definedName name="Z_5032A364_B81A_48DA_88DA_AB3B86B47EE9_.wvu.PrintArea" localSheetId="2" hidden="1">'Annex 2 EHV charges'!$A$2:$I$20</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LLFs'!$A$3:$F$74</definedName>
    <definedName name="Z_5032A364_B81A_48DA_88DA_AB3B86B47EE9_.wvu.PrintArea" localSheetId="8" hidden="1">'Annex 6 New or Amended EHV'!$A$1:$P$27</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charges'!$2:$12</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4" l="1"/>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8" i="24"/>
  <c r="B149" i="24"/>
  <c r="B150" i="24"/>
  <c r="B151" i="24"/>
  <c r="B152" i="24"/>
  <c r="B153" i="24"/>
  <c r="B154" i="24"/>
  <c r="B155" i="24"/>
  <c r="B156" i="24"/>
  <c r="B157" i="24"/>
  <c r="B158" i="24"/>
  <c r="B159" i="24"/>
  <c r="B160" i="24"/>
  <c r="B161" i="24"/>
  <c r="B162" i="24"/>
  <c r="B5" i="24"/>
  <c r="C5" i="24"/>
  <c r="C6" i="24" l="1"/>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A2" i="26" l="1"/>
  <c r="A2" i="24" l="1"/>
  <c r="I9" i="15" l="1"/>
  <c r="H9" i="15"/>
  <c r="G9" i="15"/>
  <c r="F9" i="15"/>
  <c r="E9" i="15"/>
  <c r="D9" i="15"/>
  <c r="C9" i="15"/>
  <c r="E12" i="15" l="1"/>
  <c r="D12" i="15"/>
  <c r="C12" i="15"/>
  <c r="B13" i="1" l="1"/>
  <c r="I14" i="15" l="1"/>
  <c r="H14" i="15"/>
  <c r="B2" i="15" l="1"/>
  <c r="A2" i="7"/>
  <c r="A16"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3" a="1"/>
  <c r="A11" i="13" s="1"/>
  <c r="A12" i="13" s="1" a="1"/>
  <c r="A12" i="13" s="1"/>
  <c r="C10" i="13"/>
  <c r="G10" i="13"/>
  <c r="E10" i="13"/>
  <c r="D10" i="13"/>
  <c r="F10" i="13"/>
  <c r="H10" i="13"/>
  <c r="E12" i="13" l="1"/>
  <c r="D12" i="13"/>
  <c r="H12" i="13"/>
  <c r="C12" i="13"/>
  <c r="G12" i="13"/>
  <c r="F12" i="13"/>
  <c r="B11" i="13"/>
  <c r="C11" i="13"/>
  <c r="F11" i="13"/>
  <c r="D11" i="13"/>
  <c r="G11" i="13"/>
  <c r="E11" i="13"/>
  <c r="H11" i="13"/>
  <c r="B12" i="13"/>
  <c r="A13" i="13" a="1"/>
  <c r="A13" i="13" s="1"/>
  <c r="D13" i="13" l="1"/>
  <c r="H13" i="13"/>
  <c r="E13" i="13"/>
  <c r="C13" i="13"/>
  <c r="G13" i="13"/>
  <c r="F13" i="13"/>
  <c r="B13" i="13"/>
  <c r="A14" i="13" a="1"/>
  <c r="A14" i="13" s="1"/>
  <c r="C14" i="13" l="1"/>
  <c r="G14" i="13"/>
  <c r="E14" i="13"/>
  <c r="F14" i="13"/>
  <c r="D14" i="13"/>
  <c r="H14" i="13"/>
  <c r="A15" i="13" a="1"/>
  <c r="A15" i="13" s="1"/>
  <c r="B14" i="13"/>
  <c r="C15" i="13" l="1"/>
  <c r="F15" i="13"/>
  <c r="E15" i="13"/>
  <c r="H15" i="13"/>
  <c r="G15" i="13"/>
  <c r="D15" i="13"/>
  <c r="A16" i="13" a="1"/>
  <c r="A16" i="13" s="1"/>
  <c r="B15" i="13"/>
  <c r="B16" i="13" l="1"/>
  <c r="E16" i="13"/>
  <c r="C16" i="13"/>
  <c r="F16" i="13"/>
  <c r="H16" i="13"/>
  <c r="D16" i="13"/>
  <c r="G16" i="13"/>
  <c r="A17" i="13" a="1"/>
  <c r="A17" i="13" s="1"/>
  <c r="B17" i="13" l="1"/>
  <c r="D17" i="13"/>
  <c r="H17" i="13"/>
  <c r="C17" i="13"/>
  <c r="F17" i="13"/>
  <c r="E17" i="13"/>
  <c r="G17" i="13"/>
  <c r="A18" i="13" a="1"/>
  <c r="A18" i="13" s="1"/>
  <c r="B18" i="13" l="1"/>
  <c r="C18" i="13"/>
  <c r="G18" i="13"/>
  <c r="F18" i="13"/>
  <c r="H18" i="13"/>
  <c r="E18" i="13"/>
  <c r="D18" i="13"/>
  <c r="A19" i="13" a="1"/>
  <c r="A19" i="13" s="1"/>
  <c r="B19" i="13" l="1"/>
  <c r="C19" i="13"/>
  <c r="F19" i="13"/>
  <c r="G19" i="13"/>
  <c r="H19" i="13"/>
  <c r="E19" i="13"/>
  <c r="D19" i="13"/>
  <c r="A20" i="13" a="1"/>
  <c r="A20" i="13" s="1"/>
  <c r="E20" i="13" l="1"/>
  <c r="G20" i="13"/>
  <c r="D20" i="13"/>
  <c r="H20" i="13"/>
  <c r="C20" i="13"/>
  <c r="F20" i="13"/>
  <c r="B20" i="13"/>
  <c r="A21" i="13" a="1"/>
  <c r="A21" i="13" s="1"/>
  <c r="B21" i="13" l="1"/>
  <c r="D21" i="13"/>
  <c r="H21" i="13"/>
  <c r="G21" i="13"/>
  <c r="F21" i="13"/>
  <c r="E21" i="13"/>
  <c r="C21" i="13"/>
  <c r="A22" i="13" a="1"/>
  <c r="A22" i="13" s="1"/>
  <c r="C22" i="13" l="1"/>
  <c r="G22" i="13"/>
  <c r="H22" i="13"/>
  <c r="F22" i="13"/>
  <c r="D22" i="13"/>
  <c r="E22" i="13"/>
  <c r="B22" i="13"/>
  <c r="A23" i="13" a="1"/>
  <c r="A23" i="13" s="1"/>
  <c r="B23" i="13" l="1"/>
  <c r="C23" i="13"/>
  <c r="F23" i="13"/>
  <c r="H23" i="13"/>
  <c r="D23" i="13"/>
  <c r="G23" i="13"/>
  <c r="E23" i="13"/>
  <c r="A24" i="13" a="1"/>
  <c r="A24" i="13" s="1"/>
  <c r="A25" i="13" s="1" a="1"/>
  <c r="A25" i="13" s="1"/>
  <c r="A26" i="13" l="1" a="1"/>
  <c r="A26" i="13" s="1"/>
  <c r="E26" i="13" s="1"/>
  <c r="C25" i="13"/>
  <c r="F25" i="13"/>
  <c r="E25" i="13"/>
  <c r="D25" i="13"/>
  <c r="H25" i="13"/>
  <c r="G25" i="13"/>
  <c r="B25" i="13"/>
  <c r="C24" i="13"/>
  <c r="G24" i="13"/>
  <c r="E24" i="13"/>
  <c r="D24" i="13"/>
  <c r="H24" i="13"/>
  <c r="F24" i="13"/>
  <c r="B24" i="13"/>
  <c r="G26" i="13" l="1"/>
  <c r="D26" i="13"/>
  <c r="C26" i="13"/>
  <c r="A27" i="13" a="1"/>
  <c r="A27" i="13" s="1"/>
  <c r="F27" i="13" s="1"/>
  <c r="B26" i="13"/>
  <c r="F26" i="13"/>
  <c r="H26" i="13"/>
  <c r="C27" i="13" l="1"/>
  <c r="E27" i="13"/>
  <c r="A28" i="13" a="1"/>
  <c r="A28" i="13" s="1"/>
  <c r="B27" i="13"/>
  <c r="G27" i="13"/>
  <c r="D27" i="13"/>
  <c r="H27" i="13"/>
  <c r="G28" i="13" l="1"/>
  <c r="D28" i="13"/>
  <c r="B28" i="13"/>
  <c r="E28" i="13"/>
  <c r="F28" i="13"/>
  <c r="H28" i="13"/>
  <c r="C28" i="13"/>
  <c r="A29" i="13" a="1"/>
  <c r="A29" i="13" s="1"/>
  <c r="E29" i="13" l="1"/>
  <c r="B29" i="13"/>
  <c r="F29" i="13"/>
  <c r="H29" i="13"/>
  <c r="C29" i="13"/>
  <c r="D29" i="13"/>
  <c r="G29" i="13"/>
  <c r="A30" i="13" a="1"/>
  <c r="A30" i="13" s="1"/>
  <c r="C30" i="13" l="1"/>
  <c r="D30" i="13"/>
  <c r="E30" i="13"/>
  <c r="H30" i="13"/>
  <c r="G30" i="13"/>
  <c r="F30" i="13"/>
  <c r="B30" i="13"/>
  <c r="A31" i="13" a="1"/>
  <c r="A31" i="13" s="1"/>
  <c r="H31" i="13" l="1"/>
  <c r="G31" i="13"/>
  <c r="B31" i="13"/>
  <c r="C31" i="13"/>
  <c r="F31" i="13"/>
  <c r="D31" i="13"/>
  <c r="E31" i="13"/>
  <c r="A32" i="13" a="1"/>
  <c r="A32" i="13" s="1"/>
  <c r="C32" i="13" l="1"/>
  <c r="E32" i="13"/>
  <c r="G32" i="13"/>
  <c r="D32" i="13"/>
  <c r="H32" i="13"/>
  <c r="F32" i="13"/>
  <c r="B32" i="13"/>
  <c r="A33" i="13" a="1"/>
  <c r="A33" i="13" s="1"/>
  <c r="H33" i="13" l="1"/>
  <c r="G33" i="13"/>
  <c r="B33" i="13"/>
  <c r="C33" i="13"/>
  <c r="E33" i="13"/>
  <c r="F33" i="13"/>
  <c r="D33" i="13"/>
  <c r="A34" i="13" a="1"/>
  <c r="A34" i="13" s="1"/>
  <c r="C34" i="13" l="1"/>
  <c r="F34" i="13"/>
  <c r="E34" i="13"/>
  <c r="D34" i="13"/>
  <c r="H34" i="13"/>
  <c r="G34" i="13"/>
  <c r="B34" i="13"/>
  <c r="A35" i="13" a="1"/>
  <c r="A35" i="13" s="1"/>
  <c r="H35" i="13" l="1"/>
  <c r="G35" i="13"/>
  <c r="B35" i="13"/>
  <c r="C35" i="13"/>
  <c r="E35" i="13"/>
  <c r="D35" i="13"/>
  <c r="F35" i="13"/>
  <c r="A36" i="13" a="1"/>
  <c r="A36" i="13" s="1"/>
  <c r="G36" i="13" l="1"/>
  <c r="E36" i="13"/>
  <c r="D36" i="13"/>
  <c r="C36" i="13"/>
  <c r="H36" i="13"/>
  <c r="F36" i="13"/>
  <c r="B36" i="13"/>
  <c r="A37" i="13" a="1"/>
  <c r="A37" i="13" s="1"/>
  <c r="A38" i="13" s="1" a="1"/>
  <c r="A38" i="13" s="1"/>
  <c r="H38" i="13" l="1"/>
  <c r="B38" i="13"/>
  <c r="C38" i="13"/>
  <c r="G38" i="13"/>
  <c r="D38" i="13"/>
  <c r="A39" i="13" a="1"/>
  <c r="A39" i="13" s="1"/>
  <c r="D39" i="13" s="1"/>
  <c r="E38" i="13"/>
  <c r="F38" i="13"/>
  <c r="C37" i="13"/>
  <c r="B37" i="13"/>
  <c r="F37" i="13"/>
  <c r="G37" i="13"/>
  <c r="D37" i="13"/>
  <c r="E37" i="13"/>
  <c r="H37" i="13"/>
  <c r="B39" i="13" l="1"/>
  <c r="F39" i="13"/>
  <c r="E39" i="13"/>
  <c r="C39" i="13"/>
  <c r="A40" i="13" a="1"/>
  <c r="A40" i="13" s="1"/>
  <c r="G40" i="13" s="1"/>
  <c r="H39" i="13"/>
  <c r="G39" i="13"/>
  <c r="D40" i="13" l="1"/>
  <c r="B40" i="13"/>
  <c r="H40" i="13"/>
  <c r="C40" i="13"/>
  <c r="A41" i="13" a="1"/>
  <c r="A41" i="13" s="1"/>
  <c r="D41" i="13" s="1"/>
  <c r="E40" i="13"/>
  <c r="F40" i="13"/>
  <c r="G41" i="13" l="1"/>
  <c r="F41" i="13"/>
  <c r="A42" i="13" a="1"/>
  <c r="A42" i="13" s="1"/>
  <c r="E42" i="13" s="1"/>
  <c r="E41" i="13"/>
  <c r="H41" i="13"/>
  <c r="C41" i="13"/>
  <c r="B41" i="13"/>
  <c r="H42" i="13" l="1"/>
  <c r="C42" i="13"/>
  <c r="B42" i="13"/>
  <c r="D42" i="13"/>
  <c r="A43" i="13" a="1"/>
  <c r="A43" i="13" s="1"/>
  <c r="H43" i="13" s="1"/>
  <c r="F42" i="13"/>
  <c r="G42" i="13"/>
  <c r="G43" i="13" l="1"/>
  <c r="D43" i="13"/>
  <c r="E43" i="13"/>
  <c r="C43" i="13"/>
  <c r="B43" i="13"/>
  <c r="F43" i="13"/>
  <c r="A44" i="13" a="1"/>
  <c r="A44" i="13" s="1"/>
  <c r="F44" i="13" s="1"/>
  <c r="H44" i="13" l="1"/>
  <c r="G44" i="13"/>
  <c r="B44" i="13"/>
  <c r="E44" i="13"/>
  <c r="A45" i="13" a="1"/>
  <c r="A45" i="13" s="1"/>
  <c r="C45" i="13" s="1"/>
  <c r="C44" i="13"/>
  <c r="D44" i="13"/>
  <c r="E45" i="13" l="1"/>
  <c r="B45" i="13"/>
  <c r="D45" i="13"/>
  <c r="F45" i="13"/>
  <c r="A46" i="13" a="1"/>
  <c r="A46" i="13" s="1"/>
  <c r="F46" i="13" s="1"/>
  <c r="G45" i="13"/>
  <c r="H45" i="13"/>
  <c r="H46" i="13" l="1"/>
  <c r="C46" i="13"/>
  <c r="A47" i="13" a="1"/>
  <c r="A47" i="13" s="1"/>
  <c r="D47" i="13" s="1"/>
  <c r="G46" i="13"/>
  <c r="D46" i="13"/>
  <c r="E46" i="13"/>
  <c r="B46" i="13"/>
  <c r="B47" i="13" l="1"/>
  <c r="G47" i="13"/>
  <c r="A48" i="13" a="1"/>
  <c r="A48" i="13" s="1"/>
  <c r="G48" i="13" s="1"/>
  <c r="H47" i="13"/>
  <c r="F47" i="13"/>
  <c r="C47" i="13"/>
  <c r="E47" i="13"/>
  <c r="C48" i="13" l="1"/>
  <c r="D48" i="13"/>
  <c r="B48" i="13"/>
  <c r="F48" i="13"/>
  <c r="A49" i="13" a="1"/>
  <c r="A49" i="13" s="1"/>
  <c r="G49" i="13" s="1"/>
  <c r="H48" i="13"/>
  <c r="E48" i="13"/>
  <c r="D49" i="13" l="1"/>
  <c r="F49" i="13"/>
  <c r="A50" i="13" a="1"/>
  <c r="A50" i="13" s="1"/>
  <c r="E50" i="13" s="1"/>
  <c r="H49" i="13"/>
  <c r="E49" i="13"/>
  <c r="C49" i="13"/>
  <c r="B49" i="13"/>
  <c r="C50" i="13" l="1"/>
  <c r="B50" i="13"/>
  <c r="F50" i="13"/>
  <c r="G50" i="13"/>
  <c r="A51" i="13" a="1"/>
  <c r="A51" i="13" s="1"/>
  <c r="C51" i="13" s="1"/>
  <c r="H50" i="13"/>
  <c r="D50" i="13"/>
  <c r="H51" i="13" l="1"/>
  <c r="E51" i="13"/>
  <c r="D51" i="13"/>
  <c r="B51" i="13"/>
  <c r="G51" i="13"/>
  <c r="F51" i="13"/>
</calcChain>
</file>

<file path=xl/sharedStrings.xml><?xml version="1.0" encoding="utf-8"?>
<sst xmlns="http://schemas.openxmlformats.org/spreadsheetml/2006/main" count="3393" uniqueCount="1467">
  <si>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</si>
  <si>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</si>
  <si>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</si>
  <si>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</si>
  <si>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</si>
  <si>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</si>
  <si>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</si>
  <si>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</si>
  <si>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</si>
  <si>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</si>
  <si>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</si>
  <si>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</si>
  <si>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</si>
  <si>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</si>
  <si>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</si>
  <si>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</si>
  <si>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</si>
  <si>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</si>
  <si>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</si>
  <si>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</si>
  <si>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</si>
  <si>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</si>
  <si>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</si>
  <si>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</si>
  <si>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</si>
  <si>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</si>
  <si>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</si>
  <si>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</si>
  <si>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</si>
  <si>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</si>
  <si>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</si>
  <si>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</si>
  <si>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</si>
  <si>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</si>
  <si>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</si>
  <si>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</si>
  <si>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</si>
  <si>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</si>
  <si>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</si>
  <si>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</si>
  <si>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</si>
  <si>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</si>
  <si>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</si>
  <si>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</si>
  <si>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</si>
  <si>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</si>
  <si>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</si>
  <si>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</si>
  <si>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</si>
  <si>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</si>
  <si>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</si>
  <si>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</si>
  <si>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</si>
  <si>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</si>
  <si>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</si>
  <si>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</si>
  <si>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</si>
  <si>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</si>
  <si>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</si>
  <si>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</si>
  <si>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</si>
  <si>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</si>
  <si>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</si>
  <si>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</si>
  <si>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</si>
  <si>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</si>
  <si>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</si>
  <si>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</si>
  <si>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</si>
  <si>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</si>
  <si>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</si>
  <si>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</si>
  <si>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</si>
  <si>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</si>
  <si>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</si>
  <si>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</si>
  <si>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</si>
  <si>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</si>
  <si>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</si>
  <si>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</si>
  <si>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</si>
  <si>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</si>
  <si>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</si>
  <si>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</si>
  <si>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</si>
  <si>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</si>
  <si>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</si>
  <si>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</si>
  <si>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</si>
  <si>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</si>
  <si>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</si>
  <si>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</si>
  <si>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</si>
  <si>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</si>
  <si>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</si>
  <si>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</si>
  <si>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</si>
  <si>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</si>
  <si>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</si>
  <si>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</si>
  <si>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</si>
  <si>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</si>
  <si>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</si>
  <si>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</si>
  <si>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</si>
  <si>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</si>
  <si>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</si>
  <si>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</si>
  <si>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</si>
  <si>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</si>
  <si>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</si>
  <si>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</si>
  <si>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</si>
  <si>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</si>
  <si>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</si>
  <si>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</si>
  <si>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</si>
  <si>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</si>
  <si>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</si>
  <si>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</si>
  <si>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</si>
  <si>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</si>
  <si>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</si>
  <si>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</si>
  <si>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</si>
  <si>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</si>
  <si>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</si>
  <si>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</si>
  <si>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</si>
  <si>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</si>
  <si>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</si>
  <si>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</si>
  <si>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</si>
  <si>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</si>
  <si>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</si>
  <si>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</si>
  <si>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</si>
  <si>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</si>
  <si>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</si>
  <si>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</si>
  <si>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</si>
  <si>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</si>
  <si>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</si>
  <si>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</si>
  <si>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</si>
  <si>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</si>
  <si>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</si>
  <si>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</si>
  <si>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</si>
  <si>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</si>
  <si>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</si>
  <si>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</si>
  <si>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</si>
  <si>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</si>
  <si>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</si>
  <si>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</si>
  <si>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</si>
  <si>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</si>
  <si>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</si>
  <si>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</si>
  <si>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</si>
  <si>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</si>
  <si>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</si>
  <si>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</si>
  <si>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</si>
  <si>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</si>
  <si>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</si>
  <si>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</si>
  <si>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</si>
  <si>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</si>
  <si>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</si>
  <si>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</si>
  <si>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</si>
  <si>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</si>
  <si>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</si>
  <si>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</si>
  <si>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</si>
  <si>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</si>
  <si>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</si>
  <si>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</si>
  <si>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</si>
  <si>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</si>
  <si>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</si>
  <si>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</si>
  <si>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</si>
  <si>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</si>
  <si>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</si>
  <si>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</si>
  <si>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</si>
  <si>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</si>
  <si>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</si>
  <si>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</si>
  <si>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</si>
  <si>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</si>
  <si>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</si>
  <si>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</si>
  <si>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</si>
  <si>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</si>
  <si>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</si>
  <si>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</si>
  <si>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</si>
  <si>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</si>
  <si>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</si>
  <si>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</si>
  <si>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</si>
  <si>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</si>
  <si>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</si>
  <si>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</si>
  <si>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</si>
  <si>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</si>
  <si>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</si>
  <si>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</si>
  <si>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</si>
  <si>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</si>
  <si>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</si>
  <si>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</si>
  <si>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</si>
  <si>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</si>
  <si>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</si>
  <si>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</si>
  <si>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</si>
  <si>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</si>
  <si>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</si>
  <si>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</si>
  <si>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</si>
  <si>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</si>
  <si>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</si>
  <si>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</si>
  <si>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</si>
  <si>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</si>
  <si>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</si>
  <si>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</si>
  <si>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</si>
  <si>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</si>
  <si>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</si>
  <si>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</si>
  <si>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</si>
  <si>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</si>
  <si>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</si>
  <si>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</si>
  <si>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</si>
  <si>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</si>
  <si>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</si>
  <si>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</si>
  <si>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</si>
  <si>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</si>
  <si>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</si>
  <si>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</si>
  <si>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</si>
  <si>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</si>
  <si>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</si>
  <si>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</si>
  <si>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</si>
  <si>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</si>
  <si>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</si>
  <si>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</si>
  <si>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</si>
  <si>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</si>
  <si>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</si>
  <si>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</si>
  <si>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</si>
  <si>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</si>
  <si>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</si>
  <si>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</si>
  <si>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</si>
  <si>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</si>
  <si>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</si>
  <si>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</si>
  <si>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</si>
  <si>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</si>
  <si>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</si>
  <si>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</si>
  <si>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</si>
  <si>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</si>
  <si>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</si>
  <si>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</si>
  <si>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</si>
  <si>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</si>
  <si>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</si>
  <si>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</si>
  <si>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</si>
  <si>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</si>
  <si>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</si>
  <si>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</si>
  <si>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</si>
  <si>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</si>
  <si>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</si>
  <si>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</si>
  <si>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</si>
  <si>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</si>
  <si>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</si>
  <si>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</si>
  <si>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</si>
  <si>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</si>
  <si>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</si>
  <si>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</si>
  <si>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</si>
  <si>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</si>
  <si>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</si>
  <si>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</si>
  <si>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</si>
  <si>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</si>
  <si>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</si>
  <si>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</si>
  <si>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</si>
  <si>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</si>
  <si>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</si>
  <si>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</si>
  <si>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</si>
  <si>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</si>
  <si>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</si>
  <si>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</si>
  <si>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</si>
  <si>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</si>
  <si>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</si>
  <si>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</si>
  <si>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</si>
  <si>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</si>
  <si>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</si>
  <si>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</si>
  <si>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</si>
  <si>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</si>
  <si>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</si>
  <si>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</si>
  <si>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</si>
  <si>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</si>
  <si>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</si>
  <si>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</si>
  <si>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</si>
  <si>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</si>
  <si>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</si>
  <si>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</si>
  <si>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</si>
  <si>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</si>
  <si>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</si>
  <si>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</si>
  <si>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</si>
  <si>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</si>
  <si>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</si>
  <si>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</si>
  <si>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</si>
  <si>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</si>
  <si>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</si>
  <si>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</si>
  <si>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</si>
  <si>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</si>
  <si>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</si>
  <si>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</si>
  <si>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</si>
  <si>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</si>
  <si>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</si>
  <si>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</si>
  <si>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</si>
  <si>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</si>
  <si>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</si>
  <si>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</si>
  <si>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</si>
  <si>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</si>
  <si>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</si>
  <si>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</si>
  <si>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</si>
  <si>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</si>
  <si>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</si>
  <si>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</si>
  <si>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</si>
  <si>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</si>
  <si>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</si>
  <si>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</si>
  <si>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</si>
  <si>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</si>
  <si>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</si>
  <si>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</si>
  <si>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</si>
  <si>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</si>
  <si>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</si>
  <si>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</si>
  <si>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</si>
  <si>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</si>
  <si>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</si>
  <si>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</si>
  <si>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</si>
  <si>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</si>
  <si>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</si>
  <si>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</si>
  <si>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</si>
  <si>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</si>
  <si>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</si>
  <si>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</si>
  <si>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</si>
  <si>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</si>
  <si>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</si>
  <si>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</si>
  <si>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</si>
  <si>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</si>
  <si>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</si>
  <si>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</si>
  <si>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</si>
  <si>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</si>
  <si>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</si>
  <si>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</si>
  <si>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</si>
  <si>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</si>
  <si>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</si>
  <si>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</si>
  <si>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</si>
  <si>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</si>
  <si>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</si>
  <si>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</si>
  <si>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</si>
  <si>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</si>
  <si>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</si>
  <si>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</si>
  <si>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</si>
  <si>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</si>
  <si>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</si>
  <si>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</si>
  <si>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</si>
  <si>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</si>
  <si>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</si>
  <si>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</si>
  <si>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</si>
  <si>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</si>
  <si>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</si>
  <si>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</si>
  <si>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</si>
  <si>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</si>
  <si>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</si>
  <si>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</si>
  <si>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</si>
  <si>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</si>
  <si>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</si>
  <si>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</si>
  <si>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</si>
  <si>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</si>
  <si>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</si>
  <si>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</si>
  <si>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</si>
  <si>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</si>
  <si>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</si>
  <si>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</si>
  <si>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</si>
  <si>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</si>
  <si>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</si>
  <si>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</si>
  <si>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</si>
  <si>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</si>
  <si>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</si>
  <si>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</si>
  <si>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</si>
  <si>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</si>
  <si>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</si>
  <si>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</si>
  <si>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</si>
  <si>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</si>
  <si>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</si>
  <si>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</si>
  <si>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</si>
  <si>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</si>
  <si>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</si>
  <si>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</si>
  <si>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</si>
  <si>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</si>
  <si>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</si>
  <si>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</si>
  <si>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</si>
  <si>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</si>
  <si>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</si>
  <si>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</si>
  <si>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</si>
  <si>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</si>
  <si>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</si>
  <si>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</si>
  <si>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</si>
  <si>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</si>
  <si>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</si>
  <si>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</si>
  <si>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</si>
  <si>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</si>
  <si>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</si>
  <si>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</si>
  <si>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</si>
  <si>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</si>
  <si>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</si>
  <si>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</si>
  <si>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</si>
  <si>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</si>
  <si>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</si>
  <si>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</si>
  <si>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</si>
  <si>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</si>
  <si>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</si>
  <si>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</si>
  <si>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</si>
  <si>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</si>
  <si>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</si>
  <si>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</si>
  <si>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</si>
  <si>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</si>
  <si>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</si>
  <si>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</si>
  <si>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</si>
  <si>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</si>
  <si>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</si>
  <si>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</si>
  <si>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</si>
  <si>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</si>
  <si>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</si>
  <si>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</si>
  <si>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</si>
  <si>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</si>
  <si>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</si>
  <si>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</si>
  <si>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</si>
  <si>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</si>
  <si>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</si>
  <si>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</si>
  <si>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</si>
  <si>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</si>
  <si>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</si>
  <si>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</si>
  <si>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</si>
  <si>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</si>
  <si>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</si>
  <si>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</si>
  <si>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</si>
  <si>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</si>
  <si>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</si>
  <si>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</si>
  <si>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</si>
  <si>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</si>
  <si>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</si>
  <si>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</si>
  <si>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</si>
  <si>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</si>
  <si>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</si>
  <si>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</si>
  <si>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</si>
  <si>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</si>
  <si>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</si>
  <si>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</si>
  <si>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</si>
  <si>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</si>
  <si>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</si>
  <si>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</si>
  <si>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</si>
  <si>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</si>
  <si>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</si>
  <si>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</si>
  <si>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</si>
  <si>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</si>
  <si>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</si>
  <si>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</si>
  <si>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</si>
  <si>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</si>
  <si>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</si>
  <si>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</si>
  <si>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</si>
  <si>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</si>
  <si>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</si>
  <si>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</si>
  <si>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</si>
  <si>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</si>
  <si>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</si>
  <si>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</si>
  <si>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</si>
  <si>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</si>
  <si>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</si>
  <si>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</si>
  <si>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</si>
  <si>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</si>
  <si>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</si>
  <si>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</si>
  <si>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</si>
  <si>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</si>
  <si>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</si>
  <si>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</si>
  <si>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</si>
  <si>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</si>
  <si>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</si>
  <si>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</si>
  <si>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</si>
  <si>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</si>
  <si>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</si>
  <si>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</si>
  <si>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</si>
  <si>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</si>
  <si>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</si>
  <si>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</si>
  <si>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</si>
  <si>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</si>
  <si>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</si>
  <si>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</si>
  <si>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</si>
  <si>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</si>
  <si>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</si>
  <si>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</si>
  <si>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</si>
  <si>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</si>
  <si>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</si>
  <si>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</si>
  <si>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</si>
  <si>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</si>
  <si>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</si>
  <si>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</si>
  <si>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</si>
  <si>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</si>
  <si>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</si>
  <si>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</si>
  <si>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</si>
  <si>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</si>
  <si>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</si>
  <si>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</si>
  <si>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</si>
  <si>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</si>
  <si>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</si>
  <si>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</si>
  <si>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</si>
  <si>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</si>
  <si>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</si>
  <si>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</si>
  <si>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</si>
  <si>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</si>
  <si>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</si>
  <si>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</si>
  <si>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</si>
  <si>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</si>
  <si>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</si>
  <si>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</si>
  <si>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</si>
  <si>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</si>
  <si>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</si>
  <si>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</si>
  <si>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</si>
  <si>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</si>
  <si>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</si>
  <si>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</si>
  <si>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</si>
  <si>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</si>
  <si>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</si>
  <si>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</si>
  <si>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</si>
  <si>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</si>
  <si>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</si>
  <si>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</si>
  <si>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</si>
  <si>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</si>
  <si>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</si>
  <si>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</si>
  <si>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</si>
  <si>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</si>
  <si>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</si>
  <si>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</si>
  <si>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</si>
  <si>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</si>
  <si>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</si>
  <si>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</si>
  <si>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</si>
  <si>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</si>
  <si>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</si>
  <si>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</si>
  <si>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</si>
  <si>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London Power Networks</t>
  </si>
  <si>
    <t>2022/23</t>
  </si>
  <si>
    <t>1 April 2022</t>
  </si>
  <si>
    <t>11:00 - 14:00</t>
  </si>
  <si>
    <t>07:00 - 11:00
14:00 - 23:00</t>
  </si>
  <si>
    <t>00:00 - 07:00
23:00 - 24:00</t>
  </si>
  <si>
    <t>16:00 - 19:00</t>
  </si>
  <si>
    <t>07:00 - 16:00
19:00 - 23:00</t>
  </si>
  <si>
    <t>Monday to Friday 
(Including Bank Holidays)
March, April, May and September, October</t>
  </si>
  <si>
    <t>07:00 - 23:00</t>
  </si>
  <si>
    <t>00:00 - 24:00</t>
  </si>
  <si>
    <t>11:00 - 14:00
16:00 - 19:00</t>
  </si>
  <si>
    <t>07:00 - 11:00
14:00 - 16:00
19:00 - 23:00</t>
  </si>
  <si>
    <t>London Power Networks has no Preserved NHH Tariffs/Additional LLFC classes</t>
  </si>
  <si>
    <t>London Power Networks has no Preserved HH Tariffs/Additional LLFC classes</t>
  </si>
  <si>
    <t>22BSHP</t>
  </si>
  <si>
    <t>BISHPC</t>
  </si>
  <si>
    <t>BLMBGN</t>
  </si>
  <si>
    <t>BLMBGS</t>
  </si>
  <si>
    <t>BRDGTE</t>
  </si>
  <si>
    <t>BRKFLD</t>
  </si>
  <si>
    <t>BRMLEY</t>
  </si>
  <si>
    <t>CRLIMM</t>
  </si>
  <si>
    <t>DART11</t>
  </si>
  <si>
    <t>DART33</t>
  </si>
  <si>
    <t>EPNLEI</t>
  </si>
  <si>
    <t>FENAVE</t>
  </si>
  <si>
    <t>FENCHS</t>
  </si>
  <si>
    <t>GBLSWI</t>
  </si>
  <si>
    <t>KNGLPN</t>
  </si>
  <si>
    <t>LEDNHS</t>
  </si>
  <si>
    <t>LIMEST</t>
  </si>
  <si>
    <t>LNWAL1</t>
  </si>
  <si>
    <t>LNWALL</t>
  </si>
  <si>
    <t>LU_ACT</t>
  </si>
  <si>
    <t>LU_CAN</t>
  </si>
  <si>
    <t>LU_CHA</t>
  </si>
  <si>
    <t>LU_HOX</t>
  </si>
  <si>
    <t>LU_LOT</t>
  </si>
  <si>
    <t>LU_MAN</t>
  </si>
  <si>
    <t>LU_STE</t>
  </si>
  <si>
    <t>MRKLNE</t>
  </si>
  <si>
    <t>NGC_BA</t>
  </si>
  <si>
    <t>NR_BOW</t>
  </si>
  <si>
    <t>NR_BRO</t>
  </si>
  <si>
    <t>NR_CIT</t>
  </si>
  <si>
    <t>NR_MAD</t>
  </si>
  <si>
    <t>NR_W11</t>
  </si>
  <si>
    <t>NR_W25</t>
  </si>
  <si>
    <t>NR_WES</t>
  </si>
  <si>
    <t>NR_WHI</t>
  </si>
  <si>
    <t>NR_WIM</t>
  </si>
  <si>
    <t>TELEHW</t>
  </si>
  <si>
    <t>THAMEB</t>
  </si>
  <si>
    <t>THAMEC</t>
  </si>
  <si>
    <t>TWCHST</t>
  </si>
  <si>
    <t>TWGNCH</t>
  </si>
  <si>
    <t>TWKIRT</t>
  </si>
  <si>
    <t>VOLTDC</t>
  </si>
  <si>
    <t>BELVED</t>
  </si>
  <si>
    <t>SELCHP</t>
  </si>
  <si>
    <t>TLRSLN</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</si>
  <si>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</si>
  <si>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</si>
  <si>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</si>
  <si>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</si>
  <si>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</si>
  <si>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</si>
  <si>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</si>
  <si>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</si>
  <si>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</si>
  <si>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</si>
  <si>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</si>
  <si>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</si>
  <si>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</si>
  <si>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</si>
  <si>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</si>
  <si>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1200062355497
1200062355502</t>
  </si>
  <si>
    <t>1200061143976
1200061143985</t>
  </si>
  <si>
    <t>1200061385700
1200061385710</t>
  </si>
  <si>
    <t>1200061385729
1200061385738</t>
  </si>
  <si>
    <t>1200061148014
1200061148023</t>
  </si>
  <si>
    <t>1200061148060
1200061148079</t>
  </si>
  <si>
    <t>MSID: 1630</t>
  </si>
  <si>
    <t>1200062090483
1200062090492</t>
  </si>
  <si>
    <t>MSID: 1032</t>
  </si>
  <si>
    <t>MSID: 1628</t>
  </si>
  <si>
    <t>1200062132159
1200062132168</t>
  </si>
  <si>
    <t>1200061144029
1200061144038</t>
  </si>
  <si>
    <t>1200050913681
1200050913690
1200050913706
1200050913715</t>
  </si>
  <si>
    <t>MSID: 1027</t>
  </si>
  <si>
    <t>1200061144065
1200061144074</t>
  </si>
  <si>
    <t>1200062132006
1200062132015</t>
  </si>
  <si>
    <t>MSID: 1631</t>
  </si>
  <si>
    <t>1200060323207
1200060323216</t>
  </si>
  <si>
    <t>1200061231921
1200061231930
1200061231940
1200061231959</t>
  </si>
  <si>
    <t>1200050376902
1200050376911</t>
  </si>
  <si>
    <t>1200010157225
1200010157234</t>
  </si>
  <si>
    <t>1200061378624
1200061378633</t>
  </si>
  <si>
    <t>1200010151863
1200010151872</t>
  </si>
  <si>
    <t>1200060280440
1200060280468</t>
  </si>
  <si>
    <t>1200060951114
1200060951123</t>
  </si>
  <si>
    <t>1200010146153
1200010146162
1200010146171
1200061197703</t>
  </si>
  <si>
    <t>1200061171324
1200061171333</t>
  </si>
  <si>
    <t>1200061999491
1200061999507
1200062001242
1200062001251</t>
  </si>
  <si>
    <t>1200061148032
1200061148041</t>
  </si>
  <si>
    <t>MSID: 5538</t>
  </si>
  <si>
    <t>1200050312030
1200050312040
1200061219394</t>
  </si>
  <si>
    <t>1200061171342
1200061171351</t>
  </si>
  <si>
    <t>1200061148194
1200061148200</t>
  </si>
  <si>
    <t>1200061953070
1200061953089</t>
  </si>
  <si>
    <t>ABPA51</t>
  </si>
  <si>
    <t>Aberdeen Place</t>
  </si>
  <si>
    <t>ABPA52</t>
  </si>
  <si>
    <t>ABPB51</t>
  </si>
  <si>
    <t>ACTL81</t>
  </si>
  <si>
    <t>Acton Lane</t>
  </si>
  <si>
    <t>AMBL51</t>
  </si>
  <si>
    <t>Amberley Rd</t>
  </si>
  <si>
    <t>AMBL52</t>
  </si>
  <si>
    <t>ASWN91</t>
  </si>
  <si>
    <t>APCM Swanscombe</t>
  </si>
  <si>
    <t>AXES51</t>
  </si>
  <si>
    <t>Axe St</t>
  </si>
  <si>
    <t>AXES52</t>
  </si>
  <si>
    <t>BACA51</t>
  </si>
  <si>
    <t>Back Hill</t>
  </si>
  <si>
    <t>BACA52</t>
  </si>
  <si>
    <t>BANC51</t>
  </si>
  <si>
    <t>Bankside</t>
  </si>
  <si>
    <t>BARD51</t>
  </si>
  <si>
    <t>Barking</t>
  </si>
  <si>
    <t>BARD52</t>
  </si>
  <si>
    <t>BNSB71</t>
  </si>
  <si>
    <t>Barnes</t>
  </si>
  <si>
    <t>BNSB72</t>
  </si>
  <si>
    <t>BEEA51</t>
  </si>
  <si>
    <t>Beech St</t>
  </si>
  <si>
    <t>BEEB51</t>
  </si>
  <si>
    <t>BEEB52</t>
  </si>
  <si>
    <t>BEEB53</t>
  </si>
  <si>
    <t>BENR51</t>
  </si>
  <si>
    <t>Bengeworth Rd</t>
  </si>
  <si>
    <t>BENR52</t>
  </si>
  <si>
    <t>BLHL51</t>
  </si>
  <si>
    <t>Blackhorse Lane</t>
  </si>
  <si>
    <t>BLHL52</t>
  </si>
  <si>
    <t>BKWY51</t>
  </si>
  <si>
    <t>Blackwall Way</t>
  </si>
  <si>
    <t>BLOP71</t>
  </si>
  <si>
    <t>Bloomfield Place</t>
  </si>
  <si>
    <t>BLOP72</t>
  </si>
  <si>
    <t>BOWS51</t>
  </si>
  <si>
    <t>Bow</t>
  </si>
  <si>
    <t>BOWS52</t>
  </si>
  <si>
    <t>BRXB51</t>
  </si>
  <si>
    <t>Brixton B</t>
  </si>
  <si>
    <t>BRXB52</t>
  </si>
  <si>
    <t>BROS51</t>
  </si>
  <si>
    <t>Bromley South</t>
  </si>
  <si>
    <t>BROS52</t>
  </si>
  <si>
    <t>BULS51</t>
  </si>
  <si>
    <t>Bulwer St</t>
  </si>
  <si>
    <t>BULS52</t>
  </si>
  <si>
    <t>BURL51</t>
  </si>
  <si>
    <t>Burlington Rd</t>
  </si>
  <si>
    <t>BURL52</t>
  </si>
  <si>
    <t>CALS51</t>
  </si>
  <si>
    <t>Calshot St</t>
  </si>
  <si>
    <t>CANE31</t>
  </si>
  <si>
    <t>Canal Junction</t>
  </si>
  <si>
    <t>CANS51</t>
  </si>
  <si>
    <t>Canal St</t>
  </si>
  <si>
    <t>CARN51</t>
  </si>
  <si>
    <t>Carnaby St</t>
  </si>
  <si>
    <t>CARK51</t>
  </si>
  <si>
    <t>Carslake Rd</t>
  </si>
  <si>
    <t>CARK52</t>
  </si>
  <si>
    <t>CHAT51</t>
  </si>
  <si>
    <t>Charterhouse St</t>
  </si>
  <si>
    <t>CHAT52</t>
  </si>
  <si>
    <t>CHSL51</t>
  </si>
  <si>
    <t>Chislehurst</t>
  </si>
  <si>
    <t>CHSL52</t>
  </si>
  <si>
    <t>CHUR51</t>
  </si>
  <si>
    <t>Churchfields</t>
  </si>
  <si>
    <t>CHUR52</t>
  </si>
  <si>
    <t>CITB51</t>
  </si>
  <si>
    <t>City Road</t>
  </si>
  <si>
    <t>CITB52</t>
  </si>
  <si>
    <t>CITB53</t>
  </si>
  <si>
    <t>CITC51</t>
  </si>
  <si>
    <t>CLAP51</t>
  </si>
  <si>
    <t>Clapham Park Rd</t>
  </si>
  <si>
    <t>CLAP52</t>
  </si>
  <si>
    <t>CLAR51</t>
  </si>
  <si>
    <t>Clarks Rd B</t>
  </si>
  <si>
    <t>CLAR52</t>
  </si>
  <si>
    <t>CRAY51</t>
  </si>
  <si>
    <t>Crayford</t>
  </si>
  <si>
    <t>CRAY52</t>
  </si>
  <si>
    <t>DAGD51</t>
  </si>
  <si>
    <t>Dangenham Docks</t>
  </si>
  <si>
    <t>DARA31</t>
  </si>
  <si>
    <t>Dartford Grid</t>
  </si>
  <si>
    <t>DARB51</t>
  </si>
  <si>
    <t>DARB52</t>
  </si>
  <si>
    <t>DEPD51</t>
  </si>
  <si>
    <t>Deptford Grid</t>
  </si>
  <si>
    <t>DERM51</t>
  </si>
  <si>
    <t>Dermody Rd</t>
  </si>
  <si>
    <t>DEVO51</t>
  </si>
  <si>
    <t>Devonshire Square</t>
  </si>
  <si>
    <t>DEVO52</t>
  </si>
  <si>
    <t>DEVO53</t>
  </si>
  <si>
    <t>DUST51</t>
  </si>
  <si>
    <t>Duke St B</t>
  </si>
  <si>
    <t>DUST52</t>
  </si>
  <si>
    <t>DUST53</t>
  </si>
  <si>
    <t>DKAV51</t>
  </si>
  <si>
    <t>Dukes Ave</t>
  </si>
  <si>
    <t>DURN51</t>
  </si>
  <si>
    <t>Durnsford Rd</t>
  </si>
  <si>
    <t>DURN52</t>
  </si>
  <si>
    <t>EBBR51</t>
  </si>
  <si>
    <t>Ebury Bridge</t>
  </si>
  <si>
    <t>EBBR52</t>
  </si>
  <si>
    <t>EBBR53</t>
  </si>
  <si>
    <t>EDLC51</t>
  </si>
  <si>
    <t>Edwards Lane</t>
  </si>
  <si>
    <t>EDLC52</t>
  </si>
  <si>
    <t>ELTM51</t>
  </si>
  <si>
    <t>Eltham Grid</t>
  </si>
  <si>
    <t>ELTM52</t>
  </si>
  <si>
    <t>ELHS51</t>
  </si>
  <si>
    <t>Eltham High St</t>
  </si>
  <si>
    <t>EPPN51</t>
  </si>
  <si>
    <t>Epping New Rd</t>
  </si>
  <si>
    <t>EPPN52</t>
  </si>
  <si>
    <t>EXET51</t>
  </si>
  <si>
    <t>Exeter Rd</t>
  </si>
  <si>
    <t>EXET52</t>
  </si>
  <si>
    <t>FAIR51</t>
  </si>
  <si>
    <t>Fairlop Rd</t>
  </si>
  <si>
    <t>FAIR52</t>
  </si>
  <si>
    <t>FARJ51</t>
  </si>
  <si>
    <t>Farjeon Rd</t>
  </si>
  <si>
    <t>FARJ52</t>
  </si>
  <si>
    <t>FINA51</t>
  </si>
  <si>
    <t>Finsbury Market</t>
  </si>
  <si>
    <t>FINA52</t>
  </si>
  <si>
    <t>FIND51</t>
  </si>
  <si>
    <t>FINE51</t>
  </si>
  <si>
    <t>FISB51</t>
  </si>
  <si>
    <t>Fisher St</t>
  </si>
  <si>
    <t>FISB52</t>
  </si>
  <si>
    <t>FORE51</t>
  </si>
  <si>
    <t>Forest Hill</t>
  </si>
  <si>
    <t>FULC51</t>
  </si>
  <si>
    <t>Fulham Palace Rd C</t>
  </si>
  <si>
    <t>FULC52</t>
  </si>
  <si>
    <t>GIBR51</t>
  </si>
  <si>
    <t>Gibbons Rd</t>
  </si>
  <si>
    <t>GLAU51</t>
  </si>
  <si>
    <t>Glaucus St</t>
  </si>
  <si>
    <t>GORR51</t>
  </si>
  <si>
    <t>Gorringe Park</t>
  </si>
  <si>
    <t>GORR52</t>
  </si>
  <si>
    <t>GROL51</t>
  </si>
  <si>
    <t>Grove Lodge</t>
  </si>
  <si>
    <t>GROL52</t>
  </si>
  <si>
    <t>HACC71</t>
  </si>
  <si>
    <t>Hackney</t>
  </si>
  <si>
    <t>HEAR51</t>
  </si>
  <si>
    <t>Hearn St</t>
  </si>
  <si>
    <t>HEAR52</t>
  </si>
  <si>
    <t>HOLW51</t>
  </si>
  <si>
    <t>Holloway</t>
  </si>
  <si>
    <t>HOXT31</t>
  </si>
  <si>
    <t>Hoxton</t>
  </si>
  <si>
    <t>HURS11</t>
  </si>
  <si>
    <t>Hurst</t>
  </si>
  <si>
    <t>HYPA51</t>
  </si>
  <si>
    <t>Hyde Park Estate</t>
  </si>
  <si>
    <t>HYPA52</t>
  </si>
  <si>
    <t>HYPB51</t>
  </si>
  <si>
    <t>HYPB52</t>
  </si>
  <si>
    <t>KIMB51</t>
  </si>
  <si>
    <t>Kimberley Rd</t>
  </si>
  <si>
    <t>KHWK51</t>
  </si>
  <si>
    <t>King Henrys Walk</t>
  </si>
  <si>
    <t>KHWK52</t>
  </si>
  <si>
    <t>KITO11</t>
  </si>
  <si>
    <t>Kingston (SEEB)</t>
  </si>
  <si>
    <t>KWAY51</t>
  </si>
  <si>
    <t>Kingsway</t>
  </si>
  <si>
    <t>KWAY52</t>
  </si>
  <si>
    <t>KGYA51</t>
  </si>
  <si>
    <t>Kingsyard</t>
  </si>
  <si>
    <t>KIRT51</t>
  </si>
  <si>
    <t>Kirtling St</t>
  </si>
  <si>
    <t>LANW51</t>
  </si>
  <si>
    <t>Landmann Way (SELCHP)</t>
  </si>
  <si>
    <t>LEIR31</t>
  </si>
  <si>
    <t>Leicester Rd</t>
  </si>
  <si>
    <t>LESQ51</t>
  </si>
  <si>
    <t>Leicester Sq</t>
  </si>
  <si>
    <t>LESQ52</t>
  </si>
  <si>
    <t>LESQ53</t>
  </si>
  <si>
    <t>LEWB31</t>
  </si>
  <si>
    <t>LEYB51</t>
  </si>
  <si>
    <t>Ley St B</t>
  </si>
  <si>
    <t>LEYB52</t>
  </si>
  <si>
    <t>LIMA51</t>
  </si>
  <si>
    <t>Limeburner Ln</t>
  </si>
  <si>
    <t>LOMD51</t>
  </si>
  <si>
    <t>Lombard Rd</t>
  </si>
  <si>
    <t>LOMD52</t>
  </si>
  <si>
    <t>LONG51</t>
  </si>
  <si>
    <t>Longford St B</t>
  </si>
  <si>
    <t>BREN81</t>
  </si>
  <si>
    <t>LPN 0001</t>
  </si>
  <si>
    <t>GRFD81</t>
  </si>
  <si>
    <t>LPN 0002</t>
  </si>
  <si>
    <t>PARL81</t>
  </si>
  <si>
    <t>LPN 0003</t>
  </si>
  <si>
    <t>NMRD51</t>
  </si>
  <si>
    <t>LPN 0004</t>
  </si>
  <si>
    <t>BARB81</t>
  </si>
  <si>
    <t>LPN 0005</t>
  </si>
  <si>
    <t>NUTM51</t>
  </si>
  <si>
    <t>LPN 0006</t>
  </si>
  <si>
    <t>NUTM52</t>
  </si>
  <si>
    <t>BECS31</t>
  </si>
  <si>
    <t>LPN 0007</t>
  </si>
  <si>
    <t>CRSN31</t>
  </si>
  <si>
    <t>LPN 0009</t>
  </si>
  <si>
    <t>MANS81</t>
  </si>
  <si>
    <t>LPN 0012</t>
  </si>
  <si>
    <t>CHAX71</t>
  </si>
  <si>
    <t>LPN 0013</t>
  </si>
  <si>
    <t>BDGE31</t>
  </si>
  <si>
    <t>LPN 0014</t>
  </si>
  <si>
    <t>BDGW31</t>
  </si>
  <si>
    <t>LPN 0015</t>
  </si>
  <si>
    <t>GSST31</t>
  </si>
  <si>
    <t>LPN 0016</t>
  </si>
  <si>
    <t>LEAW31</t>
  </si>
  <si>
    <t>LPN 0017</t>
  </si>
  <si>
    <t>LEAE31</t>
  </si>
  <si>
    <t>LPN 0018</t>
  </si>
  <si>
    <t>FENE31</t>
  </si>
  <si>
    <t>LPN 0019</t>
  </si>
  <si>
    <t>MARK31</t>
  </si>
  <si>
    <t>LPN 0020</t>
  </si>
  <si>
    <t>BWNR81</t>
  </si>
  <si>
    <t>LPN 0022</t>
  </si>
  <si>
    <t>BWNR82</t>
  </si>
  <si>
    <t>CHSB31</t>
  </si>
  <si>
    <t>LPN 0024</t>
  </si>
  <si>
    <t>NUNH31</t>
  </si>
  <si>
    <t>LPN 0027</t>
  </si>
  <si>
    <t>CHAP81</t>
  </si>
  <si>
    <t>LPN 0030</t>
  </si>
  <si>
    <t>FENW31</t>
  </si>
  <si>
    <t>LPN 0031</t>
  </si>
  <si>
    <t>BTPS31</t>
  </si>
  <si>
    <t>LPN 0032</t>
  </si>
  <si>
    <t>BTPN31</t>
  </si>
  <si>
    <t>LPN 0033</t>
  </si>
  <si>
    <t>CORA11</t>
  </si>
  <si>
    <t>LPN 0034</t>
  </si>
  <si>
    <t>STEN81</t>
  </si>
  <si>
    <t>LPN 0035</t>
  </si>
  <si>
    <t>WHBR81</t>
  </si>
  <si>
    <t>LPN 0036</t>
  </si>
  <si>
    <t>WHBR82</t>
  </si>
  <si>
    <t>MAYR51</t>
  </si>
  <si>
    <t>LPN 0037</t>
  </si>
  <si>
    <t>WISB81</t>
  </si>
  <si>
    <t>LPN 0040</t>
  </si>
  <si>
    <t>WILB51</t>
  </si>
  <si>
    <t>LPN 0041</t>
  </si>
  <si>
    <t>LAND11</t>
  </si>
  <si>
    <t>LPN 0043</t>
  </si>
  <si>
    <t>LOTS81</t>
  </si>
  <si>
    <t>LPN 0044</t>
  </si>
  <si>
    <t>WIMD31</t>
  </si>
  <si>
    <t>LPN 0045</t>
  </si>
  <si>
    <t>CSBN31</t>
  </si>
  <si>
    <t>LPN 0046</t>
  </si>
  <si>
    <t>CSBS31</t>
  </si>
  <si>
    <t>LPN 0047</t>
  </si>
  <si>
    <t>QSBS31</t>
  </si>
  <si>
    <t>LPN 0049</t>
  </si>
  <si>
    <t>WORE31</t>
  </si>
  <si>
    <t>LPN 0050</t>
  </si>
  <si>
    <t>WORW31</t>
  </si>
  <si>
    <t>LPN 0051</t>
  </si>
  <si>
    <t>LWAN31</t>
  </si>
  <si>
    <t>LPN 0052</t>
  </si>
  <si>
    <t>LWAS31</t>
  </si>
  <si>
    <t>LPN 0053</t>
  </si>
  <si>
    <t>LWBN31</t>
  </si>
  <si>
    <t>LPN 0054</t>
  </si>
  <si>
    <t>LWBS31</t>
  </si>
  <si>
    <t>LPN 0055</t>
  </si>
  <si>
    <t>CHAM51</t>
  </si>
  <si>
    <t>LPN 0056</t>
  </si>
  <si>
    <t>LMSE31</t>
  </si>
  <si>
    <t>LPN 0057</t>
  </si>
  <si>
    <t>KIDV51</t>
  </si>
  <si>
    <t>LPN 0058</t>
  </si>
  <si>
    <t>FENS31</t>
  </si>
  <si>
    <t>LPN 0059</t>
  </si>
  <si>
    <t>LMSN31</t>
  </si>
  <si>
    <t>LPN 0060</t>
  </si>
  <si>
    <t>PYPT31</t>
  </si>
  <si>
    <t>LPN 0061</t>
  </si>
  <si>
    <t>FENN31</t>
  </si>
  <si>
    <t>LPN 0064</t>
  </si>
  <si>
    <t>BISW31</t>
  </si>
  <si>
    <t>LPN 0065</t>
  </si>
  <si>
    <t>BISE31</t>
  </si>
  <si>
    <t>LPN 0066</t>
  </si>
  <si>
    <t>LLCR81</t>
  </si>
  <si>
    <t>LPN 0067</t>
  </si>
  <si>
    <t>MERT51</t>
  </si>
  <si>
    <t>Merton</t>
  </si>
  <si>
    <t>MERT52</t>
  </si>
  <si>
    <t>MONB51</t>
  </si>
  <si>
    <t>Montford Place</t>
  </si>
  <si>
    <t>MONB52</t>
  </si>
  <si>
    <t>MONB54</t>
  </si>
  <si>
    <t>MORT52</t>
  </si>
  <si>
    <t>Moreton Street</t>
  </si>
  <si>
    <t>MORT53</t>
  </si>
  <si>
    <t>NECK51</t>
  </si>
  <si>
    <t>Neckinger</t>
  </si>
  <si>
    <t>NECK52</t>
  </si>
  <si>
    <t>NEWB51</t>
  </si>
  <si>
    <t>Newington House</t>
  </si>
  <si>
    <t>NORG51</t>
  </si>
  <si>
    <t>Norman Rd Greenwich</t>
  </si>
  <si>
    <t>NORX51</t>
  </si>
  <si>
    <t>North Cross Rd</t>
  </si>
  <si>
    <t>NPBR81</t>
  </si>
  <si>
    <t>North Pole Br</t>
  </si>
  <si>
    <t>OBRB51</t>
  </si>
  <si>
    <t>Old Brompton Rd</t>
  </si>
  <si>
    <t>OBRB52</t>
  </si>
  <si>
    <t>OBRB53</t>
  </si>
  <si>
    <t>OSCL51</t>
  </si>
  <si>
    <t>Old School Close</t>
  </si>
  <si>
    <t>ORPI51</t>
  </si>
  <si>
    <t>Orpington</t>
  </si>
  <si>
    <t>0SBB51</t>
  </si>
  <si>
    <t>Osborn St</t>
  </si>
  <si>
    <t>PATE51</t>
  </si>
  <si>
    <t>Paternoster</t>
  </si>
  <si>
    <t>PATE52</t>
  </si>
  <si>
    <t>PETW51</t>
  </si>
  <si>
    <t>Petts Wood</t>
  </si>
  <si>
    <t>PLCT51</t>
  </si>
  <si>
    <t>Plumtree Court</t>
  </si>
  <si>
    <t>QVSN31</t>
  </si>
  <si>
    <t>Queen Victoria Street</t>
  </si>
  <si>
    <t>RUXL51</t>
  </si>
  <si>
    <t>Ruxley</t>
  </si>
  <si>
    <t>BERM31</t>
  </si>
  <si>
    <t>S.Bermondsey Br</t>
  </si>
  <si>
    <t>SEAL51</t>
  </si>
  <si>
    <t>Seacoal Lane</t>
  </si>
  <si>
    <t>SEWL51</t>
  </si>
  <si>
    <t>Sewell Rd</t>
  </si>
  <si>
    <t>SEWL52</t>
  </si>
  <si>
    <t>SILB51</t>
  </si>
  <si>
    <t>Silvertown</t>
  </si>
  <si>
    <t>SILB52</t>
  </si>
  <si>
    <t>SIMP51</t>
  </si>
  <si>
    <t>Simpsons Road</t>
  </si>
  <si>
    <t>SBAN51</t>
  </si>
  <si>
    <t>South Bank</t>
  </si>
  <si>
    <t>SBAN52</t>
  </si>
  <si>
    <t>SPAA51</t>
  </si>
  <si>
    <t>St. Pancras</t>
  </si>
  <si>
    <t>SPAA52</t>
  </si>
  <si>
    <t>SWAN51</t>
  </si>
  <si>
    <t>Swanscombe</t>
  </si>
  <si>
    <t>SYDK51</t>
  </si>
  <si>
    <t>Sydenham Park</t>
  </si>
  <si>
    <t>SYDK52</t>
  </si>
  <si>
    <t>TAY5G1</t>
  </si>
  <si>
    <t>Taylors Ln (PS) Tee</t>
  </si>
  <si>
    <t>TOOS51</t>
  </si>
  <si>
    <t>Tooley St</t>
  </si>
  <si>
    <t>TOWB51</t>
  </si>
  <si>
    <t>Townmead</t>
  </si>
  <si>
    <t>TOWB52</t>
  </si>
  <si>
    <t>TRIN51</t>
  </si>
  <si>
    <t>Trinity Crescent</t>
  </si>
  <si>
    <t>TRIN52</t>
  </si>
  <si>
    <t>VERR51</t>
  </si>
  <si>
    <t>Verney Rd</t>
  </si>
  <si>
    <t>VERR52</t>
  </si>
  <si>
    <t>VICT71</t>
  </si>
  <si>
    <t>Victoria Gdns</t>
  </si>
  <si>
    <t>VICT72</t>
  </si>
  <si>
    <t>VISC51</t>
  </si>
  <si>
    <t>Victoria St</t>
  </si>
  <si>
    <t>WANC51</t>
  </si>
  <si>
    <t>Wandsworth Central A</t>
  </si>
  <si>
    <t>WANC52</t>
  </si>
  <si>
    <t>WFCS51</t>
  </si>
  <si>
    <t>West Ferry Circus</t>
  </si>
  <si>
    <t>WFCS52</t>
  </si>
  <si>
    <t>WFCS53</t>
  </si>
  <si>
    <t>WHAG53</t>
  </si>
  <si>
    <t>West Ham</t>
  </si>
  <si>
    <t>WHAG54</t>
  </si>
  <si>
    <t>WHAG51</t>
  </si>
  <si>
    <t>West Ham Grid 11kV</t>
  </si>
  <si>
    <t>WNOR51</t>
  </si>
  <si>
    <t>West Norwood</t>
  </si>
  <si>
    <t>WNOR52</t>
  </si>
  <si>
    <t>WHSR51</t>
  </si>
  <si>
    <t>Whiston Rd</t>
  </si>
  <si>
    <t>WHSR52</t>
  </si>
  <si>
    <t>WINL51</t>
  </si>
  <si>
    <t>Winlaton Rd</t>
  </si>
  <si>
    <t>WINL52</t>
  </si>
  <si>
    <t>WDGR51</t>
  </si>
  <si>
    <t>Woodgrange Park</t>
  </si>
  <si>
    <r>
      <t>Contains the underlying nodal</t>
    </r>
    <r>
      <rPr>
        <sz val="11"/>
        <rFont val="Arial"/>
        <family val="2"/>
      </rPr>
      <t xml:space="preserve"> costs used to calculate the current EDCM charges. </t>
    </r>
  </si>
  <si>
    <t>Note: The list of MPANs / MSIDs provided may be incomplete; the DNO reserves the right to apply the listed charges to any other MPANs / MSIDs associated with the site.</t>
  </si>
  <si>
    <t>Residual Charge per Fixed Charge** (p/day)</t>
  </si>
  <si>
    <t>Residual Charge per Unit rate 1** (p/kWh)</t>
  </si>
  <si>
    <t>Residual Charge per Unit rate 2** (p/kWh)</t>
  </si>
  <si>
    <t>Residual Charge per Unit rate 3** (p/kWh)</t>
  </si>
  <si>
    <t>**Residual charge element in London Power Networks CDCM model is negative and therefore the application of the residual reduces the calculated fixed charge. If the fixed charge reaches zero then the remaining reduction is applied to the unit rates.</t>
  </si>
  <si>
    <t>01/04/2022</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</si>
  <si>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</si>
  <si>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</si>
  <si>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</si>
  <si>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</si>
  <si>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</si>
  <si>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</si>
  <si>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</si>
  <si>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</si>
  <si>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</si>
  <si>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</si>
  <si>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</si>
  <si>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</si>
  <si>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</si>
  <si>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</si>
  <si>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</si>
  <si>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</si>
  <si>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</si>
  <si>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</si>
  <si>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</si>
  <si>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</si>
  <si>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</si>
  <si>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</si>
  <si>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</si>
  <si>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</si>
  <si>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</si>
  <si>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</si>
  <si>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</si>
  <si>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</si>
  <si>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</si>
  <si>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</si>
  <si>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</si>
  <si>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</si>
  <si>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</si>
  <si>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</si>
  <si>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</si>
  <si>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</si>
  <si>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</si>
  <si>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</si>
  <si>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</si>
  <si>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</si>
  <si>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</si>
  <si>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</si>
  <si>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</si>
  <si>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</si>
  <si>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</si>
  <si>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</si>
  <si>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</si>
  <si>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</si>
  <si>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</si>
  <si>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</si>
  <si>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</si>
  <si>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</si>
  <si>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</si>
  <si>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</si>
  <si>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</si>
  <si>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</si>
  <si>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</si>
  <si>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</si>
  <si>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</si>
  <si>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</si>
  <si>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</si>
  <si>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</si>
  <si>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</si>
  <si>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</si>
  <si>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</si>
  <si>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</si>
  <si>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</si>
  <si>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</si>
  <si>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</si>
  <si>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</si>
  <si>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</si>
  <si>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</si>
  <si>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</si>
  <si>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</si>
  <si>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</si>
  <si>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</si>
  <si>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</si>
  <si>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</si>
  <si>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</si>
  <si>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</si>
  <si>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</si>
  <si>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</si>
  <si>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</si>
  <si>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</si>
  <si>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</si>
  <si>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</si>
  <si>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</si>
  <si>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</si>
  <si>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</si>
  <si>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</si>
  <si>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</si>
  <si>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</si>
  <si>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</si>
  <si>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</si>
  <si>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</si>
  <si>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</si>
  <si>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</si>
  <si>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</si>
  <si>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</si>
  <si>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</si>
  <si>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</si>
  <si>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</si>
  <si>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</si>
  <si>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</si>
  <si>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</si>
  <si>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</si>
  <si>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</si>
  <si>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</si>
  <si>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</si>
  <si>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</si>
  <si>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</si>
  <si>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</si>
  <si>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</si>
  <si>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</si>
  <si>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</si>
  <si>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</si>
  <si>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</si>
  <si>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</si>
  <si>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</si>
  <si>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</si>
  <si>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</si>
  <si>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</si>
  <si>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</si>
  <si>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</si>
  <si>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</si>
  <si>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</si>
  <si>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</si>
  <si>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</si>
  <si>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</si>
  <si>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</si>
  <si>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</si>
  <si>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</si>
  <si>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</si>
  <si>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</si>
  <si>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</si>
  <si>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</si>
  <si>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</si>
  <si>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</si>
  <si>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</si>
  <si>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</si>
  <si>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</si>
  <si>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</si>
  <si>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</si>
  <si>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</si>
  <si>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</si>
  <si>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</si>
  <si>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</si>
  <si>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</si>
  <si>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</si>
  <si>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</si>
  <si>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</si>
  <si>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</si>
  <si>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</si>
  <si>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</si>
  <si>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</si>
  <si>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</si>
  <si>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</si>
  <si>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</si>
  <si>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</si>
  <si>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</si>
  <si>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</si>
  <si>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</si>
  <si>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</si>
  <si>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</si>
  <si>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</si>
  <si>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</si>
  <si>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</si>
  <si>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</si>
  <si>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</si>
  <si>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</si>
  <si>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</si>
  <si>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</si>
  <si>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</si>
  <si>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</si>
  <si>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</si>
  <si>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</si>
  <si>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</si>
  <si>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</si>
  <si>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</si>
  <si>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</si>
  <si>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</si>
  <si>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</si>
  <si>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</si>
  <si>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</si>
  <si>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</si>
  <si>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</si>
  <si>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</si>
  <si>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</si>
  <si>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</si>
  <si>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</si>
  <si>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771, 791, 792</t>
  </si>
  <si>
    <t>796, 797</t>
  </si>
  <si>
    <t>798, 799</t>
  </si>
  <si>
    <t>FENCHS - Import</t>
  </si>
  <si>
    <t>LU_CHA - Import</t>
  </si>
  <si>
    <t>THAMEC - Import</t>
  </si>
  <si>
    <t>VOLTDC - Import</t>
  </si>
  <si>
    <t>LU_HOX - Import</t>
  </si>
  <si>
    <t>BRDGTE - Import</t>
  </si>
  <si>
    <t>MRKLNE - Import</t>
  </si>
  <si>
    <t>NR_BOW - Import</t>
  </si>
  <si>
    <t>Leadenhall St. - IMPORT</t>
  </si>
  <si>
    <t>TELEHW - Import</t>
  </si>
  <si>
    <t>22BSHP - Import</t>
  </si>
  <si>
    <t>BISHPC - Import</t>
  </si>
  <si>
    <t>CRLIMM - Import</t>
  </si>
  <si>
    <t>FENAVE - Import</t>
  </si>
  <si>
    <t>LIMEST - Import</t>
  </si>
  <si>
    <t>BELVED - Import</t>
  </si>
  <si>
    <t>LNWALL - Import</t>
  </si>
  <si>
    <t>NGC_BA - Import</t>
  </si>
  <si>
    <t>LU_CAN - Import</t>
  </si>
  <si>
    <t>TWCHST - Import</t>
  </si>
  <si>
    <t>BLMBGN - Import</t>
  </si>
  <si>
    <t>BLMBGS - Import</t>
  </si>
  <si>
    <t>TWGNCH - Import</t>
  </si>
  <si>
    <t>TWKIRT - Import</t>
  </si>
  <si>
    <t>WILKST - Import</t>
  </si>
  <si>
    <t>SELCHP - Import</t>
  </si>
  <si>
    <t>THAMEB - Import</t>
  </si>
  <si>
    <t>BRKFLD - Import</t>
  </si>
  <si>
    <t>LU_MAN - Import</t>
  </si>
  <si>
    <t>LU_LOT - Import</t>
  </si>
  <si>
    <t>LU_STE - Import</t>
  </si>
  <si>
    <t>NR_MAD - Import</t>
  </si>
  <si>
    <t>NR_W11 - Import</t>
  </si>
  <si>
    <t>NR_W25 - Import</t>
  </si>
  <si>
    <t>GBLSWI - Import</t>
  </si>
  <si>
    <t>NR_WIM - Import</t>
  </si>
  <si>
    <t>NR_CIT - Import</t>
  </si>
  <si>
    <t>NR_BRO - Import</t>
  </si>
  <si>
    <t>NR_WES - Import</t>
  </si>
  <si>
    <t>NR_WHI - Import</t>
  </si>
  <si>
    <t>CVA site specific LLFs</t>
  </si>
  <si>
    <t>MSID</t>
  </si>
  <si>
    <t>THAMEB - Export</t>
  </si>
  <si>
    <t>THAMEC - Export</t>
  </si>
  <si>
    <t>NR_W25 - Export</t>
  </si>
  <si>
    <t>NR_BOW - Export</t>
  </si>
  <si>
    <t>BELVED - Export</t>
  </si>
  <si>
    <t>NR_WES - Export</t>
  </si>
  <si>
    <t>SELCHP - Export</t>
  </si>
  <si>
    <t xml:space="preserve"> Kingston</t>
  </si>
  <si>
    <t xml:space="preserve"> Brimsdown - Buckhurst Hill</t>
  </si>
  <si>
    <t xml:space="preserve"> Hurst 132 kV</t>
  </si>
  <si>
    <t xml:space="preserve"> Bulwer Street (Willesden 66 KV)</t>
  </si>
  <si>
    <t xml:space="preserve"> Taylors Lane Generation</t>
  </si>
  <si>
    <t xml:space="preserve"> Townmead Road FMS Substation</t>
  </si>
  <si>
    <t xml:space="preserve"> Barking Network Rail S/S - (Barking C)</t>
  </si>
  <si>
    <t>1, 2, 9, 19, 69, 70, 71, 72, 73, 74, 199, 200, 201, 202, 203, 204, 350, 400, 420, 421, 422, 423, 424, 425, 426, 427, 428, 429, 430, 431, 432, 433, 434, 435, 750, 762, 765, 902, 906, 911, 952, 956, 964, 980, 981, 982, 983, 932</t>
  </si>
  <si>
    <t>79, 80, 81, 82, 83, 84, 756, 781, 782, 984, 985, 986, 987</t>
  </si>
  <si>
    <t>89, 90, 91, 92, 93, 94, 359, 751, 767, 988, 989, 990, 991</t>
  </si>
  <si>
    <t>Import
LLF
period 5</t>
  </si>
  <si>
    <t>Export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</si>
  <si>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</si>
  <si>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753, 763, 762</t>
  </si>
  <si>
    <t>902, 903, 906, 907, 910</t>
  </si>
  <si>
    <t>1</t>
  </si>
  <si>
    <t>911, 914, 915</t>
  </si>
  <si>
    <t>200, 400, 404, 952, 953, 956, 957, 960, 961, 970, 971</t>
  </si>
  <si>
    <t>200</t>
  </si>
  <si>
    <t>424, 425, 426, 427, 428, 429, 430, 431, 432, 433, 434, 435</t>
  </si>
  <si>
    <t xml:space="preserve">350, 420, 421, 422, 423 </t>
  </si>
  <si>
    <t>21MOOR</t>
  </si>
  <si>
    <t>1200062747376
1200062747385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</si>
</sst>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0.00;\(0.00\);"/>
    <numFmt numFmtId="179" formatCode="#,##0.00_ ;\-#,##0.00\ "/>
    <numFmt numFmtId="180" formatCode="#,##0.000_ ;\-#,##0.000\ "/>
    <numFmt numFmtId="181" formatCode="#,##0_ ;\-#,##0\ "/>
    <numFmt numFmtId="182" formatCode="_-* #,##0.000_-;\-* #,##0.000_-;_-* &quot;-&quot;??_-;_-@_-"/>
  </numFmts>
  <fonts count="36">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2"/>
      <name val="Arial"/>
      <family val="2"/>
    </font>
    <font>
      <sz val="10"/>
      <name val="Arial"/>
      <family val="2"/>
    </font>
    <font>
      <b/>
      <sz val="11"/>
      <color theme="0"/>
      <name val="Calibri"/>
      <family val="2"/>
      <scheme val="minor"/>
    </font>
    <font>
      <strike/>
      <sz val="10"/>
      <name val="Arial"/>
      <family val="2"/>
    </font>
    <font>
      <strike/>
      <sz val="10"/>
      <color indexed="8"/>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4B86CD"/>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1">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4" borderId="0" applyNumberFormat="0" applyBorder="0" applyAlignment="0" applyProtection="0"/>
    <xf numFmtId="0" fontId="3"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27" fillId="0" borderId="0"/>
    <xf numFmtId="0" fontId="28" fillId="35" borderId="0" applyNumberFormat="0" applyBorder="0" applyAlignment="0" applyProtection="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2" fillId="0" borderId="0" applyFont="0" applyFill="0" applyBorder="0" applyAlignment="0" applyProtection="0"/>
    <xf numFmtId="49" fontId="33" fillId="37" borderId="0" applyNumberFormat="0" applyBorder="0" applyAlignment="0">
      <alignment horizontal="left" vertical="center" wrapText="1"/>
    </xf>
  </cellStyleXfs>
  <cellXfs count="332">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8"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wrapText="1"/>
      <protection locked="0"/>
    </xf>
    <xf numFmtId="0" fontId="13" fillId="0" borderId="0" xfId="3" applyAlignment="1" applyProtection="1"/>
    <xf numFmtId="173"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0"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2" fontId="6" fillId="31" borderId="1" xfId="10" applyNumberFormat="1" applyFont="1" applyFill="1" applyBorder="1" applyAlignment="1" applyProtection="1">
      <alignment vertical="center"/>
      <protection locked="0"/>
    </xf>
    <xf numFmtId="171" fontId="3" fillId="30" borderId="1" xfId="9" applyNumberFormat="1" applyFill="1" applyBorder="1" applyAlignment="1" applyProtection="1">
      <alignment vertical="center"/>
    </xf>
    <xf numFmtId="172" fontId="6" fillId="30" borderId="1" xfId="9" applyNumberFormat="1" applyFont="1" applyFill="1" applyBorder="1" applyAlignment="1" applyProtection="1">
      <alignment vertical="center"/>
      <protection locked="0"/>
    </xf>
    <xf numFmtId="172" fontId="6" fillId="33" borderId="1" xfId="9" applyNumberFormat="1" applyFont="1" applyFill="1" applyBorder="1" applyAlignment="1" applyProtection="1">
      <alignment vertical="center"/>
      <protection locked="0"/>
    </xf>
    <xf numFmtId="172"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1"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2" fontId="3" fillId="30" borderId="1" xfId="9" applyNumberFormat="1" applyFill="1" applyBorder="1" applyAlignment="1" applyProtection="1">
      <alignment vertical="center"/>
      <protection locked="0"/>
    </xf>
    <xf numFmtId="174" fontId="3" fillId="30" borderId="1" xfId="9" applyNumberFormat="1" applyFill="1" applyBorder="1" applyAlignment="1" applyProtection="1">
      <alignment vertical="center"/>
    </xf>
    <xf numFmtId="174" fontId="3" fillId="33" borderId="1" xfId="9" applyNumberFormat="1" applyFill="1" applyBorder="1" applyAlignment="1" applyProtection="1">
      <alignment vertical="center"/>
    </xf>
    <xf numFmtId="174" fontId="6" fillId="31" borderId="1" xfId="10" applyNumberFormat="1" applyFont="1" applyFill="1" applyBorder="1" applyAlignment="1" applyProtection="1">
      <alignment vertical="center"/>
    </xf>
    <xf numFmtId="174" fontId="6" fillId="34" borderId="1" xfId="10" applyNumberFormat="1" applyFont="1" applyFill="1" applyBorder="1" applyAlignment="1" applyProtection="1">
      <alignment vertical="center"/>
    </xf>
    <xf numFmtId="175" fontId="3" fillId="30" borderId="5" xfId="9" applyNumberFormat="1" applyFill="1" applyBorder="1" applyAlignment="1" applyProtection="1">
      <alignment vertical="center"/>
    </xf>
    <xf numFmtId="175"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8" fillId="0" borderId="0" xfId="4" quotePrefix="1" applyNumberFormat="1" applyFont="1" applyBorder="1" applyAlignment="1" applyProtection="1">
      <alignment horizontal="left" vertical="center"/>
      <protection locked="0"/>
    </xf>
    <xf numFmtId="176" fontId="21" fillId="18" borderId="1" xfId="0" applyNumberFormat="1" applyFont="1" applyFill="1" applyBorder="1" applyAlignment="1" applyProtection="1">
      <alignment horizontal="center" vertical="center"/>
      <protection locked="0"/>
    </xf>
    <xf numFmtId="176" fontId="20"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1" fillId="21" borderId="1" xfId="0" applyNumberFormat="1" applyFont="1" applyFill="1" applyBorder="1" applyAlignment="1" applyProtection="1">
      <alignment horizontal="center" vertical="center"/>
      <protection locked="0"/>
    </xf>
    <xf numFmtId="176" fontId="20"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6" fontId="29" fillId="18" borderId="1" xfId="0" applyNumberFormat="1" applyFont="1" applyFill="1" applyBorder="1" applyAlignment="1" applyProtection="1">
      <alignment horizontal="center" vertical="center" wrapText="1"/>
      <protection locked="0"/>
    </xf>
    <xf numFmtId="176" fontId="9" fillId="19" borderId="1" xfId="0" applyNumberFormat="1" applyFont="1" applyFill="1" applyBorder="1" applyAlignment="1" applyProtection="1">
      <alignment horizontal="center" vertical="center" wrapText="1"/>
      <protection locked="0"/>
    </xf>
    <xf numFmtId="176" fontId="29"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29" fillId="21" borderId="1" xfId="0" applyNumberFormat="1" applyFont="1" applyFill="1" applyBorder="1" applyAlignment="1" applyProtection="1">
      <alignment horizontal="center" vertical="center" wrapText="1"/>
      <protection locked="0"/>
    </xf>
    <xf numFmtId="176"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0"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7" fontId="6" fillId="36" borderId="0" xfId="6" applyNumberFormat="1" applyFill="1" applyAlignment="1">
      <alignment horizontal="left"/>
    </xf>
    <xf numFmtId="0" fontId="20" fillId="8" borderId="1" xfId="0" applyNumberFormat="1" applyFont="1" applyFill="1" applyBorder="1" applyAlignment="1" applyProtection="1">
      <alignment horizontal="center" vertical="center" wrapText="1"/>
      <protection locked="0"/>
    </xf>
    <xf numFmtId="0" fontId="20"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0" fontId="20" fillId="0" borderId="1" xfId="0" applyFont="1" applyBorder="1" applyAlignment="1" applyProtection="1">
      <alignment horizontal="center" vertical="center" wrapText="1"/>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49" fontId="20" fillId="0" borderId="1" xfId="0" applyNumberFormat="1" applyFont="1" applyFill="1" applyBorder="1" applyAlignment="1" applyProtection="1">
      <alignment horizontal="center" vertical="center" wrapText="1"/>
      <protection locked="0"/>
    </xf>
    <xf numFmtId="3" fontId="20" fillId="0" borderId="1" xfId="0" applyNumberFormat="1"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protection locked="0"/>
    </xf>
    <xf numFmtId="0" fontId="0" fillId="0" borderId="0" xfId="0" applyAlignment="1"/>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NumberFormat="1" applyFont="1" applyFill="1" applyBorder="1" applyAlignment="1" applyProtection="1">
      <alignment horizontal="center" vertical="center"/>
      <protection locked="0"/>
    </xf>
    <xf numFmtId="49" fontId="20" fillId="0" borderId="1" xfId="0" quotePrefix="1" applyNumberFormat="1"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164" fontId="20" fillId="9" borderId="1" xfId="0" applyNumberFormat="1" applyFont="1" applyFill="1" applyBorder="1" applyAlignment="1" applyProtection="1">
      <alignment horizontal="center" vertical="center"/>
      <protection locked="0"/>
    </xf>
    <xf numFmtId="178" fontId="20" fillId="3"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4" fillId="18"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7" fillId="7" borderId="6" xfId="0" applyFont="1" applyFill="1" applyBorder="1" applyAlignment="1" applyProtection="1">
      <alignment vertical="center" wrapText="1"/>
      <protection locked="0"/>
    </xf>
    <xf numFmtId="0" fontId="7" fillId="0" borderId="1" xfId="0" applyFont="1" applyBorder="1" applyAlignment="1">
      <alignment horizontal="left" vertical="center" wrapText="1" indent="1"/>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0" fontId="20" fillId="0" borderId="1" xfId="0" quotePrefix="1" applyNumberFormat="1" applyFont="1" applyFill="1" applyBorder="1" applyAlignment="1" applyProtection="1">
      <alignment horizontal="center" vertical="center" wrapText="1"/>
      <protection locked="0"/>
    </xf>
    <xf numFmtId="0" fontId="7" fillId="0" borderId="6" xfId="0" applyFont="1" applyBorder="1" applyAlignment="1">
      <alignment horizontal="left" vertical="center" wrapText="1" indent="1"/>
    </xf>
    <xf numFmtId="165" fontId="0" fillId="2" borderId="1" xfId="0" applyNumberFormat="1" applyFill="1" applyBorder="1" applyAlignment="1">
      <alignment horizontal="center" vertical="center"/>
    </xf>
    <xf numFmtId="0" fontId="6" fillId="2" borderId="0" xfId="6" quotePrefix="1" applyFont="1" applyFill="1" applyBorder="1" applyAlignment="1">
      <alignment vertical="center" wrapText="1"/>
    </xf>
    <xf numFmtId="0" fontId="13" fillId="2" borderId="8" xfId="3" applyFont="1" applyFill="1" applyBorder="1" applyAlignment="1" applyProtection="1">
      <alignment vertical="center"/>
      <protection hidden="1"/>
    </xf>
    <xf numFmtId="0" fontId="14" fillId="17" borderId="8" xfId="3" applyFont="1" applyFill="1" applyBorder="1" applyAlignment="1" applyProtection="1">
      <alignment vertical="center"/>
    </xf>
    <xf numFmtId="0" fontId="0" fillId="17" borderId="8" xfId="0" applyFill="1" applyBorder="1" applyAlignment="1">
      <alignment horizontal="center" vertical="center"/>
    </xf>
    <xf numFmtId="0" fontId="0" fillId="17" borderId="8" xfId="0" applyFill="1" applyBorder="1"/>
    <xf numFmtId="179" fontId="15" fillId="8" borderId="1" xfId="19" applyNumberFormat="1" applyFont="1" applyFill="1" applyBorder="1" applyAlignment="1" applyProtection="1">
      <alignment vertical="center"/>
      <protection locked="0"/>
    </xf>
    <xf numFmtId="180" fontId="15" fillId="8" borderId="1" xfId="19" applyNumberFormat="1" applyFont="1" applyFill="1" applyBorder="1" applyAlignment="1" applyProtection="1">
      <alignment vertical="center"/>
      <protection locked="0"/>
    </xf>
    <xf numFmtId="181" fontId="15" fillId="8" borderId="1" xfId="19" applyNumberFormat="1" applyFont="1" applyFill="1" applyBorder="1" applyAlignment="1" applyProtection="1">
      <alignment vertical="center"/>
      <protection locked="0"/>
    </xf>
    <xf numFmtId="43" fontId="7" fillId="7" borderId="1" xfId="19" quotePrefix="1" applyFont="1" applyFill="1" applyBorder="1" applyAlignment="1" applyProtection="1">
      <alignment horizontal="center" vertical="center" wrapText="1"/>
      <protection locked="0"/>
    </xf>
    <xf numFmtId="182" fontId="4" fillId="12" borderId="1" xfId="19" applyNumberFormat="1" applyFont="1" applyFill="1" applyBorder="1" applyAlignment="1" applyProtection="1">
      <alignment horizontal="center" vertical="center"/>
      <protection locked="0"/>
    </xf>
    <xf numFmtId="43" fontId="4" fillId="12" borderId="1" xfId="19" applyFont="1" applyFill="1" applyBorder="1" applyAlignment="1" applyProtection="1">
      <alignment horizontal="center" vertical="center"/>
      <protection locked="0"/>
    </xf>
    <xf numFmtId="49" fontId="34" fillId="9" borderId="1" xfId="0" quotePrefix="1" applyNumberFormat="1" applyFont="1" applyFill="1" applyBorder="1" applyAlignment="1" applyProtection="1">
      <alignment horizontal="left" vertical="center" wrapText="1"/>
      <protection locked="0"/>
    </xf>
    <xf numFmtId="173" fontId="34" fillId="9" borderId="1" xfId="6" applyNumberFormat="1" applyFont="1" applyFill="1" applyBorder="1" applyAlignment="1">
      <alignment horizontal="center" vertical="center" wrapText="1"/>
    </xf>
    <xf numFmtId="1" fontId="34" fillId="9" borderId="1" xfId="6" applyNumberFormat="1" applyFont="1" applyFill="1" applyBorder="1" applyAlignment="1" applyProtection="1">
      <alignment horizontal="left" vertical="center" wrapText="1"/>
      <protection locked="0"/>
    </xf>
    <xf numFmtId="49" fontId="34" fillId="9" borderId="1" xfId="0" applyNumberFormat="1" applyFont="1" applyFill="1" applyBorder="1" applyAlignment="1" applyProtection="1">
      <alignment horizontal="left" vertical="center" wrapText="1"/>
      <protection locked="0"/>
    </xf>
    <xf numFmtId="0" fontId="34" fillId="9" borderId="1" xfId="6" applyNumberFormat="1" applyFont="1" applyFill="1" applyBorder="1" applyAlignment="1" applyProtection="1">
      <alignment horizontal="left" vertical="center" wrapText="1"/>
      <protection locked="0"/>
    </xf>
    <xf numFmtId="170" fontId="35" fillId="12" borderId="1" xfId="6" applyNumberFormat="1" applyFont="1" applyFill="1" applyBorder="1" applyAlignment="1" applyProtection="1">
      <alignment horizontal="center" vertical="center"/>
      <protection locked="0"/>
    </xf>
    <xf numFmtId="164" fontId="35" fillId="12" borderId="1" xfId="6" applyNumberFormat="1" applyFont="1" applyFill="1" applyBorder="1" applyAlignment="1" applyProtection="1">
      <alignment horizontal="center" vertical="center"/>
      <protection locked="0"/>
    </xf>
    <xf numFmtId="170" fontId="35" fillId="9" borderId="1" xfId="6" applyNumberFormat="1" applyFont="1" applyFill="1" applyBorder="1" applyAlignment="1" applyProtection="1">
      <alignment horizontal="center" vertical="center"/>
      <protection locked="0"/>
    </xf>
    <xf numFmtId="164" fontId="35" fillId="9" borderId="1" xfId="6" applyNumberFormat="1" applyFont="1" applyFill="1" applyBorder="1" applyAlignment="1" applyProtection="1">
      <alignment horizontal="center" vertical="center"/>
      <protection locked="0"/>
    </xf>
    <xf numFmtId="1" fontId="6" fillId="9" borderId="1" xfId="0" quotePrefix="1" applyNumberFormat="1" applyFont="1" applyFill="1" applyBorder="1" applyAlignment="1" applyProtection="1">
      <alignment horizontal="left" vertical="center" wrapText="1"/>
      <protection locked="0"/>
    </xf>
    <xf numFmtId="1" fontId="6" fillId="9" borderId="1" xfId="0" applyNumberFormat="1" applyFont="1" applyFill="1" applyBorder="1" applyAlignment="1" applyProtection="1">
      <alignment horizontal="left" vertical="center" wrapText="1"/>
      <protection locked="0"/>
    </xf>
    <xf numFmtId="182" fontId="4" fillId="30" borderId="1" xfId="19" applyNumberFormat="1" applyFont="1" applyFill="1" applyBorder="1" applyAlignment="1" applyProtection="1">
      <alignment horizontal="center" vertical="center"/>
      <protection locked="0"/>
    </xf>
    <xf numFmtId="43" fontId="4" fillId="30" borderId="1" xfId="19" applyFont="1" applyFill="1" applyBorder="1" applyAlignment="1" applyProtection="1">
      <alignment horizontal="center" vertical="center"/>
      <protection locked="0"/>
    </xf>
    <xf numFmtId="0" fontId="34" fillId="2" borderId="0" xfId="6" applyFont="1" applyFill="1" applyAlignment="1">
      <alignment vertical="center"/>
    </xf>
    <xf numFmtId="0" fontId="6" fillId="0" borderId="1" xfId="0" applyFont="1" applyBorder="1" applyAlignment="1">
      <alignment horizontal="center" vertical="center" wrapText="1"/>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7" fillId="16" borderId="2" xfId="0" quotePrefix="1" applyFont="1" applyFill="1" applyBorder="1" applyAlignment="1">
      <alignment horizontal="center" vertical="center" wrapText="1"/>
    </xf>
    <xf numFmtId="0" fontId="0" fillId="2" borderId="8" xfId="0" applyFill="1" applyBorder="1" applyAlignment="1">
      <alignment vertical="center"/>
    </xf>
    <xf numFmtId="164" fontId="0" fillId="2" borderId="0" xfId="0" applyNumberFormat="1" applyFill="1" applyAlignment="1">
      <alignment vertic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165" fontId="4" fillId="15"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6"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49" fontId="11" fillId="6" borderId="0" xfId="1" applyNumberFormat="1" applyFont="1" applyFill="1" applyAlignment="1" applyProtection="1">
      <alignment horizontal="left"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ont="1" applyFill="1" applyBorder="1" applyAlignment="1">
      <alignment horizontal="center" vertical="center" wrapText="1"/>
    </xf>
    <xf numFmtId="0" fontId="28" fillId="17" borderId="8" xfId="15" quotePrefix="1" applyFill="1" applyBorder="1" applyAlignment="1">
      <alignment horizontal="lef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1" xfId="0" applyFont="1" applyBorder="1" applyAlignment="1">
      <alignment horizontal="left" vertical="center" wrapText="1" indent="1"/>
    </xf>
    <xf numFmtId="0" fontId="17" fillId="6" borderId="1"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protection locked="0"/>
    </xf>
    <xf numFmtId="170"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24" fillId="18"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1" fillId="0" borderId="16" xfId="0" applyFont="1" applyBorder="1" applyAlignment="1">
      <alignment horizontal="center" vertical="center" wrapText="1"/>
    </xf>
    <xf numFmtId="0" fontId="31" fillId="0" borderId="17" xfId="0" applyFont="1" applyBorder="1" applyAlignment="1">
      <alignment horizontal="center" vertical="center" wrapText="1"/>
    </xf>
    <xf numFmtId="170" fontId="31" fillId="0" borderId="18" xfId="0" applyNumberFormat="1" applyFont="1" applyBorder="1" applyAlignment="1">
      <alignment horizontal="center" vertical="center" wrapText="1"/>
    </xf>
    <xf numFmtId="0" fontId="31" fillId="0" borderId="11" xfId="0" applyFont="1" applyBorder="1" applyAlignment="1">
      <alignment horizontal="center" vertical="center" wrapText="1"/>
    </xf>
    <xf numFmtId="0" fontId="31" fillId="0" borderId="0" xfId="0" applyFont="1" applyBorder="1" applyAlignment="1">
      <alignment horizontal="center" vertical="center" wrapText="1"/>
    </xf>
    <xf numFmtId="170" fontId="31" fillId="0" borderId="12"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8" xfId="0" applyFont="1" applyBorder="1" applyAlignment="1">
      <alignment horizontal="center" vertical="center" wrapText="1"/>
    </xf>
    <xf numFmtId="170" fontId="31" fillId="0" borderId="14" xfId="0" applyNumberFormat="1" applyFont="1" applyBorder="1" applyAlignment="1">
      <alignment horizontal="center" vertical="center" wrapText="1"/>
    </xf>
    <xf numFmtId="0" fontId="31" fillId="0" borderId="18"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28" fillId="17" borderId="8" xfId="15" quotePrefix="1" applyFill="1" applyBorder="1" applyAlignment="1" applyProtection="1">
      <alignment horizontal="left" vertical="center" wrapText="1"/>
    </xf>
    <xf numFmtId="0" fontId="28" fillId="17" borderId="8" xfId="15" quotePrefix="1" applyFill="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28"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0" fillId="2" borderId="0" xfId="0" applyFill="1" applyAlignment="1">
      <alignment horizontal="left" vertical="center" wrapText="1"/>
    </xf>
    <xf numFmtId="0" fontId="0" fillId="0" borderId="17" xfId="0" applyBorder="1" applyAlignment="1">
      <alignment horizontal="left"/>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xf numFmtId="49" fontId="20" fillId="0" borderId="1" xfId="0" quotePrefix="1" applyNumberFormat="1" applyFont="1" applyBorder="1" applyAlignment="1" applyProtection="1">
      <alignment horizontal="center" vertical="center" wrapText="1"/>
      <protection locked="0"/>
    </xf>
    <xf numFmtId="49" fontId="20" fillId="0" borderId="1" xfId="0" applyNumberFormat="1" applyFont="1" applyBorder="1" applyAlignment="1" applyProtection="1">
      <alignment horizontal="center" vertical="center" wrapText="1"/>
      <protection locked="0"/>
    </xf>
    <xf numFmtId="0" fontId="20" fillId="17" borderId="1" xfId="0" applyFont="1" applyFill="1" applyBorder="1" applyAlignment="1" applyProtection="1">
      <alignment horizontal="center" vertical="center" wrapText="1"/>
      <protection locked="0"/>
    </xf>
    <xf numFmtId="0" fontId="20" fillId="0" borderId="1" xfId="0" applyFont="1" applyBorder="1" applyAlignment="1" applyProtection="1">
      <alignment horizontal="center" vertical="center" wrapText="1"/>
      <protection locked="0"/>
    </xf>
    <xf numFmtId="164" fontId="20" fillId="10" borderId="1" xfId="0" applyNumberFormat="1" applyFont="1" applyFill="1" applyBorder="1" applyAlignment="1">
      <alignment horizontal="center" vertical="center"/>
    </xf>
    <xf numFmtId="3" fontId="20" fillId="0" borderId="1" xfId="0" applyNumberFormat="1" applyFont="1" applyBorder="1" applyAlignment="1" applyProtection="1">
      <alignment horizontal="center" vertical="center" wrapText="1"/>
      <protection locked="0"/>
    </xf>
  </cellXfs>
  <cellStyles count="21">
    <cellStyle name="40% - Accent1" xfId="9" builtinId="31"/>
    <cellStyle name="40% - Accent1 2" xfId="16" xr:uid="{00000000-0005-0000-0000-000001000000}"/>
    <cellStyle name="40% - Accent4" xfId="12" builtinId="43"/>
    <cellStyle name="40% - Accent4 2" xfId="17" xr:uid="{00000000-0005-0000-0000-000003000000}"/>
    <cellStyle name="60% - Accent2" xfId="10" builtinId="36"/>
    <cellStyle name="Accent1" xfId="8" builtinId="29"/>
    <cellStyle name="Accent4" xfId="11" builtinId="41"/>
    <cellStyle name="Accent6" xfId="13" builtinId="49"/>
    <cellStyle name="ColumnHeading_CEPATNEI" xfId="20" xr:uid="{00000000-0005-0000-0000-000008000000}"/>
    <cellStyle name="Comma" xfId="19" builtinId="3"/>
    <cellStyle name="Comma 2" xfId="7" xr:uid="{00000000-0005-0000-0000-00000A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2000000}"/>
    <cellStyle name="Normal 3" xfId="14" xr:uid="{00000000-0005-0000-0000-000013000000}"/>
    <cellStyle name="Text_CEPATNEI" xfId="18" xr:uid="{00000000-0005-0000-0000-000014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cols>
    <col min="1" max="1" width="70.28515625" customWidth="1"/>
    <col min="2" max="2" width="42.140625" customWidth="1"/>
    <col min="3" max="3" width="28" customWidth="1"/>
    <col min="4" max="4" width="18.140625" customWidth="1"/>
    <col min="5" max="5" width="21.5703125" customWidth="1"/>
  </cols>
  <sheetData>
    <row r="1" spans="1:8">
      <c r="A1" s="25"/>
      <c r="B1" s="25"/>
      <c r="C1" s="25"/>
      <c r="D1" s="25"/>
      <c r="E1" s="25"/>
    </row>
    <row r="2" spans="1:8" ht="16.5">
      <c r="A2" s="139" t="s">
        <v>124</v>
      </c>
      <c r="B2" s="62"/>
      <c r="C2" s="62"/>
      <c r="D2" s="62"/>
      <c r="E2" s="62"/>
    </row>
    <row r="3" spans="1:8" ht="15">
      <c r="A3" s="66"/>
      <c r="B3" s="135" t="s">
        <v>125</v>
      </c>
      <c r="C3" s="134" t="s">
        <v>126</v>
      </c>
      <c r="D3" s="134" t="s">
        <v>22</v>
      </c>
      <c r="E3" s="134" t="s">
        <v>21</v>
      </c>
    </row>
    <row r="4" spans="1:8" ht="15">
      <c r="A4" s="63" t="s">
        <v>124</v>
      </c>
      <c r="B4" s="29" t="s">
        <v>661</v>
      </c>
      <c r="C4" s="29" t="s">
        <v>662</v>
      </c>
      <c r="D4" s="29" t="s">
        <v>663</v>
      </c>
      <c r="E4" s="29" t="s">
        <v>123</v>
      </c>
    </row>
    <row r="5" spans="1:8">
      <c r="A5" s="62"/>
      <c r="B5" s="62"/>
      <c r="C5" s="62"/>
      <c r="D5" s="62"/>
      <c r="E5" s="62"/>
    </row>
    <row r="6" spans="1:8" ht="16.5">
      <c r="A6" s="65" t="s">
        <v>16</v>
      </c>
      <c r="B6" s="62"/>
      <c r="C6" s="62"/>
      <c r="D6" s="62"/>
      <c r="E6" s="62"/>
    </row>
    <row r="7" spans="1:8" ht="15">
      <c r="A7" s="67" t="s">
        <v>17</v>
      </c>
      <c r="B7" s="252" t="s">
        <v>18</v>
      </c>
      <c r="C7" s="252"/>
      <c r="D7" s="252"/>
      <c r="E7" s="252"/>
    </row>
    <row r="8" spans="1:8" ht="30" customHeight="1">
      <c r="A8" s="71" t="s">
        <v>174</v>
      </c>
      <c r="B8" s="250" t="s">
        <v>163</v>
      </c>
      <c r="C8" s="250"/>
      <c r="D8" s="250"/>
      <c r="E8" s="250"/>
    </row>
    <row r="9" spans="1:8" ht="30" customHeight="1">
      <c r="A9" s="71" t="s">
        <v>38</v>
      </c>
      <c r="B9" s="25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50"/>
      <c r="D9" s="250"/>
      <c r="E9" s="250"/>
    </row>
    <row r="10" spans="1:8" ht="30" customHeight="1">
      <c r="A10" s="71" t="s">
        <v>39</v>
      </c>
      <c r="B10" s="250" t="s">
        <v>20</v>
      </c>
      <c r="C10" s="250"/>
      <c r="D10" s="250"/>
      <c r="E10" s="250"/>
    </row>
    <row r="11" spans="1:8" ht="61.5" customHeight="1">
      <c r="A11" s="71" t="s">
        <v>40</v>
      </c>
      <c r="B11" s="25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50"/>
      <c r="D11" s="250"/>
      <c r="E11" s="250"/>
      <c r="F11" s="246"/>
      <c r="G11" s="246"/>
      <c r="H11" s="246"/>
    </row>
    <row r="12" spans="1:8" ht="75" customHeight="1">
      <c r="A12" s="71" t="s">
        <v>29</v>
      </c>
      <c r="B12" s="249" t="s">
        <v>137</v>
      </c>
      <c r="C12" s="249"/>
      <c r="D12" s="249"/>
      <c r="E12" s="249"/>
    </row>
    <row r="13" spans="1:8" ht="45" customHeight="1">
      <c r="A13" s="71" t="s">
        <v>138</v>
      </c>
      <c r="B13" s="250"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50"/>
      <c r="D13" s="250"/>
      <c r="E13" s="250"/>
    </row>
    <row r="14" spans="1:8" ht="33.75" customHeight="1">
      <c r="A14" s="185" t="s">
        <v>474</v>
      </c>
      <c r="B14" s="250" t="s">
        <v>475</v>
      </c>
      <c r="C14" s="250"/>
      <c r="D14" s="250"/>
      <c r="E14" s="250"/>
    </row>
    <row r="15" spans="1:8" ht="29.25" customHeight="1">
      <c r="A15" s="71" t="s">
        <v>31</v>
      </c>
      <c r="B15" s="250" t="s">
        <v>1194</v>
      </c>
      <c r="C15" s="250"/>
      <c r="D15" s="250"/>
      <c r="E15" s="250"/>
    </row>
    <row r="16" spans="1:8" ht="29.25" customHeight="1">
      <c r="A16" s="71" t="s">
        <v>642</v>
      </c>
      <c r="B16" s="250" t="s">
        <v>644</v>
      </c>
      <c r="C16" s="250"/>
      <c r="D16" s="250"/>
      <c r="E16" s="250"/>
    </row>
    <row r="17" spans="1:5" ht="30" customHeight="1">
      <c r="A17" s="71" t="s">
        <v>84</v>
      </c>
      <c r="B17" s="250" t="s">
        <v>83</v>
      </c>
      <c r="C17" s="250"/>
      <c r="D17" s="250"/>
      <c r="E17" s="250"/>
    </row>
    <row r="18" spans="1:5">
      <c r="A18" s="62"/>
      <c r="B18" s="62"/>
      <c r="C18" s="62"/>
      <c r="D18" s="62"/>
      <c r="E18" s="62"/>
    </row>
    <row r="19" spans="1:5" ht="15">
      <c r="A19" s="68" t="s">
        <v>27</v>
      </c>
      <c r="B19" s="62"/>
      <c r="C19" s="62"/>
      <c r="D19" s="62"/>
      <c r="E19" s="62"/>
    </row>
    <row r="20" spans="1:5" ht="15">
      <c r="A20" s="67"/>
      <c r="B20" s="251"/>
      <c r="C20" s="251"/>
      <c r="D20" s="251"/>
      <c r="E20" s="251"/>
    </row>
    <row r="21" spans="1:5" ht="32.25" customHeight="1">
      <c r="A21" s="247" t="s">
        <v>67</v>
      </c>
      <c r="B21" s="248"/>
      <c r="C21" s="248"/>
      <c r="D21" s="248"/>
      <c r="E21" s="248"/>
    </row>
    <row r="22" spans="1:5">
      <c r="A22" s="62"/>
      <c r="B22" s="62"/>
      <c r="C22" s="62"/>
      <c r="D22" s="62"/>
      <c r="E22" s="62"/>
    </row>
    <row r="23" spans="1:5" ht="15">
      <c r="A23" s="69" t="s">
        <v>28</v>
      </c>
      <c r="B23" s="62"/>
      <c r="C23" s="62"/>
      <c r="D23" s="62"/>
      <c r="E23" s="62"/>
    </row>
    <row r="24" spans="1:5" ht="15">
      <c r="A24" s="64"/>
      <c r="B24" s="251"/>
      <c r="C24" s="251"/>
      <c r="D24" s="251"/>
      <c r="E24" s="251"/>
    </row>
    <row r="25" spans="1:5" ht="28.5" customHeight="1">
      <c r="A25" s="247" t="s">
        <v>41</v>
      </c>
      <c r="B25" s="248"/>
      <c r="C25" s="248"/>
      <c r="D25" s="248"/>
      <c r="E25" s="248"/>
    </row>
    <row r="26" spans="1:5" ht="28.5" customHeight="1">
      <c r="A26" s="245" t="s">
        <v>122</v>
      </c>
      <c r="B26" s="245"/>
      <c r="C26" s="245"/>
      <c r="D26" s="245"/>
      <c r="E26" s="245"/>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5"/>
  <sheetViews>
    <sheetView zoomScale="70" zoomScaleNormal="70" zoomScaleSheetLayoutView="70" workbookViewId="0"/>
  </sheetViews>
  <sheetFormatPr defaultRowHeight="27.75" customHeight="1"/>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c r="A1" s="211" t="s">
        <v>19</v>
      </c>
      <c r="B1" s="256"/>
      <c r="C1" s="256"/>
      <c r="D1" s="256"/>
      <c r="E1" s="255"/>
      <c r="F1" s="255"/>
      <c r="G1" s="255"/>
      <c r="H1" s="255"/>
      <c r="I1" s="255"/>
      <c r="J1" s="255"/>
      <c r="K1" s="255"/>
      <c r="L1" s="210"/>
      <c r="M1" s="210"/>
      <c r="N1" s="210"/>
    </row>
    <row r="2" spans="1:14" ht="27" customHeight="1">
      <c r="A2" s="261" t="str">
        <f>Overview!B4&amp; " - Effective from "&amp;Overview!D4&amp;" - "&amp;Overview!E4&amp;" LV and HV charges"</f>
        <v>London Power Networks - Effective from 1 April 2022 - Final LV and HV charges</v>
      </c>
      <c r="B2" s="261"/>
      <c r="C2" s="261"/>
      <c r="D2" s="261"/>
      <c r="E2" s="261"/>
      <c r="F2" s="261"/>
      <c r="G2" s="261"/>
      <c r="H2" s="261"/>
      <c r="I2" s="261"/>
      <c r="J2" s="261"/>
      <c r="K2" s="261"/>
    </row>
    <row r="3" spans="1:14" s="81" customFormat="1" ht="15" customHeight="1">
      <c r="A3" s="79"/>
      <c r="B3" s="79"/>
      <c r="C3" s="79"/>
      <c r="D3" s="79"/>
      <c r="E3" s="79"/>
      <c r="F3" s="79"/>
      <c r="G3" s="79"/>
      <c r="H3" s="79"/>
      <c r="I3" s="79"/>
      <c r="J3" s="79"/>
      <c r="K3" s="79"/>
      <c r="L3" s="80"/>
      <c r="M3" s="80"/>
    </row>
    <row r="4" spans="1:14" ht="27" customHeight="1">
      <c r="A4" s="261" t="s">
        <v>157</v>
      </c>
      <c r="B4" s="261"/>
      <c r="C4" s="261"/>
      <c r="D4" s="261"/>
      <c r="E4" s="261"/>
      <c r="F4" s="79"/>
      <c r="G4" s="261" t="s">
        <v>158</v>
      </c>
      <c r="H4" s="261"/>
      <c r="I4" s="261"/>
      <c r="J4" s="261"/>
      <c r="K4" s="261"/>
    </row>
    <row r="5" spans="1:14" ht="28.5" customHeight="1">
      <c r="A5" s="72" t="s">
        <v>12</v>
      </c>
      <c r="B5" s="75" t="s">
        <v>57</v>
      </c>
      <c r="C5" s="262" t="s">
        <v>58</v>
      </c>
      <c r="D5" s="263"/>
      <c r="E5" s="74" t="s">
        <v>59</v>
      </c>
      <c r="F5" s="79"/>
      <c r="G5" s="265"/>
      <c r="H5" s="266"/>
      <c r="I5" s="76" t="s">
        <v>64</v>
      </c>
      <c r="J5" s="77" t="s">
        <v>65</v>
      </c>
      <c r="K5" s="74" t="s">
        <v>59</v>
      </c>
      <c r="L5" s="79"/>
    </row>
    <row r="6" spans="1:14" ht="65.25" customHeight="1">
      <c r="A6" s="208" t="s">
        <v>60</v>
      </c>
      <c r="B6" s="23" t="s">
        <v>672</v>
      </c>
      <c r="C6" s="264" t="s">
        <v>673</v>
      </c>
      <c r="D6" s="264"/>
      <c r="E6" s="205" t="s">
        <v>666</v>
      </c>
      <c r="F6" s="79"/>
      <c r="G6" s="253" t="s">
        <v>61</v>
      </c>
      <c r="H6" s="254"/>
      <c r="I6" s="23" t="s">
        <v>664</v>
      </c>
      <c r="J6" s="78" t="s">
        <v>665</v>
      </c>
      <c r="K6" s="205" t="s">
        <v>666</v>
      </c>
      <c r="L6" s="79"/>
    </row>
    <row r="7" spans="1:14" ht="65.25" customHeight="1">
      <c r="A7" s="208" t="s">
        <v>15</v>
      </c>
      <c r="B7" s="200"/>
      <c r="C7" s="267"/>
      <c r="D7" s="267"/>
      <c r="E7" s="78" t="s">
        <v>671</v>
      </c>
      <c r="F7" s="79"/>
      <c r="G7" s="253" t="s">
        <v>62</v>
      </c>
      <c r="H7" s="254"/>
      <c r="I7" s="23" t="s">
        <v>667</v>
      </c>
      <c r="J7" s="78" t="s">
        <v>668</v>
      </c>
      <c r="K7" s="205" t="s">
        <v>666</v>
      </c>
      <c r="L7" s="79"/>
    </row>
    <row r="8" spans="1:14" ht="65.25" customHeight="1">
      <c r="A8" s="204" t="s">
        <v>13</v>
      </c>
      <c r="B8" s="257" t="s">
        <v>14</v>
      </c>
      <c r="C8" s="258"/>
      <c r="D8" s="258"/>
      <c r="E8" s="259"/>
      <c r="F8" s="79"/>
      <c r="G8" s="253" t="s">
        <v>669</v>
      </c>
      <c r="H8" s="254"/>
      <c r="I8" s="200"/>
      <c r="J8" s="78" t="s">
        <v>670</v>
      </c>
      <c r="K8" s="205" t="s">
        <v>666</v>
      </c>
      <c r="L8" s="79"/>
    </row>
    <row r="9" spans="1:14" s="73" customFormat="1" ht="65.25" customHeight="1">
      <c r="A9" s="81"/>
      <c r="F9" s="79"/>
      <c r="G9" s="253" t="s">
        <v>68</v>
      </c>
      <c r="H9" s="254"/>
      <c r="I9" s="200"/>
      <c r="J9" s="200"/>
      <c r="K9" s="78" t="s">
        <v>671</v>
      </c>
      <c r="L9" s="79"/>
      <c r="M9" s="44"/>
    </row>
    <row r="10" spans="1:14" s="81" customFormat="1" ht="27" customHeight="1">
      <c r="A10" s="79"/>
      <c r="B10" s="79"/>
      <c r="C10" s="79"/>
      <c r="D10" s="79"/>
      <c r="E10" s="79"/>
      <c r="F10" s="79"/>
      <c r="G10" s="260" t="s">
        <v>13</v>
      </c>
      <c r="H10" s="260"/>
      <c r="I10" s="257" t="s">
        <v>14</v>
      </c>
      <c r="J10" s="258"/>
      <c r="K10" s="259"/>
      <c r="L10" s="80"/>
      <c r="M10" s="80"/>
    </row>
    <row r="11" spans="1:14" s="81" customFormat="1" ht="12.75" customHeight="1">
      <c r="A11" s="79"/>
      <c r="B11" s="79"/>
      <c r="C11" s="79"/>
      <c r="D11" s="79"/>
      <c r="E11" s="79"/>
      <c r="F11" s="79"/>
      <c r="G11" s="79"/>
      <c r="H11" s="79"/>
      <c r="I11" s="79"/>
      <c r="J11" s="79"/>
      <c r="K11" s="79"/>
      <c r="L11" s="80"/>
      <c r="M11" s="80"/>
    </row>
    <row r="12" spans="1:14" ht="78.75" customHeight="1">
      <c r="A12" s="28" t="s">
        <v>127</v>
      </c>
      <c r="B12" s="244" t="s">
        <v>23</v>
      </c>
      <c r="C12" s="244" t="s">
        <v>24</v>
      </c>
      <c r="D12" s="49" t="s">
        <v>160</v>
      </c>
      <c r="E12" s="49" t="s">
        <v>162</v>
      </c>
      <c r="F12" s="49" t="s">
        <v>161</v>
      </c>
      <c r="G12" s="244" t="s">
        <v>25</v>
      </c>
      <c r="H12" s="244" t="s">
        <v>26</v>
      </c>
      <c r="I12" s="28" t="s">
        <v>128</v>
      </c>
      <c r="J12" s="244" t="s">
        <v>32</v>
      </c>
      <c r="K12" s="244" t="s">
        <v>0</v>
      </c>
    </row>
    <row r="13" spans="1:14" ht="39.75" customHeight="1">
      <c r="A13" s="18" t="s">
        <v>476</v>
      </c>
      <c r="B13" s="34" t="s">
        <v>1459</v>
      </c>
      <c r="C13" s="326" t="s">
        <v>649</v>
      </c>
      <c r="D13" s="140">
        <v>9.4689999999999994</v>
      </c>
      <c r="E13" s="141">
        <v>1.7849999999999999</v>
      </c>
      <c r="F13" s="142">
        <v>5.7000000000000002E-2</v>
      </c>
      <c r="G13" s="39">
        <v>10.86</v>
      </c>
      <c r="H13" s="40"/>
      <c r="I13" s="40"/>
      <c r="J13" s="36"/>
      <c r="K13" s="37" t="s">
        <v>1458</v>
      </c>
    </row>
    <row r="14" spans="1:14" ht="32.25" customHeight="1">
      <c r="A14" s="18" t="s">
        <v>477</v>
      </c>
      <c r="B14" s="34" t="s">
        <v>417</v>
      </c>
      <c r="C14" s="327" t="s">
        <v>417</v>
      </c>
      <c r="D14" s="140">
        <v>9.4689999999999994</v>
      </c>
      <c r="E14" s="141">
        <v>1.7849999999999999</v>
      </c>
      <c r="F14" s="142">
        <v>5.7000000000000002E-2</v>
      </c>
      <c r="G14" s="40"/>
      <c r="H14" s="40"/>
      <c r="I14" s="40"/>
      <c r="J14" s="36"/>
      <c r="K14" s="37" t="s">
        <v>1460</v>
      </c>
    </row>
    <row r="15" spans="1:14" ht="32.25" customHeight="1">
      <c r="A15" s="18" t="s">
        <v>478</v>
      </c>
      <c r="B15" s="38">
        <v>199</v>
      </c>
      <c r="C15" s="328" t="s">
        <v>648</v>
      </c>
      <c r="D15" s="140">
        <v>5.7930000000000001</v>
      </c>
      <c r="E15" s="141">
        <v>1.0920000000000001</v>
      </c>
      <c r="F15" s="142">
        <v>3.5000000000000003E-2</v>
      </c>
      <c r="G15" s="39">
        <v>3.2</v>
      </c>
      <c r="H15" s="40"/>
      <c r="I15" s="40"/>
      <c r="J15" s="36"/>
      <c r="K15" s="37"/>
    </row>
    <row r="16" spans="1:14" ht="69.75" customHeight="1">
      <c r="A16" s="18" t="s">
        <v>479</v>
      </c>
      <c r="B16" s="38">
        <v>201</v>
      </c>
      <c r="C16" s="328" t="s">
        <v>648</v>
      </c>
      <c r="D16" s="140">
        <v>5.7930000000000001</v>
      </c>
      <c r="E16" s="141">
        <v>1.0920000000000001</v>
      </c>
      <c r="F16" s="142">
        <v>3.5000000000000003E-2</v>
      </c>
      <c r="G16" s="39">
        <v>2.4300000000000002</v>
      </c>
      <c r="H16" s="40"/>
      <c r="I16" s="40"/>
      <c r="J16" s="36"/>
      <c r="K16" s="37" t="s">
        <v>1461</v>
      </c>
    </row>
    <row r="17" spans="1:11" ht="32.25" customHeight="1">
      <c r="A17" s="18" t="s">
        <v>480</v>
      </c>
      <c r="B17" s="38">
        <v>202</v>
      </c>
      <c r="C17" s="328" t="s">
        <v>648</v>
      </c>
      <c r="D17" s="140">
        <v>5.6680000000000001</v>
      </c>
      <c r="E17" s="141">
        <v>0.96699999999999997</v>
      </c>
      <c r="F17" s="142">
        <v>0</v>
      </c>
      <c r="G17" s="39">
        <v>0</v>
      </c>
      <c r="H17" s="40"/>
      <c r="I17" s="40"/>
      <c r="J17" s="36"/>
      <c r="K17" s="37"/>
    </row>
    <row r="18" spans="1:11" ht="32.25" customHeight="1">
      <c r="A18" s="18" t="s">
        <v>481</v>
      </c>
      <c r="B18" s="38">
        <v>203</v>
      </c>
      <c r="C18" s="328" t="s">
        <v>648</v>
      </c>
      <c r="D18" s="140">
        <v>5.5190000000000001</v>
      </c>
      <c r="E18" s="141">
        <v>0.81799999999999995</v>
      </c>
      <c r="F18" s="142">
        <v>0</v>
      </c>
      <c r="G18" s="39">
        <v>0</v>
      </c>
      <c r="H18" s="40"/>
      <c r="I18" s="40"/>
      <c r="J18" s="36"/>
      <c r="K18" s="37"/>
    </row>
    <row r="19" spans="1:11" ht="32.25" customHeight="1">
      <c r="A19" s="18" t="s">
        <v>482</v>
      </c>
      <c r="B19" s="38">
        <v>204</v>
      </c>
      <c r="C19" s="328" t="s">
        <v>648</v>
      </c>
      <c r="D19" s="140">
        <v>5.4450000000000003</v>
      </c>
      <c r="E19" s="141">
        <v>0.74399999999999999</v>
      </c>
      <c r="F19" s="142">
        <v>0</v>
      </c>
      <c r="G19" s="39">
        <v>0</v>
      </c>
      <c r="H19" s="40"/>
      <c r="I19" s="40"/>
      <c r="J19" s="36"/>
      <c r="K19" s="37"/>
    </row>
    <row r="20" spans="1:11" ht="32.25" customHeight="1">
      <c r="A20" s="18" t="s">
        <v>143</v>
      </c>
      <c r="B20" s="34" t="s">
        <v>1462</v>
      </c>
      <c r="C20" s="327" t="s">
        <v>418</v>
      </c>
      <c r="D20" s="140">
        <v>5.7930000000000001</v>
      </c>
      <c r="E20" s="141">
        <v>1.0920000000000001</v>
      </c>
      <c r="F20" s="142">
        <v>3.5000000000000003E-2</v>
      </c>
      <c r="G20" s="40"/>
      <c r="H20" s="40"/>
      <c r="I20" s="40"/>
      <c r="J20" s="36"/>
      <c r="K20" s="38">
        <v>964965</v>
      </c>
    </row>
    <row r="21" spans="1:11" ht="32.25" customHeight="1">
      <c r="A21" s="18" t="s">
        <v>483</v>
      </c>
      <c r="B21" s="37">
        <v>70</v>
      </c>
      <c r="C21" s="329">
        <v>0</v>
      </c>
      <c r="D21" s="140">
        <v>4.7690000000000001</v>
      </c>
      <c r="E21" s="141">
        <v>0.91600000000000004</v>
      </c>
      <c r="F21" s="142">
        <v>3.1E-2</v>
      </c>
      <c r="G21" s="39">
        <v>7.93</v>
      </c>
      <c r="H21" s="39">
        <v>4.29</v>
      </c>
      <c r="I21" s="330">
        <v>6.66</v>
      </c>
      <c r="J21" s="35">
        <v>0.40899999999999997</v>
      </c>
      <c r="K21" s="37">
        <v>19</v>
      </c>
    </row>
    <row r="22" spans="1:11" ht="32.25" customHeight="1">
      <c r="A22" s="18" t="s">
        <v>484</v>
      </c>
      <c r="B22" s="37">
        <v>71</v>
      </c>
      <c r="C22" s="329">
        <v>0</v>
      </c>
      <c r="D22" s="140">
        <v>4.3920000000000003</v>
      </c>
      <c r="E22" s="141">
        <v>0.53900000000000003</v>
      </c>
      <c r="F22" s="142">
        <v>7.0000000000000001E-3</v>
      </c>
      <c r="G22" s="39">
        <v>2.0699999999999998</v>
      </c>
      <c r="H22" s="39">
        <v>4.29</v>
      </c>
      <c r="I22" s="330">
        <v>6.66</v>
      </c>
      <c r="J22" s="35">
        <v>0.40899999999999997</v>
      </c>
      <c r="K22" s="37">
        <v>9</v>
      </c>
    </row>
    <row r="23" spans="1:11" ht="32.25" customHeight="1">
      <c r="A23" s="18" t="s">
        <v>485</v>
      </c>
      <c r="B23" s="37">
        <v>72</v>
      </c>
      <c r="C23" s="329">
        <v>0</v>
      </c>
      <c r="D23" s="140">
        <v>4.3819999999999997</v>
      </c>
      <c r="E23" s="141">
        <v>0.52900000000000003</v>
      </c>
      <c r="F23" s="142">
        <v>7.0000000000000001E-3</v>
      </c>
      <c r="G23" s="39">
        <v>2.0699999999999998</v>
      </c>
      <c r="H23" s="39">
        <v>4.29</v>
      </c>
      <c r="I23" s="330">
        <v>6.66</v>
      </c>
      <c r="J23" s="35">
        <v>0.40899999999999997</v>
      </c>
      <c r="K23" s="37"/>
    </row>
    <row r="24" spans="1:11" ht="32.25" customHeight="1">
      <c r="A24" s="18" t="s">
        <v>486</v>
      </c>
      <c r="B24" s="37">
        <v>73</v>
      </c>
      <c r="C24" s="329">
        <v>0</v>
      </c>
      <c r="D24" s="140">
        <v>4.3719999999999999</v>
      </c>
      <c r="E24" s="141">
        <v>0.52</v>
      </c>
      <c r="F24" s="142">
        <v>7.0000000000000001E-3</v>
      </c>
      <c r="G24" s="39">
        <v>2.0699999999999998</v>
      </c>
      <c r="H24" s="39">
        <v>4.29</v>
      </c>
      <c r="I24" s="330">
        <v>6.66</v>
      </c>
      <c r="J24" s="35">
        <v>0.40899999999999997</v>
      </c>
      <c r="K24" s="37"/>
    </row>
    <row r="25" spans="1:11" ht="32.25" customHeight="1">
      <c r="A25" s="18" t="s">
        <v>487</v>
      </c>
      <c r="B25" s="37">
        <v>74</v>
      </c>
      <c r="C25" s="329">
        <v>0</v>
      </c>
      <c r="D25" s="140">
        <v>4.3650000000000002</v>
      </c>
      <c r="E25" s="141">
        <v>0.51200000000000001</v>
      </c>
      <c r="F25" s="142">
        <v>7.0000000000000001E-3</v>
      </c>
      <c r="G25" s="39">
        <v>2.0699999999999998</v>
      </c>
      <c r="H25" s="39">
        <v>4.29</v>
      </c>
      <c r="I25" s="330">
        <v>6.66</v>
      </c>
      <c r="J25" s="35">
        <v>0.40899999999999997</v>
      </c>
      <c r="K25" s="37"/>
    </row>
    <row r="26" spans="1:11" ht="32.25" customHeight="1">
      <c r="A26" s="18" t="s">
        <v>488</v>
      </c>
      <c r="B26" s="37">
        <v>80</v>
      </c>
      <c r="C26" s="329">
        <v>0</v>
      </c>
      <c r="D26" s="140">
        <v>3.2370000000000001</v>
      </c>
      <c r="E26" s="141">
        <v>0.65400000000000003</v>
      </c>
      <c r="F26" s="142">
        <v>2.4E-2</v>
      </c>
      <c r="G26" s="39">
        <v>5.86</v>
      </c>
      <c r="H26" s="39">
        <v>7.53</v>
      </c>
      <c r="I26" s="330">
        <v>8.57</v>
      </c>
      <c r="J26" s="35">
        <v>0.24099999999999999</v>
      </c>
      <c r="K26" s="37">
        <v>79</v>
      </c>
    </row>
    <row r="27" spans="1:11" ht="32.25" customHeight="1">
      <c r="A27" s="18" t="s">
        <v>489</v>
      </c>
      <c r="B27" s="37">
        <v>81</v>
      </c>
      <c r="C27" s="329">
        <v>0</v>
      </c>
      <c r="D27" s="140">
        <v>2.86</v>
      </c>
      <c r="E27" s="141">
        <v>0.27700000000000002</v>
      </c>
      <c r="F27" s="142">
        <v>0</v>
      </c>
      <c r="G27" s="39">
        <v>0</v>
      </c>
      <c r="H27" s="39">
        <v>7.53</v>
      </c>
      <c r="I27" s="330">
        <v>8.57</v>
      </c>
      <c r="J27" s="35">
        <v>0.24099999999999999</v>
      </c>
      <c r="K27" s="37">
        <v>756</v>
      </c>
    </row>
    <row r="28" spans="1:11" ht="32.25" customHeight="1">
      <c r="A28" s="18" t="s">
        <v>490</v>
      </c>
      <c r="B28" s="37">
        <v>82</v>
      </c>
      <c r="C28" s="329">
        <v>0</v>
      </c>
      <c r="D28" s="140">
        <v>2.85</v>
      </c>
      <c r="E28" s="141">
        <v>0.26700000000000002</v>
      </c>
      <c r="F28" s="142">
        <v>0</v>
      </c>
      <c r="G28" s="39">
        <v>0</v>
      </c>
      <c r="H28" s="39">
        <v>7.53</v>
      </c>
      <c r="I28" s="330">
        <v>8.57</v>
      </c>
      <c r="J28" s="35">
        <v>0.24099999999999999</v>
      </c>
      <c r="K28" s="37"/>
    </row>
    <row r="29" spans="1:11" ht="32.25" customHeight="1">
      <c r="A29" s="18" t="s">
        <v>491</v>
      </c>
      <c r="B29" s="37">
        <v>83</v>
      </c>
      <c r="C29" s="329">
        <v>0</v>
      </c>
      <c r="D29" s="140">
        <v>2.8410000000000002</v>
      </c>
      <c r="E29" s="141">
        <v>0.25700000000000001</v>
      </c>
      <c r="F29" s="142">
        <v>0</v>
      </c>
      <c r="G29" s="39">
        <v>0</v>
      </c>
      <c r="H29" s="39">
        <v>7.53</v>
      </c>
      <c r="I29" s="330">
        <v>8.57</v>
      </c>
      <c r="J29" s="35">
        <v>0.24099999999999999</v>
      </c>
      <c r="K29" s="37"/>
    </row>
    <row r="30" spans="1:11" ht="32.25" customHeight="1">
      <c r="A30" s="18" t="s">
        <v>492</v>
      </c>
      <c r="B30" s="37">
        <v>84</v>
      </c>
      <c r="C30" s="329">
        <v>0</v>
      </c>
      <c r="D30" s="140">
        <v>2.8330000000000002</v>
      </c>
      <c r="E30" s="141">
        <v>0.25</v>
      </c>
      <c r="F30" s="142">
        <v>0</v>
      </c>
      <c r="G30" s="39">
        <v>0</v>
      </c>
      <c r="H30" s="39">
        <v>7.53</v>
      </c>
      <c r="I30" s="330">
        <v>8.57</v>
      </c>
      <c r="J30" s="35">
        <v>0.24099999999999999</v>
      </c>
      <c r="K30" s="37"/>
    </row>
    <row r="31" spans="1:11" ht="32.25" customHeight="1">
      <c r="A31" s="18" t="s">
        <v>493</v>
      </c>
      <c r="B31" s="37">
        <v>90</v>
      </c>
      <c r="C31" s="329">
        <v>0</v>
      </c>
      <c r="D31" s="140">
        <v>2.375</v>
      </c>
      <c r="E31" s="141">
        <v>0.46200000000000002</v>
      </c>
      <c r="F31" s="142">
        <v>1.7000000000000001E-2</v>
      </c>
      <c r="G31" s="39">
        <v>78.569999999999993</v>
      </c>
      <c r="H31" s="39">
        <v>7.67</v>
      </c>
      <c r="I31" s="330">
        <v>8.6199999999999992</v>
      </c>
      <c r="J31" s="35">
        <v>0.20399999999999999</v>
      </c>
      <c r="K31" s="37">
        <v>89</v>
      </c>
    </row>
    <row r="32" spans="1:11" ht="32.25" customHeight="1">
      <c r="A32" s="18" t="s">
        <v>494</v>
      </c>
      <c r="B32" s="37">
        <v>91</v>
      </c>
      <c r="C32" s="329">
        <v>0</v>
      </c>
      <c r="D32" s="140">
        <v>2.0230000000000001</v>
      </c>
      <c r="E32" s="141">
        <v>0.111</v>
      </c>
      <c r="F32" s="142">
        <v>0</v>
      </c>
      <c r="G32" s="39">
        <v>0</v>
      </c>
      <c r="H32" s="39">
        <v>7.67</v>
      </c>
      <c r="I32" s="330">
        <v>8.6199999999999992</v>
      </c>
      <c r="J32" s="35">
        <v>0.20399999999999999</v>
      </c>
      <c r="K32" s="37">
        <v>359</v>
      </c>
    </row>
    <row r="33" spans="1:11" ht="32.25" customHeight="1">
      <c r="A33" s="18" t="s">
        <v>495</v>
      </c>
      <c r="B33" s="37">
        <v>92</v>
      </c>
      <c r="C33" s="329">
        <v>0</v>
      </c>
      <c r="D33" s="140">
        <v>1.9770000000000001</v>
      </c>
      <c r="E33" s="141">
        <v>6.5000000000000002E-2</v>
      </c>
      <c r="F33" s="142">
        <v>0</v>
      </c>
      <c r="G33" s="39">
        <v>0</v>
      </c>
      <c r="H33" s="39">
        <v>7.67</v>
      </c>
      <c r="I33" s="330">
        <v>8.6199999999999992</v>
      </c>
      <c r="J33" s="35">
        <v>0.20399999999999999</v>
      </c>
      <c r="K33" s="37"/>
    </row>
    <row r="34" spans="1:11" ht="32.25" customHeight="1">
      <c r="A34" s="18" t="s">
        <v>496</v>
      </c>
      <c r="B34" s="37">
        <v>93</v>
      </c>
      <c r="C34" s="329">
        <v>0</v>
      </c>
      <c r="D34" s="140">
        <v>1.966</v>
      </c>
      <c r="E34" s="141">
        <v>5.2999999999999999E-2</v>
      </c>
      <c r="F34" s="142">
        <v>0</v>
      </c>
      <c r="G34" s="39">
        <v>0</v>
      </c>
      <c r="H34" s="39">
        <v>7.67</v>
      </c>
      <c r="I34" s="330">
        <v>8.6199999999999992</v>
      </c>
      <c r="J34" s="35">
        <v>0.20399999999999999</v>
      </c>
      <c r="K34" s="37"/>
    </row>
    <row r="35" spans="1:11" ht="32.25" customHeight="1">
      <c r="A35" s="18" t="s">
        <v>497</v>
      </c>
      <c r="B35" s="37">
        <v>94</v>
      </c>
      <c r="C35" s="329">
        <v>0</v>
      </c>
      <c r="D35" s="140">
        <v>1.954</v>
      </c>
      <c r="E35" s="141">
        <v>4.2000000000000003E-2</v>
      </c>
      <c r="F35" s="142">
        <v>0</v>
      </c>
      <c r="G35" s="39">
        <v>0</v>
      </c>
      <c r="H35" s="39">
        <v>7.67</v>
      </c>
      <c r="I35" s="330">
        <v>8.6199999999999992</v>
      </c>
      <c r="J35" s="35">
        <v>0.20399999999999999</v>
      </c>
      <c r="K35" s="37"/>
    </row>
    <row r="36" spans="1:11" ht="83.25" customHeight="1">
      <c r="A36" s="18" t="s">
        <v>147</v>
      </c>
      <c r="B36" s="37" t="s">
        <v>1464</v>
      </c>
      <c r="C36" s="329" t="s">
        <v>419</v>
      </c>
      <c r="D36" s="143">
        <v>30.620999999999999</v>
      </c>
      <c r="E36" s="144">
        <v>2.2810000000000001</v>
      </c>
      <c r="F36" s="142">
        <v>0.28899999999999998</v>
      </c>
      <c r="G36" s="40"/>
      <c r="H36" s="40"/>
      <c r="I36" s="40"/>
      <c r="J36" s="36"/>
      <c r="K36" s="37" t="s">
        <v>1463</v>
      </c>
    </row>
    <row r="37" spans="1:11" ht="27.75" customHeight="1">
      <c r="A37" s="18" t="s">
        <v>148</v>
      </c>
      <c r="B37" s="38">
        <v>932</v>
      </c>
      <c r="C37" s="331">
        <v>0</v>
      </c>
      <c r="D37" s="140">
        <v>-5.2389999999999999</v>
      </c>
      <c r="E37" s="141">
        <v>-0.98699999999999999</v>
      </c>
      <c r="F37" s="142">
        <v>-3.2000000000000001E-2</v>
      </c>
      <c r="G37" s="39">
        <v>0</v>
      </c>
      <c r="H37" s="40"/>
      <c r="I37" s="40"/>
      <c r="J37" s="36"/>
      <c r="K37" s="37" t="s">
        <v>1457</v>
      </c>
    </row>
    <row r="38" spans="1:11" ht="27.75" customHeight="1">
      <c r="A38" s="18" t="s">
        <v>149</v>
      </c>
      <c r="B38" s="37"/>
      <c r="C38" s="329">
        <v>0</v>
      </c>
      <c r="D38" s="140">
        <v>-4.6139999999999999</v>
      </c>
      <c r="E38" s="141">
        <v>-0.879</v>
      </c>
      <c r="F38" s="142">
        <v>-2.9000000000000001E-2</v>
      </c>
      <c r="G38" s="39">
        <v>0</v>
      </c>
      <c r="H38" s="40"/>
      <c r="I38" s="40"/>
      <c r="J38" s="36"/>
      <c r="K38" s="37"/>
    </row>
    <row r="39" spans="1:11" ht="27.75" customHeight="1">
      <c r="A39" s="18" t="s">
        <v>150</v>
      </c>
      <c r="B39" s="37">
        <v>980</v>
      </c>
      <c r="C39" s="329">
        <v>0</v>
      </c>
      <c r="D39" s="140">
        <v>-5.2389999999999999</v>
      </c>
      <c r="E39" s="141">
        <v>-0.98699999999999999</v>
      </c>
      <c r="F39" s="142">
        <v>-3.2000000000000001E-2</v>
      </c>
      <c r="G39" s="39">
        <v>0</v>
      </c>
      <c r="H39" s="40"/>
      <c r="I39" s="40"/>
      <c r="J39" s="35">
        <v>0.36099999999999999</v>
      </c>
      <c r="K39" s="37">
        <v>982</v>
      </c>
    </row>
    <row r="40" spans="1:11" ht="27.75" customHeight="1">
      <c r="A40" s="18" t="s">
        <v>151</v>
      </c>
      <c r="B40" s="37">
        <v>981</v>
      </c>
      <c r="C40" s="329">
        <v>0</v>
      </c>
      <c r="D40" s="140">
        <v>-5.2389999999999999</v>
      </c>
      <c r="E40" s="141">
        <v>-0.98699999999999999</v>
      </c>
      <c r="F40" s="142">
        <v>-3.2000000000000001E-2</v>
      </c>
      <c r="G40" s="39">
        <v>0</v>
      </c>
      <c r="H40" s="40"/>
      <c r="I40" s="40"/>
      <c r="J40" s="36"/>
      <c r="K40" s="37">
        <v>983</v>
      </c>
    </row>
    <row r="41" spans="1:11" ht="27.75" customHeight="1">
      <c r="A41" s="18" t="s">
        <v>152</v>
      </c>
      <c r="B41" s="37">
        <v>984</v>
      </c>
      <c r="C41" s="329">
        <v>0</v>
      </c>
      <c r="D41" s="140">
        <v>-4.6139999999999999</v>
      </c>
      <c r="E41" s="141">
        <v>-0.879</v>
      </c>
      <c r="F41" s="142">
        <v>-2.9000000000000001E-2</v>
      </c>
      <c r="G41" s="39">
        <v>0</v>
      </c>
      <c r="H41" s="40"/>
      <c r="I41" s="40"/>
      <c r="J41" s="35">
        <v>0.32200000000000001</v>
      </c>
      <c r="K41" s="37">
        <v>986</v>
      </c>
    </row>
    <row r="42" spans="1:11" ht="27.75" customHeight="1">
      <c r="A42" s="18" t="s">
        <v>153</v>
      </c>
      <c r="B42" s="37">
        <v>985</v>
      </c>
      <c r="C42" s="329">
        <v>0</v>
      </c>
      <c r="D42" s="140">
        <v>-4.6139999999999999</v>
      </c>
      <c r="E42" s="141">
        <v>-0.879</v>
      </c>
      <c r="F42" s="142">
        <v>-2.9000000000000001E-2</v>
      </c>
      <c r="G42" s="39">
        <v>0</v>
      </c>
      <c r="H42" s="40"/>
      <c r="I42" s="40"/>
      <c r="J42" s="36"/>
      <c r="K42" s="37">
        <v>987</v>
      </c>
    </row>
    <row r="43" spans="1:11" ht="27.75" customHeight="1">
      <c r="A43" s="18" t="s">
        <v>154</v>
      </c>
      <c r="B43" s="37">
        <v>988</v>
      </c>
      <c r="C43" s="329">
        <v>0</v>
      </c>
      <c r="D43" s="140">
        <v>-2.9540000000000002</v>
      </c>
      <c r="E43" s="141">
        <v>-0.59599999999999997</v>
      </c>
      <c r="F43" s="142">
        <v>-2.1999999999999999E-2</v>
      </c>
      <c r="G43" s="39">
        <v>6.65</v>
      </c>
      <c r="H43" s="40"/>
      <c r="I43" s="40"/>
      <c r="J43" s="35">
        <v>0.28000000000000003</v>
      </c>
      <c r="K43" s="37">
        <v>990</v>
      </c>
    </row>
    <row r="44" spans="1:11" ht="27.75" customHeight="1">
      <c r="A44" s="18" t="s">
        <v>155</v>
      </c>
      <c r="B44" s="37">
        <v>989</v>
      </c>
      <c r="C44" s="329">
        <v>0</v>
      </c>
      <c r="D44" s="140">
        <v>-2.9540000000000002</v>
      </c>
      <c r="E44" s="141">
        <v>-0.59599999999999997</v>
      </c>
      <c r="F44" s="142">
        <v>-2.1999999999999999E-2</v>
      </c>
      <c r="G44" s="39">
        <v>6.65</v>
      </c>
      <c r="H44" s="40"/>
      <c r="I44" s="40"/>
      <c r="J44" s="36"/>
      <c r="K44" s="37">
        <v>991</v>
      </c>
    </row>
    <row r="45" spans="1:11" ht="27.75" customHeight="1">
      <c r="C45"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G7:H7"/>
    <mergeCell ref="G8:H8"/>
    <mergeCell ref="E1:K1"/>
    <mergeCell ref="B1:D1"/>
    <mergeCell ref="I10:K10"/>
    <mergeCell ref="G10:H10"/>
    <mergeCell ref="A2:K2"/>
    <mergeCell ref="C5:D5"/>
    <mergeCell ref="C6:D6"/>
    <mergeCell ref="G5:H5"/>
    <mergeCell ref="G6:H6"/>
    <mergeCell ref="G4:K4"/>
    <mergeCell ref="A4:E4"/>
    <mergeCell ref="C7:D7"/>
    <mergeCell ref="B8:E8"/>
    <mergeCell ref="G9:H9"/>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57"/>
  <sheetViews>
    <sheetView zoomScale="85" zoomScaleNormal="85" zoomScaleSheetLayoutView="100" workbookViewId="0"/>
  </sheetViews>
  <sheetFormatPr defaultRowHeight="27.75" customHeight="1"/>
  <cols>
    <col min="1" max="1" width="14.5703125" style="47" customWidth="1"/>
    <col min="2" max="2" width="7.28515625" style="47" customWidth="1"/>
    <col min="3" max="3" width="17.140625" style="47" customWidth="1"/>
    <col min="4" max="4" width="14.7109375" style="55" customWidth="1"/>
    <col min="5" max="5" width="7.140625" style="55" customWidth="1"/>
    <col min="6" max="6" width="17.28515625" style="55" customWidth="1"/>
    <col min="7" max="7" width="50.7109375" style="55" customWidth="1"/>
    <col min="8" max="8" width="14.7109375" style="55" customWidth="1"/>
    <col min="9" max="9" width="14.7109375" style="56" customWidth="1"/>
    <col min="10" max="11" width="14.7109375" style="57" customWidth="1"/>
    <col min="12" max="15" width="14.7109375" style="47" customWidth="1"/>
    <col min="16" max="16384" width="9.140625" style="47"/>
  </cols>
  <sheetData>
    <row r="1" spans="1:15" ht="67.5" customHeight="1">
      <c r="A1" s="45" t="s">
        <v>19</v>
      </c>
      <c r="B1" s="45"/>
      <c r="C1" s="270"/>
      <c r="D1" s="270"/>
      <c r="E1" s="46"/>
      <c r="F1" s="269" t="s">
        <v>1195</v>
      </c>
      <c r="G1" s="269"/>
      <c r="H1" s="269"/>
      <c r="I1" s="269"/>
      <c r="J1" s="269"/>
      <c r="K1" s="269"/>
      <c r="L1" s="269"/>
      <c r="M1" s="269"/>
      <c r="N1" s="269"/>
      <c r="O1" s="269"/>
    </row>
    <row r="2" spans="1:15" s="48" customFormat="1" ht="25.5" customHeight="1">
      <c r="A2" s="261" t="str">
        <f>Overview!B4&amp; " - Effective from "&amp;Overview!D4&amp;" - "&amp;Overview!E4&amp;" EDCM charges"</f>
        <v>London Power Networks - Effective from 1 April 2022 - Final EDCM charges</v>
      </c>
      <c r="B2" s="261"/>
      <c r="C2" s="261"/>
      <c r="D2" s="261"/>
      <c r="E2" s="261"/>
      <c r="F2" s="261"/>
      <c r="G2" s="261"/>
      <c r="H2" s="261"/>
      <c r="I2" s="261"/>
      <c r="J2" s="261"/>
      <c r="K2" s="261"/>
      <c r="L2" s="261"/>
      <c r="M2" s="261"/>
      <c r="N2" s="261"/>
      <c r="O2" s="261"/>
    </row>
    <row r="3" spans="1:15" s="82" customFormat="1" ht="10.5" customHeight="1">
      <c r="A3" s="79"/>
      <c r="B3" s="79"/>
      <c r="C3" s="79"/>
      <c r="D3" s="79"/>
      <c r="E3" s="79"/>
      <c r="F3" s="79"/>
      <c r="G3" s="79"/>
      <c r="H3" s="79"/>
      <c r="I3" s="79"/>
      <c r="J3" s="79"/>
      <c r="K3" s="79"/>
      <c r="L3" s="79"/>
      <c r="M3" s="79"/>
      <c r="N3" s="79"/>
      <c r="O3" s="79"/>
    </row>
    <row r="4" spans="1:15" s="82" customFormat="1" ht="25.5" customHeight="1">
      <c r="A4" s="261" t="s">
        <v>66</v>
      </c>
      <c r="B4" s="261"/>
      <c r="C4" s="261"/>
      <c r="D4" s="261"/>
      <c r="E4" s="261"/>
      <c r="F4" s="261"/>
      <c r="G4" s="79"/>
      <c r="H4" s="79"/>
      <c r="I4" s="79"/>
      <c r="J4" s="79"/>
      <c r="K4" s="79"/>
      <c r="L4" s="79"/>
      <c r="M4" s="79"/>
      <c r="N4" s="79"/>
      <c r="O4" s="79"/>
    </row>
    <row r="5" spans="1:15" s="82" customFormat="1" ht="25.5" customHeight="1">
      <c r="A5" s="271" t="s">
        <v>12</v>
      </c>
      <c r="B5" s="272"/>
      <c r="C5" s="272"/>
      <c r="D5" s="268" t="s">
        <v>63</v>
      </c>
      <c r="E5" s="268"/>
      <c r="F5" s="268"/>
      <c r="G5" s="79"/>
      <c r="H5" s="79"/>
      <c r="I5" s="79"/>
      <c r="J5" s="79"/>
      <c r="K5" s="79"/>
      <c r="L5" s="79"/>
      <c r="M5" s="79"/>
      <c r="N5" s="79"/>
      <c r="O5" s="79"/>
    </row>
    <row r="6" spans="1:15" s="82" customFormat="1" ht="48" customHeight="1">
      <c r="A6" s="260" t="s">
        <v>61</v>
      </c>
      <c r="B6" s="260"/>
      <c r="C6" s="260"/>
      <c r="D6" s="264" t="s">
        <v>664</v>
      </c>
      <c r="E6" s="264"/>
      <c r="F6" s="264"/>
      <c r="G6" s="79"/>
      <c r="H6" s="79"/>
      <c r="I6" s="79"/>
      <c r="J6" s="79"/>
      <c r="K6" s="79"/>
      <c r="L6" s="79"/>
      <c r="M6" s="79"/>
      <c r="N6" s="79"/>
      <c r="O6" s="79"/>
    </row>
    <row r="7" spans="1:15" s="82" customFormat="1" ht="53.25" customHeight="1">
      <c r="A7" s="260" t="s">
        <v>62</v>
      </c>
      <c r="B7" s="260"/>
      <c r="C7" s="260"/>
      <c r="D7" s="264" t="s">
        <v>667</v>
      </c>
      <c r="E7" s="264"/>
      <c r="F7" s="264"/>
      <c r="G7" s="79"/>
      <c r="H7" s="79"/>
      <c r="I7" s="79"/>
      <c r="J7" s="79"/>
      <c r="K7" s="79"/>
      <c r="L7" s="79"/>
      <c r="M7" s="79"/>
      <c r="N7" s="79"/>
      <c r="O7" s="79"/>
    </row>
    <row r="8" spans="1:15" s="82" customFormat="1" ht="25.5" customHeight="1">
      <c r="A8" s="260" t="s">
        <v>13</v>
      </c>
      <c r="B8" s="260"/>
      <c r="C8" s="260"/>
      <c r="D8" s="264" t="s">
        <v>14</v>
      </c>
      <c r="E8" s="264"/>
      <c r="F8" s="264"/>
      <c r="G8" s="79"/>
      <c r="H8" s="79"/>
      <c r="I8" s="79"/>
      <c r="J8" s="79"/>
      <c r="K8" s="79"/>
      <c r="L8" s="79"/>
      <c r="M8" s="79"/>
      <c r="N8" s="79"/>
      <c r="O8" s="79"/>
    </row>
    <row r="9" spans="1:15" s="82" customFormat="1" ht="10.5" customHeight="1">
      <c r="A9" s="79"/>
      <c r="B9" s="79"/>
      <c r="C9" s="79"/>
      <c r="D9" s="79"/>
      <c r="E9" s="79"/>
      <c r="F9" s="79"/>
      <c r="G9" s="79"/>
      <c r="H9" s="79"/>
      <c r="I9" s="79"/>
      <c r="J9" s="79"/>
      <c r="K9" s="79"/>
      <c r="L9" s="79"/>
      <c r="M9" s="79"/>
      <c r="N9" s="79"/>
      <c r="O9" s="79"/>
    </row>
    <row r="10" spans="1:15" ht="63.75" customHeight="1">
      <c r="A10" s="49" t="s">
        <v>52</v>
      </c>
      <c r="B10" s="50" t="s">
        <v>35</v>
      </c>
      <c r="C10" s="49" t="s">
        <v>36</v>
      </c>
      <c r="D10" s="49" t="s">
        <v>54</v>
      </c>
      <c r="E10" s="50" t="s">
        <v>35</v>
      </c>
      <c r="F10" s="49" t="s">
        <v>37</v>
      </c>
      <c r="G10" s="51" t="s">
        <v>30</v>
      </c>
      <c r="H10" s="52" t="s">
        <v>120</v>
      </c>
      <c r="I10" s="51" t="s">
        <v>55</v>
      </c>
      <c r="J10" s="51" t="s">
        <v>118</v>
      </c>
      <c r="K10" s="136" t="s">
        <v>129</v>
      </c>
      <c r="L10" s="52" t="s">
        <v>121</v>
      </c>
      <c r="M10" s="51" t="s">
        <v>56</v>
      </c>
      <c r="N10" s="51" t="s">
        <v>119</v>
      </c>
      <c r="O10" s="136" t="s">
        <v>130</v>
      </c>
    </row>
    <row r="11" spans="1:15" ht="25.5">
      <c r="A11" s="41" t="s">
        <v>676</v>
      </c>
      <c r="B11" s="92">
        <v>810</v>
      </c>
      <c r="C11" s="53" t="s">
        <v>738</v>
      </c>
      <c r="D11" s="42"/>
      <c r="E11" s="92"/>
      <c r="F11" s="53"/>
      <c r="G11" s="54" t="s">
        <v>676</v>
      </c>
      <c r="H11" s="58">
        <v>0.245</v>
      </c>
      <c r="I11" s="59">
        <v>6147.17</v>
      </c>
      <c r="J11" s="59">
        <v>1.1299999999999999</v>
      </c>
      <c r="K11" s="59">
        <v>1.1299999999999999</v>
      </c>
      <c r="L11" s="60"/>
      <c r="M11" s="61"/>
      <c r="N11" s="61"/>
      <c r="O11" s="61"/>
    </row>
    <row r="12" spans="1:15" ht="25.5">
      <c r="A12" s="41" t="s">
        <v>677</v>
      </c>
      <c r="B12" s="92">
        <v>811</v>
      </c>
      <c r="C12" s="53" t="s">
        <v>739</v>
      </c>
      <c r="D12" s="42"/>
      <c r="E12" s="92"/>
      <c r="F12" s="53"/>
      <c r="G12" s="54" t="s">
        <v>677</v>
      </c>
      <c r="H12" s="58">
        <v>0.189</v>
      </c>
      <c r="I12" s="59">
        <v>17915.96</v>
      </c>
      <c r="J12" s="59">
        <v>1.53</v>
      </c>
      <c r="K12" s="59">
        <v>1.53</v>
      </c>
      <c r="L12" s="60"/>
      <c r="M12" s="61"/>
      <c r="N12" s="61"/>
      <c r="O12" s="61"/>
    </row>
    <row r="13" spans="1:15" ht="25.5">
      <c r="A13" s="41" t="s">
        <v>678</v>
      </c>
      <c r="B13" s="92">
        <v>820</v>
      </c>
      <c r="C13" s="53" t="s">
        <v>740</v>
      </c>
      <c r="D13" s="42"/>
      <c r="E13" s="92"/>
      <c r="F13" s="53"/>
      <c r="G13" s="54" t="s">
        <v>678</v>
      </c>
      <c r="H13" s="58">
        <v>0.19700000000000001</v>
      </c>
      <c r="I13" s="59">
        <v>5951.01</v>
      </c>
      <c r="J13" s="59">
        <v>1.8</v>
      </c>
      <c r="K13" s="59">
        <v>1.8</v>
      </c>
      <c r="L13" s="60"/>
      <c r="M13" s="61"/>
      <c r="N13" s="61"/>
      <c r="O13" s="61"/>
    </row>
    <row r="14" spans="1:15" ht="25.5">
      <c r="A14" s="41" t="s">
        <v>679</v>
      </c>
      <c r="B14" s="92">
        <v>821</v>
      </c>
      <c r="C14" s="53" t="s">
        <v>741</v>
      </c>
      <c r="D14" s="42"/>
      <c r="E14" s="92"/>
      <c r="F14" s="53"/>
      <c r="G14" s="54" t="s">
        <v>679</v>
      </c>
      <c r="H14" s="58">
        <v>0.157</v>
      </c>
      <c r="I14" s="59">
        <v>1066.6199999999999</v>
      </c>
      <c r="J14" s="59">
        <v>1.31</v>
      </c>
      <c r="K14" s="59">
        <v>1.31</v>
      </c>
      <c r="L14" s="60"/>
      <c r="M14" s="61"/>
      <c r="N14" s="61"/>
      <c r="O14" s="61"/>
    </row>
    <row r="15" spans="1:15" ht="25.5">
      <c r="A15" s="41" t="s">
        <v>680</v>
      </c>
      <c r="B15" s="92">
        <v>805</v>
      </c>
      <c r="C15" s="53" t="s">
        <v>742</v>
      </c>
      <c r="D15" s="42"/>
      <c r="E15" s="92"/>
      <c r="F15" s="53"/>
      <c r="G15" s="54" t="s">
        <v>680</v>
      </c>
      <c r="H15" s="58">
        <v>0.186</v>
      </c>
      <c r="I15" s="59">
        <v>5951.01</v>
      </c>
      <c r="J15" s="59">
        <v>2.58</v>
      </c>
      <c r="K15" s="59">
        <v>2.58</v>
      </c>
      <c r="L15" s="60"/>
      <c r="M15" s="61"/>
      <c r="N15" s="61"/>
      <c r="O15" s="61"/>
    </row>
    <row r="16" spans="1:15" ht="25.5">
      <c r="A16" s="41" t="s">
        <v>681</v>
      </c>
      <c r="B16" s="92">
        <v>829</v>
      </c>
      <c r="C16" s="53" t="s">
        <v>743</v>
      </c>
      <c r="D16" s="42"/>
      <c r="E16" s="92"/>
      <c r="F16" s="53"/>
      <c r="G16" s="54" t="s">
        <v>681</v>
      </c>
      <c r="H16" s="58">
        <v>0.182</v>
      </c>
      <c r="I16" s="59">
        <v>6147.17</v>
      </c>
      <c r="J16" s="59">
        <v>1.81</v>
      </c>
      <c r="K16" s="59">
        <v>1.81</v>
      </c>
      <c r="L16" s="60"/>
      <c r="M16" s="61"/>
      <c r="N16" s="61"/>
      <c r="O16" s="61"/>
    </row>
    <row r="17" spans="1:15" ht="12.75">
      <c r="A17" s="41" t="s">
        <v>682</v>
      </c>
      <c r="B17" s="92"/>
      <c r="C17" s="53" t="s">
        <v>744</v>
      </c>
      <c r="D17" s="42"/>
      <c r="E17" s="92"/>
      <c r="F17" s="53"/>
      <c r="G17" s="54" t="s">
        <v>682</v>
      </c>
      <c r="H17" s="58">
        <v>0</v>
      </c>
      <c r="I17" s="59">
        <v>43861.69</v>
      </c>
      <c r="J17" s="59">
        <v>3.12</v>
      </c>
      <c r="K17" s="59">
        <v>3.12</v>
      </c>
      <c r="L17" s="60"/>
      <c r="M17" s="61"/>
      <c r="N17" s="61"/>
      <c r="O17" s="61"/>
    </row>
    <row r="18" spans="1:15" ht="25.5">
      <c r="A18" s="41" t="s">
        <v>683</v>
      </c>
      <c r="B18" s="92">
        <v>812</v>
      </c>
      <c r="C18" s="53" t="s">
        <v>745</v>
      </c>
      <c r="D18" s="42"/>
      <c r="E18" s="92"/>
      <c r="F18" s="53"/>
      <c r="G18" s="54" t="s">
        <v>683</v>
      </c>
      <c r="H18" s="58">
        <v>0</v>
      </c>
      <c r="I18" s="59">
        <v>51301.59</v>
      </c>
      <c r="J18" s="59">
        <v>0.98</v>
      </c>
      <c r="K18" s="59">
        <v>0.98</v>
      </c>
      <c r="L18" s="60"/>
      <c r="M18" s="61"/>
      <c r="N18" s="61"/>
      <c r="O18" s="61"/>
    </row>
    <row r="19" spans="1:15" ht="12.75">
      <c r="A19" s="41" t="s">
        <v>684</v>
      </c>
      <c r="B19" s="92"/>
      <c r="C19" s="53" t="s">
        <v>746</v>
      </c>
      <c r="D19" s="42"/>
      <c r="E19" s="92"/>
      <c r="F19" s="53"/>
      <c r="G19" s="54" t="s">
        <v>684</v>
      </c>
      <c r="H19" s="58">
        <v>0.217</v>
      </c>
      <c r="I19" s="59">
        <v>5754.85</v>
      </c>
      <c r="J19" s="59">
        <v>5.1100000000000003</v>
      </c>
      <c r="K19" s="59">
        <v>5.1100000000000003</v>
      </c>
      <c r="L19" s="60"/>
      <c r="M19" s="61"/>
      <c r="N19" s="61"/>
      <c r="O19" s="61"/>
    </row>
    <row r="20" spans="1:15" ht="12.75">
      <c r="A20" s="41" t="s">
        <v>685</v>
      </c>
      <c r="B20" s="92"/>
      <c r="C20" s="53" t="s">
        <v>746</v>
      </c>
      <c r="D20" s="42"/>
      <c r="E20" s="92"/>
      <c r="F20" s="53"/>
      <c r="G20" s="54" t="s">
        <v>685</v>
      </c>
      <c r="H20" s="58">
        <v>0.42699999999999999</v>
      </c>
      <c r="I20" s="59">
        <v>17523.64</v>
      </c>
      <c r="J20" s="59">
        <v>5.27</v>
      </c>
      <c r="K20" s="59">
        <v>5.27</v>
      </c>
      <c r="L20" s="60"/>
      <c r="M20" s="61"/>
      <c r="N20" s="61"/>
      <c r="O20" s="61"/>
    </row>
    <row r="21" spans="1:15" ht="12.75">
      <c r="A21" s="41" t="s">
        <v>686</v>
      </c>
      <c r="B21" s="92"/>
      <c r="C21" s="53" t="s">
        <v>747</v>
      </c>
      <c r="D21" s="42"/>
      <c r="E21" s="92"/>
      <c r="F21" s="53"/>
      <c r="G21" s="54" t="s">
        <v>686</v>
      </c>
      <c r="H21" s="58">
        <v>0</v>
      </c>
      <c r="I21" s="59">
        <v>43861.69</v>
      </c>
      <c r="J21" s="59">
        <v>3.51</v>
      </c>
      <c r="K21" s="59">
        <v>3.51</v>
      </c>
      <c r="L21" s="60"/>
      <c r="M21" s="61"/>
      <c r="N21" s="61"/>
      <c r="O21" s="61"/>
    </row>
    <row r="22" spans="1:15" ht="25.5">
      <c r="A22" s="41" t="s">
        <v>687</v>
      </c>
      <c r="B22" s="92">
        <v>813</v>
      </c>
      <c r="C22" s="53" t="s">
        <v>748</v>
      </c>
      <c r="D22" s="42"/>
      <c r="E22" s="92"/>
      <c r="F22" s="53"/>
      <c r="G22" s="54" t="s">
        <v>687</v>
      </c>
      <c r="H22" s="58">
        <v>0.185</v>
      </c>
      <c r="I22" s="59">
        <v>6147.17</v>
      </c>
      <c r="J22" s="59">
        <v>1.62</v>
      </c>
      <c r="K22" s="59">
        <v>1.62</v>
      </c>
      <c r="L22" s="60"/>
      <c r="M22" s="61"/>
      <c r="N22" s="61"/>
      <c r="O22" s="61"/>
    </row>
    <row r="23" spans="1:15" ht="25.5">
      <c r="A23" s="41" t="s">
        <v>688</v>
      </c>
      <c r="B23" s="92">
        <v>800</v>
      </c>
      <c r="C23" s="53" t="s">
        <v>749</v>
      </c>
      <c r="D23" s="42"/>
      <c r="E23" s="92"/>
      <c r="F23" s="53"/>
      <c r="G23" s="54" t="s">
        <v>688</v>
      </c>
      <c r="H23" s="58">
        <v>0.16700000000000001</v>
      </c>
      <c r="I23" s="59">
        <v>6266.15</v>
      </c>
      <c r="J23" s="59">
        <v>2.57</v>
      </c>
      <c r="K23" s="59">
        <v>2.57</v>
      </c>
      <c r="L23" s="60"/>
      <c r="M23" s="61"/>
      <c r="N23" s="61"/>
      <c r="O23" s="61"/>
    </row>
    <row r="24" spans="1:15" ht="51">
      <c r="A24" s="41" t="s">
        <v>689</v>
      </c>
      <c r="B24" s="92">
        <v>843</v>
      </c>
      <c r="C24" s="53" t="s">
        <v>750</v>
      </c>
      <c r="D24" s="42"/>
      <c r="E24" s="92"/>
      <c r="F24" s="53"/>
      <c r="G24" s="54" t="s">
        <v>689</v>
      </c>
      <c r="H24" s="58">
        <v>0</v>
      </c>
      <c r="I24" s="59">
        <v>51413.33</v>
      </c>
      <c r="J24" s="59">
        <v>2.0499999999999998</v>
      </c>
      <c r="K24" s="59">
        <v>2.0499999999999998</v>
      </c>
      <c r="L24" s="60"/>
      <c r="M24" s="61"/>
      <c r="N24" s="61"/>
      <c r="O24" s="61"/>
    </row>
    <row r="25" spans="1:15" ht="12.75">
      <c r="A25" s="41" t="s">
        <v>690</v>
      </c>
      <c r="B25" s="92"/>
      <c r="C25" s="53" t="s">
        <v>751</v>
      </c>
      <c r="D25" s="42"/>
      <c r="E25" s="92"/>
      <c r="F25" s="53"/>
      <c r="G25" s="54" t="s">
        <v>690</v>
      </c>
      <c r="H25" s="58">
        <v>0</v>
      </c>
      <c r="I25" s="59">
        <v>5754.85</v>
      </c>
      <c r="J25" s="59">
        <v>0.9</v>
      </c>
      <c r="K25" s="59">
        <v>0.9</v>
      </c>
      <c r="L25" s="60"/>
      <c r="M25" s="61"/>
      <c r="N25" s="61"/>
      <c r="O25" s="61"/>
    </row>
    <row r="26" spans="1:15" ht="25.5">
      <c r="A26" s="41" t="s">
        <v>691</v>
      </c>
      <c r="B26" s="92">
        <v>808</v>
      </c>
      <c r="C26" s="53" t="s">
        <v>752</v>
      </c>
      <c r="D26" s="42"/>
      <c r="E26" s="92"/>
      <c r="F26" s="53"/>
      <c r="G26" s="54" t="s">
        <v>691</v>
      </c>
      <c r="H26" s="58">
        <v>0.188</v>
      </c>
      <c r="I26" s="59">
        <v>6194.76</v>
      </c>
      <c r="J26" s="59">
        <v>1.4</v>
      </c>
      <c r="K26" s="59">
        <v>1.4</v>
      </c>
      <c r="L26" s="60"/>
      <c r="M26" s="61"/>
      <c r="N26" s="61"/>
      <c r="O26" s="61"/>
    </row>
    <row r="27" spans="1:15" ht="25.5">
      <c r="A27" s="41" t="s">
        <v>692</v>
      </c>
      <c r="B27" s="92">
        <v>814</v>
      </c>
      <c r="C27" s="53" t="s">
        <v>753</v>
      </c>
      <c r="D27" s="42"/>
      <c r="E27" s="92"/>
      <c r="F27" s="53"/>
      <c r="G27" s="54" t="s">
        <v>692</v>
      </c>
      <c r="H27" s="58">
        <v>0.18</v>
      </c>
      <c r="I27" s="59">
        <v>6147.17</v>
      </c>
      <c r="J27" s="59">
        <v>1.69</v>
      </c>
      <c r="K27" s="59">
        <v>1.69</v>
      </c>
      <c r="L27" s="60"/>
      <c r="M27" s="61"/>
      <c r="N27" s="61"/>
      <c r="O27" s="61"/>
    </row>
    <row r="28" spans="1:15" ht="25.5">
      <c r="A28" s="41" t="s">
        <v>693</v>
      </c>
      <c r="B28" s="92">
        <v>816</v>
      </c>
      <c r="C28" s="53" t="s">
        <v>770</v>
      </c>
      <c r="D28" s="42"/>
      <c r="E28" s="92"/>
      <c r="F28" s="53"/>
      <c r="G28" s="54" t="s">
        <v>693</v>
      </c>
      <c r="H28" s="58">
        <v>0.36399999999999999</v>
      </c>
      <c r="I28" s="59">
        <v>1437.08</v>
      </c>
      <c r="J28" s="59">
        <v>2.82</v>
      </c>
      <c r="K28" s="59">
        <v>2.82</v>
      </c>
      <c r="L28" s="60"/>
      <c r="M28" s="61"/>
      <c r="N28" s="61"/>
      <c r="O28" s="61"/>
    </row>
    <row r="29" spans="1:15" ht="25.5">
      <c r="A29" s="41" t="s">
        <v>694</v>
      </c>
      <c r="B29" s="92">
        <v>816</v>
      </c>
      <c r="C29" s="53" t="s">
        <v>771</v>
      </c>
      <c r="D29" s="42"/>
      <c r="E29" s="92"/>
      <c r="F29" s="53"/>
      <c r="G29" s="54" t="s">
        <v>694</v>
      </c>
      <c r="H29" s="58">
        <v>0.36399999999999999</v>
      </c>
      <c r="I29" s="59">
        <v>6321.47</v>
      </c>
      <c r="J29" s="59">
        <v>1.54</v>
      </c>
      <c r="K29" s="59">
        <v>1.54</v>
      </c>
      <c r="L29" s="60"/>
      <c r="M29" s="61"/>
      <c r="N29" s="61"/>
      <c r="O29" s="61"/>
    </row>
    <row r="30" spans="1:15" ht="12.75">
      <c r="A30" s="41" t="s">
        <v>695</v>
      </c>
      <c r="B30" s="92"/>
      <c r="C30" s="53" t="s">
        <v>754</v>
      </c>
      <c r="D30" s="42"/>
      <c r="E30" s="92"/>
      <c r="F30" s="53"/>
      <c r="G30" s="54" t="s">
        <v>695</v>
      </c>
      <c r="H30" s="58">
        <v>0</v>
      </c>
      <c r="I30" s="59">
        <v>5959.98</v>
      </c>
      <c r="J30" s="59">
        <v>2.2200000000000002</v>
      </c>
      <c r="K30" s="59">
        <v>2.2200000000000002</v>
      </c>
      <c r="L30" s="60"/>
      <c r="M30" s="61"/>
      <c r="N30" s="61"/>
      <c r="O30" s="61"/>
    </row>
    <row r="31" spans="1:15" ht="25.5">
      <c r="A31" s="41" t="s">
        <v>696</v>
      </c>
      <c r="B31" s="92">
        <v>818</v>
      </c>
      <c r="C31" s="53" t="s">
        <v>755</v>
      </c>
      <c r="D31" s="42"/>
      <c r="E31" s="92"/>
      <c r="F31" s="53"/>
      <c r="G31" s="54" t="s">
        <v>696</v>
      </c>
      <c r="H31" s="58">
        <v>0</v>
      </c>
      <c r="I31" s="59">
        <v>50481.63</v>
      </c>
      <c r="J31" s="59">
        <v>1.0900000000000001</v>
      </c>
      <c r="K31" s="59">
        <v>1.0900000000000001</v>
      </c>
      <c r="L31" s="60"/>
      <c r="M31" s="61"/>
      <c r="N31" s="61"/>
      <c r="O31" s="61"/>
    </row>
    <row r="32" spans="1:15" ht="51">
      <c r="A32" s="41" t="s">
        <v>697</v>
      </c>
      <c r="B32" s="92">
        <v>801</v>
      </c>
      <c r="C32" s="53" t="s">
        <v>756</v>
      </c>
      <c r="D32" s="42"/>
      <c r="E32" s="92"/>
      <c r="F32" s="53"/>
      <c r="G32" s="54" t="s">
        <v>697</v>
      </c>
      <c r="H32" s="58">
        <v>0</v>
      </c>
      <c r="I32" s="59">
        <v>51099.15</v>
      </c>
      <c r="J32" s="59">
        <v>1.28</v>
      </c>
      <c r="K32" s="59">
        <v>1.28</v>
      </c>
      <c r="L32" s="60"/>
      <c r="M32" s="61"/>
      <c r="N32" s="61"/>
      <c r="O32" s="61"/>
    </row>
    <row r="33" spans="1:15" ht="12.75">
      <c r="A33" s="41" t="s">
        <v>698</v>
      </c>
      <c r="B33" s="92">
        <v>804</v>
      </c>
      <c r="C33" s="53">
        <v>1200060323191</v>
      </c>
      <c r="D33" s="42"/>
      <c r="E33" s="92"/>
      <c r="F33" s="53"/>
      <c r="G33" s="54" t="s">
        <v>698</v>
      </c>
      <c r="H33" s="58">
        <v>0</v>
      </c>
      <c r="I33" s="59">
        <v>50387.62</v>
      </c>
      <c r="J33" s="59">
        <v>0.47</v>
      </c>
      <c r="K33" s="59">
        <v>0.47</v>
      </c>
      <c r="L33" s="60"/>
      <c r="M33" s="61"/>
      <c r="N33" s="61"/>
      <c r="O33" s="61"/>
    </row>
    <row r="34" spans="1:15" ht="25.5">
      <c r="A34" s="41" t="s">
        <v>699</v>
      </c>
      <c r="B34" s="92">
        <v>838</v>
      </c>
      <c r="C34" s="53" t="s">
        <v>757</v>
      </c>
      <c r="D34" s="42"/>
      <c r="E34" s="92"/>
      <c r="F34" s="53"/>
      <c r="G34" s="54" t="s">
        <v>699</v>
      </c>
      <c r="H34" s="58">
        <v>0</v>
      </c>
      <c r="I34" s="59">
        <v>76308.740000000005</v>
      </c>
      <c r="J34" s="59">
        <v>2.13</v>
      </c>
      <c r="K34" s="59">
        <v>2.13</v>
      </c>
      <c r="L34" s="60"/>
      <c r="M34" s="61"/>
      <c r="N34" s="61"/>
      <c r="O34" s="61"/>
    </row>
    <row r="35" spans="1:15" ht="12.75">
      <c r="A35" s="41" t="s">
        <v>700</v>
      </c>
      <c r="B35" s="92">
        <v>837</v>
      </c>
      <c r="C35" s="53">
        <v>1200010200926</v>
      </c>
      <c r="D35" s="42"/>
      <c r="E35" s="92"/>
      <c r="F35" s="53"/>
      <c r="G35" s="54" t="s">
        <v>700</v>
      </c>
      <c r="H35" s="58">
        <v>2.5999999999999999E-2</v>
      </c>
      <c r="I35" s="59">
        <v>66672.240000000005</v>
      </c>
      <c r="J35" s="59">
        <v>1.44</v>
      </c>
      <c r="K35" s="59">
        <v>1.44</v>
      </c>
      <c r="L35" s="60"/>
      <c r="M35" s="61"/>
      <c r="N35" s="61"/>
      <c r="O35" s="61"/>
    </row>
    <row r="36" spans="1:15" ht="25.5">
      <c r="A36" s="41" t="s">
        <v>701</v>
      </c>
      <c r="B36" s="92">
        <v>839</v>
      </c>
      <c r="C36" s="53" t="s">
        <v>758</v>
      </c>
      <c r="D36" s="42"/>
      <c r="E36" s="92"/>
      <c r="F36" s="53"/>
      <c r="G36" s="54" t="s">
        <v>701</v>
      </c>
      <c r="H36" s="58">
        <v>0</v>
      </c>
      <c r="I36" s="59">
        <v>50003.99</v>
      </c>
      <c r="J36" s="59">
        <v>2.93</v>
      </c>
      <c r="K36" s="59">
        <v>2.93</v>
      </c>
      <c r="L36" s="60"/>
      <c r="M36" s="61"/>
      <c r="N36" s="61"/>
      <c r="O36" s="61"/>
    </row>
    <row r="37" spans="1:15" ht="25.5">
      <c r="A37" s="41" t="s">
        <v>702</v>
      </c>
      <c r="B37" s="92">
        <v>806</v>
      </c>
      <c r="C37" s="53" t="s">
        <v>759</v>
      </c>
      <c r="D37" s="42"/>
      <c r="E37" s="92"/>
      <c r="F37" s="53"/>
      <c r="G37" s="54" t="s">
        <v>702</v>
      </c>
      <c r="H37" s="58">
        <v>0.17299999999999999</v>
      </c>
      <c r="I37" s="59">
        <v>1262.78</v>
      </c>
      <c r="J37" s="59">
        <v>1.83</v>
      </c>
      <c r="K37" s="59">
        <v>1.83</v>
      </c>
      <c r="L37" s="60"/>
      <c r="M37" s="61"/>
      <c r="N37" s="61"/>
      <c r="O37" s="61"/>
    </row>
    <row r="38" spans="1:15" ht="25.5">
      <c r="A38" s="41" t="s">
        <v>703</v>
      </c>
      <c r="B38" s="92">
        <v>817</v>
      </c>
      <c r="C38" s="53" t="s">
        <v>760</v>
      </c>
      <c r="D38" s="42"/>
      <c r="E38" s="92"/>
      <c r="F38" s="53"/>
      <c r="G38" s="54" t="s">
        <v>703</v>
      </c>
      <c r="H38" s="58">
        <v>0.25800000000000001</v>
      </c>
      <c r="I38" s="59">
        <v>870.46</v>
      </c>
      <c r="J38" s="59">
        <v>0.8</v>
      </c>
      <c r="K38" s="59">
        <v>0.8</v>
      </c>
      <c r="L38" s="60"/>
      <c r="M38" s="61"/>
      <c r="N38" s="61"/>
      <c r="O38" s="61"/>
    </row>
    <row r="39" spans="1:15" ht="25.5">
      <c r="A39" s="41" t="s">
        <v>704</v>
      </c>
      <c r="B39" s="92">
        <v>807</v>
      </c>
      <c r="C39" s="53" t="s">
        <v>761</v>
      </c>
      <c r="D39" s="42"/>
      <c r="E39" s="92"/>
      <c r="F39" s="53"/>
      <c r="G39" s="54" t="s">
        <v>704</v>
      </c>
      <c r="H39" s="58">
        <v>0</v>
      </c>
      <c r="I39" s="59">
        <v>22833.279999999999</v>
      </c>
      <c r="J39" s="59">
        <v>3.99</v>
      </c>
      <c r="K39" s="59">
        <v>3.99</v>
      </c>
      <c r="L39" s="60"/>
      <c r="M39" s="61"/>
      <c r="N39" s="61"/>
      <c r="O39" s="61"/>
    </row>
    <row r="40" spans="1:15" ht="12.75">
      <c r="A40" s="41" t="s">
        <v>705</v>
      </c>
      <c r="B40" s="92">
        <v>847</v>
      </c>
      <c r="C40" s="53">
        <v>1200010251559</v>
      </c>
      <c r="D40" s="42"/>
      <c r="E40" s="92"/>
      <c r="F40" s="53"/>
      <c r="G40" s="54" t="s">
        <v>705</v>
      </c>
      <c r="H40" s="58">
        <v>0</v>
      </c>
      <c r="I40" s="59">
        <v>46038.69</v>
      </c>
      <c r="J40" s="59">
        <v>1.68</v>
      </c>
      <c r="K40" s="59">
        <v>1.68</v>
      </c>
      <c r="L40" s="60"/>
      <c r="M40" s="61"/>
      <c r="N40" s="61"/>
      <c r="O40" s="61"/>
    </row>
    <row r="41" spans="1:15" ht="12.75">
      <c r="A41" s="41" t="s">
        <v>706</v>
      </c>
      <c r="B41" s="92">
        <v>846</v>
      </c>
      <c r="C41" s="53">
        <v>1200010251521</v>
      </c>
      <c r="D41" s="42"/>
      <c r="E41" s="92"/>
      <c r="F41" s="53"/>
      <c r="G41" s="54" t="s">
        <v>706</v>
      </c>
      <c r="H41" s="58">
        <v>2.6509999999999998</v>
      </c>
      <c r="I41" s="59">
        <v>938.84</v>
      </c>
      <c r="J41" s="59">
        <v>2.08</v>
      </c>
      <c r="K41" s="59">
        <v>2.08</v>
      </c>
      <c r="L41" s="60"/>
      <c r="M41" s="61"/>
      <c r="N41" s="61"/>
      <c r="O41" s="61"/>
    </row>
    <row r="42" spans="1:15" ht="12.75">
      <c r="A42" s="41" t="s">
        <v>707</v>
      </c>
      <c r="B42" s="92">
        <v>840</v>
      </c>
      <c r="C42" s="53">
        <v>1200010251540</v>
      </c>
      <c r="D42" s="42"/>
      <c r="E42" s="92"/>
      <c r="F42" s="53"/>
      <c r="G42" s="54" t="s">
        <v>707</v>
      </c>
      <c r="H42" s="58">
        <v>0</v>
      </c>
      <c r="I42" s="59">
        <v>1007.21</v>
      </c>
      <c r="J42" s="59">
        <v>0.78</v>
      </c>
      <c r="K42" s="59">
        <v>0.78</v>
      </c>
      <c r="L42" s="60"/>
      <c r="M42" s="61"/>
      <c r="N42" s="61"/>
      <c r="O42" s="61"/>
    </row>
    <row r="43" spans="1:15" ht="12.75">
      <c r="A43" s="41" t="s">
        <v>708</v>
      </c>
      <c r="B43" s="92">
        <v>841</v>
      </c>
      <c r="C43" s="53">
        <v>1200010251512</v>
      </c>
      <c r="D43" s="42"/>
      <c r="E43" s="92"/>
      <c r="F43" s="53"/>
      <c r="G43" s="54" t="s">
        <v>708</v>
      </c>
      <c r="H43" s="58">
        <v>0</v>
      </c>
      <c r="I43" s="59">
        <v>23224.55</v>
      </c>
      <c r="J43" s="59">
        <v>1.91</v>
      </c>
      <c r="K43" s="59">
        <v>1.91</v>
      </c>
      <c r="L43" s="60"/>
      <c r="M43" s="61"/>
      <c r="N43" s="61"/>
      <c r="O43" s="61"/>
    </row>
    <row r="44" spans="1:15" ht="12.75">
      <c r="A44" s="41" t="s">
        <v>709</v>
      </c>
      <c r="B44" s="92">
        <v>842</v>
      </c>
      <c r="C44" s="53">
        <v>1200010251498</v>
      </c>
      <c r="D44" s="42"/>
      <c r="E44" s="92"/>
      <c r="F44" s="53"/>
      <c r="G44" s="54" t="s">
        <v>709</v>
      </c>
      <c r="H44" s="58">
        <v>4.4999999999999998E-2</v>
      </c>
      <c r="I44" s="59">
        <v>22398.720000000001</v>
      </c>
      <c r="J44" s="59">
        <v>2.37</v>
      </c>
      <c r="K44" s="59">
        <v>2.37</v>
      </c>
      <c r="L44" s="60"/>
      <c r="M44" s="61"/>
      <c r="N44" s="61"/>
      <c r="O44" s="61"/>
    </row>
    <row r="45" spans="1:15" ht="12.75">
      <c r="A45" s="41" t="s">
        <v>710</v>
      </c>
      <c r="B45" s="92">
        <v>848</v>
      </c>
      <c r="C45" s="53">
        <v>1200010251568</v>
      </c>
      <c r="D45" s="42" t="s">
        <v>710</v>
      </c>
      <c r="E45" s="92">
        <v>716</v>
      </c>
      <c r="F45" s="53">
        <v>1200052486875</v>
      </c>
      <c r="G45" s="54" t="s">
        <v>710</v>
      </c>
      <c r="H45" s="58">
        <v>0</v>
      </c>
      <c r="I45" s="59">
        <v>48741.78</v>
      </c>
      <c r="J45" s="59">
        <v>2.02</v>
      </c>
      <c r="K45" s="59">
        <v>2.02</v>
      </c>
      <c r="L45" s="60">
        <v>0</v>
      </c>
      <c r="M45" s="61">
        <v>387.31</v>
      </c>
      <c r="N45" s="61">
        <v>0.05</v>
      </c>
      <c r="O45" s="61">
        <v>0.05</v>
      </c>
    </row>
    <row r="46" spans="1:15" ht="12.75">
      <c r="A46" s="41" t="s">
        <v>711</v>
      </c>
      <c r="B46" s="92">
        <v>849</v>
      </c>
      <c r="C46" s="53">
        <v>1200050493611</v>
      </c>
      <c r="D46" s="42"/>
      <c r="E46" s="92"/>
      <c r="F46" s="53"/>
      <c r="G46" s="54" t="s">
        <v>711</v>
      </c>
      <c r="H46" s="58">
        <v>4</v>
      </c>
      <c r="I46" s="59">
        <v>938.84</v>
      </c>
      <c r="J46" s="59">
        <v>2.5499999999999998</v>
      </c>
      <c r="K46" s="59">
        <v>2.5499999999999998</v>
      </c>
      <c r="L46" s="60"/>
      <c r="M46" s="61"/>
      <c r="N46" s="61"/>
      <c r="O46" s="61"/>
    </row>
    <row r="47" spans="1:15" ht="12.75">
      <c r="A47" s="41" t="s">
        <v>712</v>
      </c>
      <c r="B47" s="92">
        <v>844</v>
      </c>
      <c r="C47" s="53">
        <v>1200010200874</v>
      </c>
      <c r="D47" s="42"/>
      <c r="E47" s="92"/>
      <c r="F47" s="53"/>
      <c r="G47" s="54" t="s">
        <v>712</v>
      </c>
      <c r="H47" s="58">
        <v>0</v>
      </c>
      <c r="I47" s="59">
        <v>52121.53</v>
      </c>
      <c r="J47" s="59">
        <v>2.0499999999999998</v>
      </c>
      <c r="K47" s="59">
        <v>2.0499999999999998</v>
      </c>
      <c r="L47" s="60"/>
      <c r="M47" s="61"/>
      <c r="N47" s="61"/>
      <c r="O47" s="61"/>
    </row>
    <row r="48" spans="1:15" ht="25.5">
      <c r="A48" s="41" t="s">
        <v>713</v>
      </c>
      <c r="B48" s="92">
        <v>809</v>
      </c>
      <c r="C48" s="53" t="s">
        <v>762</v>
      </c>
      <c r="D48" s="42"/>
      <c r="E48" s="92"/>
      <c r="F48" s="53"/>
      <c r="G48" s="54" t="s">
        <v>713</v>
      </c>
      <c r="H48" s="58">
        <v>0</v>
      </c>
      <c r="I48" s="59">
        <v>44821.919999999998</v>
      </c>
      <c r="J48" s="59">
        <v>1.6</v>
      </c>
      <c r="K48" s="59">
        <v>1.6</v>
      </c>
      <c r="L48" s="60"/>
      <c r="M48" s="61"/>
      <c r="N48" s="61"/>
      <c r="O48" s="61"/>
    </row>
    <row r="49" spans="1:15" ht="51">
      <c r="A49" s="41" t="s">
        <v>714</v>
      </c>
      <c r="B49" s="92">
        <v>828</v>
      </c>
      <c r="C49" s="53" t="s">
        <v>763</v>
      </c>
      <c r="D49" s="42" t="s">
        <v>714</v>
      </c>
      <c r="E49" s="92">
        <v>701</v>
      </c>
      <c r="F49" s="53" t="s">
        <v>768</v>
      </c>
      <c r="G49" s="54" t="s">
        <v>714</v>
      </c>
      <c r="H49" s="58">
        <v>0</v>
      </c>
      <c r="I49" s="59">
        <v>47159.57</v>
      </c>
      <c r="J49" s="59">
        <v>0.6</v>
      </c>
      <c r="K49" s="59">
        <v>0.6</v>
      </c>
      <c r="L49" s="60">
        <v>0</v>
      </c>
      <c r="M49" s="61">
        <v>0</v>
      </c>
      <c r="N49" s="61">
        <v>0</v>
      </c>
      <c r="O49" s="61">
        <v>0</v>
      </c>
    </row>
    <row r="50" spans="1:15" ht="25.5">
      <c r="A50" s="41" t="s">
        <v>715</v>
      </c>
      <c r="B50" s="92">
        <v>802</v>
      </c>
      <c r="C50" s="53" t="s">
        <v>764</v>
      </c>
      <c r="D50" s="42" t="s">
        <v>715</v>
      </c>
      <c r="E50" s="92">
        <v>702</v>
      </c>
      <c r="F50" s="53" t="s">
        <v>769</v>
      </c>
      <c r="G50" s="54" t="s">
        <v>715</v>
      </c>
      <c r="H50" s="58">
        <v>0</v>
      </c>
      <c r="I50" s="59">
        <v>46747.44</v>
      </c>
      <c r="J50" s="59">
        <v>1.17</v>
      </c>
      <c r="K50" s="59">
        <v>1.17</v>
      </c>
      <c r="L50" s="60">
        <v>0</v>
      </c>
      <c r="M50" s="61">
        <v>675.05</v>
      </c>
      <c r="N50" s="61">
        <v>0.05</v>
      </c>
      <c r="O50" s="61">
        <v>0.05</v>
      </c>
    </row>
    <row r="51" spans="1:15" ht="12.75">
      <c r="A51" s="41" t="s">
        <v>716</v>
      </c>
      <c r="B51" s="92">
        <v>819</v>
      </c>
      <c r="C51" s="53">
        <v>1200061990150</v>
      </c>
      <c r="D51" s="42"/>
      <c r="E51" s="92"/>
      <c r="F51" s="53"/>
      <c r="G51" s="54" t="s">
        <v>716</v>
      </c>
      <c r="H51" s="58">
        <v>0</v>
      </c>
      <c r="I51" s="59">
        <v>9089.8799999999992</v>
      </c>
      <c r="J51" s="59">
        <v>0.53</v>
      </c>
      <c r="K51" s="59">
        <v>0.53</v>
      </c>
      <c r="L51" s="60"/>
      <c r="M51" s="61"/>
      <c r="N51" s="61"/>
      <c r="O51" s="61"/>
    </row>
    <row r="52" spans="1:15" ht="12.75">
      <c r="A52" s="41" t="s">
        <v>717</v>
      </c>
      <c r="B52" s="92">
        <v>822</v>
      </c>
      <c r="C52" s="53">
        <v>1200061990319</v>
      </c>
      <c r="D52" s="42"/>
      <c r="E52" s="92"/>
      <c r="F52" s="53"/>
      <c r="G52" s="54" t="s">
        <v>717</v>
      </c>
      <c r="H52" s="58">
        <v>0</v>
      </c>
      <c r="I52" s="59">
        <v>1007.21</v>
      </c>
      <c r="J52" s="59">
        <v>0.59</v>
      </c>
      <c r="K52" s="59">
        <v>0.59</v>
      </c>
      <c r="L52" s="60"/>
      <c r="M52" s="61"/>
      <c r="N52" s="61"/>
      <c r="O52" s="61"/>
    </row>
    <row r="53" spans="1:15" ht="51">
      <c r="A53" s="41" t="s">
        <v>718</v>
      </c>
      <c r="B53" s="92">
        <v>823</v>
      </c>
      <c r="C53" s="53" t="s">
        <v>765</v>
      </c>
      <c r="D53" s="42"/>
      <c r="E53" s="92"/>
      <c r="F53" s="53"/>
      <c r="G53" s="54" t="s">
        <v>718</v>
      </c>
      <c r="H53" s="58">
        <v>0.65800000000000003</v>
      </c>
      <c r="I53" s="59">
        <v>17660.39</v>
      </c>
      <c r="J53" s="59">
        <v>1.06</v>
      </c>
      <c r="K53" s="59">
        <v>1.06</v>
      </c>
      <c r="L53" s="60"/>
      <c r="M53" s="61"/>
      <c r="N53" s="61"/>
      <c r="O53" s="61"/>
    </row>
    <row r="54" spans="1:15" ht="25.5">
      <c r="A54" s="41" t="s">
        <v>719</v>
      </c>
      <c r="B54" s="92">
        <v>803</v>
      </c>
      <c r="C54" s="53" t="s">
        <v>766</v>
      </c>
      <c r="D54" s="42"/>
      <c r="E54" s="92"/>
      <c r="F54" s="53"/>
      <c r="G54" s="54" t="s">
        <v>719</v>
      </c>
      <c r="H54" s="58">
        <v>0.20599999999999999</v>
      </c>
      <c r="I54" s="59">
        <v>6305.81</v>
      </c>
      <c r="J54" s="59">
        <v>1.53</v>
      </c>
      <c r="K54" s="59">
        <v>1.53</v>
      </c>
      <c r="L54" s="60"/>
      <c r="M54" s="61"/>
      <c r="N54" s="61"/>
      <c r="O54" s="61"/>
    </row>
    <row r="55" spans="1:15" ht="12.75">
      <c r="A55" s="221" t="s">
        <v>720</v>
      </c>
      <c r="B55" s="222">
        <v>815</v>
      </c>
      <c r="C55" s="223">
        <v>1200060787109</v>
      </c>
      <c r="D55" s="224" t="s">
        <v>720</v>
      </c>
      <c r="E55" s="222">
        <v>711</v>
      </c>
      <c r="F55" s="223">
        <v>1200060787118</v>
      </c>
      <c r="G55" s="225" t="s">
        <v>720</v>
      </c>
      <c r="H55" s="226">
        <v>0</v>
      </c>
      <c r="I55" s="227">
        <v>44193.47</v>
      </c>
      <c r="J55" s="227">
        <v>0.47</v>
      </c>
      <c r="K55" s="227">
        <v>0.47</v>
      </c>
      <c r="L55" s="228">
        <v>0</v>
      </c>
      <c r="M55" s="229">
        <v>628.44000000000005</v>
      </c>
      <c r="N55" s="229">
        <v>0.05</v>
      </c>
      <c r="O55" s="229">
        <v>0.05</v>
      </c>
    </row>
    <row r="56" spans="1:15" s="234" customFormat="1" ht="12.75">
      <c r="A56" s="221" t="s">
        <v>721</v>
      </c>
      <c r="B56" s="222">
        <v>827</v>
      </c>
      <c r="C56" s="223">
        <v>1200010175650</v>
      </c>
      <c r="D56" s="224" t="s">
        <v>721</v>
      </c>
      <c r="E56" s="222">
        <v>730</v>
      </c>
      <c r="F56" s="223">
        <v>1200010258304</v>
      </c>
      <c r="G56" s="225" t="s">
        <v>721</v>
      </c>
      <c r="H56" s="226">
        <v>0</v>
      </c>
      <c r="I56" s="227">
        <v>1163.32</v>
      </c>
      <c r="J56" s="227">
        <v>0.65</v>
      </c>
      <c r="K56" s="227">
        <v>0.65</v>
      </c>
      <c r="L56" s="228">
        <v>0</v>
      </c>
      <c r="M56" s="229">
        <v>3106.09</v>
      </c>
      <c r="N56" s="229">
        <v>0.05</v>
      </c>
      <c r="O56" s="229">
        <v>0.05</v>
      </c>
    </row>
    <row r="57" spans="1:15" ht="12.75">
      <c r="A57" s="41" t="s">
        <v>722</v>
      </c>
      <c r="B57" s="92"/>
      <c r="C57" s="53" t="s">
        <v>767</v>
      </c>
      <c r="D57" s="42" t="s">
        <v>722</v>
      </c>
      <c r="E57" s="92"/>
      <c r="F57" s="53" t="s">
        <v>767</v>
      </c>
      <c r="G57" s="54" t="s">
        <v>722</v>
      </c>
      <c r="H57" s="58">
        <v>0</v>
      </c>
      <c r="I57" s="59">
        <v>903.03</v>
      </c>
      <c r="J57" s="59">
        <v>0.88</v>
      </c>
      <c r="K57" s="59">
        <v>0.88</v>
      </c>
      <c r="L57" s="60">
        <v>-5.8999999999999997E-2</v>
      </c>
      <c r="M57" s="61">
        <v>3039.7</v>
      </c>
      <c r="N57" s="61">
        <v>0.05</v>
      </c>
      <c r="O57" s="61">
        <v>0.05</v>
      </c>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51"/>
  <sheetViews>
    <sheetView zoomScale="90" zoomScaleNormal="90" zoomScaleSheetLayoutView="100" workbookViewId="0">
      <selection sqref="A1:H1"/>
    </sheetView>
  </sheetViews>
  <sheetFormatPr defaultRowHeight="12.75"/>
  <cols>
    <col min="1" max="1" width="14.7109375" style="47" customWidth="1"/>
    <col min="2" max="2" width="8.7109375" style="47" customWidth="1"/>
    <col min="3" max="3" width="15.7109375" style="55" bestFit="1" customWidth="1"/>
    <col min="4" max="4" width="50.7109375" style="55" customWidth="1"/>
    <col min="5" max="5" width="14.7109375" style="56" customWidth="1"/>
    <col min="6" max="7" width="14.7109375" style="57" customWidth="1"/>
    <col min="8" max="8" width="14.7109375" style="47" customWidth="1"/>
    <col min="9" max="9" width="15.5703125" style="47" customWidth="1"/>
    <col min="10" max="13" width="9.140625" style="47"/>
    <col min="14" max="14" width="9.42578125" style="47" bestFit="1" customWidth="1"/>
    <col min="15" max="16384" width="9.140625" style="47"/>
  </cols>
  <sheetData>
    <row r="1" spans="1:14" ht="66.75" customHeight="1">
      <c r="A1" s="269" t="s">
        <v>69</v>
      </c>
      <c r="B1" s="269"/>
      <c r="C1" s="269"/>
      <c r="D1" s="269"/>
      <c r="E1" s="269"/>
      <c r="F1" s="269"/>
      <c r="G1" s="269"/>
      <c r="H1" s="269"/>
    </row>
    <row r="2" spans="1:14" s="48" customFormat="1" ht="25.5" customHeight="1">
      <c r="A2" s="273" t="str">
        <f>Overview!B4&amp; " - Effective from "&amp;Overview!D4&amp;" - "&amp;Overview!E4&amp;" EDCM import charges"</f>
        <v>London Power Networks - Effective from 1 April 2022 - Final EDCM import charges</v>
      </c>
      <c r="B2" s="274"/>
      <c r="C2" s="274"/>
      <c r="D2" s="274"/>
      <c r="E2" s="274"/>
      <c r="F2" s="274"/>
      <c r="G2" s="274"/>
      <c r="H2" s="275"/>
    </row>
    <row r="3" spans="1:14" s="82" customFormat="1" ht="18">
      <c r="A3" s="86"/>
      <c r="B3" s="86"/>
      <c r="C3" s="86"/>
      <c r="D3" s="87"/>
      <c r="E3" s="88"/>
      <c r="F3" s="88"/>
      <c r="G3" s="89"/>
      <c r="H3" s="89"/>
      <c r="I3" s="79"/>
      <c r="J3" s="79"/>
      <c r="K3" s="79"/>
      <c r="L3" s="79"/>
      <c r="M3" s="79"/>
      <c r="N3" s="79"/>
    </row>
    <row r="4" spans="1:14" ht="60.75" customHeight="1">
      <c r="A4" s="49" t="s">
        <v>52</v>
      </c>
      <c r="B4" s="50" t="s">
        <v>35</v>
      </c>
      <c r="C4" s="49" t="s">
        <v>36</v>
      </c>
      <c r="D4" s="51" t="s">
        <v>30</v>
      </c>
      <c r="E4" s="131" t="str">
        <f>'Annex 2 EHV charges'!H10</f>
        <v>Import
Super Red
unit charge
(p/kWh)</v>
      </c>
      <c r="F4" s="131" t="str">
        <f>'Annex 2 EHV charges'!I10</f>
        <v>Import
fixed charge
(p/day)</v>
      </c>
      <c r="G4" s="131" t="str">
        <f>'Annex 2 EHV charges'!J10</f>
        <v>Import
capacity charge
(p/kVA/day)</v>
      </c>
      <c r="H4" s="131" t="str">
        <f>'Annex 2 EHV charges'!K10</f>
        <v>Import
exceeded capacity charge
(p/kVA/day)</v>
      </c>
    </row>
    <row r="5" spans="1:14" ht="12.75" customHeight="1">
      <c r="A5" s="93" t="str">
        <f t="array" ref="A5">IFERROR(INDEX('Annex 2 EHV charges'!$A$11:$A$59, MATCH(0, IF(ISBLANK('Annex 2 EHV charges'!$A$11:$A$59),1, COUNTIF(A$4:$A4, 'Annex 2 EHV charges'!$A$11:$A$59)), 0)),"")</f>
        <v>22BSHP</v>
      </c>
      <c r="B5" s="93">
        <f>IF($A5="","",VLOOKUP($A5,'Annex 2 EHV charges'!$A:$O,2,0))</f>
        <v>810</v>
      </c>
      <c r="C5" s="94" t="str">
        <f>IF($A5="","",VLOOKUP($A5,'Annex 2 EHV charges'!$A:$O,3,0))</f>
        <v>1200062355497
1200062355502</v>
      </c>
      <c r="D5" s="93" t="str">
        <f>IF($A5="","",VLOOKUP($A5,'Annex 2 EHV charges'!$A:$O,7,0))</f>
        <v>22BSHP</v>
      </c>
      <c r="E5" s="98">
        <f>IFERROR(IF(VLOOKUP($A5,'Annex 2 EHV charges'!$A:$O,8,FALSE)=0,"",VLOOKUP($A5,'Annex 2 EHV charges'!$A:$O,8,FALSE)),"")</f>
        <v>0.245</v>
      </c>
      <c r="F5" s="99">
        <f>IFERROR(IF(VLOOKUP($A5,'Annex 2 EHV charges'!$A:$O,9,FALSE)=0,"",VLOOKUP($A5,'Annex 2 EHV charges'!$A:$O,9,FALSE)),"")</f>
        <v>6147.17</v>
      </c>
      <c r="G5" s="100">
        <f>IFERROR(IF(VLOOKUP($A5,'Annex 2 EHV charges'!$A:$O,10,FALSE)=0,"",VLOOKUP($A5,'Annex 2 EHV charges'!$A:$O,10,FALSE)),"")</f>
        <v>1.1299999999999999</v>
      </c>
      <c r="H5" s="100">
        <f>IFERROR(IF(VLOOKUP($A5,'Annex 2 EHV charges'!$A:$O,11,FALSE)=0,"",VLOOKUP($A5,'Annex 2 EHV charges'!$A:$O,11,FALSE)),"")</f>
        <v>1.1299999999999999</v>
      </c>
    </row>
    <row r="6" spans="1:14" ht="12.75" customHeight="1">
      <c r="A6" s="93" t="str">
        <f t="array" ref="A6">IFERROR(INDEX('Annex 2 EHV charges'!$A$11:$A$59, MATCH(0, IF(ISBLANK('Annex 2 EHV charges'!$A$11:$A$59),1, COUNTIF(A$4:$A5, 'Annex 2 EHV charges'!$A$11:$A$59)), 0)),"")</f>
        <v>BISHPC</v>
      </c>
      <c r="B6" s="93">
        <f>IF($A6="","",VLOOKUP($A6,'Annex 2 EHV charges'!$A:$O,2,0))</f>
        <v>811</v>
      </c>
      <c r="C6" s="94" t="str">
        <f>IF($A6="","",VLOOKUP($A6,'Annex 2 EHV charges'!$A:$O,3,0))</f>
        <v>1200061143976
1200061143985</v>
      </c>
      <c r="D6" s="93" t="str">
        <f>IF($A6="","",VLOOKUP($A6,'Annex 2 EHV charges'!$A:$O,7,0))</f>
        <v>BISHPC</v>
      </c>
      <c r="E6" s="98">
        <f>IFERROR(IF(VLOOKUP($A6,'Annex 2 EHV charges'!$A:$O,8,FALSE)=0,"",VLOOKUP($A6,'Annex 2 EHV charges'!$A:$O,8,FALSE)),"")</f>
        <v>0.189</v>
      </c>
      <c r="F6" s="99">
        <f>IFERROR(IF(VLOOKUP($A6,'Annex 2 EHV charges'!$A:$O,9,FALSE)=0,"",VLOOKUP($A6,'Annex 2 EHV charges'!$A:$O,9,FALSE)),"")</f>
        <v>17915.96</v>
      </c>
      <c r="G6" s="100">
        <f>IFERROR(IF(VLOOKUP($A6,'Annex 2 EHV charges'!$A:$O,10,FALSE)=0,"",VLOOKUP($A6,'Annex 2 EHV charges'!$A:$O,10,FALSE)),"")</f>
        <v>1.53</v>
      </c>
      <c r="H6" s="100">
        <f>IFERROR(IF(VLOOKUP($A6,'Annex 2 EHV charges'!$A:$O,11,FALSE)=0,"",VLOOKUP($A6,'Annex 2 EHV charges'!$A:$O,11,FALSE)),"")</f>
        <v>1.53</v>
      </c>
    </row>
    <row r="7" spans="1:14" ht="12.75" customHeight="1">
      <c r="A7" s="93" t="str">
        <f t="array" ref="A7">IFERROR(INDEX('Annex 2 EHV charges'!$A$11:$A$59, MATCH(0, IF(ISBLANK('Annex 2 EHV charges'!$A$11:$A$59),1, COUNTIF(A$4:$A6, 'Annex 2 EHV charges'!$A$11:$A$59)), 0)),"")</f>
        <v>BLMBGN</v>
      </c>
      <c r="B7" s="93">
        <f>IF($A7="","",VLOOKUP($A7,'Annex 2 EHV charges'!$A:$O,2,0))</f>
        <v>820</v>
      </c>
      <c r="C7" s="94" t="str">
        <f>IF($A7="","",VLOOKUP($A7,'Annex 2 EHV charges'!$A:$O,3,0))</f>
        <v>1200061385700
1200061385710</v>
      </c>
      <c r="D7" s="93" t="str">
        <f>IF($A7="","",VLOOKUP($A7,'Annex 2 EHV charges'!$A:$O,7,0))</f>
        <v>BLMBGN</v>
      </c>
      <c r="E7" s="98">
        <f>IFERROR(IF(VLOOKUP($A7,'Annex 2 EHV charges'!$A:$O,8,FALSE)=0,"",VLOOKUP($A7,'Annex 2 EHV charges'!$A:$O,8,FALSE)),"")</f>
        <v>0.19700000000000001</v>
      </c>
      <c r="F7" s="99">
        <f>IFERROR(IF(VLOOKUP($A7,'Annex 2 EHV charges'!$A:$O,9,FALSE)=0,"",VLOOKUP($A7,'Annex 2 EHV charges'!$A:$O,9,FALSE)),"")</f>
        <v>5951.01</v>
      </c>
      <c r="G7" s="100">
        <f>IFERROR(IF(VLOOKUP($A7,'Annex 2 EHV charges'!$A:$O,10,FALSE)=0,"",VLOOKUP($A7,'Annex 2 EHV charges'!$A:$O,10,FALSE)),"")</f>
        <v>1.8</v>
      </c>
      <c r="H7" s="100">
        <f>IFERROR(IF(VLOOKUP($A7,'Annex 2 EHV charges'!$A:$O,11,FALSE)=0,"",VLOOKUP($A7,'Annex 2 EHV charges'!$A:$O,11,FALSE)),"")</f>
        <v>1.8</v>
      </c>
    </row>
    <row r="8" spans="1:14" ht="12.75" customHeight="1">
      <c r="A8" s="93" t="str">
        <f t="array" ref="A8">IFERROR(INDEX('Annex 2 EHV charges'!$A$11:$A$59, MATCH(0, IF(ISBLANK('Annex 2 EHV charges'!$A$11:$A$59),1, COUNTIF(A$4:$A7, 'Annex 2 EHV charges'!$A$11:$A$59)), 0)),"")</f>
        <v>BLMBGS</v>
      </c>
      <c r="B8" s="93">
        <f>IF($A8="","",VLOOKUP($A8,'Annex 2 EHV charges'!$A:$O,2,0))</f>
        <v>821</v>
      </c>
      <c r="C8" s="94" t="str">
        <f>IF($A8="","",VLOOKUP($A8,'Annex 2 EHV charges'!$A:$O,3,0))</f>
        <v>1200061385729
1200061385738</v>
      </c>
      <c r="D8" s="93" t="str">
        <f>IF($A8="","",VLOOKUP($A8,'Annex 2 EHV charges'!$A:$O,7,0))</f>
        <v>BLMBGS</v>
      </c>
      <c r="E8" s="98">
        <f>IFERROR(IF(VLOOKUP($A8,'Annex 2 EHV charges'!$A:$O,8,FALSE)=0,"",VLOOKUP($A8,'Annex 2 EHV charges'!$A:$O,8,FALSE)),"")</f>
        <v>0.157</v>
      </c>
      <c r="F8" s="99">
        <f>IFERROR(IF(VLOOKUP($A8,'Annex 2 EHV charges'!$A:$O,9,FALSE)=0,"",VLOOKUP($A8,'Annex 2 EHV charges'!$A:$O,9,FALSE)),"")</f>
        <v>1066.6199999999999</v>
      </c>
      <c r="G8" s="100">
        <f>IFERROR(IF(VLOOKUP($A8,'Annex 2 EHV charges'!$A:$O,10,FALSE)=0,"",VLOOKUP($A8,'Annex 2 EHV charges'!$A:$O,10,FALSE)),"")</f>
        <v>1.31</v>
      </c>
      <c r="H8" s="100">
        <f>IFERROR(IF(VLOOKUP($A8,'Annex 2 EHV charges'!$A:$O,11,FALSE)=0,"",VLOOKUP($A8,'Annex 2 EHV charges'!$A:$O,11,FALSE)),"")</f>
        <v>1.31</v>
      </c>
    </row>
    <row r="9" spans="1:14" ht="12.75" customHeight="1">
      <c r="A9" s="93" t="str">
        <f t="array" ref="A9">IFERROR(INDEX('Annex 2 EHV charges'!$A$11:$A$59, MATCH(0, IF(ISBLANK('Annex 2 EHV charges'!$A$11:$A$59),1, COUNTIF(A$4:$A8, 'Annex 2 EHV charges'!$A$11:$A$59)), 0)),"")</f>
        <v>BRDGTE</v>
      </c>
      <c r="B9" s="93">
        <f>IF($A9="","",VLOOKUP($A9,'Annex 2 EHV charges'!$A:$O,2,0))</f>
        <v>805</v>
      </c>
      <c r="C9" s="94" t="str">
        <f>IF($A9="","",VLOOKUP($A9,'Annex 2 EHV charges'!$A:$O,3,0))</f>
        <v>1200061148014
1200061148023</v>
      </c>
      <c r="D9" s="93" t="str">
        <f>IF($A9="","",VLOOKUP($A9,'Annex 2 EHV charges'!$A:$O,7,0))</f>
        <v>BRDGTE</v>
      </c>
      <c r="E9" s="98">
        <f>IFERROR(IF(VLOOKUP($A9,'Annex 2 EHV charges'!$A:$O,8,FALSE)=0,"",VLOOKUP($A9,'Annex 2 EHV charges'!$A:$O,8,FALSE)),"")</f>
        <v>0.186</v>
      </c>
      <c r="F9" s="99">
        <f>IFERROR(IF(VLOOKUP($A9,'Annex 2 EHV charges'!$A:$O,9,FALSE)=0,"",VLOOKUP($A9,'Annex 2 EHV charges'!$A:$O,9,FALSE)),"")</f>
        <v>5951.01</v>
      </c>
      <c r="G9" s="100">
        <f>IFERROR(IF(VLOOKUP($A9,'Annex 2 EHV charges'!$A:$O,10,FALSE)=0,"",VLOOKUP($A9,'Annex 2 EHV charges'!$A:$O,10,FALSE)),"")</f>
        <v>2.58</v>
      </c>
      <c r="H9" s="100">
        <f>IFERROR(IF(VLOOKUP($A9,'Annex 2 EHV charges'!$A:$O,11,FALSE)=0,"",VLOOKUP($A9,'Annex 2 EHV charges'!$A:$O,11,FALSE)),"")</f>
        <v>2.58</v>
      </c>
    </row>
    <row r="10" spans="1:14" ht="12.75" customHeight="1">
      <c r="A10" s="93" t="str">
        <f t="array" ref="A10">IFERROR(INDEX('Annex 2 EHV charges'!$A$11:$A$59, MATCH(0, IF(ISBLANK('Annex 2 EHV charges'!$A$11:$A$59),1, COUNTIF(A$4:$A9, 'Annex 2 EHV charges'!$A$11:$A$59)), 0)),"")</f>
        <v>BRKFLD</v>
      </c>
      <c r="B10" s="93">
        <f>IF($A10="","",VLOOKUP($A10,'Annex 2 EHV charges'!$A:$O,2,0))</f>
        <v>829</v>
      </c>
      <c r="C10" s="94" t="str">
        <f>IF($A10="","",VLOOKUP($A10,'Annex 2 EHV charges'!$A:$O,3,0))</f>
        <v>1200061148060
1200061148079</v>
      </c>
      <c r="D10" s="93" t="str">
        <f>IF($A10="","",VLOOKUP($A10,'Annex 2 EHV charges'!$A:$O,7,0))</f>
        <v>BRKFLD</v>
      </c>
      <c r="E10" s="98">
        <f>IFERROR(IF(VLOOKUP($A10,'Annex 2 EHV charges'!$A:$O,8,FALSE)=0,"",VLOOKUP($A10,'Annex 2 EHV charges'!$A:$O,8,FALSE)),"")</f>
        <v>0.182</v>
      </c>
      <c r="F10" s="99">
        <f>IFERROR(IF(VLOOKUP($A10,'Annex 2 EHV charges'!$A:$O,9,FALSE)=0,"",VLOOKUP($A10,'Annex 2 EHV charges'!$A:$O,9,FALSE)),"")</f>
        <v>6147.17</v>
      </c>
      <c r="G10" s="100">
        <f>IFERROR(IF(VLOOKUP($A10,'Annex 2 EHV charges'!$A:$O,10,FALSE)=0,"",VLOOKUP($A10,'Annex 2 EHV charges'!$A:$O,10,FALSE)),"")</f>
        <v>1.81</v>
      </c>
      <c r="H10" s="100">
        <f>IFERROR(IF(VLOOKUP($A10,'Annex 2 EHV charges'!$A:$O,11,FALSE)=0,"",VLOOKUP($A10,'Annex 2 EHV charges'!$A:$O,11,FALSE)),"")</f>
        <v>1.81</v>
      </c>
    </row>
    <row r="11" spans="1:14" ht="12.75" customHeight="1">
      <c r="A11" s="93" t="str">
        <f t="array" ref="A11">IFERROR(INDEX('Annex 2 EHV charges'!$A$11:$A$59, MATCH(0, IF(ISBLANK('Annex 2 EHV charges'!$A$11:$A$59),1, COUNTIF(A$4:$A10, 'Annex 2 EHV charges'!$A$11:$A$59)), 0)),"")</f>
        <v>BRMLEY</v>
      </c>
      <c r="B11" s="93">
        <f>IF($A11="","",VLOOKUP($A11,'Annex 2 EHV charges'!$A:$O,2,0))</f>
        <v>0</v>
      </c>
      <c r="C11" s="94" t="str">
        <f>IF($A11="","",VLOOKUP($A11,'Annex 2 EHV charges'!$A:$O,3,0))</f>
        <v>MSID: 1630</v>
      </c>
      <c r="D11" s="93" t="str">
        <f>IF($A11="","",VLOOKUP($A11,'Annex 2 EHV charges'!$A:$O,7,0))</f>
        <v>BRMLEY</v>
      </c>
      <c r="E11" s="98" t="str">
        <f>IFERROR(IF(VLOOKUP($A11,'Annex 2 EHV charges'!$A:$O,8,FALSE)=0,"",VLOOKUP($A11,'Annex 2 EHV charges'!$A:$O,8,FALSE)),"")</f>
        <v/>
      </c>
      <c r="F11" s="99">
        <f>IFERROR(IF(VLOOKUP($A11,'Annex 2 EHV charges'!$A:$O,9,FALSE)=0,"",VLOOKUP($A11,'Annex 2 EHV charges'!$A:$O,9,FALSE)),"")</f>
        <v>43861.69</v>
      </c>
      <c r="G11" s="100">
        <f>IFERROR(IF(VLOOKUP($A11,'Annex 2 EHV charges'!$A:$O,10,FALSE)=0,"",VLOOKUP($A11,'Annex 2 EHV charges'!$A:$O,10,FALSE)),"")</f>
        <v>3.12</v>
      </c>
      <c r="H11" s="100">
        <f>IFERROR(IF(VLOOKUP($A11,'Annex 2 EHV charges'!$A:$O,11,FALSE)=0,"",VLOOKUP($A11,'Annex 2 EHV charges'!$A:$O,11,FALSE)),"")</f>
        <v>3.12</v>
      </c>
    </row>
    <row r="12" spans="1:14" ht="12.75" customHeight="1">
      <c r="A12" s="93" t="str">
        <f t="array" ref="A12">IFERROR(INDEX('Annex 2 EHV charges'!$A$11:$A$59, MATCH(0, IF(ISBLANK('Annex 2 EHV charges'!$A$11:$A$59),1, COUNTIF(A$4:$A11, 'Annex 2 EHV charges'!$A$11:$A$59)), 0)),"")</f>
        <v>CRLIMM</v>
      </c>
      <c r="B12" s="93">
        <f>IF($A12="","",VLOOKUP($A12,'Annex 2 EHV charges'!$A:$O,2,0))</f>
        <v>812</v>
      </c>
      <c r="C12" s="94" t="str">
        <f>IF($A12="","",VLOOKUP($A12,'Annex 2 EHV charges'!$A:$O,3,0))</f>
        <v>1200062090483
1200062090492</v>
      </c>
      <c r="D12" s="93" t="str">
        <f>IF($A12="","",VLOOKUP($A12,'Annex 2 EHV charges'!$A:$O,7,0))</f>
        <v>CRLIMM</v>
      </c>
      <c r="E12" s="98" t="str">
        <f>IFERROR(IF(VLOOKUP($A12,'Annex 2 EHV charges'!$A:$O,8,FALSE)=0,"",VLOOKUP($A12,'Annex 2 EHV charges'!$A:$O,8,FALSE)),"")</f>
        <v/>
      </c>
      <c r="F12" s="99">
        <f>IFERROR(IF(VLOOKUP($A12,'Annex 2 EHV charges'!$A:$O,9,FALSE)=0,"",VLOOKUP($A12,'Annex 2 EHV charges'!$A:$O,9,FALSE)),"")</f>
        <v>51301.59</v>
      </c>
      <c r="G12" s="100">
        <f>IFERROR(IF(VLOOKUP($A12,'Annex 2 EHV charges'!$A:$O,10,FALSE)=0,"",VLOOKUP($A12,'Annex 2 EHV charges'!$A:$O,10,FALSE)),"")</f>
        <v>0.98</v>
      </c>
      <c r="H12" s="100">
        <f>IFERROR(IF(VLOOKUP($A12,'Annex 2 EHV charges'!$A:$O,11,FALSE)=0,"",VLOOKUP($A12,'Annex 2 EHV charges'!$A:$O,11,FALSE)),"")</f>
        <v>0.98</v>
      </c>
    </row>
    <row r="13" spans="1:14" ht="12.75" customHeight="1">
      <c r="A13" s="93" t="str">
        <f t="array" ref="A13">IFERROR(INDEX('Annex 2 EHV charges'!$A$11:$A$59, MATCH(0, IF(ISBLANK('Annex 2 EHV charges'!$A$11:$A$59),1, COUNTIF(A$4:$A12, 'Annex 2 EHV charges'!$A$11:$A$59)), 0)),"")</f>
        <v>DART11</v>
      </c>
      <c r="B13" s="93">
        <f>IF($A13="","",VLOOKUP($A13,'Annex 2 EHV charges'!$A:$O,2,0))</f>
        <v>0</v>
      </c>
      <c r="C13" s="94" t="str">
        <f>IF($A13="","",VLOOKUP($A13,'Annex 2 EHV charges'!$A:$O,3,0))</f>
        <v>MSID: 1032</v>
      </c>
      <c r="D13" s="93" t="str">
        <f>IF($A13="","",VLOOKUP($A13,'Annex 2 EHV charges'!$A:$O,7,0))</f>
        <v>DART11</v>
      </c>
      <c r="E13" s="98">
        <f>IFERROR(IF(VLOOKUP($A13,'Annex 2 EHV charges'!$A:$O,8,FALSE)=0,"",VLOOKUP($A13,'Annex 2 EHV charges'!$A:$O,8,FALSE)),"")</f>
        <v>0.217</v>
      </c>
      <c r="F13" s="99">
        <f>IFERROR(IF(VLOOKUP($A13,'Annex 2 EHV charges'!$A:$O,9,FALSE)=0,"",VLOOKUP($A13,'Annex 2 EHV charges'!$A:$O,9,FALSE)),"")</f>
        <v>5754.85</v>
      </c>
      <c r="G13" s="100">
        <f>IFERROR(IF(VLOOKUP($A13,'Annex 2 EHV charges'!$A:$O,10,FALSE)=0,"",VLOOKUP($A13,'Annex 2 EHV charges'!$A:$O,10,FALSE)),"")</f>
        <v>5.1100000000000003</v>
      </c>
      <c r="H13" s="100">
        <f>IFERROR(IF(VLOOKUP($A13,'Annex 2 EHV charges'!$A:$O,11,FALSE)=0,"",VLOOKUP($A13,'Annex 2 EHV charges'!$A:$O,11,FALSE)),"")</f>
        <v>5.1100000000000003</v>
      </c>
    </row>
    <row r="14" spans="1:14" ht="12.75" customHeight="1">
      <c r="A14" s="93" t="str">
        <f t="array" ref="A14">IFERROR(INDEX('Annex 2 EHV charges'!$A$11:$A$59, MATCH(0, IF(ISBLANK('Annex 2 EHV charges'!$A$11:$A$59),1, COUNTIF(A$4:$A13, 'Annex 2 EHV charges'!$A$11:$A$59)), 0)),"")</f>
        <v>DART33</v>
      </c>
      <c r="B14" s="93">
        <f>IF($A14="","",VLOOKUP($A14,'Annex 2 EHV charges'!$A:$O,2,0))</f>
        <v>0</v>
      </c>
      <c r="C14" s="94" t="str">
        <f>IF($A14="","",VLOOKUP($A14,'Annex 2 EHV charges'!$A:$O,3,0))</f>
        <v>MSID: 1032</v>
      </c>
      <c r="D14" s="93" t="str">
        <f>IF($A14="","",VLOOKUP($A14,'Annex 2 EHV charges'!$A:$O,7,0))</f>
        <v>DART33</v>
      </c>
      <c r="E14" s="98">
        <f>IFERROR(IF(VLOOKUP($A14,'Annex 2 EHV charges'!$A:$O,8,FALSE)=0,"",VLOOKUP($A14,'Annex 2 EHV charges'!$A:$O,8,FALSE)),"")</f>
        <v>0.42699999999999999</v>
      </c>
      <c r="F14" s="99">
        <f>IFERROR(IF(VLOOKUP($A14,'Annex 2 EHV charges'!$A:$O,9,FALSE)=0,"",VLOOKUP($A14,'Annex 2 EHV charges'!$A:$O,9,FALSE)),"")</f>
        <v>17523.64</v>
      </c>
      <c r="G14" s="100">
        <f>IFERROR(IF(VLOOKUP($A14,'Annex 2 EHV charges'!$A:$O,10,FALSE)=0,"",VLOOKUP($A14,'Annex 2 EHV charges'!$A:$O,10,FALSE)),"")</f>
        <v>5.27</v>
      </c>
      <c r="H14" s="100">
        <f>IFERROR(IF(VLOOKUP($A14,'Annex 2 EHV charges'!$A:$O,11,FALSE)=0,"",VLOOKUP($A14,'Annex 2 EHV charges'!$A:$O,11,FALSE)),"")</f>
        <v>5.27</v>
      </c>
    </row>
    <row r="15" spans="1:14" ht="12.75" customHeight="1">
      <c r="A15" s="93" t="str">
        <f t="array" ref="A15">IFERROR(INDEX('Annex 2 EHV charges'!$A$11:$A$59, MATCH(0, IF(ISBLANK('Annex 2 EHV charges'!$A$11:$A$59),1, COUNTIF(A$4:$A14, 'Annex 2 EHV charges'!$A$11:$A$59)), 0)),"")</f>
        <v>EPNLEI</v>
      </c>
      <c r="B15" s="93">
        <f>IF($A15="","",VLOOKUP($A15,'Annex 2 EHV charges'!$A:$O,2,0))</f>
        <v>0</v>
      </c>
      <c r="C15" s="94" t="str">
        <f>IF($A15="","",VLOOKUP($A15,'Annex 2 EHV charges'!$A:$O,3,0))</f>
        <v>MSID: 1628</v>
      </c>
      <c r="D15" s="93" t="str">
        <f>IF($A15="","",VLOOKUP($A15,'Annex 2 EHV charges'!$A:$O,7,0))</f>
        <v>EPNLEI</v>
      </c>
      <c r="E15" s="98" t="str">
        <f>IFERROR(IF(VLOOKUP($A15,'Annex 2 EHV charges'!$A:$O,8,FALSE)=0,"",VLOOKUP($A15,'Annex 2 EHV charges'!$A:$O,8,FALSE)),"")</f>
        <v/>
      </c>
      <c r="F15" s="99">
        <f>IFERROR(IF(VLOOKUP($A15,'Annex 2 EHV charges'!$A:$O,9,FALSE)=0,"",VLOOKUP($A15,'Annex 2 EHV charges'!$A:$O,9,FALSE)),"")</f>
        <v>43861.69</v>
      </c>
      <c r="G15" s="100">
        <f>IFERROR(IF(VLOOKUP($A15,'Annex 2 EHV charges'!$A:$O,10,FALSE)=0,"",VLOOKUP($A15,'Annex 2 EHV charges'!$A:$O,10,FALSE)),"")</f>
        <v>3.51</v>
      </c>
      <c r="H15" s="100">
        <f>IFERROR(IF(VLOOKUP($A15,'Annex 2 EHV charges'!$A:$O,11,FALSE)=0,"",VLOOKUP($A15,'Annex 2 EHV charges'!$A:$O,11,FALSE)),"")</f>
        <v>3.51</v>
      </c>
    </row>
    <row r="16" spans="1:14" ht="12.75" customHeight="1">
      <c r="A16" s="93" t="str">
        <f t="array" ref="A16">IFERROR(INDEX('Annex 2 EHV charges'!$A$11:$A$59, MATCH(0, IF(ISBLANK('Annex 2 EHV charges'!$A$11:$A$59),1, COUNTIF(A$4:$A15, 'Annex 2 EHV charges'!$A$11:$A$59)), 0)),"")</f>
        <v>FENAVE</v>
      </c>
      <c r="B16" s="93">
        <f>IF($A16="","",VLOOKUP($A16,'Annex 2 EHV charges'!$A:$O,2,0))</f>
        <v>813</v>
      </c>
      <c r="C16" s="94" t="str">
        <f>IF($A16="","",VLOOKUP($A16,'Annex 2 EHV charges'!$A:$O,3,0))</f>
        <v>1200062132159
1200062132168</v>
      </c>
      <c r="D16" s="93" t="str">
        <f>IF($A16="","",VLOOKUP($A16,'Annex 2 EHV charges'!$A:$O,7,0))</f>
        <v>FENAVE</v>
      </c>
      <c r="E16" s="98">
        <f>IFERROR(IF(VLOOKUP($A16,'Annex 2 EHV charges'!$A:$O,8,FALSE)=0,"",VLOOKUP($A16,'Annex 2 EHV charges'!$A:$O,8,FALSE)),"")</f>
        <v>0.185</v>
      </c>
      <c r="F16" s="99">
        <f>IFERROR(IF(VLOOKUP($A16,'Annex 2 EHV charges'!$A:$O,9,FALSE)=0,"",VLOOKUP($A16,'Annex 2 EHV charges'!$A:$O,9,FALSE)),"")</f>
        <v>6147.17</v>
      </c>
      <c r="G16" s="100">
        <f>IFERROR(IF(VLOOKUP($A16,'Annex 2 EHV charges'!$A:$O,10,FALSE)=0,"",VLOOKUP($A16,'Annex 2 EHV charges'!$A:$O,10,FALSE)),"")</f>
        <v>1.62</v>
      </c>
      <c r="H16" s="100">
        <f>IFERROR(IF(VLOOKUP($A16,'Annex 2 EHV charges'!$A:$O,11,FALSE)=0,"",VLOOKUP($A16,'Annex 2 EHV charges'!$A:$O,11,FALSE)),"")</f>
        <v>1.62</v>
      </c>
    </row>
    <row r="17" spans="1:8" ht="12.75" customHeight="1">
      <c r="A17" s="93" t="str">
        <f t="array" ref="A17">IFERROR(INDEX('Annex 2 EHV charges'!$A$11:$A$59, MATCH(0, IF(ISBLANK('Annex 2 EHV charges'!$A$11:$A$59),1, COUNTIF(A$4:$A16, 'Annex 2 EHV charges'!$A$11:$A$59)), 0)),"")</f>
        <v>FENCHS</v>
      </c>
      <c r="B17" s="93">
        <f>IF($A17="","",VLOOKUP($A17,'Annex 2 EHV charges'!$A:$O,2,0))</f>
        <v>800</v>
      </c>
      <c r="C17" s="94" t="str">
        <f>IF($A17="","",VLOOKUP($A17,'Annex 2 EHV charges'!$A:$O,3,0))</f>
        <v>1200061144029
1200061144038</v>
      </c>
      <c r="D17" s="93" t="str">
        <f>IF($A17="","",VLOOKUP($A17,'Annex 2 EHV charges'!$A:$O,7,0))</f>
        <v>FENCHS</v>
      </c>
      <c r="E17" s="98">
        <f>IFERROR(IF(VLOOKUP($A17,'Annex 2 EHV charges'!$A:$O,8,FALSE)=0,"",VLOOKUP($A17,'Annex 2 EHV charges'!$A:$O,8,FALSE)),"")</f>
        <v>0.16700000000000001</v>
      </c>
      <c r="F17" s="99">
        <f>IFERROR(IF(VLOOKUP($A17,'Annex 2 EHV charges'!$A:$O,9,FALSE)=0,"",VLOOKUP($A17,'Annex 2 EHV charges'!$A:$O,9,FALSE)),"")</f>
        <v>6266.15</v>
      </c>
      <c r="G17" s="100">
        <f>IFERROR(IF(VLOOKUP($A17,'Annex 2 EHV charges'!$A:$O,10,FALSE)=0,"",VLOOKUP($A17,'Annex 2 EHV charges'!$A:$O,10,FALSE)),"")</f>
        <v>2.57</v>
      </c>
      <c r="H17" s="100">
        <f>IFERROR(IF(VLOOKUP($A17,'Annex 2 EHV charges'!$A:$O,11,FALSE)=0,"",VLOOKUP($A17,'Annex 2 EHV charges'!$A:$O,11,FALSE)),"")</f>
        <v>2.57</v>
      </c>
    </row>
    <row r="18" spans="1:8" ht="12.75" customHeight="1">
      <c r="A18" s="93" t="str">
        <f t="array" ref="A18">IFERROR(INDEX('Annex 2 EHV charges'!$A$11:$A$59, MATCH(0, IF(ISBLANK('Annex 2 EHV charges'!$A$11:$A$59),1, COUNTIF(A$4:$A17, 'Annex 2 EHV charges'!$A$11:$A$59)), 0)),"")</f>
        <v>GBLSWI</v>
      </c>
      <c r="B18" s="93">
        <f>IF($A18="","",VLOOKUP($A18,'Annex 2 EHV charges'!$A:$O,2,0))</f>
        <v>843</v>
      </c>
      <c r="C18" s="94" t="str">
        <f>IF($A18="","",VLOOKUP($A18,'Annex 2 EHV charges'!$A:$O,3,0))</f>
        <v>1200050913681
1200050913690
1200050913706
1200050913715</v>
      </c>
      <c r="D18" s="93" t="str">
        <f>IF($A18="","",VLOOKUP($A18,'Annex 2 EHV charges'!$A:$O,7,0))</f>
        <v>GBLSWI</v>
      </c>
      <c r="E18" s="98" t="str">
        <f>IFERROR(IF(VLOOKUP($A18,'Annex 2 EHV charges'!$A:$O,8,FALSE)=0,"",VLOOKUP($A18,'Annex 2 EHV charges'!$A:$O,8,FALSE)),"")</f>
        <v/>
      </c>
      <c r="F18" s="99">
        <f>IFERROR(IF(VLOOKUP($A18,'Annex 2 EHV charges'!$A:$O,9,FALSE)=0,"",VLOOKUP($A18,'Annex 2 EHV charges'!$A:$O,9,FALSE)),"")</f>
        <v>51413.33</v>
      </c>
      <c r="G18" s="100">
        <f>IFERROR(IF(VLOOKUP($A18,'Annex 2 EHV charges'!$A:$O,10,FALSE)=0,"",VLOOKUP($A18,'Annex 2 EHV charges'!$A:$O,10,FALSE)),"")</f>
        <v>2.0499999999999998</v>
      </c>
      <c r="H18" s="100">
        <f>IFERROR(IF(VLOOKUP($A18,'Annex 2 EHV charges'!$A:$O,11,FALSE)=0,"",VLOOKUP($A18,'Annex 2 EHV charges'!$A:$O,11,FALSE)),"")</f>
        <v>2.0499999999999998</v>
      </c>
    </row>
    <row r="19" spans="1:8" ht="12.75" customHeight="1">
      <c r="A19" s="93" t="str">
        <f t="array" ref="A19">IFERROR(INDEX('Annex 2 EHV charges'!$A$11:$A$59, MATCH(0, IF(ISBLANK('Annex 2 EHV charges'!$A$11:$A$59),1, COUNTIF(A$4:$A18, 'Annex 2 EHV charges'!$A$11:$A$59)), 0)),"")</f>
        <v>KNGLPN</v>
      </c>
      <c r="B19" s="93">
        <f>IF($A19="","",VLOOKUP($A19,'Annex 2 EHV charges'!$A:$O,2,0))</f>
        <v>0</v>
      </c>
      <c r="C19" s="94" t="str">
        <f>IF($A19="","",VLOOKUP($A19,'Annex 2 EHV charges'!$A:$O,3,0))</f>
        <v>MSID: 1027</v>
      </c>
      <c r="D19" s="93" t="str">
        <f>IF($A19="","",VLOOKUP($A19,'Annex 2 EHV charges'!$A:$O,7,0))</f>
        <v>KNGLPN</v>
      </c>
      <c r="E19" s="98" t="str">
        <f>IFERROR(IF(VLOOKUP($A19,'Annex 2 EHV charges'!$A:$O,8,FALSE)=0,"",VLOOKUP($A19,'Annex 2 EHV charges'!$A:$O,8,FALSE)),"")</f>
        <v/>
      </c>
      <c r="F19" s="99">
        <f>IFERROR(IF(VLOOKUP($A19,'Annex 2 EHV charges'!$A:$O,9,FALSE)=0,"",VLOOKUP($A19,'Annex 2 EHV charges'!$A:$O,9,FALSE)),"")</f>
        <v>5754.85</v>
      </c>
      <c r="G19" s="100">
        <f>IFERROR(IF(VLOOKUP($A19,'Annex 2 EHV charges'!$A:$O,10,FALSE)=0,"",VLOOKUP($A19,'Annex 2 EHV charges'!$A:$O,10,FALSE)),"")</f>
        <v>0.9</v>
      </c>
      <c r="H19" s="100">
        <f>IFERROR(IF(VLOOKUP($A19,'Annex 2 EHV charges'!$A:$O,11,FALSE)=0,"",VLOOKUP($A19,'Annex 2 EHV charges'!$A:$O,11,FALSE)),"")</f>
        <v>0.9</v>
      </c>
    </row>
    <row r="20" spans="1:8" ht="12.75" customHeight="1">
      <c r="A20" s="93" t="str">
        <f t="array" ref="A20">IFERROR(INDEX('Annex 2 EHV charges'!$A$11:$A$59, MATCH(0, IF(ISBLANK('Annex 2 EHV charges'!$A$11:$A$59),1, COUNTIF(A$4:$A19, 'Annex 2 EHV charges'!$A$11:$A$59)), 0)),"")</f>
        <v>LEDNHS</v>
      </c>
      <c r="B20" s="93">
        <f>IF($A20="","",VLOOKUP($A20,'Annex 2 EHV charges'!$A:$O,2,0))</f>
        <v>808</v>
      </c>
      <c r="C20" s="94" t="str">
        <f>IF($A20="","",VLOOKUP($A20,'Annex 2 EHV charges'!$A:$O,3,0))</f>
        <v>1200061144065
1200061144074</v>
      </c>
      <c r="D20" s="93" t="str">
        <f>IF($A20="","",VLOOKUP($A20,'Annex 2 EHV charges'!$A:$O,7,0))</f>
        <v>LEDNHS</v>
      </c>
      <c r="E20" s="98">
        <f>IFERROR(IF(VLOOKUP($A20,'Annex 2 EHV charges'!$A:$O,8,FALSE)=0,"",VLOOKUP($A20,'Annex 2 EHV charges'!$A:$O,8,FALSE)),"")</f>
        <v>0.188</v>
      </c>
      <c r="F20" s="99">
        <f>IFERROR(IF(VLOOKUP($A20,'Annex 2 EHV charges'!$A:$O,9,FALSE)=0,"",VLOOKUP($A20,'Annex 2 EHV charges'!$A:$O,9,FALSE)),"")</f>
        <v>6194.76</v>
      </c>
      <c r="G20" s="100">
        <f>IFERROR(IF(VLOOKUP($A20,'Annex 2 EHV charges'!$A:$O,10,FALSE)=0,"",VLOOKUP($A20,'Annex 2 EHV charges'!$A:$O,10,FALSE)),"")</f>
        <v>1.4</v>
      </c>
      <c r="H20" s="100">
        <f>IFERROR(IF(VLOOKUP($A20,'Annex 2 EHV charges'!$A:$O,11,FALSE)=0,"",VLOOKUP($A20,'Annex 2 EHV charges'!$A:$O,11,FALSE)),"")</f>
        <v>1.4</v>
      </c>
    </row>
    <row r="21" spans="1:8" ht="12.75" customHeight="1">
      <c r="A21" s="93" t="str">
        <f t="array" ref="A21">IFERROR(INDEX('Annex 2 EHV charges'!$A$11:$A$59, MATCH(0, IF(ISBLANK('Annex 2 EHV charges'!$A$11:$A$59),1, COUNTIF(A$4:$A20, 'Annex 2 EHV charges'!$A$11:$A$59)), 0)),"")</f>
        <v>LIMEST</v>
      </c>
      <c r="B21" s="93">
        <f>IF($A21="","",VLOOKUP($A21,'Annex 2 EHV charges'!$A:$O,2,0))</f>
        <v>814</v>
      </c>
      <c r="C21" s="94" t="str">
        <f>IF($A21="","",VLOOKUP($A21,'Annex 2 EHV charges'!$A:$O,3,0))</f>
        <v>1200062132006
1200062132015</v>
      </c>
      <c r="D21" s="93" t="str">
        <f>IF($A21="","",VLOOKUP($A21,'Annex 2 EHV charges'!$A:$O,7,0))</f>
        <v>LIMEST</v>
      </c>
      <c r="E21" s="98">
        <f>IFERROR(IF(VLOOKUP($A21,'Annex 2 EHV charges'!$A:$O,8,FALSE)=0,"",VLOOKUP($A21,'Annex 2 EHV charges'!$A:$O,8,FALSE)),"")</f>
        <v>0.18</v>
      </c>
      <c r="F21" s="99">
        <f>IFERROR(IF(VLOOKUP($A21,'Annex 2 EHV charges'!$A:$O,9,FALSE)=0,"",VLOOKUP($A21,'Annex 2 EHV charges'!$A:$O,9,FALSE)),"")</f>
        <v>6147.17</v>
      </c>
      <c r="G21" s="100">
        <f>IFERROR(IF(VLOOKUP($A21,'Annex 2 EHV charges'!$A:$O,10,FALSE)=0,"",VLOOKUP($A21,'Annex 2 EHV charges'!$A:$O,10,FALSE)),"")</f>
        <v>1.69</v>
      </c>
      <c r="H21" s="100">
        <f>IFERROR(IF(VLOOKUP($A21,'Annex 2 EHV charges'!$A:$O,11,FALSE)=0,"",VLOOKUP($A21,'Annex 2 EHV charges'!$A:$O,11,FALSE)),"")</f>
        <v>1.69</v>
      </c>
    </row>
    <row r="22" spans="1:8" ht="12.75" customHeight="1">
      <c r="A22" s="93" t="str">
        <f t="array" ref="A22">IFERROR(INDEX('Annex 2 EHV charges'!$A$11:$A$59, MATCH(0, IF(ISBLANK('Annex 2 EHV charges'!$A$11:$A$59),1, COUNTIF(A$4:$A21, 'Annex 2 EHV charges'!$A$11:$A$59)), 0)),"")</f>
        <v>LNWAL1</v>
      </c>
      <c r="B22" s="93">
        <f>IF($A22="","",VLOOKUP($A22,'Annex 2 EHV charges'!$A:$O,2,0))</f>
        <v>816</v>
      </c>
      <c r="C22" s="94" t="str">
        <f>IF($A22="","",VLOOKUP($A22,'Annex 2 EHV charges'!$A:$O,3,0))</f>
        <v>1200061148194
1200061148200</v>
      </c>
      <c r="D22" s="93" t="str">
        <f>IF($A22="","",VLOOKUP($A22,'Annex 2 EHV charges'!$A:$O,7,0))</f>
        <v>LNWAL1</v>
      </c>
      <c r="E22" s="98">
        <f>IFERROR(IF(VLOOKUP($A22,'Annex 2 EHV charges'!$A:$O,8,FALSE)=0,"",VLOOKUP($A22,'Annex 2 EHV charges'!$A:$O,8,FALSE)),"")</f>
        <v>0.36399999999999999</v>
      </c>
      <c r="F22" s="99">
        <f>IFERROR(IF(VLOOKUP($A22,'Annex 2 EHV charges'!$A:$O,9,FALSE)=0,"",VLOOKUP($A22,'Annex 2 EHV charges'!$A:$O,9,FALSE)),"")</f>
        <v>1437.08</v>
      </c>
      <c r="G22" s="100">
        <f>IFERROR(IF(VLOOKUP($A22,'Annex 2 EHV charges'!$A:$O,10,FALSE)=0,"",VLOOKUP($A22,'Annex 2 EHV charges'!$A:$O,10,FALSE)),"")</f>
        <v>2.82</v>
      </c>
      <c r="H22" s="100">
        <f>IFERROR(IF(VLOOKUP($A22,'Annex 2 EHV charges'!$A:$O,11,FALSE)=0,"",VLOOKUP($A22,'Annex 2 EHV charges'!$A:$O,11,FALSE)),"")</f>
        <v>2.82</v>
      </c>
    </row>
    <row r="23" spans="1:8" ht="12.75" customHeight="1">
      <c r="A23" s="93" t="str">
        <f t="array" ref="A23">IFERROR(INDEX('Annex 2 EHV charges'!$A$11:$A$59, MATCH(0, IF(ISBLANK('Annex 2 EHV charges'!$A$11:$A$59),1, COUNTIF(A$4:$A22, 'Annex 2 EHV charges'!$A$11:$A$59)), 0)),"")</f>
        <v>LNWALL</v>
      </c>
      <c r="B23" s="93">
        <f>IF($A23="","",VLOOKUP($A23,'Annex 2 EHV charges'!$A:$O,2,0))</f>
        <v>816</v>
      </c>
      <c r="C23" s="94" t="str">
        <f>IF($A23="","",VLOOKUP($A23,'Annex 2 EHV charges'!$A:$O,3,0))</f>
        <v>1200061953070
1200061953089</v>
      </c>
      <c r="D23" s="93" t="str">
        <f>IF($A23="","",VLOOKUP($A23,'Annex 2 EHV charges'!$A:$O,7,0))</f>
        <v>LNWALL</v>
      </c>
      <c r="E23" s="98">
        <f>IFERROR(IF(VLOOKUP($A23,'Annex 2 EHV charges'!$A:$O,8,FALSE)=0,"",VLOOKUP($A23,'Annex 2 EHV charges'!$A:$O,8,FALSE)),"")</f>
        <v>0.36399999999999999</v>
      </c>
      <c r="F23" s="99">
        <f>IFERROR(IF(VLOOKUP($A23,'Annex 2 EHV charges'!$A:$O,9,FALSE)=0,"",VLOOKUP($A23,'Annex 2 EHV charges'!$A:$O,9,FALSE)),"")</f>
        <v>6321.47</v>
      </c>
      <c r="G23" s="100">
        <f>IFERROR(IF(VLOOKUP($A23,'Annex 2 EHV charges'!$A:$O,10,FALSE)=0,"",VLOOKUP($A23,'Annex 2 EHV charges'!$A:$O,10,FALSE)),"")</f>
        <v>1.54</v>
      </c>
      <c r="H23" s="100">
        <f>IFERROR(IF(VLOOKUP($A23,'Annex 2 EHV charges'!$A:$O,11,FALSE)=0,"",VLOOKUP($A23,'Annex 2 EHV charges'!$A:$O,11,FALSE)),"")</f>
        <v>1.54</v>
      </c>
    </row>
    <row r="24" spans="1:8" ht="12.75" customHeight="1">
      <c r="A24" s="93" t="str">
        <f t="array" ref="A24">IFERROR(INDEX('Annex 2 EHV charges'!$A$11:$A$59, MATCH(0, IF(ISBLANK('Annex 2 EHV charges'!$A$11:$A$59),1, COUNTIF(A$4:$A23, 'Annex 2 EHV charges'!$A$11:$A$59)), 0)),"")</f>
        <v>LU_ACT</v>
      </c>
      <c r="B24" s="93">
        <f>IF($A24="","",VLOOKUP($A24,'Annex 2 EHV charges'!$A:$O,2,0))</f>
        <v>0</v>
      </c>
      <c r="C24" s="94" t="str">
        <f>IF($A24="","",VLOOKUP($A24,'Annex 2 EHV charges'!$A:$O,3,0))</f>
        <v>MSID: 1631</v>
      </c>
      <c r="D24" s="93" t="str">
        <f>IF($A24="","",VLOOKUP($A24,'Annex 2 EHV charges'!$A:$O,7,0))</f>
        <v>LU_ACT</v>
      </c>
      <c r="E24" s="98" t="str">
        <f>IFERROR(IF(VLOOKUP($A24,'Annex 2 EHV charges'!$A:$O,8,FALSE)=0,"",VLOOKUP($A24,'Annex 2 EHV charges'!$A:$O,8,FALSE)),"")</f>
        <v/>
      </c>
      <c r="F24" s="99">
        <f>IFERROR(IF(VLOOKUP($A24,'Annex 2 EHV charges'!$A:$O,9,FALSE)=0,"",VLOOKUP($A24,'Annex 2 EHV charges'!$A:$O,9,FALSE)),"")</f>
        <v>5959.98</v>
      </c>
      <c r="G24" s="100">
        <f>IFERROR(IF(VLOOKUP($A24,'Annex 2 EHV charges'!$A:$O,10,FALSE)=0,"",VLOOKUP($A24,'Annex 2 EHV charges'!$A:$O,10,FALSE)),"")</f>
        <v>2.2200000000000002</v>
      </c>
      <c r="H24" s="100">
        <f>IFERROR(IF(VLOOKUP($A24,'Annex 2 EHV charges'!$A:$O,11,FALSE)=0,"",VLOOKUP($A24,'Annex 2 EHV charges'!$A:$O,11,FALSE)),"")</f>
        <v>2.2200000000000002</v>
      </c>
    </row>
    <row r="25" spans="1:8" ht="12.75" customHeight="1">
      <c r="A25" s="93" t="str">
        <f t="array" ref="A25">IFERROR(INDEX('Annex 2 EHV charges'!$A$11:$A$59, MATCH(0, IF(ISBLANK('Annex 2 EHV charges'!$A$11:$A$59),1, COUNTIF(A$4:$A24, 'Annex 2 EHV charges'!$A$11:$A$59)), 0)),"")</f>
        <v>LU_CAN</v>
      </c>
      <c r="B25" s="93">
        <f>IF($A25="","",VLOOKUP($A25,'Annex 2 EHV charges'!$A:$O,2,0))</f>
        <v>818</v>
      </c>
      <c r="C25" s="94" t="str">
        <f>IF($A25="","",VLOOKUP($A25,'Annex 2 EHV charges'!$A:$O,3,0))</f>
        <v>1200060323207
1200060323216</v>
      </c>
      <c r="D25" s="93" t="str">
        <f>IF($A25="","",VLOOKUP($A25,'Annex 2 EHV charges'!$A:$O,7,0))</f>
        <v>LU_CAN</v>
      </c>
      <c r="E25" s="98" t="str">
        <f>IFERROR(IF(VLOOKUP($A25,'Annex 2 EHV charges'!$A:$O,8,FALSE)=0,"",VLOOKUP($A25,'Annex 2 EHV charges'!$A:$O,8,FALSE)),"")</f>
        <v/>
      </c>
      <c r="F25" s="99">
        <f>IFERROR(IF(VLOOKUP($A25,'Annex 2 EHV charges'!$A:$O,9,FALSE)=0,"",VLOOKUP($A25,'Annex 2 EHV charges'!$A:$O,9,FALSE)),"")</f>
        <v>50481.63</v>
      </c>
      <c r="G25" s="100">
        <f>IFERROR(IF(VLOOKUP($A25,'Annex 2 EHV charges'!$A:$O,10,FALSE)=0,"",VLOOKUP($A25,'Annex 2 EHV charges'!$A:$O,10,FALSE)),"")</f>
        <v>1.0900000000000001</v>
      </c>
      <c r="H25" s="100">
        <f>IFERROR(IF(VLOOKUP($A25,'Annex 2 EHV charges'!$A:$O,11,FALSE)=0,"",VLOOKUP($A25,'Annex 2 EHV charges'!$A:$O,11,FALSE)),"")</f>
        <v>1.0900000000000001</v>
      </c>
    </row>
    <row r="26" spans="1:8" ht="12.75" customHeight="1">
      <c r="A26" s="93" t="str">
        <f t="array" ref="A26">IFERROR(INDEX('Annex 2 EHV charges'!$A$11:$A$59, MATCH(0, IF(ISBLANK('Annex 2 EHV charges'!$A$11:$A$59),1, COUNTIF(A$4:$A25, 'Annex 2 EHV charges'!$A$11:$A$59)), 0)),"")</f>
        <v>LU_CHA</v>
      </c>
      <c r="B26" s="93">
        <f>IF($A26="","",VLOOKUP($A26,'Annex 2 EHV charges'!$A:$O,2,0))</f>
        <v>801</v>
      </c>
      <c r="C26" s="94" t="str">
        <f>IF($A26="","",VLOOKUP($A26,'Annex 2 EHV charges'!$A:$O,3,0))</f>
        <v>1200061231921
1200061231930
1200061231940
1200061231959</v>
      </c>
      <c r="D26" s="93" t="str">
        <f>IF($A26="","",VLOOKUP($A26,'Annex 2 EHV charges'!$A:$O,7,0))</f>
        <v>LU_CHA</v>
      </c>
      <c r="E26" s="98" t="str">
        <f>IFERROR(IF(VLOOKUP($A26,'Annex 2 EHV charges'!$A:$O,8,FALSE)=0,"",VLOOKUP($A26,'Annex 2 EHV charges'!$A:$O,8,FALSE)),"")</f>
        <v/>
      </c>
      <c r="F26" s="99">
        <f>IFERROR(IF(VLOOKUP($A26,'Annex 2 EHV charges'!$A:$O,9,FALSE)=0,"",VLOOKUP($A26,'Annex 2 EHV charges'!$A:$O,9,FALSE)),"")</f>
        <v>51099.15</v>
      </c>
      <c r="G26" s="100">
        <f>IFERROR(IF(VLOOKUP($A26,'Annex 2 EHV charges'!$A:$O,10,FALSE)=0,"",VLOOKUP($A26,'Annex 2 EHV charges'!$A:$O,10,FALSE)),"")</f>
        <v>1.28</v>
      </c>
      <c r="H26" s="100">
        <f>IFERROR(IF(VLOOKUP($A26,'Annex 2 EHV charges'!$A:$O,11,FALSE)=0,"",VLOOKUP($A26,'Annex 2 EHV charges'!$A:$O,11,FALSE)),"")</f>
        <v>1.28</v>
      </c>
    </row>
    <row r="27" spans="1:8" ht="12.75" customHeight="1">
      <c r="A27" s="93" t="str">
        <f t="array" ref="A27">IFERROR(INDEX('Annex 2 EHV charges'!$A$11:$A$59, MATCH(0, IF(ISBLANK('Annex 2 EHV charges'!$A$11:$A$59),1, COUNTIF(A$4:$A26, 'Annex 2 EHV charges'!$A$11:$A$59)), 0)),"")</f>
        <v>LU_HOX</v>
      </c>
      <c r="B27" s="93">
        <f>IF($A27="","",VLOOKUP($A27,'Annex 2 EHV charges'!$A:$O,2,0))</f>
        <v>804</v>
      </c>
      <c r="C27" s="94">
        <f>IF($A27="","",VLOOKUP($A27,'Annex 2 EHV charges'!$A:$O,3,0))</f>
        <v>1200060323191</v>
      </c>
      <c r="D27" s="93" t="str">
        <f>IF($A27="","",VLOOKUP($A27,'Annex 2 EHV charges'!$A:$O,7,0))</f>
        <v>LU_HOX</v>
      </c>
      <c r="E27" s="98" t="str">
        <f>IFERROR(IF(VLOOKUP($A27,'Annex 2 EHV charges'!$A:$O,8,FALSE)=0,"",VLOOKUP($A27,'Annex 2 EHV charges'!$A:$O,8,FALSE)),"")</f>
        <v/>
      </c>
      <c r="F27" s="99">
        <f>IFERROR(IF(VLOOKUP($A27,'Annex 2 EHV charges'!$A:$O,9,FALSE)=0,"",VLOOKUP($A27,'Annex 2 EHV charges'!$A:$O,9,FALSE)),"")</f>
        <v>50387.62</v>
      </c>
      <c r="G27" s="100">
        <f>IFERROR(IF(VLOOKUP($A27,'Annex 2 EHV charges'!$A:$O,10,FALSE)=0,"",VLOOKUP($A27,'Annex 2 EHV charges'!$A:$O,10,FALSE)),"")</f>
        <v>0.47</v>
      </c>
      <c r="H27" s="100">
        <f>IFERROR(IF(VLOOKUP($A27,'Annex 2 EHV charges'!$A:$O,11,FALSE)=0,"",VLOOKUP($A27,'Annex 2 EHV charges'!$A:$O,11,FALSE)),"")</f>
        <v>0.47</v>
      </c>
    </row>
    <row r="28" spans="1:8" ht="12.75" customHeight="1">
      <c r="A28" s="93" t="str">
        <f t="array" ref="A28">IFERROR(INDEX('Annex 2 EHV charges'!$A$11:$A$59, MATCH(0, IF(ISBLANK('Annex 2 EHV charges'!$A$11:$A$59),1, COUNTIF(A$4:$A27, 'Annex 2 EHV charges'!$A$11:$A$59)), 0)),"")</f>
        <v>LU_LOT</v>
      </c>
      <c r="B28" s="93">
        <f>IF($A28="","",VLOOKUP($A28,'Annex 2 EHV charges'!$A:$O,2,0))</f>
        <v>838</v>
      </c>
      <c r="C28" s="94" t="str">
        <f>IF($A28="","",VLOOKUP($A28,'Annex 2 EHV charges'!$A:$O,3,0))</f>
        <v>1200050376902
1200050376911</v>
      </c>
      <c r="D28" s="93" t="str">
        <f>IF($A28="","",VLOOKUP($A28,'Annex 2 EHV charges'!$A:$O,7,0))</f>
        <v>LU_LOT</v>
      </c>
      <c r="E28" s="98" t="str">
        <f>IFERROR(IF(VLOOKUP($A28,'Annex 2 EHV charges'!$A:$O,8,FALSE)=0,"",VLOOKUP($A28,'Annex 2 EHV charges'!$A:$O,8,FALSE)),"")</f>
        <v/>
      </c>
      <c r="F28" s="99">
        <f>IFERROR(IF(VLOOKUP($A28,'Annex 2 EHV charges'!$A:$O,9,FALSE)=0,"",VLOOKUP($A28,'Annex 2 EHV charges'!$A:$O,9,FALSE)),"")</f>
        <v>76308.740000000005</v>
      </c>
      <c r="G28" s="100">
        <f>IFERROR(IF(VLOOKUP($A28,'Annex 2 EHV charges'!$A:$O,10,FALSE)=0,"",VLOOKUP($A28,'Annex 2 EHV charges'!$A:$O,10,FALSE)),"")</f>
        <v>2.13</v>
      </c>
      <c r="H28" s="100">
        <f>IFERROR(IF(VLOOKUP($A28,'Annex 2 EHV charges'!$A:$O,11,FALSE)=0,"",VLOOKUP($A28,'Annex 2 EHV charges'!$A:$O,11,FALSE)),"")</f>
        <v>2.13</v>
      </c>
    </row>
    <row r="29" spans="1:8" ht="12.75" customHeight="1">
      <c r="A29" s="93" t="str">
        <f t="array" ref="A29">IFERROR(INDEX('Annex 2 EHV charges'!$A$11:$A$59, MATCH(0, IF(ISBLANK('Annex 2 EHV charges'!$A$11:$A$59),1, COUNTIF(A$4:$A28, 'Annex 2 EHV charges'!$A$11:$A$59)), 0)),"")</f>
        <v>LU_MAN</v>
      </c>
      <c r="B29" s="93">
        <f>IF($A29="","",VLOOKUP($A29,'Annex 2 EHV charges'!$A:$O,2,0))</f>
        <v>837</v>
      </c>
      <c r="C29" s="94">
        <f>IF($A29="","",VLOOKUP($A29,'Annex 2 EHV charges'!$A:$O,3,0))</f>
        <v>1200010200926</v>
      </c>
      <c r="D29" s="93" t="str">
        <f>IF($A29="","",VLOOKUP($A29,'Annex 2 EHV charges'!$A:$O,7,0))</f>
        <v>LU_MAN</v>
      </c>
      <c r="E29" s="98">
        <f>IFERROR(IF(VLOOKUP($A29,'Annex 2 EHV charges'!$A:$O,8,FALSE)=0,"",VLOOKUP($A29,'Annex 2 EHV charges'!$A:$O,8,FALSE)),"")</f>
        <v>2.5999999999999999E-2</v>
      </c>
      <c r="F29" s="99">
        <f>IFERROR(IF(VLOOKUP($A29,'Annex 2 EHV charges'!$A:$O,9,FALSE)=0,"",VLOOKUP($A29,'Annex 2 EHV charges'!$A:$O,9,FALSE)),"")</f>
        <v>66672.240000000005</v>
      </c>
      <c r="G29" s="100">
        <f>IFERROR(IF(VLOOKUP($A29,'Annex 2 EHV charges'!$A:$O,10,FALSE)=0,"",VLOOKUP($A29,'Annex 2 EHV charges'!$A:$O,10,FALSE)),"")</f>
        <v>1.44</v>
      </c>
      <c r="H29" s="100">
        <f>IFERROR(IF(VLOOKUP($A29,'Annex 2 EHV charges'!$A:$O,11,FALSE)=0,"",VLOOKUP($A29,'Annex 2 EHV charges'!$A:$O,11,FALSE)),"")</f>
        <v>1.44</v>
      </c>
    </row>
    <row r="30" spans="1:8" ht="12.75" customHeight="1">
      <c r="A30" s="93" t="str">
        <f t="array" ref="A30">IFERROR(INDEX('Annex 2 EHV charges'!$A$11:$A$59, MATCH(0, IF(ISBLANK('Annex 2 EHV charges'!$A$11:$A$59),1, COUNTIF(A$4:$A29, 'Annex 2 EHV charges'!$A$11:$A$59)), 0)),"")</f>
        <v>LU_STE</v>
      </c>
      <c r="B30" s="93">
        <f>IF($A30="","",VLOOKUP($A30,'Annex 2 EHV charges'!$A:$O,2,0))</f>
        <v>839</v>
      </c>
      <c r="C30" s="94" t="str">
        <f>IF($A30="","",VLOOKUP($A30,'Annex 2 EHV charges'!$A:$O,3,0))</f>
        <v>1200010157225
1200010157234</v>
      </c>
      <c r="D30" s="93" t="str">
        <f>IF($A30="","",VLOOKUP($A30,'Annex 2 EHV charges'!$A:$O,7,0))</f>
        <v>LU_STE</v>
      </c>
      <c r="E30" s="98" t="str">
        <f>IFERROR(IF(VLOOKUP($A30,'Annex 2 EHV charges'!$A:$O,8,FALSE)=0,"",VLOOKUP($A30,'Annex 2 EHV charges'!$A:$O,8,FALSE)),"")</f>
        <v/>
      </c>
      <c r="F30" s="99">
        <f>IFERROR(IF(VLOOKUP($A30,'Annex 2 EHV charges'!$A:$O,9,FALSE)=0,"",VLOOKUP($A30,'Annex 2 EHV charges'!$A:$O,9,FALSE)),"")</f>
        <v>50003.99</v>
      </c>
      <c r="G30" s="100">
        <f>IFERROR(IF(VLOOKUP($A30,'Annex 2 EHV charges'!$A:$O,10,FALSE)=0,"",VLOOKUP($A30,'Annex 2 EHV charges'!$A:$O,10,FALSE)),"")</f>
        <v>2.93</v>
      </c>
      <c r="H30" s="100">
        <f>IFERROR(IF(VLOOKUP($A30,'Annex 2 EHV charges'!$A:$O,11,FALSE)=0,"",VLOOKUP($A30,'Annex 2 EHV charges'!$A:$O,11,FALSE)),"")</f>
        <v>2.93</v>
      </c>
    </row>
    <row r="31" spans="1:8" ht="12.75" customHeight="1">
      <c r="A31" s="93" t="str">
        <f t="array" ref="A31">IFERROR(INDEX('Annex 2 EHV charges'!$A$11:$A$59, MATCH(0, IF(ISBLANK('Annex 2 EHV charges'!$A$11:$A$59),1, COUNTIF(A$4:$A30, 'Annex 2 EHV charges'!$A$11:$A$59)), 0)),"")</f>
        <v>MRKLNE</v>
      </c>
      <c r="B31" s="93">
        <f>IF($A31="","",VLOOKUP($A31,'Annex 2 EHV charges'!$A:$O,2,0))</f>
        <v>806</v>
      </c>
      <c r="C31" s="94" t="str">
        <f>IF($A31="","",VLOOKUP($A31,'Annex 2 EHV charges'!$A:$O,3,0))</f>
        <v>1200061378624
1200061378633</v>
      </c>
      <c r="D31" s="93" t="str">
        <f>IF($A31="","",VLOOKUP($A31,'Annex 2 EHV charges'!$A:$O,7,0))</f>
        <v>MRKLNE</v>
      </c>
      <c r="E31" s="98">
        <f>IFERROR(IF(VLOOKUP($A31,'Annex 2 EHV charges'!$A:$O,8,FALSE)=0,"",VLOOKUP($A31,'Annex 2 EHV charges'!$A:$O,8,FALSE)),"")</f>
        <v>0.17299999999999999</v>
      </c>
      <c r="F31" s="99">
        <f>IFERROR(IF(VLOOKUP($A31,'Annex 2 EHV charges'!$A:$O,9,FALSE)=0,"",VLOOKUP($A31,'Annex 2 EHV charges'!$A:$O,9,FALSE)),"")</f>
        <v>1262.78</v>
      </c>
      <c r="G31" s="100">
        <f>IFERROR(IF(VLOOKUP($A31,'Annex 2 EHV charges'!$A:$O,10,FALSE)=0,"",VLOOKUP($A31,'Annex 2 EHV charges'!$A:$O,10,FALSE)),"")</f>
        <v>1.83</v>
      </c>
      <c r="H31" s="100">
        <f>IFERROR(IF(VLOOKUP($A31,'Annex 2 EHV charges'!$A:$O,11,FALSE)=0,"",VLOOKUP($A31,'Annex 2 EHV charges'!$A:$O,11,FALSE)),"")</f>
        <v>1.83</v>
      </c>
    </row>
    <row r="32" spans="1:8" ht="12.75" customHeight="1">
      <c r="A32" s="93" t="str">
        <f t="array" ref="A32">IFERROR(INDEX('Annex 2 EHV charges'!$A$11:$A$59, MATCH(0, IF(ISBLANK('Annex 2 EHV charges'!$A$11:$A$59),1, COUNTIF(A$4:$A31, 'Annex 2 EHV charges'!$A$11:$A$59)), 0)),"")</f>
        <v>NGC_BA</v>
      </c>
      <c r="B32" s="93">
        <f>IF($A32="","",VLOOKUP($A32,'Annex 2 EHV charges'!$A:$O,2,0))</f>
        <v>817</v>
      </c>
      <c r="C32" s="94" t="str">
        <f>IF($A32="","",VLOOKUP($A32,'Annex 2 EHV charges'!$A:$O,3,0))</f>
        <v>1200010151863
1200010151872</v>
      </c>
      <c r="D32" s="93" t="str">
        <f>IF($A32="","",VLOOKUP($A32,'Annex 2 EHV charges'!$A:$O,7,0))</f>
        <v>NGC_BA</v>
      </c>
      <c r="E32" s="98">
        <f>IFERROR(IF(VLOOKUP($A32,'Annex 2 EHV charges'!$A:$O,8,FALSE)=0,"",VLOOKUP($A32,'Annex 2 EHV charges'!$A:$O,8,FALSE)),"")</f>
        <v>0.25800000000000001</v>
      </c>
      <c r="F32" s="99">
        <f>IFERROR(IF(VLOOKUP($A32,'Annex 2 EHV charges'!$A:$O,9,FALSE)=0,"",VLOOKUP($A32,'Annex 2 EHV charges'!$A:$O,9,FALSE)),"")</f>
        <v>870.46</v>
      </c>
      <c r="G32" s="100">
        <f>IFERROR(IF(VLOOKUP($A32,'Annex 2 EHV charges'!$A:$O,10,FALSE)=0,"",VLOOKUP($A32,'Annex 2 EHV charges'!$A:$O,10,FALSE)),"")</f>
        <v>0.8</v>
      </c>
      <c r="H32" s="100">
        <f>IFERROR(IF(VLOOKUP($A32,'Annex 2 EHV charges'!$A:$O,11,FALSE)=0,"",VLOOKUP($A32,'Annex 2 EHV charges'!$A:$O,11,FALSE)),"")</f>
        <v>0.8</v>
      </c>
    </row>
    <row r="33" spans="1:8" ht="12.75" customHeight="1">
      <c r="A33" s="93" t="str">
        <f t="array" ref="A33">IFERROR(INDEX('Annex 2 EHV charges'!$A$11:$A$59, MATCH(0, IF(ISBLANK('Annex 2 EHV charges'!$A$11:$A$59),1, COUNTIF(A$4:$A32, 'Annex 2 EHV charges'!$A$11:$A$59)), 0)),"")</f>
        <v>NR_BOW</v>
      </c>
      <c r="B33" s="93">
        <f>IF($A33="","",VLOOKUP($A33,'Annex 2 EHV charges'!$A:$O,2,0))</f>
        <v>807</v>
      </c>
      <c r="C33" s="94" t="str">
        <f>IF($A33="","",VLOOKUP($A33,'Annex 2 EHV charges'!$A:$O,3,0))</f>
        <v>1200060280440
1200060280468</v>
      </c>
      <c r="D33" s="93" t="str">
        <f>IF($A33="","",VLOOKUP($A33,'Annex 2 EHV charges'!$A:$O,7,0))</f>
        <v>NR_BOW</v>
      </c>
      <c r="E33" s="98" t="str">
        <f>IFERROR(IF(VLOOKUP($A33,'Annex 2 EHV charges'!$A:$O,8,FALSE)=0,"",VLOOKUP($A33,'Annex 2 EHV charges'!$A:$O,8,FALSE)),"")</f>
        <v/>
      </c>
      <c r="F33" s="99">
        <f>IFERROR(IF(VLOOKUP($A33,'Annex 2 EHV charges'!$A:$O,9,FALSE)=0,"",VLOOKUP($A33,'Annex 2 EHV charges'!$A:$O,9,FALSE)),"")</f>
        <v>22833.279999999999</v>
      </c>
      <c r="G33" s="100">
        <f>IFERROR(IF(VLOOKUP($A33,'Annex 2 EHV charges'!$A:$O,10,FALSE)=0,"",VLOOKUP($A33,'Annex 2 EHV charges'!$A:$O,10,FALSE)),"")</f>
        <v>3.99</v>
      </c>
      <c r="H33" s="100">
        <f>IFERROR(IF(VLOOKUP($A33,'Annex 2 EHV charges'!$A:$O,11,FALSE)=0,"",VLOOKUP($A33,'Annex 2 EHV charges'!$A:$O,11,FALSE)),"")</f>
        <v>3.99</v>
      </c>
    </row>
    <row r="34" spans="1:8" ht="12.75" customHeight="1">
      <c r="A34" s="93" t="str">
        <f t="array" ref="A34">IFERROR(INDEX('Annex 2 EHV charges'!$A$11:$A$59, MATCH(0, IF(ISBLANK('Annex 2 EHV charges'!$A$11:$A$59),1, COUNTIF(A$4:$A33, 'Annex 2 EHV charges'!$A$11:$A$59)), 0)),"")</f>
        <v>NR_BRO</v>
      </c>
      <c r="B34" s="93">
        <f>IF($A34="","",VLOOKUP($A34,'Annex 2 EHV charges'!$A:$O,2,0))</f>
        <v>847</v>
      </c>
      <c r="C34" s="94">
        <f>IF($A34="","",VLOOKUP($A34,'Annex 2 EHV charges'!$A:$O,3,0))</f>
        <v>1200010251559</v>
      </c>
      <c r="D34" s="93" t="str">
        <f>IF($A34="","",VLOOKUP($A34,'Annex 2 EHV charges'!$A:$O,7,0))</f>
        <v>NR_BRO</v>
      </c>
      <c r="E34" s="98" t="str">
        <f>IFERROR(IF(VLOOKUP($A34,'Annex 2 EHV charges'!$A:$O,8,FALSE)=0,"",VLOOKUP($A34,'Annex 2 EHV charges'!$A:$O,8,FALSE)),"")</f>
        <v/>
      </c>
      <c r="F34" s="99">
        <f>IFERROR(IF(VLOOKUP($A34,'Annex 2 EHV charges'!$A:$O,9,FALSE)=0,"",VLOOKUP($A34,'Annex 2 EHV charges'!$A:$O,9,FALSE)),"")</f>
        <v>46038.69</v>
      </c>
      <c r="G34" s="100">
        <f>IFERROR(IF(VLOOKUP($A34,'Annex 2 EHV charges'!$A:$O,10,FALSE)=0,"",VLOOKUP($A34,'Annex 2 EHV charges'!$A:$O,10,FALSE)),"")</f>
        <v>1.68</v>
      </c>
      <c r="H34" s="100">
        <f>IFERROR(IF(VLOOKUP($A34,'Annex 2 EHV charges'!$A:$O,11,FALSE)=0,"",VLOOKUP($A34,'Annex 2 EHV charges'!$A:$O,11,FALSE)),"")</f>
        <v>1.68</v>
      </c>
    </row>
    <row r="35" spans="1:8" ht="12.75" customHeight="1">
      <c r="A35" s="93" t="str">
        <f t="array" ref="A35">IFERROR(INDEX('Annex 2 EHV charges'!$A$11:$A$59, MATCH(0, IF(ISBLANK('Annex 2 EHV charges'!$A$11:$A$59),1, COUNTIF(A$4:$A34, 'Annex 2 EHV charges'!$A$11:$A$59)), 0)),"")</f>
        <v>NR_CIT</v>
      </c>
      <c r="B35" s="93">
        <f>IF($A35="","",VLOOKUP($A35,'Annex 2 EHV charges'!$A:$O,2,0))</f>
        <v>846</v>
      </c>
      <c r="C35" s="94">
        <f>IF($A35="","",VLOOKUP($A35,'Annex 2 EHV charges'!$A:$O,3,0))</f>
        <v>1200010251521</v>
      </c>
      <c r="D35" s="93" t="str">
        <f>IF($A35="","",VLOOKUP($A35,'Annex 2 EHV charges'!$A:$O,7,0))</f>
        <v>NR_CIT</v>
      </c>
      <c r="E35" s="98">
        <f>IFERROR(IF(VLOOKUP($A35,'Annex 2 EHV charges'!$A:$O,8,FALSE)=0,"",VLOOKUP($A35,'Annex 2 EHV charges'!$A:$O,8,FALSE)),"")</f>
        <v>2.6509999999999998</v>
      </c>
      <c r="F35" s="99">
        <f>IFERROR(IF(VLOOKUP($A35,'Annex 2 EHV charges'!$A:$O,9,FALSE)=0,"",VLOOKUP($A35,'Annex 2 EHV charges'!$A:$O,9,FALSE)),"")</f>
        <v>938.84</v>
      </c>
      <c r="G35" s="100">
        <f>IFERROR(IF(VLOOKUP($A35,'Annex 2 EHV charges'!$A:$O,10,FALSE)=0,"",VLOOKUP($A35,'Annex 2 EHV charges'!$A:$O,10,FALSE)),"")</f>
        <v>2.08</v>
      </c>
      <c r="H35" s="100">
        <f>IFERROR(IF(VLOOKUP($A35,'Annex 2 EHV charges'!$A:$O,11,FALSE)=0,"",VLOOKUP($A35,'Annex 2 EHV charges'!$A:$O,11,FALSE)),"")</f>
        <v>2.08</v>
      </c>
    </row>
    <row r="36" spans="1:8" ht="12.75" customHeight="1">
      <c r="A36" s="93" t="str">
        <f t="array" ref="A36">IFERROR(INDEX('Annex 2 EHV charges'!$A$11:$A$59, MATCH(0, IF(ISBLANK('Annex 2 EHV charges'!$A$11:$A$59),1, COUNTIF(A$4:$A35, 'Annex 2 EHV charges'!$A$11:$A$59)), 0)),"")</f>
        <v>NR_MAD</v>
      </c>
      <c r="B36" s="93">
        <f>IF($A36="","",VLOOKUP($A36,'Annex 2 EHV charges'!$A:$O,2,0))</f>
        <v>840</v>
      </c>
      <c r="C36" s="94">
        <f>IF($A36="","",VLOOKUP($A36,'Annex 2 EHV charges'!$A:$O,3,0))</f>
        <v>1200010251540</v>
      </c>
      <c r="D36" s="93" t="str">
        <f>IF($A36="","",VLOOKUP($A36,'Annex 2 EHV charges'!$A:$O,7,0))</f>
        <v>NR_MAD</v>
      </c>
      <c r="E36" s="98" t="str">
        <f>IFERROR(IF(VLOOKUP($A36,'Annex 2 EHV charges'!$A:$O,8,FALSE)=0,"",VLOOKUP($A36,'Annex 2 EHV charges'!$A:$O,8,FALSE)),"")</f>
        <v/>
      </c>
      <c r="F36" s="99">
        <f>IFERROR(IF(VLOOKUP($A36,'Annex 2 EHV charges'!$A:$O,9,FALSE)=0,"",VLOOKUP($A36,'Annex 2 EHV charges'!$A:$O,9,FALSE)),"")</f>
        <v>1007.21</v>
      </c>
      <c r="G36" s="100">
        <f>IFERROR(IF(VLOOKUP($A36,'Annex 2 EHV charges'!$A:$O,10,FALSE)=0,"",VLOOKUP($A36,'Annex 2 EHV charges'!$A:$O,10,FALSE)),"")</f>
        <v>0.78</v>
      </c>
      <c r="H36" s="100">
        <f>IFERROR(IF(VLOOKUP($A36,'Annex 2 EHV charges'!$A:$O,11,FALSE)=0,"",VLOOKUP($A36,'Annex 2 EHV charges'!$A:$O,11,FALSE)),"")</f>
        <v>0.78</v>
      </c>
    </row>
    <row r="37" spans="1:8" ht="12.75" customHeight="1">
      <c r="A37" s="93" t="str">
        <f t="array" ref="A37">IFERROR(INDEX('Annex 2 EHV charges'!$A$11:$A$59, MATCH(0, IF(ISBLANK('Annex 2 EHV charges'!$A$11:$A$59),1, COUNTIF(A$4:$A36, 'Annex 2 EHV charges'!$A$11:$A$59)), 0)),"")</f>
        <v>NR_W11</v>
      </c>
      <c r="B37" s="93">
        <f>IF($A37="","",VLOOKUP($A37,'Annex 2 EHV charges'!$A:$O,2,0))</f>
        <v>841</v>
      </c>
      <c r="C37" s="94">
        <f>IF($A37="","",VLOOKUP($A37,'Annex 2 EHV charges'!$A:$O,3,0))</f>
        <v>1200010251512</v>
      </c>
      <c r="D37" s="93" t="str">
        <f>IF($A37="","",VLOOKUP($A37,'Annex 2 EHV charges'!$A:$O,7,0))</f>
        <v>NR_W11</v>
      </c>
      <c r="E37" s="98" t="str">
        <f>IFERROR(IF(VLOOKUP($A37,'Annex 2 EHV charges'!$A:$O,8,FALSE)=0,"",VLOOKUP($A37,'Annex 2 EHV charges'!$A:$O,8,FALSE)),"")</f>
        <v/>
      </c>
      <c r="F37" s="99">
        <f>IFERROR(IF(VLOOKUP($A37,'Annex 2 EHV charges'!$A:$O,9,FALSE)=0,"",VLOOKUP($A37,'Annex 2 EHV charges'!$A:$O,9,FALSE)),"")</f>
        <v>23224.55</v>
      </c>
      <c r="G37" s="100">
        <f>IFERROR(IF(VLOOKUP($A37,'Annex 2 EHV charges'!$A:$O,10,FALSE)=0,"",VLOOKUP($A37,'Annex 2 EHV charges'!$A:$O,10,FALSE)),"")</f>
        <v>1.91</v>
      </c>
      <c r="H37" s="100">
        <f>IFERROR(IF(VLOOKUP($A37,'Annex 2 EHV charges'!$A:$O,11,FALSE)=0,"",VLOOKUP($A37,'Annex 2 EHV charges'!$A:$O,11,FALSE)),"")</f>
        <v>1.91</v>
      </c>
    </row>
    <row r="38" spans="1:8" ht="12.75" customHeight="1">
      <c r="A38" s="93" t="str">
        <f t="array" ref="A38">IFERROR(INDEX('Annex 2 EHV charges'!$A$11:$A$59, MATCH(0, IF(ISBLANK('Annex 2 EHV charges'!$A$11:$A$59),1, COUNTIF(A$4:$A37, 'Annex 2 EHV charges'!$A$11:$A$59)), 0)),"")</f>
        <v>NR_W25</v>
      </c>
      <c r="B38" s="93">
        <f>IF($A38="","",VLOOKUP($A38,'Annex 2 EHV charges'!$A:$O,2,0))</f>
        <v>842</v>
      </c>
      <c r="C38" s="94">
        <f>IF($A38="","",VLOOKUP($A38,'Annex 2 EHV charges'!$A:$O,3,0))</f>
        <v>1200010251498</v>
      </c>
      <c r="D38" s="93" t="str">
        <f>IF($A38="","",VLOOKUP($A38,'Annex 2 EHV charges'!$A:$O,7,0))</f>
        <v>NR_W25</v>
      </c>
      <c r="E38" s="98">
        <f>IFERROR(IF(VLOOKUP($A38,'Annex 2 EHV charges'!$A:$O,8,FALSE)=0,"",VLOOKUP($A38,'Annex 2 EHV charges'!$A:$O,8,FALSE)),"")</f>
        <v>4.4999999999999998E-2</v>
      </c>
      <c r="F38" s="99">
        <f>IFERROR(IF(VLOOKUP($A38,'Annex 2 EHV charges'!$A:$O,9,FALSE)=0,"",VLOOKUP($A38,'Annex 2 EHV charges'!$A:$O,9,FALSE)),"")</f>
        <v>22398.720000000001</v>
      </c>
      <c r="G38" s="100">
        <f>IFERROR(IF(VLOOKUP($A38,'Annex 2 EHV charges'!$A:$O,10,FALSE)=0,"",VLOOKUP($A38,'Annex 2 EHV charges'!$A:$O,10,FALSE)),"")</f>
        <v>2.37</v>
      </c>
      <c r="H38" s="100">
        <f>IFERROR(IF(VLOOKUP($A38,'Annex 2 EHV charges'!$A:$O,11,FALSE)=0,"",VLOOKUP($A38,'Annex 2 EHV charges'!$A:$O,11,FALSE)),"")</f>
        <v>2.37</v>
      </c>
    </row>
    <row r="39" spans="1:8" ht="12.75" customHeight="1">
      <c r="A39" s="93" t="str">
        <f t="array" ref="A39">IFERROR(INDEX('Annex 2 EHV charges'!$A$11:$A$59, MATCH(0, IF(ISBLANK('Annex 2 EHV charges'!$A$11:$A$59),1, COUNTIF(A$4:$A38, 'Annex 2 EHV charges'!$A$11:$A$59)), 0)),"")</f>
        <v>NR_WES</v>
      </c>
      <c r="B39" s="93">
        <f>IF($A39="","",VLOOKUP($A39,'Annex 2 EHV charges'!$A:$O,2,0))</f>
        <v>848</v>
      </c>
      <c r="C39" s="94">
        <f>IF($A39="","",VLOOKUP($A39,'Annex 2 EHV charges'!$A:$O,3,0))</f>
        <v>1200010251568</v>
      </c>
      <c r="D39" s="93" t="str">
        <f>IF($A39="","",VLOOKUP($A39,'Annex 2 EHV charges'!$A:$O,7,0))</f>
        <v>NR_WES</v>
      </c>
      <c r="E39" s="98" t="str">
        <f>IFERROR(IF(VLOOKUP($A39,'Annex 2 EHV charges'!$A:$O,8,FALSE)=0,"",VLOOKUP($A39,'Annex 2 EHV charges'!$A:$O,8,FALSE)),"")</f>
        <v/>
      </c>
      <c r="F39" s="99">
        <f>IFERROR(IF(VLOOKUP($A39,'Annex 2 EHV charges'!$A:$O,9,FALSE)=0,"",VLOOKUP($A39,'Annex 2 EHV charges'!$A:$O,9,FALSE)),"")</f>
        <v>48741.78</v>
      </c>
      <c r="G39" s="100">
        <f>IFERROR(IF(VLOOKUP($A39,'Annex 2 EHV charges'!$A:$O,10,FALSE)=0,"",VLOOKUP($A39,'Annex 2 EHV charges'!$A:$O,10,FALSE)),"")</f>
        <v>2.02</v>
      </c>
      <c r="H39" s="100">
        <f>IFERROR(IF(VLOOKUP($A39,'Annex 2 EHV charges'!$A:$O,11,FALSE)=0,"",VLOOKUP($A39,'Annex 2 EHV charges'!$A:$O,11,FALSE)),"")</f>
        <v>2.02</v>
      </c>
    </row>
    <row r="40" spans="1:8" ht="12.75" customHeight="1">
      <c r="A40" s="93" t="str">
        <f t="array" ref="A40">IFERROR(INDEX('Annex 2 EHV charges'!$A$11:$A$59, MATCH(0, IF(ISBLANK('Annex 2 EHV charges'!$A$11:$A$59),1, COUNTIF(A$4:$A39, 'Annex 2 EHV charges'!$A$11:$A$59)), 0)),"")</f>
        <v>NR_WHI</v>
      </c>
      <c r="B40" s="93">
        <f>IF($A40="","",VLOOKUP($A40,'Annex 2 EHV charges'!$A:$O,2,0))</f>
        <v>849</v>
      </c>
      <c r="C40" s="94">
        <f>IF($A40="","",VLOOKUP($A40,'Annex 2 EHV charges'!$A:$O,3,0))</f>
        <v>1200050493611</v>
      </c>
      <c r="D40" s="93" t="str">
        <f>IF($A40="","",VLOOKUP($A40,'Annex 2 EHV charges'!$A:$O,7,0))</f>
        <v>NR_WHI</v>
      </c>
      <c r="E40" s="98">
        <f>IFERROR(IF(VLOOKUP($A40,'Annex 2 EHV charges'!$A:$O,8,FALSE)=0,"",VLOOKUP($A40,'Annex 2 EHV charges'!$A:$O,8,FALSE)),"")</f>
        <v>4</v>
      </c>
      <c r="F40" s="99">
        <f>IFERROR(IF(VLOOKUP($A40,'Annex 2 EHV charges'!$A:$O,9,FALSE)=0,"",VLOOKUP($A40,'Annex 2 EHV charges'!$A:$O,9,FALSE)),"")</f>
        <v>938.84</v>
      </c>
      <c r="G40" s="100">
        <f>IFERROR(IF(VLOOKUP($A40,'Annex 2 EHV charges'!$A:$O,10,FALSE)=0,"",VLOOKUP($A40,'Annex 2 EHV charges'!$A:$O,10,FALSE)),"")</f>
        <v>2.5499999999999998</v>
      </c>
      <c r="H40" s="100">
        <f>IFERROR(IF(VLOOKUP($A40,'Annex 2 EHV charges'!$A:$O,11,FALSE)=0,"",VLOOKUP($A40,'Annex 2 EHV charges'!$A:$O,11,FALSE)),"")</f>
        <v>2.5499999999999998</v>
      </c>
    </row>
    <row r="41" spans="1:8" ht="12.75" customHeight="1">
      <c r="A41" s="93" t="str">
        <f t="array" ref="A41">IFERROR(INDEX('Annex 2 EHV charges'!$A$11:$A$59, MATCH(0, IF(ISBLANK('Annex 2 EHV charges'!$A$11:$A$59),1, COUNTIF(A$4:$A40, 'Annex 2 EHV charges'!$A$11:$A$59)), 0)),"")</f>
        <v>NR_WIM</v>
      </c>
      <c r="B41" s="93">
        <f>IF($A41="","",VLOOKUP($A41,'Annex 2 EHV charges'!$A:$O,2,0))</f>
        <v>844</v>
      </c>
      <c r="C41" s="94">
        <f>IF($A41="","",VLOOKUP($A41,'Annex 2 EHV charges'!$A:$O,3,0))</f>
        <v>1200010200874</v>
      </c>
      <c r="D41" s="93" t="str">
        <f>IF($A41="","",VLOOKUP($A41,'Annex 2 EHV charges'!$A:$O,7,0))</f>
        <v>NR_WIM</v>
      </c>
      <c r="E41" s="98" t="str">
        <f>IFERROR(IF(VLOOKUP($A41,'Annex 2 EHV charges'!$A:$O,8,FALSE)=0,"",VLOOKUP($A41,'Annex 2 EHV charges'!$A:$O,8,FALSE)),"")</f>
        <v/>
      </c>
      <c r="F41" s="99">
        <f>IFERROR(IF(VLOOKUP($A41,'Annex 2 EHV charges'!$A:$O,9,FALSE)=0,"",VLOOKUP($A41,'Annex 2 EHV charges'!$A:$O,9,FALSE)),"")</f>
        <v>52121.53</v>
      </c>
      <c r="G41" s="100">
        <f>IFERROR(IF(VLOOKUP($A41,'Annex 2 EHV charges'!$A:$O,10,FALSE)=0,"",VLOOKUP($A41,'Annex 2 EHV charges'!$A:$O,10,FALSE)),"")</f>
        <v>2.0499999999999998</v>
      </c>
      <c r="H41" s="100">
        <f>IFERROR(IF(VLOOKUP($A41,'Annex 2 EHV charges'!$A:$O,11,FALSE)=0,"",VLOOKUP($A41,'Annex 2 EHV charges'!$A:$O,11,FALSE)),"")</f>
        <v>2.0499999999999998</v>
      </c>
    </row>
    <row r="42" spans="1:8" ht="12.75" customHeight="1">
      <c r="A42" s="93" t="str">
        <f t="array" ref="A42">IFERROR(INDEX('Annex 2 EHV charges'!$A$11:$A$59, MATCH(0, IF(ISBLANK('Annex 2 EHV charges'!$A$11:$A$59),1, COUNTIF(A$4:$A41, 'Annex 2 EHV charges'!$A$11:$A$59)), 0)),"")</f>
        <v>TELEHW</v>
      </c>
      <c r="B42" s="93">
        <f>IF($A42="","",VLOOKUP($A42,'Annex 2 EHV charges'!$A:$O,2,0))</f>
        <v>809</v>
      </c>
      <c r="C42" s="94" t="str">
        <f>IF($A42="","",VLOOKUP($A42,'Annex 2 EHV charges'!$A:$O,3,0))</f>
        <v>1200060951114
1200060951123</v>
      </c>
      <c r="D42" s="93" t="str">
        <f>IF($A42="","",VLOOKUP($A42,'Annex 2 EHV charges'!$A:$O,7,0))</f>
        <v>TELEHW</v>
      </c>
      <c r="E42" s="98" t="str">
        <f>IFERROR(IF(VLOOKUP($A42,'Annex 2 EHV charges'!$A:$O,8,FALSE)=0,"",VLOOKUP($A42,'Annex 2 EHV charges'!$A:$O,8,FALSE)),"")</f>
        <v/>
      </c>
      <c r="F42" s="99">
        <f>IFERROR(IF(VLOOKUP($A42,'Annex 2 EHV charges'!$A:$O,9,FALSE)=0,"",VLOOKUP($A42,'Annex 2 EHV charges'!$A:$O,9,FALSE)),"")</f>
        <v>44821.919999999998</v>
      </c>
      <c r="G42" s="100">
        <f>IFERROR(IF(VLOOKUP($A42,'Annex 2 EHV charges'!$A:$O,10,FALSE)=0,"",VLOOKUP($A42,'Annex 2 EHV charges'!$A:$O,10,FALSE)),"")</f>
        <v>1.6</v>
      </c>
      <c r="H42" s="100">
        <f>IFERROR(IF(VLOOKUP($A42,'Annex 2 EHV charges'!$A:$O,11,FALSE)=0,"",VLOOKUP($A42,'Annex 2 EHV charges'!$A:$O,11,FALSE)),"")</f>
        <v>1.6</v>
      </c>
    </row>
    <row r="43" spans="1:8" ht="12.75" customHeight="1">
      <c r="A43" s="93" t="str">
        <f t="array" ref="A43">IFERROR(INDEX('Annex 2 EHV charges'!$A$11:$A$59, MATCH(0, IF(ISBLANK('Annex 2 EHV charges'!$A$11:$A$59),1, COUNTIF(A$4:$A42, 'Annex 2 EHV charges'!$A$11:$A$59)), 0)),"")</f>
        <v>THAMEB</v>
      </c>
      <c r="B43" s="93">
        <f>IF($A43="","",VLOOKUP($A43,'Annex 2 EHV charges'!$A:$O,2,0))</f>
        <v>828</v>
      </c>
      <c r="C43" s="94" t="str">
        <f>IF($A43="","",VLOOKUP($A43,'Annex 2 EHV charges'!$A:$O,3,0))</f>
        <v>1200010146153
1200010146162
1200010146171
1200061197703</v>
      </c>
      <c r="D43" s="93" t="str">
        <f>IF($A43="","",VLOOKUP($A43,'Annex 2 EHV charges'!$A:$O,7,0))</f>
        <v>THAMEB</v>
      </c>
      <c r="E43" s="98" t="str">
        <f>IFERROR(IF(VLOOKUP($A43,'Annex 2 EHV charges'!$A:$O,8,FALSE)=0,"",VLOOKUP($A43,'Annex 2 EHV charges'!$A:$O,8,FALSE)),"")</f>
        <v/>
      </c>
      <c r="F43" s="99">
        <f>IFERROR(IF(VLOOKUP($A43,'Annex 2 EHV charges'!$A:$O,9,FALSE)=0,"",VLOOKUP($A43,'Annex 2 EHV charges'!$A:$O,9,FALSE)),"")</f>
        <v>47159.57</v>
      </c>
      <c r="G43" s="100">
        <f>IFERROR(IF(VLOOKUP($A43,'Annex 2 EHV charges'!$A:$O,10,FALSE)=0,"",VLOOKUP($A43,'Annex 2 EHV charges'!$A:$O,10,FALSE)),"")</f>
        <v>0.6</v>
      </c>
      <c r="H43" s="100">
        <f>IFERROR(IF(VLOOKUP($A43,'Annex 2 EHV charges'!$A:$O,11,FALSE)=0,"",VLOOKUP($A43,'Annex 2 EHV charges'!$A:$O,11,FALSE)),"")</f>
        <v>0.6</v>
      </c>
    </row>
    <row r="44" spans="1:8" ht="12.75" customHeight="1">
      <c r="A44" s="93" t="str">
        <f t="array" ref="A44">IFERROR(INDEX('Annex 2 EHV charges'!$A$11:$A$59, MATCH(0, IF(ISBLANK('Annex 2 EHV charges'!$A$11:$A$59),1, COUNTIF(A$4:$A43, 'Annex 2 EHV charges'!$A$11:$A$59)), 0)),"")</f>
        <v>THAMEC</v>
      </c>
      <c r="B44" s="93">
        <f>IF($A44="","",VLOOKUP($A44,'Annex 2 EHV charges'!$A:$O,2,0))</f>
        <v>802</v>
      </c>
      <c r="C44" s="94" t="str">
        <f>IF($A44="","",VLOOKUP($A44,'Annex 2 EHV charges'!$A:$O,3,0))</f>
        <v>1200061171324
1200061171333</v>
      </c>
      <c r="D44" s="93" t="str">
        <f>IF($A44="","",VLOOKUP($A44,'Annex 2 EHV charges'!$A:$O,7,0))</f>
        <v>THAMEC</v>
      </c>
      <c r="E44" s="98" t="str">
        <f>IFERROR(IF(VLOOKUP($A44,'Annex 2 EHV charges'!$A:$O,8,FALSE)=0,"",VLOOKUP($A44,'Annex 2 EHV charges'!$A:$O,8,FALSE)),"")</f>
        <v/>
      </c>
      <c r="F44" s="99">
        <f>IFERROR(IF(VLOOKUP($A44,'Annex 2 EHV charges'!$A:$O,9,FALSE)=0,"",VLOOKUP($A44,'Annex 2 EHV charges'!$A:$O,9,FALSE)),"")</f>
        <v>46747.44</v>
      </c>
      <c r="G44" s="100">
        <f>IFERROR(IF(VLOOKUP($A44,'Annex 2 EHV charges'!$A:$O,10,FALSE)=0,"",VLOOKUP($A44,'Annex 2 EHV charges'!$A:$O,10,FALSE)),"")</f>
        <v>1.17</v>
      </c>
      <c r="H44" s="100">
        <f>IFERROR(IF(VLOOKUP($A44,'Annex 2 EHV charges'!$A:$O,11,FALSE)=0,"",VLOOKUP($A44,'Annex 2 EHV charges'!$A:$O,11,FALSE)),"")</f>
        <v>1.17</v>
      </c>
    </row>
    <row r="45" spans="1:8" ht="12.75" customHeight="1">
      <c r="A45" s="93" t="str">
        <f t="array" ref="A45">IFERROR(INDEX('Annex 2 EHV charges'!$A$11:$A$59, MATCH(0, IF(ISBLANK('Annex 2 EHV charges'!$A$11:$A$59),1, COUNTIF(A$4:$A44, 'Annex 2 EHV charges'!$A$11:$A$59)), 0)),"")</f>
        <v>TWCHST</v>
      </c>
      <c r="B45" s="93">
        <f>IF($A45="","",VLOOKUP($A45,'Annex 2 EHV charges'!$A:$O,2,0))</f>
        <v>819</v>
      </c>
      <c r="C45" s="94">
        <f>IF($A45="","",VLOOKUP($A45,'Annex 2 EHV charges'!$A:$O,3,0))</f>
        <v>1200061990150</v>
      </c>
      <c r="D45" s="93" t="str">
        <f>IF($A45="","",VLOOKUP($A45,'Annex 2 EHV charges'!$A:$O,7,0))</f>
        <v>TWCHST</v>
      </c>
      <c r="E45" s="98" t="str">
        <f>IFERROR(IF(VLOOKUP($A45,'Annex 2 EHV charges'!$A:$O,8,FALSE)=0,"",VLOOKUP($A45,'Annex 2 EHV charges'!$A:$O,8,FALSE)),"")</f>
        <v/>
      </c>
      <c r="F45" s="99">
        <f>IFERROR(IF(VLOOKUP($A45,'Annex 2 EHV charges'!$A:$O,9,FALSE)=0,"",VLOOKUP($A45,'Annex 2 EHV charges'!$A:$O,9,FALSE)),"")</f>
        <v>9089.8799999999992</v>
      </c>
      <c r="G45" s="100">
        <f>IFERROR(IF(VLOOKUP($A45,'Annex 2 EHV charges'!$A:$O,10,FALSE)=0,"",VLOOKUP($A45,'Annex 2 EHV charges'!$A:$O,10,FALSE)),"")</f>
        <v>0.53</v>
      </c>
      <c r="H45" s="100">
        <f>IFERROR(IF(VLOOKUP($A45,'Annex 2 EHV charges'!$A:$O,11,FALSE)=0,"",VLOOKUP($A45,'Annex 2 EHV charges'!$A:$O,11,FALSE)),"")</f>
        <v>0.53</v>
      </c>
    </row>
    <row r="46" spans="1:8" ht="12.75" customHeight="1">
      <c r="A46" s="93" t="str">
        <f t="array" ref="A46">IFERROR(INDEX('Annex 2 EHV charges'!$A$11:$A$59, MATCH(0, IF(ISBLANK('Annex 2 EHV charges'!$A$11:$A$59),1, COUNTIF(A$4:$A45, 'Annex 2 EHV charges'!$A$11:$A$59)), 0)),"")</f>
        <v>TWGNCH</v>
      </c>
      <c r="B46" s="93">
        <f>IF($A46="","",VLOOKUP($A46,'Annex 2 EHV charges'!$A:$O,2,0))</f>
        <v>822</v>
      </c>
      <c r="C46" s="94">
        <f>IF($A46="","",VLOOKUP($A46,'Annex 2 EHV charges'!$A:$O,3,0))</f>
        <v>1200061990319</v>
      </c>
      <c r="D46" s="93" t="str">
        <f>IF($A46="","",VLOOKUP($A46,'Annex 2 EHV charges'!$A:$O,7,0))</f>
        <v>TWGNCH</v>
      </c>
      <c r="E46" s="98" t="str">
        <f>IFERROR(IF(VLOOKUP($A46,'Annex 2 EHV charges'!$A:$O,8,FALSE)=0,"",VLOOKUP($A46,'Annex 2 EHV charges'!$A:$O,8,FALSE)),"")</f>
        <v/>
      </c>
      <c r="F46" s="99">
        <f>IFERROR(IF(VLOOKUP($A46,'Annex 2 EHV charges'!$A:$O,9,FALSE)=0,"",VLOOKUP($A46,'Annex 2 EHV charges'!$A:$O,9,FALSE)),"")</f>
        <v>1007.21</v>
      </c>
      <c r="G46" s="100">
        <f>IFERROR(IF(VLOOKUP($A46,'Annex 2 EHV charges'!$A:$O,10,FALSE)=0,"",VLOOKUP($A46,'Annex 2 EHV charges'!$A:$O,10,FALSE)),"")</f>
        <v>0.59</v>
      </c>
      <c r="H46" s="100">
        <f>IFERROR(IF(VLOOKUP($A46,'Annex 2 EHV charges'!$A:$O,11,FALSE)=0,"",VLOOKUP($A46,'Annex 2 EHV charges'!$A:$O,11,FALSE)),"")</f>
        <v>0.59</v>
      </c>
    </row>
    <row r="47" spans="1:8" ht="12.75" customHeight="1">
      <c r="A47" s="93" t="str">
        <f t="array" ref="A47">IFERROR(INDEX('Annex 2 EHV charges'!$A$11:$A$59, MATCH(0, IF(ISBLANK('Annex 2 EHV charges'!$A$11:$A$59),1, COUNTIF(A$4:$A46, 'Annex 2 EHV charges'!$A$11:$A$59)), 0)),"")</f>
        <v>TWKIRT</v>
      </c>
      <c r="B47" s="93">
        <f>IF($A47="","",VLOOKUP($A47,'Annex 2 EHV charges'!$A:$O,2,0))</f>
        <v>823</v>
      </c>
      <c r="C47" s="94" t="str">
        <f>IF($A47="","",VLOOKUP($A47,'Annex 2 EHV charges'!$A:$O,3,0))</f>
        <v>1200061999491
1200061999507
1200062001242
1200062001251</v>
      </c>
      <c r="D47" s="93" t="str">
        <f>IF($A47="","",VLOOKUP($A47,'Annex 2 EHV charges'!$A:$O,7,0))</f>
        <v>TWKIRT</v>
      </c>
      <c r="E47" s="98">
        <f>IFERROR(IF(VLOOKUP($A47,'Annex 2 EHV charges'!$A:$O,8,FALSE)=0,"",VLOOKUP($A47,'Annex 2 EHV charges'!$A:$O,8,FALSE)),"")</f>
        <v>0.65800000000000003</v>
      </c>
      <c r="F47" s="99">
        <f>IFERROR(IF(VLOOKUP($A47,'Annex 2 EHV charges'!$A:$O,9,FALSE)=0,"",VLOOKUP($A47,'Annex 2 EHV charges'!$A:$O,9,FALSE)),"")</f>
        <v>17660.39</v>
      </c>
      <c r="G47" s="100">
        <f>IFERROR(IF(VLOOKUP($A47,'Annex 2 EHV charges'!$A:$O,10,FALSE)=0,"",VLOOKUP($A47,'Annex 2 EHV charges'!$A:$O,10,FALSE)),"")</f>
        <v>1.06</v>
      </c>
      <c r="H47" s="100">
        <f>IFERROR(IF(VLOOKUP($A47,'Annex 2 EHV charges'!$A:$O,11,FALSE)=0,"",VLOOKUP($A47,'Annex 2 EHV charges'!$A:$O,11,FALSE)),"")</f>
        <v>1.06</v>
      </c>
    </row>
    <row r="48" spans="1:8" ht="12.75" customHeight="1">
      <c r="A48" s="93" t="str">
        <f t="array" ref="A48">IFERROR(INDEX('Annex 2 EHV charges'!$A$11:$A$59, MATCH(0, IF(ISBLANK('Annex 2 EHV charges'!$A$11:$A$59),1, COUNTIF(A$4:$A47, 'Annex 2 EHV charges'!$A$11:$A$59)), 0)),"")</f>
        <v>VOLTDC</v>
      </c>
      <c r="B48" s="93">
        <f>IF($A48="","",VLOOKUP($A48,'Annex 2 EHV charges'!$A:$O,2,0))</f>
        <v>803</v>
      </c>
      <c r="C48" s="94" t="str">
        <f>IF($A48="","",VLOOKUP($A48,'Annex 2 EHV charges'!$A:$O,3,0))</f>
        <v>1200061148032
1200061148041</v>
      </c>
      <c r="D48" s="93" t="str">
        <f>IF($A48="","",VLOOKUP($A48,'Annex 2 EHV charges'!$A:$O,7,0))</f>
        <v>VOLTDC</v>
      </c>
      <c r="E48" s="98">
        <f>IFERROR(IF(VLOOKUP($A48,'Annex 2 EHV charges'!$A:$O,8,FALSE)=0,"",VLOOKUP($A48,'Annex 2 EHV charges'!$A:$O,8,FALSE)),"")</f>
        <v>0.20599999999999999</v>
      </c>
      <c r="F48" s="99">
        <f>IFERROR(IF(VLOOKUP($A48,'Annex 2 EHV charges'!$A:$O,9,FALSE)=0,"",VLOOKUP($A48,'Annex 2 EHV charges'!$A:$O,9,FALSE)),"")</f>
        <v>6305.81</v>
      </c>
      <c r="G48" s="100">
        <f>IFERROR(IF(VLOOKUP($A48,'Annex 2 EHV charges'!$A:$O,10,FALSE)=0,"",VLOOKUP($A48,'Annex 2 EHV charges'!$A:$O,10,FALSE)),"")</f>
        <v>1.53</v>
      </c>
      <c r="H48" s="100">
        <f>IFERROR(IF(VLOOKUP($A48,'Annex 2 EHV charges'!$A:$O,11,FALSE)=0,"",VLOOKUP($A48,'Annex 2 EHV charges'!$A:$O,11,FALSE)),"")</f>
        <v>1.53</v>
      </c>
    </row>
    <row r="49" spans="1:8" ht="12.75" customHeight="1">
      <c r="A49" s="93" t="str">
        <f t="array" ref="A49">IFERROR(INDEX('Annex 2 EHV charges'!$A$11:$A$59, MATCH(0, IF(ISBLANK('Annex 2 EHV charges'!$A$11:$A$59),1, COUNTIF(A$4:$A48, 'Annex 2 EHV charges'!$A$11:$A$59)), 0)),"")</f>
        <v>BELVED</v>
      </c>
      <c r="B49" s="93">
        <f>IF($A49="","",VLOOKUP($A49,'Annex 2 EHV charges'!$A:$O,2,0))</f>
        <v>815</v>
      </c>
      <c r="C49" s="94">
        <f>IF($A49="","",VLOOKUP($A49,'Annex 2 EHV charges'!$A:$O,3,0))</f>
        <v>1200060787109</v>
      </c>
      <c r="D49" s="93" t="str">
        <f>IF($A49="","",VLOOKUP($A49,'Annex 2 EHV charges'!$A:$O,7,0))</f>
        <v>BELVED</v>
      </c>
      <c r="E49" s="98" t="str">
        <f>IFERROR(IF(VLOOKUP($A49,'Annex 2 EHV charges'!$A:$O,8,FALSE)=0,"",VLOOKUP($A49,'Annex 2 EHV charges'!$A:$O,8,FALSE)),"")</f>
        <v/>
      </c>
      <c r="F49" s="99">
        <f>IFERROR(IF(VLOOKUP($A49,'Annex 2 EHV charges'!$A:$O,9,FALSE)=0,"",VLOOKUP($A49,'Annex 2 EHV charges'!$A:$O,9,FALSE)),"")</f>
        <v>44193.47</v>
      </c>
      <c r="G49" s="100">
        <f>IFERROR(IF(VLOOKUP($A49,'Annex 2 EHV charges'!$A:$O,10,FALSE)=0,"",VLOOKUP($A49,'Annex 2 EHV charges'!$A:$O,10,FALSE)),"")</f>
        <v>0.47</v>
      </c>
      <c r="H49" s="100">
        <f>IFERROR(IF(VLOOKUP($A49,'Annex 2 EHV charges'!$A:$O,11,FALSE)=0,"",VLOOKUP($A49,'Annex 2 EHV charges'!$A:$O,11,FALSE)),"")</f>
        <v>0.47</v>
      </c>
    </row>
    <row r="50" spans="1:8" ht="12.75" customHeight="1">
      <c r="A50" s="93" t="str">
        <f t="array" ref="A50">IFERROR(INDEX('Annex 2 EHV charges'!$A$11:$A$59, MATCH(0, IF(ISBLANK('Annex 2 EHV charges'!$A$11:$A$59),1, COUNTIF(A$4:$A49, 'Annex 2 EHV charges'!$A$11:$A$59)), 0)),"")</f>
        <v>SELCHP</v>
      </c>
      <c r="B50" s="93">
        <f>IF($A50="","",VLOOKUP($A50,'Annex 2 EHV charges'!$A:$O,2,0))</f>
        <v>827</v>
      </c>
      <c r="C50" s="94">
        <f>IF($A50="","",VLOOKUP($A50,'Annex 2 EHV charges'!$A:$O,3,0))</f>
        <v>1200010175650</v>
      </c>
      <c r="D50" s="93" t="str">
        <f>IF($A50="","",VLOOKUP($A50,'Annex 2 EHV charges'!$A:$O,7,0))</f>
        <v>SELCHP</v>
      </c>
      <c r="E50" s="98" t="str">
        <f>IFERROR(IF(VLOOKUP($A50,'Annex 2 EHV charges'!$A:$O,8,FALSE)=0,"",VLOOKUP($A50,'Annex 2 EHV charges'!$A:$O,8,FALSE)),"")</f>
        <v/>
      </c>
      <c r="F50" s="99">
        <f>IFERROR(IF(VLOOKUP($A50,'Annex 2 EHV charges'!$A:$O,9,FALSE)=0,"",VLOOKUP($A50,'Annex 2 EHV charges'!$A:$O,9,FALSE)),"")</f>
        <v>1163.32</v>
      </c>
      <c r="G50" s="100">
        <f>IFERROR(IF(VLOOKUP($A50,'Annex 2 EHV charges'!$A:$O,10,FALSE)=0,"",VLOOKUP($A50,'Annex 2 EHV charges'!$A:$O,10,FALSE)),"")</f>
        <v>0.65</v>
      </c>
      <c r="H50" s="100">
        <f>IFERROR(IF(VLOOKUP($A50,'Annex 2 EHV charges'!$A:$O,11,FALSE)=0,"",VLOOKUP($A50,'Annex 2 EHV charges'!$A:$O,11,FALSE)),"")</f>
        <v>0.65</v>
      </c>
    </row>
    <row r="51" spans="1:8" ht="12.75" customHeight="1">
      <c r="A51" s="93" t="str">
        <f t="array" ref="A51">IFERROR(INDEX('Annex 2 EHV charges'!$A$11:$A$59, MATCH(0, IF(ISBLANK('Annex 2 EHV charges'!$A$11:$A$59),1, COUNTIF(A$4:$A50, 'Annex 2 EHV charges'!$A$11:$A$59)), 0)),"")</f>
        <v>TLRSLN</v>
      </c>
      <c r="B51" s="93">
        <f>IF($A51="","",VLOOKUP($A51,'Annex 2 EHV charges'!$A:$O,2,0))</f>
        <v>0</v>
      </c>
      <c r="C51" s="94" t="str">
        <f>IF($A51="","",VLOOKUP($A51,'Annex 2 EHV charges'!$A:$O,3,0))</f>
        <v>MSID: 5538</v>
      </c>
      <c r="D51" s="93" t="str">
        <f>IF($A51="","",VLOOKUP($A51,'Annex 2 EHV charges'!$A:$O,7,0))</f>
        <v>TLRSLN</v>
      </c>
      <c r="E51" s="98" t="str">
        <f>IFERROR(IF(VLOOKUP($A51,'Annex 2 EHV charges'!$A:$O,8,FALSE)=0,"",VLOOKUP($A51,'Annex 2 EHV charges'!$A:$O,8,FALSE)),"")</f>
        <v/>
      </c>
      <c r="F51" s="99">
        <f>IFERROR(IF(VLOOKUP($A51,'Annex 2 EHV charges'!$A:$O,9,FALSE)=0,"",VLOOKUP($A51,'Annex 2 EHV charges'!$A:$O,9,FALSE)),"")</f>
        <v>903.03</v>
      </c>
      <c r="G51" s="100">
        <f>IFERROR(IF(VLOOKUP($A51,'Annex 2 EHV charges'!$A:$O,10,FALSE)=0,"",VLOOKUP($A51,'Annex 2 EHV charges'!$A:$O,10,FALSE)),"")</f>
        <v>0.88</v>
      </c>
      <c r="H51" s="100">
        <f>IFERROR(IF(VLOOKUP($A51,'Annex 2 EHV charges'!$A:$O,11,FALSE)=0,"",VLOOKUP($A51,'Annex 2 EHV charges'!$A:$O,11,FALSE)),"")</f>
        <v>0.88</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10"/>
  <sheetViews>
    <sheetView zoomScale="90" zoomScaleNormal="90" zoomScaleSheetLayoutView="100" workbookViewId="0">
      <selection sqref="A1:H1"/>
    </sheetView>
  </sheetViews>
  <sheetFormatPr defaultRowHeight="12.75"/>
  <cols>
    <col min="1" max="1" width="14.7109375" style="47" customWidth="1"/>
    <col min="2" max="2" width="8.7109375" style="47" customWidth="1"/>
    <col min="3" max="3" width="15.7109375" style="55" bestFit="1" customWidth="1"/>
    <col min="4" max="4" width="50.7109375" style="55" customWidth="1"/>
    <col min="5" max="5" width="14.7109375" style="56" customWidth="1"/>
    <col min="6" max="7" width="14.7109375" style="57" customWidth="1"/>
    <col min="8" max="8" width="14.7109375" style="47" customWidth="1"/>
    <col min="9" max="9" width="15.5703125" style="47" customWidth="1"/>
    <col min="10" max="16384" width="9.140625" style="47"/>
  </cols>
  <sheetData>
    <row r="1" spans="1:15" ht="66.75" customHeight="1">
      <c r="A1" s="269" t="s">
        <v>69</v>
      </c>
      <c r="B1" s="269"/>
      <c r="C1" s="269"/>
      <c r="D1" s="269"/>
      <c r="E1" s="269"/>
      <c r="F1" s="269"/>
      <c r="G1" s="269"/>
      <c r="H1" s="269"/>
    </row>
    <row r="2" spans="1:15" s="48" customFormat="1" ht="25.5" customHeight="1">
      <c r="A2" s="273" t="str">
        <f>Overview!B4&amp; " - Effective from "&amp;Overview!D4&amp;" - "&amp;Overview!E4&amp;" EDCM export charges"</f>
        <v>London Power Networks - Effective from 1 April 2022 - Final EDCM export charges</v>
      </c>
      <c r="B2" s="274"/>
      <c r="C2" s="274"/>
      <c r="D2" s="274"/>
      <c r="E2" s="274"/>
      <c r="F2" s="274"/>
      <c r="G2" s="274"/>
      <c r="H2" s="275"/>
    </row>
    <row r="3" spans="1:15" s="82" customFormat="1" ht="18">
      <c r="A3" s="86"/>
      <c r="B3" s="86"/>
      <c r="C3" s="86"/>
      <c r="D3" s="87"/>
      <c r="E3" s="88"/>
      <c r="F3" s="88"/>
      <c r="G3" s="89"/>
      <c r="H3" s="89"/>
      <c r="I3" s="79"/>
      <c r="J3" s="79"/>
      <c r="K3" s="79"/>
      <c r="L3" s="79"/>
      <c r="M3" s="79"/>
      <c r="N3" s="79"/>
      <c r="O3" s="79"/>
    </row>
    <row r="4" spans="1:15" ht="60.75" customHeight="1">
      <c r="A4" s="49" t="s">
        <v>53</v>
      </c>
      <c r="B4" s="50" t="s">
        <v>35</v>
      </c>
      <c r="C4" s="49" t="s">
        <v>37</v>
      </c>
      <c r="D4" s="51" t="s">
        <v>30</v>
      </c>
      <c r="E4" s="51" t="str">
        <f>'Annex 2 EHV charges'!L10</f>
        <v>Export
Super Red
unit charge
(p/kWh)</v>
      </c>
      <c r="F4" s="51" t="str">
        <f>'Annex 2 EHV charges'!M10</f>
        <v>Export
fixed charge
(p/day)</v>
      </c>
      <c r="G4" s="51" t="str">
        <f>'Annex 2 EHV charges'!N10</f>
        <v>Export
capacity charge
(p/kVA/day)</v>
      </c>
      <c r="H4" s="51" t="str">
        <f>'Annex 2 EHV charges'!O10</f>
        <v>Export
exceeded capacity charge
(p/kVA/day)</v>
      </c>
    </row>
    <row r="5" spans="1:15" ht="12.75" customHeight="1">
      <c r="A5" s="94" t="str">
        <f t="array" ref="A5">IFERROR(INDEX('Annex 2 EHV charges'!$D$11:$D$59, MATCH(0, IF(ISBLANK('Annex 2 EHV charges'!$D$11:$D$59),1, COUNTIF(A$4:$A4, 'Annex 2 EHV charges'!$D$11:$D$59)), 0)),"")</f>
        <v>NR_WES</v>
      </c>
      <c r="B5" s="93">
        <f>IF($A5="","",VLOOKUP($A5,'Annex 2 EHV charges'!$D:$O,2,0))</f>
        <v>716</v>
      </c>
      <c r="C5" s="94">
        <f>IF($A5="","",VLOOKUP($A5,'Annex 2 EHV charges'!$D:$O,3,0))</f>
        <v>1200052486875</v>
      </c>
      <c r="D5" s="93" t="str">
        <f>IF($A5="","",VLOOKUP($A5,'Annex 2 EHV charges'!$D:$O,4,0))</f>
        <v>NR_WES</v>
      </c>
      <c r="E5" s="95" t="str">
        <f>IFERROR(IF(VLOOKUP($A5,'Annex 2 EHV charges'!$D:$O,9,FALSE)=0,"",VLOOKUP($A5,'Annex 2 EHV charges'!$D:$O,9,FALSE)),"")</f>
        <v/>
      </c>
      <c r="F5" s="96">
        <f>IFERROR(IF(VLOOKUP($A5,'Annex 2 EHV charges'!$D:$O,10,FALSE)=0,"",VLOOKUP($A5,'Annex 2 EHV charges'!$D:$O,10,FALSE)),"")</f>
        <v>387.31</v>
      </c>
      <c r="G5" s="97">
        <f>IFERROR(IF(VLOOKUP($A5,'Annex 2 EHV charges'!$D:$O,11,FALSE)=0,"",VLOOKUP($A5,'Annex 2 EHV charges'!$D:$O,11,FALSE)),"")</f>
        <v>0.05</v>
      </c>
      <c r="H5" s="97">
        <f>IFERROR(IF(VLOOKUP($A5,'Annex 2 EHV charges'!$D:$O,12,FALSE)=0,"",VLOOKUP($A5,'Annex 2 EHV charges'!$D:$O,12,FALSE)),"")</f>
        <v>0.05</v>
      </c>
    </row>
    <row r="6" spans="1:15" ht="12.75" customHeight="1">
      <c r="A6" s="94" t="str">
        <f t="array" ref="A6">IFERROR(INDEX('Annex 2 EHV charges'!$D$11:$D$59, MATCH(0, IF(ISBLANK('Annex 2 EHV charges'!$D$11:$D$59),1, COUNTIF(A$4:$A5, 'Annex 2 EHV charges'!$D$11:$D$59)), 0)),"")</f>
        <v>THAMEB</v>
      </c>
      <c r="B6" s="93">
        <f>IF($A6="","",VLOOKUP($A6,'Annex 2 EHV charges'!$D:$O,2,0))</f>
        <v>701</v>
      </c>
      <c r="C6" s="94" t="str">
        <f>IF($A6="","",VLOOKUP($A6,'Annex 2 EHV charges'!$D:$O,3,0))</f>
        <v>1200050312030
1200050312040
1200061219394</v>
      </c>
      <c r="D6" s="93" t="str">
        <f>IF($A6="","",VLOOKUP($A6,'Annex 2 EHV charges'!$D:$O,4,0))</f>
        <v>THAMEB</v>
      </c>
      <c r="E6" s="95" t="str">
        <f>IFERROR(IF(VLOOKUP($A6,'Annex 2 EHV charges'!$D:$O,9,FALSE)=0,"",VLOOKUP($A6,'Annex 2 EHV charges'!$D:$O,9,FALSE)),"")</f>
        <v/>
      </c>
      <c r="F6" s="96" t="str">
        <f>IFERROR(IF(VLOOKUP($A6,'Annex 2 EHV charges'!$D:$O,10,FALSE)=0,"",VLOOKUP($A6,'Annex 2 EHV charges'!$D:$O,10,FALSE)),"")</f>
        <v/>
      </c>
      <c r="G6" s="97" t="str">
        <f>IFERROR(IF(VLOOKUP($A6,'Annex 2 EHV charges'!$D:$O,11,FALSE)=0,"",VLOOKUP($A6,'Annex 2 EHV charges'!$D:$O,11,FALSE)),"")</f>
        <v/>
      </c>
      <c r="H6" s="97" t="str">
        <f>IFERROR(IF(VLOOKUP($A6,'Annex 2 EHV charges'!$D:$O,12,FALSE)=0,"",VLOOKUP($A6,'Annex 2 EHV charges'!$D:$O,12,FALSE)),"")</f>
        <v/>
      </c>
    </row>
    <row r="7" spans="1:15" ht="12.75" customHeight="1">
      <c r="A7" s="94" t="str">
        <f t="array" ref="A7">IFERROR(INDEX('Annex 2 EHV charges'!$D$11:$D$59, MATCH(0, IF(ISBLANK('Annex 2 EHV charges'!$D$11:$D$59),1, COUNTIF(A$4:$A6, 'Annex 2 EHV charges'!$D$11:$D$59)), 0)),"")</f>
        <v>THAMEC</v>
      </c>
      <c r="B7" s="93">
        <f>IF($A7="","",VLOOKUP($A7,'Annex 2 EHV charges'!$D:$O,2,0))</f>
        <v>702</v>
      </c>
      <c r="C7" s="94" t="str">
        <f>IF($A7="","",VLOOKUP($A7,'Annex 2 EHV charges'!$D:$O,3,0))</f>
        <v>1200061171342
1200061171351</v>
      </c>
      <c r="D7" s="93" t="str">
        <f>IF($A7="","",VLOOKUP($A7,'Annex 2 EHV charges'!$D:$O,4,0))</f>
        <v>THAMEC</v>
      </c>
      <c r="E7" s="95" t="str">
        <f>IFERROR(IF(VLOOKUP($A7,'Annex 2 EHV charges'!$D:$O,9,FALSE)=0,"",VLOOKUP($A7,'Annex 2 EHV charges'!$D:$O,9,FALSE)),"")</f>
        <v/>
      </c>
      <c r="F7" s="96">
        <f>IFERROR(IF(VLOOKUP($A7,'Annex 2 EHV charges'!$D:$O,10,FALSE)=0,"",VLOOKUP($A7,'Annex 2 EHV charges'!$D:$O,10,FALSE)),"")</f>
        <v>675.05</v>
      </c>
      <c r="G7" s="97">
        <f>IFERROR(IF(VLOOKUP($A7,'Annex 2 EHV charges'!$D:$O,11,FALSE)=0,"",VLOOKUP($A7,'Annex 2 EHV charges'!$D:$O,11,FALSE)),"")</f>
        <v>0.05</v>
      </c>
      <c r="H7" s="97">
        <f>IFERROR(IF(VLOOKUP($A7,'Annex 2 EHV charges'!$D:$O,12,FALSE)=0,"",VLOOKUP($A7,'Annex 2 EHV charges'!$D:$O,12,FALSE)),"")</f>
        <v>0.05</v>
      </c>
    </row>
    <row r="8" spans="1:15" ht="12.75" customHeight="1">
      <c r="A8" s="94" t="str">
        <f t="array" ref="A8">IFERROR(INDEX('Annex 2 EHV charges'!$D$11:$D$59, MATCH(0, IF(ISBLANK('Annex 2 EHV charges'!$D$11:$D$59),1, COUNTIF(A$4:$A7, 'Annex 2 EHV charges'!$D$11:$D$59)), 0)),"")</f>
        <v>BELVED</v>
      </c>
      <c r="B8" s="93">
        <f>IF($A8="","",VLOOKUP($A8,'Annex 2 EHV charges'!$D:$O,2,0))</f>
        <v>711</v>
      </c>
      <c r="C8" s="94">
        <f>IF($A8="","",VLOOKUP($A8,'Annex 2 EHV charges'!$D:$O,3,0))</f>
        <v>1200060787118</v>
      </c>
      <c r="D8" s="93" t="str">
        <f>IF($A8="","",VLOOKUP($A8,'Annex 2 EHV charges'!$D:$O,4,0))</f>
        <v>BELVED</v>
      </c>
      <c r="E8" s="95" t="str">
        <f>IFERROR(IF(VLOOKUP($A8,'Annex 2 EHV charges'!$D:$O,9,FALSE)=0,"",VLOOKUP($A8,'Annex 2 EHV charges'!$D:$O,9,FALSE)),"")</f>
        <v/>
      </c>
      <c r="F8" s="96">
        <f>IFERROR(IF(VLOOKUP($A8,'Annex 2 EHV charges'!$D:$O,10,FALSE)=0,"",VLOOKUP($A8,'Annex 2 EHV charges'!$D:$O,10,FALSE)),"")</f>
        <v>628.44000000000005</v>
      </c>
      <c r="G8" s="97">
        <f>IFERROR(IF(VLOOKUP($A8,'Annex 2 EHV charges'!$D:$O,11,FALSE)=0,"",VLOOKUP($A8,'Annex 2 EHV charges'!$D:$O,11,FALSE)),"")</f>
        <v>0.05</v>
      </c>
      <c r="H8" s="97">
        <f>IFERROR(IF(VLOOKUP($A8,'Annex 2 EHV charges'!$D:$O,12,FALSE)=0,"",VLOOKUP($A8,'Annex 2 EHV charges'!$D:$O,12,FALSE)),"")</f>
        <v>0.05</v>
      </c>
    </row>
    <row r="9" spans="1:15" ht="12.75" customHeight="1">
      <c r="A9" s="94" t="str">
        <f t="array" ref="A9">IFERROR(INDEX('Annex 2 EHV charges'!$D$11:$D$59, MATCH(0, IF(ISBLANK('Annex 2 EHV charges'!$D$11:$D$59),1, COUNTIF(A$4:$A8, 'Annex 2 EHV charges'!$D$11:$D$59)), 0)),"")</f>
        <v>SELCHP</v>
      </c>
      <c r="B9" s="93">
        <f>IF($A9="","",VLOOKUP($A9,'Annex 2 EHV charges'!$D:$O,2,0))</f>
        <v>730</v>
      </c>
      <c r="C9" s="94">
        <f>IF($A9="","",VLOOKUP($A9,'Annex 2 EHV charges'!$D:$O,3,0))</f>
        <v>1200010258304</v>
      </c>
      <c r="D9" s="93" t="str">
        <f>IF($A9="","",VLOOKUP($A9,'Annex 2 EHV charges'!$D:$O,4,0))</f>
        <v>SELCHP</v>
      </c>
      <c r="E9" s="95" t="str">
        <f>IFERROR(IF(VLOOKUP($A9,'Annex 2 EHV charges'!$D:$O,9,FALSE)=0,"",VLOOKUP($A9,'Annex 2 EHV charges'!$D:$O,9,FALSE)),"")</f>
        <v/>
      </c>
      <c r="F9" s="96">
        <f>IFERROR(IF(VLOOKUP($A9,'Annex 2 EHV charges'!$D:$O,10,FALSE)=0,"",VLOOKUP($A9,'Annex 2 EHV charges'!$D:$O,10,FALSE)),"")</f>
        <v>3106.09</v>
      </c>
      <c r="G9" s="97">
        <f>IFERROR(IF(VLOOKUP($A9,'Annex 2 EHV charges'!$D:$O,11,FALSE)=0,"",VLOOKUP($A9,'Annex 2 EHV charges'!$D:$O,11,FALSE)),"")</f>
        <v>0.05</v>
      </c>
      <c r="H9" s="97">
        <f>IFERROR(IF(VLOOKUP($A9,'Annex 2 EHV charges'!$D:$O,12,FALSE)=0,"",VLOOKUP($A9,'Annex 2 EHV charges'!$D:$O,12,FALSE)),"")</f>
        <v>0.05</v>
      </c>
    </row>
    <row r="10" spans="1:15" ht="12.75" customHeight="1">
      <c r="A10" s="94" t="str">
        <f t="array" ref="A10">IFERROR(INDEX('Annex 2 EHV charges'!$D$11:$D$59, MATCH(0, IF(ISBLANK('Annex 2 EHV charges'!$D$11:$D$59),1, COUNTIF(A$4:$A9, 'Annex 2 EHV charges'!$D$11:$D$59)), 0)),"")</f>
        <v>TLRSLN</v>
      </c>
      <c r="B10" s="93">
        <f>IF($A10="","",VLOOKUP($A10,'Annex 2 EHV charges'!$D:$O,2,0))</f>
        <v>0</v>
      </c>
      <c r="C10" s="94" t="str">
        <f>IF($A10="","",VLOOKUP($A10,'Annex 2 EHV charges'!$D:$O,3,0))</f>
        <v>MSID: 5538</v>
      </c>
      <c r="D10" s="93" t="str">
        <f>IF($A10="","",VLOOKUP($A10,'Annex 2 EHV charges'!$D:$O,4,0))</f>
        <v>TLRSLN</v>
      </c>
      <c r="E10" s="95">
        <f>IFERROR(IF(VLOOKUP($A10,'Annex 2 EHV charges'!$D:$O,9,FALSE)=0,"",VLOOKUP($A10,'Annex 2 EHV charges'!$D:$O,9,FALSE)),"")</f>
        <v>-5.8999999999999997E-2</v>
      </c>
      <c r="F10" s="96">
        <f>IFERROR(IF(VLOOKUP($A10,'Annex 2 EHV charges'!$D:$O,10,FALSE)=0,"",VLOOKUP($A10,'Annex 2 EHV charges'!$D:$O,10,FALSE)),"")</f>
        <v>3039.7</v>
      </c>
      <c r="G10" s="97">
        <f>IFERROR(IF(VLOOKUP($A10,'Annex 2 EHV charges'!$D:$O,11,FALSE)=0,"",VLOOKUP($A10,'Annex 2 EHV charges'!$D:$O,11,FALSE)),"")</f>
        <v>0.05</v>
      </c>
      <c r="H10" s="97">
        <f>IFERROR(IF(VLOOKUP($A10,'Annex 2 EHV charges'!$D:$O,12,FALSE)=0,"",VLOOKUP($A10,'Annex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cols>
    <col min="1" max="1" width="27.42578125" customWidth="1"/>
    <col min="2" max="2" width="11" customWidth="1"/>
    <col min="4" max="10" width="16.5703125" customWidth="1"/>
  </cols>
  <sheetData>
    <row r="1" spans="1:12" s="2" customFormat="1" ht="27.75" customHeight="1">
      <c r="A1" s="15" t="s">
        <v>19</v>
      </c>
      <c r="B1" s="3"/>
      <c r="D1" s="3"/>
      <c r="E1" s="3"/>
      <c r="F1" s="3"/>
      <c r="G1" s="10"/>
      <c r="H1" s="4"/>
      <c r="I1" s="4"/>
    </row>
    <row r="2" spans="1:12" s="2" customFormat="1" ht="27" customHeight="1">
      <c r="A2" s="261" t="str">
        <f>Overview!B4&amp; " - Effective from "&amp;Overview!D4&amp;" - "&amp;Overview!E4&amp;" LV and HV tariffs"</f>
        <v>London Power Networks - Effective from 1 April 2022 - Final LV and HV tariffs</v>
      </c>
      <c r="B2" s="261"/>
      <c r="C2" s="261"/>
      <c r="D2" s="261"/>
      <c r="E2" s="261"/>
      <c r="F2" s="261"/>
      <c r="G2" s="261"/>
      <c r="H2" s="261"/>
      <c r="I2" s="261"/>
      <c r="J2" s="261"/>
      <c r="K2" s="4"/>
      <c r="L2" s="4"/>
    </row>
    <row r="3" spans="1:12" s="2" customFormat="1" ht="27" customHeight="1">
      <c r="A3" s="288" t="s">
        <v>159</v>
      </c>
      <c r="B3" s="288"/>
      <c r="C3" s="288"/>
      <c r="D3" s="288"/>
      <c r="E3" s="288"/>
      <c r="F3" s="288"/>
      <c r="G3" s="288"/>
      <c r="H3" s="288"/>
      <c r="I3" s="288"/>
      <c r="J3" s="288"/>
      <c r="K3" s="4"/>
      <c r="L3" s="4"/>
    </row>
    <row r="4" spans="1:12" s="2" customFormat="1" ht="71.25" customHeight="1">
      <c r="A4" s="17"/>
      <c r="B4" s="28" t="s">
        <v>0</v>
      </c>
      <c r="C4" s="16" t="s">
        <v>24</v>
      </c>
      <c r="D4" s="49" t="s">
        <v>160</v>
      </c>
      <c r="E4" s="49" t="s">
        <v>162</v>
      </c>
      <c r="F4" s="49" t="s">
        <v>161</v>
      </c>
      <c r="G4" s="145" t="s">
        <v>25</v>
      </c>
      <c r="H4" s="16"/>
      <c r="I4" s="16"/>
      <c r="J4" s="16"/>
      <c r="K4" s="4"/>
      <c r="L4" s="4"/>
    </row>
    <row r="5" spans="1:12" s="2" customFormat="1" ht="32.25" customHeight="1">
      <c r="A5" s="18"/>
      <c r="B5" s="27"/>
      <c r="C5" s="19"/>
      <c r="D5" s="20"/>
      <c r="E5" s="20"/>
      <c r="F5" s="20"/>
      <c r="G5" s="21"/>
      <c r="H5" s="26"/>
      <c r="I5" s="26"/>
      <c r="J5" s="26"/>
      <c r="K5" s="4"/>
      <c r="L5" s="4"/>
    </row>
    <row r="6" spans="1:12" ht="12.75" customHeight="1">
      <c r="A6" s="289" t="s">
        <v>2</v>
      </c>
      <c r="B6" s="276" t="s">
        <v>674</v>
      </c>
      <c r="C6" s="277"/>
      <c r="D6" s="277"/>
      <c r="E6" s="277"/>
      <c r="F6" s="277"/>
      <c r="G6" s="277"/>
      <c r="H6" s="277"/>
      <c r="I6" s="277"/>
      <c r="J6" s="278"/>
    </row>
    <row r="7" spans="1:12">
      <c r="A7" s="289"/>
      <c r="B7" s="279"/>
      <c r="C7" s="280"/>
      <c r="D7" s="280"/>
      <c r="E7" s="280"/>
      <c r="F7" s="280"/>
      <c r="G7" s="280"/>
      <c r="H7" s="280"/>
      <c r="I7" s="280"/>
      <c r="J7" s="281"/>
    </row>
    <row r="8" spans="1:12">
      <c r="A8" s="289"/>
      <c r="B8" s="282"/>
      <c r="C8" s="283"/>
      <c r="D8" s="283"/>
      <c r="E8" s="283"/>
      <c r="F8" s="283"/>
      <c r="G8" s="283"/>
      <c r="H8" s="283"/>
      <c r="I8" s="283"/>
      <c r="J8" s="284"/>
    </row>
    <row r="9" spans="1:12">
      <c r="A9" s="44"/>
      <c r="B9" s="44"/>
      <c r="C9" s="44"/>
      <c r="D9" s="44"/>
      <c r="E9" s="44"/>
      <c r="F9" s="44"/>
      <c r="G9" s="44"/>
      <c r="H9" s="44"/>
      <c r="I9" s="44"/>
      <c r="J9" s="44"/>
    </row>
    <row r="10" spans="1:12">
      <c r="A10" s="44"/>
      <c r="B10" s="44"/>
      <c r="C10" s="44"/>
      <c r="D10" s="44"/>
      <c r="E10" s="44"/>
      <c r="F10" s="44"/>
      <c r="G10" s="44"/>
      <c r="H10" s="44"/>
      <c r="I10" s="44"/>
      <c r="J10" s="44"/>
    </row>
    <row r="11" spans="1:12" s="2" customFormat="1" ht="27" customHeight="1">
      <c r="A11" s="288" t="s">
        <v>156</v>
      </c>
      <c r="B11" s="288"/>
      <c r="C11" s="288"/>
      <c r="D11" s="288"/>
      <c r="E11" s="288"/>
      <c r="F11" s="288"/>
      <c r="G11" s="288"/>
      <c r="H11" s="288"/>
      <c r="I11" s="288"/>
      <c r="J11" s="288"/>
      <c r="K11" s="4"/>
      <c r="L11" s="4"/>
    </row>
    <row r="12" spans="1:12" s="2" customFormat="1" ht="58.5" customHeight="1">
      <c r="A12" s="17"/>
      <c r="B12" s="28" t="s">
        <v>0</v>
      </c>
      <c r="C12" s="16" t="s">
        <v>24</v>
      </c>
      <c r="D12" s="49" t="s">
        <v>160</v>
      </c>
      <c r="E12" s="49" t="s">
        <v>162</v>
      </c>
      <c r="F12" s="49" t="s">
        <v>161</v>
      </c>
      <c r="G12" s="130" t="s">
        <v>25</v>
      </c>
      <c r="H12" s="130" t="s">
        <v>26</v>
      </c>
      <c r="I12" s="28" t="s">
        <v>128</v>
      </c>
      <c r="J12" s="130" t="s">
        <v>32</v>
      </c>
      <c r="K12" s="4"/>
      <c r="L12" s="4"/>
    </row>
    <row r="13" spans="1:12" s="2" customFormat="1" ht="32.25" customHeight="1">
      <c r="A13" s="18"/>
      <c r="B13" s="27"/>
      <c r="C13" s="19"/>
      <c r="D13" s="20"/>
      <c r="E13" s="20"/>
      <c r="F13" s="20"/>
      <c r="G13" s="21"/>
      <c r="H13" s="21"/>
      <c r="I13" s="21"/>
      <c r="J13" s="20"/>
      <c r="K13" s="4"/>
      <c r="L13" s="4"/>
    </row>
    <row r="14" spans="1:12" ht="12.75" customHeight="1">
      <c r="A14" s="289" t="s">
        <v>2</v>
      </c>
      <c r="B14" s="276" t="s">
        <v>675</v>
      </c>
      <c r="C14" s="277"/>
      <c r="D14" s="277"/>
      <c r="E14" s="277"/>
      <c r="F14" s="277"/>
      <c r="G14" s="277"/>
      <c r="H14" s="277"/>
      <c r="I14" s="277"/>
      <c r="J14" s="285"/>
    </row>
    <row r="15" spans="1:12" ht="12.75" customHeight="1">
      <c r="A15" s="289"/>
      <c r="B15" s="279"/>
      <c r="C15" s="280"/>
      <c r="D15" s="280"/>
      <c r="E15" s="280"/>
      <c r="F15" s="280"/>
      <c r="G15" s="280"/>
      <c r="H15" s="280"/>
      <c r="I15" s="280"/>
      <c r="J15" s="286"/>
    </row>
    <row r="16" spans="1:12" ht="12.75" customHeight="1">
      <c r="A16" s="289"/>
      <c r="B16" s="282"/>
      <c r="C16" s="283"/>
      <c r="D16" s="283"/>
      <c r="E16" s="283"/>
      <c r="F16" s="283"/>
      <c r="G16" s="283"/>
      <c r="H16" s="283"/>
      <c r="I16" s="283"/>
      <c r="J16" s="287"/>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2"/>
  <sheetViews>
    <sheetView zoomScale="70" zoomScaleNormal="70" zoomScaleSheetLayoutView="85" workbookViewId="0"/>
  </sheetViews>
  <sheetFormatPr defaultRowHeight="27.75" customHeight="1"/>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c r="A1" s="212" t="s">
        <v>19</v>
      </c>
      <c r="B1" s="290"/>
      <c r="C1" s="290"/>
      <c r="D1" s="290"/>
      <c r="E1" s="213"/>
      <c r="F1" s="291"/>
      <c r="G1" s="291"/>
      <c r="H1" s="291"/>
      <c r="I1" s="214"/>
      <c r="J1" s="73"/>
      <c r="K1" s="2"/>
    </row>
    <row r="2" spans="1:13" ht="31.5" customHeight="1">
      <c r="A2" s="292" t="str">
        <f>Overview!B4&amp; " - Effective from "&amp;Overview!D4&amp;" - "&amp;Overview!E4&amp;" LDNO tariffs"</f>
        <v>London Power Networks - Effective from 1 April 2022 - Final LDNO tariffs</v>
      </c>
      <c r="B2" s="292"/>
      <c r="C2" s="292"/>
      <c r="D2" s="292"/>
      <c r="E2" s="292"/>
      <c r="F2" s="292"/>
      <c r="G2" s="292"/>
      <c r="H2" s="292"/>
      <c r="I2" s="292"/>
      <c r="J2" s="292"/>
    </row>
    <row r="3" spans="1:13" ht="8.25" customHeight="1">
      <c r="A3" s="83"/>
      <c r="B3" s="83"/>
      <c r="C3" s="83"/>
      <c r="D3" s="83"/>
      <c r="E3" s="83"/>
      <c r="F3" s="83"/>
      <c r="G3" s="83"/>
      <c r="H3" s="83"/>
      <c r="I3" s="83"/>
      <c r="J3" s="83"/>
    </row>
    <row r="4" spans="1:13" ht="27" customHeight="1">
      <c r="A4" s="261" t="s">
        <v>157</v>
      </c>
      <c r="B4" s="261"/>
      <c r="C4" s="261"/>
      <c r="D4" s="261"/>
      <c r="E4" s="85"/>
      <c r="F4" s="261" t="s">
        <v>158</v>
      </c>
      <c r="G4" s="261"/>
      <c r="H4" s="261"/>
      <c r="I4" s="261"/>
      <c r="J4" s="261"/>
      <c r="L4" s="4"/>
    </row>
    <row r="5" spans="1:13" ht="32.25" customHeight="1">
      <c r="A5" s="203" t="s">
        <v>12</v>
      </c>
      <c r="B5" s="201" t="s">
        <v>57</v>
      </c>
      <c r="C5" s="90" t="s">
        <v>58</v>
      </c>
      <c r="D5" s="74" t="s">
        <v>59</v>
      </c>
      <c r="E5" s="79"/>
      <c r="F5" s="265"/>
      <c r="G5" s="266"/>
      <c r="H5" s="76" t="s">
        <v>64</v>
      </c>
      <c r="I5" s="77" t="s">
        <v>65</v>
      </c>
      <c r="J5" s="74" t="s">
        <v>59</v>
      </c>
      <c r="K5" s="79"/>
      <c r="L5" s="4"/>
      <c r="M5" s="4"/>
    </row>
    <row r="6" spans="1:13" ht="56.25" customHeight="1">
      <c r="A6" s="198" t="s">
        <v>60</v>
      </c>
      <c r="B6" s="23" t="s">
        <v>672</v>
      </c>
      <c r="C6" s="202" t="s">
        <v>673</v>
      </c>
      <c r="D6" s="205" t="s">
        <v>666</v>
      </c>
      <c r="E6" s="79"/>
      <c r="F6" s="260" t="s">
        <v>61</v>
      </c>
      <c r="G6" s="260"/>
      <c r="H6" s="23" t="s">
        <v>664</v>
      </c>
      <c r="I6" s="78" t="s">
        <v>665</v>
      </c>
      <c r="J6" s="205" t="s">
        <v>666</v>
      </c>
      <c r="K6" s="79"/>
      <c r="L6" s="4"/>
      <c r="M6" s="4"/>
    </row>
    <row r="7" spans="1:13" ht="56.25" customHeight="1">
      <c r="A7" s="198" t="s">
        <v>15</v>
      </c>
      <c r="B7" s="200"/>
      <c r="C7" s="206"/>
      <c r="D7" s="78" t="s">
        <v>671</v>
      </c>
      <c r="E7" s="79"/>
      <c r="F7" s="260" t="s">
        <v>62</v>
      </c>
      <c r="G7" s="260"/>
      <c r="H7" s="199" t="s">
        <v>667</v>
      </c>
      <c r="I7" s="78" t="s">
        <v>668</v>
      </c>
      <c r="J7" s="205" t="s">
        <v>666</v>
      </c>
      <c r="K7" s="79"/>
      <c r="L7" s="4"/>
      <c r="M7" s="4"/>
    </row>
    <row r="8" spans="1:13" ht="55.5" customHeight="1">
      <c r="A8" s="204" t="s">
        <v>13</v>
      </c>
      <c r="B8" s="257" t="s">
        <v>14</v>
      </c>
      <c r="C8" s="258"/>
      <c r="D8" s="259"/>
      <c r="E8" s="79"/>
      <c r="F8" s="260" t="s">
        <v>669</v>
      </c>
      <c r="G8" s="260"/>
      <c r="H8" s="200"/>
      <c r="I8" s="78" t="s">
        <v>670</v>
      </c>
      <c r="J8" s="205" t="s">
        <v>666</v>
      </c>
      <c r="K8" s="79"/>
      <c r="L8" s="4"/>
      <c r="M8" s="4"/>
    </row>
    <row r="9" spans="1:13" s="73" customFormat="1" ht="55.5" customHeight="1">
      <c r="A9" s="81"/>
      <c r="E9" s="84"/>
      <c r="F9" s="260" t="s">
        <v>68</v>
      </c>
      <c r="G9" s="260"/>
      <c r="H9" s="200"/>
      <c r="I9" s="200"/>
      <c r="J9" s="78" t="s">
        <v>671</v>
      </c>
      <c r="K9" s="79"/>
      <c r="L9" s="44"/>
      <c r="M9" s="44"/>
    </row>
    <row r="10" spans="1:13" ht="27.75" customHeight="1">
      <c r="F10" s="260" t="s">
        <v>13</v>
      </c>
      <c r="G10" s="260"/>
      <c r="H10" s="257" t="s">
        <v>14</v>
      </c>
      <c r="I10" s="258"/>
      <c r="J10" s="259"/>
    </row>
    <row r="12" spans="1:13" ht="38.25">
      <c r="A12" s="178" t="s">
        <v>127</v>
      </c>
      <c r="B12" s="178" t="s">
        <v>467</v>
      </c>
      <c r="C12" s="179" t="s">
        <v>24</v>
      </c>
      <c r="D12" s="49" t="s">
        <v>160</v>
      </c>
      <c r="E12" s="49" t="s">
        <v>162</v>
      </c>
      <c r="F12" s="49" t="s">
        <v>161</v>
      </c>
      <c r="G12" s="179" t="s">
        <v>25</v>
      </c>
      <c r="H12" s="179" t="s">
        <v>26</v>
      </c>
      <c r="I12" s="179" t="s">
        <v>128</v>
      </c>
      <c r="J12" s="179" t="s">
        <v>32</v>
      </c>
    </row>
    <row r="13" spans="1:13" ht="27.75" customHeight="1">
      <c r="A13" s="174" t="s">
        <v>498</v>
      </c>
      <c r="B13" s="34" t="s">
        <v>1202</v>
      </c>
      <c r="C13" s="193" t="s">
        <v>649</v>
      </c>
      <c r="D13" s="140">
        <v>6.9029999999999996</v>
      </c>
      <c r="E13" s="141">
        <v>1.3009999999999999</v>
      </c>
      <c r="F13" s="142">
        <v>4.2000000000000003E-2</v>
      </c>
      <c r="G13" s="175">
        <v>10.56</v>
      </c>
      <c r="H13" s="176"/>
      <c r="I13" s="180"/>
      <c r="J13" s="36"/>
    </row>
    <row r="14" spans="1:13" ht="27.75" customHeight="1">
      <c r="A14" s="174" t="s">
        <v>499</v>
      </c>
      <c r="B14" s="34" t="s">
        <v>1203</v>
      </c>
      <c r="C14" s="186" t="s">
        <v>417</v>
      </c>
      <c r="D14" s="140">
        <v>6.9029999999999996</v>
      </c>
      <c r="E14" s="141">
        <v>1.3009999999999999</v>
      </c>
      <c r="F14" s="142">
        <v>4.2000000000000003E-2</v>
      </c>
      <c r="G14" s="176"/>
      <c r="H14" s="176"/>
      <c r="I14" s="180"/>
      <c r="J14" s="36"/>
    </row>
    <row r="15" spans="1:13" ht="27.75" customHeight="1">
      <c r="A15" s="174" t="s">
        <v>500</v>
      </c>
      <c r="B15" s="34" t="s">
        <v>1204</v>
      </c>
      <c r="C15" s="173" t="s">
        <v>648</v>
      </c>
      <c r="D15" s="140">
        <v>4.2229999999999999</v>
      </c>
      <c r="E15" s="141">
        <v>0.79600000000000004</v>
      </c>
      <c r="F15" s="142">
        <v>2.5999999999999999E-2</v>
      </c>
      <c r="G15" s="175">
        <v>2.35</v>
      </c>
      <c r="H15" s="176"/>
      <c r="I15" s="180"/>
      <c r="J15" s="36"/>
    </row>
    <row r="16" spans="1:13" ht="27.75" customHeight="1">
      <c r="A16" s="174" t="s">
        <v>501</v>
      </c>
      <c r="B16" s="34" t="s">
        <v>1205</v>
      </c>
      <c r="C16" s="173" t="s">
        <v>648</v>
      </c>
      <c r="D16" s="140">
        <v>4.2229999999999999</v>
      </c>
      <c r="E16" s="141">
        <v>0.79600000000000004</v>
      </c>
      <c r="F16" s="142">
        <v>2.5999999999999999E-2</v>
      </c>
      <c r="G16" s="175">
        <v>1.78</v>
      </c>
      <c r="H16" s="176"/>
      <c r="I16" s="180"/>
      <c r="J16" s="36"/>
    </row>
    <row r="17" spans="1:10" ht="27.75" customHeight="1">
      <c r="A17" s="174" t="s">
        <v>502</v>
      </c>
      <c r="B17" s="34" t="s">
        <v>1206</v>
      </c>
      <c r="C17" s="173" t="s">
        <v>648</v>
      </c>
      <c r="D17" s="140">
        <v>4.1319999999999997</v>
      </c>
      <c r="E17" s="141">
        <v>0.70499999999999996</v>
      </c>
      <c r="F17" s="142">
        <v>0</v>
      </c>
      <c r="G17" s="175">
        <v>0.01</v>
      </c>
      <c r="H17" s="176"/>
      <c r="I17" s="180"/>
      <c r="J17" s="36"/>
    </row>
    <row r="18" spans="1:10" ht="27.75" customHeight="1">
      <c r="A18" s="174" t="s">
        <v>503</v>
      </c>
      <c r="B18" s="34" t="s">
        <v>1207</v>
      </c>
      <c r="C18" s="173" t="s">
        <v>648</v>
      </c>
      <c r="D18" s="140">
        <v>4.024</v>
      </c>
      <c r="E18" s="141">
        <v>0.59599999999999997</v>
      </c>
      <c r="F18" s="142">
        <v>0</v>
      </c>
      <c r="G18" s="175">
        <v>0.01</v>
      </c>
      <c r="H18" s="176"/>
      <c r="I18" s="180"/>
      <c r="J18" s="36"/>
    </row>
    <row r="19" spans="1:10" ht="27.75" customHeight="1">
      <c r="A19" s="174" t="s">
        <v>504</v>
      </c>
      <c r="B19" s="34" t="s">
        <v>1208</v>
      </c>
      <c r="C19" s="173" t="s">
        <v>648</v>
      </c>
      <c r="D19" s="140">
        <v>3.9689999999999999</v>
      </c>
      <c r="E19" s="141">
        <v>0.54200000000000004</v>
      </c>
      <c r="F19" s="142">
        <v>0</v>
      </c>
      <c r="G19" s="175">
        <v>0.01</v>
      </c>
      <c r="H19" s="176"/>
      <c r="I19" s="180"/>
      <c r="J19" s="36"/>
    </row>
    <row r="20" spans="1:10" ht="27.75" customHeight="1">
      <c r="A20" s="174" t="s">
        <v>421</v>
      </c>
      <c r="B20" s="34" t="s">
        <v>1209</v>
      </c>
      <c r="C20" s="186" t="s">
        <v>418</v>
      </c>
      <c r="D20" s="140">
        <v>4.2229999999999999</v>
      </c>
      <c r="E20" s="141">
        <v>0.79600000000000004</v>
      </c>
      <c r="F20" s="142">
        <v>2.5999999999999999E-2</v>
      </c>
      <c r="G20" s="176"/>
      <c r="H20" s="176"/>
      <c r="I20" s="180"/>
      <c r="J20" s="36"/>
    </row>
    <row r="21" spans="1:10" ht="27.75" customHeight="1">
      <c r="A21" s="174" t="s">
        <v>505</v>
      </c>
      <c r="B21" s="34" t="s">
        <v>1210</v>
      </c>
      <c r="C21" s="188">
        <v>0</v>
      </c>
      <c r="D21" s="140">
        <v>3.476</v>
      </c>
      <c r="E21" s="141">
        <v>0.66800000000000004</v>
      </c>
      <c r="F21" s="142">
        <v>2.1999999999999999E-2</v>
      </c>
      <c r="G21" s="175">
        <v>5.79</v>
      </c>
      <c r="H21" s="175">
        <v>3.13</v>
      </c>
      <c r="I21" s="181">
        <v>4.8600000000000003</v>
      </c>
      <c r="J21" s="35">
        <v>0.29799999999999999</v>
      </c>
    </row>
    <row r="22" spans="1:10" ht="27.75" customHeight="1">
      <c r="A22" s="174" t="s">
        <v>506</v>
      </c>
      <c r="B22" s="34" t="s">
        <v>1211</v>
      </c>
      <c r="C22" s="188">
        <v>0</v>
      </c>
      <c r="D22" s="140">
        <v>3.202</v>
      </c>
      <c r="E22" s="141">
        <v>0.39300000000000002</v>
      </c>
      <c r="F22" s="142">
        <v>5.0000000000000001E-3</v>
      </c>
      <c r="G22" s="175">
        <v>1.52</v>
      </c>
      <c r="H22" s="175">
        <v>3.13</v>
      </c>
      <c r="I22" s="181">
        <v>4.8600000000000003</v>
      </c>
      <c r="J22" s="35">
        <v>0.29799999999999999</v>
      </c>
    </row>
    <row r="23" spans="1:10" ht="27.75" customHeight="1">
      <c r="A23" s="174" t="s">
        <v>507</v>
      </c>
      <c r="B23" s="34" t="s">
        <v>1212</v>
      </c>
      <c r="C23" s="188">
        <v>0</v>
      </c>
      <c r="D23" s="140">
        <v>3.194</v>
      </c>
      <c r="E23" s="141">
        <v>0.38600000000000001</v>
      </c>
      <c r="F23" s="142">
        <v>5.0000000000000001E-3</v>
      </c>
      <c r="G23" s="175">
        <v>1.52</v>
      </c>
      <c r="H23" s="175">
        <v>3.13</v>
      </c>
      <c r="I23" s="181">
        <v>4.8600000000000003</v>
      </c>
      <c r="J23" s="35">
        <v>0.29799999999999999</v>
      </c>
    </row>
    <row r="24" spans="1:10" ht="27.75" customHeight="1">
      <c r="A24" s="174" t="s">
        <v>508</v>
      </c>
      <c r="B24" s="34" t="s">
        <v>1213</v>
      </c>
      <c r="C24" s="188">
        <v>0</v>
      </c>
      <c r="D24" s="140">
        <v>3.1869999999999998</v>
      </c>
      <c r="E24" s="141">
        <v>0.379</v>
      </c>
      <c r="F24" s="142">
        <v>5.0000000000000001E-3</v>
      </c>
      <c r="G24" s="175">
        <v>1.52</v>
      </c>
      <c r="H24" s="175">
        <v>3.13</v>
      </c>
      <c r="I24" s="181">
        <v>4.8600000000000003</v>
      </c>
      <c r="J24" s="35">
        <v>0.29799999999999999</v>
      </c>
    </row>
    <row r="25" spans="1:10" ht="27.75" customHeight="1">
      <c r="A25" s="174" t="s">
        <v>509</v>
      </c>
      <c r="B25" s="34" t="s">
        <v>1214</v>
      </c>
      <c r="C25" s="188">
        <v>0</v>
      </c>
      <c r="D25" s="140">
        <v>3.1819999999999999</v>
      </c>
      <c r="E25" s="141">
        <v>0.373</v>
      </c>
      <c r="F25" s="142">
        <v>5.0000000000000001E-3</v>
      </c>
      <c r="G25" s="175">
        <v>1.52</v>
      </c>
      <c r="H25" s="175">
        <v>3.13</v>
      </c>
      <c r="I25" s="181">
        <v>4.8600000000000003</v>
      </c>
      <c r="J25" s="35">
        <v>0.29799999999999999</v>
      </c>
    </row>
    <row r="26" spans="1:10" ht="27.75" customHeight="1">
      <c r="A26" s="174" t="s">
        <v>422</v>
      </c>
      <c r="B26" s="34" t="s">
        <v>1215</v>
      </c>
      <c r="C26" s="188" t="s">
        <v>419</v>
      </c>
      <c r="D26" s="143">
        <v>22.323</v>
      </c>
      <c r="E26" s="144">
        <v>1.663</v>
      </c>
      <c r="F26" s="142">
        <v>0.21</v>
      </c>
      <c r="G26" s="176"/>
      <c r="H26" s="176"/>
      <c r="I26" s="180"/>
      <c r="J26" s="36"/>
    </row>
    <row r="27" spans="1:10" ht="27.75" customHeight="1">
      <c r="A27" s="174" t="s">
        <v>423</v>
      </c>
      <c r="B27" s="34" t="s">
        <v>1216</v>
      </c>
      <c r="C27" s="187">
        <v>0</v>
      </c>
      <c r="D27" s="140">
        <v>-5.2389999999999999</v>
      </c>
      <c r="E27" s="141">
        <v>-0.98699999999999999</v>
      </c>
      <c r="F27" s="142">
        <v>-3.2000000000000001E-2</v>
      </c>
      <c r="G27" s="175">
        <v>0</v>
      </c>
      <c r="H27" s="176"/>
      <c r="I27" s="180"/>
      <c r="J27" s="36"/>
    </row>
    <row r="28" spans="1:10" ht="27.75" customHeight="1">
      <c r="A28" s="174" t="s">
        <v>424</v>
      </c>
      <c r="B28" s="34" t="s">
        <v>1217</v>
      </c>
      <c r="C28" s="188">
        <v>0</v>
      </c>
      <c r="D28" s="140">
        <v>-5.2389999999999999</v>
      </c>
      <c r="E28" s="141">
        <v>-0.98699999999999999</v>
      </c>
      <c r="F28" s="142">
        <v>-3.2000000000000001E-2</v>
      </c>
      <c r="G28" s="175">
        <v>0</v>
      </c>
      <c r="H28" s="176"/>
      <c r="I28" s="180"/>
      <c r="J28" s="35">
        <v>0.36099999999999999</v>
      </c>
    </row>
    <row r="29" spans="1:10" ht="27.75" customHeight="1">
      <c r="A29" s="177" t="s">
        <v>510</v>
      </c>
      <c r="B29" s="34" t="s">
        <v>1218</v>
      </c>
      <c r="C29" s="193" t="s">
        <v>649</v>
      </c>
      <c r="D29" s="140">
        <v>5.3360000000000003</v>
      </c>
      <c r="E29" s="141">
        <v>1.006</v>
      </c>
      <c r="F29" s="142">
        <v>3.2000000000000001E-2</v>
      </c>
      <c r="G29" s="175">
        <v>10.38</v>
      </c>
      <c r="H29" s="176"/>
      <c r="I29" s="180"/>
      <c r="J29" s="36"/>
    </row>
    <row r="30" spans="1:10" ht="27.75" customHeight="1">
      <c r="A30" s="177" t="s">
        <v>511</v>
      </c>
      <c r="B30" s="34" t="s">
        <v>1219</v>
      </c>
      <c r="C30" s="186" t="s">
        <v>417</v>
      </c>
      <c r="D30" s="140">
        <v>5.3360000000000003</v>
      </c>
      <c r="E30" s="141">
        <v>1.006</v>
      </c>
      <c r="F30" s="142">
        <v>3.2000000000000001E-2</v>
      </c>
      <c r="G30" s="176"/>
      <c r="H30" s="176"/>
      <c r="I30" s="180"/>
      <c r="J30" s="36"/>
    </row>
    <row r="31" spans="1:10" ht="27.75" customHeight="1">
      <c r="A31" s="177" t="s">
        <v>512</v>
      </c>
      <c r="B31" s="34" t="s">
        <v>1220</v>
      </c>
      <c r="C31" s="173" t="s">
        <v>648</v>
      </c>
      <c r="D31" s="140">
        <v>3.2639999999999998</v>
      </c>
      <c r="E31" s="141">
        <v>0.61499999999999999</v>
      </c>
      <c r="F31" s="142">
        <v>0.02</v>
      </c>
      <c r="G31" s="175">
        <v>1.83</v>
      </c>
      <c r="H31" s="176"/>
      <c r="I31" s="180"/>
      <c r="J31" s="36"/>
    </row>
    <row r="32" spans="1:10" ht="27.75" customHeight="1">
      <c r="A32" s="177" t="s">
        <v>513</v>
      </c>
      <c r="B32" s="34" t="s">
        <v>1221</v>
      </c>
      <c r="C32" s="173" t="s">
        <v>648</v>
      </c>
      <c r="D32" s="140">
        <v>3.2639999999999998</v>
      </c>
      <c r="E32" s="141">
        <v>0.61499999999999999</v>
      </c>
      <c r="F32" s="142">
        <v>0.02</v>
      </c>
      <c r="G32" s="175">
        <v>1.39</v>
      </c>
      <c r="H32" s="176"/>
      <c r="I32" s="180"/>
      <c r="J32" s="36"/>
    </row>
    <row r="33" spans="1:10" ht="27.75" customHeight="1">
      <c r="A33" s="177" t="s">
        <v>514</v>
      </c>
      <c r="B33" s="34" t="s">
        <v>1222</v>
      </c>
      <c r="C33" s="173" t="s">
        <v>648</v>
      </c>
      <c r="D33" s="140">
        <v>3.194</v>
      </c>
      <c r="E33" s="141">
        <v>0.54500000000000004</v>
      </c>
      <c r="F33" s="142">
        <v>0</v>
      </c>
      <c r="G33" s="175">
        <v>0.02</v>
      </c>
      <c r="H33" s="176"/>
      <c r="I33" s="180"/>
      <c r="J33" s="36"/>
    </row>
    <row r="34" spans="1:10" ht="27.75" customHeight="1">
      <c r="A34" s="177" t="s">
        <v>515</v>
      </c>
      <c r="B34" s="34" t="s">
        <v>1223</v>
      </c>
      <c r="C34" s="173" t="s">
        <v>648</v>
      </c>
      <c r="D34" s="140">
        <v>3.11</v>
      </c>
      <c r="E34" s="141">
        <v>0.46100000000000002</v>
      </c>
      <c r="F34" s="142">
        <v>0</v>
      </c>
      <c r="G34" s="175">
        <v>0.02</v>
      </c>
      <c r="H34" s="176"/>
      <c r="I34" s="180"/>
      <c r="J34" s="36"/>
    </row>
    <row r="35" spans="1:10" ht="27.75" customHeight="1">
      <c r="A35" s="177" t="s">
        <v>516</v>
      </c>
      <c r="B35" s="34" t="s">
        <v>1224</v>
      </c>
      <c r="C35" s="173" t="s">
        <v>648</v>
      </c>
      <c r="D35" s="140">
        <v>3.0680000000000001</v>
      </c>
      <c r="E35" s="141">
        <v>0.41899999999999998</v>
      </c>
      <c r="F35" s="142">
        <v>0</v>
      </c>
      <c r="G35" s="175">
        <v>0.02</v>
      </c>
      <c r="H35" s="176"/>
      <c r="I35" s="180"/>
      <c r="J35" s="36"/>
    </row>
    <row r="36" spans="1:10" ht="27.75" customHeight="1">
      <c r="A36" s="177" t="s">
        <v>425</v>
      </c>
      <c r="B36" s="34" t="s">
        <v>1225</v>
      </c>
      <c r="C36" s="186" t="s">
        <v>418</v>
      </c>
      <c r="D36" s="140">
        <v>3.2639999999999998</v>
      </c>
      <c r="E36" s="141">
        <v>0.61499999999999999</v>
      </c>
      <c r="F36" s="142">
        <v>0.02</v>
      </c>
      <c r="G36" s="176"/>
      <c r="H36" s="176"/>
      <c r="I36" s="180"/>
      <c r="J36" s="36"/>
    </row>
    <row r="37" spans="1:10" ht="27.75" customHeight="1">
      <c r="A37" s="177" t="s">
        <v>517</v>
      </c>
      <c r="B37" s="34" t="s">
        <v>1226</v>
      </c>
      <c r="C37" s="182">
        <v>0</v>
      </c>
      <c r="D37" s="140">
        <v>2.6869999999999998</v>
      </c>
      <c r="E37" s="141">
        <v>0.51600000000000001</v>
      </c>
      <c r="F37" s="142">
        <v>1.7000000000000001E-2</v>
      </c>
      <c r="G37" s="175">
        <v>4.49</v>
      </c>
      <c r="H37" s="175">
        <v>2.42</v>
      </c>
      <c r="I37" s="181">
        <v>3.75</v>
      </c>
      <c r="J37" s="35">
        <v>0.23</v>
      </c>
    </row>
    <row r="38" spans="1:10" ht="27.75" customHeight="1">
      <c r="A38" s="177" t="s">
        <v>518</v>
      </c>
      <c r="B38" s="34" t="s">
        <v>1227</v>
      </c>
      <c r="C38" s="182">
        <v>0</v>
      </c>
      <c r="D38" s="140">
        <v>2.4750000000000001</v>
      </c>
      <c r="E38" s="141">
        <v>0.30399999999999999</v>
      </c>
      <c r="F38" s="142">
        <v>4.0000000000000001E-3</v>
      </c>
      <c r="G38" s="175">
        <v>1.19</v>
      </c>
      <c r="H38" s="175">
        <v>2.42</v>
      </c>
      <c r="I38" s="181">
        <v>3.75</v>
      </c>
      <c r="J38" s="35">
        <v>0.23</v>
      </c>
    </row>
    <row r="39" spans="1:10" ht="27.75" customHeight="1">
      <c r="A39" s="177" t="s">
        <v>519</v>
      </c>
      <c r="B39" s="34" t="s">
        <v>1228</v>
      </c>
      <c r="C39" s="182">
        <v>0</v>
      </c>
      <c r="D39" s="140">
        <v>2.4689999999999999</v>
      </c>
      <c r="E39" s="141">
        <v>0.29799999999999999</v>
      </c>
      <c r="F39" s="142">
        <v>4.0000000000000001E-3</v>
      </c>
      <c r="G39" s="175">
        <v>1.19</v>
      </c>
      <c r="H39" s="175">
        <v>2.42</v>
      </c>
      <c r="I39" s="181">
        <v>3.75</v>
      </c>
      <c r="J39" s="35">
        <v>0.23</v>
      </c>
    </row>
    <row r="40" spans="1:10" ht="27.75" customHeight="1">
      <c r="A40" s="177" t="s">
        <v>520</v>
      </c>
      <c r="B40" s="34" t="s">
        <v>1229</v>
      </c>
      <c r="C40" s="182">
        <v>0</v>
      </c>
      <c r="D40" s="140">
        <v>2.464</v>
      </c>
      <c r="E40" s="141">
        <v>0.29299999999999998</v>
      </c>
      <c r="F40" s="142">
        <v>4.0000000000000001E-3</v>
      </c>
      <c r="G40" s="175">
        <v>1.19</v>
      </c>
      <c r="H40" s="175">
        <v>2.42</v>
      </c>
      <c r="I40" s="181">
        <v>3.75</v>
      </c>
      <c r="J40" s="35">
        <v>0.23</v>
      </c>
    </row>
    <row r="41" spans="1:10" ht="27.75" customHeight="1">
      <c r="A41" s="177" t="s">
        <v>521</v>
      </c>
      <c r="B41" s="34" t="s">
        <v>1230</v>
      </c>
      <c r="C41" s="182">
        <v>0</v>
      </c>
      <c r="D41" s="140">
        <v>2.4590000000000001</v>
      </c>
      <c r="E41" s="141">
        <v>0.28899999999999998</v>
      </c>
      <c r="F41" s="142">
        <v>4.0000000000000001E-3</v>
      </c>
      <c r="G41" s="175">
        <v>1.19</v>
      </c>
      <c r="H41" s="175">
        <v>2.42</v>
      </c>
      <c r="I41" s="181">
        <v>3.75</v>
      </c>
      <c r="J41" s="35">
        <v>0.23</v>
      </c>
    </row>
    <row r="42" spans="1:10" ht="27.75" customHeight="1">
      <c r="A42" s="177" t="s">
        <v>522</v>
      </c>
      <c r="B42" s="34" t="s">
        <v>1231</v>
      </c>
      <c r="C42" s="182">
        <v>0</v>
      </c>
      <c r="D42" s="140">
        <v>2.5390000000000001</v>
      </c>
      <c r="E42" s="141">
        <v>0.51300000000000001</v>
      </c>
      <c r="F42" s="142">
        <v>1.9E-2</v>
      </c>
      <c r="G42" s="175">
        <v>4.5999999999999996</v>
      </c>
      <c r="H42" s="175">
        <v>5.9</v>
      </c>
      <c r="I42" s="181">
        <v>6.72</v>
      </c>
      <c r="J42" s="35">
        <v>0.189</v>
      </c>
    </row>
    <row r="43" spans="1:10" ht="27.75" customHeight="1">
      <c r="A43" s="177" t="s">
        <v>523</v>
      </c>
      <c r="B43" s="34" t="s">
        <v>1232</v>
      </c>
      <c r="C43" s="182">
        <v>0</v>
      </c>
      <c r="D43" s="140">
        <v>2.2429999999999999</v>
      </c>
      <c r="E43" s="141">
        <v>0.217</v>
      </c>
      <c r="F43" s="142">
        <v>0</v>
      </c>
      <c r="G43" s="175">
        <v>0.01</v>
      </c>
      <c r="H43" s="175">
        <v>5.9</v>
      </c>
      <c r="I43" s="181">
        <v>6.72</v>
      </c>
      <c r="J43" s="35">
        <v>0.189</v>
      </c>
    </row>
    <row r="44" spans="1:10" ht="27.75" customHeight="1">
      <c r="A44" s="177" t="s">
        <v>524</v>
      </c>
      <c r="B44" s="34" t="s">
        <v>1233</v>
      </c>
      <c r="C44" s="182">
        <v>0</v>
      </c>
      <c r="D44" s="140">
        <v>2.2349999999999999</v>
      </c>
      <c r="E44" s="141">
        <v>0.20899999999999999</v>
      </c>
      <c r="F44" s="142">
        <v>0</v>
      </c>
      <c r="G44" s="175">
        <v>0.01</v>
      </c>
      <c r="H44" s="175">
        <v>5.9</v>
      </c>
      <c r="I44" s="181">
        <v>6.72</v>
      </c>
      <c r="J44" s="35">
        <v>0.189</v>
      </c>
    </row>
    <row r="45" spans="1:10" ht="27.75" customHeight="1">
      <c r="A45" s="177" t="s">
        <v>525</v>
      </c>
      <c r="B45" s="34" t="s">
        <v>1234</v>
      </c>
      <c r="C45" s="182">
        <v>0</v>
      </c>
      <c r="D45" s="140">
        <v>2.2280000000000002</v>
      </c>
      <c r="E45" s="141">
        <v>0.20200000000000001</v>
      </c>
      <c r="F45" s="142">
        <v>0</v>
      </c>
      <c r="G45" s="175">
        <v>0.01</v>
      </c>
      <c r="H45" s="175">
        <v>5.9</v>
      </c>
      <c r="I45" s="181">
        <v>6.72</v>
      </c>
      <c r="J45" s="35">
        <v>0.189</v>
      </c>
    </row>
    <row r="46" spans="1:10" ht="27.75" customHeight="1">
      <c r="A46" s="177" t="s">
        <v>526</v>
      </c>
      <c r="B46" s="34" t="s">
        <v>1235</v>
      </c>
      <c r="C46" s="182">
        <v>0</v>
      </c>
      <c r="D46" s="140">
        <v>2.222</v>
      </c>
      <c r="E46" s="141">
        <v>0.19600000000000001</v>
      </c>
      <c r="F46" s="142">
        <v>0</v>
      </c>
      <c r="G46" s="175">
        <v>0.01</v>
      </c>
      <c r="H46" s="175">
        <v>5.9</v>
      </c>
      <c r="I46" s="181">
        <v>6.72</v>
      </c>
      <c r="J46" s="35">
        <v>0.189</v>
      </c>
    </row>
    <row r="47" spans="1:10" ht="27.75" customHeight="1">
      <c r="A47" s="177" t="s">
        <v>527</v>
      </c>
      <c r="B47" s="34" t="s">
        <v>1236</v>
      </c>
      <c r="C47" s="182">
        <v>0</v>
      </c>
      <c r="D47" s="140">
        <v>2.0710000000000002</v>
      </c>
      <c r="E47" s="141">
        <v>0.40300000000000002</v>
      </c>
      <c r="F47" s="142">
        <v>1.4999999999999999E-2</v>
      </c>
      <c r="G47" s="175">
        <v>68.540000000000006</v>
      </c>
      <c r="H47" s="175">
        <v>6.69</v>
      </c>
      <c r="I47" s="181">
        <v>7.52</v>
      </c>
      <c r="J47" s="35">
        <v>0.17799999999999999</v>
      </c>
    </row>
    <row r="48" spans="1:10" ht="27.75" customHeight="1">
      <c r="A48" s="177" t="s">
        <v>528</v>
      </c>
      <c r="B48" s="34" t="s">
        <v>1237</v>
      </c>
      <c r="C48" s="182">
        <v>0</v>
      </c>
      <c r="D48" s="140">
        <v>1.7649999999999999</v>
      </c>
      <c r="E48" s="141">
        <v>9.7000000000000003E-2</v>
      </c>
      <c r="F48" s="142">
        <v>0</v>
      </c>
      <c r="G48" s="175">
        <v>0.01</v>
      </c>
      <c r="H48" s="175">
        <v>6.69</v>
      </c>
      <c r="I48" s="181">
        <v>7.52</v>
      </c>
      <c r="J48" s="35">
        <v>0.17799999999999999</v>
      </c>
    </row>
    <row r="49" spans="1:10" ht="27.75" customHeight="1">
      <c r="A49" s="177" t="s">
        <v>529</v>
      </c>
      <c r="B49" s="34" t="s">
        <v>1238</v>
      </c>
      <c r="C49" s="182">
        <v>0</v>
      </c>
      <c r="D49" s="140">
        <v>1.7250000000000001</v>
      </c>
      <c r="E49" s="141">
        <v>5.7000000000000002E-2</v>
      </c>
      <c r="F49" s="142">
        <v>0</v>
      </c>
      <c r="G49" s="175">
        <v>0.01</v>
      </c>
      <c r="H49" s="175">
        <v>6.69</v>
      </c>
      <c r="I49" s="181">
        <v>7.52</v>
      </c>
      <c r="J49" s="35">
        <v>0.17799999999999999</v>
      </c>
    </row>
    <row r="50" spans="1:10" ht="27.75" customHeight="1">
      <c r="A50" s="177" t="s">
        <v>530</v>
      </c>
      <c r="B50" s="34" t="s">
        <v>1239</v>
      </c>
      <c r="C50" s="182">
        <v>0</v>
      </c>
      <c r="D50" s="140">
        <v>1.714</v>
      </c>
      <c r="E50" s="141">
        <v>4.7E-2</v>
      </c>
      <c r="F50" s="142">
        <v>0</v>
      </c>
      <c r="G50" s="175">
        <v>0.01</v>
      </c>
      <c r="H50" s="175">
        <v>6.69</v>
      </c>
      <c r="I50" s="181">
        <v>7.52</v>
      </c>
      <c r="J50" s="35">
        <v>0.17799999999999999</v>
      </c>
    </row>
    <row r="51" spans="1:10" ht="27.75" customHeight="1">
      <c r="A51" s="177" t="s">
        <v>531</v>
      </c>
      <c r="B51" s="34" t="s">
        <v>1240</v>
      </c>
      <c r="C51" s="182">
        <v>0</v>
      </c>
      <c r="D51" s="140">
        <v>1.704</v>
      </c>
      <c r="E51" s="141">
        <v>3.6999999999999998E-2</v>
      </c>
      <c r="F51" s="142">
        <v>0</v>
      </c>
      <c r="G51" s="175">
        <v>0.01</v>
      </c>
      <c r="H51" s="175">
        <v>6.69</v>
      </c>
      <c r="I51" s="181">
        <v>7.52</v>
      </c>
      <c r="J51" s="35">
        <v>0.17799999999999999</v>
      </c>
    </row>
    <row r="52" spans="1:10" ht="27.75" customHeight="1">
      <c r="A52" s="177" t="s">
        <v>426</v>
      </c>
      <c r="B52" s="34" t="s">
        <v>1241</v>
      </c>
      <c r="C52" s="188" t="s">
        <v>419</v>
      </c>
      <c r="D52" s="143">
        <v>17.254999999999999</v>
      </c>
      <c r="E52" s="144">
        <v>1.2849999999999999</v>
      </c>
      <c r="F52" s="142">
        <v>0.16300000000000001</v>
      </c>
      <c r="G52" s="176"/>
      <c r="H52" s="176"/>
      <c r="I52" s="180"/>
      <c r="J52" s="36"/>
    </row>
    <row r="53" spans="1:10" ht="27.75" customHeight="1">
      <c r="A53" s="177" t="s">
        <v>427</v>
      </c>
      <c r="B53" s="34" t="s">
        <v>1242</v>
      </c>
      <c r="C53" s="182">
        <v>0</v>
      </c>
      <c r="D53" s="140">
        <v>-5.2389999999999999</v>
      </c>
      <c r="E53" s="141">
        <v>-0.98699999999999999</v>
      </c>
      <c r="F53" s="142">
        <v>-3.2000000000000001E-2</v>
      </c>
      <c r="G53" s="175">
        <v>0</v>
      </c>
      <c r="H53" s="176"/>
      <c r="I53" s="180"/>
      <c r="J53" s="36"/>
    </row>
    <row r="54" spans="1:10" ht="27.75" customHeight="1">
      <c r="A54" s="177" t="s">
        <v>428</v>
      </c>
      <c r="B54" s="34" t="s">
        <v>1243</v>
      </c>
      <c r="C54" s="182">
        <v>0</v>
      </c>
      <c r="D54" s="140">
        <v>-4.6139999999999999</v>
      </c>
      <c r="E54" s="141">
        <v>-0.879</v>
      </c>
      <c r="F54" s="142">
        <v>-2.9000000000000001E-2</v>
      </c>
      <c r="G54" s="175">
        <v>0</v>
      </c>
      <c r="H54" s="176"/>
      <c r="I54" s="180"/>
      <c r="J54" s="36"/>
    </row>
    <row r="55" spans="1:10" ht="27.75" customHeight="1">
      <c r="A55" s="177" t="s">
        <v>429</v>
      </c>
      <c r="B55" s="34" t="s">
        <v>1244</v>
      </c>
      <c r="C55" s="182">
        <v>0</v>
      </c>
      <c r="D55" s="140">
        <v>-5.2389999999999999</v>
      </c>
      <c r="E55" s="141">
        <v>-0.98699999999999999</v>
      </c>
      <c r="F55" s="142">
        <v>-3.2000000000000001E-2</v>
      </c>
      <c r="G55" s="175">
        <v>0</v>
      </c>
      <c r="H55" s="176"/>
      <c r="I55" s="180"/>
      <c r="J55" s="35">
        <v>0.36099999999999999</v>
      </c>
    </row>
    <row r="56" spans="1:10" ht="27.75" customHeight="1">
      <c r="A56" s="177" t="s">
        <v>430</v>
      </c>
      <c r="B56" s="34" t="s">
        <v>1245</v>
      </c>
      <c r="C56" s="182">
        <v>0</v>
      </c>
      <c r="D56" s="140">
        <v>-4.6139999999999999</v>
      </c>
      <c r="E56" s="141">
        <v>-0.879</v>
      </c>
      <c r="F56" s="142">
        <v>-2.9000000000000001E-2</v>
      </c>
      <c r="G56" s="175">
        <v>0</v>
      </c>
      <c r="H56" s="176"/>
      <c r="I56" s="180"/>
      <c r="J56" s="35">
        <v>0.32200000000000001</v>
      </c>
    </row>
    <row r="57" spans="1:10" ht="27.75" customHeight="1">
      <c r="A57" s="177" t="s">
        <v>431</v>
      </c>
      <c r="B57" s="34" t="s">
        <v>1246</v>
      </c>
      <c r="C57" s="182">
        <v>0</v>
      </c>
      <c r="D57" s="140">
        <v>-2.9540000000000002</v>
      </c>
      <c r="E57" s="141">
        <v>-0.59599999999999997</v>
      </c>
      <c r="F57" s="142">
        <v>-2.1999999999999999E-2</v>
      </c>
      <c r="G57" s="175">
        <v>0</v>
      </c>
      <c r="H57" s="176"/>
      <c r="I57" s="180"/>
      <c r="J57" s="35">
        <v>0.28000000000000003</v>
      </c>
    </row>
    <row r="58" spans="1:10" ht="27.75" customHeight="1">
      <c r="A58" s="174" t="s">
        <v>620</v>
      </c>
      <c r="B58" s="34" t="s">
        <v>1247</v>
      </c>
      <c r="C58" s="193" t="s">
        <v>649</v>
      </c>
      <c r="D58" s="140">
        <v>4.7270000000000003</v>
      </c>
      <c r="E58" s="141">
        <v>0.89100000000000001</v>
      </c>
      <c r="F58" s="142">
        <v>2.9000000000000001E-2</v>
      </c>
      <c r="G58" s="175">
        <v>10.31</v>
      </c>
      <c r="H58" s="176"/>
      <c r="I58" s="180"/>
      <c r="J58" s="36"/>
    </row>
    <row r="59" spans="1:10" ht="27.75" customHeight="1">
      <c r="A59" s="174" t="s">
        <v>621</v>
      </c>
      <c r="B59" s="34" t="s">
        <v>1248</v>
      </c>
      <c r="C59" s="186" t="s">
        <v>417</v>
      </c>
      <c r="D59" s="140">
        <v>4.7270000000000003</v>
      </c>
      <c r="E59" s="141">
        <v>0.89100000000000001</v>
      </c>
      <c r="F59" s="142">
        <v>2.9000000000000001E-2</v>
      </c>
      <c r="G59" s="176"/>
      <c r="H59" s="176"/>
      <c r="I59" s="180"/>
      <c r="J59" s="36"/>
    </row>
    <row r="60" spans="1:10" ht="27.75" customHeight="1">
      <c r="A60" s="174" t="s">
        <v>622</v>
      </c>
      <c r="B60" s="34" t="s">
        <v>1249</v>
      </c>
      <c r="C60" s="173" t="s">
        <v>648</v>
      </c>
      <c r="D60" s="140">
        <v>2.8919999999999999</v>
      </c>
      <c r="E60" s="141">
        <v>0.54500000000000004</v>
      </c>
      <c r="F60" s="142">
        <v>1.7000000000000001E-2</v>
      </c>
      <c r="G60" s="175">
        <v>1.62</v>
      </c>
      <c r="H60" s="176"/>
      <c r="I60" s="180"/>
      <c r="J60" s="36"/>
    </row>
    <row r="61" spans="1:10" ht="27.75" customHeight="1">
      <c r="A61" s="174" t="s">
        <v>623</v>
      </c>
      <c r="B61" s="34" t="s">
        <v>1250</v>
      </c>
      <c r="C61" s="173" t="s">
        <v>648</v>
      </c>
      <c r="D61" s="140">
        <v>2.8919999999999999</v>
      </c>
      <c r="E61" s="141">
        <v>0.54500000000000004</v>
      </c>
      <c r="F61" s="142">
        <v>1.7000000000000001E-2</v>
      </c>
      <c r="G61" s="175">
        <v>1.24</v>
      </c>
      <c r="H61" s="176"/>
      <c r="I61" s="180"/>
      <c r="J61" s="36"/>
    </row>
    <row r="62" spans="1:10" ht="27.75" customHeight="1">
      <c r="A62" s="174" t="s">
        <v>624</v>
      </c>
      <c r="B62" s="34" t="s">
        <v>1251</v>
      </c>
      <c r="C62" s="173" t="s">
        <v>648</v>
      </c>
      <c r="D62" s="140">
        <v>2.83</v>
      </c>
      <c r="E62" s="141">
        <v>0.48299999999999998</v>
      </c>
      <c r="F62" s="142">
        <v>0</v>
      </c>
      <c r="G62" s="175">
        <v>0.03</v>
      </c>
      <c r="H62" s="176"/>
      <c r="I62" s="180"/>
      <c r="J62" s="36"/>
    </row>
    <row r="63" spans="1:10" ht="27.75" customHeight="1">
      <c r="A63" s="174" t="s">
        <v>625</v>
      </c>
      <c r="B63" s="34" t="s">
        <v>1252</v>
      </c>
      <c r="C63" s="173" t="s">
        <v>648</v>
      </c>
      <c r="D63" s="140">
        <v>2.7549999999999999</v>
      </c>
      <c r="E63" s="141">
        <v>0.40799999999999997</v>
      </c>
      <c r="F63" s="142">
        <v>0</v>
      </c>
      <c r="G63" s="175">
        <v>0.03</v>
      </c>
      <c r="H63" s="176"/>
      <c r="I63" s="180"/>
      <c r="J63" s="36"/>
    </row>
    <row r="64" spans="1:10" ht="27.75" customHeight="1">
      <c r="A64" s="174" t="s">
        <v>626</v>
      </c>
      <c r="B64" s="34" t="s">
        <v>1253</v>
      </c>
      <c r="C64" s="173" t="s">
        <v>648</v>
      </c>
      <c r="D64" s="140">
        <v>2.718</v>
      </c>
      <c r="E64" s="141">
        <v>0.371</v>
      </c>
      <c r="F64" s="142">
        <v>0</v>
      </c>
      <c r="G64" s="175">
        <v>0.03</v>
      </c>
      <c r="H64" s="176"/>
      <c r="I64" s="180"/>
      <c r="J64" s="36"/>
    </row>
    <row r="65" spans="1:10" ht="27.75" customHeight="1">
      <c r="A65" s="174" t="s">
        <v>432</v>
      </c>
      <c r="B65" s="34" t="s">
        <v>1254</v>
      </c>
      <c r="C65" s="186" t="s">
        <v>418</v>
      </c>
      <c r="D65" s="140">
        <v>2.8919999999999999</v>
      </c>
      <c r="E65" s="141">
        <v>0.54500000000000004</v>
      </c>
      <c r="F65" s="142">
        <v>1.7000000000000001E-2</v>
      </c>
      <c r="G65" s="176"/>
      <c r="H65" s="176"/>
      <c r="I65" s="180"/>
      <c r="J65" s="36"/>
    </row>
    <row r="66" spans="1:10" ht="27.75" customHeight="1">
      <c r="A66" s="174" t="s">
        <v>627</v>
      </c>
      <c r="B66" s="34" t="s">
        <v>1255</v>
      </c>
      <c r="C66" s="182">
        <v>0</v>
      </c>
      <c r="D66" s="140">
        <v>2.3809999999999998</v>
      </c>
      <c r="E66" s="141">
        <v>0.45700000000000002</v>
      </c>
      <c r="F66" s="142">
        <v>1.4999999999999999E-2</v>
      </c>
      <c r="G66" s="175">
        <v>3.98</v>
      </c>
      <c r="H66" s="175">
        <v>2.14</v>
      </c>
      <c r="I66" s="181">
        <v>3.33</v>
      </c>
      <c r="J66" s="35">
        <v>0.20399999999999999</v>
      </c>
    </row>
    <row r="67" spans="1:10" ht="27.75" customHeight="1">
      <c r="A67" s="174" t="s">
        <v>628</v>
      </c>
      <c r="B67" s="34" t="s">
        <v>1256</v>
      </c>
      <c r="C67" s="182">
        <v>0</v>
      </c>
      <c r="D67" s="140">
        <v>2.1930000000000001</v>
      </c>
      <c r="E67" s="141">
        <v>0.26900000000000002</v>
      </c>
      <c r="F67" s="142">
        <v>3.0000000000000001E-3</v>
      </c>
      <c r="G67" s="175">
        <v>1.06</v>
      </c>
      <c r="H67" s="175">
        <v>2.14</v>
      </c>
      <c r="I67" s="181">
        <v>3.33</v>
      </c>
      <c r="J67" s="35">
        <v>0.20399999999999999</v>
      </c>
    </row>
    <row r="68" spans="1:10" ht="27.75" customHeight="1">
      <c r="A68" s="174" t="s">
        <v>629</v>
      </c>
      <c r="B68" s="34" t="s">
        <v>1257</v>
      </c>
      <c r="C68" s="182">
        <v>0</v>
      </c>
      <c r="D68" s="140">
        <v>2.1880000000000002</v>
      </c>
      <c r="E68" s="141">
        <v>0.26400000000000001</v>
      </c>
      <c r="F68" s="142">
        <v>3.0000000000000001E-3</v>
      </c>
      <c r="G68" s="175">
        <v>1.06</v>
      </c>
      <c r="H68" s="175">
        <v>2.14</v>
      </c>
      <c r="I68" s="181">
        <v>3.33</v>
      </c>
      <c r="J68" s="35">
        <v>0.20399999999999999</v>
      </c>
    </row>
    <row r="69" spans="1:10" ht="27.75" customHeight="1">
      <c r="A69" s="174" t="s">
        <v>630</v>
      </c>
      <c r="B69" s="34" t="s">
        <v>1258</v>
      </c>
      <c r="C69" s="182">
        <v>0</v>
      </c>
      <c r="D69" s="140">
        <v>2.1829999999999998</v>
      </c>
      <c r="E69" s="141">
        <v>0.25900000000000001</v>
      </c>
      <c r="F69" s="142">
        <v>3.0000000000000001E-3</v>
      </c>
      <c r="G69" s="175">
        <v>1.06</v>
      </c>
      <c r="H69" s="175">
        <v>2.14</v>
      </c>
      <c r="I69" s="181">
        <v>3.33</v>
      </c>
      <c r="J69" s="35">
        <v>0.20399999999999999</v>
      </c>
    </row>
    <row r="70" spans="1:10" ht="27.75" customHeight="1">
      <c r="A70" s="174" t="s">
        <v>631</v>
      </c>
      <c r="B70" s="34" t="s">
        <v>1259</v>
      </c>
      <c r="C70" s="182">
        <v>0</v>
      </c>
      <c r="D70" s="140">
        <v>2.1789999999999998</v>
      </c>
      <c r="E70" s="141">
        <v>0.25600000000000001</v>
      </c>
      <c r="F70" s="142">
        <v>3.0000000000000001E-3</v>
      </c>
      <c r="G70" s="175">
        <v>1.06</v>
      </c>
      <c r="H70" s="175">
        <v>2.14</v>
      </c>
      <c r="I70" s="181">
        <v>3.33</v>
      </c>
      <c r="J70" s="35">
        <v>0.20399999999999999</v>
      </c>
    </row>
    <row r="71" spans="1:10" ht="27.75" customHeight="1">
      <c r="A71" s="174" t="s">
        <v>632</v>
      </c>
      <c r="B71" s="34" t="s">
        <v>1260</v>
      </c>
      <c r="C71" s="182">
        <v>0</v>
      </c>
      <c r="D71" s="140">
        <v>2.234</v>
      </c>
      <c r="E71" s="141">
        <v>0.45100000000000001</v>
      </c>
      <c r="F71" s="142">
        <v>1.7000000000000001E-2</v>
      </c>
      <c r="G71" s="175">
        <v>4.0599999999999996</v>
      </c>
      <c r="H71" s="175">
        <v>5.19</v>
      </c>
      <c r="I71" s="181">
        <v>5.91</v>
      </c>
      <c r="J71" s="35">
        <v>0.16600000000000001</v>
      </c>
    </row>
    <row r="72" spans="1:10" ht="27.75" customHeight="1">
      <c r="A72" s="174" t="s">
        <v>633</v>
      </c>
      <c r="B72" s="34" t="s">
        <v>1261</v>
      </c>
      <c r="C72" s="182">
        <v>0</v>
      </c>
      <c r="D72" s="140">
        <v>1.974</v>
      </c>
      <c r="E72" s="141">
        <v>0.191</v>
      </c>
      <c r="F72" s="142">
        <v>0</v>
      </c>
      <c r="G72" s="175">
        <v>0.02</v>
      </c>
      <c r="H72" s="175">
        <v>5.19</v>
      </c>
      <c r="I72" s="181">
        <v>5.91</v>
      </c>
      <c r="J72" s="35">
        <v>0.16600000000000001</v>
      </c>
    </row>
    <row r="73" spans="1:10" ht="27.75" customHeight="1">
      <c r="A73" s="174" t="s">
        <v>634</v>
      </c>
      <c r="B73" s="34" t="s">
        <v>1262</v>
      </c>
      <c r="C73" s="182">
        <v>0</v>
      </c>
      <c r="D73" s="140">
        <v>1.9670000000000001</v>
      </c>
      <c r="E73" s="141">
        <v>0.184</v>
      </c>
      <c r="F73" s="142">
        <v>0</v>
      </c>
      <c r="G73" s="175">
        <v>0.02</v>
      </c>
      <c r="H73" s="175">
        <v>5.19</v>
      </c>
      <c r="I73" s="181">
        <v>5.91</v>
      </c>
      <c r="J73" s="35">
        <v>0.16600000000000001</v>
      </c>
    </row>
    <row r="74" spans="1:10" ht="27.75" customHeight="1">
      <c r="A74" s="174" t="s">
        <v>635</v>
      </c>
      <c r="B74" s="34" t="s">
        <v>1263</v>
      </c>
      <c r="C74" s="182">
        <v>0</v>
      </c>
      <c r="D74" s="140">
        <v>1.96</v>
      </c>
      <c r="E74" s="141">
        <v>0.17799999999999999</v>
      </c>
      <c r="F74" s="142">
        <v>0</v>
      </c>
      <c r="G74" s="175">
        <v>0.02</v>
      </c>
      <c r="H74" s="175">
        <v>5.19</v>
      </c>
      <c r="I74" s="181">
        <v>5.91</v>
      </c>
      <c r="J74" s="35">
        <v>0.16600000000000001</v>
      </c>
    </row>
    <row r="75" spans="1:10" ht="27.75" customHeight="1">
      <c r="A75" s="174" t="s">
        <v>636</v>
      </c>
      <c r="B75" s="34" t="s">
        <v>1264</v>
      </c>
      <c r="C75" s="182">
        <v>0</v>
      </c>
      <c r="D75" s="140">
        <v>1.9550000000000001</v>
      </c>
      <c r="E75" s="141">
        <v>0.17199999999999999</v>
      </c>
      <c r="F75" s="142">
        <v>0</v>
      </c>
      <c r="G75" s="175">
        <v>0.02</v>
      </c>
      <c r="H75" s="175">
        <v>5.19</v>
      </c>
      <c r="I75" s="181">
        <v>5.91</v>
      </c>
      <c r="J75" s="35">
        <v>0.16600000000000001</v>
      </c>
    </row>
    <row r="76" spans="1:10" ht="27.75" customHeight="1">
      <c r="A76" s="174" t="s">
        <v>637</v>
      </c>
      <c r="B76" s="34" t="s">
        <v>1265</v>
      </c>
      <c r="C76" s="182">
        <v>0</v>
      </c>
      <c r="D76" s="140">
        <v>1.8149999999999999</v>
      </c>
      <c r="E76" s="141">
        <v>0.35299999999999998</v>
      </c>
      <c r="F76" s="142">
        <v>1.2999999999999999E-2</v>
      </c>
      <c r="G76" s="175">
        <v>60.07</v>
      </c>
      <c r="H76" s="175">
        <v>5.86</v>
      </c>
      <c r="I76" s="181">
        <v>6.59</v>
      </c>
      <c r="J76" s="35">
        <v>0.156</v>
      </c>
    </row>
    <row r="77" spans="1:10" ht="27.75" customHeight="1">
      <c r="A77" s="174" t="s">
        <v>638</v>
      </c>
      <c r="B77" s="34" t="s">
        <v>1266</v>
      </c>
      <c r="C77" s="182">
        <v>0</v>
      </c>
      <c r="D77" s="140">
        <v>1.5469999999999999</v>
      </c>
      <c r="E77" s="141">
        <v>8.5000000000000006E-2</v>
      </c>
      <c r="F77" s="142">
        <v>0</v>
      </c>
      <c r="G77" s="175">
        <v>0.01</v>
      </c>
      <c r="H77" s="175">
        <v>5.86</v>
      </c>
      <c r="I77" s="181">
        <v>6.59</v>
      </c>
      <c r="J77" s="35">
        <v>0.156</v>
      </c>
    </row>
    <row r="78" spans="1:10" ht="27.75" customHeight="1">
      <c r="A78" s="174" t="s">
        <v>639</v>
      </c>
      <c r="B78" s="34" t="s">
        <v>1267</v>
      </c>
      <c r="C78" s="182">
        <v>0</v>
      </c>
      <c r="D78" s="140">
        <v>1.5109999999999999</v>
      </c>
      <c r="E78" s="141">
        <v>0.05</v>
      </c>
      <c r="F78" s="142">
        <v>0</v>
      </c>
      <c r="G78" s="175">
        <v>0.01</v>
      </c>
      <c r="H78" s="175">
        <v>5.86</v>
      </c>
      <c r="I78" s="181">
        <v>6.59</v>
      </c>
      <c r="J78" s="35">
        <v>0.156</v>
      </c>
    </row>
    <row r="79" spans="1:10" ht="27.75" customHeight="1">
      <c r="A79" s="174" t="s">
        <v>640</v>
      </c>
      <c r="B79" s="34" t="s">
        <v>1268</v>
      </c>
      <c r="C79" s="182">
        <v>0</v>
      </c>
      <c r="D79" s="140">
        <v>1.5029999999999999</v>
      </c>
      <c r="E79" s="141">
        <v>4.1000000000000002E-2</v>
      </c>
      <c r="F79" s="142">
        <v>0</v>
      </c>
      <c r="G79" s="175">
        <v>0.01</v>
      </c>
      <c r="H79" s="175">
        <v>5.86</v>
      </c>
      <c r="I79" s="181">
        <v>6.59</v>
      </c>
      <c r="J79" s="35">
        <v>0.156</v>
      </c>
    </row>
    <row r="80" spans="1:10" ht="27.75" customHeight="1">
      <c r="A80" s="174" t="s">
        <v>641</v>
      </c>
      <c r="B80" s="34" t="s">
        <v>1269</v>
      </c>
      <c r="C80" s="182">
        <v>0</v>
      </c>
      <c r="D80" s="140">
        <v>1.494</v>
      </c>
      <c r="E80" s="141">
        <v>3.2000000000000001E-2</v>
      </c>
      <c r="F80" s="142">
        <v>0</v>
      </c>
      <c r="G80" s="175">
        <v>0.01</v>
      </c>
      <c r="H80" s="175">
        <v>5.86</v>
      </c>
      <c r="I80" s="181">
        <v>6.59</v>
      </c>
      <c r="J80" s="35">
        <v>0.156</v>
      </c>
    </row>
    <row r="81" spans="1:10" ht="27.75" customHeight="1">
      <c r="A81" s="174" t="s">
        <v>433</v>
      </c>
      <c r="B81" s="34" t="s">
        <v>1270</v>
      </c>
      <c r="C81" s="188" t="s">
        <v>419</v>
      </c>
      <c r="D81" s="143">
        <v>15.288</v>
      </c>
      <c r="E81" s="144">
        <v>1.139</v>
      </c>
      <c r="F81" s="142">
        <v>0.14399999999999999</v>
      </c>
      <c r="G81" s="176"/>
      <c r="H81" s="176"/>
      <c r="I81" s="180"/>
      <c r="J81" s="36"/>
    </row>
    <row r="82" spans="1:10" ht="27.75" customHeight="1">
      <c r="A82" s="174" t="s">
        <v>434</v>
      </c>
      <c r="B82" s="34" t="s">
        <v>1271</v>
      </c>
      <c r="C82" s="182">
        <v>0</v>
      </c>
      <c r="D82" s="140">
        <v>-3.6150000000000002</v>
      </c>
      <c r="E82" s="141">
        <v>-0.68100000000000005</v>
      </c>
      <c r="F82" s="142">
        <v>-2.1999999999999999E-2</v>
      </c>
      <c r="G82" s="175">
        <v>0</v>
      </c>
      <c r="H82" s="176"/>
      <c r="I82" s="180"/>
      <c r="J82" s="36"/>
    </row>
    <row r="83" spans="1:10" ht="27.75" customHeight="1">
      <c r="A83" s="174" t="s">
        <v>435</v>
      </c>
      <c r="B83" s="34" t="s">
        <v>1272</v>
      </c>
      <c r="C83" s="182">
        <v>0</v>
      </c>
      <c r="D83" s="140">
        <v>-3.5270000000000001</v>
      </c>
      <c r="E83" s="141">
        <v>-0.67200000000000004</v>
      </c>
      <c r="F83" s="142">
        <v>-2.1999999999999999E-2</v>
      </c>
      <c r="G83" s="175">
        <v>0</v>
      </c>
      <c r="H83" s="176"/>
      <c r="I83" s="180"/>
      <c r="J83" s="36"/>
    </row>
    <row r="84" spans="1:10" ht="27.75" customHeight="1">
      <c r="A84" s="174" t="s">
        <v>436</v>
      </c>
      <c r="B84" s="34" t="s">
        <v>1273</v>
      </c>
      <c r="C84" s="182">
        <v>0</v>
      </c>
      <c r="D84" s="140">
        <v>-3.6150000000000002</v>
      </c>
      <c r="E84" s="141">
        <v>-0.68100000000000005</v>
      </c>
      <c r="F84" s="142">
        <v>-2.1999999999999999E-2</v>
      </c>
      <c r="G84" s="175">
        <v>0</v>
      </c>
      <c r="H84" s="176"/>
      <c r="I84" s="180"/>
      <c r="J84" s="35">
        <v>0.249</v>
      </c>
    </row>
    <row r="85" spans="1:10" ht="27.75" customHeight="1">
      <c r="A85" s="174" t="s">
        <v>437</v>
      </c>
      <c r="B85" s="34" t="s">
        <v>1274</v>
      </c>
      <c r="C85" s="182">
        <v>0</v>
      </c>
      <c r="D85" s="140">
        <v>-3.5270000000000001</v>
      </c>
      <c r="E85" s="141">
        <v>-0.67200000000000004</v>
      </c>
      <c r="F85" s="142">
        <v>-2.1999999999999999E-2</v>
      </c>
      <c r="G85" s="175">
        <v>0</v>
      </c>
      <c r="H85" s="176"/>
      <c r="I85" s="180"/>
      <c r="J85" s="35">
        <v>0.246</v>
      </c>
    </row>
    <row r="86" spans="1:10" ht="27.75" customHeight="1">
      <c r="A86" s="174" t="s">
        <v>438</v>
      </c>
      <c r="B86" s="34" t="s">
        <v>1275</v>
      </c>
      <c r="C86" s="182">
        <v>0</v>
      </c>
      <c r="D86" s="140">
        <v>-2.9540000000000002</v>
      </c>
      <c r="E86" s="141">
        <v>-0.59599999999999997</v>
      </c>
      <c r="F86" s="142">
        <v>-2.1999999999999999E-2</v>
      </c>
      <c r="G86" s="175">
        <v>6.65</v>
      </c>
      <c r="H86" s="176"/>
      <c r="I86" s="180"/>
      <c r="J86" s="35">
        <v>0.28000000000000003</v>
      </c>
    </row>
    <row r="87" spans="1:10" ht="27.75" customHeight="1">
      <c r="A87" s="174" t="s">
        <v>598</v>
      </c>
      <c r="B87" s="34" t="s">
        <v>1276</v>
      </c>
      <c r="C87" s="193" t="s">
        <v>649</v>
      </c>
      <c r="D87" s="140">
        <v>3.6469999999999998</v>
      </c>
      <c r="E87" s="141">
        <v>0.68700000000000006</v>
      </c>
      <c r="F87" s="142">
        <v>2.1999999999999999E-2</v>
      </c>
      <c r="G87" s="175">
        <v>10.19</v>
      </c>
      <c r="H87" s="176"/>
      <c r="I87" s="180"/>
      <c r="J87" s="36"/>
    </row>
    <row r="88" spans="1:10" ht="27.75" customHeight="1">
      <c r="A88" s="174" t="s">
        <v>599</v>
      </c>
      <c r="B88" s="34" t="s">
        <v>1277</v>
      </c>
      <c r="C88" s="186" t="s">
        <v>417</v>
      </c>
      <c r="D88" s="140">
        <v>3.6469999999999998</v>
      </c>
      <c r="E88" s="141">
        <v>0.68700000000000006</v>
      </c>
      <c r="F88" s="142">
        <v>2.1999999999999999E-2</v>
      </c>
      <c r="G88" s="176"/>
      <c r="H88" s="176"/>
      <c r="I88" s="180"/>
      <c r="J88" s="36"/>
    </row>
    <row r="89" spans="1:10" ht="27.75" customHeight="1">
      <c r="A89" s="174" t="s">
        <v>600</v>
      </c>
      <c r="B89" s="34" t="s">
        <v>1278</v>
      </c>
      <c r="C89" s="173" t="s">
        <v>648</v>
      </c>
      <c r="D89" s="140">
        <v>2.2309999999999999</v>
      </c>
      <c r="E89" s="141">
        <v>0.42099999999999999</v>
      </c>
      <c r="F89" s="142">
        <v>1.4E-2</v>
      </c>
      <c r="G89" s="175">
        <v>1.26</v>
      </c>
      <c r="H89" s="176"/>
      <c r="I89" s="180"/>
      <c r="J89" s="36"/>
    </row>
    <row r="90" spans="1:10" ht="27.75" customHeight="1">
      <c r="A90" s="174" t="s">
        <v>601</v>
      </c>
      <c r="B90" s="34" t="s">
        <v>1279</v>
      </c>
      <c r="C90" s="173" t="s">
        <v>648</v>
      </c>
      <c r="D90" s="140">
        <v>2.2309999999999999</v>
      </c>
      <c r="E90" s="141">
        <v>0.42099999999999999</v>
      </c>
      <c r="F90" s="142">
        <v>1.4E-2</v>
      </c>
      <c r="G90" s="175">
        <v>0.97</v>
      </c>
      <c r="H90" s="176"/>
      <c r="I90" s="180"/>
      <c r="J90" s="36"/>
    </row>
    <row r="91" spans="1:10" ht="27.75" customHeight="1">
      <c r="A91" s="174" t="s">
        <v>602</v>
      </c>
      <c r="B91" s="34" t="s">
        <v>1280</v>
      </c>
      <c r="C91" s="173" t="s">
        <v>648</v>
      </c>
      <c r="D91" s="140">
        <v>2.1829999999999998</v>
      </c>
      <c r="E91" s="141">
        <v>0.372</v>
      </c>
      <c r="F91" s="142">
        <v>0</v>
      </c>
      <c r="G91" s="175">
        <v>0.03</v>
      </c>
      <c r="H91" s="176"/>
      <c r="I91" s="180"/>
      <c r="J91" s="36"/>
    </row>
    <row r="92" spans="1:10" ht="27.75" customHeight="1">
      <c r="A92" s="174" t="s">
        <v>603</v>
      </c>
      <c r="B92" s="34" t="s">
        <v>1281</v>
      </c>
      <c r="C92" s="173" t="s">
        <v>648</v>
      </c>
      <c r="D92" s="140">
        <v>2.1259999999999999</v>
      </c>
      <c r="E92" s="141">
        <v>0.315</v>
      </c>
      <c r="F92" s="142">
        <v>0</v>
      </c>
      <c r="G92" s="175">
        <v>0.03</v>
      </c>
      <c r="H92" s="176"/>
      <c r="I92" s="180"/>
      <c r="J92" s="36"/>
    </row>
    <row r="93" spans="1:10" ht="27.75" customHeight="1">
      <c r="A93" s="174" t="s">
        <v>604</v>
      </c>
      <c r="B93" s="34" t="s">
        <v>1282</v>
      </c>
      <c r="C93" s="173" t="s">
        <v>648</v>
      </c>
      <c r="D93" s="140">
        <v>2.097</v>
      </c>
      <c r="E93" s="141">
        <v>0.28599999999999998</v>
      </c>
      <c r="F93" s="142">
        <v>0</v>
      </c>
      <c r="G93" s="175">
        <v>0.03</v>
      </c>
      <c r="H93" s="176"/>
      <c r="I93" s="180"/>
      <c r="J93" s="36"/>
    </row>
    <row r="94" spans="1:10" ht="27.75" customHeight="1">
      <c r="A94" s="174" t="s">
        <v>439</v>
      </c>
      <c r="B94" s="34" t="s">
        <v>1283</v>
      </c>
      <c r="C94" s="186" t="s">
        <v>418</v>
      </c>
      <c r="D94" s="140">
        <v>2.2309999999999999</v>
      </c>
      <c r="E94" s="141">
        <v>0.42099999999999999</v>
      </c>
      <c r="F94" s="142">
        <v>1.4E-2</v>
      </c>
      <c r="G94" s="176"/>
      <c r="H94" s="176"/>
      <c r="I94" s="180"/>
      <c r="J94" s="36"/>
    </row>
    <row r="95" spans="1:10" ht="27.75" customHeight="1">
      <c r="A95" s="174" t="s">
        <v>605</v>
      </c>
      <c r="B95" s="34" t="s">
        <v>1284</v>
      </c>
      <c r="C95" s="182">
        <v>0</v>
      </c>
      <c r="D95" s="140">
        <v>1.837</v>
      </c>
      <c r="E95" s="141">
        <v>0.35299999999999998</v>
      </c>
      <c r="F95" s="142">
        <v>1.2E-2</v>
      </c>
      <c r="G95" s="175">
        <v>3.09</v>
      </c>
      <c r="H95" s="175">
        <v>1.65</v>
      </c>
      <c r="I95" s="181">
        <v>2.57</v>
      </c>
      <c r="J95" s="35">
        <v>0.157</v>
      </c>
    </row>
    <row r="96" spans="1:10" ht="27.75" customHeight="1">
      <c r="A96" s="174" t="s">
        <v>606</v>
      </c>
      <c r="B96" s="34" t="s">
        <v>1285</v>
      </c>
      <c r="C96" s="182">
        <v>0</v>
      </c>
      <c r="D96" s="140">
        <v>1.6919999999999999</v>
      </c>
      <c r="E96" s="141">
        <v>0.20799999999999999</v>
      </c>
      <c r="F96" s="142">
        <v>3.0000000000000001E-3</v>
      </c>
      <c r="G96" s="175">
        <v>0.83</v>
      </c>
      <c r="H96" s="175">
        <v>1.65</v>
      </c>
      <c r="I96" s="181">
        <v>2.57</v>
      </c>
      <c r="J96" s="35">
        <v>0.157</v>
      </c>
    </row>
    <row r="97" spans="1:10" ht="27.75" customHeight="1">
      <c r="A97" s="174" t="s">
        <v>607</v>
      </c>
      <c r="B97" s="34" t="s">
        <v>1286</v>
      </c>
      <c r="C97" s="182">
        <v>0</v>
      </c>
      <c r="D97" s="140">
        <v>1.6879999999999999</v>
      </c>
      <c r="E97" s="141">
        <v>0.20399999999999999</v>
      </c>
      <c r="F97" s="142">
        <v>3.0000000000000001E-3</v>
      </c>
      <c r="G97" s="175">
        <v>0.83</v>
      </c>
      <c r="H97" s="175">
        <v>1.65</v>
      </c>
      <c r="I97" s="181">
        <v>2.57</v>
      </c>
      <c r="J97" s="35">
        <v>0.157</v>
      </c>
    </row>
    <row r="98" spans="1:10" ht="27.75" customHeight="1">
      <c r="A98" s="174" t="s">
        <v>608</v>
      </c>
      <c r="B98" s="34" t="s">
        <v>1287</v>
      </c>
      <c r="C98" s="182">
        <v>0</v>
      </c>
      <c r="D98" s="140">
        <v>1.6839999999999999</v>
      </c>
      <c r="E98" s="141">
        <v>0.2</v>
      </c>
      <c r="F98" s="142">
        <v>3.0000000000000001E-3</v>
      </c>
      <c r="G98" s="175">
        <v>0.83</v>
      </c>
      <c r="H98" s="175">
        <v>1.65</v>
      </c>
      <c r="I98" s="181">
        <v>2.57</v>
      </c>
      <c r="J98" s="35">
        <v>0.157</v>
      </c>
    </row>
    <row r="99" spans="1:10" ht="27.75" customHeight="1">
      <c r="A99" s="174" t="s">
        <v>609</v>
      </c>
      <c r="B99" s="34" t="s">
        <v>1288</v>
      </c>
      <c r="C99" s="182">
        <v>0</v>
      </c>
      <c r="D99" s="140">
        <v>1.681</v>
      </c>
      <c r="E99" s="141">
        <v>0.19700000000000001</v>
      </c>
      <c r="F99" s="142">
        <v>3.0000000000000001E-3</v>
      </c>
      <c r="G99" s="175">
        <v>0.83</v>
      </c>
      <c r="H99" s="175">
        <v>1.65</v>
      </c>
      <c r="I99" s="181">
        <v>2.57</v>
      </c>
      <c r="J99" s="35">
        <v>0.157</v>
      </c>
    </row>
    <row r="100" spans="1:10" ht="27.75" customHeight="1">
      <c r="A100" s="174" t="s">
        <v>610</v>
      </c>
      <c r="B100" s="34" t="s">
        <v>1289</v>
      </c>
      <c r="C100" s="182">
        <v>0</v>
      </c>
      <c r="D100" s="140">
        <v>1.7230000000000001</v>
      </c>
      <c r="E100" s="141">
        <v>0.34799999999999998</v>
      </c>
      <c r="F100" s="142">
        <v>1.2999999999999999E-2</v>
      </c>
      <c r="G100" s="175">
        <v>3.14</v>
      </c>
      <c r="H100" s="175">
        <v>4.01</v>
      </c>
      <c r="I100" s="181">
        <v>4.5599999999999996</v>
      </c>
      <c r="J100" s="35">
        <v>0.128</v>
      </c>
    </row>
    <row r="101" spans="1:10" ht="27.75" customHeight="1">
      <c r="A101" s="174" t="s">
        <v>611</v>
      </c>
      <c r="B101" s="34" t="s">
        <v>1290</v>
      </c>
      <c r="C101" s="182">
        <v>0</v>
      </c>
      <c r="D101" s="140">
        <v>1.5229999999999999</v>
      </c>
      <c r="E101" s="141">
        <v>0.14799999999999999</v>
      </c>
      <c r="F101" s="142">
        <v>0</v>
      </c>
      <c r="G101" s="175">
        <v>0.02</v>
      </c>
      <c r="H101" s="175">
        <v>4.01</v>
      </c>
      <c r="I101" s="181">
        <v>4.5599999999999996</v>
      </c>
      <c r="J101" s="35">
        <v>0.128</v>
      </c>
    </row>
    <row r="102" spans="1:10" ht="27.75" customHeight="1">
      <c r="A102" s="174" t="s">
        <v>612</v>
      </c>
      <c r="B102" s="34" t="s">
        <v>1291</v>
      </c>
      <c r="C102" s="182">
        <v>0</v>
      </c>
      <c r="D102" s="140">
        <v>1.5169999999999999</v>
      </c>
      <c r="E102" s="141">
        <v>0.14199999999999999</v>
      </c>
      <c r="F102" s="142">
        <v>0</v>
      </c>
      <c r="G102" s="175">
        <v>0.02</v>
      </c>
      <c r="H102" s="175">
        <v>4.01</v>
      </c>
      <c r="I102" s="181">
        <v>4.5599999999999996</v>
      </c>
      <c r="J102" s="35">
        <v>0.128</v>
      </c>
    </row>
    <row r="103" spans="1:10" ht="27.75" customHeight="1">
      <c r="A103" s="174" t="s">
        <v>613</v>
      </c>
      <c r="B103" s="34" t="s">
        <v>1292</v>
      </c>
      <c r="C103" s="182">
        <v>0</v>
      </c>
      <c r="D103" s="140">
        <v>1.512</v>
      </c>
      <c r="E103" s="141">
        <v>0.13700000000000001</v>
      </c>
      <c r="F103" s="142">
        <v>0</v>
      </c>
      <c r="G103" s="175">
        <v>0.02</v>
      </c>
      <c r="H103" s="175">
        <v>4.01</v>
      </c>
      <c r="I103" s="181">
        <v>4.5599999999999996</v>
      </c>
      <c r="J103" s="35">
        <v>0.128</v>
      </c>
    </row>
    <row r="104" spans="1:10" ht="27.75" customHeight="1">
      <c r="A104" s="174" t="s">
        <v>614</v>
      </c>
      <c r="B104" s="34" t="s">
        <v>1293</v>
      </c>
      <c r="C104" s="182">
        <v>0</v>
      </c>
      <c r="D104" s="140">
        <v>1.508</v>
      </c>
      <c r="E104" s="141">
        <v>0.13300000000000001</v>
      </c>
      <c r="F104" s="142">
        <v>0</v>
      </c>
      <c r="G104" s="175">
        <v>0.02</v>
      </c>
      <c r="H104" s="175">
        <v>4.01</v>
      </c>
      <c r="I104" s="181">
        <v>4.5599999999999996</v>
      </c>
      <c r="J104" s="35">
        <v>0.128</v>
      </c>
    </row>
    <row r="105" spans="1:10" ht="27.75" customHeight="1">
      <c r="A105" s="174" t="s">
        <v>615</v>
      </c>
      <c r="B105" s="34" t="s">
        <v>1294</v>
      </c>
      <c r="C105" s="182">
        <v>0</v>
      </c>
      <c r="D105" s="140">
        <v>1.4</v>
      </c>
      <c r="E105" s="141">
        <v>0.27300000000000002</v>
      </c>
      <c r="F105" s="142">
        <v>0.01</v>
      </c>
      <c r="G105" s="175">
        <v>46.35</v>
      </c>
      <c r="H105" s="175">
        <v>4.5199999999999996</v>
      </c>
      <c r="I105" s="181">
        <v>5.08</v>
      </c>
      <c r="J105" s="35">
        <v>0.12</v>
      </c>
    </row>
    <row r="106" spans="1:10" ht="27.75" customHeight="1">
      <c r="A106" s="174" t="s">
        <v>616</v>
      </c>
      <c r="B106" s="34" t="s">
        <v>1295</v>
      </c>
      <c r="C106" s="182">
        <v>0</v>
      </c>
      <c r="D106" s="140">
        <v>1.1930000000000001</v>
      </c>
      <c r="E106" s="141">
        <v>6.6000000000000003E-2</v>
      </c>
      <c r="F106" s="142">
        <v>0</v>
      </c>
      <c r="G106" s="175">
        <v>0.02</v>
      </c>
      <c r="H106" s="175">
        <v>4.5199999999999996</v>
      </c>
      <c r="I106" s="181">
        <v>5.08</v>
      </c>
      <c r="J106" s="35">
        <v>0.12</v>
      </c>
    </row>
    <row r="107" spans="1:10" ht="27.75" customHeight="1">
      <c r="A107" s="174" t="s">
        <v>617</v>
      </c>
      <c r="B107" s="34" t="s">
        <v>1296</v>
      </c>
      <c r="C107" s="182">
        <v>0</v>
      </c>
      <c r="D107" s="140">
        <v>1.1659999999999999</v>
      </c>
      <c r="E107" s="141">
        <v>3.7999999999999999E-2</v>
      </c>
      <c r="F107" s="142">
        <v>0</v>
      </c>
      <c r="G107" s="175">
        <v>0.02</v>
      </c>
      <c r="H107" s="175">
        <v>4.5199999999999996</v>
      </c>
      <c r="I107" s="181">
        <v>5.08</v>
      </c>
      <c r="J107" s="35">
        <v>0.12</v>
      </c>
    </row>
    <row r="108" spans="1:10" ht="27.75" customHeight="1">
      <c r="A108" s="174" t="s">
        <v>618</v>
      </c>
      <c r="B108" s="34" t="s">
        <v>1297</v>
      </c>
      <c r="C108" s="182">
        <v>0</v>
      </c>
      <c r="D108" s="140">
        <v>1.159</v>
      </c>
      <c r="E108" s="141">
        <v>3.1E-2</v>
      </c>
      <c r="F108" s="142">
        <v>0</v>
      </c>
      <c r="G108" s="175">
        <v>0.02</v>
      </c>
      <c r="H108" s="175">
        <v>4.5199999999999996</v>
      </c>
      <c r="I108" s="181">
        <v>5.08</v>
      </c>
      <c r="J108" s="35">
        <v>0.12</v>
      </c>
    </row>
    <row r="109" spans="1:10" ht="27.75" customHeight="1">
      <c r="A109" s="174" t="s">
        <v>619</v>
      </c>
      <c r="B109" s="34" t="s">
        <v>1298</v>
      </c>
      <c r="C109" s="182">
        <v>0</v>
      </c>
      <c r="D109" s="140">
        <v>1.1519999999999999</v>
      </c>
      <c r="E109" s="141">
        <v>2.5000000000000001E-2</v>
      </c>
      <c r="F109" s="142">
        <v>0</v>
      </c>
      <c r="G109" s="175">
        <v>0.02</v>
      </c>
      <c r="H109" s="175">
        <v>4.5199999999999996</v>
      </c>
      <c r="I109" s="181">
        <v>5.08</v>
      </c>
      <c r="J109" s="35">
        <v>0.12</v>
      </c>
    </row>
    <row r="110" spans="1:10" ht="27.75" customHeight="1">
      <c r="A110" s="174" t="s">
        <v>440</v>
      </c>
      <c r="B110" s="34" t="s">
        <v>1299</v>
      </c>
      <c r="C110" s="188" t="s">
        <v>419</v>
      </c>
      <c r="D110" s="143">
        <v>11.794</v>
      </c>
      <c r="E110" s="144">
        <v>0.879</v>
      </c>
      <c r="F110" s="142">
        <v>0.111</v>
      </c>
      <c r="G110" s="176"/>
      <c r="H110" s="176"/>
      <c r="I110" s="180"/>
      <c r="J110" s="36"/>
    </row>
    <row r="111" spans="1:10" ht="27.75" customHeight="1">
      <c r="A111" s="174" t="s">
        <v>441</v>
      </c>
      <c r="B111" s="34" t="s">
        <v>1300</v>
      </c>
      <c r="C111" s="182">
        <v>0</v>
      </c>
      <c r="D111" s="140">
        <v>-2.7890000000000001</v>
      </c>
      <c r="E111" s="141">
        <v>-0.52600000000000002</v>
      </c>
      <c r="F111" s="142">
        <v>-1.7000000000000001E-2</v>
      </c>
      <c r="G111" s="175">
        <v>0</v>
      </c>
      <c r="H111" s="176"/>
      <c r="I111" s="180"/>
      <c r="J111" s="36"/>
    </row>
    <row r="112" spans="1:10" ht="27.75" customHeight="1">
      <c r="A112" s="174" t="s">
        <v>442</v>
      </c>
      <c r="B112" s="34" t="s">
        <v>1301</v>
      </c>
      <c r="C112" s="182">
        <v>0</v>
      </c>
      <c r="D112" s="140">
        <v>-2.7210000000000001</v>
      </c>
      <c r="E112" s="141">
        <v>-0.51800000000000002</v>
      </c>
      <c r="F112" s="142">
        <v>-1.7000000000000001E-2</v>
      </c>
      <c r="G112" s="175">
        <v>0</v>
      </c>
      <c r="H112" s="176"/>
      <c r="I112" s="180"/>
      <c r="J112" s="36"/>
    </row>
    <row r="113" spans="1:10" ht="27.75" customHeight="1">
      <c r="A113" s="174" t="s">
        <v>443</v>
      </c>
      <c r="B113" s="34" t="s">
        <v>1302</v>
      </c>
      <c r="C113" s="182">
        <v>0</v>
      </c>
      <c r="D113" s="140">
        <v>-2.7890000000000001</v>
      </c>
      <c r="E113" s="141">
        <v>-0.52600000000000002</v>
      </c>
      <c r="F113" s="142">
        <v>-1.7000000000000001E-2</v>
      </c>
      <c r="G113" s="175">
        <v>0</v>
      </c>
      <c r="H113" s="176"/>
      <c r="I113" s="180"/>
      <c r="J113" s="35">
        <v>0.192</v>
      </c>
    </row>
    <row r="114" spans="1:10" ht="27.75" customHeight="1">
      <c r="A114" s="174" t="s">
        <v>444</v>
      </c>
      <c r="B114" s="34" t="s">
        <v>1303</v>
      </c>
      <c r="C114" s="182">
        <v>0</v>
      </c>
      <c r="D114" s="140">
        <v>-2.7210000000000001</v>
      </c>
      <c r="E114" s="141">
        <v>-0.51800000000000002</v>
      </c>
      <c r="F114" s="142">
        <v>-1.7000000000000001E-2</v>
      </c>
      <c r="G114" s="175">
        <v>0</v>
      </c>
      <c r="H114" s="176"/>
      <c r="I114" s="180"/>
      <c r="J114" s="35">
        <v>0.19</v>
      </c>
    </row>
    <row r="115" spans="1:10" ht="27.75" customHeight="1">
      <c r="A115" s="174" t="s">
        <v>445</v>
      </c>
      <c r="B115" s="34" t="s">
        <v>1304</v>
      </c>
      <c r="C115" s="182">
        <v>0</v>
      </c>
      <c r="D115" s="140">
        <v>-2.2789999999999999</v>
      </c>
      <c r="E115" s="141">
        <v>-0.46</v>
      </c>
      <c r="F115" s="142">
        <v>-1.7000000000000001E-2</v>
      </c>
      <c r="G115" s="175">
        <v>5.13</v>
      </c>
      <c r="H115" s="176"/>
      <c r="I115" s="180"/>
      <c r="J115" s="35">
        <v>0.216</v>
      </c>
    </row>
    <row r="116" spans="1:10" ht="27.75" customHeight="1">
      <c r="A116" s="174" t="s">
        <v>576</v>
      </c>
      <c r="B116" s="34" t="s">
        <v>1305</v>
      </c>
      <c r="C116" s="193" t="s">
        <v>649</v>
      </c>
      <c r="D116" s="140">
        <v>2.2919999999999998</v>
      </c>
      <c r="E116" s="141">
        <v>0.432</v>
      </c>
      <c r="F116" s="142">
        <v>1.4E-2</v>
      </c>
      <c r="G116" s="175">
        <v>10.029999999999999</v>
      </c>
      <c r="H116" s="176"/>
      <c r="I116" s="180"/>
      <c r="J116" s="36"/>
    </row>
    <row r="117" spans="1:10" ht="27.75" customHeight="1">
      <c r="A117" s="174" t="s">
        <v>577</v>
      </c>
      <c r="B117" s="34" t="s">
        <v>1306</v>
      </c>
      <c r="C117" s="186" t="s">
        <v>417</v>
      </c>
      <c r="D117" s="140">
        <v>2.2919999999999998</v>
      </c>
      <c r="E117" s="141">
        <v>0.432</v>
      </c>
      <c r="F117" s="142">
        <v>1.4E-2</v>
      </c>
      <c r="G117" s="176"/>
      <c r="H117" s="176"/>
      <c r="I117" s="180"/>
      <c r="J117" s="36"/>
    </row>
    <row r="118" spans="1:10" ht="27.75" customHeight="1">
      <c r="A118" s="174" t="s">
        <v>578</v>
      </c>
      <c r="B118" s="34" t="s">
        <v>1307</v>
      </c>
      <c r="C118" s="173" t="s">
        <v>648</v>
      </c>
      <c r="D118" s="140">
        <v>1.4019999999999999</v>
      </c>
      <c r="E118" s="141">
        <v>0.26400000000000001</v>
      </c>
      <c r="F118" s="142">
        <v>8.0000000000000002E-3</v>
      </c>
      <c r="G118" s="175">
        <v>0.81</v>
      </c>
      <c r="H118" s="176"/>
      <c r="I118" s="180"/>
      <c r="J118" s="36"/>
    </row>
    <row r="119" spans="1:10" ht="27.75" customHeight="1">
      <c r="A119" s="174" t="s">
        <v>579</v>
      </c>
      <c r="B119" s="34" t="s">
        <v>1308</v>
      </c>
      <c r="C119" s="173" t="s">
        <v>648</v>
      </c>
      <c r="D119" s="140">
        <v>1.4019999999999999</v>
      </c>
      <c r="E119" s="141">
        <v>0.26400000000000001</v>
      </c>
      <c r="F119" s="142">
        <v>8.0000000000000002E-3</v>
      </c>
      <c r="G119" s="175">
        <v>0.63</v>
      </c>
      <c r="H119" s="176"/>
      <c r="I119" s="180"/>
      <c r="J119" s="36"/>
    </row>
    <row r="120" spans="1:10" ht="27.75" customHeight="1">
      <c r="A120" s="174" t="s">
        <v>580</v>
      </c>
      <c r="B120" s="34" t="s">
        <v>1309</v>
      </c>
      <c r="C120" s="173" t="s">
        <v>648</v>
      </c>
      <c r="D120" s="140">
        <v>1.3720000000000001</v>
      </c>
      <c r="E120" s="141">
        <v>0.23400000000000001</v>
      </c>
      <c r="F120" s="142">
        <v>0</v>
      </c>
      <c r="G120" s="175">
        <v>0.04</v>
      </c>
      <c r="H120" s="176"/>
      <c r="I120" s="180"/>
      <c r="J120" s="36"/>
    </row>
    <row r="121" spans="1:10" ht="27.75" customHeight="1">
      <c r="A121" s="174" t="s">
        <v>581</v>
      </c>
      <c r="B121" s="34" t="s">
        <v>1310</v>
      </c>
      <c r="C121" s="173" t="s">
        <v>648</v>
      </c>
      <c r="D121" s="140">
        <v>1.3360000000000001</v>
      </c>
      <c r="E121" s="141">
        <v>0.19800000000000001</v>
      </c>
      <c r="F121" s="142">
        <v>0</v>
      </c>
      <c r="G121" s="175">
        <v>0.04</v>
      </c>
      <c r="H121" s="176"/>
      <c r="I121" s="180"/>
      <c r="J121" s="36"/>
    </row>
    <row r="122" spans="1:10" ht="27.75" customHeight="1">
      <c r="A122" s="174" t="s">
        <v>582</v>
      </c>
      <c r="B122" s="34" t="s">
        <v>1311</v>
      </c>
      <c r="C122" s="173" t="s">
        <v>648</v>
      </c>
      <c r="D122" s="140">
        <v>1.3180000000000001</v>
      </c>
      <c r="E122" s="141">
        <v>0.18</v>
      </c>
      <c r="F122" s="142">
        <v>0</v>
      </c>
      <c r="G122" s="175">
        <v>0.04</v>
      </c>
      <c r="H122" s="176"/>
      <c r="I122" s="180"/>
      <c r="J122" s="36"/>
    </row>
    <row r="123" spans="1:10" ht="27.75" customHeight="1">
      <c r="A123" s="174" t="s">
        <v>446</v>
      </c>
      <c r="B123" s="34" t="s">
        <v>1312</v>
      </c>
      <c r="C123" s="186" t="s">
        <v>418</v>
      </c>
      <c r="D123" s="140">
        <v>1.4019999999999999</v>
      </c>
      <c r="E123" s="141">
        <v>0.26400000000000001</v>
      </c>
      <c r="F123" s="142">
        <v>8.0000000000000002E-3</v>
      </c>
      <c r="G123" s="176"/>
      <c r="H123" s="176"/>
      <c r="I123" s="180"/>
      <c r="J123" s="36"/>
    </row>
    <row r="124" spans="1:10" ht="27.75" customHeight="1">
      <c r="A124" s="174" t="s">
        <v>583</v>
      </c>
      <c r="B124" s="34" t="s">
        <v>1313</v>
      </c>
      <c r="C124" s="182">
        <v>0</v>
      </c>
      <c r="D124" s="140">
        <v>1.1539999999999999</v>
      </c>
      <c r="E124" s="141">
        <v>0.222</v>
      </c>
      <c r="F124" s="142">
        <v>7.0000000000000001E-3</v>
      </c>
      <c r="G124" s="175">
        <v>1.96</v>
      </c>
      <c r="H124" s="175">
        <v>1.04</v>
      </c>
      <c r="I124" s="181">
        <v>1.61</v>
      </c>
      <c r="J124" s="35">
        <v>9.9000000000000005E-2</v>
      </c>
    </row>
    <row r="125" spans="1:10" ht="27.75" customHeight="1">
      <c r="A125" s="174" t="s">
        <v>584</v>
      </c>
      <c r="B125" s="34" t="s">
        <v>1314</v>
      </c>
      <c r="C125" s="182">
        <v>0</v>
      </c>
      <c r="D125" s="140">
        <v>1.0629999999999999</v>
      </c>
      <c r="E125" s="141">
        <v>0.13100000000000001</v>
      </c>
      <c r="F125" s="142">
        <v>2E-3</v>
      </c>
      <c r="G125" s="175">
        <v>0.54</v>
      </c>
      <c r="H125" s="175">
        <v>1.04</v>
      </c>
      <c r="I125" s="181">
        <v>1.61</v>
      </c>
      <c r="J125" s="35">
        <v>9.9000000000000005E-2</v>
      </c>
    </row>
    <row r="126" spans="1:10" ht="27.75" customHeight="1">
      <c r="A126" s="174" t="s">
        <v>585</v>
      </c>
      <c r="B126" s="34" t="s">
        <v>1315</v>
      </c>
      <c r="C126" s="182">
        <v>0</v>
      </c>
      <c r="D126" s="140">
        <v>1.0609999999999999</v>
      </c>
      <c r="E126" s="141">
        <v>0.128</v>
      </c>
      <c r="F126" s="142">
        <v>2E-3</v>
      </c>
      <c r="G126" s="175">
        <v>0.54</v>
      </c>
      <c r="H126" s="175">
        <v>1.04</v>
      </c>
      <c r="I126" s="181">
        <v>1.61</v>
      </c>
      <c r="J126" s="35">
        <v>9.9000000000000005E-2</v>
      </c>
    </row>
    <row r="127" spans="1:10" ht="27.75" customHeight="1">
      <c r="A127" s="174" t="s">
        <v>586</v>
      </c>
      <c r="B127" s="34" t="s">
        <v>1316</v>
      </c>
      <c r="C127" s="182">
        <v>0</v>
      </c>
      <c r="D127" s="140">
        <v>1.0580000000000001</v>
      </c>
      <c r="E127" s="141">
        <v>0.126</v>
      </c>
      <c r="F127" s="142">
        <v>2E-3</v>
      </c>
      <c r="G127" s="175">
        <v>0.54</v>
      </c>
      <c r="H127" s="175">
        <v>1.04</v>
      </c>
      <c r="I127" s="181">
        <v>1.61</v>
      </c>
      <c r="J127" s="35">
        <v>9.9000000000000005E-2</v>
      </c>
    </row>
    <row r="128" spans="1:10" ht="27.75" customHeight="1">
      <c r="A128" s="174" t="s">
        <v>587</v>
      </c>
      <c r="B128" s="34" t="s">
        <v>1317</v>
      </c>
      <c r="C128" s="182">
        <v>0</v>
      </c>
      <c r="D128" s="140">
        <v>1.056</v>
      </c>
      <c r="E128" s="141">
        <v>0.124</v>
      </c>
      <c r="F128" s="142">
        <v>2E-3</v>
      </c>
      <c r="G128" s="175">
        <v>0.54</v>
      </c>
      <c r="H128" s="175">
        <v>1.04</v>
      </c>
      <c r="I128" s="181">
        <v>1.61</v>
      </c>
      <c r="J128" s="35">
        <v>9.9000000000000005E-2</v>
      </c>
    </row>
    <row r="129" spans="1:10" ht="27.75" customHeight="1">
      <c r="A129" s="174" t="s">
        <v>588</v>
      </c>
      <c r="B129" s="34" t="s">
        <v>1318</v>
      </c>
      <c r="C129" s="182">
        <v>0</v>
      </c>
      <c r="D129" s="140">
        <v>1.083</v>
      </c>
      <c r="E129" s="141">
        <v>0.219</v>
      </c>
      <c r="F129" s="142">
        <v>8.0000000000000002E-3</v>
      </c>
      <c r="G129" s="175">
        <v>1.99</v>
      </c>
      <c r="H129" s="175">
        <v>2.52</v>
      </c>
      <c r="I129" s="181">
        <v>2.87</v>
      </c>
      <c r="J129" s="35">
        <v>0.08</v>
      </c>
    </row>
    <row r="130" spans="1:10" ht="27.75" customHeight="1">
      <c r="A130" s="174" t="s">
        <v>589</v>
      </c>
      <c r="B130" s="34" t="s">
        <v>1319</v>
      </c>
      <c r="C130" s="182">
        <v>0</v>
      </c>
      <c r="D130" s="140">
        <v>0.95699999999999996</v>
      </c>
      <c r="E130" s="141">
        <v>9.2999999999999999E-2</v>
      </c>
      <c r="F130" s="142">
        <v>0</v>
      </c>
      <c r="G130" s="175">
        <v>0.03</v>
      </c>
      <c r="H130" s="175">
        <v>2.52</v>
      </c>
      <c r="I130" s="181">
        <v>2.87</v>
      </c>
      <c r="J130" s="35">
        <v>0.08</v>
      </c>
    </row>
    <row r="131" spans="1:10" ht="27.75" customHeight="1">
      <c r="A131" s="174" t="s">
        <v>590</v>
      </c>
      <c r="B131" s="34" t="s">
        <v>1320</v>
      </c>
      <c r="C131" s="182">
        <v>0</v>
      </c>
      <c r="D131" s="140">
        <v>0.95299999999999996</v>
      </c>
      <c r="E131" s="141">
        <v>8.8999999999999996E-2</v>
      </c>
      <c r="F131" s="142">
        <v>0</v>
      </c>
      <c r="G131" s="175">
        <v>0.03</v>
      </c>
      <c r="H131" s="175">
        <v>2.52</v>
      </c>
      <c r="I131" s="181">
        <v>2.87</v>
      </c>
      <c r="J131" s="35">
        <v>0.08</v>
      </c>
    </row>
    <row r="132" spans="1:10" ht="27.75" customHeight="1">
      <c r="A132" s="174" t="s">
        <v>591</v>
      </c>
      <c r="B132" s="34" t="s">
        <v>1321</v>
      </c>
      <c r="C132" s="182">
        <v>0</v>
      </c>
      <c r="D132" s="140">
        <v>0.95</v>
      </c>
      <c r="E132" s="141">
        <v>8.5999999999999993E-2</v>
      </c>
      <c r="F132" s="142">
        <v>0</v>
      </c>
      <c r="G132" s="175">
        <v>0.03</v>
      </c>
      <c r="H132" s="175">
        <v>2.52</v>
      </c>
      <c r="I132" s="181">
        <v>2.87</v>
      </c>
      <c r="J132" s="35">
        <v>0.08</v>
      </c>
    </row>
    <row r="133" spans="1:10" ht="27.75" customHeight="1">
      <c r="A133" s="174" t="s">
        <v>592</v>
      </c>
      <c r="B133" s="34" t="s">
        <v>1322</v>
      </c>
      <c r="C133" s="182">
        <v>0</v>
      </c>
      <c r="D133" s="140">
        <v>0.94799999999999995</v>
      </c>
      <c r="E133" s="141">
        <v>8.4000000000000005E-2</v>
      </c>
      <c r="F133" s="142">
        <v>0</v>
      </c>
      <c r="G133" s="175">
        <v>0.03</v>
      </c>
      <c r="H133" s="175">
        <v>2.52</v>
      </c>
      <c r="I133" s="181">
        <v>2.87</v>
      </c>
      <c r="J133" s="35">
        <v>0.08</v>
      </c>
    </row>
    <row r="134" spans="1:10" ht="27.75" customHeight="1">
      <c r="A134" s="174" t="s">
        <v>593</v>
      </c>
      <c r="B134" s="34" t="s">
        <v>1323</v>
      </c>
      <c r="C134" s="182">
        <v>0</v>
      </c>
      <c r="D134" s="140">
        <v>0.88</v>
      </c>
      <c r="E134" s="141">
        <v>0.17100000000000001</v>
      </c>
      <c r="F134" s="142">
        <v>6.0000000000000001E-3</v>
      </c>
      <c r="G134" s="175">
        <v>29.15</v>
      </c>
      <c r="H134" s="175">
        <v>2.84</v>
      </c>
      <c r="I134" s="181">
        <v>3.19</v>
      </c>
      <c r="J134" s="35">
        <v>7.5999999999999998E-2</v>
      </c>
    </row>
    <row r="135" spans="1:10" ht="27.75" customHeight="1">
      <c r="A135" s="174" t="s">
        <v>594</v>
      </c>
      <c r="B135" s="34" t="s">
        <v>1324</v>
      </c>
      <c r="C135" s="182">
        <v>0</v>
      </c>
      <c r="D135" s="140">
        <v>0.75</v>
      </c>
      <c r="E135" s="141">
        <v>4.1000000000000002E-2</v>
      </c>
      <c r="F135" s="142">
        <v>0</v>
      </c>
      <c r="G135" s="175">
        <v>0.03</v>
      </c>
      <c r="H135" s="175">
        <v>2.84</v>
      </c>
      <c r="I135" s="181">
        <v>3.19</v>
      </c>
      <c r="J135" s="35">
        <v>7.5999999999999998E-2</v>
      </c>
    </row>
    <row r="136" spans="1:10" ht="27.75" customHeight="1">
      <c r="A136" s="174" t="s">
        <v>595</v>
      </c>
      <c r="B136" s="34" t="s">
        <v>1325</v>
      </c>
      <c r="C136" s="182">
        <v>0</v>
      </c>
      <c r="D136" s="140">
        <v>0.73299999999999998</v>
      </c>
      <c r="E136" s="141">
        <v>2.4E-2</v>
      </c>
      <c r="F136" s="142">
        <v>0</v>
      </c>
      <c r="G136" s="175">
        <v>0.03</v>
      </c>
      <c r="H136" s="175">
        <v>2.84</v>
      </c>
      <c r="I136" s="181">
        <v>3.19</v>
      </c>
      <c r="J136" s="35">
        <v>7.5999999999999998E-2</v>
      </c>
    </row>
    <row r="137" spans="1:10" ht="27.75" customHeight="1">
      <c r="A137" s="174" t="s">
        <v>596</v>
      </c>
      <c r="B137" s="34" t="s">
        <v>1326</v>
      </c>
      <c r="C137" s="182">
        <v>0</v>
      </c>
      <c r="D137" s="140">
        <v>0.72799999999999998</v>
      </c>
      <c r="E137" s="141">
        <v>0.02</v>
      </c>
      <c r="F137" s="142">
        <v>0</v>
      </c>
      <c r="G137" s="175">
        <v>0.03</v>
      </c>
      <c r="H137" s="175">
        <v>2.84</v>
      </c>
      <c r="I137" s="181">
        <v>3.19</v>
      </c>
      <c r="J137" s="35">
        <v>7.5999999999999998E-2</v>
      </c>
    </row>
    <row r="138" spans="1:10" ht="27.75" customHeight="1">
      <c r="A138" s="174" t="s">
        <v>597</v>
      </c>
      <c r="B138" s="34" t="s">
        <v>1327</v>
      </c>
      <c r="C138" s="182">
        <v>0</v>
      </c>
      <c r="D138" s="140">
        <v>0.72399999999999998</v>
      </c>
      <c r="E138" s="141">
        <v>1.6E-2</v>
      </c>
      <c r="F138" s="142">
        <v>0</v>
      </c>
      <c r="G138" s="175">
        <v>0.03</v>
      </c>
      <c r="H138" s="175">
        <v>2.84</v>
      </c>
      <c r="I138" s="181">
        <v>3.19</v>
      </c>
      <c r="J138" s="35">
        <v>7.5999999999999998E-2</v>
      </c>
    </row>
    <row r="139" spans="1:10" ht="27.75" customHeight="1">
      <c r="A139" s="174" t="s">
        <v>447</v>
      </c>
      <c r="B139" s="34" t="s">
        <v>1328</v>
      </c>
      <c r="C139" s="188" t="s">
        <v>419</v>
      </c>
      <c r="D139" s="143">
        <v>7.4119999999999999</v>
      </c>
      <c r="E139" s="144">
        <v>0.55200000000000005</v>
      </c>
      <c r="F139" s="142">
        <v>7.0000000000000007E-2</v>
      </c>
      <c r="G139" s="176"/>
      <c r="H139" s="176"/>
      <c r="I139" s="180"/>
      <c r="J139" s="36"/>
    </row>
    <row r="140" spans="1:10" ht="27.75" customHeight="1">
      <c r="A140" s="174" t="s">
        <v>448</v>
      </c>
      <c r="B140" s="34" t="s">
        <v>1329</v>
      </c>
      <c r="C140" s="182">
        <v>0</v>
      </c>
      <c r="D140" s="140">
        <v>-1.7529999999999999</v>
      </c>
      <c r="E140" s="141">
        <v>-0.33</v>
      </c>
      <c r="F140" s="142">
        <v>-1.0999999999999999E-2</v>
      </c>
      <c r="G140" s="175">
        <v>0</v>
      </c>
      <c r="H140" s="176"/>
      <c r="I140" s="180"/>
      <c r="J140" s="36"/>
    </row>
    <row r="141" spans="1:10" ht="27.75" customHeight="1">
      <c r="A141" s="174" t="s">
        <v>449</v>
      </c>
      <c r="B141" s="34" t="s">
        <v>1330</v>
      </c>
      <c r="C141" s="182">
        <v>0</v>
      </c>
      <c r="D141" s="140">
        <v>-1.71</v>
      </c>
      <c r="E141" s="141">
        <v>-0.32600000000000001</v>
      </c>
      <c r="F141" s="142">
        <v>-1.0999999999999999E-2</v>
      </c>
      <c r="G141" s="175">
        <v>0</v>
      </c>
      <c r="H141" s="176"/>
      <c r="I141" s="180"/>
      <c r="J141" s="36"/>
    </row>
    <row r="142" spans="1:10" ht="27.75" customHeight="1">
      <c r="A142" s="174" t="s">
        <v>450</v>
      </c>
      <c r="B142" s="34" t="s">
        <v>1331</v>
      </c>
      <c r="C142" s="182">
        <v>0</v>
      </c>
      <c r="D142" s="140">
        <v>-1.7529999999999999</v>
      </c>
      <c r="E142" s="141">
        <v>-0.33</v>
      </c>
      <c r="F142" s="142">
        <v>-1.0999999999999999E-2</v>
      </c>
      <c r="G142" s="175">
        <v>0</v>
      </c>
      <c r="H142" s="176"/>
      <c r="I142" s="180"/>
      <c r="J142" s="35">
        <v>0.121</v>
      </c>
    </row>
    <row r="143" spans="1:10" ht="27.75" customHeight="1">
      <c r="A143" s="174" t="s">
        <v>451</v>
      </c>
      <c r="B143" s="34" t="s">
        <v>1332</v>
      </c>
      <c r="C143" s="182">
        <v>0</v>
      </c>
      <c r="D143" s="140">
        <v>-1.71</v>
      </c>
      <c r="E143" s="141">
        <v>-0.32600000000000001</v>
      </c>
      <c r="F143" s="142">
        <v>-1.0999999999999999E-2</v>
      </c>
      <c r="G143" s="175">
        <v>0</v>
      </c>
      <c r="H143" s="176"/>
      <c r="I143" s="180"/>
      <c r="J143" s="35">
        <v>0.11899999999999999</v>
      </c>
    </row>
    <row r="144" spans="1:10" ht="27.75" customHeight="1">
      <c r="A144" s="174" t="s">
        <v>452</v>
      </c>
      <c r="B144" s="34" t="s">
        <v>1333</v>
      </c>
      <c r="C144" s="182">
        <v>0</v>
      </c>
      <c r="D144" s="140">
        <v>-1.4319999999999999</v>
      </c>
      <c r="E144" s="141">
        <v>-0.28899999999999998</v>
      </c>
      <c r="F144" s="142">
        <v>-1.0999999999999999E-2</v>
      </c>
      <c r="G144" s="175">
        <v>3.22</v>
      </c>
      <c r="H144" s="176"/>
      <c r="I144" s="180"/>
      <c r="J144" s="35">
        <v>0.13600000000000001</v>
      </c>
    </row>
    <row r="145" spans="1:10" ht="27.75" customHeight="1">
      <c r="A145" s="174" t="s">
        <v>554</v>
      </c>
      <c r="B145" s="34" t="s">
        <v>1334</v>
      </c>
      <c r="C145" s="193" t="s">
        <v>649</v>
      </c>
      <c r="D145" s="140">
        <v>1.637</v>
      </c>
      <c r="E145" s="141">
        <v>0.309</v>
      </c>
      <c r="F145" s="142">
        <v>0.01</v>
      </c>
      <c r="G145" s="175">
        <v>9.9499999999999993</v>
      </c>
      <c r="H145" s="176"/>
      <c r="I145" s="180"/>
      <c r="J145" s="36"/>
    </row>
    <row r="146" spans="1:10" ht="27.75" customHeight="1">
      <c r="A146" s="174" t="s">
        <v>555</v>
      </c>
      <c r="B146" s="34" t="s">
        <v>1335</v>
      </c>
      <c r="C146" s="186" t="s">
        <v>417</v>
      </c>
      <c r="D146" s="140">
        <v>1.637</v>
      </c>
      <c r="E146" s="141">
        <v>0.309</v>
      </c>
      <c r="F146" s="142">
        <v>0.01</v>
      </c>
      <c r="G146" s="176"/>
      <c r="H146" s="176"/>
      <c r="I146" s="180"/>
      <c r="J146" s="36"/>
    </row>
    <row r="147" spans="1:10" ht="27.75" customHeight="1">
      <c r="A147" s="174" t="s">
        <v>556</v>
      </c>
      <c r="B147" s="34" t="s">
        <v>1336</v>
      </c>
      <c r="C147" s="173" t="s">
        <v>648</v>
      </c>
      <c r="D147" s="140">
        <v>1.0009999999999999</v>
      </c>
      <c r="E147" s="141">
        <v>0.189</v>
      </c>
      <c r="F147" s="142">
        <v>6.0000000000000001E-3</v>
      </c>
      <c r="G147" s="175">
        <v>0.6</v>
      </c>
      <c r="H147" s="176"/>
      <c r="I147" s="180"/>
      <c r="J147" s="36"/>
    </row>
    <row r="148" spans="1:10" ht="27.75" customHeight="1">
      <c r="A148" s="174" t="s">
        <v>557</v>
      </c>
      <c r="B148" s="34" t="s">
        <v>1337</v>
      </c>
      <c r="C148" s="173" t="s">
        <v>648</v>
      </c>
      <c r="D148" s="140">
        <v>1.0009999999999999</v>
      </c>
      <c r="E148" s="141">
        <v>0.189</v>
      </c>
      <c r="F148" s="142">
        <v>6.0000000000000001E-3</v>
      </c>
      <c r="G148" s="175">
        <v>0.46</v>
      </c>
      <c r="H148" s="176"/>
      <c r="I148" s="180"/>
      <c r="J148" s="36"/>
    </row>
    <row r="149" spans="1:10" ht="27.75" customHeight="1">
      <c r="A149" s="174" t="s">
        <v>558</v>
      </c>
      <c r="B149" s="34" t="s">
        <v>1338</v>
      </c>
      <c r="C149" s="173" t="s">
        <v>648</v>
      </c>
      <c r="D149" s="140">
        <v>0.98</v>
      </c>
      <c r="E149" s="141">
        <v>0.16700000000000001</v>
      </c>
      <c r="F149" s="142">
        <v>0</v>
      </c>
      <c r="G149" s="175">
        <v>0.04</v>
      </c>
      <c r="H149" s="176"/>
      <c r="I149" s="180"/>
      <c r="J149" s="36"/>
    </row>
    <row r="150" spans="1:10" ht="27.75" customHeight="1">
      <c r="A150" s="174" t="s">
        <v>559</v>
      </c>
      <c r="B150" s="34" t="s">
        <v>1339</v>
      </c>
      <c r="C150" s="173" t="s">
        <v>648</v>
      </c>
      <c r="D150" s="140">
        <v>0.95399999999999996</v>
      </c>
      <c r="E150" s="141">
        <v>0.14099999999999999</v>
      </c>
      <c r="F150" s="142">
        <v>0</v>
      </c>
      <c r="G150" s="175">
        <v>0.04</v>
      </c>
      <c r="H150" s="176"/>
      <c r="I150" s="180"/>
      <c r="J150" s="36"/>
    </row>
    <row r="151" spans="1:10" ht="27.75" customHeight="1">
      <c r="A151" s="174" t="s">
        <v>560</v>
      </c>
      <c r="B151" s="34" t="s">
        <v>1340</v>
      </c>
      <c r="C151" s="173" t="s">
        <v>648</v>
      </c>
      <c r="D151" s="140">
        <v>0.94099999999999995</v>
      </c>
      <c r="E151" s="141">
        <v>0.129</v>
      </c>
      <c r="F151" s="142">
        <v>0</v>
      </c>
      <c r="G151" s="175">
        <v>0.04</v>
      </c>
      <c r="H151" s="176"/>
      <c r="I151" s="180"/>
      <c r="J151" s="36"/>
    </row>
    <row r="152" spans="1:10" ht="27.75" customHeight="1">
      <c r="A152" s="174" t="s">
        <v>453</v>
      </c>
      <c r="B152" s="34" t="s">
        <v>1341</v>
      </c>
      <c r="C152" s="186" t="s">
        <v>418</v>
      </c>
      <c r="D152" s="140">
        <v>1.0009999999999999</v>
      </c>
      <c r="E152" s="141">
        <v>0.189</v>
      </c>
      <c r="F152" s="142">
        <v>6.0000000000000001E-3</v>
      </c>
      <c r="G152" s="176"/>
      <c r="H152" s="176"/>
      <c r="I152" s="180"/>
      <c r="J152" s="36"/>
    </row>
    <row r="153" spans="1:10" ht="27.75" customHeight="1">
      <c r="A153" s="174" t="s">
        <v>561</v>
      </c>
      <c r="B153" s="34" t="s">
        <v>1342</v>
      </c>
      <c r="C153" s="182">
        <v>0</v>
      </c>
      <c r="D153" s="140">
        <v>0.82399999999999995</v>
      </c>
      <c r="E153" s="141">
        <v>0.158</v>
      </c>
      <c r="F153" s="142">
        <v>5.0000000000000001E-3</v>
      </c>
      <c r="G153" s="175">
        <v>1.41</v>
      </c>
      <c r="H153" s="175">
        <v>0.74</v>
      </c>
      <c r="I153" s="181">
        <v>1.1499999999999999</v>
      </c>
      <c r="J153" s="35">
        <v>7.0999999999999994E-2</v>
      </c>
    </row>
    <row r="154" spans="1:10" ht="27.75" customHeight="1">
      <c r="A154" s="174" t="s">
        <v>562</v>
      </c>
      <c r="B154" s="34" t="s">
        <v>1343</v>
      </c>
      <c r="C154" s="182">
        <v>0</v>
      </c>
      <c r="D154" s="140">
        <v>0.75900000000000001</v>
      </c>
      <c r="E154" s="141">
        <v>9.2999999999999999E-2</v>
      </c>
      <c r="F154" s="142">
        <v>1E-3</v>
      </c>
      <c r="G154" s="175">
        <v>0.4</v>
      </c>
      <c r="H154" s="175">
        <v>0.74</v>
      </c>
      <c r="I154" s="181">
        <v>1.1499999999999999</v>
      </c>
      <c r="J154" s="35">
        <v>7.0999999999999994E-2</v>
      </c>
    </row>
    <row r="155" spans="1:10" ht="27.75" customHeight="1">
      <c r="A155" s="174" t="s">
        <v>563</v>
      </c>
      <c r="B155" s="34" t="s">
        <v>1344</v>
      </c>
      <c r="C155" s="182">
        <v>0</v>
      </c>
      <c r="D155" s="140">
        <v>0.75700000000000001</v>
      </c>
      <c r="E155" s="141">
        <v>9.0999999999999998E-2</v>
      </c>
      <c r="F155" s="142">
        <v>1E-3</v>
      </c>
      <c r="G155" s="175">
        <v>0.4</v>
      </c>
      <c r="H155" s="175">
        <v>0.74</v>
      </c>
      <c r="I155" s="181">
        <v>1.1499999999999999</v>
      </c>
      <c r="J155" s="35">
        <v>7.0999999999999994E-2</v>
      </c>
    </row>
    <row r="156" spans="1:10" ht="27.75" customHeight="1">
      <c r="A156" s="174" t="s">
        <v>564</v>
      </c>
      <c r="B156" s="34" t="s">
        <v>1345</v>
      </c>
      <c r="C156" s="182">
        <v>0</v>
      </c>
      <c r="D156" s="140">
        <v>0.75600000000000001</v>
      </c>
      <c r="E156" s="141">
        <v>0.09</v>
      </c>
      <c r="F156" s="142">
        <v>1E-3</v>
      </c>
      <c r="G156" s="175">
        <v>0.4</v>
      </c>
      <c r="H156" s="175">
        <v>0.74</v>
      </c>
      <c r="I156" s="181">
        <v>1.1499999999999999</v>
      </c>
      <c r="J156" s="35">
        <v>7.0999999999999994E-2</v>
      </c>
    </row>
    <row r="157" spans="1:10" ht="27.75" customHeight="1">
      <c r="A157" s="174" t="s">
        <v>565</v>
      </c>
      <c r="B157" s="34" t="s">
        <v>1346</v>
      </c>
      <c r="C157" s="182">
        <v>0</v>
      </c>
      <c r="D157" s="140">
        <v>0.755</v>
      </c>
      <c r="E157" s="141">
        <v>8.8999999999999996E-2</v>
      </c>
      <c r="F157" s="142">
        <v>1E-3</v>
      </c>
      <c r="G157" s="175">
        <v>0.4</v>
      </c>
      <c r="H157" s="175">
        <v>0.74</v>
      </c>
      <c r="I157" s="181">
        <v>1.1499999999999999</v>
      </c>
      <c r="J157" s="35">
        <v>7.0999999999999994E-2</v>
      </c>
    </row>
    <row r="158" spans="1:10" ht="27.75" customHeight="1">
      <c r="A158" s="174" t="s">
        <v>566</v>
      </c>
      <c r="B158" s="34" t="s">
        <v>1347</v>
      </c>
      <c r="C158" s="182">
        <v>0</v>
      </c>
      <c r="D158" s="140">
        <v>0.77300000000000002</v>
      </c>
      <c r="E158" s="141">
        <v>0.156</v>
      </c>
      <c r="F158" s="142">
        <v>6.0000000000000001E-3</v>
      </c>
      <c r="G158" s="175">
        <v>1.44</v>
      </c>
      <c r="H158" s="175">
        <v>1.8</v>
      </c>
      <c r="I158" s="181">
        <v>2.0499999999999998</v>
      </c>
      <c r="J158" s="35">
        <v>5.7000000000000002E-2</v>
      </c>
    </row>
    <row r="159" spans="1:10" ht="27.75" customHeight="1">
      <c r="A159" s="174" t="s">
        <v>567</v>
      </c>
      <c r="B159" s="34" t="s">
        <v>1348</v>
      </c>
      <c r="C159" s="182">
        <v>0</v>
      </c>
      <c r="D159" s="140">
        <v>0.68300000000000005</v>
      </c>
      <c r="E159" s="141">
        <v>6.6000000000000003E-2</v>
      </c>
      <c r="F159" s="142">
        <v>0</v>
      </c>
      <c r="G159" s="175">
        <v>0.04</v>
      </c>
      <c r="H159" s="175">
        <v>1.8</v>
      </c>
      <c r="I159" s="181">
        <v>2.0499999999999998</v>
      </c>
      <c r="J159" s="35">
        <v>5.7000000000000002E-2</v>
      </c>
    </row>
    <row r="160" spans="1:10" ht="27.75" customHeight="1">
      <c r="A160" s="174" t="s">
        <v>568</v>
      </c>
      <c r="B160" s="34" t="s">
        <v>1349</v>
      </c>
      <c r="C160" s="182">
        <v>0</v>
      </c>
      <c r="D160" s="140">
        <v>0.68100000000000005</v>
      </c>
      <c r="E160" s="141">
        <v>6.4000000000000001E-2</v>
      </c>
      <c r="F160" s="142">
        <v>0</v>
      </c>
      <c r="G160" s="175">
        <v>0.04</v>
      </c>
      <c r="H160" s="175">
        <v>1.8</v>
      </c>
      <c r="I160" s="181">
        <v>2.0499999999999998</v>
      </c>
      <c r="J160" s="35">
        <v>5.7000000000000002E-2</v>
      </c>
    </row>
    <row r="161" spans="1:10" ht="27.75" customHeight="1">
      <c r="A161" s="174" t="s">
        <v>569</v>
      </c>
      <c r="B161" s="34" t="s">
        <v>1350</v>
      </c>
      <c r="C161" s="182">
        <v>0</v>
      </c>
      <c r="D161" s="140">
        <v>0.67900000000000005</v>
      </c>
      <c r="E161" s="141">
        <v>6.2E-2</v>
      </c>
      <c r="F161" s="142">
        <v>0</v>
      </c>
      <c r="G161" s="175">
        <v>0.04</v>
      </c>
      <c r="H161" s="175">
        <v>1.8</v>
      </c>
      <c r="I161" s="181">
        <v>2.0499999999999998</v>
      </c>
      <c r="J161" s="35">
        <v>5.7000000000000002E-2</v>
      </c>
    </row>
    <row r="162" spans="1:10" ht="27.75" customHeight="1">
      <c r="A162" s="174" t="s">
        <v>570</v>
      </c>
      <c r="B162" s="34" t="s">
        <v>1351</v>
      </c>
      <c r="C162" s="182">
        <v>0</v>
      </c>
      <c r="D162" s="140">
        <v>0.67700000000000005</v>
      </c>
      <c r="E162" s="141">
        <v>0.06</v>
      </c>
      <c r="F162" s="142">
        <v>0</v>
      </c>
      <c r="G162" s="175">
        <v>0.04</v>
      </c>
      <c r="H162" s="175">
        <v>1.8</v>
      </c>
      <c r="I162" s="181">
        <v>2.0499999999999998</v>
      </c>
      <c r="J162" s="35">
        <v>5.7000000000000002E-2</v>
      </c>
    </row>
    <row r="163" spans="1:10" ht="27.75" customHeight="1">
      <c r="A163" s="174" t="s">
        <v>571</v>
      </c>
      <c r="B163" s="34" t="s">
        <v>1352</v>
      </c>
      <c r="C163" s="182">
        <v>0</v>
      </c>
      <c r="D163" s="140">
        <v>0.629</v>
      </c>
      <c r="E163" s="141">
        <v>0.122</v>
      </c>
      <c r="F163" s="142">
        <v>4.0000000000000001E-3</v>
      </c>
      <c r="G163" s="175">
        <v>20.84</v>
      </c>
      <c r="H163" s="175">
        <v>2.0299999999999998</v>
      </c>
      <c r="I163" s="181">
        <v>2.2799999999999998</v>
      </c>
      <c r="J163" s="35">
        <v>5.3999999999999999E-2</v>
      </c>
    </row>
    <row r="164" spans="1:10" ht="27.75" customHeight="1">
      <c r="A164" s="174" t="s">
        <v>572</v>
      </c>
      <c r="B164" s="34" t="s">
        <v>1353</v>
      </c>
      <c r="C164" s="182">
        <v>0</v>
      </c>
      <c r="D164" s="140">
        <v>0.53600000000000003</v>
      </c>
      <c r="E164" s="141">
        <v>2.9000000000000001E-2</v>
      </c>
      <c r="F164" s="142">
        <v>0</v>
      </c>
      <c r="G164" s="175">
        <v>0.04</v>
      </c>
      <c r="H164" s="175">
        <v>2.0299999999999998</v>
      </c>
      <c r="I164" s="181">
        <v>2.2799999999999998</v>
      </c>
      <c r="J164" s="35">
        <v>5.3999999999999999E-2</v>
      </c>
    </row>
    <row r="165" spans="1:10" ht="27.75" customHeight="1">
      <c r="A165" s="174" t="s">
        <v>573</v>
      </c>
      <c r="B165" s="34" t="s">
        <v>1354</v>
      </c>
      <c r="C165" s="182">
        <v>0</v>
      </c>
      <c r="D165" s="140">
        <v>0.52300000000000002</v>
      </c>
      <c r="E165" s="141">
        <v>1.7000000000000001E-2</v>
      </c>
      <c r="F165" s="142">
        <v>0</v>
      </c>
      <c r="G165" s="175">
        <v>0.04</v>
      </c>
      <c r="H165" s="175">
        <v>2.0299999999999998</v>
      </c>
      <c r="I165" s="181">
        <v>2.2799999999999998</v>
      </c>
      <c r="J165" s="35">
        <v>5.3999999999999999E-2</v>
      </c>
    </row>
    <row r="166" spans="1:10" ht="27.75" customHeight="1">
      <c r="A166" s="174" t="s">
        <v>574</v>
      </c>
      <c r="B166" s="34" t="s">
        <v>1355</v>
      </c>
      <c r="C166" s="182">
        <v>0</v>
      </c>
      <c r="D166" s="140">
        <v>0.52</v>
      </c>
      <c r="E166" s="141">
        <v>1.4E-2</v>
      </c>
      <c r="F166" s="142">
        <v>0</v>
      </c>
      <c r="G166" s="175">
        <v>0.04</v>
      </c>
      <c r="H166" s="175">
        <v>2.0299999999999998</v>
      </c>
      <c r="I166" s="181">
        <v>2.2799999999999998</v>
      </c>
      <c r="J166" s="35">
        <v>5.3999999999999999E-2</v>
      </c>
    </row>
    <row r="167" spans="1:10" ht="27.75" customHeight="1">
      <c r="A167" s="174" t="s">
        <v>575</v>
      </c>
      <c r="B167" s="34" t="s">
        <v>1356</v>
      </c>
      <c r="C167" s="182">
        <v>0</v>
      </c>
      <c r="D167" s="140">
        <v>0.51700000000000002</v>
      </c>
      <c r="E167" s="141">
        <v>1.0999999999999999E-2</v>
      </c>
      <c r="F167" s="142">
        <v>0</v>
      </c>
      <c r="G167" s="175">
        <v>0.04</v>
      </c>
      <c r="H167" s="175">
        <v>2.0299999999999998</v>
      </c>
      <c r="I167" s="181">
        <v>2.2799999999999998</v>
      </c>
      <c r="J167" s="35">
        <v>5.3999999999999999E-2</v>
      </c>
    </row>
    <row r="168" spans="1:10" ht="27.75" customHeight="1">
      <c r="A168" s="174" t="s">
        <v>454</v>
      </c>
      <c r="B168" s="34" t="s">
        <v>1357</v>
      </c>
      <c r="C168" s="188" t="s">
        <v>419</v>
      </c>
      <c r="D168" s="143">
        <v>5.2939999999999996</v>
      </c>
      <c r="E168" s="144">
        <v>0.39400000000000002</v>
      </c>
      <c r="F168" s="142">
        <v>0.05</v>
      </c>
      <c r="G168" s="176"/>
      <c r="H168" s="176"/>
      <c r="I168" s="180"/>
      <c r="J168" s="36"/>
    </row>
    <row r="169" spans="1:10" ht="27.75" customHeight="1">
      <c r="A169" s="174" t="s">
        <v>455</v>
      </c>
      <c r="B169" s="34" t="s">
        <v>1358</v>
      </c>
      <c r="C169" s="182">
        <v>0</v>
      </c>
      <c r="D169" s="140">
        <v>-1.252</v>
      </c>
      <c r="E169" s="141">
        <v>-0.23599999999999999</v>
      </c>
      <c r="F169" s="142">
        <v>-8.0000000000000002E-3</v>
      </c>
      <c r="G169" s="175">
        <v>0</v>
      </c>
      <c r="H169" s="176"/>
      <c r="I169" s="180"/>
      <c r="J169" s="36"/>
    </row>
    <row r="170" spans="1:10" ht="27.75" customHeight="1">
      <c r="A170" s="174" t="s">
        <v>456</v>
      </c>
      <c r="B170" s="34" t="s">
        <v>1359</v>
      </c>
      <c r="C170" s="182">
        <v>0</v>
      </c>
      <c r="D170" s="140">
        <v>-1.2210000000000001</v>
      </c>
      <c r="E170" s="141">
        <v>-0.23300000000000001</v>
      </c>
      <c r="F170" s="142">
        <v>-8.0000000000000002E-3</v>
      </c>
      <c r="G170" s="175">
        <v>0</v>
      </c>
      <c r="H170" s="176"/>
      <c r="I170" s="180"/>
      <c r="J170" s="36"/>
    </row>
    <row r="171" spans="1:10" ht="27.75" customHeight="1">
      <c r="A171" s="174" t="s">
        <v>457</v>
      </c>
      <c r="B171" s="34" t="s">
        <v>1360</v>
      </c>
      <c r="C171" s="182">
        <v>0</v>
      </c>
      <c r="D171" s="140">
        <v>-1.252</v>
      </c>
      <c r="E171" s="141">
        <v>-0.23599999999999999</v>
      </c>
      <c r="F171" s="142">
        <v>-8.0000000000000002E-3</v>
      </c>
      <c r="G171" s="175">
        <v>0</v>
      </c>
      <c r="H171" s="176"/>
      <c r="I171" s="180"/>
      <c r="J171" s="35">
        <v>8.5999999999999993E-2</v>
      </c>
    </row>
    <row r="172" spans="1:10" ht="27.75" customHeight="1">
      <c r="A172" s="174" t="s">
        <v>458</v>
      </c>
      <c r="B172" s="34" t="s">
        <v>1361</v>
      </c>
      <c r="C172" s="182">
        <v>0</v>
      </c>
      <c r="D172" s="140">
        <v>-1.2210000000000001</v>
      </c>
      <c r="E172" s="141">
        <v>-0.23300000000000001</v>
      </c>
      <c r="F172" s="142">
        <v>-8.0000000000000002E-3</v>
      </c>
      <c r="G172" s="175">
        <v>0</v>
      </c>
      <c r="H172" s="176"/>
      <c r="I172" s="180"/>
      <c r="J172" s="35">
        <v>8.5000000000000006E-2</v>
      </c>
    </row>
    <row r="173" spans="1:10" ht="27.75" customHeight="1">
      <c r="A173" s="174" t="s">
        <v>459</v>
      </c>
      <c r="B173" s="34" t="s">
        <v>1362</v>
      </c>
      <c r="C173" s="182">
        <v>0</v>
      </c>
      <c r="D173" s="140">
        <v>-1.0229999999999999</v>
      </c>
      <c r="E173" s="141">
        <v>-0.20599999999999999</v>
      </c>
      <c r="F173" s="142">
        <v>-8.0000000000000002E-3</v>
      </c>
      <c r="G173" s="175">
        <v>2.2999999999999998</v>
      </c>
      <c r="H173" s="176"/>
      <c r="I173" s="180"/>
      <c r="J173" s="35">
        <v>9.7000000000000003E-2</v>
      </c>
    </row>
    <row r="174" spans="1:10" ht="27.75" customHeight="1">
      <c r="A174" s="174" t="s">
        <v>532</v>
      </c>
      <c r="B174" s="34" t="s">
        <v>1363</v>
      </c>
      <c r="C174" s="193" t="s">
        <v>649</v>
      </c>
      <c r="D174" s="140">
        <v>0.72299999999999998</v>
      </c>
      <c r="E174" s="141">
        <v>0.13600000000000001</v>
      </c>
      <c r="F174" s="142">
        <v>4.0000000000000001E-3</v>
      </c>
      <c r="G174" s="175">
        <v>9.85</v>
      </c>
      <c r="H174" s="176"/>
      <c r="I174" s="180"/>
      <c r="J174" s="36"/>
    </row>
    <row r="175" spans="1:10" ht="27.75" customHeight="1">
      <c r="A175" s="174" t="s">
        <v>533</v>
      </c>
      <c r="B175" s="34" t="s">
        <v>1364</v>
      </c>
      <c r="C175" s="186" t="s">
        <v>417</v>
      </c>
      <c r="D175" s="140">
        <v>0.72299999999999998</v>
      </c>
      <c r="E175" s="141">
        <v>0.13600000000000001</v>
      </c>
      <c r="F175" s="142">
        <v>4.0000000000000001E-3</v>
      </c>
      <c r="G175" s="176"/>
      <c r="H175" s="176"/>
      <c r="I175" s="180"/>
      <c r="J175" s="36"/>
    </row>
    <row r="176" spans="1:10" ht="27.75" customHeight="1">
      <c r="A176" s="174" t="s">
        <v>534</v>
      </c>
      <c r="B176" s="34" t="s">
        <v>1365</v>
      </c>
      <c r="C176" s="173" t="s">
        <v>648</v>
      </c>
      <c r="D176" s="140">
        <v>0.442</v>
      </c>
      <c r="E176" s="141">
        <v>8.3000000000000004E-2</v>
      </c>
      <c r="F176" s="142">
        <v>3.0000000000000001E-3</v>
      </c>
      <c r="G176" s="175">
        <v>0.28999999999999998</v>
      </c>
      <c r="H176" s="176"/>
      <c r="I176" s="180"/>
      <c r="J176" s="36"/>
    </row>
    <row r="177" spans="1:10" ht="27.75" customHeight="1">
      <c r="A177" s="174" t="s">
        <v>535</v>
      </c>
      <c r="B177" s="34" t="s">
        <v>1366</v>
      </c>
      <c r="C177" s="173" t="s">
        <v>648</v>
      </c>
      <c r="D177" s="140">
        <v>0.442</v>
      </c>
      <c r="E177" s="141">
        <v>8.3000000000000004E-2</v>
      </c>
      <c r="F177" s="142">
        <v>3.0000000000000001E-3</v>
      </c>
      <c r="G177" s="175">
        <v>0.23</v>
      </c>
      <c r="H177" s="176"/>
      <c r="I177" s="180"/>
      <c r="J177" s="36"/>
    </row>
    <row r="178" spans="1:10" ht="27.75" customHeight="1">
      <c r="A178" s="174" t="s">
        <v>536</v>
      </c>
      <c r="B178" s="34" t="s">
        <v>1367</v>
      </c>
      <c r="C178" s="173" t="s">
        <v>648</v>
      </c>
      <c r="D178" s="140">
        <v>0.432</v>
      </c>
      <c r="E178" s="141">
        <v>7.3999999999999996E-2</v>
      </c>
      <c r="F178" s="142">
        <v>0</v>
      </c>
      <c r="G178" s="175">
        <v>0.05</v>
      </c>
      <c r="H178" s="176"/>
      <c r="I178" s="180"/>
      <c r="J178" s="36"/>
    </row>
    <row r="179" spans="1:10" ht="27.75" customHeight="1">
      <c r="A179" s="174" t="s">
        <v>537</v>
      </c>
      <c r="B179" s="34" t="s">
        <v>1368</v>
      </c>
      <c r="C179" s="173" t="s">
        <v>648</v>
      </c>
      <c r="D179" s="140">
        <v>0.42099999999999999</v>
      </c>
      <c r="E179" s="141">
        <v>6.2E-2</v>
      </c>
      <c r="F179" s="142">
        <v>0</v>
      </c>
      <c r="G179" s="175">
        <v>0.05</v>
      </c>
      <c r="H179" s="176"/>
      <c r="I179" s="180"/>
      <c r="J179" s="36"/>
    </row>
    <row r="180" spans="1:10" ht="27.75" customHeight="1">
      <c r="A180" s="174" t="s">
        <v>538</v>
      </c>
      <c r="B180" s="34" t="s">
        <v>1369</v>
      </c>
      <c r="C180" s="173" t="s">
        <v>648</v>
      </c>
      <c r="D180" s="140">
        <v>0.41499999999999998</v>
      </c>
      <c r="E180" s="141">
        <v>5.7000000000000002E-2</v>
      </c>
      <c r="F180" s="142">
        <v>0</v>
      </c>
      <c r="G180" s="175">
        <v>0.05</v>
      </c>
      <c r="H180" s="176"/>
      <c r="I180" s="180"/>
      <c r="J180" s="36"/>
    </row>
    <row r="181" spans="1:10" ht="27.75" customHeight="1">
      <c r="A181" s="174" t="s">
        <v>460</v>
      </c>
      <c r="B181" s="34" t="s">
        <v>1370</v>
      </c>
      <c r="C181" s="186" t="s">
        <v>418</v>
      </c>
      <c r="D181" s="140">
        <v>0.442</v>
      </c>
      <c r="E181" s="141">
        <v>8.3000000000000004E-2</v>
      </c>
      <c r="F181" s="142">
        <v>3.0000000000000001E-3</v>
      </c>
      <c r="G181" s="176"/>
      <c r="H181" s="176"/>
      <c r="I181" s="180"/>
      <c r="J181" s="36"/>
    </row>
    <row r="182" spans="1:10" ht="27.75" customHeight="1">
      <c r="A182" s="174" t="s">
        <v>539</v>
      </c>
      <c r="B182" s="34" t="s">
        <v>1371</v>
      </c>
      <c r="C182" s="182">
        <v>0</v>
      </c>
      <c r="D182" s="140">
        <v>0.36399999999999999</v>
      </c>
      <c r="E182" s="141">
        <v>7.0000000000000007E-2</v>
      </c>
      <c r="F182" s="142">
        <v>2E-3</v>
      </c>
      <c r="G182" s="175">
        <v>0.65</v>
      </c>
      <c r="H182" s="175">
        <v>0.33</v>
      </c>
      <c r="I182" s="181">
        <v>0.51</v>
      </c>
      <c r="J182" s="35">
        <v>3.1E-2</v>
      </c>
    </row>
    <row r="183" spans="1:10" ht="27.75" customHeight="1">
      <c r="A183" s="174" t="s">
        <v>540</v>
      </c>
      <c r="B183" s="34" t="s">
        <v>1372</v>
      </c>
      <c r="C183" s="182">
        <v>0</v>
      </c>
      <c r="D183" s="140">
        <v>0.33500000000000002</v>
      </c>
      <c r="E183" s="141">
        <v>4.1000000000000002E-2</v>
      </c>
      <c r="F183" s="142">
        <v>0</v>
      </c>
      <c r="G183" s="175">
        <v>0.21</v>
      </c>
      <c r="H183" s="175">
        <v>0.33</v>
      </c>
      <c r="I183" s="181">
        <v>0.51</v>
      </c>
      <c r="J183" s="35">
        <v>3.1E-2</v>
      </c>
    </row>
    <row r="184" spans="1:10" ht="27.75" customHeight="1">
      <c r="A184" s="174" t="s">
        <v>541</v>
      </c>
      <c r="B184" s="34" t="s">
        <v>1373</v>
      </c>
      <c r="C184" s="182">
        <v>0</v>
      </c>
      <c r="D184" s="140">
        <v>0.33400000000000002</v>
      </c>
      <c r="E184" s="141">
        <v>0.04</v>
      </c>
      <c r="F184" s="142">
        <v>0</v>
      </c>
      <c r="G184" s="175">
        <v>0.21</v>
      </c>
      <c r="H184" s="175">
        <v>0.33</v>
      </c>
      <c r="I184" s="181">
        <v>0.51</v>
      </c>
      <c r="J184" s="35">
        <v>3.1E-2</v>
      </c>
    </row>
    <row r="185" spans="1:10" ht="27.75" customHeight="1">
      <c r="A185" s="174" t="s">
        <v>542</v>
      </c>
      <c r="B185" s="34" t="s">
        <v>1374</v>
      </c>
      <c r="C185" s="182">
        <v>0</v>
      </c>
      <c r="D185" s="140">
        <v>0.33400000000000002</v>
      </c>
      <c r="E185" s="141">
        <v>0.04</v>
      </c>
      <c r="F185" s="142">
        <v>0</v>
      </c>
      <c r="G185" s="175">
        <v>0.21</v>
      </c>
      <c r="H185" s="175">
        <v>0.33</v>
      </c>
      <c r="I185" s="181">
        <v>0.51</v>
      </c>
      <c r="J185" s="35">
        <v>3.1E-2</v>
      </c>
    </row>
    <row r="186" spans="1:10" ht="27.75" customHeight="1">
      <c r="A186" s="174" t="s">
        <v>543</v>
      </c>
      <c r="B186" s="34" t="s">
        <v>1375</v>
      </c>
      <c r="C186" s="182">
        <v>0</v>
      </c>
      <c r="D186" s="140">
        <v>0.33300000000000002</v>
      </c>
      <c r="E186" s="141">
        <v>3.9E-2</v>
      </c>
      <c r="F186" s="142">
        <v>0</v>
      </c>
      <c r="G186" s="175">
        <v>0.21</v>
      </c>
      <c r="H186" s="175">
        <v>0.33</v>
      </c>
      <c r="I186" s="181">
        <v>0.51</v>
      </c>
      <c r="J186" s="35">
        <v>3.1E-2</v>
      </c>
    </row>
    <row r="187" spans="1:10" ht="27.75" customHeight="1">
      <c r="A187" s="174" t="s">
        <v>544</v>
      </c>
      <c r="B187" s="34" t="s">
        <v>1376</v>
      </c>
      <c r="C187" s="182">
        <v>0</v>
      </c>
      <c r="D187" s="140">
        <v>0.34100000000000003</v>
      </c>
      <c r="E187" s="141">
        <v>6.9000000000000006E-2</v>
      </c>
      <c r="F187" s="142">
        <v>3.0000000000000001E-3</v>
      </c>
      <c r="G187" s="175">
        <v>0.66</v>
      </c>
      <c r="H187" s="175">
        <v>0.79</v>
      </c>
      <c r="I187" s="181">
        <v>0.9</v>
      </c>
      <c r="J187" s="35">
        <v>2.5000000000000001E-2</v>
      </c>
    </row>
    <row r="188" spans="1:10" ht="27.75" customHeight="1">
      <c r="A188" s="174" t="s">
        <v>545</v>
      </c>
      <c r="B188" s="34" t="s">
        <v>1377</v>
      </c>
      <c r="C188" s="182">
        <v>0</v>
      </c>
      <c r="D188" s="140">
        <v>0.30199999999999999</v>
      </c>
      <c r="E188" s="141">
        <v>2.9000000000000001E-2</v>
      </c>
      <c r="F188" s="142">
        <v>0</v>
      </c>
      <c r="G188" s="175">
        <v>0.05</v>
      </c>
      <c r="H188" s="175">
        <v>0.79</v>
      </c>
      <c r="I188" s="181">
        <v>0.9</v>
      </c>
      <c r="J188" s="35">
        <v>2.5000000000000001E-2</v>
      </c>
    </row>
    <row r="189" spans="1:10" ht="27.75" customHeight="1">
      <c r="A189" s="174" t="s">
        <v>546</v>
      </c>
      <c r="B189" s="34" t="s">
        <v>1378</v>
      </c>
      <c r="C189" s="182">
        <v>0</v>
      </c>
      <c r="D189" s="140">
        <v>0.30099999999999999</v>
      </c>
      <c r="E189" s="141">
        <v>2.8000000000000001E-2</v>
      </c>
      <c r="F189" s="142">
        <v>0</v>
      </c>
      <c r="G189" s="175">
        <v>0.05</v>
      </c>
      <c r="H189" s="175">
        <v>0.79</v>
      </c>
      <c r="I189" s="181">
        <v>0.9</v>
      </c>
      <c r="J189" s="35">
        <v>2.5000000000000001E-2</v>
      </c>
    </row>
    <row r="190" spans="1:10" ht="27.75" customHeight="1">
      <c r="A190" s="174" t="s">
        <v>547</v>
      </c>
      <c r="B190" s="34" t="s">
        <v>1379</v>
      </c>
      <c r="C190" s="182">
        <v>0</v>
      </c>
      <c r="D190" s="140">
        <v>0.3</v>
      </c>
      <c r="E190" s="141">
        <v>2.7E-2</v>
      </c>
      <c r="F190" s="142">
        <v>0</v>
      </c>
      <c r="G190" s="175">
        <v>0.05</v>
      </c>
      <c r="H190" s="175">
        <v>0.79</v>
      </c>
      <c r="I190" s="181">
        <v>0.9</v>
      </c>
      <c r="J190" s="35">
        <v>2.5000000000000001E-2</v>
      </c>
    </row>
    <row r="191" spans="1:10" ht="27.75" customHeight="1">
      <c r="A191" s="174" t="s">
        <v>548</v>
      </c>
      <c r="B191" s="34" t="s">
        <v>1380</v>
      </c>
      <c r="C191" s="182">
        <v>0</v>
      </c>
      <c r="D191" s="140">
        <v>0.29899999999999999</v>
      </c>
      <c r="E191" s="141">
        <v>2.5999999999999999E-2</v>
      </c>
      <c r="F191" s="142">
        <v>0</v>
      </c>
      <c r="G191" s="175">
        <v>0.05</v>
      </c>
      <c r="H191" s="175">
        <v>0.79</v>
      </c>
      <c r="I191" s="181">
        <v>0.9</v>
      </c>
      <c r="J191" s="35">
        <v>2.5000000000000001E-2</v>
      </c>
    </row>
    <row r="192" spans="1:10" ht="27.75" customHeight="1">
      <c r="A192" s="174" t="s">
        <v>549</v>
      </c>
      <c r="B192" s="34" t="s">
        <v>1381</v>
      </c>
      <c r="C192" s="182">
        <v>0</v>
      </c>
      <c r="D192" s="140">
        <v>0.27700000000000002</v>
      </c>
      <c r="E192" s="141">
        <v>5.3999999999999999E-2</v>
      </c>
      <c r="F192" s="142">
        <v>2E-3</v>
      </c>
      <c r="G192" s="175">
        <v>9.23</v>
      </c>
      <c r="H192" s="175">
        <v>0.9</v>
      </c>
      <c r="I192" s="181">
        <v>1.01</v>
      </c>
      <c r="J192" s="35">
        <v>2.4E-2</v>
      </c>
    </row>
    <row r="193" spans="1:10" ht="27.75" customHeight="1">
      <c r="A193" s="174" t="s">
        <v>550</v>
      </c>
      <c r="B193" s="34" t="s">
        <v>1382</v>
      </c>
      <c r="C193" s="182">
        <v>0</v>
      </c>
      <c r="D193" s="140">
        <v>0.23599999999999999</v>
      </c>
      <c r="E193" s="141">
        <v>1.2999999999999999E-2</v>
      </c>
      <c r="F193" s="142">
        <v>0</v>
      </c>
      <c r="G193" s="175">
        <v>0.05</v>
      </c>
      <c r="H193" s="175">
        <v>0.9</v>
      </c>
      <c r="I193" s="181">
        <v>1.01</v>
      </c>
      <c r="J193" s="35">
        <v>2.4E-2</v>
      </c>
    </row>
    <row r="194" spans="1:10" ht="27.75" customHeight="1">
      <c r="A194" s="174" t="s">
        <v>551</v>
      </c>
      <c r="B194" s="34" t="s">
        <v>1383</v>
      </c>
      <c r="C194" s="182">
        <v>0</v>
      </c>
      <c r="D194" s="140">
        <v>0.23100000000000001</v>
      </c>
      <c r="E194" s="141">
        <v>8.0000000000000002E-3</v>
      </c>
      <c r="F194" s="142">
        <v>0</v>
      </c>
      <c r="G194" s="175">
        <v>0.05</v>
      </c>
      <c r="H194" s="175">
        <v>0.9</v>
      </c>
      <c r="I194" s="181">
        <v>1.01</v>
      </c>
      <c r="J194" s="35">
        <v>2.4E-2</v>
      </c>
    </row>
    <row r="195" spans="1:10" ht="27.75" customHeight="1">
      <c r="A195" s="174" t="s">
        <v>552</v>
      </c>
      <c r="B195" s="34" t="s">
        <v>1384</v>
      </c>
      <c r="C195" s="182">
        <v>0</v>
      </c>
      <c r="D195" s="140">
        <v>0.23</v>
      </c>
      <c r="E195" s="141">
        <v>6.0000000000000001E-3</v>
      </c>
      <c r="F195" s="142">
        <v>0</v>
      </c>
      <c r="G195" s="175">
        <v>0.05</v>
      </c>
      <c r="H195" s="175">
        <v>0.9</v>
      </c>
      <c r="I195" s="181">
        <v>1.01</v>
      </c>
      <c r="J195" s="35">
        <v>2.4E-2</v>
      </c>
    </row>
    <row r="196" spans="1:10" ht="27.75" customHeight="1">
      <c r="A196" s="174" t="s">
        <v>553</v>
      </c>
      <c r="B196" s="34" t="s">
        <v>1385</v>
      </c>
      <c r="C196" s="182">
        <v>0</v>
      </c>
      <c r="D196" s="140">
        <v>0.22800000000000001</v>
      </c>
      <c r="E196" s="141">
        <v>5.0000000000000001E-3</v>
      </c>
      <c r="F196" s="142">
        <v>0</v>
      </c>
      <c r="G196" s="175">
        <v>0.05</v>
      </c>
      <c r="H196" s="175">
        <v>0.9</v>
      </c>
      <c r="I196" s="181">
        <v>1.01</v>
      </c>
      <c r="J196" s="35">
        <v>2.4E-2</v>
      </c>
    </row>
    <row r="197" spans="1:10" ht="27.75" customHeight="1">
      <c r="A197" s="174" t="s">
        <v>461</v>
      </c>
      <c r="B197" s="34" t="s">
        <v>1386</v>
      </c>
      <c r="C197" s="188" t="s">
        <v>419</v>
      </c>
      <c r="D197" s="143">
        <v>2.3370000000000002</v>
      </c>
      <c r="E197" s="144">
        <v>0.17399999999999999</v>
      </c>
      <c r="F197" s="142">
        <v>2.1999999999999999E-2</v>
      </c>
      <c r="G197" s="176"/>
      <c r="H197" s="176"/>
      <c r="I197" s="180"/>
      <c r="J197" s="36"/>
    </row>
    <row r="198" spans="1:10" ht="27.75" customHeight="1">
      <c r="A198" s="174" t="s">
        <v>462</v>
      </c>
      <c r="B198" s="34" t="s">
        <v>1387</v>
      </c>
      <c r="C198" s="182">
        <v>0</v>
      </c>
      <c r="D198" s="140">
        <v>-0.55200000000000005</v>
      </c>
      <c r="E198" s="141">
        <v>-0.104</v>
      </c>
      <c r="F198" s="142">
        <v>-3.0000000000000001E-3</v>
      </c>
      <c r="G198" s="175">
        <v>0</v>
      </c>
      <c r="H198" s="176"/>
      <c r="I198" s="180"/>
      <c r="J198" s="36"/>
    </row>
    <row r="199" spans="1:10" ht="27.75" customHeight="1">
      <c r="A199" s="174" t="s">
        <v>463</v>
      </c>
      <c r="B199" s="34" t="s">
        <v>1388</v>
      </c>
      <c r="C199" s="182">
        <v>0</v>
      </c>
      <c r="D199" s="140">
        <v>-0.53900000000000003</v>
      </c>
      <c r="E199" s="141">
        <v>-0.10299999999999999</v>
      </c>
      <c r="F199" s="142">
        <v>-3.0000000000000001E-3</v>
      </c>
      <c r="G199" s="175">
        <v>0</v>
      </c>
      <c r="H199" s="176"/>
      <c r="I199" s="180"/>
      <c r="J199" s="36"/>
    </row>
    <row r="200" spans="1:10" ht="27.75" customHeight="1">
      <c r="A200" s="174" t="s">
        <v>464</v>
      </c>
      <c r="B200" s="34" t="s">
        <v>1389</v>
      </c>
      <c r="C200" s="182">
        <v>0</v>
      </c>
      <c r="D200" s="140">
        <v>-0.55200000000000005</v>
      </c>
      <c r="E200" s="141">
        <v>-0.104</v>
      </c>
      <c r="F200" s="142">
        <v>-3.0000000000000001E-3</v>
      </c>
      <c r="G200" s="175">
        <v>0</v>
      </c>
      <c r="H200" s="176"/>
      <c r="I200" s="180"/>
      <c r="J200" s="35">
        <v>3.7999999999999999E-2</v>
      </c>
    </row>
    <row r="201" spans="1:10" ht="27.75" customHeight="1">
      <c r="A201" s="174" t="s">
        <v>465</v>
      </c>
      <c r="B201" s="34" t="s">
        <v>1390</v>
      </c>
      <c r="C201" s="182">
        <v>0</v>
      </c>
      <c r="D201" s="140">
        <v>-0.53900000000000003</v>
      </c>
      <c r="E201" s="141">
        <v>-0.10299999999999999</v>
      </c>
      <c r="F201" s="142">
        <v>-3.0000000000000001E-3</v>
      </c>
      <c r="G201" s="175">
        <v>0</v>
      </c>
      <c r="H201" s="176"/>
      <c r="I201" s="180"/>
      <c r="J201" s="35">
        <v>3.7999999999999999E-2</v>
      </c>
    </row>
    <row r="202" spans="1:10" ht="27.75" customHeight="1">
      <c r="A202" s="174" t="s">
        <v>466</v>
      </c>
      <c r="B202" s="34" t="s">
        <v>1391</v>
      </c>
      <c r="C202" s="182">
        <v>0</v>
      </c>
      <c r="D202" s="140">
        <v>-0.45200000000000001</v>
      </c>
      <c r="E202" s="141">
        <v>-9.0999999999999998E-2</v>
      </c>
      <c r="F202" s="142">
        <v>-3.0000000000000001E-3</v>
      </c>
      <c r="G202" s="175">
        <v>1.02</v>
      </c>
      <c r="H202" s="176"/>
      <c r="I202" s="180"/>
      <c r="J202" s="35">
        <v>4.2999999999999997E-2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122"/>
  <sheetViews>
    <sheetView zoomScale="80" zoomScaleNormal="80" zoomScaleSheetLayoutView="100" workbookViewId="0"/>
  </sheetViews>
  <sheetFormatPr defaultRowHeight="12.75"/>
  <cols>
    <col min="1" max="1" width="24" customWidth="1"/>
    <col min="2" max="2" width="35.5703125" bestFit="1" customWidth="1"/>
    <col min="3" max="7" width="23.7109375" customWidth="1"/>
  </cols>
  <sheetData>
    <row r="1" spans="1:7" ht="27.75" customHeight="1">
      <c r="A1" s="138" t="s">
        <v>19</v>
      </c>
      <c r="C1" s="137"/>
    </row>
    <row r="2" spans="1:7" ht="44.25" customHeight="1">
      <c r="A2" s="296" t="s">
        <v>1456</v>
      </c>
      <c r="B2" s="296"/>
      <c r="C2" s="296"/>
      <c r="D2" s="296"/>
      <c r="E2" s="296"/>
    </row>
    <row r="3" spans="1:7" ht="47.25" customHeight="1">
      <c r="A3" s="273" t="str">
        <f>Overview!B4&amp; " - Illustrative LLFs for year beginning "&amp;Overview!D4</f>
        <v>London Power Networks - Illustrative LLFs for year beginning 1 April 2022</v>
      </c>
      <c r="B3" s="274"/>
      <c r="C3" s="274"/>
      <c r="D3" s="274"/>
      <c r="E3" s="274"/>
      <c r="F3" s="274"/>
      <c r="G3" s="275"/>
    </row>
    <row r="4" spans="1:7" ht="19.5" customHeight="1">
      <c r="A4" s="297" t="s">
        <v>12</v>
      </c>
      <c r="B4" s="298"/>
      <c r="C4" s="22" t="s">
        <v>4</v>
      </c>
      <c r="D4" s="22" t="s">
        <v>5</v>
      </c>
      <c r="E4" s="22" t="s">
        <v>6</v>
      </c>
      <c r="F4" s="22" t="s">
        <v>7</v>
      </c>
      <c r="G4" s="22" t="s">
        <v>723</v>
      </c>
    </row>
    <row r="5" spans="1:7" ht="19.5" customHeight="1">
      <c r="A5" s="299"/>
      <c r="B5" s="300"/>
      <c r="C5" s="22" t="s">
        <v>724</v>
      </c>
      <c r="D5" s="22" t="s">
        <v>725</v>
      </c>
      <c r="E5" s="22" t="s">
        <v>726</v>
      </c>
      <c r="F5" s="22" t="s">
        <v>727</v>
      </c>
      <c r="G5" s="22" t="s">
        <v>728</v>
      </c>
    </row>
    <row r="6" spans="1:7" ht="45" customHeight="1">
      <c r="A6" s="253" t="s">
        <v>729</v>
      </c>
      <c r="B6" s="254"/>
      <c r="C6" s="23" t="s">
        <v>730</v>
      </c>
      <c r="D6" s="200"/>
      <c r="E6" s="78" t="s">
        <v>731</v>
      </c>
      <c r="F6" s="200"/>
      <c r="G6" s="200"/>
    </row>
    <row r="7" spans="1:7" ht="45" customHeight="1">
      <c r="A7" s="253" t="s">
        <v>732</v>
      </c>
      <c r="B7" s="254"/>
      <c r="C7" s="200"/>
      <c r="D7" s="23" t="s">
        <v>733</v>
      </c>
      <c r="E7" s="200"/>
      <c r="F7" s="200"/>
      <c r="G7" s="200"/>
    </row>
    <row r="8" spans="1:7" ht="45" customHeight="1">
      <c r="A8" s="253" t="s">
        <v>734</v>
      </c>
      <c r="B8" s="254"/>
      <c r="C8" s="200"/>
      <c r="D8" s="200"/>
      <c r="E8" s="23" t="s">
        <v>733</v>
      </c>
      <c r="F8" s="200"/>
      <c r="G8" s="200"/>
    </row>
    <row r="9" spans="1:7" ht="25.5" customHeight="1">
      <c r="A9" s="253" t="s">
        <v>735</v>
      </c>
      <c r="B9" s="254"/>
      <c r="C9" s="200"/>
      <c r="D9" s="200"/>
      <c r="E9" s="200"/>
      <c r="F9" s="78" t="s">
        <v>736</v>
      </c>
      <c r="G9" s="78" t="s">
        <v>737</v>
      </c>
    </row>
    <row r="10" spans="1:7" s="14" customFormat="1" ht="24.95" customHeight="1">
      <c r="A10" s="260" t="s">
        <v>13</v>
      </c>
      <c r="B10" s="260"/>
      <c r="C10" s="257" t="s">
        <v>14</v>
      </c>
      <c r="D10" s="258"/>
      <c r="E10" s="258"/>
      <c r="F10" s="258"/>
      <c r="G10" s="259"/>
    </row>
    <row r="11" spans="1:7">
      <c r="B11" s="13"/>
      <c r="C11" s="13"/>
      <c r="D11" s="13"/>
      <c r="E11" s="13"/>
    </row>
    <row r="12" spans="1:7">
      <c r="B12" s="13"/>
      <c r="C12" s="13"/>
      <c r="D12" s="13"/>
      <c r="E12" s="13"/>
    </row>
    <row r="13" spans="1:7" ht="22.5" customHeight="1">
      <c r="A13" s="265" t="s">
        <v>42</v>
      </c>
      <c r="B13" s="301"/>
      <c r="C13" s="301"/>
      <c r="D13" s="301"/>
      <c r="E13" s="301"/>
      <c r="F13" s="301"/>
      <c r="G13" s="266"/>
    </row>
    <row r="14" spans="1:7" ht="22.5" customHeight="1">
      <c r="A14" s="265" t="s">
        <v>3</v>
      </c>
      <c r="B14" s="301"/>
      <c r="C14" s="301"/>
      <c r="D14" s="301"/>
      <c r="E14" s="301"/>
      <c r="F14" s="301"/>
      <c r="G14" s="266"/>
    </row>
    <row r="15" spans="1:7" ht="33" customHeight="1">
      <c r="A15" s="22" t="s">
        <v>43</v>
      </c>
      <c r="B15" s="22" t="s">
        <v>4</v>
      </c>
      <c r="C15" s="22" t="s">
        <v>5</v>
      </c>
      <c r="D15" s="22" t="s">
        <v>6</v>
      </c>
      <c r="E15" s="22" t="s">
        <v>7</v>
      </c>
      <c r="F15" s="22" t="s">
        <v>723</v>
      </c>
      <c r="G15" s="22" t="s">
        <v>8</v>
      </c>
    </row>
    <row r="16" spans="1:7" ht="123" customHeight="1">
      <c r="A16" s="1" t="s">
        <v>44</v>
      </c>
      <c r="B16" s="237">
        <v>1.1100000000000001</v>
      </c>
      <c r="C16" s="237">
        <v>1.089</v>
      </c>
      <c r="D16" s="237">
        <v>1.101</v>
      </c>
      <c r="E16" s="237">
        <v>1.071</v>
      </c>
      <c r="F16" s="237">
        <v>1.089</v>
      </c>
      <c r="G16" s="1" t="s">
        <v>1451</v>
      </c>
    </row>
    <row r="17" spans="1:7" ht="42" customHeight="1">
      <c r="A17" s="1" t="s">
        <v>45</v>
      </c>
      <c r="B17" s="237">
        <v>1.0609999999999999</v>
      </c>
      <c r="C17" s="237">
        <v>1.0529999999999999</v>
      </c>
      <c r="D17" s="237">
        <v>1.0569999999999999</v>
      </c>
      <c r="E17" s="237">
        <v>1.0429999999999999</v>
      </c>
      <c r="F17" s="237">
        <v>1.0509999999999999</v>
      </c>
      <c r="G17" s="1" t="s">
        <v>1452</v>
      </c>
    </row>
    <row r="18" spans="1:7" ht="42" customHeight="1">
      <c r="A18" s="1" t="s">
        <v>46</v>
      </c>
      <c r="B18" s="237">
        <v>1.038</v>
      </c>
      <c r="C18" s="237">
        <v>1.0329999999999999</v>
      </c>
      <c r="D18" s="237">
        <v>1.036</v>
      </c>
      <c r="E18" s="237">
        <v>1.026</v>
      </c>
      <c r="F18" s="237">
        <v>1.032</v>
      </c>
      <c r="G18" s="1" t="s">
        <v>1453</v>
      </c>
    </row>
    <row r="19" spans="1:7" ht="22.5" customHeight="1">
      <c r="A19" s="1" t="s">
        <v>47</v>
      </c>
      <c r="B19" s="237">
        <v>1.03</v>
      </c>
      <c r="C19" s="237">
        <v>1.028</v>
      </c>
      <c r="D19" s="237">
        <v>1.0289999999999999</v>
      </c>
      <c r="E19" s="237">
        <v>1.0249999999999999</v>
      </c>
      <c r="F19" s="237">
        <v>1.0269999999999999</v>
      </c>
      <c r="G19" s="12" t="s">
        <v>1392</v>
      </c>
    </row>
    <row r="20" spans="1:7" ht="22.5" customHeight="1">
      <c r="A20" s="1" t="s">
        <v>48</v>
      </c>
      <c r="B20" s="237">
        <v>1.022</v>
      </c>
      <c r="C20" s="237">
        <v>1.02</v>
      </c>
      <c r="D20" s="237">
        <v>1.0209999999999999</v>
      </c>
      <c r="E20" s="237">
        <v>1.018</v>
      </c>
      <c r="F20" s="237">
        <v>1.02</v>
      </c>
      <c r="G20" s="12" t="s">
        <v>1393</v>
      </c>
    </row>
    <row r="21" spans="1:7" ht="22.5" customHeight="1">
      <c r="A21" s="1" t="s">
        <v>49</v>
      </c>
      <c r="B21" s="237">
        <v>1.002</v>
      </c>
      <c r="C21" s="237">
        <v>1.002</v>
      </c>
      <c r="D21" s="237">
        <v>1.002</v>
      </c>
      <c r="E21" s="237">
        <v>1.002</v>
      </c>
      <c r="F21" s="237">
        <v>1.002</v>
      </c>
      <c r="G21" s="12" t="s">
        <v>1394</v>
      </c>
    </row>
    <row r="23" spans="1:7" ht="22.5" customHeight="1">
      <c r="A23" s="265" t="s">
        <v>50</v>
      </c>
      <c r="B23" s="301"/>
      <c r="C23" s="301"/>
      <c r="D23" s="301"/>
      <c r="E23" s="301"/>
      <c r="F23" s="301"/>
      <c r="G23" s="266"/>
    </row>
    <row r="24" spans="1:7" ht="22.5" customHeight="1">
      <c r="A24" s="265" t="s">
        <v>10</v>
      </c>
      <c r="B24" s="301"/>
      <c r="C24" s="301"/>
      <c r="D24" s="301"/>
      <c r="E24" s="301"/>
      <c r="F24" s="301"/>
      <c r="G24" s="266"/>
    </row>
    <row r="25" spans="1:7" ht="33" customHeight="1">
      <c r="A25" s="22" t="s">
        <v>9</v>
      </c>
      <c r="B25" s="22" t="s">
        <v>4</v>
      </c>
      <c r="C25" s="22" t="s">
        <v>5</v>
      </c>
      <c r="D25" s="22" t="s">
        <v>6</v>
      </c>
      <c r="E25" s="22" t="s">
        <v>7</v>
      </c>
      <c r="F25" s="22" t="s">
        <v>723</v>
      </c>
      <c r="G25" s="22" t="s">
        <v>8</v>
      </c>
    </row>
    <row r="26" spans="1:7" ht="22.5" customHeight="1">
      <c r="A26" s="235" t="s">
        <v>1395</v>
      </c>
      <c r="B26" s="237">
        <v>1.0089999999999999</v>
      </c>
      <c r="C26" s="237">
        <v>1.0069999999999999</v>
      </c>
      <c r="D26" s="237">
        <v>1.0089999999999999</v>
      </c>
      <c r="E26" s="237">
        <v>1.006</v>
      </c>
      <c r="F26" s="237">
        <v>1.0069999999999999</v>
      </c>
      <c r="G26" s="236">
        <v>800</v>
      </c>
    </row>
    <row r="27" spans="1:7" ht="22.5" customHeight="1">
      <c r="A27" s="235" t="s">
        <v>1396</v>
      </c>
      <c r="B27" s="237">
        <v>1.006</v>
      </c>
      <c r="C27" s="237">
        <v>1.006</v>
      </c>
      <c r="D27" s="237">
        <v>1.006</v>
      </c>
      <c r="E27" s="237">
        <v>1.006</v>
      </c>
      <c r="F27" s="237">
        <v>1.006</v>
      </c>
      <c r="G27" s="236">
        <v>801</v>
      </c>
    </row>
    <row r="28" spans="1:7" ht="22.5" customHeight="1">
      <c r="A28" s="235" t="s">
        <v>1397</v>
      </c>
      <c r="B28" s="237">
        <v>1.0009999999999999</v>
      </c>
      <c r="C28" s="237">
        <v>1.0009999999999999</v>
      </c>
      <c r="D28" s="237">
        <v>1.0009999999999999</v>
      </c>
      <c r="E28" s="237">
        <v>1.0009999999999999</v>
      </c>
      <c r="F28" s="237">
        <v>1.0009999999999999</v>
      </c>
      <c r="G28" s="236">
        <v>802</v>
      </c>
    </row>
    <row r="29" spans="1:7" ht="22.5" customHeight="1">
      <c r="A29" s="235" t="s">
        <v>1398</v>
      </c>
      <c r="B29" s="237">
        <v>1.006</v>
      </c>
      <c r="C29" s="237">
        <v>1.0049999999999999</v>
      </c>
      <c r="D29" s="237">
        <v>1.006</v>
      </c>
      <c r="E29" s="237">
        <v>1.0049999999999999</v>
      </c>
      <c r="F29" s="237">
        <v>1.006</v>
      </c>
      <c r="G29" s="236">
        <v>803</v>
      </c>
    </row>
    <row r="30" spans="1:7" ht="22.5" customHeight="1">
      <c r="A30" s="235" t="s">
        <v>1399</v>
      </c>
      <c r="B30" s="237">
        <v>1.022</v>
      </c>
      <c r="C30" s="237">
        <v>1.02</v>
      </c>
      <c r="D30" s="237">
        <v>1.0209999999999999</v>
      </c>
      <c r="E30" s="237">
        <v>1.018</v>
      </c>
      <c r="F30" s="237">
        <v>1.02</v>
      </c>
      <c r="G30" s="236">
        <v>804</v>
      </c>
    </row>
    <row r="31" spans="1:7" ht="22.5" customHeight="1">
      <c r="A31" s="235" t="s">
        <v>1400</v>
      </c>
      <c r="B31" s="237">
        <v>1.012</v>
      </c>
      <c r="C31" s="237">
        <v>1.0109999999999999</v>
      </c>
      <c r="D31" s="237">
        <v>1.012</v>
      </c>
      <c r="E31" s="237">
        <v>1.008</v>
      </c>
      <c r="F31" s="237">
        <v>1.008</v>
      </c>
      <c r="G31" s="236">
        <v>805</v>
      </c>
    </row>
    <row r="32" spans="1:7" ht="22.5" customHeight="1">
      <c r="A32" s="235" t="s">
        <v>1401</v>
      </c>
      <c r="B32" s="237">
        <v>1.0069999999999999</v>
      </c>
      <c r="C32" s="237">
        <v>1.006</v>
      </c>
      <c r="D32" s="237">
        <v>1.0069999999999999</v>
      </c>
      <c r="E32" s="237">
        <v>1.006</v>
      </c>
      <c r="F32" s="237">
        <v>1.006</v>
      </c>
      <c r="G32" s="236">
        <v>806</v>
      </c>
    </row>
    <row r="33" spans="1:7" ht="22.5" customHeight="1">
      <c r="A33" s="235" t="s">
        <v>1402</v>
      </c>
      <c r="B33" s="237">
        <v>1.012</v>
      </c>
      <c r="C33" s="237">
        <v>1.0129999999999999</v>
      </c>
      <c r="D33" s="237">
        <v>1.0129999999999999</v>
      </c>
      <c r="E33" s="237">
        <v>1.012</v>
      </c>
      <c r="F33" s="237">
        <v>1.0129999999999999</v>
      </c>
      <c r="G33" s="236">
        <v>807</v>
      </c>
    </row>
    <row r="34" spans="1:7" ht="22.5" customHeight="1">
      <c r="A34" s="235" t="s">
        <v>1403</v>
      </c>
      <c r="B34" s="237">
        <v>1.01</v>
      </c>
      <c r="C34" s="237">
        <v>1.0069999999999999</v>
      </c>
      <c r="D34" s="237">
        <v>1.01</v>
      </c>
      <c r="E34" s="237">
        <v>1.006</v>
      </c>
      <c r="F34" s="237">
        <v>1.008</v>
      </c>
      <c r="G34" s="236">
        <v>808</v>
      </c>
    </row>
    <row r="35" spans="1:7" ht="22.5" customHeight="1">
      <c r="A35" s="235" t="s">
        <v>1404</v>
      </c>
      <c r="B35" s="237">
        <v>1</v>
      </c>
      <c r="C35" s="237">
        <v>1</v>
      </c>
      <c r="D35" s="237">
        <v>1</v>
      </c>
      <c r="E35" s="237">
        <v>1</v>
      </c>
      <c r="F35" s="237">
        <v>1</v>
      </c>
      <c r="G35" s="236">
        <v>809</v>
      </c>
    </row>
    <row r="36" spans="1:7" ht="22.5" customHeight="1">
      <c r="A36" s="235" t="s">
        <v>1405</v>
      </c>
      <c r="B36" s="237">
        <v>1.014</v>
      </c>
      <c r="C36" s="237">
        <v>1.0149999999999999</v>
      </c>
      <c r="D36" s="237">
        <v>1.0149999999999999</v>
      </c>
      <c r="E36" s="237">
        <v>1.0129999999999999</v>
      </c>
      <c r="F36" s="237">
        <v>1.0129999999999999</v>
      </c>
      <c r="G36" s="236">
        <v>810</v>
      </c>
    </row>
    <row r="37" spans="1:7" ht="22.5" customHeight="1">
      <c r="A37" s="235" t="s">
        <v>1406</v>
      </c>
      <c r="B37" s="237">
        <v>1.02</v>
      </c>
      <c r="C37" s="237">
        <v>1.0189999999999999</v>
      </c>
      <c r="D37" s="237">
        <v>1.0189999999999999</v>
      </c>
      <c r="E37" s="237">
        <v>1.0189999999999999</v>
      </c>
      <c r="F37" s="237">
        <v>1.0189999999999999</v>
      </c>
      <c r="G37" s="236">
        <v>811</v>
      </c>
    </row>
    <row r="38" spans="1:7" ht="22.5" customHeight="1">
      <c r="A38" s="235" t="s">
        <v>1407</v>
      </c>
      <c r="B38" s="237">
        <v>1.0509999999999999</v>
      </c>
      <c r="C38" s="237">
        <v>1.05</v>
      </c>
      <c r="D38" s="237">
        <v>1.0509999999999999</v>
      </c>
      <c r="E38" s="237">
        <v>1.0509999999999999</v>
      </c>
      <c r="F38" s="237">
        <v>1.0509999999999999</v>
      </c>
      <c r="G38" s="236">
        <v>812</v>
      </c>
    </row>
    <row r="39" spans="1:7" ht="22.5" customHeight="1">
      <c r="A39" s="235" t="s">
        <v>1408</v>
      </c>
      <c r="B39" s="237">
        <v>1.0089999999999999</v>
      </c>
      <c r="C39" s="237">
        <v>1.0069999999999999</v>
      </c>
      <c r="D39" s="237">
        <v>1.0089999999999999</v>
      </c>
      <c r="E39" s="237">
        <v>1.0069999999999999</v>
      </c>
      <c r="F39" s="237">
        <v>1.006</v>
      </c>
      <c r="G39" s="236">
        <v>813</v>
      </c>
    </row>
    <row r="40" spans="1:7" ht="22.5" customHeight="1">
      <c r="A40" s="235" t="s">
        <v>1409</v>
      </c>
      <c r="B40" s="237">
        <v>1.01</v>
      </c>
      <c r="C40" s="237">
        <v>1.008</v>
      </c>
      <c r="D40" s="237">
        <v>1.01</v>
      </c>
      <c r="E40" s="237">
        <v>1.008</v>
      </c>
      <c r="F40" s="237">
        <v>1.0069999999999999</v>
      </c>
      <c r="G40" s="236">
        <v>814</v>
      </c>
    </row>
    <row r="41" spans="1:7" ht="22.5" customHeight="1">
      <c r="A41" s="235" t="s">
        <v>1410</v>
      </c>
      <c r="B41" s="237">
        <v>1.0029999999999999</v>
      </c>
      <c r="C41" s="237">
        <v>1.0029999999999999</v>
      </c>
      <c r="D41" s="237">
        <v>1.0029999999999999</v>
      </c>
      <c r="E41" s="237">
        <v>1.0029999999999999</v>
      </c>
      <c r="F41" s="237">
        <v>1.0029999999999999</v>
      </c>
      <c r="G41" s="236">
        <v>815</v>
      </c>
    </row>
    <row r="42" spans="1:7" ht="22.5" customHeight="1">
      <c r="A42" s="235" t="s">
        <v>1411</v>
      </c>
      <c r="B42" s="237">
        <v>1.008</v>
      </c>
      <c r="C42" s="237">
        <v>1.006</v>
      </c>
      <c r="D42" s="237">
        <v>1.008</v>
      </c>
      <c r="E42" s="237">
        <v>1.006</v>
      </c>
      <c r="F42" s="237">
        <v>1.006</v>
      </c>
      <c r="G42" s="236">
        <v>816</v>
      </c>
    </row>
    <row r="43" spans="1:7" ht="22.5" customHeight="1">
      <c r="A43" s="235" t="s">
        <v>1412</v>
      </c>
      <c r="B43" s="237">
        <v>1</v>
      </c>
      <c r="C43" s="237">
        <v>1</v>
      </c>
      <c r="D43" s="237">
        <v>1</v>
      </c>
      <c r="E43" s="237">
        <v>1</v>
      </c>
      <c r="F43" s="237">
        <v>1</v>
      </c>
      <c r="G43" s="236">
        <v>817</v>
      </c>
    </row>
    <row r="44" spans="1:7" ht="22.5" customHeight="1">
      <c r="A44" s="235" t="s">
        <v>1413</v>
      </c>
      <c r="B44" s="237">
        <v>1</v>
      </c>
      <c r="C44" s="237">
        <v>1</v>
      </c>
      <c r="D44" s="237">
        <v>1</v>
      </c>
      <c r="E44" s="237">
        <v>1</v>
      </c>
      <c r="F44" s="237">
        <v>1</v>
      </c>
      <c r="G44" s="236">
        <v>818</v>
      </c>
    </row>
    <row r="45" spans="1:7" ht="22.5" customHeight="1">
      <c r="A45" s="235" t="s">
        <v>1414</v>
      </c>
      <c r="B45" s="237">
        <v>1.03</v>
      </c>
      <c r="C45" s="237">
        <v>1.028</v>
      </c>
      <c r="D45" s="237">
        <v>1.0289999999999999</v>
      </c>
      <c r="E45" s="237">
        <v>1.0249999999999999</v>
      </c>
      <c r="F45" s="237">
        <v>1.0269999999999999</v>
      </c>
      <c r="G45" s="236">
        <v>819</v>
      </c>
    </row>
    <row r="46" spans="1:7" ht="22.5" customHeight="1">
      <c r="A46" s="235" t="s">
        <v>1415</v>
      </c>
      <c r="B46" s="237">
        <v>1.0089999999999999</v>
      </c>
      <c r="C46" s="237">
        <v>1.0109999999999999</v>
      </c>
      <c r="D46" s="237">
        <v>1.012</v>
      </c>
      <c r="E46" s="237">
        <v>1.0089999999999999</v>
      </c>
      <c r="F46" s="237">
        <v>1.008</v>
      </c>
      <c r="G46" s="236">
        <v>820</v>
      </c>
    </row>
    <row r="47" spans="1:7" ht="22.5" customHeight="1">
      <c r="A47" s="235" t="s">
        <v>1416</v>
      </c>
      <c r="B47" s="237">
        <v>1.0149999999999999</v>
      </c>
      <c r="C47" s="237">
        <v>1.01</v>
      </c>
      <c r="D47" s="237">
        <v>1.014</v>
      </c>
      <c r="E47" s="237">
        <v>1.01</v>
      </c>
      <c r="F47" s="237">
        <v>1.008</v>
      </c>
      <c r="G47" s="236">
        <v>821</v>
      </c>
    </row>
    <row r="48" spans="1:7" ht="22.5" customHeight="1">
      <c r="A48" s="235" t="s">
        <v>1417</v>
      </c>
      <c r="B48" s="237">
        <v>1.03</v>
      </c>
      <c r="C48" s="237">
        <v>1.028</v>
      </c>
      <c r="D48" s="237">
        <v>1.0289999999999999</v>
      </c>
      <c r="E48" s="237">
        <v>1.0249999999999999</v>
      </c>
      <c r="F48" s="237">
        <v>1.0269999999999999</v>
      </c>
      <c r="G48" s="236">
        <v>822</v>
      </c>
    </row>
    <row r="49" spans="1:7" ht="22.5" customHeight="1">
      <c r="A49" s="235" t="s">
        <v>1418</v>
      </c>
      <c r="B49" s="237">
        <v>1.03</v>
      </c>
      <c r="C49" s="237">
        <v>1.028</v>
      </c>
      <c r="D49" s="237">
        <v>1.0289999999999999</v>
      </c>
      <c r="E49" s="237">
        <v>1.0249999999999999</v>
      </c>
      <c r="F49" s="237">
        <v>1.0269999999999999</v>
      </c>
      <c r="G49" s="236">
        <v>823</v>
      </c>
    </row>
    <row r="50" spans="1:7" ht="22.5" customHeight="1">
      <c r="A50" s="235" t="s">
        <v>1419</v>
      </c>
      <c r="B50" s="237">
        <v>1.03</v>
      </c>
      <c r="C50" s="237">
        <v>1.028</v>
      </c>
      <c r="D50" s="237">
        <v>1.0289999999999999</v>
      </c>
      <c r="E50" s="237">
        <v>1.0249999999999999</v>
      </c>
      <c r="F50" s="237">
        <v>1.0269999999999999</v>
      </c>
      <c r="G50" s="236">
        <v>824</v>
      </c>
    </row>
    <row r="51" spans="1:7" ht="22.5" customHeight="1">
      <c r="A51" s="235" t="s">
        <v>1420</v>
      </c>
      <c r="B51" s="237">
        <v>1.0249999999999999</v>
      </c>
      <c r="C51" s="237">
        <v>1.0249999999999999</v>
      </c>
      <c r="D51" s="237">
        <v>1.0249999999999999</v>
      </c>
      <c r="E51" s="237">
        <v>1.0249999999999999</v>
      </c>
      <c r="F51" s="237">
        <v>1.0249999999999999</v>
      </c>
      <c r="G51" s="236">
        <v>827</v>
      </c>
    </row>
    <row r="52" spans="1:7" ht="22.5" customHeight="1">
      <c r="A52" s="235" t="s">
        <v>1421</v>
      </c>
      <c r="B52" s="237">
        <v>1.0029999999999999</v>
      </c>
      <c r="C52" s="237">
        <v>1.002</v>
      </c>
      <c r="D52" s="237">
        <v>1.002</v>
      </c>
      <c r="E52" s="237">
        <v>1.002</v>
      </c>
      <c r="F52" s="237">
        <v>1.002</v>
      </c>
      <c r="G52" s="236">
        <v>828</v>
      </c>
    </row>
    <row r="53" spans="1:7" ht="22.5" customHeight="1">
      <c r="A53" s="235" t="s">
        <v>1422</v>
      </c>
      <c r="B53" s="237">
        <v>1.0049999999999999</v>
      </c>
      <c r="C53" s="237">
        <v>1.004</v>
      </c>
      <c r="D53" s="237">
        <v>1.0049999999999999</v>
      </c>
      <c r="E53" s="237">
        <v>1.004</v>
      </c>
      <c r="F53" s="237">
        <v>1.004</v>
      </c>
      <c r="G53" s="236">
        <v>829</v>
      </c>
    </row>
    <row r="54" spans="1:7" ht="22.5" customHeight="1">
      <c r="A54" s="235" t="s">
        <v>1423</v>
      </c>
      <c r="B54" s="237">
        <v>1.0109999999999999</v>
      </c>
      <c r="C54" s="237">
        <v>1.004</v>
      </c>
      <c r="D54" s="237">
        <v>1.008</v>
      </c>
      <c r="E54" s="237">
        <v>1.0069999999999999</v>
      </c>
      <c r="F54" s="237">
        <v>1.008</v>
      </c>
      <c r="G54" s="236">
        <v>837</v>
      </c>
    </row>
    <row r="55" spans="1:7" ht="22.5" customHeight="1">
      <c r="A55" s="235" t="s">
        <v>1424</v>
      </c>
      <c r="B55" s="237">
        <v>1.0069999999999999</v>
      </c>
      <c r="C55" s="237">
        <v>1.006</v>
      </c>
      <c r="D55" s="237">
        <v>1.0069999999999999</v>
      </c>
      <c r="E55" s="237">
        <v>1.006</v>
      </c>
      <c r="F55" s="237">
        <v>1.0069999999999999</v>
      </c>
      <c r="G55" s="236">
        <v>838</v>
      </c>
    </row>
    <row r="56" spans="1:7" ht="22.5" customHeight="1">
      <c r="A56" s="235" t="s">
        <v>1425</v>
      </c>
      <c r="B56" s="237">
        <v>1.006</v>
      </c>
      <c r="C56" s="237">
        <v>1.006</v>
      </c>
      <c r="D56" s="237">
        <v>1.006</v>
      </c>
      <c r="E56" s="237">
        <v>1.0049999999999999</v>
      </c>
      <c r="F56" s="237">
        <v>1.006</v>
      </c>
      <c r="G56" s="236">
        <v>839</v>
      </c>
    </row>
    <row r="57" spans="1:7" ht="22.5" customHeight="1">
      <c r="A57" s="235" t="s">
        <v>1426</v>
      </c>
      <c r="B57" s="237">
        <v>1.0189999999999999</v>
      </c>
      <c r="C57" s="237">
        <v>1.0189999999999999</v>
      </c>
      <c r="D57" s="237">
        <v>1.0169999999999999</v>
      </c>
      <c r="E57" s="237">
        <v>1.0149999999999999</v>
      </c>
      <c r="F57" s="237">
        <v>1.0169999999999999</v>
      </c>
      <c r="G57" s="236">
        <v>840</v>
      </c>
    </row>
    <row r="58" spans="1:7" ht="22.5" customHeight="1">
      <c r="A58" s="235" t="s">
        <v>1427</v>
      </c>
      <c r="B58" s="237">
        <v>1.014</v>
      </c>
      <c r="C58" s="237">
        <v>1.0129999999999999</v>
      </c>
      <c r="D58" s="237">
        <v>1.0129999999999999</v>
      </c>
      <c r="E58" s="237">
        <v>1.0129999999999999</v>
      </c>
      <c r="F58" s="237">
        <v>1.0129999999999999</v>
      </c>
      <c r="G58" s="236">
        <v>841</v>
      </c>
    </row>
    <row r="59" spans="1:7" ht="22.5" customHeight="1">
      <c r="A59" s="235" t="s">
        <v>1428</v>
      </c>
      <c r="B59" s="237">
        <v>1.0089999999999999</v>
      </c>
      <c r="C59" s="237">
        <v>1.0089999999999999</v>
      </c>
      <c r="D59" s="237">
        <v>1.0089999999999999</v>
      </c>
      <c r="E59" s="237">
        <v>1.008</v>
      </c>
      <c r="F59" s="237">
        <v>1.0089999999999999</v>
      </c>
      <c r="G59" s="236">
        <v>842</v>
      </c>
    </row>
    <row r="60" spans="1:7" ht="22.5" customHeight="1">
      <c r="A60" s="235" t="s">
        <v>1429</v>
      </c>
      <c r="B60" s="237">
        <v>1.0049999999999999</v>
      </c>
      <c r="C60" s="237">
        <v>1.0049999999999999</v>
      </c>
      <c r="D60" s="237">
        <v>1.0049999999999999</v>
      </c>
      <c r="E60" s="237">
        <v>1.0049999999999999</v>
      </c>
      <c r="F60" s="237">
        <v>1.0049999999999999</v>
      </c>
      <c r="G60" s="236">
        <v>843</v>
      </c>
    </row>
    <row r="61" spans="1:7" ht="22.5" customHeight="1">
      <c r="A61" s="235" t="s">
        <v>1430</v>
      </c>
      <c r="B61" s="237">
        <v>1.0049999999999999</v>
      </c>
      <c r="C61" s="237">
        <v>1.0049999999999999</v>
      </c>
      <c r="D61" s="237">
        <v>1.0049999999999999</v>
      </c>
      <c r="E61" s="237">
        <v>1.0049999999999999</v>
      </c>
      <c r="F61" s="237">
        <v>1.0049999999999999</v>
      </c>
      <c r="G61" s="236">
        <v>844</v>
      </c>
    </row>
    <row r="62" spans="1:7" ht="22.5" customHeight="1">
      <c r="A62" s="235" t="s">
        <v>1431</v>
      </c>
      <c r="B62" s="237">
        <v>1.008</v>
      </c>
      <c r="C62" s="237">
        <v>1.0089999999999999</v>
      </c>
      <c r="D62" s="237">
        <v>1.008</v>
      </c>
      <c r="E62" s="237">
        <v>1.008</v>
      </c>
      <c r="F62" s="237">
        <v>1.008</v>
      </c>
      <c r="G62" s="236">
        <v>846</v>
      </c>
    </row>
    <row r="63" spans="1:7" ht="22.5" customHeight="1">
      <c r="A63" s="235" t="s">
        <v>1432</v>
      </c>
      <c r="B63" s="237">
        <v>1.01</v>
      </c>
      <c r="C63" s="237">
        <v>1.0089999999999999</v>
      </c>
      <c r="D63" s="237">
        <v>1.008</v>
      </c>
      <c r="E63" s="237">
        <v>1.0069999999999999</v>
      </c>
      <c r="F63" s="237">
        <v>1.0069999999999999</v>
      </c>
      <c r="G63" s="236">
        <v>847</v>
      </c>
    </row>
    <row r="64" spans="1:7" ht="22.5" customHeight="1">
      <c r="A64" s="235" t="s">
        <v>1433</v>
      </c>
      <c r="B64" s="237">
        <v>1.018</v>
      </c>
      <c r="C64" s="237">
        <v>1.018</v>
      </c>
      <c r="D64" s="237">
        <v>1.018</v>
      </c>
      <c r="E64" s="237">
        <v>1.018</v>
      </c>
      <c r="F64" s="237">
        <v>1.018</v>
      </c>
      <c r="G64" s="236">
        <v>848</v>
      </c>
    </row>
    <row r="65" spans="1:7" ht="22.5" customHeight="1">
      <c r="A65" s="235" t="s">
        <v>1434</v>
      </c>
      <c r="B65" s="237">
        <v>1.04</v>
      </c>
      <c r="C65" s="237">
        <v>1.0349999999999999</v>
      </c>
      <c r="D65" s="237">
        <v>1.044</v>
      </c>
      <c r="E65" s="237">
        <v>1.024</v>
      </c>
      <c r="F65" s="237">
        <v>1.0329999999999999</v>
      </c>
      <c r="G65" s="236">
        <v>849</v>
      </c>
    </row>
    <row r="67" spans="1:7" ht="22.5" customHeight="1">
      <c r="A67" s="265" t="s">
        <v>50</v>
      </c>
      <c r="B67" s="301"/>
      <c r="C67" s="301"/>
      <c r="D67" s="301"/>
      <c r="E67" s="301"/>
      <c r="F67" s="301"/>
      <c r="G67" s="266"/>
    </row>
    <row r="68" spans="1:7" ht="22.5" customHeight="1">
      <c r="A68" s="265" t="s">
        <v>11</v>
      </c>
      <c r="B68" s="301"/>
      <c r="C68" s="301"/>
      <c r="D68" s="301"/>
      <c r="E68" s="301"/>
      <c r="F68" s="301"/>
      <c r="G68" s="266"/>
    </row>
    <row r="69" spans="1:7" ht="22.5" customHeight="1">
      <c r="A69" s="22" t="s">
        <v>9</v>
      </c>
      <c r="B69" s="22" t="s">
        <v>4</v>
      </c>
      <c r="C69" s="22" t="s">
        <v>5</v>
      </c>
      <c r="D69" s="22" t="s">
        <v>6</v>
      </c>
      <c r="E69" s="22" t="s">
        <v>7</v>
      </c>
      <c r="F69" s="22" t="s">
        <v>723</v>
      </c>
      <c r="G69" s="22" t="s">
        <v>8</v>
      </c>
    </row>
    <row r="70" spans="1:7" ht="22.5" customHeight="1">
      <c r="A70" s="235" t="s">
        <v>1437</v>
      </c>
      <c r="B70" s="237">
        <v>0.999</v>
      </c>
      <c r="C70" s="237">
        <v>0.999</v>
      </c>
      <c r="D70" s="237">
        <v>0.999</v>
      </c>
      <c r="E70" s="237">
        <v>0.999</v>
      </c>
      <c r="F70" s="237">
        <v>0.999</v>
      </c>
      <c r="G70" s="236">
        <v>701</v>
      </c>
    </row>
    <row r="71" spans="1:7" ht="22.5" customHeight="1">
      <c r="A71" s="235" t="s">
        <v>1438</v>
      </c>
      <c r="B71" s="237">
        <v>1</v>
      </c>
      <c r="C71" s="237">
        <v>0.999</v>
      </c>
      <c r="D71" s="237">
        <v>1</v>
      </c>
      <c r="E71" s="237">
        <v>0.999</v>
      </c>
      <c r="F71" s="237">
        <v>1</v>
      </c>
      <c r="G71" s="236">
        <v>702</v>
      </c>
    </row>
    <row r="72" spans="1:7" ht="22.5" customHeight="1">
      <c r="A72" s="235" t="s">
        <v>1439</v>
      </c>
      <c r="B72" s="237">
        <v>0.98199999999999998</v>
      </c>
      <c r="C72" s="237">
        <v>0.98199999999999998</v>
      </c>
      <c r="D72" s="237">
        <v>0.98199999999999998</v>
      </c>
      <c r="E72" s="237">
        <v>0.98199999999999998</v>
      </c>
      <c r="F72" s="237">
        <v>0.98199999999999998</v>
      </c>
      <c r="G72" s="236">
        <v>703</v>
      </c>
    </row>
    <row r="73" spans="1:7" ht="22.5" customHeight="1">
      <c r="A73" s="235" t="s">
        <v>1440</v>
      </c>
      <c r="B73" s="237">
        <v>0.98099999999999998</v>
      </c>
      <c r="C73" s="237">
        <v>0.98099999999999998</v>
      </c>
      <c r="D73" s="237">
        <v>0.98099999999999998</v>
      </c>
      <c r="E73" s="237">
        <v>0.98099999999999998</v>
      </c>
      <c r="F73" s="237">
        <v>0.98099999999999998</v>
      </c>
      <c r="G73" s="236">
        <v>707</v>
      </c>
    </row>
    <row r="74" spans="1:7" ht="22.5" customHeight="1">
      <c r="A74" s="235" t="s">
        <v>1441</v>
      </c>
      <c r="B74" s="237">
        <v>0.999</v>
      </c>
      <c r="C74" s="237">
        <v>0.998</v>
      </c>
      <c r="D74" s="237">
        <v>0.999</v>
      </c>
      <c r="E74" s="237">
        <v>0.998</v>
      </c>
      <c r="F74" s="237">
        <v>0.998</v>
      </c>
      <c r="G74" s="236">
        <v>711</v>
      </c>
    </row>
    <row r="75" spans="1:7" ht="22.5" customHeight="1">
      <c r="A75" s="235" t="s">
        <v>1442</v>
      </c>
      <c r="B75" s="237">
        <v>0.97899999999999998</v>
      </c>
      <c r="C75" s="237">
        <v>0.97799999999999998</v>
      </c>
      <c r="D75" s="237">
        <v>0.97799999999999998</v>
      </c>
      <c r="E75" s="237">
        <v>0.97899999999999998</v>
      </c>
      <c r="F75" s="237">
        <v>0.97899999999999998</v>
      </c>
      <c r="G75" s="236">
        <v>716</v>
      </c>
    </row>
    <row r="76" spans="1:7" ht="22.5" customHeight="1">
      <c r="A76" s="235" t="s">
        <v>1443</v>
      </c>
      <c r="B76" s="237">
        <v>1</v>
      </c>
      <c r="C76" s="237">
        <v>1</v>
      </c>
      <c r="D76" s="237">
        <v>1</v>
      </c>
      <c r="E76" s="237">
        <v>1</v>
      </c>
      <c r="F76" s="237">
        <v>1</v>
      </c>
      <c r="G76" s="236">
        <v>730</v>
      </c>
    </row>
    <row r="77" spans="1:7" ht="22.5" customHeight="1"/>
    <row r="78" spans="1:7" ht="22.5" customHeight="1">
      <c r="A78" s="293" t="s">
        <v>1435</v>
      </c>
      <c r="B78" s="294"/>
      <c r="C78" s="294"/>
      <c r="D78" s="294"/>
      <c r="E78" s="294"/>
      <c r="F78" s="294"/>
      <c r="G78" s="295"/>
    </row>
    <row r="79" spans="1:7" ht="22.5" customHeight="1">
      <c r="A79" s="22" t="s">
        <v>1436</v>
      </c>
      <c r="B79" s="22" t="s">
        <v>9</v>
      </c>
      <c r="C79" s="22" t="s">
        <v>4</v>
      </c>
      <c r="D79" s="22" t="s">
        <v>5</v>
      </c>
      <c r="E79" s="22" t="s">
        <v>6</v>
      </c>
      <c r="F79" s="22" t="s">
        <v>7</v>
      </c>
      <c r="G79" s="22" t="s">
        <v>723</v>
      </c>
    </row>
    <row r="80" spans="1:7" ht="22.5" customHeight="1">
      <c r="A80" s="235">
        <v>1027</v>
      </c>
      <c r="B80" s="237" t="s">
        <v>1444</v>
      </c>
      <c r="C80" s="237">
        <v>1.0049999999999999</v>
      </c>
      <c r="D80" s="237">
        <v>1.0049999999999999</v>
      </c>
      <c r="E80" s="237">
        <v>1.006</v>
      </c>
      <c r="F80" s="237">
        <v>1.0049999999999999</v>
      </c>
      <c r="G80" s="236">
        <v>1.0049999999999999</v>
      </c>
    </row>
    <row r="81" spans="1:7" ht="22.5" customHeight="1">
      <c r="A81" s="235">
        <v>1436</v>
      </c>
      <c r="B81" s="237" t="s">
        <v>1445</v>
      </c>
      <c r="C81" s="237">
        <v>1.0069999999999999</v>
      </c>
      <c r="D81" s="237">
        <v>1.0049999999999999</v>
      </c>
      <c r="E81" s="237">
        <v>1.006</v>
      </c>
      <c r="F81" s="237">
        <v>1.004</v>
      </c>
      <c r="G81" s="236">
        <v>1.0049999999999999</v>
      </c>
    </row>
    <row r="82" spans="1:7" ht="22.5" customHeight="1">
      <c r="A82" s="235">
        <v>1608</v>
      </c>
      <c r="B82" s="237" t="s">
        <v>1446</v>
      </c>
      <c r="C82" s="237">
        <v>1.002</v>
      </c>
      <c r="D82" s="237">
        <v>1.0009999999999999</v>
      </c>
      <c r="E82" s="237">
        <v>1.0009999999999999</v>
      </c>
      <c r="F82" s="237">
        <v>1.0009999999999999</v>
      </c>
      <c r="G82" s="236">
        <v>1.0009999999999999</v>
      </c>
    </row>
    <row r="83" spans="1:7" ht="22.5" customHeight="1">
      <c r="A83" s="235">
        <v>1625</v>
      </c>
      <c r="B83" s="237" t="s">
        <v>1447</v>
      </c>
      <c r="C83" s="237">
        <v>1.008</v>
      </c>
      <c r="D83" s="237">
        <v>1.008</v>
      </c>
      <c r="E83" s="237">
        <v>1.008</v>
      </c>
      <c r="F83" s="237">
        <v>1.008</v>
      </c>
      <c r="G83" s="236">
        <v>1.008</v>
      </c>
    </row>
    <row r="84" spans="1:7" ht="22.5" customHeight="1">
      <c r="A84" s="235">
        <v>5538</v>
      </c>
      <c r="B84" s="237" t="s">
        <v>1448</v>
      </c>
      <c r="C84" s="237">
        <v>1.0609999999999999</v>
      </c>
      <c r="D84" s="237">
        <v>1.0529999999999999</v>
      </c>
      <c r="E84" s="237">
        <v>1.0569999999999999</v>
      </c>
      <c r="F84" s="237">
        <v>1.0429999999999999</v>
      </c>
      <c r="G84" s="236">
        <v>1.0509999999999999</v>
      </c>
    </row>
    <row r="85" spans="1:7" ht="22.5" customHeight="1">
      <c r="A85" s="235">
        <v>7167</v>
      </c>
      <c r="B85" s="237" t="s">
        <v>1449</v>
      </c>
      <c r="C85" s="237">
        <v>1.008</v>
      </c>
      <c r="D85" s="237">
        <v>1.0069999999999999</v>
      </c>
      <c r="E85" s="237">
        <v>1.0069999999999999</v>
      </c>
      <c r="F85" s="237">
        <v>1.006</v>
      </c>
      <c r="G85" s="236">
        <v>1.0069999999999999</v>
      </c>
    </row>
    <row r="86" spans="1:7" ht="22.5" customHeight="1">
      <c r="A86" s="235">
        <v>7198</v>
      </c>
      <c r="B86" s="237" t="s">
        <v>1450</v>
      </c>
      <c r="C86" s="237">
        <v>1.0269999999999999</v>
      </c>
      <c r="D86" s="237">
        <v>1.0269999999999999</v>
      </c>
      <c r="E86" s="237">
        <v>1.0269999999999999</v>
      </c>
      <c r="F86" s="237">
        <v>1.0269999999999999</v>
      </c>
      <c r="G86" s="236">
        <v>1.0269999999999999</v>
      </c>
    </row>
    <row r="87" spans="1:7" ht="22.5" customHeight="1"/>
    <row r="88" spans="1:7" ht="22.5" customHeight="1"/>
    <row r="89" spans="1:7" ht="22.5" customHeight="1"/>
    <row r="90" spans="1:7" ht="22.5" customHeight="1"/>
    <row r="91" spans="1:7" ht="22.5" customHeight="1"/>
    <row r="92" spans="1:7" ht="22.5" customHeight="1"/>
    <row r="93" spans="1:7" ht="22.5" customHeight="1"/>
    <row r="94" spans="1:7" ht="22.5" customHeight="1"/>
    <row r="95" spans="1:7" ht="22.5" customHeight="1"/>
    <row r="96" spans="1:7"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78:G78"/>
    <mergeCell ref="A2:E2"/>
    <mergeCell ref="A4:B5"/>
    <mergeCell ref="A6:B6"/>
    <mergeCell ref="A7:B7"/>
    <mergeCell ref="A8:B8"/>
    <mergeCell ref="A67:G67"/>
    <mergeCell ref="A68:G68"/>
    <mergeCell ref="A3:G3"/>
    <mergeCell ref="C10:G10"/>
    <mergeCell ref="A13:G13"/>
    <mergeCell ref="A14:G14"/>
    <mergeCell ref="A23:G23"/>
    <mergeCell ref="A24:G24"/>
    <mergeCell ref="A9:B9"/>
    <mergeCell ref="A10:B10"/>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0"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7"/>
  <sheetViews>
    <sheetView zoomScale="80" zoomScaleNormal="80" zoomScaleSheetLayoutView="100" workbookViewId="0">
      <selection activeCell="H10" sqref="H10"/>
    </sheetView>
  </sheetViews>
  <sheetFormatPr defaultRowHeight="27.75" customHeight="1"/>
  <cols>
    <col min="1" max="2" width="16" style="2" customWidth="1"/>
    <col min="3" max="3" width="7.140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8" width="15.5703125" style="2" customWidth="1"/>
    <col min="19" max="16384" width="9.140625" style="2"/>
  </cols>
  <sheetData>
    <row r="1" spans="1:18" ht="100.5" customHeight="1">
      <c r="A1" s="15" t="s">
        <v>19</v>
      </c>
      <c r="B1" s="15"/>
      <c r="C1" s="15"/>
      <c r="D1" s="15"/>
      <c r="G1" s="24"/>
      <c r="H1" s="302" t="s">
        <v>136</v>
      </c>
      <c r="I1" s="303"/>
    </row>
    <row r="2" spans="1:18" ht="27.75" customHeight="1">
      <c r="A2" s="273" t="s">
        <v>135</v>
      </c>
      <c r="B2" s="274"/>
      <c r="C2" s="274"/>
      <c r="D2" s="274"/>
      <c r="E2" s="274"/>
      <c r="F2" s="274"/>
      <c r="G2" s="274"/>
      <c r="H2" s="274"/>
      <c r="I2" s="274"/>
      <c r="J2" s="274"/>
      <c r="K2" s="274"/>
      <c r="L2" s="274"/>
      <c r="M2" s="274"/>
      <c r="N2" s="274"/>
      <c r="O2" s="274"/>
      <c r="P2" s="275"/>
    </row>
    <row r="3" spans="1:18" ht="17.25" customHeight="1">
      <c r="A3" s="15"/>
      <c r="B3" s="15"/>
      <c r="C3" s="15"/>
      <c r="D3" s="15"/>
      <c r="G3" s="24"/>
    </row>
    <row r="4" spans="1:18" s="11" customFormat="1" ht="25.5" customHeight="1">
      <c r="A4" s="273" t="str">
        <f>Overview!B4&amp; " - Effective from "&amp;Overview!D4&amp;" - "&amp;Overview!E4&amp;" new designated EHV charges"</f>
        <v>London Power Networks - Effective from 1 April 2022 - Final new designated EHV charges</v>
      </c>
      <c r="B4" s="274"/>
      <c r="C4" s="274"/>
      <c r="D4" s="274"/>
      <c r="E4" s="274"/>
      <c r="F4" s="274"/>
      <c r="G4" s="274"/>
      <c r="H4" s="274"/>
      <c r="I4" s="274"/>
      <c r="J4" s="274"/>
      <c r="K4" s="274"/>
      <c r="L4" s="274"/>
      <c r="M4" s="274"/>
      <c r="N4" s="274"/>
      <c r="O4" s="274"/>
      <c r="P4" s="275"/>
    </row>
    <row r="5" spans="1:18" ht="69.75" customHeight="1">
      <c r="A5" s="28" t="s">
        <v>139</v>
      </c>
      <c r="B5" s="28" t="s">
        <v>52</v>
      </c>
      <c r="C5" s="28" t="s">
        <v>35</v>
      </c>
      <c r="D5" s="28" t="s">
        <v>36</v>
      </c>
      <c r="E5" s="28" t="s">
        <v>53</v>
      </c>
      <c r="F5" s="28" t="s">
        <v>35</v>
      </c>
      <c r="G5" s="28" t="s">
        <v>37</v>
      </c>
      <c r="H5" s="70" t="s">
        <v>30</v>
      </c>
      <c r="I5" s="70" t="str">
        <f>'Annex 2 EHV charges'!H10</f>
        <v>Import
Super Red
unit charge
(p/kWh)</v>
      </c>
      <c r="J5" s="70" t="str">
        <f>'Annex 2 EHV charges'!I10</f>
        <v>Import
fixed charge
(p/day)</v>
      </c>
      <c r="K5" s="70" t="str">
        <f>'Annex 2 EHV charges'!J10</f>
        <v>Import
capacity charge
(p/kVA/day)</v>
      </c>
      <c r="L5" s="70" t="str">
        <f>'Annex 2 EHV charges'!K10</f>
        <v>Import
exceeded capacity charge
(p/kVA/day)</v>
      </c>
      <c r="M5" s="70" t="str">
        <f>'Annex 2 EHV charges'!L10</f>
        <v>Export
Super Red
unit charge
(p/kWh)</v>
      </c>
      <c r="N5" s="70" t="str">
        <f>'Annex 2 EHV charges'!M10</f>
        <v>Export
fixed charge
(p/day)</v>
      </c>
      <c r="O5" s="70" t="str">
        <f>'Annex 2 EHV charges'!N10</f>
        <v>Export
capacity charge
(p/kVA/day)</v>
      </c>
      <c r="P5" s="70" t="str">
        <f>'Annex 2 EHV charges'!O10</f>
        <v>Export
exceeded capacity charge
(p/kVA/day)</v>
      </c>
    </row>
    <row r="6" spans="1:18" ht="22.5" customHeight="1">
      <c r="A6" s="41" t="s">
        <v>1201</v>
      </c>
      <c r="B6" s="41" t="s">
        <v>720</v>
      </c>
      <c r="C6" s="41">
        <v>815</v>
      </c>
      <c r="D6" s="230">
        <v>1200060787109</v>
      </c>
      <c r="E6" s="42" t="s">
        <v>720</v>
      </c>
      <c r="F6" s="42">
        <v>711</v>
      </c>
      <c r="G6" s="231">
        <v>1200060787118</v>
      </c>
      <c r="H6" s="43" t="s">
        <v>720</v>
      </c>
      <c r="I6" s="219">
        <v>0</v>
      </c>
      <c r="J6" s="220">
        <v>331.69</v>
      </c>
      <c r="K6" s="220">
        <v>0.46</v>
      </c>
      <c r="L6" s="220">
        <v>0.46</v>
      </c>
      <c r="M6" s="232">
        <v>0</v>
      </c>
      <c r="N6" s="233">
        <v>628.26</v>
      </c>
      <c r="O6" s="233">
        <v>0.05</v>
      </c>
      <c r="P6" s="233">
        <v>0.05</v>
      </c>
    </row>
    <row r="7" spans="1:18" ht="22.5" customHeight="1">
      <c r="A7" s="41" t="s">
        <v>1201</v>
      </c>
      <c r="B7" s="41" t="s">
        <v>721</v>
      </c>
      <c r="C7" s="41">
        <v>827</v>
      </c>
      <c r="D7" s="230">
        <v>1200010175650</v>
      </c>
      <c r="E7" s="42" t="s">
        <v>721</v>
      </c>
      <c r="F7" s="42">
        <v>730</v>
      </c>
      <c r="G7" s="230">
        <v>1200010258304</v>
      </c>
      <c r="H7" s="43" t="s">
        <v>721</v>
      </c>
      <c r="I7" s="219">
        <v>0</v>
      </c>
      <c r="J7" s="220">
        <v>292.77999999999997</v>
      </c>
      <c r="K7" s="220">
        <v>0.64</v>
      </c>
      <c r="L7" s="220">
        <v>0.64</v>
      </c>
      <c r="M7" s="232">
        <v>0</v>
      </c>
      <c r="N7" s="233">
        <v>3105.2</v>
      </c>
      <c r="O7" s="233">
        <v>0.05</v>
      </c>
      <c r="P7" s="233">
        <v>0.05</v>
      </c>
    </row>
    <row r="8" spans="1:18" ht="30" customHeight="1">
      <c r="A8" s="41" t="s">
        <v>1201</v>
      </c>
      <c r="B8" s="41" t="s">
        <v>1465</v>
      </c>
      <c r="C8" s="41">
        <v>854</v>
      </c>
      <c r="D8" s="230" t="s">
        <v>1466</v>
      </c>
      <c r="E8" s="42"/>
      <c r="F8" s="42"/>
      <c r="G8" s="42"/>
      <c r="H8" s="43" t="s">
        <v>1465</v>
      </c>
      <c r="I8" s="219">
        <v>0.36399999999999999</v>
      </c>
      <c r="J8" s="220">
        <v>6073.31</v>
      </c>
      <c r="K8" s="220">
        <v>2.2999999999999998</v>
      </c>
      <c r="L8" s="220">
        <v>2.2999999999999998</v>
      </c>
      <c r="M8" s="232"/>
      <c r="N8" s="233"/>
      <c r="O8" s="233"/>
      <c r="P8" s="233"/>
    </row>
    <row r="9" spans="1:18" ht="22.5" customHeight="1">
      <c r="A9" s="41"/>
      <c r="B9" s="41"/>
      <c r="C9" s="41"/>
      <c r="D9" s="41"/>
      <c r="E9" s="42"/>
      <c r="F9" s="42"/>
      <c r="G9" s="42"/>
      <c r="H9" s="43"/>
      <c r="I9" s="219"/>
      <c r="J9" s="220"/>
      <c r="K9" s="220"/>
      <c r="L9" s="220"/>
      <c r="M9" s="232"/>
      <c r="N9" s="233"/>
      <c r="O9" s="233"/>
      <c r="P9" s="233"/>
    </row>
    <row r="10" spans="1:18" ht="22.5" customHeight="1">
      <c r="A10" s="41"/>
      <c r="B10" s="41"/>
      <c r="C10" s="41"/>
      <c r="D10" s="41"/>
      <c r="E10" s="42"/>
      <c r="F10" s="42"/>
      <c r="G10" s="42"/>
      <c r="H10" s="43"/>
      <c r="I10" s="219"/>
      <c r="J10" s="220"/>
      <c r="K10" s="220"/>
      <c r="L10" s="220"/>
      <c r="M10" s="232"/>
      <c r="N10" s="233"/>
      <c r="O10" s="233"/>
      <c r="P10" s="233"/>
    </row>
    <row r="11" spans="1:18" ht="22.5" customHeight="1">
      <c r="A11" s="41"/>
      <c r="B11" s="41"/>
      <c r="C11" s="41"/>
      <c r="D11" s="41"/>
      <c r="E11" s="42"/>
      <c r="F11" s="42"/>
      <c r="G11" s="42"/>
      <c r="H11" s="43"/>
      <c r="I11" s="219"/>
      <c r="J11" s="220"/>
      <c r="K11" s="220"/>
      <c r="L11" s="220"/>
      <c r="M11" s="232"/>
      <c r="N11" s="233"/>
      <c r="O11" s="233"/>
      <c r="P11" s="233"/>
    </row>
    <row r="12" spans="1:18" ht="22.5" customHeight="1">
      <c r="A12" s="41"/>
      <c r="B12" s="41"/>
      <c r="C12" s="41"/>
      <c r="D12" s="41"/>
      <c r="E12" s="42"/>
      <c r="F12" s="42"/>
      <c r="G12" s="42"/>
      <c r="H12" s="43"/>
      <c r="I12" s="219"/>
      <c r="J12" s="220"/>
      <c r="K12" s="220"/>
      <c r="L12" s="220"/>
      <c r="M12" s="232"/>
      <c r="N12" s="233"/>
      <c r="O12" s="233"/>
      <c r="P12" s="233"/>
    </row>
    <row r="13" spans="1:18" ht="22.5" customHeight="1">
      <c r="A13" s="41"/>
      <c r="B13" s="41"/>
      <c r="C13" s="41"/>
      <c r="D13" s="41"/>
      <c r="E13" s="42"/>
      <c r="F13" s="42"/>
      <c r="G13" s="42"/>
      <c r="H13" s="43"/>
      <c r="I13" s="219"/>
      <c r="J13" s="220"/>
      <c r="K13" s="220"/>
      <c r="L13" s="220"/>
      <c r="M13" s="232"/>
      <c r="N13" s="233"/>
      <c r="O13" s="233"/>
      <c r="P13" s="233"/>
    </row>
    <row r="14" spans="1:18" ht="22.5" customHeight="1">
      <c r="A14" s="41"/>
      <c r="B14" s="41"/>
      <c r="C14" s="41"/>
      <c r="D14" s="41"/>
      <c r="E14" s="42"/>
      <c r="F14" s="42"/>
      <c r="G14" s="42"/>
      <c r="H14" s="43"/>
      <c r="I14" s="219"/>
      <c r="J14" s="220"/>
      <c r="K14" s="220"/>
      <c r="L14" s="220"/>
      <c r="M14" s="232"/>
      <c r="N14" s="233"/>
      <c r="O14" s="233"/>
      <c r="P14" s="233"/>
    </row>
    <row r="15" spans="1:18" ht="27.75" customHeight="1">
      <c r="Q15" s="239"/>
      <c r="R15" s="239"/>
    </row>
    <row r="16" spans="1:18" ht="27.75" customHeight="1">
      <c r="A16" s="273" t="str">
        <f>Overview!B4&amp; " - Effective from "&amp;Overview!D4&amp;" - "&amp;Overview!E4&amp;" new designated EHV line loss factors"</f>
        <v>London Power Networks - Effective from 1 April 2022 - Final new designated EHV line loss factors</v>
      </c>
      <c r="B16" s="274"/>
      <c r="C16" s="274"/>
      <c r="D16" s="274"/>
      <c r="E16" s="274"/>
      <c r="F16" s="274"/>
      <c r="G16" s="274"/>
      <c r="H16" s="274"/>
      <c r="I16" s="274"/>
      <c r="J16" s="274"/>
      <c r="K16" s="274"/>
      <c r="L16" s="274"/>
      <c r="M16" s="274"/>
      <c r="N16" s="274"/>
      <c r="O16" s="274"/>
      <c r="P16" s="274"/>
      <c r="Q16" s="274"/>
      <c r="R16" s="275"/>
    </row>
    <row r="17" spans="1:18" ht="62.25" customHeight="1">
      <c r="A17" s="28" t="s">
        <v>139</v>
      </c>
      <c r="B17" s="28" t="s">
        <v>52</v>
      </c>
      <c r="C17" s="28" t="s">
        <v>35</v>
      </c>
      <c r="D17" s="28" t="s">
        <v>36</v>
      </c>
      <c r="E17" s="28" t="s">
        <v>53</v>
      </c>
      <c r="F17" s="28" t="s">
        <v>35</v>
      </c>
      <c r="G17" s="28" t="s">
        <v>37</v>
      </c>
      <c r="H17" s="70" t="s">
        <v>30</v>
      </c>
      <c r="I17" s="30" t="s">
        <v>111</v>
      </c>
      <c r="J17" s="30" t="s">
        <v>110</v>
      </c>
      <c r="K17" s="30" t="s">
        <v>112</v>
      </c>
      <c r="L17" s="30" t="s">
        <v>113</v>
      </c>
      <c r="M17" s="30" t="s">
        <v>1454</v>
      </c>
      <c r="N17" s="31" t="s">
        <v>114</v>
      </c>
      <c r="O17" s="31" t="s">
        <v>115</v>
      </c>
      <c r="P17" s="31" t="s">
        <v>116</v>
      </c>
      <c r="Q17" s="238" t="s">
        <v>117</v>
      </c>
      <c r="R17" s="238" t="s">
        <v>1455</v>
      </c>
    </row>
    <row r="18" spans="1:18" ht="22.5" customHeight="1">
      <c r="A18" s="41" t="s">
        <v>1201</v>
      </c>
      <c r="B18" s="41" t="s">
        <v>720</v>
      </c>
      <c r="C18" s="41">
        <v>815</v>
      </c>
      <c r="D18" s="230">
        <v>1200060787109</v>
      </c>
      <c r="E18" s="42" t="s">
        <v>720</v>
      </c>
      <c r="F18" s="42">
        <v>711</v>
      </c>
      <c r="G18" s="231">
        <v>1200060787118</v>
      </c>
      <c r="H18" s="43" t="s">
        <v>720</v>
      </c>
      <c r="I18" s="241">
        <v>1.0029999999999999</v>
      </c>
      <c r="J18" s="241">
        <v>1.0029999999999999</v>
      </c>
      <c r="K18" s="242">
        <v>1.0029999999999999</v>
      </c>
      <c r="L18" s="242">
        <v>1.0029999999999999</v>
      </c>
      <c r="M18" s="242">
        <v>1.0029999999999999</v>
      </c>
      <c r="N18" s="243">
        <v>0.999</v>
      </c>
      <c r="O18" s="243">
        <v>0.998</v>
      </c>
      <c r="P18" s="243">
        <v>0.999</v>
      </c>
      <c r="Q18" s="243">
        <v>0.998</v>
      </c>
      <c r="R18" s="243">
        <v>0.998</v>
      </c>
    </row>
    <row r="19" spans="1:18" ht="22.5" customHeight="1">
      <c r="A19" s="41" t="s">
        <v>1201</v>
      </c>
      <c r="B19" s="41" t="s">
        <v>721</v>
      </c>
      <c r="C19" s="41">
        <v>827</v>
      </c>
      <c r="D19" s="230">
        <v>1200010175650</v>
      </c>
      <c r="E19" s="42" t="s">
        <v>721</v>
      </c>
      <c r="F19" s="42">
        <v>730</v>
      </c>
      <c r="G19" s="230">
        <v>1200010258304</v>
      </c>
      <c r="H19" s="43" t="s">
        <v>721</v>
      </c>
      <c r="I19" s="241">
        <v>1.0249999999999999</v>
      </c>
      <c r="J19" s="241">
        <v>1.0249999999999999</v>
      </c>
      <c r="K19" s="242">
        <v>1.0249999999999999</v>
      </c>
      <c r="L19" s="242">
        <v>1.0249999999999999</v>
      </c>
      <c r="M19" s="242">
        <v>1.0249999999999999</v>
      </c>
      <c r="N19" s="243">
        <v>1</v>
      </c>
      <c r="O19" s="243">
        <v>1</v>
      </c>
      <c r="P19" s="243">
        <v>1</v>
      </c>
      <c r="Q19" s="243">
        <v>1</v>
      </c>
      <c r="R19" s="243">
        <v>1</v>
      </c>
    </row>
    <row r="20" spans="1:18" ht="30" customHeight="1">
      <c r="A20" s="41" t="s">
        <v>1201</v>
      </c>
      <c r="B20" s="41" t="s">
        <v>1465</v>
      </c>
      <c r="C20" s="41">
        <v>854</v>
      </c>
      <c r="D20" s="230" t="s">
        <v>1466</v>
      </c>
      <c r="E20" s="42"/>
      <c r="F20" s="42"/>
      <c r="G20" s="42"/>
      <c r="H20" s="43" t="s">
        <v>1465</v>
      </c>
      <c r="I20" s="241">
        <v>1.022</v>
      </c>
      <c r="J20" s="241">
        <v>1.02</v>
      </c>
      <c r="K20" s="242">
        <v>1.0209999999999999</v>
      </c>
      <c r="L20" s="242">
        <v>1.018</v>
      </c>
      <c r="M20" s="242">
        <v>1.02</v>
      </c>
      <c r="N20" s="243"/>
      <c r="O20" s="243"/>
      <c r="P20" s="243"/>
      <c r="Q20" s="243"/>
      <c r="R20" s="243"/>
    </row>
    <row r="21" spans="1:18" ht="22.5" customHeight="1">
      <c r="A21" s="41"/>
      <c r="B21" s="41"/>
      <c r="C21" s="41"/>
      <c r="D21" s="41"/>
      <c r="E21" s="42"/>
      <c r="F21" s="32"/>
      <c r="G21" s="32"/>
      <c r="H21" s="33"/>
      <c r="I21" s="241"/>
      <c r="J21" s="241"/>
      <c r="K21" s="242"/>
      <c r="L21" s="242"/>
      <c r="M21" s="242"/>
      <c r="N21" s="243"/>
      <c r="O21" s="243"/>
      <c r="P21" s="243"/>
      <c r="Q21" s="243"/>
      <c r="R21" s="243"/>
    </row>
    <row r="22" spans="1:18" ht="22.5" customHeight="1">
      <c r="A22" s="41"/>
      <c r="B22" s="41"/>
      <c r="C22" s="41"/>
      <c r="D22" s="41"/>
      <c r="E22" s="42"/>
      <c r="F22" s="32"/>
      <c r="G22" s="32"/>
      <c r="H22" s="33"/>
      <c r="I22" s="241"/>
      <c r="J22" s="241"/>
      <c r="K22" s="242"/>
      <c r="L22" s="242"/>
      <c r="M22" s="242"/>
      <c r="N22" s="243"/>
      <c r="O22" s="243"/>
      <c r="P22" s="243"/>
      <c r="Q22" s="243"/>
      <c r="R22" s="243"/>
    </row>
    <row r="23" spans="1:18" ht="22.5" customHeight="1">
      <c r="A23" s="41"/>
      <c r="B23" s="41"/>
      <c r="C23" s="41"/>
      <c r="D23" s="41"/>
      <c r="E23" s="42"/>
      <c r="F23" s="32"/>
      <c r="G23" s="32"/>
      <c r="H23" s="33"/>
      <c r="I23" s="241"/>
      <c r="J23" s="241"/>
      <c r="K23" s="242"/>
      <c r="L23" s="242"/>
      <c r="M23" s="242"/>
      <c r="N23" s="243"/>
      <c r="O23" s="243"/>
      <c r="P23" s="243"/>
      <c r="Q23" s="243"/>
      <c r="R23" s="243"/>
    </row>
    <row r="24" spans="1:18" ht="22.5" customHeight="1">
      <c r="A24" s="41"/>
      <c r="B24" s="41"/>
      <c r="C24" s="41"/>
      <c r="D24" s="41"/>
      <c r="E24" s="42"/>
      <c r="F24" s="32"/>
      <c r="G24" s="32"/>
      <c r="H24" s="33"/>
      <c r="I24" s="241"/>
      <c r="J24" s="241"/>
      <c r="K24" s="242"/>
      <c r="L24" s="242"/>
      <c r="M24" s="242"/>
      <c r="N24" s="243"/>
      <c r="O24" s="243"/>
      <c r="P24" s="243"/>
      <c r="Q24" s="243"/>
      <c r="R24" s="243"/>
    </row>
    <row r="25" spans="1:18" ht="22.5" customHeight="1">
      <c r="A25" s="41"/>
      <c r="B25" s="41"/>
      <c r="C25" s="41"/>
      <c r="D25" s="41"/>
      <c r="E25" s="42"/>
      <c r="F25" s="32"/>
      <c r="G25" s="32"/>
      <c r="H25" s="33"/>
      <c r="I25" s="241"/>
      <c r="J25" s="241"/>
      <c r="K25" s="242"/>
      <c r="L25" s="242"/>
      <c r="M25" s="242"/>
      <c r="N25" s="243"/>
      <c r="O25" s="243"/>
      <c r="P25" s="243"/>
      <c r="Q25" s="243"/>
      <c r="R25" s="243"/>
    </row>
    <row r="26" spans="1:18" ht="22.5" customHeight="1">
      <c r="A26" s="41"/>
      <c r="B26" s="41"/>
      <c r="C26" s="41"/>
      <c r="D26" s="41"/>
      <c r="E26" s="42"/>
      <c r="F26" s="32"/>
      <c r="G26" s="32"/>
      <c r="H26" s="33"/>
      <c r="I26" s="241"/>
      <c r="J26" s="241"/>
      <c r="K26" s="242"/>
      <c r="L26" s="242"/>
      <c r="M26" s="242"/>
      <c r="N26" s="243"/>
      <c r="O26" s="243"/>
      <c r="P26" s="243"/>
      <c r="Q26" s="243"/>
      <c r="R26" s="243"/>
    </row>
    <row r="27" spans="1:18" ht="22.5" customHeight="1">
      <c r="A27" s="41"/>
      <c r="B27" s="41"/>
      <c r="C27" s="41"/>
      <c r="D27" s="41"/>
      <c r="E27" s="42"/>
      <c r="F27" s="32"/>
      <c r="G27" s="32"/>
      <c r="H27" s="33"/>
      <c r="I27" s="241"/>
      <c r="J27" s="241"/>
      <c r="K27" s="242"/>
      <c r="L27" s="242"/>
      <c r="M27" s="242"/>
      <c r="N27" s="243"/>
      <c r="O27" s="243"/>
      <c r="P27" s="243"/>
      <c r="Q27" s="243"/>
      <c r="R27" s="243"/>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5">
    <mergeCell ref="A4:P4"/>
    <mergeCell ref="A2:P2"/>
    <mergeCell ref="A16:P16"/>
    <mergeCell ref="H1:I1"/>
    <mergeCell ref="Q16:R16"/>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9"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65"/>
  <sheetViews>
    <sheetView zoomScale="80" zoomScaleNormal="80" zoomScaleSheetLayoutView="100" workbookViewId="0"/>
  </sheetViews>
  <sheetFormatPr defaultRowHeight="27.75" customHeight="1"/>
  <cols>
    <col min="1" max="1" width="49" style="2" bestFit="1" customWidth="1"/>
    <col min="2" max="2" width="17.5703125" style="3" customWidth="1"/>
    <col min="3" max="3" width="6.85546875" style="2" customWidth="1"/>
    <col min="4" max="6" width="17.5703125" style="3" customWidth="1"/>
    <col min="7" max="16384" width="9.140625" style="2"/>
  </cols>
  <sheetData>
    <row r="1" spans="1:9" ht="27.75" customHeight="1">
      <c r="A1" s="15" t="s">
        <v>19</v>
      </c>
      <c r="B1" s="304"/>
      <c r="C1" s="304"/>
      <c r="D1" s="183"/>
      <c r="E1" s="183"/>
      <c r="F1" s="183"/>
    </row>
    <row r="2" spans="1:9" ht="35.1" customHeight="1">
      <c r="A2" s="273" t="str">
        <f>Overview!B4&amp; " - Effective from "&amp;Overview!D4&amp;" - "&amp;Overview!E4&amp;" Supplier of Last Resort and Eligible Bad Debt Pass-Through Costs"</f>
        <v>London Power Networks - Effective from 1 April 2022 - Final Supplier of Last Resort and Eligible Bad Debt Pass-Through Costs</v>
      </c>
      <c r="B2" s="274"/>
      <c r="C2" s="274"/>
      <c r="D2" s="274"/>
      <c r="E2" s="274"/>
      <c r="F2" s="275"/>
    </row>
    <row r="3" spans="1:9" s="81" customFormat="1" ht="21" customHeight="1">
      <c r="A3" s="184"/>
      <c r="B3" s="184"/>
      <c r="C3" s="184"/>
      <c r="D3" s="184"/>
      <c r="E3" s="184"/>
      <c r="F3" s="184"/>
    </row>
    <row r="4" spans="1:9" ht="78.75" customHeight="1">
      <c r="A4" s="28" t="s">
        <v>127</v>
      </c>
      <c r="B4" s="194" t="s">
        <v>420</v>
      </c>
      <c r="C4" s="194" t="s">
        <v>24</v>
      </c>
      <c r="D4" s="194" t="s">
        <v>471</v>
      </c>
      <c r="E4" s="194" t="s">
        <v>472</v>
      </c>
      <c r="F4" s="194" t="s">
        <v>473</v>
      </c>
    </row>
    <row r="5" spans="1:9" ht="32.25" customHeight="1">
      <c r="A5" s="18" t="s">
        <v>476</v>
      </c>
      <c r="B5" s="172" t="str">
        <f>IFERROR(INDEX('Annex 1 LV, HV and UMS charges'!$B$12:$B$44,MATCH($A5,'Annex 1 LV, HV and UMS charges'!$A$12:$A$44,0)),IF(INDEX('Annex 4 LDNO charges'!$B$11:$B$202,MATCH($A5,'Annex 4 LDNO charges'!$A$11:$A$202,0))=0,"",INDEX('Annex 4 LDNO charges'!$B$11:$B$202,MATCH($A5,'Annex 4 LDNO charges'!$A$11:$A$202,0))))</f>
        <v>1</v>
      </c>
      <c r="C5" s="207" t="str">
        <f>IFERROR(INDEX('Annex 1 LV, HV and UMS charges'!$C$13:$C$44,MATCH($A5,'Annex 1 LV, HV and UMS charges'!$A$13:$A$44,0)),INDEX('Annex 4 LDNO charges'!$C$13:$C$202,MATCH($A5,'Annex 4 LDNO charges'!$A$13:$A$202,0)))</f>
        <v>0, 1, 2</v>
      </c>
      <c r="D5" s="195">
        <v>5.8592759584029715E-2</v>
      </c>
      <c r="E5" s="195">
        <v>9.6543477519751999</v>
      </c>
      <c r="F5" s="195">
        <v>5.2226762235052702E-2</v>
      </c>
      <c r="G5" s="240"/>
      <c r="I5" s="240"/>
    </row>
    <row r="6" spans="1:9" ht="27" customHeight="1">
      <c r="A6" s="18" t="s">
        <v>478</v>
      </c>
      <c r="B6" s="172">
        <f>IFERROR(INDEX('Annex 1 LV, HV and UMS charges'!$B$12:$B$44,MATCH($A6,'Annex 1 LV, HV and UMS charges'!$A$12:$A$44,0)),IF(INDEX('Annex 4 LDNO charges'!$B$11:$B$202,MATCH($A6,'Annex 4 LDNO charges'!$A$11:$A$202,0))=0,"",INDEX('Annex 4 LDNO charges'!$B$11:$B$202,MATCH($A6,'Annex 4 LDNO charges'!$A$11:$A$202,0))))</f>
        <v>199</v>
      </c>
      <c r="C6" s="207" t="str">
        <f>IFERROR(INDEX('Annex 1 LV, HV and UMS charges'!$C$13:$C$44,MATCH($A6,'Annex 1 LV, HV and UMS charges'!$A$13:$A$44,0)),INDEX('Annex 4 LDNO charges'!$C$13:$C$202,MATCH($A6,'Annex 4 LDNO charges'!$A$13:$A$202,0)))</f>
        <v>0, 3, 4, 5-8</v>
      </c>
      <c r="D6" s="196"/>
      <c r="E6" s="196"/>
      <c r="F6" s="195">
        <v>5.2226762235052702E-2</v>
      </c>
    </row>
    <row r="7" spans="1:9" ht="27" customHeight="1">
      <c r="A7" s="18" t="s">
        <v>479</v>
      </c>
      <c r="B7" s="172">
        <f>IFERROR(INDEX('Annex 1 LV, HV and UMS charges'!$B$12:$B$44,MATCH($A7,'Annex 1 LV, HV and UMS charges'!$A$12:$A$44,0)),IF(INDEX('Annex 4 LDNO charges'!$B$11:$B$202,MATCH($A7,'Annex 4 LDNO charges'!$A$11:$A$202,0))=0,"",INDEX('Annex 4 LDNO charges'!$B$11:$B$202,MATCH($A7,'Annex 4 LDNO charges'!$A$11:$A$202,0))))</f>
        <v>201</v>
      </c>
      <c r="C7" s="207" t="str">
        <f>IFERROR(INDEX('Annex 1 LV, HV and UMS charges'!$C$13:$C$44,MATCH($A7,'Annex 1 LV, HV and UMS charges'!$A$13:$A$44,0)),INDEX('Annex 4 LDNO charges'!$C$13:$C$202,MATCH($A7,'Annex 4 LDNO charges'!$A$13:$A$202,0)))</f>
        <v>0, 3, 4, 5-8</v>
      </c>
      <c r="D7" s="196"/>
      <c r="E7" s="196"/>
      <c r="F7" s="195">
        <v>5.2226762235052702E-2</v>
      </c>
    </row>
    <row r="8" spans="1:9" ht="27" customHeight="1">
      <c r="A8" s="18" t="s">
        <v>480</v>
      </c>
      <c r="B8" s="172">
        <f>IFERROR(INDEX('Annex 1 LV, HV and UMS charges'!$B$12:$B$44,MATCH($A8,'Annex 1 LV, HV and UMS charges'!$A$12:$A$44,0)),IF(INDEX('Annex 4 LDNO charges'!$B$11:$B$202,MATCH($A8,'Annex 4 LDNO charges'!$A$11:$A$202,0))=0,"",INDEX('Annex 4 LDNO charges'!$B$11:$B$202,MATCH($A8,'Annex 4 LDNO charges'!$A$11:$A$202,0))))</f>
        <v>202</v>
      </c>
      <c r="C8" s="207" t="str">
        <f>IFERROR(INDEX('Annex 1 LV, HV and UMS charges'!$C$13:$C$44,MATCH($A8,'Annex 1 LV, HV and UMS charges'!$A$13:$A$44,0)),INDEX('Annex 4 LDNO charges'!$C$13:$C$202,MATCH($A8,'Annex 4 LDNO charges'!$A$13:$A$202,0)))</f>
        <v>0, 3, 4, 5-8</v>
      </c>
      <c r="D8" s="196"/>
      <c r="E8" s="196"/>
      <c r="F8" s="195">
        <v>5.2226762235052702E-2</v>
      </c>
    </row>
    <row r="9" spans="1:9" ht="27" customHeight="1">
      <c r="A9" s="18" t="s">
        <v>481</v>
      </c>
      <c r="B9" s="172">
        <f>IFERROR(INDEX('Annex 1 LV, HV and UMS charges'!$B$12:$B$44,MATCH($A9,'Annex 1 LV, HV and UMS charges'!$A$12:$A$44,0)),IF(INDEX('Annex 4 LDNO charges'!$B$11:$B$202,MATCH($A9,'Annex 4 LDNO charges'!$A$11:$A$202,0))=0,"",INDEX('Annex 4 LDNO charges'!$B$11:$B$202,MATCH($A9,'Annex 4 LDNO charges'!$A$11:$A$202,0))))</f>
        <v>203</v>
      </c>
      <c r="C9" s="207" t="str">
        <f>IFERROR(INDEX('Annex 1 LV, HV and UMS charges'!$C$13:$C$44,MATCH($A9,'Annex 1 LV, HV and UMS charges'!$A$13:$A$44,0)),INDEX('Annex 4 LDNO charges'!$C$13:$C$202,MATCH($A9,'Annex 4 LDNO charges'!$A$13:$A$202,0)))</f>
        <v>0, 3, 4, 5-8</v>
      </c>
      <c r="D9" s="196"/>
      <c r="E9" s="196"/>
      <c r="F9" s="195">
        <v>5.2226762235052702E-2</v>
      </c>
    </row>
    <row r="10" spans="1:9" ht="27" customHeight="1">
      <c r="A10" s="18" t="s">
        <v>482</v>
      </c>
      <c r="B10" s="172">
        <f>IFERROR(INDEX('Annex 1 LV, HV and UMS charges'!$B$12:$B$44,MATCH($A10,'Annex 1 LV, HV and UMS charges'!$A$12:$A$44,0)),IF(INDEX('Annex 4 LDNO charges'!$B$11:$B$202,MATCH($A10,'Annex 4 LDNO charges'!$A$11:$A$202,0))=0,"",INDEX('Annex 4 LDNO charges'!$B$11:$B$202,MATCH($A10,'Annex 4 LDNO charges'!$A$11:$A$202,0))))</f>
        <v>204</v>
      </c>
      <c r="C10" s="207" t="str">
        <f>IFERROR(INDEX('Annex 1 LV, HV and UMS charges'!$C$13:$C$44,MATCH($A10,'Annex 1 LV, HV and UMS charges'!$A$13:$A$44,0)),INDEX('Annex 4 LDNO charges'!$C$13:$C$202,MATCH($A10,'Annex 4 LDNO charges'!$A$13:$A$202,0)))</f>
        <v>0, 3, 4, 5-8</v>
      </c>
      <c r="D10" s="196"/>
      <c r="E10" s="196"/>
      <c r="F10" s="195">
        <v>5.2226762235052702E-2</v>
      </c>
    </row>
    <row r="11" spans="1:9" ht="27" customHeight="1">
      <c r="A11" s="174" t="s">
        <v>483</v>
      </c>
      <c r="B11" s="172">
        <f>IFERROR(INDEX('Annex 1 LV, HV and UMS charges'!$B$12:$B$44,MATCH($A11,'Annex 1 LV, HV and UMS charges'!$A$12:$A$44,0)),IF(INDEX('Annex 4 LDNO charges'!$B$11:$B$202,MATCH($A11,'Annex 4 LDNO charges'!$A$11:$A$202,0))=0,"",INDEX('Annex 4 LDNO charges'!$B$11:$B$202,MATCH($A11,'Annex 4 LDNO charges'!$A$11:$A$202,0))))</f>
        <v>70</v>
      </c>
      <c r="C11" s="207">
        <f>IFERROR(INDEX('Annex 1 LV, HV and UMS charges'!$C$13:$C$44,MATCH($A11,'Annex 1 LV, HV and UMS charges'!$A$13:$A$44,0)),INDEX('Annex 4 LDNO charges'!$C$13:$C$202,MATCH($A11,'Annex 4 LDNO charges'!$A$13:$A$202,0)))</f>
        <v>0</v>
      </c>
      <c r="D11" s="196"/>
      <c r="E11" s="196"/>
      <c r="F11" s="195">
        <v>5.2226762235052702E-2</v>
      </c>
    </row>
    <row r="12" spans="1:9" ht="27" customHeight="1">
      <c r="A12" s="174" t="s">
        <v>484</v>
      </c>
      <c r="B12" s="172">
        <f>IFERROR(INDEX('Annex 1 LV, HV and UMS charges'!$B$12:$B$44,MATCH($A12,'Annex 1 LV, HV and UMS charges'!$A$12:$A$44,0)),IF(INDEX('Annex 4 LDNO charges'!$B$11:$B$202,MATCH($A12,'Annex 4 LDNO charges'!$A$11:$A$202,0))=0,"",INDEX('Annex 4 LDNO charges'!$B$11:$B$202,MATCH($A12,'Annex 4 LDNO charges'!$A$11:$A$202,0))))</f>
        <v>71</v>
      </c>
      <c r="C12" s="207">
        <f>IFERROR(INDEX('Annex 1 LV, HV and UMS charges'!$C$13:$C$44,MATCH($A12,'Annex 1 LV, HV and UMS charges'!$A$13:$A$44,0)),INDEX('Annex 4 LDNO charges'!$C$13:$C$202,MATCH($A12,'Annex 4 LDNO charges'!$A$13:$A$202,0)))</f>
        <v>0</v>
      </c>
      <c r="D12" s="196"/>
      <c r="E12" s="196"/>
      <c r="F12" s="195">
        <v>5.2226762235052702E-2</v>
      </c>
    </row>
    <row r="13" spans="1:9" ht="27" customHeight="1">
      <c r="A13" s="174" t="s">
        <v>485</v>
      </c>
      <c r="B13" s="172">
        <f>IFERROR(INDEX('Annex 1 LV, HV and UMS charges'!$B$12:$B$44,MATCH($A13,'Annex 1 LV, HV and UMS charges'!$A$12:$A$44,0)),IF(INDEX('Annex 4 LDNO charges'!$B$11:$B$202,MATCH($A13,'Annex 4 LDNO charges'!$A$11:$A$202,0))=0,"",INDEX('Annex 4 LDNO charges'!$B$11:$B$202,MATCH($A13,'Annex 4 LDNO charges'!$A$11:$A$202,0))))</f>
        <v>72</v>
      </c>
      <c r="C13" s="207">
        <f>IFERROR(INDEX('Annex 1 LV, HV and UMS charges'!$C$13:$C$44,MATCH($A13,'Annex 1 LV, HV and UMS charges'!$A$13:$A$44,0)),INDEX('Annex 4 LDNO charges'!$C$13:$C$202,MATCH($A13,'Annex 4 LDNO charges'!$A$13:$A$202,0)))</f>
        <v>0</v>
      </c>
      <c r="D13" s="196"/>
      <c r="E13" s="196"/>
      <c r="F13" s="195">
        <v>5.2226762235052702E-2</v>
      </c>
    </row>
    <row r="14" spans="1:9" ht="27.75" customHeight="1">
      <c r="A14" s="174" t="s">
        <v>486</v>
      </c>
      <c r="B14" s="172">
        <f>IFERROR(INDEX('Annex 1 LV, HV and UMS charges'!$B$12:$B$44,MATCH($A14,'Annex 1 LV, HV and UMS charges'!$A$12:$A$44,0)),IF(INDEX('Annex 4 LDNO charges'!$B$11:$B$202,MATCH($A14,'Annex 4 LDNO charges'!$A$11:$A$202,0))=0,"",INDEX('Annex 4 LDNO charges'!$B$11:$B$202,MATCH($A14,'Annex 4 LDNO charges'!$A$11:$A$202,0))))</f>
        <v>73</v>
      </c>
      <c r="C14" s="207">
        <f>IFERROR(INDEX('Annex 1 LV, HV and UMS charges'!$C$13:$C$44,MATCH($A14,'Annex 1 LV, HV and UMS charges'!$A$13:$A$44,0)),INDEX('Annex 4 LDNO charges'!$C$13:$C$202,MATCH($A14,'Annex 4 LDNO charges'!$A$13:$A$202,0)))</f>
        <v>0</v>
      </c>
      <c r="D14" s="196"/>
      <c r="E14" s="196"/>
      <c r="F14" s="195">
        <v>5.2226762235052702E-2</v>
      </c>
    </row>
    <row r="15" spans="1:9" ht="27.75" customHeight="1">
      <c r="A15" s="177" t="s">
        <v>487</v>
      </c>
      <c r="B15" s="172">
        <f>IFERROR(INDEX('Annex 1 LV, HV and UMS charges'!$B$12:$B$44,MATCH($A15,'Annex 1 LV, HV and UMS charges'!$A$12:$A$44,0)),IF(INDEX('Annex 4 LDNO charges'!$B$11:$B$202,MATCH($A15,'Annex 4 LDNO charges'!$A$11:$A$202,0))=0,"",INDEX('Annex 4 LDNO charges'!$B$11:$B$202,MATCH($A15,'Annex 4 LDNO charges'!$A$11:$A$202,0))))</f>
        <v>74</v>
      </c>
      <c r="C15" s="207">
        <f>IFERROR(INDEX('Annex 1 LV, HV and UMS charges'!$C$13:$C$44,MATCH($A15,'Annex 1 LV, HV and UMS charges'!$A$13:$A$44,0)),INDEX('Annex 4 LDNO charges'!$C$13:$C$202,MATCH($A15,'Annex 4 LDNO charges'!$A$13:$A$202,0)))</f>
        <v>0</v>
      </c>
      <c r="D15" s="196"/>
      <c r="E15" s="196"/>
      <c r="F15" s="195">
        <v>5.2226762235052702E-2</v>
      </c>
    </row>
    <row r="16" spans="1:9" ht="27.75" customHeight="1">
      <c r="A16" s="177" t="s">
        <v>488</v>
      </c>
      <c r="B16" s="172">
        <f>IFERROR(INDEX('Annex 1 LV, HV and UMS charges'!$B$12:$B$44,MATCH($A16,'Annex 1 LV, HV and UMS charges'!$A$12:$A$44,0)),IF(INDEX('Annex 4 LDNO charges'!$B$11:$B$202,MATCH($A16,'Annex 4 LDNO charges'!$A$11:$A$202,0))=0,"",INDEX('Annex 4 LDNO charges'!$B$11:$B$202,MATCH($A16,'Annex 4 LDNO charges'!$A$11:$A$202,0))))</f>
        <v>80</v>
      </c>
      <c r="C16" s="207">
        <f>IFERROR(INDEX('Annex 1 LV, HV and UMS charges'!$C$13:$C$44,MATCH($A16,'Annex 1 LV, HV and UMS charges'!$A$13:$A$44,0)),INDEX('Annex 4 LDNO charges'!$C$13:$C$202,MATCH($A16,'Annex 4 LDNO charges'!$A$13:$A$202,0)))</f>
        <v>0</v>
      </c>
      <c r="D16" s="196"/>
      <c r="E16" s="196"/>
      <c r="F16" s="195">
        <v>5.2226762235052702E-2</v>
      </c>
    </row>
    <row r="17" spans="1:6" ht="27.75" customHeight="1">
      <c r="A17" s="177" t="s">
        <v>489</v>
      </c>
      <c r="B17" s="172">
        <f>IFERROR(INDEX('Annex 1 LV, HV and UMS charges'!$B$12:$B$44,MATCH($A17,'Annex 1 LV, HV and UMS charges'!$A$12:$A$44,0)),IF(INDEX('Annex 4 LDNO charges'!$B$11:$B$202,MATCH($A17,'Annex 4 LDNO charges'!$A$11:$A$202,0))=0,"",INDEX('Annex 4 LDNO charges'!$B$11:$B$202,MATCH($A17,'Annex 4 LDNO charges'!$A$11:$A$202,0))))</f>
        <v>81</v>
      </c>
      <c r="C17" s="207">
        <f>IFERROR(INDEX('Annex 1 LV, HV and UMS charges'!$C$13:$C$44,MATCH($A17,'Annex 1 LV, HV and UMS charges'!$A$13:$A$44,0)),INDEX('Annex 4 LDNO charges'!$C$13:$C$202,MATCH($A17,'Annex 4 LDNO charges'!$A$13:$A$202,0)))</f>
        <v>0</v>
      </c>
      <c r="D17" s="196"/>
      <c r="E17" s="196"/>
      <c r="F17" s="195">
        <v>5.2226762235052702E-2</v>
      </c>
    </row>
    <row r="18" spans="1:6" ht="27.75" customHeight="1">
      <c r="A18" s="177" t="s">
        <v>490</v>
      </c>
      <c r="B18" s="172">
        <f>IFERROR(INDEX('Annex 1 LV, HV and UMS charges'!$B$12:$B$44,MATCH($A18,'Annex 1 LV, HV and UMS charges'!$A$12:$A$44,0)),IF(INDEX('Annex 4 LDNO charges'!$B$11:$B$202,MATCH($A18,'Annex 4 LDNO charges'!$A$11:$A$202,0))=0,"",INDEX('Annex 4 LDNO charges'!$B$11:$B$202,MATCH($A18,'Annex 4 LDNO charges'!$A$11:$A$202,0))))</f>
        <v>82</v>
      </c>
      <c r="C18" s="207">
        <f>IFERROR(INDEX('Annex 1 LV, HV and UMS charges'!$C$13:$C$44,MATCH($A18,'Annex 1 LV, HV and UMS charges'!$A$13:$A$44,0)),INDEX('Annex 4 LDNO charges'!$C$13:$C$202,MATCH($A18,'Annex 4 LDNO charges'!$A$13:$A$202,0)))</f>
        <v>0</v>
      </c>
      <c r="D18" s="196"/>
      <c r="E18" s="196"/>
      <c r="F18" s="195">
        <v>5.2226762235052702E-2</v>
      </c>
    </row>
    <row r="19" spans="1:6" ht="27.75" customHeight="1">
      <c r="A19" s="177" t="s">
        <v>491</v>
      </c>
      <c r="B19" s="172">
        <f>IFERROR(INDEX('Annex 1 LV, HV and UMS charges'!$B$12:$B$44,MATCH($A19,'Annex 1 LV, HV and UMS charges'!$A$12:$A$44,0)),IF(INDEX('Annex 4 LDNO charges'!$B$11:$B$202,MATCH($A19,'Annex 4 LDNO charges'!$A$11:$A$202,0))=0,"",INDEX('Annex 4 LDNO charges'!$B$11:$B$202,MATCH($A19,'Annex 4 LDNO charges'!$A$11:$A$202,0))))</f>
        <v>83</v>
      </c>
      <c r="C19" s="207">
        <f>IFERROR(INDEX('Annex 1 LV, HV and UMS charges'!$C$13:$C$44,MATCH($A19,'Annex 1 LV, HV and UMS charges'!$A$13:$A$44,0)),INDEX('Annex 4 LDNO charges'!$C$13:$C$202,MATCH($A19,'Annex 4 LDNO charges'!$A$13:$A$202,0)))</f>
        <v>0</v>
      </c>
      <c r="D19" s="196"/>
      <c r="E19" s="196"/>
      <c r="F19" s="195">
        <v>5.2226762235052702E-2</v>
      </c>
    </row>
    <row r="20" spans="1:6" ht="27.75" customHeight="1">
      <c r="A20" s="177" t="s">
        <v>492</v>
      </c>
      <c r="B20" s="172">
        <f>IFERROR(INDEX('Annex 1 LV, HV and UMS charges'!$B$12:$B$44,MATCH($A20,'Annex 1 LV, HV and UMS charges'!$A$12:$A$44,0)),IF(INDEX('Annex 4 LDNO charges'!$B$11:$B$202,MATCH($A20,'Annex 4 LDNO charges'!$A$11:$A$202,0))=0,"",INDEX('Annex 4 LDNO charges'!$B$11:$B$202,MATCH($A20,'Annex 4 LDNO charges'!$A$11:$A$202,0))))</f>
        <v>84</v>
      </c>
      <c r="C20" s="207">
        <f>IFERROR(INDEX('Annex 1 LV, HV and UMS charges'!$C$13:$C$44,MATCH($A20,'Annex 1 LV, HV and UMS charges'!$A$13:$A$44,0)),INDEX('Annex 4 LDNO charges'!$C$13:$C$202,MATCH($A20,'Annex 4 LDNO charges'!$A$13:$A$202,0)))</f>
        <v>0</v>
      </c>
      <c r="D20" s="196"/>
      <c r="E20" s="196"/>
      <c r="F20" s="195">
        <v>5.2226762235052702E-2</v>
      </c>
    </row>
    <row r="21" spans="1:6" ht="27.75" customHeight="1">
      <c r="A21" s="177" t="s">
        <v>493</v>
      </c>
      <c r="B21" s="172">
        <f>IFERROR(INDEX('Annex 1 LV, HV and UMS charges'!$B$12:$B$44,MATCH($A21,'Annex 1 LV, HV and UMS charges'!$A$12:$A$44,0)),IF(INDEX('Annex 4 LDNO charges'!$B$11:$B$202,MATCH($A21,'Annex 4 LDNO charges'!$A$11:$A$202,0))=0,"",INDEX('Annex 4 LDNO charges'!$B$11:$B$202,MATCH($A21,'Annex 4 LDNO charges'!$A$11:$A$202,0))))</f>
        <v>90</v>
      </c>
      <c r="C21" s="207">
        <f>IFERROR(INDEX('Annex 1 LV, HV and UMS charges'!$C$13:$C$44,MATCH($A21,'Annex 1 LV, HV and UMS charges'!$A$13:$A$44,0)),INDEX('Annex 4 LDNO charges'!$C$13:$C$202,MATCH($A21,'Annex 4 LDNO charges'!$A$13:$A$202,0)))</f>
        <v>0</v>
      </c>
      <c r="D21" s="196"/>
      <c r="E21" s="196"/>
      <c r="F21" s="195">
        <v>5.2226762235052702E-2</v>
      </c>
    </row>
    <row r="22" spans="1:6" ht="27.75" customHeight="1">
      <c r="A22" s="177" t="s">
        <v>494</v>
      </c>
      <c r="B22" s="172">
        <f>IFERROR(INDEX('Annex 1 LV, HV and UMS charges'!$B$12:$B$44,MATCH($A22,'Annex 1 LV, HV and UMS charges'!$A$12:$A$44,0)),IF(INDEX('Annex 4 LDNO charges'!$B$11:$B$202,MATCH($A22,'Annex 4 LDNO charges'!$A$11:$A$202,0))=0,"",INDEX('Annex 4 LDNO charges'!$B$11:$B$202,MATCH($A22,'Annex 4 LDNO charges'!$A$11:$A$202,0))))</f>
        <v>91</v>
      </c>
      <c r="C22" s="207">
        <f>IFERROR(INDEX('Annex 1 LV, HV and UMS charges'!$C$13:$C$44,MATCH($A22,'Annex 1 LV, HV and UMS charges'!$A$13:$A$44,0)),INDEX('Annex 4 LDNO charges'!$C$13:$C$202,MATCH($A22,'Annex 4 LDNO charges'!$A$13:$A$202,0)))</f>
        <v>0</v>
      </c>
      <c r="D22" s="196"/>
      <c r="E22" s="196"/>
      <c r="F22" s="195">
        <v>5.2226762235052702E-2</v>
      </c>
    </row>
    <row r="23" spans="1:6" ht="27.75" customHeight="1">
      <c r="A23" s="174" t="s">
        <v>495</v>
      </c>
      <c r="B23" s="172">
        <f>IFERROR(INDEX('Annex 1 LV, HV and UMS charges'!$B$12:$B$44,MATCH($A23,'Annex 1 LV, HV and UMS charges'!$A$12:$A$44,0)),IF(INDEX('Annex 4 LDNO charges'!$B$11:$B$202,MATCH($A23,'Annex 4 LDNO charges'!$A$11:$A$202,0))=0,"",INDEX('Annex 4 LDNO charges'!$B$11:$B$202,MATCH($A23,'Annex 4 LDNO charges'!$A$11:$A$202,0))))</f>
        <v>92</v>
      </c>
      <c r="C23" s="207">
        <f>IFERROR(INDEX('Annex 1 LV, HV and UMS charges'!$C$13:$C$44,MATCH($A23,'Annex 1 LV, HV and UMS charges'!$A$13:$A$44,0)),INDEX('Annex 4 LDNO charges'!$C$13:$C$202,MATCH($A23,'Annex 4 LDNO charges'!$A$13:$A$202,0)))</f>
        <v>0</v>
      </c>
      <c r="D23" s="196"/>
      <c r="E23" s="196"/>
      <c r="F23" s="195">
        <v>5.2226762235052702E-2</v>
      </c>
    </row>
    <row r="24" spans="1:6" ht="27.75" customHeight="1">
      <c r="A24" s="174" t="s">
        <v>496</v>
      </c>
      <c r="B24" s="172">
        <f>IFERROR(INDEX('Annex 1 LV, HV and UMS charges'!$B$12:$B$44,MATCH($A24,'Annex 1 LV, HV and UMS charges'!$A$12:$A$44,0)),IF(INDEX('Annex 4 LDNO charges'!$B$11:$B$202,MATCH($A24,'Annex 4 LDNO charges'!$A$11:$A$202,0))=0,"",INDEX('Annex 4 LDNO charges'!$B$11:$B$202,MATCH($A24,'Annex 4 LDNO charges'!$A$11:$A$202,0))))</f>
        <v>93</v>
      </c>
      <c r="C24" s="207">
        <f>IFERROR(INDEX('Annex 1 LV, HV and UMS charges'!$C$13:$C$44,MATCH($A24,'Annex 1 LV, HV and UMS charges'!$A$13:$A$44,0)),INDEX('Annex 4 LDNO charges'!$C$13:$C$202,MATCH($A24,'Annex 4 LDNO charges'!$A$13:$A$202,0)))</f>
        <v>0</v>
      </c>
      <c r="D24" s="196"/>
      <c r="E24" s="196"/>
      <c r="F24" s="195">
        <v>5.2226762235052702E-2</v>
      </c>
    </row>
    <row r="25" spans="1:6" ht="27.75" customHeight="1">
      <c r="A25" s="174" t="s">
        <v>497</v>
      </c>
      <c r="B25" s="172">
        <f>IFERROR(INDEX('Annex 1 LV, HV and UMS charges'!$B$12:$B$44,MATCH($A25,'Annex 1 LV, HV and UMS charges'!$A$12:$A$44,0)),IF(INDEX('Annex 4 LDNO charges'!$B$11:$B$202,MATCH($A25,'Annex 4 LDNO charges'!$A$11:$A$202,0))=0,"",INDEX('Annex 4 LDNO charges'!$B$11:$B$202,MATCH($A25,'Annex 4 LDNO charges'!$A$11:$A$202,0))))</f>
        <v>94</v>
      </c>
      <c r="C25" s="207">
        <f>IFERROR(INDEX('Annex 1 LV, HV and UMS charges'!$C$13:$C$44,MATCH($A25,'Annex 1 LV, HV and UMS charges'!$A$13:$A$44,0)),INDEX('Annex 4 LDNO charges'!$C$13:$C$202,MATCH($A25,'Annex 4 LDNO charges'!$A$13:$A$202,0)))</f>
        <v>0</v>
      </c>
      <c r="D25" s="196"/>
      <c r="E25" s="196"/>
      <c r="F25" s="195">
        <v>5.2226762235052702E-2</v>
      </c>
    </row>
    <row r="26" spans="1:6" ht="27.75" customHeight="1">
      <c r="A26" s="174" t="s">
        <v>498</v>
      </c>
      <c r="B26" s="172" t="str">
        <f>IFERROR(INDEX('Annex 1 LV, HV and UMS charges'!$B$12:$B$44,MATCH($A26,'Annex 1 LV, HV and UMS charges'!$A$12:$A$44,0)),IF(INDEX('Annex 4 LDNO charges'!$B$11:$B$202,MATCH($A26,'Annex 4 LDNO charges'!$A$11:$A$202,0))=0,"",INDEX('Annex 4 LDNO charges'!$B$11:$B$202,MATCH($A26,'Annex 4 LDNO charges'!$A$11:$A$202,0))))</f>
        <v>A00</v>
      </c>
      <c r="C26" s="207" t="str">
        <f>IFERROR(INDEX('Annex 1 LV, HV and UMS charges'!$C$13:$C$44,MATCH($A26,'Annex 1 LV, HV and UMS charges'!$A$13:$A$44,0)),INDEX('Annex 4 LDNO charges'!$C$13:$C$202,MATCH($A26,'Annex 4 LDNO charges'!$A$13:$A$202,0)))</f>
        <v>0, 1, 2</v>
      </c>
      <c r="D26" s="195">
        <v>5.8592759584029715E-2</v>
      </c>
      <c r="E26" s="195">
        <v>9.6543477519751999</v>
      </c>
      <c r="F26" s="195">
        <v>5.2226762235052702E-2</v>
      </c>
    </row>
    <row r="27" spans="1:6" ht="27.75" customHeight="1">
      <c r="A27" s="174" t="s">
        <v>500</v>
      </c>
      <c r="B27" s="172" t="str">
        <f>IFERROR(INDEX('Annex 1 LV, HV and UMS charges'!$B$12:$B$44,MATCH($A27,'Annex 1 LV, HV and UMS charges'!$A$12:$A$44,0)),IF(INDEX('Annex 4 LDNO charges'!$B$11:$B$202,MATCH($A27,'Annex 4 LDNO charges'!$A$11:$A$202,0))=0,"",INDEX('Annex 4 LDNO charges'!$B$11:$B$202,MATCH($A27,'Annex 4 LDNO charges'!$A$11:$A$202,0))))</f>
        <v>C00</v>
      </c>
      <c r="C27" s="207" t="str">
        <f>IFERROR(INDEX('Annex 1 LV, HV and UMS charges'!$C$13:$C$44,MATCH($A27,'Annex 1 LV, HV and UMS charges'!$A$13:$A$44,0)),INDEX('Annex 4 LDNO charges'!$C$13:$C$202,MATCH($A27,'Annex 4 LDNO charges'!$A$13:$A$202,0)))</f>
        <v>0, 3, 4, 5-8</v>
      </c>
      <c r="D27" s="196"/>
      <c r="E27" s="196"/>
      <c r="F27" s="195">
        <v>5.2226762235052702E-2</v>
      </c>
    </row>
    <row r="28" spans="1:6" ht="27.75" customHeight="1">
      <c r="A28" s="174" t="s">
        <v>501</v>
      </c>
      <c r="B28" s="172" t="str">
        <f>IFERROR(INDEX('Annex 1 LV, HV and UMS charges'!$B$12:$B$44,MATCH($A28,'Annex 1 LV, HV and UMS charges'!$A$12:$A$44,0)),IF(INDEX('Annex 4 LDNO charges'!$B$11:$B$202,MATCH($A28,'Annex 4 LDNO charges'!$A$11:$A$202,0))=0,"",INDEX('Annex 4 LDNO charges'!$B$11:$B$202,MATCH($A28,'Annex 4 LDNO charges'!$A$11:$A$202,0))))</f>
        <v>C01</v>
      </c>
      <c r="C28" s="207" t="str">
        <f>IFERROR(INDEX('Annex 1 LV, HV and UMS charges'!$C$13:$C$44,MATCH($A28,'Annex 1 LV, HV and UMS charges'!$A$13:$A$44,0)),INDEX('Annex 4 LDNO charges'!$C$13:$C$202,MATCH($A28,'Annex 4 LDNO charges'!$A$13:$A$202,0)))</f>
        <v>0, 3, 4, 5-8</v>
      </c>
      <c r="D28" s="196"/>
      <c r="E28" s="196"/>
      <c r="F28" s="195">
        <v>5.2226762235052702E-2</v>
      </c>
    </row>
    <row r="29" spans="1:6" ht="27.75" customHeight="1">
      <c r="A29" s="174" t="s">
        <v>502</v>
      </c>
      <c r="B29" s="172" t="str">
        <f>IFERROR(INDEX('Annex 1 LV, HV and UMS charges'!$B$12:$B$44,MATCH($A29,'Annex 1 LV, HV and UMS charges'!$A$12:$A$44,0)),IF(INDEX('Annex 4 LDNO charges'!$B$11:$B$202,MATCH($A29,'Annex 4 LDNO charges'!$A$11:$A$202,0))=0,"",INDEX('Annex 4 LDNO charges'!$B$11:$B$202,MATCH($A29,'Annex 4 LDNO charges'!$A$11:$A$202,0))))</f>
        <v>C02</v>
      </c>
      <c r="C29" s="207" t="str">
        <f>IFERROR(INDEX('Annex 1 LV, HV and UMS charges'!$C$13:$C$44,MATCH($A29,'Annex 1 LV, HV and UMS charges'!$A$13:$A$44,0)),INDEX('Annex 4 LDNO charges'!$C$13:$C$202,MATCH($A29,'Annex 4 LDNO charges'!$A$13:$A$202,0)))</f>
        <v>0, 3, 4, 5-8</v>
      </c>
      <c r="D29" s="196"/>
      <c r="E29" s="196"/>
      <c r="F29" s="195">
        <v>5.2226762235052702E-2</v>
      </c>
    </row>
    <row r="30" spans="1:6" ht="27.75" customHeight="1">
      <c r="A30" s="174" t="s">
        <v>503</v>
      </c>
      <c r="B30" s="172" t="str">
        <f>IFERROR(INDEX('Annex 1 LV, HV and UMS charges'!$B$12:$B$44,MATCH($A30,'Annex 1 LV, HV and UMS charges'!$A$12:$A$44,0)),IF(INDEX('Annex 4 LDNO charges'!$B$11:$B$202,MATCH($A30,'Annex 4 LDNO charges'!$A$11:$A$202,0))=0,"",INDEX('Annex 4 LDNO charges'!$B$11:$B$202,MATCH($A30,'Annex 4 LDNO charges'!$A$11:$A$202,0))))</f>
        <v>C03</v>
      </c>
      <c r="C30" s="207" t="str">
        <f>IFERROR(INDEX('Annex 1 LV, HV and UMS charges'!$C$13:$C$44,MATCH($A30,'Annex 1 LV, HV and UMS charges'!$A$13:$A$44,0)),INDEX('Annex 4 LDNO charges'!$C$13:$C$202,MATCH($A30,'Annex 4 LDNO charges'!$A$13:$A$202,0)))</f>
        <v>0, 3, 4, 5-8</v>
      </c>
      <c r="D30" s="196"/>
      <c r="E30" s="196"/>
      <c r="F30" s="195">
        <v>5.2226762235052702E-2</v>
      </c>
    </row>
    <row r="31" spans="1:6" ht="27.75" customHeight="1">
      <c r="A31" s="174" t="s">
        <v>504</v>
      </c>
      <c r="B31" s="172" t="str">
        <f>IFERROR(INDEX('Annex 1 LV, HV and UMS charges'!$B$12:$B$44,MATCH($A31,'Annex 1 LV, HV and UMS charges'!$A$12:$A$44,0)),IF(INDEX('Annex 4 LDNO charges'!$B$11:$B$202,MATCH($A31,'Annex 4 LDNO charges'!$A$11:$A$202,0))=0,"",INDEX('Annex 4 LDNO charges'!$B$11:$B$202,MATCH($A31,'Annex 4 LDNO charges'!$A$11:$A$202,0))))</f>
        <v>C04</v>
      </c>
      <c r="C31" s="207" t="str">
        <f>IFERROR(INDEX('Annex 1 LV, HV and UMS charges'!$C$13:$C$44,MATCH($A31,'Annex 1 LV, HV and UMS charges'!$A$13:$A$44,0)),INDEX('Annex 4 LDNO charges'!$C$13:$C$202,MATCH($A31,'Annex 4 LDNO charges'!$A$13:$A$202,0)))</f>
        <v>0, 3, 4, 5-8</v>
      </c>
      <c r="D31" s="196"/>
      <c r="E31" s="196"/>
      <c r="F31" s="195">
        <v>5.2226762235052702E-2</v>
      </c>
    </row>
    <row r="32" spans="1:6" ht="27.75" customHeight="1">
      <c r="A32" s="174" t="s">
        <v>505</v>
      </c>
      <c r="B32" s="172" t="str">
        <f>IFERROR(INDEX('Annex 1 LV, HV and UMS charges'!$B$12:$B$44,MATCH($A32,'Annex 1 LV, HV and UMS charges'!$A$12:$A$44,0)),IF(INDEX('Annex 4 LDNO charges'!$B$11:$B$202,MATCH($A32,'Annex 4 LDNO charges'!$A$11:$A$202,0))=0,"",INDEX('Annex 4 LDNO charges'!$B$11:$B$202,MATCH($A32,'Annex 4 LDNO charges'!$A$11:$A$202,0))))</f>
        <v>E00</v>
      </c>
      <c r="C32" s="207">
        <f>IFERROR(INDEX('Annex 1 LV, HV and UMS charges'!$C$13:$C$44,MATCH($A32,'Annex 1 LV, HV and UMS charges'!$A$13:$A$44,0)),INDEX('Annex 4 LDNO charges'!$C$13:$C$202,MATCH($A32,'Annex 4 LDNO charges'!$A$13:$A$202,0)))</f>
        <v>0</v>
      </c>
      <c r="D32" s="196"/>
      <c r="E32" s="196"/>
      <c r="F32" s="195">
        <v>5.2226762235052702E-2</v>
      </c>
    </row>
    <row r="33" spans="1:6" ht="27.75" customHeight="1">
      <c r="A33" s="174" t="s">
        <v>506</v>
      </c>
      <c r="B33" s="172" t="str">
        <f>IFERROR(INDEX('Annex 1 LV, HV and UMS charges'!$B$12:$B$44,MATCH($A33,'Annex 1 LV, HV and UMS charges'!$A$12:$A$44,0)),IF(INDEX('Annex 4 LDNO charges'!$B$11:$B$202,MATCH($A33,'Annex 4 LDNO charges'!$A$11:$A$202,0))=0,"",INDEX('Annex 4 LDNO charges'!$B$11:$B$202,MATCH($A33,'Annex 4 LDNO charges'!$A$11:$A$202,0))))</f>
        <v>E01</v>
      </c>
      <c r="C33" s="207">
        <f>IFERROR(INDEX('Annex 1 LV, HV and UMS charges'!$C$13:$C$44,MATCH($A33,'Annex 1 LV, HV and UMS charges'!$A$13:$A$44,0)),INDEX('Annex 4 LDNO charges'!$C$13:$C$202,MATCH($A33,'Annex 4 LDNO charges'!$A$13:$A$202,0)))</f>
        <v>0</v>
      </c>
      <c r="D33" s="196"/>
      <c r="E33" s="196"/>
      <c r="F33" s="195">
        <v>5.2226762235052702E-2</v>
      </c>
    </row>
    <row r="34" spans="1:6" ht="27.75" customHeight="1">
      <c r="A34" s="174" t="s">
        <v>507</v>
      </c>
      <c r="B34" s="172" t="str">
        <f>IFERROR(INDEX('Annex 1 LV, HV and UMS charges'!$B$12:$B$44,MATCH($A34,'Annex 1 LV, HV and UMS charges'!$A$12:$A$44,0)),IF(INDEX('Annex 4 LDNO charges'!$B$11:$B$202,MATCH($A34,'Annex 4 LDNO charges'!$A$11:$A$202,0))=0,"",INDEX('Annex 4 LDNO charges'!$B$11:$B$202,MATCH($A34,'Annex 4 LDNO charges'!$A$11:$A$202,0))))</f>
        <v>E02</v>
      </c>
      <c r="C34" s="207">
        <f>IFERROR(INDEX('Annex 1 LV, HV and UMS charges'!$C$13:$C$44,MATCH($A34,'Annex 1 LV, HV and UMS charges'!$A$13:$A$44,0)),INDEX('Annex 4 LDNO charges'!$C$13:$C$202,MATCH($A34,'Annex 4 LDNO charges'!$A$13:$A$202,0)))</f>
        <v>0</v>
      </c>
      <c r="D34" s="196"/>
      <c r="E34" s="196"/>
      <c r="F34" s="195">
        <v>5.2226762235052702E-2</v>
      </c>
    </row>
    <row r="35" spans="1:6" ht="27.75" customHeight="1">
      <c r="A35" s="174" t="s">
        <v>508</v>
      </c>
      <c r="B35" s="172" t="str">
        <f>IFERROR(INDEX('Annex 1 LV, HV and UMS charges'!$B$12:$B$44,MATCH($A35,'Annex 1 LV, HV and UMS charges'!$A$12:$A$44,0)),IF(INDEX('Annex 4 LDNO charges'!$B$11:$B$202,MATCH($A35,'Annex 4 LDNO charges'!$A$11:$A$202,0))=0,"",INDEX('Annex 4 LDNO charges'!$B$11:$B$202,MATCH($A35,'Annex 4 LDNO charges'!$A$11:$A$202,0))))</f>
        <v>E03</v>
      </c>
      <c r="C35" s="207">
        <f>IFERROR(INDEX('Annex 1 LV, HV and UMS charges'!$C$13:$C$44,MATCH($A35,'Annex 1 LV, HV and UMS charges'!$A$13:$A$44,0)),INDEX('Annex 4 LDNO charges'!$C$13:$C$202,MATCH($A35,'Annex 4 LDNO charges'!$A$13:$A$202,0)))</f>
        <v>0</v>
      </c>
      <c r="D35" s="196"/>
      <c r="E35" s="196"/>
      <c r="F35" s="195">
        <v>5.2226762235052702E-2</v>
      </c>
    </row>
    <row r="36" spans="1:6" ht="27.75" customHeight="1">
      <c r="A36" s="174" t="s">
        <v>509</v>
      </c>
      <c r="B36" s="172" t="str">
        <f>IFERROR(INDEX('Annex 1 LV, HV and UMS charges'!$B$12:$B$44,MATCH($A36,'Annex 1 LV, HV and UMS charges'!$A$12:$A$44,0)),IF(INDEX('Annex 4 LDNO charges'!$B$11:$B$202,MATCH($A36,'Annex 4 LDNO charges'!$A$11:$A$202,0))=0,"",INDEX('Annex 4 LDNO charges'!$B$11:$B$202,MATCH($A36,'Annex 4 LDNO charges'!$A$11:$A$202,0))))</f>
        <v>E04</v>
      </c>
      <c r="C36" s="207">
        <f>IFERROR(INDEX('Annex 1 LV, HV and UMS charges'!$C$13:$C$44,MATCH($A36,'Annex 1 LV, HV and UMS charges'!$A$13:$A$44,0)),INDEX('Annex 4 LDNO charges'!$C$13:$C$202,MATCH($A36,'Annex 4 LDNO charges'!$A$13:$A$202,0)))</f>
        <v>0</v>
      </c>
      <c r="D36" s="196"/>
      <c r="E36" s="196"/>
      <c r="F36" s="195">
        <v>5.2226762235052702E-2</v>
      </c>
    </row>
    <row r="37" spans="1:6" ht="27.75" customHeight="1">
      <c r="A37" s="177" t="s">
        <v>510</v>
      </c>
      <c r="B37" s="172" t="str">
        <f>IFERROR(INDEX('Annex 1 LV, HV and UMS charges'!$B$12:$B$44,MATCH($A37,'Annex 1 LV, HV and UMS charges'!$A$12:$A$44,0)),IF(INDEX('Annex 4 LDNO charges'!$B$11:$B$202,MATCH($A37,'Annex 4 LDNO charges'!$A$11:$A$202,0))=0,"",INDEX('Annex 4 LDNO charges'!$B$11:$B$202,MATCH($A37,'Annex 4 LDNO charges'!$A$11:$A$202,0))))</f>
        <v>A10</v>
      </c>
      <c r="C37" s="207" t="str">
        <f>IFERROR(INDEX('Annex 1 LV, HV and UMS charges'!$C$13:$C$44,MATCH($A37,'Annex 1 LV, HV and UMS charges'!$A$13:$A$44,0)),INDEX('Annex 4 LDNO charges'!$C$13:$C$202,MATCH($A37,'Annex 4 LDNO charges'!$A$13:$A$202,0)))</f>
        <v>0, 1, 2</v>
      </c>
      <c r="D37" s="195">
        <v>5.8592759584029715E-2</v>
      </c>
      <c r="E37" s="195">
        <v>9.6543477519751999</v>
      </c>
      <c r="F37" s="195">
        <v>5.2226762235052702E-2</v>
      </c>
    </row>
    <row r="38" spans="1:6" ht="27.75" customHeight="1">
      <c r="A38" s="174" t="s">
        <v>512</v>
      </c>
      <c r="B38" s="172" t="str">
        <f>IFERROR(INDEX('Annex 1 LV, HV and UMS charges'!$B$12:$B$44,MATCH($A38,'Annex 1 LV, HV and UMS charges'!$A$12:$A$44,0)),IF(INDEX('Annex 4 LDNO charges'!$B$11:$B$202,MATCH($A38,'Annex 4 LDNO charges'!$A$11:$A$202,0))=0,"",INDEX('Annex 4 LDNO charges'!$B$11:$B$202,MATCH($A38,'Annex 4 LDNO charges'!$A$11:$A$202,0))))</f>
        <v>C10</v>
      </c>
      <c r="C38" s="207" t="str">
        <f>IFERROR(INDEX('Annex 1 LV, HV and UMS charges'!$C$13:$C$44,MATCH($A38,'Annex 1 LV, HV and UMS charges'!$A$13:$A$44,0)),INDEX('Annex 4 LDNO charges'!$C$13:$C$202,MATCH($A38,'Annex 4 LDNO charges'!$A$13:$A$202,0)))</f>
        <v>0, 3, 4, 5-8</v>
      </c>
      <c r="D38" s="196"/>
      <c r="E38" s="196"/>
      <c r="F38" s="195">
        <v>5.2226762235052702E-2</v>
      </c>
    </row>
    <row r="39" spans="1:6" ht="27.75" customHeight="1">
      <c r="A39" s="174" t="s">
        <v>513</v>
      </c>
      <c r="B39" s="172" t="str">
        <f>IFERROR(INDEX('Annex 1 LV, HV and UMS charges'!$B$12:$B$44,MATCH($A39,'Annex 1 LV, HV and UMS charges'!$A$12:$A$44,0)),IF(INDEX('Annex 4 LDNO charges'!$B$11:$B$202,MATCH($A39,'Annex 4 LDNO charges'!$A$11:$A$202,0))=0,"",INDEX('Annex 4 LDNO charges'!$B$11:$B$202,MATCH($A39,'Annex 4 LDNO charges'!$A$11:$A$202,0))))</f>
        <v>C11</v>
      </c>
      <c r="C39" s="207" t="str">
        <f>IFERROR(INDEX('Annex 1 LV, HV and UMS charges'!$C$13:$C$44,MATCH($A39,'Annex 1 LV, HV and UMS charges'!$A$13:$A$44,0)),INDEX('Annex 4 LDNO charges'!$C$13:$C$202,MATCH($A39,'Annex 4 LDNO charges'!$A$13:$A$202,0)))</f>
        <v>0, 3, 4, 5-8</v>
      </c>
      <c r="D39" s="196"/>
      <c r="E39" s="196"/>
      <c r="F39" s="195">
        <v>5.2226762235052702E-2</v>
      </c>
    </row>
    <row r="40" spans="1:6" ht="27.75" customHeight="1">
      <c r="A40" s="174" t="s">
        <v>514</v>
      </c>
      <c r="B40" s="172" t="str">
        <f>IFERROR(INDEX('Annex 1 LV, HV and UMS charges'!$B$12:$B$44,MATCH($A40,'Annex 1 LV, HV and UMS charges'!$A$12:$A$44,0)),IF(INDEX('Annex 4 LDNO charges'!$B$11:$B$202,MATCH($A40,'Annex 4 LDNO charges'!$A$11:$A$202,0))=0,"",INDEX('Annex 4 LDNO charges'!$B$11:$B$202,MATCH($A40,'Annex 4 LDNO charges'!$A$11:$A$202,0))))</f>
        <v>C12</v>
      </c>
      <c r="C40" s="207" t="str">
        <f>IFERROR(INDEX('Annex 1 LV, HV and UMS charges'!$C$13:$C$44,MATCH($A40,'Annex 1 LV, HV and UMS charges'!$A$13:$A$44,0)),INDEX('Annex 4 LDNO charges'!$C$13:$C$202,MATCH($A40,'Annex 4 LDNO charges'!$A$13:$A$202,0)))</f>
        <v>0, 3, 4, 5-8</v>
      </c>
      <c r="D40" s="196"/>
      <c r="E40" s="196"/>
      <c r="F40" s="195">
        <v>5.2226762235052702E-2</v>
      </c>
    </row>
    <row r="41" spans="1:6" ht="27.75" customHeight="1">
      <c r="A41" s="174" t="s">
        <v>515</v>
      </c>
      <c r="B41" s="172" t="str">
        <f>IFERROR(INDEX('Annex 1 LV, HV and UMS charges'!$B$12:$B$44,MATCH($A41,'Annex 1 LV, HV and UMS charges'!$A$12:$A$44,0)),IF(INDEX('Annex 4 LDNO charges'!$B$11:$B$202,MATCH($A41,'Annex 4 LDNO charges'!$A$11:$A$202,0))=0,"",INDEX('Annex 4 LDNO charges'!$B$11:$B$202,MATCH($A41,'Annex 4 LDNO charges'!$A$11:$A$202,0))))</f>
        <v>C13</v>
      </c>
      <c r="C41" s="207" t="str">
        <f>IFERROR(INDEX('Annex 1 LV, HV and UMS charges'!$C$13:$C$44,MATCH($A41,'Annex 1 LV, HV and UMS charges'!$A$13:$A$44,0)),INDEX('Annex 4 LDNO charges'!$C$13:$C$202,MATCH($A41,'Annex 4 LDNO charges'!$A$13:$A$202,0)))</f>
        <v>0, 3, 4, 5-8</v>
      </c>
      <c r="D41" s="196"/>
      <c r="E41" s="196"/>
      <c r="F41" s="195">
        <v>5.2226762235052702E-2</v>
      </c>
    </row>
    <row r="42" spans="1:6" ht="27.75" customHeight="1">
      <c r="A42" s="174" t="s">
        <v>516</v>
      </c>
      <c r="B42" s="172" t="str">
        <f>IFERROR(INDEX('Annex 1 LV, HV and UMS charges'!$B$12:$B$44,MATCH($A42,'Annex 1 LV, HV and UMS charges'!$A$12:$A$44,0)),IF(INDEX('Annex 4 LDNO charges'!$B$11:$B$202,MATCH($A42,'Annex 4 LDNO charges'!$A$11:$A$202,0))=0,"",INDEX('Annex 4 LDNO charges'!$B$11:$B$202,MATCH($A42,'Annex 4 LDNO charges'!$A$11:$A$202,0))))</f>
        <v>C14</v>
      </c>
      <c r="C42" s="207" t="str">
        <f>IFERROR(INDEX('Annex 1 LV, HV and UMS charges'!$C$13:$C$44,MATCH($A42,'Annex 1 LV, HV and UMS charges'!$A$13:$A$44,0)),INDEX('Annex 4 LDNO charges'!$C$13:$C$202,MATCH($A42,'Annex 4 LDNO charges'!$A$13:$A$202,0)))</f>
        <v>0, 3, 4, 5-8</v>
      </c>
      <c r="D42" s="196"/>
      <c r="E42" s="196"/>
      <c r="F42" s="195">
        <v>5.2226762235052702E-2</v>
      </c>
    </row>
    <row r="43" spans="1:6" ht="27.75" customHeight="1">
      <c r="A43" s="174" t="s">
        <v>517</v>
      </c>
      <c r="B43" s="172" t="str">
        <f>IFERROR(INDEX('Annex 1 LV, HV and UMS charges'!$B$12:$B$44,MATCH($A43,'Annex 1 LV, HV and UMS charges'!$A$12:$A$44,0)),IF(INDEX('Annex 4 LDNO charges'!$B$11:$B$202,MATCH($A43,'Annex 4 LDNO charges'!$A$11:$A$202,0))=0,"",INDEX('Annex 4 LDNO charges'!$B$11:$B$202,MATCH($A43,'Annex 4 LDNO charges'!$A$11:$A$202,0))))</f>
        <v>E10</v>
      </c>
      <c r="C43" s="207">
        <f>IFERROR(INDEX('Annex 1 LV, HV and UMS charges'!$C$13:$C$44,MATCH($A43,'Annex 1 LV, HV and UMS charges'!$A$13:$A$44,0)),INDEX('Annex 4 LDNO charges'!$C$13:$C$202,MATCH($A43,'Annex 4 LDNO charges'!$A$13:$A$202,0)))</f>
        <v>0</v>
      </c>
      <c r="D43" s="196"/>
      <c r="E43" s="196"/>
      <c r="F43" s="195">
        <v>5.2226762235052702E-2</v>
      </c>
    </row>
    <row r="44" spans="1:6" ht="27.75" customHeight="1">
      <c r="A44" s="174" t="s">
        <v>518</v>
      </c>
      <c r="B44" s="172" t="str">
        <f>IFERROR(INDEX('Annex 1 LV, HV and UMS charges'!$B$12:$B$44,MATCH($A44,'Annex 1 LV, HV and UMS charges'!$A$12:$A$44,0)),IF(INDEX('Annex 4 LDNO charges'!$B$11:$B$202,MATCH($A44,'Annex 4 LDNO charges'!$A$11:$A$202,0))=0,"",INDEX('Annex 4 LDNO charges'!$B$11:$B$202,MATCH($A44,'Annex 4 LDNO charges'!$A$11:$A$202,0))))</f>
        <v>E11</v>
      </c>
      <c r="C44" s="207">
        <f>IFERROR(INDEX('Annex 1 LV, HV and UMS charges'!$C$13:$C$44,MATCH($A44,'Annex 1 LV, HV and UMS charges'!$A$13:$A$44,0)),INDEX('Annex 4 LDNO charges'!$C$13:$C$202,MATCH($A44,'Annex 4 LDNO charges'!$A$13:$A$202,0)))</f>
        <v>0</v>
      </c>
      <c r="D44" s="196"/>
      <c r="E44" s="196"/>
      <c r="F44" s="195">
        <v>5.2226762235052702E-2</v>
      </c>
    </row>
    <row r="45" spans="1:6" ht="27.75" customHeight="1">
      <c r="A45" s="174" t="s">
        <v>519</v>
      </c>
      <c r="B45" s="172" t="str">
        <f>IFERROR(INDEX('Annex 1 LV, HV and UMS charges'!$B$12:$B$44,MATCH($A45,'Annex 1 LV, HV and UMS charges'!$A$12:$A$44,0)),IF(INDEX('Annex 4 LDNO charges'!$B$11:$B$202,MATCH($A45,'Annex 4 LDNO charges'!$A$11:$A$202,0))=0,"",INDEX('Annex 4 LDNO charges'!$B$11:$B$202,MATCH($A45,'Annex 4 LDNO charges'!$A$11:$A$202,0))))</f>
        <v>E12</v>
      </c>
      <c r="C45" s="207">
        <f>IFERROR(INDEX('Annex 1 LV, HV and UMS charges'!$C$13:$C$44,MATCH($A45,'Annex 1 LV, HV and UMS charges'!$A$13:$A$44,0)),INDEX('Annex 4 LDNO charges'!$C$13:$C$202,MATCH($A45,'Annex 4 LDNO charges'!$A$13:$A$202,0)))</f>
        <v>0</v>
      </c>
      <c r="D45" s="196"/>
      <c r="E45" s="196"/>
      <c r="F45" s="195">
        <v>5.2226762235052702E-2</v>
      </c>
    </row>
    <row r="46" spans="1:6" ht="27.75" customHeight="1">
      <c r="A46" s="174" t="s">
        <v>520</v>
      </c>
      <c r="B46" s="172" t="str">
        <f>IFERROR(INDEX('Annex 1 LV, HV and UMS charges'!$B$12:$B$44,MATCH($A46,'Annex 1 LV, HV and UMS charges'!$A$12:$A$44,0)),IF(INDEX('Annex 4 LDNO charges'!$B$11:$B$202,MATCH($A46,'Annex 4 LDNO charges'!$A$11:$A$202,0))=0,"",INDEX('Annex 4 LDNO charges'!$B$11:$B$202,MATCH($A46,'Annex 4 LDNO charges'!$A$11:$A$202,0))))</f>
        <v>E13</v>
      </c>
      <c r="C46" s="207">
        <f>IFERROR(INDEX('Annex 1 LV, HV and UMS charges'!$C$13:$C$44,MATCH($A46,'Annex 1 LV, HV and UMS charges'!$A$13:$A$44,0)),INDEX('Annex 4 LDNO charges'!$C$13:$C$202,MATCH($A46,'Annex 4 LDNO charges'!$A$13:$A$202,0)))</f>
        <v>0</v>
      </c>
      <c r="D46" s="196"/>
      <c r="E46" s="196"/>
      <c r="F46" s="195">
        <v>5.2226762235052702E-2</v>
      </c>
    </row>
    <row r="47" spans="1:6" ht="27.75" customHeight="1">
      <c r="A47" s="174" t="s">
        <v>521</v>
      </c>
      <c r="B47" s="172" t="str">
        <f>IFERROR(INDEX('Annex 1 LV, HV and UMS charges'!$B$12:$B$44,MATCH($A47,'Annex 1 LV, HV and UMS charges'!$A$12:$A$44,0)),IF(INDEX('Annex 4 LDNO charges'!$B$11:$B$202,MATCH($A47,'Annex 4 LDNO charges'!$A$11:$A$202,0))=0,"",INDEX('Annex 4 LDNO charges'!$B$11:$B$202,MATCH($A47,'Annex 4 LDNO charges'!$A$11:$A$202,0))))</f>
        <v>E14</v>
      </c>
      <c r="C47" s="207">
        <f>IFERROR(INDEX('Annex 1 LV, HV and UMS charges'!$C$13:$C$44,MATCH($A47,'Annex 1 LV, HV and UMS charges'!$A$13:$A$44,0)),INDEX('Annex 4 LDNO charges'!$C$13:$C$202,MATCH($A47,'Annex 4 LDNO charges'!$A$13:$A$202,0)))</f>
        <v>0</v>
      </c>
      <c r="D47" s="196"/>
      <c r="E47" s="196"/>
      <c r="F47" s="195">
        <v>5.2226762235052702E-2</v>
      </c>
    </row>
    <row r="48" spans="1:6" ht="27.75" customHeight="1">
      <c r="A48" s="174" t="s">
        <v>522</v>
      </c>
      <c r="B48" s="172" t="str">
        <f>IFERROR(INDEX('Annex 1 LV, HV and UMS charges'!$B$12:$B$44,MATCH($A48,'Annex 1 LV, HV and UMS charges'!$A$12:$A$44,0)),IF(INDEX('Annex 4 LDNO charges'!$B$11:$B$202,MATCH($A48,'Annex 4 LDNO charges'!$A$11:$A$202,0))=0,"",INDEX('Annex 4 LDNO charges'!$B$11:$B$202,MATCH($A48,'Annex 4 LDNO charges'!$A$11:$A$202,0))))</f>
        <v>J10</v>
      </c>
      <c r="C48" s="207">
        <f>IFERROR(INDEX('Annex 1 LV, HV and UMS charges'!$C$13:$C$44,MATCH($A48,'Annex 1 LV, HV and UMS charges'!$A$13:$A$44,0)),INDEX('Annex 4 LDNO charges'!$C$13:$C$202,MATCH($A48,'Annex 4 LDNO charges'!$A$13:$A$202,0)))</f>
        <v>0</v>
      </c>
      <c r="D48" s="196"/>
      <c r="E48" s="196"/>
      <c r="F48" s="195">
        <v>5.2226762235052702E-2</v>
      </c>
    </row>
    <row r="49" spans="1:6" ht="27.75" customHeight="1">
      <c r="A49" s="174" t="s">
        <v>523</v>
      </c>
      <c r="B49" s="172" t="str">
        <f>IFERROR(INDEX('Annex 1 LV, HV and UMS charges'!$B$12:$B$44,MATCH($A49,'Annex 1 LV, HV and UMS charges'!$A$12:$A$44,0)),IF(INDEX('Annex 4 LDNO charges'!$B$11:$B$202,MATCH($A49,'Annex 4 LDNO charges'!$A$11:$A$202,0))=0,"",INDEX('Annex 4 LDNO charges'!$B$11:$B$202,MATCH($A49,'Annex 4 LDNO charges'!$A$11:$A$202,0))))</f>
        <v>J11</v>
      </c>
      <c r="C49" s="207">
        <f>IFERROR(INDEX('Annex 1 LV, HV and UMS charges'!$C$13:$C$44,MATCH($A49,'Annex 1 LV, HV and UMS charges'!$A$13:$A$44,0)),INDEX('Annex 4 LDNO charges'!$C$13:$C$202,MATCH($A49,'Annex 4 LDNO charges'!$A$13:$A$202,0)))</f>
        <v>0</v>
      </c>
      <c r="D49" s="196"/>
      <c r="E49" s="196"/>
      <c r="F49" s="195">
        <v>5.2226762235052702E-2</v>
      </c>
    </row>
    <row r="50" spans="1:6" ht="27.75" customHeight="1">
      <c r="A50" s="174" t="s">
        <v>524</v>
      </c>
      <c r="B50" s="172" t="str">
        <f>IFERROR(INDEX('Annex 1 LV, HV and UMS charges'!$B$12:$B$44,MATCH($A50,'Annex 1 LV, HV and UMS charges'!$A$12:$A$44,0)),IF(INDEX('Annex 4 LDNO charges'!$B$11:$B$202,MATCH($A50,'Annex 4 LDNO charges'!$A$11:$A$202,0))=0,"",INDEX('Annex 4 LDNO charges'!$B$11:$B$202,MATCH($A50,'Annex 4 LDNO charges'!$A$11:$A$202,0))))</f>
        <v>J12</v>
      </c>
      <c r="C50" s="207">
        <f>IFERROR(INDEX('Annex 1 LV, HV and UMS charges'!$C$13:$C$44,MATCH($A50,'Annex 1 LV, HV and UMS charges'!$A$13:$A$44,0)),INDEX('Annex 4 LDNO charges'!$C$13:$C$202,MATCH($A50,'Annex 4 LDNO charges'!$A$13:$A$202,0)))</f>
        <v>0</v>
      </c>
      <c r="D50" s="196"/>
      <c r="E50" s="196"/>
      <c r="F50" s="195">
        <v>5.2226762235052702E-2</v>
      </c>
    </row>
    <row r="51" spans="1:6" ht="27.75" customHeight="1">
      <c r="A51" s="174" t="s">
        <v>525</v>
      </c>
      <c r="B51" s="172" t="str">
        <f>IFERROR(INDEX('Annex 1 LV, HV and UMS charges'!$B$12:$B$44,MATCH($A51,'Annex 1 LV, HV and UMS charges'!$A$12:$A$44,0)),IF(INDEX('Annex 4 LDNO charges'!$B$11:$B$202,MATCH($A51,'Annex 4 LDNO charges'!$A$11:$A$202,0))=0,"",INDEX('Annex 4 LDNO charges'!$B$11:$B$202,MATCH($A51,'Annex 4 LDNO charges'!$A$11:$A$202,0))))</f>
        <v>J13</v>
      </c>
      <c r="C51" s="207">
        <f>IFERROR(INDEX('Annex 1 LV, HV and UMS charges'!$C$13:$C$44,MATCH($A51,'Annex 1 LV, HV and UMS charges'!$A$13:$A$44,0)),INDEX('Annex 4 LDNO charges'!$C$13:$C$202,MATCH($A51,'Annex 4 LDNO charges'!$A$13:$A$202,0)))</f>
        <v>0</v>
      </c>
      <c r="D51" s="196"/>
      <c r="E51" s="196"/>
      <c r="F51" s="195">
        <v>5.2226762235052702E-2</v>
      </c>
    </row>
    <row r="52" spans="1:6" ht="27.75" customHeight="1">
      <c r="A52" s="174" t="s">
        <v>526</v>
      </c>
      <c r="B52" s="172" t="str">
        <f>IFERROR(INDEX('Annex 1 LV, HV and UMS charges'!$B$12:$B$44,MATCH($A52,'Annex 1 LV, HV and UMS charges'!$A$12:$A$44,0)),IF(INDEX('Annex 4 LDNO charges'!$B$11:$B$202,MATCH($A52,'Annex 4 LDNO charges'!$A$11:$A$202,0))=0,"",INDEX('Annex 4 LDNO charges'!$B$11:$B$202,MATCH($A52,'Annex 4 LDNO charges'!$A$11:$A$202,0))))</f>
        <v>J14</v>
      </c>
      <c r="C52" s="207">
        <f>IFERROR(INDEX('Annex 1 LV, HV and UMS charges'!$C$13:$C$44,MATCH($A52,'Annex 1 LV, HV and UMS charges'!$A$13:$A$44,0)),INDEX('Annex 4 LDNO charges'!$C$13:$C$202,MATCH($A52,'Annex 4 LDNO charges'!$A$13:$A$202,0)))</f>
        <v>0</v>
      </c>
      <c r="D52" s="196"/>
      <c r="E52" s="196"/>
      <c r="F52" s="195">
        <v>5.2226762235052702E-2</v>
      </c>
    </row>
    <row r="53" spans="1:6" ht="27.75" customHeight="1">
      <c r="A53" s="174" t="s">
        <v>527</v>
      </c>
      <c r="B53" s="172" t="str">
        <f>IFERROR(INDEX('Annex 1 LV, HV and UMS charges'!$B$12:$B$44,MATCH($A53,'Annex 1 LV, HV and UMS charges'!$A$12:$A$44,0)),IF(INDEX('Annex 4 LDNO charges'!$B$11:$B$202,MATCH($A53,'Annex 4 LDNO charges'!$A$11:$A$202,0))=0,"",INDEX('Annex 4 LDNO charges'!$B$11:$B$202,MATCH($A53,'Annex 4 LDNO charges'!$A$11:$A$202,0))))</f>
        <v>K10</v>
      </c>
      <c r="C53" s="207">
        <f>IFERROR(INDEX('Annex 1 LV, HV and UMS charges'!$C$13:$C$44,MATCH($A53,'Annex 1 LV, HV and UMS charges'!$A$13:$A$44,0)),INDEX('Annex 4 LDNO charges'!$C$13:$C$202,MATCH($A53,'Annex 4 LDNO charges'!$A$13:$A$202,0)))</f>
        <v>0</v>
      </c>
      <c r="D53" s="196"/>
      <c r="E53" s="196"/>
      <c r="F53" s="195">
        <v>5.2226762235052702E-2</v>
      </c>
    </row>
    <row r="54" spans="1:6" ht="27.75" customHeight="1">
      <c r="A54" s="174" t="s">
        <v>528</v>
      </c>
      <c r="B54" s="172" t="str">
        <f>IFERROR(INDEX('Annex 1 LV, HV and UMS charges'!$B$12:$B$44,MATCH($A54,'Annex 1 LV, HV and UMS charges'!$A$12:$A$44,0)),IF(INDEX('Annex 4 LDNO charges'!$B$11:$B$202,MATCH($A54,'Annex 4 LDNO charges'!$A$11:$A$202,0))=0,"",INDEX('Annex 4 LDNO charges'!$B$11:$B$202,MATCH($A54,'Annex 4 LDNO charges'!$A$11:$A$202,0))))</f>
        <v>K11</v>
      </c>
      <c r="C54" s="207">
        <f>IFERROR(INDEX('Annex 1 LV, HV and UMS charges'!$C$13:$C$44,MATCH($A54,'Annex 1 LV, HV and UMS charges'!$A$13:$A$44,0)),INDEX('Annex 4 LDNO charges'!$C$13:$C$202,MATCH($A54,'Annex 4 LDNO charges'!$A$13:$A$202,0)))</f>
        <v>0</v>
      </c>
      <c r="D54" s="196"/>
      <c r="E54" s="196"/>
      <c r="F54" s="195">
        <v>5.2226762235052702E-2</v>
      </c>
    </row>
    <row r="55" spans="1:6" ht="27.75" customHeight="1">
      <c r="A55" s="174" t="s">
        <v>529</v>
      </c>
      <c r="B55" s="172" t="str">
        <f>IFERROR(INDEX('Annex 1 LV, HV and UMS charges'!$B$12:$B$44,MATCH($A55,'Annex 1 LV, HV and UMS charges'!$A$12:$A$44,0)),IF(INDEX('Annex 4 LDNO charges'!$B$11:$B$202,MATCH($A55,'Annex 4 LDNO charges'!$A$11:$A$202,0))=0,"",INDEX('Annex 4 LDNO charges'!$B$11:$B$202,MATCH($A55,'Annex 4 LDNO charges'!$A$11:$A$202,0))))</f>
        <v>K12</v>
      </c>
      <c r="C55" s="207">
        <f>IFERROR(INDEX('Annex 1 LV, HV and UMS charges'!$C$13:$C$44,MATCH($A55,'Annex 1 LV, HV and UMS charges'!$A$13:$A$44,0)),INDEX('Annex 4 LDNO charges'!$C$13:$C$202,MATCH($A55,'Annex 4 LDNO charges'!$A$13:$A$202,0)))</f>
        <v>0</v>
      </c>
      <c r="D55" s="196"/>
      <c r="E55" s="196"/>
      <c r="F55" s="195">
        <v>5.2226762235052702E-2</v>
      </c>
    </row>
    <row r="56" spans="1:6" ht="27.75" customHeight="1">
      <c r="A56" s="174" t="s">
        <v>530</v>
      </c>
      <c r="B56" s="172" t="str">
        <f>IFERROR(INDEX('Annex 1 LV, HV and UMS charges'!$B$12:$B$44,MATCH($A56,'Annex 1 LV, HV and UMS charges'!$A$12:$A$44,0)),IF(INDEX('Annex 4 LDNO charges'!$B$11:$B$202,MATCH($A56,'Annex 4 LDNO charges'!$A$11:$A$202,0))=0,"",INDEX('Annex 4 LDNO charges'!$B$11:$B$202,MATCH($A56,'Annex 4 LDNO charges'!$A$11:$A$202,0))))</f>
        <v>K13</v>
      </c>
      <c r="C56" s="207">
        <f>IFERROR(INDEX('Annex 1 LV, HV and UMS charges'!$C$13:$C$44,MATCH($A56,'Annex 1 LV, HV and UMS charges'!$A$13:$A$44,0)),INDEX('Annex 4 LDNO charges'!$C$13:$C$202,MATCH($A56,'Annex 4 LDNO charges'!$A$13:$A$202,0)))</f>
        <v>0</v>
      </c>
      <c r="D56" s="196"/>
      <c r="E56" s="196"/>
      <c r="F56" s="195">
        <v>5.2226762235052702E-2</v>
      </c>
    </row>
    <row r="57" spans="1:6" ht="27.75" customHeight="1">
      <c r="A57" s="174" t="s">
        <v>531</v>
      </c>
      <c r="B57" s="172" t="str">
        <f>IFERROR(INDEX('Annex 1 LV, HV and UMS charges'!$B$12:$B$44,MATCH($A57,'Annex 1 LV, HV and UMS charges'!$A$12:$A$44,0)),IF(INDEX('Annex 4 LDNO charges'!$B$11:$B$202,MATCH($A57,'Annex 4 LDNO charges'!$A$11:$A$202,0))=0,"",INDEX('Annex 4 LDNO charges'!$B$11:$B$202,MATCH($A57,'Annex 4 LDNO charges'!$A$11:$A$202,0))))</f>
        <v>K14</v>
      </c>
      <c r="C57" s="207">
        <f>IFERROR(INDEX('Annex 1 LV, HV and UMS charges'!$C$13:$C$44,MATCH($A57,'Annex 1 LV, HV and UMS charges'!$A$13:$A$44,0)),INDEX('Annex 4 LDNO charges'!$C$13:$C$202,MATCH($A57,'Annex 4 LDNO charges'!$A$13:$A$202,0)))</f>
        <v>0</v>
      </c>
      <c r="D57" s="196"/>
      <c r="E57" s="196"/>
      <c r="F57" s="195">
        <v>5.2226762235052702E-2</v>
      </c>
    </row>
    <row r="58" spans="1:6" ht="27.75" customHeight="1">
      <c r="A58" s="174" t="s">
        <v>620</v>
      </c>
      <c r="B58" s="172" t="str">
        <f>IFERROR(INDEX('Annex 1 LV, HV and UMS charges'!$B$12:$B$44,MATCH($A58,'Annex 1 LV, HV and UMS charges'!$A$12:$A$44,0)),IF(INDEX('Annex 4 LDNO charges'!$B$11:$B$202,MATCH($A58,'Annex 4 LDNO charges'!$A$11:$A$202,0))=0,"",INDEX('Annex 4 LDNO charges'!$B$11:$B$202,MATCH($A58,'Annex 4 LDNO charges'!$A$11:$A$202,0))))</f>
        <v>A20</v>
      </c>
      <c r="C58" s="207" t="str">
        <f>IFERROR(INDEX('Annex 1 LV, HV and UMS charges'!$C$13:$C$44,MATCH($A58,'Annex 1 LV, HV and UMS charges'!$A$13:$A$44,0)),INDEX('Annex 4 LDNO charges'!$C$13:$C$202,MATCH($A58,'Annex 4 LDNO charges'!$A$13:$A$202,0)))</f>
        <v>0, 1, 2</v>
      </c>
      <c r="D58" s="195">
        <v>5.8592759584029715E-2</v>
      </c>
      <c r="E58" s="195">
        <v>9.6543477519751999</v>
      </c>
      <c r="F58" s="195">
        <v>5.2226762235052702E-2</v>
      </c>
    </row>
    <row r="59" spans="1:6" ht="27.75" customHeight="1">
      <c r="A59" s="174" t="s">
        <v>622</v>
      </c>
      <c r="B59" s="172" t="str">
        <f>IFERROR(INDEX('Annex 1 LV, HV and UMS charges'!$B$12:$B$44,MATCH($A59,'Annex 1 LV, HV and UMS charges'!$A$12:$A$44,0)),IF(INDEX('Annex 4 LDNO charges'!$B$11:$B$202,MATCH($A59,'Annex 4 LDNO charges'!$A$11:$A$202,0))=0,"",INDEX('Annex 4 LDNO charges'!$B$11:$B$202,MATCH($A59,'Annex 4 LDNO charges'!$A$11:$A$202,0))))</f>
        <v>C20</v>
      </c>
      <c r="C59" s="207" t="str">
        <f>IFERROR(INDEX('Annex 1 LV, HV and UMS charges'!$C$13:$C$44,MATCH($A59,'Annex 1 LV, HV and UMS charges'!$A$13:$A$44,0)),INDEX('Annex 4 LDNO charges'!$C$13:$C$202,MATCH($A59,'Annex 4 LDNO charges'!$A$13:$A$202,0)))</f>
        <v>0, 3, 4, 5-8</v>
      </c>
      <c r="D59" s="196"/>
      <c r="E59" s="196"/>
      <c r="F59" s="195">
        <v>5.2226762235052702E-2</v>
      </c>
    </row>
    <row r="60" spans="1:6" ht="27.75" customHeight="1">
      <c r="A60" s="174" t="s">
        <v>623</v>
      </c>
      <c r="B60" s="172" t="str">
        <f>IFERROR(INDEX('Annex 1 LV, HV and UMS charges'!$B$12:$B$44,MATCH($A60,'Annex 1 LV, HV and UMS charges'!$A$12:$A$44,0)),IF(INDEX('Annex 4 LDNO charges'!$B$11:$B$202,MATCH($A60,'Annex 4 LDNO charges'!$A$11:$A$202,0))=0,"",INDEX('Annex 4 LDNO charges'!$B$11:$B$202,MATCH($A60,'Annex 4 LDNO charges'!$A$11:$A$202,0))))</f>
        <v>C21</v>
      </c>
      <c r="C60" s="207" t="str">
        <f>IFERROR(INDEX('Annex 1 LV, HV and UMS charges'!$C$13:$C$44,MATCH($A60,'Annex 1 LV, HV and UMS charges'!$A$13:$A$44,0)),INDEX('Annex 4 LDNO charges'!$C$13:$C$202,MATCH($A60,'Annex 4 LDNO charges'!$A$13:$A$202,0)))</f>
        <v>0, 3, 4, 5-8</v>
      </c>
      <c r="D60" s="196"/>
      <c r="E60" s="196"/>
      <c r="F60" s="195">
        <v>5.2226762235052702E-2</v>
      </c>
    </row>
    <row r="61" spans="1:6" ht="27.75" customHeight="1">
      <c r="A61" s="174" t="s">
        <v>624</v>
      </c>
      <c r="B61" s="172" t="str">
        <f>IFERROR(INDEX('Annex 1 LV, HV and UMS charges'!$B$12:$B$44,MATCH($A61,'Annex 1 LV, HV and UMS charges'!$A$12:$A$44,0)),IF(INDEX('Annex 4 LDNO charges'!$B$11:$B$202,MATCH($A61,'Annex 4 LDNO charges'!$A$11:$A$202,0))=0,"",INDEX('Annex 4 LDNO charges'!$B$11:$B$202,MATCH($A61,'Annex 4 LDNO charges'!$A$11:$A$202,0))))</f>
        <v>C22</v>
      </c>
      <c r="C61" s="207" t="str">
        <f>IFERROR(INDEX('Annex 1 LV, HV and UMS charges'!$C$13:$C$44,MATCH($A61,'Annex 1 LV, HV and UMS charges'!$A$13:$A$44,0)),INDEX('Annex 4 LDNO charges'!$C$13:$C$202,MATCH($A61,'Annex 4 LDNO charges'!$A$13:$A$202,0)))</f>
        <v>0, 3, 4, 5-8</v>
      </c>
      <c r="D61" s="196"/>
      <c r="E61" s="196"/>
      <c r="F61" s="195">
        <v>5.2226762235052702E-2</v>
      </c>
    </row>
    <row r="62" spans="1:6" ht="27.75" customHeight="1">
      <c r="A62" s="174" t="s">
        <v>625</v>
      </c>
      <c r="B62" s="172" t="str">
        <f>IFERROR(INDEX('Annex 1 LV, HV and UMS charges'!$B$12:$B$44,MATCH($A62,'Annex 1 LV, HV and UMS charges'!$A$12:$A$44,0)),IF(INDEX('Annex 4 LDNO charges'!$B$11:$B$202,MATCH($A62,'Annex 4 LDNO charges'!$A$11:$A$202,0))=0,"",INDEX('Annex 4 LDNO charges'!$B$11:$B$202,MATCH($A62,'Annex 4 LDNO charges'!$A$11:$A$202,0))))</f>
        <v>C23</v>
      </c>
      <c r="C62" s="207" t="str">
        <f>IFERROR(INDEX('Annex 1 LV, HV and UMS charges'!$C$13:$C$44,MATCH($A62,'Annex 1 LV, HV and UMS charges'!$A$13:$A$44,0)),INDEX('Annex 4 LDNO charges'!$C$13:$C$202,MATCH($A62,'Annex 4 LDNO charges'!$A$13:$A$202,0)))</f>
        <v>0, 3, 4, 5-8</v>
      </c>
      <c r="D62" s="196"/>
      <c r="E62" s="196"/>
      <c r="F62" s="195">
        <v>5.2226762235052702E-2</v>
      </c>
    </row>
    <row r="63" spans="1:6" ht="27.75" customHeight="1">
      <c r="A63" s="174" t="s">
        <v>626</v>
      </c>
      <c r="B63" s="172" t="str">
        <f>IFERROR(INDEX('Annex 1 LV, HV and UMS charges'!$B$12:$B$44,MATCH($A63,'Annex 1 LV, HV and UMS charges'!$A$12:$A$44,0)),IF(INDEX('Annex 4 LDNO charges'!$B$11:$B$202,MATCH($A63,'Annex 4 LDNO charges'!$A$11:$A$202,0))=0,"",INDEX('Annex 4 LDNO charges'!$B$11:$B$202,MATCH($A63,'Annex 4 LDNO charges'!$A$11:$A$202,0))))</f>
        <v>C24</v>
      </c>
      <c r="C63" s="207" t="str">
        <f>IFERROR(INDEX('Annex 1 LV, HV and UMS charges'!$C$13:$C$44,MATCH($A63,'Annex 1 LV, HV and UMS charges'!$A$13:$A$44,0)),INDEX('Annex 4 LDNO charges'!$C$13:$C$202,MATCH($A63,'Annex 4 LDNO charges'!$A$13:$A$202,0)))</f>
        <v>0, 3, 4, 5-8</v>
      </c>
      <c r="D63" s="196"/>
      <c r="E63" s="196"/>
      <c r="F63" s="195">
        <v>5.2226762235052702E-2</v>
      </c>
    </row>
    <row r="64" spans="1:6" ht="27.75" customHeight="1">
      <c r="A64" s="174" t="s">
        <v>627</v>
      </c>
      <c r="B64" s="172" t="str">
        <f>IFERROR(INDEX('Annex 1 LV, HV and UMS charges'!$B$12:$B$44,MATCH($A64,'Annex 1 LV, HV and UMS charges'!$A$12:$A$44,0)),IF(INDEX('Annex 4 LDNO charges'!$B$11:$B$202,MATCH($A64,'Annex 4 LDNO charges'!$A$11:$A$202,0))=0,"",INDEX('Annex 4 LDNO charges'!$B$11:$B$202,MATCH($A64,'Annex 4 LDNO charges'!$A$11:$A$202,0))))</f>
        <v>E20</v>
      </c>
      <c r="C64" s="207">
        <f>IFERROR(INDEX('Annex 1 LV, HV and UMS charges'!$C$13:$C$44,MATCH($A64,'Annex 1 LV, HV and UMS charges'!$A$13:$A$44,0)),INDEX('Annex 4 LDNO charges'!$C$13:$C$202,MATCH($A64,'Annex 4 LDNO charges'!$A$13:$A$202,0)))</f>
        <v>0</v>
      </c>
      <c r="D64" s="196"/>
      <c r="E64" s="196"/>
      <c r="F64" s="195">
        <v>5.2226762235052702E-2</v>
      </c>
    </row>
    <row r="65" spans="1:6" ht="27.75" customHeight="1">
      <c r="A65" s="174" t="s">
        <v>628</v>
      </c>
      <c r="B65" s="172" t="str">
        <f>IFERROR(INDEX('Annex 1 LV, HV and UMS charges'!$B$12:$B$44,MATCH($A65,'Annex 1 LV, HV and UMS charges'!$A$12:$A$44,0)),IF(INDEX('Annex 4 LDNO charges'!$B$11:$B$202,MATCH($A65,'Annex 4 LDNO charges'!$A$11:$A$202,0))=0,"",INDEX('Annex 4 LDNO charges'!$B$11:$B$202,MATCH($A65,'Annex 4 LDNO charges'!$A$11:$A$202,0))))</f>
        <v>E21</v>
      </c>
      <c r="C65" s="207">
        <f>IFERROR(INDEX('Annex 1 LV, HV and UMS charges'!$C$13:$C$44,MATCH($A65,'Annex 1 LV, HV and UMS charges'!$A$13:$A$44,0)),INDEX('Annex 4 LDNO charges'!$C$13:$C$202,MATCH($A65,'Annex 4 LDNO charges'!$A$13:$A$202,0)))</f>
        <v>0</v>
      </c>
      <c r="D65" s="196"/>
      <c r="E65" s="196"/>
      <c r="F65" s="195">
        <v>5.2226762235052702E-2</v>
      </c>
    </row>
    <row r="66" spans="1:6" ht="27.75" customHeight="1">
      <c r="A66" s="174" t="s">
        <v>629</v>
      </c>
      <c r="B66" s="172" t="str">
        <f>IFERROR(INDEX('Annex 1 LV, HV and UMS charges'!$B$12:$B$44,MATCH($A66,'Annex 1 LV, HV and UMS charges'!$A$12:$A$44,0)),IF(INDEX('Annex 4 LDNO charges'!$B$11:$B$202,MATCH($A66,'Annex 4 LDNO charges'!$A$11:$A$202,0))=0,"",INDEX('Annex 4 LDNO charges'!$B$11:$B$202,MATCH($A66,'Annex 4 LDNO charges'!$A$11:$A$202,0))))</f>
        <v>E22</v>
      </c>
      <c r="C66" s="207">
        <f>IFERROR(INDEX('Annex 1 LV, HV and UMS charges'!$C$13:$C$44,MATCH($A66,'Annex 1 LV, HV and UMS charges'!$A$13:$A$44,0)),INDEX('Annex 4 LDNO charges'!$C$13:$C$202,MATCH($A66,'Annex 4 LDNO charges'!$A$13:$A$202,0)))</f>
        <v>0</v>
      </c>
      <c r="D66" s="196"/>
      <c r="E66" s="196"/>
      <c r="F66" s="195">
        <v>5.2226762235052702E-2</v>
      </c>
    </row>
    <row r="67" spans="1:6" ht="27.75" customHeight="1">
      <c r="A67" s="174" t="s">
        <v>630</v>
      </c>
      <c r="B67" s="172" t="str">
        <f>IFERROR(INDEX('Annex 1 LV, HV and UMS charges'!$B$12:$B$44,MATCH($A67,'Annex 1 LV, HV and UMS charges'!$A$12:$A$44,0)),IF(INDEX('Annex 4 LDNO charges'!$B$11:$B$202,MATCH($A67,'Annex 4 LDNO charges'!$A$11:$A$202,0))=0,"",INDEX('Annex 4 LDNO charges'!$B$11:$B$202,MATCH($A67,'Annex 4 LDNO charges'!$A$11:$A$202,0))))</f>
        <v>E23</v>
      </c>
      <c r="C67" s="207">
        <f>IFERROR(INDEX('Annex 1 LV, HV and UMS charges'!$C$13:$C$44,MATCH($A67,'Annex 1 LV, HV and UMS charges'!$A$13:$A$44,0)),INDEX('Annex 4 LDNO charges'!$C$13:$C$202,MATCH($A67,'Annex 4 LDNO charges'!$A$13:$A$202,0)))</f>
        <v>0</v>
      </c>
      <c r="D67" s="196"/>
      <c r="E67" s="196"/>
      <c r="F67" s="195">
        <v>5.2226762235052702E-2</v>
      </c>
    </row>
    <row r="68" spans="1:6" ht="27.75" customHeight="1">
      <c r="A68" s="174" t="s">
        <v>631</v>
      </c>
      <c r="B68" s="172" t="str">
        <f>IFERROR(INDEX('Annex 1 LV, HV and UMS charges'!$B$12:$B$44,MATCH($A68,'Annex 1 LV, HV and UMS charges'!$A$12:$A$44,0)),IF(INDEX('Annex 4 LDNO charges'!$B$11:$B$202,MATCH($A68,'Annex 4 LDNO charges'!$A$11:$A$202,0))=0,"",INDEX('Annex 4 LDNO charges'!$B$11:$B$202,MATCH($A68,'Annex 4 LDNO charges'!$A$11:$A$202,0))))</f>
        <v>E24</v>
      </c>
      <c r="C68" s="207">
        <f>IFERROR(INDEX('Annex 1 LV, HV and UMS charges'!$C$13:$C$44,MATCH($A68,'Annex 1 LV, HV and UMS charges'!$A$13:$A$44,0)),INDEX('Annex 4 LDNO charges'!$C$13:$C$202,MATCH($A68,'Annex 4 LDNO charges'!$A$13:$A$202,0)))</f>
        <v>0</v>
      </c>
      <c r="D68" s="196"/>
      <c r="E68" s="196"/>
      <c r="F68" s="195">
        <v>5.2226762235052702E-2</v>
      </c>
    </row>
    <row r="69" spans="1:6" ht="27.75" customHeight="1">
      <c r="A69" s="174" t="s">
        <v>632</v>
      </c>
      <c r="B69" s="172" t="str">
        <f>IFERROR(INDEX('Annex 1 LV, HV and UMS charges'!$B$12:$B$44,MATCH($A69,'Annex 1 LV, HV and UMS charges'!$A$12:$A$44,0)),IF(INDEX('Annex 4 LDNO charges'!$B$11:$B$202,MATCH($A69,'Annex 4 LDNO charges'!$A$11:$A$202,0))=0,"",INDEX('Annex 4 LDNO charges'!$B$11:$B$202,MATCH($A69,'Annex 4 LDNO charges'!$A$11:$A$202,0))))</f>
        <v>J20</v>
      </c>
      <c r="C69" s="207">
        <f>IFERROR(INDEX('Annex 1 LV, HV and UMS charges'!$C$13:$C$44,MATCH($A69,'Annex 1 LV, HV and UMS charges'!$A$13:$A$44,0)),INDEX('Annex 4 LDNO charges'!$C$13:$C$202,MATCH($A69,'Annex 4 LDNO charges'!$A$13:$A$202,0)))</f>
        <v>0</v>
      </c>
      <c r="D69" s="196"/>
      <c r="E69" s="196"/>
      <c r="F69" s="195">
        <v>5.2226762235052702E-2</v>
      </c>
    </row>
    <row r="70" spans="1:6" ht="27.75" customHeight="1">
      <c r="A70" s="174" t="s">
        <v>633</v>
      </c>
      <c r="B70" s="172" t="str">
        <f>IFERROR(INDEX('Annex 1 LV, HV and UMS charges'!$B$12:$B$44,MATCH($A70,'Annex 1 LV, HV and UMS charges'!$A$12:$A$44,0)),IF(INDEX('Annex 4 LDNO charges'!$B$11:$B$202,MATCH($A70,'Annex 4 LDNO charges'!$A$11:$A$202,0))=0,"",INDEX('Annex 4 LDNO charges'!$B$11:$B$202,MATCH($A70,'Annex 4 LDNO charges'!$A$11:$A$202,0))))</f>
        <v>J21</v>
      </c>
      <c r="C70" s="207">
        <f>IFERROR(INDEX('Annex 1 LV, HV and UMS charges'!$C$13:$C$44,MATCH($A70,'Annex 1 LV, HV and UMS charges'!$A$13:$A$44,0)),INDEX('Annex 4 LDNO charges'!$C$13:$C$202,MATCH($A70,'Annex 4 LDNO charges'!$A$13:$A$202,0)))</f>
        <v>0</v>
      </c>
      <c r="D70" s="196"/>
      <c r="E70" s="196"/>
      <c r="F70" s="195">
        <v>5.2226762235052702E-2</v>
      </c>
    </row>
    <row r="71" spans="1:6" ht="27.75" customHeight="1">
      <c r="A71" s="174" t="s">
        <v>634</v>
      </c>
      <c r="B71" s="172" t="str">
        <f>IFERROR(INDEX('Annex 1 LV, HV and UMS charges'!$B$12:$B$44,MATCH($A71,'Annex 1 LV, HV and UMS charges'!$A$12:$A$44,0)),IF(INDEX('Annex 4 LDNO charges'!$B$11:$B$202,MATCH($A71,'Annex 4 LDNO charges'!$A$11:$A$202,0))=0,"",INDEX('Annex 4 LDNO charges'!$B$11:$B$202,MATCH($A71,'Annex 4 LDNO charges'!$A$11:$A$202,0))))</f>
        <v>J22</v>
      </c>
      <c r="C71" s="207">
        <f>IFERROR(INDEX('Annex 1 LV, HV and UMS charges'!$C$13:$C$44,MATCH($A71,'Annex 1 LV, HV and UMS charges'!$A$13:$A$44,0)),INDEX('Annex 4 LDNO charges'!$C$13:$C$202,MATCH($A71,'Annex 4 LDNO charges'!$A$13:$A$202,0)))</f>
        <v>0</v>
      </c>
      <c r="D71" s="196"/>
      <c r="E71" s="196"/>
      <c r="F71" s="195">
        <v>5.2226762235052702E-2</v>
      </c>
    </row>
    <row r="72" spans="1:6" ht="27.75" customHeight="1">
      <c r="A72" s="174" t="s">
        <v>635</v>
      </c>
      <c r="B72" s="172" t="str">
        <f>IFERROR(INDEX('Annex 1 LV, HV and UMS charges'!$B$12:$B$44,MATCH($A72,'Annex 1 LV, HV and UMS charges'!$A$12:$A$44,0)),IF(INDEX('Annex 4 LDNO charges'!$B$11:$B$202,MATCH($A72,'Annex 4 LDNO charges'!$A$11:$A$202,0))=0,"",INDEX('Annex 4 LDNO charges'!$B$11:$B$202,MATCH($A72,'Annex 4 LDNO charges'!$A$11:$A$202,0))))</f>
        <v>J23</v>
      </c>
      <c r="C72" s="207">
        <f>IFERROR(INDEX('Annex 1 LV, HV and UMS charges'!$C$13:$C$44,MATCH($A72,'Annex 1 LV, HV and UMS charges'!$A$13:$A$44,0)),INDEX('Annex 4 LDNO charges'!$C$13:$C$202,MATCH($A72,'Annex 4 LDNO charges'!$A$13:$A$202,0)))</f>
        <v>0</v>
      </c>
      <c r="D72" s="196"/>
      <c r="E72" s="196"/>
      <c r="F72" s="195">
        <v>5.2226762235052702E-2</v>
      </c>
    </row>
    <row r="73" spans="1:6" ht="27.75" customHeight="1">
      <c r="A73" s="174" t="s">
        <v>636</v>
      </c>
      <c r="B73" s="172" t="str">
        <f>IFERROR(INDEX('Annex 1 LV, HV and UMS charges'!$B$12:$B$44,MATCH($A73,'Annex 1 LV, HV and UMS charges'!$A$12:$A$44,0)),IF(INDEX('Annex 4 LDNO charges'!$B$11:$B$202,MATCH($A73,'Annex 4 LDNO charges'!$A$11:$A$202,0))=0,"",INDEX('Annex 4 LDNO charges'!$B$11:$B$202,MATCH($A73,'Annex 4 LDNO charges'!$A$11:$A$202,0))))</f>
        <v>J24</v>
      </c>
      <c r="C73" s="207">
        <f>IFERROR(INDEX('Annex 1 LV, HV and UMS charges'!$C$13:$C$44,MATCH($A73,'Annex 1 LV, HV and UMS charges'!$A$13:$A$44,0)),INDEX('Annex 4 LDNO charges'!$C$13:$C$202,MATCH($A73,'Annex 4 LDNO charges'!$A$13:$A$202,0)))</f>
        <v>0</v>
      </c>
      <c r="D73" s="196"/>
      <c r="E73" s="196"/>
      <c r="F73" s="195">
        <v>5.2226762235052702E-2</v>
      </c>
    </row>
    <row r="74" spans="1:6" ht="27.75" customHeight="1">
      <c r="A74" s="174" t="s">
        <v>637</v>
      </c>
      <c r="B74" s="172" t="str">
        <f>IFERROR(INDEX('Annex 1 LV, HV and UMS charges'!$B$12:$B$44,MATCH($A74,'Annex 1 LV, HV and UMS charges'!$A$12:$A$44,0)),IF(INDEX('Annex 4 LDNO charges'!$B$11:$B$202,MATCH($A74,'Annex 4 LDNO charges'!$A$11:$A$202,0))=0,"",INDEX('Annex 4 LDNO charges'!$B$11:$B$202,MATCH($A74,'Annex 4 LDNO charges'!$A$11:$A$202,0))))</f>
        <v>K20</v>
      </c>
      <c r="C74" s="207">
        <f>IFERROR(INDEX('Annex 1 LV, HV and UMS charges'!$C$13:$C$44,MATCH($A74,'Annex 1 LV, HV and UMS charges'!$A$13:$A$44,0)),INDEX('Annex 4 LDNO charges'!$C$13:$C$202,MATCH($A74,'Annex 4 LDNO charges'!$A$13:$A$202,0)))</f>
        <v>0</v>
      </c>
      <c r="D74" s="196"/>
      <c r="E74" s="196"/>
      <c r="F74" s="195">
        <v>5.2226762235052702E-2</v>
      </c>
    </row>
    <row r="75" spans="1:6" ht="27.75" customHeight="1">
      <c r="A75" s="174" t="s">
        <v>638</v>
      </c>
      <c r="B75" s="172" t="str">
        <f>IFERROR(INDEX('Annex 1 LV, HV and UMS charges'!$B$12:$B$44,MATCH($A75,'Annex 1 LV, HV and UMS charges'!$A$12:$A$44,0)),IF(INDEX('Annex 4 LDNO charges'!$B$11:$B$202,MATCH($A75,'Annex 4 LDNO charges'!$A$11:$A$202,0))=0,"",INDEX('Annex 4 LDNO charges'!$B$11:$B$202,MATCH($A75,'Annex 4 LDNO charges'!$A$11:$A$202,0))))</f>
        <v>K21</v>
      </c>
      <c r="C75" s="207">
        <f>IFERROR(INDEX('Annex 1 LV, HV and UMS charges'!$C$13:$C$44,MATCH($A75,'Annex 1 LV, HV and UMS charges'!$A$13:$A$44,0)),INDEX('Annex 4 LDNO charges'!$C$13:$C$202,MATCH($A75,'Annex 4 LDNO charges'!$A$13:$A$202,0)))</f>
        <v>0</v>
      </c>
      <c r="D75" s="196"/>
      <c r="E75" s="196"/>
      <c r="F75" s="195">
        <v>5.2226762235052702E-2</v>
      </c>
    </row>
    <row r="76" spans="1:6" ht="27.75" customHeight="1">
      <c r="A76" s="174" t="s">
        <v>639</v>
      </c>
      <c r="B76" s="172" t="str">
        <f>IFERROR(INDEX('Annex 1 LV, HV and UMS charges'!$B$12:$B$44,MATCH($A76,'Annex 1 LV, HV and UMS charges'!$A$12:$A$44,0)),IF(INDEX('Annex 4 LDNO charges'!$B$11:$B$202,MATCH($A76,'Annex 4 LDNO charges'!$A$11:$A$202,0))=0,"",INDEX('Annex 4 LDNO charges'!$B$11:$B$202,MATCH($A76,'Annex 4 LDNO charges'!$A$11:$A$202,0))))</f>
        <v>K22</v>
      </c>
      <c r="C76" s="207">
        <f>IFERROR(INDEX('Annex 1 LV, HV and UMS charges'!$C$13:$C$44,MATCH($A76,'Annex 1 LV, HV and UMS charges'!$A$13:$A$44,0)),INDEX('Annex 4 LDNO charges'!$C$13:$C$202,MATCH($A76,'Annex 4 LDNO charges'!$A$13:$A$202,0)))</f>
        <v>0</v>
      </c>
      <c r="D76" s="196"/>
      <c r="E76" s="196"/>
      <c r="F76" s="195">
        <v>5.2226762235052702E-2</v>
      </c>
    </row>
    <row r="77" spans="1:6" ht="27.75" customHeight="1">
      <c r="A77" s="174" t="s">
        <v>640</v>
      </c>
      <c r="B77" s="172" t="str">
        <f>IFERROR(INDEX('Annex 1 LV, HV and UMS charges'!$B$12:$B$44,MATCH($A77,'Annex 1 LV, HV and UMS charges'!$A$12:$A$44,0)),IF(INDEX('Annex 4 LDNO charges'!$B$11:$B$202,MATCH($A77,'Annex 4 LDNO charges'!$A$11:$A$202,0))=0,"",INDEX('Annex 4 LDNO charges'!$B$11:$B$202,MATCH($A77,'Annex 4 LDNO charges'!$A$11:$A$202,0))))</f>
        <v>K23</v>
      </c>
      <c r="C77" s="207">
        <f>IFERROR(INDEX('Annex 1 LV, HV and UMS charges'!$C$13:$C$44,MATCH($A77,'Annex 1 LV, HV and UMS charges'!$A$13:$A$44,0)),INDEX('Annex 4 LDNO charges'!$C$13:$C$202,MATCH($A77,'Annex 4 LDNO charges'!$A$13:$A$202,0)))</f>
        <v>0</v>
      </c>
      <c r="D77" s="196"/>
      <c r="E77" s="196"/>
      <c r="F77" s="195">
        <v>5.2226762235052702E-2</v>
      </c>
    </row>
    <row r="78" spans="1:6" ht="27.75" customHeight="1">
      <c r="A78" s="174" t="s">
        <v>641</v>
      </c>
      <c r="B78" s="172" t="str">
        <f>IFERROR(INDEX('Annex 1 LV, HV and UMS charges'!$B$12:$B$44,MATCH($A78,'Annex 1 LV, HV and UMS charges'!$A$12:$A$44,0)),IF(INDEX('Annex 4 LDNO charges'!$B$11:$B$202,MATCH($A78,'Annex 4 LDNO charges'!$A$11:$A$202,0))=0,"",INDEX('Annex 4 LDNO charges'!$B$11:$B$202,MATCH($A78,'Annex 4 LDNO charges'!$A$11:$A$202,0))))</f>
        <v>K24</v>
      </c>
      <c r="C78" s="207">
        <f>IFERROR(INDEX('Annex 1 LV, HV and UMS charges'!$C$13:$C$44,MATCH($A78,'Annex 1 LV, HV and UMS charges'!$A$13:$A$44,0)),INDEX('Annex 4 LDNO charges'!$C$13:$C$202,MATCH($A78,'Annex 4 LDNO charges'!$A$13:$A$202,0)))</f>
        <v>0</v>
      </c>
      <c r="D78" s="196"/>
      <c r="E78" s="196"/>
      <c r="F78" s="195">
        <v>5.2226762235052702E-2</v>
      </c>
    </row>
    <row r="79" spans="1:6" ht="27.75" customHeight="1">
      <c r="A79" s="174" t="s">
        <v>598</v>
      </c>
      <c r="B79" s="172" t="str">
        <f>IFERROR(INDEX('Annex 1 LV, HV and UMS charges'!$B$12:$B$44,MATCH($A79,'Annex 1 LV, HV and UMS charges'!$A$12:$A$44,0)),IF(INDEX('Annex 4 LDNO charges'!$B$11:$B$202,MATCH($A79,'Annex 4 LDNO charges'!$A$11:$A$202,0))=0,"",INDEX('Annex 4 LDNO charges'!$B$11:$B$202,MATCH($A79,'Annex 4 LDNO charges'!$A$11:$A$202,0))))</f>
        <v>A30</v>
      </c>
      <c r="C79" s="207" t="str">
        <f>IFERROR(INDEX('Annex 1 LV, HV and UMS charges'!$C$13:$C$44,MATCH($A79,'Annex 1 LV, HV and UMS charges'!$A$13:$A$44,0)),INDEX('Annex 4 LDNO charges'!$C$13:$C$202,MATCH($A79,'Annex 4 LDNO charges'!$A$13:$A$202,0)))</f>
        <v>0, 1, 2</v>
      </c>
      <c r="D79" s="195">
        <v>5.8592759584029715E-2</v>
      </c>
      <c r="E79" s="195">
        <v>9.6543477519751999</v>
      </c>
      <c r="F79" s="195">
        <v>5.2226762235052702E-2</v>
      </c>
    </row>
    <row r="80" spans="1:6" ht="27.75" customHeight="1">
      <c r="A80" s="174" t="s">
        <v>600</v>
      </c>
      <c r="B80" s="172" t="str">
        <f>IFERROR(INDEX('Annex 1 LV, HV and UMS charges'!$B$12:$B$44,MATCH($A80,'Annex 1 LV, HV and UMS charges'!$A$12:$A$44,0)),IF(INDEX('Annex 4 LDNO charges'!$B$11:$B$202,MATCH($A80,'Annex 4 LDNO charges'!$A$11:$A$202,0))=0,"",INDEX('Annex 4 LDNO charges'!$B$11:$B$202,MATCH($A80,'Annex 4 LDNO charges'!$A$11:$A$202,0))))</f>
        <v>C30</v>
      </c>
      <c r="C80" s="207" t="str">
        <f>IFERROR(INDEX('Annex 1 LV, HV and UMS charges'!$C$13:$C$44,MATCH($A80,'Annex 1 LV, HV and UMS charges'!$A$13:$A$44,0)),INDEX('Annex 4 LDNO charges'!$C$13:$C$202,MATCH($A80,'Annex 4 LDNO charges'!$A$13:$A$202,0)))</f>
        <v>0, 3, 4, 5-8</v>
      </c>
      <c r="D80" s="196"/>
      <c r="E80" s="196"/>
      <c r="F80" s="195">
        <v>5.2226762235052702E-2</v>
      </c>
    </row>
    <row r="81" spans="1:6" ht="27.75" customHeight="1">
      <c r="A81" s="174" t="s">
        <v>601</v>
      </c>
      <c r="B81" s="172" t="str">
        <f>IFERROR(INDEX('Annex 1 LV, HV and UMS charges'!$B$12:$B$44,MATCH($A81,'Annex 1 LV, HV and UMS charges'!$A$12:$A$44,0)),IF(INDEX('Annex 4 LDNO charges'!$B$11:$B$202,MATCH($A81,'Annex 4 LDNO charges'!$A$11:$A$202,0))=0,"",INDEX('Annex 4 LDNO charges'!$B$11:$B$202,MATCH($A81,'Annex 4 LDNO charges'!$A$11:$A$202,0))))</f>
        <v>C31</v>
      </c>
      <c r="C81" s="207" t="str">
        <f>IFERROR(INDEX('Annex 1 LV, HV and UMS charges'!$C$13:$C$44,MATCH($A81,'Annex 1 LV, HV and UMS charges'!$A$13:$A$44,0)),INDEX('Annex 4 LDNO charges'!$C$13:$C$202,MATCH($A81,'Annex 4 LDNO charges'!$A$13:$A$202,0)))</f>
        <v>0, 3, 4, 5-8</v>
      </c>
      <c r="D81" s="196"/>
      <c r="E81" s="196"/>
      <c r="F81" s="195">
        <v>5.2226762235052702E-2</v>
      </c>
    </row>
    <row r="82" spans="1:6" ht="27.75" customHeight="1">
      <c r="A82" s="174" t="s">
        <v>602</v>
      </c>
      <c r="B82" s="172" t="str">
        <f>IFERROR(INDEX('Annex 1 LV, HV and UMS charges'!$B$12:$B$44,MATCH($A82,'Annex 1 LV, HV and UMS charges'!$A$12:$A$44,0)),IF(INDEX('Annex 4 LDNO charges'!$B$11:$B$202,MATCH($A82,'Annex 4 LDNO charges'!$A$11:$A$202,0))=0,"",INDEX('Annex 4 LDNO charges'!$B$11:$B$202,MATCH($A82,'Annex 4 LDNO charges'!$A$11:$A$202,0))))</f>
        <v>C32</v>
      </c>
      <c r="C82" s="207" t="str">
        <f>IFERROR(INDEX('Annex 1 LV, HV and UMS charges'!$C$13:$C$44,MATCH($A82,'Annex 1 LV, HV and UMS charges'!$A$13:$A$44,0)),INDEX('Annex 4 LDNO charges'!$C$13:$C$202,MATCH($A82,'Annex 4 LDNO charges'!$A$13:$A$202,0)))</f>
        <v>0, 3, 4, 5-8</v>
      </c>
      <c r="D82" s="196"/>
      <c r="E82" s="196"/>
      <c r="F82" s="195">
        <v>5.2226762235052702E-2</v>
      </c>
    </row>
    <row r="83" spans="1:6" ht="27.75" customHeight="1">
      <c r="A83" s="174" t="s">
        <v>603</v>
      </c>
      <c r="B83" s="172" t="str">
        <f>IFERROR(INDEX('Annex 1 LV, HV and UMS charges'!$B$12:$B$44,MATCH($A83,'Annex 1 LV, HV and UMS charges'!$A$12:$A$44,0)),IF(INDEX('Annex 4 LDNO charges'!$B$11:$B$202,MATCH($A83,'Annex 4 LDNO charges'!$A$11:$A$202,0))=0,"",INDEX('Annex 4 LDNO charges'!$B$11:$B$202,MATCH($A83,'Annex 4 LDNO charges'!$A$11:$A$202,0))))</f>
        <v>C33</v>
      </c>
      <c r="C83" s="207" t="str">
        <f>IFERROR(INDEX('Annex 1 LV, HV and UMS charges'!$C$13:$C$44,MATCH($A83,'Annex 1 LV, HV and UMS charges'!$A$13:$A$44,0)),INDEX('Annex 4 LDNO charges'!$C$13:$C$202,MATCH($A83,'Annex 4 LDNO charges'!$A$13:$A$202,0)))</f>
        <v>0, 3, 4, 5-8</v>
      </c>
      <c r="D83" s="196"/>
      <c r="E83" s="196"/>
      <c r="F83" s="195">
        <v>5.2226762235052702E-2</v>
      </c>
    </row>
    <row r="84" spans="1:6" ht="27.75" customHeight="1">
      <c r="A84" s="174" t="s">
        <v>604</v>
      </c>
      <c r="B84" s="172" t="str">
        <f>IFERROR(INDEX('Annex 1 LV, HV and UMS charges'!$B$12:$B$44,MATCH($A84,'Annex 1 LV, HV and UMS charges'!$A$12:$A$44,0)),IF(INDEX('Annex 4 LDNO charges'!$B$11:$B$202,MATCH($A84,'Annex 4 LDNO charges'!$A$11:$A$202,0))=0,"",INDEX('Annex 4 LDNO charges'!$B$11:$B$202,MATCH($A84,'Annex 4 LDNO charges'!$A$11:$A$202,0))))</f>
        <v>C34</v>
      </c>
      <c r="C84" s="207" t="str">
        <f>IFERROR(INDEX('Annex 1 LV, HV and UMS charges'!$C$13:$C$44,MATCH($A84,'Annex 1 LV, HV and UMS charges'!$A$13:$A$44,0)),INDEX('Annex 4 LDNO charges'!$C$13:$C$202,MATCH($A84,'Annex 4 LDNO charges'!$A$13:$A$202,0)))</f>
        <v>0, 3, 4, 5-8</v>
      </c>
      <c r="D84" s="196"/>
      <c r="E84" s="196"/>
      <c r="F84" s="195">
        <v>5.2226762235052702E-2</v>
      </c>
    </row>
    <row r="85" spans="1:6" ht="27.75" customHeight="1">
      <c r="A85" s="174" t="s">
        <v>605</v>
      </c>
      <c r="B85" s="172" t="str">
        <f>IFERROR(INDEX('Annex 1 LV, HV and UMS charges'!$B$12:$B$44,MATCH($A85,'Annex 1 LV, HV and UMS charges'!$A$12:$A$44,0)),IF(INDEX('Annex 4 LDNO charges'!$B$11:$B$202,MATCH($A85,'Annex 4 LDNO charges'!$A$11:$A$202,0))=0,"",INDEX('Annex 4 LDNO charges'!$B$11:$B$202,MATCH($A85,'Annex 4 LDNO charges'!$A$11:$A$202,0))))</f>
        <v>E30</v>
      </c>
      <c r="C85" s="207">
        <f>IFERROR(INDEX('Annex 1 LV, HV and UMS charges'!$C$13:$C$44,MATCH($A85,'Annex 1 LV, HV and UMS charges'!$A$13:$A$44,0)),INDEX('Annex 4 LDNO charges'!$C$13:$C$202,MATCH($A85,'Annex 4 LDNO charges'!$A$13:$A$202,0)))</f>
        <v>0</v>
      </c>
      <c r="D85" s="196"/>
      <c r="E85" s="196"/>
      <c r="F85" s="195">
        <v>5.2226762235052702E-2</v>
      </c>
    </row>
    <row r="86" spans="1:6" ht="27.75" customHeight="1">
      <c r="A86" s="174" t="s">
        <v>606</v>
      </c>
      <c r="B86" s="172" t="str">
        <f>IFERROR(INDEX('Annex 1 LV, HV and UMS charges'!$B$12:$B$44,MATCH($A86,'Annex 1 LV, HV and UMS charges'!$A$12:$A$44,0)),IF(INDEX('Annex 4 LDNO charges'!$B$11:$B$202,MATCH($A86,'Annex 4 LDNO charges'!$A$11:$A$202,0))=0,"",INDEX('Annex 4 LDNO charges'!$B$11:$B$202,MATCH($A86,'Annex 4 LDNO charges'!$A$11:$A$202,0))))</f>
        <v>E31</v>
      </c>
      <c r="C86" s="207">
        <f>IFERROR(INDEX('Annex 1 LV, HV and UMS charges'!$C$13:$C$44,MATCH($A86,'Annex 1 LV, HV and UMS charges'!$A$13:$A$44,0)),INDEX('Annex 4 LDNO charges'!$C$13:$C$202,MATCH($A86,'Annex 4 LDNO charges'!$A$13:$A$202,0)))</f>
        <v>0</v>
      </c>
      <c r="D86" s="196"/>
      <c r="E86" s="196"/>
      <c r="F86" s="195">
        <v>5.2226762235052702E-2</v>
      </c>
    </row>
    <row r="87" spans="1:6" ht="27.75" customHeight="1">
      <c r="A87" s="174" t="s">
        <v>607</v>
      </c>
      <c r="B87" s="172" t="str">
        <f>IFERROR(INDEX('Annex 1 LV, HV and UMS charges'!$B$12:$B$44,MATCH($A87,'Annex 1 LV, HV and UMS charges'!$A$12:$A$44,0)),IF(INDEX('Annex 4 LDNO charges'!$B$11:$B$202,MATCH($A87,'Annex 4 LDNO charges'!$A$11:$A$202,0))=0,"",INDEX('Annex 4 LDNO charges'!$B$11:$B$202,MATCH($A87,'Annex 4 LDNO charges'!$A$11:$A$202,0))))</f>
        <v>E32</v>
      </c>
      <c r="C87" s="207">
        <f>IFERROR(INDEX('Annex 1 LV, HV and UMS charges'!$C$13:$C$44,MATCH($A87,'Annex 1 LV, HV and UMS charges'!$A$13:$A$44,0)),INDEX('Annex 4 LDNO charges'!$C$13:$C$202,MATCH($A87,'Annex 4 LDNO charges'!$A$13:$A$202,0)))</f>
        <v>0</v>
      </c>
      <c r="D87" s="196"/>
      <c r="E87" s="196"/>
      <c r="F87" s="195">
        <v>5.2226762235052702E-2</v>
      </c>
    </row>
    <row r="88" spans="1:6" ht="27.75" customHeight="1">
      <c r="A88" s="174" t="s">
        <v>608</v>
      </c>
      <c r="B88" s="172" t="str">
        <f>IFERROR(INDEX('Annex 1 LV, HV and UMS charges'!$B$12:$B$44,MATCH($A88,'Annex 1 LV, HV and UMS charges'!$A$12:$A$44,0)),IF(INDEX('Annex 4 LDNO charges'!$B$11:$B$202,MATCH($A88,'Annex 4 LDNO charges'!$A$11:$A$202,0))=0,"",INDEX('Annex 4 LDNO charges'!$B$11:$B$202,MATCH($A88,'Annex 4 LDNO charges'!$A$11:$A$202,0))))</f>
        <v>E33</v>
      </c>
      <c r="C88" s="207">
        <f>IFERROR(INDEX('Annex 1 LV, HV and UMS charges'!$C$13:$C$44,MATCH($A88,'Annex 1 LV, HV and UMS charges'!$A$13:$A$44,0)),INDEX('Annex 4 LDNO charges'!$C$13:$C$202,MATCH($A88,'Annex 4 LDNO charges'!$A$13:$A$202,0)))</f>
        <v>0</v>
      </c>
      <c r="D88" s="196"/>
      <c r="E88" s="196"/>
      <c r="F88" s="195">
        <v>5.2226762235052702E-2</v>
      </c>
    </row>
    <row r="89" spans="1:6" ht="27.75" customHeight="1">
      <c r="A89" s="174" t="s">
        <v>609</v>
      </c>
      <c r="B89" s="172" t="str">
        <f>IFERROR(INDEX('Annex 1 LV, HV and UMS charges'!$B$12:$B$44,MATCH($A89,'Annex 1 LV, HV and UMS charges'!$A$12:$A$44,0)),IF(INDEX('Annex 4 LDNO charges'!$B$11:$B$202,MATCH($A89,'Annex 4 LDNO charges'!$A$11:$A$202,0))=0,"",INDEX('Annex 4 LDNO charges'!$B$11:$B$202,MATCH($A89,'Annex 4 LDNO charges'!$A$11:$A$202,0))))</f>
        <v>E34</v>
      </c>
      <c r="C89" s="207">
        <f>IFERROR(INDEX('Annex 1 LV, HV and UMS charges'!$C$13:$C$44,MATCH($A89,'Annex 1 LV, HV and UMS charges'!$A$13:$A$44,0)),INDEX('Annex 4 LDNO charges'!$C$13:$C$202,MATCH($A89,'Annex 4 LDNO charges'!$A$13:$A$202,0)))</f>
        <v>0</v>
      </c>
      <c r="D89" s="196"/>
      <c r="E89" s="196"/>
      <c r="F89" s="195">
        <v>5.2226762235052702E-2</v>
      </c>
    </row>
    <row r="90" spans="1:6" ht="27.75" customHeight="1">
      <c r="A90" s="174" t="s">
        <v>610</v>
      </c>
      <c r="B90" s="172" t="str">
        <f>IFERROR(INDEX('Annex 1 LV, HV and UMS charges'!$B$12:$B$44,MATCH($A90,'Annex 1 LV, HV and UMS charges'!$A$12:$A$44,0)),IF(INDEX('Annex 4 LDNO charges'!$B$11:$B$202,MATCH($A90,'Annex 4 LDNO charges'!$A$11:$A$202,0))=0,"",INDEX('Annex 4 LDNO charges'!$B$11:$B$202,MATCH($A90,'Annex 4 LDNO charges'!$A$11:$A$202,0))))</f>
        <v>J30</v>
      </c>
      <c r="C90" s="207">
        <f>IFERROR(INDEX('Annex 1 LV, HV and UMS charges'!$C$13:$C$44,MATCH($A90,'Annex 1 LV, HV and UMS charges'!$A$13:$A$44,0)),INDEX('Annex 4 LDNO charges'!$C$13:$C$202,MATCH($A90,'Annex 4 LDNO charges'!$A$13:$A$202,0)))</f>
        <v>0</v>
      </c>
      <c r="D90" s="196"/>
      <c r="E90" s="196"/>
      <c r="F90" s="195">
        <v>5.2226762235052702E-2</v>
      </c>
    </row>
    <row r="91" spans="1:6" ht="27.75" customHeight="1">
      <c r="A91" s="174" t="s">
        <v>611</v>
      </c>
      <c r="B91" s="172" t="str">
        <f>IFERROR(INDEX('Annex 1 LV, HV and UMS charges'!$B$12:$B$44,MATCH($A91,'Annex 1 LV, HV and UMS charges'!$A$12:$A$44,0)),IF(INDEX('Annex 4 LDNO charges'!$B$11:$B$202,MATCH($A91,'Annex 4 LDNO charges'!$A$11:$A$202,0))=0,"",INDEX('Annex 4 LDNO charges'!$B$11:$B$202,MATCH($A91,'Annex 4 LDNO charges'!$A$11:$A$202,0))))</f>
        <v>J31</v>
      </c>
      <c r="C91" s="207">
        <f>IFERROR(INDEX('Annex 1 LV, HV and UMS charges'!$C$13:$C$44,MATCH($A91,'Annex 1 LV, HV and UMS charges'!$A$13:$A$44,0)),INDEX('Annex 4 LDNO charges'!$C$13:$C$202,MATCH($A91,'Annex 4 LDNO charges'!$A$13:$A$202,0)))</f>
        <v>0</v>
      </c>
      <c r="D91" s="196"/>
      <c r="E91" s="196"/>
      <c r="F91" s="195">
        <v>5.2226762235052702E-2</v>
      </c>
    </row>
    <row r="92" spans="1:6" ht="27.75" customHeight="1">
      <c r="A92" s="174" t="s">
        <v>612</v>
      </c>
      <c r="B92" s="172" t="str">
        <f>IFERROR(INDEX('Annex 1 LV, HV and UMS charges'!$B$12:$B$44,MATCH($A92,'Annex 1 LV, HV and UMS charges'!$A$12:$A$44,0)),IF(INDEX('Annex 4 LDNO charges'!$B$11:$B$202,MATCH($A92,'Annex 4 LDNO charges'!$A$11:$A$202,0))=0,"",INDEX('Annex 4 LDNO charges'!$B$11:$B$202,MATCH($A92,'Annex 4 LDNO charges'!$A$11:$A$202,0))))</f>
        <v>J32</v>
      </c>
      <c r="C92" s="207">
        <f>IFERROR(INDEX('Annex 1 LV, HV and UMS charges'!$C$13:$C$44,MATCH($A92,'Annex 1 LV, HV and UMS charges'!$A$13:$A$44,0)),INDEX('Annex 4 LDNO charges'!$C$13:$C$202,MATCH($A92,'Annex 4 LDNO charges'!$A$13:$A$202,0)))</f>
        <v>0</v>
      </c>
      <c r="D92" s="196"/>
      <c r="E92" s="196"/>
      <c r="F92" s="195">
        <v>5.2226762235052702E-2</v>
      </c>
    </row>
    <row r="93" spans="1:6" ht="27.75" customHeight="1">
      <c r="A93" s="174" t="s">
        <v>613</v>
      </c>
      <c r="B93" s="172" t="str">
        <f>IFERROR(INDEX('Annex 1 LV, HV and UMS charges'!$B$12:$B$44,MATCH($A93,'Annex 1 LV, HV and UMS charges'!$A$12:$A$44,0)),IF(INDEX('Annex 4 LDNO charges'!$B$11:$B$202,MATCH($A93,'Annex 4 LDNO charges'!$A$11:$A$202,0))=0,"",INDEX('Annex 4 LDNO charges'!$B$11:$B$202,MATCH($A93,'Annex 4 LDNO charges'!$A$11:$A$202,0))))</f>
        <v>J33</v>
      </c>
      <c r="C93" s="207">
        <f>IFERROR(INDEX('Annex 1 LV, HV and UMS charges'!$C$13:$C$44,MATCH($A93,'Annex 1 LV, HV and UMS charges'!$A$13:$A$44,0)),INDEX('Annex 4 LDNO charges'!$C$13:$C$202,MATCH($A93,'Annex 4 LDNO charges'!$A$13:$A$202,0)))</f>
        <v>0</v>
      </c>
      <c r="D93" s="196"/>
      <c r="E93" s="196"/>
      <c r="F93" s="195">
        <v>5.2226762235052702E-2</v>
      </c>
    </row>
    <row r="94" spans="1:6" ht="27.75" customHeight="1">
      <c r="A94" s="174" t="s">
        <v>614</v>
      </c>
      <c r="B94" s="172" t="str">
        <f>IFERROR(INDEX('Annex 1 LV, HV and UMS charges'!$B$12:$B$44,MATCH($A94,'Annex 1 LV, HV and UMS charges'!$A$12:$A$44,0)),IF(INDEX('Annex 4 LDNO charges'!$B$11:$B$202,MATCH($A94,'Annex 4 LDNO charges'!$A$11:$A$202,0))=0,"",INDEX('Annex 4 LDNO charges'!$B$11:$B$202,MATCH($A94,'Annex 4 LDNO charges'!$A$11:$A$202,0))))</f>
        <v>J34</v>
      </c>
      <c r="C94" s="207">
        <f>IFERROR(INDEX('Annex 1 LV, HV and UMS charges'!$C$13:$C$44,MATCH($A94,'Annex 1 LV, HV and UMS charges'!$A$13:$A$44,0)),INDEX('Annex 4 LDNO charges'!$C$13:$C$202,MATCH($A94,'Annex 4 LDNO charges'!$A$13:$A$202,0)))</f>
        <v>0</v>
      </c>
      <c r="D94" s="196"/>
      <c r="E94" s="196"/>
      <c r="F94" s="195">
        <v>5.2226762235052702E-2</v>
      </c>
    </row>
    <row r="95" spans="1:6" ht="27.75" customHeight="1">
      <c r="A95" s="174" t="s">
        <v>615</v>
      </c>
      <c r="B95" s="172" t="str">
        <f>IFERROR(INDEX('Annex 1 LV, HV and UMS charges'!$B$12:$B$44,MATCH($A95,'Annex 1 LV, HV and UMS charges'!$A$12:$A$44,0)),IF(INDEX('Annex 4 LDNO charges'!$B$11:$B$202,MATCH($A95,'Annex 4 LDNO charges'!$A$11:$A$202,0))=0,"",INDEX('Annex 4 LDNO charges'!$B$11:$B$202,MATCH($A95,'Annex 4 LDNO charges'!$A$11:$A$202,0))))</f>
        <v>K30</v>
      </c>
      <c r="C95" s="207">
        <f>IFERROR(INDEX('Annex 1 LV, HV and UMS charges'!$C$13:$C$44,MATCH($A95,'Annex 1 LV, HV and UMS charges'!$A$13:$A$44,0)),INDEX('Annex 4 LDNO charges'!$C$13:$C$202,MATCH($A95,'Annex 4 LDNO charges'!$A$13:$A$202,0)))</f>
        <v>0</v>
      </c>
      <c r="D95" s="196"/>
      <c r="E95" s="196"/>
      <c r="F95" s="195">
        <v>5.2226762235052702E-2</v>
      </c>
    </row>
    <row r="96" spans="1:6" ht="27.75" customHeight="1">
      <c r="A96" s="174" t="s">
        <v>616</v>
      </c>
      <c r="B96" s="172" t="str">
        <f>IFERROR(INDEX('Annex 1 LV, HV and UMS charges'!$B$12:$B$44,MATCH($A96,'Annex 1 LV, HV and UMS charges'!$A$12:$A$44,0)),IF(INDEX('Annex 4 LDNO charges'!$B$11:$B$202,MATCH($A96,'Annex 4 LDNO charges'!$A$11:$A$202,0))=0,"",INDEX('Annex 4 LDNO charges'!$B$11:$B$202,MATCH($A96,'Annex 4 LDNO charges'!$A$11:$A$202,0))))</f>
        <v>K31</v>
      </c>
      <c r="C96" s="207">
        <f>IFERROR(INDEX('Annex 1 LV, HV and UMS charges'!$C$13:$C$44,MATCH($A96,'Annex 1 LV, HV and UMS charges'!$A$13:$A$44,0)),INDEX('Annex 4 LDNO charges'!$C$13:$C$202,MATCH($A96,'Annex 4 LDNO charges'!$A$13:$A$202,0)))</f>
        <v>0</v>
      </c>
      <c r="D96" s="196"/>
      <c r="E96" s="196"/>
      <c r="F96" s="195">
        <v>5.2226762235052702E-2</v>
      </c>
    </row>
    <row r="97" spans="1:6" ht="27.75" customHeight="1">
      <c r="A97" s="174" t="s">
        <v>617</v>
      </c>
      <c r="B97" s="172" t="str">
        <f>IFERROR(INDEX('Annex 1 LV, HV and UMS charges'!$B$12:$B$44,MATCH($A97,'Annex 1 LV, HV and UMS charges'!$A$12:$A$44,0)),IF(INDEX('Annex 4 LDNO charges'!$B$11:$B$202,MATCH($A97,'Annex 4 LDNO charges'!$A$11:$A$202,0))=0,"",INDEX('Annex 4 LDNO charges'!$B$11:$B$202,MATCH($A97,'Annex 4 LDNO charges'!$A$11:$A$202,0))))</f>
        <v>K32</v>
      </c>
      <c r="C97" s="207">
        <f>IFERROR(INDEX('Annex 1 LV, HV and UMS charges'!$C$13:$C$44,MATCH($A97,'Annex 1 LV, HV and UMS charges'!$A$13:$A$44,0)),INDEX('Annex 4 LDNO charges'!$C$13:$C$202,MATCH($A97,'Annex 4 LDNO charges'!$A$13:$A$202,0)))</f>
        <v>0</v>
      </c>
      <c r="D97" s="196"/>
      <c r="E97" s="196"/>
      <c r="F97" s="195">
        <v>5.2226762235052702E-2</v>
      </c>
    </row>
    <row r="98" spans="1:6" ht="27.75" customHeight="1">
      <c r="A98" s="174" t="s">
        <v>618</v>
      </c>
      <c r="B98" s="172" t="str">
        <f>IFERROR(INDEX('Annex 1 LV, HV and UMS charges'!$B$12:$B$44,MATCH($A98,'Annex 1 LV, HV and UMS charges'!$A$12:$A$44,0)),IF(INDEX('Annex 4 LDNO charges'!$B$11:$B$202,MATCH($A98,'Annex 4 LDNO charges'!$A$11:$A$202,0))=0,"",INDEX('Annex 4 LDNO charges'!$B$11:$B$202,MATCH($A98,'Annex 4 LDNO charges'!$A$11:$A$202,0))))</f>
        <v>K33</v>
      </c>
      <c r="C98" s="207">
        <f>IFERROR(INDEX('Annex 1 LV, HV and UMS charges'!$C$13:$C$44,MATCH($A98,'Annex 1 LV, HV and UMS charges'!$A$13:$A$44,0)),INDEX('Annex 4 LDNO charges'!$C$13:$C$202,MATCH($A98,'Annex 4 LDNO charges'!$A$13:$A$202,0)))</f>
        <v>0</v>
      </c>
      <c r="D98" s="196"/>
      <c r="E98" s="196"/>
      <c r="F98" s="195">
        <v>5.2226762235052702E-2</v>
      </c>
    </row>
    <row r="99" spans="1:6" ht="27.75" customHeight="1">
      <c r="A99" s="174" t="s">
        <v>619</v>
      </c>
      <c r="B99" s="172" t="str">
        <f>IFERROR(INDEX('Annex 1 LV, HV and UMS charges'!$B$12:$B$44,MATCH($A99,'Annex 1 LV, HV and UMS charges'!$A$12:$A$44,0)),IF(INDEX('Annex 4 LDNO charges'!$B$11:$B$202,MATCH($A99,'Annex 4 LDNO charges'!$A$11:$A$202,0))=0,"",INDEX('Annex 4 LDNO charges'!$B$11:$B$202,MATCH($A99,'Annex 4 LDNO charges'!$A$11:$A$202,0))))</f>
        <v>K34</v>
      </c>
      <c r="C99" s="207">
        <f>IFERROR(INDEX('Annex 1 LV, HV and UMS charges'!$C$13:$C$44,MATCH($A99,'Annex 1 LV, HV and UMS charges'!$A$13:$A$44,0)),INDEX('Annex 4 LDNO charges'!$C$13:$C$202,MATCH($A99,'Annex 4 LDNO charges'!$A$13:$A$202,0)))</f>
        <v>0</v>
      </c>
      <c r="D99" s="196"/>
      <c r="E99" s="196"/>
      <c r="F99" s="195">
        <v>5.2226762235052702E-2</v>
      </c>
    </row>
    <row r="100" spans="1:6" ht="27.75" customHeight="1">
      <c r="A100" s="174" t="s">
        <v>576</v>
      </c>
      <c r="B100" s="172" t="str">
        <f>IFERROR(INDEX('Annex 1 LV, HV and UMS charges'!$B$12:$B$44,MATCH($A100,'Annex 1 LV, HV and UMS charges'!$A$12:$A$44,0)),IF(INDEX('Annex 4 LDNO charges'!$B$11:$B$202,MATCH($A100,'Annex 4 LDNO charges'!$A$11:$A$202,0))=0,"",INDEX('Annex 4 LDNO charges'!$B$11:$B$202,MATCH($A100,'Annex 4 LDNO charges'!$A$11:$A$202,0))))</f>
        <v>A40</v>
      </c>
      <c r="C100" s="207" t="str">
        <f>IFERROR(INDEX('Annex 1 LV, HV and UMS charges'!$C$13:$C$44,MATCH($A100,'Annex 1 LV, HV and UMS charges'!$A$13:$A$44,0)),INDEX('Annex 4 LDNO charges'!$C$13:$C$202,MATCH($A100,'Annex 4 LDNO charges'!$A$13:$A$202,0)))</f>
        <v>0, 1, 2</v>
      </c>
      <c r="D100" s="195">
        <v>5.8592759584029715E-2</v>
      </c>
      <c r="E100" s="195">
        <v>9.6543477519751999</v>
      </c>
      <c r="F100" s="195">
        <v>5.2226762235052702E-2</v>
      </c>
    </row>
    <row r="101" spans="1:6" ht="27.75" customHeight="1">
      <c r="A101" s="174" t="s">
        <v>578</v>
      </c>
      <c r="B101" s="172" t="str">
        <f>IFERROR(INDEX('Annex 1 LV, HV and UMS charges'!$B$12:$B$44,MATCH($A101,'Annex 1 LV, HV and UMS charges'!$A$12:$A$44,0)),IF(INDEX('Annex 4 LDNO charges'!$B$11:$B$202,MATCH($A101,'Annex 4 LDNO charges'!$A$11:$A$202,0))=0,"",INDEX('Annex 4 LDNO charges'!$B$11:$B$202,MATCH($A101,'Annex 4 LDNO charges'!$A$11:$A$202,0))))</f>
        <v>C40</v>
      </c>
      <c r="C101" s="207" t="str">
        <f>IFERROR(INDEX('Annex 1 LV, HV and UMS charges'!$C$13:$C$44,MATCH($A101,'Annex 1 LV, HV and UMS charges'!$A$13:$A$44,0)),INDEX('Annex 4 LDNO charges'!$C$13:$C$202,MATCH($A101,'Annex 4 LDNO charges'!$A$13:$A$202,0)))</f>
        <v>0, 3, 4, 5-8</v>
      </c>
      <c r="D101" s="196"/>
      <c r="E101" s="196"/>
      <c r="F101" s="195">
        <v>5.2226762235052702E-2</v>
      </c>
    </row>
    <row r="102" spans="1:6" ht="27.75" customHeight="1">
      <c r="A102" s="174" t="s">
        <v>579</v>
      </c>
      <c r="B102" s="172" t="str">
        <f>IFERROR(INDEX('Annex 1 LV, HV and UMS charges'!$B$12:$B$44,MATCH($A102,'Annex 1 LV, HV and UMS charges'!$A$12:$A$44,0)),IF(INDEX('Annex 4 LDNO charges'!$B$11:$B$202,MATCH($A102,'Annex 4 LDNO charges'!$A$11:$A$202,0))=0,"",INDEX('Annex 4 LDNO charges'!$B$11:$B$202,MATCH($A102,'Annex 4 LDNO charges'!$A$11:$A$202,0))))</f>
        <v>C41</v>
      </c>
      <c r="C102" s="207" t="str">
        <f>IFERROR(INDEX('Annex 1 LV, HV and UMS charges'!$C$13:$C$44,MATCH($A102,'Annex 1 LV, HV and UMS charges'!$A$13:$A$44,0)),INDEX('Annex 4 LDNO charges'!$C$13:$C$202,MATCH($A102,'Annex 4 LDNO charges'!$A$13:$A$202,0)))</f>
        <v>0, 3, 4, 5-8</v>
      </c>
      <c r="D102" s="196"/>
      <c r="E102" s="196"/>
      <c r="F102" s="195">
        <v>5.2226762235052702E-2</v>
      </c>
    </row>
    <row r="103" spans="1:6" ht="27.75" customHeight="1">
      <c r="A103" s="174" t="s">
        <v>580</v>
      </c>
      <c r="B103" s="172" t="str">
        <f>IFERROR(INDEX('Annex 1 LV, HV and UMS charges'!$B$12:$B$44,MATCH($A103,'Annex 1 LV, HV and UMS charges'!$A$12:$A$44,0)),IF(INDEX('Annex 4 LDNO charges'!$B$11:$B$202,MATCH($A103,'Annex 4 LDNO charges'!$A$11:$A$202,0))=0,"",INDEX('Annex 4 LDNO charges'!$B$11:$B$202,MATCH($A103,'Annex 4 LDNO charges'!$A$11:$A$202,0))))</f>
        <v>C42</v>
      </c>
      <c r="C103" s="207" t="str">
        <f>IFERROR(INDEX('Annex 1 LV, HV and UMS charges'!$C$13:$C$44,MATCH($A103,'Annex 1 LV, HV and UMS charges'!$A$13:$A$44,0)),INDEX('Annex 4 LDNO charges'!$C$13:$C$202,MATCH($A103,'Annex 4 LDNO charges'!$A$13:$A$202,0)))</f>
        <v>0, 3, 4, 5-8</v>
      </c>
      <c r="D103" s="196"/>
      <c r="E103" s="196"/>
      <c r="F103" s="195">
        <v>5.2226762235052702E-2</v>
      </c>
    </row>
    <row r="104" spans="1:6" ht="27.75" customHeight="1">
      <c r="A104" s="174" t="s">
        <v>581</v>
      </c>
      <c r="B104" s="172" t="str">
        <f>IFERROR(INDEX('Annex 1 LV, HV and UMS charges'!$B$12:$B$44,MATCH($A104,'Annex 1 LV, HV and UMS charges'!$A$12:$A$44,0)),IF(INDEX('Annex 4 LDNO charges'!$B$11:$B$202,MATCH($A104,'Annex 4 LDNO charges'!$A$11:$A$202,0))=0,"",INDEX('Annex 4 LDNO charges'!$B$11:$B$202,MATCH($A104,'Annex 4 LDNO charges'!$A$11:$A$202,0))))</f>
        <v>C43</v>
      </c>
      <c r="C104" s="207" t="str">
        <f>IFERROR(INDEX('Annex 1 LV, HV and UMS charges'!$C$13:$C$44,MATCH($A104,'Annex 1 LV, HV and UMS charges'!$A$13:$A$44,0)),INDEX('Annex 4 LDNO charges'!$C$13:$C$202,MATCH($A104,'Annex 4 LDNO charges'!$A$13:$A$202,0)))</f>
        <v>0, 3, 4, 5-8</v>
      </c>
      <c r="D104" s="196"/>
      <c r="E104" s="196"/>
      <c r="F104" s="195">
        <v>5.2226762235052702E-2</v>
      </c>
    </row>
    <row r="105" spans="1:6" ht="27.75" customHeight="1">
      <c r="A105" s="174" t="s">
        <v>582</v>
      </c>
      <c r="B105" s="172" t="str">
        <f>IFERROR(INDEX('Annex 1 LV, HV and UMS charges'!$B$12:$B$44,MATCH($A105,'Annex 1 LV, HV and UMS charges'!$A$12:$A$44,0)),IF(INDEX('Annex 4 LDNO charges'!$B$11:$B$202,MATCH($A105,'Annex 4 LDNO charges'!$A$11:$A$202,0))=0,"",INDEX('Annex 4 LDNO charges'!$B$11:$B$202,MATCH($A105,'Annex 4 LDNO charges'!$A$11:$A$202,0))))</f>
        <v>C44</v>
      </c>
      <c r="C105" s="207" t="str">
        <f>IFERROR(INDEX('Annex 1 LV, HV and UMS charges'!$C$13:$C$44,MATCH($A105,'Annex 1 LV, HV and UMS charges'!$A$13:$A$44,0)),INDEX('Annex 4 LDNO charges'!$C$13:$C$202,MATCH($A105,'Annex 4 LDNO charges'!$A$13:$A$202,0)))</f>
        <v>0, 3, 4, 5-8</v>
      </c>
      <c r="D105" s="196"/>
      <c r="E105" s="196"/>
      <c r="F105" s="195">
        <v>5.2226762235052702E-2</v>
      </c>
    </row>
    <row r="106" spans="1:6" ht="27.75" customHeight="1">
      <c r="A106" s="174" t="s">
        <v>583</v>
      </c>
      <c r="B106" s="172" t="str">
        <f>IFERROR(INDEX('Annex 1 LV, HV and UMS charges'!$B$12:$B$44,MATCH($A106,'Annex 1 LV, HV and UMS charges'!$A$12:$A$44,0)),IF(INDEX('Annex 4 LDNO charges'!$B$11:$B$202,MATCH($A106,'Annex 4 LDNO charges'!$A$11:$A$202,0))=0,"",INDEX('Annex 4 LDNO charges'!$B$11:$B$202,MATCH($A106,'Annex 4 LDNO charges'!$A$11:$A$202,0))))</f>
        <v>E40</v>
      </c>
      <c r="C106" s="207">
        <f>IFERROR(INDEX('Annex 1 LV, HV and UMS charges'!$C$13:$C$44,MATCH($A106,'Annex 1 LV, HV and UMS charges'!$A$13:$A$44,0)),INDEX('Annex 4 LDNO charges'!$C$13:$C$202,MATCH($A106,'Annex 4 LDNO charges'!$A$13:$A$202,0)))</f>
        <v>0</v>
      </c>
      <c r="D106" s="196"/>
      <c r="E106" s="196"/>
      <c r="F106" s="195">
        <v>5.2226762235052702E-2</v>
      </c>
    </row>
    <row r="107" spans="1:6" ht="27.75" customHeight="1">
      <c r="A107" s="174" t="s">
        <v>584</v>
      </c>
      <c r="B107" s="172" t="str">
        <f>IFERROR(INDEX('Annex 1 LV, HV and UMS charges'!$B$12:$B$44,MATCH($A107,'Annex 1 LV, HV and UMS charges'!$A$12:$A$44,0)),IF(INDEX('Annex 4 LDNO charges'!$B$11:$B$202,MATCH($A107,'Annex 4 LDNO charges'!$A$11:$A$202,0))=0,"",INDEX('Annex 4 LDNO charges'!$B$11:$B$202,MATCH($A107,'Annex 4 LDNO charges'!$A$11:$A$202,0))))</f>
        <v>E41</v>
      </c>
      <c r="C107" s="207">
        <f>IFERROR(INDEX('Annex 1 LV, HV and UMS charges'!$C$13:$C$44,MATCH($A107,'Annex 1 LV, HV and UMS charges'!$A$13:$A$44,0)),INDEX('Annex 4 LDNO charges'!$C$13:$C$202,MATCH($A107,'Annex 4 LDNO charges'!$A$13:$A$202,0)))</f>
        <v>0</v>
      </c>
      <c r="D107" s="196"/>
      <c r="E107" s="196"/>
      <c r="F107" s="195">
        <v>5.2226762235052702E-2</v>
      </c>
    </row>
    <row r="108" spans="1:6" ht="27.75" customHeight="1">
      <c r="A108" s="174" t="s">
        <v>585</v>
      </c>
      <c r="B108" s="172" t="str">
        <f>IFERROR(INDEX('Annex 1 LV, HV and UMS charges'!$B$12:$B$44,MATCH($A108,'Annex 1 LV, HV and UMS charges'!$A$12:$A$44,0)),IF(INDEX('Annex 4 LDNO charges'!$B$11:$B$202,MATCH($A108,'Annex 4 LDNO charges'!$A$11:$A$202,0))=0,"",INDEX('Annex 4 LDNO charges'!$B$11:$B$202,MATCH($A108,'Annex 4 LDNO charges'!$A$11:$A$202,0))))</f>
        <v>E42</v>
      </c>
      <c r="C108" s="207">
        <f>IFERROR(INDEX('Annex 1 LV, HV and UMS charges'!$C$13:$C$44,MATCH($A108,'Annex 1 LV, HV and UMS charges'!$A$13:$A$44,0)),INDEX('Annex 4 LDNO charges'!$C$13:$C$202,MATCH($A108,'Annex 4 LDNO charges'!$A$13:$A$202,0)))</f>
        <v>0</v>
      </c>
      <c r="D108" s="196"/>
      <c r="E108" s="196"/>
      <c r="F108" s="195">
        <v>5.2226762235052702E-2</v>
      </c>
    </row>
    <row r="109" spans="1:6" ht="27.75" customHeight="1">
      <c r="A109" s="174" t="s">
        <v>586</v>
      </c>
      <c r="B109" s="172" t="str">
        <f>IFERROR(INDEX('Annex 1 LV, HV and UMS charges'!$B$12:$B$44,MATCH($A109,'Annex 1 LV, HV and UMS charges'!$A$12:$A$44,0)),IF(INDEX('Annex 4 LDNO charges'!$B$11:$B$202,MATCH($A109,'Annex 4 LDNO charges'!$A$11:$A$202,0))=0,"",INDEX('Annex 4 LDNO charges'!$B$11:$B$202,MATCH($A109,'Annex 4 LDNO charges'!$A$11:$A$202,0))))</f>
        <v>E43</v>
      </c>
      <c r="C109" s="207">
        <f>IFERROR(INDEX('Annex 1 LV, HV and UMS charges'!$C$13:$C$44,MATCH($A109,'Annex 1 LV, HV and UMS charges'!$A$13:$A$44,0)),INDEX('Annex 4 LDNO charges'!$C$13:$C$202,MATCH($A109,'Annex 4 LDNO charges'!$A$13:$A$202,0)))</f>
        <v>0</v>
      </c>
      <c r="D109" s="196"/>
      <c r="E109" s="196"/>
      <c r="F109" s="195">
        <v>5.2226762235052702E-2</v>
      </c>
    </row>
    <row r="110" spans="1:6" ht="27.75" customHeight="1">
      <c r="A110" s="174" t="s">
        <v>587</v>
      </c>
      <c r="B110" s="172" t="str">
        <f>IFERROR(INDEX('Annex 1 LV, HV and UMS charges'!$B$12:$B$44,MATCH($A110,'Annex 1 LV, HV and UMS charges'!$A$12:$A$44,0)),IF(INDEX('Annex 4 LDNO charges'!$B$11:$B$202,MATCH($A110,'Annex 4 LDNO charges'!$A$11:$A$202,0))=0,"",INDEX('Annex 4 LDNO charges'!$B$11:$B$202,MATCH($A110,'Annex 4 LDNO charges'!$A$11:$A$202,0))))</f>
        <v>E44</v>
      </c>
      <c r="C110" s="207">
        <f>IFERROR(INDEX('Annex 1 LV, HV and UMS charges'!$C$13:$C$44,MATCH($A110,'Annex 1 LV, HV and UMS charges'!$A$13:$A$44,0)),INDEX('Annex 4 LDNO charges'!$C$13:$C$202,MATCH($A110,'Annex 4 LDNO charges'!$A$13:$A$202,0)))</f>
        <v>0</v>
      </c>
      <c r="D110" s="196"/>
      <c r="E110" s="196"/>
      <c r="F110" s="195">
        <v>5.2226762235052702E-2</v>
      </c>
    </row>
    <row r="111" spans="1:6" ht="27.75" customHeight="1">
      <c r="A111" s="174" t="s">
        <v>588</v>
      </c>
      <c r="B111" s="172" t="str">
        <f>IFERROR(INDEX('Annex 1 LV, HV and UMS charges'!$B$12:$B$44,MATCH($A111,'Annex 1 LV, HV and UMS charges'!$A$12:$A$44,0)),IF(INDEX('Annex 4 LDNO charges'!$B$11:$B$202,MATCH($A111,'Annex 4 LDNO charges'!$A$11:$A$202,0))=0,"",INDEX('Annex 4 LDNO charges'!$B$11:$B$202,MATCH($A111,'Annex 4 LDNO charges'!$A$11:$A$202,0))))</f>
        <v>J40</v>
      </c>
      <c r="C111" s="207">
        <f>IFERROR(INDEX('Annex 1 LV, HV and UMS charges'!$C$13:$C$44,MATCH($A111,'Annex 1 LV, HV and UMS charges'!$A$13:$A$44,0)),INDEX('Annex 4 LDNO charges'!$C$13:$C$202,MATCH($A111,'Annex 4 LDNO charges'!$A$13:$A$202,0)))</f>
        <v>0</v>
      </c>
      <c r="D111" s="196"/>
      <c r="E111" s="196"/>
      <c r="F111" s="195">
        <v>5.2226762235052702E-2</v>
      </c>
    </row>
    <row r="112" spans="1:6" ht="27.75" customHeight="1">
      <c r="A112" s="174" t="s">
        <v>589</v>
      </c>
      <c r="B112" s="172" t="str">
        <f>IFERROR(INDEX('Annex 1 LV, HV and UMS charges'!$B$12:$B$44,MATCH($A112,'Annex 1 LV, HV and UMS charges'!$A$12:$A$44,0)),IF(INDEX('Annex 4 LDNO charges'!$B$11:$B$202,MATCH($A112,'Annex 4 LDNO charges'!$A$11:$A$202,0))=0,"",INDEX('Annex 4 LDNO charges'!$B$11:$B$202,MATCH($A112,'Annex 4 LDNO charges'!$A$11:$A$202,0))))</f>
        <v>J41</v>
      </c>
      <c r="C112" s="207">
        <f>IFERROR(INDEX('Annex 1 LV, HV and UMS charges'!$C$13:$C$44,MATCH($A112,'Annex 1 LV, HV and UMS charges'!$A$13:$A$44,0)),INDEX('Annex 4 LDNO charges'!$C$13:$C$202,MATCH($A112,'Annex 4 LDNO charges'!$A$13:$A$202,0)))</f>
        <v>0</v>
      </c>
      <c r="D112" s="196"/>
      <c r="E112" s="196"/>
      <c r="F112" s="195">
        <v>5.2226762235052702E-2</v>
      </c>
    </row>
    <row r="113" spans="1:6" ht="27.75" customHeight="1">
      <c r="A113" s="174" t="s">
        <v>590</v>
      </c>
      <c r="B113" s="172" t="str">
        <f>IFERROR(INDEX('Annex 1 LV, HV and UMS charges'!$B$12:$B$44,MATCH($A113,'Annex 1 LV, HV and UMS charges'!$A$12:$A$44,0)),IF(INDEX('Annex 4 LDNO charges'!$B$11:$B$202,MATCH($A113,'Annex 4 LDNO charges'!$A$11:$A$202,0))=0,"",INDEX('Annex 4 LDNO charges'!$B$11:$B$202,MATCH($A113,'Annex 4 LDNO charges'!$A$11:$A$202,0))))</f>
        <v>J42</v>
      </c>
      <c r="C113" s="207">
        <f>IFERROR(INDEX('Annex 1 LV, HV and UMS charges'!$C$13:$C$44,MATCH($A113,'Annex 1 LV, HV and UMS charges'!$A$13:$A$44,0)),INDEX('Annex 4 LDNO charges'!$C$13:$C$202,MATCH($A113,'Annex 4 LDNO charges'!$A$13:$A$202,0)))</f>
        <v>0</v>
      </c>
      <c r="D113" s="196"/>
      <c r="E113" s="196"/>
      <c r="F113" s="195">
        <v>5.2226762235052702E-2</v>
      </c>
    </row>
    <row r="114" spans="1:6" ht="27.75" customHeight="1">
      <c r="A114" s="174" t="s">
        <v>591</v>
      </c>
      <c r="B114" s="172" t="str">
        <f>IFERROR(INDEX('Annex 1 LV, HV and UMS charges'!$B$12:$B$44,MATCH($A114,'Annex 1 LV, HV and UMS charges'!$A$12:$A$44,0)),IF(INDEX('Annex 4 LDNO charges'!$B$11:$B$202,MATCH($A114,'Annex 4 LDNO charges'!$A$11:$A$202,0))=0,"",INDEX('Annex 4 LDNO charges'!$B$11:$B$202,MATCH($A114,'Annex 4 LDNO charges'!$A$11:$A$202,0))))</f>
        <v>J43</v>
      </c>
      <c r="C114" s="207">
        <f>IFERROR(INDEX('Annex 1 LV, HV and UMS charges'!$C$13:$C$44,MATCH($A114,'Annex 1 LV, HV and UMS charges'!$A$13:$A$44,0)),INDEX('Annex 4 LDNO charges'!$C$13:$C$202,MATCH($A114,'Annex 4 LDNO charges'!$A$13:$A$202,0)))</f>
        <v>0</v>
      </c>
      <c r="D114" s="196"/>
      <c r="E114" s="196"/>
      <c r="F114" s="195">
        <v>5.2226762235052702E-2</v>
      </c>
    </row>
    <row r="115" spans="1:6" ht="27.75" customHeight="1">
      <c r="A115" s="174" t="s">
        <v>592</v>
      </c>
      <c r="B115" s="172" t="str">
        <f>IFERROR(INDEX('Annex 1 LV, HV and UMS charges'!$B$12:$B$44,MATCH($A115,'Annex 1 LV, HV and UMS charges'!$A$12:$A$44,0)),IF(INDEX('Annex 4 LDNO charges'!$B$11:$B$202,MATCH($A115,'Annex 4 LDNO charges'!$A$11:$A$202,0))=0,"",INDEX('Annex 4 LDNO charges'!$B$11:$B$202,MATCH($A115,'Annex 4 LDNO charges'!$A$11:$A$202,0))))</f>
        <v>J44</v>
      </c>
      <c r="C115" s="207">
        <f>IFERROR(INDEX('Annex 1 LV, HV and UMS charges'!$C$13:$C$44,MATCH($A115,'Annex 1 LV, HV and UMS charges'!$A$13:$A$44,0)),INDEX('Annex 4 LDNO charges'!$C$13:$C$202,MATCH($A115,'Annex 4 LDNO charges'!$A$13:$A$202,0)))</f>
        <v>0</v>
      </c>
      <c r="D115" s="196"/>
      <c r="E115" s="196"/>
      <c r="F115" s="195">
        <v>5.2226762235052702E-2</v>
      </c>
    </row>
    <row r="116" spans="1:6" ht="27.75" customHeight="1">
      <c r="A116" s="174" t="s">
        <v>593</v>
      </c>
      <c r="B116" s="172" t="str">
        <f>IFERROR(INDEX('Annex 1 LV, HV and UMS charges'!$B$12:$B$44,MATCH($A116,'Annex 1 LV, HV and UMS charges'!$A$12:$A$44,0)),IF(INDEX('Annex 4 LDNO charges'!$B$11:$B$202,MATCH($A116,'Annex 4 LDNO charges'!$A$11:$A$202,0))=0,"",INDEX('Annex 4 LDNO charges'!$B$11:$B$202,MATCH($A116,'Annex 4 LDNO charges'!$A$11:$A$202,0))))</f>
        <v>K40</v>
      </c>
      <c r="C116" s="207">
        <f>IFERROR(INDEX('Annex 1 LV, HV and UMS charges'!$C$13:$C$44,MATCH($A116,'Annex 1 LV, HV and UMS charges'!$A$13:$A$44,0)),INDEX('Annex 4 LDNO charges'!$C$13:$C$202,MATCH($A116,'Annex 4 LDNO charges'!$A$13:$A$202,0)))</f>
        <v>0</v>
      </c>
      <c r="D116" s="196"/>
      <c r="E116" s="196"/>
      <c r="F116" s="195">
        <v>5.2226762235052702E-2</v>
      </c>
    </row>
    <row r="117" spans="1:6" ht="27.75" customHeight="1">
      <c r="A117" s="174" t="s">
        <v>594</v>
      </c>
      <c r="B117" s="172" t="str">
        <f>IFERROR(INDEX('Annex 1 LV, HV and UMS charges'!$B$12:$B$44,MATCH($A117,'Annex 1 LV, HV and UMS charges'!$A$12:$A$44,0)),IF(INDEX('Annex 4 LDNO charges'!$B$11:$B$202,MATCH($A117,'Annex 4 LDNO charges'!$A$11:$A$202,0))=0,"",INDEX('Annex 4 LDNO charges'!$B$11:$B$202,MATCH($A117,'Annex 4 LDNO charges'!$A$11:$A$202,0))))</f>
        <v>K41</v>
      </c>
      <c r="C117" s="207">
        <f>IFERROR(INDEX('Annex 1 LV, HV and UMS charges'!$C$13:$C$44,MATCH($A117,'Annex 1 LV, HV and UMS charges'!$A$13:$A$44,0)),INDEX('Annex 4 LDNO charges'!$C$13:$C$202,MATCH($A117,'Annex 4 LDNO charges'!$A$13:$A$202,0)))</f>
        <v>0</v>
      </c>
      <c r="D117" s="196"/>
      <c r="E117" s="196"/>
      <c r="F117" s="195">
        <v>5.2226762235052702E-2</v>
      </c>
    </row>
    <row r="118" spans="1:6" ht="27.75" customHeight="1">
      <c r="A118" s="174" t="s">
        <v>595</v>
      </c>
      <c r="B118" s="172" t="str">
        <f>IFERROR(INDEX('Annex 1 LV, HV and UMS charges'!$B$12:$B$44,MATCH($A118,'Annex 1 LV, HV and UMS charges'!$A$12:$A$44,0)),IF(INDEX('Annex 4 LDNO charges'!$B$11:$B$202,MATCH($A118,'Annex 4 LDNO charges'!$A$11:$A$202,0))=0,"",INDEX('Annex 4 LDNO charges'!$B$11:$B$202,MATCH($A118,'Annex 4 LDNO charges'!$A$11:$A$202,0))))</f>
        <v>K42</v>
      </c>
      <c r="C118" s="207">
        <f>IFERROR(INDEX('Annex 1 LV, HV and UMS charges'!$C$13:$C$44,MATCH($A118,'Annex 1 LV, HV and UMS charges'!$A$13:$A$44,0)),INDEX('Annex 4 LDNO charges'!$C$13:$C$202,MATCH($A118,'Annex 4 LDNO charges'!$A$13:$A$202,0)))</f>
        <v>0</v>
      </c>
      <c r="D118" s="196"/>
      <c r="E118" s="196"/>
      <c r="F118" s="195">
        <v>5.2226762235052702E-2</v>
      </c>
    </row>
    <row r="119" spans="1:6" ht="27.75" customHeight="1">
      <c r="A119" s="174" t="s">
        <v>596</v>
      </c>
      <c r="B119" s="172" t="str">
        <f>IFERROR(INDEX('Annex 1 LV, HV and UMS charges'!$B$12:$B$44,MATCH($A119,'Annex 1 LV, HV and UMS charges'!$A$12:$A$44,0)),IF(INDEX('Annex 4 LDNO charges'!$B$11:$B$202,MATCH($A119,'Annex 4 LDNO charges'!$A$11:$A$202,0))=0,"",INDEX('Annex 4 LDNO charges'!$B$11:$B$202,MATCH($A119,'Annex 4 LDNO charges'!$A$11:$A$202,0))))</f>
        <v>K43</v>
      </c>
      <c r="C119" s="207">
        <f>IFERROR(INDEX('Annex 1 LV, HV and UMS charges'!$C$13:$C$44,MATCH($A119,'Annex 1 LV, HV and UMS charges'!$A$13:$A$44,0)),INDEX('Annex 4 LDNO charges'!$C$13:$C$202,MATCH($A119,'Annex 4 LDNO charges'!$A$13:$A$202,0)))</f>
        <v>0</v>
      </c>
      <c r="D119" s="196"/>
      <c r="E119" s="196"/>
      <c r="F119" s="195">
        <v>5.2226762235052702E-2</v>
      </c>
    </row>
    <row r="120" spans="1:6" ht="27.75" customHeight="1">
      <c r="A120" s="174" t="s">
        <v>597</v>
      </c>
      <c r="B120" s="172" t="str">
        <f>IFERROR(INDEX('Annex 1 LV, HV and UMS charges'!$B$12:$B$44,MATCH($A120,'Annex 1 LV, HV and UMS charges'!$A$12:$A$44,0)),IF(INDEX('Annex 4 LDNO charges'!$B$11:$B$202,MATCH($A120,'Annex 4 LDNO charges'!$A$11:$A$202,0))=0,"",INDEX('Annex 4 LDNO charges'!$B$11:$B$202,MATCH($A120,'Annex 4 LDNO charges'!$A$11:$A$202,0))))</f>
        <v>K44</v>
      </c>
      <c r="C120" s="207">
        <f>IFERROR(INDEX('Annex 1 LV, HV and UMS charges'!$C$13:$C$44,MATCH($A120,'Annex 1 LV, HV and UMS charges'!$A$13:$A$44,0)),INDEX('Annex 4 LDNO charges'!$C$13:$C$202,MATCH($A120,'Annex 4 LDNO charges'!$A$13:$A$202,0)))</f>
        <v>0</v>
      </c>
      <c r="D120" s="196"/>
      <c r="E120" s="196"/>
      <c r="F120" s="195">
        <v>5.2226762235052702E-2</v>
      </c>
    </row>
    <row r="121" spans="1:6" ht="27.75" customHeight="1">
      <c r="A121" s="174" t="s">
        <v>554</v>
      </c>
      <c r="B121" s="172" t="str">
        <f>IFERROR(INDEX('Annex 1 LV, HV and UMS charges'!$B$12:$B$44,MATCH($A121,'Annex 1 LV, HV and UMS charges'!$A$12:$A$44,0)),IF(INDEX('Annex 4 LDNO charges'!$B$11:$B$202,MATCH($A121,'Annex 4 LDNO charges'!$A$11:$A$202,0))=0,"",INDEX('Annex 4 LDNO charges'!$B$11:$B$202,MATCH($A121,'Annex 4 LDNO charges'!$A$11:$A$202,0))))</f>
        <v>A50</v>
      </c>
      <c r="C121" s="207" t="str">
        <f>IFERROR(INDEX('Annex 1 LV, HV and UMS charges'!$C$13:$C$44,MATCH($A121,'Annex 1 LV, HV and UMS charges'!$A$13:$A$44,0)),INDEX('Annex 4 LDNO charges'!$C$13:$C$202,MATCH($A121,'Annex 4 LDNO charges'!$A$13:$A$202,0)))</f>
        <v>0, 1, 2</v>
      </c>
      <c r="D121" s="195">
        <v>5.8592759584029715E-2</v>
      </c>
      <c r="E121" s="195">
        <v>9.6543477519751999</v>
      </c>
      <c r="F121" s="195">
        <v>5.2226762235052702E-2</v>
      </c>
    </row>
    <row r="122" spans="1:6" ht="27.75" customHeight="1">
      <c r="A122" s="174" t="s">
        <v>556</v>
      </c>
      <c r="B122" s="172" t="str">
        <f>IFERROR(INDEX('Annex 1 LV, HV and UMS charges'!$B$12:$B$44,MATCH($A122,'Annex 1 LV, HV and UMS charges'!$A$12:$A$44,0)),IF(INDEX('Annex 4 LDNO charges'!$B$11:$B$202,MATCH($A122,'Annex 4 LDNO charges'!$A$11:$A$202,0))=0,"",INDEX('Annex 4 LDNO charges'!$B$11:$B$202,MATCH($A122,'Annex 4 LDNO charges'!$A$11:$A$202,0))))</f>
        <v>C50</v>
      </c>
      <c r="C122" s="207" t="str">
        <f>IFERROR(INDEX('Annex 1 LV, HV and UMS charges'!$C$13:$C$44,MATCH($A122,'Annex 1 LV, HV and UMS charges'!$A$13:$A$44,0)),INDEX('Annex 4 LDNO charges'!$C$13:$C$202,MATCH($A122,'Annex 4 LDNO charges'!$A$13:$A$202,0)))</f>
        <v>0, 3, 4, 5-8</v>
      </c>
      <c r="D122" s="196"/>
      <c r="E122" s="196"/>
      <c r="F122" s="195">
        <v>5.2226762235052702E-2</v>
      </c>
    </row>
    <row r="123" spans="1:6" ht="27.75" customHeight="1">
      <c r="A123" s="174" t="s">
        <v>557</v>
      </c>
      <c r="B123" s="172" t="str">
        <f>IFERROR(INDEX('Annex 1 LV, HV and UMS charges'!$B$12:$B$44,MATCH($A123,'Annex 1 LV, HV and UMS charges'!$A$12:$A$44,0)),IF(INDEX('Annex 4 LDNO charges'!$B$11:$B$202,MATCH($A123,'Annex 4 LDNO charges'!$A$11:$A$202,0))=0,"",INDEX('Annex 4 LDNO charges'!$B$11:$B$202,MATCH($A123,'Annex 4 LDNO charges'!$A$11:$A$202,0))))</f>
        <v>C51</v>
      </c>
      <c r="C123" s="207" t="str">
        <f>IFERROR(INDEX('Annex 1 LV, HV and UMS charges'!$C$13:$C$44,MATCH($A123,'Annex 1 LV, HV and UMS charges'!$A$13:$A$44,0)),INDEX('Annex 4 LDNO charges'!$C$13:$C$202,MATCH($A123,'Annex 4 LDNO charges'!$A$13:$A$202,0)))</f>
        <v>0, 3, 4, 5-8</v>
      </c>
      <c r="D123" s="196"/>
      <c r="E123" s="196"/>
      <c r="F123" s="195">
        <v>5.2226762235052702E-2</v>
      </c>
    </row>
    <row r="124" spans="1:6" ht="27.75" customHeight="1">
      <c r="A124" s="174" t="s">
        <v>558</v>
      </c>
      <c r="B124" s="172" t="str">
        <f>IFERROR(INDEX('Annex 1 LV, HV and UMS charges'!$B$12:$B$44,MATCH($A124,'Annex 1 LV, HV and UMS charges'!$A$12:$A$44,0)),IF(INDEX('Annex 4 LDNO charges'!$B$11:$B$202,MATCH($A124,'Annex 4 LDNO charges'!$A$11:$A$202,0))=0,"",INDEX('Annex 4 LDNO charges'!$B$11:$B$202,MATCH($A124,'Annex 4 LDNO charges'!$A$11:$A$202,0))))</f>
        <v>C52</v>
      </c>
      <c r="C124" s="207" t="str">
        <f>IFERROR(INDEX('Annex 1 LV, HV and UMS charges'!$C$13:$C$44,MATCH($A124,'Annex 1 LV, HV and UMS charges'!$A$13:$A$44,0)),INDEX('Annex 4 LDNO charges'!$C$13:$C$202,MATCH($A124,'Annex 4 LDNO charges'!$A$13:$A$202,0)))</f>
        <v>0, 3, 4, 5-8</v>
      </c>
      <c r="D124" s="196"/>
      <c r="E124" s="196"/>
      <c r="F124" s="195">
        <v>5.2226762235052702E-2</v>
      </c>
    </row>
    <row r="125" spans="1:6" ht="27.75" customHeight="1">
      <c r="A125" s="174" t="s">
        <v>559</v>
      </c>
      <c r="B125" s="172" t="str">
        <f>IFERROR(INDEX('Annex 1 LV, HV and UMS charges'!$B$12:$B$44,MATCH($A125,'Annex 1 LV, HV and UMS charges'!$A$12:$A$44,0)),IF(INDEX('Annex 4 LDNO charges'!$B$11:$B$202,MATCH($A125,'Annex 4 LDNO charges'!$A$11:$A$202,0))=0,"",INDEX('Annex 4 LDNO charges'!$B$11:$B$202,MATCH($A125,'Annex 4 LDNO charges'!$A$11:$A$202,0))))</f>
        <v>C53</v>
      </c>
      <c r="C125" s="207" t="str">
        <f>IFERROR(INDEX('Annex 1 LV, HV and UMS charges'!$C$13:$C$44,MATCH($A125,'Annex 1 LV, HV and UMS charges'!$A$13:$A$44,0)),INDEX('Annex 4 LDNO charges'!$C$13:$C$202,MATCH($A125,'Annex 4 LDNO charges'!$A$13:$A$202,0)))</f>
        <v>0, 3, 4, 5-8</v>
      </c>
      <c r="D125" s="196"/>
      <c r="E125" s="196"/>
      <c r="F125" s="195">
        <v>5.2226762235052702E-2</v>
      </c>
    </row>
    <row r="126" spans="1:6" ht="27.75" customHeight="1">
      <c r="A126" s="174" t="s">
        <v>560</v>
      </c>
      <c r="B126" s="172" t="str">
        <f>IFERROR(INDEX('Annex 1 LV, HV and UMS charges'!$B$12:$B$44,MATCH($A126,'Annex 1 LV, HV and UMS charges'!$A$12:$A$44,0)),IF(INDEX('Annex 4 LDNO charges'!$B$11:$B$202,MATCH($A126,'Annex 4 LDNO charges'!$A$11:$A$202,0))=0,"",INDEX('Annex 4 LDNO charges'!$B$11:$B$202,MATCH($A126,'Annex 4 LDNO charges'!$A$11:$A$202,0))))</f>
        <v>C54</v>
      </c>
      <c r="C126" s="207" t="str">
        <f>IFERROR(INDEX('Annex 1 LV, HV and UMS charges'!$C$13:$C$44,MATCH($A126,'Annex 1 LV, HV and UMS charges'!$A$13:$A$44,0)),INDEX('Annex 4 LDNO charges'!$C$13:$C$202,MATCH($A126,'Annex 4 LDNO charges'!$A$13:$A$202,0)))</f>
        <v>0, 3, 4, 5-8</v>
      </c>
      <c r="D126" s="196"/>
      <c r="E126" s="196"/>
      <c r="F126" s="195">
        <v>5.2226762235052702E-2</v>
      </c>
    </row>
    <row r="127" spans="1:6" ht="27.75" customHeight="1">
      <c r="A127" s="174" t="s">
        <v>561</v>
      </c>
      <c r="B127" s="172" t="str">
        <f>IFERROR(INDEX('Annex 1 LV, HV and UMS charges'!$B$12:$B$44,MATCH($A127,'Annex 1 LV, HV and UMS charges'!$A$12:$A$44,0)),IF(INDEX('Annex 4 LDNO charges'!$B$11:$B$202,MATCH($A127,'Annex 4 LDNO charges'!$A$11:$A$202,0))=0,"",INDEX('Annex 4 LDNO charges'!$B$11:$B$202,MATCH($A127,'Annex 4 LDNO charges'!$A$11:$A$202,0))))</f>
        <v>E50</v>
      </c>
      <c r="C127" s="207">
        <f>IFERROR(INDEX('Annex 1 LV, HV and UMS charges'!$C$13:$C$44,MATCH($A127,'Annex 1 LV, HV and UMS charges'!$A$13:$A$44,0)),INDEX('Annex 4 LDNO charges'!$C$13:$C$202,MATCH($A127,'Annex 4 LDNO charges'!$A$13:$A$202,0)))</f>
        <v>0</v>
      </c>
      <c r="D127" s="196"/>
      <c r="E127" s="196"/>
      <c r="F127" s="195">
        <v>5.2226762235052702E-2</v>
      </c>
    </row>
    <row r="128" spans="1:6" ht="27.75" customHeight="1">
      <c r="A128" s="174" t="s">
        <v>562</v>
      </c>
      <c r="B128" s="172" t="str">
        <f>IFERROR(INDEX('Annex 1 LV, HV and UMS charges'!$B$12:$B$44,MATCH($A128,'Annex 1 LV, HV and UMS charges'!$A$12:$A$44,0)),IF(INDEX('Annex 4 LDNO charges'!$B$11:$B$202,MATCH($A128,'Annex 4 LDNO charges'!$A$11:$A$202,0))=0,"",INDEX('Annex 4 LDNO charges'!$B$11:$B$202,MATCH($A128,'Annex 4 LDNO charges'!$A$11:$A$202,0))))</f>
        <v>E51</v>
      </c>
      <c r="C128" s="207">
        <f>IFERROR(INDEX('Annex 1 LV, HV and UMS charges'!$C$13:$C$44,MATCH($A128,'Annex 1 LV, HV and UMS charges'!$A$13:$A$44,0)),INDEX('Annex 4 LDNO charges'!$C$13:$C$202,MATCH($A128,'Annex 4 LDNO charges'!$A$13:$A$202,0)))</f>
        <v>0</v>
      </c>
      <c r="D128" s="196"/>
      <c r="E128" s="196"/>
      <c r="F128" s="195">
        <v>5.2226762235052702E-2</v>
      </c>
    </row>
    <row r="129" spans="1:6" ht="27.75" customHeight="1">
      <c r="A129" s="174" t="s">
        <v>563</v>
      </c>
      <c r="B129" s="172" t="str">
        <f>IFERROR(INDEX('Annex 1 LV, HV and UMS charges'!$B$12:$B$44,MATCH($A129,'Annex 1 LV, HV and UMS charges'!$A$12:$A$44,0)),IF(INDEX('Annex 4 LDNO charges'!$B$11:$B$202,MATCH($A129,'Annex 4 LDNO charges'!$A$11:$A$202,0))=0,"",INDEX('Annex 4 LDNO charges'!$B$11:$B$202,MATCH($A129,'Annex 4 LDNO charges'!$A$11:$A$202,0))))</f>
        <v>E52</v>
      </c>
      <c r="C129" s="207">
        <f>IFERROR(INDEX('Annex 1 LV, HV and UMS charges'!$C$13:$C$44,MATCH($A129,'Annex 1 LV, HV and UMS charges'!$A$13:$A$44,0)),INDEX('Annex 4 LDNO charges'!$C$13:$C$202,MATCH($A129,'Annex 4 LDNO charges'!$A$13:$A$202,0)))</f>
        <v>0</v>
      </c>
      <c r="D129" s="196"/>
      <c r="E129" s="196"/>
      <c r="F129" s="195">
        <v>5.2226762235052702E-2</v>
      </c>
    </row>
    <row r="130" spans="1:6" ht="27.75" customHeight="1">
      <c r="A130" s="174" t="s">
        <v>564</v>
      </c>
      <c r="B130" s="172" t="str">
        <f>IFERROR(INDEX('Annex 1 LV, HV and UMS charges'!$B$12:$B$44,MATCH($A130,'Annex 1 LV, HV and UMS charges'!$A$12:$A$44,0)),IF(INDEX('Annex 4 LDNO charges'!$B$11:$B$202,MATCH($A130,'Annex 4 LDNO charges'!$A$11:$A$202,0))=0,"",INDEX('Annex 4 LDNO charges'!$B$11:$B$202,MATCH($A130,'Annex 4 LDNO charges'!$A$11:$A$202,0))))</f>
        <v>E53</v>
      </c>
      <c r="C130" s="207">
        <f>IFERROR(INDEX('Annex 1 LV, HV and UMS charges'!$C$13:$C$44,MATCH($A130,'Annex 1 LV, HV and UMS charges'!$A$13:$A$44,0)),INDEX('Annex 4 LDNO charges'!$C$13:$C$202,MATCH($A130,'Annex 4 LDNO charges'!$A$13:$A$202,0)))</f>
        <v>0</v>
      </c>
      <c r="D130" s="196"/>
      <c r="E130" s="196"/>
      <c r="F130" s="195">
        <v>5.2226762235052702E-2</v>
      </c>
    </row>
    <row r="131" spans="1:6" ht="27.75" customHeight="1">
      <c r="A131" s="174" t="s">
        <v>565</v>
      </c>
      <c r="B131" s="172" t="str">
        <f>IFERROR(INDEX('Annex 1 LV, HV and UMS charges'!$B$12:$B$44,MATCH($A131,'Annex 1 LV, HV and UMS charges'!$A$12:$A$44,0)),IF(INDEX('Annex 4 LDNO charges'!$B$11:$B$202,MATCH($A131,'Annex 4 LDNO charges'!$A$11:$A$202,0))=0,"",INDEX('Annex 4 LDNO charges'!$B$11:$B$202,MATCH($A131,'Annex 4 LDNO charges'!$A$11:$A$202,0))))</f>
        <v>E54</v>
      </c>
      <c r="C131" s="207">
        <f>IFERROR(INDEX('Annex 1 LV, HV and UMS charges'!$C$13:$C$44,MATCH($A131,'Annex 1 LV, HV and UMS charges'!$A$13:$A$44,0)),INDEX('Annex 4 LDNO charges'!$C$13:$C$202,MATCH($A131,'Annex 4 LDNO charges'!$A$13:$A$202,0)))</f>
        <v>0</v>
      </c>
      <c r="D131" s="196"/>
      <c r="E131" s="196"/>
      <c r="F131" s="195">
        <v>5.2226762235052702E-2</v>
      </c>
    </row>
    <row r="132" spans="1:6" ht="27.75" customHeight="1">
      <c r="A132" s="174" t="s">
        <v>566</v>
      </c>
      <c r="B132" s="172" t="str">
        <f>IFERROR(INDEX('Annex 1 LV, HV and UMS charges'!$B$12:$B$44,MATCH($A132,'Annex 1 LV, HV and UMS charges'!$A$12:$A$44,0)),IF(INDEX('Annex 4 LDNO charges'!$B$11:$B$202,MATCH($A132,'Annex 4 LDNO charges'!$A$11:$A$202,0))=0,"",INDEX('Annex 4 LDNO charges'!$B$11:$B$202,MATCH($A132,'Annex 4 LDNO charges'!$A$11:$A$202,0))))</f>
        <v>J50</v>
      </c>
      <c r="C132" s="207">
        <f>IFERROR(INDEX('Annex 1 LV, HV and UMS charges'!$C$13:$C$44,MATCH($A132,'Annex 1 LV, HV and UMS charges'!$A$13:$A$44,0)),INDEX('Annex 4 LDNO charges'!$C$13:$C$202,MATCH($A132,'Annex 4 LDNO charges'!$A$13:$A$202,0)))</f>
        <v>0</v>
      </c>
      <c r="D132" s="196"/>
      <c r="E132" s="196"/>
      <c r="F132" s="195">
        <v>5.2226762235052702E-2</v>
      </c>
    </row>
    <row r="133" spans="1:6" ht="27.75" customHeight="1">
      <c r="A133" s="174" t="s">
        <v>567</v>
      </c>
      <c r="B133" s="172" t="str">
        <f>IFERROR(INDEX('Annex 1 LV, HV and UMS charges'!$B$12:$B$44,MATCH($A133,'Annex 1 LV, HV and UMS charges'!$A$12:$A$44,0)),IF(INDEX('Annex 4 LDNO charges'!$B$11:$B$202,MATCH($A133,'Annex 4 LDNO charges'!$A$11:$A$202,0))=0,"",INDEX('Annex 4 LDNO charges'!$B$11:$B$202,MATCH($A133,'Annex 4 LDNO charges'!$A$11:$A$202,0))))</f>
        <v>J51</v>
      </c>
      <c r="C133" s="207">
        <f>IFERROR(INDEX('Annex 1 LV, HV and UMS charges'!$C$13:$C$44,MATCH($A133,'Annex 1 LV, HV and UMS charges'!$A$13:$A$44,0)),INDEX('Annex 4 LDNO charges'!$C$13:$C$202,MATCH($A133,'Annex 4 LDNO charges'!$A$13:$A$202,0)))</f>
        <v>0</v>
      </c>
      <c r="D133" s="196"/>
      <c r="E133" s="196"/>
      <c r="F133" s="195">
        <v>5.2226762235052702E-2</v>
      </c>
    </row>
    <row r="134" spans="1:6" ht="27.75" customHeight="1">
      <c r="A134" s="174" t="s">
        <v>568</v>
      </c>
      <c r="B134" s="172" t="str">
        <f>IFERROR(INDEX('Annex 1 LV, HV and UMS charges'!$B$12:$B$44,MATCH($A134,'Annex 1 LV, HV and UMS charges'!$A$12:$A$44,0)),IF(INDEX('Annex 4 LDNO charges'!$B$11:$B$202,MATCH($A134,'Annex 4 LDNO charges'!$A$11:$A$202,0))=0,"",INDEX('Annex 4 LDNO charges'!$B$11:$B$202,MATCH($A134,'Annex 4 LDNO charges'!$A$11:$A$202,0))))</f>
        <v>J52</v>
      </c>
      <c r="C134" s="207">
        <f>IFERROR(INDEX('Annex 1 LV, HV and UMS charges'!$C$13:$C$44,MATCH($A134,'Annex 1 LV, HV and UMS charges'!$A$13:$A$44,0)),INDEX('Annex 4 LDNO charges'!$C$13:$C$202,MATCH($A134,'Annex 4 LDNO charges'!$A$13:$A$202,0)))</f>
        <v>0</v>
      </c>
      <c r="D134" s="196"/>
      <c r="E134" s="196"/>
      <c r="F134" s="195">
        <v>5.2226762235052702E-2</v>
      </c>
    </row>
    <row r="135" spans="1:6" ht="27.75" customHeight="1">
      <c r="A135" s="174" t="s">
        <v>569</v>
      </c>
      <c r="B135" s="172" t="str">
        <f>IFERROR(INDEX('Annex 1 LV, HV and UMS charges'!$B$12:$B$44,MATCH($A135,'Annex 1 LV, HV and UMS charges'!$A$12:$A$44,0)),IF(INDEX('Annex 4 LDNO charges'!$B$11:$B$202,MATCH($A135,'Annex 4 LDNO charges'!$A$11:$A$202,0))=0,"",INDEX('Annex 4 LDNO charges'!$B$11:$B$202,MATCH($A135,'Annex 4 LDNO charges'!$A$11:$A$202,0))))</f>
        <v>J53</v>
      </c>
      <c r="C135" s="207">
        <f>IFERROR(INDEX('Annex 1 LV, HV and UMS charges'!$C$13:$C$44,MATCH($A135,'Annex 1 LV, HV and UMS charges'!$A$13:$A$44,0)),INDEX('Annex 4 LDNO charges'!$C$13:$C$202,MATCH($A135,'Annex 4 LDNO charges'!$A$13:$A$202,0)))</f>
        <v>0</v>
      </c>
      <c r="D135" s="196"/>
      <c r="E135" s="196"/>
      <c r="F135" s="195">
        <v>5.2226762235052702E-2</v>
      </c>
    </row>
    <row r="136" spans="1:6" ht="27.75" customHeight="1">
      <c r="A136" s="174" t="s">
        <v>570</v>
      </c>
      <c r="B136" s="172" t="str">
        <f>IFERROR(INDEX('Annex 1 LV, HV and UMS charges'!$B$12:$B$44,MATCH($A136,'Annex 1 LV, HV and UMS charges'!$A$12:$A$44,0)),IF(INDEX('Annex 4 LDNO charges'!$B$11:$B$202,MATCH($A136,'Annex 4 LDNO charges'!$A$11:$A$202,0))=0,"",INDEX('Annex 4 LDNO charges'!$B$11:$B$202,MATCH($A136,'Annex 4 LDNO charges'!$A$11:$A$202,0))))</f>
        <v>J54</v>
      </c>
      <c r="C136" s="207">
        <f>IFERROR(INDEX('Annex 1 LV, HV and UMS charges'!$C$13:$C$44,MATCH($A136,'Annex 1 LV, HV and UMS charges'!$A$13:$A$44,0)),INDEX('Annex 4 LDNO charges'!$C$13:$C$202,MATCH($A136,'Annex 4 LDNO charges'!$A$13:$A$202,0)))</f>
        <v>0</v>
      </c>
      <c r="D136" s="196"/>
      <c r="E136" s="196"/>
      <c r="F136" s="195">
        <v>5.2226762235052702E-2</v>
      </c>
    </row>
    <row r="137" spans="1:6" ht="27.75" customHeight="1">
      <c r="A137" s="174" t="s">
        <v>571</v>
      </c>
      <c r="B137" s="172" t="str">
        <f>IFERROR(INDEX('Annex 1 LV, HV and UMS charges'!$B$12:$B$44,MATCH($A137,'Annex 1 LV, HV and UMS charges'!$A$12:$A$44,0)),IF(INDEX('Annex 4 LDNO charges'!$B$11:$B$202,MATCH($A137,'Annex 4 LDNO charges'!$A$11:$A$202,0))=0,"",INDEX('Annex 4 LDNO charges'!$B$11:$B$202,MATCH($A137,'Annex 4 LDNO charges'!$A$11:$A$202,0))))</f>
        <v>K50</v>
      </c>
      <c r="C137" s="207">
        <f>IFERROR(INDEX('Annex 1 LV, HV and UMS charges'!$C$13:$C$44,MATCH($A137,'Annex 1 LV, HV and UMS charges'!$A$13:$A$44,0)),INDEX('Annex 4 LDNO charges'!$C$13:$C$202,MATCH($A137,'Annex 4 LDNO charges'!$A$13:$A$202,0)))</f>
        <v>0</v>
      </c>
      <c r="D137" s="196"/>
      <c r="E137" s="196"/>
      <c r="F137" s="195">
        <v>5.2226762235052702E-2</v>
      </c>
    </row>
    <row r="138" spans="1:6" ht="27.75" customHeight="1">
      <c r="A138" s="174" t="s">
        <v>572</v>
      </c>
      <c r="B138" s="172" t="str">
        <f>IFERROR(INDEX('Annex 1 LV, HV and UMS charges'!$B$12:$B$44,MATCH($A138,'Annex 1 LV, HV and UMS charges'!$A$12:$A$44,0)),IF(INDEX('Annex 4 LDNO charges'!$B$11:$B$202,MATCH($A138,'Annex 4 LDNO charges'!$A$11:$A$202,0))=0,"",INDEX('Annex 4 LDNO charges'!$B$11:$B$202,MATCH($A138,'Annex 4 LDNO charges'!$A$11:$A$202,0))))</f>
        <v>K51</v>
      </c>
      <c r="C138" s="207">
        <f>IFERROR(INDEX('Annex 1 LV, HV and UMS charges'!$C$13:$C$44,MATCH($A138,'Annex 1 LV, HV and UMS charges'!$A$13:$A$44,0)),INDEX('Annex 4 LDNO charges'!$C$13:$C$202,MATCH($A138,'Annex 4 LDNO charges'!$A$13:$A$202,0)))</f>
        <v>0</v>
      </c>
      <c r="D138" s="196"/>
      <c r="E138" s="196"/>
      <c r="F138" s="195">
        <v>5.2226762235052702E-2</v>
      </c>
    </row>
    <row r="139" spans="1:6" ht="27.75" customHeight="1">
      <c r="A139" s="174" t="s">
        <v>573</v>
      </c>
      <c r="B139" s="172" t="str">
        <f>IFERROR(INDEX('Annex 1 LV, HV and UMS charges'!$B$12:$B$44,MATCH($A139,'Annex 1 LV, HV and UMS charges'!$A$12:$A$44,0)),IF(INDEX('Annex 4 LDNO charges'!$B$11:$B$202,MATCH($A139,'Annex 4 LDNO charges'!$A$11:$A$202,0))=0,"",INDEX('Annex 4 LDNO charges'!$B$11:$B$202,MATCH($A139,'Annex 4 LDNO charges'!$A$11:$A$202,0))))</f>
        <v>K52</v>
      </c>
      <c r="C139" s="207">
        <f>IFERROR(INDEX('Annex 1 LV, HV and UMS charges'!$C$13:$C$44,MATCH($A139,'Annex 1 LV, HV and UMS charges'!$A$13:$A$44,0)),INDEX('Annex 4 LDNO charges'!$C$13:$C$202,MATCH($A139,'Annex 4 LDNO charges'!$A$13:$A$202,0)))</f>
        <v>0</v>
      </c>
      <c r="D139" s="196"/>
      <c r="E139" s="196"/>
      <c r="F139" s="195">
        <v>5.2226762235052702E-2</v>
      </c>
    </row>
    <row r="140" spans="1:6" ht="27.75" customHeight="1">
      <c r="A140" s="174" t="s">
        <v>574</v>
      </c>
      <c r="B140" s="172" t="str">
        <f>IFERROR(INDEX('Annex 1 LV, HV and UMS charges'!$B$12:$B$44,MATCH($A140,'Annex 1 LV, HV and UMS charges'!$A$12:$A$44,0)),IF(INDEX('Annex 4 LDNO charges'!$B$11:$B$202,MATCH($A140,'Annex 4 LDNO charges'!$A$11:$A$202,0))=0,"",INDEX('Annex 4 LDNO charges'!$B$11:$B$202,MATCH($A140,'Annex 4 LDNO charges'!$A$11:$A$202,0))))</f>
        <v>K53</v>
      </c>
      <c r="C140" s="207">
        <f>IFERROR(INDEX('Annex 1 LV, HV and UMS charges'!$C$13:$C$44,MATCH($A140,'Annex 1 LV, HV and UMS charges'!$A$13:$A$44,0)),INDEX('Annex 4 LDNO charges'!$C$13:$C$202,MATCH($A140,'Annex 4 LDNO charges'!$A$13:$A$202,0)))</f>
        <v>0</v>
      </c>
      <c r="D140" s="196"/>
      <c r="E140" s="196"/>
      <c r="F140" s="195">
        <v>5.2226762235052702E-2</v>
      </c>
    </row>
    <row r="141" spans="1:6" ht="27.75" customHeight="1">
      <c r="A141" s="174" t="s">
        <v>575</v>
      </c>
      <c r="B141" s="172" t="str">
        <f>IFERROR(INDEX('Annex 1 LV, HV and UMS charges'!$B$12:$B$44,MATCH($A141,'Annex 1 LV, HV and UMS charges'!$A$12:$A$44,0)),IF(INDEX('Annex 4 LDNO charges'!$B$11:$B$202,MATCH($A141,'Annex 4 LDNO charges'!$A$11:$A$202,0))=0,"",INDEX('Annex 4 LDNO charges'!$B$11:$B$202,MATCH($A141,'Annex 4 LDNO charges'!$A$11:$A$202,0))))</f>
        <v>K54</v>
      </c>
      <c r="C141" s="207">
        <f>IFERROR(INDEX('Annex 1 LV, HV and UMS charges'!$C$13:$C$44,MATCH($A141,'Annex 1 LV, HV and UMS charges'!$A$13:$A$44,0)),INDEX('Annex 4 LDNO charges'!$C$13:$C$202,MATCH($A141,'Annex 4 LDNO charges'!$A$13:$A$202,0)))</f>
        <v>0</v>
      </c>
      <c r="D141" s="196"/>
      <c r="E141" s="196"/>
      <c r="F141" s="195">
        <v>5.2226762235052702E-2</v>
      </c>
    </row>
    <row r="142" spans="1:6" ht="27.75" customHeight="1">
      <c r="A142" s="174" t="s">
        <v>532</v>
      </c>
      <c r="B142" s="172" t="str">
        <f>IFERROR(INDEX('Annex 1 LV, HV and UMS charges'!$B$12:$B$44,MATCH($A142,'Annex 1 LV, HV and UMS charges'!$A$12:$A$44,0)),IF(INDEX('Annex 4 LDNO charges'!$B$11:$B$202,MATCH($A142,'Annex 4 LDNO charges'!$A$11:$A$202,0))=0,"",INDEX('Annex 4 LDNO charges'!$B$11:$B$202,MATCH($A142,'Annex 4 LDNO charges'!$A$11:$A$202,0))))</f>
        <v>A60</v>
      </c>
      <c r="C142" s="207" t="str">
        <f>IFERROR(INDEX('Annex 1 LV, HV and UMS charges'!$C$13:$C$44,MATCH($A142,'Annex 1 LV, HV and UMS charges'!$A$13:$A$44,0)),INDEX('Annex 4 LDNO charges'!$C$13:$C$202,MATCH($A142,'Annex 4 LDNO charges'!$A$13:$A$202,0)))</f>
        <v>0, 1, 2</v>
      </c>
      <c r="D142" s="195">
        <v>5.8592759584029715E-2</v>
      </c>
      <c r="E142" s="195">
        <v>9.6543477519751999</v>
      </c>
      <c r="F142" s="195">
        <v>5.2226762235052702E-2</v>
      </c>
    </row>
    <row r="143" spans="1:6" ht="27.75" customHeight="1">
      <c r="A143" s="174" t="s">
        <v>534</v>
      </c>
      <c r="B143" s="172" t="str">
        <f>IFERROR(INDEX('Annex 1 LV, HV and UMS charges'!$B$12:$B$44,MATCH($A143,'Annex 1 LV, HV and UMS charges'!$A$12:$A$44,0)),IF(INDEX('Annex 4 LDNO charges'!$B$11:$B$202,MATCH($A143,'Annex 4 LDNO charges'!$A$11:$A$202,0))=0,"",INDEX('Annex 4 LDNO charges'!$B$11:$B$202,MATCH($A143,'Annex 4 LDNO charges'!$A$11:$A$202,0))))</f>
        <v>C60</v>
      </c>
      <c r="C143" s="207" t="str">
        <f>IFERROR(INDEX('Annex 1 LV, HV and UMS charges'!$C$13:$C$44,MATCH($A143,'Annex 1 LV, HV and UMS charges'!$A$13:$A$44,0)),INDEX('Annex 4 LDNO charges'!$C$13:$C$202,MATCH($A143,'Annex 4 LDNO charges'!$A$13:$A$202,0)))</f>
        <v>0, 3, 4, 5-8</v>
      </c>
      <c r="D143" s="196"/>
      <c r="E143" s="196"/>
      <c r="F143" s="195">
        <v>5.2226762235052702E-2</v>
      </c>
    </row>
    <row r="144" spans="1:6" ht="27.75" customHeight="1">
      <c r="A144" s="174" t="s">
        <v>535</v>
      </c>
      <c r="B144" s="172" t="str">
        <f>IFERROR(INDEX('Annex 1 LV, HV and UMS charges'!$B$12:$B$44,MATCH($A144,'Annex 1 LV, HV and UMS charges'!$A$12:$A$44,0)),IF(INDEX('Annex 4 LDNO charges'!$B$11:$B$202,MATCH($A144,'Annex 4 LDNO charges'!$A$11:$A$202,0))=0,"",INDEX('Annex 4 LDNO charges'!$B$11:$B$202,MATCH($A144,'Annex 4 LDNO charges'!$A$11:$A$202,0))))</f>
        <v>C61</v>
      </c>
      <c r="C144" s="207" t="str">
        <f>IFERROR(INDEX('Annex 1 LV, HV and UMS charges'!$C$13:$C$44,MATCH($A144,'Annex 1 LV, HV and UMS charges'!$A$13:$A$44,0)),INDEX('Annex 4 LDNO charges'!$C$13:$C$202,MATCH($A144,'Annex 4 LDNO charges'!$A$13:$A$202,0)))</f>
        <v>0, 3, 4, 5-8</v>
      </c>
      <c r="D144" s="196"/>
      <c r="E144" s="196"/>
      <c r="F144" s="195">
        <v>5.2226762235052702E-2</v>
      </c>
    </row>
    <row r="145" spans="1:6" ht="27.75" customHeight="1">
      <c r="A145" s="174" t="s">
        <v>536</v>
      </c>
      <c r="B145" s="172" t="str">
        <f>IFERROR(INDEX('Annex 1 LV, HV and UMS charges'!$B$12:$B$44,MATCH($A145,'Annex 1 LV, HV and UMS charges'!$A$12:$A$44,0)),IF(INDEX('Annex 4 LDNO charges'!$B$11:$B$202,MATCH($A145,'Annex 4 LDNO charges'!$A$11:$A$202,0))=0,"",INDEX('Annex 4 LDNO charges'!$B$11:$B$202,MATCH($A145,'Annex 4 LDNO charges'!$A$11:$A$202,0))))</f>
        <v>C62</v>
      </c>
      <c r="C145" s="207" t="str">
        <f>IFERROR(INDEX('Annex 1 LV, HV and UMS charges'!$C$13:$C$44,MATCH($A145,'Annex 1 LV, HV and UMS charges'!$A$13:$A$44,0)),INDEX('Annex 4 LDNO charges'!$C$13:$C$202,MATCH($A145,'Annex 4 LDNO charges'!$A$13:$A$202,0)))</f>
        <v>0, 3, 4, 5-8</v>
      </c>
      <c r="D145" s="196"/>
      <c r="E145" s="196"/>
      <c r="F145" s="195">
        <v>5.2226762235052702E-2</v>
      </c>
    </row>
    <row r="146" spans="1:6" ht="27.75" customHeight="1">
      <c r="A146" s="174" t="s">
        <v>537</v>
      </c>
      <c r="B146" s="172" t="str">
        <f>IFERROR(INDEX('Annex 1 LV, HV and UMS charges'!$B$12:$B$44,MATCH($A146,'Annex 1 LV, HV and UMS charges'!$A$12:$A$44,0)),IF(INDEX('Annex 4 LDNO charges'!$B$11:$B$202,MATCH($A146,'Annex 4 LDNO charges'!$A$11:$A$202,0))=0,"",INDEX('Annex 4 LDNO charges'!$B$11:$B$202,MATCH($A146,'Annex 4 LDNO charges'!$A$11:$A$202,0))))</f>
        <v>C63</v>
      </c>
      <c r="C146" s="207" t="str">
        <f>IFERROR(INDEX('Annex 1 LV, HV and UMS charges'!$C$13:$C$44,MATCH($A146,'Annex 1 LV, HV and UMS charges'!$A$13:$A$44,0)),INDEX('Annex 4 LDNO charges'!$C$13:$C$202,MATCH($A146,'Annex 4 LDNO charges'!$A$13:$A$202,0)))</f>
        <v>0, 3, 4, 5-8</v>
      </c>
      <c r="D146" s="196"/>
      <c r="E146" s="196"/>
      <c r="F146" s="195">
        <v>5.2226762235052702E-2</v>
      </c>
    </row>
    <row r="147" spans="1:6" ht="27.75" customHeight="1">
      <c r="A147" s="174" t="s">
        <v>538</v>
      </c>
      <c r="B147" s="172" t="str">
        <f>IFERROR(INDEX('Annex 1 LV, HV and UMS charges'!$B$12:$B$44,MATCH($A147,'Annex 1 LV, HV and UMS charges'!$A$12:$A$44,0)),IF(INDEX('Annex 4 LDNO charges'!$B$11:$B$202,MATCH($A147,'Annex 4 LDNO charges'!$A$11:$A$202,0))=0,"",INDEX('Annex 4 LDNO charges'!$B$11:$B$202,MATCH($A147,'Annex 4 LDNO charges'!$A$11:$A$202,0))))</f>
        <v>C64</v>
      </c>
      <c r="C147" s="207" t="str">
        <f>IFERROR(INDEX('Annex 1 LV, HV and UMS charges'!$C$13:$C$44,MATCH($A147,'Annex 1 LV, HV and UMS charges'!$A$13:$A$44,0)),INDEX('Annex 4 LDNO charges'!$C$13:$C$202,MATCH($A147,'Annex 4 LDNO charges'!$A$13:$A$202,0)))</f>
        <v>0, 3, 4, 5-8</v>
      </c>
      <c r="D147" s="196"/>
      <c r="E147" s="196"/>
      <c r="F147" s="195">
        <v>5.2226762235052702E-2</v>
      </c>
    </row>
    <row r="148" spans="1:6" ht="27.75" customHeight="1">
      <c r="A148" s="174" t="s">
        <v>539</v>
      </c>
      <c r="B148" s="172" t="str">
        <f>IFERROR(INDEX('Annex 1 LV, HV and UMS charges'!$B$12:$B$44,MATCH($A148,'Annex 1 LV, HV and UMS charges'!$A$12:$A$44,0)),IF(INDEX('Annex 4 LDNO charges'!$B$11:$B$202,MATCH($A148,'Annex 4 LDNO charges'!$A$11:$A$202,0))=0,"",INDEX('Annex 4 LDNO charges'!$B$11:$B$202,MATCH($A148,'Annex 4 LDNO charges'!$A$11:$A$202,0))))</f>
        <v>E60</v>
      </c>
      <c r="C148" s="207">
        <f>IFERROR(INDEX('Annex 1 LV, HV and UMS charges'!$C$13:$C$44,MATCH($A148,'Annex 1 LV, HV and UMS charges'!$A$13:$A$44,0)),INDEX('Annex 4 LDNO charges'!$C$13:$C$202,MATCH($A148,'Annex 4 LDNO charges'!$A$13:$A$202,0)))</f>
        <v>0</v>
      </c>
      <c r="D148" s="196"/>
      <c r="E148" s="196"/>
      <c r="F148" s="195">
        <v>5.2226762235052702E-2</v>
      </c>
    </row>
    <row r="149" spans="1:6" ht="27.75" customHeight="1">
      <c r="A149" s="174" t="s">
        <v>540</v>
      </c>
      <c r="B149" s="172" t="str">
        <f>IFERROR(INDEX('Annex 1 LV, HV and UMS charges'!$B$12:$B$44,MATCH($A149,'Annex 1 LV, HV and UMS charges'!$A$12:$A$44,0)),IF(INDEX('Annex 4 LDNO charges'!$B$11:$B$202,MATCH($A149,'Annex 4 LDNO charges'!$A$11:$A$202,0))=0,"",INDEX('Annex 4 LDNO charges'!$B$11:$B$202,MATCH($A149,'Annex 4 LDNO charges'!$A$11:$A$202,0))))</f>
        <v>E61</v>
      </c>
      <c r="C149" s="207">
        <f>IFERROR(INDEX('Annex 1 LV, HV and UMS charges'!$C$13:$C$44,MATCH($A149,'Annex 1 LV, HV and UMS charges'!$A$13:$A$44,0)),INDEX('Annex 4 LDNO charges'!$C$13:$C$202,MATCH($A149,'Annex 4 LDNO charges'!$A$13:$A$202,0)))</f>
        <v>0</v>
      </c>
      <c r="D149" s="196"/>
      <c r="E149" s="196"/>
      <c r="F149" s="195">
        <v>5.2226762235052702E-2</v>
      </c>
    </row>
    <row r="150" spans="1:6" ht="27.75" customHeight="1">
      <c r="A150" s="174" t="s">
        <v>541</v>
      </c>
      <c r="B150" s="172" t="str">
        <f>IFERROR(INDEX('Annex 1 LV, HV and UMS charges'!$B$12:$B$44,MATCH($A150,'Annex 1 LV, HV and UMS charges'!$A$12:$A$44,0)),IF(INDEX('Annex 4 LDNO charges'!$B$11:$B$202,MATCH($A150,'Annex 4 LDNO charges'!$A$11:$A$202,0))=0,"",INDEX('Annex 4 LDNO charges'!$B$11:$B$202,MATCH($A150,'Annex 4 LDNO charges'!$A$11:$A$202,0))))</f>
        <v>E62</v>
      </c>
      <c r="C150" s="207">
        <f>IFERROR(INDEX('Annex 1 LV, HV and UMS charges'!$C$13:$C$44,MATCH($A150,'Annex 1 LV, HV and UMS charges'!$A$13:$A$44,0)),INDEX('Annex 4 LDNO charges'!$C$13:$C$202,MATCH($A150,'Annex 4 LDNO charges'!$A$13:$A$202,0)))</f>
        <v>0</v>
      </c>
      <c r="D150" s="196"/>
      <c r="E150" s="196"/>
      <c r="F150" s="195">
        <v>5.2226762235052702E-2</v>
      </c>
    </row>
    <row r="151" spans="1:6" ht="27.75" customHeight="1">
      <c r="A151" s="174" t="s">
        <v>542</v>
      </c>
      <c r="B151" s="172" t="str">
        <f>IFERROR(INDEX('Annex 1 LV, HV and UMS charges'!$B$12:$B$44,MATCH($A151,'Annex 1 LV, HV and UMS charges'!$A$12:$A$44,0)),IF(INDEX('Annex 4 LDNO charges'!$B$11:$B$202,MATCH($A151,'Annex 4 LDNO charges'!$A$11:$A$202,0))=0,"",INDEX('Annex 4 LDNO charges'!$B$11:$B$202,MATCH($A151,'Annex 4 LDNO charges'!$A$11:$A$202,0))))</f>
        <v>E63</v>
      </c>
      <c r="C151" s="207">
        <f>IFERROR(INDEX('Annex 1 LV, HV and UMS charges'!$C$13:$C$44,MATCH($A151,'Annex 1 LV, HV and UMS charges'!$A$13:$A$44,0)),INDEX('Annex 4 LDNO charges'!$C$13:$C$202,MATCH($A151,'Annex 4 LDNO charges'!$A$13:$A$202,0)))</f>
        <v>0</v>
      </c>
      <c r="D151" s="196"/>
      <c r="E151" s="196"/>
      <c r="F151" s="195">
        <v>5.2226762235052702E-2</v>
      </c>
    </row>
    <row r="152" spans="1:6" ht="27.75" customHeight="1">
      <c r="A152" s="174" t="s">
        <v>543</v>
      </c>
      <c r="B152" s="172" t="str">
        <f>IFERROR(INDEX('Annex 1 LV, HV and UMS charges'!$B$12:$B$44,MATCH($A152,'Annex 1 LV, HV and UMS charges'!$A$12:$A$44,0)),IF(INDEX('Annex 4 LDNO charges'!$B$11:$B$202,MATCH($A152,'Annex 4 LDNO charges'!$A$11:$A$202,0))=0,"",INDEX('Annex 4 LDNO charges'!$B$11:$B$202,MATCH($A152,'Annex 4 LDNO charges'!$A$11:$A$202,0))))</f>
        <v>E64</v>
      </c>
      <c r="C152" s="207">
        <f>IFERROR(INDEX('Annex 1 LV, HV and UMS charges'!$C$13:$C$44,MATCH($A152,'Annex 1 LV, HV and UMS charges'!$A$13:$A$44,0)),INDEX('Annex 4 LDNO charges'!$C$13:$C$202,MATCH($A152,'Annex 4 LDNO charges'!$A$13:$A$202,0)))</f>
        <v>0</v>
      </c>
      <c r="D152" s="196"/>
      <c r="E152" s="196"/>
      <c r="F152" s="195">
        <v>5.2226762235052702E-2</v>
      </c>
    </row>
    <row r="153" spans="1:6" ht="27.75" customHeight="1">
      <c r="A153" s="174" t="s">
        <v>544</v>
      </c>
      <c r="B153" s="172" t="str">
        <f>IFERROR(INDEX('Annex 1 LV, HV and UMS charges'!$B$12:$B$44,MATCH($A153,'Annex 1 LV, HV and UMS charges'!$A$12:$A$44,0)),IF(INDEX('Annex 4 LDNO charges'!$B$11:$B$202,MATCH($A153,'Annex 4 LDNO charges'!$A$11:$A$202,0))=0,"",INDEX('Annex 4 LDNO charges'!$B$11:$B$202,MATCH($A153,'Annex 4 LDNO charges'!$A$11:$A$202,0))))</f>
        <v>J60</v>
      </c>
      <c r="C153" s="207">
        <f>IFERROR(INDEX('Annex 1 LV, HV and UMS charges'!$C$13:$C$44,MATCH($A153,'Annex 1 LV, HV and UMS charges'!$A$13:$A$44,0)),INDEX('Annex 4 LDNO charges'!$C$13:$C$202,MATCH($A153,'Annex 4 LDNO charges'!$A$13:$A$202,0)))</f>
        <v>0</v>
      </c>
      <c r="D153" s="196"/>
      <c r="E153" s="196"/>
      <c r="F153" s="195">
        <v>5.2226762235052702E-2</v>
      </c>
    </row>
    <row r="154" spans="1:6" ht="27.75" customHeight="1">
      <c r="A154" s="174" t="s">
        <v>545</v>
      </c>
      <c r="B154" s="172" t="str">
        <f>IFERROR(INDEX('Annex 1 LV, HV and UMS charges'!$B$12:$B$44,MATCH($A154,'Annex 1 LV, HV and UMS charges'!$A$12:$A$44,0)),IF(INDEX('Annex 4 LDNO charges'!$B$11:$B$202,MATCH($A154,'Annex 4 LDNO charges'!$A$11:$A$202,0))=0,"",INDEX('Annex 4 LDNO charges'!$B$11:$B$202,MATCH($A154,'Annex 4 LDNO charges'!$A$11:$A$202,0))))</f>
        <v>J61</v>
      </c>
      <c r="C154" s="207">
        <f>IFERROR(INDEX('Annex 1 LV, HV and UMS charges'!$C$13:$C$44,MATCH($A154,'Annex 1 LV, HV and UMS charges'!$A$13:$A$44,0)),INDEX('Annex 4 LDNO charges'!$C$13:$C$202,MATCH($A154,'Annex 4 LDNO charges'!$A$13:$A$202,0)))</f>
        <v>0</v>
      </c>
      <c r="D154" s="196"/>
      <c r="E154" s="196"/>
      <c r="F154" s="195">
        <v>5.2226762235052702E-2</v>
      </c>
    </row>
    <row r="155" spans="1:6" ht="27.75" customHeight="1">
      <c r="A155" s="174" t="s">
        <v>546</v>
      </c>
      <c r="B155" s="172" t="str">
        <f>IFERROR(INDEX('Annex 1 LV, HV and UMS charges'!$B$12:$B$44,MATCH($A155,'Annex 1 LV, HV and UMS charges'!$A$12:$A$44,0)),IF(INDEX('Annex 4 LDNO charges'!$B$11:$B$202,MATCH($A155,'Annex 4 LDNO charges'!$A$11:$A$202,0))=0,"",INDEX('Annex 4 LDNO charges'!$B$11:$B$202,MATCH($A155,'Annex 4 LDNO charges'!$A$11:$A$202,0))))</f>
        <v>J62</v>
      </c>
      <c r="C155" s="207">
        <f>IFERROR(INDEX('Annex 1 LV, HV and UMS charges'!$C$13:$C$44,MATCH($A155,'Annex 1 LV, HV and UMS charges'!$A$13:$A$44,0)),INDEX('Annex 4 LDNO charges'!$C$13:$C$202,MATCH($A155,'Annex 4 LDNO charges'!$A$13:$A$202,0)))</f>
        <v>0</v>
      </c>
      <c r="D155" s="196"/>
      <c r="E155" s="196"/>
      <c r="F155" s="195">
        <v>5.2226762235052702E-2</v>
      </c>
    </row>
    <row r="156" spans="1:6" ht="27.75" customHeight="1">
      <c r="A156" s="174" t="s">
        <v>547</v>
      </c>
      <c r="B156" s="172" t="str">
        <f>IFERROR(INDEX('Annex 1 LV, HV and UMS charges'!$B$12:$B$44,MATCH($A156,'Annex 1 LV, HV and UMS charges'!$A$12:$A$44,0)),IF(INDEX('Annex 4 LDNO charges'!$B$11:$B$202,MATCH($A156,'Annex 4 LDNO charges'!$A$11:$A$202,0))=0,"",INDEX('Annex 4 LDNO charges'!$B$11:$B$202,MATCH($A156,'Annex 4 LDNO charges'!$A$11:$A$202,0))))</f>
        <v>J63</v>
      </c>
      <c r="C156" s="207">
        <f>IFERROR(INDEX('Annex 1 LV, HV and UMS charges'!$C$13:$C$44,MATCH($A156,'Annex 1 LV, HV and UMS charges'!$A$13:$A$44,0)),INDEX('Annex 4 LDNO charges'!$C$13:$C$202,MATCH($A156,'Annex 4 LDNO charges'!$A$13:$A$202,0)))</f>
        <v>0</v>
      </c>
      <c r="D156" s="196"/>
      <c r="E156" s="196"/>
      <c r="F156" s="195">
        <v>5.2226762235052702E-2</v>
      </c>
    </row>
    <row r="157" spans="1:6" ht="27.75" customHeight="1">
      <c r="A157" s="174" t="s">
        <v>548</v>
      </c>
      <c r="B157" s="172" t="str">
        <f>IFERROR(INDEX('Annex 1 LV, HV and UMS charges'!$B$12:$B$44,MATCH($A157,'Annex 1 LV, HV and UMS charges'!$A$12:$A$44,0)),IF(INDEX('Annex 4 LDNO charges'!$B$11:$B$202,MATCH($A157,'Annex 4 LDNO charges'!$A$11:$A$202,0))=0,"",INDEX('Annex 4 LDNO charges'!$B$11:$B$202,MATCH($A157,'Annex 4 LDNO charges'!$A$11:$A$202,0))))</f>
        <v>J64</v>
      </c>
      <c r="C157" s="207">
        <f>IFERROR(INDEX('Annex 1 LV, HV and UMS charges'!$C$13:$C$44,MATCH($A157,'Annex 1 LV, HV and UMS charges'!$A$13:$A$44,0)),INDEX('Annex 4 LDNO charges'!$C$13:$C$202,MATCH($A157,'Annex 4 LDNO charges'!$A$13:$A$202,0)))</f>
        <v>0</v>
      </c>
      <c r="D157" s="196"/>
      <c r="E157" s="196"/>
      <c r="F157" s="195">
        <v>5.2226762235052702E-2</v>
      </c>
    </row>
    <row r="158" spans="1:6" ht="27.75" customHeight="1">
      <c r="A158" s="174" t="s">
        <v>549</v>
      </c>
      <c r="B158" s="172" t="str">
        <f>IFERROR(INDEX('Annex 1 LV, HV and UMS charges'!$B$12:$B$44,MATCH($A158,'Annex 1 LV, HV and UMS charges'!$A$12:$A$44,0)),IF(INDEX('Annex 4 LDNO charges'!$B$11:$B$202,MATCH($A158,'Annex 4 LDNO charges'!$A$11:$A$202,0))=0,"",INDEX('Annex 4 LDNO charges'!$B$11:$B$202,MATCH($A158,'Annex 4 LDNO charges'!$A$11:$A$202,0))))</f>
        <v>K60</v>
      </c>
      <c r="C158" s="207">
        <f>IFERROR(INDEX('Annex 1 LV, HV and UMS charges'!$C$13:$C$44,MATCH($A158,'Annex 1 LV, HV and UMS charges'!$A$13:$A$44,0)),INDEX('Annex 4 LDNO charges'!$C$13:$C$202,MATCH($A158,'Annex 4 LDNO charges'!$A$13:$A$202,0)))</f>
        <v>0</v>
      </c>
      <c r="D158" s="196"/>
      <c r="E158" s="196"/>
      <c r="F158" s="195">
        <v>5.2226762235052702E-2</v>
      </c>
    </row>
    <row r="159" spans="1:6" ht="27.75" customHeight="1">
      <c r="A159" s="174" t="s">
        <v>550</v>
      </c>
      <c r="B159" s="172" t="str">
        <f>IFERROR(INDEX('Annex 1 LV, HV and UMS charges'!$B$12:$B$44,MATCH($A159,'Annex 1 LV, HV and UMS charges'!$A$12:$A$44,0)),IF(INDEX('Annex 4 LDNO charges'!$B$11:$B$202,MATCH($A159,'Annex 4 LDNO charges'!$A$11:$A$202,0))=0,"",INDEX('Annex 4 LDNO charges'!$B$11:$B$202,MATCH($A159,'Annex 4 LDNO charges'!$A$11:$A$202,0))))</f>
        <v>K61</v>
      </c>
      <c r="C159" s="207">
        <f>IFERROR(INDEX('Annex 1 LV, HV and UMS charges'!$C$13:$C$44,MATCH($A159,'Annex 1 LV, HV and UMS charges'!$A$13:$A$44,0)),INDEX('Annex 4 LDNO charges'!$C$13:$C$202,MATCH($A159,'Annex 4 LDNO charges'!$A$13:$A$202,0)))</f>
        <v>0</v>
      </c>
      <c r="D159" s="196"/>
      <c r="E159" s="196"/>
      <c r="F159" s="195">
        <v>5.2226762235052702E-2</v>
      </c>
    </row>
    <row r="160" spans="1:6" ht="27.75" customHeight="1">
      <c r="A160" s="174" t="s">
        <v>551</v>
      </c>
      <c r="B160" s="172" t="str">
        <f>IFERROR(INDEX('Annex 1 LV, HV and UMS charges'!$B$12:$B$44,MATCH($A160,'Annex 1 LV, HV and UMS charges'!$A$12:$A$44,0)),IF(INDEX('Annex 4 LDNO charges'!$B$11:$B$202,MATCH($A160,'Annex 4 LDNO charges'!$A$11:$A$202,0))=0,"",INDEX('Annex 4 LDNO charges'!$B$11:$B$202,MATCH($A160,'Annex 4 LDNO charges'!$A$11:$A$202,0))))</f>
        <v>K62</v>
      </c>
      <c r="C160" s="207">
        <f>IFERROR(INDEX('Annex 1 LV, HV and UMS charges'!$C$13:$C$44,MATCH($A160,'Annex 1 LV, HV and UMS charges'!$A$13:$A$44,0)),INDEX('Annex 4 LDNO charges'!$C$13:$C$202,MATCH($A160,'Annex 4 LDNO charges'!$A$13:$A$202,0)))</f>
        <v>0</v>
      </c>
      <c r="D160" s="196"/>
      <c r="E160" s="196"/>
      <c r="F160" s="195">
        <v>5.2226762235052702E-2</v>
      </c>
    </row>
    <row r="161" spans="1:6" ht="27.75" customHeight="1">
      <c r="A161" s="174" t="s">
        <v>552</v>
      </c>
      <c r="B161" s="172" t="str">
        <f>IFERROR(INDEX('Annex 1 LV, HV and UMS charges'!$B$12:$B$44,MATCH($A161,'Annex 1 LV, HV and UMS charges'!$A$12:$A$44,0)),IF(INDEX('Annex 4 LDNO charges'!$B$11:$B$202,MATCH($A161,'Annex 4 LDNO charges'!$A$11:$A$202,0))=0,"",INDEX('Annex 4 LDNO charges'!$B$11:$B$202,MATCH($A161,'Annex 4 LDNO charges'!$A$11:$A$202,0))))</f>
        <v>K63</v>
      </c>
      <c r="C161" s="207">
        <f>IFERROR(INDEX('Annex 1 LV, HV and UMS charges'!$C$13:$C$44,MATCH($A161,'Annex 1 LV, HV and UMS charges'!$A$13:$A$44,0)),INDEX('Annex 4 LDNO charges'!$C$13:$C$202,MATCH($A161,'Annex 4 LDNO charges'!$A$13:$A$202,0)))</f>
        <v>0</v>
      </c>
      <c r="D161" s="196"/>
      <c r="E161" s="196"/>
      <c r="F161" s="195">
        <v>5.2226762235052702E-2</v>
      </c>
    </row>
    <row r="162" spans="1:6" ht="27.75" customHeight="1">
      <c r="A162" s="174" t="s">
        <v>553</v>
      </c>
      <c r="B162" s="172" t="str">
        <f>IFERROR(INDEX('Annex 1 LV, HV and UMS charges'!$B$12:$B$44,MATCH($A162,'Annex 1 LV, HV and UMS charges'!$A$12:$A$44,0)),IF(INDEX('Annex 4 LDNO charges'!$B$11:$B$202,MATCH($A162,'Annex 4 LDNO charges'!$A$11:$A$202,0))=0,"",INDEX('Annex 4 LDNO charges'!$B$11:$B$202,MATCH($A162,'Annex 4 LDNO charges'!$A$11:$A$202,0))))</f>
        <v>K64</v>
      </c>
      <c r="C162" s="207">
        <f>IFERROR(INDEX('Annex 1 LV, HV and UMS charges'!$C$13:$C$44,MATCH($A162,'Annex 1 LV, HV and UMS charges'!$A$13:$A$44,0)),INDEX('Annex 4 LDNO charges'!$C$13:$C$202,MATCH($A162,'Annex 4 LDNO charges'!$A$13:$A$202,0)))</f>
        <v>0</v>
      </c>
      <c r="D162" s="196"/>
      <c r="E162" s="196"/>
      <c r="F162" s="195">
        <v>5.2226762235052702E-2</v>
      </c>
    </row>
    <row r="163" spans="1:6" ht="27.75" customHeight="1">
      <c r="A163" s="2" t="s">
        <v>468</v>
      </c>
      <c r="C163" s="3"/>
    </row>
    <row r="164" spans="1:6" ht="27.75" customHeight="1">
      <c r="A164" s="2" t="s">
        <v>469</v>
      </c>
      <c r="C164" s="3"/>
    </row>
    <row r="165" spans="1:6" ht="27.75" customHeight="1">
      <c r="A165" s="2" t="s">
        <v>470</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5433070866141736"/>
  <pageSetup paperSize="9" scale="76" fitToHeight="0" orientation="portrait" r:id="rId1"/>
  <headerFooter differentFirst="1" scaleWithDoc="0">
    <oddFooter>&amp;C&amp;P of &amp;N</oddFooter>
    <firstHeader>&amp;L
Annex 7 - Schedule of Charges to recover Excess Supplier of Last Resort pass-through costs</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258"/>
  <sheetViews>
    <sheetView zoomScale="85" zoomScaleNormal="85" zoomScaleSheetLayoutView="100" workbookViewId="0">
      <selection activeCell="G10" sqref="G10"/>
    </sheetView>
  </sheetViews>
  <sheetFormatPr defaultRowHeight="27.75" customHeight="1"/>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c r="A1" s="15" t="s">
        <v>19</v>
      </c>
      <c r="B1" s="3"/>
      <c r="C1" s="2"/>
      <c r="E1" s="10"/>
      <c r="F1" s="4"/>
      <c r="G1" s="4"/>
    </row>
    <row r="2" spans="1:7" s="11" customFormat="1" ht="22.5" customHeight="1">
      <c r="A2" s="273" t="str">
        <f>Overview!B4&amp; " - Effective from "&amp;Overview!D4&amp;" - "&amp;Overview!E4&amp;" Nodal/Zonal charges"</f>
        <v>London Power Networks - Effective from 1 April 2022 - Final Nodal/Zonal charges</v>
      </c>
      <c r="B2" s="274"/>
      <c r="C2" s="274"/>
      <c r="D2" s="275"/>
    </row>
    <row r="3" spans="1:7" ht="60.75" customHeight="1">
      <c r="A3" s="22" t="s">
        <v>51</v>
      </c>
      <c r="B3" s="22" t="s">
        <v>1</v>
      </c>
      <c r="C3" s="22" t="s">
        <v>33</v>
      </c>
      <c r="D3" s="22" t="s">
        <v>34</v>
      </c>
    </row>
    <row r="4" spans="1:7" ht="21.75" customHeight="1">
      <c r="A4" s="7" t="s">
        <v>772</v>
      </c>
      <c r="B4" s="8" t="s">
        <v>773</v>
      </c>
      <c r="C4" s="209">
        <v>3.7029388343290299</v>
      </c>
      <c r="D4" s="209">
        <v>0.105050791470732</v>
      </c>
    </row>
    <row r="5" spans="1:7" ht="21.75" customHeight="1">
      <c r="A5" s="7" t="s">
        <v>774</v>
      </c>
      <c r="B5" s="8" t="s">
        <v>773</v>
      </c>
      <c r="C5" s="209">
        <v>1.1524489912687499</v>
      </c>
      <c r="D5" s="209">
        <v>8.0983891785661802E-2</v>
      </c>
    </row>
    <row r="6" spans="1:7" ht="21.75" customHeight="1">
      <c r="A6" s="7" t="s">
        <v>775</v>
      </c>
      <c r="B6" s="8" t="s">
        <v>773</v>
      </c>
      <c r="C6" s="209">
        <v>5.5308652320052696</v>
      </c>
      <c r="D6" s="209">
        <v>9.4810606402024405E-2</v>
      </c>
    </row>
    <row r="7" spans="1:7" ht="21.75" customHeight="1">
      <c r="A7" s="7" t="s">
        <v>776</v>
      </c>
      <c r="B7" s="8" t="s">
        <v>777</v>
      </c>
      <c r="C7" s="209">
        <v>0</v>
      </c>
      <c r="D7" s="209">
        <v>0</v>
      </c>
    </row>
    <row r="8" spans="1:7" ht="21.75" customHeight="1">
      <c r="A8" s="7" t="s">
        <v>778</v>
      </c>
      <c r="B8" s="8" t="s">
        <v>779</v>
      </c>
      <c r="C8" s="209">
        <v>0</v>
      </c>
      <c r="D8" s="209">
        <v>0.104108067626797</v>
      </c>
    </row>
    <row r="9" spans="1:7" ht="21.75" customHeight="1">
      <c r="A9" s="7" t="s">
        <v>780</v>
      </c>
      <c r="B9" s="8" t="s">
        <v>779</v>
      </c>
      <c r="C9" s="209">
        <v>0</v>
      </c>
      <c r="D9" s="209">
        <v>0</v>
      </c>
    </row>
    <row r="10" spans="1:7" ht="21.75" customHeight="1">
      <c r="A10" s="7" t="s">
        <v>781</v>
      </c>
      <c r="B10" s="8" t="s">
        <v>782</v>
      </c>
      <c r="C10" s="209">
        <v>0</v>
      </c>
      <c r="D10" s="209">
        <v>0</v>
      </c>
    </row>
    <row r="11" spans="1:7" ht="21.75" customHeight="1">
      <c r="A11" s="7" t="s">
        <v>783</v>
      </c>
      <c r="B11" s="8" t="s">
        <v>784</v>
      </c>
      <c r="C11" s="209">
        <v>2.2082682526281299</v>
      </c>
      <c r="D11" s="209">
        <v>8.9831447497212498</v>
      </c>
    </row>
    <row r="12" spans="1:7" ht="21.75" customHeight="1">
      <c r="A12" s="7" t="s">
        <v>785</v>
      </c>
      <c r="B12" s="8" t="s">
        <v>784</v>
      </c>
      <c r="C12" s="209">
        <v>1.4660907400429199</v>
      </c>
      <c r="D12" s="209">
        <v>4.8624602231676102</v>
      </c>
    </row>
    <row r="13" spans="1:7" ht="21.75" customHeight="1">
      <c r="A13" s="7" t="s">
        <v>786</v>
      </c>
      <c r="B13" s="8" t="s">
        <v>787</v>
      </c>
      <c r="C13" s="209">
        <v>5.0312393133642797</v>
      </c>
      <c r="D13" s="209">
        <v>0.35841097711383502</v>
      </c>
    </row>
    <row r="14" spans="1:7" ht="21.75" customHeight="1">
      <c r="A14" s="7" t="s">
        <v>788</v>
      </c>
      <c r="B14" s="8" t="s">
        <v>787</v>
      </c>
      <c r="C14" s="209">
        <v>0.68093340718435102</v>
      </c>
      <c r="D14" s="209">
        <v>0</v>
      </c>
    </row>
    <row r="15" spans="1:7" ht="21.75" customHeight="1">
      <c r="A15" s="7" t="s">
        <v>789</v>
      </c>
      <c r="B15" s="8" t="s">
        <v>790</v>
      </c>
      <c r="C15" s="209">
        <v>0</v>
      </c>
      <c r="D15" s="209">
        <v>0</v>
      </c>
    </row>
    <row r="16" spans="1:7" ht="21.75" customHeight="1">
      <c r="A16" s="7" t="s">
        <v>791</v>
      </c>
      <c r="B16" s="8" t="s">
        <v>792</v>
      </c>
      <c r="C16" s="209">
        <v>0.372345330707753</v>
      </c>
      <c r="D16" s="209">
        <v>0.99769726237336098</v>
      </c>
    </row>
    <row r="17" spans="1:4" ht="21.75" customHeight="1">
      <c r="A17" s="7" t="s">
        <v>793</v>
      </c>
      <c r="B17" s="8" t="s">
        <v>792</v>
      </c>
      <c r="C17" s="209">
        <v>0.23883457564281299</v>
      </c>
      <c r="D17" s="209">
        <v>1.2669437781081501</v>
      </c>
    </row>
    <row r="18" spans="1:4" ht="21.75" customHeight="1">
      <c r="A18" s="7" t="s">
        <v>794</v>
      </c>
      <c r="B18" s="8" t="s">
        <v>795</v>
      </c>
      <c r="C18" s="209">
        <v>0.42733010373493702</v>
      </c>
      <c r="D18" s="209">
        <v>2.8896272284496698</v>
      </c>
    </row>
    <row r="19" spans="1:4" ht="21.75" customHeight="1">
      <c r="A19" s="7" t="s">
        <v>796</v>
      </c>
      <c r="B19" s="8" t="s">
        <v>795</v>
      </c>
      <c r="C19" s="209">
        <v>0.17951059163128399</v>
      </c>
      <c r="D19" s="209">
        <v>4.5516567877195602</v>
      </c>
    </row>
    <row r="20" spans="1:4" ht="21.75" customHeight="1">
      <c r="A20" s="7" t="s">
        <v>797</v>
      </c>
      <c r="B20" s="8" t="s">
        <v>798</v>
      </c>
      <c r="C20" s="209">
        <v>0.21940849642017399</v>
      </c>
      <c r="D20" s="209">
        <v>2.4447038921619799</v>
      </c>
    </row>
    <row r="21" spans="1:4" ht="21.75" customHeight="1">
      <c r="A21" s="7" t="s">
        <v>799</v>
      </c>
      <c r="B21" s="8" t="s">
        <v>798</v>
      </c>
      <c r="C21" s="209">
        <v>0</v>
      </c>
      <c r="D21" s="209">
        <v>0</v>
      </c>
    </row>
    <row r="22" spans="1:4" ht="21.75" customHeight="1">
      <c r="A22" s="7" t="s">
        <v>800</v>
      </c>
      <c r="B22" s="8" t="s">
        <v>798</v>
      </c>
      <c r="C22" s="209">
        <v>5.5074196655700396</v>
      </c>
      <c r="D22" s="209">
        <v>0</v>
      </c>
    </row>
    <row r="23" spans="1:4" ht="21.75" customHeight="1">
      <c r="A23" s="7" t="s">
        <v>801</v>
      </c>
      <c r="B23" s="8" t="s">
        <v>798</v>
      </c>
      <c r="C23" s="209">
        <v>7.5037812503783901</v>
      </c>
      <c r="D23" s="209">
        <v>0</v>
      </c>
    </row>
    <row r="24" spans="1:4" ht="21.75" customHeight="1">
      <c r="A24" s="7" t="s">
        <v>802</v>
      </c>
      <c r="B24" s="8" t="s">
        <v>803</v>
      </c>
      <c r="C24" s="209">
        <v>1.0097949027706501</v>
      </c>
      <c r="D24" s="209">
        <v>2.3543466255341001</v>
      </c>
    </row>
    <row r="25" spans="1:4" ht="21.75" customHeight="1">
      <c r="A25" s="7" t="s">
        <v>804</v>
      </c>
      <c r="B25" s="8" t="s">
        <v>803</v>
      </c>
      <c r="C25" s="209">
        <v>0.329279386500404</v>
      </c>
      <c r="D25" s="209">
        <v>2.0375162204425998</v>
      </c>
    </row>
    <row r="26" spans="1:4" ht="21.75" customHeight="1">
      <c r="A26" s="7" t="s">
        <v>805</v>
      </c>
      <c r="B26" s="8" t="s">
        <v>806</v>
      </c>
      <c r="C26" s="209">
        <v>2.18359174084476</v>
      </c>
      <c r="D26" s="209">
        <v>1.3927035516025299</v>
      </c>
    </row>
    <row r="27" spans="1:4" ht="27.75" customHeight="1">
      <c r="A27" s="7" t="s">
        <v>807</v>
      </c>
      <c r="B27" s="8" t="s">
        <v>806</v>
      </c>
      <c r="C27" s="209">
        <v>0.21250133947239799</v>
      </c>
      <c r="D27" s="209">
        <v>1.39194107541879</v>
      </c>
    </row>
    <row r="28" spans="1:4" ht="27.75" customHeight="1">
      <c r="A28" s="7" t="s">
        <v>808</v>
      </c>
      <c r="B28" s="8" t="s">
        <v>809</v>
      </c>
      <c r="C28" s="209">
        <v>0</v>
      </c>
      <c r="D28" s="209">
        <v>0</v>
      </c>
    </row>
    <row r="29" spans="1:4" ht="27.75" customHeight="1">
      <c r="A29" s="7" t="s">
        <v>810</v>
      </c>
      <c r="B29" s="8" t="s">
        <v>811</v>
      </c>
      <c r="C29" s="209">
        <v>5.5797478159154599</v>
      </c>
      <c r="D29" s="209">
        <v>0.41631927253117901</v>
      </c>
    </row>
    <row r="30" spans="1:4" ht="27.75" customHeight="1">
      <c r="A30" s="7" t="s">
        <v>812</v>
      </c>
      <c r="B30" s="8" t="s">
        <v>811</v>
      </c>
      <c r="C30" s="209">
        <v>6.9121215474047997</v>
      </c>
      <c r="D30" s="209">
        <v>0.53809467201313799</v>
      </c>
    </row>
    <row r="31" spans="1:4" ht="27.75" customHeight="1">
      <c r="A31" s="7" t="s">
        <v>813</v>
      </c>
      <c r="B31" s="8" t="s">
        <v>814</v>
      </c>
      <c r="C31" s="209">
        <v>4.4116421868058104</v>
      </c>
      <c r="D31" s="209">
        <v>0.687641522156754</v>
      </c>
    </row>
    <row r="32" spans="1:4" ht="27.75" customHeight="1">
      <c r="A32" s="7" t="s">
        <v>815</v>
      </c>
      <c r="B32" s="8" t="s">
        <v>814</v>
      </c>
      <c r="C32" s="209">
        <v>5.4684413472020399</v>
      </c>
      <c r="D32" s="209">
        <v>0.33085338820288002</v>
      </c>
    </row>
    <row r="33" spans="1:4" ht="27.75" customHeight="1">
      <c r="A33" s="7" t="s">
        <v>816</v>
      </c>
      <c r="B33" s="8" t="s">
        <v>817</v>
      </c>
      <c r="C33" s="209">
        <v>2.0760530352739801</v>
      </c>
      <c r="D33" s="209">
        <v>1.02320560924133</v>
      </c>
    </row>
    <row r="34" spans="1:4" ht="27.75" customHeight="1">
      <c r="A34" s="7" t="s">
        <v>818</v>
      </c>
      <c r="B34" s="8" t="s">
        <v>817</v>
      </c>
      <c r="C34" s="209">
        <v>1.87618070101608</v>
      </c>
      <c r="D34" s="209">
        <v>1.6962134691553501</v>
      </c>
    </row>
    <row r="35" spans="1:4" ht="27.75" customHeight="1">
      <c r="A35" s="7" t="s">
        <v>819</v>
      </c>
      <c r="B35" s="8" t="s">
        <v>820</v>
      </c>
      <c r="C35" s="209">
        <v>2.1363820191080198</v>
      </c>
      <c r="D35" s="209">
        <v>1.8671267475656901</v>
      </c>
    </row>
    <row r="36" spans="1:4" ht="27.75" customHeight="1">
      <c r="A36" s="7" t="s">
        <v>821</v>
      </c>
      <c r="B36" s="8" t="s">
        <v>820</v>
      </c>
      <c r="C36" s="209">
        <v>0.90707436868811497</v>
      </c>
      <c r="D36" s="209">
        <v>1.58032138318254</v>
      </c>
    </row>
    <row r="37" spans="1:4" ht="27.75" customHeight="1">
      <c r="A37" s="7" t="s">
        <v>822</v>
      </c>
      <c r="B37" s="8" t="s">
        <v>823</v>
      </c>
      <c r="C37" s="209">
        <v>4.6779809202728897</v>
      </c>
      <c r="D37" s="209">
        <v>5.8781918435777598</v>
      </c>
    </row>
    <row r="38" spans="1:4" ht="27.75" customHeight="1">
      <c r="A38" s="7" t="s">
        <v>824</v>
      </c>
      <c r="B38" s="8" t="s">
        <v>823</v>
      </c>
      <c r="C38" s="209">
        <v>5.2654263497525404</v>
      </c>
      <c r="D38" s="209">
        <v>6.5967060051141599</v>
      </c>
    </row>
    <row r="39" spans="1:4" ht="27.75" customHeight="1">
      <c r="A39" s="7" t="s">
        <v>825</v>
      </c>
      <c r="B39" s="8" t="s">
        <v>826</v>
      </c>
      <c r="C39" s="209">
        <v>1.6206326820930099</v>
      </c>
      <c r="D39" s="209">
        <v>4.0316690447458896</v>
      </c>
    </row>
    <row r="40" spans="1:4" ht="27.75" customHeight="1">
      <c r="A40" s="7" t="s">
        <v>827</v>
      </c>
      <c r="B40" s="8" t="s">
        <v>826</v>
      </c>
      <c r="C40" s="209">
        <v>0.44472283008411401</v>
      </c>
      <c r="D40" s="209">
        <v>3.2171413440441601</v>
      </c>
    </row>
    <row r="41" spans="1:4" ht="27.75" customHeight="1">
      <c r="A41" s="7" t="s">
        <v>828</v>
      </c>
      <c r="B41" s="8" t="s">
        <v>829</v>
      </c>
      <c r="C41" s="209">
        <v>0</v>
      </c>
      <c r="D41" s="209">
        <v>0</v>
      </c>
    </row>
    <row r="42" spans="1:4" ht="27.75" customHeight="1">
      <c r="A42" s="7" t="s">
        <v>830</v>
      </c>
      <c r="B42" s="8" t="s">
        <v>831</v>
      </c>
      <c r="C42" s="209">
        <v>0</v>
      </c>
      <c r="D42" s="209">
        <v>0</v>
      </c>
    </row>
    <row r="43" spans="1:4" ht="27.75" customHeight="1">
      <c r="A43" s="7" t="s">
        <v>832</v>
      </c>
      <c r="B43" s="8" t="s">
        <v>833</v>
      </c>
      <c r="C43" s="209">
        <v>0</v>
      </c>
      <c r="D43" s="209">
        <v>0</v>
      </c>
    </row>
    <row r="44" spans="1:4" ht="27.75" customHeight="1">
      <c r="A44" s="7" t="s">
        <v>834</v>
      </c>
      <c r="B44" s="8" t="s">
        <v>835</v>
      </c>
      <c r="C44" s="209">
        <v>0</v>
      </c>
      <c r="D44" s="209">
        <v>0</v>
      </c>
    </row>
    <row r="45" spans="1:4" ht="27.75" customHeight="1">
      <c r="A45" s="7" t="s">
        <v>836</v>
      </c>
      <c r="B45" s="8" t="s">
        <v>837</v>
      </c>
      <c r="C45" s="209">
        <v>0</v>
      </c>
      <c r="D45" s="209">
        <v>4.8672723096173698</v>
      </c>
    </row>
    <row r="46" spans="1:4" ht="27.75" customHeight="1">
      <c r="A46" s="7" t="s">
        <v>838</v>
      </c>
      <c r="B46" s="8" t="s">
        <v>837</v>
      </c>
      <c r="C46" s="209">
        <v>5.18756066537137</v>
      </c>
      <c r="D46" s="209">
        <v>3.6168836451775799</v>
      </c>
    </row>
    <row r="47" spans="1:4" ht="27.75" customHeight="1">
      <c r="A47" s="7" t="s">
        <v>839</v>
      </c>
      <c r="B47" s="8" t="s">
        <v>840</v>
      </c>
      <c r="C47" s="209">
        <v>7.10312179474667E-3</v>
      </c>
      <c r="D47" s="209">
        <v>1.9250520367033499</v>
      </c>
    </row>
    <row r="48" spans="1:4" ht="27.75" customHeight="1">
      <c r="A48" s="7" t="s">
        <v>841</v>
      </c>
      <c r="B48" s="8" t="s">
        <v>840</v>
      </c>
      <c r="C48" s="209">
        <v>0.20302778492416901</v>
      </c>
      <c r="D48" s="209">
        <v>2.4053878845419199</v>
      </c>
    </row>
    <row r="49" spans="1:4" ht="27.75" customHeight="1">
      <c r="A49" s="7" t="s">
        <v>842</v>
      </c>
      <c r="B49" s="8" t="s">
        <v>843</v>
      </c>
      <c r="C49" s="209">
        <v>2.2296250259971502</v>
      </c>
      <c r="D49" s="209">
        <v>1.7420435378098</v>
      </c>
    </row>
    <row r="50" spans="1:4" ht="27.75" customHeight="1">
      <c r="A50" s="7" t="s">
        <v>844</v>
      </c>
      <c r="B50" s="8" t="s">
        <v>843</v>
      </c>
      <c r="C50" s="209">
        <v>2.5354650305083002</v>
      </c>
      <c r="D50" s="209">
        <v>1.68961617478867</v>
      </c>
    </row>
    <row r="51" spans="1:4" ht="27.75" customHeight="1">
      <c r="A51" s="7" t="s">
        <v>845</v>
      </c>
      <c r="B51" s="8" t="s">
        <v>846</v>
      </c>
      <c r="C51" s="209">
        <v>2.7496654249298</v>
      </c>
      <c r="D51" s="209">
        <v>3.2748990349062601</v>
      </c>
    </row>
    <row r="52" spans="1:4" ht="27.75" customHeight="1">
      <c r="A52" s="7" t="s">
        <v>847</v>
      </c>
      <c r="B52" s="8" t="s">
        <v>846</v>
      </c>
      <c r="C52" s="209">
        <v>2.5173511702146598</v>
      </c>
      <c r="D52" s="209">
        <v>3.6638789465112001</v>
      </c>
    </row>
    <row r="53" spans="1:4" ht="27.75" customHeight="1">
      <c r="A53" s="7" t="s">
        <v>848</v>
      </c>
      <c r="B53" s="8" t="s">
        <v>849</v>
      </c>
      <c r="C53" s="209">
        <v>9.7844742835989595E-2</v>
      </c>
      <c r="D53" s="209">
        <v>0</v>
      </c>
    </row>
    <row r="54" spans="1:4" ht="27.75" customHeight="1">
      <c r="A54" s="7" t="s">
        <v>850</v>
      </c>
      <c r="B54" s="8" t="s">
        <v>849</v>
      </c>
      <c r="C54" s="209">
        <v>3.6320660059400001</v>
      </c>
      <c r="D54" s="209">
        <v>0</v>
      </c>
    </row>
    <row r="55" spans="1:4" ht="27.75" customHeight="1">
      <c r="A55" s="7" t="s">
        <v>851</v>
      </c>
      <c r="B55" s="8" t="s">
        <v>849</v>
      </c>
      <c r="C55" s="209">
        <v>1.31938176254267</v>
      </c>
      <c r="D55" s="209">
        <v>0</v>
      </c>
    </row>
    <row r="56" spans="1:4" ht="27.75" customHeight="1">
      <c r="A56" s="7" t="s">
        <v>852</v>
      </c>
      <c r="B56" s="8" t="s">
        <v>849</v>
      </c>
      <c r="C56" s="209">
        <v>0</v>
      </c>
      <c r="D56" s="209">
        <v>0</v>
      </c>
    </row>
    <row r="57" spans="1:4" ht="27.75" customHeight="1">
      <c r="A57" s="7" t="s">
        <v>853</v>
      </c>
      <c r="B57" s="8" t="s">
        <v>854</v>
      </c>
      <c r="C57" s="209">
        <v>2.2014781237018299</v>
      </c>
      <c r="D57" s="209">
        <v>4.2223109352166004</v>
      </c>
    </row>
    <row r="58" spans="1:4" ht="27.75" customHeight="1">
      <c r="A58" s="7" t="s">
        <v>855</v>
      </c>
      <c r="B58" s="8" t="s">
        <v>854</v>
      </c>
      <c r="C58" s="209">
        <v>2.35755062735493</v>
      </c>
      <c r="D58" s="209">
        <v>4.3852727808851499</v>
      </c>
    </row>
    <row r="59" spans="1:4" ht="27.75" customHeight="1">
      <c r="A59" s="7" t="s">
        <v>856</v>
      </c>
      <c r="B59" s="8" t="s">
        <v>857</v>
      </c>
      <c r="C59" s="209">
        <v>2.32195796605511</v>
      </c>
      <c r="D59" s="209">
        <v>5.8495149094482501</v>
      </c>
    </row>
    <row r="60" spans="1:4" ht="27.75" customHeight="1">
      <c r="A60" s="7" t="s">
        <v>858</v>
      </c>
      <c r="B60" s="8" t="s">
        <v>857</v>
      </c>
      <c r="C60" s="209">
        <v>2.2954567683655398</v>
      </c>
      <c r="D60" s="209">
        <v>5.5661708315591296</v>
      </c>
    </row>
    <row r="61" spans="1:4" ht="27.75" customHeight="1">
      <c r="A61" s="7" t="s">
        <v>859</v>
      </c>
      <c r="B61" s="8" t="s">
        <v>860</v>
      </c>
      <c r="C61" s="209">
        <v>1.9664086569463599</v>
      </c>
      <c r="D61" s="209">
        <v>5.7131947452682201</v>
      </c>
    </row>
    <row r="62" spans="1:4" ht="27.75" customHeight="1">
      <c r="A62" s="7" t="s">
        <v>861</v>
      </c>
      <c r="B62" s="8" t="s">
        <v>860</v>
      </c>
      <c r="C62" s="209">
        <v>1.97855148000541</v>
      </c>
      <c r="D62" s="209">
        <v>5.3146549850109199</v>
      </c>
    </row>
    <row r="63" spans="1:4" ht="27.75" customHeight="1">
      <c r="A63" s="7" t="s">
        <v>862</v>
      </c>
      <c r="B63" s="8" t="s">
        <v>863</v>
      </c>
      <c r="C63" s="209">
        <v>0</v>
      </c>
      <c r="D63" s="209">
        <v>0</v>
      </c>
    </row>
    <row r="64" spans="1:4" ht="27.75" customHeight="1">
      <c r="A64" s="7" t="s">
        <v>864</v>
      </c>
      <c r="B64" s="8" t="s">
        <v>865</v>
      </c>
      <c r="C64" s="209">
        <v>2.7958627204305602</v>
      </c>
      <c r="D64" s="209">
        <v>1.94936120330533</v>
      </c>
    </row>
    <row r="65" spans="1:4" ht="27.75" customHeight="1">
      <c r="A65" s="7" t="s">
        <v>866</v>
      </c>
      <c r="B65" s="8" t="s">
        <v>865</v>
      </c>
      <c r="C65" s="209">
        <v>4.79045711517408</v>
      </c>
      <c r="D65" s="209">
        <v>1.3312933136455301</v>
      </c>
    </row>
    <row r="66" spans="1:4" ht="27.75" customHeight="1">
      <c r="A66" s="7" t="s">
        <v>867</v>
      </c>
      <c r="B66" s="8" t="s">
        <v>865</v>
      </c>
      <c r="C66" s="209">
        <v>4.8119652172647696</v>
      </c>
      <c r="D66" s="209">
        <v>0.56999989337782098</v>
      </c>
    </row>
    <row r="67" spans="1:4" ht="27.75" customHeight="1">
      <c r="A67" s="7" t="s">
        <v>868</v>
      </c>
      <c r="B67" s="8" t="s">
        <v>869</v>
      </c>
      <c r="C67" s="209">
        <v>0</v>
      </c>
      <c r="D67" s="209">
        <v>0</v>
      </c>
    </row>
    <row r="68" spans="1:4" ht="27.75" customHeight="1">
      <c r="A68" s="7" t="s">
        <v>870</v>
      </c>
      <c r="B68" s="8" t="s">
        <v>871</v>
      </c>
      <c r="C68" s="209">
        <v>2.382753301837</v>
      </c>
      <c r="D68" s="209">
        <v>3.4899879547346901</v>
      </c>
    </row>
    <row r="69" spans="1:4" ht="27.75" customHeight="1">
      <c r="A69" s="7" t="s">
        <v>872</v>
      </c>
      <c r="B69" s="8" t="s">
        <v>873</v>
      </c>
      <c r="C69" s="209">
        <v>0.91299941633971304</v>
      </c>
      <c r="D69" s="209">
        <v>0.44226762132989</v>
      </c>
    </row>
    <row r="70" spans="1:4" ht="27.75" customHeight="1">
      <c r="A70" s="7" t="s">
        <v>874</v>
      </c>
      <c r="B70" s="8" t="s">
        <v>873</v>
      </c>
      <c r="C70" s="209">
        <v>0.431848648705426</v>
      </c>
      <c r="D70" s="209">
        <v>0.44134279273001498</v>
      </c>
    </row>
    <row r="71" spans="1:4" ht="27.75" customHeight="1">
      <c r="A71" s="7" t="s">
        <v>875</v>
      </c>
      <c r="B71" s="8" t="s">
        <v>873</v>
      </c>
      <c r="C71" s="209">
        <v>0.293214599116979</v>
      </c>
      <c r="D71" s="209">
        <v>0.51047371498221505</v>
      </c>
    </row>
    <row r="72" spans="1:4" ht="27.75" customHeight="1">
      <c r="A72" s="7" t="s">
        <v>876</v>
      </c>
      <c r="B72" s="8" t="s">
        <v>877</v>
      </c>
      <c r="C72" s="209">
        <v>0.98130790296766801</v>
      </c>
      <c r="D72" s="209">
        <v>0.39587512167247801</v>
      </c>
    </row>
    <row r="73" spans="1:4" ht="27.75" customHeight="1">
      <c r="A73" s="7" t="s">
        <v>878</v>
      </c>
      <c r="B73" s="8" t="s">
        <v>877</v>
      </c>
      <c r="C73" s="209">
        <v>2.78342960449557</v>
      </c>
      <c r="D73" s="209">
        <v>0.42870345621319</v>
      </c>
    </row>
    <row r="74" spans="1:4" ht="27.75" customHeight="1">
      <c r="A74" s="7" t="s">
        <v>879</v>
      </c>
      <c r="B74" s="8" t="s">
        <v>877</v>
      </c>
      <c r="C74" s="209">
        <v>3.52069813798103</v>
      </c>
      <c r="D74" s="209">
        <v>0.34742904817019798</v>
      </c>
    </row>
    <row r="75" spans="1:4" ht="27.75" customHeight="1">
      <c r="A75" s="7" t="s">
        <v>880</v>
      </c>
      <c r="B75" s="8" t="s">
        <v>881</v>
      </c>
      <c r="C75" s="209">
        <v>2.0157998956509702</v>
      </c>
      <c r="D75" s="209">
        <v>3.5256136277078101</v>
      </c>
    </row>
    <row r="76" spans="1:4" ht="27.75" customHeight="1">
      <c r="A76" s="7" t="s">
        <v>882</v>
      </c>
      <c r="B76" s="8" t="s">
        <v>883</v>
      </c>
      <c r="C76" s="209">
        <v>2.6041037342175599</v>
      </c>
      <c r="D76" s="209">
        <v>3.8182661660083301</v>
      </c>
    </row>
    <row r="77" spans="1:4" ht="27.75" customHeight="1">
      <c r="A77" s="7" t="s">
        <v>884</v>
      </c>
      <c r="B77" s="8" t="s">
        <v>883</v>
      </c>
      <c r="C77" s="209">
        <v>2.6411517239240898</v>
      </c>
      <c r="D77" s="209">
        <v>3.8007113297219801</v>
      </c>
    </row>
    <row r="78" spans="1:4" ht="27.75" customHeight="1">
      <c r="A78" s="7" t="s">
        <v>885</v>
      </c>
      <c r="B78" s="8" t="s">
        <v>886</v>
      </c>
      <c r="C78" s="209">
        <v>2.8377240033319402</v>
      </c>
      <c r="D78" s="209">
        <v>3.9767462108145</v>
      </c>
    </row>
    <row r="79" spans="1:4" ht="27.75" customHeight="1">
      <c r="A79" s="7" t="s">
        <v>887</v>
      </c>
      <c r="B79" s="8" t="s">
        <v>886</v>
      </c>
      <c r="C79" s="209">
        <v>2.94307615456077</v>
      </c>
      <c r="D79" s="209">
        <v>2.1034473055632401</v>
      </c>
    </row>
    <row r="80" spans="1:4" ht="27.75" customHeight="1">
      <c r="A80" s="7" t="s">
        <v>888</v>
      </c>
      <c r="B80" s="8" t="s">
        <v>886</v>
      </c>
      <c r="C80" s="209">
        <v>1.93303056252047</v>
      </c>
      <c r="D80" s="209">
        <v>1.71149143487315</v>
      </c>
    </row>
    <row r="81" spans="1:4" ht="27.75" customHeight="1">
      <c r="A81" s="7" t="s">
        <v>889</v>
      </c>
      <c r="B81" s="8" t="s">
        <v>890</v>
      </c>
      <c r="C81" s="209">
        <v>0</v>
      </c>
      <c r="D81" s="209">
        <v>0.36721960114764901</v>
      </c>
    </row>
    <row r="82" spans="1:4" ht="27.75" customHeight="1">
      <c r="A82" s="7" t="s">
        <v>891</v>
      </c>
      <c r="B82" s="8" t="s">
        <v>890</v>
      </c>
      <c r="C82" s="209">
        <v>0</v>
      </c>
      <c r="D82" s="209">
        <v>0.36725519325112599</v>
      </c>
    </row>
    <row r="83" spans="1:4" ht="27.75" customHeight="1">
      <c r="A83" s="7" t="s">
        <v>892</v>
      </c>
      <c r="B83" s="8" t="s">
        <v>893</v>
      </c>
      <c r="C83" s="209">
        <v>3.8542320230832998</v>
      </c>
      <c r="D83" s="209">
        <v>0.75912331910911701</v>
      </c>
    </row>
    <row r="84" spans="1:4" ht="27.75" customHeight="1">
      <c r="A84" s="7" t="s">
        <v>894</v>
      </c>
      <c r="B84" s="8" t="s">
        <v>893</v>
      </c>
      <c r="C84" s="209">
        <v>4.2500163983643304</v>
      </c>
      <c r="D84" s="209">
        <v>0.73017031777224395</v>
      </c>
    </row>
    <row r="85" spans="1:4" ht="27.75" customHeight="1">
      <c r="A85" s="7" t="s">
        <v>895</v>
      </c>
      <c r="B85" s="8" t="s">
        <v>896</v>
      </c>
      <c r="C85" s="209">
        <v>2.47412270809351</v>
      </c>
      <c r="D85" s="209">
        <v>3.37939645265917</v>
      </c>
    </row>
    <row r="86" spans="1:4" ht="27.75" customHeight="1">
      <c r="A86" s="7" t="s">
        <v>897</v>
      </c>
      <c r="B86" s="8" t="s">
        <v>898</v>
      </c>
      <c r="C86" s="209">
        <v>2.2374123350297199</v>
      </c>
      <c r="D86" s="209">
        <v>3.09630872175536</v>
      </c>
    </row>
    <row r="87" spans="1:4" ht="27.75" customHeight="1">
      <c r="A87" s="7" t="s">
        <v>899</v>
      </c>
      <c r="B87" s="8" t="s">
        <v>898</v>
      </c>
      <c r="C87" s="209">
        <v>2.5358019668393901</v>
      </c>
      <c r="D87" s="209">
        <v>3.24914633352763</v>
      </c>
    </row>
    <row r="88" spans="1:4" ht="27.75" customHeight="1">
      <c r="A88" s="7" t="s">
        <v>900</v>
      </c>
      <c r="B88" s="8" t="s">
        <v>901</v>
      </c>
      <c r="C88" s="209">
        <v>4.3371482232696996</v>
      </c>
      <c r="D88" s="209">
        <v>1.34455261614206</v>
      </c>
    </row>
    <row r="89" spans="1:4" ht="27.75" customHeight="1">
      <c r="A89" s="7" t="s">
        <v>902</v>
      </c>
      <c r="B89" s="8" t="s">
        <v>901</v>
      </c>
      <c r="C89" s="209">
        <v>5.1330803987651503</v>
      </c>
      <c r="D89" s="209">
        <v>1.3134879980432099</v>
      </c>
    </row>
    <row r="90" spans="1:4" ht="27.75" customHeight="1">
      <c r="A90" s="7" t="s">
        <v>903</v>
      </c>
      <c r="B90" s="8" t="s">
        <v>904</v>
      </c>
      <c r="C90" s="209">
        <v>2.9951009182705701</v>
      </c>
      <c r="D90" s="209">
        <v>4.9795418386655896</v>
      </c>
    </row>
    <row r="91" spans="1:4" ht="27.75" customHeight="1">
      <c r="A91" s="7" t="s">
        <v>905</v>
      </c>
      <c r="B91" s="8" t="s">
        <v>904</v>
      </c>
      <c r="C91" s="209">
        <v>2.3364750626110098</v>
      </c>
      <c r="D91" s="209">
        <v>5.0482595273829496</v>
      </c>
    </row>
    <row r="92" spans="1:4" ht="27.75" customHeight="1">
      <c r="A92" s="7" t="s">
        <v>906</v>
      </c>
      <c r="B92" s="8" t="s">
        <v>907</v>
      </c>
      <c r="C92" s="209">
        <v>2.82534660123323</v>
      </c>
      <c r="D92" s="209">
        <v>5.6558201352481001</v>
      </c>
    </row>
    <row r="93" spans="1:4" ht="27.75" customHeight="1">
      <c r="A93" s="7" t="s">
        <v>908</v>
      </c>
      <c r="B93" s="8" t="s">
        <v>907</v>
      </c>
      <c r="C93" s="209">
        <v>0.84672241281326099</v>
      </c>
      <c r="D93" s="209">
        <v>4.10935463616517</v>
      </c>
    </row>
    <row r="94" spans="1:4" ht="27.75" customHeight="1">
      <c r="A94" s="7" t="s">
        <v>909</v>
      </c>
      <c r="B94" s="8" t="s">
        <v>910</v>
      </c>
      <c r="C94" s="209">
        <v>0.99485456919082405</v>
      </c>
      <c r="D94" s="209">
        <v>0.96409170307913195</v>
      </c>
    </row>
    <row r="95" spans="1:4" ht="27.75" customHeight="1">
      <c r="A95" s="7" t="s">
        <v>911</v>
      </c>
      <c r="B95" s="8" t="s">
        <v>910</v>
      </c>
      <c r="C95" s="209">
        <v>0.20504766942604299</v>
      </c>
      <c r="D95" s="209">
        <v>2.4293095765802302</v>
      </c>
    </row>
    <row r="96" spans="1:4" ht="27.75" customHeight="1">
      <c r="A96" s="7" t="s">
        <v>912</v>
      </c>
      <c r="B96" s="8" t="s">
        <v>910</v>
      </c>
      <c r="C96" s="209">
        <v>0.34771944748422801</v>
      </c>
      <c r="D96" s="209">
        <v>2.78833563066443</v>
      </c>
    </row>
    <row r="97" spans="1:4" ht="27.75" customHeight="1">
      <c r="A97" s="7" t="s">
        <v>913</v>
      </c>
      <c r="B97" s="8" t="s">
        <v>910</v>
      </c>
      <c r="C97" s="209">
        <v>0</v>
      </c>
      <c r="D97" s="209">
        <v>0</v>
      </c>
    </row>
    <row r="98" spans="1:4" ht="27.75" customHeight="1">
      <c r="A98" s="7" t="s">
        <v>914</v>
      </c>
      <c r="B98" s="8" t="s">
        <v>915</v>
      </c>
      <c r="C98" s="209">
        <v>0.54019783694777501</v>
      </c>
      <c r="D98" s="209">
        <v>2.2517465713638001</v>
      </c>
    </row>
    <row r="99" spans="1:4" ht="27.75" customHeight="1">
      <c r="A99" s="7" t="s">
        <v>916</v>
      </c>
      <c r="B99" s="8" t="s">
        <v>915</v>
      </c>
      <c r="C99" s="209">
        <v>0</v>
      </c>
      <c r="D99" s="209">
        <v>0</v>
      </c>
    </row>
    <row r="100" spans="1:4" ht="27.75" customHeight="1">
      <c r="A100" s="7" t="s">
        <v>917</v>
      </c>
      <c r="B100" s="8" t="s">
        <v>918</v>
      </c>
      <c r="C100" s="209">
        <v>1.42217253840185</v>
      </c>
      <c r="D100" s="209">
        <v>3.70389190722983</v>
      </c>
    </row>
    <row r="101" spans="1:4" ht="27.75" customHeight="1">
      <c r="A101" s="7" t="s">
        <v>919</v>
      </c>
      <c r="B101" s="8" t="s">
        <v>920</v>
      </c>
      <c r="C101" s="209">
        <v>0</v>
      </c>
      <c r="D101" s="209">
        <v>0.92888167234951702</v>
      </c>
    </row>
    <row r="102" spans="1:4" ht="27.75" customHeight="1">
      <c r="A102" s="7" t="s">
        <v>921</v>
      </c>
      <c r="B102" s="8" t="s">
        <v>920</v>
      </c>
      <c r="C102" s="209">
        <v>0</v>
      </c>
      <c r="D102" s="209">
        <v>0</v>
      </c>
    </row>
    <row r="103" spans="1:4" ht="27.75" customHeight="1">
      <c r="A103" s="7" t="s">
        <v>922</v>
      </c>
      <c r="B103" s="8" t="s">
        <v>923</v>
      </c>
      <c r="C103" s="209">
        <v>0</v>
      </c>
      <c r="D103" s="209">
        <v>0</v>
      </c>
    </row>
    <row r="104" spans="1:4" ht="27.75" customHeight="1">
      <c r="A104" s="7" t="s">
        <v>924</v>
      </c>
      <c r="B104" s="8" t="s">
        <v>925</v>
      </c>
      <c r="C104" s="209">
        <v>3.5103801552667302</v>
      </c>
      <c r="D104" s="209">
        <v>2.36689514112344</v>
      </c>
    </row>
    <row r="105" spans="1:4" ht="27.75" customHeight="1">
      <c r="A105" s="7" t="s">
        <v>926</v>
      </c>
      <c r="B105" s="8" t="s">
        <v>927</v>
      </c>
      <c r="C105" s="209">
        <v>2.2116199910246199</v>
      </c>
      <c r="D105" s="209">
        <v>3.4692337181636401</v>
      </c>
    </row>
    <row r="106" spans="1:4" ht="27.75" customHeight="1">
      <c r="A106" s="7" t="s">
        <v>928</v>
      </c>
      <c r="B106" s="8" t="s">
        <v>927</v>
      </c>
      <c r="C106" s="209">
        <v>1.6350164824342499</v>
      </c>
      <c r="D106" s="209">
        <v>3.21756487709867</v>
      </c>
    </row>
    <row r="107" spans="1:4" ht="27.75" customHeight="1">
      <c r="A107" s="7" t="s">
        <v>929</v>
      </c>
      <c r="B107" s="8" t="s">
        <v>930</v>
      </c>
      <c r="C107" s="209">
        <v>2.5586767743034899</v>
      </c>
      <c r="D107" s="209">
        <v>6.4656764497176997</v>
      </c>
    </row>
    <row r="108" spans="1:4" ht="27.75" customHeight="1">
      <c r="A108" s="7" t="s">
        <v>931</v>
      </c>
      <c r="B108" s="8" t="s">
        <v>930</v>
      </c>
      <c r="C108" s="209">
        <v>1.9530629077322701</v>
      </c>
      <c r="D108" s="209">
        <v>5.0573131707887402</v>
      </c>
    </row>
    <row r="109" spans="1:4" ht="27.75" customHeight="1">
      <c r="A109" s="7" t="s">
        <v>932</v>
      </c>
      <c r="B109" s="8" t="s">
        <v>933</v>
      </c>
      <c r="C109" s="209">
        <v>0</v>
      </c>
      <c r="D109" s="209">
        <v>0</v>
      </c>
    </row>
    <row r="110" spans="1:4" ht="27.75" customHeight="1">
      <c r="A110" s="7" t="s">
        <v>934</v>
      </c>
      <c r="B110" s="8" t="s">
        <v>935</v>
      </c>
      <c r="C110" s="209">
        <v>0.98124024455852599</v>
      </c>
      <c r="D110" s="209">
        <v>5.3768067647345799</v>
      </c>
    </row>
    <row r="111" spans="1:4" ht="27.75" customHeight="1">
      <c r="A111" s="7" t="s">
        <v>936</v>
      </c>
      <c r="B111" s="8" t="s">
        <v>935</v>
      </c>
      <c r="C111" s="209">
        <v>7.5780803366623503E-2</v>
      </c>
      <c r="D111" s="209">
        <v>2.11602762647138</v>
      </c>
    </row>
    <row r="112" spans="1:4" ht="27.75" customHeight="1">
      <c r="A112" s="7" t="s">
        <v>937</v>
      </c>
      <c r="B112" s="8" t="s">
        <v>938</v>
      </c>
      <c r="C112" s="209">
        <v>0</v>
      </c>
      <c r="D112" s="209">
        <v>0</v>
      </c>
    </row>
    <row r="113" spans="1:4" ht="27.75" customHeight="1">
      <c r="A113" s="7" t="s">
        <v>939</v>
      </c>
      <c r="B113" s="8" t="s">
        <v>940</v>
      </c>
      <c r="C113" s="209">
        <v>0</v>
      </c>
      <c r="D113" s="209">
        <v>0</v>
      </c>
    </row>
    <row r="114" spans="1:4" ht="27.75" customHeight="1">
      <c r="A114" s="7" t="s">
        <v>941</v>
      </c>
      <c r="B114" s="8" t="s">
        <v>942</v>
      </c>
      <c r="C114" s="209">
        <v>0</v>
      </c>
      <c r="D114" s="209">
        <v>0</v>
      </c>
    </row>
    <row r="115" spans="1:4" ht="27.75" customHeight="1">
      <c r="A115" s="7" t="s">
        <v>943</v>
      </c>
      <c r="B115" s="8" t="s">
        <v>944</v>
      </c>
      <c r="C115" s="209">
        <v>3.4412897345236502</v>
      </c>
      <c r="D115" s="209">
        <v>6.3430717036989197</v>
      </c>
    </row>
    <row r="116" spans="1:4" ht="27.75" customHeight="1">
      <c r="A116" s="7" t="s">
        <v>945</v>
      </c>
      <c r="B116" s="8" t="s">
        <v>944</v>
      </c>
      <c r="C116" s="209">
        <v>3.0231621067889698</v>
      </c>
      <c r="D116" s="209">
        <v>5.6264174507375602</v>
      </c>
    </row>
    <row r="117" spans="1:4" ht="27.75" customHeight="1">
      <c r="A117" s="7" t="s">
        <v>946</v>
      </c>
      <c r="B117" s="8" t="s">
        <v>944</v>
      </c>
      <c r="C117" s="209">
        <v>5.38937054624457</v>
      </c>
      <c r="D117" s="209">
        <v>5.7108860939942296</v>
      </c>
    </row>
    <row r="118" spans="1:4" ht="27.75" customHeight="1">
      <c r="A118" s="7" t="s">
        <v>947</v>
      </c>
      <c r="B118" s="8" t="s">
        <v>944</v>
      </c>
      <c r="C118" s="209">
        <v>6.2476798714671897</v>
      </c>
      <c r="D118" s="209">
        <v>6.1745742184857404</v>
      </c>
    </row>
    <row r="119" spans="1:4" ht="27.75" customHeight="1">
      <c r="A119" s="7" t="s">
        <v>948</v>
      </c>
      <c r="B119" s="8" t="s">
        <v>949</v>
      </c>
      <c r="C119" s="209">
        <v>2.3335357629239901</v>
      </c>
      <c r="D119" s="209">
        <v>8.1104082781681193</v>
      </c>
    </row>
    <row r="120" spans="1:4" ht="27.75" customHeight="1">
      <c r="A120" s="7" t="s">
        <v>950</v>
      </c>
      <c r="B120" s="8" t="s">
        <v>951</v>
      </c>
      <c r="C120" s="209">
        <v>3.06962226521981</v>
      </c>
      <c r="D120" s="209">
        <v>6.5712284850928704</v>
      </c>
    </row>
    <row r="121" spans="1:4" ht="27.75" customHeight="1">
      <c r="A121" s="7" t="s">
        <v>952</v>
      </c>
      <c r="B121" s="8" t="s">
        <v>951</v>
      </c>
      <c r="C121" s="209">
        <v>0.96164995016413801</v>
      </c>
      <c r="D121" s="209">
        <v>6.3842322269720704</v>
      </c>
    </row>
    <row r="122" spans="1:4" ht="27.75" customHeight="1">
      <c r="A122" s="7" t="s">
        <v>953</v>
      </c>
      <c r="B122" s="8" t="s">
        <v>954</v>
      </c>
      <c r="C122" s="209">
        <v>0</v>
      </c>
      <c r="D122" s="209">
        <v>0</v>
      </c>
    </row>
    <row r="123" spans="1:4" ht="27.75" customHeight="1">
      <c r="A123" s="7" t="s">
        <v>955</v>
      </c>
      <c r="B123" s="8" t="s">
        <v>956</v>
      </c>
      <c r="C123" s="209">
        <v>2.49669453157995</v>
      </c>
      <c r="D123" s="209">
        <v>7.6422111289926198</v>
      </c>
    </row>
    <row r="124" spans="1:4" ht="27.75" customHeight="1">
      <c r="A124" s="7" t="s">
        <v>957</v>
      </c>
      <c r="B124" s="8" t="s">
        <v>956</v>
      </c>
      <c r="C124" s="209">
        <v>0.90810179296993299</v>
      </c>
      <c r="D124" s="209">
        <v>4.1960773279325698</v>
      </c>
    </row>
    <row r="125" spans="1:4" ht="27.75" customHeight="1">
      <c r="A125" s="7" t="s">
        <v>958</v>
      </c>
      <c r="B125" s="8" t="s">
        <v>959</v>
      </c>
      <c r="C125" s="209">
        <v>0</v>
      </c>
      <c r="D125" s="209">
        <v>0</v>
      </c>
    </row>
    <row r="126" spans="1:4" ht="27.75" customHeight="1">
      <c r="A126" s="7" t="s">
        <v>960</v>
      </c>
      <c r="B126" s="8" t="s">
        <v>961</v>
      </c>
      <c r="C126" s="209">
        <v>0.271765431464219</v>
      </c>
      <c r="D126" s="209">
        <v>2.8794614073289302</v>
      </c>
    </row>
    <row r="127" spans="1:4" ht="27.75" customHeight="1">
      <c r="A127" s="7" t="s">
        <v>962</v>
      </c>
      <c r="B127" s="8" t="s">
        <v>963</v>
      </c>
      <c r="C127" s="209">
        <v>0</v>
      </c>
      <c r="D127" s="209">
        <v>0</v>
      </c>
    </row>
    <row r="128" spans="1:4" ht="27.75" customHeight="1">
      <c r="A128" s="7" t="s">
        <v>964</v>
      </c>
      <c r="B128" s="8" t="s">
        <v>965</v>
      </c>
      <c r="C128" s="209">
        <v>0.27013195467908502</v>
      </c>
      <c r="D128" s="209">
        <v>0</v>
      </c>
    </row>
    <row r="129" spans="1:4" ht="27.75" customHeight="1">
      <c r="A129" s="7" t="s">
        <v>966</v>
      </c>
      <c r="B129" s="8" t="s">
        <v>967</v>
      </c>
      <c r="C129" s="209">
        <v>0</v>
      </c>
      <c r="D129" s="209">
        <v>1.54238604751695</v>
      </c>
    </row>
    <row r="130" spans="1:4" ht="27.75" customHeight="1">
      <c r="A130" s="7" t="s">
        <v>968</v>
      </c>
      <c r="B130" s="8" t="s">
        <v>967</v>
      </c>
      <c r="C130" s="209">
        <v>0</v>
      </c>
      <c r="D130" s="209">
        <v>2.2424393153769202</v>
      </c>
    </row>
    <row r="131" spans="1:4" ht="27.75" customHeight="1">
      <c r="A131" s="7" t="s">
        <v>969</v>
      </c>
      <c r="B131" s="8" t="s">
        <v>967</v>
      </c>
      <c r="C131" s="209">
        <v>0</v>
      </c>
      <c r="D131" s="209">
        <v>2.1566288222381802</v>
      </c>
    </row>
    <row r="132" spans="1:4" ht="27.75" customHeight="1">
      <c r="A132" s="7" t="s">
        <v>970</v>
      </c>
      <c r="B132" s="8" t="s">
        <v>967</v>
      </c>
      <c r="C132" s="209">
        <v>0</v>
      </c>
      <c r="D132" s="209">
        <v>0</v>
      </c>
    </row>
    <row r="133" spans="1:4" ht="27.75" customHeight="1">
      <c r="A133" s="7" t="s">
        <v>971</v>
      </c>
      <c r="B133" s="8" t="s">
        <v>972</v>
      </c>
      <c r="C133" s="209">
        <v>2.6469655705688702</v>
      </c>
      <c r="D133" s="209">
        <v>2.1012287995208099</v>
      </c>
    </row>
    <row r="134" spans="1:4" ht="27.75" customHeight="1">
      <c r="A134" s="7" t="s">
        <v>973</v>
      </c>
      <c r="B134" s="8" t="s">
        <v>972</v>
      </c>
      <c r="C134" s="209">
        <v>2.6477460537386999</v>
      </c>
      <c r="D134" s="209">
        <v>0.64731575055970103</v>
      </c>
    </row>
    <row r="135" spans="1:4" ht="27.75" customHeight="1">
      <c r="A135" s="7" t="s">
        <v>974</v>
      </c>
      <c r="B135" s="8" t="s">
        <v>975</v>
      </c>
      <c r="C135" s="209">
        <v>0</v>
      </c>
      <c r="D135" s="209">
        <v>0</v>
      </c>
    </row>
    <row r="136" spans="1:4" ht="27.75" customHeight="1">
      <c r="A136" s="7" t="s">
        <v>976</v>
      </c>
      <c r="B136" s="8" t="s">
        <v>977</v>
      </c>
      <c r="C136" s="209">
        <v>0</v>
      </c>
      <c r="D136" s="209">
        <v>2.0376335859122898</v>
      </c>
    </row>
    <row r="137" spans="1:4" ht="27.75" customHeight="1">
      <c r="A137" s="7" t="s">
        <v>978</v>
      </c>
      <c r="B137" s="8" t="s">
        <v>977</v>
      </c>
      <c r="C137" s="209">
        <v>0.100151003628716</v>
      </c>
      <c r="D137" s="209">
        <v>1.6771602799119301</v>
      </c>
    </row>
    <row r="138" spans="1:4" ht="27.75" customHeight="1">
      <c r="A138" s="7" t="s">
        <v>979</v>
      </c>
      <c r="B138" s="8" t="s">
        <v>980</v>
      </c>
      <c r="C138" s="209">
        <v>0</v>
      </c>
      <c r="D138" s="209">
        <v>0</v>
      </c>
    </row>
    <row r="139" spans="1:4" ht="27.75" customHeight="1">
      <c r="A139" s="7" t="s">
        <v>981</v>
      </c>
      <c r="B139" s="8" t="s">
        <v>982</v>
      </c>
      <c r="C139" s="209">
        <v>0</v>
      </c>
      <c r="D139" s="209">
        <v>0</v>
      </c>
    </row>
    <row r="140" spans="1:4" ht="27.75" customHeight="1">
      <c r="A140" s="7" t="s">
        <v>983</v>
      </c>
      <c r="B140" s="8" t="s">
        <v>984</v>
      </c>
      <c r="C140" s="209">
        <v>0</v>
      </c>
      <c r="D140" s="209">
        <v>0</v>
      </c>
    </row>
    <row r="141" spans="1:4" ht="27.75" customHeight="1">
      <c r="A141" s="7" t="s">
        <v>985</v>
      </c>
      <c r="B141" s="8" t="s">
        <v>986</v>
      </c>
      <c r="C141" s="209">
        <v>0</v>
      </c>
      <c r="D141" s="209">
        <v>0</v>
      </c>
    </row>
    <row r="142" spans="1:4" ht="27.75" customHeight="1">
      <c r="A142" s="7" t="s">
        <v>987</v>
      </c>
      <c r="B142" s="8" t="s">
        <v>988</v>
      </c>
      <c r="C142" s="209">
        <v>0</v>
      </c>
      <c r="D142" s="209">
        <v>0</v>
      </c>
    </row>
    <row r="143" spans="1:4" ht="27.75" customHeight="1">
      <c r="A143" s="7" t="s">
        <v>989</v>
      </c>
      <c r="B143" s="8" t="s">
        <v>990</v>
      </c>
      <c r="C143" s="209">
        <v>0</v>
      </c>
      <c r="D143" s="209">
        <v>1.10474082762377</v>
      </c>
    </row>
    <row r="144" spans="1:4" ht="27.75" customHeight="1">
      <c r="A144" s="7" t="s">
        <v>991</v>
      </c>
      <c r="B144" s="8" t="s">
        <v>992</v>
      </c>
      <c r="C144" s="209">
        <v>0.22488280412174799</v>
      </c>
      <c r="D144" s="209">
        <v>0</v>
      </c>
    </row>
    <row r="145" spans="1:4" ht="27.75" customHeight="1">
      <c r="A145" s="7" t="s">
        <v>993</v>
      </c>
      <c r="B145" s="8" t="s">
        <v>992</v>
      </c>
      <c r="C145" s="209">
        <v>0.22491887689515599</v>
      </c>
      <c r="D145" s="209">
        <v>0</v>
      </c>
    </row>
    <row r="146" spans="1:4" ht="27.75" customHeight="1">
      <c r="A146" s="7" t="s">
        <v>994</v>
      </c>
      <c r="B146" s="8" t="s">
        <v>995</v>
      </c>
      <c r="C146" s="209">
        <v>1.78252456281238E-10</v>
      </c>
      <c r="D146" s="209">
        <v>0</v>
      </c>
    </row>
    <row r="147" spans="1:4" ht="27.75" customHeight="1">
      <c r="A147" s="7" t="s">
        <v>996</v>
      </c>
      <c r="B147" s="8" t="s">
        <v>997</v>
      </c>
      <c r="C147" s="209">
        <v>0</v>
      </c>
      <c r="D147" s="209">
        <v>0</v>
      </c>
    </row>
    <row r="148" spans="1:4" ht="27.75" customHeight="1">
      <c r="A148" s="7" t="s">
        <v>998</v>
      </c>
      <c r="B148" s="8" t="s">
        <v>999</v>
      </c>
      <c r="C148" s="209">
        <v>0</v>
      </c>
      <c r="D148" s="209">
        <v>0.11632943868229099</v>
      </c>
    </row>
    <row r="149" spans="1:4" ht="27.75" customHeight="1">
      <c r="A149" s="7" t="s">
        <v>1000</v>
      </c>
      <c r="B149" s="8" t="s">
        <v>1001</v>
      </c>
      <c r="C149" s="209">
        <v>0</v>
      </c>
      <c r="D149" s="209">
        <v>0</v>
      </c>
    </row>
    <row r="150" spans="1:4" ht="27.75" customHeight="1">
      <c r="A150" s="7" t="s">
        <v>1002</v>
      </c>
      <c r="B150" s="8" t="s">
        <v>1003</v>
      </c>
      <c r="C150" s="209">
        <v>1.2174325914099999</v>
      </c>
      <c r="D150" s="209">
        <v>0.81290818478656601</v>
      </c>
    </row>
    <row r="151" spans="1:4" ht="27.75" customHeight="1">
      <c r="A151" s="7" t="s">
        <v>1004</v>
      </c>
      <c r="B151" s="8" t="s">
        <v>1005</v>
      </c>
      <c r="C151" s="209">
        <v>1.2176067678303999</v>
      </c>
      <c r="D151" s="209">
        <v>0.81334847782509201</v>
      </c>
    </row>
    <row r="152" spans="1:4" ht="27.75" customHeight="1">
      <c r="A152" s="7" t="s">
        <v>1006</v>
      </c>
      <c r="B152" s="8" t="s">
        <v>1007</v>
      </c>
      <c r="C152" s="209">
        <v>1.23808450024613</v>
      </c>
      <c r="D152" s="209">
        <v>0.90003058619301401</v>
      </c>
    </row>
    <row r="153" spans="1:4" ht="27.75" customHeight="1">
      <c r="A153" s="7" t="s">
        <v>1008</v>
      </c>
      <c r="B153" s="8" t="s">
        <v>1009</v>
      </c>
      <c r="C153" s="209">
        <v>1.2136611776755299</v>
      </c>
      <c r="D153" s="209">
        <v>0.81972771664939603</v>
      </c>
    </row>
    <row r="154" spans="1:4" ht="27.75" customHeight="1">
      <c r="A154" s="7" t="s">
        <v>1010</v>
      </c>
      <c r="B154" s="8" t="s">
        <v>1011</v>
      </c>
      <c r="C154" s="209">
        <v>1.2139015167929399</v>
      </c>
      <c r="D154" s="209">
        <v>0.82750079054148795</v>
      </c>
    </row>
    <row r="155" spans="1:4" ht="27.75" customHeight="1">
      <c r="A155" s="7" t="s">
        <v>1012</v>
      </c>
      <c r="B155" s="8" t="s">
        <v>1013</v>
      </c>
      <c r="C155" s="209">
        <v>1.2188155726245899</v>
      </c>
      <c r="D155" s="209">
        <v>0.74553864559374805</v>
      </c>
    </row>
    <row r="156" spans="1:4" ht="27.75" customHeight="1">
      <c r="A156" s="7" t="s">
        <v>1014</v>
      </c>
      <c r="B156" s="8" t="s">
        <v>1015</v>
      </c>
      <c r="C156" s="209">
        <v>1.2160738197004199</v>
      </c>
      <c r="D156" s="209">
        <v>0.75797002060158902</v>
      </c>
    </row>
    <row r="157" spans="1:4" ht="27.75" customHeight="1">
      <c r="A157" s="7" t="s">
        <v>1016</v>
      </c>
      <c r="B157" s="8" t="s">
        <v>1017</v>
      </c>
      <c r="C157" s="209">
        <v>0.110545730590555</v>
      </c>
      <c r="D157" s="209">
        <v>7.2097883219157696E-13</v>
      </c>
    </row>
    <row r="158" spans="1:4" ht="27.75" customHeight="1">
      <c r="A158" s="7" t="s">
        <v>1018</v>
      </c>
      <c r="B158" s="8" t="s">
        <v>1017</v>
      </c>
      <c r="C158" s="209">
        <v>0.110545542694512</v>
      </c>
      <c r="D158" s="209">
        <v>7.2712669219043796E-13</v>
      </c>
    </row>
    <row r="159" spans="1:4" ht="27.75" customHeight="1">
      <c r="A159" s="7" t="s">
        <v>1019</v>
      </c>
      <c r="B159" s="8" t="s">
        <v>1020</v>
      </c>
      <c r="C159" s="209">
        <v>0.589831147813346</v>
      </c>
      <c r="D159" s="209">
        <v>0</v>
      </c>
    </row>
    <row r="160" spans="1:4" ht="27.75" customHeight="1">
      <c r="A160" s="7" t="s">
        <v>1021</v>
      </c>
      <c r="B160" s="8" t="s">
        <v>1022</v>
      </c>
      <c r="C160" s="209">
        <v>0</v>
      </c>
      <c r="D160" s="209">
        <v>0</v>
      </c>
    </row>
    <row r="161" spans="1:4" ht="27.75" customHeight="1">
      <c r="A161" s="7" t="s">
        <v>1023</v>
      </c>
      <c r="B161" s="8" t="s">
        <v>1024</v>
      </c>
      <c r="C161" s="209">
        <v>0</v>
      </c>
      <c r="D161" s="209">
        <v>0</v>
      </c>
    </row>
    <row r="162" spans="1:4" ht="27.75" customHeight="1">
      <c r="A162" s="7" t="s">
        <v>1025</v>
      </c>
      <c r="B162" s="8" t="s">
        <v>1026</v>
      </c>
      <c r="C162" s="209">
        <v>1.2204477475595299</v>
      </c>
      <c r="D162" s="209">
        <v>0.71844751244185301</v>
      </c>
    </row>
    <row r="163" spans="1:4" ht="27.75" customHeight="1">
      <c r="A163" s="7" t="s">
        <v>1027</v>
      </c>
      <c r="B163" s="8" t="s">
        <v>1028</v>
      </c>
      <c r="C163" s="209">
        <v>1.21307822538012</v>
      </c>
      <c r="D163" s="209">
        <v>1.0839974606704299</v>
      </c>
    </row>
    <row r="164" spans="1:4" ht="27.75" customHeight="1">
      <c r="A164" s="7" t="s">
        <v>1029</v>
      </c>
      <c r="B164" s="8" t="s">
        <v>1030</v>
      </c>
      <c r="C164" s="209">
        <v>1.2124864830300901</v>
      </c>
      <c r="D164" s="209">
        <v>1.06592229835393</v>
      </c>
    </row>
    <row r="165" spans="1:4" ht="27.75" customHeight="1">
      <c r="A165" s="7" t="s">
        <v>1031</v>
      </c>
      <c r="B165" s="8" t="s">
        <v>1032</v>
      </c>
      <c r="C165" s="209">
        <v>0</v>
      </c>
      <c r="D165" s="209">
        <v>0</v>
      </c>
    </row>
    <row r="166" spans="1:4" ht="27.75" customHeight="1">
      <c r="A166" s="7" t="s">
        <v>1033</v>
      </c>
      <c r="B166" s="8" t="s">
        <v>1034</v>
      </c>
      <c r="C166" s="209">
        <v>0</v>
      </c>
      <c r="D166" s="209">
        <v>0</v>
      </c>
    </row>
    <row r="167" spans="1:4" ht="27.75" customHeight="1">
      <c r="A167" s="7" t="s">
        <v>1035</v>
      </c>
      <c r="B167" s="8" t="s">
        <v>1036</v>
      </c>
      <c r="C167" s="209">
        <v>0.61378294339914796</v>
      </c>
      <c r="D167" s="209">
        <v>9.8368437789653193E-5</v>
      </c>
    </row>
    <row r="168" spans="1:4" ht="27.75" customHeight="1">
      <c r="A168" s="7" t="s">
        <v>1037</v>
      </c>
      <c r="B168" s="8" t="s">
        <v>1036</v>
      </c>
      <c r="C168" s="209">
        <v>0.61482031785778501</v>
      </c>
      <c r="D168" s="209">
        <v>9.8368437789653193E-5</v>
      </c>
    </row>
    <row r="169" spans="1:4" ht="27.75" customHeight="1">
      <c r="A169" s="7" t="s">
        <v>1038</v>
      </c>
      <c r="B169" s="8" t="s">
        <v>1039</v>
      </c>
      <c r="C169" s="209">
        <v>1.84869946049133</v>
      </c>
      <c r="D169" s="209">
        <v>2.5642735209707901</v>
      </c>
    </row>
    <row r="170" spans="1:4" ht="27.75" customHeight="1">
      <c r="A170" s="7" t="s">
        <v>1040</v>
      </c>
      <c r="B170" s="8" t="s">
        <v>1041</v>
      </c>
      <c r="C170" s="209">
        <v>0</v>
      </c>
      <c r="D170" s="209">
        <v>0.19526860898638199</v>
      </c>
    </row>
    <row r="171" spans="1:4" ht="27.75" customHeight="1">
      <c r="A171" s="7" t="s">
        <v>1042</v>
      </c>
      <c r="B171" s="8" t="s">
        <v>1043</v>
      </c>
      <c r="C171" s="209">
        <v>0</v>
      </c>
      <c r="D171" s="209">
        <v>0</v>
      </c>
    </row>
    <row r="172" spans="1:4" ht="27.75" customHeight="1">
      <c r="A172" s="7" t="s">
        <v>1044</v>
      </c>
      <c r="B172" s="8" t="s">
        <v>1045</v>
      </c>
      <c r="C172" s="209">
        <v>0</v>
      </c>
      <c r="D172" s="209">
        <v>0</v>
      </c>
    </row>
    <row r="173" spans="1:4" ht="27.75" customHeight="1">
      <c r="A173" s="7" t="s">
        <v>1046</v>
      </c>
      <c r="B173" s="8" t="s">
        <v>1047</v>
      </c>
      <c r="C173" s="209">
        <v>0</v>
      </c>
      <c r="D173" s="209">
        <v>0</v>
      </c>
    </row>
    <row r="174" spans="1:4" ht="27.75" customHeight="1">
      <c r="A174" s="7" t="s">
        <v>1048</v>
      </c>
      <c r="B174" s="8" t="s">
        <v>1049</v>
      </c>
      <c r="C174" s="209">
        <v>0</v>
      </c>
      <c r="D174" s="209">
        <v>0</v>
      </c>
    </row>
    <row r="175" spans="1:4" ht="27.75" customHeight="1">
      <c r="A175" s="7" t="s">
        <v>1050</v>
      </c>
      <c r="B175" s="8" t="s">
        <v>1051</v>
      </c>
      <c r="C175" s="209">
        <v>1.22479003947027</v>
      </c>
      <c r="D175" s="209">
        <v>0.86364318211397095</v>
      </c>
    </row>
    <row r="176" spans="1:4" ht="27.75" customHeight="1">
      <c r="A176" s="7" t="s">
        <v>1052</v>
      </c>
      <c r="B176" s="8" t="s">
        <v>1053</v>
      </c>
      <c r="C176" s="209">
        <v>1.2244383290976699</v>
      </c>
      <c r="D176" s="209">
        <v>0.68807325438341504</v>
      </c>
    </row>
    <row r="177" spans="1:4" ht="27.75" customHeight="1">
      <c r="A177" s="7" t="s">
        <v>1054</v>
      </c>
      <c r="B177" s="8" t="s">
        <v>1055</v>
      </c>
      <c r="C177" s="209">
        <v>1.22570790483291</v>
      </c>
      <c r="D177" s="209">
        <v>0.67829851364292904</v>
      </c>
    </row>
    <row r="178" spans="1:4" ht="27.75" customHeight="1">
      <c r="A178" s="7" t="s">
        <v>1056</v>
      </c>
      <c r="B178" s="8" t="s">
        <v>1057</v>
      </c>
      <c r="C178" s="209">
        <v>1.098740193985545</v>
      </c>
      <c r="D178" s="209">
        <v>0.79684749376832498</v>
      </c>
    </row>
    <row r="179" spans="1:4" ht="27.75" customHeight="1">
      <c r="A179" s="7" t="s">
        <v>1058</v>
      </c>
      <c r="B179" s="8" t="s">
        <v>1059</v>
      </c>
      <c r="C179" s="209">
        <v>1.098740193985545</v>
      </c>
      <c r="D179" s="209">
        <v>0.79684749376832498</v>
      </c>
    </row>
    <row r="180" spans="1:4" ht="27.75" customHeight="1">
      <c r="A180" s="7" t="s">
        <v>1060</v>
      </c>
      <c r="B180" s="8" t="s">
        <v>1061</v>
      </c>
      <c r="C180" s="209">
        <v>2.2225562539438348</v>
      </c>
      <c r="D180" s="209">
        <v>1.5936514094342344</v>
      </c>
    </row>
    <row r="181" spans="1:4" ht="27.75" customHeight="1">
      <c r="A181" s="7" t="s">
        <v>1062</v>
      </c>
      <c r="B181" s="8" t="s">
        <v>1063</v>
      </c>
      <c r="C181" s="209">
        <v>0</v>
      </c>
      <c r="D181" s="209">
        <v>0</v>
      </c>
    </row>
    <row r="182" spans="1:4" ht="27.75" customHeight="1">
      <c r="A182" s="7" t="s">
        <v>1064</v>
      </c>
      <c r="B182" s="8" t="s">
        <v>1065</v>
      </c>
      <c r="C182" s="209">
        <v>2.2225562539438348</v>
      </c>
      <c r="D182" s="209">
        <v>1.5936514094342344</v>
      </c>
    </row>
    <row r="183" spans="1:4" ht="27.75" customHeight="1">
      <c r="A183" s="7" t="s">
        <v>1066</v>
      </c>
      <c r="B183" s="8" t="s">
        <v>1067</v>
      </c>
      <c r="C183" s="209">
        <v>2.2225562539438348</v>
      </c>
      <c r="D183" s="209">
        <v>1.5936514094342344</v>
      </c>
    </row>
    <row r="184" spans="1:4" ht="27.75" customHeight="1">
      <c r="A184" s="7" t="s">
        <v>1068</v>
      </c>
      <c r="B184" s="8" t="s">
        <v>1069</v>
      </c>
      <c r="C184" s="209">
        <v>0</v>
      </c>
      <c r="D184" s="209">
        <v>0</v>
      </c>
    </row>
    <row r="185" spans="1:4" ht="27.75" customHeight="1">
      <c r="A185" s="7" t="s">
        <v>1070</v>
      </c>
      <c r="B185" s="8" t="s">
        <v>1071</v>
      </c>
      <c r="C185" s="209">
        <v>1.2170667988916799</v>
      </c>
      <c r="D185" s="209">
        <v>0.79748255427992998</v>
      </c>
    </row>
    <row r="186" spans="1:4" ht="27.75" customHeight="1">
      <c r="A186" s="7" t="s">
        <v>1072</v>
      </c>
      <c r="B186" s="8" t="s">
        <v>1073</v>
      </c>
      <c r="C186" s="209">
        <v>2.8913243810654801</v>
      </c>
      <c r="D186" s="209">
        <v>7.8722140943641996</v>
      </c>
    </row>
    <row r="187" spans="1:4" ht="27.75" customHeight="1">
      <c r="A187" s="7" t="s">
        <v>1074</v>
      </c>
      <c r="B187" s="8" t="s">
        <v>1075</v>
      </c>
      <c r="C187" s="209">
        <v>1.21609990697475</v>
      </c>
      <c r="D187" s="209">
        <v>0.81070619408796496</v>
      </c>
    </row>
    <row r="188" spans="1:4" ht="27.75" customHeight="1">
      <c r="A188" s="7" t="s">
        <v>1076</v>
      </c>
      <c r="B188" s="8" t="s">
        <v>1077</v>
      </c>
      <c r="C188" s="209">
        <v>1.2177930233415899</v>
      </c>
      <c r="D188" s="209">
        <v>0.78711646233135502</v>
      </c>
    </row>
    <row r="189" spans="1:4" ht="27.75" customHeight="1">
      <c r="A189" s="7" t="s">
        <v>1078</v>
      </c>
      <c r="B189" s="8" t="s">
        <v>1079</v>
      </c>
      <c r="C189" s="209">
        <v>1.2188139745895199</v>
      </c>
      <c r="D189" s="209">
        <v>0.82364765671903395</v>
      </c>
    </row>
    <row r="190" spans="1:4" ht="27.75" customHeight="1">
      <c r="A190" s="7" t="s">
        <v>1080</v>
      </c>
      <c r="B190" s="8" t="s">
        <v>1081</v>
      </c>
      <c r="C190" s="209">
        <v>1.21634030944729</v>
      </c>
      <c r="D190" s="209">
        <v>0.80806787068559705</v>
      </c>
    </row>
    <row r="191" spans="1:4" ht="27.75" customHeight="1">
      <c r="A191" s="7" t="s">
        <v>1082</v>
      </c>
      <c r="B191" s="8" t="s">
        <v>1083</v>
      </c>
      <c r="C191" s="209">
        <v>1.2124027967729001</v>
      </c>
      <c r="D191" s="209">
        <v>0.81980124287336598</v>
      </c>
    </row>
    <row r="192" spans="1:4" ht="27.75" customHeight="1">
      <c r="A192" s="7" t="s">
        <v>1084</v>
      </c>
      <c r="B192" s="8" t="s">
        <v>1085</v>
      </c>
      <c r="C192" s="209">
        <v>1.21110142774646</v>
      </c>
      <c r="D192" s="209">
        <v>0.82935104457627196</v>
      </c>
    </row>
    <row r="193" spans="1:4" ht="27.75" customHeight="1">
      <c r="A193" s="7" t="s">
        <v>1086</v>
      </c>
      <c r="B193" s="8" t="s">
        <v>1087</v>
      </c>
      <c r="C193" s="209">
        <v>0</v>
      </c>
      <c r="D193" s="209">
        <v>0</v>
      </c>
    </row>
    <row r="194" spans="1:4" ht="27.75" customHeight="1">
      <c r="A194" s="7" t="s">
        <v>1088</v>
      </c>
      <c r="B194" s="8" t="s">
        <v>1089</v>
      </c>
      <c r="C194" s="209">
        <v>2.3892146974396802</v>
      </c>
      <c r="D194" s="209">
        <v>4.8078264935067203</v>
      </c>
    </row>
    <row r="195" spans="1:4" ht="27.75" customHeight="1">
      <c r="A195" s="7" t="s">
        <v>1090</v>
      </c>
      <c r="B195" s="8" t="s">
        <v>1089</v>
      </c>
      <c r="C195" s="209">
        <v>2.6804783525031999</v>
      </c>
      <c r="D195" s="209">
        <v>4.5142586122825499</v>
      </c>
    </row>
    <row r="196" spans="1:4" ht="27.75" customHeight="1">
      <c r="A196" s="7" t="s">
        <v>1091</v>
      </c>
      <c r="B196" s="8" t="s">
        <v>1092</v>
      </c>
      <c r="C196" s="209">
        <v>1.1758408835884699</v>
      </c>
      <c r="D196" s="209">
        <v>10.024248993989801</v>
      </c>
    </row>
    <row r="197" spans="1:4" ht="27.75" customHeight="1">
      <c r="A197" s="7" t="s">
        <v>1093</v>
      </c>
      <c r="B197" s="8" t="s">
        <v>1092</v>
      </c>
      <c r="C197" s="209">
        <v>0.23977102676158901</v>
      </c>
      <c r="D197" s="209">
        <v>6.1613111289946501</v>
      </c>
    </row>
    <row r="198" spans="1:4" ht="27.75" customHeight="1">
      <c r="A198" s="7" t="s">
        <v>1094</v>
      </c>
      <c r="B198" s="8" t="s">
        <v>1092</v>
      </c>
      <c r="C198" s="209">
        <v>0</v>
      </c>
      <c r="D198" s="209">
        <v>2.94217878708255</v>
      </c>
    </row>
    <row r="199" spans="1:4" ht="27.75" customHeight="1">
      <c r="A199" s="7" t="s">
        <v>1095</v>
      </c>
      <c r="B199" s="8" t="s">
        <v>1096</v>
      </c>
      <c r="C199" s="209">
        <v>0.33416947392631502</v>
      </c>
      <c r="D199" s="209">
        <v>10.5055070060764</v>
      </c>
    </row>
    <row r="200" spans="1:4" ht="27.75" customHeight="1">
      <c r="A200" s="7" t="s">
        <v>1097</v>
      </c>
      <c r="B200" s="8" t="s">
        <v>1096</v>
      </c>
      <c r="C200" s="209">
        <v>0</v>
      </c>
      <c r="D200" s="209">
        <v>0</v>
      </c>
    </row>
    <row r="201" spans="1:4" ht="27.75" customHeight="1">
      <c r="A201" s="7" t="s">
        <v>1098</v>
      </c>
      <c r="B201" s="8" t="s">
        <v>1099</v>
      </c>
      <c r="C201" s="209">
        <v>1.87073209115144</v>
      </c>
      <c r="D201" s="209">
        <v>4.3578754851039596</v>
      </c>
    </row>
    <row r="202" spans="1:4" ht="27.75" customHeight="1">
      <c r="A202" s="7" t="s">
        <v>1100</v>
      </c>
      <c r="B202" s="8" t="s">
        <v>1099</v>
      </c>
      <c r="C202" s="209">
        <v>2.3383359939108601</v>
      </c>
      <c r="D202" s="209">
        <v>5.2633370289030896</v>
      </c>
    </row>
    <row r="203" spans="1:4" ht="27.75" customHeight="1">
      <c r="A203" s="7" t="s">
        <v>1101</v>
      </c>
      <c r="B203" s="8" t="s">
        <v>1102</v>
      </c>
      <c r="C203" s="209">
        <v>0</v>
      </c>
      <c r="D203" s="209">
        <v>0</v>
      </c>
    </row>
    <row r="204" spans="1:4" ht="27.75" customHeight="1">
      <c r="A204" s="7" t="s">
        <v>1103</v>
      </c>
      <c r="B204" s="8" t="s">
        <v>1104</v>
      </c>
      <c r="C204" s="209">
        <v>0</v>
      </c>
      <c r="D204" s="209">
        <v>2.2421456395814299</v>
      </c>
    </row>
    <row r="205" spans="1:4" ht="27.75" customHeight="1">
      <c r="A205" s="7" t="s">
        <v>1105</v>
      </c>
      <c r="B205" s="8" t="s">
        <v>1106</v>
      </c>
      <c r="C205" s="209">
        <v>1.92708121812407</v>
      </c>
      <c r="D205" s="209">
        <v>5.1436925502741202</v>
      </c>
    </row>
    <row r="206" spans="1:4" ht="27.75" customHeight="1">
      <c r="A206" s="7" t="s">
        <v>1107</v>
      </c>
      <c r="B206" s="8" t="s">
        <v>1108</v>
      </c>
      <c r="C206" s="209">
        <v>0</v>
      </c>
      <c r="D206" s="209">
        <v>0</v>
      </c>
    </row>
    <row r="207" spans="1:4" ht="27.75" customHeight="1">
      <c r="A207" s="7" t="s">
        <v>1109</v>
      </c>
      <c r="B207" s="8" t="s">
        <v>1110</v>
      </c>
      <c r="C207" s="209">
        <v>3.5033557643297901</v>
      </c>
      <c r="D207" s="209">
        <v>0.95271220134875501</v>
      </c>
    </row>
    <row r="208" spans="1:4" ht="27.75" customHeight="1">
      <c r="A208" s="7" t="s">
        <v>1111</v>
      </c>
      <c r="B208" s="8" t="s">
        <v>1110</v>
      </c>
      <c r="C208" s="209">
        <v>3.81416419544153</v>
      </c>
      <c r="D208" s="209">
        <v>1.230177950436</v>
      </c>
    </row>
    <row r="209" spans="1:4" ht="27.75" customHeight="1">
      <c r="A209" s="7" t="s">
        <v>1112</v>
      </c>
      <c r="B209" s="8" t="s">
        <v>1110</v>
      </c>
      <c r="C209" s="209">
        <v>3.8143674137454502</v>
      </c>
      <c r="D209" s="209">
        <v>0.73361224217371102</v>
      </c>
    </row>
    <row r="210" spans="1:4" ht="27.75" customHeight="1">
      <c r="A210" s="7" t="s">
        <v>1113</v>
      </c>
      <c r="B210" s="8" t="s">
        <v>1114</v>
      </c>
      <c r="C210" s="209">
        <v>0</v>
      </c>
      <c r="D210" s="209">
        <v>0</v>
      </c>
    </row>
    <row r="211" spans="1:4" ht="27.75" customHeight="1">
      <c r="A211" s="7" t="s">
        <v>1115</v>
      </c>
      <c r="B211" s="8" t="s">
        <v>1116</v>
      </c>
      <c r="C211" s="209">
        <v>0</v>
      </c>
      <c r="D211" s="209">
        <v>0</v>
      </c>
    </row>
    <row r="212" spans="1:4" ht="27.75" customHeight="1">
      <c r="A212" s="7" t="s">
        <v>1117</v>
      </c>
      <c r="B212" s="8" t="s">
        <v>1118</v>
      </c>
      <c r="C212" s="209">
        <v>0</v>
      </c>
      <c r="D212" s="209">
        <v>0</v>
      </c>
    </row>
    <row r="213" spans="1:4" ht="27.75" customHeight="1">
      <c r="A213" s="7" t="s">
        <v>1119</v>
      </c>
      <c r="B213" s="8" t="s">
        <v>1120</v>
      </c>
      <c r="C213" s="209">
        <v>0</v>
      </c>
      <c r="D213" s="209">
        <v>0</v>
      </c>
    </row>
    <row r="214" spans="1:4" ht="27.75" customHeight="1">
      <c r="A214" s="7" t="s">
        <v>1121</v>
      </c>
      <c r="B214" s="8" t="s">
        <v>1120</v>
      </c>
      <c r="C214" s="209">
        <v>0.53056305083281596</v>
      </c>
      <c r="D214" s="209">
        <v>2.4072121741249402</v>
      </c>
    </row>
    <row r="215" spans="1:4" ht="27.75" customHeight="1">
      <c r="A215" s="7" t="s">
        <v>1122</v>
      </c>
      <c r="B215" s="8" t="s">
        <v>1123</v>
      </c>
      <c r="C215" s="209">
        <v>0</v>
      </c>
      <c r="D215" s="209">
        <v>0</v>
      </c>
    </row>
    <row r="216" spans="1:4" ht="27.75" customHeight="1">
      <c r="A216" s="7" t="s">
        <v>1124</v>
      </c>
      <c r="B216" s="8" t="s">
        <v>1125</v>
      </c>
      <c r="C216" s="209">
        <v>0</v>
      </c>
      <c r="D216" s="209">
        <v>0</v>
      </c>
    </row>
    <row r="217" spans="1:4" ht="27.75" customHeight="1">
      <c r="A217" s="7" t="s">
        <v>1126</v>
      </c>
      <c r="B217" s="8" t="s">
        <v>1127</v>
      </c>
      <c r="C217" s="209">
        <v>0</v>
      </c>
      <c r="D217" s="209">
        <v>0</v>
      </c>
    </row>
    <row r="218" spans="1:4" ht="27.75" customHeight="1">
      <c r="A218" s="7" t="s">
        <v>1128</v>
      </c>
      <c r="B218" s="8" t="s">
        <v>1129</v>
      </c>
      <c r="C218" s="209">
        <v>0</v>
      </c>
      <c r="D218" s="209">
        <v>0</v>
      </c>
    </row>
    <row r="219" spans="1:4" ht="27.75" customHeight="1">
      <c r="A219" s="7" t="s">
        <v>1130</v>
      </c>
      <c r="B219" s="8" t="s">
        <v>1131</v>
      </c>
      <c r="C219" s="209">
        <v>0</v>
      </c>
      <c r="D219" s="209">
        <v>0</v>
      </c>
    </row>
    <row r="220" spans="1:4" ht="27.75" customHeight="1">
      <c r="A220" s="7" t="s">
        <v>1132</v>
      </c>
      <c r="B220" s="8" t="s">
        <v>1133</v>
      </c>
      <c r="C220" s="209">
        <v>0</v>
      </c>
      <c r="D220" s="209">
        <v>0.32425616070417701</v>
      </c>
    </row>
    <row r="221" spans="1:4" ht="27.75" customHeight="1">
      <c r="A221" s="7" t="s">
        <v>1134</v>
      </c>
      <c r="B221" s="8" t="s">
        <v>1135</v>
      </c>
      <c r="C221" s="209">
        <v>1.7311241148394001</v>
      </c>
      <c r="D221" s="209">
        <v>3.7839055193268099</v>
      </c>
    </row>
    <row r="222" spans="1:4" ht="27.75" customHeight="1">
      <c r="A222" s="7" t="s">
        <v>1136</v>
      </c>
      <c r="B222" s="8" t="s">
        <v>1135</v>
      </c>
      <c r="C222" s="209">
        <v>1.71950013698232</v>
      </c>
      <c r="D222" s="209">
        <v>3.76746651498887</v>
      </c>
    </row>
    <row r="223" spans="1:4" ht="27.75" customHeight="1">
      <c r="A223" s="7" t="s">
        <v>1137</v>
      </c>
      <c r="B223" s="8" t="s">
        <v>1138</v>
      </c>
      <c r="C223" s="209">
        <v>3.5346993248501799</v>
      </c>
      <c r="D223" s="209">
        <v>2.69070092273624</v>
      </c>
    </row>
    <row r="224" spans="1:4" ht="27.75" customHeight="1">
      <c r="A224" s="7" t="s">
        <v>1139</v>
      </c>
      <c r="B224" s="8" t="s">
        <v>1138</v>
      </c>
      <c r="C224" s="209">
        <v>3.3179345021087499</v>
      </c>
      <c r="D224" s="209">
        <v>2.4457435012112101</v>
      </c>
    </row>
    <row r="225" spans="1:4" ht="27.75" customHeight="1">
      <c r="A225" s="7" t="s">
        <v>1140</v>
      </c>
      <c r="B225" s="8" t="s">
        <v>1141</v>
      </c>
      <c r="C225" s="209">
        <v>0</v>
      </c>
      <c r="D225" s="209">
        <v>0</v>
      </c>
    </row>
    <row r="226" spans="1:4" ht="27.75" customHeight="1">
      <c r="A226" s="7" t="s">
        <v>1142</v>
      </c>
      <c r="B226" s="8" t="s">
        <v>1143</v>
      </c>
      <c r="C226" s="209">
        <v>2.7810170369877301</v>
      </c>
      <c r="D226" s="209">
        <v>6.6570127188469996E-10</v>
      </c>
    </row>
    <row r="227" spans="1:4" ht="27.75" customHeight="1">
      <c r="A227" s="7" t="s">
        <v>1144</v>
      </c>
      <c r="B227" s="8" t="s">
        <v>1143</v>
      </c>
      <c r="C227" s="209">
        <v>2.76229658047435</v>
      </c>
      <c r="D227" s="209">
        <v>4.7635051458882995E-10</v>
      </c>
    </row>
    <row r="228" spans="1:4" ht="27.75" customHeight="1">
      <c r="A228" s="7" t="s">
        <v>1145</v>
      </c>
      <c r="B228" s="8" t="s">
        <v>1146</v>
      </c>
      <c r="C228" s="209">
        <v>6.6489746994227304E-9</v>
      </c>
      <c r="D228" s="209">
        <v>0</v>
      </c>
    </row>
    <row r="229" spans="1:4" ht="27.75" customHeight="1">
      <c r="A229" s="7" t="s">
        <v>1147</v>
      </c>
      <c r="B229" s="8" t="s">
        <v>1146</v>
      </c>
      <c r="C229" s="209">
        <v>1.30177267998604E-8</v>
      </c>
      <c r="D229" s="209">
        <v>0</v>
      </c>
    </row>
    <row r="230" spans="1:4" ht="27.75" customHeight="1">
      <c r="A230" s="7" t="s">
        <v>1148</v>
      </c>
      <c r="B230" s="8" t="s">
        <v>1149</v>
      </c>
      <c r="C230" s="209">
        <v>0</v>
      </c>
      <c r="D230" s="209">
        <v>0</v>
      </c>
    </row>
    <row r="231" spans="1:4" ht="27.75" customHeight="1">
      <c r="A231" s="7" t="s">
        <v>1150</v>
      </c>
      <c r="B231" s="8" t="s">
        <v>1151</v>
      </c>
      <c r="C231" s="209">
        <v>1.6390452014823</v>
      </c>
      <c r="D231" s="209">
        <v>0.614018509523511</v>
      </c>
    </row>
    <row r="232" spans="1:4" ht="27.75" customHeight="1">
      <c r="A232" s="7" t="s">
        <v>1152</v>
      </c>
      <c r="B232" s="8" t="s">
        <v>1151</v>
      </c>
      <c r="C232" s="209">
        <v>1.1972295148029</v>
      </c>
      <c r="D232" s="209">
        <v>0.61749630861876703</v>
      </c>
    </row>
    <row r="233" spans="1:4" ht="27.75" customHeight="1">
      <c r="A233" s="7" t="s">
        <v>1153</v>
      </c>
      <c r="B233" s="8" t="s">
        <v>1154</v>
      </c>
      <c r="C233" s="209">
        <v>0</v>
      </c>
      <c r="D233" s="209">
        <v>0</v>
      </c>
    </row>
    <row r="234" spans="1:4" ht="27.75" customHeight="1">
      <c r="A234" s="7" t="s">
        <v>1155</v>
      </c>
      <c r="B234" s="8" t="s">
        <v>1156</v>
      </c>
      <c r="C234" s="209">
        <v>0.75209916178962499</v>
      </c>
      <c r="D234" s="209">
        <v>0</v>
      </c>
    </row>
    <row r="235" spans="1:4" ht="27.75" customHeight="1">
      <c r="A235" s="7" t="s">
        <v>1157</v>
      </c>
      <c r="B235" s="8" t="s">
        <v>1158</v>
      </c>
      <c r="C235" s="209">
        <v>0.54466780435683004</v>
      </c>
      <c r="D235" s="209">
        <v>3.8196441871264999</v>
      </c>
    </row>
    <row r="236" spans="1:4" ht="27.75" customHeight="1">
      <c r="A236" s="7" t="s">
        <v>1159</v>
      </c>
      <c r="B236" s="8" t="s">
        <v>1158</v>
      </c>
      <c r="C236" s="209">
        <v>0.34467275885292797</v>
      </c>
      <c r="D236" s="209">
        <v>3.8574064906970502</v>
      </c>
    </row>
    <row r="237" spans="1:4" ht="27.75" customHeight="1">
      <c r="A237" s="7" t="s">
        <v>1160</v>
      </c>
      <c r="B237" s="8" t="s">
        <v>1161</v>
      </c>
      <c r="C237" s="209">
        <v>2.5935051912321501</v>
      </c>
      <c r="D237" s="209">
        <v>4.2104320805681104</v>
      </c>
    </row>
    <row r="238" spans="1:4" ht="27.75" customHeight="1">
      <c r="A238" s="7" t="s">
        <v>1162</v>
      </c>
      <c r="B238" s="8" t="s">
        <v>1161</v>
      </c>
      <c r="C238" s="209">
        <v>2.9548471844491599</v>
      </c>
      <c r="D238" s="209">
        <v>3.3641214216891102</v>
      </c>
    </row>
    <row r="239" spans="1:4" ht="27.75" customHeight="1">
      <c r="A239" s="7" t="s">
        <v>1163</v>
      </c>
      <c r="B239" s="8" t="s">
        <v>1164</v>
      </c>
      <c r="C239" s="209">
        <v>0</v>
      </c>
      <c r="D239" s="209">
        <v>0</v>
      </c>
    </row>
    <row r="240" spans="1:4" ht="27.75" customHeight="1">
      <c r="A240" s="7" t="s">
        <v>1165</v>
      </c>
      <c r="B240" s="8" t="s">
        <v>1164</v>
      </c>
      <c r="C240" s="209">
        <v>6.3454377396135699</v>
      </c>
      <c r="D240" s="209">
        <v>2.9520048061947199</v>
      </c>
    </row>
    <row r="241" spans="1:4" ht="27.75" customHeight="1">
      <c r="A241" s="7" t="s">
        <v>1166</v>
      </c>
      <c r="B241" s="8" t="s">
        <v>1167</v>
      </c>
      <c r="C241" s="209">
        <v>2.5364221033730501</v>
      </c>
      <c r="D241" s="209">
        <v>7.1234710011273297</v>
      </c>
    </row>
    <row r="242" spans="1:4" ht="27.75" customHeight="1">
      <c r="A242" s="7" t="s">
        <v>1168</v>
      </c>
      <c r="B242" s="8" t="s">
        <v>1167</v>
      </c>
      <c r="C242" s="209">
        <v>3.3389226645682499</v>
      </c>
      <c r="D242" s="209">
        <v>8.4271989274143007</v>
      </c>
    </row>
    <row r="243" spans="1:4" ht="27.75" customHeight="1">
      <c r="A243" s="7" t="s">
        <v>1169</v>
      </c>
      <c r="B243" s="8" t="s">
        <v>1170</v>
      </c>
      <c r="C243" s="209">
        <v>0</v>
      </c>
      <c r="D243" s="209">
        <v>0</v>
      </c>
    </row>
    <row r="244" spans="1:4" ht="27.75" customHeight="1">
      <c r="A244" s="7" t="s">
        <v>1171</v>
      </c>
      <c r="B244" s="8" t="s">
        <v>1172</v>
      </c>
      <c r="C244" s="209">
        <v>4.7855442300178899</v>
      </c>
      <c r="D244" s="209">
        <v>2.58257138908776</v>
      </c>
    </row>
    <row r="245" spans="1:4" ht="27.75" customHeight="1">
      <c r="A245" s="7" t="s">
        <v>1173</v>
      </c>
      <c r="B245" s="8" t="s">
        <v>1172</v>
      </c>
      <c r="C245" s="209">
        <v>4.7951040537688296</v>
      </c>
      <c r="D245" s="209">
        <v>2.5783742785043802</v>
      </c>
    </row>
    <row r="246" spans="1:4" ht="27.75" customHeight="1">
      <c r="A246" s="7" t="s">
        <v>1174</v>
      </c>
      <c r="B246" s="8" t="s">
        <v>1175</v>
      </c>
      <c r="C246" s="209">
        <v>2.7359267263931999</v>
      </c>
      <c r="D246" s="209">
        <v>1.4757327831623901</v>
      </c>
    </row>
    <row r="247" spans="1:4" ht="27.75" customHeight="1">
      <c r="A247" s="7" t="s">
        <v>1176</v>
      </c>
      <c r="B247" s="8" t="s">
        <v>1175</v>
      </c>
      <c r="C247" s="209">
        <v>3.23332681447501</v>
      </c>
      <c r="D247" s="209">
        <v>0.95876651744046804</v>
      </c>
    </row>
    <row r="248" spans="1:4" ht="27.75" customHeight="1">
      <c r="A248" s="7" t="s">
        <v>1177</v>
      </c>
      <c r="B248" s="8" t="s">
        <v>1175</v>
      </c>
      <c r="C248" s="209">
        <v>1.48064053265391</v>
      </c>
      <c r="D248" s="209">
        <v>0.273435931240401</v>
      </c>
    </row>
    <row r="249" spans="1:4" ht="27.75" customHeight="1">
      <c r="A249" s="7" t="s">
        <v>1178</v>
      </c>
      <c r="B249" s="8" t="s">
        <v>1179</v>
      </c>
      <c r="C249" s="209">
        <v>7.3942411927664403E-2</v>
      </c>
      <c r="D249" s="209">
        <v>0.62616838479003301</v>
      </c>
    </row>
    <row r="250" spans="1:4" ht="27.75" customHeight="1">
      <c r="A250" s="7" t="s">
        <v>1180</v>
      </c>
      <c r="B250" s="8" t="s">
        <v>1179</v>
      </c>
      <c r="C250" s="209">
        <v>7.3791216351444505E-2</v>
      </c>
      <c r="D250" s="209">
        <v>0.62484229217690201</v>
      </c>
    </row>
    <row r="251" spans="1:4" ht="27.75" customHeight="1">
      <c r="A251" s="7" t="s">
        <v>1181</v>
      </c>
      <c r="B251" s="8" t="s">
        <v>1182</v>
      </c>
      <c r="C251" s="209">
        <v>0</v>
      </c>
      <c r="D251" s="209">
        <v>0</v>
      </c>
    </row>
    <row r="252" spans="1:4" ht="27.75" customHeight="1">
      <c r="A252" s="7" t="s">
        <v>1183</v>
      </c>
      <c r="B252" s="8" t="s">
        <v>1184</v>
      </c>
      <c r="C252" s="209">
        <v>2.6579597645038899</v>
      </c>
      <c r="D252" s="209">
        <v>3.67669936130096</v>
      </c>
    </row>
    <row r="253" spans="1:4" ht="27.75" customHeight="1">
      <c r="A253" s="7" t="s">
        <v>1185</v>
      </c>
      <c r="B253" s="8" t="s">
        <v>1184</v>
      </c>
      <c r="C253" s="209">
        <v>2.5573240047160799</v>
      </c>
      <c r="D253" s="209">
        <v>3.4896217268660599</v>
      </c>
    </row>
    <row r="254" spans="1:4" ht="27.75" customHeight="1">
      <c r="A254" s="7" t="s">
        <v>1186</v>
      </c>
      <c r="B254" s="8" t="s">
        <v>1187</v>
      </c>
      <c r="C254" s="209">
        <v>2.1912507789592799</v>
      </c>
      <c r="D254" s="209">
        <v>22.846305039931998</v>
      </c>
    </row>
    <row r="255" spans="1:4" ht="27.75" customHeight="1">
      <c r="A255" s="7" t="s">
        <v>1188</v>
      </c>
      <c r="B255" s="8" t="s">
        <v>1187</v>
      </c>
      <c r="C255" s="209">
        <v>1.6842125017932801</v>
      </c>
      <c r="D255" s="209">
        <v>5.0583691114415501</v>
      </c>
    </row>
    <row r="256" spans="1:4" ht="27.75" customHeight="1">
      <c r="A256" s="7" t="s">
        <v>1189</v>
      </c>
      <c r="B256" s="8" t="s">
        <v>1190</v>
      </c>
      <c r="C256" s="209">
        <v>2.0876319166976698</v>
      </c>
      <c r="D256" s="209">
        <v>3.4805928724663899</v>
      </c>
    </row>
    <row r="257" spans="1:4" ht="27.75" customHeight="1">
      <c r="A257" s="7" t="s">
        <v>1191</v>
      </c>
      <c r="B257" s="8" t="s">
        <v>1190</v>
      </c>
      <c r="C257" s="209">
        <v>1.6010116350379899</v>
      </c>
      <c r="D257" s="209">
        <v>3.82953908526834</v>
      </c>
    </row>
    <row r="258" spans="1:4" ht="27.75" customHeight="1">
      <c r="A258" s="7" t="s">
        <v>1192</v>
      </c>
      <c r="B258" s="8" t="s">
        <v>1193</v>
      </c>
      <c r="C258" s="209">
        <v>1.43165301699178</v>
      </c>
      <c r="D258" s="209">
        <v>6.3559598822290697</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cols>
    <col min="1" max="1" width="13.85546875" style="158" customWidth="1"/>
    <col min="2" max="2" width="37.42578125" style="158" bestFit="1" customWidth="1"/>
    <col min="3" max="3" width="19" style="159" customWidth="1"/>
    <col min="4" max="4" width="5.28515625" style="158" bestFit="1" customWidth="1"/>
    <col min="5" max="5" width="4.7109375" style="158" customWidth="1"/>
    <col min="6" max="6" width="29.140625" style="158" bestFit="1" customWidth="1"/>
    <col min="7" max="7" width="11.5703125" style="158"/>
    <col min="8" max="8" width="64.5703125" style="158" bestFit="1" customWidth="1"/>
    <col min="9" max="16384" width="11.5703125" style="158"/>
  </cols>
  <sheetData>
    <row r="1" spans="1:8" ht="26.25" customHeight="1">
      <c r="A1" s="169" t="s">
        <v>19</v>
      </c>
      <c r="H1" s="160"/>
    </row>
    <row r="2" spans="1:8" ht="12.75" customHeight="1">
      <c r="A2" s="161"/>
    </row>
    <row r="3" spans="1:8" ht="12.75" customHeight="1">
      <c r="A3" s="161"/>
    </row>
    <row r="4" spans="1:8" ht="12.75" customHeight="1">
      <c r="A4" s="161"/>
    </row>
    <row r="5" spans="1:8" ht="12.75" customHeight="1">
      <c r="A5" s="161"/>
    </row>
    <row r="6" spans="1:8" ht="12.75" customHeight="1">
      <c r="A6" s="161"/>
    </row>
    <row r="7" spans="1:8" ht="12.75" customHeight="1">
      <c r="A7" s="161"/>
    </row>
    <row r="8" spans="1:8" ht="12.75" customHeight="1">
      <c r="A8" s="161"/>
    </row>
    <row r="9" spans="1:8" ht="12.75" customHeight="1">
      <c r="A9" s="161"/>
    </row>
    <row r="10" spans="1:8" ht="12.75" customHeight="1">
      <c r="A10" s="161"/>
    </row>
    <row r="11" spans="1:8" ht="12.75" customHeight="1">
      <c r="A11" s="161"/>
    </row>
    <row r="12" spans="1:8" ht="12.75" customHeight="1">
      <c r="A12" s="161"/>
    </row>
    <row r="13" spans="1:8" ht="12.75" customHeight="1">
      <c r="A13" s="161"/>
    </row>
    <row r="14" spans="1:8" ht="12.75" customHeight="1">
      <c r="A14" s="161"/>
    </row>
    <row r="15" spans="1:8" ht="12.75" customHeight="1">
      <c r="A15" s="161"/>
    </row>
    <row r="16" spans="1:8" ht="12.75" customHeight="1">
      <c r="A16" s="161"/>
    </row>
    <row r="17" spans="1:8" ht="12.75" customHeight="1">
      <c r="A17" s="161"/>
    </row>
    <row r="18" spans="1:8" ht="12.75" customHeight="1">
      <c r="A18" s="161"/>
    </row>
    <row r="19" spans="1:8" ht="12.75" customHeight="1">
      <c r="A19" s="161"/>
    </row>
    <row r="20" spans="1:8" ht="12.75" customHeight="1">
      <c r="A20" s="161"/>
    </row>
    <row r="21" spans="1:8" ht="12.75" customHeight="1">
      <c r="A21" s="161"/>
    </row>
    <row r="22" spans="1:8" ht="12.75" customHeight="1">
      <c r="A22" s="161"/>
    </row>
    <row r="23" spans="1:8" ht="12.75" customHeight="1">
      <c r="A23" s="161"/>
    </row>
    <row r="24" spans="1:8" ht="12.75" customHeight="1">
      <c r="A24" s="161"/>
    </row>
    <row r="25" spans="1:8" ht="12.75" customHeight="1">
      <c r="A25" s="161"/>
    </row>
    <row r="26" spans="1:8" ht="12.75" customHeight="1">
      <c r="A26" s="161"/>
    </row>
    <row r="27" spans="1:8" ht="12.75" customHeight="1">
      <c r="A27" s="161"/>
    </row>
    <row r="28" spans="1:8" s="163" customFormat="1" ht="51">
      <c r="A28" s="50" t="s">
        <v>175</v>
      </c>
      <c r="B28" s="50" t="s">
        <v>176</v>
      </c>
      <c r="C28" s="50" t="s">
        <v>403</v>
      </c>
      <c r="D28" s="162"/>
      <c r="E28" s="162"/>
      <c r="F28" s="50" t="s">
        <v>404</v>
      </c>
      <c r="G28" s="50" t="s">
        <v>405</v>
      </c>
      <c r="H28" s="50" t="s">
        <v>406</v>
      </c>
    </row>
    <row r="29" spans="1:8">
      <c r="A29" s="171">
        <v>3</v>
      </c>
      <c r="B29" s="164" t="s">
        <v>177</v>
      </c>
      <c r="C29" s="170" t="s">
        <v>412</v>
      </c>
      <c r="F29" s="158" t="s">
        <v>409</v>
      </c>
      <c r="G29" s="165">
        <v>43626</v>
      </c>
      <c r="H29" s="158" t="s">
        <v>410</v>
      </c>
    </row>
    <row r="30" spans="1:8">
      <c r="A30" s="171">
        <v>4</v>
      </c>
      <c r="B30" s="164" t="s">
        <v>177</v>
      </c>
      <c r="C30" s="170" t="s">
        <v>412</v>
      </c>
      <c r="F30" s="158" t="s">
        <v>414</v>
      </c>
      <c r="G30" s="165">
        <v>43626</v>
      </c>
      <c r="H30" s="158" t="s">
        <v>410</v>
      </c>
    </row>
    <row r="31" spans="1:8">
      <c r="A31" s="171">
        <v>5</v>
      </c>
      <c r="B31" s="164" t="s">
        <v>178</v>
      </c>
      <c r="C31" s="170" t="s">
        <v>412</v>
      </c>
      <c r="F31" s="158" t="s">
        <v>413</v>
      </c>
      <c r="G31" s="165">
        <v>43626</v>
      </c>
      <c r="H31" s="158" t="s">
        <v>410</v>
      </c>
    </row>
    <row r="32" spans="1:8">
      <c r="A32" s="171">
        <v>6</v>
      </c>
      <c r="B32" s="164" t="s">
        <v>179</v>
      </c>
      <c r="C32" s="170" t="s">
        <v>412</v>
      </c>
      <c r="F32" s="158" t="s">
        <v>415</v>
      </c>
      <c r="G32" s="165">
        <v>43626</v>
      </c>
      <c r="H32" s="158" t="s">
        <v>416</v>
      </c>
    </row>
    <row r="33" spans="1:8">
      <c r="A33" s="171">
        <v>7</v>
      </c>
      <c r="B33" s="164" t="s">
        <v>179</v>
      </c>
      <c r="C33" s="170" t="s">
        <v>412</v>
      </c>
      <c r="F33" s="168"/>
      <c r="G33" s="165"/>
      <c r="H33" s="167"/>
    </row>
    <row r="34" spans="1:8">
      <c r="A34" s="171">
        <v>8</v>
      </c>
      <c r="B34" s="164" t="s">
        <v>179</v>
      </c>
      <c r="C34" s="170" t="s">
        <v>412</v>
      </c>
      <c r="F34" s="166"/>
      <c r="G34" s="165"/>
    </row>
    <row r="35" spans="1:8">
      <c r="A35" s="171">
        <v>9</v>
      </c>
      <c r="B35" s="164" t="s">
        <v>179</v>
      </c>
      <c r="C35" s="170" t="s">
        <v>412</v>
      </c>
      <c r="G35" s="165"/>
      <c r="H35" s="166"/>
    </row>
    <row r="36" spans="1:8">
      <c r="A36" s="171">
        <v>10</v>
      </c>
      <c r="B36" s="164" t="s">
        <v>179</v>
      </c>
      <c r="C36" s="170" t="s">
        <v>412</v>
      </c>
      <c r="G36" s="165"/>
      <c r="H36" s="166"/>
    </row>
    <row r="37" spans="1:8">
      <c r="A37" s="171">
        <v>11</v>
      </c>
      <c r="B37" s="164" t="s">
        <v>179</v>
      </c>
      <c r="C37" s="170" t="s">
        <v>412</v>
      </c>
      <c r="G37" s="165"/>
    </row>
    <row r="38" spans="1:8">
      <c r="A38" s="171">
        <v>12</v>
      </c>
      <c r="B38" s="164" t="s">
        <v>179</v>
      </c>
      <c r="C38" s="170" t="s">
        <v>412</v>
      </c>
      <c r="G38" s="165"/>
    </row>
    <row r="39" spans="1:8">
      <c r="A39" s="171">
        <v>13</v>
      </c>
      <c r="B39" s="164" t="s">
        <v>180</v>
      </c>
      <c r="C39" s="170" t="s">
        <v>412</v>
      </c>
      <c r="G39" s="165"/>
    </row>
    <row r="40" spans="1:8">
      <c r="A40" s="171">
        <v>15</v>
      </c>
      <c r="B40" s="164" t="s">
        <v>180</v>
      </c>
      <c r="C40" s="170" t="s">
        <v>412</v>
      </c>
      <c r="F40" s="166"/>
      <c r="G40" s="165"/>
      <c r="H40" s="166"/>
    </row>
    <row r="41" spans="1:8">
      <c r="A41" s="171">
        <v>16</v>
      </c>
      <c r="B41" s="164" t="s">
        <v>181</v>
      </c>
      <c r="C41" s="170" t="s">
        <v>412</v>
      </c>
      <c r="G41" s="165"/>
      <c r="H41" s="166"/>
    </row>
    <row r="42" spans="1:8">
      <c r="A42" s="171">
        <v>17</v>
      </c>
      <c r="B42" s="164" t="s">
        <v>181</v>
      </c>
      <c r="C42" s="170" t="s">
        <v>412</v>
      </c>
      <c r="G42" s="165"/>
    </row>
    <row r="43" spans="1:8">
      <c r="A43" s="171">
        <v>18</v>
      </c>
      <c r="B43" s="164" t="s">
        <v>181</v>
      </c>
      <c r="C43" s="170" t="s">
        <v>412</v>
      </c>
      <c r="G43" s="165"/>
    </row>
    <row r="44" spans="1:8">
      <c r="A44" s="171">
        <v>19</v>
      </c>
      <c r="B44" s="164" t="s">
        <v>181</v>
      </c>
      <c r="C44" s="170" t="s">
        <v>412</v>
      </c>
      <c r="G44" s="165"/>
    </row>
    <row r="45" spans="1:8">
      <c r="A45" s="171">
        <v>20</v>
      </c>
      <c r="B45" s="164" t="s">
        <v>181</v>
      </c>
      <c r="C45" s="170" t="s">
        <v>412</v>
      </c>
      <c r="G45" s="165"/>
    </row>
    <row r="46" spans="1:8">
      <c r="A46" s="171">
        <v>21</v>
      </c>
      <c r="B46" s="164" t="s">
        <v>181</v>
      </c>
      <c r="C46" s="170" t="s">
        <v>412</v>
      </c>
      <c r="G46" s="165"/>
    </row>
    <row r="47" spans="1:8">
      <c r="A47" s="171">
        <v>22</v>
      </c>
      <c r="B47" s="164" t="s">
        <v>181</v>
      </c>
      <c r="C47" s="170" t="s">
        <v>412</v>
      </c>
      <c r="G47" s="165"/>
    </row>
    <row r="48" spans="1:8">
      <c r="A48" s="171">
        <v>23</v>
      </c>
      <c r="B48" s="164" t="s">
        <v>182</v>
      </c>
      <c r="C48" s="170" t="s">
        <v>412</v>
      </c>
      <c r="G48" s="165"/>
    </row>
    <row r="49" spans="1:8">
      <c r="A49" s="171">
        <v>24</v>
      </c>
      <c r="B49" s="164" t="s">
        <v>182</v>
      </c>
      <c r="C49" s="170" t="s">
        <v>412</v>
      </c>
      <c r="G49" s="165"/>
    </row>
    <row r="50" spans="1:8">
      <c r="A50" s="171">
        <v>25</v>
      </c>
      <c r="B50" s="164" t="s">
        <v>182</v>
      </c>
      <c r="C50" s="170" t="s">
        <v>412</v>
      </c>
      <c r="G50" s="165"/>
    </row>
    <row r="51" spans="1:8">
      <c r="A51" s="171">
        <v>26</v>
      </c>
      <c r="B51" s="164" t="s">
        <v>182</v>
      </c>
      <c r="C51" s="170" t="s">
        <v>412</v>
      </c>
      <c r="G51" s="165"/>
    </row>
    <row r="52" spans="1:8">
      <c r="A52" s="171">
        <v>28</v>
      </c>
      <c r="B52" s="164" t="s">
        <v>182</v>
      </c>
      <c r="C52" s="170" t="s">
        <v>412</v>
      </c>
      <c r="G52" s="165"/>
    </row>
    <row r="53" spans="1:8">
      <c r="A53" s="171">
        <v>29</v>
      </c>
      <c r="B53" s="164" t="s">
        <v>182</v>
      </c>
      <c r="C53" s="170" t="s">
        <v>412</v>
      </c>
      <c r="G53" s="165"/>
    </row>
    <row r="54" spans="1:8">
      <c r="A54" s="171">
        <v>30</v>
      </c>
      <c r="B54" s="164" t="s">
        <v>182</v>
      </c>
      <c r="C54" s="170" t="s">
        <v>412</v>
      </c>
      <c r="G54" s="165"/>
    </row>
    <row r="55" spans="1:8">
      <c r="A55" s="171">
        <v>31</v>
      </c>
      <c r="B55" s="164" t="s">
        <v>182</v>
      </c>
      <c r="C55" s="170" t="s">
        <v>412</v>
      </c>
      <c r="G55" s="165"/>
    </row>
    <row r="56" spans="1:8">
      <c r="A56" s="171">
        <v>32</v>
      </c>
      <c r="B56" s="164" t="s">
        <v>182</v>
      </c>
      <c r="C56" s="170" t="s">
        <v>412</v>
      </c>
      <c r="F56" s="166"/>
      <c r="G56" s="165"/>
      <c r="H56" s="166"/>
    </row>
    <row r="57" spans="1:8">
      <c r="A57" s="171">
        <v>33</v>
      </c>
      <c r="B57" s="164" t="s">
        <v>182</v>
      </c>
      <c r="C57" s="170" t="s">
        <v>412</v>
      </c>
      <c r="F57" s="166"/>
      <c r="G57" s="165"/>
      <c r="H57" s="166"/>
    </row>
    <row r="58" spans="1:8">
      <c r="A58" s="171">
        <v>34</v>
      </c>
      <c r="B58" s="164" t="s">
        <v>182</v>
      </c>
      <c r="C58" s="170" t="s">
        <v>412</v>
      </c>
      <c r="F58" s="166"/>
      <c r="G58" s="165"/>
      <c r="H58" s="166"/>
    </row>
    <row r="59" spans="1:8">
      <c r="A59" s="171">
        <v>35</v>
      </c>
      <c r="B59" s="164" t="s">
        <v>182</v>
      </c>
      <c r="C59" s="170" t="s">
        <v>412</v>
      </c>
      <c r="F59" s="166"/>
      <c r="G59" s="165"/>
      <c r="H59" s="166"/>
    </row>
    <row r="60" spans="1:8">
      <c r="A60" s="171">
        <v>36</v>
      </c>
      <c r="B60" s="164" t="s">
        <v>182</v>
      </c>
      <c r="C60" s="170" t="s">
        <v>412</v>
      </c>
      <c r="F60" s="166"/>
      <c r="G60" s="165"/>
      <c r="H60" s="166"/>
    </row>
    <row r="61" spans="1:8">
      <c r="A61" s="171">
        <v>37</v>
      </c>
      <c r="B61" s="164" t="s">
        <v>182</v>
      </c>
      <c r="C61" s="170" t="s">
        <v>412</v>
      </c>
      <c r="F61" s="166"/>
      <c r="G61" s="165"/>
      <c r="H61" s="166"/>
    </row>
    <row r="62" spans="1:8">
      <c r="A62" s="171">
        <v>38</v>
      </c>
      <c r="B62" s="164" t="s">
        <v>182</v>
      </c>
      <c r="C62" s="170" t="s">
        <v>412</v>
      </c>
      <c r="F62" s="166"/>
      <c r="G62" s="165"/>
      <c r="H62" s="166"/>
    </row>
    <row r="63" spans="1:8">
      <c r="A63" s="171">
        <v>39</v>
      </c>
      <c r="B63" s="164" t="s">
        <v>182</v>
      </c>
      <c r="C63" s="170" t="s">
        <v>412</v>
      </c>
      <c r="F63" s="166"/>
      <c r="G63" s="165"/>
      <c r="H63" s="166"/>
    </row>
    <row r="64" spans="1:8">
      <c r="A64" s="171">
        <v>40</v>
      </c>
      <c r="B64" s="164" t="s">
        <v>181</v>
      </c>
      <c r="C64" s="170" t="s">
        <v>412</v>
      </c>
      <c r="F64" s="166"/>
      <c r="G64" s="165"/>
      <c r="H64" s="166"/>
    </row>
    <row r="65" spans="1:8">
      <c r="A65" s="171">
        <v>41</v>
      </c>
      <c r="B65" s="164" t="s">
        <v>183</v>
      </c>
      <c r="C65" s="170" t="s">
        <v>412</v>
      </c>
      <c r="F65" s="166"/>
      <c r="G65" s="165"/>
      <c r="H65" s="166"/>
    </row>
    <row r="66" spans="1:8">
      <c r="A66" s="171">
        <v>42</v>
      </c>
      <c r="B66" s="164" t="s">
        <v>184</v>
      </c>
      <c r="C66" s="170" t="s">
        <v>412</v>
      </c>
      <c r="F66" s="166"/>
      <c r="G66" s="165"/>
      <c r="H66" s="166"/>
    </row>
    <row r="67" spans="1:8">
      <c r="A67" s="171">
        <v>43</v>
      </c>
      <c r="B67" s="164" t="s">
        <v>184</v>
      </c>
      <c r="C67" s="170" t="s">
        <v>412</v>
      </c>
      <c r="F67" s="166"/>
      <c r="G67" s="165"/>
      <c r="H67" s="166"/>
    </row>
    <row r="68" spans="1:8">
      <c r="A68" s="171">
        <v>44</v>
      </c>
      <c r="B68" s="164" t="s">
        <v>183</v>
      </c>
      <c r="C68" s="170" t="s">
        <v>412</v>
      </c>
      <c r="F68" s="166"/>
      <c r="G68" s="165"/>
      <c r="H68" s="166"/>
    </row>
    <row r="69" spans="1:8">
      <c r="A69" s="171">
        <v>45</v>
      </c>
      <c r="B69" s="164" t="s">
        <v>185</v>
      </c>
      <c r="C69" s="170" t="s">
        <v>412</v>
      </c>
      <c r="F69" s="166"/>
      <c r="G69" s="165"/>
      <c r="H69" s="166"/>
    </row>
    <row r="70" spans="1:8">
      <c r="A70" s="171">
        <v>46</v>
      </c>
      <c r="B70" s="164" t="s">
        <v>186</v>
      </c>
      <c r="C70" s="170" t="s">
        <v>412</v>
      </c>
      <c r="F70" s="166"/>
      <c r="G70" s="165"/>
      <c r="H70" s="166"/>
    </row>
    <row r="71" spans="1:8">
      <c r="A71" s="171">
        <v>47</v>
      </c>
      <c r="B71" s="164" t="s">
        <v>187</v>
      </c>
      <c r="C71" s="170" t="s">
        <v>412</v>
      </c>
      <c r="F71" s="166"/>
      <c r="G71" s="165"/>
      <c r="H71" s="166"/>
    </row>
    <row r="72" spans="1:8">
      <c r="A72" s="171">
        <v>48</v>
      </c>
      <c r="B72" s="164" t="s">
        <v>188</v>
      </c>
      <c r="C72" s="170" t="s">
        <v>412</v>
      </c>
      <c r="F72" s="166"/>
      <c r="G72" s="165"/>
      <c r="H72" s="166"/>
    </row>
    <row r="73" spans="1:8">
      <c r="A73" s="171">
        <v>49</v>
      </c>
      <c r="B73" s="164" t="s">
        <v>181</v>
      </c>
      <c r="C73" s="170" t="s">
        <v>412</v>
      </c>
      <c r="F73" s="166"/>
      <c r="G73" s="165"/>
      <c r="H73" s="166"/>
    </row>
    <row r="74" spans="1:8">
      <c r="A74" s="171">
        <v>50</v>
      </c>
      <c r="B74" s="164" t="s">
        <v>189</v>
      </c>
      <c r="C74" s="170" t="s">
        <v>412</v>
      </c>
      <c r="F74" s="166"/>
      <c r="G74" s="165"/>
      <c r="H74" s="166"/>
    </row>
    <row r="75" spans="1:8">
      <c r="A75" s="171">
        <v>51</v>
      </c>
      <c r="B75" s="164" t="s">
        <v>190</v>
      </c>
      <c r="C75" s="170" t="s">
        <v>411</v>
      </c>
      <c r="F75" s="166"/>
      <c r="G75" s="165"/>
      <c r="H75" s="166"/>
    </row>
    <row r="76" spans="1:8">
      <c r="A76" s="171">
        <v>52</v>
      </c>
      <c r="B76" s="164" t="s">
        <v>191</v>
      </c>
      <c r="C76" s="170" t="s">
        <v>412</v>
      </c>
      <c r="F76" s="166"/>
      <c r="G76" s="165"/>
      <c r="H76" s="166"/>
    </row>
    <row r="77" spans="1:8">
      <c r="A77" s="171">
        <v>53</v>
      </c>
      <c r="B77" s="164" t="s">
        <v>191</v>
      </c>
      <c r="C77" s="170" t="s">
        <v>412</v>
      </c>
      <c r="F77" s="166"/>
      <c r="G77" s="165"/>
      <c r="H77" s="166"/>
    </row>
    <row r="78" spans="1:8">
      <c r="A78" s="171">
        <v>55</v>
      </c>
      <c r="B78" s="164" t="s">
        <v>191</v>
      </c>
      <c r="C78" s="170" t="s">
        <v>412</v>
      </c>
      <c r="F78" s="166"/>
      <c r="G78" s="165"/>
      <c r="H78" s="166"/>
    </row>
    <row r="79" spans="1:8">
      <c r="A79" s="171">
        <v>56</v>
      </c>
      <c r="B79" s="164" t="s">
        <v>191</v>
      </c>
      <c r="C79" s="170" t="s">
        <v>412</v>
      </c>
      <c r="F79" s="166"/>
      <c r="G79" s="165"/>
      <c r="H79" s="166"/>
    </row>
    <row r="80" spans="1:8">
      <c r="A80" s="171">
        <v>57</v>
      </c>
      <c r="B80" s="164" t="s">
        <v>191</v>
      </c>
      <c r="C80" s="170" t="s">
        <v>412</v>
      </c>
      <c r="F80" s="166"/>
      <c r="G80" s="165"/>
      <c r="H80" s="166"/>
    </row>
    <row r="81" spans="1:8">
      <c r="A81" s="171">
        <v>58</v>
      </c>
      <c r="B81" s="164" t="s">
        <v>192</v>
      </c>
      <c r="C81" s="170" t="s">
        <v>411</v>
      </c>
      <c r="F81" s="166"/>
      <c r="G81" s="165"/>
      <c r="H81" s="166"/>
    </row>
    <row r="82" spans="1:8">
      <c r="A82" s="171">
        <v>59</v>
      </c>
      <c r="B82" s="164" t="s">
        <v>191</v>
      </c>
      <c r="C82" s="170" t="s">
        <v>412</v>
      </c>
      <c r="F82" s="166"/>
      <c r="G82" s="165"/>
      <c r="H82" s="166"/>
    </row>
    <row r="83" spans="1:8">
      <c r="A83" s="171">
        <v>60</v>
      </c>
      <c r="B83" s="164" t="s">
        <v>191</v>
      </c>
      <c r="C83" s="170" t="s">
        <v>412</v>
      </c>
      <c r="F83" s="166"/>
      <c r="G83" s="165"/>
      <c r="H83" s="166"/>
    </row>
    <row r="84" spans="1:8">
      <c r="A84" s="171">
        <v>62</v>
      </c>
      <c r="B84" s="164" t="s">
        <v>193</v>
      </c>
      <c r="C84" s="170" t="s">
        <v>411</v>
      </c>
    </row>
    <row r="85" spans="1:8">
      <c r="A85" s="171">
        <v>63</v>
      </c>
      <c r="B85" s="164" t="s">
        <v>184</v>
      </c>
      <c r="C85" s="170" t="s">
        <v>412</v>
      </c>
    </row>
    <row r="86" spans="1:8">
      <c r="A86" s="171">
        <v>64</v>
      </c>
      <c r="B86" s="164" t="s">
        <v>191</v>
      </c>
      <c r="C86" s="170" t="s">
        <v>412</v>
      </c>
    </row>
    <row r="87" spans="1:8">
      <c r="A87" s="171">
        <v>65</v>
      </c>
      <c r="B87" s="164" t="s">
        <v>194</v>
      </c>
      <c r="C87" s="170" t="s">
        <v>412</v>
      </c>
    </row>
    <row r="88" spans="1:8">
      <c r="A88" s="171">
        <v>66</v>
      </c>
      <c r="B88" s="164" t="s">
        <v>194</v>
      </c>
      <c r="C88" s="170" t="s">
        <v>412</v>
      </c>
    </row>
    <row r="89" spans="1:8">
      <c r="A89" s="171">
        <v>67</v>
      </c>
      <c r="B89" s="164" t="s">
        <v>195</v>
      </c>
      <c r="C89" s="170" t="s">
        <v>412</v>
      </c>
    </row>
    <row r="90" spans="1:8">
      <c r="A90" s="171">
        <v>71</v>
      </c>
      <c r="B90" s="164" t="s">
        <v>195</v>
      </c>
      <c r="C90" s="170" t="s">
        <v>412</v>
      </c>
    </row>
    <row r="91" spans="1:8">
      <c r="A91" s="171">
        <v>72</v>
      </c>
      <c r="B91" s="164" t="s">
        <v>195</v>
      </c>
      <c r="C91" s="170" t="s">
        <v>412</v>
      </c>
    </row>
    <row r="92" spans="1:8">
      <c r="A92" s="171">
        <v>73</v>
      </c>
      <c r="B92" s="164" t="s">
        <v>195</v>
      </c>
      <c r="C92" s="170" t="s">
        <v>412</v>
      </c>
    </row>
    <row r="93" spans="1:8">
      <c r="A93" s="171">
        <v>74</v>
      </c>
      <c r="B93" s="164" t="s">
        <v>196</v>
      </c>
      <c r="C93" s="170" t="s">
        <v>412</v>
      </c>
    </row>
    <row r="94" spans="1:8">
      <c r="A94" s="171">
        <v>75</v>
      </c>
      <c r="B94" s="164" t="s">
        <v>197</v>
      </c>
      <c r="C94" s="170" t="s">
        <v>412</v>
      </c>
    </row>
    <row r="95" spans="1:8">
      <c r="A95" s="171">
        <v>76</v>
      </c>
      <c r="B95" s="164" t="s">
        <v>197</v>
      </c>
      <c r="C95" s="170" t="s">
        <v>412</v>
      </c>
    </row>
    <row r="96" spans="1:8">
      <c r="A96" s="171">
        <v>77</v>
      </c>
      <c r="B96" s="164" t="s">
        <v>197</v>
      </c>
      <c r="C96" s="170" t="s">
        <v>412</v>
      </c>
    </row>
    <row r="97" spans="1:3">
      <c r="A97" s="171">
        <v>78</v>
      </c>
      <c r="B97" s="164" t="s">
        <v>198</v>
      </c>
      <c r="C97" s="170" t="s">
        <v>412</v>
      </c>
    </row>
    <row r="98" spans="1:3">
      <c r="A98" s="171">
        <v>79</v>
      </c>
      <c r="B98" s="164" t="s">
        <v>199</v>
      </c>
      <c r="C98" s="170" t="s">
        <v>411</v>
      </c>
    </row>
    <row r="99" spans="1:3">
      <c r="A99" s="171">
        <v>80</v>
      </c>
      <c r="B99" s="164" t="s">
        <v>200</v>
      </c>
      <c r="C99" s="170" t="s">
        <v>412</v>
      </c>
    </row>
    <row r="100" spans="1:3">
      <c r="A100" s="171">
        <v>81</v>
      </c>
      <c r="B100" s="164" t="s">
        <v>201</v>
      </c>
      <c r="C100" s="170" t="s">
        <v>412</v>
      </c>
    </row>
    <row r="101" spans="1:3">
      <c r="A101" s="171">
        <v>82</v>
      </c>
      <c r="B101" s="164" t="s">
        <v>202</v>
      </c>
      <c r="C101" s="170" t="s">
        <v>412</v>
      </c>
    </row>
    <row r="102" spans="1:3">
      <c r="A102" s="171">
        <v>83</v>
      </c>
      <c r="B102" s="164" t="s">
        <v>202</v>
      </c>
      <c r="C102" s="170" t="s">
        <v>412</v>
      </c>
    </row>
    <row r="103" spans="1:3">
      <c r="A103" s="171">
        <v>84</v>
      </c>
      <c r="B103" s="164" t="s">
        <v>202</v>
      </c>
      <c r="C103" s="170" t="s">
        <v>412</v>
      </c>
    </row>
    <row r="104" spans="1:3">
      <c r="A104" s="171">
        <v>85</v>
      </c>
      <c r="B104" s="164" t="s">
        <v>202</v>
      </c>
      <c r="C104" s="170" t="s">
        <v>412</v>
      </c>
    </row>
    <row r="105" spans="1:3">
      <c r="A105" s="171">
        <v>86</v>
      </c>
      <c r="B105" s="164" t="s">
        <v>202</v>
      </c>
      <c r="C105" s="170" t="s">
        <v>412</v>
      </c>
    </row>
    <row r="106" spans="1:3">
      <c r="A106" s="171">
        <v>87</v>
      </c>
      <c r="B106" s="164" t="s">
        <v>202</v>
      </c>
      <c r="C106" s="170" t="s">
        <v>412</v>
      </c>
    </row>
    <row r="107" spans="1:3">
      <c r="A107" s="171">
        <v>88</v>
      </c>
      <c r="B107" s="164" t="s">
        <v>202</v>
      </c>
      <c r="C107" s="170" t="s">
        <v>412</v>
      </c>
    </row>
    <row r="108" spans="1:3">
      <c r="A108" s="171">
        <v>91</v>
      </c>
      <c r="B108" s="164" t="s">
        <v>203</v>
      </c>
      <c r="C108" s="170" t="s">
        <v>412</v>
      </c>
    </row>
    <row r="109" spans="1:3">
      <c r="A109" s="171">
        <v>92</v>
      </c>
      <c r="B109" s="164" t="s">
        <v>203</v>
      </c>
      <c r="C109" s="170" t="s">
        <v>412</v>
      </c>
    </row>
    <row r="110" spans="1:3">
      <c r="A110" s="171">
        <v>93</v>
      </c>
      <c r="B110" s="164" t="s">
        <v>204</v>
      </c>
      <c r="C110" s="170" t="s">
        <v>411</v>
      </c>
    </row>
    <row r="111" spans="1:3">
      <c r="A111" s="171">
        <v>94</v>
      </c>
      <c r="B111" s="164" t="s">
        <v>203</v>
      </c>
      <c r="C111" s="170" t="s">
        <v>412</v>
      </c>
    </row>
    <row r="112" spans="1:3">
      <c r="A112" s="171">
        <v>95</v>
      </c>
      <c r="B112" s="164" t="s">
        <v>203</v>
      </c>
      <c r="C112" s="170" t="s">
        <v>412</v>
      </c>
    </row>
    <row r="113" spans="1:3">
      <c r="A113" s="171">
        <v>96</v>
      </c>
      <c r="B113" s="164" t="s">
        <v>203</v>
      </c>
      <c r="C113" s="170" t="s">
        <v>412</v>
      </c>
    </row>
    <row r="114" spans="1:3">
      <c r="A114" s="171">
        <v>97</v>
      </c>
      <c r="B114" s="164" t="s">
        <v>205</v>
      </c>
      <c r="C114" s="170" t="s">
        <v>412</v>
      </c>
    </row>
    <row r="115" spans="1:3">
      <c r="A115" s="171">
        <v>98</v>
      </c>
      <c r="B115" s="164" t="s">
        <v>206</v>
      </c>
      <c r="C115" s="170" t="s">
        <v>412</v>
      </c>
    </row>
    <row r="116" spans="1:3">
      <c r="A116" s="171">
        <v>99</v>
      </c>
      <c r="B116" s="164" t="s">
        <v>207</v>
      </c>
      <c r="C116" s="170" t="s">
        <v>412</v>
      </c>
    </row>
    <row r="117" spans="1:3">
      <c r="A117" s="171">
        <v>100</v>
      </c>
      <c r="B117" s="164" t="s">
        <v>207</v>
      </c>
      <c r="C117" s="170" t="s">
        <v>412</v>
      </c>
    </row>
    <row r="118" spans="1:3">
      <c r="A118" s="171">
        <v>101</v>
      </c>
      <c r="B118" s="164" t="s">
        <v>208</v>
      </c>
      <c r="C118" s="170" t="s">
        <v>412</v>
      </c>
    </row>
    <row r="119" spans="1:3">
      <c r="A119" s="171">
        <v>102</v>
      </c>
      <c r="B119" s="164" t="s">
        <v>208</v>
      </c>
      <c r="C119" s="170" t="s">
        <v>412</v>
      </c>
    </row>
    <row r="120" spans="1:3">
      <c r="A120" s="171">
        <v>103</v>
      </c>
      <c r="B120" s="164" t="s">
        <v>208</v>
      </c>
      <c r="C120" s="170" t="s">
        <v>412</v>
      </c>
    </row>
    <row r="121" spans="1:3">
      <c r="A121" s="171">
        <v>104</v>
      </c>
      <c r="B121" s="164" t="s">
        <v>209</v>
      </c>
      <c r="C121" s="170" t="s">
        <v>412</v>
      </c>
    </row>
    <row r="122" spans="1:3">
      <c r="A122" s="171">
        <v>105</v>
      </c>
      <c r="B122" s="164" t="s">
        <v>209</v>
      </c>
      <c r="C122" s="170" t="s">
        <v>412</v>
      </c>
    </row>
    <row r="123" spans="1:3">
      <c r="A123" s="171">
        <v>106</v>
      </c>
      <c r="B123" s="164" t="s">
        <v>209</v>
      </c>
      <c r="C123" s="170" t="s">
        <v>412</v>
      </c>
    </row>
    <row r="124" spans="1:3">
      <c r="A124" s="171">
        <v>107</v>
      </c>
      <c r="B124" s="164" t="s">
        <v>209</v>
      </c>
      <c r="C124" s="170" t="s">
        <v>412</v>
      </c>
    </row>
    <row r="125" spans="1:3">
      <c r="A125" s="171">
        <v>108</v>
      </c>
      <c r="B125" s="164" t="s">
        <v>209</v>
      </c>
      <c r="C125" s="170" t="s">
        <v>412</v>
      </c>
    </row>
    <row r="126" spans="1:3">
      <c r="A126" s="171">
        <v>109</v>
      </c>
      <c r="B126" s="164" t="s">
        <v>209</v>
      </c>
      <c r="C126" s="170" t="s">
        <v>412</v>
      </c>
    </row>
    <row r="127" spans="1:3">
      <c r="A127" s="171">
        <v>110</v>
      </c>
      <c r="B127" s="164" t="s">
        <v>209</v>
      </c>
      <c r="C127" s="170" t="s">
        <v>412</v>
      </c>
    </row>
    <row r="128" spans="1:3">
      <c r="A128" s="171">
        <v>111</v>
      </c>
      <c r="B128" s="164" t="s">
        <v>210</v>
      </c>
      <c r="C128" s="170" t="s">
        <v>412</v>
      </c>
    </row>
    <row r="129" spans="1:3">
      <c r="A129" s="171">
        <v>112</v>
      </c>
      <c r="B129" s="164" t="s">
        <v>211</v>
      </c>
      <c r="C129" s="170" t="s">
        <v>412</v>
      </c>
    </row>
    <row r="130" spans="1:3">
      <c r="A130" s="171">
        <v>113</v>
      </c>
      <c r="B130" s="164" t="s">
        <v>211</v>
      </c>
      <c r="C130" s="170" t="s">
        <v>412</v>
      </c>
    </row>
    <row r="131" spans="1:3">
      <c r="A131" s="171">
        <v>115</v>
      </c>
      <c r="B131" s="164" t="s">
        <v>211</v>
      </c>
      <c r="C131" s="170" t="s">
        <v>412</v>
      </c>
    </row>
    <row r="132" spans="1:3">
      <c r="A132" s="171">
        <v>116</v>
      </c>
      <c r="B132" s="164" t="s">
        <v>211</v>
      </c>
      <c r="C132" s="170" t="s">
        <v>412</v>
      </c>
    </row>
    <row r="133" spans="1:3">
      <c r="A133" s="171">
        <v>117</v>
      </c>
      <c r="B133" s="164" t="s">
        <v>211</v>
      </c>
      <c r="C133" s="170" t="s">
        <v>412</v>
      </c>
    </row>
    <row r="134" spans="1:3">
      <c r="A134" s="171">
        <v>118</v>
      </c>
      <c r="B134" s="164" t="s">
        <v>212</v>
      </c>
      <c r="C134" s="170" t="s">
        <v>412</v>
      </c>
    </row>
    <row r="135" spans="1:3">
      <c r="A135" s="171">
        <v>119</v>
      </c>
      <c r="B135" s="164" t="s">
        <v>212</v>
      </c>
      <c r="C135" s="170" t="s">
        <v>412</v>
      </c>
    </row>
    <row r="136" spans="1:3">
      <c r="A136" s="171">
        <v>120</v>
      </c>
      <c r="B136" s="164" t="s">
        <v>184</v>
      </c>
      <c r="C136" s="170" t="s">
        <v>412</v>
      </c>
    </row>
    <row r="137" spans="1:3">
      <c r="A137" s="171">
        <v>121</v>
      </c>
      <c r="B137" s="164" t="s">
        <v>213</v>
      </c>
      <c r="C137" s="170" t="s">
        <v>411</v>
      </c>
    </row>
    <row r="138" spans="1:3">
      <c r="A138" s="171">
        <v>122</v>
      </c>
      <c r="B138" s="164" t="s">
        <v>214</v>
      </c>
      <c r="C138" s="170" t="s">
        <v>411</v>
      </c>
    </row>
    <row r="139" spans="1:3">
      <c r="A139" s="171">
        <v>123</v>
      </c>
      <c r="B139" s="164" t="s">
        <v>215</v>
      </c>
      <c r="C139" s="170" t="s">
        <v>411</v>
      </c>
    </row>
    <row r="140" spans="1:3">
      <c r="A140" s="171">
        <v>124</v>
      </c>
      <c r="B140" s="164" t="s">
        <v>215</v>
      </c>
      <c r="C140" s="170" t="s">
        <v>411</v>
      </c>
    </row>
    <row r="141" spans="1:3">
      <c r="A141" s="171">
        <v>125</v>
      </c>
      <c r="B141" s="164" t="s">
        <v>215</v>
      </c>
      <c r="C141" s="170" t="s">
        <v>411</v>
      </c>
    </row>
    <row r="142" spans="1:3">
      <c r="A142" s="171">
        <v>126</v>
      </c>
      <c r="B142" s="164" t="s">
        <v>216</v>
      </c>
      <c r="C142" s="170" t="s">
        <v>411</v>
      </c>
    </row>
    <row r="143" spans="1:3">
      <c r="A143" s="171">
        <v>127</v>
      </c>
      <c r="B143" s="164" t="s">
        <v>217</v>
      </c>
      <c r="C143" s="170" t="s">
        <v>411</v>
      </c>
    </row>
    <row r="144" spans="1:3">
      <c r="A144" s="171">
        <v>128</v>
      </c>
      <c r="B144" s="164" t="s">
        <v>218</v>
      </c>
      <c r="C144" s="170" t="s">
        <v>411</v>
      </c>
    </row>
    <row r="145" spans="1:3">
      <c r="A145" s="171">
        <v>129</v>
      </c>
      <c r="B145" s="164" t="s">
        <v>217</v>
      </c>
      <c r="C145" s="170" t="s">
        <v>411</v>
      </c>
    </row>
    <row r="146" spans="1:3">
      <c r="A146" s="171">
        <v>130</v>
      </c>
      <c r="B146" s="164" t="s">
        <v>219</v>
      </c>
      <c r="C146" s="170" t="s">
        <v>411</v>
      </c>
    </row>
    <row r="147" spans="1:3">
      <c r="A147" s="171">
        <v>131</v>
      </c>
      <c r="B147" s="164" t="s">
        <v>219</v>
      </c>
      <c r="C147" s="170" t="s">
        <v>411</v>
      </c>
    </row>
    <row r="148" spans="1:3">
      <c r="A148" s="171">
        <v>132</v>
      </c>
      <c r="B148" s="164" t="s">
        <v>220</v>
      </c>
      <c r="C148" s="170" t="s">
        <v>411</v>
      </c>
    </row>
    <row r="149" spans="1:3">
      <c r="A149" s="171">
        <v>133</v>
      </c>
      <c r="B149" s="164" t="s">
        <v>220</v>
      </c>
      <c r="C149" s="170" t="s">
        <v>411</v>
      </c>
    </row>
    <row r="150" spans="1:3">
      <c r="A150" s="171">
        <v>134</v>
      </c>
      <c r="B150" s="164" t="s">
        <v>220</v>
      </c>
      <c r="C150" s="170" t="s">
        <v>411</v>
      </c>
    </row>
    <row r="151" spans="1:3">
      <c r="A151" s="171">
        <v>135</v>
      </c>
      <c r="B151" s="164" t="s">
        <v>220</v>
      </c>
      <c r="C151" s="170" t="s">
        <v>411</v>
      </c>
    </row>
    <row r="152" spans="1:3">
      <c r="A152" s="171">
        <v>136</v>
      </c>
      <c r="B152" s="164" t="s">
        <v>220</v>
      </c>
      <c r="C152" s="170" t="s">
        <v>411</v>
      </c>
    </row>
    <row r="153" spans="1:3">
      <c r="A153" s="171">
        <v>137</v>
      </c>
      <c r="B153" s="164" t="s">
        <v>220</v>
      </c>
      <c r="C153" s="170" t="s">
        <v>411</v>
      </c>
    </row>
    <row r="154" spans="1:3">
      <c r="A154" s="171">
        <v>138</v>
      </c>
      <c r="B154" s="164" t="s">
        <v>220</v>
      </c>
      <c r="C154" s="170" t="s">
        <v>411</v>
      </c>
    </row>
    <row r="155" spans="1:3">
      <c r="A155" s="171">
        <v>140</v>
      </c>
      <c r="B155" s="164" t="s">
        <v>204</v>
      </c>
      <c r="C155" s="170" t="s">
        <v>411</v>
      </c>
    </row>
    <row r="156" spans="1:3">
      <c r="A156" s="171">
        <v>141</v>
      </c>
      <c r="B156" s="164" t="s">
        <v>221</v>
      </c>
      <c r="C156" s="170" t="s">
        <v>411</v>
      </c>
    </row>
    <row r="157" spans="1:3">
      <c r="A157" s="171">
        <v>142</v>
      </c>
      <c r="B157" s="164" t="s">
        <v>221</v>
      </c>
      <c r="C157" s="170" t="s">
        <v>411</v>
      </c>
    </row>
    <row r="158" spans="1:3">
      <c r="A158" s="171">
        <v>143</v>
      </c>
      <c r="B158" s="164" t="s">
        <v>207</v>
      </c>
      <c r="C158" s="170" t="s">
        <v>412</v>
      </c>
    </row>
    <row r="159" spans="1:3">
      <c r="A159" s="171">
        <v>144</v>
      </c>
      <c r="B159" s="164" t="s">
        <v>222</v>
      </c>
      <c r="C159" s="170" t="s">
        <v>411</v>
      </c>
    </row>
    <row r="160" spans="1:3">
      <c r="A160" s="171">
        <v>145</v>
      </c>
      <c r="B160" s="164" t="s">
        <v>222</v>
      </c>
      <c r="C160" s="170" t="s">
        <v>411</v>
      </c>
    </row>
    <row r="161" spans="1:3">
      <c r="A161" s="171">
        <v>146</v>
      </c>
      <c r="B161" s="164" t="s">
        <v>222</v>
      </c>
      <c r="C161" s="170" t="s">
        <v>411</v>
      </c>
    </row>
    <row r="162" spans="1:3">
      <c r="A162" s="171">
        <v>147</v>
      </c>
      <c r="B162" s="164" t="s">
        <v>222</v>
      </c>
      <c r="C162" s="170" t="s">
        <v>411</v>
      </c>
    </row>
    <row r="163" spans="1:3">
      <c r="A163" s="171">
        <v>148</v>
      </c>
      <c r="B163" s="164" t="s">
        <v>223</v>
      </c>
      <c r="C163" s="170" t="s">
        <v>411</v>
      </c>
    </row>
    <row r="164" spans="1:3">
      <c r="A164" s="171">
        <v>149</v>
      </c>
      <c r="B164" s="164" t="s">
        <v>224</v>
      </c>
      <c r="C164" s="170" t="s">
        <v>411</v>
      </c>
    </row>
    <row r="165" spans="1:3">
      <c r="A165" s="171">
        <v>150</v>
      </c>
      <c r="B165" s="164" t="s">
        <v>216</v>
      </c>
      <c r="C165" s="170" t="s">
        <v>411</v>
      </c>
    </row>
    <row r="166" spans="1:3">
      <c r="A166" s="171">
        <v>151</v>
      </c>
      <c r="B166" s="164" t="s">
        <v>216</v>
      </c>
      <c r="C166" s="170" t="s">
        <v>411</v>
      </c>
    </row>
    <row r="167" spans="1:3">
      <c r="A167" s="171">
        <v>152</v>
      </c>
      <c r="B167" s="164" t="s">
        <v>216</v>
      </c>
      <c r="C167" s="170" t="s">
        <v>411</v>
      </c>
    </row>
    <row r="168" spans="1:3">
      <c r="A168" s="171">
        <v>153</v>
      </c>
      <c r="B168" s="164" t="s">
        <v>216</v>
      </c>
      <c r="C168" s="170" t="s">
        <v>411</v>
      </c>
    </row>
    <row r="169" spans="1:3">
      <c r="A169" s="171">
        <v>154</v>
      </c>
      <c r="B169" s="164" t="s">
        <v>216</v>
      </c>
      <c r="C169" s="170" t="s">
        <v>411</v>
      </c>
    </row>
    <row r="170" spans="1:3">
      <c r="A170" s="171">
        <v>155</v>
      </c>
      <c r="B170" s="164" t="s">
        <v>204</v>
      </c>
      <c r="C170" s="170" t="s">
        <v>412</v>
      </c>
    </row>
    <row r="171" spans="1:3">
      <c r="A171" s="171">
        <v>156</v>
      </c>
      <c r="B171" s="164" t="s">
        <v>216</v>
      </c>
      <c r="C171" s="170" t="s">
        <v>411</v>
      </c>
    </row>
    <row r="172" spans="1:3">
      <c r="A172" s="171">
        <v>157</v>
      </c>
      <c r="B172" s="164" t="s">
        <v>216</v>
      </c>
      <c r="C172" s="170" t="s">
        <v>411</v>
      </c>
    </row>
    <row r="173" spans="1:3">
      <c r="A173" s="171">
        <v>158</v>
      </c>
      <c r="B173" s="164" t="s">
        <v>216</v>
      </c>
      <c r="C173" s="170" t="s">
        <v>411</v>
      </c>
    </row>
    <row r="174" spans="1:3">
      <c r="A174" s="171">
        <v>159</v>
      </c>
      <c r="B174" s="164" t="s">
        <v>191</v>
      </c>
      <c r="C174" s="170" t="s">
        <v>412</v>
      </c>
    </row>
    <row r="175" spans="1:3">
      <c r="A175" s="171">
        <v>160</v>
      </c>
      <c r="B175" s="164" t="s">
        <v>216</v>
      </c>
      <c r="C175" s="170" t="s">
        <v>411</v>
      </c>
    </row>
    <row r="176" spans="1:3">
      <c r="A176" s="171">
        <v>161</v>
      </c>
      <c r="B176" s="164" t="s">
        <v>216</v>
      </c>
      <c r="C176" s="170" t="s">
        <v>411</v>
      </c>
    </row>
    <row r="177" spans="1:3">
      <c r="A177" s="171">
        <v>162</v>
      </c>
      <c r="B177" s="164" t="s">
        <v>216</v>
      </c>
      <c r="C177" s="170" t="s">
        <v>411</v>
      </c>
    </row>
    <row r="178" spans="1:3">
      <c r="A178" s="171">
        <v>163</v>
      </c>
      <c r="B178" s="164" t="s">
        <v>216</v>
      </c>
      <c r="C178" s="170" t="s">
        <v>411</v>
      </c>
    </row>
    <row r="179" spans="1:3">
      <c r="A179" s="171">
        <v>164</v>
      </c>
      <c r="B179" s="164" t="s">
        <v>216</v>
      </c>
      <c r="C179" s="170" t="s">
        <v>411</v>
      </c>
    </row>
    <row r="180" spans="1:3">
      <c r="A180" s="171">
        <v>165</v>
      </c>
      <c r="B180" s="164" t="s">
        <v>216</v>
      </c>
      <c r="C180" s="170" t="s">
        <v>411</v>
      </c>
    </row>
    <row r="181" spans="1:3">
      <c r="A181" s="171">
        <v>166</v>
      </c>
      <c r="B181" s="164" t="s">
        <v>216</v>
      </c>
      <c r="C181" s="170" t="s">
        <v>411</v>
      </c>
    </row>
    <row r="182" spans="1:3">
      <c r="A182" s="171">
        <v>167</v>
      </c>
      <c r="B182" s="164" t="s">
        <v>216</v>
      </c>
      <c r="C182" s="170" t="s">
        <v>411</v>
      </c>
    </row>
    <row r="183" spans="1:3">
      <c r="A183" s="171">
        <v>168</v>
      </c>
      <c r="B183" s="164" t="s">
        <v>216</v>
      </c>
      <c r="C183" s="170" t="s">
        <v>411</v>
      </c>
    </row>
    <row r="184" spans="1:3">
      <c r="A184" s="171">
        <v>169</v>
      </c>
      <c r="B184" s="164" t="s">
        <v>216</v>
      </c>
      <c r="C184" s="170" t="s">
        <v>411</v>
      </c>
    </row>
    <row r="185" spans="1:3">
      <c r="A185" s="171">
        <v>170</v>
      </c>
      <c r="B185" s="164" t="s">
        <v>216</v>
      </c>
      <c r="C185" s="170" t="s">
        <v>411</v>
      </c>
    </row>
    <row r="186" spans="1:3">
      <c r="A186" s="171">
        <v>171</v>
      </c>
      <c r="B186" s="164" t="s">
        <v>216</v>
      </c>
      <c r="C186" s="170" t="s">
        <v>411</v>
      </c>
    </row>
    <row r="187" spans="1:3">
      <c r="A187" s="171">
        <v>172</v>
      </c>
      <c r="B187" s="164" t="s">
        <v>216</v>
      </c>
      <c r="C187" s="170" t="s">
        <v>411</v>
      </c>
    </row>
    <row r="188" spans="1:3">
      <c r="A188" s="171">
        <v>173</v>
      </c>
      <c r="B188" s="164" t="s">
        <v>216</v>
      </c>
      <c r="C188" s="170" t="s">
        <v>411</v>
      </c>
    </row>
    <row r="189" spans="1:3">
      <c r="A189" s="171">
        <v>174</v>
      </c>
      <c r="B189" s="164" t="s">
        <v>216</v>
      </c>
      <c r="C189" s="170" t="s">
        <v>411</v>
      </c>
    </row>
    <row r="190" spans="1:3">
      <c r="A190" s="171">
        <v>175</v>
      </c>
      <c r="B190" s="164" t="s">
        <v>216</v>
      </c>
      <c r="C190" s="170" t="s">
        <v>411</v>
      </c>
    </row>
    <row r="191" spans="1:3">
      <c r="A191" s="171">
        <v>176</v>
      </c>
      <c r="B191" s="164" t="s">
        <v>216</v>
      </c>
      <c r="C191" s="170" t="s">
        <v>411</v>
      </c>
    </row>
    <row r="192" spans="1:3">
      <c r="A192" s="171">
        <v>177</v>
      </c>
      <c r="B192" s="164" t="s">
        <v>216</v>
      </c>
      <c r="C192" s="170" t="s">
        <v>411</v>
      </c>
    </row>
    <row r="193" spans="1:3">
      <c r="A193" s="171">
        <v>178</v>
      </c>
      <c r="B193" s="164" t="s">
        <v>225</v>
      </c>
      <c r="C193" s="170" t="s">
        <v>411</v>
      </c>
    </row>
    <row r="194" spans="1:3">
      <c r="A194" s="171">
        <v>179</v>
      </c>
      <c r="B194" s="164" t="s">
        <v>216</v>
      </c>
      <c r="C194" s="170" t="s">
        <v>411</v>
      </c>
    </row>
    <row r="195" spans="1:3">
      <c r="A195" s="171">
        <v>180</v>
      </c>
      <c r="B195" s="164" t="s">
        <v>216</v>
      </c>
      <c r="C195" s="170" t="s">
        <v>411</v>
      </c>
    </row>
    <row r="196" spans="1:3">
      <c r="A196" s="171">
        <v>181</v>
      </c>
      <c r="B196" s="164" t="s">
        <v>216</v>
      </c>
      <c r="C196" s="170" t="s">
        <v>411</v>
      </c>
    </row>
    <row r="197" spans="1:3">
      <c r="A197" s="171">
        <v>182</v>
      </c>
      <c r="B197" s="164" t="s">
        <v>216</v>
      </c>
      <c r="C197" s="170" t="s">
        <v>411</v>
      </c>
    </row>
    <row r="198" spans="1:3">
      <c r="A198" s="171">
        <v>183</v>
      </c>
      <c r="B198" s="164" t="s">
        <v>216</v>
      </c>
      <c r="C198" s="170" t="s">
        <v>411</v>
      </c>
    </row>
    <row r="199" spans="1:3">
      <c r="A199" s="171">
        <v>184</v>
      </c>
      <c r="B199" s="164" t="s">
        <v>216</v>
      </c>
      <c r="C199" s="170" t="s">
        <v>411</v>
      </c>
    </row>
    <row r="200" spans="1:3">
      <c r="A200" s="171">
        <v>185</v>
      </c>
      <c r="B200" s="164" t="s">
        <v>216</v>
      </c>
      <c r="C200" s="170" t="s">
        <v>411</v>
      </c>
    </row>
    <row r="201" spans="1:3">
      <c r="A201" s="171">
        <v>186</v>
      </c>
      <c r="B201" s="164" t="s">
        <v>216</v>
      </c>
      <c r="C201" s="170" t="s">
        <v>411</v>
      </c>
    </row>
    <row r="202" spans="1:3">
      <c r="A202" s="171">
        <v>187</v>
      </c>
      <c r="B202" s="164" t="s">
        <v>216</v>
      </c>
      <c r="C202" s="170" t="s">
        <v>411</v>
      </c>
    </row>
    <row r="203" spans="1:3">
      <c r="A203" s="171">
        <v>188</v>
      </c>
      <c r="B203" s="164" t="s">
        <v>216</v>
      </c>
      <c r="C203" s="170" t="s">
        <v>411</v>
      </c>
    </row>
    <row r="204" spans="1:3">
      <c r="A204" s="171">
        <v>189</v>
      </c>
      <c r="B204" s="164" t="s">
        <v>216</v>
      </c>
      <c r="C204" s="170" t="s">
        <v>412</v>
      </c>
    </row>
    <row r="205" spans="1:3">
      <c r="A205" s="171">
        <v>190</v>
      </c>
      <c r="B205" s="164" t="s">
        <v>216</v>
      </c>
      <c r="C205" s="170" t="s">
        <v>412</v>
      </c>
    </row>
    <row r="206" spans="1:3">
      <c r="A206" s="171">
        <v>191</v>
      </c>
      <c r="B206" s="164" t="s">
        <v>216</v>
      </c>
      <c r="C206" s="170" t="s">
        <v>412</v>
      </c>
    </row>
    <row r="207" spans="1:3">
      <c r="A207" s="171">
        <v>192</v>
      </c>
      <c r="B207" s="164" t="s">
        <v>216</v>
      </c>
      <c r="C207" s="170" t="s">
        <v>412</v>
      </c>
    </row>
    <row r="208" spans="1:3">
      <c r="A208" s="171">
        <v>193</v>
      </c>
      <c r="B208" s="164" t="s">
        <v>216</v>
      </c>
      <c r="C208" s="170" t="s">
        <v>412</v>
      </c>
    </row>
    <row r="209" spans="1:3">
      <c r="A209" s="171">
        <v>194</v>
      </c>
      <c r="B209" s="164" t="s">
        <v>216</v>
      </c>
      <c r="C209" s="170" t="s">
        <v>412</v>
      </c>
    </row>
    <row r="210" spans="1:3">
      <c r="A210" s="171">
        <v>195</v>
      </c>
      <c r="B210" s="164" t="s">
        <v>216</v>
      </c>
      <c r="C210" s="170" t="s">
        <v>412</v>
      </c>
    </row>
    <row r="211" spans="1:3">
      <c r="A211" s="171">
        <v>196</v>
      </c>
      <c r="B211" s="164" t="s">
        <v>216</v>
      </c>
      <c r="C211" s="170" t="s">
        <v>412</v>
      </c>
    </row>
    <row r="212" spans="1:3">
      <c r="A212" s="171">
        <v>197</v>
      </c>
      <c r="B212" s="164" t="s">
        <v>216</v>
      </c>
      <c r="C212" s="170" t="s">
        <v>412</v>
      </c>
    </row>
    <row r="213" spans="1:3">
      <c r="A213" s="171">
        <v>198</v>
      </c>
      <c r="B213" s="164" t="s">
        <v>216</v>
      </c>
      <c r="C213" s="170" t="s">
        <v>412</v>
      </c>
    </row>
    <row r="214" spans="1:3">
      <c r="A214" s="171">
        <v>199</v>
      </c>
      <c r="B214" s="164" t="s">
        <v>216</v>
      </c>
      <c r="C214" s="170" t="s">
        <v>412</v>
      </c>
    </row>
    <row r="215" spans="1:3">
      <c r="A215" s="171">
        <v>201</v>
      </c>
      <c r="B215" s="164" t="s">
        <v>216</v>
      </c>
      <c r="C215" s="170" t="s">
        <v>412</v>
      </c>
    </row>
    <row r="216" spans="1:3">
      <c r="A216" s="171">
        <v>202</v>
      </c>
      <c r="B216" s="164" t="s">
        <v>216</v>
      </c>
      <c r="C216" s="170" t="s">
        <v>412</v>
      </c>
    </row>
    <row r="217" spans="1:3">
      <c r="A217" s="171">
        <v>203</v>
      </c>
      <c r="B217" s="164" t="s">
        <v>216</v>
      </c>
      <c r="C217" s="170" t="s">
        <v>412</v>
      </c>
    </row>
    <row r="218" spans="1:3">
      <c r="A218" s="171">
        <v>204</v>
      </c>
      <c r="B218" s="164" t="s">
        <v>216</v>
      </c>
      <c r="C218" s="170" t="s">
        <v>412</v>
      </c>
    </row>
    <row r="219" spans="1:3">
      <c r="A219" s="171">
        <v>205</v>
      </c>
      <c r="B219" s="164" t="s">
        <v>216</v>
      </c>
      <c r="C219" s="170" t="s">
        <v>412</v>
      </c>
    </row>
    <row r="220" spans="1:3">
      <c r="A220" s="171">
        <v>206</v>
      </c>
      <c r="B220" s="164" t="s">
        <v>216</v>
      </c>
      <c r="C220" s="170" t="s">
        <v>412</v>
      </c>
    </row>
    <row r="221" spans="1:3">
      <c r="A221" s="171">
        <v>207</v>
      </c>
      <c r="B221" s="164" t="s">
        <v>216</v>
      </c>
      <c r="C221" s="170" t="s">
        <v>412</v>
      </c>
    </row>
    <row r="222" spans="1:3">
      <c r="A222" s="171">
        <v>208</v>
      </c>
      <c r="B222" s="164" t="s">
        <v>216</v>
      </c>
      <c r="C222" s="170" t="s">
        <v>412</v>
      </c>
    </row>
    <row r="223" spans="1:3">
      <c r="A223" s="171">
        <v>209</v>
      </c>
      <c r="B223" s="164" t="s">
        <v>216</v>
      </c>
      <c r="C223" s="170" t="s">
        <v>411</v>
      </c>
    </row>
    <row r="224" spans="1:3">
      <c r="A224" s="171">
        <v>210</v>
      </c>
      <c r="B224" s="164" t="s">
        <v>216</v>
      </c>
      <c r="C224" s="170" t="s">
        <v>411</v>
      </c>
    </row>
    <row r="225" spans="1:3">
      <c r="A225" s="171">
        <v>211</v>
      </c>
      <c r="B225" s="164" t="s">
        <v>216</v>
      </c>
      <c r="C225" s="170" t="s">
        <v>411</v>
      </c>
    </row>
    <row r="226" spans="1:3">
      <c r="A226" s="171">
        <v>212</v>
      </c>
      <c r="B226" s="164" t="s">
        <v>216</v>
      </c>
      <c r="C226" s="170" t="s">
        <v>411</v>
      </c>
    </row>
    <row r="227" spans="1:3">
      <c r="A227" s="171">
        <v>213</v>
      </c>
      <c r="B227" s="164" t="s">
        <v>216</v>
      </c>
      <c r="C227" s="170" t="s">
        <v>411</v>
      </c>
    </row>
    <row r="228" spans="1:3">
      <c r="A228" s="171">
        <v>214</v>
      </c>
      <c r="B228" s="164" t="s">
        <v>216</v>
      </c>
      <c r="C228" s="170" t="s">
        <v>411</v>
      </c>
    </row>
    <row r="229" spans="1:3">
      <c r="A229" s="171">
        <v>215</v>
      </c>
      <c r="B229" s="164" t="s">
        <v>216</v>
      </c>
      <c r="C229" s="170" t="s">
        <v>411</v>
      </c>
    </row>
    <row r="230" spans="1:3">
      <c r="A230" s="171">
        <v>216</v>
      </c>
      <c r="B230" s="164" t="s">
        <v>216</v>
      </c>
      <c r="C230" s="170" t="s">
        <v>411</v>
      </c>
    </row>
    <row r="231" spans="1:3">
      <c r="A231" s="171">
        <v>217</v>
      </c>
      <c r="B231" s="164" t="s">
        <v>216</v>
      </c>
      <c r="C231" s="170" t="s">
        <v>411</v>
      </c>
    </row>
    <row r="232" spans="1:3">
      <c r="A232" s="171">
        <v>218</v>
      </c>
      <c r="B232" s="164" t="s">
        <v>216</v>
      </c>
      <c r="C232" s="170" t="s">
        <v>411</v>
      </c>
    </row>
    <row r="233" spans="1:3">
      <c r="A233" s="171">
        <v>219</v>
      </c>
      <c r="B233" s="164" t="s">
        <v>216</v>
      </c>
      <c r="C233" s="170" t="s">
        <v>411</v>
      </c>
    </row>
    <row r="234" spans="1:3">
      <c r="A234" s="171">
        <v>220</v>
      </c>
      <c r="B234" s="164" t="s">
        <v>216</v>
      </c>
      <c r="C234" s="170" t="s">
        <v>411</v>
      </c>
    </row>
    <row r="235" spans="1:3">
      <c r="A235" s="171">
        <v>221</v>
      </c>
      <c r="B235" s="164" t="s">
        <v>216</v>
      </c>
      <c r="C235" s="170" t="s">
        <v>411</v>
      </c>
    </row>
    <row r="236" spans="1:3">
      <c r="A236" s="171">
        <v>222</v>
      </c>
      <c r="B236" s="164" t="s">
        <v>216</v>
      </c>
      <c r="C236" s="170" t="s">
        <v>411</v>
      </c>
    </row>
    <row r="237" spans="1:3">
      <c r="A237" s="171">
        <v>223</v>
      </c>
      <c r="B237" s="164" t="s">
        <v>216</v>
      </c>
      <c r="C237" s="170" t="s">
        <v>411</v>
      </c>
    </row>
    <row r="238" spans="1:3">
      <c r="A238" s="171">
        <v>224</v>
      </c>
      <c r="B238" s="164" t="s">
        <v>216</v>
      </c>
      <c r="C238" s="170" t="s">
        <v>411</v>
      </c>
    </row>
    <row r="239" spans="1:3">
      <c r="A239" s="171">
        <v>225</v>
      </c>
      <c r="B239" s="164" t="s">
        <v>216</v>
      </c>
      <c r="C239" s="170" t="s">
        <v>411</v>
      </c>
    </row>
    <row r="240" spans="1:3">
      <c r="A240" s="171">
        <v>226</v>
      </c>
      <c r="B240" s="164" t="s">
        <v>216</v>
      </c>
      <c r="C240" s="170" t="s">
        <v>411</v>
      </c>
    </row>
    <row r="241" spans="1:3">
      <c r="A241" s="171">
        <v>227</v>
      </c>
      <c r="B241" s="164" t="s">
        <v>216</v>
      </c>
      <c r="C241" s="170" t="s">
        <v>411</v>
      </c>
    </row>
    <row r="242" spans="1:3">
      <c r="A242" s="171">
        <v>228</v>
      </c>
      <c r="B242" s="164" t="s">
        <v>226</v>
      </c>
      <c r="C242" s="170" t="s">
        <v>412</v>
      </c>
    </row>
    <row r="243" spans="1:3">
      <c r="A243" s="171">
        <v>229</v>
      </c>
      <c r="B243" s="164" t="s">
        <v>226</v>
      </c>
      <c r="C243" s="170" t="s">
        <v>412</v>
      </c>
    </row>
    <row r="244" spans="1:3">
      <c r="A244" s="171">
        <v>230</v>
      </c>
      <c r="B244" s="164" t="s">
        <v>216</v>
      </c>
      <c r="C244" s="170" t="s">
        <v>412</v>
      </c>
    </row>
    <row r="245" spans="1:3">
      <c r="A245" s="171">
        <v>231</v>
      </c>
      <c r="B245" s="164" t="s">
        <v>204</v>
      </c>
      <c r="C245" s="170" t="s">
        <v>411</v>
      </c>
    </row>
    <row r="246" spans="1:3">
      <c r="A246" s="171">
        <v>233</v>
      </c>
      <c r="B246" s="164" t="s">
        <v>204</v>
      </c>
      <c r="C246" s="170" t="s">
        <v>411</v>
      </c>
    </row>
    <row r="247" spans="1:3">
      <c r="A247" s="171">
        <v>234</v>
      </c>
      <c r="B247" s="164" t="s">
        <v>204</v>
      </c>
      <c r="C247" s="170" t="s">
        <v>411</v>
      </c>
    </row>
    <row r="248" spans="1:3">
      <c r="A248" s="171">
        <v>235</v>
      </c>
      <c r="B248" s="164" t="s">
        <v>204</v>
      </c>
      <c r="C248" s="170" t="s">
        <v>411</v>
      </c>
    </row>
    <row r="249" spans="1:3">
      <c r="A249" s="171">
        <v>236</v>
      </c>
      <c r="B249" s="164" t="s">
        <v>204</v>
      </c>
      <c r="C249" s="170" t="s">
        <v>411</v>
      </c>
    </row>
    <row r="250" spans="1:3">
      <c r="A250" s="171">
        <v>237</v>
      </c>
      <c r="B250" s="164" t="s">
        <v>204</v>
      </c>
      <c r="C250" s="170" t="s">
        <v>411</v>
      </c>
    </row>
    <row r="251" spans="1:3">
      <c r="A251" s="171">
        <v>238</v>
      </c>
      <c r="B251" s="164" t="s">
        <v>216</v>
      </c>
      <c r="C251" s="170" t="s">
        <v>411</v>
      </c>
    </row>
    <row r="252" spans="1:3">
      <c r="A252" s="171">
        <v>241</v>
      </c>
      <c r="B252" s="164" t="s">
        <v>227</v>
      </c>
      <c r="C252" s="170" t="s">
        <v>411</v>
      </c>
    </row>
    <row r="253" spans="1:3">
      <c r="A253" s="171">
        <v>242</v>
      </c>
      <c r="B253" s="164" t="s">
        <v>228</v>
      </c>
      <c r="C253" s="170" t="s">
        <v>411</v>
      </c>
    </row>
    <row r="254" spans="1:3">
      <c r="A254" s="171">
        <v>243</v>
      </c>
      <c r="B254" s="164" t="s">
        <v>192</v>
      </c>
      <c r="C254" s="170" t="s">
        <v>411</v>
      </c>
    </row>
    <row r="255" spans="1:3">
      <c r="A255" s="171">
        <v>244</v>
      </c>
      <c r="B255" s="164" t="s">
        <v>216</v>
      </c>
      <c r="C255" s="170" t="s">
        <v>411</v>
      </c>
    </row>
    <row r="256" spans="1:3">
      <c r="A256" s="171">
        <v>245</v>
      </c>
      <c r="B256" s="164" t="s">
        <v>228</v>
      </c>
      <c r="C256" s="170" t="s">
        <v>411</v>
      </c>
    </row>
    <row r="257" spans="1:3">
      <c r="A257" s="171">
        <v>246</v>
      </c>
      <c r="B257" s="164" t="s">
        <v>229</v>
      </c>
      <c r="C257" s="170" t="s">
        <v>411</v>
      </c>
    </row>
    <row r="258" spans="1:3">
      <c r="A258" s="171">
        <v>247</v>
      </c>
      <c r="B258" s="164" t="s">
        <v>228</v>
      </c>
      <c r="C258" s="170" t="s">
        <v>411</v>
      </c>
    </row>
    <row r="259" spans="1:3">
      <c r="A259" s="171">
        <v>248</v>
      </c>
      <c r="B259" s="164" t="s">
        <v>216</v>
      </c>
      <c r="C259" s="170" t="s">
        <v>411</v>
      </c>
    </row>
    <row r="260" spans="1:3">
      <c r="A260" s="171">
        <v>249</v>
      </c>
      <c r="B260" s="164" t="s">
        <v>228</v>
      </c>
      <c r="C260" s="170" t="s">
        <v>411</v>
      </c>
    </row>
    <row r="261" spans="1:3">
      <c r="A261" s="171">
        <v>250</v>
      </c>
      <c r="B261" s="164" t="s">
        <v>230</v>
      </c>
      <c r="C261" s="170" t="s">
        <v>412</v>
      </c>
    </row>
    <row r="262" spans="1:3">
      <c r="A262" s="171">
        <v>251</v>
      </c>
      <c r="B262" s="164" t="s">
        <v>230</v>
      </c>
      <c r="C262" s="170" t="s">
        <v>412</v>
      </c>
    </row>
    <row r="263" spans="1:3">
      <c r="A263" s="171">
        <v>252</v>
      </c>
      <c r="B263" s="164" t="s">
        <v>230</v>
      </c>
      <c r="C263" s="170" t="s">
        <v>412</v>
      </c>
    </row>
    <row r="264" spans="1:3">
      <c r="A264" s="171">
        <v>253</v>
      </c>
      <c r="B264" s="164" t="s">
        <v>230</v>
      </c>
      <c r="C264" s="170" t="s">
        <v>412</v>
      </c>
    </row>
    <row r="265" spans="1:3">
      <c r="A265" s="171">
        <v>254</v>
      </c>
      <c r="B265" s="164" t="s">
        <v>231</v>
      </c>
      <c r="C265" s="170" t="s">
        <v>411</v>
      </c>
    </row>
    <row r="266" spans="1:3">
      <c r="A266" s="171">
        <v>255</v>
      </c>
      <c r="B266" s="164" t="s">
        <v>232</v>
      </c>
      <c r="C266" s="170" t="s">
        <v>411</v>
      </c>
    </row>
    <row r="267" spans="1:3">
      <c r="A267" s="171">
        <v>257</v>
      </c>
      <c r="B267" s="164" t="s">
        <v>233</v>
      </c>
      <c r="C267" s="170" t="s">
        <v>411</v>
      </c>
    </row>
    <row r="268" spans="1:3">
      <c r="A268" s="171">
        <v>258</v>
      </c>
      <c r="B268" s="164" t="s">
        <v>234</v>
      </c>
      <c r="C268" s="170" t="s">
        <v>411</v>
      </c>
    </row>
    <row r="269" spans="1:3">
      <c r="A269" s="171">
        <v>259</v>
      </c>
      <c r="B269" s="164" t="s">
        <v>235</v>
      </c>
      <c r="C269" s="170" t="s">
        <v>411</v>
      </c>
    </row>
    <row r="270" spans="1:3">
      <c r="A270" s="171">
        <v>260</v>
      </c>
      <c r="B270" s="164" t="s">
        <v>234</v>
      </c>
      <c r="C270" s="170" t="s">
        <v>412</v>
      </c>
    </row>
    <row r="271" spans="1:3">
      <c r="A271" s="171">
        <v>261</v>
      </c>
      <c r="B271" s="164" t="s">
        <v>234</v>
      </c>
      <c r="C271" s="170" t="s">
        <v>411</v>
      </c>
    </row>
    <row r="272" spans="1:3">
      <c r="A272" s="171">
        <v>262</v>
      </c>
      <c r="B272" s="164" t="s">
        <v>234</v>
      </c>
      <c r="C272" s="170" t="s">
        <v>411</v>
      </c>
    </row>
    <row r="273" spans="1:3">
      <c r="A273" s="171">
        <v>263</v>
      </c>
      <c r="B273" s="164" t="s">
        <v>234</v>
      </c>
      <c r="C273" s="170" t="s">
        <v>411</v>
      </c>
    </row>
    <row r="274" spans="1:3">
      <c r="A274" s="171">
        <v>264</v>
      </c>
      <c r="B274" s="164" t="s">
        <v>234</v>
      </c>
      <c r="C274" s="170" t="s">
        <v>411</v>
      </c>
    </row>
    <row r="275" spans="1:3">
      <c r="A275" s="171">
        <v>265</v>
      </c>
      <c r="B275" s="164" t="s">
        <v>236</v>
      </c>
      <c r="C275" s="170" t="s">
        <v>412</v>
      </c>
    </row>
    <row r="276" spans="1:3">
      <c r="A276" s="171">
        <v>266</v>
      </c>
      <c r="B276" s="164" t="s">
        <v>236</v>
      </c>
      <c r="C276" s="170" t="s">
        <v>412</v>
      </c>
    </row>
    <row r="277" spans="1:3">
      <c r="A277" s="171">
        <v>267</v>
      </c>
      <c r="B277" s="164" t="s">
        <v>236</v>
      </c>
      <c r="C277" s="170" t="s">
        <v>412</v>
      </c>
    </row>
    <row r="278" spans="1:3">
      <c r="A278" s="171">
        <v>268</v>
      </c>
      <c r="B278" s="164" t="s">
        <v>236</v>
      </c>
      <c r="C278" s="170" t="s">
        <v>412</v>
      </c>
    </row>
    <row r="279" spans="1:3">
      <c r="A279" s="171">
        <v>269</v>
      </c>
      <c r="B279" s="164" t="s">
        <v>236</v>
      </c>
      <c r="C279" s="170" t="s">
        <v>412</v>
      </c>
    </row>
    <row r="280" spans="1:3">
      <c r="A280" s="171">
        <v>270</v>
      </c>
      <c r="B280" s="164" t="s">
        <v>236</v>
      </c>
      <c r="C280" s="170" t="s">
        <v>412</v>
      </c>
    </row>
    <row r="281" spans="1:3">
      <c r="A281" s="171">
        <v>271</v>
      </c>
      <c r="B281" s="164" t="s">
        <v>236</v>
      </c>
      <c r="C281" s="170" t="s">
        <v>412</v>
      </c>
    </row>
    <row r="282" spans="1:3">
      <c r="A282" s="171">
        <v>272</v>
      </c>
      <c r="B282" s="164" t="s">
        <v>236</v>
      </c>
      <c r="C282" s="170" t="s">
        <v>412</v>
      </c>
    </row>
    <row r="283" spans="1:3">
      <c r="A283" s="171">
        <v>273</v>
      </c>
      <c r="B283" s="164" t="s">
        <v>236</v>
      </c>
      <c r="C283" s="170" t="s">
        <v>412</v>
      </c>
    </row>
    <row r="284" spans="1:3">
      <c r="A284" s="171">
        <v>274</v>
      </c>
      <c r="B284" s="164" t="s">
        <v>236</v>
      </c>
      <c r="C284" s="170" t="s">
        <v>412</v>
      </c>
    </row>
    <row r="285" spans="1:3">
      <c r="A285" s="171">
        <v>276</v>
      </c>
      <c r="B285" s="164" t="s">
        <v>236</v>
      </c>
      <c r="C285" s="170" t="s">
        <v>412</v>
      </c>
    </row>
    <row r="286" spans="1:3">
      <c r="A286" s="171">
        <v>277</v>
      </c>
      <c r="B286" s="164" t="s">
        <v>237</v>
      </c>
      <c r="C286" s="170" t="s">
        <v>412</v>
      </c>
    </row>
    <row r="287" spans="1:3">
      <c r="A287" s="171">
        <v>278</v>
      </c>
      <c r="B287" s="164" t="s">
        <v>238</v>
      </c>
      <c r="C287" s="170" t="s">
        <v>412</v>
      </c>
    </row>
    <row r="288" spans="1:3">
      <c r="A288" s="171">
        <v>279</v>
      </c>
      <c r="B288" s="164" t="s">
        <v>239</v>
      </c>
      <c r="C288" s="170" t="s">
        <v>412</v>
      </c>
    </row>
    <row r="289" spans="1:3">
      <c r="A289" s="171">
        <v>280</v>
      </c>
      <c r="B289" s="164" t="s">
        <v>240</v>
      </c>
      <c r="C289" s="170" t="s">
        <v>412</v>
      </c>
    </row>
    <row r="290" spans="1:3">
      <c r="A290" s="171">
        <v>281</v>
      </c>
      <c r="B290" s="164" t="s">
        <v>241</v>
      </c>
      <c r="C290" s="170" t="s">
        <v>411</v>
      </c>
    </row>
    <row r="291" spans="1:3">
      <c r="A291" s="171">
        <v>283</v>
      </c>
      <c r="B291" s="164" t="s">
        <v>242</v>
      </c>
      <c r="C291" s="170" t="s">
        <v>411</v>
      </c>
    </row>
    <row r="292" spans="1:3">
      <c r="A292" s="171">
        <v>284</v>
      </c>
      <c r="B292" s="164" t="s">
        <v>184</v>
      </c>
      <c r="C292" s="170" t="s">
        <v>412</v>
      </c>
    </row>
    <row r="293" spans="1:3">
      <c r="A293" s="171">
        <v>285</v>
      </c>
      <c r="B293" s="164" t="s">
        <v>184</v>
      </c>
      <c r="C293" s="170" t="s">
        <v>412</v>
      </c>
    </row>
    <row r="294" spans="1:3">
      <c r="A294" s="171">
        <v>286</v>
      </c>
      <c r="B294" s="164" t="s">
        <v>243</v>
      </c>
      <c r="C294" s="170" t="s">
        <v>412</v>
      </c>
    </row>
    <row r="295" spans="1:3">
      <c r="A295" s="171">
        <v>287</v>
      </c>
      <c r="B295" s="164" t="s">
        <v>244</v>
      </c>
      <c r="C295" s="170" t="s">
        <v>412</v>
      </c>
    </row>
    <row r="296" spans="1:3">
      <c r="A296" s="171">
        <v>288</v>
      </c>
      <c r="B296" s="164" t="s">
        <v>245</v>
      </c>
      <c r="C296" s="170" t="s">
        <v>412</v>
      </c>
    </row>
    <row r="297" spans="1:3">
      <c r="A297" s="171">
        <v>289</v>
      </c>
      <c r="B297" s="164" t="s">
        <v>245</v>
      </c>
      <c r="C297" s="170" t="s">
        <v>412</v>
      </c>
    </row>
    <row r="298" spans="1:3">
      <c r="A298" s="171">
        <v>290</v>
      </c>
      <c r="B298" s="164" t="s">
        <v>245</v>
      </c>
      <c r="C298" s="170" t="s">
        <v>412</v>
      </c>
    </row>
    <row r="299" spans="1:3">
      <c r="A299" s="171">
        <v>291</v>
      </c>
      <c r="B299" s="164" t="s">
        <v>245</v>
      </c>
      <c r="C299" s="170" t="s">
        <v>412</v>
      </c>
    </row>
    <row r="300" spans="1:3">
      <c r="A300" s="171">
        <v>292</v>
      </c>
      <c r="B300" s="164" t="s">
        <v>245</v>
      </c>
      <c r="C300" s="170" t="s">
        <v>412</v>
      </c>
    </row>
    <row r="301" spans="1:3">
      <c r="A301" s="171">
        <v>297</v>
      </c>
      <c r="B301" s="164" t="s">
        <v>245</v>
      </c>
      <c r="C301" s="170" t="s">
        <v>412</v>
      </c>
    </row>
    <row r="302" spans="1:3">
      <c r="A302" s="171">
        <v>298</v>
      </c>
      <c r="B302" s="164" t="s">
        <v>245</v>
      </c>
      <c r="C302" s="170" t="s">
        <v>412</v>
      </c>
    </row>
    <row r="303" spans="1:3">
      <c r="A303" s="171">
        <v>299</v>
      </c>
      <c r="B303" s="164" t="s">
        <v>245</v>
      </c>
      <c r="C303" s="170" t="s">
        <v>412</v>
      </c>
    </row>
    <row r="304" spans="1:3">
      <c r="A304" s="171">
        <v>300</v>
      </c>
      <c r="B304" s="164" t="s">
        <v>246</v>
      </c>
      <c r="C304" s="170" t="s">
        <v>411</v>
      </c>
    </row>
    <row r="305" spans="1:3">
      <c r="A305" s="171">
        <v>301</v>
      </c>
      <c r="B305" s="164" t="s">
        <v>247</v>
      </c>
      <c r="C305" s="170" t="s">
        <v>411</v>
      </c>
    </row>
    <row r="306" spans="1:3">
      <c r="A306" s="171">
        <v>302</v>
      </c>
      <c r="B306" s="164" t="s">
        <v>248</v>
      </c>
      <c r="C306" s="170" t="s">
        <v>411</v>
      </c>
    </row>
    <row r="307" spans="1:3">
      <c r="A307" s="171">
        <v>303</v>
      </c>
      <c r="B307" s="164" t="s">
        <v>245</v>
      </c>
      <c r="C307" s="170" t="s">
        <v>412</v>
      </c>
    </row>
    <row r="308" spans="1:3">
      <c r="A308" s="171">
        <v>304</v>
      </c>
      <c r="B308" s="164" t="s">
        <v>245</v>
      </c>
      <c r="C308" s="170" t="s">
        <v>412</v>
      </c>
    </row>
    <row r="309" spans="1:3">
      <c r="A309" s="171">
        <v>305</v>
      </c>
      <c r="B309" s="164" t="s">
        <v>249</v>
      </c>
      <c r="C309" s="170" t="s">
        <v>411</v>
      </c>
    </row>
    <row r="310" spans="1:3">
      <c r="A310" s="171">
        <v>306</v>
      </c>
      <c r="B310" s="164" t="s">
        <v>249</v>
      </c>
      <c r="C310" s="170" t="s">
        <v>411</v>
      </c>
    </row>
    <row r="311" spans="1:3">
      <c r="A311" s="171">
        <v>307</v>
      </c>
      <c r="B311" s="164" t="s">
        <v>249</v>
      </c>
      <c r="C311" s="170" t="s">
        <v>411</v>
      </c>
    </row>
    <row r="312" spans="1:3">
      <c r="A312" s="171">
        <v>308</v>
      </c>
      <c r="B312" s="164" t="s">
        <v>249</v>
      </c>
      <c r="C312" s="170" t="s">
        <v>411</v>
      </c>
    </row>
    <row r="313" spans="1:3">
      <c r="A313" s="171">
        <v>309</v>
      </c>
      <c r="B313" s="164" t="s">
        <v>250</v>
      </c>
      <c r="C313" s="170" t="s">
        <v>411</v>
      </c>
    </row>
    <row r="314" spans="1:3">
      <c r="A314" s="171">
        <v>310</v>
      </c>
      <c r="B314" s="164" t="s">
        <v>251</v>
      </c>
      <c r="C314" s="170" t="s">
        <v>411</v>
      </c>
    </row>
    <row r="315" spans="1:3">
      <c r="A315" s="171">
        <v>312</v>
      </c>
      <c r="B315" s="164" t="s">
        <v>252</v>
      </c>
      <c r="C315" s="170" t="s">
        <v>411</v>
      </c>
    </row>
    <row r="316" spans="1:3">
      <c r="A316" s="171">
        <v>313</v>
      </c>
      <c r="B316" s="164" t="s">
        <v>253</v>
      </c>
      <c r="C316" s="170" t="s">
        <v>412</v>
      </c>
    </row>
    <row r="317" spans="1:3">
      <c r="A317" s="171">
        <v>314</v>
      </c>
      <c r="B317" s="164" t="s">
        <v>254</v>
      </c>
      <c r="C317" s="170" t="s">
        <v>412</v>
      </c>
    </row>
    <row r="318" spans="1:3">
      <c r="A318" s="171">
        <v>315</v>
      </c>
      <c r="B318" s="164" t="s">
        <v>255</v>
      </c>
      <c r="C318" s="170" t="s">
        <v>412</v>
      </c>
    </row>
    <row r="319" spans="1:3">
      <c r="A319" s="171">
        <v>316</v>
      </c>
      <c r="B319" s="164" t="s">
        <v>256</v>
      </c>
      <c r="C319" s="170" t="s">
        <v>411</v>
      </c>
    </row>
    <row r="320" spans="1:3">
      <c r="A320" s="171">
        <v>317</v>
      </c>
      <c r="B320" s="164" t="s">
        <v>256</v>
      </c>
      <c r="C320" s="170" t="s">
        <v>411</v>
      </c>
    </row>
    <row r="321" spans="1:3">
      <c r="A321" s="171">
        <v>318</v>
      </c>
      <c r="B321" s="164" t="s">
        <v>256</v>
      </c>
      <c r="C321" s="170" t="s">
        <v>411</v>
      </c>
    </row>
    <row r="322" spans="1:3">
      <c r="A322" s="171">
        <v>319</v>
      </c>
      <c r="B322" s="164" t="s">
        <v>257</v>
      </c>
      <c r="C322" s="170" t="s">
        <v>411</v>
      </c>
    </row>
    <row r="323" spans="1:3">
      <c r="A323" s="171">
        <v>320</v>
      </c>
      <c r="B323" s="164" t="s">
        <v>256</v>
      </c>
      <c r="C323" s="170" t="s">
        <v>411</v>
      </c>
    </row>
    <row r="324" spans="1:3">
      <c r="A324" s="171">
        <v>321</v>
      </c>
      <c r="B324" s="164" t="s">
        <v>256</v>
      </c>
      <c r="C324" s="170" t="s">
        <v>411</v>
      </c>
    </row>
    <row r="325" spans="1:3">
      <c r="A325" s="171">
        <v>322</v>
      </c>
      <c r="B325" s="164" t="s">
        <v>256</v>
      </c>
      <c r="C325" s="170" t="s">
        <v>411</v>
      </c>
    </row>
    <row r="326" spans="1:3">
      <c r="A326" s="171">
        <v>323</v>
      </c>
      <c r="B326" s="164" t="s">
        <v>256</v>
      </c>
      <c r="C326" s="170" t="s">
        <v>411</v>
      </c>
    </row>
    <row r="327" spans="1:3">
      <c r="A327" s="171">
        <v>324</v>
      </c>
      <c r="B327" s="164" t="s">
        <v>258</v>
      </c>
      <c r="C327" s="170" t="s">
        <v>411</v>
      </c>
    </row>
    <row r="328" spans="1:3">
      <c r="A328" s="171">
        <v>325</v>
      </c>
      <c r="B328" s="164" t="s">
        <v>259</v>
      </c>
      <c r="C328" s="170" t="s">
        <v>411</v>
      </c>
    </row>
    <row r="329" spans="1:3">
      <c r="A329" s="171">
        <v>326</v>
      </c>
      <c r="B329" s="164" t="s">
        <v>259</v>
      </c>
      <c r="C329" s="170" t="s">
        <v>411</v>
      </c>
    </row>
    <row r="330" spans="1:3">
      <c r="A330" s="171">
        <v>327</v>
      </c>
      <c r="B330" s="164" t="s">
        <v>259</v>
      </c>
      <c r="C330" s="170" t="s">
        <v>411</v>
      </c>
    </row>
    <row r="331" spans="1:3">
      <c r="A331" s="171">
        <v>328</v>
      </c>
      <c r="B331" s="164" t="s">
        <v>259</v>
      </c>
      <c r="C331" s="170" t="s">
        <v>411</v>
      </c>
    </row>
    <row r="332" spans="1:3">
      <c r="A332" s="171">
        <v>329</v>
      </c>
      <c r="B332" s="164" t="s">
        <v>259</v>
      </c>
      <c r="C332" s="170" t="s">
        <v>411</v>
      </c>
    </row>
    <row r="333" spans="1:3">
      <c r="A333" s="171">
        <v>330</v>
      </c>
      <c r="B333" s="164" t="s">
        <v>259</v>
      </c>
      <c r="C333" s="170" t="s">
        <v>411</v>
      </c>
    </row>
    <row r="334" spans="1:3">
      <c r="A334" s="171">
        <v>331</v>
      </c>
      <c r="B334" s="164" t="s">
        <v>259</v>
      </c>
      <c r="C334" s="170" t="s">
        <v>411</v>
      </c>
    </row>
    <row r="335" spans="1:3">
      <c r="A335" s="171">
        <v>332</v>
      </c>
      <c r="B335" s="164" t="s">
        <v>259</v>
      </c>
      <c r="C335" s="170" t="s">
        <v>412</v>
      </c>
    </row>
    <row r="336" spans="1:3">
      <c r="A336" s="171">
        <v>334</v>
      </c>
      <c r="B336" s="164" t="s">
        <v>260</v>
      </c>
      <c r="C336" s="170" t="s">
        <v>411</v>
      </c>
    </row>
    <row r="337" spans="1:3">
      <c r="A337" s="171">
        <v>335</v>
      </c>
      <c r="B337" s="164" t="s">
        <v>261</v>
      </c>
      <c r="C337" s="170" t="s">
        <v>411</v>
      </c>
    </row>
    <row r="338" spans="1:3">
      <c r="A338" s="171">
        <v>336</v>
      </c>
      <c r="B338" s="164" t="s">
        <v>262</v>
      </c>
      <c r="C338" s="170" t="s">
        <v>412</v>
      </c>
    </row>
    <row r="339" spans="1:3">
      <c r="A339" s="171">
        <v>337</v>
      </c>
      <c r="B339" s="164" t="s">
        <v>262</v>
      </c>
      <c r="C339" s="170" t="s">
        <v>412</v>
      </c>
    </row>
    <row r="340" spans="1:3">
      <c r="A340" s="171">
        <v>338</v>
      </c>
      <c r="B340" s="164" t="s">
        <v>263</v>
      </c>
      <c r="C340" s="170" t="s">
        <v>411</v>
      </c>
    </row>
    <row r="341" spans="1:3">
      <c r="A341" s="171">
        <v>339</v>
      </c>
      <c r="B341" s="164" t="s">
        <v>264</v>
      </c>
      <c r="C341" s="170" t="s">
        <v>412</v>
      </c>
    </row>
    <row r="342" spans="1:3">
      <c r="A342" s="171">
        <v>340</v>
      </c>
      <c r="B342" s="164" t="s">
        <v>264</v>
      </c>
      <c r="C342" s="170" t="s">
        <v>412</v>
      </c>
    </row>
    <row r="343" spans="1:3">
      <c r="A343" s="171">
        <v>341</v>
      </c>
      <c r="B343" s="164" t="s">
        <v>264</v>
      </c>
      <c r="C343" s="170" t="s">
        <v>412</v>
      </c>
    </row>
    <row r="344" spans="1:3">
      <c r="A344" s="171">
        <v>342</v>
      </c>
      <c r="B344" s="164" t="s">
        <v>265</v>
      </c>
      <c r="C344" s="170" t="s">
        <v>411</v>
      </c>
    </row>
    <row r="345" spans="1:3">
      <c r="A345" s="171">
        <v>343</v>
      </c>
      <c r="B345" s="164" t="s">
        <v>266</v>
      </c>
      <c r="C345" s="170" t="s">
        <v>411</v>
      </c>
    </row>
    <row r="346" spans="1:3">
      <c r="A346" s="171">
        <v>344</v>
      </c>
      <c r="B346" s="164" t="s">
        <v>267</v>
      </c>
      <c r="C346" s="170" t="s">
        <v>411</v>
      </c>
    </row>
    <row r="347" spans="1:3">
      <c r="A347" s="171">
        <v>344</v>
      </c>
      <c r="B347" s="164" t="s">
        <v>267</v>
      </c>
      <c r="C347" s="170" t="s">
        <v>412</v>
      </c>
    </row>
    <row r="348" spans="1:3">
      <c r="A348" s="171">
        <v>345</v>
      </c>
      <c r="B348" s="164" t="s">
        <v>268</v>
      </c>
      <c r="C348" s="170" t="s">
        <v>411</v>
      </c>
    </row>
    <row r="349" spans="1:3">
      <c r="A349" s="171">
        <v>346</v>
      </c>
      <c r="B349" s="164" t="s">
        <v>269</v>
      </c>
      <c r="C349" s="170" t="s">
        <v>412</v>
      </c>
    </row>
    <row r="350" spans="1:3">
      <c r="A350" s="171">
        <v>347</v>
      </c>
      <c r="B350" s="164" t="s">
        <v>270</v>
      </c>
      <c r="C350" s="170" t="s">
        <v>412</v>
      </c>
    </row>
    <row r="351" spans="1:3">
      <c r="A351" s="171">
        <v>348</v>
      </c>
      <c r="B351" s="164" t="s">
        <v>270</v>
      </c>
      <c r="C351" s="170" t="s">
        <v>412</v>
      </c>
    </row>
    <row r="352" spans="1:3">
      <c r="A352" s="171">
        <v>349</v>
      </c>
      <c r="B352" s="164" t="s">
        <v>216</v>
      </c>
      <c r="C352" s="170" t="s">
        <v>411</v>
      </c>
    </row>
    <row r="353" spans="1:3">
      <c r="A353" s="171">
        <v>350</v>
      </c>
      <c r="B353" s="164" t="s">
        <v>271</v>
      </c>
      <c r="C353" s="170" t="s">
        <v>412</v>
      </c>
    </row>
    <row r="354" spans="1:3">
      <c r="A354" s="171">
        <v>351</v>
      </c>
      <c r="B354" s="164" t="s">
        <v>272</v>
      </c>
      <c r="C354" s="170" t="s">
        <v>411</v>
      </c>
    </row>
    <row r="355" spans="1:3">
      <c r="A355" s="171">
        <v>352</v>
      </c>
      <c r="B355" s="164" t="s">
        <v>273</v>
      </c>
      <c r="C355" s="170" t="s">
        <v>411</v>
      </c>
    </row>
    <row r="356" spans="1:3">
      <c r="A356" s="171">
        <v>353</v>
      </c>
      <c r="B356" s="164" t="s">
        <v>274</v>
      </c>
      <c r="C356" s="170" t="s">
        <v>411</v>
      </c>
    </row>
    <row r="357" spans="1:3">
      <c r="A357" s="171">
        <v>354</v>
      </c>
      <c r="B357" s="164" t="s">
        <v>191</v>
      </c>
      <c r="C357" s="170" t="s">
        <v>412</v>
      </c>
    </row>
    <row r="358" spans="1:3">
      <c r="A358" s="171">
        <v>355</v>
      </c>
      <c r="B358" s="164" t="s">
        <v>275</v>
      </c>
      <c r="C358" s="170" t="s">
        <v>411</v>
      </c>
    </row>
    <row r="359" spans="1:3">
      <c r="A359" s="171">
        <v>357</v>
      </c>
      <c r="B359" s="164" t="s">
        <v>276</v>
      </c>
      <c r="C359" s="170" t="s">
        <v>412</v>
      </c>
    </row>
    <row r="360" spans="1:3">
      <c r="A360" s="171">
        <v>358</v>
      </c>
      <c r="B360" s="164" t="s">
        <v>276</v>
      </c>
      <c r="C360" s="170" t="s">
        <v>412</v>
      </c>
    </row>
    <row r="361" spans="1:3">
      <c r="A361" s="171">
        <v>359</v>
      </c>
      <c r="B361" s="164" t="s">
        <v>276</v>
      </c>
      <c r="C361" s="170" t="s">
        <v>412</v>
      </c>
    </row>
    <row r="362" spans="1:3">
      <c r="A362" s="171">
        <v>360</v>
      </c>
      <c r="B362" s="164" t="s">
        <v>276</v>
      </c>
      <c r="C362" s="170" t="s">
        <v>412</v>
      </c>
    </row>
    <row r="363" spans="1:3">
      <c r="A363" s="171">
        <v>361</v>
      </c>
      <c r="B363" s="164" t="s">
        <v>276</v>
      </c>
      <c r="C363" s="170" t="s">
        <v>412</v>
      </c>
    </row>
    <row r="364" spans="1:3">
      <c r="A364" s="171">
        <v>362</v>
      </c>
      <c r="B364" s="164" t="s">
        <v>276</v>
      </c>
      <c r="C364" s="170" t="s">
        <v>412</v>
      </c>
    </row>
    <row r="365" spans="1:3">
      <c r="A365" s="171">
        <v>363</v>
      </c>
      <c r="B365" s="164" t="s">
        <v>276</v>
      </c>
      <c r="C365" s="170" t="s">
        <v>412</v>
      </c>
    </row>
    <row r="366" spans="1:3">
      <c r="A366" s="171">
        <v>364</v>
      </c>
      <c r="B366" s="164" t="s">
        <v>276</v>
      </c>
      <c r="C366" s="170" t="s">
        <v>412</v>
      </c>
    </row>
    <row r="367" spans="1:3">
      <c r="A367" s="171">
        <v>365</v>
      </c>
      <c r="B367" s="164" t="s">
        <v>276</v>
      </c>
      <c r="C367" s="170" t="s">
        <v>412</v>
      </c>
    </row>
    <row r="368" spans="1:3">
      <c r="A368" s="171">
        <v>366</v>
      </c>
      <c r="B368" s="164" t="s">
        <v>276</v>
      </c>
      <c r="C368" s="170" t="s">
        <v>412</v>
      </c>
    </row>
    <row r="369" spans="1:3">
      <c r="A369" s="171">
        <v>367</v>
      </c>
      <c r="B369" s="164" t="s">
        <v>276</v>
      </c>
      <c r="C369" s="170" t="s">
        <v>412</v>
      </c>
    </row>
    <row r="370" spans="1:3">
      <c r="A370" s="171">
        <v>368</v>
      </c>
      <c r="B370" s="164" t="s">
        <v>276</v>
      </c>
      <c r="C370" s="170" t="s">
        <v>412</v>
      </c>
    </row>
    <row r="371" spans="1:3">
      <c r="A371" s="171">
        <v>369</v>
      </c>
      <c r="B371" s="164" t="s">
        <v>276</v>
      </c>
      <c r="C371" s="170" t="s">
        <v>412</v>
      </c>
    </row>
    <row r="372" spans="1:3">
      <c r="A372" s="171">
        <v>370</v>
      </c>
      <c r="B372" s="164" t="s">
        <v>276</v>
      </c>
      <c r="C372" s="170" t="s">
        <v>412</v>
      </c>
    </row>
    <row r="373" spans="1:3">
      <c r="A373" s="171">
        <v>371</v>
      </c>
      <c r="B373" s="164" t="s">
        <v>276</v>
      </c>
      <c r="C373" s="170" t="s">
        <v>412</v>
      </c>
    </row>
    <row r="374" spans="1:3">
      <c r="A374" s="171">
        <v>372</v>
      </c>
      <c r="B374" s="164" t="s">
        <v>256</v>
      </c>
      <c r="C374" s="170" t="s">
        <v>411</v>
      </c>
    </row>
    <row r="375" spans="1:3">
      <c r="A375" s="171">
        <v>373</v>
      </c>
      <c r="B375" s="164" t="s">
        <v>204</v>
      </c>
      <c r="C375" s="170" t="s">
        <v>411</v>
      </c>
    </row>
    <row r="376" spans="1:3">
      <c r="A376" s="171">
        <v>374</v>
      </c>
      <c r="B376" s="164" t="s">
        <v>204</v>
      </c>
      <c r="C376" s="170" t="s">
        <v>411</v>
      </c>
    </row>
    <row r="377" spans="1:3">
      <c r="A377" s="171">
        <v>375</v>
      </c>
      <c r="B377" s="164" t="s">
        <v>204</v>
      </c>
      <c r="C377" s="170" t="s">
        <v>411</v>
      </c>
    </row>
    <row r="378" spans="1:3">
      <c r="A378" s="171">
        <v>376</v>
      </c>
      <c r="B378" s="164" t="s">
        <v>204</v>
      </c>
      <c r="C378" s="170" t="s">
        <v>411</v>
      </c>
    </row>
    <row r="379" spans="1:3">
      <c r="A379" s="171">
        <v>377</v>
      </c>
      <c r="B379" s="164" t="s">
        <v>204</v>
      </c>
      <c r="C379" s="170" t="s">
        <v>411</v>
      </c>
    </row>
    <row r="380" spans="1:3">
      <c r="A380" s="171">
        <v>378</v>
      </c>
      <c r="B380" s="164" t="s">
        <v>204</v>
      </c>
      <c r="C380" s="170" t="s">
        <v>411</v>
      </c>
    </row>
    <row r="381" spans="1:3">
      <c r="A381" s="171">
        <v>380</v>
      </c>
      <c r="B381" s="164" t="s">
        <v>204</v>
      </c>
      <c r="C381" s="170" t="s">
        <v>411</v>
      </c>
    </row>
    <row r="382" spans="1:3">
      <c r="A382" s="171">
        <v>381</v>
      </c>
      <c r="B382" s="164" t="s">
        <v>204</v>
      </c>
      <c r="C382" s="170" t="s">
        <v>411</v>
      </c>
    </row>
    <row r="383" spans="1:3">
      <c r="A383" s="171">
        <v>382</v>
      </c>
      <c r="B383" s="164" t="s">
        <v>204</v>
      </c>
      <c r="C383" s="170" t="s">
        <v>411</v>
      </c>
    </row>
    <row r="384" spans="1:3">
      <c r="A384" s="171">
        <v>384</v>
      </c>
      <c r="B384" s="164" t="s">
        <v>216</v>
      </c>
      <c r="C384" s="170" t="s">
        <v>411</v>
      </c>
    </row>
    <row r="385" spans="1:3">
      <c r="A385" s="171">
        <v>385</v>
      </c>
      <c r="B385" s="164" t="s">
        <v>204</v>
      </c>
      <c r="C385" s="170" t="s">
        <v>412</v>
      </c>
    </row>
    <row r="386" spans="1:3">
      <c r="A386" s="171">
        <v>386</v>
      </c>
      <c r="B386" s="164" t="s">
        <v>184</v>
      </c>
      <c r="C386" s="170" t="s">
        <v>412</v>
      </c>
    </row>
    <row r="387" spans="1:3">
      <c r="A387" s="171">
        <v>387</v>
      </c>
      <c r="B387" s="164" t="s">
        <v>209</v>
      </c>
      <c r="C387" s="170" t="s">
        <v>412</v>
      </c>
    </row>
    <row r="388" spans="1:3">
      <c r="A388" s="171">
        <v>388</v>
      </c>
      <c r="B388" s="164" t="s">
        <v>204</v>
      </c>
      <c r="C388" s="170" t="s">
        <v>412</v>
      </c>
    </row>
    <row r="389" spans="1:3">
      <c r="A389" s="171">
        <v>389</v>
      </c>
      <c r="B389" s="164" t="s">
        <v>195</v>
      </c>
      <c r="C389" s="170" t="s">
        <v>412</v>
      </c>
    </row>
    <row r="390" spans="1:3">
      <c r="A390" s="171">
        <v>390</v>
      </c>
      <c r="B390" s="164" t="s">
        <v>204</v>
      </c>
      <c r="C390" s="170" t="s">
        <v>411</v>
      </c>
    </row>
    <row r="391" spans="1:3">
      <c r="A391" s="171">
        <v>391</v>
      </c>
      <c r="B391" s="164" t="s">
        <v>277</v>
      </c>
      <c r="C391" s="170" t="s">
        <v>412</v>
      </c>
    </row>
    <row r="392" spans="1:3">
      <c r="A392" s="171">
        <v>392</v>
      </c>
      <c r="B392" s="164" t="s">
        <v>278</v>
      </c>
      <c r="C392" s="170" t="s">
        <v>411</v>
      </c>
    </row>
    <row r="393" spans="1:3">
      <c r="A393" s="171">
        <v>393</v>
      </c>
      <c r="B393" s="164" t="s">
        <v>279</v>
      </c>
      <c r="C393" s="170" t="s">
        <v>411</v>
      </c>
    </row>
    <row r="394" spans="1:3">
      <c r="A394" s="171">
        <v>394</v>
      </c>
      <c r="B394" s="164" t="s">
        <v>235</v>
      </c>
      <c r="C394" s="170" t="s">
        <v>411</v>
      </c>
    </row>
    <row r="395" spans="1:3">
      <c r="A395" s="171">
        <v>395</v>
      </c>
      <c r="B395" s="164" t="s">
        <v>280</v>
      </c>
      <c r="C395" s="170" t="s">
        <v>411</v>
      </c>
    </row>
    <row r="396" spans="1:3">
      <c r="A396" s="171">
        <v>396</v>
      </c>
      <c r="B396" s="164" t="s">
        <v>214</v>
      </c>
      <c r="C396" s="170" t="s">
        <v>411</v>
      </c>
    </row>
    <row r="397" spans="1:3">
      <c r="A397" s="171">
        <v>397</v>
      </c>
      <c r="B397" s="164" t="s">
        <v>281</v>
      </c>
      <c r="C397" s="170" t="s">
        <v>411</v>
      </c>
    </row>
    <row r="398" spans="1:3">
      <c r="A398" s="171">
        <v>398</v>
      </c>
      <c r="B398" s="164" t="s">
        <v>282</v>
      </c>
      <c r="C398" s="170" t="s">
        <v>411</v>
      </c>
    </row>
    <row r="399" spans="1:3">
      <c r="A399" s="171">
        <v>399</v>
      </c>
      <c r="B399" s="164" t="s">
        <v>283</v>
      </c>
      <c r="C399" s="170" t="s">
        <v>412</v>
      </c>
    </row>
    <row r="400" spans="1:3">
      <c r="A400" s="171">
        <v>400</v>
      </c>
      <c r="B400" s="164" t="s">
        <v>234</v>
      </c>
      <c r="C400" s="170" t="s">
        <v>411</v>
      </c>
    </row>
    <row r="401" spans="1:3">
      <c r="A401" s="171">
        <v>401</v>
      </c>
      <c r="B401" s="164" t="s">
        <v>284</v>
      </c>
      <c r="C401" s="170" t="s">
        <v>412</v>
      </c>
    </row>
    <row r="402" spans="1:3">
      <c r="A402" s="171">
        <v>403</v>
      </c>
      <c r="B402" s="164" t="s">
        <v>190</v>
      </c>
      <c r="C402" s="170" t="s">
        <v>411</v>
      </c>
    </row>
    <row r="403" spans="1:3">
      <c r="A403" s="171">
        <v>404</v>
      </c>
      <c r="B403" s="164" t="s">
        <v>285</v>
      </c>
      <c r="C403" s="170" t="s">
        <v>411</v>
      </c>
    </row>
    <row r="404" spans="1:3">
      <c r="A404" s="171">
        <v>405</v>
      </c>
      <c r="B404" s="164" t="s">
        <v>286</v>
      </c>
      <c r="C404" s="170" t="s">
        <v>412</v>
      </c>
    </row>
    <row r="405" spans="1:3">
      <c r="A405" s="171">
        <v>406</v>
      </c>
      <c r="B405" s="164" t="s">
        <v>287</v>
      </c>
      <c r="C405" s="170" t="s">
        <v>412</v>
      </c>
    </row>
    <row r="406" spans="1:3">
      <c r="A406" s="171">
        <v>407</v>
      </c>
      <c r="B406" s="164" t="s">
        <v>288</v>
      </c>
      <c r="C406" s="170" t="s">
        <v>412</v>
      </c>
    </row>
    <row r="407" spans="1:3">
      <c r="A407" s="171">
        <v>408</v>
      </c>
      <c r="B407" s="164" t="s">
        <v>289</v>
      </c>
      <c r="C407" s="170" t="s">
        <v>412</v>
      </c>
    </row>
    <row r="408" spans="1:3">
      <c r="A408" s="171">
        <v>409</v>
      </c>
      <c r="B408" s="164" t="s">
        <v>290</v>
      </c>
      <c r="C408" s="170" t="s">
        <v>412</v>
      </c>
    </row>
    <row r="409" spans="1:3">
      <c r="A409" s="171">
        <v>410</v>
      </c>
      <c r="B409" s="164" t="s">
        <v>291</v>
      </c>
      <c r="C409" s="170" t="s">
        <v>412</v>
      </c>
    </row>
    <row r="410" spans="1:3">
      <c r="A410" s="171">
        <v>411</v>
      </c>
      <c r="B410" s="164" t="s">
        <v>292</v>
      </c>
      <c r="C410" s="170" t="s">
        <v>412</v>
      </c>
    </row>
    <row r="411" spans="1:3">
      <c r="A411" s="171">
        <v>412</v>
      </c>
      <c r="B411" s="164" t="s">
        <v>293</v>
      </c>
      <c r="C411" s="170" t="s">
        <v>412</v>
      </c>
    </row>
    <row r="412" spans="1:3">
      <c r="A412" s="171">
        <v>413</v>
      </c>
      <c r="B412" s="164" t="s">
        <v>294</v>
      </c>
      <c r="C412" s="170" t="s">
        <v>412</v>
      </c>
    </row>
    <row r="413" spans="1:3">
      <c r="A413" s="171">
        <v>414</v>
      </c>
      <c r="B413" s="164" t="s">
        <v>295</v>
      </c>
      <c r="C413" s="170" t="s">
        <v>412</v>
      </c>
    </row>
    <row r="414" spans="1:3">
      <c r="A414" s="171">
        <v>415</v>
      </c>
      <c r="B414" s="164" t="s">
        <v>296</v>
      </c>
      <c r="C414" s="170" t="s">
        <v>412</v>
      </c>
    </row>
    <row r="415" spans="1:3">
      <c r="A415" s="171">
        <v>416</v>
      </c>
      <c r="B415" s="164" t="s">
        <v>297</v>
      </c>
      <c r="C415" s="170" t="s">
        <v>412</v>
      </c>
    </row>
    <row r="416" spans="1:3">
      <c r="A416" s="171">
        <v>417</v>
      </c>
      <c r="B416" s="164" t="s">
        <v>298</v>
      </c>
      <c r="C416" s="170" t="s">
        <v>412</v>
      </c>
    </row>
    <row r="417" spans="1:3">
      <c r="A417" s="171">
        <v>418</v>
      </c>
      <c r="B417" s="164" t="s">
        <v>299</v>
      </c>
      <c r="C417" s="170" t="s">
        <v>412</v>
      </c>
    </row>
    <row r="418" spans="1:3">
      <c r="A418" s="171">
        <v>419</v>
      </c>
      <c r="B418" s="164" t="s">
        <v>300</v>
      </c>
      <c r="C418" s="170" t="s">
        <v>412</v>
      </c>
    </row>
    <row r="419" spans="1:3">
      <c r="A419" s="171">
        <v>420</v>
      </c>
      <c r="B419" s="164" t="s">
        <v>301</v>
      </c>
      <c r="C419" s="170" t="s">
        <v>412</v>
      </c>
    </row>
    <row r="420" spans="1:3">
      <c r="A420" s="171">
        <v>421</v>
      </c>
      <c r="B420" s="164" t="s">
        <v>302</v>
      </c>
      <c r="C420" s="170" t="s">
        <v>412</v>
      </c>
    </row>
    <row r="421" spans="1:3">
      <c r="A421" s="171">
        <v>422</v>
      </c>
      <c r="B421" s="164" t="s">
        <v>303</v>
      </c>
      <c r="C421" s="170" t="s">
        <v>412</v>
      </c>
    </row>
    <row r="422" spans="1:3">
      <c r="A422" s="171">
        <v>423</v>
      </c>
      <c r="B422" s="164" t="s">
        <v>304</v>
      </c>
      <c r="C422" s="170" t="s">
        <v>412</v>
      </c>
    </row>
    <row r="423" spans="1:3">
      <c r="A423" s="171">
        <v>424</v>
      </c>
      <c r="B423" s="164" t="s">
        <v>305</v>
      </c>
      <c r="C423" s="170" t="s">
        <v>412</v>
      </c>
    </row>
    <row r="424" spans="1:3">
      <c r="A424" s="171">
        <v>425</v>
      </c>
      <c r="B424" s="164" t="s">
        <v>306</v>
      </c>
      <c r="C424" s="170" t="s">
        <v>411</v>
      </c>
    </row>
    <row r="425" spans="1:3">
      <c r="A425" s="171">
        <v>426</v>
      </c>
      <c r="B425" s="164" t="s">
        <v>216</v>
      </c>
      <c r="C425" s="170" t="s">
        <v>411</v>
      </c>
    </row>
    <row r="426" spans="1:3">
      <c r="A426" s="171">
        <v>427</v>
      </c>
      <c r="B426" s="164" t="s">
        <v>307</v>
      </c>
      <c r="C426" s="170" t="s">
        <v>411</v>
      </c>
    </row>
    <row r="427" spans="1:3">
      <c r="A427" s="171">
        <v>428</v>
      </c>
      <c r="B427" s="164" t="s">
        <v>308</v>
      </c>
      <c r="C427" s="170" t="s">
        <v>407</v>
      </c>
    </row>
    <row r="428" spans="1:3">
      <c r="A428" s="171">
        <v>429</v>
      </c>
      <c r="B428" s="164" t="s">
        <v>309</v>
      </c>
      <c r="C428" s="170" t="s">
        <v>407</v>
      </c>
    </row>
    <row r="429" spans="1:3">
      <c r="A429" s="171">
        <v>430</v>
      </c>
      <c r="B429" s="164" t="s">
        <v>310</v>
      </c>
      <c r="C429" s="170" t="s">
        <v>407</v>
      </c>
    </row>
    <row r="430" spans="1:3">
      <c r="A430" s="171">
        <v>431</v>
      </c>
      <c r="B430" s="164" t="s">
        <v>311</v>
      </c>
      <c r="C430" s="170" t="s">
        <v>407</v>
      </c>
    </row>
    <row r="431" spans="1:3">
      <c r="A431" s="171">
        <v>432</v>
      </c>
      <c r="B431" s="164" t="s">
        <v>216</v>
      </c>
      <c r="C431" s="170" t="s">
        <v>411</v>
      </c>
    </row>
    <row r="432" spans="1:3">
      <c r="A432" s="171">
        <v>434</v>
      </c>
      <c r="B432" s="164" t="s">
        <v>312</v>
      </c>
      <c r="C432" s="170" t="s">
        <v>412</v>
      </c>
    </row>
    <row r="433" spans="1:3">
      <c r="A433" s="171">
        <v>435</v>
      </c>
      <c r="B433" s="164" t="s">
        <v>313</v>
      </c>
      <c r="C433" s="170" t="s">
        <v>411</v>
      </c>
    </row>
    <row r="434" spans="1:3">
      <c r="A434" s="171">
        <v>436</v>
      </c>
      <c r="B434" s="164" t="s">
        <v>314</v>
      </c>
      <c r="C434" s="170" t="s">
        <v>411</v>
      </c>
    </row>
    <row r="435" spans="1:3">
      <c r="A435" s="171">
        <v>437</v>
      </c>
      <c r="B435" s="164" t="s">
        <v>315</v>
      </c>
      <c r="C435" s="170" t="s">
        <v>411</v>
      </c>
    </row>
    <row r="436" spans="1:3">
      <c r="A436" s="171">
        <v>439</v>
      </c>
      <c r="B436" s="164" t="s">
        <v>316</v>
      </c>
      <c r="C436" s="170" t="s">
        <v>411</v>
      </c>
    </row>
    <row r="437" spans="1:3">
      <c r="A437" s="171">
        <v>440</v>
      </c>
      <c r="B437" s="164" t="s">
        <v>317</v>
      </c>
      <c r="C437" s="170" t="s">
        <v>411</v>
      </c>
    </row>
    <row r="438" spans="1:3">
      <c r="A438" s="171">
        <v>441</v>
      </c>
      <c r="B438" s="164" t="s">
        <v>220</v>
      </c>
      <c r="C438" s="170" t="s">
        <v>411</v>
      </c>
    </row>
    <row r="439" spans="1:3">
      <c r="A439" s="171">
        <v>442</v>
      </c>
      <c r="B439" s="164" t="s">
        <v>216</v>
      </c>
      <c r="C439" s="170" t="s">
        <v>412</v>
      </c>
    </row>
    <row r="440" spans="1:3">
      <c r="A440" s="171">
        <v>443</v>
      </c>
      <c r="B440" s="164" t="s">
        <v>256</v>
      </c>
      <c r="C440" s="170" t="s">
        <v>411</v>
      </c>
    </row>
    <row r="441" spans="1:3">
      <c r="A441" s="171">
        <v>444</v>
      </c>
      <c r="B441" s="164" t="s">
        <v>259</v>
      </c>
      <c r="C441" s="170" t="s">
        <v>411</v>
      </c>
    </row>
    <row r="442" spans="1:3">
      <c r="A442" s="171">
        <v>444</v>
      </c>
      <c r="B442" s="164" t="s">
        <v>259</v>
      </c>
      <c r="C442" s="170" t="s">
        <v>412</v>
      </c>
    </row>
    <row r="443" spans="1:3">
      <c r="A443" s="171">
        <v>445</v>
      </c>
      <c r="B443" s="164" t="s">
        <v>318</v>
      </c>
      <c r="C443" s="170" t="s">
        <v>411</v>
      </c>
    </row>
    <row r="444" spans="1:3">
      <c r="A444" s="171">
        <v>446</v>
      </c>
      <c r="B444" s="164" t="s">
        <v>318</v>
      </c>
      <c r="C444" s="170" t="s">
        <v>411</v>
      </c>
    </row>
    <row r="445" spans="1:3">
      <c r="A445" s="171">
        <v>447</v>
      </c>
      <c r="B445" s="164" t="s">
        <v>230</v>
      </c>
      <c r="C445" s="170" t="s">
        <v>411</v>
      </c>
    </row>
    <row r="446" spans="1:3">
      <c r="A446" s="171">
        <v>448</v>
      </c>
      <c r="B446" s="164" t="s">
        <v>230</v>
      </c>
      <c r="C446" s="170" t="s">
        <v>411</v>
      </c>
    </row>
    <row r="447" spans="1:3">
      <c r="A447" s="171">
        <v>449</v>
      </c>
      <c r="B447" s="164" t="s">
        <v>230</v>
      </c>
      <c r="C447" s="170" t="s">
        <v>411</v>
      </c>
    </row>
    <row r="448" spans="1:3">
      <c r="A448" s="171">
        <v>450</v>
      </c>
      <c r="B448" s="164" t="s">
        <v>230</v>
      </c>
      <c r="C448" s="170" t="s">
        <v>411</v>
      </c>
    </row>
    <row r="449" spans="1:3">
      <c r="A449" s="171">
        <v>451</v>
      </c>
      <c r="B449" s="164" t="s">
        <v>230</v>
      </c>
      <c r="C449" s="170" t="s">
        <v>411</v>
      </c>
    </row>
    <row r="450" spans="1:3">
      <c r="A450" s="171">
        <v>452</v>
      </c>
      <c r="B450" s="164" t="s">
        <v>230</v>
      </c>
      <c r="C450" s="170" t="s">
        <v>411</v>
      </c>
    </row>
    <row r="451" spans="1:3">
      <c r="A451" s="171">
        <v>453</v>
      </c>
      <c r="B451" s="164" t="s">
        <v>230</v>
      </c>
      <c r="C451" s="170" t="s">
        <v>411</v>
      </c>
    </row>
    <row r="452" spans="1:3">
      <c r="A452" s="171">
        <v>454</v>
      </c>
      <c r="B452" s="164" t="s">
        <v>230</v>
      </c>
      <c r="C452" s="170" t="s">
        <v>411</v>
      </c>
    </row>
    <row r="453" spans="1:3">
      <c r="A453" s="171">
        <v>455</v>
      </c>
      <c r="B453" s="164" t="s">
        <v>230</v>
      </c>
      <c r="C453" s="170" t="s">
        <v>411</v>
      </c>
    </row>
    <row r="454" spans="1:3">
      <c r="A454" s="171">
        <v>456</v>
      </c>
      <c r="B454" s="164" t="s">
        <v>230</v>
      </c>
      <c r="C454" s="170" t="s">
        <v>411</v>
      </c>
    </row>
    <row r="455" spans="1:3">
      <c r="A455" s="171">
        <v>459</v>
      </c>
      <c r="B455" s="164" t="s">
        <v>230</v>
      </c>
      <c r="C455" s="170" t="s">
        <v>411</v>
      </c>
    </row>
    <row r="456" spans="1:3">
      <c r="A456" s="171">
        <v>460</v>
      </c>
      <c r="B456" s="164" t="s">
        <v>319</v>
      </c>
      <c r="C456" s="170" t="s">
        <v>412</v>
      </c>
    </row>
    <row r="457" spans="1:3">
      <c r="A457" s="171">
        <v>461</v>
      </c>
      <c r="B457" s="164" t="s">
        <v>319</v>
      </c>
      <c r="C457" s="170" t="s">
        <v>412</v>
      </c>
    </row>
    <row r="458" spans="1:3">
      <c r="A458" s="171">
        <v>462</v>
      </c>
      <c r="B458" s="164" t="s">
        <v>320</v>
      </c>
      <c r="C458" s="170" t="s">
        <v>412</v>
      </c>
    </row>
    <row r="459" spans="1:3">
      <c r="A459" s="171">
        <v>463</v>
      </c>
      <c r="B459" s="164" t="s">
        <v>321</v>
      </c>
      <c r="C459" s="170" t="s">
        <v>412</v>
      </c>
    </row>
    <row r="460" spans="1:3">
      <c r="A460" s="171">
        <v>464</v>
      </c>
      <c r="B460" s="164" t="s">
        <v>322</v>
      </c>
      <c r="C460" s="170" t="s">
        <v>411</v>
      </c>
    </row>
    <row r="461" spans="1:3">
      <c r="A461" s="171">
        <v>465</v>
      </c>
      <c r="B461" s="164" t="s">
        <v>323</v>
      </c>
      <c r="C461" s="170" t="s">
        <v>411</v>
      </c>
    </row>
    <row r="462" spans="1:3">
      <c r="A462" s="171">
        <v>466</v>
      </c>
      <c r="B462" s="164" t="s">
        <v>324</v>
      </c>
      <c r="C462" s="170" t="s">
        <v>411</v>
      </c>
    </row>
    <row r="463" spans="1:3">
      <c r="A463" s="171">
        <v>467</v>
      </c>
      <c r="B463" s="164" t="s">
        <v>324</v>
      </c>
      <c r="C463" s="170" t="s">
        <v>411</v>
      </c>
    </row>
    <row r="464" spans="1:3">
      <c r="A464" s="171">
        <v>468</v>
      </c>
      <c r="B464" s="164" t="s">
        <v>324</v>
      </c>
      <c r="C464" s="170" t="s">
        <v>411</v>
      </c>
    </row>
    <row r="465" spans="1:3">
      <c r="A465" s="171">
        <v>469</v>
      </c>
      <c r="B465" s="164" t="s">
        <v>324</v>
      </c>
      <c r="C465" s="170" t="s">
        <v>411</v>
      </c>
    </row>
    <row r="466" spans="1:3">
      <c r="A466" s="171">
        <v>470</v>
      </c>
      <c r="B466" s="164" t="s">
        <v>324</v>
      </c>
      <c r="C466" s="170" t="s">
        <v>411</v>
      </c>
    </row>
    <row r="467" spans="1:3">
      <c r="A467" s="171">
        <v>473</v>
      </c>
      <c r="B467" s="164" t="s">
        <v>325</v>
      </c>
      <c r="C467" s="170" t="s">
        <v>411</v>
      </c>
    </row>
    <row r="468" spans="1:3">
      <c r="A468" s="171">
        <v>474</v>
      </c>
      <c r="B468" s="164" t="s">
        <v>326</v>
      </c>
      <c r="C468" s="170" t="s">
        <v>412</v>
      </c>
    </row>
    <row r="469" spans="1:3">
      <c r="A469" s="171">
        <v>475</v>
      </c>
      <c r="B469" s="164" t="s">
        <v>327</v>
      </c>
      <c r="C469" s="170" t="s">
        <v>411</v>
      </c>
    </row>
    <row r="470" spans="1:3">
      <c r="A470" s="171">
        <v>476</v>
      </c>
      <c r="B470" s="164" t="s">
        <v>328</v>
      </c>
      <c r="C470" s="170" t="s">
        <v>412</v>
      </c>
    </row>
    <row r="471" spans="1:3">
      <c r="A471" s="171">
        <v>477</v>
      </c>
      <c r="B471" s="164" t="s">
        <v>328</v>
      </c>
      <c r="C471" s="170" t="s">
        <v>412</v>
      </c>
    </row>
    <row r="472" spans="1:3">
      <c r="A472" s="171">
        <v>478</v>
      </c>
      <c r="B472" s="164" t="s">
        <v>259</v>
      </c>
      <c r="C472" s="170" t="s">
        <v>411</v>
      </c>
    </row>
    <row r="473" spans="1:3">
      <c r="A473" s="171">
        <v>479</v>
      </c>
      <c r="B473" s="164" t="s">
        <v>316</v>
      </c>
      <c r="C473" s="170" t="s">
        <v>411</v>
      </c>
    </row>
    <row r="474" spans="1:3">
      <c r="A474" s="171">
        <v>480</v>
      </c>
      <c r="B474" s="164" t="s">
        <v>316</v>
      </c>
      <c r="C474" s="170" t="s">
        <v>411</v>
      </c>
    </row>
    <row r="475" spans="1:3">
      <c r="A475" s="171">
        <v>481</v>
      </c>
      <c r="B475" s="164" t="s">
        <v>316</v>
      </c>
      <c r="C475" s="170" t="s">
        <v>411</v>
      </c>
    </row>
    <row r="476" spans="1:3">
      <c r="A476" s="171">
        <v>482</v>
      </c>
      <c r="B476" s="164" t="s">
        <v>329</v>
      </c>
      <c r="C476" s="170" t="s">
        <v>408</v>
      </c>
    </row>
    <row r="477" spans="1:3">
      <c r="A477" s="171">
        <v>483</v>
      </c>
      <c r="B477" s="164" t="s">
        <v>330</v>
      </c>
      <c r="C477" s="170" t="s">
        <v>408</v>
      </c>
    </row>
    <row r="478" spans="1:3">
      <c r="A478" s="171">
        <v>484</v>
      </c>
      <c r="B478" s="164" t="s">
        <v>331</v>
      </c>
      <c r="C478" s="170" t="s">
        <v>408</v>
      </c>
    </row>
    <row r="479" spans="1:3">
      <c r="A479" s="171">
        <v>485</v>
      </c>
      <c r="B479" s="164" t="s">
        <v>332</v>
      </c>
      <c r="C479" s="170" t="s">
        <v>408</v>
      </c>
    </row>
    <row r="480" spans="1:3">
      <c r="A480" s="171">
        <v>486</v>
      </c>
      <c r="B480" s="164" t="s">
        <v>333</v>
      </c>
      <c r="C480" s="170" t="s">
        <v>408</v>
      </c>
    </row>
    <row r="481" spans="1:3">
      <c r="A481" s="171">
        <v>487</v>
      </c>
      <c r="B481" s="164" t="s">
        <v>334</v>
      </c>
      <c r="C481" s="170" t="s">
        <v>408</v>
      </c>
    </row>
    <row r="482" spans="1:3">
      <c r="A482" s="171">
        <v>488</v>
      </c>
      <c r="B482" s="164" t="s">
        <v>335</v>
      </c>
      <c r="C482" s="170" t="s">
        <v>408</v>
      </c>
    </row>
    <row r="483" spans="1:3">
      <c r="A483" s="171">
        <v>489</v>
      </c>
      <c r="B483" s="164" t="s">
        <v>336</v>
      </c>
      <c r="C483" s="170" t="s">
        <v>408</v>
      </c>
    </row>
    <row r="484" spans="1:3">
      <c r="A484" s="171">
        <v>490</v>
      </c>
      <c r="B484" s="164" t="s">
        <v>337</v>
      </c>
      <c r="C484" s="170" t="s">
        <v>408</v>
      </c>
    </row>
    <row r="485" spans="1:3">
      <c r="A485" s="171">
        <v>491</v>
      </c>
      <c r="B485" s="164" t="s">
        <v>338</v>
      </c>
      <c r="C485" s="170" t="s">
        <v>408</v>
      </c>
    </row>
    <row r="486" spans="1:3">
      <c r="A486" s="171">
        <v>492</v>
      </c>
      <c r="B486" s="164" t="s">
        <v>339</v>
      </c>
      <c r="C486" s="170" t="s">
        <v>408</v>
      </c>
    </row>
    <row r="487" spans="1:3">
      <c r="A487" s="171">
        <v>493</v>
      </c>
      <c r="B487" s="164" t="s">
        <v>340</v>
      </c>
      <c r="C487" s="170" t="s">
        <v>408</v>
      </c>
    </row>
    <row r="488" spans="1:3">
      <c r="A488" s="171">
        <v>494</v>
      </c>
      <c r="B488" s="164" t="s">
        <v>341</v>
      </c>
      <c r="C488" s="170" t="s">
        <v>408</v>
      </c>
    </row>
    <row r="489" spans="1:3">
      <c r="A489" s="171">
        <v>495</v>
      </c>
      <c r="B489" s="164" t="s">
        <v>342</v>
      </c>
      <c r="C489" s="170" t="s">
        <v>408</v>
      </c>
    </row>
    <row r="490" spans="1:3">
      <c r="A490" s="171">
        <v>496</v>
      </c>
      <c r="B490" s="164" t="s">
        <v>343</v>
      </c>
      <c r="C490" s="170" t="s">
        <v>408</v>
      </c>
    </row>
    <row r="491" spans="1:3">
      <c r="A491" s="171">
        <v>497</v>
      </c>
      <c r="B491" s="164" t="s">
        <v>344</v>
      </c>
      <c r="C491" s="170" t="s">
        <v>408</v>
      </c>
    </row>
    <row r="492" spans="1:3">
      <c r="A492" s="171">
        <v>498</v>
      </c>
      <c r="B492" s="164" t="s">
        <v>345</v>
      </c>
      <c r="C492" s="170" t="s">
        <v>408</v>
      </c>
    </row>
    <row r="493" spans="1:3">
      <c r="A493" s="171">
        <v>701</v>
      </c>
      <c r="B493" s="164" t="s">
        <v>346</v>
      </c>
      <c r="C493" s="170" t="s">
        <v>412</v>
      </c>
    </row>
    <row r="494" spans="1:3">
      <c r="A494" s="171">
        <v>702</v>
      </c>
      <c r="B494" s="164" t="s">
        <v>346</v>
      </c>
      <c r="C494" s="170" t="s">
        <v>412</v>
      </c>
    </row>
    <row r="495" spans="1:3">
      <c r="A495" s="171">
        <v>703</v>
      </c>
      <c r="B495" s="164" t="s">
        <v>282</v>
      </c>
      <c r="C495" s="170" t="s">
        <v>412</v>
      </c>
    </row>
    <row r="496" spans="1:3">
      <c r="A496" s="171">
        <v>704</v>
      </c>
      <c r="B496" s="164" t="s">
        <v>282</v>
      </c>
      <c r="C496" s="170" t="s">
        <v>412</v>
      </c>
    </row>
    <row r="497" spans="1:3">
      <c r="A497" s="171">
        <v>705</v>
      </c>
      <c r="B497" s="164" t="s">
        <v>282</v>
      </c>
      <c r="C497" s="170" t="s">
        <v>412</v>
      </c>
    </row>
    <row r="498" spans="1:3">
      <c r="A498" s="171">
        <v>706</v>
      </c>
      <c r="B498" s="164" t="s">
        <v>282</v>
      </c>
      <c r="C498" s="170" t="s">
        <v>412</v>
      </c>
    </row>
    <row r="499" spans="1:3">
      <c r="A499" s="171">
        <v>707</v>
      </c>
      <c r="B499" s="164" t="s">
        <v>282</v>
      </c>
      <c r="C499" s="170" t="s">
        <v>412</v>
      </c>
    </row>
    <row r="500" spans="1:3">
      <c r="A500" s="171">
        <v>708</v>
      </c>
      <c r="B500" s="164" t="s">
        <v>282</v>
      </c>
      <c r="C500" s="170" t="s">
        <v>412</v>
      </c>
    </row>
    <row r="501" spans="1:3">
      <c r="A501" s="171">
        <v>709</v>
      </c>
      <c r="B501" s="164" t="s">
        <v>282</v>
      </c>
      <c r="C501" s="170" t="s">
        <v>412</v>
      </c>
    </row>
    <row r="502" spans="1:3">
      <c r="A502" s="171">
        <v>710</v>
      </c>
      <c r="B502" s="164" t="s">
        <v>282</v>
      </c>
      <c r="C502" s="170" t="s">
        <v>412</v>
      </c>
    </row>
    <row r="503" spans="1:3">
      <c r="A503" s="171">
        <v>711</v>
      </c>
      <c r="B503" s="164" t="s">
        <v>282</v>
      </c>
      <c r="C503" s="170" t="s">
        <v>412</v>
      </c>
    </row>
    <row r="504" spans="1:3">
      <c r="A504" s="171">
        <v>712</v>
      </c>
      <c r="B504" s="164" t="s">
        <v>347</v>
      </c>
      <c r="C504" s="170" t="s">
        <v>412</v>
      </c>
    </row>
    <row r="505" spans="1:3">
      <c r="A505" s="171">
        <v>713</v>
      </c>
      <c r="B505" s="164" t="s">
        <v>347</v>
      </c>
      <c r="C505" s="170" t="s">
        <v>412</v>
      </c>
    </row>
    <row r="506" spans="1:3">
      <c r="A506" s="171">
        <v>714</v>
      </c>
      <c r="B506" s="164" t="s">
        <v>347</v>
      </c>
      <c r="C506" s="170" t="s">
        <v>412</v>
      </c>
    </row>
    <row r="507" spans="1:3">
      <c r="A507" s="171">
        <v>715</v>
      </c>
      <c r="B507" s="164" t="s">
        <v>347</v>
      </c>
      <c r="C507" s="170" t="s">
        <v>412</v>
      </c>
    </row>
    <row r="508" spans="1:3">
      <c r="A508" s="171">
        <v>716</v>
      </c>
      <c r="B508" s="164" t="s">
        <v>348</v>
      </c>
      <c r="C508" s="170" t="s">
        <v>412</v>
      </c>
    </row>
    <row r="509" spans="1:3">
      <c r="A509" s="171">
        <v>717</v>
      </c>
      <c r="B509" s="164" t="s">
        <v>348</v>
      </c>
      <c r="C509" s="170" t="s">
        <v>412</v>
      </c>
    </row>
    <row r="510" spans="1:3">
      <c r="A510" s="171">
        <v>718</v>
      </c>
      <c r="B510" s="164" t="s">
        <v>349</v>
      </c>
      <c r="C510" s="170" t="s">
        <v>412</v>
      </c>
    </row>
    <row r="511" spans="1:3">
      <c r="A511" s="171">
        <v>719</v>
      </c>
      <c r="B511" s="164" t="s">
        <v>349</v>
      </c>
      <c r="C511" s="170" t="s">
        <v>412</v>
      </c>
    </row>
    <row r="512" spans="1:3">
      <c r="A512" s="171">
        <v>720</v>
      </c>
      <c r="B512" s="164" t="s">
        <v>217</v>
      </c>
      <c r="C512" s="170" t="s">
        <v>411</v>
      </c>
    </row>
    <row r="513" spans="1:3">
      <c r="A513" s="171">
        <v>721</v>
      </c>
      <c r="B513" s="164" t="s">
        <v>350</v>
      </c>
      <c r="C513" s="170" t="s">
        <v>411</v>
      </c>
    </row>
    <row r="514" spans="1:3">
      <c r="A514" s="171">
        <v>722</v>
      </c>
      <c r="B514" s="164" t="s">
        <v>350</v>
      </c>
      <c r="C514" s="170" t="s">
        <v>411</v>
      </c>
    </row>
    <row r="515" spans="1:3">
      <c r="A515" s="171">
        <v>723</v>
      </c>
      <c r="B515" s="164" t="s">
        <v>350</v>
      </c>
      <c r="C515" s="170" t="s">
        <v>411</v>
      </c>
    </row>
    <row r="516" spans="1:3">
      <c r="A516" s="171">
        <v>724</v>
      </c>
      <c r="B516" s="164" t="s">
        <v>350</v>
      </c>
      <c r="C516" s="170" t="s">
        <v>411</v>
      </c>
    </row>
    <row r="517" spans="1:3">
      <c r="A517" s="171">
        <v>725</v>
      </c>
      <c r="B517" s="164" t="s">
        <v>350</v>
      </c>
      <c r="C517" s="170" t="s">
        <v>411</v>
      </c>
    </row>
    <row r="518" spans="1:3">
      <c r="A518" s="171">
        <v>726</v>
      </c>
      <c r="B518" s="164" t="s">
        <v>350</v>
      </c>
      <c r="C518" s="170" t="s">
        <v>411</v>
      </c>
    </row>
    <row r="519" spans="1:3">
      <c r="A519" s="171">
        <v>727</v>
      </c>
      <c r="B519" s="164" t="s">
        <v>350</v>
      </c>
      <c r="C519" s="170" t="s">
        <v>411</v>
      </c>
    </row>
    <row r="520" spans="1:3">
      <c r="A520" s="171">
        <v>728</v>
      </c>
      <c r="B520" s="164" t="s">
        <v>351</v>
      </c>
      <c r="C520" s="170" t="s">
        <v>411</v>
      </c>
    </row>
    <row r="521" spans="1:3">
      <c r="A521" s="171">
        <v>729</v>
      </c>
      <c r="B521" s="164" t="s">
        <v>350</v>
      </c>
      <c r="C521" s="170" t="s">
        <v>411</v>
      </c>
    </row>
    <row r="522" spans="1:3">
      <c r="A522" s="171">
        <v>730</v>
      </c>
      <c r="B522" s="164" t="s">
        <v>351</v>
      </c>
      <c r="C522" s="170" t="s">
        <v>411</v>
      </c>
    </row>
    <row r="523" spans="1:3">
      <c r="A523" s="171">
        <v>731</v>
      </c>
      <c r="B523" s="164" t="s">
        <v>350</v>
      </c>
      <c r="C523" s="170" t="s">
        <v>411</v>
      </c>
    </row>
    <row r="524" spans="1:3">
      <c r="A524" s="171">
        <v>732</v>
      </c>
      <c r="B524" s="164" t="s">
        <v>351</v>
      </c>
      <c r="C524" s="170" t="s">
        <v>411</v>
      </c>
    </row>
    <row r="525" spans="1:3">
      <c r="A525" s="171">
        <v>733</v>
      </c>
      <c r="B525" s="164" t="s">
        <v>350</v>
      </c>
      <c r="C525" s="170" t="s">
        <v>411</v>
      </c>
    </row>
    <row r="526" spans="1:3">
      <c r="A526" s="171">
        <v>734</v>
      </c>
      <c r="B526" s="164" t="s">
        <v>351</v>
      </c>
      <c r="C526" s="170" t="s">
        <v>411</v>
      </c>
    </row>
    <row r="527" spans="1:3">
      <c r="A527" s="171">
        <v>735</v>
      </c>
      <c r="B527" s="164" t="s">
        <v>350</v>
      </c>
      <c r="C527" s="170" t="s">
        <v>411</v>
      </c>
    </row>
    <row r="528" spans="1:3">
      <c r="A528" s="171">
        <v>736</v>
      </c>
      <c r="B528" s="164" t="s">
        <v>351</v>
      </c>
      <c r="C528" s="170" t="s">
        <v>411</v>
      </c>
    </row>
    <row r="529" spans="1:3">
      <c r="A529" s="171">
        <v>737</v>
      </c>
      <c r="B529" s="164" t="s">
        <v>350</v>
      </c>
      <c r="C529" s="170" t="s">
        <v>411</v>
      </c>
    </row>
    <row r="530" spans="1:3">
      <c r="A530" s="171">
        <v>738</v>
      </c>
      <c r="B530" s="164" t="s">
        <v>351</v>
      </c>
      <c r="C530" s="170" t="s">
        <v>411</v>
      </c>
    </row>
    <row r="531" spans="1:3">
      <c r="A531" s="171">
        <v>739</v>
      </c>
      <c r="B531" s="164" t="s">
        <v>350</v>
      </c>
      <c r="C531" s="170" t="s">
        <v>411</v>
      </c>
    </row>
    <row r="532" spans="1:3">
      <c r="A532" s="171">
        <v>740</v>
      </c>
      <c r="B532" s="164" t="s">
        <v>351</v>
      </c>
      <c r="C532" s="170" t="s">
        <v>411</v>
      </c>
    </row>
    <row r="533" spans="1:3">
      <c r="A533" s="171">
        <v>741</v>
      </c>
      <c r="B533" s="164" t="s">
        <v>350</v>
      </c>
      <c r="C533" s="170" t="s">
        <v>411</v>
      </c>
    </row>
    <row r="534" spans="1:3">
      <c r="A534" s="171">
        <v>742</v>
      </c>
      <c r="B534" s="164" t="s">
        <v>351</v>
      </c>
      <c r="C534" s="170" t="s">
        <v>411</v>
      </c>
    </row>
    <row r="535" spans="1:3">
      <c r="A535" s="171">
        <v>743</v>
      </c>
      <c r="B535" s="164" t="s">
        <v>350</v>
      </c>
      <c r="C535" s="170" t="s">
        <v>411</v>
      </c>
    </row>
    <row r="536" spans="1:3">
      <c r="A536" s="171">
        <v>744</v>
      </c>
      <c r="B536" s="164" t="s">
        <v>351</v>
      </c>
      <c r="C536" s="170" t="s">
        <v>411</v>
      </c>
    </row>
    <row r="537" spans="1:3">
      <c r="A537" s="171">
        <v>745</v>
      </c>
      <c r="B537" s="164" t="s">
        <v>350</v>
      </c>
      <c r="C537" s="170" t="s">
        <v>411</v>
      </c>
    </row>
    <row r="538" spans="1:3">
      <c r="A538" s="171">
        <v>746</v>
      </c>
      <c r="B538" s="164" t="s">
        <v>351</v>
      </c>
      <c r="C538" s="170" t="s">
        <v>411</v>
      </c>
    </row>
    <row r="539" spans="1:3">
      <c r="A539" s="171">
        <v>747</v>
      </c>
      <c r="B539" s="164" t="s">
        <v>350</v>
      </c>
      <c r="C539" s="170" t="s">
        <v>411</v>
      </c>
    </row>
    <row r="540" spans="1:3">
      <c r="A540" s="171">
        <v>748</v>
      </c>
      <c r="B540" s="164" t="s">
        <v>350</v>
      </c>
      <c r="C540" s="170" t="s">
        <v>411</v>
      </c>
    </row>
    <row r="541" spans="1:3">
      <c r="A541" s="171">
        <v>749</v>
      </c>
      <c r="B541" s="164" t="s">
        <v>351</v>
      </c>
      <c r="C541" s="170" t="s">
        <v>411</v>
      </c>
    </row>
    <row r="542" spans="1:3">
      <c r="A542" s="171">
        <v>752</v>
      </c>
      <c r="B542" s="164" t="s">
        <v>350</v>
      </c>
      <c r="C542" s="170" t="s">
        <v>411</v>
      </c>
    </row>
    <row r="543" spans="1:3">
      <c r="A543" s="171">
        <v>753</v>
      </c>
      <c r="B543" s="164" t="s">
        <v>352</v>
      </c>
      <c r="C543" s="170" t="s">
        <v>411</v>
      </c>
    </row>
    <row r="544" spans="1:3">
      <c r="A544" s="171">
        <v>754</v>
      </c>
      <c r="B544" s="164" t="s">
        <v>350</v>
      </c>
      <c r="C544" s="170" t="s">
        <v>411</v>
      </c>
    </row>
    <row r="545" spans="1:3">
      <c r="A545" s="171">
        <v>755</v>
      </c>
      <c r="B545" s="164" t="s">
        <v>352</v>
      </c>
      <c r="C545" s="170" t="s">
        <v>411</v>
      </c>
    </row>
    <row r="546" spans="1:3">
      <c r="A546" s="171">
        <v>756</v>
      </c>
      <c r="B546" s="164" t="s">
        <v>350</v>
      </c>
      <c r="C546" s="170" t="s">
        <v>411</v>
      </c>
    </row>
    <row r="547" spans="1:3">
      <c r="A547" s="171">
        <v>757</v>
      </c>
      <c r="B547" s="164" t="s">
        <v>352</v>
      </c>
      <c r="C547" s="170" t="s">
        <v>411</v>
      </c>
    </row>
    <row r="548" spans="1:3">
      <c r="A548" s="171">
        <v>758</v>
      </c>
      <c r="B548" s="164" t="s">
        <v>350</v>
      </c>
      <c r="C548" s="170" t="s">
        <v>411</v>
      </c>
    </row>
    <row r="549" spans="1:3">
      <c r="A549" s="171">
        <v>759</v>
      </c>
      <c r="B549" s="164" t="s">
        <v>352</v>
      </c>
      <c r="C549" s="170" t="s">
        <v>411</v>
      </c>
    </row>
    <row r="550" spans="1:3">
      <c r="A550" s="171">
        <v>760</v>
      </c>
      <c r="B550" s="164" t="s">
        <v>350</v>
      </c>
      <c r="C550" s="170" t="s">
        <v>411</v>
      </c>
    </row>
    <row r="551" spans="1:3">
      <c r="A551" s="171">
        <v>761</v>
      </c>
      <c r="B551" s="164" t="s">
        <v>352</v>
      </c>
      <c r="C551" s="170" t="s">
        <v>411</v>
      </c>
    </row>
    <row r="552" spans="1:3">
      <c r="A552" s="171">
        <v>762</v>
      </c>
      <c r="B552" s="164" t="s">
        <v>350</v>
      </c>
      <c r="C552" s="170" t="s">
        <v>411</v>
      </c>
    </row>
    <row r="553" spans="1:3">
      <c r="A553" s="171">
        <v>763</v>
      </c>
      <c r="B553" s="164" t="s">
        <v>352</v>
      </c>
      <c r="C553" s="170" t="s">
        <v>411</v>
      </c>
    </row>
    <row r="554" spans="1:3">
      <c r="A554" s="171">
        <v>764</v>
      </c>
      <c r="B554" s="164" t="s">
        <v>350</v>
      </c>
      <c r="C554" s="170" t="s">
        <v>411</v>
      </c>
    </row>
    <row r="555" spans="1:3">
      <c r="A555" s="171">
        <v>765</v>
      </c>
      <c r="B555" s="164" t="s">
        <v>352</v>
      </c>
      <c r="C555" s="170" t="s">
        <v>411</v>
      </c>
    </row>
    <row r="556" spans="1:3">
      <c r="A556" s="171">
        <v>766</v>
      </c>
      <c r="B556" s="164" t="s">
        <v>350</v>
      </c>
      <c r="C556" s="170" t="s">
        <v>411</v>
      </c>
    </row>
    <row r="557" spans="1:3">
      <c r="A557" s="171">
        <v>767</v>
      </c>
      <c r="B557" s="164" t="s">
        <v>352</v>
      </c>
      <c r="C557" s="170" t="s">
        <v>411</v>
      </c>
    </row>
    <row r="558" spans="1:3">
      <c r="A558" s="171">
        <v>768</v>
      </c>
      <c r="B558" s="164" t="s">
        <v>350</v>
      </c>
      <c r="C558" s="170" t="s">
        <v>411</v>
      </c>
    </row>
    <row r="559" spans="1:3">
      <c r="A559" s="171">
        <v>769</v>
      </c>
      <c r="B559" s="164" t="s">
        <v>352</v>
      </c>
      <c r="C559" s="170" t="s">
        <v>411</v>
      </c>
    </row>
    <row r="560" spans="1:3">
      <c r="A560" s="171">
        <v>770</v>
      </c>
      <c r="B560" s="164" t="s">
        <v>353</v>
      </c>
      <c r="C560" s="170" t="s">
        <v>411</v>
      </c>
    </row>
    <row r="561" spans="1:3">
      <c r="A561" s="171">
        <v>775</v>
      </c>
      <c r="B561" s="164" t="s">
        <v>354</v>
      </c>
      <c r="C561" s="170" t="s">
        <v>411</v>
      </c>
    </row>
    <row r="562" spans="1:3">
      <c r="A562" s="171">
        <v>776</v>
      </c>
      <c r="B562" s="164" t="s">
        <v>354</v>
      </c>
      <c r="C562" s="170" t="s">
        <v>411</v>
      </c>
    </row>
    <row r="563" spans="1:3">
      <c r="A563" s="171">
        <v>781</v>
      </c>
      <c r="B563" s="164" t="s">
        <v>350</v>
      </c>
      <c r="C563" s="170" t="s">
        <v>412</v>
      </c>
    </row>
    <row r="564" spans="1:3">
      <c r="A564" s="171">
        <v>782</v>
      </c>
      <c r="B564" s="164" t="s">
        <v>350</v>
      </c>
      <c r="C564" s="170" t="s">
        <v>411</v>
      </c>
    </row>
    <row r="565" spans="1:3">
      <c r="A565" s="171">
        <v>783</v>
      </c>
      <c r="B565" s="164" t="s">
        <v>350</v>
      </c>
      <c r="C565" s="170" t="s">
        <v>411</v>
      </c>
    </row>
    <row r="566" spans="1:3">
      <c r="A566" s="171">
        <v>784</v>
      </c>
      <c r="B566" s="164" t="s">
        <v>350</v>
      </c>
      <c r="C566" s="170" t="s">
        <v>411</v>
      </c>
    </row>
    <row r="567" spans="1:3">
      <c r="A567" s="171">
        <v>785</v>
      </c>
      <c r="B567" s="164" t="s">
        <v>350</v>
      </c>
      <c r="C567" s="170" t="s">
        <v>411</v>
      </c>
    </row>
    <row r="568" spans="1:3">
      <c r="A568" s="171">
        <v>786</v>
      </c>
      <c r="B568" s="164" t="s">
        <v>350</v>
      </c>
      <c r="C568" s="170" t="s">
        <v>411</v>
      </c>
    </row>
    <row r="569" spans="1:3">
      <c r="A569" s="171">
        <v>787</v>
      </c>
      <c r="B569" s="164" t="s">
        <v>355</v>
      </c>
      <c r="C569" s="170" t="s">
        <v>411</v>
      </c>
    </row>
    <row r="570" spans="1:3">
      <c r="A570" s="171">
        <v>788</v>
      </c>
      <c r="B570" s="164" t="s">
        <v>356</v>
      </c>
      <c r="C570" s="170" t="s">
        <v>411</v>
      </c>
    </row>
    <row r="571" spans="1:3">
      <c r="A571" s="171">
        <v>789</v>
      </c>
      <c r="B571" s="164" t="s">
        <v>357</v>
      </c>
      <c r="C571" s="170" t="s">
        <v>411</v>
      </c>
    </row>
    <row r="572" spans="1:3">
      <c r="A572" s="171">
        <v>790</v>
      </c>
      <c r="B572" s="164" t="s">
        <v>358</v>
      </c>
      <c r="C572" s="170" t="s">
        <v>411</v>
      </c>
    </row>
    <row r="573" spans="1:3">
      <c r="A573" s="171">
        <v>791</v>
      </c>
      <c r="B573" s="164" t="s">
        <v>359</v>
      </c>
      <c r="C573" s="170" t="s">
        <v>411</v>
      </c>
    </row>
    <row r="574" spans="1:3">
      <c r="A574" s="171">
        <v>792</v>
      </c>
      <c r="B574" s="164" t="s">
        <v>360</v>
      </c>
      <c r="C574" s="170" t="s">
        <v>411</v>
      </c>
    </row>
    <row r="575" spans="1:3">
      <c r="A575" s="171">
        <v>793</v>
      </c>
      <c r="B575" s="164" t="s">
        <v>350</v>
      </c>
      <c r="C575" s="170" t="s">
        <v>411</v>
      </c>
    </row>
    <row r="576" spans="1:3">
      <c r="A576" s="171">
        <v>794</v>
      </c>
      <c r="B576" s="164" t="s">
        <v>351</v>
      </c>
      <c r="C576" s="170" t="s">
        <v>411</v>
      </c>
    </row>
    <row r="577" spans="1:3">
      <c r="A577" s="171">
        <v>801</v>
      </c>
      <c r="B577" s="164" t="s">
        <v>279</v>
      </c>
      <c r="C577" s="170" t="s">
        <v>411</v>
      </c>
    </row>
    <row r="578" spans="1:3">
      <c r="A578" s="171">
        <v>802</v>
      </c>
      <c r="B578" s="164" t="s">
        <v>361</v>
      </c>
      <c r="C578" s="170" t="s">
        <v>411</v>
      </c>
    </row>
    <row r="579" spans="1:3">
      <c r="A579" s="171">
        <v>803</v>
      </c>
      <c r="B579" s="164" t="s">
        <v>362</v>
      </c>
      <c r="C579" s="170" t="s">
        <v>412</v>
      </c>
    </row>
    <row r="580" spans="1:3">
      <c r="A580" s="171">
        <v>804</v>
      </c>
      <c r="B580" s="164" t="s">
        <v>361</v>
      </c>
      <c r="C580" s="170" t="s">
        <v>411</v>
      </c>
    </row>
    <row r="581" spans="1:3">
      <c r="A581" s="171">
        <v>805</v>
      </c>
      <c r="B581" s="164" t="s">
        <v>362</v>
      </c>
      <c r="C581" s="170" t="s">
        <v>412</v>
      </c>
    </row>
    <row r="582" spans="1:3">
      <c r="A582" s="171">
        <v>806</v>
      </c>
      <c r="B582" s="164" t="s">
        <v>361</v>
      </c>
      <c r="C582" s="170" t="s">
        <v>411</v>
      </c>
    </row>
    <row r="583" spans="1:3">
      <c r="A583" s="171">
        <v>807</v>
      </c>
      <c r="B583" s="164" t="s">
        <v>362</v>
      </c>
      <c r="C583" s="170" t="s">
        <v>412</v>
      </c>
    </row>
    <row r="584" spans="1:3">
      <c r="A584" s="171">
        <v>808</v>
      </c>
      <c r="B584" s="164" t="s">
        <v>361</v>
      </c>
      <c r="C584" s="170" t="s">
        <v>411</v>
      </c>
    </row>
    <row r="585" spans="1:3">
      <c r="A585" s="171">
        <v>809</v>
      </c>
      <c r="B585" s="164" t="s">
        <v>362</v>
      </c>
      <c r="C585" s="170" t="s">
        <v>412</v>
      </c>
    </row>
    <row r="586" spans="1:3">
      <c r="A586" s="171">
        <v>810</v>
      </c>
      <c r="B586" s="164" t="s">
        <v>361</v>
      </c>
      <c r="C586" s="170" t="s">
        <v>411</v>
      </c>
    </row>
    <row r="587" spans="1:3">
      <c r="A587" s="171">
        <v>811</v>
      </c>
      <c r="B587" s="164" t="s">
        <v>362</v>
      </c>
      <c r="C587" s="170" t="s">
        <v>412</v>
      </c>
    </row>
    <row r="588" spans="1:3">
      <c r="A588" s="171">
        <v>812</v>
      </c>
      <c r="B588" s="164" t="s">
        <v>361</v>
      </c>
      <c r="C588" s="170" t="s">
        <v>411</v>
      </c>
    </row>
    <row r="589" spans="1:3">
      <c r="A589" s="171">
        <v>813</v>
      </c>
      <c r="B589" s="164" t="s">
        <v>362</v>
      </c>
      <c r="C589" s="170" t="s">
        <v>412</v>
      </c>
    </row>
    <row r="590" spans="1:3">
      <c r="A590" s="171">
        <v>814</v>
      </c>
      <c r="B590" s="164" t="s">
        <v>361</v>
      </c>
      <c r="C590" s="170" t="s">
        <v>411</v>
      </c>
    </row>
    <row r="591" spans="1:3">
      <c r="A591" s="171">
        <v>815</v>
      </c>
      <c r="B591" s="164" t="s">
        <v>362</v>
      </c>
      <c r="C591" s="170" t="s">
        <v>412</v>
      </c>
    </row>
    <row r="592" spans="1:3">
      <c r="A592" s="171">
        <v>816</v>
      </c>
      <c r="B592" s="164" t="s">
        <v>361</v>
      </c>
      <c r="C592" s="170" t="s">
        <v>411</v>
      </c>
    </row>
    <row r="593" spans="1:3">
      <c r="A593" s="171">
        <v>817</v>
      </c>
      <c r="B593" s="164" t="s">
        <v>362</v>
      </c>
      <c r="C593" s="170" t="s">
        <v>412</v>
      </c>
    </row>
    <row r="594" spans="1:3">
      <c r="A594" s="171">
        <v>818</v>
      </c>
      <c r="B594" s="164" t="s">
        <v>361</v>
      </c>
      <c r="C594" s="170" t="s">
        <v>411</v>
      </c>
    </row>
    <row r="595" spans="1:3">
      <c r="A595" s="171">
        <v>819</v>
      </c>
      <c r="B595" s="164" t="s">
        <v>362</v>
      </c>
      <c r="C595" s="170" t="s">
        <v>412</v>
      </c>
    </row>
    <row r="596" spans="1:3">
      <c r="A596" s="171">
        <v>820</v>
      </c>
      <c r="B596" s="164" t="s">
        <v>361</v>
      </c>
      <c r="C596" s="170" t="s">
        <v>411</v>
      </c>
    </row>
    <row r="597" spans="1:3">
      <c r="A597" s="171">
        <v>821</v>
      </c>
      <c r="B597" s="164" t="s">
        <v>362</v>
      </c>
      <c r="C597" s="170" t="s">
        <v>412</v>
      </c>
    </row>
    <row r="598" spans="1:3">
      <c r="A598" s="171">
        <v>822</v>
      </c>
      <c r="B598" s="164" t="s">
        <v>361</v>
      </c>
      <c r="C598" s="170" t="s">
        <v>411</v>
      </c>
    </row>
    <row r="599" spans="1:3">
      <c r="A599" s="171">
        <v>823</v>
      </c>
      <c r="B599" s="164" t="s">
        <v>362</v>
      </c>
      <c r="C599" s="170" t="s">
        <v>412</v>
      </c>
    </row>
    <row r="600" spans="1:3">
      <c r="A600" s="171">
        <v>824</v>
      </c>
      <c r="B600" s="164" t="s">
        <v>361</v>
      </c>
      <c r="C600" s="170" t="s">
        <v>411</v>
      </c>
    </row>
    <row r="601" spans="1:3">
      <c r="A601" s="171">
        <v>825</v>
      </c>
      <c r="B601" s="164" t="s">
        <v>362</v>
      </c>
      <c r="C601" s="170" t="s">
        <v>412</v>
      </c>
    </row>
    <row r="602" spans="1:3">
      <c r="A602" s="171">
        <v>826</v>
      </c>
      <c r="B602" s="164" t="s">
        <v>361</v>
      </c>
      <c r="C602" s="170" t="s">
        <v>411</v>
      </c>
    </row>
    <row r="603" spans="1:3">
      <c r="A603" s="171">
        <v>827</v>
      </c>
      <c r="B603" s="164" t="s">
        <v>362</v>
      </c>
      <c r="C603" s="170" t="s">
        <v>412</v>
      </c>
    </row>
    <row r="604" spans="1:3">
      <c r="A604" s="171">
        <v>828</v>
      </c>
      <c r="B604" s="164" t="s">
        <v>361</v>
      </c>
      <c r="C604" s="170" t="s">
        <v>411</v>
      </c>
    </row>
    <row r="605" spans="1:3">
      <c r="A605" s="171">
        <v>829</v>
      </c>
      <c r="B605" s="164" t="s">
        <v>362</v>
      </c>
      <c r="C605" s="170" t="s">
        <v>412</v>
      </c>
    </row>
    <row r="606" spans="1:3">
      <c r="A606" s="171">
        <v>830</v>
      </c>
      <c r="B606" s="164" t="s">
        <v>361</v>
      </c>
      <c r="C606" s="170" t="s">
        <v>411</v>
      </c>
    </row>
    <row r="607" spans="1:3">
      <c r="A607" s="171">
        <v>831</v>
      </c>
      <c r="B607" s="164" t="s">
        <v>362</v>
      </c>
      <c r="C607" s="170" t="s">
        <v>412</v>
      </c>
    </row>
    <row r="608" spans="1:3">
      <c r="A608" s="171">
        <v>832</v>
      </c>
      <c r="B608" s="164" t="s">
        <v>361</v>
      </c>
      <c r="C608" s="170" t="s">
        <v>411</v>
      </c>
    </row>
    <row r="609" spans="1:3">
      <c r="A609" s="171">
        <v>833</v>
      </c>
      <c r="B609" s="164" t="s">
        <v>362</v>
      </c>
      <c r="C609" s="170" t="s">
        <v>412</v>
      </c>
    </row>
    <row r="610" spans="1:3">
      <c r="A610" s="171">
        <v>834</v>
      </c>
      <c r="B610" s="164" t="s">
        <v>361</v>
      </c>
      <c r="C610" s="170" t="s">
        <v>411</v>
      </c>
    </row>
    <row r="611" spans="1:3">
      <c r="A611" s="171">
        <v>835</v>
      </c>
      <c r="B611" s="164" t="s">
        <v>362</v>
      </c>
      <c r="C611" s="170" t="s">
        <v>412</v>
      </c>
    </row>
    <row r="612" spans="1:3">
      <c r="A612" s="171">
        <v>836</v>
      </c>
      <c r="B612" s="164" t="s">
        <v>361</v>
      </c>
      <c r="C612" s="170" t="s">
        <v>411</v>
      </c>
    </row>
    <row r="613" spans="1:3">
      <c r="A613" s="171">
        <v>837</v>
      </c>
      <c r="B613" s="164" t="s">
        <v>362</v>
      </c>
      <c r="C613" s="170" t="s">
        <v>412</v>
      </c>
    </row>
    <row r="614" spans="1:3">
      <c r="A614" s="171">
        <v>838</v>
      </c>
      <c r="B614" s="164" t="s">
        <v>361</v>
      </c>
      <c r="C614" s="170" t="s">
        <v>411</v>
      </c>
    </row>
    <row r="615" spans="1:3">
      <c r="A615" s="171">
        <v>839</v>
      </c>
      <c r="B615" s="164" t="s">
        <v>362</v>
      </c>
      <c r="C615" s="170" t="s">
        <v>412</v>
      </c>
    </row>
    <row r="616" spans="1:3">
      <c r="A616" s="171">
        <v>840</v>
      </c>
      <c r="B616" s="164" t="s">
        <v>361</v>
      </c>
      <c r="C616" s="170" t="s">
        <v>411</v>
      </c>
    </row>
    <row r="617" spans="1:3">
      <c r="A617" s="171">
        <v>841</v>
      </c>
      <c r="B617" s="164" t="s">
        <v>362</v>
      </c>
      <c r="C617" s="170" t="s">
        <v>412</v>
      </c>
    </row>
    <row r="618" spans="1:3">
      <c r="A618" s="171">
        <v>842</v>
      </c>
      <c r="B618" s="164" t="s">
        <v>361</v>
      </c>
      <c r="C618" s="170" t="s">
        <v>411</v>
      </c>
    </row>
    <row r="619" spans="1:3">
      <c r="A619" s="171">
        <v>843</v>
      </c>
      <c r="B619" s="164" t="s">
        <v>362</v>
      </c>
      <c r="C619" s="170" t="s">
        <v>412</v>
      </c>
    </row>
    <row r="620" spans="1:3">
      <c r="A620" s="171">
        <v>844</v>
      </c>
      <c r="B620" s="164" t="s">
        <v>361</v>
      </c>
      <c r="C620" s="170" t="s">
        <v>411</v>
      </c>
    </row>
    <row r="621" spans="1:3">
      <c r="A621" s="171">
        <v>845</v>
      </c>
      <c r="B621" s="164" t="s">
        <v>362</v>
      </c>
      <c r="C621" s="170" t="s">
        <v>412</v>
      </c>
    </row>
    <row r="622" spans="1:3">
      <c r="A622" s="171">
        <v>846</v>
      </c>
      <c r="B622" s="164" t="s">
        <v>361</v>
      </c>
      <c r="C622" s="170" t="s">
        <v>411</v>
      </c>
    </row>
    <row r="623" spans="1:3">
      <c r="A623" s="171">
        <v>847</v>
      </c>
      <c r="B623" s="164" t="s">
        <v>362</v>
      </c>
      <c r="C623" s="170" t="s">
        <v>412</v>
      </c>
    </row>
    <row r="624" spans="1:3">
      <c r="A624" s="171">
        <v>848</v>
      </c>
      <c r="B624" s="164" t="s">
        <v>361</v>
      </c>
      <c r="C624" s="170" t="s">
        <v>411</v>
      </c>
    </row>
    <row r="625" spans="1:3">
      <c r="A625" s="171">
        <v>849</v>
      </c>
      <c r="B625" s="164" t="s">
        <v>362</v>
      </c>
      <c r="C625" s="170" t="s">
        <v>412</v>
      </c>
    </row>
    <row r="626" spans="1:3">
      <c r="A626" s="171">
        <v>850</v>
      </c>
      <c r="B626" s="164" t="s">
        <v>362</v>
      </c>
      <c r="C626" s="170" t="s">
        <v>412</v>
      </c>
    </row>
    <row r="627" spans="1:3">
      <c r="A627" s="171">
        <v>851</v>
      </c>
      <c r="B627" s="164" t="s">
        <v>362</v>
      </c>
      <c r="C627" s="170" t="s">
        <v>412</v>
      </c>
    </row>
    <row r="628" spans="1:3">
      <c r="A628" s="171">
        <v>852</v>
      </c>
      <c r="B628" s="164" t="s">
        <v>361</v>
      </c>
      <c r="C628" s="170" t="s">
        <v>411</v>
      </c>
    </row>
    <row r="629" spans="1:3">
      <c r="A629" s="171">
        <v>853</v>
      </c>
      <c r="B629" s="164" t="s">
        <v>361</v>
      </c>
      <c r="C629" s="170" t="s">
        <v>411</v>
      </c>
    </row>
    <row r="630" spans="1:3">
      <c r="A630" s="171">
        <v>854</v>
      </c>
      <c r="B630" s="164" t="s">
        <v>361</v>
      </c>
      <c r="C630" s="170" t="s">
        <v>411</v>
      </c>
    </row>
    <row r="631" spans="1:3">
      <c r="A631" s="171">
        <v>855</v>
      </c>
      <c r="B631" s="164" t="s">
        <v>361</v>
      </c>
      <c r="C631" s="170" t="s">
        <v>411</v>
      </c>
    </row>
    <row r="632" spans="1:3">
      <c r="A632" s="171">
        <v>856</v>
      </c>
      <c r="B632" s="164" t="s">
        <v>361</v>
      </c>
      <c r="C632" s="170" t="s">
        <v>411</v>
      </c>
    </row>
    <row r="633" spans="1:3">
      <c r="A633" s="171">
        <v>857</v>
      </c>
      <c r="B633" s="164" t="s">
        <v>361</v>
      </c>
      <c r="C633" s="170" t="s">
        <v>411</v>
      </c>
    </row>
    <row r="634" spans="1:3">
      <c r="A634" s="171">
        <v>858</v>
      </c>
      <c r="B634" s="164" t="s">
        <v>361</v>
      </c>
      <c r="C634" s="170" t="s">
        <v>411</v>
      </c>
    </row>
    <row r="635" spans="1:3">
      <c r="A635" s="171">
        <v>859</v>
      </c>
      <c r="B635" s="164" t="s">
        <v>361</v>
      </c>
      <c r="C635" s="170" t="s">
        <v>411</v>
      </c>
    </row>
    <row r="636" spans="1:3">
      <c r="A636" s="171">
        <v>860</v>
      </c>
      <c r="B636" s="164" t="s">
        <v>361</v>
      </c>
      <c r="C636" s="170" t="s">
        <v>411</v>
      </c>
    </row>
    <row r="637" spans="1:3">
      <c r="A637" s="171">
        <v>861</v>
      </c>
      <c r="B637" s="164" t="s">
        <v>361</v>
      </c>
      <c r="C637" s="170" t="s">
        <v>411</v>
      </c>
    </row>
    <row r="638" spans="1:3">
      <c r="A638" s="171">
        <v>862</v>
      </c>
      <c r="B638" s="164" t="s">
        <v>361</v>
      </c>
      <c r="C638" s="170" t="s">
        <v>411</v>
      </c>
    </row>
    <row r="639" spans="1:3">
      <c r="A639" s="171">
        <v>863</v>
      </c>
      <c r="B639" s="164" t="s">
        <v>361</v>
      </c>
      <c r="C639" s="170" t="s">
        <v>411</v>
      </c>
    </row>
    <row r="640" spans="1:3">
      <c r="A640" s="171">
        <v>864</v>
      </c>
      <c r="B640" s="164" t="s">
        <v>361</v>
      </c>
      <c r="C640" s="170" t="s">
        <v>411</v>
      </c>
    </row>
    <row r="641" spans="1:3">
      <c r="A641" s="171">
        <v>865</v>
      </c>
      <c r="B641" s="164" t="s">
        <v>361</v>
      </c>
      <c r="C641" s="170" t="s">
        <v>411</v>
      </c>
    </row>
    <row r="642" spans="1:3">
      <c r="A642" s="171">
        <v>866</v>
      </c>
      <c r="B642" s="164" t="s">
        <v>362</v>
      </c>
      <c r="C642" s="170" t="s">
        <v>412</v>
      </c>
    </row>
    <row r="643" spans="1:3">
      <c r="A643" s="171">
        <v>867</v>
      </c>
      <c r="B643" s="164" t="s">
        <v>361</v>
      </c>
      <c r="C643" s="170" t="s">
        <v>411</v>
      </c>
    </row>
    <row r="644" spans="1:3">
      <c r="A644" s="171">
        <v>868</v>
      </c>
      <c r="B644" s="164" t="s">
        <v>362</v>
      </c>
      <c r="C644" s="170" t="s">
        <v>412</v>
      </c>
    </row>
    <row r="645" spans="1:3">
      <c r="A645" s="171">
        <v>869</v>
      </c>
      <c r="B645" s="164" t="s">
        <v>361</v>
      </c>
      <c r="C645" s="170" t="s">
        <v>411</v>
      </c>
    </row>
    <row r="646" spans="1:3">
      <c r="A646" s="171">
        <v>870</v>
      </c>
      <c r="B646" s="164" t="s">
        <v>362</v>
      </c>
      <c r="C646" s="170" t="s">
        <v>412</v>
      </c>
    </row>
    <row r="647" spans="1:3">
      <c r="A647" s="171">
        <v>871</v>
      </c>
      <c r="B647" s="164" t="s">
        <v>361</v>
      </c>
      <c r="C647" s="170" t="s">
        <v>411</v>
      </c>
    </row>
    <row r="648" spans="1:3">
      <c r="A648" s="171">
        <v>872</v>
      </c>
      <c r="B648" s="164" t="s">
        <v>362</v>
      </c>
      <c r="C648" s="170" t="s">
        <v>412</v>
      </c>
    </row>
    <row r="649" spans="1:3">
      <c r="A649" s="171">
        <v>873</v>
      </c>
      <c r="B649" s="164" t="s">
        <v>361</v>
      </c>
      <c r="C649" s="170" t="s">
        <v>411</v>
      </c>
    </row>
    <row r="650" spans="1:3">
      <c r="A650" s="171">
        <v>874</v>
      </c>
      <c r="B650" s="164" t="s">
        <v>362</v>
      </c>
      <c r="C650" s="170" t="s">
        <v>412</v>
      </c>
    </row>
    <row r="651" spans="1:3">
      <c r="A651" s="171">
        <v>875</v>
      </c>
      <c r="B651" s="164" t="s">
        <v>361</v>
      </c>
      <c r="C651" s="170" t="s">
        <v>411</v>
      </c>
    </row>
    <row r="652" spans="1:3">
      <c r="A652" s="171">
        <v>876</v>
      </c>
      <c r="B652" s="164" t="s">
        <v>362</v>
      </c>
      <c r="C652" s="170" t="s">
        <v>412</v>
      </c>
    </row>
    <row r="653" spans="1:3">
      <c r="A653" s="171">
        <v>877</v>
      </c>
      <c r="B653" s="164" t="s">
        <v>361</v>
      </c>
      <c r="C653" s="170" t="s">
        <v>411</v>
      </c>
    </row>
    <row r="654" spans="1:3">
      <c r="A654" s="171">
        <v>878</v>
      </c>
      <c r="B654" s="164" t="s">
        <v>362</v>
      </c>
      <c r="C654" s="170" t="s">
        <v>412</v>
      </c>
    </row>
    <row r="655" spans="1:3">
      <c r="A655" s="171">
        <v>879</v>
      </c>
      <c r="B655" s="164" t="s">
        <v>361</v>
      </c>
      <c r="C655" s="170" t="s">
        <v>411</v>
      </c>
    </row>
    <row r="656" spans="1:3">
      <c r="A656" s="171">
        <v>880</v>
      </c>
      <c r="B656" s="164" t="s">
        <v>362</v>
      </c>
      <c r="C656" s="170" t="s">
        <v>412</v>
      </c>
    </row>
    <row r="657" spans="1:3">
      <c r="A657" s="171">
        <v>881</v>
      </c>
      <c r="B657" s="164" t="s">
        <v>361</v>
      </c>
      <c r="C657" s="170" t="s">
        <v>411</v>
      </c>
    </row>
    <row r="658" spans="1:3">
      <c r="A658" s="171">
        <v>882</v>
      </c>
      <c r="B658" s="164" t="s">
        <v>362</v>
      </c>
      <c r="C658" s="170" t="s">
        <v>412</v>
      </c>
    </row>
    <row r="659" spans="1:3">
      <c r="A659" s="171">
        <v>883</v>
      </c>
      <c r="B659" s="164" t="s">
        <v>361</v>
      </c>
      <c r="C659" s="170" t="s">
        <v>411</v>
      </c>
    </row>
    <row r="660" spans="1:3">
      <c r="A660" s="171">
        <v>884</v>
      </c>
      <c r="B660" s="164" t="s">
        <v>362</v>
      </c>
      <c r="C660" s="170" t="s">
        <v>412</v>
      </c>
    </row>
    <row r="661" spans="1:3">
      <c r="A661" s="171">
        <v>885</v>
      </c>
      <c r="B661" s="164" t="s">
        <v>361</v>
      </c>
      <c r="C661" s="170" t="s">
        <v>411</v>
      </c>
    </row>
    <row r="662" spans="1:3">
      <c r="A662" s="171">
        <v>886</v>
      </c>
      <c r="B662" s="164" t="s">
        <v>362</v>
      </c>
      <c r="C662" s="170" t="s">
        <v>412</v>
      </c>
    </row>
    <row r="663" spans="1:3">
      <c r="A663" s="171">
        <v>887</v>
      </c>
      <c r="B663" s="164" t="s">
        <v>361</v>
      </c>
      <c r="C663" s="170" t="s">
        <v>411</v>
      </c>
    </row>
    <row r="664" spans="1:3">
      <c r="A664" s="171">
        <v>888</v>
      </c>
      <c r="B664" s="164" t="s">
        <v>362</v>
      </c>
      <c r="C664" s="170" t="s">
        <v>412</v>
      </c>
    </row>
    <row r="665" spans="1:3">
      <c r="A665" s="171">
        <v>889</v>
      </c>
      <c r="B665" s="164" t="s">
        <v>361</v>
      </c>
      <c r="C665" s="170" t="s">
        <v>411</v>
      </c>
    </row>
    <row r="666" spans="1:3">
      <c r="A666" s="171">
        <v>890</v>
      </c>
      <c r="B666" s="164" t="s">
        <v>362</v>
      </c>
      <c r="C666" s="170" t="s">
        <v>412</v>
      </c>
    </row>
    <row r="667" spans="1:3">
      <c r="A667" s="171">
        <v>891</v>
      </c>
      <c r="B667" s="164" t="s">
        <v>362</v>
      </c>
      <c r="C667" s="170" t="s">
        <v>412</v>
      </c>
    </row>
    <row r="668" spans="1:3">
      <c r="A668" s="171">
        <v>892</v>
      </c>
      <c r="B668" s="164" t="s">
        <v>362</v>
      </c>
      <c r="C668" s="170" t="s">
        <v>412</v>
      </c>
    </row>
    <row r="669" spans="1:3">
      <c r="A669" s="171">
        <v>893</v>
      </c>
      <c r="B669" s="164" t="s">
        <v>362</v>
      </c>
      <c r="C669" s="170" t="s">
        <v>412</v>
      </c>
    </row>
    <row r="670" spans="1:3">
      <c r="A670" s="171">
        <v>894</v>
      </c>
      <c r="B670" s="164" t="s">
        <v>320</v>
      </c>
      <c r="C670" s="170" t="s">
        <v>412</v>
      </c>
    </row>
    <row r="671" spans="1:3">
      <c r="A671" s="171">
        <v>895</v>
      </c>
      <c r="B671" s="164" t="s">
        <v>320</v>
      </c>
      <c r="C671" s="170" t="s">
        <v>412</v>
      </c>
    </row>
    <row r="672" spans="1:3">
      <c r="A672" s="171">
        <v>896</v>
      </c>
      <c r="B672" s="164" t="s">
        <v>320</v>
      </c>
      <c r="C672" s="170" t="s">
        <v>412</v>
      </c>
    </row>
    <row r="673" spans="1:3">
      <c r="A673" s="171">
        <v>897</v>
      </c>
      <c r="B673" s="164" t="s">
        <v>362</v>
      </c>
      <c r="C673" s="170" t="s">
        <v>412</v>
      </c>
    </row>
    <row r="674" spans="1:3">
      <c r="A674" s="171">
        <v>898</v>
      </c>
      <c r="B674" s="164" t="s">
        <v>362</v>
      </c>
      <c r="C674" s="170" t="s">
        <v>412</v>
      </c>
    </row>
    <row r="675" spans="1:3">
      <c r="A675" s="171">
        <v>899</v>
      </c>
      <c r="B675" s="164" t="s">
        <v>363</v>
      </c>
      <c r="C675" s="170" t="s">
        <v>412</v>
      </c>
    </row>
    <row r="676" spans="1:3">
      <c r="A676" s="171">
        <v>900</v>
      </c>
      <c r="B676" s="164" t="s">
        <v>363</v>
      </c>
      <c r="C676" s="170" t="s">
        <v>412</v>
      </c>
    </row>
    <row r="677" spans="1:3">
      <c r="A677" s="171">
        <v>901</v>
      </c>
      <c r="B677" s="164" t="s">
        <v>363</v>
      </c>
      <c r="C677" s="170" t="s">
        <v>412</v>
      </c>
    </row>
    <row r="678" spans="1:3">
      <c r="A678" s="171">
        <v>902</v>
      </c>
      <c r="B678" s="164" t="s">
        <v>363</v>
      </c>
      <c r="C678" s="170" t="s">
        <v>412</v>
      </c>
    </row>
    <row r="679" spans="1:3">
      <c r="A679" s="171">
        <v>903</v>
      </c>
      <c r="B679" s="164" t="s">
        <v>363</v>
      </c>
      <c r="C679" s="170" t="s">
        <v>412</v>
      </c>
    </row>
    <row r="680" spans="1:3">
      <c r="A680" s="171">
        <v>904</v>
      </c>
      <c r="B680" s="164" t="s">
        <v>364</v>
      </c>
      <c r="C680" s="170" t="s">
        <v>412</v>
      </c>
    </row>
    <row r="681" spans="1:3">
      <c r="A681" s="171">
        <v>905</v>
      </c>
      <c r="B681" s="164" t="s">
        <v>364</v>
      </c>
      <c r="C681" s="170" t="s">
        <v>412</v>
      </c>
    </row>
    <row r="682" spans="1:3">
      <c r="A682" s="171">
        <v>906</v>
      </c>
      <c r="B682" s="164" t="s">
        <v>364</v>
      </c>
      <c r="C682" s="170" t="s">
        <v>412</v>
      </c>
    </row>
    <row r="683" spans="1:3">
      <c r="A683" s="171">
        <v>907</v>
      </c>
      <c r="B683" s="164" t="s">
        <v>365</v>
      </c>
      <c r="C683" s="170" t="s">
        <v>412</v>
      </c>
    </row>
    <row r="684" spans="1:3">
      <c r="A684" s="171">
        <v>908</v>
      </c>
      <c r="B684" s="164" t="s">
        <v>365</v>
      </c>
      <c r="C684" s="170" t="s">
        <v>412</v>
      </c>
    </row>
    <row r="685" spans="1:3">
      <c r="A685" s="171">
        <v>909</v>
      </c>
      <c r="B685" s="164" t="s">
        <v>365</v>
      </c>
      <c r="C685" s="170" t="s">
        <v>412</v>
      </c>
    </row>
    <row r="686" spans="1:3">
      <c r="A686" s="171">
        <v>910</v>
      </c>
      <c r="B686" s="164" t="s">
        <v>365</v>
      </c>
      <c r="C686" s="170" t="s">
        <v>412</v>
      </c>
    </row>
    <row r="687" spans="1:3">
      <c r="A687" s="171">
        <v>911</v>
      </c>
      <c r="B687" s="164" t="s">
        <v>365</v>
      </c>
      <c r="C687" s="170" t="s">
        <v>412</v>
      </c>
    </row>
    <row r="688" spans="1:3">
      <c r="A688" s="171">
        <v>912</v>
      </c>
      <c r="B688" s="164" t="s">
        <v>365</v>
      </c>
      <c r="C688" s="170" t="s">
        <v>412</v>
      </c>
    </row>
    <row r="689" spans="1:3">
      <c r="A689" s="171">
        <v>913</v>
      </c>
      <c r="B689" s="164" t="s">
        <v>365</v>
      </c>
      <c r="C689" s="170" t="s">
        <v>412</v>
      </c>
    </row>
    <row r="690" spans="1:3">
      <c r="A690" s="171">
        <v>914</v>
      </c>
      <c r="B690" s="164" t="s">
        <v>366</v>
      </c>
      <c r="C690" s="170" t="s">
        <v>411</v>
      </c>
    </row>
    <row r="691" spans="1:3">
      <c r="A691" s="171">
        <v>915</v>
      </c>
      <c r="B691" s="164" t="s">
        <v>320</v>
      </c>
      <c r="C691" s="170" t="s">
        <v>411</v>
      </c>
    </row>
    <row r="692" spans="1:3">
      <c r="A692" s="171">
        <v>916</v>
      </c>
      <c r="B692" s="164" t="s">
        <v>320</v>
      </c>
      <c r="C692" s="170" t="s">
        <v>411</v>
      </c>
    </row>
    <row r="693" spans="1:3">
      <c r="A693" s="171">
        <v>917</v>
      </c>
      <c r="B693" s="164" t="s">
        <v>320</v>
      </c>
      <c r="C693" s="170" t="s">
        <v>411</v>
      </c>
    </row>
    <row r="694" spans="1:3">
      <c r="A694" s="171">
        <v>918</v>
      </c>
      <c r="B694" s="164" t="s">
        <v>256</v>
      </c>
      <c r="C694" s="170" t="s">
        <v>411</v>
      </c>
    </row>
    <row r="695" spans="1:3">
      <c r="A695" s="171">
        <v>919</v>
      </c>
      <c r="B695" s="164" t="s">
        <v>367</v>
      </c>
      <c r="C695" s="170" t="s">
        <v>411</v>
      </c>
    </row>
    <row r="696" spans="1:3">
      <c r="A696" s="171">
        <v>920</v>
      </c>
      <c r="B696" s="164" t="s">
        <v>367</v>
      </c>
      <c r="C696" s="170" t="s">
        <v>411</v>
      </c>
    </row>
    <row r="697" spans="1:3">
      <c r="A697" s="171">
        <v>922</v>
      </c>
      <c r="B697" s="164" t="s">
        <v>279</v>
      </c>
      <c r="C697" s="170" t="s">
        <v>411</v>
      </c>
    </row>
    <row r="698" spans="1:3">
      <c r="A698" s="171">
        <v>923</v>
      </c>
      <c r="B698" s="164" t="s">
        <v>279</v>
      </c>
      <c r="C698" s="170" t="s">
        <v>411</v>
      </c>
    </row>
    <row r="699" spans="1:3">
      <c r="A699" s="171">
        <v>924</v>
      </c>
      <c r="B699" s="164" t="s">
        <v>279</v>
      </c>
      <c r="C699" s="170" t="s">
        <v>411</v>
      </c>
    </row>
    <row r="700" spans="1:3">
      <c r="A700" s="171">
        <v>925</v>
      </c>
      <c r="B700" s="164" t="s">
        <v>368</v>
      </c>
      <c r="C700" s="170" t="s">
        <v>407</v>
      </c>
    </row>
    <row r="701" spans="1:3">
      <c r="A701" s="171">
        <v>926</v>
      </c>
      <c r="B701" s="164" t="s">
        <v>309</v>
      </c>
      <c r="C701" s="170" t="s">
        <v>407</v>
      </c>
    </row>
    <row r="702" spans="1:3">
      <c r="A702" s="171">
        <v>927</v>
      </c>
      <c r="B702" s="164" t="s">
        <v>311</v>
      </c>
      <c r="C702" s="170" t="s">
        <v>407</v>
      </c>
    </row>
    <row r="703" spans="1:3">
      <c r="A703" s="171">
        <v>928</v>
      </c>
      <c r="B703" s="164" t="s">
        <v>310</v>
      </c>
      <c r="C703" s="170" t="s">
        <v>407</v>
      </c>
    </row>
    <row r="704" spans="1:3">
      <c r="A704" s="171">
        <v>929</v>
      </c>
      <c r="B704" s="164" t="s">
        <v>363</v>
      </c>
      <c r="C704" s="170" t="s">
        <v>412</v>
      </c>
    </row>
    <row r="705" spans="1:3">
      <c r="A705" s="171">
        <v>930</v>
      </c>
      <c r="B705" s="164" t="s">
        <v>363</v>
      </c>
      <c r="C705" s="170" t="s">
        <v>412</v>
      </c>
    </row>
    <row r="706" spans="1:3">
      <c r="A706" s="171">
        <v>931</v>
      </c>
      <c r="B706" s="164" t="s">
        <v>363</v>
      </c>
      <c r="C706" s="170" t="s">
        <v>412</v>
      </c>
    </row>
    <row r="707" spans="1:3">
      <c r="A707" s="171">
        <v>932</v>
      </c>
      <c r="B707" s="164" t="s">
        <v>369</v>
      </c>
      <c r="C707" s="170" t="s">
        <v>411</v>
      </c>
    </row>
    <row r="708" spans="1:3">
      <c r="A708" s="171">
        <v>933</v>
      </c>
      <c r="B708" s="164" t="s">
        <v>361</v>
      </c>
      <c r="C708" s="170" t="s">
        <v>411</v>
      </c>
    </row>
    <row r="709" spans="1:3">
      <c r="A709" s="171">
        <v>934</v>
      </c>
      <c r="B709" s="164" t="s">
        <v>362</v>
      </c>
      <c r="C709" s="170" t="s">
        <v>412</v>
      </c>
    </row>
    <row r="710" spans="1:3">
      <c r="A710" s="171">
        <v>935</v>
      </c>
      <c r="B710" s="164" t="s">
        <v>370</v>
      </c>
      <c r="C710" s="170" t="s">
        <v>411</v>
      </c>
    </row>
    <row r="711" spans="1:3">
      <c r="A711" s="171">
        <v>936</v>
      </c>
      <c r="B711" s="164" t="s">
        <v>370</v>
      </c>
      <c r="C711" s="170" t="s">
        <v>411</v>
      </c>
    </row>
    <row r="712" spans="1:3">
      <c r="A712" s="171">
        <v>937</v>
      </c>
      <c r="B712" s="164" t="s">
        <v>370</v>
      </c>
      <c r="C712" s="170" t="s">
        <v>411</v>
      </c>
    </row>
    <row r="713" spans="1:3">
      <c r="A713" s="171">
        <v>938</v>
      </c>
      <c r="B713" s="164" t="s">
        <v>370</v>
      </c>
      <c r="C713" s="170" t="s">
        <v>411</v>
      </c>
    </row>
    <row r="714" spans="1:3">
      <c r="A714" s="171">
        <v>939</v>
      </c>
      <c r="B714" s="164" t="s">
        <v>370</v>
      </c>
      <c r="C714" s="170" t="s">
        <v>411</v>
      </c>
    </row>
    <row r="715" spans="1:3">
      <c r="A715" s="171">
        <v>940</v>
      </c>
      <c r="B715" s="164" t="s">
        <v>371</v>
      </c>
      <c r="C715" s="170" t="s">
        <v>408</v>
      </c>
    </row>
    <row r="716" spans="1:3">
      <c r="A716" s="171">
        <v>941</v>
      </c>
      <c r="B716" s="164" t="s">
        <v>372</v>
      </c>
      <c r="C716" s="170" t="s">
        <v>408</v>
      </c>
    </row>
    <row r="717" spans="1:3">
      <c r="A717" s="171">
        <v>942</v>
      </c>
      <c r="B717" s="164" t="s">
        <v>225</v>
      </c>
      <c r="C717" s="170" t="s">
        <v>411</v>
      </c>
    </row>
    <row r="718" spans="1:3">
      <c r="A718" s="171">
        <v>943</v>
      </c>
      <c r="B718" s="164" t="s">
        <v>216</v>
      </c>
      <c r="C718" s="170" t="s">
        <v>411</v>
      </c>
    </row>
    <row r="719" spans="1:3">
      <c r="A719" s="171">
        <v>944</v>
      </c>
      <c r="B719" s="164" t="s">
        <v>216</v>
      </c>
      <c r="C719" s="170" t="s">
        <v>411</v>
      </c>
    </row>
    <row r="720" spans="1:3">
      <c r="A720" s="171">
        <v>945</v>
      </c>
      <c r="B720" s="164" t="s">
        <v>216</v>
      </c>
      <c r="C720" s="170" t="s">
        <v>411</v>
      </c>
    </row>
    <row r="721" spans="1:3">
      <c r="A721" s="171">
        <v>946</v>
      </c>
      <c r="B721" s="164" t="s">
        <v>216</v>
      </c>
      <c r="C721" s="170" t="s">
        <v>411</v>
      </c>
    </row>
    <row r="722" spans="1:3">
      <c r="A722" s="171">
        <v>947</v>
      </c>
      <c r="B722" s="164" t="s">
        <v>373</v>
      </c>
      <c r="C722" s="170" t="s">
        <v>411</v>
      </c>
    </row>
    <row r="723" spans="1:3">
      <c r="A723" s="171">
        <v>948</v>
      </c>
      <c r="B723" s="164" t="s">
        <v>374</v>
      </c>
      <c r="C723" s="170" t="s">
        <v>411</v>
      </c>
    </row>
    <row r="724" spans="1:3">
      <c r="A724" s="171">
        <v>949</v>
      </c>
      <c r="B724" s="164" t="s">
        <v>375</v>
      </c>
      <c r="C724" s="170" t="s">
        <v>411</v>
      </c>
    </row>
    <row r="725" spans="1:3">
      <c r="A725" s="171">
        <v>950</v>
      </c>
      <c r="B725" s="164" t="s">
        <v>376</v>
      </c>
      <c r="C725" s="170" t="s">
        <v>412</v>
      </c>
    </row>
    <row r="726" spans="1:3">
      <c r="A726" s="171">
        <v>951</v>
      </c>
      <c r="B726" s="164" t="s">
        <v>377</v>
      </c>
      <c r="C726" s="170" t="s">
        <v>412</v>
      </c>
    </row>
    <row r="727" spans="1:3">
      <c r="A727" s="171">
        <v>952</v>
      </c>
      <c r="B727" s="164" t="s">
        <v>378</v>
      </c>
      <c r="C727" s="170" t="s">
        <v>411</v>
      </c>
    </row>
    <row r="728" spans="1:3">
      <c r="A728" s="171">
        <v>953</v>
      </c>
      <c r="B728" s="164" t="s">
        <v>379</v>
      </c>
      <c r="C728" s="170" t="s">
        <v>411</v>
      </c>
    </row>
    <row r="729" spans="1:3">
      <c r="A729" s="171">
        <v>954</v>
      </c>
      <c r="B729" s="164" t="s">
        <v>380</v>
      </c>
      <c r="C729" s="170" t="s">
        <v>411</v>
      </c>
    </row>
    <row r="730" spans="1:3">
      <c r="A730" s="171">
        <v>955</v>
      </c>
      <c r="B730" s="164" t="s">
        <v>381</v>
      </c>
      <c r="C730" s="170" t="s">
        <v>411</v>
      </c>
    </row>
    <row r="731" spans="1:3">
      <c r="A731" s="171">
        <v>956</v>
      </c>
      <c r="B731" s="164" t="s">
        <v>382</v>
      </c>
      <c r="C731" s="170" t="s">
        <v>411</v>
      </c>
    </row>
    <row r="732" spans="1:3">
      <c r="A732" s="171">
        <v>957</v>
      </c>
      <c r="B732" s="164" t="s">
        <v>383</v>
      </c>
      <c r="C732" s="170" t="s">
        <v>411</v>
      </c>
    </row>
    <row r="733" spans="1:3">
      <c r="A733" s="171">
        <v>958</v>
      </c>
      <c r="B733" s="164" t="s">
        <v>384</v>
      </c>
      <c r="C733" s="170" t="s">
        <v>411</v>
      </c>
    </row>
    <row r="734" spans="1:3">
      <c r="A734" s="171">
        <v>959</v>
      </c>
      <c r="B734" s="164" t="s">
        <v>385</v>
      </c>
      <c r="C734" s="170" t="s">
        <v>411</v>
      </c>
    </row>
    <row r="735" spans="1:3">
      <c r="A735" s="171">
        <v>960</v>
      </c>
      <c r="B735" s="164" t="s">
        <v>386</v>
      </c>
      <c r="C735" s="170" t="s">
        <v>411</v>
      </c>
    </row>
    <row r="736" spans="1:3">
      <c r="A736" s="171">
        <v>961</v>
      </c>
      <c r="B736" s="164" t="s">
        <v>387</v>
      </c>
      <c r="C736" s="170" t="s">
        <v>411</v>
      </c>
    </row>
    <row r="737" spans="1:3">
      <c r="A737" s="171">
        <v>962</v>
      </c>
      <c r="B737" s="164" t="s">
        <v>388</v>
      </c>
      <c r="C737" s="170" t="s">
        <v>411</v>
      </c>
    </row>
    <row r="738" spans="1:3">
      <c r="A738" s="171">
        <v>963</v>
      </c>
      <c r="B738" s="164" t="s">
        <v>389</v>
      </c>
      <c r="C738" s="170" t="s">
        <v>411</v>
      </c>
    </row>
    <row r="739" spans="1:3">
      <c r="A739" s="171">
        <v>964</v>
      </c>
      <c r="B739" s="164" t="s">
        <v>390</v>
      </c>
      <c r="C739" s="170" t="s">
        <v>411</v>
      </c>
    </row>
    <row r="740" spans="1:3">
      <c r="A740" s="171">
        <v>965</v>
      </c>
      <c r="B740" s="164" t="s">
        <v>391</v>
      </c>
      <c r="C740" s="170" t="s">
        <v>411</v>
      </c>
    </row>
    <row r="741" spans="1:3">
      <c r="A741" s="171">
        <v>966</v>
      </c>
      <c r="B741" s="164" t="s">
        <v>236</v>
      </c>
      <c r="C741" s="170" t="s">
        <v>412</v>
      </c>
    </row>
    <row r="742" spans="1:3">
      <c r="A742" s="171">
        <v>967</v>
      </c>
      <c r="B742" s="164" t="s">
        <v>248</v>
      </c>
      <c r="C742" s="170" t="s">
        <v>411</v>
      </c>
    </row>
    <row r="743" spans="1:3">
      <c r="A743" s="171">
        <v>968</v>
      </c>
      <c r="B743" s="164" t="s">
        <v>248</v>
      </c>
      <c r="C743" s="170" t="s">
        <v>411</v>
      </c>
    </row>
    <row r="744" spans="1:3">
      <c r="A744" s="171">
        <v>969</v>
      </c>
      <c r="B744" s="164" t="s">
        <v>391</v>
      </c>
      <c r="C744" s="170" t="s">
        <v>411</v>
      </c>
    </row>
    <row r="745" spans="1:3">
      <c r="A745" s="171">
        <v>970</v>
      </c>
      <c r="B745" s="164" t="s">
        <v>204</v>
      </c>
      <c r="C745" s="170" t="s">
        <v>411</v>
      </c>
    </row>
    <row r="746" spans="1:3">
      <c r="A746" s="171">
        <v>971</v>
      </c>
      <c r="B746" s="164" t="s">
        <v>392</v>
      </c>
      <c r="C746" s="170" t="s">
        <v>411</v>
      </c>
    </row>
    <row r="747" spans="1:3">
      <c r="A747" s="171">
        <v>972</v>
      </c>
      <c r="B747" s="164" t="s">
        <v>393</v>
      </c>
      <c r="C747" s="170" t="s">
        <v>411</v>
      </c>
    </row>
    <row r="748" spans="1:3">
      <c r="A748" s="171">
        <v>973</v>
      </c>
      <c r="B748" s="164" t="s">
        <v>246</v>
      </c>
      <c r="C748" s="170" t="s">
        <v>411</v>
      </c>
    </row>
    <row r="749" spans="1:3">
      <c r="A749" s="171">
        <v>974</v>
      </c>
      <c r="B749" s="164" t="s">
        <v>272</v>
      </c>
      <c r="C749" s="170" t="s">
        <v>411</v>
      </c>
    </row>
    <row r="750" spans="1:3">
      <c r="A750" s="171">
        <v>975</v>
      </c>
      <c r="B750" s="164" t="s">
        <v>394</v>
      </c>
      <c r="C750" s="170" t="s">
        <v>411</v>
      </c>
    </row>
    <row r="751" spans="1:3">
      <c r="A751" s="171">
        <v>976</v>
      </c>
      <c r="B751" s="164" t="s">
        <v>395</v>
      </c>
      <c r="C751" s="170" t="s">
        <v>411</v>
      </c>
    </row>
    <row r="752" spans="1:3">
      <c r="A752" s="171">
        <v>978</v>
      </c>
      <c r="B752" s="164" t="s">
        <v>230</v>
      </c>
      <c r="C752" s="170" t="s">
        <v>412</v>
      </c>
    </row>
    <row r="753" spans="1:3">
      <c r="A753" s="171">
        <v>979</v>
      </c>
      <c r="B753" s="164" t="s">
        <v>269</v>
      </c>
      <c r="C753" s="170" t="s">
        <v>412</v>
      </c>
    </row>
    <row r="754" spans="1:3">
      <c r="A754" s="171">
        <v>980</v>
      </c>
      <c r="B754" s="164" t="s">
        <v>396</v>
      </c>
      <c r="C754" s="170" t="s">
        <v>411</v>
      </c>
    </row>
    <row r="755" spans="1:3">
      <c r="A755" s="171">
        <v>981</v>
      </c>
      <c r="B755" s="164" t="s">
        <v>397</v>
      </c>
      <c r="C755" s="170" t="s">
        <v>412</v>
      </c>
    </row>
    <row r="756" spans="1:3">
      <c r="A756" s="171">
        <v>982</v>
      </c>
      <c r="B756" s="164" t="s">
        <v>398</v>
      </c>
      <c r="C756" s="170" t="s">
        <v>411</v>
      </c>
    </row>
    <row r="757" spans="1:3">
      <c r="A757" s="171">
        <v>983</v>
      </c>
      <c r="B757" s="164" t="s">
        <v>399</v>
      </c>
      <c r="C757" s="170" t="s">
        <v>411</v>
      </c>
    </row>
    <row r="758" spans="1:3">
      <c r="A758" s="171">
        <v>984</v>
      </c>
      <c r="B758" s="164" t="s">
        <v>400</v>
      </c>
      <c r="C758" s="170" t="s">
        <v>411</v>
      </c>
    </row>
    <row r="759" spans="1:3">
      <c r="A759" s="171">
        <v>985</v>
      </c>
      <c r="B759" s="164" t="s">
        <v>401</v>
      </c>
      <c r="C759" s="170" t="s">
        <v>411</v>
      </c>
    </row>
    <row r="760" spans="1:3">
      <c r="A760" s="171">
        <v>989</v>
      </c>
      <c r="B760" s="164" t="s">
        <v>285</v>
      </c>
      <c r="C760" s="170" t="s">
        <v>411</v>
      </c>
    </row>
    <row r="761" spans="1:3">
      <c r="A761" s="171">
        <v>990</v>
      </c>
      <c r="B761" s="164" t="s">
        <v>286</v>
      </c>
      <c r="C761" s="170" t="s">
        <v>412</v>
      </c>
    </row>
    <row r="762" spans="1:3">
      <c r="A762" s="171">
        <v>991</v>
      </c>
      <c r="B762" s="164" t="s">
        <v>236</v>
      </c>
      <c r="C762" s="170" t="s">
        <v>412</v>
      </c>
    </row>
    <row r="763" spans="1:3">
      <c r="A763" s="171">
        <v>996</v>
      </c>
      <c r="B763" s="164" t="s">
        <v>315</v>
      </c>
      <c r="C763" s="170" t="s">
        <v>411</v>
      </c>
    </row>
    <row r="764" spans="1:3">
      <c r="A764" s="171">
        <v>997</v>
      </c>
      <c r="B764" s="164" t="s">
        <v>402</v>
      </c>
      <c r="C764" s="170" t="s">
        <v>411</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3"/>
  <sheetViews>
    <sheetView zoomScale="90" zoomScaleNormal="90" workbookViewId="0">
      <selection activeCell="M27" sqref="M27"/>
    </sheetView>
  </sheetViews>
  <sheetFormatPr defaultRowHeight="12.75"/>
  <cols>
    <col min="1" max="1" width="32.140625" bestFit="1" customWidth="1"/>
    <col min="2" max="2" width="11.85546875" bestFit="1" customWidth="1"/>
    <col min="3" max="3" width="5.42578125" bestFit="1" customWidth="1"/>
    <col min="4" max="4" width="16.42578125" customWidth="1"/>
    <col min="5" max="5" width="16.140625" bestFit="1" customWidth="1"/>
    <col min="6" max="9" width="14.7109375" customWidth="1"/>
  </cols>
  <sheetData>
    <row r="1" spans="1:9">
      <c r="A1" s="169" t="s">
        <v>19</v>
      </c>
      <c r="B1" s="169"/>
    </row>
    <row r="2" spans="1:9" ht="36.75" customHeight="1">
      <c r="A2" s="308" t="str">
        <f>Overview!B4&amp; " - Effective from "&amp;Overview!C4&amp;" - "&amp;Overview!E4&amp;" Residual Charging Bands"</f>
        <v>London Power Networks - Effective from 2022/23 - Final Residual Charging Bands</v>
      </c>
      <c r="B2" s="309"/>
      <c r="C2" s="309"/>
      <c r="D2" s="309"/>
      <c r="E2" s="309"/>
      <c r="F2" s="309"/>
      <c r="G2" s="309"/>
      <c r="H2" s="309"/>
      <c r="I2" s="309"/>
    </row>
    <row r="3" spans="1:9">
      <c r="A3" s="189"/>
      <c r="B3" s="189"/>
      <c r="C3" s="189"/>
      <c r="D3" s="189"/>
    </row>
    <row r="4" spans="1:9" ht="63.75">
      <c r="A4" s="190" t="s">
        <v>647</v>
      </c>
      <c r="B4" s="190" t="s">
        <v>643</v>
      </c>
      <c r="C4" s="190" t="s">
        <v>650</v>
      </c>
      <c r="D4" s="190" t="s">
        <v>654</v>
      </c>
      <c r="E4" s="190" t="s">
        <v>655</v>
      </c>
      <c r="F4" s="218" t="s">
        <v>1196</v>
      </c>
      <c r="G4" s="218" t="s">
        <v>1197</v>
      </c>
      <c r="H4" s="218" t="s">
        <v>1198</v>
      </c>
      <c r="I4" s="218" t="s">
        <v>1199</v>
      </c>
    </row>
    <row r="5" spans="1:9" ht="14.25">
      <c r="A5" s="191" t="s">
        <v>140</v>
      </c>
      <c r="B5" s="192" t="s">
        <v>645</v>
      </c>
      <c r="C5" s="192" t="s">
        <v>646</v>
      </c>
      <c r="D5" s="197" t="s">
        <v>646</v>
      </c>
      <c r="E5" s="197" t="s">
        <v>646</v>
      </c>
      <c r="F5" s="215">
        <v>-1.9750803676645574</v>
      </c>
      <c r="G5" s="217"/>
      <c r="H5" s="217"/>
      <c r="I5" s="217"/>
    </row>
    <row r="6" spans="1:9" ht="14.25" customHeight="1">
      <c r="A6" s="305" t="s">
        <v>657</v>
      </c>
      <c r="B6" s="192">
        <v>1</v>
      </c>
      <c r="C6" s="192" t="s">
        <v>651</v>
      </c>
      <c r="D6" s="197">
        <v>0</v>
      </c>
      <c r="E6" s="197">
        <v>3571</v>
      </c>
      <c r="F6" s="215">
        <v>-0.77548883717764883</v>
      </c>
      <c r="G6" s="217"/>
      <c r="H6" s="217"/>
      <c r="I6" s="217"/>
    </row>
    <row r="7" spans="1:9" ht="14.25">
      <c r="A7" s="306"/>
      <c r="B7" s="192">
        <v>2</v>
      </c>
      <c r="C7" s="192" t="s">
        <v>651</v>
      </c>
      <c r="D7" s="197">
        <v>3571</v>
      </c>
      <c r="E7" s="197">
        <v>12553</v>
      </c>
      <c r="F7" s="215">
        <v>-3.2009280559646283</v>
      </c>
      <c r="G7" s="216">
        <v>-0.12510535080813531</v>
      </c>
      <c r="H7" s="216">
        <v>-0.12510535080813531</v>
      </c>
      <c r="I7" s="216">
        <v>-3.5050623551152175E-2</v>
      </c>
    </row>
    <row r="8" spans="1:9" ht="14.25">
      <c r="A8" s="306"/>
      <c r="B8" s="192">
        <v>3</v>
      </c>
      <c r="C8" s="192" t="s">
        <v>651</v>
      </c>
      <c r="D8" s="197">
        <v>12553</v>
      </c>
      <c r="E8" s="197">
        <v>25279</v>
      </c>
      <c r="F8" s="215">
        <v>-3.2009280559646283</v>
      </c>
      <c r="G8" s="216">
        <v>-0.27387445640013791</v>
      </c>
      <c r="H8" s="216">
        <v>-0.27387445640013791</v>
      </c>
      <c r="I8" s="216">
        <v>-3.5050623551152175E-2</v>
      </c>
    </row>
    <row r="9" spans="1:9" ht="14.25">
      <c r="A9" s="307"/>
      <c r="B9" s="192">
        <v>4</v>
      </c>
      <c r="C9" s="192" t="s">
        <v>651</v>
      </c>
      <c r="D9" s="197">
        <v>25279</v>
      </c>
      <c r="E9" s="197" t="s">
        <v>653</v>
      </c>
      <c r="F9" s="215">
        <v>-3.2009280559646283</v>
      </c>
      <c r="G9" s="216">
        <v>-0.34815666205729651</v>
      </c>
      <c r="H9" s="216">
        <v>-0.34815666205729651</v>
      </c>
      <c r="I9" s="216">
        <v>-3.5050623551152175E-2</v>
      </c>
    </row>
    <row r="10" spans="1:9" ht="14.25">
      <c r="A10" s="305" t="s">
        <v>660</v>
      </c>
      <c r="B10" s="192">
        <v>1</v>
      </c>
      <c r="C10" s="192" t="s">
        <v>652</v>
      </c>
      <c r="D10" s="197">
        <v>0</v>
      </c>
      <c r="E10" s="197">
        <v>80</v>
      </c>
      <c r="F10" s="215">
        <v>-5.8566104238242449</v>
      </c>
      <c r="G10" s="216">
        <v>-0.3767897913154013</v>
      </c>
      <c r="H10" s="216">
        <v>-0.3767897913154013</v>
      </c>
      <c r="I10" s="216">
        <v>-2.4141973032184225E-2</v>
      </c>
    </row>
    <row r="11" spans="1:9" ht="14.25">
      <c r="A11" s="306"/>
      <c r="B11" s="192">
        <v>2</v>
      </c>
      <c r="C11" s="192" t="s">
        <v>652</v>
      </c>
      <c r="D11" s="197">
        <v>80</v>
      </c>
      <c r="E11" s="197">
        <v>150</v>
      </c>
      <c r="F11" s="215">
        <v>-5.8566104238242449</v>
      </c>
      <c r="G11" s="216">
        <v>-0.38711404473667838</v>
      </c>
      <c r="H11" s="216">
        <v>-0.38711404473667838</v>
      </c>
      <c r="I11" s="216">
        <v>-2.4141973032184225E-2</v>
      </c>
    </row>
    <row r="12" spans="1:9" ht="14.25">
      <c r="A12" s="306"/>
      <c r="B12" s="192">
        <v>3</v>
      </c>
      <c r="C12" s="192" t="s">
        <v>652</v>
      </c>
      <c r="D12" s="197">
        <v>150</v>
      </c>
      <c r="E12" s="197">
        <v>231</v>
      </c>
      <c r="F12" s="215">
        <v>-5.8566104238242449</v>
      </c>
      <c r="G12" s="216">
        <v>-0.39655100202230914</v>
      </c>
      <c r="H12" s="216">
        <v>-0.39655100202230914</v>
      </c>
      <c r="I12" s="216">
        <v>-2.4141973032184225E-2</v>
      </c>
    </row>
    <row r="13" spans="1:9" ht="14.25">
      <c r="A13" s="307"/>
      <c r="B13" s="192">
        <v>4</v>
      </c>
      <c r="C13" s="192" t="s">
        <v>652</v>
      </c>
      <c r="D13" s="197">
        <v>231</v>
      </c>
      <c r="E13" s="197" t="s">
        <v>653</v>
      </c>
      <c r="F13" s="215">
        <v>-5.8566104238242449</v>
      </c>
      <c r="G13" s="216">
        <v>-0.4041871969033205</v>
      </c>
      <c r="H13" s="216">
        <v>-0.4041871969033205</v>
      </c>
      <c r="I13" s="216">
        <v>-2.4141973032184225E-2</v>
      </c>
    </row>
    <row r="14" spans="1:9" ht="14.25">
      <c r="A14" s="305" t="s">
        <v>659</v>
      </c>
      <c r="B14" s="192">
        <v>1</v>
      </c>
      <c r="C14" s="192" t="s">
        <v>652</v>
      </c>
      <c r="D14" s="197">
        <v>0</v>
      </c>
      <c r="E14" s="197">
        <v>422</v>
      </c>
      <c r="F14" s="215">
        <v>-78.569805371831023</v>
      </c>
      <c r="G14" s="216">
        <v>-0.35119911065767984</v>
      </c>
      <c r="H14" s="216">
        <v>-0.35119911065767984</v>
      </c>
      <c r="I14" s="216">
        <v>-1.6837748694403586E-2</v>
      </c>
    </row>
    <row r="15" spans="1:9" ht="14.25">
      <c r="A15" s="306"/>
      <c r="B15" s="192">
        <v>2</v>
      </c>
      <c r="C15" s="192" t="s">
        <v>652</v>
      </c>
      <c r="D15" s="197">
        <v>422</v>
      </c>
      <c r="E15" s="197">
        <v>1000</v>
      </c>
      <c r="F15" s="215">
        <v>-78.569805371831023</v>
      </c>
      <c r="G15" s="216">
        <v>-0.39731306102425173</v>
      </c>
      <c r="H15" s="216">
        <v>-0.39731306102425173</v>
      </c>
      <c r="I15" s="216">
        <v>-1.6837748694403586E-2</v>
      </c>
    </row>
    <row r="16" spans="1:9" ht="14.25">
      <c r="A16" s="306"/>
      <c r="B16" s="192">
        <v>3</v>
      </c>
      <c r="C16" s="192" t="s">
        <v>652</v>
      </c>
      <c r="D16" s="197">
        <v>1000</v>
      </c>
      <c r="E16" s="197">
        <v>1800</v>
      </c>
      <c r="F16" s="215">
        <v>-78.569805371831023</v>
      </c>
      <c r="G16" s="216">
        <v>-0.40898000800501266</v>
      </c>
      <c r="H16" s="216">
        <v>-0.40898000800501266</v>
      </c>
      <c r="I16" s="216">
        <v>-1.6837748694403586E-2</v>
      </c>
    </row>
    <row r="17" spans="1:9" ht="14.25">
      <c r="A17" s="307"/>
      <c r="B17" s="192">
        <v>4</v>
      </c>
      <c r="C17" s="192" t="s">
        <v>652</v>
      </c>
      <c r="D17" s="197">
        <v>1800</v>
      </c>
      <c r="E17" s="197" t="s">
        <v>653</v>
      </c>
      <c r="F17" s="215">
        <v>-78.569805371831023</v>
      </c>
      <c r="G17" s="216">
        <v>-0.42047139104002218</v>
      </c>
      <c r="H17" s="216">
        <v>-0.42047139104002218</v>
      </c>
      <c r="I17" s="216">
        <v>-1.6837748694403586E-2</v>
      </c>
    </row>
    <row r="18" spans="1:9" ht="14.25">
      <c r="A18" s="312" t="s">
        <v>658</v>
      </c>
      <c r="B18" s="192">
        <v>1</v>
      </c>
      <c r="C18" s="192" t="s">
        <v>652</v>
      </c>
      <c r="D18" s="197">
        <v>0</v>
      </c>
      <c r="E18" s="197">
        <v>5000</v>
      </c>
      <c r="F18" s="215">
        <v>870.46143682717457</v>
      </c>
      <c r="G18" s="216"/>
      <c r="H18" s="216"/>
      <c r="I18" s="216"/>
    </row>
    <row r="19" spans="1:9" ht="14.25">
      <c r="A19" s="313"/>
      <c r="B19" s="192">
        <v>2</v>
      </c>
      <c r="C19" s="192" t="s">
        <v>652</v>
      </c>
      <c r="D19" s="197">
        <v>5000</v>
      </c>
      <c r="E19" s="197">
        <v>12000</v>
      </c>
      <c r="F19" s="215">
        <v>5754.8514687512479</v>
      </c>
      <c r="G19" s="216"/>
      <c r="H19" s="216"/>
      <c r="I19" s="216"/>
    </row>
    <row r="20" spans="1:9" ht="14.25">
      <c r="A20" s="313"/>
      <c r="B20" s="192">
        <v>3</v>
      </c>
      <c r="C20" s="192" t="s">
        <v>652</v>
      </c>
      <c r="D20" s="197">
        <v>12000</v>
      </c>
      <c r="E20" s="197">
        <v>21500</v>
      </c>
      <c r="F20" s="215">
        <v>17523.641323945685</v>
      </c>
      <c r="G20" s="216"/>
      <c r="H20" s="216"/>
      <c r="I20" s="216"/>
    </row>
    <row r="21" spans="1:9" ht="14.25">
      <c r="A21" s="314"/>
      <c r="B21" s="192">
        <v>4</v>
      </c>
      <c r="C21" s="192" t="s">
        <v>652</v>
      </c>
      <c r="D21" s="197">
        <v>21500</v>
      </c>
      <c r="E21" s="197" t="s">
        <v>653</v>
      </c>
      <c r="F21" s="215">
        <v>43861.686689076734</v>
      </c>
      <c r="G21" s="216"/>
      <c r="H21" s="216"/>
      <c r="I21" s="216"/>
    </row>
    <row r="22" spans="1:9">
      <c r="A22" s="311" t="s">
        <v>656</v>
      </c>
      <c r="B22" s="311"/>
      <c r="C22" s="311"/>
      <c r="D22" s="311"/>
      <c r="E22" s="311"/>
      <c r="F22" s="311"/>
      <c r="G22" s="311"/>
      <c r="H22" s="311"/>
      <c r="I22" s="311"/>
    </row>
    <row r="23" spans="1:9" ht="29.25" customHeight="1">
      <c r="A23" s="310" t="s">
        <v>1200</v>
      </c>
      <c r="B23" s="310"/>
      <c r="C23" s="310"/>
      <c r="D23" s="310"/>
      <c r="E23" s="310"/>
      <c r="F23" s="310"/>
      <c r="G23" s="310"/>
      <c r="H23" s="310"/>
      <c r="I23" s="310"/>
    </row>
  </sheetData>
  <mergeCells count="7">
    <mergeCell ref="A6:A9"/>
    <mergeCell ref="A2:I2"/>
    <mergeCell ref="A23:I23"/>
    <mergeCell ref="A22:I22"/>
    <mergeCell ref="A10:A13"/>
    <mergeCell ref="A14:A17"/>
    <mergeCell ref="A18:A21"/>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election activeCell="B1" sqref="B1"/>
    </sheetView>
  </sheetViews>
  <sheetFormatPr defaultRowHeight="12.75"/>
  <cols>
    <col min="1" max="1" width="2.42578125" style="107" customWidth="1"/>
    <col min="2" max="2" width="33.7109375" style="107" customWidth="1"/>
    <col min="3" max="4" width="14.140625" style="107" customWidth="1"/>
    <col min="5" max="9" width="12.140625" style="107" customWidth="1"/>
    <col min="10" max="10" width="5.5703125" style="107" customWidth="1"/>
    <col min="11" max="11" width="5.28515625" style="107" customWidth="1"/>
    <col min="12" max="12" width="35.28515625" style="107" customWidth="1"/>
    <col min="13" max="20" width="11.7109375" style="107" customWidth="1"/>
    <col min="21" max="27" width="9.140625" style="107"/>
    <col min="28" max="28" width="25" style="107" bestFit="1" customWidth="1"/>
    <col min="29" max="29" width="14.5703125" style="107" bestFit="1" customWidth="1"/>
    <col min="30" max="16384" width="9.140625" style="107"/>
  </cols>
  <sheetData>
    <row r="1" spans="1:154">
      <c r="B1" s="91" t="s">
        <v>19</v>
      </c>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row>
    <row r="2" spans="1:154" s="109" customFormat="1" ht="21.75" customHeight="1">
      <c r="B2" s="315" t="str">
        <f>Overview!B4&amp; " - Effective from "&amp;Overview!D4&amp;" - "&amp;Overview!E4</f>
        <v>London Power Networks - Effective from 1 April 2022 - Final</v>
      </c>
      <c r="C2" s="316"/>
      <c r="D2" s="316"/>
      <c r="E2" s="316"/>
      <c r="F2" s="316"/>
      <c r="G2" s="316"/>
      <c r="H2" s="316"/>
      <c r="I2" s="316"/>
      <c r="J2" s="316"/>
      <c r="K2" s="316"/>
      <c r="L2" s="316"/>
      <c r="M2" s="316"/>
      <c r="N2" s="316"/>
      <c r="O2" s="316"/>
      <c r="P2" s="316"/>
      <c r="Q2" s="316"/>
      <c r="R2" s="316"/>
      <c r="S2" s="316"/>
      <c r="T2" s="317"/>
      <c r="U2" s="108"/>
      <c r="V2" s="108"/>
      <c r="W2" s="108"/>
      <c r="X2" s="108"/>
      <c r="Y2" s="108"/>
      <c r="Z2" s="108"/>
      <c r="AA2" s="108"/>
      <c r="AB2" s="28"/>
      <c r="AC2" s="49" t="s">
        <v>160</v>
      </c>
      <c r="AD2" s="49" t="s">
        <v>162</v>
      </c>
      <c r="AE2" s="49" t="s">
        <v>161</v>
      </c>
      <c r="AF2" s="146" t="s">
        <v>25</v>
      </c>
      <c r="AG2" s="146" t="s">
        <v>26</v>
      </c>
      <c r="AH2" s="28" t="s">
        <v>128</v>
      </c>
      <c r="AI2" s="146" t="s">
        <v>32</v>
      </c>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c r="DB2" s="108"/>
      <c r="DC2" s="108"/>
      <c r="DD2" s="108"/>
      <c r="DE2" s="108"/>
      <c r="DF2" s="108"/>
      <c r="DG2" s="108"/>
      <c r="DH2" s="108"/>
      <c r="DI2" s="108"/>
      <c r="DJ2" s="108"/>
      <c r="DK2" s="108"/>
      <c r="DL2" s="108"/>
      <c r="DM2" s="108"/>
      <c r="DN2" s="108"/>
      <c r="DO2" s="108"/>
      <c r="DP2" s="108"/>
      <c r="DQ2" s="108"/>
      <c r="DR2" s="108"/>
      <c r="DS2" s="108"/>
      <c r="DT2" s="108"/>
      <c r="DU2" s="108"/>
      <c r="DV2" s="108"/>
      <c r="DW2" s="108"/>
      <c r="DX2" s="108"/>
      <c r="DY2" s="108"/>
      <c r="DZ2" s="108"/>
      <c r="EA2" s="108"/>
      <c r="EB2" s="108"/>
      <c r="EC2" s="108"/>
      <c r="ED2" s="108"/>
      <c r="EE2" s="108"/>
      <c r="EF2" s="108"/>
      <c r="EG2" s="108"/>
      <c r="EH2" s="108"/>
      <c r="EI2" s="108"/>
      <c r="EJ2" s="108"/>
      <c r="EK2" s="108"/>
      <c r="EL2" s="108"/>
      <c r="EM2" s="108"/>
      <c r="EN2" s="108"/>
      <c r="EO2" s="108"/>
      <c r="EP2" s="108"/>
      <c r="EQ2" s="108"/>
      <c r="ER2" s="108"/>
      <c r="ES2" s="108"/>
      <c r="ET2" s="108"/>
      <c r="EU2" s="108"/>
      <c r="EV2" s="108"/>
      <c r="EW2" s="108"/>
      <c r="EX2" s="108"/>
    </row>
    <row r="3" spans="1:154" s="111" customFormat="1" ht="9" customHeight="1">
      <c r="A3" s="110"/>
      <c r="B3" s="110"/>
      <c r="C3" s="110"/>
      <c r="D3" s="110"/>
      <c r="E3" s="110"/>
      <c r="F3" s="110"/>
      <c r="G3" s="110"/>
      <c r="H3" s="110"/>
      <c r="I3" s="110"/>
      <c r="J3" s="110"/>
      <c r="K3" s="110"/>
      <c r="L3" s="108"/>
      <c r="M3" s="108"/>
      <c r="N3" s="108"/>
      <c r="O3" s="108"/>
      <c r="P3" s="108"/>
      <c r="Q3" s="108"/>
      <c r="R3" s="108"/>
      <c r="S3" s="108"/>
      <c r="T3" s="108"/>
      <c r="U3" s="108"/>
      <c r="V3" s="108"/>
      <c r="W3" s="108"/>
      <c r="X3" s="108"/>
      <c r="Y3" s="108"/>
      <c r="Z3" s="108"/>
      <c r="AA3" s="108"/>
      <c r="AB3" s="18" t="s">
        <v>140</v>
      </c>
      <c r="AC3" s="147" t="s">
        <v>166</v>
      </c>
      <c r="AD3" s="148" t="s">
        <v>168</v>
      </c>
      <c r="AE3" s="149" t="s">
        <v>161</v>
      </c>
      <c r="AF3" s="155" t="s">
        <v>170</v>
      </c>
      <c r="AG3" s="150" t="s">
        <v>173</v>
      </c>
      <c r="AH3" s="150" t="s">
        <v>173</v>
      </c>
      <c r="AI3" s="151" t="s">
        <v>173</v>
      </c>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row>
    <row r="4" spans="1:154" ht="26.25" customHeight="1">
      <c r="B4" s="321" t="s">
        <v>164</v>
      </c>
      <c r="C4" s="322"/>
      <c r="D4" s="322"/>
      <c r="E4" s="322"/>
      <c r="F4" s="322"/>
      <c r="G4" s="322"/>
      <c r="H4" s="322"/>
      <c r="I4" s="323"/>
      <c r="L4" s="321" t="s">
        <v>165</v>
      </c>
      <c r="M4" s="322"/>
      <c r="N4" s="322"/>
      <c r="O4" s="322"/>
      <c r="P4" s="322"/>
      <c r="Q4" s="322"/>
      <c r="R4" s="322"/>
      <c r="S4" s="322"/>
      <c r="T4" s="323"/>
      <c r="AB4" s="18" t="s">
        <v>141</v>
      </c>
      <c r="AC4" s="147" t="s">
        <v>166</v>
      </c>
      <c r="AD4" s="148" t="s">
        <v>168</v>
      </c>
      <c r="AE4" s="149" t="s">
        <v>161</v>
      </c>
      <c r="AF4" s="150" t="s">
        <v>173</v>
      </c>
      <c r="AG4" s="150" t="s">
        <v>173</v>
      </c>
      <c r="AH4" s="150" t="s">
        <v>173</v>
      </c>
      <c r="AI4" s="151" t="s">
        <v>173</v>
      </c>
    </row>
    <row r="5" spans="1:154" ht="18" customHeight="1">
      <c r="B5" s="325" t="s">
        <v>102</v>
      </c>
      <c r="C5" s="325"/>
      <c r="D5" s="325"/>
      <c r="E5" s="325"/>
      <c r="F5" s="325"/>
      <c r="G5" s="325"/>
      <c r="H5" s="325"/>
      <c r="I5" s="325"/>
      <c r="L5" s="325" t="s">
        <v>104</v>
      </c>
      <c r="M5" s="325"/>
      <c r="N5" s="325"/>
      <c r="O5" s="325"/>
      <c r="P5" s="325"/>
      <c r="Q5" s="325"/>
      <c r="R5" s="325"/>
      <c r="S5" s="325"/>
      <c r="T5" s="325"/>
      <c r="AB5" s="18" t="s">
        <v>142</v>
      </c>
      <c r="AC5" s="147" t="s">
        <v>166</v>
      </c>
      <c r="AD5" s="148" t="s">
        <v>168</v>
      </c>
      <c r="AE5" s="149" t="s">
        <v>161</v>
      </c>
      <c r="AF5" s="155" t="s">
        <v>170</v>
      </c>
      <c r="AG5" s="150" t="s">
        <v>173</v>
      </c>
      <c r="AH5" s="150" t="s">
        <v>173</v>
      </c>
      <c r="AI5" s="151" t="s">
        <v>173</v>
      </c>
    </row>
    <row r="6" spans="1:154" s="112" customFormat="1" ht="27.75" customHeight="1">
      <c r="B6" s="324" t="s">
        <v>108</v>
      </c>
      <c r="C6" s="324"/>
      <c r="D6" s="324"/>
      <c r="E6" s="324"/>
      <c r="F6" s="324"/>
      <c r="G6" s="324"/>
      <c r="H6" s="324"/>
      <c r="I6" s="324"/>
      <c r="L6" s="324" t="s">
        <v>109</v>
      </c>
      <c r="M6" s="324"/>
      <c r="N6" s="324"/>
      <c r="O6" s="324"/>
      <c r="P6" s="324"/>
      <c r="Q6" s="324"/>
      <c r="R6" s="324"/>
      <c r="S6" s="324"/>
      <c r="T6" s="324"/>
      <c r="AB6" s="18" t="s">
        <v>143</v>
      </c>
      <c r="AC6" s="147" t="s">
        <v>166</v>
      </c>
      <c r="AD6" s="148" t="s">
        <v>168</v>
      </c>
      <c r="AE6" s="149" t="s">
        <v>161</v>
      </c>
      <c r="AF6" s="150" t="s">
        <v>173</v>
      </c>
      <c r="AG6" s="150" t="s">
        <v>173</v>
      </c>
      <c r="AH6" s="150" t="s">
        <v>173</v>
      </c>
      <c r="AI6" s="151" t="s">
        <v>173</v>
      </c>
    </row>
    <row r="7" spans="1:154" ht="18" customHeight="1">
      <c r="B7" s="325" t="s">
        <v>103</v>
      </c>
      <c r="C7" s="325"/>
      <c r="D7" s="325"/>
      <c r="E7" s="325"/>
      <c r="F7" s="325"/>
      <c r="G7" s="325"/>
      <c r="H7" s="325"/>
      <c r="I7" s="325"/>
      <c r="L7" s="325" t="s">
        <v>105</v>
      </c>
      <c r="M7" s="325"/>
      <c r="N7" s="325"/>
      <c r="O7" s="325"/>
      <c r="P7" s="325"/>
      <c r="Q7" s="325"/>
      <c r="R7" s="325"/>
      <c r="S7" s="325"/>
      <c r="T7" s="325"/>
      <c r="AB7" s="18" t="s">
        <v>144</v>
      </c>
      <c r="AC7" s="147" t="s">
        <v>166</v>
      </c>
      <c r="AD7" s="148" t="s">
        <v>168</v>
      </c>
      <c r="AE7" s="149" t="s">
        <v>161</v>
      </c>
      <c r="AF7" s="155" t="s">
        <v>170</v>
      </c>
      <c r="AG7" s="155" t="s">
        <v>171</v>
      </c>
      <c r="AH7" s="156" t="s">
        <v>172</v>
      </c>
      <c r="AI7" s="157" t="s">
        <v>32</v>
      </c>
    </row>
    <row r="8" spans="1:154" ht="8.25" customHeight="1">
      <c r="AB8" s="18" t="s">
        <v>145</v>
      </c>
      <c r="AC8" s="147" t="s">
        <v>166</v>
      </c>
      <c r="AD8" s="148" t="s">
        <v>168</v>
      </c>
      <c r="AE8" s="149" t="s">
        <v>161</v>
      </c>
      <c r="AF8" s="155" t="s">
        <v>170</v>
      </c>
      <c r="AG8" s="155" t="s">
        <v>171</v>
      </c>
      <c r="AH8" s="156" t="s">
        <v>172</v>
      </c>
      <c r="AI8" s="152" t="s">
        <v>32</v>
      </c>
    </row>
    <row r="9" spans="1:154" ht="72" customHeight="1">
      <c r="B9" s="113" t="s">
        <v>106</v>
      </c>
      <c r="C9" s="114" t="str">
        <f>IFERROR(VLOOKUP($B$10,$AB$2:$AI$18,2,FALSE),AC2)</f>
        <v>Red/black unit charge
p/kWh</v>
      </c>
      <c r="D9" s="114" t="str">
        <f>IFERROR(VLOOKUP($B$10,$AB$2:$AI$18,3,FALSE),AD2)</f>
        <v>Amber/yellow unit charge
p/kWh</v>
      </c>
      <c r="E9" s="114" t="str">
        <f>IFERROR(VLOOKUP($B$10,$AB$2:$AI$18,4,FALSE),AE2)</f>
        <v>Green unit charge
p/kWh</v>
      </c>
      <c r="F9" s="114" t="str">
        <f>IFERROR(VLOOKUP($B$10,$AB$2:$AI$18,5,FALSE),AF2)</f>
        <v>Fixed charge p/MPAN/day</v>
      </c>
      <c r="G9" s="114" t="str">
        <f>IFERROR(VLOOKUP($B$10,$AB$2:$AI$18,6,FALSE),AG2)</f>
        <v>Capacity charge p/kVA/day</v>
      </c>
      <c r="H9" s="114" t="str">
        <f>IFERROR(VLOOKUP($B$10,$AB$2:$AI$18,7,FALSE),AH2)</f>
        <v>Exceeded capacity charge
p/kVA/day</v>
      </c>
      <c r="I9" s="114" t="str">
        <f>IFERROR(VLOOKUP($B$10,$AB$2:$AI$18,8,FALSE),AI2)</f>
        <v>Reactive power charge
p/kVArh</v>
      </c>
      <c r="L9" s="113" t="s">
        <v>107</v>
      </c>
      <c r="M9" s="132" t="str">
        <f>'Annex 2 EHV charges'!H10</f>
        <v>Import
Super Red
unit charge
(p/kWh)</v>
      </c>
      <c r="N9" s="132" t="str">
        <f>'Annex 2 EHV charges'!I10</f>
        <v>Import
fixed charge
(p/day)</v>
      </c>
      <c r="O9" s="132" t="str">
        <f>'Annex 2 EHV charges'!J10</f>
        <v>Import
capacity charge
(p/kVA/day)</v>
      </c>
      <c r="P9" s="132" t="str">
        <f>'Annex 2 EHV charges'!K10</f>
        <v>Import
exceeded capacity charge
(p/kVA/day)</v>
      </c>
      <c r="Q9" s="133" t="str">
        <f>'Annex 2 EHV charges'!L10</f>
        <v>Export
Super Red
unit charge
(p/kWh)</v>
      </c>
      <c r="R9" s="133" t="str">
        <f>'Annex 2 EHV charges'!M10</f>
        <v>Export
fixed charge
(p/day)</v>
      </c>
      <c r="S9" s="133" t="str">
        <f>'Annex 2 EHV charges'!N10</f>
        <v>Export
capacity charge
(p/kVA/day)</v>
      </c>
      <c r="T9" s="133" t="str">
        <f>'Annex 2 EHV charges'!O10</f>
        <v>Export
exceeded capacity charge
(p/kVA/day)</v>
      </c>
      <c r="AB9" s="18" t="s">
        <v>146</v>
      </c>
      <c r="AC9" s="147" t="s">
        <v>166</v>
      </c>
      <c r="AD9" s="148" t="s">
        <v>168</v>
      </c>
      <c r="AE9" s="149" t="s">
        <v>161</v>
      </c>
      <c r="AF9" s="155" t="s">
        <v>170</v>
      </c>
      <c r="AG9" s="155" t="s">
        <v>171</v>
      </c>
      <c r="AH9" s="156" t="s">
        <v>172</v>
      </c>
      <c r="AI9" s="152" t="s">
        <v>32</v>
      </c>
    </row>
    <row r="10" spans="1:154" ht="30" customHeight="1">
      <c r="B10" s="101"/>
      <c r="C10" s="128" t="str">
        <f>IFERROR(VLOOKUP($B$10,'Annex 1 LV, HV and UMS charges'!$A:$K,4,FALSE),"")</f>
        <v/>
      </c>
      <c r="D10" s="129" t="str">
        <f>IFERROR(VLOOKUP($B$10,'Annex 1 LV, HV and UMS charges'!$A:$K,5,FALSE),"")</f>
        <v/>
      </c>
      <c r="E10" s="129" t="str">
        <f>IFERROR(VLOOKUP($B$10,'Annex 1 LV, HV and UMS charges'!$A:$K,6,FALSE),"")</f>
        <v/>
      </c>
      <c r="F10" s="103" t="str">
        <f>IFERROR(VLOOKUP($B$10,'Annex 1 LV, HV and UMS charges'!$A:$K,7,FALSE),"")</f>
        <v/>
      </c>
      <c r="G10" s="103" t="str">
        <f>IFERROR(VLOOKUP($B$10,'Annex 1 LV, HV and UMS charges'!$A:$K,8,FALSE),"")</f>
        <v/>
      </c>
      <c r="H10" s="103" t="str">
        <f>IFERROR(VLOOKUP($B$10,'Annex 1 LV, HV and UMS charges'!$A:$K,9,FALSE),"")</f>
        <v/>
      </c>
      <c r="I10" s="103" t="str">
        <f>IFERROR(VLOOKUP($B$10,'Annex 1 LV, HV and UMS charges'!$A:$K,10,FALSE),"")</f>
        <v/>
      </c>
      <c r="L10" s="101"/>
      <c r="M10" s="103" t="str">
        <f>IFERROR(VLOOKUP($L$10,'Annex 2 EHV charges'!$G:$O,2,FALSE),"")</f>
        <v/>
      </c>
      <c r="N10" s="103" t="str">
        <f>IFERROR(VLOOKUP($L$10,'Annex 2 EHV charges'!$G:$O,3,FALSE),"")</f>
        <v/>
      </c>
      <c r="O10" s="103" t="str">
        <f>IFERROR(VLOOKUP($L$10,'Annex 2 EHV charges'!$G:$O,4,FALSE),"")</f>
        <v/>
      </c>
      <c r="P10" s="103" t="str">
        <f>IFERROR(VLOOKUP($L$10,'Annex 2 EHV charges'!$G:$O,5,FALSE),"")</f>
        <v/>
      </c>
      <c r="Q10" s="116" t="str">
        <f>IFERROR(VLOOKUP($L$10,'Annex 2 EHV charges'!$G:$O,6,FALSE),"")</f>
        <v/>
      </c>
      <c r="R10" s="116" t="str">
        <f>IFERROR(VLOOKUP($L$10,'Annex 2 EHV charges'!$G:$O,7,FALSE),"")</f>
        <v/>
      </c>
      <c r="S10" s="116" t="str">
        <f>IFERROR(VLOOKUP($L$10,'Annex 2 EHV charges'!$G:$O,8,FALSE),"")</f>
        <v/>
      </c>
      <c r="T10" s="116" t="str">
        <f>IFERROR(VLOOKUP($L$10,'Annex 2 EHV charges'!$G:$O,9,FALSE),"")</f>
        <v/>
      </c>
      <c r="AB10" s="18" t="s">
        <v>147</v>
      </c>
      <c r="AC10" s="153" t="s">
        <v>167</v>
      </c>
      <c r="AD10" s="154" t="s">
        <v>169</v>
      </c>
      <c r="AE10" s="149" t="s">
        <v>161</v>
      </c>
      <c r="AF10" s="150" t="s">
        <v>173</v>
      </c>
      <c r="AG10" s="150" t="s">
        <v>173</v>
      </c>
      <c r="AH10" s="150" t="s">
        <v>173</v>
      </c>
      <c r="AI10" s="150" t="s">
        <v>173</v>
      </c>
    </row>
    <row r="11" spans="1:154" ht="7.5" customHeight="1">
      <c r="AB11" s="18" t="s">
        <v>148</v>
      </c>
      <c r="AC11" s="147" t="s">
        <v>166</v>
      </c>
      <c r="AD11" s="148" t="s">
        <v>168</v>
      </c>
      <c r="AE11" s="149" t="s">
        <v>161</v>
      </c>
      <c r="AF11" s="155" t="s">
        <v>170</v>
      </c>
      <c r="AG11" s="150" t="s">
        <v>173</v>
      </c>
      <c r="AH11" s="150" t="s">
        <v>173</v>
      </c>
      <c r="AI11" s="150" t="s">
        <v>173</v>
      </c>
    </row>
    <row r="12" spans="1:154" ht="88.5" customHeight="1">
      <c r="B12" s="117" t="s">
        <v>72</v>
      </c>
      <c r="C12" s="114" t="str">
        <f>C9</f>
        <v>Red/black unit charge
p/kWh</v>
      </c>
      <c r="D12" s="114" t="str">
        <f>D9</f>
        <v>Amber/yellow unit charge
p/kWh</v>
      </c>
      <c r="E12" s="114" t="str">
        <f>E9</f>
        <v>Green unit charge
p/kWh</v>
      </c>
      <c r="F12" s="114" t="s">
        <v>73</v>
      </c>
      <c r="G12" s="114" t="s">
        <v>70</v>
      </c>
      <c r="H12" s="114" t="s">
        <v>131</v>
      </c>
      <c r="I12" s="114" t="s">
        <v>71</v>
      </c>
      <c r="L12" s="117" t="s">
        <v>72</v>
      </c>
      <c r="M12" s="114" t="s">
        <v>92</v>
      </c>
      <c r="N12" s="114" t="s">
        <v>73</v>
      </c>
      <c r="O12" s="114" t="s">
        <v>88</v>
      </c>
      <c r="P12" s="114" t="s">
        <v>131</v>
      </c>
      <c r="Q12" s="115" t="s">
        <v>90</v>
      </c>
      <c r="R12" s="115" t="s">
        <v>73</v>
      </c>
      <c r="S12" s="115" t="s">
        <v>89</v>
      </c>
      <c r="T12" s="115" t="s">
        <v>131</v>
      </c>
      <c r="AB12" s="18" t="s">
        <v>149</v>
      </c>
      <c r="AC12" s="147" t="s">
        <v>166</v>
      </c>
      <c r="AD12" s="148" t="s">
        <v>168</v>
      </c>
      <c r="AE12" s="149" t="s">
        <v>161</v>
      </c>
      <c r="AF12" s="155" t="s">
        <v>170</v>
      </c>
      <c r="AG12" s="150" t="s">
        <v>173</v>
      </c>
      <c r="AH12" s="150" t="s">
        <v>173</v>
      </c>
      <c r="AI12" s="150" t="s">
        <v>173</v>
      </c>
    </row>
    <row r="13" spans="1:154" ht="30" customHeight="1">
      <c r="B13" s="118" t="s">
        <v>74</v>
      </c>
      <c r="C13" s="123"/>
      <c r="D13" s="123"/>
      <c r="E13" s="123"/>
      <c r="F13" s="123"/>
      <c r="G13" s="123"/>
      <c r="H13" s="123"/>
      <c r="I13" s="123"/>
      <c r="L13" s="118" t="s">
        <v>74</v>
      </c>
      <c r="M13" s="104"/>
      <c r="N13" s="104"/>
      <c r="O13" s="104"/>
      <c r="P13" s="104"/>
      <c r="Q13" s="105"/>
      <c r="R13" s="105">
        <f>N13</f>
        <v>0</v>
      </c>
      <c r="S13" s="105"/>
      <c r="T13" s="105"/>
      <c r="AB13" s="18" t="s">
        <v>150</v>
      </c>
      <c r="AC13" s="147" t="s">
        <v>166</v>
      </c>
      <c r="AD13" s="148" t="s">
        <v>168</v>
      </c>
      <c r="AE13" s="149" t="s">
        <v>161</v>
      </c>
      <c r="AF13" s="155" t="s">
        <v>170</v>
      </c>
      <c r="AG13" s="150" t="s">
        <v>173</v>
      </c>
      <c r="AH13" s="150" t="s">
        <v>173</v>
      </c>
      <c r="AI13" s="152" t="s">
        <v>32</v>
      </c>
    </row>
    <row r="14" spans="1:154" ht="30" customHeight="1">
      <c r="B14" s="119" t="s">
        <v>76</v>
      </c>
      <c r="C14" s="102">
        <f t="shared" ref="C14:I14" si="0">C13</f>
        <v>0</v>
      </c>
      <c r="D14" s="102">
        <f t="shared" si="0"/>
        <v>0</v>
      </c>
      <c r="E14" s="102">
        <f t="shared" si="0"/>
        <v>0</v>
      </c>
      <c r="F14" s="102">
        <f t="shared" si="0"/>
        <v>0</v>
      </c>
      <c r="G14" s="102">
        <f t="shared" si="0"/>
        <v>0</v>
      </c>
      <c r="H14" s="102">
        <f t="shared" si="0"/>
        <v>0</v>
      </c>
      <c r="I14" s="102">
        <f t="shared" si="0"/>
        <v>0</v>
      </c>
      <c r="L14" s="119" t="s">
        <v>76</v>
      </c>
      <c r="M14" s="102">
        <f>M13</f>
        <v>0</v>
      </c>
      <c r="N14" s="102">
        <f t="shared" ref="N14:T14" si="1">N13</f>
        <v>0</v>
      </c>
      <c r="O14" s="102">
        <f t="shared" si="1"/>
        <v>0</v>
      </c>
      <c r="P14" s="102">
        <f t="shared" si="1"/>
        <v>0</v>
      </c>
      <c r="Q14" s="106">
        <f t="shared" si="1"/>
        <v>0</v>
      </c>
      <c r="R14" s="106">
        <f t="shared" si="1"/>
        <v>0</v>
      </c>
      <c r="S14" s="106">
        <f t="shared" si="1"/>
        <v>0</v>
      </c>
      <c r="T14" s="106">
        <f t="shared" si="1"/>
        <v>0</v>
      </c>
      <c r="AB14" s="18" t="s">
        <v>151</v>
      </c>
      <c r="AC14" s="147" t="s">
        <v>166</v>
      </c>
      <c r="AD14" s="148" t="s">
        <v>168</v>
      </c>
      <c r="AE14" s="149" t="s">
        <v>161</v>
      </c>
      <c r="AF14" s="155" t="s">
        <v>170</v>
      </c>
      <c r="AG14" s="150" t="s">
        <v>173</v>
      </c>
      <c r="AH14" s="150" t="s">
        <v>173</v>
      </c>
      <c r="AI14" s="150" t="s">
        <v>173</v>
      </c>
    </row>
    <row r="15" spans="1:154" ht="7.5" customHeight="1">
      <c r="AB15" s="18" t="s">
        <v>152</v>
      </c>
      <c r="AC15" s="147" t="s">
        <v>166</v>
      </c>
      <c r="AD15" s="148" t="s">
        <v>168</v>
      </c>
      <c r="AE15" s="149" t="s">
        <v>161</v>
      </c>
      <c r="AF15" s="155" t="s">
        <v>170</v>
      </c>
      <c r="AG15" s="150" t="s">
        <v>173</v>
      </c>
      <c r="AH15" s="150" t="s">
        <v>173</v>
      </c>
      <c r="AI15" s="152" t="s">
        <v>32</v>
      </c>
    </row>
    <row r="16" spans="1:154" ht="63.75" customHeight="1">
      <c r="B16" s="117" t="s">
        <v>75</v>
      </c>
      <c r="C16" s="114" t="s">
        <v>85</v>
      </c>
      <c r="D16" s="114" t="s">
        <v>86</v>
      </c>
      <c r="E16" s="114" t="s">
        <v>87</v>
      </c>
      <c r="F16" s="114" t="s">
        <v>81</v>
      </c>
      <c r="G16" s="114" t="s">
        <v>80</v>
      </c>
      <c r="H16" s="114" t="s">
        <v>132</v>
      </c>
      <c r="I16" s="114" t="s">
        <v>79</v>
      </c>
      <c r="L16" s="117" t="s">
        <v>75</v>
      </c>
      <c r="M16" s="114" t="s">
        <v>93</v>
      </c>
      <c r="N16" s="114" t="s">
        <v>91</v>
      </c>
      <c r="O16" s="114" t="s">
        <v>96</v>
      </c>
      <c r="P16" s="114" t="s">
        <v>133</v>
      </c>
      <c r="Q16" s="115" t="s">
        <v>94</v>
      </c>
      <c r="R16" s="115" t="s">
        <v>95</v>
      </c>
      <c r="S16" s="115" t="s">
        <v>97</v>
      </c>
      <c r="T16" s="115" t="s">
        <v>134</v>
      </c>
      <c r="AB16" s="18" t="s">
        <v>153</v>
      </c>
      <c r="AC16" s="147" t="s">
        <v>166</v>
      </c>
      <c r="AD16" s="148" t="s">
        <v>168</v>
      </c>
      <c r="AE16" s="149" t="s">
        <v>161</v>
      </c>
      <c r="AF16" s="155" t="s">
        <v>170</v>
      </c>
      <c r="AG16" s="150" t="s">
        <v>173</v>
      </c>
      <c r="AH16" s="150" t="s">
        <v>173</v>
      </c>
      <c r="AI16" s="150" t="s">
        <v>173</v>
      </c>
    </row>
    <row r="17" spans="2:35" ht="30" customHeight="1">
      <c r="B17" s="118" t="s">
        <v>77</v>
      </c>
      <c r="C17" s="124" t="str">
        <f>IFERROR(C10*C13/100,"")</f>
        <v/>
      </c>
      <c r="D17" s="124" t="str">
        <f t="shared" ref="D17:I17" si="2">IFERROR(D10*D13/100,"")</f>
        <v/>
      </c>
      <c r="E17" s="124" t="str">
        <f t="shared" si="2"/>
        <v/>
      </c>
      <c r="F17" s="124" t="str">
        <f t="shared" si="2"/>
        <v/>
      </c>
      <c r="G17" s="124" t="str">
        <f>IFERROR(G10*G13*F13/100,"")</f>
        <v/>
      </c>
      <c r="H17" s="124" t="str">
        <f>IFERROR(H10*H13*F13/100,"")</f>
        <v/>
      </c>
      <c r="I17" s="124" t="str">
        <f t="shared" si="2"/>
        <v/>
      </c>
      <c r="L17" s="120" t="s">
        <v>77</v>
      </c>
      <c r="M17" s="124" t="str">
        <f>IFERROR(M10*M13/100,"")</f>
        <v/>
      </c>
      <c r="N17" s="124" t="str">
        <f>IFERROR(N10*N13/100,"")</f>
        <v/>
      </c>
      <c r="O17" s="124" t="str">
        <f>IFERROR(O10*O13*N13/100,"")</f>
        <v/>
      </c>
      <c r="P17" s="124" t="str">
        <f>IFERROR(P10*P13*N13/100,"")</f>
        <v/>
      </c>
      <c r="Q17" s="125" t="str">
        <f>IFERROR(Q10*Q13/100,"")</f>
        <v/>
      </c>
      <c r="R17" s="125" t="str">
        <f>IFERROR(R10*R13/100,"")</f>
        <v/>
      </c>
      <c r="S17" s="125" t="str">
        <f>IFERROR(S10*S13*R13/100,"")</f>
        <v/>
      </c>
      <c r="T17" s="125" t="str">
        <f>IFERROR(T10*T13*R13/100,"")</f>
        <v/>
      </c>
      <c r="AB17" s="18" t="s">
        <v>154</v>
      </c>
      <c r="AC17" s="147" t="s">
        <v>166</v>
      </c>
      <c r="AD17" s="148" t="s">
        <v>168</v>
      </c>
      <c r="AE17" s="149" t="s">
        <v>161</v>
      </c>
      <c r="AF17" s="155" t="s">
        <v>170</v>
      </c>
      <c r="AG17" s="150" t="s">
        <v>173</v>
      </c>
      <c r="AH17" s="150" t="s">
        <v>173</v>
      </c>
      <c r="AI17" s="152" t="s">
        <v>32</v>
      </c>
    </row>
    <row r="18" spans="2:35" ht="30" customHeight="1">
      <c r="B18" s="119" t="s">
        <v>78</v>
      </c>
      <c r="C18" s="126" t="str">
        <f>IFERROR(C10*C14/100,"")</f>
        <v/>
      </c>
      <c r="D18" s="126" t="str">
        <f t="shared" ref="D18:I18" si="3">IFERROR(D10*D14/100,"")</f>
        <v/>
      </c>
      <c r="E18" s="126" t="str">
        <f t="shared" si="3"/>
        <v/>
      </c>
      <c r="F18" s="126" t="str">
        <f t="shared" si="3"/>
        <v/>
      </c>
      <c r="G18" s="126" t="str">
        <f>IFERROR(G10*G14*F14/100,"")</f>
        <v/>
      </c>
      <c r="H18" s="126" t="str">
        <f>IFERROR(H10*H14*F14/100,"")</f>
        <v/>
      </c>
      <c r="I18" s="126" t="str">
        <f t="shared" si="3"/>
        <v/>
      </c>
      <c r="L18" s="121" t="s">
        <v>78</v>
      </c>
      <c r="M18" s="126" t="str">
        <f>IFERROR(M10*M14/100,"")</f>
        <v/>
      </c>
      <c r="N18" s="126" t="str">
        <f>IFERROR(N10*N14/100,"")</f>
        <v/>
      </c>
      <c r="O18" s="126" t="str">
        <f>IFERROR(O10*O14*N14/100,"")</f>
        <v/>
      </c>
      <c r="P18" s="126" t="str">
        <f>IFERROR(P10*P14*N14/100,"")</f>
        <v/>
      </c>
      <c r="Q18" s="127" t="str">
        <f>IFERROR(Q10*Q14/100,"")</f>
        <v/>
      </c>
      <c r="R18" s="127" t="str">
        <f>IFERROR(R10*R14/100,"")</f>
        <v/>
      </c>
      <c r="S18" s="127" t="str">
        <f>IFERROR(S10*S14*R14/100,"")</f>
        <v/>
      </c>
      <c r="T18" s="127" t="str">
        <f>IFERROR(T10*T14*R14/100,"")</f>
        <v/>
      </c>
      <c r="AB18" s="18" t="s">
        <v>155</v>
      </c>
      <c r="AC18" s="147" t="s">
        <v>166</v>
      </c>
      <c r="AD18" s="148" t="s">
        <v>168</v>
      </c>
      <c r="AE18" s="149" t="s">
        <v>161</v>
      </c>
      <c r="AF18" s="155" t="s">
        <v>170</v>
      </c>
      <c r="AG18" s="150" t="s">
        <v>173</v>
      </c>
      <c r="AH18" s="150" t="s">
        <v>173</v>
      </c>
      <c r="AI18" s="150" t="s">
        <v>173</v>
      </c>
    </row>
    <row r="19" spans="2:35" ht="7.5" customHeight="1"/>
    <row r="20" spans="2:35" ht="39.75" customHeight="1">
      <c r="C20" s="122" t="s">
        <v>82</v>
      </c>
      <c r="M20" s="114" t="s">
        <v>98</v>
      </c>
      <c r="N20" s="115" t="s">
        <v>99</v>
      </c>
    </row>
    <row r="21" spans="2:35" ht="30" customHeight="1">
      <c r="B21" s="118" t="s">
        <v>77</v>
      </c>
      <c r="C21" s="124">
        <f>SUM(C17:I17)</f>
        <v>0</v>
      </c>
      <c r="L21" s="118" t="s">
        <v>77</v>
      </c>
      <c r="M21" s="124">
        <f>SUM(M17:P17)</f>
        <v>0</v>
      </c>
      <c r="N21" s="125">
        <f>SUM(Q17:T17)</f>
        <v>0</v>
      </c>
    </row>
    <row r="22" spans="2:35" ht="30" customHeight="1">
      <c r="B22" s="119" t="s">
        <v>78</v>
      </c>
      <c r="C22" s="126">
        <f>SUM(C18:I18)</f>
        <v>0</v>
      </c>
      <c r="L22" s="119" t="s">
        <v>78</v>
      </c>
      <c r="M22" s="126">
        <f>SUM(M18:P18)</f>
        <v>0</v>
      </c>
      <c r="N22" s="127">
        <f>SUM(Q18:T18)</f>
        <v>0</v>
      </c>
    </row>
    <row r="24" spans="2:35" ht="30.75" customHeight="1">
      <c r="B24" s="318" t="s">
        <v>100</v>
      </c>
      <c r="C24" s="319"/>
      <c r="D24" s="320"/>
      <c r="L24" s="318" t="s">
        <v>101</v>
      </c>
      <c r="M24" s="319"/>
      <c r="N24" s="32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0000000}">
          <x14:formula1>
            <xm:f>'Annex 1 LV, HV and UMS charges'!$A$13:$A$44</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EHV charges'!$G$11:$G$59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Fetherston, Chloe</cp:lastModifiedBy>
  <cp:lastPrinted>2020-12-18T12:25:38Z</cp:lastPrinted>
  <dcterms:created xsi:type="dcterms:W3CDTF">2009-11-12T11:38:00Z</dcterms:created>
  <dcterms:modified xsi:type="dcterms:W3CDTF">2022-11-15T15:02:42Z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