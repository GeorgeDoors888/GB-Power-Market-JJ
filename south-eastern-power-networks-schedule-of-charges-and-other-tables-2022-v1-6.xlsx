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26"/>
  <workbookPr codeName="ThisWorkbook" defaultThemeVersion="124226"/>
  <mc:AlternateContent xmlns:mc="http://schemas.openxmlformats.org/markup-compatibility/2006">
    <mc:Choice Requires="x15">
      <x15ac:absPath xmlns:x15ac="http://schemas.microsoft.com/office/spreadsheetml/2010/11/ac" url="T:\Use of System\Price Reviews\2022-04-01\Statements\Excel documents\"/>
    </mc:Choice>
  </mc:AlternateContent>
  <xr:revisionPtr revIDLastSave="0" documentId="13_ncr:1_{3BE4A894-BBC9-4DB0-91EB-C5061ACCCC08}" xr6:coauthVersionLast="47" xr6:coauthVersionMax="47" xr10:uidLastSave="{00000000-0000-0000-0000-000000000000}"/>
  <bookViews>
    <workbookView xWindow="-120" yWindow="-120" windowWidth="29040" windowHeight="15840" tabRatio="862" activeTab="8" xr2:uid="{00000000-000D-0000-FFFF-FFFF00000000}"/>
  </bookViews>
  <sheets>
    <sheet name="Overview" sheetId="1" r:id="rId1"/>
    <sheet name="Annex 1 LV, HV and UMS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Residual Charging Bands" sheetId="26" r:id="rId13"/>
    <sheet name="Charge Calculator" sheetId="15" r:id="rId14"/>
  </sheets>
  <definedNames>
    <definedName name="_xlnm._FilterDatabase" localSheetId="2" hidden="1">'Annex 2 EHV charges'!$A$9:$O$108</definedName>
    <definedName name="_xlnm._FilterDatabase" localSheetId="6" hidden="1">'Annex 4 LDNO charges'!$A$11:$J$201</definedName>
    <definedName name="_xlnm._FilterDatabase" localSheetId="7" hidden="1">'Annex 5 LLFs'!$A$25:$G$184</definedName>
    <definedName name="_xlnm._FilterDatabase" localSheetId="8" hidden="1">'Annex 6 New or Amended EHV'!$A$5:$P$56</definedName>
    <definedName name="_xlnm._FilterDatabase" localSheetId="9" hidden="1">'Annex 7 Pass-Through Costs'!$A$4:$F$165</definedName>
    <definedName name="_xlnm._FilterDatabase" localSheetId="10" hidden="1">'Nodal prices'!$C$3:$D$318</definedName>
    <definedName name="_xlnm._FilterDatabase" localSheetId="11" hidden="1">'SSC unit rate lookup'!$A$28:$D$764</definedName>
    <definedName name="OLE_LINK1" localSheetId="5">'Annex 3 Preserved charges'!#REF!</definedName>
    <definedName name="_xlnm.Print_Area" localSheetId="1">'Annex 1 LV, HV and UMS charges'!$A$2:$K$43</definedName>
    <definedName name="_xlnm.Print_Area" localSheetId="2">'Annex 2 EHV charges'!$A$2:$O$108</definedName>
    <definedName name="_xlnm.Print_Area" localSheetId="3">'Annex 2a Import'!$A$2:$H$102</definedName>
    <definedName name="_xlnm.Print_Area" localSheetId="4">'Annex 2b Export'!$A$2:$H$72</definedName>
    <definedName name="_xlnm.Print_Area" localSheetId="5">'Annex 3 Preserved charges'!$A$2:$J$16</definedName>
    <definedName name="_xlnm.Print_Area" localSheetId="6">'Annex 4 LDNO charges'!$A$2:$J$201</definedName>
    <definedName name="_xlnm.Print_Area" localSheetId="7">'Annex 5 LLFs'!$A$2:$G$194</definedName>
    <definedName name="_xlnm.Print_Area" localSheetId="8">'Annex 6 New or Amended EHV'!$A$61:$R$111</definedName>
    <definedName name="_xlnm.Print_Area" localSheetId="9">'Annex 7 Pass-Through Costs'!$A$2:$F$165</definedName>
    <definedName name="_xlnm.Print_Area" localSheetId="10">'Nodal prices'!$A$2:$D$26</definedName>
    <definedName name="_xlnm.Print_Titles" localSheetId="1">'Annex 1 LV, HV and UMS charges'!$2:$11</definedName>
    <definedName name="_xlnm.Print_Titles" localSheetId="2">'Annex 2 EHV charges'!$9:$9</definedName>
    <definedName name="_xlnm.Print_Titles" localSheetId="3">'Annex 2a Import'!$2:$4</definedName>
    <definedName name="_xlnm.Print_Titles" localSheetId="4">'Annex 2b Export'!$2:$4</definedName>
    <definedName name="_xlnm.Print_Titles" localSheetId="6">'Annex 4 LDNO charges'!$11:$11</definedName>
    <definedName name="_xlnm.Print_Titles" localSheetId="8">'Annex 6 New or Amended EHV'!$61:$62</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charges'!$A$2:$K$43</definedName>
    <definedName name="Z_5032A364_B81A_48DA_88DA_AB3B86B47EE9_.wvu.PrintArea" localSheetId="2" hidden="1">'Annex 2 EHV charges'!$A$2:$I$19</definedName>
    <definedName name="Z_5032A364_B81A_48DA_88DA_AB3B86B47EE9_.wvu.PrintArea" localSheetId="5" hidden="1">'Annex 3 Preserved charges'!$A$2:$J$16</definedName>
    <definedName name="Z_5032A364_B81A_48DA_88DA_AB3B86B47EE9_.wvu.PrintArea" localSheetId="6" hidden="1">'Annex 4 LDNO charges'!$A$2:$I$9</definedName>
    <definedName name="Z_5032A364_B81A_48DA_88DA_AB3B86B47EE9_.wvu.PrintArea" localSheetId="7" hidden="1">'Annex 5 LLFs'!$A$3:$F$123</definedName>
    <definedName name="Z_5032A364_B81A_48DA_88DA_AB3B86B47EE9_.wvu.PrintArea" localSheetId="8" hidden="1">'Annex 6 New or Amended EHV'!$A$1:$P$72</definedName>
    <definedName name="Z_5032A364_B81A_48DA_88DA_AB3B86B47EE9_.wvu.PrintArea" localSheetId="9" hidden="1">'Annex 7 Pass-Through Costs'!$A$2:$D$5</definedName>
    <definedName name="Z_5032A364_B81A_48DA_88DA_AB3B86B47EE9_.wvu.PrintArea" localSheetId="10" hidden="1">'Nodal prices'!$A$2:$D$26</definedName>
    <definedName name="Z_5032A364_B81A_48DA_88DA_AB3B86B47EE9_.wvu.PrintTitles" localSheetId="1" hidden="1">'Annex 1 LV, HV and UMS charges'!$2:$11</definedName>
    <definedName name="Z_5032A364_B81A_48DA_88DA_AB3B86B47EE9_.wvu.PrintTitles" localSheetId="2" hidden="1">'Annex 2 EHV charges'!$2:$9</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24" l="1"/>
  <c r="B7" i="24"/>
  <c r="B8" i="24"/>
  <c r="B9" i="24"/>
  <c r="B10" i="24"/>
  <c r="B11" i="24"/>
  <c r="B12" i="24"/>
  <c r="B13" i="24"/>
  <c r="B14" i="24"/>
  <c r="B15" i="24"/>
  <c r="B16" i="24"/>
  <c r="B17" i="24"/>
  <c r="B18" i="24"/>
  <c r="B19" i="24"/>
  <c r="B20" i="24"/>
  <c r="B21" i="24"/>
  <c r="B22" i="24"/>
  <c r="B23" i="24"/>
  <c r="B24" i="24"/>
  <c r="B25" i="24"/>
  <c r="B26" i="24"/>
  <c r="B27" i="24"/>
  <c r="B28" i="24"/>
  <c r="B29" i="24"/>
  <c r="B30" i="24"/>
  <c r="B31" i="24"/>
  <c r="B32" i="24"/>
  <c r="B33" i="24"/>
  <c r="B34" i="24"/>
  <c r="B35" i="24"/>
  <c r="B36" i="24"/>
  <c r="B37" i="24"/>
  <c r="B38" i="24"/>
  <c r="B39" i="24"/>
  <c r="B40" i="24"/>
  <c r="B41" i="24"/>
  <c r="B42" i="24"/>
  <c r="B43" i="24"/>
  <c r="B44" i="24"/>
  <c r="B45" i="24"/>
  <c r="B46" i="24"/>
  <c r="B47" i="24"/>
  <c r="B48" i="24"/>
  <c r="B49" i="24"/>
  <c r="B50" i="24"/>
  <c r="B51" i="24"/>
  <c r="B52" i="24"/>
  <c r="B53" i="24"/>
  <c r="B54" i="24"/>
  <c r="B55" i="24"/>
  <c r="B56" i="24"/>
  <c r="B57" i="24"/>
  <c r="B58" i="24"/>
  <c r="B59" i="24"/>
  <c r="B60" i="24"/>
  <c r="B61" i="24"/>
  <c r="B62" i="24"/>
  <c r="B63" i="24"/>
  <c r="B64" i="24"/>
  <c r="B65" i="24"/>
  <c r="B66" i="24"/>
  <c r="B67" i="24"/>
  <c r="B68" i="24"/>
  <c r="B69" i="24"/>
  <c r="B70" i="24"/>
  <c r="B71" i="24"/>
  <c r="B72" i="24"/>
  <c r="B73" i="24"/>
  <c r="B74" i="24"/>
  <c r="B75" i="24"/>
  <c r="B76" i="24"/>
  <c r="B77" i="24"/>
  <c r="B78" i="24"/>
  <c r="B79" i="24"/>
  <c r="B80" i="24"/>
  <c r="B81" i="24"/>
  <c r="B82" i="24"/>
  <c r="B83" i="24"/>
  <c r="B84" i="24"/>
  <c r="B85" i="24"/>
  <c r="B86" i="24"/>
  <c r="B87" i="24"/>
  <c r="B88" i="24"/>
  <c r="B89" i="24"/>
  <c r="B90" i="24"/>
  <c r="B91" i="24"/>
  <c r="B92" i="24"/>
  <c r="B93" i="24"/>
  <c r="B94" i="24"/>
  <c r="B95" i="24"/>
  <c r="B96" i="24"/>
  <c r="B97" i="24"/>
  <c r="B98" i="24"/>
  <c r="B99" i="24"/>
  <c r="B100" i="24"/>
  <c r="B101" i="24"/>
  <c r="B102" i="24"/>
  <c r="B103" i="24"/>
  <c r="B104" i="24"/>
  <c r="B105" i="24"/>
  <c r="B106" i="24"/>
  <c r="B107" i="24"/>
  <c r="B108" i="24"/>
  <c r="B109" i="24"/>
  <c r="B110" i="24"/>
  <c r="B111" i="24"/>
  <c r="B112" i="24"/>
  <c r="B113" i="24"/>
  <c r="B114" i="24"/>
  <c r="B115" i="24"/>
  <c r="B116" i="24"/>
  <c r="B117" i="24"/>
  <c r="B118" i="24"/>
  <c r="B119" i="24"/>
  <c r="B120" i="24"/>
  <c r="B121" i="24"/>
  <c r="B122" i="24"/>
  <c r="B123" i="24"/>
  <c r="B124" i="24"/>
  <c r="B125" i="24"/>
  <c r="B126" i="24"/>
  <c r="B127" i="24"/>
  <c r="B128" i="24"/>
  <c r="B129" i="24"/>
  <c r="B130" i="24"/>
  <c r="B131" i="24"/>
  <c r="B132" i="24"/>
  <c r="B133" i="24"/>
  <c r="B134" i="24"/>
  <c r="B135" i="24"/>
  <c r="B136" i="24"/>
  <c r="B137" i="24"/>
  <c r="B138" i="24"/>
  <c r="B139" i="24"/>
  <c r="B140" i="24"/>
  <c r="B141" i="24"/>
  <c r="B142" i="24"/>
  <c r="B143" i="24"/>
  <c r="B144" i="24"/>
  <c r="B145" i="24"/>
  <c r="B146" i="24"/>
  <c r="B147" i="24"/>
  <c r="B148" i="24"/>
  <c r="B149" i="24"/>
  <c r="B150" i="24"/>
  <c r="B151" i="24"/>
  <c r="B152" i="24"/>
  <c r="B153" i="24"/>
  <c r="B154" i="24"/>
  <c r="B155" i="24"/>
  <c r="B156" i="24"/>
  <c r="B157" i="24"/>
  <c r="B158" i="24"/>
  <c r="B159" i="24"/>
  <c r="B160" i="24"/>
  <c r="B161" i="24"/>
  <c r="B162" i="24"/>
  <c r="B5" i="24"/>
  <c r="C6" i="24" l="1"/>
  <c r="C7" i="24"/>
  <c r="C8" i="24"/>
  <c r="C9" i="24"/>
  <c r="C10" i="24"/>
  <c r="C11" i="24"/>
  <c r="C12" i="24"/>
  <c r="C13" i="24"/>
  <c r="C14" i="24"/>
  <c r="C15" i="24"/>
  <c r="C16" i="24"/>
  <c r="C17" i="24"/>
  <c r="C18" i="24"/>
  <c r="C19" i="24"/>
  <c r="C20" i="24"/>
  <c r="C21" i="24"/>
  <c r="C22" i="24"/>
  <c r="C23" i="24"/>
  <c r="C24" i="24"/>
  <c r="C25" i="24"/>
  <c r="C26" i="24"/>
  <c r="C27" i="24"/>
  <c r="C28" i="24"/>
  <c r="C29" i="24"/>
  <c r="C30" i="24"/>
  <c r="C31" i="24"/>
  <c r="C32" i="24"/>
  <c r="C33" i="24"/>
  <c r="C34" i="24"/>
  <c r="C35" i="24"/>
  <c r="C36" i="24"/>
  <c r="C37" i="24"/>
  <c r="C38" i="24"/>
  <c r="C39" i="24"/>
  <c r="C40" i="24"/>
  <c r="C41" i="24"/>
  <c r="C42" i="24"/>
  <c r="C43" i="24"/>
  <c r="C44" i="24"/>
  <c r="C45" i="24"/>
  <c r="C46" i="24"/>
  <c r="C47" i="24"/>
  <c r="C48" i="24"/>
  <c r="C49" i="24"/>
  <c r="C50" i="24"/>
  <c r="C51" i="24"/>
  <c r="C52" i="24"/>
  <c r="C53" i="24"/>
  <c r="C54" i="24"/>
  <c r="C55" i="24"/>
  <c r="C56" i="24"/>
  <c r="C57" i="24"/>
  <c r="C58" i="24"/>
  <c r="C59" i="24"/>
  <c r="C60" i="24"/>
  <c r="C61" i="24"/>
  <c r="C62" i="24"/>
  <c r="C63" i="24"/>
  <c r="C64" i="24"/>
  <c r="C65" i="24"/>
  <c r="C66" i="24"/>
  <c r="C67" i="24"/>
  <c r="C68" i="24"/>
  <c r="C69" i="24"/>
  <c r="C70" i="24"/>
  <c r="C71" i="24"/>
  <c r="C72" i="24"/>
  <c r="C73" i="24"/>
  <c r="C74" i="24"/>
  <c r="C75" i="24"/>
  <c r="C76" i="24"/>
  <c r="C77" i="24"/>
  <c r="C78" i="24"/>
  <c r="C79" i="24"/>
  <c r="C80" i="24"/>
  <c r="C81" i="24"/>
  <c r="C82" i="24"/>
  <c r="C83" i="24"/>
  <c r="C84" i="24"/>
  <c r="C85" i="24"/>
  <c r="C86" i="24"/>
  <c r="C87" i="24"/>
  <c r="C88" i="24"/>
  <c r="C89" i="24"/>
  <c r="C90" i="24"/>
  <c r="C91" i="24"/>
  <c r="C92" i="24"/>
  <c r="C93" i="24"/>
  <c r="C94" i="24"/>
  <c r="C95" i="24"/>
  <c r="C96" i="24"/>
  <c r="C97" i="24"/>
  <c r="C98" i="24"/>
  <c r="C99" i="24"/>
  <c r="C100" i="24"/>
  <c r="C101" i="24"/>
  <c r="C102" i="24"/>
  <c r="C103" i="24"/>
  <c r="C104" i="24"/>
  <c r="C105" i="24"/>
  <c r="C106" i="24"/>
  <c r="C107" i="24"/>
  <c r="C108" i="24"/>
  <c r="C109" i="24"/>
  <c r="C110" i="24"/>
  <c r="C111" i="24"/>
  <c r="C112" i="24"/>
  <c r="C113" i="24"/>
  <c r="C114" i="24"/>
  <c r="C115" i="24"/>
  <c r="C116" i="24"/>
  <c r="C117" i="24"/>
  <c r="C118" i="24"/>
  <c r="C119" i="24"/>
  <c r="C120" i="24"/>
  <c r="C121" i="24"/>
  <c r="C122" i="24"/>
  <c r="C123" i="24"/>
  <c r="C124" i="24"/>
  <c r="C125" i="24"/>
  <c r="C126" i="24"/>
  <c r="C127" i="24"/>
  <c r="C128" i="24"/>
  <c r="C129" i="24"/>
  <c r="C130" i="24"/>
  <c r="C131" i="24"/>
  <c r="C132" i="24"/>
  <c r="C133" i="24"/>
  <c r="C134" i="24"/>
  <c r="C135" i="24"/>
  <c r="C136" i="24"/>
  <c r="C137" i="24"/>
  <c r="C138" i="24"/>
  <c r="C139" i="24"/>
  <c r="C140" i="24"/>
  <c r="C141" i="24"/>
  <c r="C142" i="24"/>
  <c r="C143" i="24"/>
  <c r="C144" i="24"/>
  <c r="C145" i="24"/>
  <c r="C146" i="24"/>
  <c r="C147" i="24"/>
  <c r="C148" i="24"/>
  <c r="C149" i="24"/>
  <c r="C150" i="24"/>
  <c r="C151" i="24"/>
  <c r="C152" i="24"/>
  <c r="C153" i="24"/>
  <c r="C154" i="24"/>
  <c r="C155" i="24"/>
  <c r="C156" i="24"/>
  <c r="C157" i="24"/>
  <c r="C158" i="24"/>
  <c r="C159" i="24"/>
  <c r="C160" i="24"/>
  <c r="C161" i="24"/>
  <c r="C162" i="24"/>
  <c r="C5" i="24"/>
  <c r="A2" i="26" l="1"/>
  <c r="A2" i="24" l="1"/>
  <c r="I9" i="15" l="1"/>
  <c r="H9" i="15"/>
  <c r="G9" i="15"/>
  <c r="F9" i="15"/>
  <c r="E9" i="15"/>
  <c r="D9" i="15"/>
  <c r="C9" i="15"/>
  <c r="E12" i="15" l="1"/>
  <c r="D12" i="15"/>
  <c r="C12" i="15"/>
  <c r="B13" i="1" l="1"/>
  <c r="I14" i="15" l="1"/>
  <c r="H14" i="15"/>
  <c r="B2" i="15" l="1"/>
  <c r="A2" i="7"/>
  <c r="A61" i="8"/>
  <c r="A4" i="8"/>
  <c r="A3" i="6"/>
  <c r="A2" i="5"/>
  <c r="A2" i="4" l="1"/>
  <c r="A2" i="14"/>
  <c r="A2" i="13"/>
  <c r="A2" i="12" l="1"/>
  <c r="A2" i="2" l="1"/>
  <c r="G10" i="15" s="1"/>
  <c r="I10" i="15" l="1"/>
  <c r="H10" i="15"/>
  <c r="B11" i="1"/>
  <c r="B9" i="1"/>
  <c r="H17" i="15" l="1"/>
  <c r="R9" i="15"/>
  <c r="S9" i="15"/>
  <c r="T9" i="15"/>
  <c r="Q9" i="15"/>
  <c r="N9" i="15"/>
  <c r="O9" i="15"/>
  <c r="P9" i="15"/>
  <c r="M9" i="15"/>
  <c r="P5" i="8" l="1"/>
  <c r="J5" i="8"/>
  <c r="K5" i="8"/>
  <c r="L5" i="8"/>
  <c r="M5" i="8"/>
  <c r="N5" i="8"/>
  <c r="O5" i="8"/>
  <c r="I5" i="8"/>
  <c r="F4" i="14"/>
  <c r="G4" i="14"/>
  <c r="H4" i="14"/>
  <c r="E4" i="14"/>
  <c r="F4" i="13"/>
  <c r="G4" i="13"/>
  <c r="H4" i="13"/>
  <c r="E4" i="13"/>
  <c r="N10" i="15" l="1"/>
  <c r="C14" i="15" l="1"/>
  <c r="A5" i="14" a="1"/>
  <c r="A5" i="14" s="1"/>
  <c r="G5" i="14" s="1"/>
  <c r="A5" i="13" a="1"/>
  <c r="A5" i="13" s="1"/>
  <c r="D5" i="14" l="1"/>
  <c r="A6" i="14" a="1"/>
  <c r="A6" i="14" s="1"/>
  <c r="F5" i="14"/>
  <c r="B5" i="14"/>
  <c r="E5" i="14"/>
  <c r="H5" i="14"/>
  <c r="C5" i="14"/>
  <c r="D5" i="13"/>
  <c r="C5" i="13"/>
  <c r="B5" i="13"/>
  <c r="A6" i="13" a="1"/>
  <c r="A6" i="13" s="1"/>
  <c r="A7" i="14" l="1" a="1"/>
  <c r="A7" i="14" s="1"/>
  <c r="F6" i="14"/>
  <c r="E6" i="14"/>
  <c r="D6" i="14"/>
  <c r="G6" i="14"/>
  <c r="B6" i="14"/>
  <c r="C6" i="14"/>
  <c r="H6" i="14"/>
  <c r="B6" i="13"/>
  <c r="C6" i="13"/>
  <c r="D6" i="13"/>
  <c r="A7" i="13" a="1"/>
  <c r="A7" i="13" s="1"/>
  <c r="R13" i="15"/>
  <c r="R14" i="15" s="1"/>
  <c r="N14" i="15"/>
  <c r="O14" i="15"/>
  <c r="P14" i="15"/>
  <c r="Q14" i="15"/>
  <c r="S14" i="15"/>
  <c r="T14" i="15"/>
  <c r="M14" i="15"/>
  <c r="T10" i="15"/>
  <c r="S10" i="15"/>
  <c r="R10" i="15"/>
  <c r="Q10" i="15"/>
  <c r="Q17" i="15" s="1"/>
  <c r="P10" i="15"/>
  <c r="P17" i="15" s="1"/>
  <c r="O10" i="15"/>
  <c r="O17" i="15" s="1"/>
  <c r="N17" i="15"/>
  <c r="M10" i="15"/>
  <c r="M17" i="15" s="1"/>
  <c r="D14" i="15"/>
  <c r="E14" i="15"/>
  <c r="F14" i="15"/>
  <c r="H18" i="15" s="1"/>
  <c r="G14" i="15"/>
  <c r="C7" i="14" l="1"/>
  <c r="G7" i="14"/>
  <c r="D7" i="14"/>
  <c r="H7" i="14"/>
  <c r="E7" i="14"/>
  <c r="F7" i="14"/>
  <c r="B7" i="14"/>
  <c r="A8" i="14" a="1"/>
  <c r="A8" i="14" s="1"/>
  <c r="C7" i="13"/>
  <c r="D7" i="13"/>
  <c r="A8" i="13" a="1"/>
  <c r="A8" i="13" s="1"/>
  <c r="B7" i="13"/>
  <c r="S17" i="15"/>
  <c r="T18" i="15"/>
  <c r="R17" i="15"/>
  <c r="P18" i="15"/>
  <c r="M21" i="15"/>
  <c r="T17" i="15"/>
  <c r="M18" i="15"/>
  <c r="Q18" i="15"/>
  <c r="N18" i="15"/>
  <c r="S18" i="15"/>
  <c r="O18" i="15"/>
  <c r="R18" i="15"/>
  <c r="H7" i="13"/>
  <c r="G7" i="13" l="1"/>
  <c r="G5" i="13"/>
  <c r="F5" i="13"/>
  <c r="E5" i="13"/>
  <c r="H5" i="13"/>
  <c r="G6" i="13"/>
  <c r="E6" i="13"/>
  <c r="H6" i="13"/>
  <c r="F6" i="13"/>
  <c r="E7" i="13"/>
  <c r="F7" i="13"/>
  <c r="D8" i="14"/>
  <c r="H8" i="14"/>
  <c r="E8" i="14"/>
  <c r="F8" i="14"/>
  <c r="G8" i="14"/>
  <c r="B8" i="14"/>
  <c r="C8" i="14"/>
  <c r="A9" i="14" a="1"/>
  <c r="A9" i="14" s="1"/>
  <c r="B8" i="13"/>
  <c r="E8" i="13"/>
  <c r="D8" i="13"/>
  <c r="C8" i="13"/>
  <c r="H8" i="13"/>
  <c r="G8" i="13"/>
  <c r="F8" i="13"/>
  <c r="A9" i="13" a="1"/>
  <c r="A9" i="13" s="1"/>
  <c r="N21" i="15"/>
  <c r="M22" i="15"/>
  <c r="N22" i="15"/>
  <c r="E10" i="15"/>
  <c r="C10" i="15"/>
  <c r="C17" i="15" s="1"/>
  <c r="F10" i="15"/>
  <c r="D10" i="15"/>
  <c r="E9" i="14" l="1"/>
  <c r="B9" i="14"/>
  <c r="F9" i="14"/>
  <c r="G9" i="14"/>
  <c r="H9" i="14"/>
  <c r="C9" i="14"/>
  <c r="D9" i="14"/>
  <c r="A10" i="14" a="1"/>
  <c r="A10" i="14" s="1"/>
  <c r="B9" i="13"/>
  <c r="D9" i="13"/>
  <c r="H9" i="13"/>
  <c r="C9" i="13"/>
  <c r="E9" i="13"/>
  <c r="G9" i="13"/>
  <c r="F9" i="13"/>
  <c r="A10" i="13" a="1"/>
  <c r="A10" i="13" s="1"/>
  <c r="B10" i="13" s="1"/>
  <c r="C18" i="15"/>
  <c r="G17" i="15"/>
  <c r="G18" i="15"/>
  <c r="D17" i="15"/>
  <c r="D18" i="15"/>
  <c r="E18" i="15"/>
  <c r="E17" i="15"/>
  <c r="F17" i="15"/>
  <c r="F18" i="15"/>
  <c r="I17" i="15"/>
  <c r="I18" i="15"/>
  <c r="C21" i="15" l="1"/>
  <c r="C22" i="15"/>
  <c r="B10" i="14"/>
  <c r="F10" i="14"/>
  <c r="C10" i="14"/>
  <c r="G10" i="14"/>
  <c r="H10" i="14"/>
  <c r="D10" i="14"/>
  <c r="E10" i="14"/>
  <c r="A11" i="14" a="1"/>
  <c r="A11" i="14" s="1"/>
  <c r="A12" i="14" s="1" a="1"/>
  <c r="A12" i="14" s="1"/>
  <c r="A11" i="13" a="1"/>
  <c r="A11" i="13" s="1"/>
  <c r="A12" i="13" s="1" a="1"/>
  <c r="A12" i="13" s="1"/>
  <c r="C10" i="13"/>
  <c r="G10" i="13"/>
  <c r="E10" i="13"/>
  <c r="D10" i="13"/>
  <c r="F10" i="13"/>
  <c r="H10" i="13"/>
  <c r="D12" i="14" l="1"/>
  <c r="H12" i="14"/>
  <c r="E12" i="14"/>
  <c r="B12" i="14"/>
  <c r="C12" i="14"/>
  <c r="F12" i="14"/>
  <c r="G12" i="14"/>
  <c r="A13" i="14" a="1"/>
  <c r="A13" i="14" s="1"/>
  <c r="C11" i="14"/>
  <c r="G11" i="14"/>
  <c r="D11" i="14"/>
  <c r="H11" i="14"/>
  <c r="B11" i="14"/>
  <c r="E11" i="14"/>
  <c r="F11" i="14"/>
  <c r="E12" i="13"/>
  <c r="D12" i="13"/>
  <c r="H12" i="13"/>
  <c r="C12" i="13"/>
  <c r="G12" i="13"/>
  <c r="F12" i="13"/>
  <c r="B11" i="13"/>
  <c r="C11" i="13"/>
  <c r="F11" i="13"/>
  <c r="D11" i="13"/>
  <c r="G11" i="13"/>
  <c r="E11" i="13"/>
  <c r="H11" i="13"/>
  <c r="B12" i="13"/>
  <c r="A13" i="13" a="1"/>
  <c r="A13" i="13" s="1"/>
  <c r="E13" i="14" l="1"/>
  <c r="B13" i="14"/>
  <c r="F13" i="14"/>
  <c r="C13" i="14"/>
  <c r="D13" i="14"/>
  <c r="G13" i="14"/>
  <c r="H13" i="14"/>
  <c r="A14" i="14" a="1"/>
  <c r="A14" i="14" s="1"/>
  <c r="D13" i="13"/>
  <c r="H13" i="13"/>
  <c r="E13" i="13"/>
  <c r="C13" i="13"/>
  <c r="G13" i="13"/>
  <c r="F13" i="13"/>
  <c r="B13" i="13"/>
  <c r="A14" i="13" a="1"/>
  <c r="A14" i="13" s="1"/>
  <c r="A15" i="14" l="1" a="1"/>
  <c r="A15" i="14" s="1"/>
  <c r="B14" i="14"/>
  <c r="F14" i="14"/>
  <c r="C14" i="14"/>
  <c r="G14" i="14"/>
  <c r="D14" i="14"/>
  <c r="E14" i="14"/>
  <c r="H14" i="14"/>
  <c r="C14" i="13"/>
  <c r="G14" i="13"/>
  <c r="E14" i="13"/>
  <c r="F14" i="13"/>
  <c r="D14" i="13"/>
  <c r="H14" i="13"/>
  <c r="A15" i="13" a="1"/>
  <c r="A15" i="13" s="1"/>
  <c r="B14" i="13"/>
  <c r="A16" i="14" l="1" a="1"/>
  <c r="A16" i="14" s="1"/>
  <c r="C15" i="14"/>
  <c r="G15" i="14"/>
  <c r="D15" i="14"/>
  <c r="H15" i="14"/>
  <c r="E15" i="14"/>
  <c r="F15" i="14"/>
  <c r="B15" i="14"/>
  <c r="C15" i="13"/>
  <c r="F15" i="13"/>
  <c r="E15" i="13"/>
  <c r="H15" i="13"/>
  <c r="G15" i="13"/>
  <c r="D15" i="13"/>
  <c r="A16" i="13" a="1"/>
  <c r="A16" i="13" s="1"/>
  <c r="B15" i="13"/>
  <c r="A17" i="14" l="1" a="1"/>
  <c r="A17" i="14" s="1"/>
  <c r="D16" i="14"/>
  <c r="H16" i="14"/>
  <c r="E16" i="14"/>
  <c r="F16" i="14"/>
  <c r="G16" i="14"/>
  <c r="B16" i="14"/>
  <c r="C16" i="14"/>
  <c r="B16" i="13"/>
  <c r="E16" i="13"/>
  <c r="C16" i="13"/>
  <c r="F16" i="13"/>
  <c r="H16" i="13"/>
  <c r="D16" i="13"/>
  <c r="G16" i="13"/>
  <c r="A17" i="13" a="1"/>
  <c r="A17" i="13" s="1"/>
  <c r="A18" i="14" l="1" a="1"/>
  <c r="A18" i="14" s="1"/>
  <c r="E17" i="14"/>
  <c r="B17" i="14"/>
  <c r="F17" i="14"/>
  <c r="G17" i="14"/>
  <c r="H17" i="14"/>
  <c r="C17" i="14"/>
  <c r="D17" i="14"/>
  <c r="B17" i="13"/>
  <c r="D17" i="13"/>
  <c r="H17" i="13"/>
  <c r="C17" i="13"/>
  <c r="F17" i="13"/>
  <c r="E17" i="13"/>
  <c r="G17" i="13"/>
  <c r="A18" i="13" a="1"/>
  <c r="A18" i="13" s="1"/>
  <c r="A19" i="14" l="1" a="1"/>
  <c r="A19" i="14" s="1"/>
  <c r="B18" i="14"/>
  <c r="F18" i="14"/>
  <c r="C18" i="14"/>
  <c r="G18" i="14"/>
  <c r="H18" i="14"/>
  <c r="D18" i="14"/>
  <c r="E18" i="14"/>
  <c r="B18" i="13"/>
  <c r="C18" i="13"/>
  <c r="G18" i="13"/>
  <c r="F18" i="13"/>
  <c r="H18" i="13"/>
  <c r="E18" i="13"/>
  <c r="D18" i="13"/>
  <c r="A19" i="13" a="1"/>
  <c r="A19" i="13" s="1"/>
  <c r="A20" i="14" l="1" a="1"/>
  <c r="A20" i="14" s="1"/>
  <c r="C19" i="14"/>
  <c r="G19" i="14"/>
  <c r="D19" i="14"/>
  <c r="H19" i="14"/>
  <c r="B19" i="14"/>
  <c r="E19" i="14"/>
  <c r="F19" i="14"/>
  <c r="B19" i="13"/>
  <c r="C19" i="13"/>
  <c r="F19" i="13"/>
  <c r="G19" i="13"/>
  <c r="H19" i="13"/>
  <c r="E19" i="13"/>
  <c r="D19" i="13"/>
  <c r="A20" i="13" a="1"/>
  <c r="A20" i="13" s="1"/>
  <c r="A21" i="14" l="1" a="1"/>
  <c r="A21" i="14" s="1"/>
  <c r="D20" i="14"/>
  <c r="H20" i="14"/>
  <c r="E20" i="14"/>
  <c r="B20" i="14"/>
  <c r="C20" i="14"/>
  <c r="F20" i="14"/>
  <c r="G20" i="14"/>
  <c r="E20" i="13"/>
  <c r="G20" i="13"/>
  <c r="D20" i="13"/>
  <c r="H20" i="13"/>
  <c r="C20" i="13"/>
  <c r="F20" i="13"/>
  <c r="B20" i="13"/>
  <c r="A21" i="13" a="1"/>
  <c r="A21" i="13" s="1"/>
  <c r="A22" i="14" l="1" a="1"/>
  <c r="A22" i="14" s="1"/>
  <c r="E21" i="14"/>
  <c r="B21" i="14"/>
  <c r="F21" i="14"/>
  <c r="C21" i="14"/>
  <c r="D21" i="14"/>
  <c r="G21" i="14"/>
  <c r="H21" i="14"/>
  <c r="B21" i="13"/>
  <c r="D21" i="13"/>
  <c r="H21" i="13"/>
  <c r="G21" i="13"/>
  <c r="F21" i="13"/>
  <c r="E21" i="13"/>
  <c r="C21" i="13"/>
  <c r="A22" i="13" a="1"/>
  <c r="A22" i="13" s="1"/>
  <c r="A23" i="14" l="1" a="1"/>
  <c r="A23" i="14" s="1"/>
  <c r="B22" i="14"/>
  <c r="F22" i="14"/>
  <c r="C22" i="14"/>
  <c r="G22" i="14"/>
  <c r="D22" i="14"/>
  <c r="E22" i="14"/>
  <c r="H22" i="14"/>
  <c r="C22" i="13"/>
  <c r="G22" i="13"/>
  <c r="H22" i="13"/>
  <c r="F22" i="13"/>
  <c r="D22" i="13"/>
  <c r="E22" i="13"/>
  <c r="B22" i="13"/>
  <c r="A23" i="13" a="1"/>
  <c r="A23" i="13" s="1"/>
  <c r="A24" i="14" l="1" a="1"/>
  <c r="A24" i="14" s="1"/>
  <c r="C23" i="14"/>
  <c r="G23" i="14"/>
  <c r="D23" i="14"/>
  <c r="H23" i="14"/>
  <c r="E23" i="14"/>
  <c r="F23" i="14"/>
  <c r="B23" i="14"/>
  <c r="B23" i="13"/>
  <c r="C23" i="13"/>
  <c r="F23" i="13"/>
  <c r="H23" i="13"/>
  <c r="D23" i="13"/>
  <c r="G23" i="13"/>
  <c r="E23" i="13"/>
  <c r="A24" i="13" a="1"/>
  <c r="A24" i="13" s="1"/>
  <c r="A25" i="13" s="1" a="1"/>
  <c r="A25" i="13" s="1"/>
  <c r="A25" i="14" l="1" a="1"/>
  <c r="A25" i="14" s="1"/>
  <c r="D24" i="14"/>
  <c r="H24" i="14"/>
  <c r="E24" i="14"/>
  <c r="F24" i="14"/>
  <c r="G24" i="14"/>
  <c r="B24" i="14"/>
  <c r="C24" i="14"/>
  <c r="A26" i="13" a="1"/>
  <c r="A26" i="13" s="1"/>
  <c r="E26" i="13" s="1"/>
  <c r="C25" i="13"/>
  <c r="F25" i="13"/>
  <c r="E25" i="13"/>
  <c r="D25" i="13"/>
  <c r="H25" i="13"/>
  <c r="G25" i="13"/>
  <c r="B25" i="13"/>
  <c r="C24" i="13"/>
  <c r="G24" i="13"/>
  <c r="E24" i="13"/>
  <c r="D24" i="13"/>
  <c r="H24" i="13"/>
  <c r="F24" i="13"/>
  <c r="B24" i="13"/>
  <c r="G26" i="13" l="1"/>
  <c r="D26" i="13"/>
  <c r="C26" i="13"/>
  <c r="A26" i="14" a="1"/>
  <c r="A26" i="14" s="1"/>
  <c r="E25" i="14"/>
  <c r="B25" i="14"/>
  <c r="F25" i="14"/>
  <c r="G25" i="14"/>
  <c r="H25" i="14"/>
  <c r="C25" i="14"/>
  <c r="D25" i="14"/>
  <c r="A27" i="13" a="1"/>
  <c r="A27" i="13" s="1"/>
  <c r="F27" i="13" s="1"/>
  <c r="B26" i="13"/>
  <c r="F26" i="13"/>
  <c r="H26" i="13"/>
  <c r="C27" i="13" l="1"/>
  <c r="A27" i="14" a="1"/>
  <c r="A27" i="14" s="1"/>
  <c r="B26" i="14"/>
  <c r="F26" i="14"/>
  <c r="C26" i="14"/>
  <c r="G26" i="14"/>
  <c r="H26" i="14"/>
  <c r="D26" i="14"/>
  <c r="E26" i="14"/>
  <c r="E27" i="13"/>
  <c r="A28" i="13" a="1"/>
  <c r="A28" i="13" s="1"/>
  <c r="B27" i="13"/>
  <c r="G27" i="13"/>
  <c r="D27" i="13"/>
  <c r="H27" i="13"/>
  <c r="A28" i="14" l="1" a="1"/>
  <c r="A28" i="14" s="1"/>
  <c r="C27" i="14"/>
  <c r="G27" i="14"/>
  <c r="D27" i="14"/>
  <c r="H27" i="14"/>
  <c r="B27" i="14"/>
  <c r="E27" i="14"/>
  <c r="F27" i="14"/>
  <c r="G28" i="13"/>
  <c r="D28" i="13"/>
  <c r="B28" i="13"/>
  <c r="E28" i="13"/>
  <c r="F28" i="13"/>
  <c r="H28" i="13"/>
  <c r="C28" i="13"/>
  <c r="A29" i="13" a="1"/>
  <c r="A29" i="13" s="1"/>
  <c r="A29" i="14" l="1" a="1"/>
  <c r="A29" i="14" s="1"/>
  <c r="D28" i="14"/>
  <c r="H28" i="14"/>
  <c r="E28" i="14"/>
  <c r="B28" i="14"/>
  <c r="C28" i="14"/>
  <c r="F28" i="14"/>
  <c r="G28" i="14"/>
  <c r="E29" i="13"/>
  <c r="B29" i="13"/>
  <c r="F29" i="13"/>
  <c r="H29" i="13"/>
  <c r="C29" i="13"/>
  <c r="D29" i="13"/>
  <c r="G29" i="13"/>
  <c r="A30" i="13" a="1"/>
  <c r="A30" i="13" s="1"/>
  <c r="A30" i="14" l="1" a="1"/>
  <c r="A30" i="14" s="1"/>
  <c r="E29" i="14"/>
  <c r="B29" i="14"/>
  <c r="F29" i="14"/>
  <c r="C29" i="14"/>
  <c r="D29" i="14"/>
  <c r="G29" i="14"/>
  <c r="H29" i="14"/>
  <c r="C30" i="13"/>
  <c r="D30" i="13"/>
  <c r="E30" i="13"/>
  <c r="H30" i="13"/>
  <c r="G30" i="13"/>
  <c r="F30" i="13"/>
  <c r="B30" i="13"/>
  <c r="A31" i="13" a="1"/>
  <c r="A31" i="13" s="1"/>
  <c r="B30" i="14" l="1"/>
  <c r="F30" i="14"/>
  <c r="C30" i="14"/>
  <c r="G30" i="14"/>
  <c r="D30" i="14"/>
  <c r="E30" i="14"/>
  <c r="H30" i="14"/>
  <c r="A31" i="14" a="1"/>
  <c r="A31" i="14" s="1"/>
  <c r="H31" i="13"/>
  <c r="G31" i="13"/>
  <c r="B31" i="13"/>
  <c r="C31" i="13"/>
  <c r="F31" i="13"/>
  <c r="D31" i="13"/>
  <c r="E31" i="13"/>
  <c r="A32" i="13" a="1"/>
  <c r="A32" i="13" s="1"/>
  <c r="A32" i="14" l="1" a="1"/>
  <c r="A32" i="14" s="1"/>
  <c r="C31" i="14"/>
  <c r="G31" i="14"/>
  <c r="D31" i="14"/>
  <c r="H31" i="14"/>
  <c r="E31" i="14"/>
  <c r="F31" i="14"/>
  <c r="B31" i="14"/>
  <c r="C32" i="13"/>
  <c r="E32" i="13"/>
  <c r="G32" i="13"/>
  <c r="D32" i="13"/>
  <c r="H32" i="13"/>
  <c r="F32" i="13"/>
  <c r="B32" i="13"/>
  <c r="A33" i="13" a="1"/>
  <c r="A33" i="13" s="1"/>
  <c r="A33" i="14" l="1" a="1"/>
  <c r="A33" i="14" s="1"/>
  <c r="D32" i="14"/>
  <c r="H32" i="14"/>
  <c r="E32" i="14"/>
  <c r="F32" i="14"/>
  <c r="G32" i="14"/>
  <c r="B32" i="14"/>
  <c r="C32" i="14"/>
  <c r="H33" i="13"/>
  <c r="G33" i="13"/>
  <c r="B33" i="13"/>
  <c r="C33" i="13"/>
  <c r="E33" i="13"/>
  <c r="F33" i="13"/>
  <c r="D33" i="13"/>
  <c r="A34" i="13" a="1"/>
  <c r="A34" i="13" s="1"/>
  <c r="A34" i="14" l="1" a="1"/>
  <c r="A34" i="14" s="1"/>
  <c r="E33" i="14"/>
  <c r="B33" i="14"/>
  <c r="F33" i="14"/>
  <c r="G33" i="14"/>
  <c r="H33" i="14"/>
  <c r="C33" i="14"/>
  <c r="D33" i="14"/>
  <c r="C34" i="13"/>
  <c r="F34" i="13"/>
  <c r="E34" i="13"/>
  <c r="D34" i="13"/>
  <c r="H34" i="13"/>
  <c r="G34" i="13"/>
  <c r="B34" i="13"/>
  <c r="A35" i="13" a="1"/>
  <c r="A35" i="13" s="1"/>
  <c r="A35" i="14" l="1" a="1"/>
  <c r="A35" i="14" s="1"/>
  <c r="B34" i="14"/>
  <c r="F34" i="14"/>
  <c r="C34" i="14"/>
  <c r="G34" i="14"/>
  <c r="H34" i="14"/>
  <c r="D34" i="14"/>
  <c r="E34" i="14"/>
  <c r="H35" i="13"/>
  <c r="G35" i="13"/>
  <c r="B35" i="13"/>
  <c r="C35" i="13"/>
  <c r="E35" i="13"/>
  <c r="D35" i="13"/>
  <c r="F35" i="13"/>
  <c r="A36" i="13" a="1"/>
  <c r="A36" i="13" s="1"/>
  <c r="A36" i="14" l="1" a="1"/>
  <c r="A36" i="14" s="1"/>
  <c r="C35" i="14"/>
  <c r="G35" i="14"/>
  <c r="D35" i="14"/>
  <c r="H35" i="14"/>
  <c r="B35" i="14"/>
  <c r="E35" i="14"/>
  <c r="F35" i="14"/>
  <c r="G36" i="13"/>
  <c r="E36" i="13"/>
  <c r="D36" i="13"/>
  <c r="C36" i="13"/>
  <c r="H36" i="13"/>
  <c r="F36" i="13"/>
  <c r="B36" i="13"/>
  <c r="A37" i="13" a="1"/>
  <c r="A37" i="13" s="1"/>
  <c r="A38" i="13" s="1" a="1"/>
  <c r="A38" i="13" s="1"/>
  <c r="A37" i="14" l="1" a="1"/>
  <c r="A37" i="14" s="1"/>
  <c r="D36" i="14"/>
  <c r="H36" i="14"/>
  <c r="E36" i="14"/>
  <c r="B36" i="14"/>
  <c r="C36" i="14"/>
  <c r="F36" i="14"/>
  <c r="G36" i="14"/>
  <c r="H38" i="13"/>
  <c r="B38" i="13"/>
  <c r="C38" i="13"/>
  <c r="G38" i="13"/>
  <c r="D38" i="13"/>
  <c r="A39" i="13" a="1"/>
  <c r="A39" i="13" s="1"/>
  <c r="D39" i="13" s="1"/>
  <c r="E38" i="13"/>
  <c r="F38" i="13"/>
  <c r="C37" i="13"/>
  <c r="B37" i="13"/>
  <c r="F37" i="13"/>
  <c r="G37" i="13"/>
  <c r="D37" i="13"/>
  <c r="E37" i="13"/>
  <c r="H37" i="13"/>
  <c r="B39" i="13" l="1"/>
  <c r="F39" i="13"/>
  <c r="E39" i="13"/>
  <c r="C39" i="13"/>
  <c r="A38" i="14" a="1"/>
  <c r="A38" i="14" s="1"/>
  <c r="E37" i="14"/>
  <c r="B37" i="14"/>
  <c r="F37" i="14"/>
  <c r="C37" i="14"/>
  <c r="D37" i="14"/>
  <c r="G37" i="14"/>
  <c r="H37" i="14"/>
  <c r="A40" i="13" a="1"/>
  <c r="A40" i="13" s="1"/>
  <c r="G40" i="13" s="1"/>
  <c r="H39" i="13"/>
  <c r="G39" i="13"/>
  <c r="D40" i="13" l="1"/>
  <c r="B40" i="13"/>
  <c r="A39" i="14" a="1"/>
  <c r="A39" i="14" s="1"/>
  <c r="B38" i="14"/>
  <c r="F38" i="14"/>
  <c r="C38" i="14"/>
  <c r="G38" i="14"/>
  <c r="D38" i="14"/>
  <c r="E38" i="14"/>
  <c r="H38" i="14"/>
  <c r="H40" i="13"/>
  <c r="C40" i="13"/>
  <c r="A41" i="13" a="1"/>
  <c r="A41" i="13" s="1"/>
  <c r="D41" i="13" s="1"/>
  <c r="E40" i="13"/>
  <c r="F40" i="13"/>
  <c r="A40" i="14" l="1" a="1"/>
  <c r="A40" i="14" s="1"/>
  <c r="C39" i="14"/>
  <c r="G39" i="14"/>
  <c r="D39" i="14"/>
  <c r="H39" i="14"/>
  <c r="E39" i="14"/>
  <c r="F39" i="14"/>
  <c r="B39" i="14"/>
  <c r="G41" i="13"/>
  <c r="F41" i="13"/>
  <c r="A42" i="13" a="1"/>
  <c r="A42" i="13" s="1"/>
  <c r="E42" i="13" s="1"/>
  <c r="E41" i="13"/>
  <c r="H41" i="13"/>
  <c r="C41" i="13"/>
  <c r="B41" i="13"/>
  <c r="A41" i="14" l="1" a="1"/>
  <c r="A41" i="14" s="1"/>
  <c r="D40" i="14"/>
  <c r="H40" i="14"/>
  <c r="E40" i="14"/>
  <c r="F40" i="14"/>
  <c r="G40" i="14"/>
  <c r="B40" i="14"/>
  <c r="C40" i="14"/>
  <c r="H42" i="13"/>
  <c r="C42" i="13"/>
  <c r="B42" i="13"/>
  <c r="D42" i="13"/>
  <c r="A43" i="13" a="1"/>
  <c r="A43" i="13" s="1"/>
  <c r="H43" i="13" s="1"/>
  <c r="F42" i="13"/>
  <c r="G42" i="13"/>
  <c r="A42" i="14" l="1" a="1"/>
  <c r="A42" i="14" s="1"/>
  <c r="E41" i="14"/>
  <c r="B41" i="14"/>
  <c r="F41" i="14"/>
  <c r="G41" i="14"/>
  <c r="H41" i="14"/>
  <c r="C41" i="14"/>
  <c r="D41" i="14"/>
  <c r="G43" i="13"/>
  <c r="D43" i="13"/>
  <c r="E43" i="13"/>
  <c r="C43" i="13"/>
  <c r="B43" i="13"/>
  <c r="F43" i="13"/>
  <c r="A44" i="13" a="1"/>
  <c r="A44" i="13" s="1"/>
  <c r="F44" i="13" s="1"/>
  <c r="A43" i="14" l="1" a="1"/>
  <c r="A43" i="14" s="1"/>
  <c r="C42" i="14"/>
  <c r="G42" i="14"/>
  <c r="E42" i="14"/>
  <c r="F42" i="14"/>
  <c r="H42" i="14"/>
  <c r="B42" i="14"/>
  <c r="D42" i="14"/>
  <c r="H44" i="13"/>
  <c r="G44" i="13"/>
  <c r="B44" i="13"/>
  <c r="E44" i="13"/>
  <c r="A45" i="13" a="1"/>
  <c r="A45" i="13" s="1"/>
  <c r="C45" i="13" s="1"/>
  <c r="C44" i="13"/>
  <c r="D44" i="13"/>
  <c r="E45" i="13" l="1"/>
  <c r="B45" i="13"/>
  <c r="A44" i="14" a="1"/>
  <c r="A44" i="14" s="1"/>
  <c r="D43" i="14"/>
  <c r="H43" i="14"/>
  <c r="C43" i="14"/>
  <c r="E43" i="14"/>
  <c r="B43" i="14"/>
  <c r="F43" i="14"/>
  <c r="G43" i="14"/>
  <c r="D45" i="13"/>
  <c r="F45" i="13"/>
  <c r="A46" i="13" a="1"/>
  <c r="A46" i="13" s="1"/>
  <c r="F46" i="13" s="1"/>
  <c r="G45" i="13"/>
  <c r="H45" i="13"/>
  <c r="A45" i="14" l="1" a="1"/>
  <c r="A45" i="14" s="1"/>
  <c r="E44" i="14"/>
  <c r="B44" i="14"/>
  <c r="G44" i="14"/>
  <c r="C44" i="14"/>
  <c r="H44" i="14"/>
  <c r="D44" i="14"/>
  <c r="F44" i="14"/>
  <c r="H46" i="13"/>
  <c r="C46" i="13"/>
  <c r="A47" i="13" a="1"/>
  <c r="A47" i="13" s="1"/>
  <c r="D47" i="13" s="1"/>
  <c r="G46" i="13"/>
  <c r="D46" i="13"/>
  <c r="E46" i="13"/>
  <c r="B46" i="13"/>
  <c r="A46" i="14" l="1" a="1"/>
  <c r="A46" i="14" s="1"/>
  <c r="B45" i="14"/>
  <c r="F45" i="14"/>
  <c r="E45" i="14"/>
  <c r="G45" i="14"/>
  <c r="H45" i="14"/>
  <c r="C45" i="14"/>
  <c r="D45" i="14"/>
  <c r="B47" i="13"/>
  <c r="G47" i="13"/>
  <c r="A48" i="13" a="1"/>
  <c r="A48" i="13" s="1"/>
  <c r="G48" i="13" s="1"/>
  <c r="H47" i="13"/>
  <c r="F47" i="13"/>
  <c r="C47" i="13"/>
  <c r="E47" i="13"/>
  <c r="C48" i="13" l="1"/>
  <c r="D48" i="13"/>
  <c r="A47" i="14" a="1"/>
  <c r="A47" i="14" s="1"/>
  <c r="C46" i="14"/>
  <c r="G46" i="14"/>
  <c r="D46" i="14"/>
  <c r="E46" i="14"/>
  <c r="B46" i="14"/>
  <c r="F46" i="14"/>
  <c r="H46" i="14"/>
  <c r="B48" i="13"/>
  <c r="F48" i="13"/>
  <c r="A49" i="13" a="1"/>
  <c r="A49" i="13" s="1"/>
  <c r="G49" i="13" s="1"/>
  <c r="H48" i="13"/>
  <c r="E48" i="13"/>
  <c r="A48" i="14" l="1" a="1"/>
  <c r="A48" i="14" s="1"/>
  <c r="D47" i="14"/>
  <c r="H47" i="14"/>
  <c r="B47" i="14"/>
  <c r="G47" i="14"/>
  <c r="C47" i="14"/>
  <c r="E47" i="14"/>
  <c r="F47" i="14"/>
  <c r="D49" i="13"/>
  <c r="F49" i="13"/>
  <c r="A50" i="13" a="1"/>
  <c r="A50" i="13" s="1"/>
  <c r="E50" i="13" s="1"/>
  <c r="H49" i="13"/>
  <c r="E49" i="13"/>
  <c r="C49" i="13"/>
  <c r="B49" i="13"/>
  <c r="C50" i="13" l="1"/>
  <c r="B50" i="13"/>
  <c r="F50" i="13"/>
  <c r="A49" i="14" a="1"/>
  <c r="A49" i="14" s="1"/>
  <c r="E48" i="14"/>
  <c r="F48" i="14"/>
  <c r="B48" i="14"/>
  <c r="G48" i="14"/>
  <c r="H48" i="14"/>
  <c r="C48" i="14"/>
  <c r="D48" i="14"/>
  <c r="G50" i="13"/>
  <c r="A51" i="13" a="1"/>
  <c r="A51" i="13" s="1"/>
  <c r="C51" i="13" s="1"/>
  <c r="H50" i="13"/>
  <c r="D50" i="13"/>
  <c r="A50" i="14" l="1" a="1"/>
  <c r="A50" i="14" s="1"/>
  <c r="B49" i="14"/>
  <c r="F49" i="14"/>
  <c r="D49" i="14"/>
  <c r="E49" i="14"/>
  <c r="C49" i="14"/>
  <c r="G49" i="14"/>
  <c r="H49" i="14"/>
  <c r="A52" i="13" a="1"/>
  <c r="A52" i="13" s="1"/>
  <c r="H52" i="13" s="1"/>
  <c r="H51" i="13"/>
  <c r="E51" i="13"/>
  <c r="D51" i="13"/>
  <c r="B51" i="13"/>
  <c r="G51" i="13"/>
  <c r="F51" i="13"/>
  <c r="F52" i="13" l="1"/>
  <c r="G52" i="13"/>
  <c r="E52" i="13"/>
  <c r="C52" i="13"/>
  <c r="B52" i="13"/>
  <c r="D52" i="13"/>
  <c r="A51" i="14" a="1"/>
  <c r="A51" i="14" s="1"/>
  <c r="C50" i="14"/>
  <c r="G50" i="14"/>
  <c r="B50" i="14"/>
  <c r="H50" i="14"/>
  <c r="D50" i="14"/>
  <c r="E50" i="14"/>
  <c r="F50" i="14"/>
  <c r="A53" i="13" a="1"/>
  <c r="A53" i="13" s="1"/>
  <c r="F53" i="13" s="1"/>
  <c r="C53" i="13" l="1"/>
  <c r="A52" i="14" a="1"/>
  <c r="A52" i="14" s="1"/>
  <c r="D51" i="14"/>
  <c r="H51" i="14"/>
  <c r="F51" i="14"/>
  <c r="B51" i="14"/>
  <c r="G51" i="14"/>
  <c r="C51" i="14"/>
  <c r="E51" i="14"/>
  <c r="B53" i="13"/>
  <c r="A54" i="13" a="1"/>
  <c r="A54" i="13" s="1"/>
  <c r="C54" i="13" s="1"/>
  <c r="H53" i="13"/>
  <c r="E53" i="13"/>
  <c r="D53" i="13"/>
  <c r="G53" i="13"/>
  <c r="H54" i="13" l="1"/>
  <c r="A53" i="14" a="1"/>
  <c r="A53" i="14" s="1"/>
  <c r="E52" i="14"/>
  <c r="D52" i="14"/>
  <c r="F52" i="14"/>
  <c r="B52" i="14"/>
  <c r="C52" i="14"/>
  <c r="G52" i="14"/>
  <c r="H52" i="14"/>
  <c r="B54" i="13"/>
  <c r="A55" i="13" a="1"/>
  <c r="A55" i="13" s="1"/>
  <c r="C55" i="13" s="1"/>
  <c r="D54" i="13"/>
  <c r="F54" i="13"/>
  <c r="E54" i="13"/>
  <c r="G54" i="13"/>
  <c r="E55" i="13" l="1"/>
  <c r="A54" i="14" a="1"/>
  <c r="A54" i="14" s="1"/>
  <c r="B53" i="14"/>
  <c r="F53" i="14"/>
  <c r="C53" i="14"/>
  <c r="H53" i="14"/>
  <c r="D53" i="14"/>
  <c r="E53" i="14"/>
  <c r="G53" i="14"/>
  <c r="B55" i="13"/>
  <c r="A56" i="13" a="1"/>
  <c r="A56" i="13" s="1"/>
  <c r="C56" i="13" s="1"/>
  <c r="H55" i="13"/>
  <c r="F55" i="13"/>
  <c r="D55" i="13"/>
  <c r="G55" i="13"/>
  <c r="D56" i="13" l="1"/>
  <c r="A55" i="14" a="1"/>
  <c r="A55" i="14" s="1"/>
  <c r="C54" i="14"/>
  <c r="F54" i="14"/>
  <c r="B54" i="14"/>
  <c r="G54" i="14"/>
  <c r="H54" i="14"/>
  <c r="D54" i="14"/>
  <c r="E54" i="14"/>
  <c r="B56" i="13"/>
  <c r="A57" i="13" a="1"/>
  <c r="A57" i="13" s="1"/>
  <c r="C57" i="13" s="1"/>
  <c r="E56" i="13"/>
  <c r="H56" i="13"/>
  <c r="G56" i="13"/>
  <c r="F56" i="13"/>
  <c r="D57" i="13" l="1"/>
  <c r="A56" i="14" a="1"/>
  <c r="A56" i="14" s="1"/>
  <c r="C55" i="14"/>
  <c r="G55" i="14"/>
  <c r="D55" i="14"/>
  <c r="H55" i="14"/>
  <c r="B55" i="14"/>
  <c r="E55" i="14"/>
  <c r="F55" i="14"/>
  <c r="B57" i="13"/>
  <c r="A58" i="13" a="1"/>
  <c r="A58" i="13" s="1"/>
  <c r="C58" i="13" s="1"/>
  <c r="E57" i="13"/>
  <c r="G57" i="13"/>
  <c r="F57" i="13"/>
  <c r="H57" i="13"/>
  <c r="D58" i="13" l="1"/>
  <c r="A57" i="14" a="1"/>
  <c r="A57" i="14" s="1"/>
  <c r="D56" i="14"/>
  <c r="H56" i="14"/>
  <c r="E56" i="14"/>
  <c r="B56" i="14"/>
  <c r="C56" i="14"/>
  <c r="F56" i="14"/>
  <c r="G56" i="14"/>
  <c r="B58" i="13"/>
  <c r="A59" i="13" a="1"/>
  <c r="A59" i="13" s="1"/>
  <c r="D59" i="13" s="1"/>
  <c r="F58" i="13"/>
  <c r="G58" i="13"/>
  <c r="E58" i="13"/>
  <c r="H58" i="13"/>
  <c r="C59" i="13" l="1"/>
  <c r="A58" i="14" a="1"/>
  <c r="A58" i="14" s="1"/>
  <c r="E57" i="14"/>
  <c r="B57" i="14"/>
  <c r="F57" i="14"/>
  <c r="C57" i="14"/>
  <c r="D57" i="14"/>
  <c r="G57" i="14"/>
  <c r="H57" i="14"/>
  <c r="B59" i="13"/>
  <c r="A60" i="13" a="1"/>
  <c r="A60" i="13" s="1"/>
  <c r="G60" i="13" s="1"/>
  <c r="F59" i="13"/>
  <c r="G59" i="13"/>
  <c r="H59" i="13"/>
  <c r="E59" i="13"/>
  <c r="E60" i="13" l="1"/>
  <c r="A59" i="14" a="1"/>
  <c r="A59" i="14" s="1"/>
  <c r="B58" i="14"/>
  <c r="F58" i="14"/>
  <c r="C58" i="14"/>
  <c r="G58" i="14"/>
  <c r="D58" i="14"/>
  <c r="E58" i="14"/>
  <c r="H58" i="14"/>
  <c r="B60" i="13"/>
  <c r="A61" i="13" a="1"/>
  <c r="A61" i="13" s="1"/>
  <c r="C61" i="13" s="1"/>
  <c r="F60" i="13"/>
  <c r="H60" i="13"/>
  <c r="C60" i="13"/>
  <c r="D60" i="13"/>
  <c r="E61" i="13" l="1"/>
  <c r="A60" i="14" a="1"/>
  <c r="A60" i="14" s="1"/>
  <c r="C59" i="14"/>
  <c r="G59" i="14"/>
  <c r="D59" i="14"/>
  <c r="H59" i="14"/>
  <c r="E59" i="14"/>
  <c r="F59" i="14"/>
  <c r="B59" i="14"/>
  <c r="B61" i="13"/>
  <c r="A62" i="13" a="1"/>
  <c r="A62" i="13" s="1"/>
  <c r="C62" i="13" s="1"/>
  <c r="G61" i="13"/>
  <c r="D61" i="13"/>
  <c r="F61" i="13"/>
  <c r="H61" i="13"/>
  <c r="F62" i="13" l="1"/>
  <c r="A61" i="14" a="1"/>
  <c r="A61" i="14" s="1"/>
  <c r="D60" i="14"/>
  <c r="H60" i="14"/>
  <c r="E60" i="14"/>
  <c r="F60" i="14"/>
  <c r="G60" i="14"/>
  <c r="B60" i="14"/>
  <c r="C60" i="14"/>
  <c r="B62" i="13"/>
  <c r="A63" i="13" a="1"/>
  <c r="A63" i="13" s="1"/>
  <c r="C63" i="13" s="1"/>
  <c r="G62" i="13"/>
  <c r="H62" i="13"/>
  <c r="E62" i="13"/>
  <c r="D62" i="13"/>
  <c r="B63" i="13" l="1"/>
  <c r="G63" i="13"/>
  <c r="A62" i="14" a="1"/>
  <c r="A62" i="14" s="1"/>
  <c r="E61" i="14"/>
  <c r="B61" i="14"/>
  <c r="F61" i="14"/>
  <c r="G61" i="14"/>
  <c r="H61" i="14"/>
  <c r="C61" i="14"/>
  <c r="D61" i="14"/>
  <c r="A64" i="13" a="1"/>
  <c r="A64" i="13" s="1"/>
  <c r="G64" i="13" s="1"/>
  <c r="H63" i="13"/>
  <c r="E63" i="13"/>
  <c r="D63" i="13"/>
  <c r="F63" i="13"/>
  <c r="A63" i="14" l="1" a="1"/>
  <c r="A63" i="14" s="1"/>
  <c r="B62" i="14"/>
  <c r="F62" i="14"/>
  <c r="C62" i="14"/>
  <c r="G62" i="14"/>
  <c r="H62" i="14"/>
  <c r="D62" i="14"/>
  <c r="E62" i="14"/>
  <c r="E64" i="13"/>
  <c r="B64" i="13"/>
  <c r="A65" i="13" a="1"/>
  <c r="A65" i="13" s="1"/>
  <c r="F65" i="13" s="1"/>
  <c r="F64" i="13"/>
  <c r="C64" i="13"/>
  <c r="H64" i="13"/>
  <c r="D64" i="13"/>
  <c r="B65" i="13" l="1"/>
  <c r="D65" i="13"/>
  <c r="A64" i="14" a="1"/>
  <c r="A64" i="14" s="1"/>
  <c r="C63" i="14"/>
  <c r="G63" i="14"/>
  <c r="D63" i="14"/>
  <c r="H63" i="14"/>
  <c r="B63" i="14"/>
  <c r="E63" i="14"/>
  <c r="F63" i="14"/>
  <c r="A66" i="13" a="1"/>
  <c r="A66" i="13" s="1"/>
  <c r="C66" i="13" s="1"/>
  <c r="G65" i="13"/>
  <c r="E65" i="13"/>
  <c r="H65" i="13"/>
  <c r="C65" i="13"/>
  <c r="A65" i="14" l="1" a="1"/>
  <c r="A65" i="14" s="1"/>
  <c r="D64" i="14"/>
  <c r="H64" i="14"/>
  <c r="E64" i="14"/>
  <c r="B64" i="14"/>
  <c r="C64" i="14"/>
  <c r="F64" i="14"/>
  <c r="G64" i="14"/>
  <c r="B66" i="13"/>
  <c r="G66" i="13"/>
  <c r="A67" i="13" a="1"/>
  <c r="A67" i="13" s="1"/>
  <c r="C67" i="13" s="1"/>
  <c r="H66" i="13"/>
  <c r="D66" i="13"/>
  <c r="E66" i="13"/>
  <c r="F66" i="13"/>
  <c r="B67" i="13" l="1"/>
  <c r="G67" i="13"/>
  <c r="A66" i="14" a="1"/>
  <c r="A66" i="14" s="1"/>
  <c r="E65" i="14"/>
  <c r="B65" i="14"/>
  <c r="F65" i="14"/>
  <c r="C65" i="14"/>
  <c r="D65" i="14"/>
  <c r="G65" i="14"/>
  <c r="H65" i="14"/>
  <c r="A68" i="13" a="1"/>
  <c r="A68" i="13" s="1"/>
  <c r="C68" i="13" s="1"/>
  <c r="H67" i="13"/>
  <c r="F67" i="13"/>
  <c r="D67" i="13"/>
  <c r="E67" i="13"/>
  <c r="A67" i="14" l="1" a="1"/>
  <c r="A67" i="14" s="1"/>
  <c r="B66" i="14"/>
  <c r="F66" i="14"/>
  <c r="C66" i="14"/>
  <c r="G66" i="14"/>
  <c r="D66" i="14"/>
  <c r="E66" i="14"/>
  <c r="H66" i="14"/>
  <c r="H68" i="13"/>
  <c r="B68" i="13"/>
  <c r="A69" i="13" a="1"/>
  <c r="A69" i="13" s="1"/>
  <c r="F69" i="13" s="1"/>
  <c r="D68" i="13"/>
  <c r="E68" i="13"/>
  <c r="G68" i="13"/>
  <c r="F68" i="13"/>
  <c r="B69" i="13" l="1"/>
  <c r="H69" i="13"/>
  <c r="A68" i="14" a="1"/>
  <c r="A68" i="14" s="1"/>
  <c r="C67" i="14"/>
  <c r="G67" i="14"/>
  <c r="D67" i="14"/>
  <c r="H67" i="14"/>
  <c r="E67" i="14"/>
  <c r="F67" i="14"/>
  <c r="B67" i="14"/>
  <c r="A70" i="13" a="1"/>
  <c r="A70" i="13" s="1"/>
  <c r="C70" i="13" s="1"/>
  <c r="C69" i="13"/>
  <c r="G69" i="13"/>
  <c r="D69" i="13"/>
  <c r="E69" i="13"/>
  <c r="A69" i="14" l="1" a="1"/>
  <c r="A69" i="14" s="1"/>
  <c r="D68" i="14"/>
  <c r="H68" i="14"/>
  <c r="E68" i="14"/>
  <c r="F68" i="14"/>
  <c r="G68" i="14"/>
  <c r="B68" i="14"/>
  <c r="C68" i="14"/>
  <c r="H70" i="13"/>
  <c r="B70" i="13"/>
  <c r="A71" i="13" a="1"/>
  <c r="A71" i="13" s="1"/>
  <c r="D71" i="13" s="1"/>
  <c r="D70" i="13"/>
  <c r="F70" i="13"/>
  <c r="E70" i="13"/>
  <c r="G70" i="13"/>
  <c r="B71" i="13" l="1"/>
  <c r="E71" i="13"/>
  <c r="A70" i="14" a="1"/>
  <c r="A70" i="14" s="1"/>
  <c r="E69" i="14"/>
  <c r="B69" i="14"/>
  <c r="F69" i="14"/>
  <c r="G69" i="14"/>
  <c r="H69" i="14"/>
  <c r="C69" i="14"/>
  <c r="D69" i="14"/>
  <c r="A72" i="13" a="1"/>
  <c r="A72" i="13" s="1"/>
  <c r="C72" i="13" s="1"/>
  <c r="C71" i="13"/>
  <c r="F71" i="13"/>
  <c r="H71" i="13"/>
  <c r="G71" i="13"/>
  <c r="A71" i="14" l="1" a="1"/>
  <c r="A71" i="14" s="1"/>
  <c r="B70" i="14"/>
  <c r="F70" i="14"/>
  <c r="C70" i="14"/>
  <c r="G70" i="14"/>
  <c r="H70" i="14"/>
  <c r="D70" i="14"/>
  <c r="E70" i="14"/>
  <c r="D72" i="13"/>
  <c r="B72" i="13"/>
  <c r="A73" i="13" a="1"/>
  <c r="A73" i="13" s="1"/>
  <c r="C73" i="13" s="1"/>
  <c r="E72" i="13"/>
  <c r="F72" i="13"/>
  <c r="G72" i="13"/>
  <c r="H72" i="13"/>
  <c r="B73" i="13" l="1"/>
  <c r="D73" i="13"/>
  <c r="A72" i="14" a="1"/>
  <c r="A72" i="14" s="1"/>
  <c r="C71" i="14"/>
  <c r="G71" i="14"/>
  <c r="D71" i="14"/>
  <c r="H71" i="14"/>
  <c r="B71" i="14"/>
  <c r="E71" i="14"/>
  <c r="F71" i="14"/>
  <c r="A74" i="13" a="1"/>
  <c r="A74" i="13" s="1"/>
  <c r="C74" i="13" s="1"/>
  <c r="E73" i="13"/>
  <c r="H73" i="13"/>
  <c r="F73" i="13"/>
  <c r="G73" i="13"/>
  <c r="D72" i="14" l="1"/>
  <c r="H72" i="14"/>
  <c r="E72" i="14"/>
  <c r="B72" i="14"/>
  <c r="C72" i="14"/>
  <c r="F72" i="14"/>
  <c r="G72" i="14"/>
  <c r="D74" i="13"/>
  <c r="B74" i="13"/>
  <c r="A75" i="13" a="1"/>
  <c r="A75" i="13" s="1"/>
  <c r="D75" i="13" s="1"/>
  <c r="F74" i="13"/>
  <c r="G74" i="13"/>
  <c r="E74" i="13"/>
  <c r="H74" i="13"/>
  <c r="B75" i="13" l="1"/>
  <c r="E75" i="13"/>
  <c r="A76" i="13" a="1"/>
  <c r="A76" i="13" s="1"/>
  <c r="G76" i="13" s="1"/>
  <c r="F75" i="13"/>
  <c r="G75" i="13"/>
  <c r="H75" i="13"/>
  <c r="C75" i="13"/>
  <c r="C76" i="13" l="1"/>
  <c r="B76" i="13"/>
  <c r="A77" i="13" a="1"/>
  <c r="A77" i="13" s="1"/>
  <c r="C77" i="13" s="1"/>
  <c r="E76" i="13"/>
  <c r="D76" i="13"/>
  <c r="F76" i="13"/>
  <c r="H76" i="13"/>
  <c r="B77" i="13" l="1"/>
  <c r="E77" i="13"/>
  <c r="A78" i="13" a="1"/>
  <c r="A78" i="13" s="1"/>
  <c r="C78" i="13" s="1"/>
  <c r="G77" i="13"/>
  <c r="H77" i="13"/>
  <c r="F77" i="13"/>
  <c r="D77" i="13"/>
  <c r="B78" i="13" l="1"/>
  <c r="F78" i="13"/>
  <c r="A79" i="13" a="1"/>
  <c r="A79" i="13" s="1"/>
  <c r="C79" i="13" s="1"/>
  <c r="G78" i="13"/>
  <c r="D78" i="13"/>
  <c r="E78" i="13"/>
  <c r="H78" i="13"/>
  <c r="F79" i="13" l="1"/>
  <c r="B79" i="13"/>
  <c r="A80" i="13" a="1"/>
  <c r="A80" i="13" s="1"/>
  <c r="G80" i="13" s="1"/>
  <c r="H79" i="13"/>
  <c r="G79" i="13"/>
  <c r="D79" i="13"/>
  <c r="E79" i="13"/>
  <c r="B80" i="13" l="1"/>
  <c r="H80" i="13"/>
  <c r="A81" i="13" a="1"/>
  <c r="A81" i="13" s="1"/>
  <c r="F81" i="13" s="1"/>
  <c r="F80" i="13"/>
  <c r="D80" i="13"/>
  <c r="C80" i="13"/>
  <c r="E80" i="13"/>
  <c r="B81" i="13" l="1"/>
  <c r="H81" i="13"/>
  <c r="A82" i="13" a="1"/>
  <c r="A82" i="13" s="1"/>
  <c r="E82" i="13" s="1"/>
  <c r="G81" i="13"/>
  <c r="E81" i="13"/>
  <c r="C81" i="13"/>
  <c r="D81" i="13"/>
  <c r="A83" i="13" l="1" a="1"/>
  <c r="A83" i="13" s="1"/>
  <c r="G83" i="13" s="1"/>
  <c r="G82" i="13"/>
  <c r="F82" i="13"/>
  <c r="C82" i="13"/>
  <c r="B82" i="13"/>
  <c r="D82" i="13"/>
  <c r="H82" i="13"/>
  <c r="A84" i="13" l="1" a="1"/>
  <c r="A84" i="13" s="1"/>
  <c r="H84" i="13" s="1"/>
  <c r="H83" i="13"/>
  <c r="E83" i="13"/>
  <c r="D83" i="13"/>
  <c r="F83" i="13"/>
  <c r="C83" i="13"/>
  <c r="B83" i="13"/>
  <c r="E84" i="13" l="1"/>
  <c r="G84" i="13"/>
  <c r="D84" i="13"/>
  <c r="C84" i="13"/>
  <c r="B84" i="13"/>
  <c r="F84" i="13"/>
  <c r="A85" i="13" a="1"/>
  <c r="A85" i="13" s="1"/>
  <c r="H85" i="13" s="1"/>
  <c r="A86" i="13" l="1" a="1"/>
  <c r="A86" i="13" s="1"/>
  <c r="H86" i="13" s="1"/>
  <c r="D85" i="13"/>
  <c r="E85" i="13"/>
  <c r="F85" i="13"/>
  <c r="B85" i="13"/>
  <c r="G85" i="13"/>
  <c r="C85" i="13"/>
  <c r="G86" i="13" l="1"/>
  <c r="E86" i="13"/>
  <c r="D86" i="13"/>
  <c r="C86" i="13"/>
  <c r="B86" i="13"/>
  <c r="F86" i="13"/>
  <c r="A87" i="13" a="1"/>
  <c r="A87" i="13" s="1"/>
  <c r="H87" i="13" s="1"/>
  <c r="C87" i="13" l="1"/>
  <c r="D87" i="13"/>
  <c r="B87" i="13"/>
  <c r="F87" i="13"/>
  <c r="A88" i="13" a="1"/>
  <c r="A88" i="13" s="1"/>
  <c r="G88" i="13" s="1"/>
  <c r="G87" i="13"/>
  <c r="E87" i="13"/>
  <c r="E88" i="13" l="1"/>
  <c r="C88" i="13"/>
  <c r="B88" i="13"/>
  <c r="H88" i="13"/>
  <c r="A89" i="13" a="1"/>
  <c r="A89" i="13" s="1"/>
  <c r="D89" i="13" s="1"/>
  <c r="D88" i="13"/>
  <c r="F88" i="13"/>
  <c r="H89" i="13" l="1"/>
  <c r="F89" i="13"/>
  <c r="G89" i="13"/>
  <c r="C89" i="13"/>
  <c r="B89" i="13"/>
  <c r="E89" i="13"/>
  <c r="A90" i="13" a="1"/>
  <c r="A90" i="13" s="1"/>
  <c r="E90" i="13" s="1"/>
  <c r="F90" i="13" l="1"/>
  <c r="C90" i="13"/>
  <c r="B90" i="13"/>
  <c r="G90" i="13"/>
  <c r="A91" i="13" a="1"/>
  <c r="A91" i="13" s="1"/>
  <c r="C91" i="13" s="1"/>
  <c r="D90" i="13"/>
  <c r="H90" i="13"/>
  <c r="F91" i="13" l="1"/>
  <c r="H91" i="13"/>
  <c r="G91" i="13"/>
  <c r="D91" i="13"/>
  <c r="B91" i="13"/>
  <c r="E91" i="13"/>
  <c r="A92" i="13" a="1"/>
  <c r="A92" i="13" s="1"/>
  <c r="C92" i="13" s="1"/>
  <c r="F92" i="13" l="1"/>
  <c r="G92" i="13"/>
  <c r="B92" i="13"/>
  <c r="D92" i="13"/>
  <c r="A93" i="13" a="1"/>
  <c r="A93" i="13" s="1"/>
  <c r="F93" i="13" s="1"/>
  <c r="E92" i="13"/>
  <c r="H92" i="13"/>
  <c r="D93" i="13" l="1"/>
  <c r="C93" i="13"/>
  <c r="B93" i="13"/>
  <c r="G93" i="13"/>
  <c r="A94" i="13" a="1"/>
  <c r="A94" i="13" s="1"/>
  <c r="F94" i="13" s="1"/>
  <c r="E93" i="13"/>
  <c r="H93" i="13"/>
  <c r="D94" i="13" l="1"/>
  <c r="E94" i="13"/>
  <c r="G94" i="13"/>
  <c r="C94" i="13"/>
  <c r="B94" i="13"/>
  <c r="H94" i="13"/>
  <c r="A95" i="13" a="1"/>
  <c r="A95" i="13" s="1"/>
  <c r="D95" i="13" s="1"/>
  <c r="E95" i="13" l="1"/>
  <c r="C95" i="13"/>
  <c r="B95" i="13"/>
  <c r="F95" i="13"/>
  <c r="A96" i="13" a="1"/>
  <c r="A96" i="13" s="1"/>
  <c r="F96" i="13" s="1"/>
  <c r="H95" i="13"/>
  <c r="G95" i="13"/>
  <c r="D96" i="13" l="1"/>
  <c r="G96" i="13"/>
  <c r="B96" i="13"/>
  <c r="C96" i="13"/>
  <c r="A97" i="13" a="1"/>
  <c r="A97" i="13" s="1"/>
  <c r="C97" i="13" s="1"/>
  <c r="E96" i="13"/>
  <c r="H96" i="13"/>
  <c r="D97" i="13" l="1"/>
  <c r="G97" i="13"/>
  <c r="E97" i="13"/>
  <c r="F97" i="13"/>
  <c r="B97" i="13"/>
  <c r="H97" i="13"/>
  <c r="A98" i="13" a="1"/>
  <c r="A98" i="13" s="1"/>
  <c r="E98" i="13" s="1"/>
  <c r="D98" i="13" l="1"/>
  <c r="C98" i="13"/>
  <c r="B98" i="13"/>
  <c r="H98" i="13"/>
  <c r="A99" i="13" a="1"/>
  <c r="A99" i="13" s="1"/>
  <c r="D99" i="13" s="1"/>
  <c r="G98" i="13"/>
  <c r="F98" i="13"/>
  <c r="E99" i="13" l="1"/>
  <c r="C99" i="13"/>
  <c r="B99" i="13"/>
  <c r="G99" i="13"/>
  <c r="A100" i="13" a="1"/>
  <c r="A100" i="13" s="1"/>
  <c r="F100" i="13" s="1"/>
  <c r="H99" i="13"/>
  <c r="F99" i="13"/>
  <c r="A101" i="13" l="1" a="1"/>
  <c r="A101" i="13" s="1"/>
  <c r="G101" i="13" s="1"/>
  <c r="H100" i="13"/>
  <c r="D100" i="13"/>
  <c r="G100" i="13"/>
  <c r="E100" i="13"/>
  <c r="C100" i="13"/>
  <c r="B100" i="13"/>
  <c r="A102" i="13" l="1" a="1"/>
  <c r="A102" i="13" s="1"/>
  <c r="H102" i="13" s="1"/>
  <c r="H101" i="13"/>
  <c r="E101" i="13"/>
  <c r="C101" i="13"/>
  <c r="D101" i="13"/>
  <c r="F101" i="13"/>
  <c r="B101" i="13"/>
  <c r="G102" i="13" l="1"/>
  <c r="E102" i="13"/>
  <c r="F102" i="13"/>
  <c r="C102" i="13"/>
  <c r="B102" i="13"/>
  <c r="D102" i="13"/>
</calcChain>
</file>

<file path=xl/sharedStrings.xml><?xml version="1.0" encoding="utf-8"?>
<sst xmlns="http://schemas.openxmlformats.org/spreadsheetml/2006/main" count="4081" uniqueCount="1775">
  <si>
    <t>Closed LLFCs</t>
  </si>
  <si>
    <t>Geographical name</t>
  </si>
  <si>
    <t>Notes:</t>
  </si>
  <si>
    <t>Metered voltage, respective periods and associated LLFCs</t>
  </si>
  <si>
    <t>Period 1</t>
  </si>
  <si>
    <t>Period 2</t>
  </si>
  <si>
    <t>Period 3</t>
  </si>
  <si>
    <t>Period 4</t>
  </si>
  <si>
    <t>Associated LLFC</t>
  </si>
  <si>
    <t>Site</t>
  </si>
  <si>
    <t>Demand</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</si>
  <si>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</si>
  <si>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</si>
  <si>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</si>
  <si>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</si>
  <si>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</si>
  <si>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</si>
  <si>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</si>
  <si>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</si>
  <si>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</si>
  <si>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</si>
  <si>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</si>
  <si>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</si>
  <si>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</si>
  <si>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</si>
  <si>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</si>
  <si>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</si>
  <si>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</si>
  <si>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Annex 5 LLFs</t>
  </si>
  <si>
    <t>Name</t>
  </si>
  <si>
    <t>Note: The list of MPANs / MSIDs provided may be incomplete; the DNO reserves the right to apply the listed charges to any other MPANs / MSIDs associated with the site.</t>
  </si>
  <si>
    <t>Nodal prices</t>
  </si>
  <si>
    <t>Reactive power charge
p/kVArh</t>
  </si>
  <si>
    <t>Local charge 1
£/kVA</t>
  </si>
  <si>
    <t>Remote charge 1
£/kVA</t>
  </si>
  <si>
    <t>LLFC</t>
  </si>
  <si>
    <t>Import MPANs/MSIDs</t>
  </si>
  <si>
    <t>Export MPANs/MSIDs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</si>
  <si>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</si>
  <si>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</si>
  <si>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</si>
  <si>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</si>
  <si>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</si>
  <si>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</si>
  <si>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</si>
  <si>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</si>
  <si>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</si>
  <si>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</si>
  <si>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</si>
  <si>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</si>
  <si>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</si>
  <si>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</si>
  <si>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</si>
  <si>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</si>
  <si>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</si>
  <si>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</si>
  <si>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</si>
  <si>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</si>
  <si>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</si>
  <si>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</si>
  <si>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</si>
  <si>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</si>
  <si>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</si>
  <si>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</si>
  <si>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</si>
  <si>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</si>
  <si>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</si>
  <si>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</si>
  <si>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</si>
  <si>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</si>
  <si>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</si>
  <si>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</si>
  <si>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</si>
  <si>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</si>
  <si>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</si>
  <si>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</si>
  <si>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</si>
  <si>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</si>
  <si>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</si>
  <si>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</si>
  <si>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</si>
  <si>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</si>
  <si>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</si>
  <si>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</si>
  <si>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</si>
  <si>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</si>
  <si>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</si>
  <si>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</si>
  <si>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</si>
  <si>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</si>
  <si>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</si>
  <si>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</si>
  <si>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</si>
  <si>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</si>
  <si>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</si>
  <si>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</si>
  <si>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</si>
  <si>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</si>
  <si>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</si>
  <si>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</si>
  <si>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</si>
  <si>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</si>
  <si>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</si>
  <si>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</si>
  <si>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</si>
  <si>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</si>
  <si>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</si>
  <si>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</si>
  <si>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</si>
  <si>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</si>
  <si>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</si>
  <si>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</si>
  <si>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</si>
  <si>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</si>
  <si>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</si>
  <si>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</si>
  <si>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</si>
  <si>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</si>
  <si>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</si>
  <si>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</si>
  <si>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</si>
  <si>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</si>
  <si>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</si>
  <si>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</si>
  <si>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</si>
  <si>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</si>
  <si>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</si>
  <si>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</si>
  <si>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</si>
  <si>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</si>
  <si>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</si>
  <si>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</si>
  <si>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</si>
  <si>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</si>
  <si>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</si>
  <si>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</si>
  <si>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</si>
  <si>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</si>
  <si>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</si>
  <si>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Domestic Aggregated (related MPAN)</t>
  </si>
  <si>
    <t>Non-Domestic Aggregated</t>
  </si>
  <si>
    <t>Non-Domestic Aggregated (related MPAN)</t>
  </si>
  <si>
    <t>LV Site Specific</t>
  </si>
  <si>
    <t>LV Sub Site Specific</t>
  </si>
  <si>
    <t>HV Site Specific</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</si>
  <si>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</si>
  <si>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</si>
  <si>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</si>
  <si>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</si>
  <si>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</si>
  <si>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</si>
  <si>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</si>
  <si>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</si>
  <si>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</si>
  <si>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Site Specific preserved charges/additional LLFCs</t>
  </si>
  <si>
    <t>Time Bands for LV and HV Designated Properties</t>
  </si>
  <si>
    <t>Time Bands for Unmetered Properties</t>
  </si>
  <si>
    <t>Supercustomer preserved charges/additional LLFCs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</si>
  <si>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</si>
  <si>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</si>
  <si>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</si>
  <si>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</si>
  <si>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</si>
  <si>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</si>
  <si>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</si>
  <si>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</si>
  <si>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</si>
  <si>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</si>
  <si>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</si>
  <si>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</si>
  <si>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</si>
  <si>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</si>
  <si>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</si>
  <si>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</si>
  <si>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</si>
  <si>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</si>
  <si>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</si>
  <si>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</si>
  <si>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</si>
  <si>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</si>
  <si>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</si>
  <si>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</si>
  <si>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</si>
  <si>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</si>
  <si>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</si>
  <si>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</si>
  <si>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</si>
  <si>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</si>
  <si>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</si>
  <si>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</si>
  <si>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</si>
  <si>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</si>
  <si>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</si>
  <si>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</si>
  <si>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</si>
  <si>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</si>
  <si>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</si>
  <si>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</si>
  <si>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</si>
  <si>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</si>
  <si>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</si>
  <si>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</si>
  <si>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</si>
  <si>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</si>
  <si>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</si>
  <si>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</si>
  <si>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</si>
  <si>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</si>
  <si>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</si>
  <si>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</si>
  <si>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</si>
  <si>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</si>
  <si>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</si>
  <si>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</si>
  <si>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</si>
  <si>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</si>
  <si>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</si>
  <si>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</si>
  <si>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</si>
  <si>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</si>
  <si>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</si>
  <si>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</si>
  <si>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</si>
  <si>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</si>
  <si>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</si>
  <si>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</si>
  <si>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</si>
  <si>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</si>
  <si>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</si>
  <si>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</si>
  <si>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</si>
  <si>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</si>
  <si>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</si>
  <si>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</si>
  <si>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</si>
  <si>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</si>
  <si>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</si>
  <si>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</si>
  <si>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</si>
  <si>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</si>
  <si>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</si>
  <si>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</si>
  <si>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</si>
  <si>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</si>
  <si>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</si>
  <si>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</si>
  <si>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</si>
  <si>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</si>
  <si>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</si>
  <si>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</si>
  <si>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</si>
  <si>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</si>
  <si>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</si>
  <si>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</si>
  <si>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</si>
  <si>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</si>
  <si>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</si>
  <si>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</si>
  <si>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</si>
  <si>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</si>
  <si>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</si>
  <si>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</si>
  <si>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</si>
  <si>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</si>
  <si>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</si>
  <si>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</si>
  <si>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</si>
  <si>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</si>
  <si>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</si>
  <si>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</si>
  <si>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</si>
  <si>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</si>
  <si>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</si>
  <si>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</si>
  <si>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</si>
  <si>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</si>
  <si>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</si>
  <si>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</si>
  <si>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</si>
  <si>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</si>
  <si>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</si>
  <si>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</si>
  <si>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</si>
  <si>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</si>
  <si>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</si>
  <si>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</si>
  <si>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</si>
  <si>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</si>
  <si>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</si>
  <si>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</si>
  <si>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</si>
  <si>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</si>
  <si>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</si>
  <si>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</si>
  <si>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</si>
  <si>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</si>
  <si>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</si>
  <si>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</si>
  <si>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</si>
  <si>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</si>
  <si>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</si>
  <si>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</si>
  <si>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</si>
  <si>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</si>
  <si>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</si>
  <si>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</si>
  <si>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</si>
  <si>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</si>
  <si>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</si>
  <si>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</si>
  <si>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</si>
  <si>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</si>
  <si>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</si>
  <si>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</si>
  <si>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</si>
  <si>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</si>
  <si>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</si>
  <si>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</si>
  <si>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</si>
  <si>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</si>
  <si>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</si>
  <si>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</si>
  <si>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</si>
  <si>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</si>
  <si>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</si>
  <si>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</si>
  <si>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</si>
  <si>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</si>
  <si>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</si>
  <si>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</si>
  <si>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</si>
  <si>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</si>
  <si>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</si>
  <si>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</si>
  <si>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</si>
  <si>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</si>
  <si>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</si>
  <si>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</si>
  <si>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</si>
  <si>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</si>
  <si>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</si>
  <si>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</si>
  <si>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</si>
  <si>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</si>
  <si>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</si>
  <si>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</si>
  <si>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</si>
  <si>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</si>
  <si>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</si>
  <si>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</si>
  <si>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</si>
  <si>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</si>
  <si>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</si>
  <si>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</si>
  <si>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</si>
  <si>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</si>
  <si>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</si>
  <si>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</si>
  <si>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</si>
  <si>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</si>
  <si>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</si>
  <si>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</si>
  <si>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</si>
  <si>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</si>
  <si>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</si>
  <si>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</si>
  <si>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</si>
  <si>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</si>
  <si>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</si>
  <si>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</si>
  <si>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</si>
  <si>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</si>
  <si>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</si>
  <si>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</si>
  <si>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</si>
  <si>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</si>
  <si>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</si>
  <si>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</si>
  <si>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</si>
  <si>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</si>
  <si>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</si>
  <si>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</si>
  <si>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</si>
  <si>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</si>
  <si>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</si>
  <si>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</si>
  <si>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</si>
  <si>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</si>
  <si>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</si>
  <si>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</si>
  <si>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</si>
  <si>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</si>
  <si>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</si>
  <si>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</si>
  <si>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</si>
  <si>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</si>
  <si>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</si>
  <si>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</si>
  <si>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</si>
  <si>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</si>
  <si>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</si>
  <si>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</si>
  <si>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</si>
  <si>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</si>
  <si>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</si>
  <si>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</si>
  <si>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</si>
  <si>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</si>
  <si>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</si>
  <si>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</si>
  <si>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</si>
  <si>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</si>
  <si>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</si>
  <si>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</si>
  <si>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</si>
  <si>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2</t>
  </si>
  <si>
    <t>4</t>
  </si>
  <si>
    <t>0, 1 or 8</t>
  </si>
  <si>
    <t>Open LLFCs / LDNO unique billing identifier</t>
  </si>
  <si>
    <t>LDNO LV: Non-Domestic Aggregated (related MPAN)</t>
  </si>
  <si>
    <t>LDNO LV: Unmetered Supplies</t>
  </si>
  <si>
    <t>LDNO LV: LV Generation Aggregated</t>
  </si>
  <si>
    <t>LDNO LV: LV Generation Site Specific</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</si>
  <si>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</si>
  <si>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</si>
  <si>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</si>
  <si>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</si>
  <si>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</si>
  <si>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</si>
  <si>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</si>
  <si>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</si>
  <si>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</si>
  <si>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</si>
  <si>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</si>
  <si>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</si>
  <si>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</si>
  <si>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</si>
  <si>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</si>
  <si>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</si>
  <si>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</si>
  <si>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</si>
  <si>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</si>
  <si>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</si>
  <si>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</si>
  <si>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</si>
  <si>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</si>
  <si>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</si>
  <si>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</si>
  <si>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</si>
  <si>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</si>
  <si>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</si>
  <si>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</si>
  <si>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</si>
  <si>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</si>
  <si>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</si>
  <si>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</si>
  <si>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</si>
  <si>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</si>
  <si>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</si>
  <si>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</si>
  <si>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</si>
  <si>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</si>
  <si>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</si>
  <si>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</si>
  <si>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</si>
  <si>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</si>
  <si>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pass-through costs which are recovered on a two year lag allocated to all domestic tariffs with a fixed charge (including LDNO)</t>
  </si>
  <si>
    <t>**Supplier of Last Resort pass-through costs which are not recovered on a two year lag allocated to all domestic tariffs with a fixed charge (including LDNO)</t>
  </si>
  <si>
    <t>***Eligible Bad Debt pass-through costs allocated to all metered demand tariffs (including LDNO)</t>
  </si>
  <si>
    <t>Supplier of Last Resort 
Fixed charge adder*
p/MPAN/day</t>
  </si>
  <si>
    <t>Excess Supplier of Last Resort 
Fixed charge adder**
p/MPAN/day</t>
  </si>
  <si>
    <t>Eligible Bad Debt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</si>
  <si>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</si>
  <si>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</si>
  <si>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Domestic Aggregated with Residual</t>
  </si>
  <si>
    <t>Domestic Aggregated (Related MPAN)</t>
  </si>
  <si>
    <t>Non-Domestic Aggregated No Residual</t>
  </si>
  <si>
    <t>Non-Domestic Aggregated Band 1</t>
  </si>
  <si>
    <t>Non-Domestic Aggregated Band 2</t>
  </si>
  <si>
    <t>Non-Domestic Aggregated Band 3</t>
  </si>
  <si>
    <t>Non-Domestic Aggregated Band 4</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</si>
  <si>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</si>
  <si>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</si>
  <si>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</si>
  <si>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</si>
  <si>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</si>
  <si>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</si>
  <si>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</si>
  <si>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</si>
  <si>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</si>
  <si>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</si>
  <si>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</si>
  <si>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</si>
  <si>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</si>
  <si>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</si>
  <si>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</si>
  <si>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Domestic Aggregated with Residual</t>
  </si>
  <si>
    <t>LDNO LV: Domestic Aggregated (Related MPAN)</t>
  </si>
  <si>
    <t>LDNO LV: Non-Domestic Aggregated No Residual</t>
  </si>
  <si>
    <t>LDNO LV: Non-Domestic Aggregated Band 1</t>
  </si>
  <si>
    <t>LDNO LV: Non-Domestic Aggregated Band 2</t>
  </si>
  <si>
    <t>LDNO LV: Non-Domestic Aggregated Band 3</t>
  </si>
  <si>
    <t>LDNO LV: Non-Domestic Aggregated Band 4</t>
  </si>
  <si>
    <t>LDNO LV: LV Site Specific No Residual</t>
  </si>
  <si>
    <t>LDNO LV: LV Site Specific Band 1</t>
  </si>
  <si>
    <t>LDNO LV: LV Site Specific Band 2</t>
  </si>
  <si>
    <t>LDNO LV: LV Site Specific Band 3</t>
  </si>
  <si>
    <t>LDNO LV: LV Site Specific Band 4</t>
  </si>
  <si>
    <t>LDNO HV: Domestic Aggregated with Residual</t>
  </si>
  <si>
    <t>LDNO HV: Domestic Aggregated (Related MPAN)</t>
  </si>
  <si>
    <t>LDNO HV: Non-Domestic Aggregated No Residual</t>
  </si>
  <si>
    <t>LDNO HV: Non-Domestic Aggregated Band 1</t>
  </si>
  <si>
    <t>LDNO HV: Non-Domestic Aggregated Band 2</t>
  </si>
  <si>
    <t>LDNO HV: Non-Domestic Aggregated Band 3</t>
  </si>
  <si>
    <t>LDNO HV: Non-Domestic Aggregated Band 4</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</si>
  <si>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</si>
  <si>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</si>
  <si>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</si>
  <si>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</si>
  <si>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</si>
  <si>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</si>
  <si>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</si>
  <si>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</si>
  <si>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</si>
  <si>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</si>
  <si>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</si>
  <si>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</si>
  <si>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</si>
  <si>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</si>
  <si>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</si>
  <si>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0000: Domestic Aggregated with Residual</t>
  </si>
  <si>
    <t>LDNO 0000: Domestic Aggregated (Related MPAN)</t>
  </si>
  <si>
    <t>LDNO 0000: Non-Domestic Aggregated No Residual</t>
  </si>
  <si>
    <t>LDNO 0000: Non-Domestic Aggregated Band 1</t>
  </si>
  <si>
    <t>LDNO 0000: Non-Domestic Aggregated Band 2</t>
  </si>
  <si>
    <t>LDNO 0000: Non-Domestic Aggregated Band 3</t>
  </si>
  <si>
    <t>LDNO 0000: Non-Domestic Aggregated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</si>
  <si>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</si>
  <si>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</si>
  <si>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</si>
  <si>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</si>
  <si>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</si>
  <si>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</si>
  <si>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</si>
  <si>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</si>
  <si>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</si>
  <si>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</si>
  <si>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</si>
  <si>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</si>
  <si>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</si>
  <si>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</si>
  <si>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</si>
  <si>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LDNO 132kV: Domestic Aggregated with Residual</t>
  </si>
  <si>
    <t>LDNO 132kV: Domestic Aggregated (Related MPAN)</t>
  </si>
  <si>
    <t>LDNO 132kV: Non-Domestic Aggregated No Residual</t>
  </si>
  <si>
    <t>LDNO 132kV: Non-Domestic Aggregated Band 1</t>
  </si>
  <si>
    <t>LDNO 132kV: Non-Domestic Aggregated Band 2</t>
  </si>
  <si>
    <t>LDNO 132kV: Non-Domestic Aggregated Band 3</t>
  </si>
  <si>
    <t>LDNO 132kV: Non-Domestic Aggregated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</si>
  <si>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</si>
  <si>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</si>
  <si>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</si>
  <si>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</si>
  <si>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</si>
  <si>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</si>
  <si>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</si>
  <si>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</si>
  <si>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</si>
  <si>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</si>
  <si>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</si>
  <si>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</si>
  <si>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</si>
  <si>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</si>
  <si>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</si>
  <si>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132kV/EHV: Domestic Aggregated with Residual</t>
  </si>
  <si>
    <t>LDNO 132kV/EHV: Domestic Aggregated (Related MPAN)</t>
  </si>
  <si>
    <t>LDNO 132kV/EHV: Non-Domestic Aggregated No Residual</t>
  </si>
  <si>
    <t>LDNO 132kV/EHV: Non-Domestic Aggregated Band 1</t>
  </si>
  <si>
    <t>LDNO 132kV/EHV: Non-Domestic Aggregated Band 2</t>
  </si>
  <si>
    <t>LDNO 132kV/EHV: Non-Domestic Aggregated Band 3</t>
  </si>
  <si>
    <t>LDNO 132kV/EHV: Non-Domestic Aggregated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</si>
  <si>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</si>
  <si>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</si>
  <si>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</si>
  <si>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</si>
  <si>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</si>
  <si>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</si>
  <si>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</si>
  <si>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</si>
  <si>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</si>
  <si>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</si>
  <si>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</si>
  <si>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</si>
  <si>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</si>
  <si>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</si>
  <si>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</si>
  <si>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EHV: Domestic Aggregated with Residual</t>
  </si>
  <si>
    <t>LDNO EHV: Domestic Aggregated (Related MPAN)</t>
  </si>
  <si>
    <t>LDNO EHV: Non-Domestic Aggregated No Residual</t>
  </si>
  <si>
    <t>LDNO EHV: Non-Domestic Aggregated Band 1</t>
  </si>
  <si>
    <t>LDNO EHV: Non-Domestic Aggregated Band 2</t>
  </si>
  <si>
    <t>LDNO EHV: Non-Domestic Aggregated Band 3</t>
  </si>
  <si>
    <t>LDNO EHV: Non-Domestic Aggregated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</si>
  <si>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</si>
  <si>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</si>
  <si>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</si>
  <si>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</si>
  <si>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</si>
  <si>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</si>
  <si>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</si>
  <si>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</si>
  <si>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</si>
  <si>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</si>
  <si>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</si>
  <si>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</si>
  <si>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</si>
  <si>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</si>
  <si>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</si>
  <si>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HVplus: Domestic Aggregated with Residual</t>
  </si>
  <si>
    <t>LDNO HVplus: Domestic Aggregated (Related MPAN)</t>
  </si>
  <si>
    <t>LDNO HVplus: Non-Domestic Aggregated No Residual</t>
  </si>
  <si>
    <t>LDNO HVplus: Non-Domestic Aggregated Band 1</t>
  </si>
  <si>
    <t>LDNO HVplus: Non-Domestic Aggregated Band 2</t>
  </si>
  <si>
    <t>LDNO HVplus: Non-Domestic Aggregated Band 3</t>
  </si>
  <si>
    <t>LDNO HVplus: Non-Domestic Aggregated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</si>
  <si>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</si>
  <si>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</si>
  <si>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</si>
  <si>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</si>
  <si>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</si>
  <si>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</si>
  <si>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</si>
  <si>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</si>
  <si>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</si>
  <si>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</si>
  <si>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</si>
  <si>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</si>
  <si>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</si>
  <si>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</si>
  <si>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</si>
  <si>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Residual Charging Bandings</t>
  </si>
  <si>
    <t>Band</t>
  </si>
  <si>
    <t>Contains the four Residual charging band allocation for Customers</t>
  </si>
  <si>
    <t>Single band</t>
  </si>
  <si>
    <t>-</t>
  </si>
  <si>
    <t>Voltage of Connection</t>
  </si>
  <si>
    <t>0, 3, 4, 5-8</t>
  </si>
  <si>
    <t>0, 1, 2</t>
  </si>
  <si>
    <t>Units</t>
  </si>
  <si>
    <t>kWh</t>
  </si>
  <si>
    <t>kVA</t>
  </si>
  <si>
    <t>∞</t>
  </si>
  <si>
    <t>Lower Threshold*</t>
  </si>
  <si>
    <t>Upper Threshold*</t>
  </si>
  <si>
    <t>* All boundaries are inclusive of the upper threshold and exclusive of the lower threshold i.e. Lower &lt; x ≤ Upper.</t>
  </si>
  <si>
    <t>Designated Properties connected at LV, billing with no MIC</t>
  </si>
  <si>
    <t>Designated EHV Properties</t>
  </si>
  <si>
    <t>Designated Properties connected at HV</t>
  </si>
  <si>
    <t>Designated Properties connected at LV, billing with MIC</t>
  </si>
  <si>
    <t>South Eastern Power Networks</t>
  </si>
  <si>
    <t>2022/23</t>
  </si>
  <si>
    <t>1 April 2022</t>
  </si>
  <si>
    <t>16:00 - 19:00</t>
  </si>
  <si>
    <t>07:00 - 16:00
19:00 - 23:00</t>
  </si>
  <si>
    <t>00:00 - 07:00
23:00 - 24:00</t>
  </si>
  <si>
    <t>00:00 - 24:00</t>
  </si>
  <si>
    <t>Monday to Friday 
(Including Bank Holidays)
March to October Inclusive</t>
  </si>
  <si>
    <t>07:00 - 23:00</t>
  </si>
  <si>
    <t>Period 5</t>
  </si>
  <si>
    <t>Winter Peak</t>
  </si>
  <si>
    <t>Summer Peak</t>
  </si>
  <si>
    <t>Winter Shoulder</t>
  </si>
  <si>
    <t>Night</t>
  </si>
  <si>
    <t>Other</t>
  </si>
  <si>
    <t>Monday to Friday 
November to February</t>
  </si>
  <si>
    <t>16:00 - 19:59</t>
  </si>
  <si>
    <t>07:00 - 15:59</t>
  </si>
  <si>
    <t>Monday to Friday
June to August</t>
  </si>
  <si>
    <t>07:00 - 19:59</t>
  </si>
  <si>
    <t>Monday to Friday
March</t>
  </si>
  <si>
    <t>All Year</t>
  </si>
  <si>
    <t>00:00 - 06:59</t>
  </si>
  <si>
    <t>All Other Times</t>
  </si>
  <si>
    <t>922, 933</t>
  </si>
  <si>
    <t>B&amp;RLTD</t>
  </si>
  <si>
    <t>BEDDIN</t>
  </si>
  <si>
    <t>BP_OIL</t>
  </si>
  <si>
    <t>CHESDC</t>
  </si>
  <si>
    <t>DIGREA</t>
  </si>
  <si>
    <t>EUROTU</t>
  </si>
  <si>
    <t>GAT_AF</t>
  </si>
  <si>
    <t>GAT_BF</t>
  </si>
  <si>
    <t>KNGSPN</t>
  </si>
  <si>
    <t>NP_LAB</t>
  </si>
  <si>
    <t>NR_3BR</t>
  </si>
  <si>
    <t>NR_AFD</t>
  </si>
  <si>
    <t>NR_ASH</t>
  </si>
  <si>
    <t>NR_BRI</t>
  </si>
  <si>
    <t>NR_BYF</t>
  </si>
  <si>
    <t>NR_CAN</t>
  </si>
  <si>
    <t>NR_CRO</t>
  </si>
  <si>
    <t>NR_DOR</t>
  </si>
  <si>
    <t>NR_EAS</t>
  </si>
  <si>
    <t>NR_FOK</t>
  </si>
  <si>
    <t>NR_HAS</t>
  </si>
  <si>
    <t>NR_LEA</t>
  </si>
  <si>
    <t>NR_MAI</t>
  </si>
  <si>
    <t>NR_NOR</t>
  </si>
  <si>
    <t>NR_QUE</t>
  </si>
  <si>
    <t>NR_SIT</t>
  </si>
  <si>
    <t>NR_THA</t>
  </si>
  <si>
    <t>NR_TUN</t>
  </si>
  <si>
    <t>PFIZER</t>
  </si>
  <si>
    <t>SENTIV</t>
  </si>
  <si>
    <t>THAMEM</t>
  </si>
  <si>
    <t>THAMES</t>
  </si>
  <si>
    <t>TWHK66</t>
  </si>
  <si>
    <t>ANMSTR</t>
  </si>
  <si>
    <t>ASHBYS</t>
  </si>
  <si>
    <t>ASHGEN</t>
  </si>
  <si>
    <t>AYLESF</t>
  </si>
  <si>
    <t>BEDERF</t>
  </si>
  <si>
    <t>BESAYL</t>
  </si>
  <si>
    <t>BNTLEY</t>
  </si>
  <si>
    <t>BNTLY2</t>
  </si>
  <si>
    <t>BOBBNG</t>
  </si>
  <si>
    <t>BRAMBS</t>
  </si>
  <si>
    <t>BRELLE</t>
  </si>
  <si>
    <t>BRETSH</t>
  </si>
  <si>
    <t>BRKHST</t>
  </si>
  <si>
    <t>BTBRKS</t>
  </si>
  <si>
    <t>CAPELG</t>
  </si>
  <si>
    <t>CLYHLL</t>
  </si>
  <si>
    <t>CRYENG</t>
  </si>
  <si>
    <t>DARENT</t>
  </si>
  <si>
    <t>DSCPRK</t>
  </si>
  <si>
    <t>FORDSF</t>
  </si>
  <si>
    <t>FRWOOD</t>
  </si>
  <si>
    <t>GLASSN</t>
  </si>
  <si>
    <t>GROVEH</t>
  </si>
  <si>
    <t>GUSTON</t>
  </si>
  <si>
    <t>HADLOW</t>
  </si>
  <si>
    <t>HANSTA</t>
  </si>
  <si>
    <t>HLLMBY</t>
  </si>
  <si>
    <t>HORAMS</t>
  </si>
  <si>
    <t>KENTI2</t>
  </si>
  <si>
    <t>KENTIS</t>
  </si>
  <si>
    <t>KM3CHP</t>
  </si>
  <si>
    <t>KNWLTN</t>
  </si>
  <si>
    <t>LBOURN</t>
  </si>
  <si>
    <t>LCHEYI</t>
  </si>
  <si>
    <t>LENHAM</t>
  </si>
  <si>
    <t>LGHTON</t>
  </si>
  <si>
    <t>MARSHB</t>
  </si>
  <si>
    <t>MLEHLL</t>
  </si>
  <si>
    <t>MLMAYN</t>
  </si>
  <si>
    <t>MVVRID</t>
  </si>
  <si>
    <t>NEWHVN</t>
  </si>
  <si>
    <t>NEWRID</t>
  </si>
  <si>
    <t>OAKLND</t>
  </si>
  <si>
    <t>OLDRSF</t>
  </si>
  <si>
    <t>ORCHRD</t>
  </si>
  <si>
    <t>PADWSF</t>
  </si>
  <si>
    <t>POSHWF</t>
  </si>
  <si>
    <t>PRIORS</t>
  </si>
  <si>
    <t>PSHLEY</t>
  </si>
  <si>
    <t>SELLSF</t>
  </si>
  <si>
    <t>SEVIND</t>
  </si>
  <si>
    <t>SHEPHM</t>
  </si>
  <si>
    <t>SHORHM</t>
  </si>
  <si>
    <t>SOLEES</t>
  </si>
  <si>
    <t>STAREN</t>
  </si>
  <si>
    <t>SYCAMR</t>
  </si>
  <si>
    <t>THAEAR</t>
  </si>
  <si>
    <t>THANET</t>
  </si>
  <si>
    <t>THORNE</t>
  </si>
  <si>
    <t>TONGSF</t>
  </si>
  <si>
    <t>WDLNDS</t>
  </si>
  <si>
    <t>WIDHFM</t>
  </si>
  <si>
    <t>WLBEES</t>
  </si>
  <si>
    <t>WRGALL</t>
  </si>
  <si>
    <t>WSTWDX</t>
  </si>
  <si>
    <t>1900035000482
1900035425153</t>
  </si>
  <si>
    <t>1900070745640
1900070745650
1900070745669
1900070745678</t>
  </si>
  <si>
    <t>1900017426438
1900017426447</t>
  </si>
  <si>
    <t>ENET</t>
  </si>
  <si>
    <t>1999000002228
1999000002237</t>
  </si>
  <si>
    <t>1900091200323
1900091200332</t>
  </si>
  <si>
    <t>1900017427938
1900017427947
1900060576620</t>
  </si>
  <si>
    <t>1900060690231
1900060690240</t>
  </si>
  <si>
    <t>MSID: 1027</t>
  </si>
  <si>
    <t>1900060219819
1900060219855</t>
  </si>
  <si>
    <t>1900060219720
1900060219794</t>
  </si>
  <si>
    <t>1900090497281
1900090497290
1900090497306
1900090497315</t>
  </si>
  <si>
    <t>1900090872672
1900090872681</t>
  </si>
  <si>
    <t>1900090876979
1900090876988</t>
  </si>
  <si>
    <t>1900061003393
1900090466576</t>
  </si>
  <si>
    <t>1900060866064
1900060866082</t>
  </si>
  <si>
    <t>1900004383769
1900031426056</t>
  </si>
  <si>
    <t>1900060442174
1900060512032</t>
  </si>
  <si>
    <t>1900091085120
1900091473662</t>
  </si>
  <si>
    <t>1900091085110
1900091349724
1900091349733
1900091473671</t>
  </si>
  <si>
    <t>MSID: 7160</t>
  </si>
  <si>
    <t>MSID: 7104</t>
  </si>
  <si>
    <t>MSID: 7105</t>
  </si>
  <si>
    <t>1900091121257
1900091121275</t>
  </si>
  <si>
    <t>1900091121266
1900091121284</t>
  </si>
  <si>
    <t>1900090417081
1900090417106
1900090417133
1900090417142
1900090417151</t>
  </si>
  <si>
    <t>1900090417160
1900090417189
1900090417212
1900090417221
1900090417230</t>
  </si>
  <si>
    <t>MSID: 7230</t>
  </si>
  <si>
    <t>South Eastern Power Networks has no Preserved NHH Tariffs/Additional LLFC classes</t>
  </si>
  <si>
    <t>South Eastern Power Networks has no Preserved HH Tariffs/Additional LLFC classes</t>
  </si>
  <si>
    <t>ADDG51</t>
  </si>
  <si>
    <t>Addington Grid</t>
  </si>
  <si>
    <t>ADDL52</t>
  </si>
  <si>
    <t>Addington Local</t>
  </si>
  <si>
    <t>ADDL51</t>
  </si>
  <si>
    <t>EASH51</t>
  </si>
  <si>
    <t>Ashford East</t>
  </si>
  <si>
    <t>ASTD51</t>
  </si>
  <si>
    <t>Ashtead</t>
  </si>
  <si>
    <t>AYLF71</t>
  </si>
  <si>
    <t>Aylesford</t>
  </si>
  <si>
    <t>BANS51</t>
  </si>
  <si>
    <t>Banstead</t>
  </si>
  <si>
    <t>BARM51</t>
  </si>
  <si>
    <t>Barming</t>
  </si>
  <si>
    <t>BEDD13</t>
  </si>
  <si>
    <t>Beddington</t>
  </si>
  <si>
    <t>BEDD51</t>
  </si>
  <si>
    <t>BENR31</t>
  </si>
  <si>
    <t>Bengeworth Road</t>
  </si>
  <si>
    <t>BENR32</t>
  </si>
  <si>
    <t>BSMG71</t>
  </si>
  <si>
    <t>Bensham Grove</t>
  </si>
  <si>
    <t>BSMG72</t>
  </si>
  <si>
    <t>BERR51</t>
  </si>
  <si>
    <t>Berrylands</t>
  </si>
  <si>
    <t>BTCH52</t>
  </si>
  <si>
    <t>Betchworth</t>
  </si>
  <si>
    <t>BETL51</t>
  </si>
  <si>
    <t>Betteshanger Local</t>
  </si>
  <si>
    <t>BEXH51</t>
  </si>
  <si>
    <t>Bexhill Town</t>
  </si>
  <si>
    <t>BRBS31</t>
  </si>
  <si>
    <t>Bramber Battery Storage</t>
  </si>
  <si>
    <t>BRIL51</t>
  </si>
  <si>
    <t>Bridges Lane</t>
  </si>
  <si>
    <t>BTWN52</t>
  </si>
  <si>
    <t>Brighton Town</t>
  </si>
  <si>
    <t>BTWN51</t>
  </si>
  <si>
    <t>BROM31</t>
  </si>
  <si>
    <t>Bromley Grid</t>
  </si>
  <si>
    <t>BKWD51</t>
  </si>
  <si>
    <t>Brookwood</t>
  </si>
  <si>
    <t>BURG51</t>
  </si>
  <si>
    <t>Burgess Hill</t>
  </si>
  <si>
    <t>BYFL51</t>
  </si>
  <si>
    <t>Byfleet</t>
  </si>
  <si>
    <t>CERL51</t>
  </si>
  <si>
    <t>C.E.R.L.</t>
  </si>
  <si>
    <t>CANT51</t>
  </si>
  <si>
    <t>Canterbury</t>
  </si>
  <si>
    <t>CNTT52</t>
  </si>
  <si>
    <t>Canterbury Town</t>
  </si>
  <si>
    <t>CNTT51</t>
  </si>
  <si>
    <t>CAPL51</t>
  </si>
  <si>
    <t>Capel</t>
  </si>
  <si>
    <t>CRHM51</t>
  </si>
  <si>
    <t>Caterham</t>
  </si>
  <si>
    <t>CHRT51</t>
  </si>
  <si>
    <t>Chartham</t>
  </si>
  <si>
    <t>CHTH51</t>
  </si>
  <si>
    <t>Chatham Hill</t>
  </si>
  <si>
    <t>CHTW52</t>
  </si>
  <si>
    <t>Chatham West</t>
  </si>
  <si>
    <t>CHER51</t>
  </si>
  <si>
    <t>Chertsey</t>
  </si>
  <si>
    <t>CBHM51</t>
  </si>
  <si>
    <t>Cobham Kent</t>
  </si>
  <si>
    <t>COBM51</t>
  </si>
  <si>
    <t>Cobham Surrey</t>
  </si>
  <si>
    <t>COUN51</t>
  </si>
  <si>
    <t>Coulsdon</t>
  </si>
  <si>
    <t>COWF51</t>
  </si>
  <si>
    <t>Cowfold</t>
  </si>
  <si>
    <t>CINE51</t>
  </si>
  <si>
    <t>Crawley Ind East</t>
  </si>
  <si>
    <t>CTWN51</t>
  </si>
  <si>
    <t>Crawley Town</t>
  </si>
  <si>
    <t>XWAY51</t>
  </si>
  <si>
    <t>Crossways</t>
  </si>
  <si>
    <t>CCRY51</t>
  </si>
  <si>
    <t>Croydon Central</t>
  </si>
  <si>
    <t>CROY51</t>
  </si>
  <si>
    <t>Croydon Grid</t>
  </si>
  <si>
    <t>CROY52</t>
  </si>
  <si>
    <t>DART32</t>
  </si>
  <si>
    <t>Dartford</t>
  </si>
  <si>
    <t>DART51</t>
  </si>
  <si>
    <t>DART31</t>
  </si>
  <si>
    <t>DART52</t>
  </si>
  <si>
    <t>DEAL51</t>
  </si>
  <si>
    <t>Deal</t>
  </si>
  <si>
    <t>DEPD53</t>
  </si>
  <si>
    <t>Deptford  Grid</t>
  </si>
  <si>
    <t>DEPD52</t>
  </si>
  <si>
    <t>DEPD51</t>
  </si>
  <si>
    <t>Deptford Grid 11kV</t>
  </si>
  <si>
    <t>DORT51</t>
  </si>
  <si>
    <t>Dorking Town</t>
  </si>
  <si>
    <t>DOVR52</t>
  </si>
  <si>
    <t>Dover</t>
  </si>
  <si>
    <t>DYMC51</t>
  </si>
  <si>
    <t>Dymchurch</t>
  </si>
  <si>
    <t>ECRY71</t>
  </si>
  <si>
    <t>East Croydon</t>
  </si>
  <si>
    <t>EPRS91</t>
  </si>
  <si>
    <t>Eastchurch Prison</t>
  </si>
  <si>
    <t>EPRS72</t>
  </si>
  <si>
    <t>EPRS71</t>
  </si>
  <si>
    <t>EBBS51</t>
  </si>
  <si>
    <t>Ebbsfleet</t>
  </si>
  <si>
    <t>EFFI51</t>
  </si>
  <si>
    <t>Effingham</t>
  </si>
  <si>
    <t>WHSF31</t>
  </si>
  <si>
    <t>EPN 0148</t>
  </si>
  <si>
    <t>EPSN51</t>
  </si>
  <si>
    <t>Epsom</t>
  </si>
  <si>
    <t>ESHR51</t>
  </si>
  <si>
    <t>Esher</t>
  </si>
  <si>
    <t>EWEL52</t>
  </si>
  <si>
    <t>Ewell</t>
  </si>
  <si>
    <t>EWEL51</t>
  </si>
  <si>
    <t>FAIR51</t>
  </si>
  <si>
    <t>Fairmeadow</t>
  </si>
  <si>
    <t>FAVM52</t>
  </si>
  <si>
    <t>Faversham</t>
  </si>
  <si>
    <t>EFLK51</t>
  </si>
  <si>
    <t>Folkestone East</t>
  </si>
  <si>
    <t>GATA51</t>
  </si>
  <si>
    <t>Gatwick Airport AF</t>
  </si>
  <si>
    <t>GODG51</t>
  </si>
  <si>
    <t>Goddards Green Grid</t>
  </si>
  <si>
    <t>GRAN51</t>
  </si>
  <si>
    <t>Grain</t>
  </si>
  <si>
    <t>GRVS51</t>
  </si>
  <si>
    <t>Gravesend South</t>
  </si>
  <si>
    <t>GRVT71</t>
  </si>
  <si>
    <t>Gravesend Town</t>
  </si>
  <si>
    <t>GRVW51</t>
  </si>
  <si>
    <t>Gravesend West</t>
  </si>
  <si>
    <t>GROV52</t>
  </si>
  <si>
    <t>Grovehurst Energy</t>
  </si>
  <si>
    <t>GROV51</t>
  </si>
  <si>
    <t>GROL51</t>
  </si>
  <si>
    <t>Grovehurst Local</t>
  </si>
  <si>
    <t>GUIL71</t>
  </si>
  <si>
    <t>Guildford</t>
  </si>
  <si>
    <t>GUIA51</t>
  </si>
  <si>
    <t>Guildford 'A'</t>
  </si>
  <si>
    <t>GUIB51</t>
  </si>
  <si>
    <t>Guildford 'B'</t>
  </si>
  <si>
    <t>HALL51</t>
  </si>
  <si>
    <t>Halling</t>
  </si>
  <si>
    <t>HAMM51</t>
  </si>
  <si>
    <t>Ham</t>
  </si>
  <si>
    <t>HAMP51</t>
  </si>
  <si>
    <t>Hampton</t>
  </si>
  <si>
    <t>HANG52</t>
  </si>
  <si>
    <t>Hangleton</t>
  </si>
  <si>
    <t>HANG51</t>
  </si>
  <si>
    <t>HASL51</t>
  </si>
  <si>
    <t>Hastings Local</t>
  </si>
  <si>
    <t>HAYW51</t>
  </si>
  <si>
    <t>Haywards Heath</t>
  </si>
  <si>
    <t>HERB51</t>
  </si>
  <si>
    <t>Herne Bay</t>
  </si>
  <si>
    <t>HORL51</t>
  </si>
  <si>
    <t>Horley</t>
  </si>
  <si>
    <t>HRSL51</t>
  </si>
  <si>
    <t>Horsell</t>
  </si>
  <si>
    <t>HORS51</t>
  </si>
  <si>
    <t>Horsham Grid</t>
  </si>
  <si>
    <t>HURS11</t>
  </si>
  <si>
    <t>Hurst 132kV</t>
  </si>
  <si>
    <t>HYTH51</t>
  </si>
  <si>
    <t>Hythe Main</t>
  </si>
  <si>
    <t>KEMP51</t>
  </si>
  <si>
    <t>Kemp Town</t>
  </si>
  <si>
    <t>KING51</t>
  </si>
  <si>
    <t>Kingsnorth Grid</t>
  </si>
  <si>
    <t>KSWG51</t>
  </si>
  <si>
    <t>Kingsnorth Works Generation</t>
  </si>
  <si>
    <t>KITO52</t>
  </si>
  <si>
    <t>Kingston</t>
  </si>
  <si>
    <t>KITO51</t>
  </si>
  <si>
    <t>KITO12</t>
  </si>
  <si>
    <t>LENR31</t>
  </si>
  <si>
    <t>Leatherhead</t>
  </si>
  <si>
    <t>LEAD51</t>
  </si>
  <si>
    <t>Leatherhead Town</t>
  </si>
  <si>
    <t>LEYS71</t>
  </si>
  <si>
    <t>Leysdown</t>
  </si>
  <si>
    <t>LTWA51</t>
  </si>
  <si>
    <t>Lightweight Aggregates</t>
  </si>
  <si>
    <t>LITC52</t>
  </si>
  <si>
    <t>Little Common</t>
  </si>
  <si>
    <t>LITC51</t>
  </si>
  <si>
    <t>LITB51</t>
  </si>
  <si>
    <t>Littlebrook</t>
  </si>
  <si>
    <t>LNGF51</t>
  </si>
  <si>
    <t>Longfield</t>
  </si>
  <si>
    <t>LRDW51</t>
  </si>
  <si>
    <t>Lordswood</t>
  </si>
  <si>
    <t>MAIN51</t>
  </si>
  <si>
    <t>Maidstone Grid</t>
  </si>
  <si>
    <t>MAIS51</t>
  </si>
  <si>
    <t>Maidstone Grid South</t>
  </si>
  <si>
    <t>MANT51</t>
  </si>
  <si>
    <t>Manston</t>
  </si>
  <si>
    <t>MARG51</t>
  </si>
  <si>
    <t>Margate</t>
  </si>
  <si>
    <t>MARG52</t>
  </si>
  <si>
    <t>MEDW51</t>
  </si>
  <si>
    <t>Medway</t>
  </si>
  <si>
    <t>MERR51</t>
  </si>
  <si>
    <t>Merrow</t>
  </si>
  <si>
    <t>MNST72</t>
  </si>
  <si>
    <t>Minster</t>
  </si>
  <si>
    <t>MNST71</t>
  </si>
  <si>
    <t>MOLS51</t>
  </si>
  <si>
    <t>Molesey</t>
  </si>
  <si>
    <t>MONG51</t>
  </si>
  <si>
    <t>Monkton Grid</t>
  </si>
  <si>
    <t>MORH51</t>
  </si>
  <si>
    <t>Morehall</t>
  </si>
  <si>
    <t>MOUL51</t>
  </si>
  <si>
    <t>Moulsecoomb</t>
  </si>
  <si>
    <t>MNTF51</t>
  </si>
  <si>
    <t>Mountfield</t>
  </si>
  <si>
    <t>NHEA91</t>
  </si>
  <si>
    <t>New Hook Eastchurch PV</t>
  </si>
  <si>
    <t>NHEB92</t>
  </si>
  <si>
    <t>NORB71</t>
  </si>
  <si>
    <t>Norbury</t>
  </si>
  <si>
    <t>NORK51</t>
  </si>
  <si>
    <t>Nork</t>
  </si>
  <si>
    <t>NCHM51</t>
  </si>
  <si>
    <t>North Cheam</t>
  </si>
  <si>
    <t>NCHS51</t>
  </si>
  <si>
    <t>North Chessington</t>
  </si>
  <si>
    <t>NSEV51</t>
  </si>
  <si>
    <t>North Sevenoaks</t>
  </si>
  <si>
    <t>NSHO51</t>
  </si>
  <si>
    <t>North Shoreham</t>
  </si>
  <si>
    <t>OWOK51</t>
  </si>
  <si>
    <t>Old Woking</t>
  </si>
  <si>
    <t>ORPI51</t>
  </si>
  <si>
    <t>Orpington</t>
  </si>
  <si>
    <t>ORPI52</t>
  </si>
  <si>
    <t>OWHT31</t>
  </si>
  <si>
    <t>Owls Hatch PV</t>
  </si>
  <si>
    <t>OXTD51</t>
  </si>
  <si>
    <t>Oxted</t>
  </si>
  <si>
    <t>PETW51</t>
  </si>
  <si>
    <t>Petts Wood</t>
  </si>
  <si>
    <t>PFBU51</t>
  </si>
  <si>
    <t>Pfizers</t>
  </si>
  <si>
    <t>PORT51</t>
  </si>
  <si>
    <t>Portslade</t>
  </si>
  <si>
    <t>PRLG51</t>
  </si>
  <si>
    <t>Prologis</t>
  </si>
  <si>
    <t>PULO51</t>
  </si>
  <si>
    <t>Purley Local</t>
  </si>
  <si>
    <t>QNBR71</t>
  </si>
  <si>
    <t>Queenborough</t>
  </si>
  <si>
    <t>QPRK51</t>
  </si>
  <si>
    <t>Queens Park</t>
  </si>
  <si>
    <t>RNMK52</t>
  </si>
  <si>
    <t>Rainham Mark</t>
  </si>
  <si>
    <t>RNMK51</t>
  </si>
  <si>
    <t>RAMS52</t>
  </si>
  <si>
    <t>Ramsgate</t>
  </si>
  <si>
    <t>RAMS51</t>
  </si>
  <si>
    <t>REDH51</t>
  </si>
  <si>
    <t>Redhill Primary</t>
  </si>
  <si>
    <t>RICH51</t>
  </si>
  <si>
    <t>Richborough</t>
  </si>
  <si>
    <t>RICM52</t>
  </si>
  <si>
    <t>Richmond</t>
  </si>
  <si>
    <t>RICM51</t>
  </si>
  <si>
    <t>RSHV71</t>
  </si>
  <si>
    <t>Rosherville</t>
  </si>
  <si>
    <t>ROTT51</t>
  </si>
  <si>
    <t>Rottingdean</t>
  </si>
  <si>
    <t>RUXL51</t>
  </si>
  <si>
    <t>Ruxley</t>
  </si>
  <si>
    <t>SELH71</t>
  </si>
  <si>
    <t>Selhurst</t>
  </si>
  <si>
    <t>SELH72</t>
  </si>
  <si>
    <t>SELC51</t>
  </si>
  <si>
    <t>Sellchip</t>
  </si>
  <si>
    <t>SEVI51</t>
  </si>
  <si>
    <t>Sevington</t>
  </si>
  <si>
    <t>SHAL51</t>
  </si>
  <si>
    <t>Shalford</t>
  </si>
  <si>
    <t>SHEE31</t>
  </si>
  <si>
    <t>Sheerness</t>
  </si>
  <si>
    <t>SHEE71</t>
  </si>
  <si>
    <t>SHWF31</t>
  </si>
  <si>
    <t>Shepham Windfarm</t>
  </si>
  <si>
    <t>SHEP51</t>
  </si>
  <si>
    <t>Shepway</t>
  </si>
  <si>
    <t>SHRL51</t>
  </si>
  <si>
    <t>Shirley</t>
  </si>
  <si>
    <t>SITO51</t>
  </si>
  <si>
    <t>Sittingbourne Town</t>
  </si>
  <si>
    <t>SITW52</t>
  </si>
  <si>
    <t>Sittingbourne West</t>
  </si>
  <si>
    <t>SITW51</t>
  </si>
  <si>
    <t>SMTH51</t>
  </si>
  <si>
    <t>Smeeth</t>
  </si>
  <si>
    <t>SORP51</t>
  </si>
  <si>
    <t>South Orpington</t>
  </si>
  <si>
    <t>SORP52</t>
  </si>
  <si>
    <t>STHG51</t>
  </si>
  <si>
    <t>Southgate</t>
  </si>
  <si>
    <t>SWIC51</t>
  </si>
  <si>
    <t>Southwick</t>
  </si>
  <si>
    <t>SWIC52</t>
  </si>
  <si>
    <t>CREL51</t>
  </si>
  <si>
    <t>SPN 0001</t>
  </si>
  <si>
    <t>CRNR31</t>
  </si>
  <si>
    <t>SPN 0002</t>
  </si>
  <si>
    <t>ABNR31</t>
  </si>
  <si>
    <t>SPN 0003</t>
  </si>
  <si>
    <t>SHAM81</t>
  </si>
  <si>
    <t>SPN 0004</t>
  </si>
  <si>
    <t>FINR31</t>
  </si>
  <si>
    <t>SPN 0005</t>
  </si>
  <si>
    <t>FINR32</t>
  </si>
  <si>
    <t>BHWG31</t>
  </si>
  <si>
    <t>SPN 0006</t>
  </si>
  <si>
    <t>PLBG3A</t>
  </si>
  <si>
    <t>SPN 0007</t>
  </si>
  <si>
    <t>GATB31</t>
  </si>
  <si>
    <t>SPN 0008</t>
  </si>
  <si>
    <t>TBNR31</t>
  </si>
  <si>
    <t>TBNR32</t>
  </si>
  <si>
    <t>THWO11</t>
  </si>
  <si>
    <t>SPN 0010</t>
  </si>
  <si>
    <t>THWO12</t>
  </si>
  <si>
    <t>THNR32</t>
  </si>
  <si>
    <t>SPN 0011</t>
  </si>
  <si>
    <t>KRE551</t>
  </si>
  <si>
    <t>SPN 0012</t>
  </si>
  <si>
    <t>PFIZ51</t>
  </si>
  <si>
    <t>WCPV31</t>
  </si>
  <si>
    <t>SPN 0013</t>
  </si>
  <si>
    <t>CANR31</t>
  </si>
  <si>
    <t>SPN 0014</t>
  </si>
  <si>
    <t>KNPV31</t>
  </si>
  <si>
    <t>SPN 0015</t>
  </si>
  <si>
    <t>SFRM51</t>
  </si>
  <si>
    <t>SPN 0016</t>
  </si>
  <si>
    <t>ALLG51</t>
  </si>
  <si>
    <t>SPN 0018</t>
  </si>
  <si>
    <t>MANR31</t>
  </si>
  <si>
    <t>SPN 0019</t>
  </si>
  <si>
    <t>ASHG51</t>
  </si>
  <si>
    <t>SPN 0020</t>
  </si>
  <si>
    <t>ASHG31</t>
  </si>
  <si>
    <t>CHES51</t>
  </si>
  <si>
    <t>SPN 0021</t>
  </si>
  <si>
    <t>LENR32</t>
  </si>
  <si>
    <t>SPN 0022</t>
  </si>
  <si>
    <t>SHST11</t>
  </si>
  <si>
    <t>SPN 0023</t>
  </si>
  <si>
    <t>RIDH71</t>
  </si>
  <si>
    <t>SPN 0024</t>
  </si>
  <si>
    <t>GROV31</t>
  </si>
  <si>
    <t>SPN 0025</t>
  </si>
  <si>
    <t>SINR32</t>
  </si>
  <si>
    <t>SPN 0026</t>
  </si>
  <si>
    <t>QBNR31</t>
  </si>
  <si>
    <t>SPN 0028</t>
  </si>
  <si>
    <t>NHEA96</t>
  </si>
  <si>
    <t>SPN 0029</t>
  </si>
  <si>
    <t>NHEA31</t>
  </si>
  <si>
    <t>ORPV91</t>
  </si>
  <si>
    <t>SPN 0030</t>
  </si>
  <si>
    <t>ORPV31</t>
  </si>
  <si>
    <t>TOWN71</t>
  </si>
  <si>
    <t>SPN 0032</t>
  </si>
  <si>
    <t>TWAH71</t>
  </si>
  <si>
    <t>SPN 0033</t>
  </si>
  <si>
    <t>MOGD51</t>
  </si>
  <si>
    <t>SPN 0034</t>
  </si>
  <si>
    <t>EBNR31</t>
  </si>
  <si>
    <t>SPN 0038</t>
  </si>
  <si>
    <t>LCHY31</t>
  </si>
  <si>
    <t>SPN 0039</t>
  </si>
  <si>
    <t>NERF31</t>
  </si>
  <si>
    <t>SPN 0040</t>
  </si>
  <si>
    <t>STAN51</t>
  </si>
  <si>
    <t>SPN 0041</t>
  </si>
  <si>
    <t>BURA31</t>
  </si>
  <si>
    <t>SPN 0042</t>
  </si>
  <si>
    <t>DONR31</t>
  </si>
  <si>
    <t>SPN 0043</t>
  </si>
  <si>
    <t>NFNR32</t>
  </si>
  <si>
    <t>SPN 0044</t>
  </si>
  <si>
    <t>NFNR31</t>
  </si>
  <si>
    <t>TWNR31</t>
  </si>
  <si>
    <t>SPN 0045</t>
  </si>
  <si>
    <t>TWNR32</t>
  </si>
  <si>
    <t>EURO11</t>
  </si>
  <si>
    <t>SPN 0046</t>
  </si>
  <si>
    <t>FONR31</t>
  </si>
  <si>
    <t>SPN 0047</t>
  </si>
  <si>
    <t>LHPV31</t>
  </si>
  <si>
    <t>SPN 0048</t>
  </si>
  <si>
    <t>ASNR31</t>
  </si>
  <si>
    <t>SPN 0049</t>
  </si>
  <si>
    <t>ORMN31</t>
  </si>
  <si>
    <t>SPN 0050</t>
  </si>
  <si>
    <t>ORMN91</t>
  </si>
  <si>
    <t>BYNR31</t>
  </si>
  <si>
    <t>SPN 0051</t>
  </si>
  <si>
    <t>LIPV31</t>
  </si>
  <si>
    <t>SPN 0052</t>
  </si>
  <si>
    <t>LIPV91</t>
  </si>
  <si>
    <t>MONK51</t>
  </si>
  <si>
    <t>SPN 0053</t>
  </si>
  <si>
    <t>MAPV31</t>
  </si>
  <si>
    <t>SPN 0054</t>
  </si>
  <si>
    <t>NHEB91</t>
  </si>
  <si>
    <t>SPN 0055</t>
  </si>
  <si>
    <t>NHEB31</t>
  </si>
  <si>
    <t>HASP91</t>
  </si>
  <si>
    <t>SPN 0057</t>
  </si>
  <si>
    <t>NINP31</t>
  </si>
  <si>
    <t>SPN 0058</t>
  </si>
  <si>
    <t>NINP91</t>
  </si>
  <si>
    <t>KRPV31</t>
  </si>
  <si>
    <t>SPN 0059</t>
  </si>
  <si>
    <t>KNRD91</t>
  </si>
  <si>
    <t>PASF31</t>
  </si>
  <si>
    <t>SPN 0060</t>
  </si>
  <si>
    <t>PASF91</t>
  </si>
  <si>
    <t>MOLE91</t>
  </si>
  <si>
    <t>SPN 0061</t>
  </si>
  <si>
    <t>CALC31</t>
  </si>
  <si>
    <t>SPN 0062</t>
  </si>
  <si>
    <t>CALC91</t>
  </si>
  <si>
    <t>PADK91</t>
  </si>
  <si>
    <t>SPN 0063</t>
  </si>
  <si>
    <t>MAHR31</t>
  </si>
  <si>
    <t>SPN 0064</t>
  </si>
  <si>
    <t>MAHR91</t>
  </si>
  <si>
    <t>HOSF91</t>
  </si>
  <si>
    <t>SPN 0065</t>
  </si>
  <si>
    <t>ARLP91</t>
  </si>
  <si>
    <t>SPN 0067</t>
  </si>
  <si>
    <t>HOTF31</t>
  </si>
  <si>
    <t>SPN 0068</t>
  </si>
  <si>
    <t>RIPV31</t>
  </si>
  <si>
    <t>SPN 0069</t>
  </si>
  <si>
    <t>KTWF31</t>
  </si>
  <si>
    <t>SPN 0070</t>
  </si>
  <si>
    <t>KFWF91</t>
  </si>
  <si>
    <t>RDHG51</t>
  </si>
  <si>
    <t>SPN 0071</t>
  </si>
  <si>
    <t>RGPV31</t>
  </si>
  <si>
    <t>SPN 0072</t>
  </si>
  <si>
    <t>ASWP31</t>
  </si>
  <si>
    <t>SPN 0073</t>
  </si>
  <si>
    <t>GCAP31</t>
  </si>
  <si>
    <t>SPN 0074</t>
  </si>
  <si>
    <t>MBPV31</t>
  </si>
  <si>
    <t>SPN 0076</t>
  </si>
  <si>
    <t>ORCF31</t>
  </si>
  <si>
    <t>SPN 0077</t>
  </si>
  <si>
    <t>ASHP31</t>
  </si>
  <si>
    <t>SPN 0078</t>
  </si>
  <si>
    <t>BOBB31</t>
  </si>
  <si>
    <t>SPN 0079</t>
  </si>
  <si>
    <t>SESF31</t>
  </si>
  <si>
    <t>SPN 0080</t>
  </si>
  <si>
    <t>CAPG31</t>
  </si>
  <si>
    <t>SPN 0081</t>
  </si>
  <si>
    <t>SRDW31</t>
  </si>
  <si>
    <t>SPN 0082</t>
  </si>
  <si>
    <t>TGCP31</t>
  </si>
  <si>
    <t>SPN 0083</t>
  </si>
  <si>
    <t>AREP31</t>
  </si>
  <si>
    <t>SPN 0084</t>
  </si>
  <si>
    <t>CWDC11</t>
  </si>
  <si>
    <t>SPN 0085</t>
  </si>
  <si>
    <t>CWDC12</t>
  </si>
  <si>
    <t>BERF31</t>
  </si>
  <si>
    <t>SPN 0090</t>
  </si>
  <si>
    <t>BRWG31</t>
  </si>
  <si>
    <t>SPN 0091</t>
  </si>
  <si>
    <t>ASWN91</t>
  </si>
  <si>
    <t>SPN 0092</t>
  </si>
  <si>
    <t>GLBS31</t>
  </si>
  <si>
    <t>SPN 0094</t>
  </si>
  <si>
    <t>AYBS31</t>
  </si>
  <si>
    <t>SPN 0095</t>
  </si>
  <si>
    <t>NRWF31</t>
  </si>
  <si>
    <t>SPN 0099</t>
  </si>
  <si>
    <t>KMAR11</t>
  </si>
  <si>
    <t>SPN 0100</t>
  </si>
  <si>
    <t>SPRG71</t>
  </si>
  <si>
    <t>Spurgeons Bridge</t>
  </si>
  <si>
    <t>SPRG72</t>
  </si>
  <si>
    <t>HELI51</t>
  </si>
  <si>
    <t>St Helier</t>
  </si>
  <si>
    <t>SPET52</t>
  </si>
  <si>
    <t>St Peters</t>
  </si>
  <si>
    <t>SPET51</t>
  </si>
  <si>
    <t>STNF51</t>
  </si>
  <si>
    <t>Stanford</t>
  </si>
  <si>
    <t>SRAD51</t>
  </si>
  <si>
    <t>Stelrad</t>
  </si>
  <si>
    <t>STNE51</t>
  </si>
  <si>
    <t>Stone</t>
  </si>
  <si>
    <t>SMRS51</t>
  </si>
  <si>
    <t>Stonemarshes</t>
  </si>
  <si>
    <t>STSG51</t>
  </si>
  <si>
    <t>Strasbourg Street Generation</t>
  </si>
  <si>
    <t>STRD51</t>
  </si>
  <si>
    <t>Strood</t>
  </si>
  <si>
    <t>SUFK71</t>
  </si>
  <si>
    <t>Suffolk Road</t>
  </si>
  <si>
    <t>SURB51</t>
  </si>
  <si>
    <t>Surbiton</t>
  </si>
  <si>
    <t>SUTA51</t>
  </si>
  <si>
    <t>Sutton A</t>
  </si>
  <si>
    <t>SUTA52</t>
  </si>
  <si>
    <t>SUTB51</t>
  </si>
  <si>
    <t>Sutton B</t>
  </si>
  <si>
    <t>SWNL51</t>
  </si>
  <si>
    <t>Swanley</t>
  </si>
  <si>
    <t>SWAN51</t>
  </si>
  <si>
    <t>Swanscombe</t>
  </si>
  <si>
    <t>TEDD51</t>
  </si>
  <si>
    <t>Teddington</t>
  </si>
  <si>
    <t>THAN51</t>
  </si>
  <si>
    <t>Thanet</t>
  </si>
  <si>
    <t>DROV51</t>
  </si>
  <si>
    <t>The Droveway</t>
  </si>
  <si>
    <t>THCU31</t>
  </si>
  <si>
    <t>Townsend Hook</t>
  </si>
  <si>
    <t>TWIC52</t>
  </si>
  <si>
    <t>Twickenham</t>
  </si>
  <si>
    <t>TWIC51</t>
  </si>
  <si>
    <t>UCKF51</t>
  </si>
  <si>
    <t>Uckfield</t>
  </si>
  <si>
    <t>VHGE51</t>
  </si>
  <si>
    <t>Van Heynigen Generation</t>
  </si>
  <si>
    <t>WALT51</t>
  </si>
  <si>
    <t>Walton</t>
  </si>
  <si>
    <t>WATS51</t>
  </si>
  <si>
    <t>Waterside</t>
  </si>
  <si>
    <t>WELL51</t>
  </si>
  <si>
    <t>Wellcome Foundation</t>
  </si>
  <si>
    <t>WCRY51</t>
  </si>
  <si>
    <t>West Croydon</t>
  </si>
  <si>
    <t>WWEY51</t>
  </si>
  <si>
    <t>West Weybridge</t>
  </si>
  <si>
    <t>WSTG51</t>
  </si>
  <si>
    <t>Westgate</t>
  </si>
  <si>
    <t>WEYB51</t>
  </si>
  <si>
    <t>Weybridge</t>
  </si>
  <si>
    <t>WHIT51</t>
  </si>
  <si>
    <t>Whitstable</t>
  </si>
  <si>
    <t>WITH51</t>
  </si>
  <si>
    <t>Withdean</t>
  </si>
  <si>
    <t>WOKG51</t>
  </si>
  <si>
    <t>Woking</t>
  </si>
  <si>
    <t>WOKS51</t>
  </si>
  <si>
    <t>Woking S</t>
  </si>
  <si>
    <t>WOKS52</t>
  </si>
  <si>
    <r>
      <t>Contains the underlying nodal</t>
    </r>
    <r>
      <rPr>
        <sz val="11"/>
        <rFont val="Arial"/>
        <family val="2"/>
      </rPr>
      <t xml:space="preserve"> costs used to calculate the current EDCM charges. </t>
    </r>
  </si>
  <si>
    <t>Residual Charge per Fixed Charge (p/day)</t>
  </si>
  <si>
    <t>A00</t>
  </si>
  <si>
    <t>B00</t>
  </si>
  <si>
    <t>C00</t>
  </si>
  <si>
    <t>C01</t>
  </si>
  <si>
    <t>C02</t>
  </si>
  <si>
    <t>C03</t>
  </si>
  <si>
    <t>C04</t>
  </si>
  <si>
    <t>D00</t>
  </si>
  <si>
    <t>E00</t>
  </si>
  <si>
    <t>E01</t>
  </si>
  <si>
    <t>E02</t>
  </si>
  <si>
    <t>E03</t>
  </si>
  <si>
    <t>E04</t>
  </si>
  <si>
    <t>U00</t>
  </si>
  <si>
    <t>F00</t>
  </si>
  <si>
    <t>G00</t>
  </si>
  <si>
    <t>A10</t>
  </si>
  <si>
    <t>B10</t>
  </si>
  <si>
    <t>C10</t>
  </si>
  <si>
    <t>C11</t>
  </si>
  <si>
    <t>C12</t>
  </si>
  <si>
    <t>C13</t>
  </si>
  <si>
    <t>C14</t>
  </si>
  <si>
    <t>D10</t>
  </si>
  <si>
    <t>E10</t>
  </si>
  <si>
    <t>E11</t>
  </si>
  <si>
    <t>E12</t>
  </si>
  <si>
    <t>E13</t>
  </si>
  <si>
    <t>E14</t>
  </si>
  <si>
    <t>J10</t>
  </si>
  <si>
    <t>J11</t>
  </si>
  <si>
    <t>J12</t>
  </si>
  <si>
    <t>J13</t>
  </si>
  <si>
    <t>J14</t>
  </si>
  <si>
    <t>K10</t>
  </si>
  <si>
    <t>K11</t>
  </si>
  <si>
    <t>K12</t>
  </si>
  <si>
    <t>K13</t>
  </si>
  <si>
    <t>K14</t>
  </si>
  <si>
    <t>U10</t>
  </si>
  <si>
    <t>F10</t>
  </si>
  <si>
    <t>H10</t>
  </si>
  <si>
    <t>G10</t>
  </si>
  <si>
    <t>L10</t>
  </si>
  <si>
    <t>M10</t>
  </si>
  <si>
    <t>A20</t>
  </si>
  <si>
    <t>B20</t>
  </si>
  <si>
    <t>C20</t>
  </si>
  <si>
    <t>C21</t>
  </si>
  <si>
    <t>C22</t>
  </si>
  <si>
    <t>C23</t>
  </si>
  <si>
    <t>C24</t>
  </si>
  <si>
    <t>D20</t>
  </si>
  <si>
    <t>E20</t>
  </si>
  <si>
    <t>E21</t>
  </si>
  <si>
    <t>E22</t>
  </si>
  <si>
    <t>E23</t>
  </si>
  <si>
    <t>E24</t>
  </si>
  <si>
    <t>J20</t>
  </si>
  <si>
    <t>J21</t>
  </si>
  <si>
    <t>J22</t>
  </si>
  <si>
    <t>J23</t>
  </si>
  <si>
    <t>J24</t>
  </si>
  <si>
    <t>K20</t>
  </si>
  <si>
    <t>K21</t>
  </si>
  <si>
    <t>K22</t>
  </si>
  <si>
    <t>K23</t>
  </si>
  <si>
    <t>K24</t>
  </si>
  <si>
    <t>U20</t>
  </si>
  <si>
    <t>F20</t>
  </si>
  <si>
    <t>H20</t>
  </si>
  <si>
    <t>G20</t>
  </si>
  <si>
    <t>L20</t>
  </si>
  <si>
    <t>M20</t>
  </si>
  <si>
    <t>A30</t>
  </si>
  <si>
    <t>B30</t>
  </si>
  <si>
    <t>C30</t>
  </si>
  <si>
    <t>C31</t>
  </si>
  <si>
    <t>C32</t>
  </si>
  <si>
    <t>C33</t>
  </si>
  <si>
    <t>C34</t>
  </si>
  <si>
    <t>D30</t>
  </si>
  <si>
    <t>E30</t>
  </si>
  <si>
    <t>E31</t>
  </si>
  <si>
    <t>E32</t>
  </si>
  <si>
    <t>E33</t>
  </si>
  <si>
    <t>E34</t>
  </si>
  <si>
    <t>J30</t>
  </si>
  <si>
    <t>J31</t>
  </si>
  <si>
    <t>J32</t>
  </si>
  <si>
    <t>J33</t>
  </si>
  <si>
    <t>J34</t>
  </si>
  <si>
    <t>K30</t>
  </si>
  <si>
    <t>K31</t>
  </si>
  <si>
    <t>K32</t>
  </si>
  <si>
    <t>K33</t>
  </si>
  <si>
    <t>K34</t>
  </si>
  <si>
    <t>U30</t>
  </si>
  <si>
    <t>F30</t>
  </si>
  <si>
    <t>H30</t>
  </si>
  <si>
    <t>G30</t>
  </si>
  <si>
    <t>L30</t>
  </si>
  <si>
    <t>M30</t>
  </si>
  <si>
    <t>A40</t>
  </si>
  <si>
    <t>B40</t>
  </si>
  <si>
    <t>C40</t>
  </si>
  <si>
    <t>C41</t>
  </si>
  <si>
    <t>C42</t>
  </si>
  <si>
    <t>C43</t>
  </si>
  <si>
    <t>C44</t>
  </si>
  <si>
    <t>D40</t>
  </si>
  <si>
    <t>E40</t>
  </si>
  <si>
    <t>E41</t>
  </si>
  <si>
    <t>E42</t>
  </si>
  <si>
    <t>E43</t>
  </si>
  <si>
    <t>E44</t>
  </si>
  <si>
    <t>J40</t>
  </si>
  <si>
    <t>J41</t>
  </si>
  <si>
    <t>J42</t>
  </si>
  <si>
    <t>J43</t>
  </si>
  <si>
    <t>J44</t>
  </si>
  <si>
    <t>K40</t>
  </si>
  <si>
    <t>K41</t>
  </si>
  <si>
    <t>K42</t>
  </si>
  <si>
    <t>K43</t>
  </si>
  <si>
    <t>K44</t>
  </si>
  <si>
    <t>U40</t>
  </si>
  <si>
    <t>F40</t>
  </si>
  <si>
    <t>H40</t>
  </si>
  <si>
    <t>G40</t>
  </si>
  <si>
    <t>L40</t>
  </si>
  <si>
    <t>M40</t>
  </si>
  <si>
    <t>A50</t>
  </si>
  <si>
    <t>B50</t>
  </si>
  <si>
    <t>C50</t>
  </si>
  <si>
    <t>C51</t>
  </si>
  <si>
    <t>C52</t>
  </si>
  <si>
    <t>C53</t>
  </si>
  <si>
    <t>C54</t>
  </si>
  <si>
    <t>D50</t>
  </si>
  <si>
    <t>E50</t>
  </si>
  <si>
    <t>E51</t>
  </si>
  <si>
    <t>E52</t>
  </si>
  <si>
    <t>E53</t>
  </si>
  <si>
    <t>E54</t>
  </si>
  <si>
    <t>J50</t>
  </si>
  <si>
    <t>J51</t>
  </si>
  <si>
    <t>J52</t>
  </si>
  <si>
    <t>J53</t>
  </si>
  <si>
    <t>J54</t>
  </si>
  <si>
    <t>K50</t>
  </si>
  <si>
    <t>K51</t>
  </si>
  <si>
    <t>K52</t>
  </si>
  <si>
    <t>K53</t>
  </si>
  <si>
    <t>K54</t>
  </si>
  <si>
    <t>U50</t>
  </si>
  <si>
    <t>F50</t>
  </si>
  <si>
    <t>H50</t>
  </si>
  <si>
    <t>G50</t>
  </si>
  <si>
    <t>L50</t>
  </si>
  <si>
    <t>M50</t>
  </si>
  <si>
    <t>A60</t>
  </si>
  <si>
    <t>B60</t>
  </si>
  <si>
    <t>C60</t>
  </si>
  <si>
    <t>C61</t>
  </si>
  <si>
    <t>C62</t>
  </si>
  <si>
    <t>C63</t>
  </si>
  <si>
    <t>C64</t>
  </si>
  <si>
    <t>D60</t>
  </si>
  <si>
    <t>E60</t>
  </si>
  <si>
    <t>E61</t>
  </si>
  <si>
    <t>E62</t>
  </si>
  <si>
    <t>E63</t>
  </si>
  <si>
    <t>E64</t>
  </si>
  <si>
    <t>J60</t>
  </si>
  <si>
    <t>J61</t>
  </si>
  <si>
    <t>J62</t>
  </si>
  <si>
    <t>J63</t>
  </si>
  <si>
    <t>J64</t>
  </si>
  <si>
    <t>K60</t>
  </si>
  <si>
    <t>K61</t>
  </si>
  <si>
    <t>K62</t>
  </si>
  <si>
    <t>K63</t>
  </si>
  <si>
    <t>K64</t>
  </si>
  <si>
    <t>U60</t>
  </si>
  <si>
    <t>F60</t>
  </si>
  <si>
    <t>H60</t>
  </si>
  <si>
    <t>G60</t>
  </si>
  <si>
    <t>L60</t>
  </si>
  <si>
    <t>M60</t>
  </si>
  <si>
    <t>ORCHR2</t>
  </si>
  <si>
    <t>1900091349715
1900091349706</t>
  </si>
  <si>
    <t>KNTSFM</t>
  </si>
  <si>
    <t>MSID: 7245</t>
  </si>
  <si>
    <t>MSID: 7436</t>
  </si>
  <si>
    <t>771, 791, 792</t>
  </si>
  <si>
    <t>796, 797</t>
  </si>
  <si>
    <t>798, 799</t>
  </si>
  <si>
    <t>CVA site specific LLFs</t>
  </si>
  <si>
    <t>MSID</t>
  </si>
  <si>
    <t>1, 2, 19, 69, 70, 71, 72, 73, 74, 100, 120, 199, 200, 201, 202, 203, 204, 251, 287, 300, 320, 350, 351, 352, 353, 354, 355, 356, 357, 358, 359, 360, 361, 362, 363, 364, 365, 366, 480, 550, 921, 932, 935, 980, 981, 982, 983</t>
  </si>
  <si>
    <t>79, 80, 81, 82, 83, 84, 756, 781, 782, 984, 985, 986, 987</t>
  </si>
  <si>
    <t>89, 90, 91, 92, 93, 94,  650, 926, 937, 988, 989, 990, 991</t>
  </si>
  <si>
    <t>NEWHVN - Import</t>
  </si>
  <si>
    <t>ASHGEN - Import</t>
  </si>
  <si>
    <t>BRKHST - Import</t>
  </si>
  <si>
    <t>KNWLTN - Import</t>
  </si>
  <si>
    <t>DSCPRK - Import</t>
  </si>
  <si>
    <t>OLDRSF - Import</t>
  </si>
  <si>
    <t>WSTWDX - Import</t>
  </si>
  <si>
    <t>SYCAMR - Import</t>
  </si>
  <si>
    <t>LENHAM - Import</t>
  </si>
  <si>
    <t>ASHBYS - Import</t>
  </si>
  <si>
    <t>BTBRKS - Import</t>
  </si>
  <si>
    <t>FRWOOD - Import</t>
  </si>
  <si>
    <t>HADLOW - Import</t>
  </si>
  <si>
    <t>HLLMBY - Import</t>
  </si>
  <si>
    <t>KENTI2 - Import</t>
  </si>
  <si>
    <t>LBOURN - Import</t>
  </si>
  <si>
    <t>LGHTON - Import</t>
  </si>
  <si>
    <t>MLMAYN - Import</t>
  </si>
  <si>
    <t>THORNE - Import</t>
  </si>
  <si>
    <t>MLEHLL - Import</t>
  </si>
  <si>
    <t>OAKLND - Import</t>
  </si>
  <si>
    <t>WIDHFM - Import</t>
  </si>
  <si>
    <t>PADWSF - Import</t>
  </si>
  <si>
    <t>SOLEES - Import</t>
  </si>
  <si>
    <t>HORAMS - Import</t>
  </si>
  <si>
    <t>WDLNDS - Import</t>
  </si>
  <si>
    <t>PSHLEY - Import</t>
  </si>
  <si>
    <t>POSHWF - Import</t>
  </si>
  <si>
    <t>TONGSF - Import</t>
  </si>
  <si>
    <t>WLBEES - Import</t>
  </si>
  <si>
    <t>BNTLY2 - Import</t>
  </si>
  <si>
    <t>GUSTON - Import</t>
  </si>
  <si>
    <t>SHEPHM - Import</t>
  </si>
  <si>
    <t>DIGREA - Import</t>
  </si>
  <si>
    <t>B&amp;RLTD - Import</t>
  </si>
  <si>
    <t>BP_OIL - Import</t>
  </si>
  <si>
    <t>DARENT - Import</t>
  </si>
  <si>
    <t>NP_LAB - Import</t>
  </si>
  <si>
    <t>THAMEM - Import</t>
  </si>
  <si>
    <t>TWHK66 - Import</t>
  </si>
  <si>
    <t>BEDERF - Import</t>
  </si>
  <si>
    <t>BESAYL - Import</t>
  </si>
  <si>
    <t>BRAMBS - Import</t>
  </si>
  <si>
    <t>BRELLE - Import</t>
  </si>
  <si>
    <t>GLASSN - Import</t>
  </si>
  <si>
    <t>NEWRID - Import</t>
  </si>
  <si>
    <t>KM3CHP - Import</t>
  </si>
  <si>
    <t>THAEAR - Import</t>
  </si>
  <si>
    <t>NR_AFD - Import</t>
  </si>
  <si>
    <t>NR_BRI - Import</t>
  </si>
  <si>
    <t>NR_BYF - Import</t>
  </si>
  <si>
    <t>NR_CAN - Import</t>
  </si>
  <si>
    <t>NR_CRO - Import</t>
  </si>
  <si>
    <t>NR_DOR - Import</t>
  </si>
  <si>
    <t>NR_EAS - Import</t>
  </si>
  <si>
    <t>NR_FOK - Import</t>
  </si>
  <si>
    <t>NR_HAS - Import</t>
  </si>
  <si>
    <t>NR_LEA - Import</t>
  </si>
  <si>
    <t>NR_MAI - Import</t>
  </si>
  <si>
    <t>NR_NOR - Import</t>
  </si>
  <si>
    <t>NR_QUE - Import</t>
  </si>
  <si>
    <t>NR_SIT - Import</t>
  </si>
  <si>
    <t>NR_THA - Import</t>
  </si>
  <si>
    <t>NR_3BR - Import</t>
  </si>
  <si>
    <t>NR_TUN - Import</t>
  </si>
  <si>
    <t>AYLESF - Import</t>
  </si>
  <si>
    <t>GAT_AF - Import</t>
  </si>
  <si>
    <t>GAT_BF - Import</t>
  </si>
  <si>
    <t>BRETSH - Import</t>
  </si>
  <si>
    <t>CRYENG - Import</t>
  </si>
  <si>
    <t>ANMSTR - Import</t>
  </si>
  <si>
    <t>EUROTU - Import</t>
  </si>
  <si>
    <t>GROVEH - Import</t>
  </si>
  <si>
    <t>HANSTA - Import</t>
  </si>
  <si>
    <t>KENTIS - Import</t>
  </si>
  <si>
    <t>LCHEYI - Import</t>
  </si>
  <si>
    <t>NR_ASH - Import</t>
  </si>
  <si>
    <t>PFIZER - Import</t>
  </si>
  <si>
    <t>STAREN - Import</t>
  </si>
  <si>
    <t>THAMES - Import</t>
  </si>
  <si>
    <t>WRGALL - Import</t>
  </si>
  <si>
    <t>SENTIV - Import</t>
  </si>
  <si>
    <t>BEDDIN - Import</t>
  </si>
  <si>
    <t>BNTLEY - Import</t>
  </si>
  <si>
    <t>BOBBNG - Import</t>
  </si>
  <si>
    <t>CAPELG - Import</t>
  </si>
  <si>
    <t>CLYHLL - Import</t>
  </si>
  <si>
    <t>FORDSF - Import</t>
  </si>
  <si>
    <t>MARSHB - Import</t>
  </si>
  <si>
    <t>MVVRID - Import</t>
  </si>
  <si>
    <t>ORCHRD - Import</t>
  </si>
  <si>
    <t>PRIORS - Import</t>
  </si>
  <si>
    <t>SELLSF - Import</t>
  </si>
  <si>
    <t>THAMEM - Export</t>
  </si>
  <si>
    <t>TWHK66 - Export</t>
  </si>
  <si>
    <t>BEDERF - Export</t>
  </si>
  <si>
    <t>BESAYL - Export</t>
  </si>
  <si>
    <t>BRAMBS - Export</t>
  </si>
  <si>
    <t>BRELLE - Export</t>
  </si>
  <si>
    <t>GLASSN - Export</t>
  </si>
  <si>
    <t>NEWRID - Export</t>
  </si>
  <si>
    <t>KM3CHP - Export</t>
  </si>
  <si>
    <t>NEWHVN - Export</t>
  </si>
  <si>
    <t>HORAMS - Export</t>
  </si>
  <si>
    <t>WDLNDS - Export</t>
  </si>
  <si>
    <t>PSHLEY - Export</t>
  </si>
  <si>
    <t>DSCPRK - Export</t>
  </si>
  <si>
    <t>BOBBNG - Export</t>
  </si>
  <si>
    <t>CAPELG - Export</t>
  </si>
  <si>
    <t>FORDSF - Export</t>
  </si>
  <si>
    <t>GUSTON - Export</t>
  </si>
  <si>
    <t>MARSHB - Export</t>
  </si>
  <si>
    <t>MVVRID - Export</t>
  </si>
  <si>
    <t>TONGSF - Export</t>
  </si>
  <si>
    <t>BNTLY2 - Export</t>
  </si>
  <si>
    <t>BNTLEY - Export</t>
  </si>
  <si>
    <t>WIDHFM - Export</t>
  </si>
  <si>
    <t>WLBEES - Export</t>
  </si>
  <si>
    <t>CLYHLL - Export</t>
  </si>
  <si>
    <t>PRIORS - Export</t>
  </si>
  <si>
    <t>SHEPHM - Export</t>
  </si>
  <si>
    <t>POSHWF - Export</t>
  </si>
  <si>
    <t>SELLSF - Export</t>
  </si>
  <si>
    <t>LCHEYI - Export</t>
  </si>
  <si>
    <t>KENTIS - Export</t>
  </si>
  <si>
    <t>PFIZER - Export</t>
  </si>
  <si>
    <t>AYLESF - Export</t>
  </si>
  <si>
    <t>BRETSH - Export</t>
  </si>
  <si>
    <t>GROVEH - Export</t>
  </si>
  <si>
    <t>HANSTA - Export</t>
  </si>
  <si>
    <t>STAREN - Export</t>
  </si>
  <si>
    <t>CRYENG - Export</t>
  </si>
  <si>
    <t>WRGALL - Export</t>
  </si>
  <si>
    <t>THAMES - Export</t>
  </si>
  <si>
    <t>THAEAR - Export</t>
  </si>
  <si>
    <t>ASHGEN - Export</t>
  </si>
  <si>
    <t>KNWLTN - Export</t>
  </si>
  <si>
    <t>LENHAM - Export</t>
  </si>
  <si>
    <t>SYCAMR - Export</t>
  </si>
  <si>
    <t>BRKHST - Export</t>
  </si>
  <si>
    <t>OLDRSF - Export</t>
  </si>
  <si>
    <t>WSTWDX - Export</t>
  </si>
  <si>
    <t>ASHBYS - Export</t>
  </si>
  <si>
    <t>BTBRKS - Export</t>
  </si>
  <si>
    <t>FRWOOD - Export</t>
  </si>
  <si>
    <t>HADLOW - Export</t>
  </si>
  <si>
    <t>HLLMBY - Export</t>
  </si>
  <si>
    <t>KENTI2 - Export</t>
  </si>
  <si>
    <t>LBOURN - Export</t>
  </si>
  <si>
    <t>LGHTON - Export</t>
  </si>
  <si>
    <t>MLMAYN - Export</t>
  </si>
  <si>
    <t>THORNE - Export</t>
  </si>
  <si>
    <t>MLEHLL - Export</t>
  </si>
  <si>
    <t>OAKLND - Export</t>
  </si>
  <si>
    <t>ORCHRD - Export</t>
  </si>
  <si>
    <t>PADWSF - Export</t>
  </si>
  <si>
    <t>SOLEES - Export</t>
  </si>
  <si>
    <t>DARENT - Export</t>
  </si>
  <si>
    <t>ANMSTR - Export</t>
  </si>
  <si>
    <t xml:space="preserve"> Dartford _J DSCP</t>
  </si>
  <si>
    <t xml:space="preserve"> Bromley DSCP</t>
  </si>
  <si>
    <t xml:space="preserve"> Shoreham Power Station - Export</t>
  </si>
  <si>
    <t xml:space="preserve"> Shoreham Power Station - Import</t>
  </si>
  <si>
    <t xml:space="preserve"> Sevington District Energy</t>
  </si>
  <si>
    <t>Kents Farm Battery Storage</t>
  </si>
  <si>
    <t>Export
LLF
period 5</t>
  </si>
  <si>
    <t>Import
LLF
period 5</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</si>
  <si>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</si>
  <si>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MSID: 7435</t>
  </si>
  <si>
    <t>100, 101, 250, 300, 301</t>
  </si>
  <si>
    <t>1</t>
  </si>
  <si>
    <t>251, 283, 296</t>
  </si>
  <si>
    <t>120, 124, 200, 270, 274, 320, 324, 480, 484</t>
  </si>
  <si>
    <t>287, 297</t>
  </si>
  <si>
    <t>200</t>
  </si>
  <si>
    <t>355, 356, 357, 358, 359, 360, 361, 362, 363, 364, 365, 366</t>
  </si>
  <si>
    <t xml:space="preserve">350, 351, 352, 353, 354 </t>
  </si>
  <si>
    <t>1900091523301
1900092049178</t>
  </si>
  <si>
    <t>1900091718313
1900092210410</t>
  </si>
  <si>
    <t>CWSTBS</t>
  </si>
  <si>
    <t>1900091523310
1900092037980</t>
  </si>
  <si>
    <t>BROABS</t>
  </si>
  <si>
    <t>MSID: 7478</t>
  </si>
  <si>
    <t>MSID: 7479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</si>
</sst>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0.000_ ;[Red]\-0.000\ "/>
    <numFmt numFmtId="171" formatCode="0.00;[Red]\-0.00;?;"/>
    <numFmt numFmtId="172" formatCode="#,##0;\-#,##0;;"/>
    <numFmt numFmtId="173" formatCode="000"/>
    <numFmt numFmtId="174" formatCode="#,##0;[Red]\-#,##0;;"/>
    <numFmt numFmtId="175" formatCode="0.000;[Red]\-0.000;?;"/>
    <numFmt numFmtId="176" formatCode="0.000_ ;\-0.000\ "/>
    <numFmt numFmtId="177" formatCode="0000"/>
    <numFmt numFmtId="178" formatCode="0.00;\(0.00\);"/>
    <numFmt numFmtId="179" formatCode="#,##0_ ;\-#,##0\ "/>
    <numFmt numFmtId="180" formatCode="_(?,???,??0.000_);[Red]\(?,???,??0.000\);"/>
    <numFmt numFmtId="181" formatCode="_(?,???,??0.00_);[Red]\-0.00;"/>
    <numFmt numFmtId="182" formatCode="_(?,???,??0.000_);[Red]\-0.000;"/>
  </numFmts>
  <fonts count="35"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0"/>
      <color rgb="FF9C6500"/>
      <name val="Arial"/>
      <family val="2"/>
    </font>
    <font>
      <b/>
      <sz val="8"/>
      <color theme="0"/>
      <name val="Arial"/>
      <family val="2"/>
    </font>
    <font>
      <b/>
      <sz val="18"/>
      <name val="Arial"/>
      <family val="2"/>
    </font>
    <font>
      <b/>
      <sz val="12"/>
      <name val="Arial"/>
      <family val="2"/>
    </font>
    <font>
      <sz val="10"/>
      <name val="Arial"/>
      <family val="2"/>
    </font>
    <font>
      <strike/>
      <sz val="10"/>
      <name val="Arial"/>
      <family val="2"/>
    </font>
    <font>
      <strike/>
      <sz val="10"/>
      <color indexed="8"/>
      <name val="Arial"/>
      <family val="2"/>
    </font>
  </fonts>
  <fills count="36">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
      <patternFill patternType="solid">
        <fgColor rgb="FFC0C0C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0">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8"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3" fillId="22" borderId="0" applyNumberFormat="0" applyBorder="0" applyAlignment="0" applyProtection="0"/>
    <xf numFmtId="0" fontId="3" fillId="6" borderId="0" applyNumberFormat="0" applyBorder="0" applyAlignment="0" applyProtection="0"/>
    <xf numFmtId="0" fontId="23" fillId="23" borderId="0" applyNumberFormat="0" applyBorder="0" applyAlignment="0" applyProtection="0"/>
    <xf numFmtId="0" fontId="23" fillId="24" borderId="0" applyNumberFormat="0" applyBorder="0" applyAlignment="0" applyProtection="0"/>
    <xf numFmtId="0" fontId="3" fillId="25" borderId="0" applyNumberFormat="0" applyBorder="0" applyAlignment="0" applyProtection="0"/>
    <xf numFmtId="0" fontId="23" fillId="26" borderId="0" applyNumberFormat="0" applyBorder="0" applyAlignment="0" applyProtection="0"/>
    <xf numFmtId="0" fontId="27" fillId="0" borderId="0"/>
    <xf numFmtId="0" fontId="28" fillId="33" borderId="0" applyNumberFormat="0" applyBorder="0" applyAlignment="0" applyProtection="0"/>
    <xf numFmtId="0" fontId="2" fillId="6" borderId="0" applyNumberFormat="0" applyBorder="0" applyAlignment="0" applyProtection="0"/>
    <xf numFmtId="0" fontId="2" fillId="25" borderId="0" applyNumberFormat="0" applyBorder="0" applyAlignment="0" applyProtection="0"/>
    <xf numFmtId="0" fontId="1" fillId="0" borderId="0" applyNumberFormat="0" applyFill="0" applyBorder="0" applyAlignment="0" applyProtection="0">
      <alignment horizontal="left"/>
    </xf>
    <xf numFmtId="43" fontId="32" fillId="0" borderId="0" applyFont="0" applyFill="0" applyBorder="0" applyAlignment="0" applyProtection="0"/>
  </cellStyleXfs>
  <cellXfs count="319">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6" fillId="0" borderId="0" xfId="0" applyFont="1" applyAlignment="1">
      <alignment wrapText="1"/>
    </xf>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0" fontId="7" fillId="13" borderId="1" xfId="0" quotePrefix="1" applyFont="1" applyFill="1" applyBorder="1" applyAlignment="1">
      <alignment horizontal="center" vertical="center" wrapText="1"/>
    </xf>
    <xf numFmtId="0" fontId="7" fillId="14" borderId="1" xfId="0" quotePrefix="1" applyFont="1" applyFill="1" applyBorder="1" applyAlignment="1">
      <alignment horizontal="center" vertical="center" wrapText="1"/>
    </xf>
    <xf numFmtId="49" fontId="20" fillId="8" borderId="1" xfId="0" applyNumberFormat="1" applyFont="1" applyFill="1" applyBorder="1" applyAlignment="1" applyProtection="1">
      <alignment horizontal="center" vertical="center" wrapText="1"/>
      <protection locked="0"/>
    </xf>
    <xf numFmtId="170" fontId="20" fillId="9" borderId="1" xfId="0" applyNumberFormat="1" applyFont="1" applyFill="1" applyBorder="1" applyAlignment="1" applyProtection="1">
      <alignment horizontal="center" vertical="center"/>
      <protection locked="0"/>
    </xf>
    <xf numFmtId="170" fontId="20" fillId="3" borderId="1" xfId="0" applyNumberFormat="1" applyFont="1" applyFill="1" applyBorder="1" applyAlignment="1" applyProtection="1">
      <alignment horizontal="center" vertical="center"/>
      <protection locked="0"/>
    </xf>
    <xf numFmtId="0" fontId="20" fillId="8" borderId="1" xfId="0" applyFont="1" applyFill="1" applyBorder="1" applyAlignment="1" applyProtection="1">
      <alignment horizontal="center" vertical="center" wrapText="1"/>
      <protection locked="0"/>
    </xf>
    <xf numFmtId="3" fontId="20" fillId="8" borderId="1" xfId="0" applyNumberFormat="1" applyFont="1" applyFill="1" applyBorder="1" applyAlignment="1" applyProtection="1">
      <alignment horizontal="center" vertical="center" wrapText="1"/>
      <protection locked="0"/>
    </xf>
    <xf numFmtId="164" fontId="20" fillId="10" borderId="1" xfId="0" applyNumberFormat="1" applyFont="1" applyFill="1" applyBorder="1" applyAlignment="1" applyProtection="1">
      <alignment horizontal="center" vertical="center"/>
      <protection locked="0"/>
    </xf>
    <xf numFmtId="164" fontId="20"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0" fontId="0" fillId="15" borderId="0" xfId="0" applyFill="1"/>
    <xf numFmtId="0" fontId="13" fillId="2" borderId="0" xfId="3" applyFill="1" applyAlignment="1" applyProtection="1">
      <alignment vertical="center"/>
    </xf>
    <xf numFmtId="0" fontId="6" fillId="2" borderId="8" xfId="6" quotePrefix="1" applyFill="1" applyBorder="1" applyAlignment="1">
      <alignment vertical="center" wrapText="1"/>
    </xf>
    <xf numFmtId="0" fontId="6" fillId="2" borderId="0" xfId="6"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2"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ill="1" applyBorder="1" applyAlignment="1" applyProtection="1">
      <alignment horizontal="left" vertical="center" wrapText="1"/>
      <protection locked="0"/>
    </xf>
    <xf numFmtId="0" fontId="6" fillId="9" borderId="1" xfId="6" applyFill="1" applyBorder="1" applyAlignment="1" applyProtection="1">
      <alignment horizontal="left" vertical="center" wrapText="1"/>
      <protection locked="0"/>
    </xf>
    <xf numFmtId="0" fontId="6" fillId="2" borderId="0" xfId="6" applyFill="1" applyAlignment="1">
      <alignment horizontal="center" vertical="center"/>
    </xf>
    <xf numFmtId="166" fontId="6" fillId="2" borderId="0" xfId="6" applyNumberFormat="1" applyFill="1" applyAlignment="1">
      <alignment horizontal="center" vertical="center"/>
    </xf>
    <xf numFmtId="0" fontId="6" fillId="2" borderId="0" xfId="6" applyFill="1"/>
    <xf numFmtId="170" fontId="4" fillId="12" borderId="1" xfId="6" applyNumberFormat="1" applyFont="1" applyFill="1" applyBorder="1" applyAlignment="1" applyProtection="1">
      <alignment horizontal="center" vertical="center"/>
      <protection locked="0"/>
    </xf>
    <xf numFmtId="164" fontId="4" fillId="12" borderId="1" xfId="6" applyNumberFormat="1" applyFont="1" applyFill="1" applyBorder="1" applyAlignment="1" applyProtection="1">
      <alignment horizontal="center" vertical="center"/>
      <protection locked="0"/>
    </xf>
    <xf numFmtId="170" fontId="4" fillId="9" borderId="1" xfId="6" applyNumberFormat="1" applyFont="1" applyFill="1" applyBorder="1" applyAlignment="1" applyProtection="1">
      <alignment horizontal="center" vertical="center"/>
      <protection locked="0"/>
    </xf>
    <xf numFmtId="164"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ill="1" applyAlignment="1" applyProtection="1">
      <alignment horizontal="left" vertical="center" wrapText="1"/>
      <protection locked="0"/>
    </xf>
    <xf numFmtId="49" fontId="11" fillId="6" borderId="0" xfId="1" applyNumberFormat="1" applyFill="1" applyAlignment="1" applyProtection="1">
      <alignment vertical="center" wrapText="1"/>
      <protection locked="0"/>
    </xf>
    <xf numFmtId="49" fontId="18" fillId="0" borderId="0" xfId="4" applyNumberFormat="1" applyBorder="1" applyAlignment="1" applyProtection="1">
      <alignment vertical="center"/>
      <protection locked="0"/>
    </xf>
    <xf numFmtId="49" fontId="11" fillId="6" borderId="0" xfId="1" applyNumberFormat="1" applyFill="1" applyBorder="1" applyAlignment="1" applyProtection="1">
      <alignment vertical="center" wrapText="1"/>
      <protection locked="0"/>
    </xf>
    <xf numFmtId="49" fontId="11" fillId="0" borderId="0" xfId="5" applyNumberFormat="1" applyBorder="1" applyAlignment="1" applyProtection="1">
      <alignment vertical="center"/>
      <protection locked="0"/>
    </xf>
    <xf numFmtId="49" fontId="11" fillId="0" borderId="0" xfId="5" quotePrefix="1" applyNumberFormat="1" applyBorder="1" applyAlignment="1" applyProtection="1">
      <alignment horizontal="left" vertical="center"/>
      <protection locked="0"/>
    </xf>
    <xf numFmtId="49" fontId="22"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5" borderId="0" xfId="0" applyFill="1" applyAlignment="1">
      <alignment vertical="center"/>
    </xf>
    <xf numFmtId="0" fontId="24" fillId="18" borderId="1" xfId="0" applyFont="1" applyFill="1" applyBorder="1" applyAlignment="1" applyProtection="1">
      <alignment horizontal="center" vertical="center" wrapText="1"/>
      <protection locked="0"/>
    </xf>
    <xf numFmtId="0" fontId="24" fillId="16" borderId="1" xfId="0" applyFont="1" applyFill="1" applyBorder="1" applyAlignment="1" applyProtection="1">
      <alignment horizontal="center" vertical="center" wrapText="1"/>
      <protection locked="0"/>
    </xf>
    <xf numFmtId="0" fontId="24" fillId="19" borderId="1" xfId="0" applyFont="1" applyFill="1" applyBorder="1" applyAlignment="1" applyProtection="1">
      <alignment horizontal="center" vertical="center" wrapText="1"/>
      <protection locked="0"/>
    </xf>
    <xf numFmtId="0" fontId="7" fillId="20" borderId="1" xfId="0" applyFont="1" applyFill="1" applyBorder="1" applyAlignment="1" applyProtection="1">
      <alignment horizontal="center" vertical="center" wrapText="1"/>
      <protection locked="0"/>
    </xf>
    <xf numFmtId="0" fontId="6" fillId="0" borderId="1" xfId="0" applyFont="1" applyBorder="1" applyAlignment="1">
      <alignment horizontal="center" vertical="center" wrapText="1"/>
    </xf>
    <xf numFmtId="0" fontId="17" fillId="15" borderId="0" xfId="1" applyNumberFormat="1" applyFont="1" applyFill="1" applyBorder="1" applyAlignment="1">
      <alignment horizontal="center" vertical="center" wrapText="1"/>
    </xf>
    <xf numFmtId="0" fontId="8" fillId="15" borderId="0" xfId="6" applyFont="1" applyFill="1" applyAlignment="1">
      <alignment vertical="center"/>
    </xf>
    <xf numFmtId="0" fontId="17" fillId="15" borderId="0" xfId="1" applyNumberFormat="1" applyFont="1" applyFill="1" applyBorder="1" applyAlignment="1" applyProtection="1">
      <alignment horizontal="center" vertical="center" wrapText="1"/>
    </xf>
    <xf numFmtId="0" fontId="17" fillId="15" borderId="12" xfId="1" applyNumberFormat="1" applyFont="1" applyFill="1" applyBorder="1" applyAlignment="1">
      <alignment horizontal="center" vertical="center" wrapText="1"/>
    </xf>
    <xf numFmtId="0" fontId="17" fillId="15" borderId="0" xfId="1" applyNumberFormat="1" applyFont="1" applyFill="1" applyBorder="1" applyAlignment="1">
      <alignment vertical="center" wrapText="1"/>
    </xf>
    <xf numFmtId="0" fontId="7" fillId="15" borderId="4" xfId="0" applyFont="1" applyFill="1" applyBorder="1" applyAlignment="1">
      <alignment horizontal="left" vertical="center" wrapText="1"/>
    </xf>
    <xf numFmtId="0" fontId="6" fillId="15" borderId="4" xfId="0" applyFont="1" applyFill="1" applyBorder="1" applyAlignment="1">
      <alignment horizontal="center" vertical="center" wrapText="1"/>
    </xf>
    <xf numFmtId="0" fontId="6" fillId="15" borderId="8" xfId="0" applyFont="1" applyFill="1" applyBorder="1" applyAlignment="1">
      <alignment horizontal="center" vertical="center" wrapText="1"/>
    </xf>
    <xf numFmtId="0" fontId="17" fillId="15" borderId="8" xfId="1" applyNumberFormat="1" applyFont="1" applyFill="1" applyBorder="1" applyAlignment="1">
      <alignment horizontal="center" vertical="center" wrapText="1"/>
    </xf>
    <xf numFmtId="170" fontId="20" fillId="17" borderId="3" xfId="0" applyNumberFormat="1" applyFont="1" applyFill="1" applyBorder="1" applyAlignment="1" applyProtection="1">
      <alignment horizontal="center" vertical="center" wrapText="1"/>
      <protection locked="0"/>
    </xf>
    <xf numFmtId="0" fontId="13" fillId="0" borderId="0" xfId="3" applyAlignment="1" applyProtection="1"/>
    <xf numFmtId="173" fontId="6" fillId="9" borderId="1" xfId="6" applyNumberFormat="1" applyFill="1" applyBorder="1" applyAlignment="1">
      <alignment horizontal="center" vertical="center" wrapText="1"/>
    </xf>
    <xf numFmtId="0" fontId="6" fillId="9" borderId="1" xfId="6" applyFill="1" applyBorder="1" applyAlignment="1">
      <alignment horizontal="left" vertical="center" wrapText="1"/>
    </xf>
    <xf numFmtId="1" fontId="6" fillId="9" borderId="1" xfId="6" applyNumberFormat="1" applyFill="1" applyBorder="1" applyAlignment="1">
      <alignment horizontal="left" vertical="center" wrapText="1"/>
    </xf>
    <xf numFmtId="170" fontId="4" fillId="21" borderId="1" xfId="6" applyNumberFormat="1" applyFont="1" applyFill="1" applyBorder="1" applyAlignment="1">
      <alignment horizontal="center" vertical="center"/>
    </xf>
    <xf numFmtId="43" fontId="4" fillId="21" borderId="1" xfId="7" applyFont="1" applyFill="1" applyBorder="1" applyAlignment="1" applyProtection="1">
      <alignment horizontal="center" vertical="center"/>
    </xf>
    <xf numFmtId="164" fontId="4" fillId="21" borderId="1" xfId="6" applyNumberFormat="1" applyFont="1" applyFill="1" applyBorder="1" applyAlignment="1">
      <alignment horizontal="center" vertical="center"/>
    </xf>
    <xf numFmtId="165" fontId="4" fillId="12" borderId="1" xfId="6" applyNumberFormat="1" applyFont="1" applyFill="1" applyBorder="1" applyAlignment="1">
      <alignment horizontal="center" vertical="center"/>
    </xf>
    <xf numFmtId="43" fontId="4" fillId="12" borderId="1" xfId="7" applyFont="1" applyFill="1" applyBorder="1" applyAlignment="1" applyProtection="1">
      <alignment horizontal="center" vertical="center"/>
    </xf>
    <xf numFmtId="164" fontId="4" fillId="12" borderId="1" xfId="6" applyNumberFormat="1" applyFont="1" applyFill="1" applyBorder="1" applyAlignment="1">
      <alignment horizontal="center" vertical="center"/>
    </xf>
    <xf numFmtId="0" fontId="6" fillId="11" borderId="1" xfId="13" applyFont="1" applyFill="1" applyBorder="1" applyAlignment="1" applyProtection="1">
      <alignment vertical="center"/>
      <protection locked="0"/>
    </xf>
    <xf numFmtId="172" fontId="6" fillId="29" borderId="1" xfId="10" applyNumberFormat="1" applyFont="1" applyFill="1" applyBorder="1" applyAlignment="1" applyProtection="1">
      <alignment vertical="center"/>
      <protection locked="0"/>
    </xf>
    <xf numFmtId="171" fontId="3" fillId="28" borderId="1" xfId="9" applyNumberFormat="1" applyFill="1" applyBorder="1" applyAlignment="1" applyProtection="1">
      <alignment vertical="center"/>
    </xf>
    <xf numFmtId="172" fontId="6" fillId="28" borderId="1" xfId="9" applyNumberFormat="1" applyFont="1" applyFill="1" applyBorder="1" applyAlignment="1" applyProtection="1">
      <alignment vertical="center"/>
      <protection locked="0"/>
    </xf>
    <xf numFmtId="172" fontId="6" fillId="31" borderId="1" xfId="9" applyNumberFormat="1" applyFont="1" applyFill="1" applyBorder="1" applyAlignment="1" applyProtection="1">
      <alignment vertical="center"/>
      <protection locked="0"/>
    </xf>
    <xf numFmtId="172" fontId="6" fillId="32" borderId="1" xfId="10" applyNumberFormat="1" applyFont="1" applyFill="1" applyBorder="1" applyAlignment="1" applyProtection="1">
      <alignment vertical="center"/>
      <protection locked="0"/>
    </xf>
    <xf numFmtId="0" fontId="17" fillId="0" borderId="0" xfId="1"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7" fillId="7" borderId="6" xfId="0" applyFont="1" applyFill="1" applyBorder="1" applyAlignment="1">
      <alignment horizontal="left" vertical="center" wrapText="1"/>
    </xf>
    <xf numFmtId="0" fontId="6" fillId="11" borderId="1" xfId="8" quotePrefix="1" applyFont="1" applyFill="1" applyBorder="1" applyAlignment="1" applyProtection="1">
      <alignment horizontal="center" vertical="center" wrapText="1"/>
    </xf>
    <xf numFmtId="0" fontId="6" fillId="30" borderId="1" xfId="11" quotePrefix="1" applyFont="1" applyFill="1" applyBorder="1" applyAlignment="1" applyProtection="1">
      <alignment horizontal="center" vertical="center" wrapText="1"/>
    </xf>
    <xf numFmtId="171" fontId="3" fillId="31" borderId="1" xfId="12" applyNumberFormat="1" applyFill="1" applyBorder="1" applyAlignment="1" applyProtection="1">
      <alignment vertical="center"/>
    </xf>
    <xf numFmtId="0" fontId="7" fillId="7" borderId="1" xfId="0" applyFont="1" applyFill="1" applyBorder="1" applyAlignment="1">
      <alignment horizontal="left" vertical="center" wrapText="1"/>
    </xf>
    <xf numFmtId="0" fontId="6" fillId="11" borderId="1" xfId="13" applyFont="1" applyFill="1" applyBorder="1" applyAlignment="1" applyProtection="1">
      <alignment vertical="center" wrapText="1"/>
    </xf>
    <xf numFmtId="0" fontId="6" fillId="27"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7" borderId="1" xfId="13" applyFont="1" applyFill="1" applyBorder="1" applyAlignment="1" applyProtection="1">
      <alignment vertical="center" wrapText="1"/>
    </xf>
    <xf numFmtId="0" fontId="6" fillId="7" borderId="1" xfId="0" applyFont="1" applyFill="1" applyBorder="1" applyAlignment="1">
      <alignment horizontal="center" vertical="center" wrapText="1"/>
    </xf>
    <xf numFmtId="172" fontId="3" fillId="28" borderId="1" xfId="9" applyNumberFormat="1" applyFill="1" applyBorder="1" applyAlignment="1" applyProtection="1">
      <alignment vertical="center"/>
      <protection locked="0"/>
    </xf>
    <xf numFmtId="174" fontId="3" fillId="28" borderId="1" xfId="9" applyNumberFormat="1" applyFill="1" applyBorder="1" applyAlignment="1" applyProtection="1">
      <alignment vertical="center"/>
    </xf>
    <xf numFmtId="174" fontId="3" fillId="31" borderId="1" xfId="9" applyNumberFormat="1" applyFill="1" applyBorder="1" applyAlignment="1" applyProtection="1">
      <alignment vertical="center"/>
    </xf>
    <xf numFmtId="174" fontId="6" fillId="29" borderId="1" xfId="10" applyNumberFormat="1" applyFont="1" applyFill="1" applyBorder="1" applyAlignment="1" applyProtection="1">
      <alignment vertical="center"/>
    </xf>
    <xf numFmtId="174" fontId="6" fillId="32" borderId="1" xfId="10" applyNumberFormat="1" applyFont="1" applyFill="1" applyBorder="1" applyAlignment="1" applyProtection="1">
      <alignment vertical="center"/>
    </xf>
    <xf numFmtId="175" fontId="3" fillId="28" borderId="5" xfId="9" applyNumberFormat="1" applyFill="1" applyBorder="1" applyAlignment="1" applyProtection="1">
      <alignment vertical="center"/>
    </xf>
    <xf numFmtId="175" fontId="3" fillId="28" borderId="1" xfId="9" applyNumberFormat="1" applyFill="1" applyBorder="1" applyAlignment="1" applyProtection="1">
      <alignment vertical="center"/>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0" borderId="1" xfId="11" quotePrefix="1" applyNumberFormat="1" applyFont="1" applyFill="1" applyBorder="1" applyAlignment="1" applyProtection="1">
      <alignment horizontal="center" vertical="center" wrapText="1"/>
    </xf>
    <xf numFmtId="49" fontId="11" fillId="6" borderId="0" xfId="1" applyNumberFormat="1" applyFill="1" applyAlignment="1" applyProtection="1">
      <alignment horizontal="center" vertical="center" wrapText="1"/>
      <protection locked="0"/>
    </xf>
    <xf numFmtId="49" fontId="11" fillId="6" borderId="0" xfId="1" quotePrefix="1" applyNumberFormat="1" applyFill="1" applyAlignment="1" applyProtection="1">
      <alignment horizontal="center" vertical="center" wrapText="1"/>
      <protection locked="0"/>
    </xf>
    <xf numFmtId="49" fontId="22" fillId="7" borderId="1" xfId="6" quotePrefix="1" applyNumberFormat="1" applyFont="1" applyFill="1" applyBorder="1" applyAlignment="1">
      <alignment horizontal="center" vertical="center" wrapText="1"/>
    </xf>
    <xf numFmtId="0" fontId="14" fillId="0" borderId="0" xfId="3" applyFont="1" applyFill="1" applyBorder="1" applyAlignment="1" applyProtection="1">
      <alignment vertical="center"/>
    </xf>
    <xf numFmtId="49" fontId="18" fillId="0" borderId="0" xfId="4" quotePrefix="1" applyNumberFormat="1" applyBorder="1" applyAlignment="1" applyProtection="1">
      <alignment horizontal="left" vertical="center"/>
      <protection locked="0"/>
    </xf>
    <xf numFmtId="164" fontId="20" fillId="10" borderId="1" xfId="0" applyNumberFormat="1" applyFont="1" applyFill="1" applyBorder="1" applyAlignment="1">
      <alignment horizontal="center" vertical="center"/>
    </xf>
    <xf numFmtId="176" fontId="21" fillId="16" borderId="1" xfId="0" applyNumberFormat="1" applyFont="1" applyFill="1" applyBorder="1" applyAlignment="1" applyProtection="1">
      <alignment horizontal="center" vertical="center"/>
      <protection locked="0"/>
    </xf>
    <xf numFmtId="176" fontId="20" fillId="17" borderId="1" xfId="0" applyNumberFormat="1" applyFont="1" applyFill="1" applyBorder="1" applyAlignment="1" applyProtection="1">
      <alignment horizontal="center" vertical="center"/>
      <protection locked="0"/>
    </xf>
    <xf numFmtId="176" fontId="21" fillId="18" borderId="1" xfId="0" applyNumberFormat="1" applyFont="1" applyFill="1" applyBorder="1" applyAlignment="1" applyProtection="1">
      <alignment horizontal="center" vertical="center"/>
      <protection locked="0"/>
    </xf>
    <xf numFmtId="176" fontId="21" fillId="19" borderId="1" xfId="0" applyNumberFormat="1" applyFont="1" applyFill="1" applyBorder="1" applyAlignment="1" applyProtection="1">
      <alignment horizontal="center" vertical="center"/>
      <protection locked="0"/>
    </xf>
    <xf numFmtId="176" fontId="20" fillId="20" borderId="1" xfId="0" applyNumberFormat="1" applyFont="1" applyFill="1" applyBorder="1" applyAlignment="1" applyProtection="1">
      <alignment horizontal="center" vertical="center"/>
      <protection locked="0"/>
    </xf>
    <xf numFmtId="176" fontId="29" fillId="16" borderId="1" xfId="0" applyNumberFormat="1" applyFont="1" applyFill="1" applyBorder="1" applyAlignment="1" applyProtection="1">
      <alignment horizontal="center" vertical="center" wrapText="1"/>
      <protection locked="0"/>
    </xf>
    <xf numFmtId="176" fontId="9" fillId="17" borderId="1" xfId="0" applyNumberFormat="1" applyFont="1" applyFill="1" applyBorder="1" applyAlignment="1" applyProtection="1">
      <alignment horizontal="center" vertical="center" wrapText="1"/>
      <protection locked="0"/>
    </xf>
    <xf numFmtId="176" fontId="29" fillId="18"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0" fontId="9" fillId="3" borderId="1" xfId="0" applyNumberFormat="1" applyFont="1" applyFill="1" applyBorder="1" applyAlignment="1" applyProtection="1">
      <alignment horizontal="center" vertical="center"/>
      <protection locked="0"/>
    </xf>
    <xf numFmtId="170" fontId="9" fillId="9" borderId="1" xfId="0" applyNumberFormat="1" applyFont="1" applyFill="1" applyBorder="1" applyAlignment="1" applyProtection="1">
      <alignment horizontal="center" vertical="center"/>
      <protection locked="0"/>
    </xf>
    <xf numFmtId="176" fontId="29" fillId="19" borderId="1" xfId="0" applyNumberFormat="1" applyFont="1" applyFill="1" applyBorder="1" applyAlignment="1" applyProtection="1">
      <alignment horizontal="center" vertical="center" wrapText="1"/>
      <protection locked="0"/>
    </xf>
    <xf numFmtId="176" fontId="9" fillId="2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lignment horizontal="center" vertical="center" wrapText="1"/>
    </xf>
    <xf numFmtId="170"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0" fillId="0" borderId="0" xfId="6" applyFont="1"/>
    <xf numFmtId="0" fontId="13" fillId="0" borderId="0" xfId="3"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4" borderId="0" xfId="6" applyFill="1" applyAlignment="1">
      <alignment horizontal="left"/>
    </xf>
    <xf numFmtId="14" fontId="6" fillId="0" borderId="0" xfId="6" applyNumberFormat="1"/>
    <xf numFmtId="0" fontId="6" fillId="0" borderId="0" xfId="6" quotePrefix="1" applyAlignment="1">
      <alignment horizontal="left"/>
    </xf>
    <xf numFmtId="0" fontId="6" fillId="34" borderId="0" xfId="6" applyFill="1" applyAlignment="1">
      <alignment horizontal="left" vertical="center"/>
    </xf>
    <xf numFmtId="177" fontId="6" fillId="34" borderId="0" xfId="6" applyNumberFormat="1" applyFill="1" applyAlignment="1">
      <alignment horizontal="left"/>
    </xf>
    <xf numFmtId="0" fontId="20" fillId="15" borderId="1" xfId="0" applyFont="1" applyFill="1" applyBorder="1" applyAlignment="1" applyProtection="1">
      <alignment horizontal="center" vertical="center" wrapText="1"/>
      <protection locked="0"/>
    </xf>
    <xf numFmtId="0" fontId="7" fillId="11" borderId="1" xfId="0" applyFont="1" applyFill="1" applyBorder="1" applyAlignment="1">
      <alignment vertical="center" wrapText="1"/>
    </xf>
    <xf numFmtId="2" fontId="20" fillId="10" borderId="1" xfId="0" applyNumberFormat="1" applyFont="1" applyFill="1" applyBorder="1" applyAlignment="1" applyProtection="1">
      <alignment horizontal="center" vertical="center"/>
      <protection locked="0"/>
    </xf>
    <xf numFmtId="2" fontId="20" fillId="3" borderId="1" xfId="0" applyNumberFormat="1" applyFont="1" applyFill="1" applyBorder="1" applyAlignment="1" applyProtection="1">
      <alignment horizontal="center" vertical="center"/>
      <protection locked="0"/>
    </xf>
    <xf numFmtId="0" fontId="7" fillId="7" borderId="1" xfId="0" applyFont="1" applyFill="1" applyBorder="1" applyAlignment="1">
      <alignment vertical="center" wrapText="1"/>
    </xf>
    <xf numFmtId="2" fontId="20" fillId="3" borderId="1" xfId="0" applyNumberFormat="1" applyFont="1" applyFill="1" applyBorder="1" applyAlignment="1">
      <alignment horizontal="center" vertical="center"/>
    </xf>
    <xf numFmtId="2" fontId="20" fillId="10" borderId="1" xfId="0" applyNumberFormat="1" applyFont="1" applyFill="1" applyBorder="1" applyAlignment="1">
      <alignment horizontal="center" vertical="center"/>
    </xf>
    <xf numFmtId="0" fontId="20" fillId="0" borderId="1" xfId="0" applyFont="1" applyBorder="1" applyAlignment="1">
      <alignment horizontal="center" vertical="center" wrapText="1"/>
    </xf>
    <xf numFmtId="0" fontId="6" fillId="2" borderId="0" xfId="6" quotePrefix="1" applyFill="1" applyAlignment="1">
      <alignment horizontal="center" vertical="center" wrapText="1"/>
    </xf>
    <xf numFmtId="0" fontId="13" fillId="0" borderId="0" xfId="3" applyAlignment="1" applyProtection="1">
      <alignment horizontal="left" vertical="top" wrapText="1"/>
    </xf>
    <xf numFmtId="49" fontId="20" fillId="0" borderId="1" xfId="0" applyNumberFormat="1" applyFont="1" applyBorder="1" applyAlignment="1" applyProtection="1">
      <alignment horizontal="center" vertical="center" wrapText="1"/>
      <protection locked="0"/>
    </xf>
    <xf numFmtId="3" fontId="20" fillId="0" borderId="1" xfId="0" applyNumberFormat="1" applyFont="1" applyBorder="1" applyAlignment="1" applyProtection="1">
      <alignment horizontal="center" vertical="center" wrapText="1"/>
      <protection locked="0"/>
    </xf>
    <xf numFmtId="0" fontId="20" fillId="0" borderId="1" xfId="0" applyFont="1" applyBorder="1" applyAlignment="1" applyProtection="1">
      <alignment horizontal="center" vertical="center" wrapText="1"/>
      <protection locked="0"/>
    </xf>
    <xf numFmtId="0" fontId="7" fillId="7" borderId="1" xfId="0" applyFont="1" applyFill="1" applyBorder="1" applyAlignment="1" applyProtection="1">
      <alignment horizontal="center" vertical="center"/>
      <protection locked="0"/>
    </xf>
    <xf numFmtId="0" fontId="7" fillId="7" borderId="1" xfId="0" applyFont="1" applyFill="1" applyBorder="1" applyAlignment="1" applyProtection="1">
      <alignment vertical="center"/>
      <protection locked="0"/>
    </xf>
    <xf numFmtId="0" fontId="15" fillId="8" borderId="1" xfId="0" applyFont="1" applyFill="1" applyBorder="1" applyAlignment="1" applyProtection="1">
      <alignment horizontal="center" vertical="center"/>
      <protection locked="0"/>
    </xf>
    <xf numFmtId="49" fontId="20" fillId="0" borderId="1" xfId="0" quotePrefix="1" applyNumberFormat="1" applyFont="1" applyBorder="1" applyAlignment="1" applyProtection="1">
      <alignment horizontal="center" vertical="center" wrapText="1"/>
      <protection locked="0"/>
    </xf>
    <xf numFmtId="164" fontId="20" fillId="9" borderId="1" xfId="0" applyNumberFormat="1" applyFont="1" applyFill="1" applyBorder="1" applyAlignment="1" applyProtection="1">
      <alignment horizontal="center" vertical="center"/>
      <protection locked="0"/>
    </xf>
    <xf numFmtId="178" fontId="20" fillId="3" borderId="1" xfId="0" applyNumberFormat="1" applyFont="1" applyFill="1" applyBorder="1" applyAlignment="1" applyProtection="1">
      <alignment horizontal="center" vertical="center"/>
      <protection locked="0"/>
    </xf>
    <xf numFmtId="3" fontId="15" fillId="8" borderId="1" xfId="0" applyNumberFormat="1" applyFont="1" applyFill="1" applyBorder="1" applyAlignment="1" applyProtection="1">
      <alignment horizontal="center" vertical="center"/>
      <protection locked="0"/>
    </xf>
    <xf numFmtId="0" fontId="7" fillId="0" borderId="1" xfId="0" applyFont="1" applyBorder="1" applyAlignment="1">
      <alignment horizontal="left" vertical="center" wrapText="1" indent="1"/>
    </xf>
    <xf numFmtId="0" fontId="6" fillId="4" borderId="1" xfId="0" applyFont="1" applyFill="1" applyBorder="1" applyAlignment="1">
      <alignment horizontal="center" vertical="center" wrapText="1"/>
    </xf>
    <xf numFmtId="0" fontId="6" fillId="15" borderId="1" xfId="0" applyFont="1" applyFill="1" applyBorder="1" applyAlignment="1">
      <alignment horizontal="center" vertical="center" wrapText="1"/>
    </xf>
    <xf numFmtId="0" fontId="7" fillId="0" borderId="6" xfId="0" applyFont="1" applyBorder="1" applyAlignment="1">
      <alignment horizontal="left" vertical="center" wrapText="1" indent="1"/>
    </xf>
    <xf numFmtId="0" fontId="6" fillId="4" borderId="1" xfId="0" applyFont="1" applyFill="1" applyBorder="1" applyAlignment="1">
      <alignment vertical="center" wrapText="1"/>
    </xf>
    <xf numFmtId="49" fontId="15" fillId="35" borderId="1" xfId="0" applyNumberFormat="1" applyFont="1" applyFill="1" applyBorder="1" applyAlignment="1" applyProtection="1">
      <alignment horizontal="center" vertical="center" wrapText="1"/>
      <protection locked="0"/>
    </xf>
    <xf numFmtId="0" fontId="20" fillId="0" borderId="1" xfId="0" quotePrefix="1" applyFont="1" applyBorder="1" applyAlignment="1" applyProtection="1">
      <alignment horizontal="center" vertical="center" wrapText="1"/>
      <protection locked="0"/>
    </xf>
    <xf numFmtId="43" fontId="15" fillId="8" borderId="1" xfId="19" applyFont="1" applyFill="1" applyBorder="1" applyAlignment="1" applyProtection="1">
      <alignment horizontal="center" vertical="center"/>
      <protection locked="0"/>
    </xf>
    <xf numFmtId="165" fontId="0" fillId="2" borderId="1" xfId="0" applyNumberFormat="1" applyFill="1" applyBorder="1" applyAlignment="1">
      <alignment horizontal="center" vertical="center"/>
    </xf>
    <xf numFmtId="0" fontId="13" fillId="2" borderId="8" xfId="3" applyFill="1" applyBorder="1" applyAlignment="1" applyProtection="1">
      <alignment vertical="center"/>
      <protection hidden="1"/>
    </xf>
    <xf numFmtId="0" fontId="6" fillId="2" borderId="0" xfId="6" quotePrefix="1" applyFill="1" applyAlignment="1">
      <alignment vertical="center" wrapText="1"/>
    </xf>
    <xf numFmtId="0" fontId="14" fillId="15" borderId="8" xfId="3" applyFont="1" applyFill="1" applyBorder="1" applyAlignment="1" applyProtection="1">
      <alignment vertical="center"/>
    </xf>
    <xf numFmtId="0" fontId="0" fillId="15" borderId="8" xfId="0" applyFill="1" applyBorder="1" applyAlignment="1">
      <alignment horizontal="center" vertical="center"/>
    </xf>
    <xf numFmtId="0" fontId="0" fillId="15" borderId="8" xfId="0" applyFill="1" applyBorder="1"/>
    <xf numFmtId="179" fontId="15" fillId="8" borderId="1" xfId="19" applyNumberFormat="1" applyFont="1" applyFill="1" applyBorder="1" applyAlignment="1" applyProtection="1">
      <alignment horizontal="center" vertical="center"/>
      <protection locked="0"/>
    </xf>
    <xf numFmtId="0" fontId="33" fillId="2" borderId="0" xfId="6" applyFont="1" applyFill="1" applyAlignment="1">
      <alignment vertical="center"/>
    </xf>
    <xf numFmtId="3" fontId="20" fillId="8" borderId="1" xfId="0" quotePrefix="1" applyNumberFormat="1" applyFont="1" applyFill="1" applyBorder="1" applyAlignment="1" applyProtection="1">
      <alignment horizontal="center" vertical="center" wrapText="1"/>
      <protection locked="0"/>
    </xf>
    <xf numFmtId="14" fontId="6" fillId="9" borderId="1" xfId="0" quotePrefix="1" applyNumberFormat="1" applyFont="1" applyFill="1" applyBorder="1" applyAlignment="1" applyProtection="1">
      <alignment horizontal="left" vertical="center" wrapText="1"/>
      <protection locked="0"/>
    </xf>
    <xf numFmtId="49" fontId="6" fillId="9" borderId="1" xfId="0" quotePrefix="1" applyNumberFormat="1" applyFont="1" applyFill="1" applyBorder="1" applyAlignment="1" applyProtection="1">
      <alignment horizontal="left" vertical="center" wrapText="1" indent="1"/>
      <protection locked="0"/>
    </xf>
    <xf numFmtId="0" fontId="6" fillId="9" borderId="1" xfId="0" quotePrefix="1" applyFont="1" applyFill="1" applyBorder="1" applyAlignment="1" applyProtection="1">
      <alignment horizontal="center" vertical="center" wrapText="1"/>
      <protection locked="0"/>
    </xf>
    <xf numFmtId="1" fontId="6" fillId="9" borderId="1" xfId="0" quotePrefix="1" applyNumberFormat="1" applyFont="1" applyFill="1" applyBorder="1" applyAlignment="1" applyProtection="1">
      <alignment horizontal="left" vertical="center" wrapText="1" indent="1"/>
      <protection locked="0"/>
    </xf>
    <xf numFmtId="49" fontId="6" fillId="9" borderId="1" xfId="0" applyNumberFormat="1" applyFont="1" applyFill="1" applyBorder="1" applyAlignment="1">
      <alignment horizontal="left" vertical="center" wrapText="1" indent="1"/>
    </xf>
    <xf numFmtId="0" fontId="6" fillId="9" borderId="1" xfId="0" applyFont="1" applyFill="1" applyBorder="1" applyAlignment="1" applyProtection="1">
      <alignment horizontal="center" vertical="center" wrapText="1"/>
      <protection locked="0"/>
    </xf>
    <xf numFmtId="49" fontId="6" fillId="9" borderId="1" xfId="0" applyNumberFormat="1" applyFont="1" applyFill="1" applyBorder="1" applyAlignment="1" applyProtection="1">
      <alignment horizontal="left" vertical="center" wrapText="1" indent="1"/>
      <protection locked="0"/>
    </xf>
    <xf numFmtId="180" fontId="4" fillId="12" borderId="1" xfId="7" applyNumberFormat="1" applyFont="1" applyFill="1" applyBorder="1" applyAlignment="1" applyProtection="1">
      <alignment horizontal="right" vertical="center"/>
    </xf>
    <xf numFmtId="181" fontId="4" fillId="12" borderId="1" xfId="7" applyNumberFormat="1" applyFont="1" applyFill="1" applyBorder="1" applyAlignment="1" applyProtection="1">
      <alignment horizontal="right" vertical="center"/>
    </xf>
    <xf numFmtId="182" fontId="4" fillId="9" borderId="1" xfId="6" applyNumberFormat="1" applyFont="1" applyFill="1" applyBorder="1" applyAlignment="1" applyProtection="1">
      <alignment horizontal="right" vertical="center"/>
      <protection locked="0"/>
    </xf>
    <xf numFmtId="181" fontId="4" fillId="9" borderId="1" xfId="7" applyNumberFormat="1" applyFont="1" applyFill="1" applyBorder="1" applyAlignment="1" applyProtection="1">
      <alignment horizontal="right" vertical="center"/>
      <protection locked="0"/>
    </xf>
    <xf numFmtId="181" fontId="4" fillId="9" borderId="1" xfId="6" applyNumberFormat="1" applyFont="1" applyFill="1" applyBorder="1" applyAlignment="1" applyProtection="1">
      <alignment horizontal="right" vertical="center"/>
      <protection locked="0"/>
    </xf>
    <xf numFmtId="49" fontId="33" fillId="9" borderId="1" xfId="0" quotePrefix="1" applyNumberFormat="1" applyFont="1" applyFill="1" applyBorder="1" applyAlignment="1" applyProtection="1">
      <alignment horizontal="left" vertical="center" wrapText="1"/>
      <protection locked="0"/>
    </xf>
    <xf numFmtId="173" fontId="33" fillId="9" borderId="1" xfId="6" applyNumberFormat="1" applyFont="1" applyFill="1" applyBorder="1" applyAlignment="1">
      <alignment horizontal="center" vertical="center" wrapText="1"/>
    </xf>
    <xf numFmtId="1" fontId="33" fillId="9" borderId="1" xfId="6" applyNumberFormat="1" applyFont="1" applyFill="1" applyBorder="1" applyAlignment="1" applyProtection="1">
      <alignment horizontal="left" vertical="center" wrapText="1"/>
      <protection locked="0"/>
    </xf>
    <xf numFmtId="49" fontId="33" fillId="9" borderId="1" xfId="0" applyNumberFormat="1" applyFont="1" applyFill="1" applyBorder="1" applyAlignment="1" applyProtection="1">
      <alignment horizontal="left" vertical="center" wrapText="1"/>
      <protection locked="0"/>
    </xf>
    <xf numFmtId="0" fontId="33" fillId="9" borderId="1" xfId="6" applyFont="1" applyFill="1" applyBorder="1" applyAlignment="1" applyProtection="1">
      <alignment horizontal="left" vertical="center" wrapText="1"/>
      <protection locked="0"/>
    </xf>
    <xf numFmtId="170" fontId="34" fillId="12" borderId="1" xfId="6" applyNumberFormat="1" applyFont="1" applyFill="1" applyBorder="1" applyAlignment="1" applyProtection="1">
      <alignment horizontal="center" vertical="center"/>
      <protection locked="0"/>
    </xf>
    <xf numFmtId="164" fontId="34" fillId="12" borderId="1" xfId="6" applyNumberFormat="1" applyFont="1" applyFill="1" applyBorder="1" applyAlignment="1" applyProtection="1">
      <alignment horizontal="center" vertical="center"/>
      <protection locked="0"/>
    </xf>
    <xf numFmtId="170" fontId="34" fillId="9" borderId="1" xfId="6" applyNumberFormat="1" applyFont="1" applyFill="1" applyBorder="1" applyAlignment="1" applyProtection="1">
      <alignment horizontal="center" vertical="center"/>
      <protection locked="0"/>
    </xf>
    <xf numFmtId="164" fontId="34" fillId="9" borderId="1" xfId="6" applyNumberFormat="1" applyFont="1" applyFill="1" applyBorder="1" applyAlignment="1" applyProtection="1">
      <alignment horizontal="center" vertical="center"/>
      <protection locked="0"/>
    </xf>
    <xf numFmtId="14" fontId="33" fillId="9" borderId="1" xfId="0" quotePrefix="1" applyNumberFormat="1" applyFont="1" applyFill="1" applyBorder="1" applyAlignment="1" applyProtection="1">
      <alignment horizontal="left" vertical="center" wrapText="1"/>
      <protection locked="0"/>
    </xf>
    <xf numFmtId="49" fontId="33" fillId="9" borderId="1" xfId="0" quotePrefix="1" applyNumberFormat="1" applyFont="1" applyFill="1" applyBorder="1" applyAlignment="1" applyProtection="1">
      <alignment horizontal="left" vertical="center" wrapText="1" indent="1"/>
      <protection locked="0"/>
    </xf>
    <xf numFmtId="0" fontId="33" fillId="9" borderId="1" xfId="0" quotePrefix="1" applyFont="1" applyFill="1" applyBorder="1" applyAlignment="1" applyProtection="1">
      <alignment horizontal="center" vertical="center" wrapText="1"/>
      <protection locked="0"/>
    </xf>
    <xf numFmtId="1" fontId="33" fillId="9" borderId="1" xfId="0" quotePrefix="1" applyNumberFormat="1" applyFont="1" applyFill="1" applyBorder="1" applyAlignment="1" applyProtection="1">
      <alignment horizontal="left" vertical="center" wrapText="1" indent="1"/>
      <protection locked="0"/>
    </xf>
    <xf numFmtId="49" fontId="33" fillId="9" borderId="1" xfId="0" applyNumberFormat="1" applyFont="1" applyFill="1" applyBorder="1" applyAlignment="1">
      <alignment horizontal="left" vertical="center" wrapText="1" indent="1"/>
    </xf>
    <xf numFmtId="0" fontId="33" fillId="9" borderId="1" xfId="0" applyFont="1" applyFill="1" applyBorder="1" applyAlignment="1" applyProtection="1">
      <alignment horizontal="center" vertical="center" wrapText="1"/>
      <protection locked="0"/>
    </xf>
    <xf numFmtId="49" fontId="33" fillId="9" borderId="1" xfId="0" applyNumberFormat="1" applyFont="1" applyFill="1" applyBorder="1" applyAlignment="1" applyProtection="1">
      <alignment horizontal="left" vertical="center" wrapText="1" indent="1"/>
      <protection locked="0"/>
    </xf>
    <xf numFmtId="0" fontId="33" fillId="2" borderId="0" xfId="0" applyFont="1" applyFill="1" applyAlignment="1">
      <alignment vertical="center"/>
    </xf>
    <xf numFmtId="0" fontId="0" fillId="0" borderId="1" xfId="0" applyBorder="1" applyAlignment="1">
      <alignment horizontal="center" vertical="center"/>
    </xf>
    <xf numFmtId="165" fontId="0" fillId="0" borderId="1" xfId="0" applyNumberFormat="1" applyBorder="1" applyAlignment="1">
      <alignment horizontal="center" vertical="center"/>
    </xf>
    <xf numFmtId="0" fontId="0" fillId="0" borderId="1" xfId="0" applyBorder="1" applyAlignment="1">
      <alignment vertical="center" wrapText="1"/>
    </xf>
    <xf numFmtId="0" fontId="6" fillId="0" borderId="1" xfId="0" applyFont="1" applyBorder="1" applyAlignment="1">
      <alignment horizontal="center" vertical="center"/>
    </xf>
    <xf numFmtId="0" fontId="0" fillId="0" borderId="1" xfId="0" applyBorder="1" applyAlignment="1">
      <alignment horizontal="center"/>
    </xf>
    <xf numFmtId="0" fontId="6" fillId="13" borderId="1" xfId="0" quotePrefix="1" applyFont="1" applyFill="1" applyBorder="1" applyAlignment="1">
      <alignment horizontal="center" vertical="center" wrapText="1"/>
    </xf>
    <xf numFmtId="165" fontId="6" fillId="13" borderId="1" xfId="0" quotePrefix="1" applyNumberFormat="1" applyFont="1" applyFill="1" applyBorder="1" applyAlignment="1">
      <alignment horizontal="center" vertical="center" wrapText="1"/>
    </xf>
    <xf numFmtId="0" fontId="6" fillId="14" borderId="1" xfId="0" quotePrefix="1" applyFont="1" applyFill="1" applyBorder="1" applyAlignment="1">
      <alignment horizontal="center" vertical="center" wrapText="1"/>
    </xf>
    <xf numFmtId="165" fontId="6" fillId="14" borderId="1" xfId="0" quotePrefix="1" applyNumberFormat="1" applyFont="1" applyFill="1" applyBorder="1" applyAlignment="1">
      <alignment horizontal="center" vertical="center" wrapText="1"/>
    </xf>
    <xf numFmtId="0" fontId="7" fillId="14" borderId="2" xfId="0" quotePrefix="1" applyFont="1" applyFill="1" applyBorder="1" applyAlignment="1">
      <alignment horizontal="center" vertical="center" wrapText="1"/>
    </xf>
    <xf numFmtId="0" fontId="0" fillId="2" borderId="8" xfId="0" applyFill="1" applyBorder="1" applyAlignment="1">
      <alignment vertical="center"/>
    </xf>
    <xf numFmtId="170" fontId="4" fillId="9" borderId="1" xfId="6" applyNumberFormat="1" applyFont="1" applyFill="1" applyBorder="1" applyAlignment="1" applyProtection="1">
      <alignment horizontal="right" vertical="center"/>
      <protection locked="0"/>
    </xf>
    <xf numFmtId="170" fontId="4" fillId="12" borderId="1" xfId="6" applyNumberFormat="1" applyFont="1" applyFill="1" applyBorder="1" applyAlignment="1" applyProtection="1">
      <alignment horizontal="right" vertical="center"/>
      <protection locked="0"/>
    </xf>
    <xf numFmtId="164" fontId="4" fillId="12" borderId="1" xfId="6" applyNumberFormat="1" applyFont="1" applyFill="1" applyBorder="1" applyAlignment="1" applyProtection="1">
      <alignment horizontal="right" vertical="center"/>
      <protection locked="0"/>
    </xf>
    <xf numFmtId="164" fontId="4" fillId="9" borderId="1" xfId="6" applyNumberFormat="1" applyFont="1" applyFill="1" applyBorder="1" applyAlignment="1" applyProtection="1">
      <alignment horizontal="right" vertical="center"/>
      <protection locked="0"/>
    </xf>
    <xf numFmtId="170" fontId="34" fillId="9" borderId="1" xfId="6" applyNumberFormat="1" applyFont="1" applyFill="1" applyBorder="1" applyAlignment="1" applyProtection="1">
      <alignment horizontal="right" vertical="center"/>
      <protection locked="0"/>
    </xf>
    <xf numFmtId="164" fontId="34" fillId="9" borderId="1" xfId="6" applyNumberFormat="1" applyFont="1" applyFill="1" applyBorder="1" applyAlignment="1" applyProtection="1">
      <alignment horizontal="right" vertical="center"/>
      <protection locked="0"/>
    </xf>
    <xf numFmtId="170" fontId="34" fillId="12" borderId="1" xfId="6" applyNumberFormat="1" applyFont="1" applyFill="1" applyBorder="1" applyAlignment="1" applyProtection="1">
      <alignment horizontal="right" vertical="center"/>
      <protection locked="0"/>
    </xf>
    <xf numFmtId="164" fontId="34" fillId="12" borderId="1" xfId="6" applyNumberFormat="1" applyFont="1" applyFill="1" applyBorder="1" applyAlignment="1" applyProtection="1">
      <alignment horizontal="right" vertical="center"/>
      <protection locked="0"/>
    </xf>
    <xf numFmtId="164" fontId="0" fillId="2" borderId="0" xfId="0" applyNumberFormat="1" applyFill="1" applyAlignment="1">
      <alignment vertical="center"/>
    </xf>
    <xf numFmtId="0" fontId="6" fillId="0" borderId="0" xfId="0" quotePrefix="1" applyFont="1" applyAlignment="1">
      <alignment horizontal="left" wrapText="1"/>
    </xf>
    <xf numFmtId="0" fontId="19" fillId="0" borderId="0" xfId="0" quotePrefix="1" applyFont="1" applyAlignment="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0" fontId="15" fillId="0" borderId="0" xfId="0" quotePrefix="1" applyFont="1" applyAlignment="1">
      <alignment horizontal="left" vertical="top" wrapText="1"/>
    </xf>
    <xf numFmtId="49" fontId="11" fillId="6" borderId="0" xfId="1" applyNumberFormat="1" applyFill="1" applyAlignment="1" applyProtection="1">
      <alignment horizontal="center" vertical="center" wrapText="1"/>
      <protection locked="0"/>
    </xf>
    <xf numFmtId="49" fontId="11" fillId="6" borderId="0" xfId="1" applyNumberFormat="1" applyFill="1" applyAlignment="1" applyProtection="1">
      <alignment horizontal="left" vertical="center" wrapText="1"/>
      <protection locked="0"/>
    </xf>
    <xf numFmtId="0" fontId="7" fillId="0" borderId="1" xfId="0" applyFont="1" applyBorder="1" applyAlignment="1">
      <alignment horizontal="left" vertical="center" wrapText="1" indent="1"/>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6" fillId="2" borderId="8" xfId="6" quotePrefix="1" applyFill="1" applyBorder="1" applyAlignment="1">
      <alignment horizontal="center" vertical="center" wrapText="1"/>
    </xf>
    <xf numFmtId="0" fontId="28" fillId="15" borderId="8" xfId="15" quotePrefix="1" applyFill="1" applyBorder="1" applyAlignment="1">
      <alignment horizontal="left" vertical="top"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17" fillId="6" borderId="1" xfId="1" applyNumberFormat="1" applyFont="1" applyFill="1" applyBorder="1" applyAlignment="1">
      <alignment horizontal="center" vertical="center" wrapText="1"/>
    </xf>
    <xf numFmtId="170" fontId="20" fillId="17" borderId="3" xfId="0" applyNumberFormat="1" applyFont="1" applyFill="1" applyBorder="1" applyAlignment="1" applyProtection="1">
      <alignment horizontal="center" vertical="center"/>
      <protection locked="0"/>
    </xf>
    <xf numFmtId="170" fontId="20" fillId="17"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6" fillId="4" borderId="1" xfId="0" applyFont="1" applyFill="1" applyBorder="1" applyAlignment="1">
      <alignment horizontal="center" vertical="center" wrapText="1"/>
    </xf>
    <xf numFmtId="0" fontId="6" fillId="2" borderId="8" xfId="6" quotePrefix="1" applyFill="1" applyBorder="1" applyAlignment="1">
      <alignment horizontal="left" vertical="center" wrapText="1"/>
    </xf>
    <xf numFmtId="0" fontId="6" fillId="2" borderId="8" xfId="0" quotePrefix="1" applyFont="1" applyFill="1" applyBorder="1" applyAlignment="1">
      <alignment horizontal="left"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Alignment="1" applyProtection="1">
      <alignment horizontal="center" vertical="center" wrapText="1"/>
      <protection locked="0"/>
    </xf>
    <xf numFmtId="0" fontId="24" fillId="16" borderId="1" xfId="0" applyFont="1" applyFill="1" applyBorder="1" applyAlignment="1" applyProtection="1">
      <alignment horizontal="center" vertical="center" wrapText="1"/>
      <protection locked="0"/>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31" fillId="0" borderId="16" xfId="0" applyFont="1" applyBorder="1" applyAlignment="1">
      <alignment horizontal="center" vertical="center" wrapText="1"/>
    </xf>
    <xf numFmtId="0" fontId="31" fillId="0" borderId="17" xfId="0" applyFont="1" applyBorder="1" applyAlignment="1">
      <alignment horizontal="center" vertical="center" wrapText="1"/>
    </xf>
    <xf numFmtId="170" fontId="31" fillId="0" borderId="18" xfId="0" applyNumberFormat="1" applyFont="1" applyBorder="1" applyAlignment="1">
      <alignment horizontal="center" vertical="center" wrapText="1"/>
    </xf>
    <xf numFmtId="0" fontId="31" fillId="0" borderId="11" xfId="0" applyFont="1" applyBorder="1" applyAlignment="1">
      <alignment horizontal="center" vertical="center" wrapText="1"/>
    </xf>
    <xf numFmtId="0" fontId="31" fillId="0" borderId="0" xfId="0" applyFont="1" applyAlignment="1">
      <alignment horizontal="center" vertical="center" wrapText="1"/>
    </xf>
    <xf numFmtId="170" fontId="31" fillId="0" borderId="12" xfId="0" applyNumberFormat="1" applyFont="1" applyBorder="1" applyAlignment="1">
      <alignment horizontal="center" vertical="center" wrapText="1"/>
    </xf>
    <xf numFmtId="0" fontId="31" fillId="0" borderId="13" xfId="0" applyFont="1" applyBorder="1" applyAlignment="1">
      <alignment horizontal="center" vertical="center" wrapText="1"/>
    </xf>
    <xf numFmtId="0" fontId="31" fillId="0" borderId="8" xfId="0" applyFont="1" applyBorder="1" applyAlignment="1">
      <alignment horizontal="center" vertical="center" wrapText="1"/>
    </xf>
    <xf numFmtId="170" fontId="31" fillId="0" borderId="14" xfId="0" applyNumberFormat="1" applyFont="1" applyBorder="1" applyAlignment="1">
      <alignment horizontal="center" vertical="center" wrapText="1"/>
    </xf>
    <xf numFmtId="0" fontId="31" fillId="0" borderId="18" xfId="0" applyFont="1" applyBorder="1" applyAlignment="1">
      <alignment horizontal="center" vertical="center" wrapText="1"/>
    </xf>
    <xf numFmtId="0" fontId="31" fillId="0" borderId="12" xfId="0" applyFont="1" applyBorder="1" applyAlignment="1">
      <alignment horizontal="center" vertical="center" wrapText="1"/>
    </xf>
    <xf numFmtId="0" fontId="31" fillId="0" borderId="14" xfId="0" applyFont="1" applyBorder="1" applyAlignment="1">
      <alignment horizontal="center" vertical="center" wrapText="1"/>
    </xf>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28" fillId="15" borderId="8" xfId="15" quotePrefix="1" applyFill="1" applyBorder="1" applyAlignment="1" applyProtection="1">
      <alignment horizontal="left" vertical="center" wrapText="1"/>
    </xf>
    <xf numFmtId="0" fontId="28" fillId="15" borderId="8" xfId="15" quotePrefix="1" applyFill="1" applyBorder="1" applyAlignment="1" applyProtection="1">
      <alignment horizontal="center" vertical="center" wrapText="1"/>
    </xf>
    <xf numFmtId="0" fontId="17" fillId="6" borderId="1" xfId="1" applyNumberFormat="1" applyFont="1" applyFill="1" applyBorder="1" applyAlignment="1" applyProtection="1">
      <alignment horizontal="center" vertical="center" wrapText="1"/>
    </xf>
    <xf numFmtId="0" fontId="7" fillId="7" borderId="3" xfId="0" quotePrefix="1" applyFont="1" applyFill="1" applyBorder="1" applyAlignment="1" applyProtection="1">
      <alignment horizontal="center" vertical="center" wrapText="1"/>
      <protection locked="0"/>
    </xf>
    <xf numFmtId="0" fontId="7" fillId="7" borderId="4" xfId="0" quotePrefix="1" applyFont="1" applyFill="1" applyBorder="1" applyAlignment="1" applyProtection="1">
      <alignment horizontal="center" vertical="center" wrapText="1"/>
      <protection locked="0"/>
    </xf>
    <xf numFmtId="0" fontId="7" fillId="7" borderId="5" xfId="0" quotePrefix="1" applyFont="1" applyFill="1" applyBorder="1" applyAlignment="1" applyProtection="1">
      <alignment horizontal="center" vertical="center" wrapText="1"/>
      <protection locked="0"/>
    </xf>
    <xf numFmtId="0" fontId="7" fillId="7" borderId="4" xfId="0" applyFont="1" applyFill="1" applyBorder="1" applyAlignment="1" applyProtection="1">
      <alignment horizontal="center" vertical="center" wrapText="1"/>
      <protection locked="0"/>
    </xf>
    <xf numFmtId="0" fontId="6" fillId="0" borderId="8" xfId="0" applyFont="1" applyBorder="1" applyAlignment="1">
      <alignment horizontal="left" vertical="center" wrapText="1"/>
    </xf>
    <xf numFmtId="0" fontId="7" fillId="7" borderId="1" xfId="0" applyFont="1" applyFill="1" applyBorder="1" applyAlignment="1" applyProtection="1">
      <alignment horizontal="center" vertical="center" wrapText="1"/>
      <protection locked="0"/>
    </xf>
    <xf numFmtId="0" fontId="6" fillId="2" borderId="0" xfId="0" quotePrefix="1" applyFont="1" applyFill="1" applyAlignment="1">
      <alignment horizontal="center" vertical="center" wrapText="1"/>
    </xf>
    <xf numFmtId="0" fontId="0" fillId="2" borderId="0" xfId="0" quotePrefix="1" applyFill="1" applyAlignment="1">
      <alignment horizontal="center" vertical="center" wrapText="1"/>
    </xf>
    <xf numFmtId="0" fontId="28" fillId="15" borderId="0" xfId="15" quotePrefix="1" applyFill="1" applyBorder="1" applyAlignment="1">
      <alignment horizontal="left" vertical="top" wrapText="1"/>
    </xf>
    <xf numFmtId="0" fontId="7" fillId="7" borderId="6" xfId="0" applyFont="1" applyFill="1" applyBorder="1" applyAlignment="1" applyProtection="1">
      <alignment vertical="center" wrapText="1"/>
      <protection locked="0"/>
    </xf>
    <xf numFmtId="0" fontId="7" fillId="7" borderId="15" xfId="0" applyFont="1" applyFill="1" applyBorder="1" applyAlignment="1" applyProtection="1">
      <alignment vertical="center" wrapText="1"/>
      <protection locked="0"/>
    </xf>
    <xf numFmtId="0" fontId="7" fillId="7" borderId="2" xfId="0" applyFont="1" applyFill="1" applyBorder="1" applyAlignment="1" applyProtection="1">
      <alignment vertical="center" wrapText="1"/>
      <protection locked="0"/>
    </xf>
    <xf numFmtId="0" fontId="7" fillId="7" borderId="6" xfId="0" applyFont="1" applyFill="1" applyBorder="1" applyAlignment="1" applyProtection="1">
      <alignment vertical="center"/>
      <protection locked="0"/>
    </xf>
    <xf numFmtId="0" fontId="7" fillId="7" borderId="15" xfId="0" applyFont="1" applyFill="1" applyBorder="1" applyAlignment="1" applyProtection="1">
      <alignment vertical="center"/>
      <protection locked="0"/>
    </xf>
    <xf numFmtId="0" fontId="7" fillId="7" borderId="2" xfId="0" applyFont="1" applyFill="1" applyBorder="1" applyAlignment="1" applyProtection="1">
      <alignment vertical="center"/>
      <protection locked="0"/>
    </xf>
    <xf numFmtId="0" fontId="17" fillId="6" borderId="11" xfId="1" applyNumberFormat="1" applyFont="1" applyFill="1" applyBorder="1" applyAlignment="1">
      <alignment horizontal="center" vertical="center" wrapText="1"/>
    </xf>
    <xf numFmtId="0" fontId="17" fillId="6" borderId="0" xfId="1" applyNumberFormat="1" applyFont="1" applyFill="1" applyBorder="1" applyAlignment="1">
      <alignment horizontal="center" vertical="center" wrapText="1"/>
    </xf>
    <xf numFmtId="0" fontId="25" fillId="6" borderId="3" xfId="1" applyNumberFormat="1" applyFont="1" applyFill="1" applyBorder="1" applyAlignment="1" applyProtection="1">
      <alignment horizontal="center" vertical="center" wrapText="1"/>
    </xf>
    <xf numFmtId="0" fontId="25" fillId="6" borderId="4" xfId="1" applyNumberFormat="1" applyFont="1" applyFill="1" applyBorder="1" applyAlignment="1" applyProtection="1">
      <alignment horizontal="center" vertical="center" wrapText="1"/>
    </xf>
    <xf numFmtId="0" fontId="25" fillId="6" borderId="5" xfId="1" applyNumberFormat="1" applyFont="1" applyFill="1" applyBorder="1" applyAlignment="1" applyProtection="1">
      <alignment horizontal="center" vertical="center" wrapText="1"/>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0" fontId="7" fillId="7" borderId="5" xfId="0" applyFont="1" applyFill="1" applyBorder="1" applyAlignment="1">
      <alignment horizontal="left" vertical="center" wrapText="1"/>
    </xf>
    <xf numFmtId="0" fontId="25" fillId="6" borderId="3" xfId="1" applyNumberFormat="1" applyFont="1" applyFill="1" applyBorder="1" applyAlignment="1" applyProtection="1">
      <alignment horizontal="left" vertical="center" wrapText="1"/>
    </xf>
    <xf numFmtId="0" fontId="25" fillId="6" borderId="4" xfId="1" applyNumberFormat="1" applyFont="1" applyFill="1" applyBorder="1" applyAlignment="1" applyProtection="1">
      <alignment horizontal="left" vertical="center" wrapText="1"/>
    </xf>
    <xf numFmtId="0" fontId="25" fillId="6" borderId="5" xfId="1" applyNumberFormat="1" applyFont="1" applyFill="1" applyBorder="1" applyAlignment="1" applyProtection="1">
      <alignment horizontal="left" vertical="center" wrapText="1"/>
    </xf>
    <xf numFmtId="0" fontId="6" fillId="0" borderId="0" xfId="0" quotePrefix="1" applyFont="1" applyAlignment="1">
      <alignment horizontal="left" vertical="top" wrapText="1"/>
    </xf>
    <xf numFmtId="0" fontId="6" fillId="0" borderId="0" xfId="0" quotePrefix="1" applyFont="1" applyAlignment="1">
      <alignment horizontal="left"/>
    </xf>
  </cellXfs>
  <cellStyles count="20">
    <cellStyle name="40% - Accent1" xfId="9" builtinId="31"/>
    <cellStyle name="40% - Accent1 2" xfId="16" xr:uid="{00000000-0005-0000-0000-000001000000}"/>
    <cellStyle name="40% - Accent4" xfId="12" builtinId="43"/>
    <cellStyle name="40% - Accent4 2" xfId="17" xr:uid="{00000000-0005-0000-0000-000003000000}"/>
    <cellStyle name="60% - Accent2" xfId="10" builtinId="36"/>
    <cellStyle name="Accent1" xfId="8" builtinId="29"/>
    <cellStyle name="Accent4" xfId="11" builtinId="41"/>
    <cellStyle name="Accent6" xfId="13" builtinId="49"/>
    <cellStyle name="Comma" xfId="19" builtinId="3"/>
    <cellStyle name="Comma 2" xfId="7" xr:uid="{00000000-0005-0000-0000-000009000000}"/>
    <cellStyle name="Heading 2" xfId="4" builtinId="17"/>
    <cellStyle name="Heading 3" xfId="5" builtinId="18"/>
    <cellStyle name="Heading 4" xfId="1" builtinId="19"/>
    <cellStyle name="Hyperlink" xfId="3" builtinId="8"/>
    <cellStyle name="Input" xfId="2" builtinId="20"/>
    <cellStyle name="Neutral" xfId="15" builtinId="28"/>
    <cellStyle name="Normal" xfId="0" builtinId="0"/>
    <cellStyle name="Normal 2" xfId="6" xr:uid="{00000000-0005-0000-0000-000011000000}"/>
    <cellStyle name="Normal 3" xfId="14" xr:uid="{00000000-0005-0000-0000-000012000000}"/>
    <cellStyle name="Text_CEPATNEI" xfId="18" xr:uid="{00000000-0005-0000-0000-000013000000}"/>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6"/>
  <sheetViews>
    <sheetView showGridLines="0" zoomScaleNormal="100" zoomScaleSheetLayoutView="100" workbookViewId="0"/>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3"/>
      <c r="B1" s="23"/>
      <c r="C1" s="23"/>
      <c r="D1" s="23"/>
      <c r="E1" s="23"/>
    </row>
    <row r="2" spans="1:8" ht="16.5" x14ac:dyDescent="0.2">
      <c r="A2" s="126" t="s">
        <v>122</v>
      </c>
      <c r="B2" s="57"/>
      <c r="C2" s="57"/>
      <c r="D2" s="57"/>
      <c r="E2" s="57"/>
    </row>
    <row r="3" spans="1:8" ht="15" x14ac:dyDescent="0.2">
      <c r="A3" s="57"/>
      <c r="B3" s="123" t="s">
        <v>123</v>
      </c>
      <c r="C3" s="122" t="s">
        <v>124</v>
      </c>
      <c r="D3" s="122" t="s">
        <v>21</v>
      </c>
      <c r="E3" s="122" t="s">
        <v>20</v>
      </c>
    </row>
    <row r="4" spans="1:8" ht="15" x14ac:dyDescent="0.2">
      <c r="A4" s="58" t="s">
        <v>122</v>
      </c>
      <c r="B4" s="27" t="s">
        <v>659</v>
      </c>
      <c r="C4" s="27" t="s">
        <v>660</v>
      </c>
      <c r="D4" s="27" t="s">
        <v>661</v>
      </c>
      <c r="E4" s="27" t="s">
        <v>121</v>
      </c>
    </row>
    <row r="5" spans="1:8" x14ac:dyDescent="0.2">
      <c r="A5" s="57"/>
      <c r="B5" s="57"/>
      <c r="C5" s="57"/>
      <c r="D5" s="57"/>
      <c r="E5" s="57"/>
    </row>
    <row r="6" spans="1:8" ht="16.5" x14ac:dyDescent="0.2">
      <c r="A6" s="60" t="s">
        <v>15</v>
      </c>
      <c r="B6" s="57"/>
      <c r="C6" s="57"/>
      <c r="D6" s="57"/>
      <c r="E6" s="57"/>
    </row>
    <row r="7" spans="1:8" ht="15" x14ac:dyDescent="0.2">
      <c r="A7" s="61" t="s">
        <v>16</v>
      </c>
      <c r="B7" s="247" t="s">
        <v>17</v>
      </c>
      <c r="C7" s="247"/>
      <c r="D7" s="247"/>
      <c r="E7" s="247"/>
    </row>
    <row r="8" spans="1:8" ht="30" customHeight="1" x14ac:dyDescent="0.2">
      <c r="A8" s="65" t="s">
        <v>172</v>
      </c>
      <c r="B8" s="245" t="s">
        <v>161</v>
      </c>
      <c r="C8" s="245"/>
      <c r="D8" s="245"/>
      <c r="E8" s="245"/>
    </row>
    <row r="9" spans="1:8" ht="30" customHeight="1" x14ac:dyDescent="0.2">
      <c r="A9" s="65" t="s">
        <v>38</v>
      </c>
      <c r="B9" s="245"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South Eastern Power Networks Licence area.</v>
      </c>
      <c r="C9" s="245"/>
      <c r="D9" s="245"/>
      <c r="E9" s="245"/>
    </row>
    <row r="10" spans="1:8" ht="30" customHeight="1" x14ac:dyDescent="0.2">
      <c r="A10" s="65" t="s">
        <v>39</v>
      </c>
      <c r="B10" s="245" t="s">
        <v>19</v>
      </c>
      <c r="C10" s="245"/>
      <c r="D10" s="245"/>
      <c r="E10" s="245"/>
    </row>
    <row r="11" spans="1:8" ht="61.5" customHeight="1" x14ac:dyDescent="0.2">
      <c r="A11" s="65" t="s">
        <v>40</v>
      </c>
      <c r="B11" s="245"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South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45"/>
      <c r="D11" s="245"/>
      <c r="E11" s="245"/>
      <c r="F11" s="242"/>
      <c r="G11" s="242"/>
      <c r="H11" s="242"/>
    </row>
    <row r="12" spans="1:8" ht="75" customHeight="1" x14ac:dyDescent="0.2">
      <c r="A12" s="65" t="s">
        <v>28</v>
      </c>
      <c r="B12" s="245" t="s">
        <v>135</v>
      </c>
      <c r="C12" s="245"/>
      <c r="D12" s="245"/>
      <c r="E12" s="245"/>
    </row>
    <row r="13" spans="1:8" ht="45" customHeight="1" x14ac:dyDescent="0.2">
      <c r="A13" s="65" t="s">
        <v>136</v>
      </c>
      <c r="B13" s="245"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South Eastern Power Networks Licence area.</v>
      </c>
      <c r="C13" s="245"/>
      <c r="D13" s="245"/>
      <c r="E13" s="245"/>
    </row>
    <row r="14" spans="1:8" ht="33.75" customHeight="1" x14ac:dyDescent="0.2">
      <c r="A14" s="164" t="s">
        <v>472</v>
      </c>
      <c r="B14" s="245" t="s">
        <v>473</v>
      </c>
      <c r="C14" s="245"/>
      <c r="D14" s="245"/>
      <c r="E14" s="245"/>
    </row>
    <row r="15" spans="1:8" ht="29.25" customHeight="1" x14ac:dyDescent="0.2">
      <c r="A15" s="65" t="s">
        <v>31</v>
      </c>
      <c r="B15" s="245" t="s">
        <v>1386</v>
      </c>
      <c r="C15" s="245"/>
      <c r="D15" s="245"/>
      <c r="E15" s="245"/>
    </row>
    <row r="16" spans="1:8" ht="29.25" customHeight="1" x14ac:dyDescent="0.2">
      <c r="A16" s="65" t="s">
        <v>640</v>
      </c>
      <c r="B16" s="245" t="s">
        <v>642</v>
      </c>
      <c r="C16" s="245"/>
      <c r="D16" s="245"/>
      <c r="E16" s="245"/>
    </row>
    <row r="17" spans="1:5" ht="30" customHeight="1" x14ac:dyDescent="0.2">
      <c r="A17" s="65" t="s">
        <v>82</v>
      </c>
      <c r="B17" s="245" t="s">
        <v>81</v>
      </c>
      <c r="C17" s="245"/>
      <c r="D17" s="245"/>
      <c r="E17" s="245"/>
    </row>
    <row r="18" spans="1:5" x14ac:dyDescent="0.2">
      <c r="A18" s="57"/>
      <c r="B18" s="57"/>
      <c r="C18" s="57"/>
      <c r="D18" s="57"/>
      <c r="E18" s="57"/>
    </row>
    <row r="19" spans="1:5" ht="15" x14ac:dyDescent="0.2">
      <c r="A19" s="62" t="s">
        <v>26</v>
      </c>
      <c r="B19" s="57"/>
      <c r="C19" s="57"/>
      <c r="D19" s="57"/>
      <c r="E19" s="57"/>
    </row>
    <row r="20" spans="1:5" ht="15" x14ac:dyDescent="0.2">
      <c r="A20" s="61"/>
      <c r="B20" s="246"/>
      <c r="C20" s="246"/>
      <c r="D20" s="246"/>
      <c r="E20" s="246"/>
    </row>
    <row r="21" spans="1:5" ht="32.25" customHeight="1" x14ac:dyDescent="0.2">
      <c r="A21" s="243" t="s">
        <v>66</v>
      </c>
      <c r="B21" s="244"/>
      <c r="C21" s="244"/>
      <c r="D21" s="244"/>
      <c r="E21" s="244"/>
    </row>
    <row r="22" spans="1:5" x14ac:dyDescent="0.2">
      <c r="A22" s="57"/>
      <c r="B22" s="57"/>
      <c r="C22" s="57"/>
      <c r="D22" s="57"/>
      <c r="E22" s="57"/>
    </row>
    <row r="23" spans="1:5" ht="15" x14ac:dyDescent="0.2">
      <c r="A23" s="63" t="s">
        <v>27</v>
      </c>
      <c r="B23" s="57"/>
      <c r="C23" s="57"/>
      <c r="D23" s="57"/>
      <c r="E23" s="57"/>
    </row>
    <row r="24" spans="1:5" ht="15" x14ac:dyDescent="0.2">
      <c r="A24" s="59"/>
      <c r="B24" s="246"/>
      <c r="C24" s="246"/>
      <c r="D24" s="246"/>
      <c r="E24" s="246"/>
    </row>
    <row r="25" spans="1:5" ht="28.5" customHeight="1" x14ac:dyDescent="0.2">
      <c r="A25" s="243" t="s">
        <v>41</v>
      </c>
      <c r="B25" s="244"/>
      <c r="C25" s="244"/>
      <c r="D25" s="244"/>
      <c r="E25" s="244"/>
    </row>
    <row r="26" spans="1:5" ht="28.5" customHeight="1" x14ac:dyDescent="0.2">
      <c r="A26" s="241" t="s">
        <v>120</v>
      </c>
      <c r="B26" s="241"/>
      <c r="C26" s="241"/>
      <c r="D26" s="241"/>
      <c r="E26" s="241"/>
    </row>
  </sheetData>
  <customSheetViews>
    <customSheetView guid="{5032A364-B81A-48DA-88DA-AB3B86B47EE9}">
      <selection activeCell="A12" sqref="A12"/>
      <pageMargins left="0.7" right="0.7" top="0.75" bottom="0.75" header="0.3" footer="0.3"/>
    </customSheetView>
  </customSheetViews>
  <mergeCells count="17">
    <mergeCell ref="B8:E8"/>
    <mergeCell ref="B9:E9"/>
    <mergeCell ref="B10:E10"/>
    <mergeCell ref="B11:E11"/>
    <mergeCell ref="B7:E7"/>
    <mergeCell ref="A26:E26"/>
    <mergeCell ref="F11:H11"/>
    <mergeCell ref="A21:E21"/>
    <mergeCell ref="A25:E25"/>
    <mergeCell ref="B12:E12"/>
    <mergeCell ref="B15:E15"/>
    <mergeCell ref="B13:E13"/>
    <mergeCell ref="B17:E17"/>
    <mergeCell ref="B20:E20"/>
    <mergeCell ref="B24:E24"/>
    <mergeCell ref="B14:E14"/>
    <mergeCell ref="B16:E16"/>
  </mergeCells>
  <hyperlinks>
    <hyperlink ref="A8" location="'Annex 1 LV, HV and UMS charges'!A1" display="Annex 1 LV, HV and Unmetered Supplies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7"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6" location="'Residual Charging Bands'!A1" display="Residual Charging Bandings" xr:uid="{00000000-0004-0000-0000-000009000000}"/>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N44"/>
  <sheetViews>
    <sheetView topLeftCell="A3" zoomScale="70" zoomScaleNormal="70" zoomScaleSheetLayoutView="100" workbookViewId="0">
      <selection activeCell="A3" sqref="A3"/>
    </sheetView>
  </sheetViews>
  <sheetFormatPr defaultRowHeight="27.75" customHeight="1" x14ac:dyDescent="0.2"/>
  <cols>
    <col min="1" max="1" width="49" style="2" bestFit="1" customWidth="1"/>
    <col min="2" max="2" width="17.5703125" style="3" customWidth="1"/>
    <col min="3" max="3" width="8.7109375" style="2" customWidth="1"/>
    <col min="4" max="4" width="17.5703125" style="2" customWidth="1"/>
    <col min="5" max="7" width="17.5703125" style="3" customWidth="1"/>
    <col min="8" max="9" width="17.5703125" style="9" customWidth="1"/>
    <col min="10" max="10" width="17.5703125" style="5" customWidth="1"/>
    <col min="11" max="11" width="17.5703125" style="6" customWidth="1"/>
    <col min="12" max="12" width="1.42578125" style="4" customWidth="1"/>
    <col min="13" max="13" width="15.5703125" style="4" customWidth="1"/>
    <col min="14" max="18" width="15.5703125" style="2" customWidth="1"/>
    <col min="19" max="16384" width="9.140625" style="2"/>
  </cols>
  <sheetData>
    <row r="1" spans="1:14" ht="27.75" customHeight="1" x14ac:dyDescent="0.2">
      <c r="A1" s="184" t="s">
        <v>18</v>
      </c>
      <c r="B1" s="252"/>
      <c r="C1" s="252"/>
      <c r="D1" s="252"/>
      <c r="E1" s="251"/>
      <c r="F1" s="251"/>
      <c r="G1" s="251"/>
      <c r="H1" s="251"/>
      <c r="I1" s="251"/>
      <c r="J1" s="251"/>
      <c r="K1" s="251"/>
      <c r="L1" s="185"/>
      <c r="M1" s="185"/>
      <c r="N1" s="185"/>
    </row>
    <row r="2" spans="1:14" ht="27" customHeight="1" x14ac:dyDescent="0.2">
      <c r="A2" s="256" t="str">
        <f>Overview!B4&amp; " - Effective from "&amp;Overview!D4&amp;" - "&amp;Overview!E4&amp;" LV and HV charges"</f>
        <v>South Eastern Power Networks - Effective from 1 April 2022 - Final LV and HV charges</v>
      </c>
      <c r="B2" s="256"/>
      <c r="C2" s="256"/>
      <c r="D2" s="256"/>
      <c r="E2" s="256"/>
      <c r="F2" s="256"/>
      <c r="G2" s="256"/>
      <c r="H2" s="256"/>
      <c r="I2" s="256"/>
      <c r="J2" s="256"/>
      <c r="K2" s="256"/>
    </row>
    <row r="3" spans="1:14" s="67" customFormat="1" ht="15" customHeight="1" x14ac:dyDescent="0.2">
      <c r="A3" s="73"/>
      <c r="B3" s="73"/>
      <c r="C3" s="73"/>
      <c r="D3" s="73"/>
      <c r="E3" s="73"/>
      <c r="F3" s="73"/>
      <c r="G3" s="73"/>
      <c r="H3" s="73"/>
      <c r="I3" s="73"/>
      <c r="J3" s="73"/>
      <c r="K3" s="73"/>
      <c r="L3" s="39"/>
      <c r="M3" s="39"/>
    </row>
    <row r="4" spans="1:14" ht="27" customHeight="1" x14ac:dyDescent="0.2">
      <c r="A4" s="256" t="s">
        <v>155</v>
      </c>
      <c r="B4" s="256"/>
      <c r="C4" s="256"/>
      <c r="D4" s="256"/>
      <c r="E4" s="256"/>
      <c r="F4" s="73"/>
      <c r="G4" s="256" t="s">
        <v>156</v>
      </c>
      <c r="H4" s="256"/>
      <c r="I4" s="256"/>
      <c r="J4" s="256"/>
      <c r="K4" s="256"/>
    </row>
    <row r="5" spans="1:14" ht="28.5" customHeight="1" x14ac:dyDescent="0.2">
      <c r="A5" s="66" t="s">
        <v>11</v>
      </c>
      <c r="B5" s="69" t="s">
        <v>57</v>
      </c>
      <c r="C5" s="257" t="s">
        <v>58</v>
      </c>
      <c r="D5" s="258"/>
      <c r="E5" s="68" t="s">
        <v>59</v>
      </c>
      <c r="F5" s="73"/>
      <c r="G5" s="260"/>
      <c r="H5" s="261"/>
      <c r="I5" s="70" t="s">
        <v>63</v>
      </c>
      <c r="J5" s="71" t="s">
        <v>64</v>
      </c>
      <c r="K5" s="68" t="s">
        <v>59</v>
      </c>
      <c r="L5" s="73"/>
    </row>
    <row r="6" spans="1:14" ht="65.25" customHeight="1" x14ac:dyDescent="0.2">
      <c r="A6" s="178" t="s">
        <v>60</v>
      </c>
      <c r="B6" s="21" t="s">
        <v>662</v>
      </c>
      <c r="C6" s="259" t="s">
        <v>663</v>
      </c>
      <c r="D6" s="259"/>
      <c r="E6" s="177" t="s">
        <v>664</v>
      </c>
      <c r="F6" s="73"/>
      <c r="G6" s="248" t="s">
        <v>61</v>
      </c>
      <c r="H6" s="248"/>
      <c r="I6" s="21" t="s">
        <v>662</v>
      </c>
      <c r="J6" s="72" t="s">
        <v>663</v>
      </c>
      <c r="K6" s="177" t="s">
        <v>664</v>
      </c>
      <c r="L6" s="73"/>
    </row>
    <row r="7" spans="1:14" ht="65.25" customHeight="1" x14ac:dyDescent="0.2">
      <c r="A7" s="178" t="s">
        <v>14</v>
      </c>
      <c r="B7" s="176"/>
      <c r="C7" s="262"/>
      <c r="D7" s="262"/>
      <c r="E7" s="72" t="s">
        <v>665</v>
      </c>
      <c r="F7" s="73"/>
      <c r="G7" s="248" t="s">
        <v>666</v>
      </c>
      <c r="H7" s="248"/>
      <c r="I7" s="176"/>
      <c r="J7" s="72" t="s">
        <v>667</v>
      </c>
      <c r="K7" s="177" t="s">
        <v>664</v>
      </c>
      <c r="L7" s="73"/>
    </row>
    <row r="8" spans="1:14" ht="65.25" customHeight="1" x14ac:dyDescent="0.2">
      <c r="A8" s="175" t="s">
        <v>12</v>
      </c>
      <c r="B8" s="253" t="s">
        <v>13</v>
      </c>
      <c r="C8" s="254"/>
      <c r="D8" s="254"/>
      <c r="E8" s="255"/>
      <c r="F8" s="73"/>
      <c r="G8" s="249" t="s">
        <v>14</v>
      </c>
      <c r="H8" s="250"/>
      <c r="I8" s="176"/>
      <c r="J8" s="176"/>
      <c r="K8" s="72" t="s">
        <v>665</v>
      </c>
      <c r="L8" s="73"/>
    </row>
    <row r="9" spans="1:14" s="67" customFormat="1" ht="27" customHeight="1" x14ac:dyDescent="0.2">
      <c r="A9" s="73"/>
      <c r="B9" s="73"/>
      <c r="C9" s="73"/>
      <c r="D9" s="73"/>
      <c r="E9" s="73"/>
      <c r="F9" s="73"/>
      <c r="G9" s="248" t="s">
        <v>12</v>
      </c>
      <c r="H9" s="248"/>
      <c r="I9" s="253" t="s">
        <v>13</v>
      </c>
      <c r="J9" s="254"/>
      <c r="K9" s="255"/>
      <c r="L9" s="39"/>
      <c r="M9" s="39"/>
    </row>
    <row r="10" spans="1:14" s="67" customFormat="1" ht="12.75" customHeight="1" x14ac:dyDescent="0.2">
      <c r="A10" s="73"/>
      <c r="B10" s="73"/>
      <c r="C10" s="73"/>
      <c r="D10" s="73"/>
      <c r="E10" s="73"/>
      <c r="F10" s="73"/>
      <c r="G10" s="73"/>
      <c r="H10" s="73"/>
      <c r="I10" s="73"/>
      <c r="J10" s="73"/>
      <c r="K10" s="73"/>
      <c r="L10" s="39"/>
      <c r="M10" s="39"/>
    </row>
    <row r="11" spans="1:14" ht="78.75" customHeight="1" x14ac:dyDescent="0.2">
      <c r="A11" s="26" t="s">
        <v>125</v>
      </c>
      <c r="B11" s="14" t="s">
        <v>22</v>
      </c>
      <c r="C11" s="14" t="s">
        <v>23</v>
      </c>
      <c r="D11" s="44" t="s">
        <v>158</v>
      </c>
      <c r="E11" s="44" t="s">
        <v>160</v>
      </c>
      <c r="F11" s="44" t="s">
        <v>159</v>
      </c>
      <c r="G11" s="14" t="s">
        <v>24</v>
      </c>
      <c r="H11" s="14" t="s">
        <v>25</v>
      </c>
      <c r="I11" s="26" t="s">
        <v>126</v>
      </c>
      <c r="J11" s="14" t="s">
        <v>32</v>
      </c>
      <c r="K11" s="14" t="s">
        <v>0</v>
      </c>
    </row>
    <row r="12" spans="1:14" ht="32.25" customHeight="1" x14ac:dyDescent="0.2">
      <c r="A12" s="16" t="s">
        <v>474</v>
      </c>
      <c r="B12" s="30" t="s">
        <v>1761</v>
      </c>
      <c r="C12" s="171" t="s">
        <v>647</v>
      </c>
      <c r="D12" s="128">
        <v>16.433</v>
      </c>
      <c r="E12" s="129">
        <v>0.71899999999999997</v>
      </c>
      <c r="F12" s="130">
        <v>0.11</v>
      </c>
      <c r="G12" s="35">
        <v>19.71</v>
      </c>
      <c r="H12" s="36"/>
      <c r="I12" s="36"/>
      <c r="J12" s="32"/>
      <c r="K12" s="33" t="s">
        <v>1760</v>
      </c>
    </row>
    <row r="13" spans="1:14" ht="32.25" customHeight="1" x14ac:dyDescent="0.2">
      <c r="A13" s="16" t="s">
        <v>475</v>
      </c>
      <c r="B13" s="30" t="s">
        <v>415</v>
      </c>
      <c r="C13" s="165" t="s">
        <v>415</v>
      </c>
      <c r="D13" s="128">
        <v>16.433</v>
      </c>
      <c r="E13" s="129">
        <v>0.71899999999999997</v>
      </c>
      <c r="F13" s="130">
        <v>0.11</v>
      </c>
      <c r="G13" s="36"/>
      <c r="H13" s="36"/>
      <c r="I13" s="36"/>
      <c r="J13" s="32"/>
      <c r="K13" s="33" t="s">
        <v>1762</v>
      </c>
    </row>
    <row r="14" spans="1:14" ht="32.25" customHeight="1" x14ac:dyDescent="0.2">
      <c r="A14" s="16" t="s">
        <v>476</v>
      </c>
      <c r="B14" s="34">
        <v>199</v>
      </c>
      <c r="C14" s="155" t="s">
        <v>646</v>
      </c>
      <c r="D14" s="128">
        <v>12.347</v>
      </c>
      <c r="E14" s="129">
        <v>0.54</v>
      </c>
      <c r="F14" s="130">
        <v>8.3000000000000004E-2</v>
      </c>
      <c r="G14" s="35">
        <v>4.0599999999999996</v>
      </c>
      <c r="H14" s="36"/>
      <c r="I14" s="36"/>
      <c r="J14" s="32"/>
      <c r="K14" s="33"/>
    </row>
    <row r="15" spans="1:14" ht="45" x14ac:dyDescent="0.2">
      <c r="A15" s="16" t="s">
        <v>477</v>
      </c>
      <c r="B15" s="191">
        <v>201</v>
      </c>
      <c r="C15" s="155" t="s">
        <v>646</v>
      </c>
      <c r="D15" s="128">
        <v>12.347</v>
      </c>
      <c r="E15" s="129">
        <v>0.54</v>
      </c>
      <c r="F15" s="130">
        <v>8.3000000000000004E-2</v>
      </c>
      <c r="G15" s="35">
        <v>6.58</v>
      </c>
      <c r="H15" s="36"/>
      <c r="I15" s="36"/>
      <c r="J15" s="32"/>
      <c r="K15" s="33" t="s">
        <v>1763</v>
      </c>
    </row>
    <row r="16" spans="1:14" ht="32.25" customHeight="1" x14ac:dyDescent="0.2">
      <c r="A16" s="16" t="s">
        <v>478</v>
      </c>
      <c r="B16" s="34">
        <v>202</v>
      </c>
      <c r="C16" s="155" t="s">
        <v>646</v>
      </c>
      <c r="D16" s="128">
        <v>12.347</v>
      </c>
      <c r="E16" s="129">
        <v>0.54</v>
      </c>
      <c r="F16" s="130">
        <v>8.3000000000000004E-2</v>
      </c>
      <c r="G16" s="35">
        <v>19.329999999999998</v>
      </c>
      <c r="H16" s="36"/>
      <c r="I16" s="36"/>
      <c r="J16" s="32"/>
      <c r="K16" s="33"/>
    </row>
    <row r="17" spans="1:11" ht="32.25" customHeight="1" x14ac:dyDescent="0.2">
      <c r="A17" s="16" t="s">
        <v>479</v>
      </c>
      <c r="B17" s="34">
        <v>203</v>
      </c>
      <c r="C17" s="155" t="s">
        <v>646</v>
      </c>
      <c r="D17" s="128">
        <v>12.347</v>
      </c>
      <c r="E17" s="129">
        <v>0.54</v>
      </c>
      <c r="F17" s="130">
        <v>8.3000000000000004E-2</v>
      </c>
      <c r="G17" s="35">
        <v>41.87</v>
      </c>
      <c r="H17" s="36"/>
      <c r="I17" s="36"/>
      <c r="J17" s="32"/>
      <c r="K17" s="33"/>
    </row>
    <row r="18" spans="1:11" ht="32.25" customHeight="1" x14ac:dyDescent="0.2">
      <c r="A18" s="16" t="s">
        <v>480</v>
      </c>
      <c r="B18" s="34">
        <v>204</v>
      </c>
      <c r="C18" s="155" t="s">
        <v>646</v>
      </c>
      <c r="D18" s="128">
        <v>12.347</v>
      </c>
      <c r="E18" s="129">
        <v>0.54</v>
      </c>
      <c r="F18" s="130">
        <v>8.3000000000000004E-2</v>
      </c>
      <c r="G18" s="35">
        <v>114.66</v>
      </c>
      <c r="H18" s="36"/>
      <c r="I18" s="36"/>
      <c r="J18" s="32"/>
      <c r="K18" s="33"/>
    </row>
    <row r="19" spans="1:11" ht="32.25" customHeight="1" x14ac:dyDescent="0.2">
      <c r="A19" s="16" t="s">
        <v>141</v>
      </c>
      <c r="B19" s="30" t="s">
        <v>1765</v>
      </c>
      <c r="C19" s="165" t="s">
        <v>416</v>
      </c>
      <c r="D19" s="128">
        <v>12.347</v>
      </c>
      <c r="E19" s="129">
        <v>0.54</v>
      </c>
      <c r="F19" s="130">
        <v>8.3000000000000004E-2</v>
      </c>
      <c r="G19" s="36"/>
      <c r="H19" s="36"/>
      <c r="I19" s="36"/>
      <c r="J19" s="32"/>
      <c r="K19" s="33" t="s">
        <v>1764</v>
      </c>
    </row>
    <row r="20" spans="1:11" ht="32.25" customHeight="1" x14ac:dyDescent="0.2">
      <c r="A20" s="16" t="s">
        <v>481</v>
      </c>
      <c r="B20" s="33">
        <v>70</v>
      </c>
      <c r="C20" s="167">
        <v>0</v>
      </c>
      <c r="D20" s="128">
        <v>8.8010000000000002</v>
      </c>
      <c r="E20" s="129">
        <v>0.379</v>
      </c>
      <c r="F20" s="130">
        <v>5.6000000000000001E-2</v>
      </c>
      <c r="G20" s="35">
        <v>11.31</v>
      </c>
      <c r="H20" s="35">
        <v>3.78</v>
      </c>
      <c r="I20" s="127">
        <v>7.25</v>
      </c>
      <c r="J20" s="31">
        <v>0.29099999999999998</v>
      </c>
      <c r="K20" s="33">
        <v>19</v>
      </c>
    </row>
    <row r="21" spans="1:11" ht="32.25" customHeight="1" x14ac:dyDescent="0.2">
      <c r="A21" s="16" t="s">
        <v>482</v>
      </c>
      <c r="B21" s="33">
        <v>71</v>
      </c>
      <c r="C21" s="167">
        <v>0</v>
      </c>
      <c r="D21" s="128">
        <v>8.8010000000000002</v>
      </c>
      <c r="E21" s="129">
        <v>0.379</v>
      </c>
      <c r="F21" s="130">
        <v>5.6000000000000001E-2</v>
      </c>
      <c r="G21" s="35">
        <v>221.91</v>
      </c>
      <c r="H21" s="35">
        <v>3.78</v>
      </c>
      <c r="I21" s="127">
        <v>7.25</v>
      </c>
      <c r="J21" s="31">
        <v>0.29099999999999998</v>
      </c>
      <c r="K21" s="33">
        <v>550</v>
      </c>
    </row>
    <row r="22" spans="1:11" ht="32.25" customHeight="1" x14ac:dyDescent="0.2">
      <c r="A22" s="16" t="s">
        <v>483</v>
      </c>
      <c r="B22" s="33">
        <v>72</v>
      </c>
      <c r="C22" s="167">
        <v>0</v>
      </c>
      <c r="D22" s="128">
        <v>8.8010000000000002</v>
      </c>
      <c r="E22" s="129">
        <v>0.379</v>
      </c>
      <c r="F22" s="130">
        <v>5.6000000000000001E-2</v>
      </c>
      <c r="G22" s="35">
        <v>366.16</v>
      </c>
      <c r="H22" s="35">
        <v>3.78</v>
      </c>
      <c r="I22" s="127">
        <v>7.25</v>
      </c>
      <c r="J22" s="31">
        <v>0.29099999999999998</v>
      </c>
      <c r="K22" s="33"/>
    </row>
    <row r="23" spans="1:11" ht="32.25" customHeight="1" x14ac:dyDescent="0.2">
      <c r="A23" s="16" t="s">
        <v>484</v>
      </c>
      <c r="B23" s="33">
        <v>73</v>
      </c>
      <c r="C23" s="167">
        <v>0</v>
      </c>
      <c r="D23" s="128">
        <v>8.8010000000000002</v>
      </c>
      <c r="E23" s="129">
        <v>0.379</v>
      </c>
      <c r="F23" s="130">
        <v>5.6000000000000001E-2</v>
      </c>
      <c r="G23" s="35">
        <v>590.79</v>
      </c>
      <c r="H23" s="35">
        <v>3.78</v>
      </c>
      <c r="I23" s="127">
        <v>7.25</v>
      </c>
      <c r="J23" s="31">
        <v>0.29099999999999998</v>
      </c>
      <c r="K23" s="33"/>
    </row>
    <row r="24" spans="1:11" ht="32.25" customHeight="1" x14ac:dyDescent="0.2">
      <c r="A24" s="16" t="s">
        <v>485</v>
      </c>
      <c r="B24" s="33">
        <v>74</v>
      </c>
      <c r="C24" s="167">
        <v>0</v>
      </c>
      <c r="D24" s="128">
        <v>8.8010000000000002</v>
      </c>
      <c r="E24" s="129">
        <v>0.379</v>
      </c>
      <c r="F24" s="130">
        <v>5.6000000000000001E-2</v>
      </c>
      <c r="G24" s="35">
        <v>1300.99</v>
      </c>
      <c r="H24" s="35">
        <v>3.78</v>
      </c>
      <c r="I24" s="127">
        <v>7.25</v>
      </c>
      <c r="J24" s="31">
        <v>0.29099999999999998</v>
      </c>
      <c r="K24" s="33"/>
    </row>
    <row r="25" spans="1:11" ht="32.25" customHeight="1" x14ac:dyDescent="0.2">
      <c r="A25" s="16" t="s">
        <v>486</v>
      </c>
      <c r="B25" s="33">
        <v>80</v>
      </c>
      <c r="C25" s="167">
        <v>0</v>
      </c>
      <c r="D25" s="128">
        <v>5.6989999999999998</v>
      </c>
      <c r="E25" s="129">
        <v>0.23699999999999999</v>
      </c>
      <c r="F25" s="130">
        <v>3.3000000000000002E-2</v>
      </c>
      <c r="G25" s="35">
        <v>8.35</v>
      </c>
      <c r="H25" s="35">
        <v>5.9</v>
      </c>
      <c r="I25" s="127">
        <v>7.69</v>
      </c>
      <c r="J25" s="31">
        <v>0.18099999999999999</v>
      </c>
      <c r="K25" s="33">
        <v>79</v>
      </c>
    </row>
    <row r="26" spans="1:11" ht="32.25" customHeight="1" x14ac:dyDescent="0.2">
      <c r="A26" s="16" t="s">
        <v>487</v>
      </c>
      <c r="B26" s="33">
        <v>81</v>
      </c>
      <c r="C26" s="167">
        <v>0</v>
      </c>
      <c r="D26" s="128">
        <v>5.6989999999999998</v>
      </c>
      <c r="E26" s="129">
        <v>0.23699999999999999</v>
      </c>
      <c r="F26" s="130">
        <v>3.3000000000000002E-2</v>
      </c>
      <c r="G26" s="35">
        <v>218.95</v>
      </c>
      <c r="H26" s="35">
        <v>5.9</v>
      </c>
      <c r="I26" s="127">
        <v>7.69</v>
      </c>
      <c r="J26" s="31">
        <v>0.18099999999999999</v>
      </c>
      <c r="K26" s="33">
        <v>756</v>
      </c>
    </row>
    <row r="27" spans="1:11" ht="32.25" customHeight="1" x14ac:dyDescent="0.2">
      <c r="A27" s="16" t="s">
        <v>488</v>
      </c>
      <c r="B27" s="33">
        <v>82</v>
      </c>
      <c r="C27" s="167">
        <v>0</v>
      </c>
      <c r="D27" s="128">
        <v>5.6989999999999998</v>
      </c>
      <c r="E27" s="129">
        <v>0.23699999999999999</v>
      </c>
      <c r="F27" s="130">
        <v>3.3000000000000002E-2</v>
      </c>
      <c r="G27" s="35">
        <v>363.21</v>
      </c>
      <c r="H27" s="35">
        <v>5.9</v>
      </c>
      <c r="I27" s="127">
        <v>7.69</v>
      </c>
      <c r="J27" s="31">
        <v>0.18099999999999999</v>
      </c>
      <c r="K27" s="33"/>
    </row>
    <row r="28" spans="1:11" ht="32.25" customHeight="1" x14ac:dyDescent="0.2">
      <c r="A28" s="16" t="s">
        <v>489</v>
      </c>
      <c r="B28" s="33">
        <v>83</v>
      </c>
      <c r="C28" s="167">
        <v>0</v>
      </c>
      <c r="D28" s="128">
        <v>5.6989999999999998</v>
      </c>
      <c r="E28" s="129">
        <v>0.23699999999999999</v>
      </c>
      <c r="F28" s="130">
        <v>3.3000000000000002E-2</v>
      </c>
      <c r="G28" s="35">
        <v>587.84</v>
      </c>
      <c r="H28" s="35">
        <v>5.9</v>
      </c>
      <c r="I28" s="127">
        <v>7.69</v>
      </c>
      <c r="J28" s="31">
        <v>0.18099999999999999</v>
      </c>
      <c r="K28" s="33"/>
    </row>
    <row r="29" spans="1:11" ht="32.25" customHeight="1" x14ac:dyDescent="0.2">
      <c r="A29" s="16" t="s">
        <v>490</v>
      </c>
      <c r="B29" s="33">
        <v>84</v>
      </c>
      <c r="C29" s="167">
        <v>0</v>
      </c>
      <c r="D29" s="128">
        <v>5.6989999999999998</v>
      </c>
      <c r="E29" s="129">
        <v>0.23699999999999999</v>
      </c>
      <c r="F29" s="130">
        <v>3.3000000000000002E-2</v>
      </c>
      <c r="G29" s="35">
        <v>1298.04</v>
      </c>
      <c r="H29" s="35">
        <v>5.9</v>
      </c>
      <c r="I29" s="127">
        <v>7.69</v>
      </c>
      <c r="J29" s="31">
        <v>0.18099999999999999</v>
      </c>
      <c r="K29" s="33"/>
    </row>
    <row r="30" spans="1:11" ht="32.25" customHeight="1" x14ac:dyDescent="0.2">
      <c r="A30" s="16" t="s">
        <v>491</v>
      </c>
      <c r="B30" s="33">
        <v>90</v>
      </c>
      <c r="C30" s="167">
        <v>0</v>
      </c>
      <c r="D30" s="128">
        <v>4.9219999999999997</v>
      </c>
      <c r="E30" s="129">
        <v>0.20200000000000001</v>
      </c>
      <c r="F30" s="130">
        <v>2.5999999999999999E-2</v>
      </c>
      <c r="G30" s="35">
        <v>112.2</v>
      </c>
      <c r="H30" s="35">
        <v>4.4400000000000004</v>
      </c>
      <c r="I30" s="127">
        <v>6.88</v>
      </c>
      <c r="J30" s="31">
        <v>0.157</v>
      </c>
      <c r="K30" s="33">
        <v>89</v>
      </c>
    </row>
    <row r="31" spans="1:11" ht="32.25" customHeight="1" x14ac:dyDescent="0.2">
      <c r="A31" s="16" t="s">
        <v>492</v>
      </c>
      <c r="B31" s="33">
        <v>91</v>
      </c>
      <c r="C31" s="167">
        <v>0</v>
      </c>
      <c r="D31" s="128">
        <v>4.9219999999999997</v>
      </c>
      <c r="E31" s="129">
        <v>0.20200000000000001</v>
      </c>
      <c r="F31" s="130">
        <v>2.5999999999999999E-2</v>
      </c>
      <c r="G31" s="35">
        <v>927.98</v>
      </c>
      <c r="H31" s="35">
        <v>4.4400000000000004</v>
      </c>
      <c r="I31" s="127">
        <v>6.88</v>
      </c>
      <c r="J31" s="31">
        <v>0.157</v>
      </c>
      <c r="K31" s="33">
        <v>650</v>
      </c>
    </row>
    <row r="32" spans="1:11" ht="32.25" customHeight="1" x14ac:dyDescent="0.2">
      <c r="A32" s="16" t="s">
        <v>493</v>
      </c>
      <c r="B32" s="33">
        <v>92</v>
      </c>
      <c r="C32" s="167">
        <v>0</v>
      </c>
      <c r="D32" s="128">
        <v>4.9219999999999997</v>
      </c>
      <c r="E32" s="129">
        <v>0.20200000000000001</v>
      </c>
      <c r="F32" s="130">
        <v>2.5999999999999999E-2</v>
      </c>
      <c r="G32" s="35">
        <v>4718.7700000000004</v>
      </c>
      <c r="H32" s="35">
        <v>4.4400000000000004</v>
      </c>
      <c r="I32" s="127">
        <v>6.88</v>
      </c>
      <c r="J32" s="31">
        <v>0.157</v>
      </c>
      <c r="K32" s="33"/>
    </row>
    <row r="33" spans="1:11" ht="32.25" customHeight="1" x14ac:dyDescent="0.2">
      <c r="A33" s="16" t="s">
        <v>494</v>
      </c>
      <c r="B33" s="33">
        <v>93</v>
      </c>
      <c r="C33" s="167">
        <v>0</v>
      </c>
      <c r="D33" s="128">
        <v>4.9219999999999997</v>
      </c>
      <c r="E33" s="129">
        <v>0.20200000000000001</v>
      </c>
      <c r="F33" s="130">
        <v>2.5999999999999999E-2</v>
      </c>
      <c r="G33" s="35">
        <v>4126.33</v>
      </c>
      <c r="H33" s="35">
        <v>4.4400000000000004</v>
      </c>
      <c r="I33" s="127">
        <v>6.88</v>
      </c>
      <c r="J33" s="31">
        <v>0.157</v>
      </c>
      <c r="K33" s="33"/>
    </row>
    <row r="34" spans="1:11" ht="32.25" customHeight="1" x14ac:dyDescent="0.2">
      <c r="A34" s="16" t="s">
        <v>495</v>
      </c>
      <c r="B34" s="33">
        <v>94</v>
      </c>
      <c r="C34" s="167">
        <v>0</v>
      </c>
      <c r="D34" s="128">
        <v>4.9219999999999997</v>
      </c>
      <c r="E34" s="129">
        <v>0.20200000000000001</v>
      </c>
      <c r="F34" s="130">
        <v>2.5999999999999999E-2</v>
      </c>
      <c r="G34" s="35">
        <v>10464.969999999999</v>
      </c>
      <c r="H34" s="35">
        <v>4.4400000000000004</v>
      </c>
      <c r="I34" s="127">
        <v>6.88</v>
      </c>
      <c r="J34" s="31">
        <v>0.157</v>
      </c>
      <c r="K34" s="33"/>
    </row>
    <row r="35" spans="1:11" ht="60" x14ac:dyDescent="0.2">
      <c r="A35" s="16" t="s">
        <v>145</v>
      </c>
      <c r="B35" s="33" t="s">
        <v>1767</v>
      </c>
      <c r="C35" s="167" t="s">
        <v>417</v>
      </c>
      <c r="D35" s="131">
        <v>39.917000000000002</v>
      </c>
      <c r="E35" s="132">
        <v>1.9059999999999999</v>
      </c>
      <c r="F35" s="130">
        <v>1.387</v>
      </c>
      <c r="G35" s="36"/>
      <c r="H35" s="36"/>
      <c r="I35" s="36"/>
      <c r="J35" s="32"/>
      <c r="K35" s="33" t="s">
        <v>1766</v>
      </c>
    </row>
    <row r="36" spans="1:11" ht="27.75" customHeight="1" x14ac:dyDescent="0.2">
      <c r="A36" s="16" t="s">
        <v>146</v>
      </c>
      <c r="B36" s="34">
        <v>932</v>
      </c>
      <c r="C36" s="166">
        <v>0</v>
      </c>
      <c r="D36" s="128">
        <v>-9.2240000000000002</v>
      </c>
      <c r="E36" s="129">
        <v>-0.40400000000000003</v>
      </c>
      <c r="F36" s="130">
        <v>-6.2E-2</v>
      </c>
      <c r="G36" s="35">
        <v>0</v>
      </c>
      <c r="H36" s="36"/>
      <c r="I36" s="36"/>
      <c r="J36" s="32"/>
      <c r="K36" s="33" t="s">
        <v>683</v>
      </c>
    </row>
    <row r="37" spans="1:11" ht="27.75" customHeight="1" x14ac:dyDescent="0.2">
      <c r="A37" s="16" t="s">
        <v>147</v>
      </c>
      <c r="B37" s="180"/>
      <c r="C37" s="167">
        <v>0</v>
      </c>
      <c r="D37" s="128">
        <v>-8.2059999999999995</v>
      </c>
      <c r="E37" s="129">
        <v>-0.35599999999999998</v>
      </c>
      <c r="F37" s="130">
        <v>-5.3999999999999999E-2</v>
      </c>
      <c r="G37" s="35">
        <v>0</v>
      </c>
      <c r="H37" s="36"/>
      <c r="I37" s="36"/>
      <c r="J37" s="32"/>
      <c r="K37" s="33"/>
    </row>
    <row r="38" spans="1:11" ht="27.75" customHeight="1" x14ac:dyDescent="0.2">
      <c r="A38" s="16" t="s">
        <v>148</v>
      </c>
      <c r="B38" s="33">
        <v>980</v>
      </c>
      <c r="C38" s="167">
        <v>0</v>
      </c>
      <c r="D38" s="128">
        <v>-9.2240000000000002</v>
      </c>
      <c r="E38" s="129">
        <v>-0.40400000000000003</v>
      </c>
      <c r="F38" s="130">
        <v>-6.2E-2</v>
      </c>
      <c r="G38" s="35">
        <v>0</v>
      </c>
      <c r="H38" s="36"/>
      <c r="I38" s="36"/>
      <c r="J38" s="31">
        <v>0.27100000000000002</v>
      </c>
      <c r="K38" s="33">
        <v>982</v>
      </c>
    </row>
    <row r="39" spans="1:11" ht="27.75" customHeight="1" x14ac:dyDescent="0.2">
      <c r="A39" s="16" t="s">
        <v>149</v>
      </c>
      <c r="B39" s="33">
        <v>981</v>
      </c>
      <c r="C39" s="167">
        <v>0</v>
      </c>
      <c r="D39" s="128">
        <v>-9.2240000000000002</v>
      </c>
      <c r="E39" s="129">
        <v>-0.40400000000000003</v>
      </c>
      <c r="F39" s="130">
        <v>-6.2E-2</v>
      </c>
      <c r="G39" s="35">
        <v>0</v>
      </c>
      <c r="H39" s="36"/>
      <c r="I39" s="36"/>
      <c r="J39" s="32"/>
      <c r="K39" s="33">
        <v>983</v>
      </c>
    </row>
    <row r="40" spans="1:11" ht="27.75" customHeight="1" x14ac:dyDescent="0.2">
      <c r="A40" s="16" t="s">
        <v>150</v>
      </c>
      <c r="B40" s="33">
        <v>984</v>
      </c>
      <c r="C40" s="167">
        <v>0</v>
      </c>
      <c r="D40" s="128">
        <v>-8.2059999999999995</v>
      </c>
      <c r="E40" s="129">
        <v>-0.35599999999999998</v>
      </c>
      <c r="F40" s="130">
        <v>-5.3999999999999999E-2</v>
      </c>
      <c r="G40" s="35">
        <v>0</v>
      </c>
      <c r="H40" s="36"/>
      <c r="I40" s="36"/>
      <c r="J40" s="31">
        <v>0.246</v>
      </c>
      <c r="K40" s="33">
        <v>986</v>
      </c>
    </row>
    <row r="41" spans="1:11" ht="27.75" customHeight="1" x14ac:dyDescent="0.2">
      <c r="A41" s="16" t="s">
        <v>151</v>
      </c>
      <c r="B41" s="33">
        <v>985</v>
      </c>
      <c r="C41" s="167">
        <v>0</v>
      </c>
      <c r="D41" s="128">
        <v>-8.2059999999999995</v>
      </c>
      <c r="E41" s="129">
        <v>-0.35599999999999998</v>
      </c>
      <c r="F41" s="130">
        <v>-5.3999999999999999E-2</v>
      </c>
      <c r="G41" s="35">
        <v>0</v>
      </c>
      <c r="H41" s="36"/>
      <c r="I41" s="36"/>
      <c r="J41" s="32"/>
      <c r="K41" s="33">
        <v>987</v>
      </c>
    </row>
    <row r="42" spans="1:11" ht="27.75" customHeight="1" x14ac:dyDescent="0.2">
      <c r="A42" s="16" t="s">
        <v>152</v>
      </c>
      <c r="B42" s="33">
        <v>988</v>
      </c>
      <c r="C42" s="167">
        <v>0</v>
      </c>
      <c r="D42" s="128">
        <v>-5.66</v>
      </c>
      <c r="E42" s="129">
        <v>-0.23499999999999999</v>
      </c>
      <c r="F42" s="130">
        <v>-3.2000000000000001E-2</v>
      </c>
      <c r="G42" s="35">
        <v>9.49</v>
      </c>
      <c r="H42" s="36"/>
      <c r="I42" s="36"/>
      <c r="J42" s="31">
        <v>0.19900000000000001</v>
      </c>
      <c r="K42" s="33">
        <v>990</v>
      </c>
    </row>
    <row r="43" spans="1:11" ht="27.75" customHeight="1" x14ac:dyDescent="0.2">
      <c r="A43" s="16" t="s">
        <v>153</v>
      </c>
      <c r="B43" s="33">
        <v>989</v>
      </c>
      <c r="C43" s="167">
        <v>0</v>
      </c>
      <c r="D43" s="128">
        <v>-5.66</v>
      </c>
      <c r="E43" s="129">
        <v>-0.23499999999999999</v>
      </c>
      <c r="F43" s="130">
        <v>-3.2000000000000001E-2</v>
      </c>
      <c r="G43" s="35">
        <v>9.49</v>
      </c>
      <c r="H43" s="36"/>
      <c r="I43" s="36"/>
      <c r="J43" s="32"/>
      <c r="K43" s="33">
        <v>991</v>
      </c>
    </row>
    <row r="44" spans="1:11" ht="27.75" customHeight="1" x14ac:dyDescent="0.2">
      <c r="C44"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5">
    <mergeCell ref="G7:H7"/>
    <mergeCell ref="G8:H8"/>
    <mergeCell ref="E1:K1"/>
    <mergeCell ref="B1:D1"/>
    <mergeCell ref="I9:K9"/>
    <mergeCell ref="G9:H9"/>
    <mergeCell ref="A2:K2"/>
    <mergeCell ref="C5:D5"/>
    <mergeCell ref="C6:D6"/>
    <mergeCell ref="G5:H5"/>
    <mergeCell ref="G6:H6"/>
    <mergeCell ref="G4:K4"/>
    <mergeCell ref="A4:E4"/>
    <mergeCell ref="C7:D7"/>
    <mergeCell ref="B8:E8"/>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5" fitToHeight="0" orientation="portrait" r:id="rId2"/>
  <headerFooter scaleWithDoc="0">
    <oddHeader>&amp;L&amp;"Arial,Bold"
Annex 1&amp;"Arial,Regular" - Schedule of Charges for use of the Distribution System by LV and HV Designated Properties</oddHeader>
    <oddFooter>&amp;C&amp;P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O108"/>
  <sheetViews>
    <sheetView zoomScale="80" zoomScaleNormal="80" zoomScaleSheetLayoutView="100" workbookViewId="0"/>
  </sheetViews>
  <sheetFormatPr defaultRowHeight="27.75" customHeight="1" x14ac:dyDescent="0.2"/>
  <cols>
    <col min="1" max="1" width="14.5703125" style="42" customWidth="1"/>
    <col min="2" max="2" width="7.28515625" style="42" customWidth="1"/>
    <col min="3" max="3" width="17.5703125" style="42" customWidth="1"/>
    <col min="4" max="4" width="14.7109375" style="50" customWidth="1"/>
    <col min="5" max="5" width="7.140625" style="50" customWidth="1"/>
    <col min="6" max="6" width="17.28515625" style="50" customWidth="1"/>
    <col min="7" max="7" width="50.7109375" style="50" customWidth="1"/>
    <col min="8" max="8" width="14.7109375" style="50" customWidth="1"/>
    <col min="9" max="9" width="14.7109375" style="51" customWidth="1"/>
    <col min="10" max="11" width="14.7109375" style="52" customWidth="1"/>
    <col min="12" max="15" width="14.7109375" style="42" customWidth="1"/>
    <col min="16" max="16384" width="9.140625" style="42"/>
  </cols>
  <sheetData>
    <row r="1" spans="1:15" ht="66.75" customHeight="1" x14ac:dyDescent="0.2">
      <c r="A1" s="40" t="s">
        <v>18</v>
      </c>
      <c r="B1" s="40"/>
      <c r="C1" s="264"/>
      <c r="D1" s="264"/>
      <c r="E1" s="41"/>
      <c r="F1" s="263" t="s">
        <v>30</v>
      </c>
      <c r="G1" s="263"/>
      <c r="H1" s="263"/>
      <c r="I1" s="263"/>
      <c r="J1" s="263"/>
      <c r="K1" s="263"/>
      <c r="L1" s="263"/>
      <c r="M1" s="263"/>
      <c r="N1" s="263"/>
      <c r="O1" s="263"/>
    </row>
    <row r="2" spans="1:15" s="43" customFormat="1" ht="25.5" customHeight="1" x14ac:dyDescent="0.2">
      <c r="A2" s="256" t="str">
        <f>Overview!B4&amp; " - Effective from "&amp;Overview!D4&amp;" - "&amp;Overview!E4&amp;" EDCM charges"</f>
        <v>South Eastern Power Networks - Effective from 1 April 2022 - Final EDCM charges</v>
      </c>
      <c r="B2" s="256"/>
      <c r="C2" s="256"/>
      <c r="D2" s="256"/>
      <c r="E2" s="256"/>
      <c r="F2" s="256"/>
      <c r="G2" s="256"/>
      <c r="H2" s="256"/>
      <c r="I2" s="256"/>
      <c r="J2" s="256"/>
      <c r="K2" s="256"/>
      <c r="L2" s="256"/>
      <c r="M2" s="256"/>
      <c r="N2" s="256"/>
      <c r="O2" s="256"/>
    </row>
    <row r="3" spans="1:15" s="74" customFormat="1" ht="10.5" customHeight="1" x14ac:dyDescent="0.2">
      <c r="A3" s="73"/>
      <c r="B3" s="73"/>
      <c r="C3" s="73"/>
      <c r="D3" s="73"/>
      <c r="E3" s="73"/>
      <c r="F3" s="73"/>
      <c r="G3" s="73"/>
      <c r="H3" s="73"/>
      <c r="I3" s="73"/>
      <c r="J3" s="73"/>
      <c r="K3" s="73"/>
      <c r="L3" s="73"/>
      <c r="M3" s="73"/>
      <c r="N3" s="73"/>
      <c r="O3" s="73"/>
    </row>
    <row r="4" spans="1:15" s="74" customFormat="1" ht="25.5" customHeight="1" x14ac:dyDescent="0.2">
      <c r="A4" s="256" t="s">
        <v>65</v>
      </c>
      <c r="B4" s="256"/>
      <c r="C4" s="256"/>
      <c r="D4" s="256"/>
      <c r="E4" s="256"/>
      <c r="F4" s="256"/>
      <c r="G4" s="73"/>
      <c r="H4" s="73"/>
      <c r="I4" s="73"/>
      <c r="J4" s="73"/>
      <c r="K4" s="73"/>
      <c r="L4" s="73"/>
      <c r="M4" s="73"/>
      <c r="N4" s="73"/>
      <c r="O4" s="73"/>
    </row>
    <row r="5" spans="1:15" s="74" customFormat="1" ht="25.5" customHeight="1" x14ac:dyDescent="0.2">
      <c r="A5" s="265" t="s">
        <v>11</v>
      </c>
      <c r="B5" s="266"/>
      <c r="C5" s="266"/>
      <c r="D5" s="267" t="s">
        <v>62</v>
      </c>
      <c r="E5" s="267"/>
      <c r="F5" s="267"/>
      <c r="G5" s="73"/>
      <c r="H5" s="73"/>
      <c r="I5" s="73"/>
      <c r="J5" s="73"/>
      <c r="K5" s="73"/>
      <c r="L5" s="73"/>
      <c r="M5" s="73"/>
      <c r="N5" s="73"/>
      <c r="O5" s="73"/>
    </row>
    <row r="6" spans="1:15" s="74" customFormat="1" ht="48" customHeight="1" x14ac:dyDescent="0.2">
      <c r="A6" s="248" t="s">
        <v>61</v>
      </c>
      <c r="B6" s="248"/>
      <c r="C6" s="248"/>
      <c r="D6" s="259" t="s">
        <v>662</v>
      </c>
      <c r="E6" s="259"/>
      <c r="F6" s="259"/>
      <c r="G6" s="73"/>
      <c r="H6" s="73"/>
      <c r="I6" s="73"/>
      <c r="J6" s="73"/>
      <c r="K6" s="73"/>
      <c r="L6" s="73"/>
      <c r="M6" s="73"/>
      <c r="N6" s="73"/>
      <c r="O6" s="73"/>
    </row>
    <row r="7" spans="1:15" s="74" customFormat="1" ht="25.5" customHeight="1" x14ac:dyDescent="0.2">
      <c r="A7" s="248" t="s">
        <v>12</v>
      </c>
      <c r="B7" s="248"/>
      <c r="C7" s="248"/>
      <c r="D7" s="259" t="s">
        <v>13</v>
      </c>
      <c r="E7" s="259"/>
      <c r="F7" s="259"/>
      <c r="G7" s="73"/>
      <c r="H7" s="73"/>
      <c r="I7" s="73"/>
      <c r="J7" s="73"/>
      <c r="K7" s="73"/>
      <c r="L7" s="73"/>
      <c r="M7" s="73"/>
      <c r="N7" s="73"/>
      <c r="O7" s="73"/>
    </row>
    <row r="8" spans="1:15" s="74" customFormat="1" ht="10.5" customHeight="1" x14ac:dyDescent="0.2">
      <c r="A8" s="73"/>
      <c r="B8" s="73"/>
      <c r="C8" s="73"/>
      <c r="D8" s="73"/>
      <c r="E8" s="73"/>
      <c r="F8" s="73"/>
      <c r="G8" s="73"/>
      <c r="H8" s="73"/>
      <c r="I8" s="73"/>
      <c r="J8" s="73"/>
      <c r="K8" s="73"/>
      <c r="L8" s="73"/>
      <c r="M8" s="73"/>
      <c r="N8" s="73"/>
      <c r="O8" s="73"/>
    </row>
    <row r="9" spans="1:15" ht="63.75" x14ac:dyDescent="0.2">
      <c r="A9" s="44" t="s">
        <v>52</v>
      </c>
      <c r="B9" s="45" t="s">
        <v>35</v>
      </c>
      <c r="C9" s="44" t="s">
        <v>36</v>
      </c>
      <c r="D9" s="44" t="s">
        <v>54</v>
      </c>
      <c r="E9" s="45" t="s">
        <v>35</v>
      </c>
      <c r="F9" s="44" t="s">
        <v>37</v>
      </c>
      <c r="G9" s="46" t="s">
        <v>29</v>
      </c>
      <c r="H9" s="47" t="s">
        <v>118</v>
      </c>
      <c r="I9" s="46" t="s">
        <v>55</v>
      </c>
      <c r="J9" s="46" t="s">
        <v>116</v>
      </c>
      <c r="K9" s="124" t="s">
        <v>127</v>
      </c>
      <c r="L9" s="47" t="s">
        <v>119</v>
      </c>
      <c r="M9" s="46" t="s">
        <v>56</v>
      </c>
      <c r="N9" s="46" t="s">
        <v>117</v>
      </c>
      <c r="O9" s="124" t="s">
        <v>128</v>
      </c>
    </row>
    <row r="10" spans="1:15" ht="25.5" x14ac:dyDescent="0.2">
      <c r="A10" s="37" t="s">
        <v>684</v>
      </c>
      <c r="B10" s="84">
        <v>834</v>
      </c>
      <c r="C10" s="48" t="s">
        <v>782</v>
      </c>
      <c r="D10" s="38"/>
      <c r="E10" s="84"/>
      <c r="F10" s="48"/>
      <c r="G10" s="49" t="s">
        <v>684</v>
      </c>
      <c r="H10" s="53">
        <v>3.2589999999999999</v>
      </c>
      <c r="I10" s="54">
        <v>568.74</v>
      </c>
      <c r="J10" s="54">
        <v>3.28</v>
      </c>
      <c r="K10" s="54">
        <v>3.28</v>
      </c>
      <c r="L10" s="55"/>
      <c r="M10" s="56"/>
      <c r="N10" s="56"/>
      <c r="O10" s="56"/>
    </row>
    <row r="11" spans="1:15" ht="51" x14ac:dyDescent="0.2">
      <c r="A11" s="37" t="s">
        <v>685</v>
      </c>
      <c r="B11" s="84">
        <v>889</v>
      </c>
      <c r="C11" s="48" t="s">
        <v>783</v>
      </c>
      <c r="D11" s="38"/>
      <c r="E11" s="84"/>
      <c r="F11" s="48"/>
      <c r="G11" s="49" t="s">
        <v>685</v>
      </c>
      <c r="H11" s="53">
        <v>0</v>
      </c>
      <c r="I11" s="54">
        <v>7483.96</v>
      </c>
      <c r="J11" s="54">
        <v>1.19</v>
      </c>
      <c r="K11" s="54">
        <v>1.19</v>
      </c>
      <c r="L11" s="55"/>
      <c r="M11" s="56"/>
      <c r="N11" s="56"/>
      <c r="O11" s="56"/>
    </row>
    <row r="12" spans="1:15" ht="25.5" x14ac:dyDescent="0.2">
      <c r="A12" s="37" t="s">
        <v>686</v>
      </c>
      <c r="B12" s="84">
        <v>835</v>
      </c>
      <c r="C12" s="48" t="s">
        <v>784</v>
      </c>
      <c r="D12" s="38"/>
      <c r="E12" s="84"/>
      <c r="F12" s="48"/>
      <c r="G12" s="49" t="s">
        <v>686</v>
      </c>
      <c r="H12" s="53">
        <v>0</v>
      </c>
      <c r="I12" s="54">
        <v>568.74</v>
      </c>
      <c r="J12" s="54">
        <v>1.05</v>
      </c>
      <c r="K12" s="54">
        <v>1.05</v>
      </c>
      <c r="L12" s="55"/>
      <c r="M12" s="56"/>
      <c r="N12" s="56"/>
      <c r="O12" s="56"/>
    </row>
    <row r="13" spans="1:15" ht="25.5" x14ac:dyDescent="0.2">
      <c r="A13" s="37" t="s">
        <v>687</v>
      </c>
      <c r="B13" s="84" t="s">
        <v>785</v>
      </c>
      <c r="C13" s="48" t="s">
        <v>786</v>
      </c>
      <c r="D13" s="38"/>
      <c r="E13" s="84"/>
      <c r="F13" s="48"/>
      <c r="G13" s="49" t="s">
        <v>687</v>
      </c>
      <c r="H13" s="53">
        <v>5.0000000000000001E-3</v>
      </c>
      <c r="I13" s="54">
        <v>17311.240000000002</v>
      </c>
      <c r="J13" s="54">
        <v>1.42</v>
      </c>
      <c r="K13" s="54">
        <v>1.42</v>
      </c>
      <c r="L13" s="55"/>
      <c r="M13" s="56"/>
      <c r="N13" s="56"/>
      <c r="O13" s="56"/>
    </row>
    <row r="14" spans="1:15" ht="25.5" x14ac:dyDescent="0.2">
      <c r="A14" s="37" t="s">
        <v>688</v>
      </c>
      <c r="B14" s="84">
        <v>833</v>
      </c>
      <c r="C14" s="48" t="s">
        <v>787</v>
      </c>
      <c r="D14" s="38"/>
      <c r="E14" s="84"/>
      <c r="F14" s="48"/>
      <c r="G14" s="49" t="s">
        <v>688</v>
      </c>
      <c r="H14" s="53">
        <v>7.6059999999999999</v>
      </c>
      <c r="I14" s="54">
        <v>34276.379999999997</v>
      </c>
      <c r="J14" s="54">
        <v>2.2799999999999998</v>
      </c>
      <c r="K14" s="54">
        <v>2.2799999999999998</v>
      </c>
      <c r="L14" s="55"/>
      <c r="M14" s="56"/>
      <c r="N14" s="56"/>
      <c r="O14" s="56"/>
    </row>
    <row r="15" spans="1:15" ht="12.75" x14ac:dyDescent="0.2">
      <c r="A15" s="37" t="s">
        <v>689</v>
      </c>
      <c r="B15" s="84">
        <v>874</v>
      </c>
      <c r="C15" s="48">
        <v>1900060219605</v>
      </c>
      <c r="D15" s="38"/>
      <c r="E15" s="84"/>
      <c r="F15" s="48"/>
      <c r="G15" s="49" t="s">
        <v>689</v>
      </c>
      <c r="H15" s="53">
        <v>0</v>
      </c>
      <c r="I15" s="54">
        <v>124027.21</v>
      </c>
      <c r="J15" s="54">
        <v>0.54</v>
      </c>
      <c r="K15" s="54">
        <v>0.54</v>
      </c>
      <c r="L15" s="55"/>
      <c r="M15" s="56"/>
      <c r="N15" s="56"/>
      <c r="O15" s="56"/>
    </row>
    <row r="16" spans="1:15" ht="38.25" x14ac:dyDescent="0.2">
      <c r="A16" s="37" t="s">
        <v>690</v>
      </c>
      <c r="B16" s="84">
        <v>869</v>
      </c>
      <c r="C16" s="48" t="s">
        <v>788</v>
      </c>
      <c r="D16" s="38"/>
      <c r="E16" s="84"/>
      <c r="F16" s="48"/>
      <c r="G16" s="49" t="s">
        <v>690</v>
      </c>
      <c r="H16" s="53">
        <v>2.7160000000000002</v>
      </c>
      <c r="I16" s="54">
        <v>20999.35</v>
      </c>
      <c r="J16" s="54">
        <v>2.29</v>
      </c>
      <c r="K16" s="54">
        <v>2.29</v>
      </c>
      <c r="L16" s="55"/>
      <c r="M16" s="56"/>
      <c r="N16" s="56"/>
      <c r="O16" s="56"/>
    </row>
    <row r="17" spans="1:15" ht="25.5" x14ac:dyDescent="0.2">
      <c r="A17" s="37" t="s">
        <v>691</v>
      </c>
      <c r="B17" s="84">
        <v>870</v>
      </c>
      <c r="C17" s="48" t="s">
        <v>789</v>
      </c>
      <c r="D17" s="38"/>
      <c r="E17" s="84"/>
      <c r="F17" s="48"/>
      <c r="G17" s="49" t="s">
        <v>691</v>
      </c>
      <c r="H17" s="53">
        <v>0.626</v>
      </c>
      <c r="I17" s="54">
        <v>19164.240000000002</v>
      </c>
      <c r="J17" s="54">
        <v>3.58</v>
      </c>
      <c r="K17" s="54">
        <v>3.58</v>
      </c>
      <c r="L17" s="55"/>
      <c r="M17" s="56"/>
      <c r="N17" s="56"/>
      <c r="O17" s="56"/>
    </row>
    <row r="18" spans="1:15" ht="12.75" x14ac:dyDescent="0.2">
      <c r="A18" s="37" t="s">
        <v>692</v>
      </c>
      <c r="B18" s="84"/>
      <c r="C18" s="48" t="s">
        <v>790</v>
      </c>
      <c r="D18" s="38"/>
      <c r="E18" s="84"/>
      <c r="F18" s="48"/>
      <c r="G18" s="49" t="s">
        <v>692</v>
      </c>
      <c r="H18" s="53">
        <v>0.25800000000000001</v>
      </c>
      <c r="I18" s="54">
        <v>32723.85</v>
      </c>
      <c r="J18" s="54">
        <v>2.69</v>
      </c>
      <c r="K18" s="54">
        <v>2.69</v>
      </c>
      <c r="L18" s="55"/>
      <c r="M18" s="56"/>
      <c r="N18" s="56"/>
      <c r="O18" s="56"/>
    </row>
    <row r="19" spans="1:15" ht="12.75" x14ac:dyDescent="0.2">
      <c r="A19" s="37" t="s">
        <v>693</v>
      </c>
      <c r="B19" s="84">
        <v>837</v>
      </c>
      <c r="C19" s="48">
        <v>1900047386380</v>
      </c>
      <c r="D19" s="38"/>
      <c r="E19" s="84"/>
      <c r="F19" s="48"/>
      <c r="G19" s="49" t="s">
        <v>693</v>
      </c>
      <c r="H19" s="53">
        <v>2.0739999999999998</v>
      </c>
      <c r="I19" s="54">
        <v>789.85</v>
      </c>
      <c r="J19" s="54">
        <v>2.7</v>
      </c>
      <c r="K19" s="54">
        <v>2.7</v>
      </c>
      <c r="L19" s="55"/>
      <c r="M19" s="56"/>
      <c r="N19" s="56"/>
      <c r="O19" s="56"/>
    </row>
    <row r="20" spans="1:15" ht="12.75" x14ac:dyDescent="0.2">
      <c r="A20" s="37" t="s">
        <v>694</v>
      </c>
      <c r="B20" s="84">
        <v>866</v>
      </c>
      <c r="C20" s="48">
        <v>1900060219145</v>
      </c>
      <c r="D20" s="38"/>
      <c r="E20" s="84"/>
      <c r="F20" s="48"/>
      <c r="G20" s="49" t="s">
        <v>694</v>
      </c>
      <c r="H20" s="53">
        <v>0.751</v>
      </c>
      <c r="I20" s="54">
        <v>33675.32</v>
      </c>
      <c r="J20" s="54">
        <v>2.98</v>
      </c>
      <c r="K20" s="54">
        <v>2.98</v>
      </c>
      <c r="L20" s="55"/>
      <c r="M20" s="56"/>
      <c r="N20" s="56"/>
      <c r="O20" s="56"/>
    </row>
    <row r="21" spans="1:15" ht="12.75" x14ac:dyDescent="0.2">
      <c r="A21" s="37" t="s">
        <v>695</v>
      </c>
      <c r="B21" s="84">
        <v>851</v>
      </c>
      <c r="C21" s="48">
        <v>1900060219377</v>
      </c>
      <c r="D21" s="38"/>
      <c r="E21" s="84"/>
      <c r="F21" s="48"/>
      <c r="G21" s="49" t="s">
        <v>695</v>
      </c>
      <c r="H21" s="53">
        <v>0.16</v>
      </c>
      <c r="I21" s="54">
        <v>19164.240000000002</v>
      </c>
      <c r="J21" s="54">
        <v>2.11</v>
      </c>
      <c r="K21" s="54">
        <v>2.11</v>
      </c>
      <c r="L21" s="55"/>
      <c r="M21" s="56"/>
      <c r="N21" s="56"/>
      <c r="O21" s="56"/>
    </row>
    <row r="22" spans="1:15" ht="12.75" x14ac:dyDescent="0.2">
      <c r="A22" s="37" t="s">
        <v>696</v>
      </c>
      <c r="B22" s="84">
        <v>879</v>
      </c>
      <c r="C22" s="48">
        <v>1900070068129</v>
      </c>
      <c r="D22" s="38"/>
      <c r="E22" s="84"/>
      <c r="F22" s="48"/>
      <c r="G22" s="49" t="s">
        <v>696</v>
      </c>
      <c r="H22" s="53">
        <v>0.36199999999999999</v>
      </c>
      <c r="I22" s="54">
        <v>19164.240000000002</v>
      </c>
      <c r="J22" s="54">
        <v>2.7</v>
      </c>
      <c r="K22" s="54">
        <v>2.7</v>
      </c>
      <c r="L22" s="55"/>
      <c r="M22" s="56"/>
      <c r="N22" s="56"/>
      <c r="O22" s="56"/>
    </row>
    <row r="23" spans="1:15" ht="12.75" x14ac:dyDescent="0.2">
      <c r="A23" s="37" t="s">
        <v>697</v>
      </c>
      <c r="B23" s="84">
        <v>852</v>
      </c>
      <c r="C23" s="48">
        <v>1900060218675</v>
      </c>
      <c r="D23" s="38"/>
      <c r="E23" s="84"/>
      <c r="F23" s="48"/>
      <c r="G23" s="49" t="s">
        <v>697</v>
      </c>
      <c r="H23" s="53">
        <v>0</v>
      </c>
      <c r="I23" s="54">
        <v>33675.32</v>
      </c>
      <c r="J23" s="54">
        <v>2</v>
      </c>
      <c r="K23" s="54">
        <v>2</v>
      </c>
      <c r="L23" s="55"/>
      <c r="M23" s="56"/>
      <c r="N23" s="56"/>
      <c r="O23" s="56"/>
    </row>
    <row r="24" spans="1:15" ht="12.75" x14ac:dyDescent="0.2">
      <c r="A24" s="37" t="s">
        <v>698</v>
      </c>
      <c r="B24" s="84">
        <v>853</v>
      </c>
      <c r="C24" s="48">
        <v>1900060218727</v>
      </c>
      <c r="D24" s="38"/>
      <c r="E24" s="84"/>
      <c r="F24" s="48"/>
      <c r="G24" s="49" t="s">
        <v>698</v>
      </c>
      <c r="H24" s="53">
        <v>0.68899999999999995</v>
      </c>
      <c r="I24" s="54">
        <v>33675.32</v>
      </c>
      <c r="J24" s="54">
        <v>2.1</v>
      </c>
      <c r="K24" s="54">
        <v>2.1</v>
      </c>
      <c r="L24" s="55"/>
      <c r="M24" s="56"/>
      <c r="N24" s="56"/>
      <c r="O24" s="56"/>
    </row>
    <row r="25" spans="1:15" ht="12.75" x14ac:dyDescent="0.2">
      <c r="A25" s="37" t="s">
        <v>699</v>
      </c>
      <c r="B25" s="84">
        <v>854</v>
      </c>
      <c r="C25" s="48">
        <v>1900060218790</v>
      </c>
      <c r="D25" s="38"/>
      <c r="E25" s="84"/>
      <c r="F25" s="48"/>
      <c r="G25" s="49" t="s">
        <v>699</v>
      </c>
      <c r="H25" s="53">
        <v>0</v>
      </c>
      <c r="I25" s="54">
        <v>8007.72</v>
      </c>
      <c r="J25" s="54">
        <v>1.63</v>
      </c>
      <c r="K25" s="54">
        <v>1.63</v>
      </c>
      <c r="L25" s="55"/>
      <c r="M25" s="56"/>
      <c r="N25" s="56"/>
      <c r="O25" s="56"/>
    </row>
    <row r="26" spans="1:15" ht="12.75" x14ac:dyDescent="0.2">
      <c r="A26" s="37" t="s">
        <v>700</v>
      </c>
      <c r="B26" s="84">
        <v>855</v>
      </c>
      <c r="C26" s="48">
        <v>1900060218815</v>
      </c>
      <c r="D26" s="38"/>
      <c r="E26" s="84"/>
      <c r="F26" s="48"/>
      <c r="G26" s="49" t="s">
        <v>700</v>
      </c>
      <c r="H26" s="53">
        <v>0</v>
      </c>
      <c r="I26" s="54">
        <v>33358.160000000003</v>
      </c>
      <c r="J26" s="54">
        <v>1.94</v>
      </c>
      <c r="K26" s="54">
        <v>1.94</v>
      </c>
      <c r="L26" s="55"/>
      <c r="M26" s="56"/>
      <c r="N26" s="56"/>
      <c r="O26" s="56"/>
    </row>
    <row r="27" spans="1:15" ht="12.75" x14ac:dyDescent="0.2">
      <c r="A27" s="37" t="s">
        <v>701</v>
      </c>
      <c r="B27" s="84">
        <v>856</v>
      </c>
      <c r="C27" s="48">
        <v>1900060219303</v>
      </c>
      <c r="D27" s="38"/>
      <c r="E27" s="84"/>
      <c r="F27" s="48"/>
      <c r="G27" s="49" t="s">
        <v>701</v>
      </c>
      <c r="H27" s="53">
        <v>7.6660000000000004</v>
      </c>
      <c r="I27" s="54">
        <v>8007.72</v>
      </c>
      <c r="J27" s="54">
        <v>1.63</v>
      </c>
      <c r="K27" s="54">
        <v>1.63</v>
      </c>
      <c r="L27" s="55"/>
      <c r="M27" s="56"/>
      <c r="N27" s="56"/>
      <c r="O27" s="56"/>
    </row>
    <row r="28" spans="1:15" ht="12.75" x14ac:dyDescent="0.2">
      <c r="A28" s="37" t="s">
        <v>702</v>
      </c>
      <c r="B28" s="84">
        <v>857</v>
      </c>
      <c r="C28" s="48">
        <v>1900060218912</v>
      </c>
      <c r="D28" s="38"/>
      <c r="E28" s="84"/>
      <c r="F28" s="48"/>
      <c r="G28" s="49" t="s">
        <v>702</v>
      </c>
      <c r="H28" s="53">
        <v>1.413</v>
      </c>
      <c r="I28" s="54">
        <v>8007.72</v>
      </c>
      <c r="J28" s="54">
        <v>2.54</v>
      </c>
      <c r="K28" s="54">
        <v>2.54</v>
      </c>
      <c r="L28" s="55"/>
      <c r="M28" s="56"/>
      <c r="N28" s="56"/>
      <c r="O28" s="56"/>
    </row>
    <row r="29" spans="1:15" ht="12.75" x14ac:dyDescent="0.2">
      <c r="A29" s="37" t="s">
        <v>703</v>
      </c>
      <c r="B29" s="84">
        <v>858</v>
      </c>
      <c r="C29" s="48">
        <v>1900060218959</v>
      </c>
      <c r="D29" s="38"/>
      <c r="E29" s="84"/>
      <c r="F29" s="48"/>
      <c r="G29" s="49" t="s">
        <v>703</v>
      </c>
      <c r="H29" s="53">
        <v>1.7729999999999999</v>
      </c>
      <c r="I29" s="54">
        <v>8007.72</v>
      </c>
      <c r="J29" s="54">
        <v>1.54</v>
      </c>
      <c r="K29" s="54">
        <v>1.54</v>
      </c>
      <c r="L29" s="55"/>
      <c r="M29" s="56"/>
      <c r="N29" s="56"/>
      <c r="O29" s="56"/>
    </row>
    <row r="30" spans="1:15" ht="12.75" x14ac:dyDescent="0.2">
      <c r="A30" s="37" t="s">
        <v>704</v>
      </c>
      <c r="B30" s="84">
        <v>859</v>
      </c>
      <c r="C30" s="48">
        <v>1900060218986</v>
      </c>
      <c r="D30" s="38"/>
      <c r="E30" s="84"/>
      <c r="F30" s="48"/>
      <c r="G30" s="49" t="s">
        <v>704</v>
      </c>
      <c r="H30" s="53">
        <v>4.33</v>
      </c>
      <c r="I30" s="54">
        <v>11314.52</v>
      </c>
      <c r="J30" s="54">
        <v>2.83</v>
      </c>
      <c r="K30" s="54">
        <v>2.83</v>
      </c>
      <c r="L30" s="55"/>
      <c r="M30" s="56"/>
      <c r="N30" s="56"/>
      <c r="O30" s="56"/>
    </row>
    <row r="31" spans="1:15" ht="12.75" x14ac:dyDescent="0.2">
      <c r="A31" s="37" t="s">
        <v>705</v>
      </c>
      <c r="B31" s="84">
        <v>860</v>
      </c>
      <c r="C31" s="48">
        <v>1900060219001</v>
      </c>
      <c r="D31" s="38"/>
      <c r="E31" s="84"/>
      <c r="F31" s="48"/>
      <c r="G31" s="49" t="s">
        <v>705</v>
      </c>
      <c r="H31" s="53">
        <v>2.2010000000000001</v>
      </c>
      <c r="I31" s="54">
        <v>33358.160000000003</v>
      </c>
      <c r="J31" s="54">
        <v>2.68</v>
      </c>
      <c r="K31" s="54">
        <v>2.68</v>
      </c>
      <c r="L31" s="55"/>
      <c r="M31" s="56"/>
      <c r="N31" s="56"/>
      <c r="O31" s="56"/>
    </row>
    <row r="32" spans="1:15" ht="12.75" x14ac:dyDescent="0.2">
      <c r="A32" s="37" t="s">
        <v>706</v>
      </c>
      <c r="B32" s="84">
        <v>861</v>
      </c>
      <c r="C32" s="48">
        <v>1900060219535</v>
      </c>
      <c r="D32" s="38"/>
      <c r="E32" s="84"/>
      <c r="F32" s="48"/>
      <c r="G32" s="49" t="s">
        <v>706</v>
      </c>
      <c r="H32" s="53">
        <v>3.242</v>
      </c>
      <c r="I32" s="54">
        <v>19164.240000000002</v>
      </c>
      <c r="J32" s="54">
        <v>1.67</v>
      </c>
      <c r="K32" s="54">
        <v>1.67</v>
      </c>
      <c r="L32" s="55"/>
      <c r="M32" s="56"/>
      <c r="N32" s="56"/>
      <c r="O32" s="56"/>
    </row>
    <row r="33" spans="1:15" ht="12.75" x14ac:dyDescent="0.2">
      <c r="A33" s="37" t="s">
        <v>707</v>
      </c>
      <c r="B33" s="84">
        <v>862</v>
      </c>
      <c r="C33" s="48">
        <v>1900060219891</v>
      </c>
      <c r="D33" s="38"/>
      <c r="E33" s="84"/>
      <c r="F33" s="48"/>
      <c r="G33" s="49" t="s">
        <v>707</v>
      </c>
      <c r="H33" s="53">
        <v>0</v>
      </c>
      <c r="I33" s="54">
        <v>33992.480000000003</v>
      </c>
      <c r="J33" s="54">
        <v>1.55</v>
      </c>
      <c r="K33" s="54">
        <v>1.55</v>
      </c>
      <c r="L33" s="55"/>
      <c r="M33" s="56"/>
      <c r="N33" s="56"/>
      <c r="O33" s="56"/>
    </row>
    <row r="34" spans="1:15" ht="12.75" x14ac:dyDescent="0.2">
      <c r="A34" s="37" t="s">
        <v>708</v>
      </c>
      <c r="B34" s="84">
        <v>863</v>
      </c>
      <c r="C34" s="48">
        <v>1900060219084</v>
      </c>
      <c r="D34" s="38"/>
      <c r="E34" s="84"/>
      <c r="F34" s="48"/>
      <c r="G34" s="49" t="s">
        <v>708</v>
      </c>
      <c r="H34" s="53">
        <v>0</v>
      </c>
      <c r="I34" s="54">
        <v>680.82</v>
      </c>
      <c r="J34" s="54">
        <v>3.33</v>
      </c>
      <c r="K34" s="54">
        <v>3.33</v>
      </c>
      <c r="L34" s="55"/>
      <c r="M34" s="56"/>
      <c r="N34" s="56"/>
      <c r="O34" s="56"/>
    </row>
    <row r="35" spans="1:15" ht="25.5" x14ac:dyDescent="0.2">
      <c r="A35" s="37" t="s">
        <v>709</v>
      </c>
      <c r="B35" s="84">
        <v>864</v>
      </c>
      <c r="C35" s="48" t="s">
        <v>791</v>
      </c>
      <c r="D35" s="38"/>
      <c r="E35" s="84"/>
      <c r="F35" s="48"/>
      <c r="G35" s="49" t="s">
        <v>709</v>
      </c>
      <c r="H35" s="53">
        <v>3.3000000000000002E-2</v>
      </c>
      <c r="I35" s="54">
        <v>19164.240000000002</v>
      </c>
      <c r="J35" s="54">
        <v>1.42</v>
      </c>
      <c r="K35" s="54">
        <v>1.42</v>
      </c>
      <c r="L35" s="55"/>
      <c r="M35" s="56"/>
      <c r="N35" s="56"/>
      <c r="O35" s="56"/>
    </row>
    <row r="36" spans="1:15" ht="25.5" x14ac:dyDescent="0.2">
      <c r="A36" s="37" t="s">
        <v>710</v>
      </c>
      <c r="B36" s="84">
        <v>865</v>
      </c>
      <c r="C36" s="48" t="s">
        <v>792</v>
      </c>
      <c r="D36" s="38"/>
      <c r="E36" s="84"/>
      <c r="F36" s="48"/>
      <c r="G36" s="49" t="s">
        <v>710</v>
      </c>
      <c r="H36" s="53">
        <v>2.8580000000000001</v>
      </c>
      <c r="I36" s="54">
        <v>8007.72</v>
      </c>
      <c r="J36" s="54">
        <v>2.4700000000000002</v>
      </c>
      <c r="K36" s="54">
        <v>2.4700000000000002</v>
      </c>
      <c r="L36" s="55"/>
      <c r="M36" s="56"/>
      <c r="N36" s="56"/>
      <c r="O36" s="56"/>
    </row>
    <row r="37" spans="1:15" ht="12.75" x14ac:dyDescent="0.2">
      <c r="A37" s="37" t="s">
        <v>711</v>
      </c>
      <c r="B37" s="84">
        <v>867</v>
      </c>
      <c r="C37" s="48">
        <v>1900060219206</v>
      </c>
      <c r="D37" s="38"/>
      <c r="E37" s="84"/>
      <c r="F37" s="48"/>
      <c r="G37" s="49" t="s">
        <v>711</v>
      </c>
      <c r="H37" s="53">
        <v>1.0780000000000001</v>
      </c>
      <c r="I37" s="54">
        <v>19164.240000000002</v>
      </c>
      <c r="J37" s="54">
        <v>2.2400000000000002</v>
      </c>
      <c r="K37" s="54">
        <v>2.2400000000000002</v>
      </c>
      <c r="L37" s="55"/>
      <c r="M37" s="56"/>
      <c r="N37" s="56"/>
      <c r="O37" s="56"/>
    </row>
    <row r="38" spans="1:15" ht="12.75" x14ac:dyDescent="0.2">
      <c r="A38" s="37" t="s">
        <v>712</v>
      </c>
      <c r="B38" s="84">
        <v>881</v>
      </c>
      <c r="C38" s="48">
        <v>1900060219544</v>
      </c>
      <c r="D38" s="38"/>
      <c r="E38" s="84"/>
      <c r="F38" s="48"/>
      <c r="G38" s="49" t="s">
        <v>712</v>
      </c>
      <c r="H38" s="53">
        <v>0</v>
      </c>
      <c r="I38" s="54">
        <v>9478.07</v>
      </c>
      <c r="J38" s="54">
        <v>0.56000000000000005</v>
      </c>
      <c r="K38" s="54">
        <v>0.56000000000000005</v>
      </c>
      <c r="L38" s="55"/>
      <c r="M38" s="56"/>
      <c r="N38" s="56"/>
      <c r="O38" s="56"/>
    </row>
    <row r="39" spans="1:15" ht="51" x14ac:dyDescent="0.2">
      <c r="A39" s="37" t="s">
        <v>713</v>
      </c>
      <c r="B39" s="84">
        <v>888</v>
      </c>
      <c r="C39" s="48" t="s">
        <v>793</v>
      </c>
      <c r="D39" s="38"/>
      <c r="E39" s="84"/>
      <c r="F39" s="48"/>
      <c r="G39" s="49" t="s">
        <v>713</v>
      </c>
      <c r="H39" s="53">
        <v>0</v>
      </c>
      <c r="I39" s="54">
        <v>102100.38</v>
      </c>
      <c r="J39" s="54">
        <v>1.28</v>
      </c>
      <c r="K39" s="54">
        <v>1.28</v>
      </c>
      <c r="L39" s="55"/>
      <c r="M39" s="56"/>
      <c r="N39" s="56"/>
      <c r="O39" s="56"/>
    </row>
    <row r="40" spans="1:15" ht="25.5" x14ac:dyDescent="0.2">
      <c r="A40" s="37" t="s">
        <v>714</v>
      </c>
      <c r="B40" s="84">
        <v>838</v>
      </c>
      <c r="C40" s="48" t="s">
        <v>794</v>
      </c>
      <c r="D40" s="38" t="s">
        <v>714</v>
      </c>
      <c r="E40" s="84">
        <v>691</v>
      </c>
      <c r="F40" s="48" t="s">
        <v>795</v>
      </c>
      <c r="G40" s="49" t="s">
        <v>714</v>
      </c>
      <c r="H40" s="53">
        <v>0</v>
      </c>
      <c r="I40" s="54">
        <v>36603.480000000003</v>
      </c>
      <c r="J40" s="54">
        <v>1.23</v>
      </c>
      <c r="K40" s="54">
        <v>1.23</v>
      </c>
      <c r="L40" s="55">
        <v>0</v>
      </c>
      <c r="M40" s="56">
        <v>2909.72</v>
      </c>
      <c r="N40" s="56">
        <v>0.05</v>
      </c>
      <c r="O40" s="56">
        <v>0.05</v>
      </c>
    </row>
    <row r="41" spans="1:15" ht="12.75" x14ac:dyDescent="0.2">
      <c r="A41" s="37" t="s">
        <v>715</v>
      </c>
      <c r="B41" s="84">
        <v>884</v>
      </c>
      <c r="C41" s="48">
        <v>1900016424857</v>
      </c>
      <c r="D41" s="38" t="s">
        <v>715</v>
      </c>
      <c r="E41" s="84">
        <v>732</v>
      </c>
      <c r="F41" s="48">
        <v>1900060576611</v>
      </c>
      <c r="G41" s="49" t="s">
        <v>715</v>
      </c>
      <c r="H41" s="53">
        <v>0</v>
      </c>
      <c r="I41" s="54">
        <v>10346.73</v>
      </c>
      <c r="J41" s="54">
        <v>2.41</v>
      </c>
      <c r="K41" s="54">
        <v>2.41</v>
      </c>
      <c r="L41" s="55">
        <v>0</v>
      </c>
      <c r="M41" s="56">
        <v>1744.35</v>
      </c>
      <c r="N41" s="56">
        <v>0.05</v>
      </c>
      <c r="O41" s="56">
        <v>0.05</v>
      </c>
    </row>
    <row r="42" spans="1:15" ht="12.75" x14ac:dyDescent="0.2">
      <c r="A42" s="37" t="s">
        <v>716</v>
      </c>
      <c r="B42" s="84">
        <v>839</v>
      </c>
      <c r="C42" s="48">
        <v>1900091206176</v>
      </c>
      <c r="D42" s="38" t="s">
        <v>716</v>
      </c>
      <c r="E42" s="84">
        <v>692</v>
      </c>
      <c r="F42" s="48">
        <v>1900091206194</v>
      </c>
      <c r="G42" s="49" t="s">
        <v>716</v>
      </c>
      <c r="H42" s="53">
        <v>3.008</v>
      </c>
      <c r="I42" s="54">
        <v>7564.02</v>
      </c>
      <c r="J42" s="54">
        <v>3.27</v>
      </c>
      <c r="K42" s="54">
        <v>3.27</v>
      </c>
      <c r="L42" s="55">
        <v>-3.141</v>
      </c>
      <c r="M42" s="56">
        <v>30.5</v>
      </c>
      <c r="N42" s="56">
        <v>0.05</v>
      </c>
      <c r="O42" s="56">
        <v>0.05</v>
      </c>
    </row>
    <row r="43" spans="1:15" ht="12.75" x14ac:dyDescent="0.2">
      <c r="A43" s="204" t="s">
        <v>717</v>
      </c>
      <c r="B43" s="205">
        <v>873</v>
      </c>
      <c r="C43" s="206">
        <v>1900091919588</v>
      </c>
      <c r="D43" s="207" t="s">
        <v>717</v>
      </c>
      <c r="E43" s="205">
        <v>780</v>
      </c>
      <c r="F43" s="206">
        <v>1900091919597</v>
      </c>
      <c r="G43" s="208" t="s">
        <v>717</v>
      </c>
      <c r="H43" s="209">
        <v>2.8580000000000001</v>
      </c>
      <c r="I43" s="210">
        <v>383.88</v>
      </c>
      <c r="J43" s="210">
        <v>1.48</v>
      </c>
      <c r="K43" s="210">
        <v>1.48</v>
      </c>
      <c r="L43" s="211">
        <v>-3.7749999999999999</v>
      </c>
      <c r="M43" s="212">
        <v>966.53</v>
      </c>
      <c r="N43" s="212">
        <v>0.05</v>
      </c>
      <c r="O43" s="212">
        <v>0.05</v>
      </c>
    </row>
    <row r="44" spans="1:15" ht="12.75" x14ac:dyDescent="0.2">
      <c r="A44" s="204" t="s">
        <v>718</v>
      </c>
      <c r="B44" s="205">
        <v>809</v>
      </c>
      <c r="C44" s="206">
        <v>1900091216963</v>
      </c>
      <c r="D44" s="207" t="s">
        <v>718</v>
      </c>
      <c r="E44" s="205">
        <v>741</v>
      </c>
      <c r="F44" s="206">
        <v>1900091216972</v>
      </c>
      <c r="G44" s="208" t="s">
        <v>718</v>
      </c>
      <c r="H44" s="209">
        <v>6.1079999999999997</v>
      </c>
      <c r="I44" s="210">
        <v>357.36</v>
      </c>
      <c r="J44" s="210">
        <v>3.66</v>
      </c>
      <c r="K44" s="210">
        <v>3.66</v>
      </c>
      <c r="L44" s="211">
        <v>0</v>
      </c>
      <c r="M44" s="212">
        <v>992.65</v>
      </c>
      <c r="N44" s="212">
        <v>0.05</v>
      </c>
      <c r="O44" s="212">
        <v>0.05</v>
      </c>
    </row>
    <row r="45" spans="1:15" ht="12.75" x14ac:dyDescent="0.2">
      <c r="A45" s="37" t="s">
        <v>719</v>
      </c>
      <c r="B45" s="84">
        <v>801</v>
      </c>
      <c r="C45" s="48">
        <v>1900090978866</v>
      </c>
      <c r="D45" s="38" t="s">
        <v>719</v>
      </c>
      <c r="E45" s="84">
        <v>734</v>
      </c>
      <c r="F45" s="48">
        <v>1900090978875</v>
      </c>
      <c r="G45" s="49" t="s">
        <v>719</v>
      </c>
      <c r="H45" s="53">
        <v>0</v>
      </c>
      <c r="I45" s="54">
        <v>440.49</v>
      </c>
      <c r="J45" s="54">
        <v>0.65</v>
      </c>
      <c r="K45" s="54">
        <v>0.65</v>
      </c>
      <c r="L45" s="55">
        <v>0</v>
      </c>
      <c r="M45" s="56">
        <v>2785.77</v>
      </c>
      <c r="N45" s="56">
        <v>0.05</v>
      </c>
      <c r="O45" s="56">
        <v>0.05</v>
      </c>
    </row>
    <row r="46" spans="1:15" ht="12.75" x14ac:dyDescent="0.2">
      <c r="A46" s="37" t="s">
        <v>720</v>
      </c>
      <c r="B46" s="84">
        <v>868</v>
      </c>
      <c r="C46" s="48">
        <v>1900060216613</v>
      </c>
      <c r="D46" s="38" t="s">
        <v>720</v>
      </c>
      <c r="E46" s="84">
        <v>725</v>
      </c>
      <c r="F46" s="48">
        <v>1900060436880</v>
      </c>
      <c r="G46" s="49" t="s">
        <v>720</v>
      </c>
      <c r="H46" s="53">
        <v>0</v>
      </c>
      <c r="I46" s="54">
        <v>33041.01</v>
      </c>
      <c r="J46" s="54">
        <v>0.56999999999999995</v>
      </c>
      <c r="K46" s="54">
        <v>0.56999999999999995</v>
      </c>
      <c r="L46" s="55">
        <v>0</v>
      </c>
      <c r="M46" s="56">
        <v>0</v>
      </c>
      <c r="N46" s="56">
        <v>0</v>
      </c>
      <c r="O46" s="56">
        <v>0</v>
      </c>
    </row>
    <row r="47" spans="1:15" ht="12.75" x14ac:dyDescent="0.2">
      <c r="A47" s="204" t="s">
        <v>721</v>
      </c>
      <c r="B47" s="205">
        <v>840</v>
      </c>
      <c r="C47" s="206">
        <v>1900091482588</v>
      </c>
      <c r="D47" s="207" t="s">
        <v>721</v>
      </c>
      <c r="E47" s="205">
        <v>693</v>
      </c>
      <c r="F47" s="206">
        <v>1900091482597</v>
      </c>
      <c r="G47" s="208" t="s">
        <v>721</v>
      </c>
      <c r="H47" s="209">
        <v>0</v>
      </c>
      <c r="I47" s="210">
        <v>690.1</v>
      </c>
      <c r="J47" s="210">
        <v>0.79</v>
      </c>
      <c r="K47" s="210">
        <v>0.79</v>
      </c>
      <c r="L47" s="211">
        <v>0</v>
      </c>
      <c r="M47" s="212">
        <v>2433.31</v>
      </c>
      <c r="N47" s="212">
        <v>0.05</v>
      </c>
      <c r="O47" s="212">
        <v>0.05</v>
      </c>
    </row>
    <row r="48" spans="1:15" ht="12.75" x14ac:dyDescent="0.2">
      <c r="A48" s="204" t="s">
        <v>722</v>
      </c>
      <c r="B48" s="205">
        <v>841</v>
      </c>
      <c r="C48" s="206">
        <v>1900091632775</v>
      </c>
      <c r="D48" s="207" t="s">
        <v>722</v>
      </c>
      <c r="E48" s="205">
        <v>694</v>
      </c>
      <c r="F48" s="206">
        <v>1900091632784</v>
      </c>
      <c r="G48" s="208" t="s">
        <v>722</v>
      </c>
      <c r="H48" s="209">
        <v>0</v>
      </c>
      <c r="I48" s="210">
        <v>33073.07</v>
      </c>
      <c r="J48" s="210">
        <v>0.7</v>
      </c>
      <c r="K48" s="210">
        <v>0.7</v>
      </c>
      <c r="L48" s="211">
        <v>-5.0999999999999997E-2</v>
      </c>
      <c r="M48" s="212">
        <v>349.22</v>
      </c>
      <c r="N48" s="212">
        <v>0.05</v>
      </c>
      <c r="O48" s="212">
        <v>0.05</v>
      </c>
    </row>
    <row r="49" spans="1:15" ht="12.75" x14ac:dyDescent="0.2">
      <c r="A49" s="204" t="s">
        <v>723</v>
      </c>
      <c r="B49" s="205">
        <v>890</v>
      </c>
      <c r="C49" s="206">
        <v>1900091343778</v>
      </c>
      <c r="D49" s="207" t="s">
        <v>723</v>
      </c>
      <c r="E49" s="205">
        <v>713</v>
      </c>
      <c r="F49" s="206">
        <v>1900091343787</v>
      </c>
      <c r="G49" s="208" t="s">
        <v>723</v>
      </c>
      <c r="H49" s="209">
        <v>9.2230000000000008</v>
      </c>
      <c r="I49" s="210">
        <v>356.39</v>
      </c>
      <c r="J49" s="210">
        <v>0.98</v>
      </c>
      <c r="K49" s="210">
        <v>0.98</v>
      </c>
      <c r="L49" s="211">
        <v>0</v>
      </c>
      <c r="M49" s="212">
        <v>875.64</v>
      </c>
      <c r="N49" s="212">
        <v>0.05</v>
      </c>
      <c r="O49" s="212">
        <v>0.05</v>
      </c>
    </row>
    <row r="50" spans="1:15" ht="12.75" x14ac:dyDescent="0.2">
      <c r="A50" s="204" t="s">
        <v>724</v>
      </c>
      <c r="B50" s="205">
        <v>830</v>
      </c>
      <c r="C50" s="206">
        <v>1900091463646</v>
      </c>
      <c r="D50" s="207" t="s">
        <v>724</v>
      </c>
      <c r="E50" s="205">
        <v>712</v>
      </c>
      <c r="F50" s="206">
        <v>1900091463655</v>
      </c>
      <c r="G50" s="208" t="s">
        <v>724</v>
      </c>
      <c r="H50" s="209">
        <v>9.2230000000000008</v>
      </c>
      <c r="I50" s="210">
        <v>354.31</v>
      </c>
      <c r="J50" s="210">
        <v>1.19</v>
      </c>
      <c r="K50" s="210">
        <v>1.19</v>
      </c>
      <c r="L50" s="211">
        <v>0</v>
      </c>
      <c r="M50" s="212">
        <v>560.55999999999995</v>
      </c>
      <c r="N50" s="212">
        <v>0.05</v>
      </c>
      <c r="O50" s="212">
        <v>0.05</v>
      </c>
    </row>
    <row r="51" spans="1:15" ht="12.75" x14ac:dyDescent="0.2">
      <c r="A51" s="204" t="s">
        <v>725</v>
      </c>
      <c r="B51" s="205">
        <v>891</v>
      </c>
      <c r="C51" s="206">
        <v>1900091395508</v>
      </c>
      <c r="D51" s="207" t="s">
        <v>725</v>
      </c>
      <c r="E51" s="205">
        <v>705</v>
      </c>
      <c r="F51" s="206">
        <v>1900091395517</v>
      </c>
      <c r="G51" s="208" t="s">
        <v>725</v>
      </c>
      <c r="H51" s="209">
        <v>3.2000000000000001E-2</v>
      </c>
      <c r="I51" s="210">
        <v>352.38</v>
      </c>
      <c r="J51" s="210">
        <v>2.72</v>
      </c>
      <c r="K51" s="210">
        <v>2.72</v>
      </c>
      <c r="L51" s="211">
        <v>0</v>
      </c>
      <c r="M51" s="212">
        <v>950.18</v>
      </c>
      <c r="N51" s="212">
        <v>0.05</v>
      </c>
      <c r="O51" s="212">
        <v>0.05</v>
      </c>
    </row>
    <row r="52" spans="1:15" ht="12.75" x14ac:dyDescent="0.2">
      <c r="A52" s="204" t="s">
        <v>726</v>
      </c>
      <c r="B52" s="205">
        <v>842</v>
      </c>
      <c r="C52" s="206">
        <v>1900091566810</v>
      </c>
      <c r="D52" s="207" t="s">
        <v>726</v>
      </c>
      <c r="E52" s="205">
        <v>695</v>
      </c>
      <c r="F52" s="206">
        <v>1900091566820</v>
      </c>
      <c r="G52" s="208" t="s">
        <v>726</v>
      </c>
      <c r="H52" s="209">
        <v>1.8680000000000001</v>
      </c>
      <c r="I52" s="210">
        <v>7722.63</v>
      </c>
      <c r="J52" s="210">
        <v>0.84</v>
      </c>
      <c r="K52" s="210">
        <v>0.84</v>
      </c>
      <c r="L52" s="211">
        <v>-1.877</v>
      </c>
      <c r="M52" s="212">
        <v>349.22</v>
      </c>
      <c r="N52" s="212">
        <v>0.05</v>
      </c>
      <c r="O52" s="212">
        <v>0.05</v>
      </c>
    </row>
    <row r="53" spans="1:15" ht="12.75" x14ac:dyDescent="0.2">
      <c r="A53" s="204" t="s">
        <v>727</v>
      </c>
      <c r="B53" s="205">
        <v>843</v>
      </c>
      <c r="C53" s="206">
        <v>1900091523116</v>
      </c>
      <c r="D53" s="207" t="s">
        <v>727</v>
      </c>
      <c r="E53" s="205">
        <v>696</v>
      </c>
      <c r="F53" s="206">
        <v>1900091523125</v>
      </c>
      <c r="G53" s="208" t="s">
        <v>727</v>
      </c>
      <c r="H53" s="209">
        <v>0.02</v>
      </c>
      <c r="I53" s="210">
        <v>381.78</v>
      </c>
      <c r="J53" s="210">
        <v>1.1499999999999999</v>
      </c>
      <c r="K53" s="210">
        <v>1.1499999999999999</v>
      </c>
      <c r="L53" s="211">
        <v>-0.38600000000000001</v>
      </c>
      <c r="M53" s="212">
        <v>728.42</v>
      </c>
      <c r="N53" s="212">
        <v>0.05</v>
      </c>
      <c r="O53" s="212">
        <v>0.05</v>
      </c>
    </row>
    <row r="54" spans="1:15" ht="25.5" x14ac:dyDescent="0.2">
      <c r="A54" s="204" t="s">
        <v>728</v>
      </c>
      <c r="B54" s="205">
        <v>871</v>
      </c>
      <c r="C54" s="206" t="s">
        <v>796</v>
      </c>
      <c r="D54" s="207" t="s">
        <v>728</v>
      </c>
      <c r="E54" s="205">
        <v>726</v>
      </c>
      <c r="F54" s="206" t="s">
        <v>797</v>
      </c>
      <c r="G54" s="208" t="s">
        <v>728</v>
      </c>
      <c r="H54" s="209">
        <v>0</v>
      </c>
      <c r="I54" s="210">
        <v>370.37</v>
      </c>
      <c r="J54" s="210">
        <v>0.69</v>
      </c>
      <c r="K54" s="210">
        <v>0.69</v>
      </c>
      <c r="L54" s="211">
        <v>0</v>
      </c>
      <c r="M54" s="212">
        <v>0</v>
      </c>
      <c r="N54" s="212">
        <v>0</v>
      </c>
      <c r="O54" s="212">
        <v>0</v>
      </c>
    </row>
    <row r="55" spans="1:15" ht="12.75" x14ac:dyDescent="0.2">
      <c r="A55" s="37" t="s">
        <v>729</v>
      </c>
      <c r="B55" s="84">
        <v>802</v>
      </c>
      <c r="C55" s="48">
        <v>1900090834409</v>
      </c>
      <c r="D55" s="38" t="s">
        <v>729</v>
      </c>
      <c r="E55" s="84">
        <v>738</v>
      </c>
      <c r="F55" s="48">
        <v>1900090834418</v>
      </c>
      <c r="G55" s="49" t="s">
        <v>729</v>
      </c>
      <c r="H55" s="53">
        <v>0.77500000000000002</v>
      </c>
      <c r="I55" s="54">
        <v>9018.74</v>
      </c>
      <c r="J55" s="54">
        <v>1.27</v>
      </c>
      <c r="K55" s="54">
        <v>1.27</v>
      </c>
      <c r="L55" s="55">
        <v>-0.95</v>
      </c>
      <c r="M55" s="56">
        <v>4888.3100000000004</v>
      </c>
      <c r="N55" s="56">
        <v>0.05</v>
      </c>
      <c r="O55" s="56">
        <v>0.05</v>
      </c>
    </row>
    <row r="56" spans="1:15" ht="12.75" x14ac:dyDescent="0.2">
      <c r="A56" s="37" t="s">
        <v>730</v>
      </c>
      <c r="B56" s="84">
        <v>810</v>
      </c>
      <c r="C56" s="48">
        <v>1900091199350</v>
      </c>
      <c r="D56" s="38" t="s">
        <v>730</v>
      </c>
      <c r="E56" s="84">
        <v>742</v>
      </c>
      <c r="F56" s="48">
        <v>1900091199379</v>
      </c>
      <c r="G56" s="49" t="s">
        <v>730</v>
      </c>
      <c r="H56" s="53">
        <v>4.0999999999999996</v>
      </c>
      <c r="I56" s="54">
        <v>396.89</v>
      </c>
      <c r="J56" s="54">
        <v>0.85</v>
      </c>
      <c r="K56" s="54">
        <v>0.85</v>
      </c>
      <c r="L56" s="55">
        <v>0</v>
      </c>
      <c r="M56" s="56">
        <v>1094.5899999999999</v>
      </c>
      <c r="N56" s="56">
        <v>0.05</v>
      </c>
      <c r="O56" s="56">
        <v>0.05</v>
      </c>
    </row>
    <row r="57" spans="1:15" ht="12.75" x14ac:dyDescent="0.2">
      <c r="A57" s="204" t="s">
        <v>731</v>
      </c>
      <c r="B57" s="205">
        <v>893</v>
      </c>
      <c r="C57" s="206">
        <v>1900091353298</v>
      </c>
      <c r="D57" s="207" t="s">
        <v>731</v>
      </c>
      <c r="E57" s="205">
        <v>706</v>
      </c>
      <c r="F57" s="206">
        <v>1900091353303</v>
      </c>
      <c r="G57" s="208" t="s">
        <v>731</v>
      </c>
      <c r="H57" s="209">
        <v>0.61599999999999999</v>
      </c>
      <c r="I57" s="210">
        <v>348.5</v>
      </c>
      <c r="J57" s="210">
        <v>2.76</v>
      </c>
      <c r="K57" s="210">
        <v>2.76</v>
      </c>
      <c r="L57" s="211">
        <v>0</v>
      </c>
      <c r="M57" s="212">
        <v>710.39</v>
      </c>
      <c r="N57" s="212">
        <v>0.05</v>
      </c>
      <c r="O57" s="212">
        <v>0.05</v>
      </c>
    </row>
    <row r="58" spans="1:15" ht="12.75" x14ac:dyDescent="0.2">
      <c r="A58" s="204" t="s">
        <v>732</v>
      </c>
      <c r="B58" s="205">
        <v>894</v>
      </c>
      <c r="C58" s="206">
        <v>1900091343750</v>
      </c>
      <c r="D58" s="207" t="s">
        <v>732</v>
      </c>
      <c r="E58" s="205">
        <v>716</v>
      </c>
      <c r="F58" s="206">
        <v>1900091343769</v>
      </c>
      <c r="G58" s="208" t="s">
        <v>732</v>
      </c>
      <c r="H58" s="209">
        <v>4.2720000000000002</v>
      </c>
      <c r="I58" s="210">
        <v>354.23</v>
      </c>
      <c r="J58" s="210">
        <v>1.24</v>
      </c>
      <c r="K58" s="210">
        <v>1.24</v>
      </c>
      <c r="L58" s="211">
        <v>0</v>
      </c>
      <c r="M58" s="212">
        <v>659.78</v>
      </c>
      <c r="N58" s="212">
        <v>0.05</v>
      </c>
      <c r="O58" s="212">
        <v>0.05</v>
      </c>
    </row>
    <row r="59" spans="1:15" ht="12.75" x14ac:dyDescent="0.2">
      <c r="A59" s="204" t="s">
        <v>733</v>
      </c>
      <c r="B59" s="205">
        <v>872</v>
      </c>
      <c r="C59" s="206">
        <v>1900060831692</v>
      </c>
      <c r="D59" s="207" t="s">
        <v>733</v>
      </c>
      <c r="E59" s="205">
        <v>730</v>
      </c>
      <c r="F59" s="206">
        <v>1900060831708</v>
      </c>
      <c r="G59" s="208" t="s">
        <v>733</v>
      </c>
      <c r="H59" s="209">
        <v>2E-3</v>
      </c>
      <c r="I59" s="210">
        <v>460.93</v>
      </c>
      <c r="J59" s="210">
        <v>0.69</v>
      </c>
      <c r="K59" s="210">
        <v>0.69</v>
      </c>
      <c r="L59" s="211">
        <v>-4.0000000000000001E-3</v>
      </c>
      <c r="M59" s="212">
        <v>302.14</v>
      </c>
      <c r="N59" s="212">
        <v>0.05</v>
      </c>
      <c r="O59" s="212">
        <v>0.05</v>
      </c>
    </row>
    <row r="60" spans="1:15" s="190" customFormat="1" ht="12.75" x14ac:dyDescent="0.2">
      <c r="A60" s="37" t="s">
        <v>734</v>
      </c>
      <c r="B60" s="84">
        <v>836</v>
      </c>
      <c r="C60" s="48">
        <v>1900091057568</v>
      </c>
      <c r="D60" s="38" t="s">
        <v>734</v>
      </c>
      <c r="E60" s="84">
        <v>767</v>
      </c>
      <c r="F60" s="48">
        <v>1900091057559</v>
      </c>
      <c r="G60" s="49" t="s">
        <v>734</v>
      </c>
      <c r="H60" s="53">
        <v>0</v>
      </c>
      <c r="I60" s="54">
        <v>478.19</v>
      </c>
      <c r="J60" s="54">
        <v>0.75</v>
      </c>
      <c r="K60" s="54">
        <v>0.75</v>
      </c>
      <c r="L60" s="55">
        <v>0</v>
      </c>
      <c r="M60" s="56">
        <v>2010.65</v>
      </c>
      <c r="N60" s="56">
        <v>0.05</v>
      </c>
      <c r="O60" s="56">
        <v>0.05</v>
      </c>
    </row>
    <row r="61" spans="1:15" ht="12.75" x14ac:dyDescent="0.2">
      <c r="A61" s="37" t="s">
        <v>735</v>
      </c>
      <c r="B61" s="84">
        <v>804</v>
      </c>
      <c r="C61" s="48">
        <v>1900091637072</v>
      </c>
      <c r="D61" s="38" t="s">
        <v>735</v>
      </c>
      <c r="E61" s="84">
        <v>704</v>
      </c>
      <c r="F61" s="48">
        <v>1900091637081</v>
      </c>
      <c r="G61" s="49" t="s">
        <v>735</v>
      </c>
      <c r="H61" s="53">
        <v>0</v>
      </c>
      <c r="I61" s="54">
        <v>19446.490000000002</v>
      </c>
      <c r="J61" s="54">
        <v>0.56999999999999995</v>
      </c>
      <c r="K61" s="54">
        <v>0.56999999999999995</v>
      </c>
      <c r="L61" s="55">
        <v>0</v>
      </c>
      <c r="M61" s="56">
        <v>1227.8499999999999</v>
      </c>
      <c r="N61" s="56">
        <v>0.05</v>
      </c>
      <c r="O61" s="56">
        <v>0.05</v>
      </c>
    </row>
    <row r="62" spans="1:15" ht="12.75" x14ac:dyDescent="0.2">
      <c r="A62" s="204" t="s">
        <v>736</v>
      </c>
      <c r="B62" s="205">
        <v>895</v>
      </c>
      <c r="C62" s="206">
        <v>1900091361962</v>
      </c>
      <c r="D62" s="207" t="s">
        <v>736</v>
      </c>
      <c r="E62" s="205">
        <v>707</v>
      </c>
      <c r="F62" s="206">
        <v>1900091361971</v>
      </c>
      <c r="G62" s="208" t="s">
        <v>736</v>
      </c>
      <c r="H62" s="209">
        <v>1.0029999999999999</v>
      </c>
      <c r="I62" s="210">
        <v>359.09</v>
      </c>
      <c r="J62" s="210">
        <v>0.99</v>
      </c>
      <c r="K62" s="210">
        <v>0.99</v>
      </c>
      <c r="L62" s="211">
        <v>0</v>
      </c>
      <c r="M62" s="212">
        <v>654.91999999999996</v>
      </c>
      <c r="N62" s="212">
        <v>0.05</v>
      </c>
      <c r="O62" s="212">
        <v>0.05</v>
      </c>
    </row>
    <row r="63" spans="1:15" ht="12.75" x14ac:dyDescent="0.2">
      <c r="A63" s="204" t="s">
        <v>737</v>
      </c>
      <c r="B63" s="205">
        <v>811</v>
      </c>
      <c r="C63" s="206">
        <v>1900091200388</v>
      </c>
      <c r="D63" s="207" t="s">
        <v>737</v>
      </c>
      <c r="E63" s="205">
        <v>743</v>
      </c>
      <c r="F63" s="206">
        <v>1900091200397</v>
      </c>
      <c r="G63" s="208" t="s">
        <v>737</v>
      </c>
      <c r="H63" s="209">
        <v>0</v>
      </c>
      <c r="I63" s="210">
        <v>365.73</v>
      </c>
      <c r="J63" s="210">
        <v>1.1000000000000001</v>
      </c>
      <c r="K63" s="210">
        <v>1.1000000000000001</v>
      </c>
      <c r="L63" s="211">
        <v>0</v>
      </c>
      <c r="M63" s="212">
        <v>904.77</v>
      </c>
      <c r="N63" s="212">
        <v>0.05</v>
      </c>
      <c r="O63" s="212">
        <v>0.05</v>
      </c>
    </row>
    <row r="64" spans="1:15" ht="30" customHeight="1" x14ac:dyDescent="0.2">
      <c r="A64" s="37" t="s">
        <v>738</v>
      </c>
      <c r="B64" s="84">
        <v>844</v>
      </c>
      <c r="C64" s="48" t="s">
        <v>1768</v>
      </c>
      <c r="D64" s="38" t="s">
        <v>738</v>
      </c>
      <c r="E64" s="84">
        <v>697</v>
      </c>
      <c r="F64" s="48" t="s">
        <v>1771</v>
      </c>
      <c r="G64" s="49" t="s">
        <v>738</v>
      </c>
      <c r="H64" s="53">
        <v>0</v>
      </c>
      <c r="I64" s="54">
        <v>388.13</v>
      </c>
      <c r="J64" s="54">
        <v>0.65</v>
      </c>
      <c r="K64" s="54">
        <v>0.65</v>
      </c>
      <c r="L64" s="55">
        <v>0</v>
      </c>
      <c r="M64" s="56">
        <v>388.13</v>
      </c>
      <c r="N64" s="56">
        <v>0.05</v>
      </c>
      <c r="O64" s="56">
        <v>0.05</v>
      </c>
    </row>
    <row r="65" spans="1:15" ht="12.75" x14ac:dyDescent="0.2">
      <c r="A65" s="37" t="s">
        <v>739</v>
      </c>
      <c r="B65" s="84">
        <v>875</v>
      </c>
      <c r="C65" s="48">
        <v>1900060225185</v>
      </c>
      <c r="D65" s="38" t="s">
        <v>739</v>
      </c>
      <c r="E65" s="84">
        <v>727</v>
      </c>
      <c r="F65" s="48">
        <v>1900060225194</v>
      </c>
      <c r="G65" s="49" t="s">
        <v>739</v>
      </c>
      <c r="H65" s="53">
        <v>0</v>
      </c>
      <c r="I65" s="54">
        <v>33139.79</v>
      </c>
      <c r="J65" s="54">
        <v>0.59</v>
      </c>
      <c r="K65" s="54">
        <v>0.59</v>
      </c>
      <c r="L65" s="55">
        <v>0</v>
      </c>
      <c r="M65" s="56">
        <v>0</v>
      </c>
      <c r="N65" s="56">
        <v>0</v>
      </c>
      <c r="O65" s="56">
        <v>0</v>
      </c>
    </row>
    <row r="66" spans="1:15" ht="12.75" x14ac:dyDescent="0.2">
      <c r="A66" s="204" t="s">
        <v>740</v>
      </c>
      <c r="B66" s="205">
        <v>831</v>
      </c>
      <c r="C66" s="206">
        <v>1900091338040</v>
      </c>
      <c r="D66" s="207" t="s">
        <v>740</v>
      </c>
      <c r="E66" s="205">
        <v>708</v>
      </c>
      <c r="F66" s="206">
        <v>1900091338059</v>
      </c>
      <c r="G66" s="208" t="s">
        <v>740</v>
      </c>
      <c r="H66" s="209">
        <v>0.90300000000000002</v>
      </c>
      <c r="I66" s="210">
        <v>362.94</v>
      </c>
      <c r="J66" s="210">
        <v>1.28</v>
      </c>
      <c r="K66" s="210">
        <v>1.28</v>
      </c>
      <c r="L66" s="211">
        <v>0</v>
      </c>
      <c r="M66" s="212">
        <v>1530.84</v>
      </c>
      <c r="N66" s="212">
        <v>0.05</v>
      </c>
      <c r="O66" s="212">
        <v>0.05</v>
      </c>
    </row>
    <row r="67" spans="1:15" ht="12.75" x14ac:dyDescent="0.2">
      <c r="A67" s="204" t="s">
        <v>741</v>
      </c>
      <c r="B67" s="205">
        <v>812</v>
      </c>
      <c r="C67" s="206">
        <v>1900091217043</v>
      </c>
      <c r="D67" s="207" t="s">
        <v>741</v>
      </c>
      <c r="E67" s="205">
        <v>744</v>
      </c>
      <c r="F67" s="206">
        <v>1900091217052</v>
      </c>
      <c r="G67" s="208" t="s">
        <v>741</v>
      </c>
      <c r="H67" s="209">
        <v>0.52600000000000002</v>
      </c>
      <c r="I67" s="210">
        <v>349.47</v>
      </c>
      <c r="J67" s="210">
        <v>2.56</v>
      </c>
      <c r="K67" s="210">
        <v>2.56</v>
      </c>
      <c r="L67" s="211">
        <v>0</v>
      </c>
      <c r="M67" s="212">
        <v>696.6</v>
      </c>
      <c r="N67" s="212">
        <v>0.05</v>
      </c>
      <c r="O67" s="212">
        <v>0.05</v>
      </c>
    </row>
    <row r="68" spans="1:15" ht="25.5" x14ac:dyDescent="0.2">
      <c r="A68" s="204" t="s">
        <v>742</v>
      </c>
      <c r="B68" s="205">
        <v>876</v>
      </c>
      <c r="C68" s="206" t="s">
        <v>798</v>
      </c>
      <c r="D68" s="207" t="s">
        <v>742</v>
      </c>
      <c r="E68" s="205">
        <v>728</v>
      </c>
      <c r="F68" s="206" t="s">
        <v>799</v>
      </c>
      <c r="G68" s="208" t="s">
        <v>742</v>
      </c>
      <c r="H68" s="209">
        <v>0</v>
      </c>
      <c r="I68" s="210">
        <v>349.45</v>
      </c>
      <c r="J68" s="210">
        <v>0.64</v>
      </c>
      <c r="K68" s="210">
        <v>0.64</v>
      </c>
      <c r="L68" s="211">
        <v>0</v>
      </c>
      <c r="M68" s="212">
        <v>0</v>
      </c>
      <c r="N68" s="212">
        <v>0</v>
      </c>
      <c r="O68" s="212">
        <v>0</v>
      </c>
    </row>
    <row r="69" spans="1:15" ht="12.75" x14ac:dyDescent="0.2">
      <c r="A69" s="204" t="s">
        <v>743</v>
      </c>
      <c r="B69" s="205">
        <v>813</v>
      </c>
      <c r="C69" s="206">
        <v>1900091217070</v>
      </c>
      <c r="D69" s="207" t="s">
        <v>743</v>
      </c>
      <c r="E69" s="205">
        <v>745</v>
      </c>
      <c r="F69" s="206">
        <v>1900091217080</v>
      </c>
      <c r="G69" s="208" t="s">
        <v>743</v>
      </c>
      <c r="H69" s="209">
        <v>0</v>
      </c>
      <c r="I69" s="210">
        <v>357.14</v>
      </c>
      <c r="J69" s="210">
        <v>1.03</v>
      </c>
      <c r="K69" s="210">
        <v>1.03</v>
      </c>
      <c r="L69" s="211">
        <v>0</v>
      </c>
      <c r="M69" s="212">
        <v>766.76</v>
      </c>
      <c r="N69" s="212">
        <v>0.05</v>
      </c>
      <c r="O69" s="212">
        <v>0.05</v>
      </c>
    </row>
    <row r="70" spans="1:15" ht="12.75" x14ac:dyDescent="0.2">
      <c r="A70" s="204" t="s">
        <v>744</v>
      </c>
      <c r="B70" s="205">
        <v>824</v>
      </c>
      <c r="C70" s="206">
        <v>1900091200068</v>
      </c>
      <c r="D70" s="207" t="s">
        <v>744</v>
      </c>
      <c r="E70" s="205">
        <v>701</v>
      </c>
      <c r="F70" s="206">
        <v>1900091200077</v>
      </c>
      <c r="G70" s="208" t="s">
        <v>744</v>
      </c>
      <c r="H70" s="209">
        <v>0</v>
      </c>
      <c r="I70" s="210">
        <v>360.94</v>
      </c>
      <c r="J70" s="210">
        <v>12.79</v>
      </c>
      <c r="K70" s="210">
        <v>12.79</v>
      </c>
      <c r="L70" s="211">
        <v>0</v>
      </c>
      <c r="M70" s="212">
        <v>1730.34</v>
      </c>
      <c r="N70" s="212">
        <v>0.05</v>
      </c>
      <c r="O70" s="212">
        <v>0.05</v>
      </c>
    </row>
    <row r="71" spans="1:15" ht="12.75" x14ac:dyDescent="0.2">
      <c r="A71" s="37" t="s">
        <v>745</v>
      </c>
      <c r="B71" s="84">
        <v>814</v>
      </c>
      <c r="C71" s="48">
        <v>1900091199519</v>
      </c>
      <c r="D71" s="38" t="s">
        <v>745</v>
      </c>
      <c r="E71" s="84">
        <v>746</v>
      </c>
      <c r="F71" s="48">
        <v>1900091199528</v>
      </c>
      <c r="G71" s="49" t="s">
        <v>745</v>
      </c>
      <c r="H71" s="53">
        <v>0</v>
      </c>
      <c r="I71" s="54">
        <v>356</v>
      </c>
      <c r="J71" s="54">
        <v>0.63</v>
      </c>
      <c r="K71" s="54">
        <v>0.63</v>
      </c>
      <c r="L71" s="55">
        <v>0</v>
      </c>
      <c r="M71" s="56">
        <v>308.79000000000002</v>
      </c>
      <c r="N71" s="56">
        <v>0.05</v>
      </c>
      <c r="O71" s="56">
        <v>0.05</v>
      </c>
    </row>
    <row r="72" spans="1:15" ht="12.75" x14ac:dyDescent="0.2">
      <c r="A72" s="37" t="s">
        <v>746</v>
      </c>
      <c r="B72" s="84">
        <v>877</v>
      </c>
      <c r="C72" s="48">
        <v>1900070122273</v>
      </c>
      <c r="D72" s="38" t="s">
        <v>746</v>
      </c>
      <c r="E72" s="84">
        <v>722</v>
      </c>
      <c r="F72" s="48">
        <v>1900070122343</v>
      </c>
      <c r="G72" s="49" t="s">
        <v>746</v>
      </c>
      <c r="H72" s="53">
        <v>0</v>
      </c>
      <c r="I72" s="54">
        <v>354.53</v>
      </c>
      <c r="J72" s="54">
        <v>0.64</v>
      </c>
      <c r="K72" s="54">
        <v>0.64</v>
      </c>
      <c r="L72" s="55">
        <v>0</v>
      </c>
      <c r="M72" s="56">
        <v>0</v>
      </c>
      <c r="N72" s="56">
        <v>0</v>
      </c>
      <c r="O72" s="56">
        <v>0</v>
      </c>
    </row>
    <row r="73" spans="1:15" ht="12.75" x14ac:dyDescent="0.2">
      <c r="A73" s="37" t="s">
        <v>747</v>
      </c>
      <c r="B73" s="84">
        <v>846</v>
      </c>
      <c r="C73" s="48">
        <v>1900091669720</v>
      </c>
      <c r="D73" s="38" t="s">
        <v>747</v>
      </c>
      <c r="E73" s="84">
        <v>699</v>
      </c>
      <c r="F73" s="48">
        <v>1900091669739</v>
      </c>
      <c r="G73" s="49" t="s">
        <v>747</v>
      </c>
      <c r="H73" s="53">
        <v>1.4E-2</v>
      </c>
      <c r="I73" s="54">
        <v>7636.59</v>
      </c>
      <c r="J73" s="54">
        <v>1.06</v>
      </c>
      <c r="K73" s="54">
        <v>1.06</v>
      </c>
      <c r="L73" s="55">
        <v>-1.4E-2</v>
      </c>
      <c r="M73" s="56">
        <v>2493.69</v>
      </c>
      <c r="N73" s="56">
        <v>0.05</v>
      </c>
      <c r="O73" s="56">
        <v>0.05</v>
      </c>
    </row>
    <row r="74" spans="1:15" ht="12.75" x14ac:dyDescent="0.2">
      <c r="A74" s="204" t="s">
        <v>748</v>
      </c>
      <c r="B74" s="205">
        <v>803</v>
      </c>
      <c r="C74" s="206">
        <v>1900091091930</v>
      </c>
      <c r="D74" s="207" t="s">
        <v>748</v>
      </c>
      <c r="E74" s="205">
        <v>735</v>
      </c>
      <c r="F74" s="206">
        <v>1900091091940</v>
      </c>
      <c r="G74" s="208" t="s">
        <v>748</v>
      </c>
      <c r="H74" s="209">
        <v>0</v>
      </c>
      <c r="I74" s="210">
        <v>361.32</v>
      </c>
      <c r="J74" s="210">
        <v>1.31</v>
      </c>
      <c r="K74" s="210">
        <v>1.31</v>
      </c>
      <c r="L74" s="211">
        <v>0</v>
      </c>
      <c r="M74" s="212">
        <v>1293.92</v>
      </c>
      <c r="N74" s="212">
        <v>0.05</v>
      </c>
      <c r="O74" s="212">
        <v>0.05</v>
      </c>
    </row>
    <row r="75" spans="1:15" ht="12.75" x14ac:dyDescent="0.2">
      <c r="A75" s="204" t="s">
        <v>749</v>
      </c>
      <c r="B75" s="205">
        <v>815</v>
      </c>
      <c r="C75" s="206">
        <v>1900091171267</v>
      </c>
      <c r="D75" s="207" t="s">
        <v>749</v>
      </c>
      <c r="E75" s="205">
        <v>747</v>
      </c>
      <c r="F75" s="206">
        <v>1900091171276</v>
      </c>
      <c r="G75" s="208" t="s">
        <v>749</v>
      </c>
      <c r="H75" s="209">
        <v>0.28000000000000003</v>
      </c>
      <c r="I75" s="210">
        <v>355.58</v>
      </c>
      <c r="J75" s="210">
        <v>2.98</v>
      </c>
      <c r="K75" s="210">
        <v>2.98</v>
      </c>
      <c r="L75" s="211">
        <v>0</v>
      </c>
      <c r="M75" s="212">
        <v>745</v>
      </c>
      <c r="N75" s="212">
        <v>0.05</v>
      </c>
      <c r="O75" s="212">
        <v>0.05</v>
      </c>
    </row>
    <row r="76" spans="1:15" ht="12.75" x14ac:dyDescent="0.2">
      <c r="A76" s="204" t="s">
        <v>750</v>
      </c>
      <c r="B76" s="205">
        <v>878</v>
      </c>
      <c r="C76" s="206">
        <v>1900090194653</v>
      </c>
      <c r="D76" s="207" t="s">
        <v>750</v>
      </c>
      <c r="E76" s="205">
        <v>721</v>
      </c>
      <c r="F76" s="206">
        <v>1900090194644</v>
      </c>
      <c r="G76" s="208" t="s">
        <v>750</v>
      </c>
      <c r="H76" s="209">
        <v>4.3999999999999997E-2</v>
      </c>
      <c r="I76" s="210">
        <v>353.57</v>
      </c>
      <c r="J76" s="210">
        <v>0.73</v>
      </c>
      <c r="K76" s="210">
        <v>0.73</v>
      </c>
      <c r="L76" s="211">
        <v>0</v>
      </c>
      <c r="M76" s="212">
        <v>770.33</v>
      </c>
      <c r="N76" s="212">
        <v>0.05</v>
      </c>
      <c r="O76" s="212">
        <v>0.05</v>
      </c>
    </row>
    <row r="77" spans="1:15" ht="12.75" x14ac:dyDescent="0.2">
      <c r="A77" s="204" t="s">
        <v>751</v>
      </c>
      <c r="B77" s="205">
        <v>808</v>
      </c>
      <c r="C77" s="206">
        <v>1900091081560</v>
      </c>
      <c r="D77" s="207" t="s">
        <v>751</v>
      </c>
      <c r="E77" s="205">
        <v>736</v>
      </c>
      <c r="F77" s="206">
        <v>1900091081570</v>
      </c>
      <c r="G77" s="208" t="s">
        <v>751</v>
      </c>
      <c r="H77" s="209">
        <v>6.742</v>
      </c>
      <c r="I77" s="210">
        <v>360.58</v>
      </c>
      <c r="J77" s="210">
        <v>2.0299999999999998</v>
      </c>
      <c r="K77" s="210">
        <v>2.0299999999999998</v>
      </c>
      <c r="L77" s="211">
        <v>0</v>
      </c>
      <c r="M77" s="212">
        <v>1294.6600000000001</v>
      </c>
      <c r="N77" s="212">
        <v>0.05</v>
      </c>
      <c r="O77" s="212">
        <v>0.05</v>
      </c>
    </row>
    <row r="78" spans="1:15" ht="12.75" x14ac:dyDescent="0.2">
      <c r="A78" s="204" t="s">
        <v>752</v>
      </c>
      <c r="B78" s="205">
        <v>816</v>
      </c>
      <c r="C78" s="206">
        <v>1900091200138</v>
      </c>
      <c r="D78" s="207" t="s">
        <v>752</v>
      </c>
      <c r="E78" s="205">
        <v>748</v>
      </c>
      <c r="F78" s="206">
        <v>1900091200147</v>
      </c>
      <c r="G78" s="208" t="s">
        <v>752</v>
      </c>
      <c r="H78" s="209">
        <v>1.1279999999999999</v>
      </c>
      <c r="I78" s="210">
        <v>358.73</v>
      </c>
      <c r="J78" s="210">
        <v>1.38</v>
      </c>
      <c r="K78" s="210">
        <v>1.38</v>
      </c>
      <c r="L78" s="211">
        <v>0</v>
      </c>
      <c r="M78" s="212">
        <v>777.11</v>
      </c>
      <c r="N78" s="212">
        <v>0.05</v>
      </c>
      <c r="O78" s="212">
        <v>0.05</v>
      </c>
    </row>
    <row r="79" spans="1:15" ht="12.75" x14ac:dyDescent="0.2">
      <c r="A79" s="204" t="s">
        <v>753</v>
      </c>
      <c r="B79" s="205">
        <v>896</v>
      </c>
      <c r="C79" s="206">
        <v>1900091310596</v>
      </c>
      <c r="D79" s="207" t="s">
        <v>753</v>
      </c>
      <c r="E79" s="205">
        <v>709</v>
      </c>
      <c r="F79" s="206">
        <v>1900091310601</v>
      </c>
      <c r="G79" s="208" t="s">
        <v>753</v>
      </c>
      <c r="H79" s="209">
        <v>0</v>
      </c>
      <c r="I79" s="210">
        <v>367.87</v>
      </c>
      <c r="J79" s="210">
        <v>1.04</v>
      </c>
      <c r="K79" s="210">
        <v>1.04</v>
      </c>
      <c r="L79" s="211">
        <v>0</v>
      </c>
      <c r="M79" s="212">
        <v>825.68</v>
      </c>
      <c r="N79" s="212">
        <v>0.05</v>
      </c>
      <c r="O79" s="212">
        <v>0.05</v>
      </c>
    </row>
    <row r="80" spans="1:15" ht="12.75" x14ac:dyDescent="0.2">
      <c r="A80" s="204" t="s">
        <v>754</v>
      </c>
      <c r="B80" s="205">
        <v>819</v>
      </c>
      <c r="C80" s="206">
        <v>1900091183402</v>
      </c>
      <c r="D80" s="207" t="s">
        <v>754</v>
      </c>
      <c r="E80" s="205">
        <v>751</v>
      </c>
      <c r="F80" s="206">
        <v>1900091183411</v>
      </c>
      <c r="G80" s="208" t="s">
        <v>754</v>
      </c>
      <c r="H80" s="209">
        <v>3.0000000000000001E-3</v>
      </c>
      <c r="I80" s="210">
        <v>350.15</v>
      </c>
      <c r="J80" s="210">
        <v>1.73</v>
      </c>
      <c r="K80" s="210">
        <v>1.73</v>
      </c>
      <c r="L80" s="211">
        <v>0</v>
      </c>
      <c r="M80" s="212">
        <v>314.64</v>
      </c>
      <c r="N80" s="212">
        <v>0.05</v>
      </c>
      <c r="O80" s="212">
        <v>0.05</v>
      </c>
    </row>
    <row r="81" spans="1:15" ht="12.75" x14ac:dyDescent="0.2">
      <c r="A81" s="204" t="s">
        <v>755</v>
      </c>
      <c r="B81" s="205">
        <v>817</v>
      </c>
      <c r="C81" s="206">
        <v>1900091079241</v>
      </c>
      <c r="D81" s="207" t="s">
        <v>755</v>
      </c>
      <c r="E81" s="205">
        <v>749</v>
      </c>
      <c r="F81" s="206">
        <v>1900091079232</v>
      </c>
      <c r="G81" s="208" t="s">
        <v>755</v>
      </c>
      <c r="H81" s="209">
        <v>0</v>
      </c>
      <c r="I81" s="210">
        <v>349.02</v>
      </c>
      <c r="J81" s="210">
        <v>2.6</v>
      </c>
      <c r="K81" s="210">
        <v>2.6</v>
      </c>
      <c r="L81" s="211">
        <v>0</v>
      </c>
      <c r="M81" s="212">
        <v>664.99</v>
      </c>
      <c r="N81" s="212">
        <v>0.05</v>
      </c>
      <c r="O81" s="212">
        <v>0.05</v>
      </c>
    </row>
    <row r="82" spans="1:15" ht="12.75" x14ac:dyDescent="0.2">
      <c r="A82" s="204" t="s">
        <v>756</v>
      </c>
      <c r="B82" s="205">
        <v>897</v>
      </c>
      <c r="C82" s="206">
        <v>1900091199138</v>
      </c>
      <c r="D82" s="207" t="s">
        <v>756</v>
      </c>
      <c r="E82" s="205">
        <v>710</v>
      </c>
      <c r="F82" s="206">
        <v>1900091199147</v>
      </c>
      <c r="G82" s="208" t="s">
        <v>756</v>
      </c>
      <c r="H82" s="209">
        <v>0</v>
      </c>
      <c r="I82" s="210">
        <v>1363.15</v>
      </c>
      <c r="J82" s="210">
        <v>0.62</v>
      </c>
      <c r="K82" s="210">
        <v>0.62</v>
      </c>
      <c r="L82" s="211">
        <v>0</v>
      </c>
      <c r="M82" s="212">
        <v>5341.61</v>
      </c>
      <c r="N82" s="212">
        <v>0.05</v>
      </c>
      <c r="O82" s="212">
        <v>0.05</v>
      </c>
    </row>
    <row r="83" spans="1:15" ht="12.75" x14ac:dyDescent="0.2">
      <c r="A83" s="204" t="s">
        <v>757</v>
      </c>
      <c r="B83" s="205">
        <v>800</v>
      </c>
      <c r="C83" s="206">
        <v>1900090585014</v>
      </c>
      <c r="D83" s="207" t="s">
        <v>757</v>
      </c>
      <c r="E83" s="205">
        <v>700</v>
      </c>
      <c r="F83" s="206">
        <v>1900090585005</v>
      </c>
      <c r="G83" s="208" t="s">
        <v>757</v>
      </c>
      <c r="H83" s="209">
        <v>0.60599999999999998</v>
      </c>
      <c r="I83" s="210">
        <v>387.28</v>
      </c>
      <c r="J83" s="210">
        <v>0.65</v>
      </c>
      <c r="K83" s="210">
        <v>0.65</v>
      </c>
      <c r="L83" s="211">
        <v>-0.60599999999999998</v>
      </c>
      <c r="M83" s="212">
        <v>277.51</v>
      </c>
      <c r="N83" s="212">
        <v>0.05</v>
      </c>
      <c r="O83" s="212">
        <v>0.05</v>
      </c>
    </row>
    <row r="84" spans="1:15" ht="29.25" customHeight="1" x14ac:dyDescent="0.2">
      <c r="A84" s="37" t="s">
        <v>758</v>
      </c>
      <c r="B84" s="84">
        <v>845</v>
      </c>
      <c r="C84" s="48" t="s">
        <v>1769</v>
      </c>
      <c r="D84" s="38" t="s">
        <v>758</v>
      </c>
      <c r="E84" s="84">
        <v>698</v>
      </c>
      <c r="F84" s="48">
        <v>1900091718322</v>
      </c>
      <c r="G84" s="49" t="s">
        <v>758</v>
      </c>
      <c r="H84" s="53">
        <v>7.1999999999999995E-2</v>
      </c>
      <c r="I84" s="54">
        <v>351.18</v>
      </c>
      <c r="J84" s="54">
        <v>2.56</v>
      </c>
      <c r="K84" s="54">
        <v>2.56</v>
      </c>
      <c r="L84" s="55">
        <v>0</v>
      </c>
      <c r="M84" s="56">
        <v>1419.48</v>
      </c>
      <c r="N84" s="56">
        <v>0.05</v>
      </c>
      <c r="O84" s="56">
        <v>0.05</v>
      </c>
    </row>
    <row r="85" spans="1:15" ht="12.75" x14ac:dyDescent="0.2">
      <c r="A85" s="204" t="s">
        <v>759</v>
      </c>
      <c r="B85" s="205">
        <v>820</v>
      </c>
      <c r="C85" s="206">
        <v>1900091197414</v>
      </c>
      <c r="D85" s="207" t="s">
        <v>759</v>
      </c>
      <c r="E85" s="205">
        <v>752</v>
      </c>
      <c r="F85" s="206">
        <v>1900091197423</v>
      </c>
      <c r="G85" s="208" t="s">
        <v>759</v>
      </c>
      <c r="H85" s="209">
        <v>6.9180000000000001</v>
      </c>
      <c r="I85" s="210">
        <v>353.41</v>
      </c>
      <c r="J85" s="210">
        <v>1.89</v>
      </c>
      <c r="K85" s="210">
        <v>1.89</v>
      </c>
      <c r="L85" s="211">
        <v>0</v>
      </c>
      <c r="M85" s="212">
        <v>634.95000000000005</v>
      </c>
      <c r="N85" s="212">
        <v>0.05</v>
      </c>
      <c r="O85" s="212">
        <v>0.05</v>
      </c>
    </row>
    <row r="86" spans="1:15" ht="12.75" x14ac:dyDescent="0.2">
      <c r="A86" s="204" t="s">
        <v>760</v>
      </c>
      <c r="B86" s="205">
        <v>805</v>
      </c>
      <c r="C86" s="206">
        <v>1900091024517</v>
      </c>
      <c r="D86" s="207" t="s">
        <v>760</v>
      </c>
      <c r="E86" s="205">
        <v>739</v>
      </c>
      <c r="F86" s="206">
        <v>1900091024526</v>
      </c>
      <c r="G86" s="208" t="s">
        <v>760</v>
      </c>
      <c r="H86" s="209">
        <v>5.0000000000000001E-3</v>
      </c>
      <c r="I86" s="210">
        <v>351.81</v>
      </c>
      <c r="J86" s="210">
        <v>4.2300000000000004</v>
      </c>
      <c r="K86" s="210">
        <v>4.2300000000000004</v>
      </c>
      <c r="L86" s="211">
        <v>0</v>
      </c>
      <c r="M86" s="212">
        <v>835.33</v>
      </c>
      <c r="N86" s="212">
        <v>0.05</v>
      </c>
      <c r="O86" s="212">
        <v>0.05</v>
      </c>
    </row>
    <row r="87" spans="1:15" ht="51" x14ac:dyDescent="0.2">
      <c r="A87" s="204" t="s">
        <v>761</v>
      </c>
      <c r="B87" s="205">
        <v>898</v>
      </c>
      <c r="C87" s="206" t="s">
        <v>800</v>
      </c>
      <c r="D87" s="207" t="s">
        <v>761</v>
      </c>
      <c r="E87" s="205">
        <v>753</v>
      </c>
      <c r="F87" s="206" t="s">
        <v>801</v>
      </c>
      <c r="G87" s="208" t="s">
        <v>761</v>
      </c>
      <c r="H87" s="209">
        <v>3.2000000000000001E-2</v>
      </c>
      <c r="I87" s="210">
        <v>352.87</v>
      </c>
      <c r="J87" s="210">
        <v>3.57</v>
      </c>
      <c r="K87" s="210">
        <v>3.57</v>
      </c>
      <c r="L87" s="211">
        <v>0</v>
      </c>
      <c r="M87" s="212">
        <v>943.28</v>
      </c>
      <c r="N87" s="212">
        <v>0.05</v>
      </c>
      <c r="O87" s="212">
        <v>0.05</v>
      </c>
    </row>
    <row r="88" spans="1:15" ht="25.5" x14ac:dyDescent="0.2">
      <c r="A88" s="37" t="s">
        <v>1578</v>
      </c>
      <c r="B88" s="84">
        <v>898</v>
      </c>
      <c r="C88" s="48" t="s">
        <v>1579</v>
      </c>
      <c r="D88" s="38"/>
      <c r="E88" s="84"/>
      <c r="F88" s="48"/>
      <c r="G88" s="49" t="s">
        <v>761</v>
      </c>
      <c r="H88" s="53">
        <v>3.2000000000000001E-2</v>
      </c>
      <c r="I88" s="54"/>
      <c r="J88" s="54"/>
      <c r="K88" s="54"/>
      <c r="L88" s="55"/>
      <c r="M88" s="56"/>
      <c r="N88" s="56"/>
      <c r="O88" s="56"/>
    </row>
    <row r="89" spans="1:15" ht="12.75" x14ac:dyDescent="0.2">
      <c r="A89" s="204" t="s">
        <v>762</v>
      </c>
      <c r="B89" s="205">
        <v>822</v>
      </c>
      <c r="C89" s="206">
        <v>1900091216634</v>
      </c>
      <c r="D89" s="207" t="s">
        <v>762</v>
      </c>
      <c r="E89" s="205">
        <v>754</v>
      </c>
      <c r="F89" s="206">
        <v>1900091216643</v>
      </c>
      <c r="G89" s="208" t="s">
        <v>762</v>
      </c>
      <c r="H89" s="209">
        <v>0.59</v>
      </c>
      <c r="I89" s="210">
        <v>352.01</v>
      </c>
      <c r="J89" s="210">
        <v>1.52</v>
      </c>
      <c r="K89" s="210">
        <v>1.52</v>
      </c>
      <c r="L89" s="211">
        <v>0</v>
      </c>
      <c r="M89" s="212">
        <v>694.06</v>
      </c>
      <c r="N89" s="212">
        <v>0.05</v>
      </c>
      <c r="O89" s="212">
        <v>0.05</v>
      </c>
    </row>
    <row r="90" spans="1:15" ht="12.75" x14ac:dyDescent="0.2">
      <c r="A90" s="204" t="s">
        <v>763</v>
      </c>
      <c r="B90" s="205">
        <v>827</v>
      </c>
      <c r="C90" s="206">
        <v>1900091227307</v>
      </c>
      <c r="D90" s="207" t="s">
        <v>763</v>
      </c>
      <c r="E90" s="205">
        <v>719</v>
      </c>
      <c r="F90" s="206">
        <v>1900091227316</v>
      </c>
      <c r="G90" s="208" t="s">
        <v>763</v>
      </c>
      <c r="H90" s="209">
        <v>8.0000000000000002E-3</v>
      </c>
      <c r="I90" s="210">
        <v>353.85</v>
      </c>
      <c r="J90" s="210">
        <v>0.96</v>
      </c>
      <c r="K90" s="210">
        <v>0.96</v>
      </c>
      <c r="L90" s="211">
        <v>0</v>
      </c>
      <c r="M90" s="212">
        <v>310.94</v>
      </c>
      <c r="N90" s="212">
        <v>0.05</v>
      </c>
      <c r="O90" s="212">
        <v>0.05</v>
      </c>
    </row>
    <row r="91" spans="1:15" ht="12.75" x14ac:dyDescent="0.2">
      <c r="A91" s="204" t="s">
        <v>764</v>
      </c>
      <c r="B91" s="205">
        <v>899</v>
      </c>
      <c r="C91" s="206">
        <v>1900091319942</v>
      </c>
      <c r="D91" s="207" t="s">
        <v>764</v>
      </c>
      <c r="E91" s="205">
        <v>717</v>
      </c>
      <c r="F91" s="206">
        <v>1900091320006</v>
      </c>
      <c r="G91" s="208" t="s">
        <v>764</v>
      </c>
      <c r="H91" s="209">
        <v>0.96299999999999997</v>
      </c>
      <c r="I91" s="210">
        <v>351.99</v>
      </c>
      <c r="J91" s="210">
        <v>1.37</v>
      </c>
      <c r="K91" s="210">
        <v>1.37</v>
      </c>
      <c r="L91" s="211">
        <v>0</v>
      </c>
      <c r="M91" s="212">
        <v>655.61</v>
      </c>
      <c r="N91" s="212">
        <v>0.05</v>
      </c>
      <c r="O91" s="212">
        <v>0.05</v>
      </c>
    </row>
    <row r="92" spans="1:15" ht="12.75" x14ac:dyDescent="0.2">
      <c r="A92" s="204" t="s">
        <v>765</v>
      </c>
      <c r="B92" s="205">
        <v>826</v>
      </c>
      <c r="C92" s="206">
        <v>1900091178954</v>
      </c>
      <c r="D92" s="207" t="s">
        <v>765</v>
      </c>
      <c r="E92" s="205">
        <v>703</v>
      </c>
      <c r="F92" s="206">
        <v>1900091178963</v>
      </c>
      <c r="G92" s="208" t="s">
        <v>765</v>
      </c>
      <c r="H92" s="209">
        <v>0</v>
      </c>
      <c r="I92" s="210">
        <v>359.47</v>
      </c>
      <c r="J92" s="210">
        <v>1.61</v>
      </c>
      <c r="K92" s="210">
        <v>1.61</v>
      </c>
      <c r="L92" s="211">
        <v>0</v>
      </c>
      <c r="M92" s="212">
        <v>1183.56</v>
      </c>
      <c r="N92" s="212">
        <v>0.05</v>
      </c>
      <c r="O92" s="212">
        <v>0.05</v>
      </c>
    </row>
    <row r="93" spans="1:15" ht="12.75" x14ac:dyDescent="0.2">
      <c r="A93" s="204" t="s">
        <v>766</v>
      </c>
      <c r="B93" s="205">
        <v>900</v>
      </c>
      <c r="C93" s="206">
        <v>1900091360950</v>
      </c>
      <c r="D93" s="207" t="s">
        <v>766</v>
      </c>
      <c r="E93" s="205">
        <v>720</v>
      </c>
      <c r="F93" s="206">
        <v>1900091360969</v>
      </c>
      <c r="G93" s="208" t="s">
        <v>766</v>
      </c>
      <c r="H93" s="209">
        <v>0.80100000000000005</v>
      </c>
      <c r="I93" s="210">
        <v>351.38</v>
      </c>
      <c r="J93" s="210">
        <v>1.43</v>
      </c>
      <c r="K93" s="210">
        <v>1.43</v>
      </c>
      <c r="L93" s="211">
        <v>0</v>
      </c>
      <c r="M93" s="212">
        <v>726.75</v>
      </c>
      <c r="N93" s="212">
        <v>0.05</v>
      </c>
      <c r="O93" s="212">
        <v>0.05</v>
      </c>
    </row>
    <row r="94" spans="1:15" ht="12.75" x14ac:dyDescent="0.2">
      <c r="A94" s="204" t="s">
        <v>767</v>
      </c>
      <c r="B94" s="205"/>
      <c r="C94" s="206" t="s">
        <v>802</v>
      </c>
      <c r="D94" s="207" t="s">
        <v>767</v>
      </c>
      <c r="E94" s="205"/>
      <c r="F94" s="206" t="s">
        <v>802</v>
      </c>
      <c r="G94" s="208" t="s">
        <v>767</v>
      </c>
      <c r="H94" s="209">
        <v>0.63200000000000001</v>
      </c>
      <c r="I94" s="210">
        <v>349</v>
      </c>
      <c r="J94" s="210">
        <v>0.75</v>
      </c>
      <c r="K94" s="210">
        <v>0.75</v>
      </c>
      <c r="L94" s="211">
        <v>-0.879</v>
      </c>
      <c r="M94" s="212">
        <v>109.19</v>
      </c>
      <c r="N94" s="212">
        <v>0.05</v>
      </c>
      <c r="O94" s="212">
        <v>0.05</v>
      </c>
    </row>
    <row r="95" spans="1:15" ht="12.75" x14ac:dyDescent="0.2">
      <c r="A95" s="204" t="s">
        <v>768</v>
      </c>
      <c r="B95" s="205">
        <v>832</v>
      </c>
      <c r="C95" s="206">
        <v>1900091420128</v>
      </c>
      <c r="D95" s="207" t="s">
        <v>768</v>
      </c>
      <c r="E95" s="205">
        <v>718</v>
      </c>
      <c r="F95" s="206">
        <v>1900091420137</v>
      </c>
      <c r="G95" s="208" t="s">
        <v>768</v>
      </c>
      <c r="H95" s="209">
        <v>2.1779999999999999</v>
      </c>
      <c r="I95" s="210">
        <v>394</v>
      </c>
      <c r="J95" s="210">
        <v>0.98</v>
      </c>
      <c r="K95" s="210">
        <v>0.98</v>
      </c>
      <c r="L95" s="211">
        <v>0</v>
      </c>
      <c r="M95" s="212">
        <v>1738.71</v>
      </c>
      <c r="N95" s="212">
        <v>0.05</v>
      </c>
      <c r="O95" s="212">
        <v>0.05</v>
      </c>
    </row>
    <row r="96" spans="1:15" ht="12.75" x14ac:dyDescent="0.2">
      <c r="A96" s="37" t="s">
        <v>769</v>
      </c>
      <c r="B96" s="84"/>
      <c r="C96" s="48" t="s">
        <v>803</v>
      </c>
      <c r="D96" s="38" t="s">
        <v>769</v>
      </c>
      <c r="E96" s="84"/>
      <c r="F96" s="48" t="s">
        <v>804</v>
      </c>
      <c r="G96" s="49" t="s">
        <v>769</v>
      </c>
      <c r="H96" s="53">
        <v>0</v>
      </c>
      <c r="I96" s="54">
        <v>7649.9</v>
      </c>
      <c r="J96" s="54">
        <v>1.21</v>
      </c>
      <c r="K96" s="54">
        <v>1.21</v>
      </c>
      <c r="L96" s="55">
        <v>0</v>
      </c>
      <c r="M96" s="56">
        <v>0</v>
      </c>
      <c r="N96" s="56">
        <v>0</v>
      </c>
      <c r="O96" s="56">
        <v>0</v>
      </c>
    </row>
    <row r="97" spans="1:15" ht="25.5" x14ac:dyDescent="0.2">
      <c r="A97" s="204" t="s">
        <v>770</v>
      </c>
      <c r="B97" s="205">
        <v>823</v>
      </c>
      <c r="C97" s="206" t="s">
        <v>805</v>
      </c>
      <c r="D97" s="207" t="s">
        <v>770</v>
      </c>
      <c r="E97" s="205">
        <v>755</v>
      </c>
      <c r="F97" s="206" t="s">
        <v>806</v>
      </c>
      <c r="G97" s="208" t="s">
        <v>770</v>
      </c>
      <c r="H97" s="209">
        <v>7.9000000000000001E-2</v>
      </c>
      <c r="I97" s="210">
        <v>386.08</v>
      </c>
      <c r="J97" s="210">
        <v>2.34</v>
      </c>
      <c r="K97" s="210">
        <v>2.34</v>
      </c>
      <c r="L97" s="211">
        <v>0</v>
      </c>
      <c r="M97" s="212">
        <v>1614.92</v>
      </c>
      <c r="N97" s="212">
        <v>0.05</v>
      </c>
      <c r="O97" s="212">
        <v>0.05</v>
      </c>
    </row>
    <row r="98" spans="1:15" ht="12.75" x14ac:dyDescent="0.2">
      <c r="A98" s="37" t="s">
        <v>771</v>
      </c>
      <c r="B98" s="84">
        <v>883</v>
      </c>
      <c r="C98" s="48">
        <v>1900060830217</v>
      </c>
      <c r="D98" s="38" t="s">
        <v>771</v>
      </c>
      <c r="E98" s="84">
        <v>729</v>
      </c>
      <c r="F98" s="48">
        <v>1900060830226</v>
      </c>
      <c r="G98" s="49" t="s">
        <v>771</v>
      </c>
      <c r="H98" s="53">
        <v>0.97199999999999998</v>
      </c>
      <c r="I98" s="54">
        <v>1660.43</v>
      </c>
      <c r="J98" s="54">
        <v>2.83</v>
      </c>
      <c r="K98" s="54">
        <v>2.83</v>
      </c>
      <c r="L98" s="55">
        <v>0</v>
      </c>
      <c r="M98" s="56">
        <v>0</v>
      </c>
      <c r="N98" s="56">
        <v>0</v>
      </c>
      <c r="O98" s="56">
        <v>0</v>
      </c>
    </row>
    <row r="99" spans="1:15" ht="12.75" x14ac:dyDescent="0.2">
      <c r="A99" s="204" t="s">
        <v>772</v>
      </c>
      <c r="B99" s="205">
        <v>807</v>
      </c>
      <c r="C99" s="206">
        <v>1900091090096</v>
      </c>
      <c r="D99" s="207" t="s">
        <v>772</v>
      </c>
      <c r="E99" s="205">
        <v>737</v>
      </c>
      <c r="F99" s="206">
        <v>1900091090101</v>
      </c>
      <c r="G99" s="208" t="s">
        <v>772</v>
      </c>
      <c r="H99" s="209">
        <v>6.1630000000000003</v>
      </c>
      <c r="I99" s="210">
        <v>405.94</v>
      </c>
      <c r="J99" s="210">
        <v>1.26</v>
      </c>
      <c r="K99" s="210">
        <v>1.26</v>
      </c>
      <c r="L99" s="211">
        <v>0</v>
      </c>
      <c r="M99" s="212">
        <v>2098.94</v>
      </c>
      <c r="N99" s="212">
        <v>0.05</v>
      </c>
      <c r="O99" s="212">
        <v>0.05</v>
      </c>
    </row>
    <row r="100" spans="1:15" ht="63.75" x14ac:dyDescent="0.2">
      <c r="A100" s="37" t="s">
        <v>773</v>
      </c>
      <c r="B100" s="84">
        <v>850</v>
      </c>
      <c r="C100" s="48" t="s">
        <v>807</v>
      </c>
      <c r="D100" s="38" t="s">
        <v>773</v>
      </c>
      <c r="E100" s="84">
        <v>733</v>
      </c>
      <c r="F100" s="48" t="s">
        <v>808</v>
      </c>
      <c r="G100" s="49" t="s">
        <v>773</v>
      </c>
      <c r="H100" s="53">
        <v>0</v>
      </c>
      <c r="I100" s="54">
        <v>35969.11</v>
      </c>
      <c r="J100" s="54">
        <v>1.72</v>
      </c>
      <c r="K100" s="54">
        <v>1.72</v>
      </c>
      <c r="L100" s="55">
        <v>-1.393</v>
      </c>
      <c r="M100" s="56">
        <v>3245.27</v>
      </c>
      <c r="N100" s="56">
        <v>0.05</v>
      </c>
      <c r="O100" s="56">
        <v>0.05</v>
      </c>
    </row>
    <row r="101" spans="1:15" ht="12.75" x14ac:dyDescent="0.2">
      <c r="A101" s="37" t="s">
        <v>774</v>
      </c>
      <c r="B101" s="84"/>
      <c r="C101" s="48" t="s">
        <v>809</v>
      </c>
      <c r="D101" s="38" t="s">
        <v>774</v>
      </c>
      <c r="E101" s="84"/>
      <c r="F101" s="48" t="s">
        <v>809</v>
      </c>
      <c r="G101" s="49" t="s">
        <v>774</v>
      </c>
      <c r="H101" s="53">
        <v>0</v>
      </c>
      <c r="I101" s="54">
        <v>362.23</v>
      </c>
      <c r="J101" s="54">
        <v>0.79</v>
      </c>
      <c r="K101" s="54">
        <v>0.79</v>
      </c>
      <c r="L101" s="55">
        <v>0</v>
      </c>
      <c r="M101" s="56">
        <v>1537.94</v>
      </c>
      <c r="N101" s="56">
        <v>0.05</v>
      </c>
      <c r="O101" s="56">
        <v>0.05</v>
      </c>
    </row>
    <row r="102" spans="1:15" ht="12.75" x14ac:dyDescent="0.2">
      <c r="A102" s="204" t="s">
        <v>775</v>
      </c>
      <c r="B102" s="205">
        <v>818</v>
      </c>
      <c r="C102" s="206">
        <v>1900091171364</v>
      </c>
      <c r="D102" s="207" t="s">
        <v>775</v>
      </c>
      <c r="E102" s="205">
        <v>750</v>
      </c>
      <c r="F102" s="206">
        <v>1900091171373</v>
      </c>
      <c r="G102" s="208" t="s">
        <v>775</v>
      </c>
      <c r="H102" s="209">
        <v>0</v>
      </c>
      <c r="I102" s="210">
        <v>367.38</v>
      </c>
      <c r="J102" s="210">
        <v>1.28</v>
      </c>
      <c r="K102" s="210">
        <v>1.28</v>
      </c>
      <c r="L102" s="211">
        <v>0</v>
      </c>
      <c r="M102" s="212">
        <v>2054.13</v>
      </c>
      <c r="N102" s="212">
        <v>0.05</v>
      </c>
      <c r="O102" s="212">
        <v>0.05</v>
      </c>
    </row>
    <row r="103" spans="1:15" ht="12.75" x14ac:dyDescent="0.2">
      <c r="A103" s="37" t="s">
        <v>776</v>
      </c>
      <c r="B103" s="84">
        <v>828</v>
      </c>
      <c r="C103" s="48">
        <v>1900091363000</v>
      </c>
      <c r="D103" s="38" t="s">
        <v>776</v>
      </c>
      <c r="E103" s="84">
        <v>711</v>
      </c>
      <c r="F103" s="48">
        <v>1900091363019</v>
      </c>
      <c r="G103" s="49" t="s">
        <v>776</v>
      </c>
      <c r="H103" s="53">
        <v>0.03</v>
      </c>
      <c r="I103" s="54">
        <v>377.66</v>
      </c>
      <c r="J103" s="54">
        <v>2.1</v>
      </c>
      <c r="K103" s="54">
        <v>2.1</v>
      </c>
      <c r="L103" s="55">
        <v>0</v>
      </c>
      <c r="M103" s="56">
        <v>2335.61</v>
      </c>
      <c r="N103" s="56">
        <v>0.05</v>
      </c>
      <c r="O103" s="56">
        <v>0.05</v>
      </c>
    </row>
    <row r="104" spans="1:15" ht="12.75" x14ac:dyDescent="0.2">
      <c r="A104" s="204" t="s">
        <v>777</v>
      </c>
      <c r="B104" s="205">
        <v>825</v>
      </c>
      <c r="C104" s="206">
        <v>1900091207124</v>
      </c>
      <c r="D104" s="207" t="s">
        <v>777</v>
      </c>
      <c r="E104" s="205">
        <v>702</v>
      </c>
      <c r="F104" s="206">
        <v>1900091207133</v>
      </c>
      <c r="G104" s="208" t="s">
        <v>777</v>
      </c>
      <c r="H104" s="209">
        <v>0</v>
      </c>
      <c r="I104" s="210">
        <v>369.83</v>
      </c>
      <c r="J104" s="210">
        <v>1.21</v>
      </c>
      <c r="K104" s="210">
        <v>1.21</v>
      </c>
      <c r="L104" s="211">
        <v>0</v>
      </c>
      <c r="M104" s="212">
        <v>2664.06</v>
      </c>
      <c r="N104" s="212">
        <v>0.05</v>
      </c>
      <c r="O104" s="212">
        <v>0.05</v>
      </c>
    </row>
    <row r="105" spans="1:15" ht="12.75" x14ac:dyDescent="0.2">
      <c r="A105" s="204" t="s">
        <v>778</v>
      </c>
      <c r="B105" s="205">
        <v>821</v>
      </c>
      <c r="C105" s="206">
        <v>1900091478493</v>
      </c>
      <c r="D105" s="207" t="s">
        <v>778</v>
      </c>
      <c r="E105" s="205">
        <v>714</v>
      </c>
      <c r="F105" s="206">
        <v>1900091478509</v>
      </c>
      <c r="G105" s="208" t="s">
        <v>778</v>
      </c>
      <c r="H105" s="209">
        <v>9.7739999999999991</v>
      </c>
      <c r="I105" s="210">
        <v>364.96</v>
      </c>
      <c r="J105" s="210">
        <v>4.38</v>
      </c>
      <c r="K105" s="210">
        <v>4.38</v>
      </c>
      <c r="L105" s="211">
        <v>0</v>
      </c>
      <c r="M105" s="212">
        <v>1386.46</v>
      </c>
      <c r="N105" s="212">
        <v>0.05</v>
      </c>
      <c r="O105" s="212">
        <v>0.05</v>
      </c>
    </row>
    <row r="106" spans="1:15" ht="12.75" x14ac:dyDescent="0.2">
      <c r="A106" s="204" t="s">
        <v>779</v>
      </c>
      <c r="B106" s="205">
        <v>829</v>
      </c>
      <c r="C106" s="206">
        <v>1900091315238</v>
      </c>
      <c r="D106" s="207" t="s">
        <v>779</v>
      </c>
      <c r="E106" s="205">
        <v>715</v>
      </c>
      <c r="F106" s="206">
        <v>1900091315229</v>
      </c>
      <c r="G106" s="208" t="s">
        <v>779</v>
      </c>
      <c r="H106" s="209">
        <v>0.56299999999999994</v>
      </c>
      <c r="I106" s="210">
        <v>350.77</v>
      </c>
      <c r="J106" s="210">
        <v>1.29</v>
      </c>
      <c r="K106" s="210">
        <v>1.29</v>
      </c>
      <c r="L106" s="211">
        <v>0</v>
      </c>
      <c r="M106" s="212">
        <v>314.02</v>
      </c>
      <c r="N106" s="212">
        <v>0.05</v>
      </c>
      <c r="O106" s="212">
        <v>0.05</v>
      </c>
    </row>
    <row r="107" spans="1:15" ht="12.75" x14ac:dyDescent="0.2">
      <c r="A107" s="204" t="s">
        <v>780</v>
      </c>
      <c r="B107" s="205">
        <v>887</v>
      </c>
      <c r="C107" s="206">
        <v>1900070394457</v>
      </c>
      <c r="D107" s="207" t="s">
        <v>780</v>
      </c>
      <c r="E107" s="205">
        <v>731</v>
      </c>
      <c r="F107" s="206">
        <v>1900070394466</v>
      </c>
      <c r="G107" s="208" t="s">
        <v>780</v>
      </c>
      <c r="H107" s="209">
        <v>0</v>
      </c>
      <c r="I107" s="210">
        <v>8105.12</v>
      </c>
      <c r="J107" s="210">
        <v>0.56000000000000005</v>
      </c>
      <c r="K107" s="210">
        <v>0.56000000000000005</v>
      </c>
      <c r="L107" s="211">
        <v>0</v>
      </c>
      <c r="M107" s="212">
        <v>0</v>
      </c>
      <c r="N107" s="212">
        <v>0</v>
      </c>
      <c r="O107" s="212">
        <v>0</v>
      </c>
    </row>
    <row r="108" spans="1:15" ht="12.75" x14ac:dyDescent="0.2">
      <c r="A108" s="204" t="s">
        <v>781</v>
      </c>
      <c r="B108" s="205">
        <v>806</v>
      </c>
      <c r="C108" s="206">
        <v>1900091086531</v>
      </c>
      <c r="D108" s="207" t="s">
        <v>781</v>
      </c>
      <c r="E108" s="205">
        <v>740</v>
      </c>
      <c r="F108" s="206">
        <v>1900091086540</v>
      </c>
      <c r="G108" s="208" t="s">
        <v>781</v>
      </c>
      <c r="H108" s="209">
        <v>0</v>
      </c>
      <c r="I108" s="210">
        <v>360.58</v>
      </c>
      <c r="J108" s="210">
        <v>1.23</v>
      </c>
      <c r="K108" s="210">
        <v>1.23</v>
      </c>
      <c r="L108" s="211">
        <v>0</v>
      </c>
      <c r="M108" s="212">
        <v>1294.6600000000001</v>
      </c>
      <c r="N108" s="212">
        <v>0.05</v>
      </c>
      <c r="O108" s="212">
        <v>0.05</v>
      </c>
    </row>
  </sheetData>
  <mergeCells count="10">
    <mergeCell ref="F1:O1"/>
    <mergeCell ref="A2:O2"/>
    <mergeCell ref="C1:D1"/>
    <mergeCell ref="D7:F7"/>
    <mergeCell ref="A5:C5"/>
    <mergeCell ref="A6:C6"/>
    <mergeCell ref="A7:C7"/>
    <mergeCell ref="A4:F4"/>
    <mergeCell ref="D5:F5"/>
    <mergeCell ref="D6:F6"/>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7"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102"/>
  <sheetViews>
    <sheetView zoomScale="90" zoomScaleNormal="90" zoomScaleSheetLayoutView="100" workbookViewId="0">
      <selection sqref="A1:H1"/>
    </sheetView>
  </sheetViews>
  <sheetFormatPr defaultRowHeight="12.75" x14ac:dyDescent="0.2"/>
  <cols>
    <col min="1" max="1" width="14.7109375" style="42" customWidth="1"/>
    <col min="2" max="2" width="8.7109375" style="42" customWidth="1"/>
    <col min="3" max="3" width="15.7109375" style="50" bestFit="1" customWidth="1"/>
    <col min="4" max="4" width="50.7109375" style="50" customWidth="1"/>
    <col min="5" max="5" width="14.7109375" style="51" customWidth="1"/>
    <col min="6" max="7" width="14.7109375" style="52" customWidth="1"/>
    <col min="8" max="8" width="14.7109375" style="42" customWidth="1"/>
    <col min="9" max="9" width="15.5703125" style="42" customWidth="1"/>
    <col min="10" max="13" width="9.140625" style="42"/>
    <col min="14" max="14" width="9.42578125" style="42" bestFit="1" customWidth="1"/>
    <col min="15" max="16384" width="9.140625" style="42"/>
  </cols>
  <sheetData>
    <row r="1" spans="1:14" ht="66.75" customHeight="1" x14ac:dyDescent="0.2">
      <c r="A1" s="263" t="s">
        <v>67</v>
      </c>
      <c r="B1" s="263"/>
      <c r="C1" s="263"/>
      <c r="D1" s="263"/>
      <c r="E1" s="263"/>
      <c r="F1" s="263"/>
      <c r="G1" s="263"/>
      <c r="H1" s="263"/>
    </row>
    <row r="2" spans="1:14" s="43" customFormat="1" ht="25.5" customHeight="1" x14ac:dyDescent="0.2">
      <c r="A2" s="268" t="str">
        <f>Overview!B4&amp; " - Effective from "&amp;Overview!D4&amp;" - "&amp;Overview!E4&amp;" EDCM import charges"</f>
        <v>South Eastern Power Networks - Effective from 1 April 2022 - Final EDCM import charges</v>
      </c>
      <c r="B2" s="269"/>
      <c r="C2" s="269"/>
      <c r="D2" s="269"/>
      <c r="E2" s="269"/>
      <c r="F2" s="269"/>
      <c r="G2" s="269"/>
      <c r="H2" s="270"/>
    </row>
    <row r="3" spans="1:14" s="74" customFormat="1" ht="18" x14ac:dyDescent="0.2">
      <c r="A3" s="78"/>
      <c r="B3" s="78"/>
      <c r="C3" s="78"/>
      <c r="D3" s="79"/>
      <c r="E3" s="80"/>
      <c r="F3" s="80"/>
      <c r="G3" s="81"/>
      <c r="H3" s="81"/>
      <c r="I3" s="73"/>
      <c r="J3" s="73"/>
      <c r="K3" s="73"/>
      <c r="L3" s="73"/>
      <c r="M3" s="73"/>
      <c r="N3" s="73"/>
    </row>
    <row r="4" spans="1:14" ht="60.75" customHeight="1" x14ac:dyDescent="0.2">
      <c r="A4" s="44" t="s">
        <v>52</v>
      </c>
      <c r="B4" s="45" t="s">
        <v>35</v>
      </c>
      <c r="C4" s="44" t="s">
        <v>36</v>
      </c>
      <c r="D4" s="46" t="s">
        <v>29</v>
      </c>
      <c r="E4" s="119" t="str">
        <f>'Annex 2 EHV charges'!H9</f>
        <v>Import
Super Red
unit charge
(p/kWh)</v>
      </c>
      <c r="F4" s="119" t="str">
        <f>'Annex 2 EHV charges'!I9</f>
        <v>Import
fixed charge
(p/day)</v>
      </c>
      <c r="G4" s="119" t="str">
        <f>'Annex 2 EHV charges'!J9</f>
        <v>Import
capacity charge
(p/kVA/day)</v>
      </c>
      <c r="H4" s="119" t="str">
        <f>'Annex 2 EHV charges'!K9</f>
        <v>Import
exceeded capacity charge
(p/kVA/day)</v>
      </c>
    </row>
    <row r="5" spans="1:14" ht="12.75" customHeight="1" x14ac:dyDescent="0.2">
      <c r="A5" s="85" t="str">
        <f t="array" ref="A5">IFERROR(INDEX('Annex 2 EHV charges'!$A$10:$A$108, MATCH(0, IF(ISBLANK('Annex 2 EHV charges'!$A$10:$A$108),1, COUNTIF(A$4:$A4, 'Annex 2 EHV charges'!$A$10:$A$108)), 0)),"")</f>
        <v>B&amp;RLTD</v>
      </c>
      <c r="B5" s="85">
        <f>IF($A5="","",VLOOKUP($A5,'Annex 2 EHV charges'!$A:$O,2,0))</f>
        <v>834</v>
      </c>
      <c r="C5" s="86" t="str">
        <f>IF($A5="","",VLOOKUP($A5,'Annex 2 EHV charges'!$A:$O,3,0))</f>
        <v>1900035000482
1900035425153</v>
      </c>
      <c r="D5" s="85" t="str">
        <f>IF($A5="","",VLOOKUP($A5,'Annex 2 EHV charges'!$A:$O,7,0))</f>
        <v>B&amp;RLTD</v>
      </c>
      <c r="E5" s="90">
        <f>IFERROR(IF(VLOOKUP($A5,'Annex 2 EHV charges'!$A:$O,8,FALSE)=0,"",VLOOKUP($A5,'Annex 2 EHV charges'!$A:$O,8,FALSE)),"")</f>
        <v>3.2589999999999999</v>
      </c>
      <c r="F5" s="91">
        <f>IFERROR(IF(VLOOKUP($A5,'Annex 2 EHV charges'!$A:$O,9,FALSE)=0,"",VLOOKUP($A5,'Annex 2 EHV charges'!$A:$O,9,FALSE)),"")</f>
        <v>568.74</v>
      </c>
      <c r="G5" s="92">
        <f>IFERROR(IF(VLOOKUP($A5,'Annex 2 EHV charges'!$A:$O,10,FALSE)=0,"",VLOOKUP($A5,'Annex 2 EHV charges'!$A:$O,10,FALSE)),"")</f>
        <v>3.28</v>
      </c>
      <c r="H5" s="92">
        <f>IFERROR(IF(VLOOKUP($A5,'Annex 2 EHV charges'!$A:$O,11,FALSE)=0,"",VLOOKUP($A5,'Annex 2 EHV charges'!$A:$O,11,FALSE)),"")</f>
        <v>3.28</v>
      </c>
    </row>
    <row r="6" spans="1:14" ht="12.75" customHeight="1" x14ac:dyDescent="0.2">
      <c r="A6" s="85" t="str">
        <f t="array" ref="A6">IFERROR(INDEX('Annex 2 EHV charges'!$A$10:$A$108, MATCH(0, IF(ISBLANK('Annex 2 EHV charges'!$A$10:$A$108),1, COUNTIF(A$4:$A5, 'Annex 2 EHV charges'!$A$10:$A$108)), 0)),"")</f>
        <v>BEDDIN</v>
      </c>
      <c r="B6" s="85">
        <f>IF($A6="","",VLOOKUP($A6,'Annex 2 EHV charges'!$A:$O,2,0))</f>
        <v>889</v>
      </c>
      <c r="C6" s="86" t="str">
        <f>IF($A6="","",VLOOKUP($A6,'Annex 2 EHV charges'!$A:$O,3,0))</f>
        <v>1900070745640
1900070745650
1900070745669
1900070745678</v>
      </c>
      <c r="D6" s="85" t="str">
        <f>IF($A6="","",VLOOKUP($A6,'Annex 2 EHV charges'!$A:$O,7,0))</f>
        <v>BEDDIN</v>
      </c>
      <c r="E6" s="90" t="str">
        <f>IFERROR(IF(VLOOKUP($A6,'Annex 2 EHV charges'!$A:$O,8,FALSE)=0,"",VLOOKUP($A6,'Annex 2 EHV charges'!$A:$O,8,FALSE)),"")</f>
        <v/>
      </c>
      <c r="F6" s="91">
        <f>IFERROR(IF(VLOOKUP($A6,'Annex 2 EHV charges'!$A:$O,9,FALSE)=0,"",VLOOKUP($A6,'Annex 2 EHV charges'!$A:$O,9,FALSE)),"")</f>
        <v>7483.96</v>
      </c>
      <c r="G6" s="92">
        <f>IFERROR(IF(VLOOKUP($A6,'Annex 2 EHV charges'!$A:$O,10,FALSE)=0,"",VLOOKUP($A6,'Annex 2 EHV charges'!$A:$O,10,FALSE)),"")</f>
        <v>1.19</v>
      </c>
      <c r="H6" s="92">
        <f>IFERROR(IF(VLOOKUP($A6,'Annex 2 EHV charges'!$A:$O,11,FALSE)=0,"",VLOOKUP($A6,'Annex 2 EHV charges'!$A:$O,11,FALSE)),"")</f>
        <v>1.19</v>
      </c>
    </row>
    <row r="7" spans="1:14" ht="12.75" customHeight="1" x14ac:dyDescent="0.2">
      <c r="A7" s="85" t="str">
        <f t="array" ref="A7">IFERROR(INDEX('Annex 2 EHV charges'!$A$10:$A$108, MATCH(0, IF(ISBLANK('Annex 2 EHV charges'!$A$10:$A$108),1, COUNTIF(A$4:$A6, 'Annex 2 EHV charges'!$A$10:$A$108)), 0)),"")</f>
        <v>BP_OIL</v>
      </c>
      <c r="B7" s="85">
        <f>IF($A7="","",VLOOKUP($A7,'Annex 2 EHV charges'!$A:$O,2,0))</f>
        <v>835</v>
      </c>
      <c r="C7" s="86" t="str">
        <f>IF($A7="","",VLOOKUP($A7,'Annex 2 EHV charges'!$A:$O,3,0))</f>
        <v>1900017426438
1900017426447</v>
      </c>
      <c r="D7" s="85" t="str">
        <f>IF($A7="","",VLOOKUP($A7,'Annex 2 EHV charges'!$A:$O,7,0))</f>
        <v>BP_OIL</v>
      </c>
      <c r="E7" s="90" t="str">
        <f>IFERROR(IF(VLOOKUP($A7,'Annex 2 EHV charges'!$A:$O,8,FALSE)=0,"",VLOOKUP($A7,'Annex 2 EHV charges'!$A:$O,8,FALSE)),"")</f>
        <v/>
      </c>
      <c r="F7" s="91">
        <f>IFERROR(IF(VLOOKUP($A7,'Annex 2 EHV charges'!$A:$O,9,FALSE)=0,"",VLOOKUP($A7,'Annex 2 EHV charges'!$A:$O,9,FALSE)),"")</f>
        <v>568.74</v>
      </c>
      <c r="G7" s="92">
        <f>IFERROR(IF(VLOOKUP($A7,'Annex 2 EHV charges'!$A:$O,10,FALSE)=0,"",VLOOKUP($A7,'Annex 2 EHV charges'!$A:$O,10,FALSE)),"")</f>
        <v>1.05</v>
      </c>
      <c r="H7" s="92">
        <f>IFERROR(IF(VLOOKUP($A7,'Annex 2 EHV charges'!$A:$O,11,FALSE)=0,"",VLOOKUP($A7,'Annex 2 EHV charges'!$A:$O,11,FALSE)),"")</f>
        <v>1.05</v>
      </c>
    </row>
    <row r="8" spans="1:14" ht="12.75" customHeight="1" x14ac:dyDescent="0.2">
      <c r="A8" s="85" t="str">
        <f t="array" ref="A8">IFERROR(INDEX('Annex 2 EHV charges'!$A$10:$A$108, MATCH(0, IF(ISBLANK('Annex 2 EHV charges'!$A$10:$A$108),1, COUNTIF(A$4:$A7, 'Annex 2 EHV charges'!$A$10:$A$108)), 0)),"")</f>
        <v>CHESDC</v>
      </c>
      <c r="B8" s="85" t="str">
        <f>IF($A8="","",VLOOKUP($A8,'Annex 2 EHV charges'!$A:$O,2,0))</f>
        <v>ENET</v>
      </c>
      <c r="C8" s="86" t="str">
        <f>IF($A8="","",VLOOKUP($A8,'Annex 2 EHV charges'!$A:$O,3,0))</f>
        <v>1999000002228
1999000002237</v>
      </c>
      <c r="D8" s="85" t="str">
        <f>IF($A8="","",VLOOKUP($A8,'Annex 2 EHV charges'!$A:$O,7,0))</f>
        <v>CHESDC</v>
      </c>
      <c r="E8" s="90">
        <f>IFERROR(IF(VLOOKUP($A8,'Annex 2 EHV charges'!$A:$O,8,FALSE)=0,"",VLOOKUP($A8,'Annex 2 EHV charges'!$A:$O,8,FALSE)),"")</f>
        <v>5.0000000000000001E-3</v>
      </c>
      <c r="F8" s="91">
        <f>IFERROR(IF(VLOOKUP($A8,'Annex 2 EHV charges'!$A:$O,9,FALSE)=0,"",VLOOKUP($A8,'Annex 2 EHV charges'!$A:$O,9,FALSE)),"")</f>
        <v>17311.240000000002</v>
      </c>
      <c r="G8" s="92">
        <f>IFERROR(IF(VLOOKUP($A8,'Annex 2 EHV charges'!$A:$O,10,FALSE)=0,"",VLOOKUP($A8,'Annex 2 EHV charges'!$A:$O,10,FALSE)),"")</f>
        <v>1.42</v>
      </c>
      <c r="H8" s="92">
        <f>IFERROR(IF(VLOOKUP($A8,'Annex 2 EHV charges'!$A:$O,11,FALSE)=0,"",VLOOKUP($A8,'Annex 2 EHV charges'!$A:$O,11,FALSE)),"")</f>
        <v>1.42</v>
      </c>
    </row>
    <row r="9" spans="1:14" ht="12.75" customHeight="1" x14ac:dyDescent="0.2">
      <c r="A9" s="85" t="str">
        <f t="array" ref="A9">IFERROR(INDEX('Annex 2 EHV charges'!$A$10:$A$108, MATCH(0, IF(ISBLANK('Annex 2 EHV charges'!$A$10:$A$108),1, COUNTIF(A$4:$A8, 'Annex 2 EHV charges'!$A$10:$A$108)), 0)),"")</f>
        <v>DIGREA</v>
      </c>
      <c r="B9" s="85">
        <f>IF($A9="","",VLOOKUP($A9,'Annex 2 EHV charges'!$A:$O,2,0))</f>
        <v>833</v>
      </c>
      <c r="C9" s="86" t="str">
        <f>IF($A9="","",VLOOKUP($A9,'Annex 2 EHV charges'!$A:$O,3,0))</f>
        <v>1900091200323
1900091200332</v>
      </c>
      <c r="D9" s="85" t="str">
        <f>IF($A9="","",VLOOKUP($A9,'Annex 2 EHV charges'!$A:$O,7,0))</f>
        <v>DIGREA</v>
      </c>
      <c r="E9" s="90">
        <f>IFERROR(IF(VLOOKUP($A9,'Annex 2 EHV charges'!$A:$O,8,FALSE)=0,"",VLOOKUP($A9,'Annex 2 EHV charges'!$A:$O,8,FALSE)),"")</f>
        <v>7.6059999999999999</v>
      </c>
      <c r="F9" s="91">
        <f>IFERROR(IF(VLOOKUP($A9,'Annex 2 EHV charges'!$A:$O,9,FALSE)=0,"",VLOOKUP($A9,'Annex 2 EHV charges'!$A:$O,9,FALSE)),"")</f>
        <v>34276.379999999997</v>
      </c>
      <c r="G9" s="92">
        <f>IFERROR(IF(VLOOKUP($A9,'Annex 2 EHV charges'!$A:$O,10,FALSE)=0,"",VLOOKUP($A9,'Annex 2 EHV charges'!$A:$O,10,FALSE)),"")</f>
        <v>2.2799999999999998</v>
      </c>
      <c r="H9" s="92">
        <f>IFERROR(IF(VLOOKUP($A9,'Annex 2 EHV charges'!$A:$O,11,FALSE)=0,"",VLOOKUP($A9,'Annex 2 EHV charges'!$A:$O,11,FALSE)),"")</f>
        <v>2.2799999999999998</v>
      </c>
    </row>
    <row r="10" spans="1:14" ht="12.75" customHeight="1" x14ac:dyDescent="0.2">
      <c r="A10" s="85" t="str">
        <f t="array" ref="A10">IFERROR(INDEX('Annex 2 EHV charges'!$A$10:$A$108, MATCH(0, IF(ISBLANK('Annex 2 EHV charges'!$A$10:$A$108),1, COUNTIF(A$4:$A9, 'Annex 2 EHV charges'!$A$10:$A$108)), 0)),"")</f>
        <v>EUROTU</v>
      </c>
      <c r="B10" s="85">
        <f>IF($A10="","",VLOOKUP($A10,'Annex 2 EHV charges'!$A:$O,2,0))</f>
        <v>874</v>
      </c>
      <c r="C10" s="86">
        <f>IF($A10="","",VLOOKUP($A10,'Annex 2 EHV charges'!$A:$O,3,0))</f>
        <v>1900060219605</v>
      </c>
      <c r="D10" s="85" t="str">
        <f>IF($A10="","",VLOOKUP($A10,'Annex 2 EHV charges'!$A:$O,7,0))</f>
        <v>EUROTU</v>
      </c>
      <c r="E10" s="90" t="str">
        <f>IFERROR(IF(VLOOKUP($A10,'Annex 2 EHV charges'!$A:$O,8,FALSE)=0,"",VLOOKUP($A10,'Annex 2 EHV charges'!$A:$O,8,FALSE)),"")</f>
        <v/>
      </c>
      <c r="F10" s="91">
        <f>IFERROR(IF(VLOOKUP($A10,'Annex 2 EHV charges'!$A:$O,9,FALSE)=0,"",VLOOKUP($A10,'Annex 2 EHV charges'!$A:$O,9,FALSE)),"")</f>
        <v>124027.21</v>
      </c>
      <c r="G10" s="92">
        <f>IFERROR(IF(VLOOKUP($A10,'Annex 2 EHV charges'!$A:$O,10,FALSE)=0,"",VLOOKUP($A10,'Annex 2 EHV charges'!$A:$O,10,FALSE)),"")</f>
        <v>0.54</v>
      </c>
      <c r="H10" s="92">
        <f>IFERROR(IF(VLOOKUP($A10,'Annex 2 EHV charges'!$A:$O,11,FALSE)=0,"",VLOOKUP($A10,'Annex 2 EHV charges'!$A:$O,11,FALSE)),"")</f>
        <v>0.54</v>
      </c>
    </row>
    <row r="11" spans="1:14" ht="12.75" customHeight="1" x14ac:dyDescent="0.2">
      <c r="A11" s="85" t="str">
        <f t="array" ref="A11">IFERROR(INDEX('Annex 2 EHV charges'!$A$10:$A$108, MATCH(0, IF(ISBLANK('Annex 2 EHV charges'!$A$10:$A$108),1, COUNTIF(A$4:$A10, 'Annex 2 EHV charges'!$A$10:$A$108)), 0)),"")</f>
        <v>GAT_AF</v>
      </c>
      <c r="B11" s="85">
        <f>IF($A11="","",VLOOKUP($A11,'Annex 2 EHV charges'!$A:$O,2,0))</f>
        <v>869</v>
      </c>
      <c r="C11" s="86" t="str">
        <f>IF($A11="","",VLOOKUP($A11,'Annex 2 EHV charges'!$A:$O,3,0))</f>
        <v>1900017427938
1900017427947
1900060576620</v>
      </c>
      <c r="D11" s="85" t="str">
        <f>IF($A11="","",VLOOKUP($A11,'Annex 2 EHV charges'!$A:$O,7,0))</f>
        <v>GAT_AF</v>
      </c>
      <c r="E11" s="90">
        <f>IFERROR(IF(VLOOKUP($A11,'Annex 2 EHV charges'!$A:$O,8,FALSE)=0,"",VLOOKUP($A11,'Annex 2 EHV charges'!$A:$O,8,FALSE)),"")</f>
        <v>2.7160000000000002</v>
      </c>
      <c r="F11" s="91">
        <f>IFERROR(IF(VLOOKUP($A11,'Annex 2 EHV charges'!$A:$O,9,FALSE)=0,"",VLOOKUP($A11,'Annex 2 EHV charges'!$A:$O,9,FALSE)),"")</f>
        <v>20999.35</v>
      </c>
      <c r="G11" s="92">
        <f>IFERROR(IF(VLOOKUP($A11,'Annex 2 EHV charges'!$A:$O,10,FALSE)=0,"",VLOOKUP($A11,'Annex 2 EHV charges'!$A:$O,10,FALSE)),"")</f>
        <v>2.29</v>
      </c>
      <c r="H11" s="92">
        <f>IFERROR(IF(VLOOKUP($A11,'Annex 2 EHV charges'!$A:$O,11,FALSE)=0,"",VLOOKUP($A11,'Annex 2 EHV charges'!$A:$O,11,FALSE)),"")</f>
        <v>2.29</v>
      </c>
    </row>
    <row r="12" spans="1:14" ht="12.75" customHeight="1" x14ac:dyDescent="0.2">
      <c r="A12" s="85" t="str">
        <f t="array" ref="A12">IFERROR(INDEX('Annex 2 EHV charges'!$A$10:$A$108, MATCH(0, IF(ISBLANK('Annex 2 EHV charges'!$A$10:$A$108),1, COUNTIF(A$4:$A11, 'Annex 2 EHV charges'!$A$10:$A$108)), 0)),"")</f>
        <v>GAT_BF</v>
      </c>
      <c r="B12" s="85">
        <f>IF($A12="","",VLOOKUP($A12,'Annex 2 EHV charges'!$A:$O,2,0))</f>
        <v>870</v>
      </c>
      <c r="C12" s="86" t="str">
        <f>IF($A12="","",VLOOKUP($A12,'Annex 2 EHV charges'!$A:$O,3,0))</f>
        <v>1900060690231
1900060690240</v>
      </c>
      <c r="D12" s="85" t="str">
        <f>IF($A12="","",VLOOKUP($A12,'Annex 2 EHV charges'!$A:$O,7,0))</f>
        <v>GAT_BF</v>
      </c>
      <c r="E12" s="90">
        <f>IFERROR(IF(VLOOKUP($A12,'Annex 2 EHV charges'!$A:$O,8,FALSE)=0,"",VLOOKUP($A12,'Annex 2 EHV charges'!$A:$O,8,FALSE)),"")</f>
        <v>0.626</v>
      </c>
      <c r="F12" s="91">
        <f>IFERROR(IF(VLOOKUP($A12,'Annex 2 EHV charges'!$A:$O,9,FALSE)=0,"",VLOOKUP($A12,'Annex 2 EHV charges'!$A:$O,9,FALSE)),"")</f>
        <v>19164.240000000002</v>
      </c>
      <c r="G12" s="92">
        <f>IFERROR(IF(VLOOKUP($A12,'Annex 2 EHV charges'!$A:$O,10,FALSE)=0,"",VLOOKUP($A12,'Annex 2 EHV charges'!$A:$O,10,FALSE)),"")</f>
        <v>3.58</v>
      </c>
      <c r="H12" s="92">
        <f>IFERROR(IF(VLOOKUP($A12,'Annex 2 EHV charges'!$A:$O,11,FALSE)=0,"",VLOOKUP($A12,'Annex 2 EHV charges'!$A:$O,11,FALSE)),"")</f>
        <v>3.58</v>
      </c>
    </row>
    <row r="13" spans="1:14" ht="12.75" customHeight="1" x14ac:dyDescent="0.2">
      <c r="A13" s="85" t="str">
        <f t="array" ref="A13">IFERROR(INDEX('Annex 2 EHV charges'!$A$10:$A$108, MATCH(0, IF(ISBLANK('Annex 2 EHV charges'!$A$10:$A$108),1, COUNTIF(A$4:$A12, 'Annex 2 EHV charges'!$A$10:$A$108)), 0)),"")</f>
        <v>KNGSPN</v>
      </c>
      <c r="B13" s="85">
        <f>IF($A13="","",VLOOKUP($A13,'Annex 2 EHV charges'!$A:$O,2,0))</f>
        <v>0</v>
      </c>
      <c r="C13" s="86" t="str">
        <f>IF($A13="","",VLOOKUP($A13,'Annex 2 EHV charges'!$A:$O,3,0))</f>
        <v>MSID: 1027</v>
      </c>
      <c r="D13" s="85" t="str">
        <f>IF($A13="","",VLOOKUP($A13,'Annex 2 EHV charges'!$A:$O,7,0))</f>
        <v>KNGSPN</v>
      </c>
      <c r="E13" s="90">
        <f>IFERROR(IF(VLOOKUP($A13,'Annex 2 EHV charges'!$A:$O,8,FALSE)=0,"",VLOOKUP($A13,'Annex 2 EHV charges'!$A:$O,8,FALSE)),"")</f>
        <v>0.25800000000000001</v>
      </c>
      <c r="F13" s="91">
        <f>IFERROR(IF(VLOOKUP($A13,'Annex 2 EHV charges'!$A:$O,9,FALSE)=0,"",VLOOKUP($A13,'Annex 2 EHV charges'!$A:$O,9,FALSE)),"")</f>
        <v>32723.85</v>
      </c>
      <c r="G13" s="92">
        <f>IFERROR(IF(VLOOKUP($A13,'Annex 2 EHV charges'!$A:$O,10,FALSE)=0,"",VLOOKUP($A13,'Annex 2 EHV charges'!$A:$O,10,FALSE)),"")</f>
        <v>2.69</v>
      </c>
      <c r="H13" s="92">
        <f>IFERROR(IF(VLOOKUP($A13,'Annex 2 EHV charges'!$A:$O,11,FALSE)=0,"",VLOOKUP($A13,'Annex 2 EHV charges'!$A:$O,11,FALSE)),"")</f>
        <v>2.69</v>
      </c>
    </row>
    <row r="14" spans="1:14" ht="12.75" customHeight="1" x14ac:dyDescent="0.2">
      <c r="A14" s="85" t="str">
        <f t="array" ref="A14">IFERROR(INDEX('Annex 2 EHV charges'!$A$10:$A$108, MATCH(0, IF(ISBLANK('Annex 2 EHV charges'!$A$10:$A$108),1, COUNTIF(A$4:$A13, 'Annex 2 EHV charges'!$A$10:$A$108)), 0)),"")</f>
        <v>NP_LAB</v>
      </c>
      <c r="B14" s="85">
        <f>IF($A14="","",VLOOKUP($A14,'Annex 2 EHV charges'!$A:$O,2,0))</f>
        <v>837</v>
      </c>
      <c r="C14" s="86">
        <f>IF($A14="","",VLOOKUP($A14,'Annex 2 EHV charges'!$A:$O,3,0))</f>
        <v>1900047386380</v>
      </c>
      <c r="D14" s="85" t="str">
        <f>IF($A14="","",VLOOKUP($A14,'Annex 2 EHV charges'!$A:$O,7,0))</f>
        <v>NP_LAB</v>
      </c>
      <c r="E14" s="90">
        <f>IFERROR(IF(VLOOKUP($A14,'Annex 2 EHV charges'!$A:$O,8,FALSE)=0,"",VLOOKUP($A14,'Annex 2 EHV charges'!$A:$O,8,FALSE)),"")</f>
        <v>2.0739999999999998</v>
      </c>
      <c r="F14" s="91">
        <f>IFERROR(IF(VLOOKUP($A14,'Annex 2 EHV charges'!$A:$O,9,FALSE)=0,"",VLOOKUP($A14,'Annex 2 EHV charges'!$A:$O,9,FALSE)),"")</f>
        <v>789.85</v>
      </c>
      <c r="G14" s="92">
        <f>IFERROR(IF(VLOOKUP($A14,'Annex 2 EHV charges'!$A:$O,10,FALSE)=0,"",VLOOKUP($A14,'Annex 2 EHV charges'!$A:$O,10,FALSE)),"")</f>
        <v>2.7</v>
      </c>
      <c r="H14" s="92">
        <f>IFERROR(IF(VLOOKUP($A14,'Annex 2 EHV charges'!$A:$O,11,FALSE)=0,"",VLOOKUP($A14,'Annex 2 EHV charges'!$A:$O,11,FALSE)),"")</f>
        <v>2.7</v>
      </c>
    </row>
    <row r="15" spans="1:14" ht="12.75" customHeight="1" x14ac:dyDescent="0.2">
      <c r="A15" s="85" t="str">
        <f t="array" ref="A15">IFERROR(INDEX('Annex 2 EHV charges'!$A$10:$A$108, MATCH(0, IF(ISBLANK('Annex 2 EHV charges'!$A$10:$A$108),1, COUNTIF(A$4:$A14, 'Annex 2 EHV charges'!$A$10:$A$108)), 0)),"")</f>
        <v>NR_3BR</v>
      </c>
      <c r="B15" s="85">
        <f>IF($A15="","",VLOOKUP($A15,'Annex 2 EHV charges'!$A:$O,2,0))</f>
        <v>866</v>
      </c>
      <c r="C15" s="86">
        <f>IF($A15="","",VLOOKUP($A15,'Annex 2 EHV charges'!$A:$O,3,0))</f>
        <v>1900060219145</v>
      </c>
      <c r="D15" s="85" t="str">
        <f>IF($A15="","",VLOOKUP($A15,'Annex 2 EHV charges'!$A:$O,7,0))</f>
        <v>NR_3BR</v>
      </c>
      <c r="E15" s="90">
        <f>IFERROR(IF(VLOOKUP($A15,'Annex 2 EHV charges'!$A:$O,8,FALSE)=0,"",VLOOKUP($A15,'Annex 2 EHV charges'!$A:$O,8,FALSE)),"")</f>
        <v>0.751</v>
      </c>
      <c r="F15" s="91">
        <f>IFERROR(IF(VLOOKUP($A15,'Annex 2 EHV charges'!$A:$O,9,FALSE)=0,"",VLOOKUP($A15,'Annex 2 EHV charges'!$A:$O,9,FALSE)),"")</f>
        <v>33675.32</v>
      </c>
      <c r="G15" s="92">
        <f>IFERROR(IF(VLOOKUP($A15,'Annex 2 EHV charges'!$A:$O,10,FALSE)=0,"",VLOOKUP($A15,'Annex 2 EHV charges'!$A:$O,10,FALSE)),"")</f>
        <v>2.98</v>
      </c>
      <c r="H15" s="92">
        <f>IFERROR(IF(VLOOKUP($A15,'Annex 2 EHV charges'!$A:$O,11,FALSE)=0,"",VLOOKUP($A15,'Annex 2 EHV charges'!$A:$O,11,FALSE)),"")</f>
        <v>2.98</v>
      </c>
    </row>
    <row r="16" spans="1:14" ht="12.75" customHeight="1" x14ac:dyDescent="0.2">
      <c r="A16" s="85" t="str">
        <f t="array" ref="A16">IFERROR(INDEX('Annex 2 EHV charges'!$A$10:$A$108, MATCH(0, IF(ISBLANK('Annex 2 EHV charges'!$A$10:$A$108),1, COUNTIF(A$4:$A15, 'Annex 2 EHV charges'!$A$10:$A$108)), 0)),"")</f>
        <v>NR_AFD</v>
      </c>
      <c r="B16" s="85">
        <f>IF($A16="","",VLOOKUP($A16,'Annex 2 EHV charges'!$A:$O,2,0))</f>
        <v>851</v>
      </c>
      <c r="C16" s="86">
        <f>IF($A16="","",VLOOKUP($A16,'Annex 2 EHV charges'!$A:$O,3,0))</f>
        <v>1900060219377</v>
      </c>
      <c r="D16" s="85" t="str">
        <f>IF($A16="","",VLOOKUP($A16,'Annex 2 EHV charges'!$A:$O,7,0))</f>
        <v>NR_AFD</v>
      </c>
      <c r="E16" s="90">
        <f>IFERROR(IF(VLOOKUP($A16,'Annex 2 EHV charges'!$A:$O,8,FALSE)=0,"",VLOOKUP($A16,'Annex 2 EHV charges'!$A:$O,8,FALSE)),"")</f>
        <v>0.16</v>
      </c>
      <c r="F16" s="91">
        <f>IFERROR(IF(VLOOKUP($A16,'Annex 2 EHV charges'!$A:$O,9,FALSE)=0,"",VLOOKUP($A16,'Annex 2 EHV charges'!$A:$O,9,FALSE)),"")</f>
        <v>19164.240000000002</v>
      </c>
      <c r="G16" s="92">
        <f>IFERROR(IF(VLOOKUP($A16,'Annex 2 EHV charges'!$A:$O,10,FALSE)=0,"",VLOOKUP($A16,'Annex 2 EHV charges'!$A:$O,10,FALSE)),"")</f>
        <v>2.11</v>
      </c>
      <c r="H16" s="92">
        <f>IFERROR(IF(VLOOKUP($A16,'Annex 2 EHV charges'!$A:$O,11,FALSE)=0,"",VLOOKUP($A16,'Annex 2 EHV charges'!$A:$O,11,FALSE)),"")</f>
        <v>2.11</v>
      </c>
    </row>
    <row r="17" spans="1:8" ht="12.75" customHeight="1" x14ac:dyDescent="0.2">
      <c r="A17" s="85" t="str">
        <f t="array" ref="A17">IFERROR(INDEX('Annex 2 EHV charges'!$A$10:$A$108, MATCH(0, IF(ISBLANK('Annex 2 EHV charges'!$A$10:$A$108),1, COUNTIF(A$4:$A16, 'Annex 2 EHV charges'!$A$10:$A$108)), 0)),"")</f>
        <v>NR_ASH</v>
      </c>
      <c r="B17" s="85">
        <f>IF($A17="","",VLOOKUP($A17,'Annex 2 EHV charges'!$A:$O,2,0))</f>
        <v>879</v>
      </c>
      <c r="C17" s="86">
        <f>IF($A17="","",VLOOKUP($A17,'Annex 2 EHV charges'!$A:$O,3,0))</f>
        <v>1900070068129</v>
      </c>
      <c r="D17" s="85" t="str">
        <f>IF($A17="","",VLOOKUP($A17,'Annex 2 EHV charges'!$A:$O,7,0))</f>
        <v>NR_ASH</v>
      </c>
      <c r="E17" s="90">
        <f>IFERROR(IF(VLOOKUP($A17,'Annex 2 EHV charges'!$A:$O,8,FALSE)=0,"",VLOOKUP($A17,'Annex 2 EHV charges'!$A:$O,8,FALSE)),"")</f>
        <v>0.36199999999999999</v>
      </c>
      <c r="F17" s="91">
        <f>IFERROR(IF(VLOOKUP($A17,'Annex 2 EHV charges'!$A:$O,9,FALSE)=0,"",VLOOKUP($A17,'Annex 2 EHV charges'!$A:$O,9,FALSE)),"")</f>
        <v>19164.240000000002</v>
      </c>
      <c r="G17" s="92">
        <f>IFERROR(IF(VLOOKUP($A17,'Annex 2 EHV charges'!$A:$O,10,FALSE)=0,"",VLOOKUP($A17,'Annex 2 EHV charges'!$A:$O,10,FALSE)),"")</f>
        <v>2.7</v>
      </c>
      <c r="H17" s="92">
        <f>IFERROR(IF(VLOOKUP($A17,'Annex 2 EHV charges'!$A:$O,11,FALSE)=0,"",VLOOKUP($A17,'Annex 2 EHV charges'!$A:$O,11,FALSE)),"")</f>
        <v>2.7</v>
      </c>
    </row>
    <row r="18" spans="1:8" ht="12.75" customHeight="1" x14ac:dyDescent="0.2">
      <c r="A18" s="85" t="str">
        <f t="array" ref="A18">IFERROR(INDEX('Annex 2 EHV charges'!$A$10:$A$108, MATCH(0, IF(ISBLANK('Annex 2 EHV charges'!$A$10:$A$108),1, COUNTIF(A$4:$A17, 'Annex 2 EHV charges'!$A$10:$A$108)), 0)),"")</f>
        <v>NR_BRI</v>
      </c>
      <c r="B18" s="85">
        <f>IF($A18="","",VLOOKUP($A18,'Annex 2 EHV charges'!$A:$O,2,0))</f>
        <v>852</v>
      </c>
      <c r="C18" s="86">
        <f>IF($A18="","",VLOOKUP($A18,'Annex 2 EHV charges'!$A:$O,3,0))</f>
        <v>1900060218675</v>
      </c>
      <c r="D18" s="85" t="str">
        <f>IF($A18="","",VLOOKUP($A18,'Annex 2 EHV charges'!$A:$O,7,0))</f>
        <v>NR_BRI</v>
      </c>
      <c r="E18" s="90" t="str">
        <f>IFERROR(IF(VLOOKUP($A18,'Annex 2 EHV charges'!$A:$O,8,FALSE)=0,"",VLOOKUP($A18,'Annex 2 EHV charges'!$A:$O,8,FALSE)),"")</f>
        <v/>
      </c>
      <c r="F18" s="91">
        <f>IFERROR(IF(VLOOKUP($A18,'Annex 2 EHV charges'!$A:$O,9,FALSE)=0,"",VLOOKUP($A18,'Annex 2 EHV charges'!$A:$O,9,FALSE)),"")</f>
        <v>33675.32</v>
      </c>
      <c r="G18" s="92">
        <f>IFERROR(IF(VLOOKUP($A18,'Annex 2 EHV charges'!$A:$O,10,FALSE)=0,"",VLOOKUP($A18,'Annex 2 EHV charges'!$A:$O,10,FALSE)),"")</f>
        <v>2</v>
      </c>
      <c r="H18" s="92">
        <f>IFERROR(IF(VLOOKUP($A18,'Annex 2 EHV charges'!$A:$O,11,FALSE)=0,"",VLOOKUP($A18,'Annex 2 EHV charges'!$A:$O,11,FALSE)),"")</f>
        <v>2</v>
      </c>
    </row>
    <row r="19" spans="1:8" ht="12.75" customHeight="1" x14ac:dyDescent="0.2">
      <c r="A19" s="85" t="str">
        <f t="array" ref="A19">IFERROR(INDEX('Annex 2 EHV charges'!$A$10:$A$108, MATCH(0, IF(ISBLANK('Annex 2 EHV charges'!$A$10:$A$108),1, COUNTIF(A$4:$A18, 'Annex 2 EHV charges'!$A$10:$A$108)), 0)),"")</f>
        <v>NR_BYF</v>
      </c>
      <c r="B19" s="85">
        <f>IF($A19="","",VLOOKUP($A19,'Annex 2 EHV charges'!$A:$O,2,0))</f>
        <v>853</v>
      </c>
      <c r="C19" s="86">
        <f>IF($A19="","",VLOOKUP($A19,'Annex 2 EHV charges'!$A:$O,3,0))</f>
        <v>1900060218727</v>
      </c>
      <c r="D19" s="85" t="str">
        <f>IF($A19="","",VLOOKUP($A19,'Annex 2 EHV charges'!$A:$O,7,0))</f>
        <v>NR_BYF</v>
      </c>
      <c r="E19" s="90">
        <f>IFERROR(IF(VLOOKUP($A19,'Annex 2 EHV charges'!$A:$O,8,FALSE)=0,"",VLOOKUP($A19,'Annex 2 EHV charges'!$A:$O,8,FALSE)),"")</f>
        <v>0.68899999999999995</v>
      </c>
      <c r="F19" s="91">
        <f>IFERROR(IF(VLOOKUP($A19,'Annex 2 EHV charges'!$A:$O,9,FALSE)=0,"",VLOOKUP($A19,'Annex 2 EHV charges'!$A:$O,9,FALSE)),"")</f>
        <v>33675.32</v>
      </c>
      <c r="G19" s="92">
        <f>IFERROR(IF(VLOOKUP($A19,'Annex 2 EHV charges'!$A:$O,10,FALSE)=0,"",VLOOKUP($A19,'Annex 2 EHV charges'!$A:$O,10,FALSE)),"")</f>
        <v>2.1</v>
      </c>
      <c r="H19" s="92">
        <f>IFERROR(IF(VLOOKUP($A19,'Annex 2 EHV charges'!$A:$O,11,FALSE)=0,"",VLOOKUP($A19,'Annex 2 EHV charges'!$A:$O,11,FALSE)),"")</f>
        <v>2.1</v>
      </c>
    </row>
    <row r="20" spans="1:8" ht="12.75" customHeight="1" x14ac:dyDescent="0.2">
      <c r="A20" s="85" t="str">
        <f t="array" ref="A20">IFERROR(INDEX('Annex 2 EHV charges'!$A$10:$A$108, MATCH(0, IF(ISBLANK('Annex 2 EHV charges'!$A$10:$A$108),1, COUNTIF(A$4:$A19, 'Annex 2 EHV charges'!$A$10:$A$108)), 0)),"")</f>
        <v>NR_CAN</v>
      </c>
      <c r="B20" s="85">
        <f>IF($A20="","",VLOOKUP($A20,'Annex 2 EHV charges'!$A:$O,2,0))</f>
        <v>854</v>
      </c>
      <c r="C20" s="86">
        <f>IF($A20="","",VLOOKUP($A20,'Annex 2 EHV charges'!$A:$O,3,0))</f>
        <v>1900060218790</v>
      </c>
      <c r="D20" s="85" t="str">
        <f>IF($A20="","",VLOOKUP($A20,'Annex 2 EHV charges'!$A:$O,7,0))</f>
        <v>NR_CAN</v>
      </c>
      <c r="E20" s="90" t="str">
        <f>IFERROR(IF(VLOOKUP($A20,'Annex 2 EHV charges'!$A:$O,8,FALSE)=0,"",VLOOKUP($A20,'Annex 2 EHV charges'!$A:$O,8,FALSE)),"")</f>
        <v/>
      </c>
      <c r="F20" s="91">
        <f>IFERROR(IF(VLOOKUP($A20,'Annex 2 EHV charges'!$A:$O,9,FALSE)=0,"",VLOOKUP($A20,'Annex 2 EHV charges'!$A:$O,9,FALSE)),"")</f>
        <v>8007.72</v>
      </c>
      <c r="G20" s="92">
        <f>IFERROR(IF(VLOOKUP($A20,'Annex 2 EHV charges'!$A:$O,10,FALSE)=0,"",VLOOKUP($A20,'Annex 2 EHV charges'!$A:$O,10,FALSE)),"")</f>
        <v>1.63</v>
      </c>
      <c r="H20" s="92">
        <f>IFERROR(IF(VLOOKUP($A20,'Annex 2 EHV charges'!$A:$O,11,FALSE)=0,"",VLOOKUP($A20,'Annex 2 EHV charges'!$A:$O,11,FALSE)),"")</f>
        <v>1.63</v>
      </c>
    </row>
    <row r="21" spans="1:8" ht="12.75" customHeight="1" x14ac:dyDescent="0.2">
      <c r="A21" s="85" t="str">
        <f t="array" ref="A21">IFERROR(INDEX('Annex 2 EHV charges'!$A$10:$A$108, MATCH(0, IF(ISBLANK('Annex 2 EHV charges'!$A$10:$A$108),1, COUNTIF(A$4:$A20, 'Annex 2 EHV charges'!$A$10:$A$108)), 0)),"")</f>
        <v>NR_CRO</v>
      </c>
      <c r="B21" s="85">
        <f>IF($A21="","",VLOOKUP($A21,'Annex 2 EHV charges'!$A:$O,2,0))</f>
        <v>855</v>
      </c>
      <c r="C21" s="86">
        <f>IF($A21="","",VLOOKUP($A21,'Annex 2 EHV charges'!$A:$O,3,0))</f>
        <v>1900060218815</v>
      </c>
      <c r="D21" s="85" t="str">
        <f>IF($A21="","",VLOOKUP($A21,'Annex 2 EHV charges'!$A:$O,7,0))</f>
        <v>NR_CRO</v>
      </c>
      <c r="E21" s="90" t="str">
        <f>IFERROR(IF(VLOOKUP($A21,'Annex 2 EHV charges'!$A:$O,8,FALSE)=0,"",VLOOKUP($A21,'Annex 2 EHV charges'!$A:$O,8,FALSE)),"")</f>
        <v/>
      </c>
      <c r="F21" s="91">
        <f>IFERROR(IF(VLOOKUP($A21,'Annex 2 EHV charges'!$A:$O,9,FALSE)=0,"",VLOOKUP($A21,'Annex 2 EHV charges'!$A:$O,9,FALSE)),"")</f>
        <v>33358.160000000003</v>
      </c>
      <c r="G21" s="92">
        <f>IFERROR(IF(VLOOKUP($A21,'Annex 2 EHV charges'!$A:$O,10,FALSE)=0,"",VLOOKUP($A21,'Annex 2 EHV charges'!$A:$O,10,FALSE)),"")</f>
        <v>1.94</v>
      </c>
      <c r="H21" s="92">
        <f>IFERROR(IF(VLOOKUP($A21,'Annex 2 EHV charges'!$A:$O,11,FALSE)=0,"",VLOOKUP($A21,'Annex 2 EHV charges'!$A:$O,11,FALSE)),"")</f>
        <v>1.94</v>
      </c>
    </row>
    <row r="22" spans="1:8" ht="12.75" customHeight="1" x14ac:dyDescent="0.2">
      <c r="A22" s="85" t="str">
        <f t="array" ref="A22">IFERROR(INDEX('Annex 2 EHV charges'!$A$10:$A$108, MATCH(0, IF(ISBLANK('Annex 2 EHV charges'!$A$10:$A$108),1, COUNTIF(A$4:$A21, 'Annex 2 EHV charges'!$A$10:$A$108)), 0)),"")</f>
        <v>NR_DOR</v>
      </c>
      <c r="B22" s="85">
        <f>IF($A22="","",VLOOKUP($A22,'Annex 2 EHV charges'!$A:$O,2,0))</f>
        <v>856</v>
      </c>
      <c r="C22" s="86">
        <f>IF($A22="","",VLOOKUP($A22,'Annex 2 EHV charges'!$A:$O,3,0))</f>
        <v>1900060219303</v>
      </c>
      <c r="D22" s="85" t="str">
        <f>IF($A22="","",VLOOKUP($A22,'Annex 2 EHV charges'!$A:$O,7,0))</f>
        <v>NR_DOR</v>
      </c>
      <c r="E22" s="90">
        <f>IFERROR(IF(VLOOKUP($A22,'Annex 2 EHV charges'!$A:$O,8,FALSE)=0,"",VLOOKUP($A22,'Annex 2 EHV charges'!$A:$O,8,FALSE)),"")</f>
        <v>7.6660000000000004</v>
      </c>
      <c r="F22" s="91">
        <f>IFERROR(IF(VLOOKUP($A22,'Annex 2 EHV charges'!$A:$O,9,FALSE)=0,"",VLOOKUP($A22,'Annex 2 EHV charges'!$A:$O,9,FALSE)),"")</f>
        <v>8007.72</v>
      </c>
      <c r="G22" s="92">
        <f>IFERROR(IF(VLOOKUP($A22,'Annex 2 EHV charges'!$A:$O,10,FALSE)=0,"",VLOOKUP($A22,'Annex 2 EHV charges'!$A:$O,10,FALSE)),"")</f>
        <v>1.63</v>
      </c>
      <c r="H22" s="92">
        <f>IFERROR(IF(VLOOKUP($A22,'Annex 2 EHV charges'!$A:$O,11,FALSE)=0,"",VLOOKUP($A22,'Annex 2 EHV charges'!$A:$O,11,FALSE)),"")</f>
        <v>1.63</v>
      </c>
    </row>
    <row r="23" spans="1:8" ht="12.75" customHeight="1" x14ac:dyDescent="0.2">
      <c r="A23" s="85" t="str">
        <f t="array" ref="A23">IFERROR(INDEX('Annex 2 EHV charges'!$A$10:$A$108, MATCH(0, IF(ISBLANK('Annex 2 EHV charges'!$A$10:$A$108),1, COUNTIF(A$4:$A22, 'Annex 2 EHV charges'!$A$10:$A$108)), 0)),"")</f>
        <v>NR_EAS</v>
      </c>
      <c r="B23" s="85">
        <f>IF($A23="","",VLOOKUP($A23,'Annex 2 EHV charges'!$A:$O,2,0))</f>
        <v>857</v>
      </c>
      <c r="C23" s="86">
        <f>IF($A23="","",VLOOKUP($A23,'Annex 2 EHV charges'!$A:$O,3,0))</f>
        <v>1900060218912</v>
      </c>
      <c r="D23" s="85" t="str">
        <f>IF($A23="","",VLOOKUP($A23,'Annex 2 EHV charges'!$A:$O,7,0))</f>
        <v>NR_EAS</v>
      </c>
      <c r="E23" s="90">
        <f>IFERROR(IF(VLOOKUP($A23,'Annex 2 EHV charges'!$A:$O,8,FALSE)=0,"",VLOOKUP($A23,'Annex 2 EHV charges'!$A:$O,8,FALSE)),"")</f>
        <v>1.413</v>
      </c>
      <c r="F23" s="91">
        <f>IFERROR(IF(VLOOKUP($A23,'Annex 2 EHV charges'!$A:$O,9,FALSE)=0,"",VLOOKUP($A23,'Annex 2 EHV charges'!$A:$O,9,FALSE)),"")</f>
        <v>8007.72</v>
      </c>
      <c r="G23" s="92">
        <f>IFERROR(IF(VLOOKUP($A23,'Annex 2 EHV charges'!$A:$O,10,FALSE)=0,"",VLOOKUP($A23,'Annex 2 EHV charges'!$A:$O,10,FALSE)),"")</f>
        <v>2.54</v>
      </c>
      <c r="H23" s="92">
        <f>IFERROR(IF(VLOOKUP($A23,'Annex 2 EHV charges'!$A:$O,11,FALSE)=0,"",VLOOKUP($A23,'Annex 2 EHV charges'!$A:$O,11,FALSE)),"")</f>
        <v>2.54</v>
      </c>
    </row>
    <row r="24" spans="1:8" ht="12.75" customHeight="1" x14ac:dyDescent="0.2">
      <c r="A24" s="85" t="str">
        <f t="array" ref="A24">IFERROR(INDEX('Annex 2 EHV charges'!$A$10:$A$108, MATCH(0, IF(ISBLANK('Annex 2 EHV charges'!$A$10:$A$108),1, COUNTIF(A$4:$A23, 'Annex 2 EHV charges'!$A$10:$A$108)), 0)),"")</f>
        <v>NR_FOK</v>
      </c>
      <c r="B24" s="85">
        <f>IF($A24="","",VLOOKUP($A24,'Annex 2 EHV charges'!$A:$O,2,0))</f>
        <v>858</v>
      </c>
      <c r="C24" s="86">
        <f>IF($A24="","",VLOOKUP($A24,'Annex 2 EHV charges'!$A:$O,3,0))</f>
        <v>1900060218959</v>
      </c>
      <c r="D24" s="85" t="str">
        <f>IF($A24="","",VLOOKUP($A24,'Annex 2 EHV charges'!$A:$O,7,0))</f>
        <v>NR_FOK</v>
      </c>
      <c r="E24" s="90">
        <f>IFERROR(IF(VLOOKUP($A24,'Annex 2 EHV charges'!$A:$O,8,FALSE)=0,"",VLOOKUP($A24,'Annex 2 EHV charges'!$A:$O,8,FALSE)),"")</f>
        <v>1.7729999999999999</v>
      </c>
      <c r="F24" s="91">
        <f>IFERROR(IF(VLOOKUP($A24,'Annex 2 EHV charges'!$A:$O,9,FALSE)=0,"",VLOOKUP($A24,'Annex 2 EHV charges'!$A:$O,9,FALSE)),"")</f>
        <v>8007.72</v>
      </c>
      <c r="G24" s="92">
        <f>IFERROR(IF(VLOOKUP($A24,'Annex 2 EHV charges'!$A:$O,10,FALSE)=0,"",VLOOKUP($A24,'Annex 2 EHV charges'!$A:$O,10,FALSE)),"")</f>
        <v>1.54</v>
      </c>
      <c r="H24" s="92">
        <f>IFERROR(IF(VLOOKUP($A24,'Annex 2 EHV charges'!$A:$O,11,FALSE)=0,"",VLOOKUP($A24,'Annex 2 EHV charges'!$A:$O,11,FALSE)),"")</f>
        <v>1.54</v>
      </c>
    </row>
    <row r="25" spans="1:8" ht="12.75" customHeight="1" x14ac:dyDescent="0.2">
      <c r="A25" s="85" t="str">
        <f t="array" ref="A25">IFERROR(INDEX('Annex 2 EHV charges'!$A$10:$A$108, MATCH(0, IF(ISBLANK('Annex 2 EHV charges'!$A$10:$A$108),1, COUNTIF(A$4:$A24, 'Annex 2 EHV charges'!$A$10:$A$108)), 0)),"")</f>
        <v>NR_HAS</v>
      </c>
      <c r="B25" s="85">
        <f>IF($A25="","",VLOOKUP($A25,'Annex 2 EHV charges'!$A:$O,2,0))</f>
        <v>859</v>
      </c>
      <c r="C25" s="86">
        <f>IF($A25="","",VLOOKUP($A25,'Annex 2 EHV charges'!$A:$O,3,0))</f>
        <v>1900060218986</v>
      </c>
      <c r="D25" s="85" t="str">
        <f>IF($A25="","",VLOOKUP($A25,'Annex 2 EHV charges'!$A:$O,7,0))</f>
        <v>NR_HAS</v>
      </c>
      <c r="E25" s="90">
        <f>IFERROR(IF(VLOOKUP($A25,'Annex 2 EHV charges'!$A:$O,8,FALSE)=0,"",VLOOKUP($A25,'Annex 2 EHV charges'!$A:$O,8,FALSE)),"")</f>
        <v>4.33</v>
      </c>
      <c r="F25" s="91">
        <f>IFERROR(IF(VLOOKUP($A25,'Annex 2 EHV charges'!$A:$O,9,FALSE)=0,"",VLOOKUP($A25,'Annex 2 EHV charges'!$A:$O,9,FALSE)),"")</f>
        <v>11314.52</v>
      </c>
      <c r="G25" s="92">
        <f>IFERROR(IF(VLOOKUP($A25,'Annex 2 EHV charges'!$A:$O,10,FALSE)=0,"",VLOOKUP($A25,'Annex 2 EHV charges'!$A:$O,10,FALSE)),"")</f>
        <v>2.83</v>
      </c>
      <c r="H25" s="92">
        <f>IFERROR(IF(VLOOKUP($A25,'Annex 2 EHV charges'!$A:$O,11,FALSE)=0,"",VLOOKUP($A25,'Annex 2 EHV charges'!$A:$O,11,FALSE)),"")</f>
        <v>2.83</v>
      </c>
    </row>
    <row r="26" spans="1:8" ht="12.75" customHeight="1" x14ac:dyDescent="0.2">
      <c r="A26" s="85" t="str">
        <f t="array" ref="A26">IFERROR(INDEX('Annex 2 EHV charges'!$A$10:$A$108, MATCH(0, IF(ISBLANK('Annex 2 EHV charges'!$A$10:$A$108),1, COUNTIF(A$4:$A25, 'Annex 2 EHV charges'!$A$10:$A$108)), 0)),"")</f>
        <v>NR_LEA</v>
      </c>
      <c r="B26" s="85">
        <f>IF($A26="","",VLOOKUP($A26,'Annex 2 EHV charges'!$A:$O,2,0))</f>
        <v>860</v>
      </c>
      <c r="C26" s="86">
        <f>IF($A26="","",VLOOKUP($A26,'Annex 2 EHV charges'!$A:$O,3,0))</f>
        <v>1900060219001</v>
      </c>
      <c r="D26" s="85" t="str">
        <f>IF($A26="","",VLOOKUP($A26,'Annex 2 EHV charges'!$A:$O,7,0))</f>
        <v>NR_LEA</v>
      </c>
      <c r="E26" s="90">
        <f>IFERROR(IF(VLOOKUP($A26,'Annex 2 EHV charges'!$A:$O,8,FALSE)=0,"",VLOOKUP($A26,'Annex 2 EHV charges'!$A:$O,8,FALSE)),"")</f>
        <v>2.2010000000000001</v>
      </c>
      <c r="F26" s="91">
        <f>IFERROR(IF(VLOOKUP($A26,'Annex 2 EHV charges'!$A:$O,9,FALSE)=0,"",VLOOKUP($A26,'Annex 2 EHV charges'!$A:$O,9,FALSE)),"")</f>
        <v>33358.160000000003</v>
      </c>
      <c r="G26" s="92">
        <f>IFERROR(IF(VLOOKUP($A26,'Annex 2 EHV charges'!$A:$O,10,FALSE)=0,"",VLOOKUP($A26,'Annex 2 EHV charges'!$A:$O,10,FALSE)),"")</f>
        <v>2.68</v>
      </c>
      <c r="H26" s="92">
        <f>IFERROR(IF(VLOOKUP($A26,'Annex 2 EHV charges'!$A:$O,11,FALSE)=0,"",VLOOKUP($A26,'Annex 2 EHV charges'!$A:$O,11,FALSE)),"")</f>
        <v>2.68</v>
      </c>
    </row>
    <row r="27" spans="1:8" ht="12.75" customHeight="1" x14ac:dyDescent="0.2">
      <c r="A27" s="85" t="str">
        <f t="array" ref="A27">IFERROR(INDEX('Annex 2 EHV charges'!$A$10:$A$108, MATCH(0, IF(ISBLANK('Annex 2 EHV charges'!$A$10:$A$108),1, COUNTIF(A$4:$A26, 'Annex 2 EHV charges'!$A$10:$A$108)), 0)),"")</f>
        <v>NR_MAI</v>
      </c>
      <c r="B27" s="85">
        <f>IF($A27="","",VLOOKUP($A27,'Annex 2 EHV charges'!$A:$O,2,0))</f>
        <v>861</v>
      </c>
      <c r="C27" s="86">
        <f>IF($A27="","",VLOOKUP($A27,'Annex 2 EHV charges'!$A:$O,3,0))</f>
        <v>1900060219535</v>
      </c>
      <c r="D27" s="85" t="str">
        <f>IF($A27="","",VLOOKUP($A27,'Annex 2 EHV charges'!$A:$O,7,0))</f>
        <v>NR_MAI</v>
      </c>
      <c r="E27" s="90">
        <f>IFERROR(IF(VLOOKUP($A27,'Annex 2 EHV charges'!$A:$O,8,FALSE)=0,"",VLOOKUP($A27,'Annex 2 EHV charges'!$A:$O,8,FALSE)),"")</f>
        <v>3.242</v>
      </c>
      <c r="F27" s="91">
        <f>IFERROR(IF(VLOOKUP($A27,'Annex 2 EHV charges'!$A:$O,9,FALSE)=0,"",VLOOKUP($A27,'Annex 2 EHV charges'!$A:$O,9,FALSE)),"")</f>
        <v>19164.240000000002</v>
      </c>
      <c r="G27" s="92">
        <f>IFERROR(IF(VLOOKUP($A27,'Annex 2 EHV charges'!$A:$O,10,FALSE)=0,"",VLOOKUP($A27,'Annex 2 EHV charges'!$A:$O,10,FALSE)),"")</f>
        <v>1.67</v>
      </c>
      <c r="H27" s="92">
        <f>IFERROR(IF(VLOOKUP($A27,'Annex 2 EHV charges'!$A:$O,11,FALSE)=0,"",VLOOKUP($A27,'Annex 2 EHV charges'!$A:$O,11,FALSE)),"")</f>
        <v>1.67</v>
      </c>
    </row>
    <row r="28" spans="1:8" ht="12.75" customHeight="1" x14ac:dyDescent="0.2">
      <c r="A28" s="85" t="str">
        <f t="array" ref="A28">IFERROR(INDEX('Annex 2 EHV charges'!$A$10:$A$108, MATCH(0, IF(ISBLANK('Annex 2 EHV charges'!$A$10:$A$108),1, COUNTIF(A$4:$A27, 'Annex 2 EHV charges'!$A$10:$A$108)), 0)),"")</f>
        <v>NR_NOR</v>
      </c>
      <c r="B28" s="85">
        <f>IF($A28="","",VLOOKUP($A28,'Annex 2 EHV charges'!$A:$O,2,0))</f>
        <v>862</v>
      </c>
      <c r="C28" s="86">
        <f>IF($A28="","",VLOOKUP($A28,'Annex 2 EHV charges'!$A:$O,3,0))</f>
        <v>1900060219891</v>
      </c>
      <c r="D28" s="85" t="str">
        <f>IF($A28="","",VLOOKUP($A28,'Annex 2 EHV charges'!$A:$O,7,0))</f>
        <v>NR_NOR</v>
      </c>
      <c r="E28" s="90" t="str">
        <f>IFERROR(IF(VLOOKUP($A28,'Annex 2 EHV charges'!$A:$O,8,FALSE)=0,"",VLOOKUP($A28,'Annex 2 EHV charges'!$A:$O,8,FALSE)),"")</f>
        <v/>
      </c>
      <c r="F28" s="91">
        <f>IFERROR(IF(VLOOKUP($A28,'Annex 2 EHV charges'!$A:$O,9,FALSE)=0,"",VLOOKUP($A28,'Annex 2 EHV charges'!$A:$O,9,FALSE)),"")</f>
        <v>33992.480000000003</v>
      </c>
      <c r="G28" s="92">
        <f>IFERROR(IF(VLOOKUP($A28,'Annex 2 EHV charges'!$A:$O,10,FALSE)=0,"",VLOOKUP($A28,'Annex 2 EHV charges'!$A:$O,10,FALSE)),"")</f>
        <v>1.55</v>
      </c>
      <c r="H28" s="92">
        <f>IFERROR(IF(VLOOKUP($A28,'Annex 2 EHV charges'!$A:$O,11,FALSE)=0,"",VLOOKUP($A28,'Annex 2 EHV charges'!$A:$O,11,FALSE)),"")</f>
        <v>1.55</v>
      </c>
    </row>
    <row r="29" spans="1:8" ht="12.75" customHeight="1" x14ac:dyDescent="0.2">
      <c r="A29" s="85" t="str">
        <f t="array" ref="A29">IFERROR(INDEX('Annex 2 EHV charges'!$A$10:$A$108, MATCH(0, IF(ISBLANK('Annex 2 EHV charges'!$A$10:$A$108),1, COUNTIF(A$4:$A28, 'Annex 2 EHV charges'!$A$10:$A$108)), 0)),"")</f>
        <v>NR_QUE</v>
      </c>
      <c r="B29" s="85">
        <f>IF($A29="","",VLOOKUP($A29,'Annex 2 EHV charges'!$A:$O,2,0))</f>
        <v>863</v>
      </c>
      <c r="C29" s="86">
        <f>IF($A29="","",VLOOKUP($A29,'Annex 2 EHV charges'!$A:$O,3,0))</f>
        <v>1900060219084</v>
      </c>
      <c r="D29" s="85" t="str">
        <f>IF($A29="","",VLOOKUP($A29,'Annex 2 EHV charges'!$A:$O,7,0))</f>
        <v>NR_QUE</v>
      </c>
      <c r="E29" s="90" t="str">
        <f>IFERROR(IF(VLOOKUP($A29,'Annex 2 EHV charges'!$A:$O,8,FALSE)=0,"",VLOOKUP($A29,'Annex 2 EHV charges'!$A:$O,8,FALSE)),"")</f>
        <v/>
      </c>
      <c r="F29" s="91">
        <f>IFERROR(IF(VLOOKUP($A29,'Annex 2 EHV charges'!$A:$O,9,FALSE)=0,"",VLOOKUP($A29,'Annex 2 EHV charges'!$A:$O,9,FALSE)),"")</f>
        <v>680.82</v>
      </c>
      <c r="G29" s="92">
        <f>IFERROR(IF(VLOOKUP($A29,'Annex 2 EHV charges'!$A:$O,10,FALSE)=0,"",VLOOKUP($A29,'Annex 2 EHV charges'!$A:$O,10,FALSE)),"")</f>
        <v>3.33</v>
      </c>
      <c r="H29" s="92">
        <f>IFERROR(IF(VLOOKUP($A29,'Annex 2 EHV charges'!$A:$O,11,FALSE)=0,"",VLOOKUP($A29,'Annex 2 EHV charges'!$A:$O,11,FALSE)),"")</f>
        <v>3.33</v>
      </c>
    </row>
    <row r="30" spans="1:8" ht="12.75" customHeight="1" x14ac:dyDescent="0.2">
      <c r="A30" s="85" t="str">
        <f t="array" ref="A30">IFERROR(INDEX('Annex 2 EHV charges'!$A$10:$A$108, MATCH(0, IF(ISBLANK('Annex 2 EHV charges'!$A$10:$A$108),1, COUNTIF(A$4:$A29, 'Annex 2 EHV charges'!$A$10:$A$108)), 0)),"")</f>
        <v>NR_SIT</v>
      </c>
      <c r="B30" s="85">
        <f>IF($A30="","",VLOOKUP($A30,'Annex 2 EHV charges'!$A:$O,2,0))</f>
        <v>864</v>
      </c>
      <c r="C30" s="86" t="str">
        <f>IF($A30="","",VLOOKUP($A30,'Annex 2 EHV charges'!$A:$O,3,0))</f>
        <v>1900060219819
1900060219855</v>
      </c>
      <c r="D30" s="85" t="str">
        <f>IF($A30="","",VLOOKUP($A30,'Annex 2 EHV charges'!$A:$O,7,0))</f>
        <v>NR_SIT</v>
      </c>
      <c r="E30" s="90">
        <f>IFERROR(IF(VLOOKUP($A30,'Annex 2 EHV charges'!$A:$O,8,FALSE)=0,"",VLOOKUP($A30,'Annex 2 EHV charges'!$A:$O,8,FALSE)),"")</f>
        <v>3.3000000000000002E-2</v>
      </c>
      <c r="F30" s="91">
        <f>IFERROR(IF(VLOOKUP($A30,'Annex 2 EHV charges'!$A:$O,9,FALSE)=0,"",VLOOKUP($A30,'Annex 2 EHV charges'!$A:$O,9,FALSE)),"")</f>
        <v>19164.240000000002</v>
      </c>
      <c r="G30" s="92">
        <f>IFERROR(IF(VLOOKUP($A30,'Annex 2 EHV charges'!$A:$O,10,FALSE)=0,"",VLOOKUP($A30,'Annex 2 EHV charges'!$A:$O,10,FALSE)),"")</f>
        <v>1.42</v>
      </c>
      <c r="H30" s="92">
        <f>IFERROR(IF(VLOOKUP($A30,'Annex 2 EHV charges'!$A:$O,11,FALSE)=0,"",VLOOKUP($A30,'Annex 2 EHV charges'!$A:$O,11,FALSE)),"")</f>
        <v>1.42</v>
      </c>
    </row>
    <row r="31" spans="1:8" ht="12.75" customHeight="1" x14ac:dyDescent="0.2">
      <c r="A31" s="85" t="str">
        <f t="array" ref="A31">IFERROR(INDEX('Annex 2 EHV charges'!$A$10:$A$108, MATCH(0, IF(ISBLANK('Annex 2 EHV charges'!$A$10:$A$108),1, COUNTIF(A$4:$A30, 'Annex 2 EHV charges'!$A$10:$A$108)), 0)),"")</f>
        <v>NR_THA</v>
      </c>
      <c r="B31" s="85">
        <f>IF($A31="","",VLOOKUP($A31,'Annex 2 EHV charges'!$A:$O,2,0))</f>
        <v>865</v>
      </c>
      <c r="C31" s="86" t="str">
        <f>IF($A31="","",VLOOKUP($A31,'Annex 2 EHV charges'!$A:$O,3,0))</f>
        <v>1900060219720
1900060219794</v>
      </c>
      <c r="D31" s="85" t="str">
        <f>IF($A31="","",VLOOKUP($A31,'Annex 2 EHV charges'!$A:$O,7,0))</f>
        <v>NR_THA</v>
      </c>
      <c r="E31" s="90">
        <f>IFERROR(IF(VLOOKUP($A31,'Annex 2 EHV charges'!$A:$O,8,FALSE)=0,"",VLOOKUP($A31,'Annex 2 EHV charges'!$A:$O,8,FALSE)),"")</f>
        <v>2.8580000000000001</v>
      </c>
      <c r="F31" s="91">
        <f>IFERROR(IF(VLOOKUP($A31,'Annex 2 EHV charges'!$A:$O,9,FALSE)=0,"",VLOOKUP($A31,'Annex 2 EHV charges'!$A:$O,9,FALSE)),"")</f>
        <v>8007.72</v>
      </c>
      <c r="G31" s="92">
        <f>IFERROR(IF(VLOOKUP($A31,'Annex 2 EHV charges'!$A:$O,10,FALSE)=0,"",VLOOKUP($A31,'Annex 2 EHV charges'!$A:$O,10,FALSE)),"")</f>
        <v>2.4700000000000002</v>
      </c>
      <c r="H31" s="92">
        <f>IFERROR(IF(VLOOKUP($A31,'Annex 2 EHV charges'!$A:$O,11,FALSE)=0,"",VLOOKUP($A31,'Annex 2 EHV charges'!$A:$O,11,FALSE)),"")</f>
        <v>2.4700000000000002</v>
      </c>
    </row>
    <row r="32" spans="1:8" ht="12.75" customHeight="1" x14ac:dyDescent="0.2">
      <c r="A32" s="85" t="str">
        <f t="array" ref="A32">IFERROR(INDEX('Annex 2 EHV charges'!$A$10:$A$108, MATCH(0, IF(ISBLANK('Annex 2 EHV charges'!$A$10:$A$108),1, COUNTIF(A$4:$A31, 'Annex 2 EHV charges'!$A$10:$A$108)), 0)),"")</f>
        <v>NR_TUN</v>
      </c>
      <c r="B32" s="85">
        <f>IF($A32="","",VLOOKUP($A32,'Annex 2 EHV charges'!$A:$O,2,0))</f>
        <v>867</v>
      </c>
      <c r="C32" s="86">
        <f>IF($A32="","",VLOOKUP($A32,'Annex 2 EHV charges'!$A:$O,3,0))</f>
        <v>1900060219206</v>
      </c>
      <c r="D32" s="85" t="str">
        <f>IF($A32="","",VLOOKUP($A32,'Annex 2 EHV charges'!$A:$O,7,0))</f>
        <v>NR_TUN</v>
      </c>
      <c r="E32" s="90">
        <f>IFERROR(IF(VLOOKUP($A32,'Annex 2 EHV charges'!$A:$O,8,FALSE)=0,"",VLOOKUP($A32,'Annex 2 EHV charges'!$A:$O,8,FALSE)),"")</f>
        <v>1.0780000000000001</v>
      </c>
      <c r="F32" s="91">
        <f>IFERROR(IF(VLOOKUP($A32,'Annex 2 EHV charges'!$A:$O,9,FALSE)=0,"",VLOOKUP($A32,'Annex 2 EHV charges'!$A:$O,9,FALSE)),"")</f>
        <v>19164.240000000002</v>
      </c>
      <c r="G32" s="92">
        <f>IFERROR(IF(VLOOKUP($A32,'Annex 2 EHV charges'!$A:$O,10,FALSE)=0,"",VLOOKUP($A32,'Annex 2 EHV charges'!$A:$O,10,FALSE)),"")</f>
        <v>2.2400000000000002</v>
      </c>
      <c r="H32" s="92">
        <f>IFERROR(IF(VLOOKUP($A32,'Annex 2 EHV charges'!$A:$O,11,FALSE)=0,"",VLOOKUP($A32,'Annex 2 EHV charges'!$A:$O,11,FALSE)),"")</f>
        <v>2.2400000000000002</v>
      </c>
    </row>
    <row r="33" spans="1:8" ht="12.75" customHeight="1" x14ac:dyDescent="0.2">
      <c r="A33" s="85" t="str">
        <f t="array" ref="A33">IFERROR(INDEX('Annex 2 EHV charges'!$A$10:$A$108, MATCH(0, IF(ISBLANK('Annex 2 EHV charges'!$A$10:$A$108),1, COUNTIF(A$4:$A32, 'Annex 2 EHV charges'!$A$10:$A$108)), 0)),"")</f>
        <v>PFIZER</v>
      </c>
      <c r="B33" s="85">
        <f>IF($A33="","",VLOOKUP($A33,'Annex 2 EHV charges'!$A:$O,2,0))</f>
        <v>881</v>
      </c>
      <c r="C33" s="86">
        <f>IF($A33="","",VLOOKUP($A33,'Annex 2 EHV charges'!$A:$O,3,0))</f>
        <v>1900060219544</v>
      </c>
      <c r="D33" s="85" t="str">
        <f>IF($A33="","",VLOOKUP($A33,'Annex 2 EHV charges'!$A:$O,7,0))</f>
        <v>PFIZER</v>
      </c>
      <c r="E33" s="90" t="str">
        <f>IFERROR(IF(VLOOKUP($A33,'Annex 2 EHV charges'!$A:$O,8,FALSE)=0,"",VLOOKUP($A33,'Annex 2 EHV charges'!$A:$O,8,FALSE)),"")</f>
        <v/>
      </c>
      <c r="F33" s="91">
        <f>IFERROR(IF(VLOOKUP($A33,'Annex 2 EHV charges'!$A:$O,9,FALSE)=0,"",VLOOKUP($A33,'Annex 2 EHV charges'!$A:$O,9,FALSE)),"")</f>
        <v>9478.07</v>
      </c>
      <c r="G33" s="92">
        <f>IFERROR(IF(VLOOKUP($A33,'Annex 2 EHV charges'!$A:$O,10,FALSE)=0,"",VLOOKUP($A33,'Annex 2 EHV charges'!$A:$O,10,FALSE)),"")</f>
        <v>0.56000000000000005</v>
      </c>
      <c r="H33" s="92">
        <f>IFERROR(IF(VLOOKUP($A33,'Annex 2 EHV charges'!$A:$O,11,FALSE)=0,"",VLOOKUP($A33,'Annex 2 EHV charges'!$A:$O,11,FALSE)),"")</f>
        <v>0.56000000000000005</v>
      </c>
    </row>
    <row r="34" spans="1:8" ht="12.75" customHeight="1" x14ac:dyDescent="0.2">
      <c r="A34" s="85" t="str">
        <f t="array" ref="A34">IFERROR(INDEX('Annex 2 EHV charges'!$A$10:$A$108, MATCH(0, IF(ISBLANK('Annex 2 EHV charges'!$A$10:$A$108),1, COUNTIF(A$4:$A33, 'Annex 2 EHV charges'!$A$10:$A$108)), 0)),"")</f>
        <v>SENTIV</v>
      </c>
      <c r="B34" s="85">
        <f>IF($A34="","",VLOOKUP($A34,'Annex 2 EHV charges'!$A:$O,2,0))</f>
        <v>888</v>
      </c>
      <c r="C34" s="86" t="str">
        <f>IF($A34="","",VLOOKUP($A34,'Annex 2 EHV charges'!$A:$O,3,0))</f>
        <v>1900090497281
1900090497290
1900090497306
1900090497315</v>
      </c>
      <c r="D34" s="85" t="str">
        <f>IF($A34="","",VLOOKUP($A34,'Annex 2 EHV charges'!$A:$O,7,0))</f>
        <v>SENTIV</v>
      </c>
      <c r="E34" s="90" t="str">
        <f>IFERROR(IF(VLOOKUP($A34,'Annex 2 EHV charges'!$A:$O,8,FALSE)=0,"",VLOOKUP($A34,'Annex 2 EHV charges'!$A:$O,8,FALSE)),"")</f>
        <v/>
      </c>
      <c r="F34" s="91">
        <f>IFERROR(IF(VLOOKUP($A34,'Annex 2 EHV charges'!$A:$O,9,FALSE)=0,"",VLOOKUP($A34,'Annex 2 EHV charges'!$A:$O,9,FALSE)),"")</f>
        <v>102100.38</v>
      </c>
      <c r="G34" s="92">
        <f>IFERROR(IF(VLOOKUP($A34,'Annex 2 EHV charges'!$A:$O,10,FALSE)=0,"",VLOOKUP($A34,'Annex 2 EHV charges'!$A:$O,10,FALSE)),"")</f>
        <v>1.28</v>
      </c>
      <c r="H34" s="92">
        <f>IFERROR(IF(VLOOKUP($A34,'Annex 2 EHV charges'!$A:$O,11,FALSE)=0,"",VLOOKUP($A34,'Annex 2 EHV charges'!$A:$O,11,FALSE)),"")</f>
        <v>1.28</v>
      </c>
    </row>
    <row r="35" spans="1:8" ht="12.75" customHeight="1" x14ac:dyDescent="0.2">
      <c r="A35" s="85" t="str">
        <f t="array" ref="A35">IFERROR(INDEX('Annex 2 EHV charges'!$A$10:$A$108, MATCH(0, IF(ISBLANK('Annex 2 EHV charges'!$A$10:$A$108),1, COUNTIF(A$4:$A34, 'Annex 2 EHV charges'!$A$10:$A$108)), 0)),"")</f>
        <v>THAMEM</v>
      </c>
      <c r="B35" s="85">
        <f>IF($A35="","",VLOOKUP($A35,'Annex 2 EHV charges'!$A:$O,2,0))</f>
        <v>838</v>
      </c>
      <c r="C35" s="86" t="str">
        <f>IF($A35="","",VLOOKUP($A35,'Annex 2 EHV charges'!$A:$O,3,0))</f>
        <v>1900090872672
1900090872681</v>
      </c>
      <c r="D35" s="85" t="str">
        <f>IF($A35="","",VLOOKUP($A35,'Annex 2 EHV charges'!$A:$O,7,0))</f>
        <v>THAMEM</v>
      </c>
      <c r="E35" s="90" t="str">
        <f>IFERROR(IF(VLOOKUP($A35,'Annex 2 EHV charges'!$A:$O,8,FALSE)=0,"",VLOOKUP($A35,'Annex 2 EHV charges'!$A:$O,8,FALSE)),"")</f>
        <v/>
      </c>
      <c r="F35" s="91">
        <f>IFERROR(IF(VLOOKUP($A35,'Annex 2 EHV charges'!$A:$O,9,FALSE)=0,"",VLOOKUP($A35,'Annex 2 EHV charges'!$A:$O,9,FALSE)),"")</f>
        <v>36603.480000000003</v>
      </c>
      <c r="G35" s="92">
        <f>IFERROR(IF(VLOOKUP($A35,'Annex 2 EHV charges'!$A:$O,10,FALSE)=0,"",VLOOKUP($A35,'Annex 2 EHV charges'!$A:$O,10,FALSE)),"")</f>
        <v>1.23</v>
      </c>
      <c r="H35" s="92">
        <f>IFERROR(IF(VLOOKUP($A35,'Annex 2 EHV charges'!$A:$O,11,FALSE)=0,"",VLOOKUP($A35,'Annex 2 EHV charges'!$A:$O,11,FALSE)),"")</f>
        <v>1.23</v>
      </c>
    </row>
    <row r="36" spans="1:8" ht="12.75" customHeight="1" x14ac:dyDescent="0.2">
      <c r="A36" s="85" t="str">
        <f t="array" ref="A36">IFERROR(INDEX('Annex 2 EHV charges'!$A$10:$A$108, MATCH(0, IF(ISBLANK('Annex 2 EHV charges'!$A$10:$A$108),1, COUNTIF(A$4:$A35, 'Annex 2 EHV charges'!$A$10:$A$108)), 0)),"")</f>
        <v>THAMES</v>
      </c>
      <c r="B36" s="85">
        <f>IF($A36="","",VLOOKUP($A36,'Annex 2 EHV charges'!$A:$O,2,0))</f>
        <v>884</v>
      </c>
      <c r="C36" s="86">
        <f>IF($A36="","",VLOOKUP($A36,'Annex 2 EHV charges'!$A:$O,3,0))</f>
        <v>1900016424857</v>
      </c>
      <c r="D36" s="85" t="str">
        <f>IF($A36="","",VLOOKUP($A36,'Annex 2 EHV charges'!$A:$O,7,0))</f>
        <v>THAMES</v>
      </c>
      <c r="E36" s="90" t="str">
        <f>IFERROR(IF(VLOOKUP($A36,'Annex 2 EHV charges'!$A:$O,8,FALSE)=0,"",VLOOKUP($A36,'Annex 2 EHV charges'!$A:$O,8,FALSE)),"")</f>
        <v/>
      </c>
      <c r="F36" s="91">
        <f>IFERROR(IF(VLOOKUP($A36,'Annex 2 EHV charges'!$A:$O,9,FALSE)=0,"",VLOOKUP($A36,'Annex 2 EHV charges'!$A:$O,9,FALSE)),"")</f>
        <v>10346.73</v>
      </c>
      <c r="G36" s="92">
        <f>IFERROR(IF(VLOOKUP($A36,'Annex 2 EHV charges'!$A:$O,10,FALSE)=0,"",VLOOKUP($A36,'Annex 2 EHV charges'!$A:$O,10,FALSE)),"")</f>
        <v>2.41</v>
      </c>
      <c r="H36" s="92">
        <f>IFERROR(IF(VLOOKUP($A36,'Annex 2 EHV charges'!$A:$O,11,FALSE)=0,"",VLOOKUP($A36,'Annex 2 EHV charges'!$A:$O,11,FALSE)),"")</f>
        <v>2.41</v>
      </c>
    </row>
    <row r="37" spans="1:8" ht="12.75" customHeight="1" x14ac:dyDescent="0.2">
      <c r="A37" s="85" t="str">
        <f t="array" ref="A37">IFERROR(INDEX('Annex 2 EHV charges'!$A$10:$A$108, MATCH(0, IF(ISBLANK('Annex 2 EHV charges'!$A$10:$A$108),1, COUNTIF(A$4:$A36, 'Annex 2 EHV charges'!$A$10:$A$108)), 0)),"")</f>
        <v>TWHK66</v>
      </c>
      <c r="B37" s="85">
        <f>IF($A37="","",VLOOKUP($A37,'Annex 2 EHV charges'!$A:$O,2,0))</f>
        <v>839</v>
      </c>
      <c r="C37" s="86">
        <f>IF($A37="","",VLOOKUP($A37,'Annex 2 EHV charges'!$A:$O,3,0))</f>
        <v>1900091206176</v>
      </c>
      <c r="D37" s="85" t="str">
        <f>IF($A37="","",VLOOKUP($A37,'Annex 2 EHV charges'!$A:$O,7,0))</f>
        <v>TWHK66</v>
      </c>
      <c r="E37" s="90">
        <f>IFERROR(IF(VLOOKUP($A37,'Annex 2 EHV charges'!$A:$O,8,FALSE)=0,"",VLOOKUP($A37,'Annex 2 EHV charges'!$A:$O,8,FALSE)),"")</f>
        <v>3.008</v>
      </c>
      <c r="F37" s="91">
        <f>IFERROR(IF(VLOOKUP($A37,'Annex 2 EHV charges'!$A:$O,9,FALSE)=0,"",VLOOKUP($A37,'Annex 2 EHV charges'!$A:$O,9,FALSE)),"")</f>
        <v>7564.02</v>
      </c>
      <c r="G37" s="92">
        <f>IFERROR(IF(VLOOKUP($A37,'Annex 2 EHV charges'!$A:$O,10,FALSE)=0,"",VLOOKUP($A37,'Annex 2 EHV charges'!$A:$O,10,FALSE)),"")</f>
        <v>3.27</v>
      </c>
      <c r="H37" s="92">
        <f>IFERROR(IF(VLOOKUP($A37,'Annex 2 EHV charges'!$A:$O,11,FALSE)=0,"",VLOOKUP($A37,'Annex 2 EHV charges'!$A:$O,11,FALSE)),"")</f>
        <v>3.27</v>
      </c>
    </row>
    <row r="38" spans="1:8" ht="12.75" customHeight="1" x14ac:dyDescent="0.2">
      <c r="A38" s="85" t="str">
        <f t="array" ref="A38">IFERROR(INDEX('Annex 2 EHV charges'!$A$10:$A$108, MATCH(0, IF(ISBLANK('Annex 2 EHV charges'!$A$10:$A$108),1, COUNTIF(A$4:$A37, 'Annex 2 EHV charges'!$A$10:$A$108)), 0)),"")</f>
        <v>ANMSTR</v>
      </c>
      <c r="B38" s="85">
        <f>IF($A38="","",VLOOKUP($A38,'Annex 2 EHV charges'!$A:$O,2,0))</f>
        <v>873</v>
      </c>
      <c r="C38" s="86">
        <f>IF($A38="","",VLOOKUP($A38,'Annex 2 EHV charges'!$A:$O,3,0))</f>
        <v>1900091919588</v>
      </c>
      <c r="D38" s="85" t="str">
        <f>IF($A38="","",VLOOKUP($A38,'Annex 2 EHV charges'!$A:$O,7,0))</f>
        <v>ANMSTR</v>
      </c>
      <c r="E38" s="90">
        <f>IFERROR(IF(VLOOKUP($A38,'Annex 2 EHV charges'!$A:$O,8,FALSE)=0,"",VLOOKUP($A38,'Annex 2 EHV charges'!$A:$O,8,FALSE)),"")</f>
        <v>2.8580000000000001</v>
      </c>
      <c r="F38" s="91">
        <f>IFERROR(IF(VLOOKUP($A38,'Annex 2 EHV charges'!$A:$O,9,FALSE)=0,"",VLOOKUP($A38,'Annex 2 EHV charges'!$A:$O,9,FALSE)),"")</f>
        <v>383.88</v>
      </c>
      <c r="G38" s="92">
        <f>IFERROR(IF(VLOOKUP($A38,'Annex 2 EHV charges'!$A:$O,10,FALSE)=0,"",VLOOKUP($A38,'Annex 2 EHV charges'!$A:$O,10,FALSE)),"")</f>
        <v>1.48</v>
      </c>
      <c r="H38" s="92">
        <f>IFERROR(IF(VLOOKUP($A38,'Annex 2 EHV charges'!$A:$O,11,FALSE)=0,"",VLOOKUP($A38,'Annex 2 EHV charges'!$A:$O,11,FALSE)),"")</f>
        <v>1.48</v>
      </c>
    </row>
    <row r="39" spans="1:8" ht="12.75" customHeight="1" x14ac:dyDescent="0.2">
      <c r="A39" s="85" t="str">
        <f t="array" ref="A39">IFERROR(INDEX('Annex 2 EHV charges'!$A$10:$A$108, MATCH(0, IF(ISBLANK('Annex 2 EHV charges'!$A$10:$A$108),1, COUNTIF(A$4:$A38, 'Annex 2 EHV charges'!$A$10:$A$108)), 0)),"")</f>
        <v>ASHBYS</v>
      </c>
      <c r="B39" s="85">
        <f>IF($A39="","",VLOOKUP($A39,'Annex 2 EHV charges'!$A:$O,2,0))</f>
        <v>809</v>
      </c>
      <c r="C39" s="86">
        <f>IF($A39="","",VLOOKUP($A39,'Annex 2 EHV charges'!$A:$O,3,0))</f>
        <v>1900091216963</v>
      </c>
      <c r="D39" s="85" t="str">
        <f>IF($A39="","",VLOOKUP($A39,'Annex 2 EHV charges'!$A:$O,7,0))</f>
        <v>ASHBYS</v>
      </c>
      <c r="E39" s="90">
        <f>IFERROR(IF(VLOOKUP($A39,'Annex 2 EHV charges'!$A:$O,8,FALSE)=0,"",VLOOKUP($A39,'Annex 2 EHV charges'!$A:$O,8,FALSE)),"")</f>
        <v>6.1079999999999997</v>
      </c>
      <c r="F39" s="91">
        <f>IFERROR(IF(VLOOKUP($A39,'Annex 2 EHV charges'!$A:$O,9,FALSE)=0,"",VLOOKUP($A39,'Annex 2 EHV charges'!$A:$O,9,FALSE)),"")</f>
        <v>357.36</v>
      </c>
      <c r="G39" s="92">
        <f>IFERROR(IF(VLOOKUP($A39,'Annex 2 EHV charges'!$A:$O,10,FALSE)=0,"",VLOOKUP($A39,'Annex 2 EHV charges'!$A:$O,10,FALSE)),"")</f>
        <v>3.66</v>
      </c>
      <c r="H39" s="92">
        <f>IFERROR(IF(VLOOKUP($A39,'Annex 2 EHV charges'!$A:$O,11,FALSE)=0,"",VLOOKUP($A39,'Annex 2 EHV charges'!$A:$O,11,FALSE)),"")</f>
        <v>3.66</v>
      </c>
    </row>
    <row r="40" spans="1:8" ht="12.75" customHeight="1" x14ac:dyDescent="0.2">
      <c r="A40" s="85" t="str">
        <f t="array" ref="A40">IFERROR(INDEX('Annex 2 EHV charges'!$A$10:$A$108, MATCH(0, IF(ISBLANK('Annex 2 EHV charges'!$A$10:$A$108),1, COUNTIF(A$4:$A39, 'Annex 2 EHV charges'!$A$10:$A$108)), 0)),"")</f>
        <v>ASHGEN</v>
      </c>
      <c r="B40" s="85">
        <f>IF($A40="","",VLOOKUP($A40,'Annex 2 EHV charges'!$A:$O,2,0))</f>
        <v>801</v>
      </c>
      <c r="C40" s="86">
        <f>IF($A40="","",VLOOKUP($A40,'Annex 2 EHV charges'!$A:$O,3,0))</f>
        <v>1900090978866</v>
      </c>
      <c r="D40" s="85" t="str">
        <f>IF($A40="","",VLOOKUP($A40,'Annex 2 EHV charges'!$A:$O,7,0))</f>
        <v>ASHGEN</v>
      </c>
      <c r="E40" s="90" t="str">
        <f>IFERROR(IF(VLOOKUP($A40,'Annex 2 EHV charges'!$A:$O,8,FALSE)=0,"",VLOOKUP($A40,'Annex 2 EHV charges'!$A:$O,8,FALSE)),"")</f>
        <v/>
      </c>
      <c r="F40" s="91">
        <f>IFERROR(IF(VLOOKUP($A40,'Annex 2 EHV charges'!$A:$O,9,FALSE)=0,"",VLOOKUP($A40,'Annex 2 EHV charges'!$A:$O,9,FALSE)),"")</f>
        <v>440.49</v>
      </c>
      <c r="G40" s="92">
        <f>IFERROR(IF(VLOOKUP($A40,'Annex 2 EHV charges'!$A:$O,10,FALSE)=0,"",VLOOKUP($A40,'Annex 2 EHV charges'!$A:$O,10,FALSE)),"")</f>
        <v>0.65</v>
      </c>
      <c r="H40" s="92">
        <f>IFERROR(IF(VLOOKUP($A40,'Annex 2 EHV charges'!$A:$O,11,FALSE)=0,"",VLOOKUP($A40,'Annex 2 EHV charges'!$A:$O,11,FALSE)),"")</f>
        <v>0.65</v>
      </c>
    </row>
    <row r="41" spans="1:8" ht="12.75" customHeight="1" x14ac:dyDescent="0.2">
      <c r="A41" s="85" t="str">
        <f t="array" ref="A41">IFERROR(INDEX('Annex 2 EHV charges'!$A$10:$A$108, MATCH(0, IF(ISBLANK('Annex 2 EHV charges'!$A$10:$A$108),1, COUNTIF(A$4:$A40, 'Annex 2 EHV charges'!$A$10:$A$108)), 0)),"")</f>
        <v>AYLESF</v>
      </c>
      <c r="B41" s="85">
        <f>IF($A41="","",VLOOKUP($A41,'Annex 2 EHV charges'!$A:$O,2,0))</f>
        <v>868</v>
      </c>
      <c r="C41" s="86">
        <f>IF($A41="","",VLOOKUP($A41,'Annex 2 EHV charges'!$A:$O,3,0))</f>
        <v>1900060216613</v>
      </c>
      <c r="D41" s="85" t="str">
        <f>IF($A41="","",VLOOKUP($A41,'Annex 2 EHV charges'!$A:$O,7,0))</f>
        <v>AYLESF</v>
      </c>
      <c r="E41" s="90" t="str">
        <f>IFERROR(IF(VLOOKUP($A41,'Annex 2 EHV charges'!$A:$O,8,FALSE)=0,"",VLOOKUP($A41,'Annex 2 EHV charges'!$A:$O,8,FALSE)),"")</f>
        <v/>
      </c>
      <c r="F41" s="91">
        <f>IFERROR(IF(VLOOKUP($A41,'Annex 2 EHV charges'!$A:$O,9,FALSE)=0,"",VLOOKUP($A41,'Annex 2 EHV charges'!$A:$O,9,FALSE)),"")</f>
        <v>33041.01</v>
      </c>
      <c r="G41" s="92">
        <f>IFERROR(IF(VLOOKUP($A41,'Annex 2 EHV charges'!$A:$O,10,FALSE)=0,"",VLOOKUP($A41,'Annex 2 EHV charges'!$A:$O,10,FALSE)),"")</f>
        <v>0.56999999999999995</v>
      </c>
      <c r="H41" s="92">
        <f>IFERROR(IF(VLOOKUP($A41,'Annex 2 EHV charges'!$A:$O,11,FALSE)=0,"",VLOOKUP($A41,'Annex 2 EHV charges'!$A:$O,11,FALSE)),"")</f>
        <v>0.56999999999999995</v>
      </c>
    </row>
    <row r="42" spans="1:8" ht="12.75" customHeight="1" x14ac:dyDescent="0.2">
      <c r="A42" s="85" t="str">
        <f t="array" ref="A42">IFERROR(INDEX('Annex 2 EHV charges'!$A$10:$A$108, MATCH(0, IF(ISBLANK('Annex 2 EHV charges'!$A$10:$A$108),1, COUNTIF(A$4:$A41, 'Annex 2 EHV charges'!$A$10:$A$108)), 0)),"")</f>
        <v>BEDERF</v>
      </c>
      <c r="B42" s="85">
        <f>IF($A42="","",VLOOKUP($A42,'Annex 2 EHV charges'!$A:$O,2,0))</f>
        <v>840</v>
      </c>
      <c r="C42" s="86">
        <f>IF($A42="","",VLOOKUP($A42,'Annex 2 EHV charges'!$A:$O,3,0))</f>
        <v>1900091482588</v>
      </c>
      <c r="D42" s="85" t="str">
        <f>IF($A42="","",VLOOKUP($A42,'Annex 2 EHV charges'!$A:$O,7,0))</f>
        <v>BEDERF</v>
      </c>
      <c r="E42" s="90" t="str">
        <f>IFERROR(IF(VLOOKUP($A42,'Annex 2 EHV charges'!$A:$O,8,FALSE)=0,"",VLOOKUP($A42,'Annex 2 EHV charges'!$A:$O,8,FALSE)),"")</f>
        <v/>
      </c>
      <c r="F42" s="91">
        <f>IFERROR(IF(VLOOKUP($A42,'Annex 2 EHV charges'!$A:$O,9,FALSE)=0,"",VLOOKUP($A42,'Annex 2 EHV charges'!$A:$O,9,FALSE)),"")</f>
        <v>690.1</v>
      </c>
      <c r="G42" s="92">
        <f>IFERROR(IF(VLOOKUP($A42,'Annex 2 EHV charges'!$A:$O,10,FALSE)=0,"",VLOOKUP($A42,'Annex 2 EHV charges'!$A:$O,10,FALSE)),"")</f>
        <v>0.79</v>
      </c>
      <c r="H42" s="92">
        <f>IFERROR(IF(VLOOKUP($A42,'Annex 2 EHV charges'!$A:$O,11,FALSE)=0,"",VLOOKUP($A42,'Annex 2 EHV charges'!$A:$O,11,FALSE)),"")</f>
        <v>0.79</v>
      </c>
    </row>
    <row r="43" spans="1:8" ht="12.75" customHeight="1" x14ac:dyDescent="0.2">
      <c r="A43" s="85" t="str">
        <f t="array" ref="A43">IFERROR(INDEX('Annex 2 EHV charges'!$A$10:$A$108, MATCH(0, IF(ISBLANK('Annex 2 EHV charges'!$A$10:$A$108),1, COUNTIF(A$4:$A42, 'Annex 2 EHV charges'!$A$10:$A$108)), 0)),"")</f>
        <v>BESAYL</v>
      </c>
      <c r="B43" s="85">
        <f>IF($A43="","",VLOOKUP($A43,'Annex 2 EHV charges'!$A:$O,2,0))</f>
        <v>841</v>
      </c>
      <c r="C43" s="86">
        <f>IF($A43="","",VLOOKUP($A43,'Annex 2 EHV charges'!$A:$O,3,0))</f>
        <v>1900091632775</v>
      </c>
      <c r="D43" s="85" t="str">
        <f>IF($A43="","",VLOOKUP($A43,'Annex 2 EHV charges'!$A:$O,7,0))</f>
        <v>BESAYL</v>
      </c>
      <c r="E43" s="90" t="str">
        <f>IFERROR(IF(VLOOKUP($A43,'Annex 2 EHV charges'!$A:$O,8,FALSE)=0,"",VLOOKUP($A43,'Annex 2 EHV charges'!$A:$O,8,FALSE)),"")</f>
        <v/>
      </c>
      <c r="F43" s="91">
        <f>IFERROR(IF(VLOOKUP($A43,'Annex 2 EHV charges'!$A:$O,9,FALSE)=0,"",VLOOKUP($A43,'Annex 2 EHV charges'!$A:$O,9,FALSE)),"")</f>
        <v>33073.07</v>
      </c>
      <c r="G43" s="92">
        <f>IFERROR(IF(VLOOKUP($A43,'Annex 2 EHV charges'!$A:$O,10,FALSE)=0,"",VLOOKUP($A43,'Annex 2 EHV charges'!$A:$O,10,FALSE)),"")</f>
        <v>0.7</v>
      </c>
      <c r="H43" s="92">
        <f>IFERROR(IF(VLOOKUP($A43,'Annex 2 EHV charges'!$A:$O,11,FALSE)=0,"",VLOOKUP($A43,'Annex 2 EHV charges'!$A:$O,11,FALSE)),"")</f>
        <v>0.7</v>
      </c>
    </row>
    <row r="44" spans="1:8" ht="12.75" customHeight="1" x14ac:dyDescent="0.2">
      <c r="A44" s="85" t="str">
        <f t="array" ref="A44">IFERROR(INDEX('Annex 2 EHV charges'!$A$10:$A$108, MATCH(0, IF(ISBLANK('Annex 2 EHV charges'!$A$10:$A$108),1, COUNTIF(A$4:$A43, 'Annex 2 EHV charges'!$A$10:$A$108)), 0)),"")</f>
        <v>BNTLEY</v>
      </c>
      <c r="B44" s="85">
        <f>IF($A44="","",VLOOKUP($A44,'Annex 2 EHV charges'!$A:$O,2,0))</f>
        <v>890</v>
      </c>
      <c r="C44" s="86">
        <f>IF($A44="","",VLOOKUP($A44,'Annex 2 EHV charges'!$A:$O,3,0))</f>
        <v>1900091343778</v>
      </c>
      <c r="D44" s="85" t="str">
        <f>IF($A44="","",VLOOKUP($A44,'Annex 2 EHV charges'!$A:$O,7,0))</f>
        <v>BNTLEY</v>
      </c>
      <c r="E44" s="90">
        <f>IFERROR(IF(VLOOKUP($A44,'Annex 2 EHV charges'!$A:$O,8,FALSE)=0,"",VLOOKUP($A44,'Annex 2 EHV charges'!$A:$O,8,FALSE)),"")</f>
        <v>9.2230000000000008</v>
      </c>
      <c r="F44" s="91">
        <f>IFERROR(IF(VLOOKUP($A44,'Annex 2 EHV charges'!$A:$O,9,FALSE)=0,"",VLOOKUP($A44,'Annex 2 EHV charges'!$A:$O,9,FALSE)),"")</f>
        <v>356.39</v>
      </c>
      <c r="G44" s="92">
        <f>IFERROR(IF(VLOOKUP($A44,'Annex 2 EHV charges'!$A:$O,10,FALSE)=0,"",VLOOKUP($A44,'Annex 2 EHV charges'!$A:$O,10,FALSE)),"")</f>
        <v>0.98</v>
      </c>
      <c r="H44" s="92">
        <f>IFERROR(IF(VLOOKUP($A44,'Annex 2 EHV charges'!$A:$O,11,FALSE)=0,"",VLOOKUP($A44,'Annex 2 EHV charges'!$A:$O,11,FALSE)),"")</f>
        <v>0.98</v>
      </c>
    </row>
    <row r="45" spans="1:8" ht="12.75" customHeight="1" x14ac:dyDescent="0.2">
      <c r="A45" s="85" t="str">
        <f t="array" ref="A45">IFERROR(INDEX('Annex 2 EHV charges'!$A$10:$A$108, MATCH(0, IF(ISBLANK('Annex 2 EHV charges'!$A$10:$A$108),1, COUNTIF(A$4:$A44, 'Annex 2 EHV charges'!$A$10:$A$108)), 0)),"")</f>
        <v>BNTLY2</v>
      </c>
      <c r="B45" s="85">
        <f>IF($A45="","",VLOOKUP($A45,'Annex 2 EHV charges'!$A:$O,2,0))</f>
        <v>830</v>
      </c>
      <c r="C45" s="86">
        <f>IF($A45="","",VLOOKUP($A45,'Annex 2 EHV charges'!$A:$O,3,0))</f>
        <v>1900091463646</v>
      </c>
      <c r="D45" s="85" t="str">
        <f>IF($A45="","",VLOOKUP($A45,'Annex 2 EHV charges'!$A:$O,7,0))</f>
        <v>BNTLY2</v>
      </c>
      <c r="E45" s="90">
        <f>IFERROR(IF(VLOOKUP($A45,'Annex 2 EHV charges'!$A:$O,8,FALSE)=0,"",VLOOKUP($A45,'Annex 2 EHV charges'!$A:$O,8,FALSE)),"")</f>
        <v>9.2230000000000008</v>
      </c>
      <c r="F45" s="91">
        <f>IFERROR(IF(VLOOKUP($A45,'Annex 2 EHV charges'!$A:$O,9,FALSE)=0,"",VLOOKUP($A45,'Annex 2 EHV charges'!$A:$O,9,FALSE)),"")</f>
        <v>354.31</v>
      </c>
      <c r="G45" s="92">
        <f>IFERROR(IF(VLOOKUP($A45,'Annex 2 EHV charges'!$A:$O,10,FALSE)=0,"",VLOOKUP($A45,'Annex 2 EHV charges'!$A:$O,10,FALSE)),"")</f>
        <v>1.19</v>
      </c>
      <c r="H45" s="92">
        <f>IFERROR(IF(VLOOKUP($A45,'Annex 2 EHV charges'!$A:$O,11,FALSE)=0,"",VLOOKUP($A45,'Annex 2 EHV charges'!$A:$O,11,FALSE)),"")</f>
        <v>1.19</v>
      </c>
    </row>
    <row r="46" spans="1:8" ht="12.75" customHeight="1" x14ac:dyDescent="0.2">
      <c r="A46" s="85" t="str">
        <f t="array" ref="A46">IFERROR(INDEX('Annex 2 EHV charges'!$A$10:$A$108, MATCH(0, IF(ISBLANK('Annex 2 EHV charges'!$A$10:$A$108),1, COUNTIF(A$4:$A45, 'Annex 2 EHV charges'!$A$10:$A$108)), 0)),"")</f>
        <v>BOBBNG</v>
      </c>
      <c r="B46" s="85">
        <f>IF($A46="","",VLOOKUP($A46,'Annex 2 EHV charges'!$A:$O,2,0))</f>
        <v>891</v>
      </c>
      <c r="C46" s="86">
        <f>IF($A46="","",VLOOKUP($A46,'Annex 2 EHV charges'!$A:$O,3,0))</f>
        <v>1900091395508</v>
      </c>
      <c r="D46" s="85" t="str">
        <f>IF($A46="","",VLOOKUP($A46,'Annex 2 EHV charges'!$A:$O,7,0))</f>
        <v>BOBBNG</v>
      </c>
      <c r="E46" s="90">
        <f>IFERROR(IF(VLOOKUP($A46,'Annex 2 EHV charges'!$A:$O,8,FALSE)=0,"",VLOOKUP($A46,'Annex 2 EHV charges'!$A:$O,8,FALSE)),"")</f>
        <v>3.2000000000000001E-2</v>
      </c>
      <c r="F46" s="91">
        <f>IFERROR(IF(VLOOKUP($A46,'Annex 2 EHV charges'!$A:$O,9,FALSE)=0,"",VLOOKUP($A46,'Annex 2 EHV charges'!$A:$O,9,FALSE)),"")</f>
        <v>352.38</v>
      </c>
      <c r="G46" s="92">
        <f>IFERROR(IF(VLOOKUP($A46,'Annex 2 EHV charges'!$A:$O,10,FALSE)=0,"",VLOOKUP($A46,'Annex 2 EHV charges'!$A:$O,10,FALSE)),"")</f>
        <v>2.72</v>
      </c>
      <c r="H46" s="92">
        <f>IFERROR(IF(VLOOKUP($A46,'Annex 2 EHV charges'!$A:$O,11,FALSE)=0,"",VLOOKUP($A46,'Annex 2 EHV charges'!$A:$O,11,FALSE)),"")</f>
        <v>2.72</v>
      </c>
    </row>
    <row r="47" spans="1:8" ht="12.75" customHeight="1" x14ac:dyDescent="0.2">
      <c r="A47" s="85" t="str">
        <f t="array" ref="A47">IFERROR(INDEX('Annex 2 EHV charges'!$A$10:$A$108, MATCH(0, IF(ISBLANK('Annex 2 EHV charges'!$A$10:$A$108),1, COUNTIF(A$4:$A46, 'Annex 2 EHV charges'!$A$10:$A$108)), 0)),"")</f>
        <v>BRAMBS</v>
      </c>
      <c r="B47" s="85">
        <f>IF($A47="","",VLOOKUP($A47,'Annex 2 EHV charges'!$A:$O,2,0))</f>
        <v>842</v>
      </c>
      <c r="C47" s="86">
        <f>IF($A47="","",VLOOKUP($A47,'Annex 2 EHV charges'!$A:$O,3,0))</f>
        <v>1900091566810</v>
      </c>
      <c r="D47" s="85" t="str">
        <f>IF($A47="","",VLOOKUP($A47,'Annex 2 EHV charges'!$A:$O,7,0))</f>
        <v>BRAMBS</v>
      </c>
      <c r="E47" s="90">
        <f>IFERROR(IF(VLOOKUP($A47,'Annex 2 EHV charges'!$A:$O,8,FALSE)=0,"",VLOOKUP($A47,'Annex 2 EHV charges'!$A:$O,8,FALSE)),"")</f>
        <v>1.8680000000000001</v>
      </c>
      <c r="F47" s="91">
        <f>IFERROR(IF(VLOOKUP($A47,'Annex 2 EHV charges'!$A:$O,9,FALSE)=0,"",VLOOKUP($A47,'Annex 2 EHV charges'!$A:$O,9,FALSE)),"")</f>
        <v>7722.63</v>
      </c>
      <c r="G47" s="92">
        <f>IFERROR(IF(VLOOKUP($A47,'Annex 2 EHV charges'!$A:$O,10,FALSE)=0,"",VLOOKUP($A47,'Annex 2 EHV charges'!$A:$O,10,FALSE)),"")</f>
        <v>0.84</v>
      </c>
      <c r="H47" s="92">
        <f>IFERROR(IF(VLOOKUP($A47,'Annex 2 EHV charges'!$A:$O,11,FALSE)=0,"",VLOOKUP($A47,'Annex 2 EHV charges'!$A:$O,11,FALSE)),"")</f>
        <v>0.84</v>
      </c>
    </row>
    <row r="48" spans="1:8" ht="12.75" customHeight="1" x14ac:dyDescent="0.2">
      <c r="A48" s="85" t="str">
        <f t="array" ref="A48">IFERROR(INDEX('Annex 2 EHV charges'!$A$10:$A$108, MATCH(0, IF(ISBLANK('Annex 2 EHV charges'!$A$10:$A$108),1, COUNTIF(A$4:$A47, 'Annex 2 EHV charges'!$A$10:$A$108)), 0)),"")</f>
        <v>BRELLE</v>
      </c>
      <c r="B48" s="85">
        <f>IF($A48="","",VLOOKUP($A48,'Annex 2 EHV charges'!$A:$O,2,0))</f>
        <v>843</v>
      </c>
      <c r="C48" s="86">
        <f>IF($A48="","",VLOOKUP($A48,'Annex 2 EHV charges'!$A:$O,3,0))</f>
        <v>1900091523116</v>
      </c>
      <c r="D48" s="85" t="str">
        <f>IF($A48="","",VLOOKUP($A48,'Annex 2 EHV charges'!$A:$O,7,0))</f>
        <v>BRELLE</v>
      </c>
      <c r="E48" s="90">
        <f>IFERROR(IF(VLOOKUP($A48,'Annex 2 EHV charges'!$A:$O,8,FALSE)=0,"",VLOOKUP($A48,'Annex 2 EHV charges'!$A:$O,8,FALSE)),"")</f>
        <v>0.02</v>
      </c>
      <c r="F48" s="91">
        <f>IFERROR(IF(VLOOKUP($A48,'Annex 2 EHV charges'!$A:$O,9,FALSE)=0,"",VLOOKUP($A48,'Annex 2 EHV charges'!$A:$O,9,FALSE)),"")</f>
        <v>381.78</v>
      </c>
      <c r="G48" s="92">
        <f>IFERROR(IF(VLOOKUP($A48,'Annex 2 EHV charges'!$A:$O,10,FALSE)=0,"",VLOOKUP($A48,'Annex 2 EHV charges'!$A:$O,10,FALSE)),"")</f>
        <v>1.1499999999999999</v>
      </c>
      <c r="H48" s="92">
        <f>IFERROR(IF(VLOOKUP($A48,'Annex 2 EHV charges'!$A:$O,11,FALSE)=0,"",VLOOKUP($A48,'Annex 2 EHV charges'!$A:$O,11,FALSE)),"")</f>
        <v>1.1499999999999999</v>
      </c>
    </row>
    <row r="49" spans="1:8" ht="12.75" customHeight="1" x14ac:dyDescent="0.2">
      <c r="A49" s="85" t="str">
        <f t="array" ref="A49">IFERROR(INDEX('Annex 2 EHV charges'!$A$10:$A$108, MATCH(0, IF(ISBLANK('Annex 2 EHV charges'!$A$10:$A$108),1, COUNTIF(A$4:$A48, 'Annex 2 EHV charges'!$A$10:$A$108)), 0)),"")</f>
        <v>BRETSH</v>
      </c>
      <c r="B49" s="85">
        <f>IF($A49="","",VLOOKUP($A49,'Annex 2 EHV charges'!$A:$O,2,0))</f>
        <v>871</v>
      </c>
      <c r="C49" s="86" t="str">
        <f>IF($A49="","",VLOOKUP($A49,'Annex 2 EHV charges'!$A:$O,3,0))</f>
        <v>1900061003393
1900090466576</v>
      </c>
      <c r="D49" s="85" t="str">
        <f>IF($A49="","",VLOOKUP($A49,'Annex 2 EHV charges'!$A:$O,7,0))</f>
        <v>BRETSH</v>
      </c>
      <c r="E49" s="90" t="str">
        <f>IFERROR(IF(VLOOKUP($A49,'Annex 2 EHV charges'!$A:$O,8,FALSE)=0,"",VLOOKUP($A49,'Annex 2 EHV charges'!$A:$O,8,FALSE)),"")</f>
        <v/>
      </c>
      <c r="F49" s="91">
        <f>IFERROR(IF(VLOOKUP($A49,'Annex 2 EHV charges'!$A:$O,9,FALSE)=0,"",VLOOKUP($A49,'Annex 2 EHV charges'!$A:$O,9,FALSE)),"")</f>
        <v>370.37</v>
      </c>
      <c r="G49" s="92">
        <f>IFERROR(IF(VLOOKUP($A49,'Annex 2 EHV charges'!$A:$O,10,FALSE)=0,"",VLOOKUP($A49,'Annex 2 EHV charges'!$A:$O,10,FALSE)),"")</f>
        <v>0.69</v>
      </c>
      <c r="H49" s="92">
        <f>IFERROR(IF(VLOOKUP($A49,'Annex 2 EHV charges'!$A:$O,11,FALSE)=0,"",VLOOKUP($A49,'Annex 2 EHV charges'!$A:$O,11,FALSE)),"")</f>
        <v>0.69</v>
      </c>
    </row>
    <row r="50" spans="1:8" ht="12.75" customHeight="1" x14ac:dyDescent="0.2">
      <c r="A50" s="85" t="str">
        <f t="array" ref="A50">IFERROR(INDEX('Annex 2 EHV charges'!$A$10:$A$108, MATCH(0, IF(ISBLANK('Annex 2 EHV charges'!$A$10:$A$108),1, COUNTIF(A$4:$A49, 'Annex 2 EHV charges'!$A$10:$A$108)), 0)),"")</f>
        <v>BRKHST</v>
      </c>
      <c r="B50" s="85">
        <f>IF($A50="","",VLOOKUP($A50,'Annex 2 EHV charges'!$A:$O,2,0))</f>
        <v>802</v>
      </c>
      <c r="C50" s="86">
        <f>IF($A50="","",VLOOKUP($A50,'Annex 2 EHV charges'!$A:$O,3,0))</f>
        <v>1900090834409</v>
      </c>
      <c r="D50" s="85" t="str">
        <f>IF($A50="","",VLOOKUP($A50,'Annex 2 EHV charges'!$A:$O,7,0))</f>
        <v>BRKHST</v>
      </c>
      <c r="E50" s="90">
        <f>IFERROR(IF(VLOOKUP($A50,'Annex 2 EHV charges'!$A:$O,8,FALSE)=0,"",VLOOKUP($A50,'Annex 2 EHV charges'!$A:$O,8,FALSE)),"")</f>
        <v>0.77500000000000002</v>
      </c>
      <c r="F50" s="91">
        <f>IFERROR(IF(VLOOKUP($A50,'Annex 2 EHV charges'!$A:$O,9,FALSE)=0,"",VLOOKUP($A50,'Annex 2 EHV charges'!$A:$O,9,FALSE)),"")</f>
        <v>9018.74</v>
      </c>
      <c r="G50" s="92">
        <f>IFERROR(IF(VLOOKUP($A50,'Annex 2 EHV charges'!$A:$O,10,FALSE)=0,"",VLOOKUP($A50,'Annex 2 EHV charges'!$A:$O,10,FALSE)),"")</f>
        <v>1.27</v>
      </c>
      <c r="H50" s="92">
        <f>IFERROR(IF(VLOOKUP($A50,'Annex 2 EHV charges'!$A:$O,11,FALSE)=0,"",VLOOKUP($A50,'Annex 2 EHV charges'!$A:$O,11,FALSE)),"")</f>
        <v>1.27</v>
      </c>
    </row>
    <row r="51" spans="1:8" ht="12.75" customHeight="1" x14ac:dyDescent="0.2">
      <c r="A51" s="85" t="str">
        <f t="array" ref="A51">IFERROR(INDEX('Annex 2 EHV charges'!$A$10:$A$108, MATCH(0, IF(ISBLANK('Annex 2 EHV charges'!$A$10:$A$108),1, COUNTIF(A$4:$A50, 'Annex 2 EHV charges'!$A$10:$A$108)), 0)),"")</f>
        <v>BTBRKS</v>
      </c>
      <c r="B51" s="85">
        <f>IF($A51="","",VLOOKUP($A51,'Annex 2 EHV charges'!$A:$O,2,0))</f>
        <v>810</v>
      </c>
      <c r="C51" s="86">
        <f>IF($A51="","",VLOOKUP($A51,'Annex 2 EHV charges'!$A:$O,3,0))</f>
        <v>1900091199350</v>
      </c>
      <c r="D51" s="85" t="str">
        <f>IF($A51="","",VLOOKUP($A51,'Annex 2 EHV charges'!$A:$O,7,0))</f>
        <v>BTBRKS</v>
      </c>
      <c r="E51" s="90">
        <f>IFERROR(IF(VLOOKUP($A51,'Annex 2 EHV charges'!$A:$O,8,FALSE)=0,"",VLOOKUP($A51,'Annex 2 EHV charges'!$A:$O,8,FALSE)),"")</f>
        <v>4.0999999999999996</v>
      </c>
      <c r="F51" s="91">
        <f>IFERROR(IF(VLOOKUP($A51,'Annex 2 EHV charges'!$A:$O,9,FALSE)=0,"",VLOOKUP($A51,'Annex 2 EHV charges'!$A:$O,9,FALSE)),"")</f>
        <v>396.89</v>
      </c>
      <c r="G51" s="92">
        <f>IFERROR(IF(VLOOKUP($A51,'Annex 2 EHV charges'!$A:$O,10,FALSE)=0,"",VLOOKUP($A51,'Annex 2 EHV charges'!$A:$O,10,FALSE)),"")</f>
        <v>0.85</v>
      </c>
      <c r="H51" s="92">
        <f>IFERROR(IF(VLOOKUP($A51,'Annex 2 EHV charges'!$A:$O,11,FALSE)=0,"",VLOOKUP($A51,'Annex 2 EHV charges'!$A:$O,11,FALSE)),"")</f>
        <v>0.85</v>
      </c>
    </row>
    <row r="52" spans="1:8" ht="12.75" customHeight="1" x14ac:dyDescent="0.2">
      <c r="A52" s="85" t="str">
        <f t="array" ref="A52">IFERROR(INDEX('Annex 2 EHV charges'!$A$10:$A$108, MATCH(0, IF(ISBLANK('Annex 2 EHV charges'!$A$10:$A$108),1, COUNTIF(A$4:$A51, 'Annex 2 EHV charges'!$A$10:$A$108)), 0)),"")</f>
        <v>CAPELG</v>
      </c>
      <c r="B52" s="85">
        <f>IF($A52="","",VLOOKUP($A52,'Annex 2 EHV charges'!$A:$O,2,0))</f>
        <v>893</v>
      </c>
      <c r="C52" s="86">
        <f>IF($A52="","",VLOOKUP($A52,'Annex 2 EHV charges'!$A:$O,3,0))</f>
        <v>1900091353298</v>
      </c>
      <c r="D52" s="85" t="str">
        <f>IF($A52="","",VLOOKUP($A52,'Annex 2 EHV charges'!$A:$O,7,0))</f>
        <v>CAPELG</v>
      </c>
      <c r="E52" s="90">
        <f>IFERROR(IF(VLOOKUP($A52,'Annex 2 EHV charges'!$A:$O,8,FALSE)=0,"",VLOOKUP($A52,'Annex 2 EHV charges'!$A:$O,8,FALSE)),"")</f>
        <v>0.61599999999999999</v>
      </c>
      <c r="F52" s="91">
        <f>IFERROR(IF(VLOOKUP($A52,'Annex 2 EHV charges'!$A:$O,9,FALSE)=0,"",VLOOKUP($A52,'Annex 2 EHV charges'!$A:$O,9,FALSE)),"")</f>
        <v>348.5</v>
      </c>
      <c r="G52" s="92">
        <f>IFERROR(IF(VLOOKUP($A52,'Annex 2 EHV charges'!$A:$O,10,FALSE)=0,"",VLOOKUP($A52,'Annex 2 EHV charges'!$A:$O,10,FALSE)),"")</f>
        <v>2.76</v>
      </c>
      <c r="H52" s="92">
        <f>IFERROR(IF(VLOOKUP($A52,'Annex 2 EHV charges'!$A:$O,11,FALSE)=0,"",VLOOKUP($A52,'Annex 2 EHV charges'!$A:$O,11,FALSE)),"")</f>
        <v>2.76</v>
      </c>
    </row>
    <row r="53" spans="1:8" ht="12.75" customHeight="1" x14ac:dyDescent="0.2">
      <c r="A53" s="85" t="str">
        <f t="array" ref="A53">IFERROR(INDEX('Annex 2 EHV charges'!$A$10:$A$108, MATCH(0, IF(ISBLANK('Annex 2 EHV charges'!$A$10:$A$108),1, COUNTIF(A$4:$A52, 'Annex 2 EHV charges'!$A$10:$A$108)), 0)),"")</f>
        <v>CLYHLL</v>
      </c>
      <c r="B53" s="85">
        <f>IF($A53="","",VLOOKUP($A53,'Annex 2 EHV charges'!$A:$O,2,0))</f>
        <v>894</v>
      </c>
      <c r="C53" s="86">
        <f>IF($A53="","",VLOOKUP($A53,'Annex 2 EHV charges'!$A:$O,3,0))</f>
        <v>1900091343750</v>
      </c>
      <c r="D53" s="85" t="str">
        <f>IF($A53="","",VLOOKUP($A53,'Annex 2 EHV charges'!$A:$O,7,0))</f>
        <v>CLYHLL</v>
      </c>
      <c r="E53" s="90">
        <f>IFERROR(IF(VLOOKUP($A53,'Annex 2 EHV charges'!$A:$O,8,FALSE)=0,"",VLOOKUP($A53,'Annex 2 EHV charges'!$A:$O,8,FALSE)),"")</f>
        <v>4.2720000000000002</v>
      </c>
      <c r="F53" s="91">
        <f>IFERROR(IF(VLOOKUP($A53,'Annex 2 EHV charges'!$A:$O,9,FALSE)=0,"",VLOOKUP($A53,'Annex 2 EHV charges'!$A:$O,9,FALSE)),"")</f>
        <v>354.23</v>
      </c>
      <c r="G53" s="92">
        <f>IFERROR(IF(VLOOKUP($A53,'Annex 2 EHV charges'!$A:$O,10,FALSE)=0,"",VLOOKUP($A53,'Annex 2 EHV charges'!$A:$O,10,FALSE)),"")</f>
        <v>1.24</v>
      </c>
      <c r="H53" s="92">
        <f>IFERROR(IF(VLOOKUP($A53,'Annex 2 EHV charges'!$A:$O,11,FALSE)=0,"",VLOOKUP($A53,'Annex 2 EHV charges'!$A:$O,11,FALSE)),"")</f>
        <v>1.24</v>
      </c>
    </row>
    <row r="54" spans="1:8" ht="12.75" customHeight="1" x14ac:dyDescent="0.2">
      <c r="A54" s="85" t="str">
        <f t="array" ref="A54">IFERROR(INDEX('Annex 2 EHV charges'!$A$10:$A$108, MATCH(0, IF(ISBLANK('Annex 2 EHV charges'!$A$10:$A$108),1, COUNTIF(A$4:$A53, 'Annex 2 EHV charges'!$A$10:$A$108)), 0)),"")</f>
        <v>CRYENG</v>
      </c>
      <c r="B54" s="85">
        <f>IF($A54="","",VLOOKUP($A54,'Annex 2 EHV charges'!$A:$O,2,0))</f>
        <v>872</v>
      </c>
      <c r="C54" s="86">
        <f>IF($A54="","",VLOOKUP($A54,'Annex 2 EHV charges'!$A:$O,3,0))</f>
        <v>1900060831692</v>
      </c>
      <c r="D54" s="85" t="str">
        <f>IF($A54="","",VLOOKUP($A54,'Annex 2 EHV charges'!$A:$O,7,0))</f>
        <v>CRYENG</v>
      </c>
      <c r="E54" s="90">
        <f>IFERROR(IF(VLOOKUP($A54,'Annex 2 EHV charges'!$A:$O,8,FALSE)=0,"",VLOOKUP($A54,'Annex 2 EHV charges'!$A:$O,8,FALSE)),"")</f>
        <v>2E-3</v>
      </c>
      <c r="F54" s="91">
        <f>IFERROR(IF(VLOOKUP($A54,'Annex 2 EHV charges'!$A:$O,9,FALSE)=0,"",VLOOKUP($A54,'Annex 2 EHV charges'!$A:$O,9,FALSE)),"")</f>
        <v>460.93</v>
      </c>
      <c r="G54" s="92">
        <f>IFERROR(IF(VLOOKUP($A54,'Annex 2 EHV charges'!$A:$O,10,FALSE)=0,"",VLOOKUP($A54,'Annex 2 EHV charges'!$A:$O,10,FALSE)),"")</f>
        <v>0.69</v>
      </c>
      <c r="H54" s="92">
        <f>IFERROR(IF(VLOOKUP($A54,'Annex 2 EHV charges'!$A:$O,11,FALSE)=0,"",VLOOKUP($A54,'Annex 2 EHV charges'!$A:$O,11,FALSE)),"")</f>
        <v>0.69</v>
      </c>
    </row>
    <row r="55" spans="1:8" ht="12.75" customHeight="1" x14ac:dyDescent="0.2">
      <c r="A55" s="85" t="str">
        <f t="array" ref="A55">IFERROR(INDEX('Annex 2 EHV charges'!$A$10:$A$108, MATCH(0, IF(ISBLANK('Annex 2 EHV charges'!$A$10:$A$108),1, COUNTIF(A$4:$A54, 'Annex 2 EHV charges'!$A$10:$A$108)), 0)),"")</f>
        <v>DARENT</v>
      </c>
      <c r="B55" s="85">
        <f>IF($A55="","",VLOOKUP($A55,'Annex 2 EHV charges'!$A:$O,2,0))</f>
        <v>836</v>
      </c>
      <c r="C55" s="86">
        <f>IF($A55="","",VLOOKUP($A55,'Annex 2 EHV charges'!$A:$O,3,0))</f>
        <v>1900091057568</v>
      </c>
      <c r="D55" s="85" t="str">
        <f>IF($A55="","",VLOOKUP($A55,'Annex 2 EHV charges'!$A:$O,7,0))</f>
        <v>DARENT</v>
      </c>
      <c r="E55" s="90" t="str">
        <f>IFERROR(IF(VLOOKUP($A55,'Annex 2 EHV charges'!$A:$O,8,FALSE)=0,"",VLOOKUP($A55,'Annex 2 EHV charges'!$A:$O,8,FALSE)),"")</f>
        <v/>
      </c>
      <c r="F55" s="91">
        <f>IFERROR(IF(VLOOKUP($A55,'Annex 2 EHV charges'!$A:$O,9,FALSE)=0,"",VLOOKUP($A55,'Annex 2 EHV charges'!$A:$O,9,FALSE)),"")</f>
        <v>478.19</v>
      </c>
      <c r="G55" s="92">
        <f>IFERROR(IF(VLOOKUP($A55,'Annex 2 EHV charges'!$A:$O,10,FALSE)=0,"",VLOOKUP($A55,'Annex 2 EHV charges'!$A:$O,10,FALSE)),"")</f>
        <v>0.75</v>
      </c>
      <c r="H55" s="92">
        <f>IFERROR(IF(VLOOKUP($A55,'Annex 2 EHV charges'!$A:$O,11,FALSE)=0,"",VLOOKUP($A55,'Annex 2 EHV charges'!$A:$O,11,FALSE)),"")</f>
        <v>0.75</v>
      </c>
    </row>
    <row r="56" spans="1:8" ht="12.75" customHeight="1" x14ac:dyDescent="0.2">
      <c r="A56" s="85" t="str">
        <f t="array" ref="A56">IFERROR(INDEX('Annex 2 EHV charges'!$A$10:$A$108, MATCH(0, IF(ISBLANK('Annex 2 EHV charges'!$A$10:$A$108),1, COUNTIF(A$4:$A55, 'Annex 2 EHV charges'!$A$10:$A$108)), 0)),"")</f>
        <v>DSCPRK</v>
      </c>
      <c r="B56" s="85">
        <f>IF($A56="","",VLOOKUP($A56,'Annex 2 EHV charges'!$A:$O,2,0))</f>
        <v>804</v>
      </c>
      <c r="C56" s="86">
        <f>IF($A56="","",VLOOKUP($A56,'Annex 2 EHV charges'!$A:$O,3,0))</f>
        <v>1900091637072</v>
      </c>
      <c r="D56" s="85" t="str">
        <f>IF($A56="","",VLOOKUP($A56,'Annex 2 EHV charges'!$A:$O,7,0))</f>
        <v>DSCPRK</v>
      </c>
      <c r="E56" s="90" t="str">
        <f>IFERROR(IF(VLOOKUP($A56,'Annex 2 EHV charges'!$A:$O,8,FALSE)=0,"",VLOOKUP($A56,'Annex 2 EHV charges'!$A:$O,8,FALSE)),"")</f>
        <v/>
      </c>
      <c r="F56" s="91">
        <f>IFERROR(IF(VLOOKUP($A56,'Annex 2 EHV charges'!$A:$O,9,FALSE)=0,"",VLOOKUP($A56,'Annex 2 EHV charges'!$A:$O,9,FALSE)),"")</f>
        <v>19446.490000000002</v>
      </c>
      <c r="G56" s="92">
        <f>IFERROR(IF(VLOOKUP($A56,'Annex 2 EHV charges'!$A:$O,10,FALSE)=0,"",VLOOKUP($A56,'Annex 2 EHV charges'!$A:$O,10,FALSE)),"")</f>
        <v>0.56999999999999995</v>
      </c>
      <c r="H56" s="92">
        <f>IFERROR(IF(VLOOKUP($A56,'Annex 2 EHV charges'!$A:$O,11,FALSE)=0,"",VLOOKUP($A56,'Annex 2 EHV charges'!$A:$O,11,FALSE)),"")</f>
        <v>0.56999999999999995</v>
      </c>
    </row>
    <row r="57" spans="1:8" ht="12.75" customHeight="1" x14ac:dyDescent="0.2">
      <c r="A57" s="85" t="str">
        <f t="array" ref="A57">IFERROR(INDEX('Annex 2 EHV charges'!$A$10:$A$108, MATCH(0, IF(ISBLANK('Annex 2 EHV charges'!$A$10:$A$108),1, COUNTIF(A$4:$A56, 'Annex 2 EHV charges'!$A$10:$A$108)), 0)),"")</f>
        <v>FORDSF</v>
      </c>
      <c r="B57" s="85">
        <f>IF($A57="","",VLOOKUP($A57,'Annex 2 EHV charges'!$A:$O,2,0))</f>
        <v>895</v>
      </c>
      <c r="C57" s="86">
        <f>IF($A57="","",VLOOKUP($A57,'Annex 2 EHV charges'!$A:$O,3,0))</f>
        <v>1900091361962</v>
      </c>
      <c r="D57" s="85" t="str">
        <f>IF($A57="","",VLOOKUP($A57,'Annex 2 EHV charges'!$A:$O,7,0))</f>
        <v>FORDSF</v>
      </c>
      <c r="E57" s="90">
        <f>IFERROR(IF(VLOOKUP($A57,'Annex 2 EHV charges'!$A:$O,8,FALSE)=0,"",VLOOKUP($A57,'Annex 2 EHV charges'!$A:$O,8,FALSE)),"")</f>
        <v>1.0029999999999999</v>
      </c>
      <c r="F57" s="91">
        <f>IFERROR(IF(VLOOKUP($A57,'Annex 2 EHV charges'!$A:$O,9,FALSE)=0,"",VLOOKUP($A57,'Annex 2 EHV charges'!$A:$O,9,FALSE)),"")</f>
        <v>359.09</v>
      </c>
      <c r="G57" s="92">
        <f>IFERROR(IF(VLOOKUP($A57,'Annex 2 EHV charges'!$A:$O,10,FALSE)=0,"",VLOOKUP($A57,'Annex 2 EHV charges'!$A:$O,10,FALSE)),"")</f>
        <v>0.99</v>
      </c>
      <c r="H57" s="92">
        <f>IFERROR(IF(VLOOKUP($A57,'Annex 2 EHV charges'!$A:$O,11,FALSE)=0,"",VLOOKUP($A57,'Annex 2 EHV charges'!$A:$O,11,FALSE)),"")</f>
        <v>0.99</v>
      </c>
    </row>
    <row r="58" spans="1:8" ht="12.75" customHeight="1" x14ac:dyDescent="0.2">
      <c r="A58" s="85" t="str">
        <f t="array" ref="A58">IFERROR(INDEX('Annex 2 EHV charges'!$A$10:$A$108, MATCH(0, IF(ISBLANK('Annex 2 EHV charges'!$A$10:$A$108),1, COUNTIF(A$4:$A57, 'Annex 2 EHV charges'!$A$10:$A$108)), 0)),"")</f>
        <v>FRWOOD</v>
      </c>
      <c r="B58" s="85">
        <f>IF($A58="","",VLOOKUP($A58,'Annex 2 EHV charges'!$A:$O,2,0))</f>
        <v>811</v>
      </c>
      <c r="C58" s="86">
        <f>IF($A58="","",VLOOKUP($A58,'Annex 2 EHV charges'!$A:$O,3,0))</f>
        <v>1900091200388</v>
      </c>
      <c r="D58" s="85" t="str">
        <f>IF($A58="","",VLOOKUP($A58,'Annex 2 EHV charges'!$A:$O,7,0))</f>
        <v>FRWOOD</v>
      </c>
      <c r="E58" s="90" t="str">
        <f>IFERROR(IF(VLOOKUP($A58,'Annex 2 EHV charges'!$A:$O,8,FALSE)=0,"",VLOOKUP($A58,'Annex 2 EHV charges'!$A:$O,8,FALSE)),"")</f>
        <v/>
      </c>
      <c r="F58" s="91">
        <f>IFERROR(IF(VLOOKUP($A58,'Annex 2 EHV charges'!$A:$O,9,FALSE)=0,"",VLOOKUP($A58,'Annex 2 EHV charges'!$A:$O,9,FALSE)),"")</f>
        <v>365.73</v>
      </c>
      <c r="G58" s="92">
        <f>IFERROR(IF(VLOOKUP($A58,'Annex 2 EHV charges'!$A:$O,10,FALSE)=0,"",VLOOKUP($A58,'Annex 2 EHV charges'!$A:$O,10,FALSE)),"")</f>
        <v>1.1000000000000001</v>
      </c>
      <c r="H58" s="92">
        <f>IFERROR(IF(VLOOKUP($A58,'Annex 2 EHV charges'!$A:$O,11,FALSE)=0,"",VLOOKUP($A58,'Annex 2 EHV charges'!$A:$O,11,FALSE)),"")</f>
        <v>1.1000000000000001</v>
      </c>
    </row>
    <row r="59" spans="1:8" ht="12.75" customHeight="1" x14ac:dyDescent="0.2">
      <c r="A59" s="85" t="str">
        <f t="array" ref="A59">IFERROR(INDEX('Annex 2 EHV charges'!$A$10:$A$108, MATCH(0, IF(ISBLANK('Annex 2 EHV charges'!$A$10:$A$108),1, COUNTIF(A$4:$A58, 'Annex 2 EHV charges'!$A$10:$A$108)), 0)),"")</f>
        <v>GLASSN</v>
      </c>
      <c r="B59" s="85">
        <f>IF($A59="","",VLOOKUP($A59,'Annex 2 EHV charges'!$A:$O,2,0))</f>
        <v>844</v>
      </c>
      <c r="C59" s="86" t="str">
        <f>IF($A59="","",VLOOKUP($A59,'Annex 2 EHV charges'!$A:$O,3,0))</f>
        <v>1900091523301
1900092049178</v>
      </c>
      <c r="D59" s="85" t="str">
        <f>IF($A59="","",VLOOKUP($A59,'Annex 2 EHV charges'!$A:$O,7,0))</f>
        <v>GLASSN</v>
      </c>
      <c r="E59" s="90" t="str">
        <f>IFERROR(IF(VLOOKUP($A59,'Annex 2 EHV charges'!$A:$O,8,FALSE)=0,"",VLOOKUP($A59,'Annex 2 EHV charges'!$A:$O,8,FALSE)),"")</f>
        <v/>
      </c>
      <c r="F59" s="91">
        <f>IFERROR(IF(VLOOKUP($A59,'Annex 2 EHV charges'!$A:$O,9,FALSE)=0,"",VLOOKUP($A59,'Annex 2 EHV charges'!$A:$O,9,FALSE)),"")</f>
        <v>388.13</v>
      </c>
      <c r="G59" s="92">
        <f>IFERROR(IF(VLOOKUP($A59,'Annex 2 EHV charges'!$A:$O,10,FALSE)=0,"",VLOOKUP($A59,'Annex 2 EHV charges'!$A:$O,10,FALSE)),"")</f>
        <v>0.65</v>
      </c>
      <c r="H59" s="92">
        <f>IFERROR(IF(VLOOKUP($A59,'Annex 2 EHV charges'!$A:$O,11,FALSE)=0,"",VLOOKUP($A59,'Annex 2 EHV charges'!$A:$O,11,FALSE)),"")</f>
        <v>0.65</v>
      </c>
    </row>
    <row r="60" spans="1:8" ht="12.75" customHeight="1" x14ac:dyDescent="0.2">
      <c r="A60" s="85" t="str">
        <f t="array" ref="A60">IFERROR(INDEX('Annex 2 EHV charges'!$A$10:$A$108, MATCH(0, IF(ISBLANK('Annex 2 EHV charges'!$A$10:$A$108),1, COUNTIF(A$4:$A59, 'Annex 2 EHV charges'!$A$10:$A$108)), 0)),"")</f>
        <v>GROVEH</v>
      </c>
      <c r="B60" s="85">
        <f>IF($A60="","",VLOOKUP($A60,'Annex 2 EHV charges'!$A:$O,2,0))</f>
        <v>875</v>
      </c>
      <c r="C60" s="86">
        <f>IF($A60="","",VLOOKUP($A60,'Annex 2 EHV charges'!$A:$O,3,0))</f>
        <v>1900060225185</v>
      </c>
      <c r="D60" s="85" t="str">
        <f>IF($A60="","",VLOOKUP($A60,'Annex 2 EHV charges'!$A:$O,7,0))</f>
        <v>GROVEH</v>
      </c>
      <c r="E60" s="90" t="str">
        <f>IFERROR(IF(VLOOKUP($A60,'Annex 2 EHV charges'!$A:$O,8,FALSE)=0,"",VLOOKUP($A60,'Annex 2 EHV charges'!$A:$O,8,FALSE)),"")</f>
        <v/>
      </c>
      <c r="F60" s="91">
        <f>IFERROR(IF(VLOOKUP($A60,'Annex 2 EHV charges'!$A:$O,9,FALSE)=0,"",VLOOKUP($A60,'Annex 2 EHV charges'!$A:$O,9,FALSE)),"")</f>
        <v>33139.79</v>
      </c>
      <c r="G60" s="92">
        <f>IFERROR(IF(VLOOKUP($A60,'Annex 2 EHV charges'!$A:$O,10,FALSE)=0,"",VLOOKUP($A60,'Annex 2 EHV charges'!$A:$O,10,FALSE)),"")</f>
        <v>0.59</v>
      </c>
      <c r="H60" s="92">
        <f>IFERROR(IF(VLOOKUP($A60,'Annex 2 EHV charges'!$A:$O,11,FALSE)=0,"",VLOOKUP($A60,'Annex 2 EHV charges'!$A:$O,11,FALSE)),"")</f>
        <v>0.59</v>
      </c>
    </row>
    <row r="61" spans="1:8" ht="12.75" customHeight="1" x14ac:dyDescent="0.2">
      <c r="A61" s="85" t="str">
        <f t="array" ref="A61">IFERROR(INDEX('Annex 2 EHV charges'!$A$10:$A$108, MATCH(0, IF(ISBLANK('Annex 2 EHV charges'!$A$10:$A$108),1, COUNTIF(A$4:$A60, 'Annex 2 EHV charges'!$A$10:$A$108)), 0)),"")</f>
        <v>GUSTON</v>
      </c>
      <c r="B61" s="85">
        <f>IF($A61="","",VLOOKUP($A61,'Annex 2 EHV charges'!$A:$O,2,0))</f>
        <v>831</v>
      </c>
      <c r="C61" s="86">
        <f>IF($A61="","",VLOOKUP($A61,'Annex 2 EHV charges'!$A:$O,3,0))</f>
        <v>1900091338040</v>
      </c>
      <c r="D61" s="85" t="str">
        <f>IF($A61="","",VLOOKUP($A61,'Annex 2 EHV charges'!$A:$O,7,0))</f>
        <v>GUSTON</v>
      </c>
      <c r="E61" s="90">
        <f>IFERROR(IF(VLOOKUP($A61,'Annex 2 EHV charges'!$A:$O,8,FALSE)=0,"",VLOOKUP($A61,'Annex 2 EHV charges'!$A:$O,8,FALSE)),"")</f>
        <v>0.90300000000000002</v>
      </c>
      <c r="F61" s="91">
        <f>IFERROR(IF(VLOOKUP($A61,'Annex 2 EHV charges'!$A:$O,9,FALSE)=0,"",VLOOKUP($A61,'Annex 2 EHV charges'!$A:$O,9,FALSE)),"")</f>
        <v>362.94</v>
      </c>
      <c r="G61" s="92">
        <f>IFERROR(IF(VLOOKUP($A61,'Annex 2 EHV charges'!$A:$O,10,FALSE)=0,"",VLOOKUP($A61,'Annex 2 EHV charges'!$A:$O,10,FALSE)),"")</f>
        <v>1.28</v>
      </c>
      <c r="H61" s="92">
        <f>IFERROR(IF(VLOOKUP($A61,'Annex 2 EHV charges'!$A:$O,11,FALSE)=0,"",VLOOKUP($A61,'Annex 2 EHV charges'!$A:$O,11,FALSE)),"")</f>
        <v>1.28</v>
      </c>
    </row>
    <row r="62" spans="1:8" ht="12.75" customHeight="1" x14ac:dyDescent="0.2">
      <c r="A62" s="85" t="str">
        <f t="array" ref="A62">IFERROR(INDEX('Annex 2 EHV charges'!$A$10:$A$108, MATCH(0, IF(ISBLANK('Annex 2 EHV charges'!$A$10:$A$108),1, COUNTIF(A$4:$A61, 'Annex 2 EHV charges'!$A$10:$A$108)), 0)),"")</f>
        <v>HADLOW</v>
      </c>
      <c r="B62" s="85">
        <f>IF($A62="","",VLOOKUP($A62,'Annex 2 EHV charges'!$A:$O,2,0))</f>
        <v>812</v>
      </c>
      <c r="C62" s="86">
        <f>IF($A62="","",VLOOKUP($A62,'Annex 2 EHV charges'!$A:$O,3,0))</f>
        <v>1900091217043</v>
      </c>
      <c r="D62" s="85" t="str">
        <f>IF($A62="","",VLOOKUP($A62,'Annex 2 EHV charges'!$A:$O,7,0))</f>
        <v>HADLOW</v>
      </c>
      <c r="E62" s="90">
        <f>IFERROR(IF(VLOOKUP($A62,'Annex 2 EHV charges'!$A:$O,8,FALSE)=0,"",VLOOKUP($A62,'Annex 2 EHV charges'!$A:$O,8,FALSE)),"")</f>
        <v>0.52600000000000002</v>
      </c>
      <c r="F62" s="91">
        <f>IFERROR(IF(VLOOKUP($A62,'Annex 2 EHV charges'!$A:$O,9,FALSE)=0,"",VLOOKUP($A62,'Annex 2 EHV charges'!$A:$O,9,FALSE)),"")</f>
        <v>349.47</v>
      </c>
      <c r="G62" s="92">
        <f>IFERROR(IF(VLOOKUP($A62,'Annex 2 EHV charges'!$A:$O,10,FALSE)=0,"",VLOOKUP($A62,'Annex 2 EHV charges'!$A:$O,10,FALSE)),"")</f>
        <v>2.56</v>
      </c>
      <c r="H62" s="92">
        <f>IFERROR(IF(VLOOKUP($A62,'Annex 2 EHV charges'!$A:$O,11,FALSE)=0,"",VLOOKUP($A62,'Annex 2 EHV charges'!$A:$O,11,FALSE)),"")</f>
        <v>2.56</v>
      </c>
    </row>
    <row r="63" spans="1:8" ht="12.75" customHeight="1" x14ac:dyDescent="0.2">
      <c r="A63" s="85" t="str">
        <f t="array" ref="A63">IFERROR(INDEX('Annex 2 EHV charges'!$A$10:$A$108, MATCH(0, IF(ISBLANK('Annex 2 EHV charges'!$A$10:$A$108),1, COUNTIF(A$4:$A62, 'Annex 2 EHV charges'!$A$10:$A$108)), 0)),"")</f>
        <v>HANSTA</v>
      </c>
      <c r="B63" s="85">
        <f>IF($A63="","",VLOOKUP($A63,'Annex 2 EHV charges'!$A:$O,2,0))</f>
        <v>876</v>
      </c>
      <c r="C63" s="86" t="str">
        <f>IF($A63="","",VLOOKUP($A63,'Annex 2 EHV charges'!$A:$O,3,0))</f>
        <v>1900004383769
1900031426056</v>
      </c>
      <c r="D63" s="85" t="str">
        <f>IF($A63="","",VLOOKUP($A63,'Annex 2 EHV charges'!$A:$O,7,0))</f>
        <v>HANSTA</v>
      </c>
      <c r="E63" s="90" t="str">
        <f>IFERROR(IF(VLOOKUP($A63,'Annex 2 EHV charges'!$A:$O,8,FALSE)=0,"",VLOOKUP($A63,'Annex 2 EHV charges'!$A:$O,8,FALSE)),"")</f>
        <v/>
      </c>
      <c r="F63" s="91">
        <f>IFERROR(IF(VLOOKUP($A63,'Annex 2 EHV charges'!$A:$O,9,FALSE)=0,"",VLOOKUP($A63,'Annex 2 EHV charges'!$A:$O,9,FALSE)),"")</f>
        <v>349.45</v>
      </c>
      <c r="G63" s="92">
        <f>IFERROR(IF(VLOOKUP($A63,'Annex 2 EHV charges'!$A:$O,10,FALSE)=0,"",VLOOKUP($A63,'Annex 2 EHV charges'!$A:$O,10,FALSE)),"")</f>
        <v>0.64</v>
      </c>
      <c r="H63" s="92">
        <f>IFERROR(IF(VLOOKUP($A63,'Annex 2 EHV charges'!$A:$O,11,FALSE)=0,"",VLOOKUP($A63,'Annex 2 EHV charges'!$A:$O,11,FALSE)),"")</f>
        <v>0.64</v>
      </c>
    </row>
    <row r="64" spans="1:8" ht="12.75" customHeight="1" x14ac:dyDescent="0.2">
      <c r="A64" s="85" t="str">
        <f t="array" ref="A64">IFERROR(INDEX('Annex 2 EHV charges'!$A$10:$A$108, MATCH(0, IF(ISBLANK('Annex 2 EHV charges'!$A$10:$A$108),1, COUNTIF(A$4:$A63, 'Annex 2 EHV charges'!$A$10:$A$108)), 0)),"")</f>
        <v>HLLMBY</v>
      </c>
      <c r="B64" s="85">
        <f>IF($A64="","",VLOOKUP($A64,'Annex 2 EHV charges'!$A:$O,2,0))</f>
        <v>813</v>
      </c>
      <c r="C64" s="86">
        <f>IF($A64="","",VLOOKUP($A64,'Annex 2 EHV charges'!$A:$O,3,0))</f>
        <v>1900091217070</v>
      </c>
      <c r="D64" s="85" t="str">
        <f>IF($A64="","",VLOOKUP($A64,'Annex 2 EHV charges'!$A:$O,7,0))</f>
        <v>HLLMBY</v>
      </c>
      <c r="E64" s="90" t="str">
        <f>IFERROR(IF(VLOOKUP($A64,'Annex 2 EHV charges'!$A:$O,8,FALSE)=0,"",VLOOKUP($A64,'Annex 2 EHV charges'!$A:$O,8,FALSE)),"")</f>
        <v/>
      </c>
      <c r="F64" s="91">
        <f>IFERROR(IF(VLOOKUP($A64,'Annex 2 EHV charges'!$A:$O,9,FALSE)=0,"",VLOOKUP($A64,'Annex 2 EHV charges'!$A:$O,9,FALSE)),"")</f>
        <v>357.14</v>
      </c>
      <c r="G64" s="92">
        <f>IFERROR(IF(VLOOKUP($A64,'Annex 2 EHV charges'!$A:$O,10,FALSE)=0,"",VLOOKUP($A64,'Annex 2 EHV charges'!$A:$O,10,FALSE)),"")</f>
        <v>1.03</v>
      </c>
      <c r="H64" s="92">
        <f>IFERROR(IF(VLOOKUP($A64,'Annex 2 EHV charges'!$A:$O,11,FALSE)=0,"",VLOOKUP($A64,'Annex 2 EHV charges'!$A:$O,11,FALSE)),"")</f>
        <v>1.03</v>
      </c>
    </row>
    <row r="65" spans="1:8" ht="12.75" customHeight="1" x14ac:dyDescent="0.2">
      <c r="A65" s="85" t="str">
        <f t="array" ref="A65">IFERROR(INDEX('Annex 2 EHV charges'!$A$10:$A$108, MATCH(0, IF(ISBLANK('Annex 2 EHV charges'!$A$10:$A$108),1, COUNTIF(A$4:$A64, 'Annex 2 EHV charges'!$A$10:$A$108)), 0)),"")</f>
        <v>HORAMS</v>
      </c>
      <c r="B65" s="85">
        <f>IF($A65="","",VLOOKUP($A65,'Annex 2 EHV charges'!$A:$O,2,0))</f>
        <v>824</v>
      </c>
      <c r="C65" s="86">
        <f>IF($A65="","",VLOOKUP($A65,'Annex 2 EHV charges'!$A:$O,3,0))</f>
        <v>1900091200068</v>
      </c>
      <c r="D65" s="85" t="str">
        <f>IF($A65="","",VLOOKUP($A65,'Annex 2 EHV charges'!$A:$O,7,0))</f>
        <v>HORAMS</v>
      </c>
      <c r="E65" s="90" t="str">
        <f>IFERROR(IF(VLOOKUP($A65,'Annex 2 EHV charges'!$A:$O,8,FALSE)=0,"",VLOOKUP($A65,'Annex 2 EHV charges'!$A:$O,8,FALSE)),"")</f>
        <v/>
      </c>
      <c r="F65" s="91">
        <f>IFERROR(IF(VLOOKUP($A65,'Annex 2 EHV charges'!$A:$O,9,FALSE)=0,"",VLOOKUP($A65,'Annex 2 EHV charges'!$A:$O,9,FALSE)),"")</f>
        <v>360.94</v>
      </c>
      <c r="G65" s="92">
        <f>IFERROR(IF(VLOOKUP($A65,'Annex 2 EHV charges'!$A:$O,10,FALSE)=0,"",VLOOKUP($A65,'Annex 2 EHV charges'!$A:$O,10,FALSE)),"")</f>
        <v>12.79</v>
      </c>
      <c r="H65" s="92">
        <f>IFERROR(IF(VLOOKUP($A65,'Annex 2 EHV charges'!$A:$O,11,FALSE)=0,"",VLOOKUP($A65,'Annex 2 EHV charges'!$A:$O,11,FALSE)),"")</f>
        <v>12.79</v>
      </c>
    </row>
    <row r="66" spans="1:8" ht="12.75" customHeight="1" x14ac:dyDescent="0.2">
      <c r="A66" s="85" t="str">
        <f t="array" ref="A66">IFERROR(INDEX('Annex 2 EHV charges'!$A$10:$A$108, MATCH(0, IF(ISBLANK('Annex 2 EHV charges'!$A$10:$A$108),1, COUNTIF(A$4:$A65, 'Annex 2 EHV charges'!$A$10:$A$108)), 0)),"")</f>
        <v>KENTI2</v>
      </c>
      <c r="B66" s="85">
        <f>IF($A66="","",VLOOKUP($A66,'Annex 2 EHV charges'!$A:$O,2,0))</f>
        <v>814</v>
      </c>
      <c r="C66" s="86">
        <f>IF($A66="","",VLOOKUP($A66,'Annex 2 EHV charges'!$A:$O,3,0))</f>
        <v>1900091199519</v>
      </c>
      <c r="D66" s="85" t="str">
        <f>IF($A66="","",VLOOKUP($A66,'Annex 2 EHV charges'!$A:$O,7,0))</f>
        <v>KENTI2</v>
      </c>
      <c r="E66" s="90" t="str">
        <f>IFERROR(IF(VLOOKUP($A66,'Annex 2 EHV charges'!$A:$O,8,FALSE)=0,"",VLOOKUP($A66,'Annex 2 EHV charges'!$A:$O,8,FALSE)),"")</f>
        <v/>
      </c>
      <c r="F66" s="91">
        <f>IFERROR(IF(VLOOKUP($A66,'Annex 2 EHV charges'!$A:$O,9,FALSE)=0,"",VLOOKUP($A66,'Annex 2 EHV charges'!$A:$O,9,FALSE)),"")</f>
        <v>356</v>
      </c>
      <c r="G66" s="92">
        <f>IFERROR(IF(VLOOKUP($A66,'Annex 2 EHV charges'!$A:$O,10,FALSE)=0,"",VLOOKUP($A66,'Annex 2 EHV charges'!$A:$O,10,FALSE)),"")</f>
        <v>0.63</v>
      </c>
      <c r="H66" s="92">
        <f>IFERROR(IF(VLOOKUP($A66,'Annex 2 EHV charges'!$A:$O,11,FALSE)=0,"",VLOOKUP($A66,'Annex 2 EHV charges'!$A:$O,11,FALSE)),"")</f>
        <v>0.63</v>
      </c>
    </row>
    <row r="67" spans="1:8" ht="12.75" customHeight="1" x14ac:dyDescent="0.2">
      <c r="A67" s="85" t="str">
        <f t="array" ref="A67">IFERROR(INDEX('Annex 2 EHV charges'!$A$10:$A$108, MATCH(0, IF(ISBLANK('Annex 2 EHV charges'!$A$10:$A$108),1, COUNTIF(A$4:$A66, 'Annex 2 EHV charges'!$A$10:$A$108)), 0)),"")</f>
        <v>KENTIS</v>
      </c>
      <c r="B67" s="85">
        <f>IF($A67="","",VLOOKUP($A67,'Annex 2 EHV charges'!$A:$O,2,0))</f>
        <v>877</v>
      </c>
      <c r="C67" s="86">
        <f>IF($A67="","",VLOOKUP($A67,'Annex 2 EHV charges'!$A:$O,3,0))</f>
        <v>1900070122273</v>
      </c>
      <c r="D67" s="85" t="str">
        <f>IF($A67="","",VLOOKUP($A67,'Annex 2 EHV charges'!$A:$O,7,0))</f>
        <v>KENTIS</v>
      </c>
      <c r="E67" s="90" t="str">
        <f>IFERROR(IF(VLOOKUP($A67,'Annex 2 EHV charges'!$A:$O,8,FALSE)=0,"",VLOOKUP($A67,'Annex 2 EHV charges'!$A:$O,8,FALSE)),"")</f>
        <v/>
      </c>
      <c r="F67" s="91">
        <f>IFERROR(IF(VLOOKUP($A67,'Annex 2 EHV charges'!$A:$O,9,FALSE)=0,"",VLOOKUP($A67,'Annex 2 EHV charges'!$A:$O,9,FALSE)),"")</f>
        <v>354.53</v>
      </c>
      <c r="G67" s="92">
        <f>IFERROR(IF(VLOOKUP($A67,'Annex 2 EHV charges'!$A:$O,10,FALSE)=0,"",VLOOKUP($A67,'Annex 2 EHV charges'!$A:$O,10,FALSE)),"")</f>
        <v>0.64</v>
      </c>
      <c r="H67" s="92">
        <f>IFERROR(IF(VLOOKUP($A67,'Annex 2 EHV charges'!$A:$O,11,FALSE)=0,"",VLOOKUP($A67,'Annex 2 EHV charges'!$A:$O,11,FALSE)),"")</f>
        <v>0.64</v>
      </c>
    </row>
    <row r="68" spans="1:8" ht="12.75" customHeight="1" x14ac:dyDescent="0.2">
      <c r="A68" s="85" t="str">
        <f t="array" ref="A68">IFERROR(INDEX('Annex 2 EHV charges'!$A$10:$A$108, MATCH(0, IF(ISBLANK('Annex 2 EHV charges'!$A$10:$A$108),1, COUNTIF(A$4:$A67, 'Annex 2 EHV charges'!$A$10:$A$108)), 0)),"")</f>
        <v>KM3CHP</v>
      </c>
      <c r="B68" s="85">
        <f>IF($A68="","",VLOOKUP($A68,'Annex 2 EHV charges'!$A:$O,2,0))</f>
        <v>846</v>
      </c>
      <c r="C68" s="86">
        <f>IF($A68="","",VLOOKUP($A68,'Annex 2 EHV charges'!$A:$O,3,0))</f>
        <v>1900091669720</v>
      </c>
      <c r="D68" s="85" t="str">
        <f>IF($A68="","",VLOOKUP($A68,'Annex 2 EHV charges'!$A:$O,7,0))</f>
        <v>KM3CHP</v>
      </c>
      <c r="E68" s="90">
        <f>IFERROR(IF(VLOOKUP($A68,'Annex 2 EHV charges'!$A:$O,8,FALSE)=0,"",VLOOKUP($A68,'Annex 2 EHV charges'!$A:$O,8,FALSE)),"")</f>
        <v>1.4E-2</v>
      </c>
      <c r="F68" s="91">
        <f>IFERROR(IF(VLOOKUP($A68,'Annex 2 EHV charges'!$A:$O,9,FALSE)=0,"",VLOOKUP($A68,'Annex 2 EHV charges'!$A:$O,9,FALSE)),"")</f>
        <v>7636.59</v>
      </c>
      <c r="G68" s="92">
        <f>IFERROR(IF(VLOOKUP($A68,'Annex 2 EHV charges'!$A:$O,10,FALSE)=0,"",VLOOKUP($A68,'Annex 2 EHV charges'!$A:$O,10,FALSE)),"")</f>
        <v>1.06</v>
      </c>
      <c r="H68" s="92">
        <f>IFERROR(IF(VLOOKUP($A68,'Annex 2 EHV charges'!$A:$O,11,FALSE)=0,"",VLOOKUP($A68,'Annex 2 EHV charges'!$A:$O,11,FALSE)),"")</f>
        <v>1.06</v>
      </c>
    </row>
    <row r="69" spans="1:8" ht="12.75" customHeight="1" x14ac:dyDescent="0.2">
      <c r="A69" s="85" t="str">
        <f t="array" ref="A69">IFERROR(INDEX('Annex 2 EHV charges'!$A$10:$A$108, MATCH(0, IF(ISBLANK('Annex 2 EHV charges'!$A$10:$A$108),1, COUNTIF(A$4:$A68, 'Annex 2 EHV charges'!$A$10:$A$108)), 0)),"")</f>
        <v>KNWLTN</v>
      </c>
      <c r="B69" s="85">
        <f>IF($A69="","",VLOOKUP($A69,'Annex 2 EHV charges'!$A:$O,2,0))</f>
        <v>803</v>
      </c>
      <c r="C69" s="86">
        <f>IF($A69="","",VLOOKUP($A69,'Annex 2 EHV charges'!$A:$O,3,0))</f>
        <v>1900091091930</v>
      </c>
      <c r="D69" s="85" t="str">
        <f>IF($A69="","",VLOOKUP($A69,'Annex 2 EHV charges'!$A:$O,7,0))</f>
        <v>KNWLTN</v>
      </c>
      <c r="E69" s="90" t="str">
        <f>IFERROR(IF(VLOOKUP($A69,'Annex 2 EHV charges'!$A:$O,8,FALSE)=0,"",VLOOKUP($A69,'Annex 2 EHV charges'!$A:$O,8,FALSE)),"")</f>
        <v/>
      </c>
      <c r="F69" s="91">
        <f>IFERROR(IF(VLOOKUP($A69,'Annex 2 EHV charges'!$A:$O,9,FALSE)=0,"",VLOOKUP($A69,'Annex 2 EHV charges'!$A:$O,9,FALSE)),"")</f>
        <v>361.32</v>
      </c>
      <c r="G69" s="92">
        <f>IFERROR(IF(VLOOKUP($A69,'Annex 2 EHV charges'!$A:$O,10,FALSE)=0,"",VLOOKUP($A69,'Annex 2 EHV charges'!$A:$O,10,FALSE)),"")</f>
        <v>1.31</v>
      </c>
      <c r="H69" s="92">
        <f>IFERROR(IF(VLOOKUP($A69,'Annex 2 EHV charges'!$A:$O,11,FALSE)=0,"",VLOOKUP($A69,'Annex 2 EHV charges'!$A:$O,11,FALSE)),"")</f>
        <v>1.31</v>
      </c>
    </row>
    <row r="70" spans="1:8" ht="12.75" customHeight="1" x14ac:dyDescent="0.2">
      <c r="A70" s="85" t="str">
        <f t="array" ref="A70">IFERROR(INDEX('Annex 2 EHV charges'!$A$10:$A$108, MATCH(0, IF(ISBLANK('Annex 2 EHV charges'!$A$10:$A$108),1, COUNTIF(A$4:$A69, 'Annex 2 EHV charges'!$A$10:$A$108)), 0)),"")</f>
        <v>LBOURN</v>
      </c>
      <c r="B70" s="85">
        <f>IF($A70="","",VLOOKUP($A70,'Annex 2 EHV charges'!$A:$O,2,0))</f>
        <v>815</v>
      </c>
      <c r="C70" s="86">
        <f>IF($A70="","",VLOOKUP($A70,'Annex 2 EHV charges'!$A:$O,3,0))</f>
        <v>1900091171267</v>
      </c>
      <c r="D70" s="85" t="str">
        <f>IF($A70="","",VLOOKUP($A70,'Annex 2 EHV charges'!$A:$O,7,0))</f>
        <v>LBOURN</v>
      </c>
      <c r="E70" s="90">
        <f>IFERROR(IF(VLOOKUP($A70,'Annex 2 EHV charges'!$A:$O,8,FALSE)=0,"",VLOOKUP($A70,'Annex 2 EHV charges'!$A:$O,8,FALSE)),"")</f>
        <v>0.28000000000000003</v>
      </c>
      <c r="F70" s="91">
        <f>IFERROR(IF(VLOOKUP($A70,'Annex 2 EHV charges'!$A:$O,9,FALSE)=0,"",VLOOKUP($A70,'Annex 2 EHV charges'!$A:$O,9,FALSE)),"")</f>
        <v>355.58</v>
      </c>
      <c r="G70" s="92">
        <f>IFERROR(IF(VLOOKUP($A70,'Annex 2 EHV charges'!$A:$O,10,FALSE)=0,"",VLOOKUP($A70,'Annex 2 EHV charges'!$A:$O,10,FALSE)),"")</f>
        <v>2.98</v>
      </c>
      <c r="H70" s="92">
        <f>IFERROR(IF(VLOOKUP($A70,'Annex 2 EHV charges'!$A:$O,11,FALSE)=0,"",VLOOKUP($A70,'Annex 2 EHV charges'!$A:$O,11,FALSE)),"")</f>
        <v>2.98</v>
      </c>
    </row>
    <row r="71" spans="1:8" ht="12.75" customHeight="1" x14ac:dyDescent="0.2">
      <c r="A71" s="85" t="str">
        <f t="array" ref="A71">IFERROR(INDEX('Annex 2 EHV charges'!$A$10:$A$108, MATCH(0, IF(ISBLANK('Annex 2 EHV charges'!$A$10:$A$108),1, COUNTIF(A$4:$A70, 'Annex 2 EHV charges'!$A$10:$A$108)), 0)),"")</f>
        <v>LCHEYI</v>
      </c>
      <c r="B71" s="85">
        <f>IF($A71="","",VLOOKUP($A71,'Annex 2 EHV charges'!$A:$O,2,0))</f>
        <v>878</v>
      </c>
      <c r="C71" s="86">
        <f>IF($A71="","",VLOOKUP($A71,'Annex 2 EHV charges'!$A:$O,3,0))</f>
        <v>1900090194653</v>
      </c>
      <c r="D71" s="85" t="str">
        <f>IF($A71="","",VLOOKUP($A71,'Annex 2 EHV charges'!$A:$O,7,0))</f>
        <v>LCHEYI</v>
      </c>
      <c r="E71" s="90">
        <f>IFERROR(IF(VLOOKUP($A71,'Annex 2 EHV charges'!$A:$O,8,FALSE)=0,"",VLOOKUP($A71,'Annex 2 EHV charges'!$A:$O,8,FALSE)),"")</f>
        <v>4.3999999999999997E-2</v>
      </c>
      <c r="F71" s="91">
        <f>IFERROR(IF(VLOOKUP($A71,'Annex 2 EHV charges'!$A:$O,9,FALSE)=0,"",VLOOKUP($A71,'Annex 2 EHV charges'!$A:$O,9,FALSE)),"")</f>
        <v>353.57</v>
      </c>
      <c r="G71" s="92">
        <f>IFERROR(IF(VLOOKUP($A71,'Annex 2 EHV charges'!$A:$O,10,FALSE)=0,"",VLOOKUP($A71,'Annex 2 EHV charges'!$A:$O,10,FALSE)),"")</f>
        <v>0.73</v>
      </c>
      <c r="H71" s="92">
        <f>IFERROR(IF(VLOOKUP($A71,'Annex 2 EHV charges'!$A:$O,11,FALSE)=0,"",VLOOKUP($A71,'Annex 2 EHV charges'!$A:$O,11,FALSE)),"")</f>
        <v>0.73</v>
      </c>
    </row>
    <row r="72" spans="1:8" ht="12.75" customHeight="1" x14ac:dyDescent="0.2">
      <c r="A72" s="85" t="str">
        <f t="array" ref="A72">IFERROR(INDEX('Annex 2 EHV charges'!$A$10:$A$108, MATCH(0, IF(ISBLANK('Annex 2 EHV charges'!$A$10:$A$108),1, COUNTIF(A$4:$A71, 'Annex 2 EHV charges'!$A$10:$A$108)), 0)),"")</f>
        <v>LENHAM</v>
      </c>
      <c r="B72" s="85">
        <f>IF($A72="","",VLOOKUP($A72,'Annex 2 EHV charges'!$A:$O,2,0))</f>
        <v>808</v>
      </c>
      <c r="C72" s="86">
        <f>IF($A72="","",VLOOKUP($A72,'Annex 2 EHV charges'!$A:$O,3,0))</f>
        <v>1900091081560</v>
      </c>
      <c r="D72" s="85" t="str">
        <f>IF($A72="","",VLOOKUP($A72,'Annex 2 EHV charges'!$A:$O,7,0))</f>
        <v>LENHAM</v>
      </c>
      <c r="E72" s="90">
        <f>IFERROR(IF(VLOOKUP($A72,'Annex 2 EHV charges'!$A:$O,8,FALSE)=0,"",VLOOKUP($A72,'Annex 2 EHV charges'!$A:$O,8,FALSE)),"")</f>
        <v>6.742</v>
      </c>
      <c r="F72" s="91">
        <f>IFERROR(IF(VLOOKUP($A72,'Annex 2 EHV charges'!$A:$O,9,FALSE)=0,"",VLOOKUP($A72,'Annex 2 EHV charges'!$A:$O,9,FALSE)),"")</f>
        <v>360.58</v>
      </c>
      <c r="G72" s="92">
        <f>IFERROR(IF(VLOOKUP($A72,'Annex 2 EHV charges'!$A:$O,10,FALSE)=0,"",VLOOKUP($A72,'Annex 2 EHV charges'!$A:$O,10,FALSE)),"")</f>
        <v>2.0299999999999998</v>
      </c>
      <c r="H72" s="92">
        <f>IFERROR(IF(VLOOKUP($A72,'Annex 2 EHV charges'!$A:$O,11,FALSE)=0,"",VLOOKUP($A72,'Annex 2 EHV charges'!$A:$O,11,FALSE)),"")</f>
        <v>2.0299999999999998</v>
      </c>
    </row>
    <row r="73" spans="1:8" ht="12.75" customHeight="1" x14ac:dyDescent="0.2">
      <c r="A73" s="85" t="str">
        <f t="array" ref="A73">IFERROR(INDEX('Annex 2 EHV charges'!$A$10:$A$108, MATCH(0, IF(ISBLANK('Annex 2 EHV charges'!$A$10:$A$108),1, COUNTIF(A$4:$A72, 'Annex 2 EHV charges'!$A$10:$A$108)), 0)),"")</f>
        <v>LGHTON</v>
      </c>
      <c r="B73" s="85">
        <f>IF($A73="","",VLOOKUP($A73,'Annex 2 EHV charges'!$A:$O,2,0))</f>
        <v>816</v>
      </c>
      <c r="C73" s="86">
        <f>IF($A73="","",VLOOKUP($A73,'Annex 2 EHV charges'!$A:$O,3,0))</f>
        <v>1900091200138</v>
      </c>
      <c r="D73" s="85" t="str">
        <f>IF($A73="","",VLOOKUP($A73,'Annex 2 EHV charges'!$A:$O,7,0))</f>
        <v>LGHTON</v>
      </c>
      <c r="E73" s="90">
        <f>IFERROR(IF(VLOOKUP($A73,'Annex 2 EHV charges'!$A:$O,8,FALSE)=0,"",VLOOKUP($A73,'Annex 2 EHV charges'!$A:$O,8,FALSE)),"")</f>
        <v>1.1279999999999999</v>
      </c>
      <c r="F73" s="91">
        <f>IFERROR(IF(VLOOKUP($A73,'Annex 2 EHV charges'!$A:$O,9,FALSE)=0,"",VLOOKUP($A73,'Annex 2 EHV charges'!$A:$O,9,FALSE)),"")</f>
        <v>358.73</v>
      </c>
      <c r="G73" s="92">
        <f>IFERROR(IF(VLOOKUP($A73,'Annex 2 EHV charges'!$A:$O,10,FALSE)=0,"",VLOOKUP($A73,'Annex 2 EHV charges'!$A:$O,10,FALSE)),"")</f>
        <v>1.38</v>
      </c>
      <c r="H73" s="92">
        <f>IFERROR(IF(VLOOKUP($A73,'Annex 2 EHV charges'!$A:$O,11,FALSE)=0,"",VLOOKUP($A73,'Annex 2 EHV charges'!$A:$O,11,FALSE)),"")</f>
        <v>1.38</v>
      </c>
    </row>
    <row r="74" spans="1:8" ht="12.75" customHeight="1" x14ac:dyDescent="0.2">
      <c r="A74" s="85" t="str">
        <f t="array" ref="A74">IFERROR(INDEX('Annex 2 EHV charges'!$A$10:$A$108, MATCH(0, IF(ISBLANK('Annex 2 EHV charges'!$A$10:$A$108),1, COUNTIF(A$4:$A73, 'Annex 2 EHV charges'!$A$10:$A$108)), 0)),"")</f>
        <v>MARSHB</v>
      </c>
      <c r="B74" s="85">
        <f>IF($A74="","",VLOOKUP($A74,'Annex 2 EHV charges'!$A:$O,2,0))</f>
        <v>896</v>
      </c>
      <c r="C74" s="86">
        <f>IF($A74="","",VLOOKUP($A74,'Annex 2 EHV charges'!$A:$O,3,0))</f>
        <v>1900091310596</v>
      </c>
      <c r="D74" s="85" t="str">
        <f>IF($A74="","",VLOOKUP($A74,'Annex 2 EHV charges'!$A:$O,7,0))</f>
        <v>MARSHB</v>
      </c>
      <c r="E74" s="90" t="str">
        <f>IFERROR(IF(VLOOKUP($A74,'Annex 2 EHV charges'!$A:$O,8,FALSE)=0,"",VLOOKUP($A74,'Annex 2 EHV charges'!$A:$O,8,FALSE)),"")</f>
        <v/>
      </c>
      <c r="F74" s="91">
        <f>IFERROR(IF(VLOOKUP($A74,'Annex 2 EHV charges'!$A:$O,9,FALSE)=0,"",VLOOKUP($A74,'Annex 2 EHV charges'!$A:$O,9,FALSE)),"")</f>
        <v>367.87</v>
      </c>
      <c r="G74" s="92">
        <f>IFERROR(IF(VLOOKUP($A74,'Annex 2 EHV charges'!$A:$O,10,FALSE)=0,"",VLOOKUP($A74,'Annex 2 EHV charges'!$A:$O,10,FALSE)),"")</f>
        <v>1.04</v>
      </c>
      <c r="H74" s="92">
        <f>IFERROR(IF(VLOOKUP($A74,'Annex 2 EHV charges'!$A:$O,11,FALSE)=0,"",VLOOKUP($A74,'Annex 2 EHV charges'!$A:$O,11,FALSE)),"")</f>
        <v>1.04</v>
      </c>
    </row>
    <row r="75" spans="1:8" ht="12.75" customHeight="1" x14ac:dyDescent="0.2">
      <c r="A75" s="85" t="str">
        <f t="array" ref="A75">IFERROR(INDEX('Annex 2 EHV charges'!$A$10:$A$108, MATCH(0, IF(ISBLANK('Annex 2 EHV charges'!$A$10:$A$108),1, COUNTIF(A$4:$A74, 'Annex 2 EHV charges'!$A$10:$A$108)), 0)),"")</f>
        <v>MLEHLL</v>
      </c>
      <c r="B75" s="85">
        <f>IF($A75="","",VLOOKUP($A75,'Annex 2 EHV charges'!$A:$O,2,0))</f>
        <v>819</v>
      </c>
      <c r="C75" s="86">
        <f>IF($A75="","",VLOOKUP($A75,'Annex 2 EHV charges'!$A:$O,3,0))</f>
        <v>1900091183402</v>
      </c>
      <c r="D75" s="85" t="str">
        <f>IF($A75="","",VLOOKUP($A75,'Annex 2 EHV charges'!$A:$O,7,0))</f>
        <v>MLEHLL</v>
      </c>
      <c r="E75" s="90">
        <f>IFERROR(IF(VLOOKUP($A75,'Annex 2 EHV charges'!$A:$O,8,FALSE)=0,"",VLOOKUP($A75,'Annex 2 EHV charges'!$A:$O,8,FALSE)),"")</f>
        <v>3.0000000000000001E-3</v>
      </c>
      <c r="F75" s="91">
        <f>IFERROR(IF(VLOOKUP($A75,'Annex 2 EHV charges'!$A:$O,9,FALSE)=0,"",VLOOKUP($A75,'Annex 2 EHV charges'!$A:$O,9,FALSE)),"")</f>
        <v>350.15</v>
      </c>
      <c r="G75" s="92">
        <f>IFERROR(IF(VLOOKUP($A75,'Annex 2 EHV charges'!$A:$O,10,FALSE)=0,"",VLOOKUP($A75,'Annex 2 EHV charges'!$A:$O,10,FALSE)),"")</f>
        <v>1.73</v>
      </c>
      <c r="H75" s="92">
        <f>IFERROR(IF(VLOOKUP($A75,'Annex 2 EHV charges'!$A:$O,11,FALSE)=0,"",VLOOKUP($A75,'Annex 2 EHV charges'!$A:$O,11,FALSE)),"")</f>
        <v>1.73</v>
      </c>
    </row>
    <row r="76" spans="1:8" ht="12.75" customHeight="1" x14ac:dyDescent="0.2">
      <c r="A76" s="85" t="str">
        <f t="array" ref="A76">IFERROR(INDEX('Annex 2 EHV charges'!$A$10:$A$108, MATCH(0, IF(ISBLANK('Annex 2 EHV charges'!$A$10:$A$108),1, COUNTIF(A$4:$A75, 'Annex 2 EHV charges'!$A$10:$A$108)), 0)),"")</f>
        <v>MLMAYN</v>
      </c>
      <c r="B76" s="85">
        <f>IF($A76="","",VLOOKUP($A76,'Annex 2 EHV charges'!$A:$O,2,0))</f>
        <v>817</v>
      </c>
      <c r="C76" s="86">
        <f>IF($A76="","",VLOOKUP($A76,'Annex 2 EHV charges'!$A:$O,3,0))</f>
        <v>1900091079241</v>
      </c>
      <c r="D76" s="85" t="str">
        <f>IF($A76="","",VLOOKUP($A76,'Annex 2 EHV charges'!$A:$O,7,0))</f>
        <v>MLMAYN</v>
      </c>
      <c r="E76" s="90" t="str">
        <f>IFERROR(IF(VLOOKUP($A76,'Annex 2 EHV charges'!$A:$O,8,FALSE)=0,"",VLOOKUP($A76,'Annex 2 EHV charges'!$A:$O,8,FALSE)),"")</f>
        <v/>
      </c>
      <c r="F76" s="91">
        <f>IFERROR(IF(VLOOKUP($A76,'Annex 2 EHV charges'!$A:$O,9,FALSE)=0,"",VLOOKUP($A76,'Annex 2 EHV charges'!$A:$O,9,FALSE)),"")</f>
        <v>349.02</v>
      </c>
      <c r="G76" s="92">
        <f>IFERROR(IF(VLOOKUP($A76,'Annex 2 EHV charges'!$A:$O,10,FALSE)=0,"",VLOOKUP($A76,'Annex 2 EHV charges'!$A:$O,10,FALSE)),"")</f>
        <v>2.6</v>
      </c>
      <c r="H76" s="92">
        <f>IFERROR(IF(VLOOKUP($A76,'Annex 2 EHV charges'!$A:$O,11,FALSE)=0,"",VLOOKUP($A76,'Annex 2 EHV charges'!$A:$O,11,FALSE)),"")</f>
        <v>2.6</v>
      </c>
    </row>
    <row r="77" spans="1:8" ht="12.75" customHeight="1" x14ac:dyDescent="0.2">
      <c r="A77" s="85" t="str">
        <f t="array" ref="A77">IFERROR(INDEX('Annex 2 EHV charges'!$A$10:$A$108, MATCH(0, IF(ISBLANK('Annex 2 EHV charges'!$A$10:$A$108),1, COUNTIF(A$4:$A76, 'Annex 2 EHV charges'!$A$10:$A$108)), 0)),"")</f>
        <v>MVVRID</v>
      </c>
      <c r="B77" s="85">
        <f>IF($A77="","",VLOOKUP($A77,'Annex 2 EHV charges'!$A:$O,2,0))</f>
        <v>897</v>
      </c>
      <c r="C77" s="86">
        <f>IF($A77="","",VLOOKUP($A77,'Annex 2 EHV charges'!$A:$O,3,0))</f>
        <v>1900091199138</v>
      </c>
      <c r="D77" s="85" t="str">
        <f>IF($A77="","",VLOOKUP($A77,'Annex 2 EHV charges'!$A:$O,7,0))</f>
        <v>MVVRID</v>
      </c>
      <c r="E77" s="90" t="str">
        <f>IFERROR(IF(VLOOKUP($A77,'Annex 2 EHV charges'!$A:$O,8,FALSE)=0,"",VLOOKUP($A77,'Annex 2 EHV charges'!$A:$O,8,FALSE)),"")</f>
        <v/>
      </c>
      <c r="F77" s="91">
        <f>IFERROR(IF(VLOOKUP($A77,'Annex 2 EHV charges'!$A:$O,9,FALSE)=0,"",VLOOKUP($A77,'Annex 2 EHV charges'!$A:$O,9,FALSE)),"")</f>
        <v>1363.15</v>
      </c>
      <c r="G77" s="92">
        <f>IFERROR(IF(VLOOKUP($A77,'Annex 2 EHV charges'!$A:$O,10,FALSE)=0,"",VLOOKUP($A77,'Annex 2 EHV charges'!$A:$O,10,FALSE)),"")</f>
        <v>0.62</v>
      </c>
      <c r="H77" s="92">
        <f>IFERROR(IF(VLOOKUP($A77,'Annex 2 EHV charges'!$A:$O,11,FALSE)=0,"",VLOOKUP($A77,'Annex 2 EHV charges'!$A:$O,11,FALSE)),"")</f>
        <v>0.62</v>
      </c>
    </row>
    <row r="78" spans="1:8" ht="12.75" customHeight="1" x14ac:dyDescent="0.2">
      <c r="A78" s="85" t="str">
        <f t="array" ref="A78">IFERROR(INDEX('Annex 2 EHV charges'!$A$10:$A$108, MATCH(0, IF(ISBLANK('Annex 2 EHV charges'!$A$10:$A$108),1, COUNTIF(A$4:$A77, 'Annex 2 EHV charges'!$A$10:$A$108)), 0)),"")</f>
        <v>NEWHVN</v>
      </c>
      <c r="B78" s="85">
        <f>IF($A78="","",VLOOKUP($A78,'Annex 2 EHV charges'!$A:$O,2,0))</f>
        <v>800</v>
      </c>
      <c r="C78" s="86">
        <f>IF($A78="","",VLOOKUP($A78,'Annex 2 EHV charges'!$A:$O,3,0))</f>
        <v>1900090585014</v>
      </c>
      <c r="D78" s="85" t="str">
        <f>IF($A78="","",VLOOKUP($A78,'Annex 2 EHV charges'!$A:$O,7,0))</f>
        <v>NEWHVN</v>
      </c>
      <c r="E78" s="90">
        <f>IFERROR(IF(VLOOKUP($A78,'Annex 2 EHV charges'!$A:$O,8,FALSE)=0,"",VLOOKUP($A78,'Annex 2 EHV charges'!$A:$O,8,FALSE)),"")</f>
        <v>0.60599999999999998</v>
      </c>
      <c r="F78" s="91">
        <f>IFERROR(IF(VLOOKUP($A78,'Annex 2 EHV charges'!$A:$O,9,FALSE)=0,"",VLOOKUP($A78,'Annex 2 EHV charges'!$A:$O,9,FALSE)),"")</f>
        <v>387.28</v>
      </c>
      <c r="G78" s="92">
        <f>IFERROR(IF(VLOOKUP($A78,'Annex 2 EHV charges'!$A:$O,10,FALSE)=0,"",VLOOKUP($A78,'Annex 2 EHV charges'!$A:$O,10,FALSE)),"")</f>
        <v>0.65</v>
      </c>
      <c r="H78" s="92">
        <f>IFERROR(IF(VLOOKUP($A78,'Annex 2 EHV charges'!$A:$O,11,FALSE)=0,"",VLOOKUP($A78,'Annex 2 EHV charges'!$A:$O,11,FALSE)),"")</f>
        <v>0.65</v>
      </c>
    </row>
    <row r="79" spans="1:8" ht="12.75" customHeight="1" x14ac:dyDescent="0.2">
      <c r="A79" s="85" t="str">
        <f t="array" ref="A79">IFERROR(INDEX('Annex 2 EHV charges'!$A$10:$A$108, MATCH(0, IF(ISBLANK('Annex 2 EHV charges'!$A$10:$A$108),1, COUNTIF(A$4:$A78, 'Annex 2 EHV charges'!$A$10:$A$108)), 0)),"")</f>
        <v>NEWRID</v>
      </c>
      <c r="B79" s="85">
        <f>IF($A79="","",VLOOKUP($A79,'Annex 2 EHV charges'!$A:$O,2,0))</f>
        <v>845</v>
      </c>
      <c r="C79" s="86" t="str">
        <f>IF($A79="","",VLOOKUP($A79,'Annex 2 EHV charges'!$A:$O,3,0))</f>
        <v>1900091718313
1900092210410</v>
      </c>
      <c r="D79" s="85" t="str">
        <f>IF($A79="","",VLOOKUP($A79,'Annex 2 EHV charges'!$A:$O,7,0))</f>
        <v>NEWRID</v>
      </c>
      <c r="E79" s="90">
        <f>IFERROR(IF(VLOOKUP($A79,'Annex 2 EHV charges'!$A:$O,8,FALSE)=0,"",VLOOKUP($A79,'Annex 2 EHV charges'!$A:$O,8,FALSE)),"")</f>
        <v>7.1999999999999995E-2</v>
      </c>
      <c r="F79" s="91">
        <f>IFERROR(IF(VLOOKUP($A79,'Annex 2 EHV charges'!$A:$O,9,FALSE)=0,"",VLOOKUP($A79,'Annex 2 EHV charges'!$A:$O,9,FALSE)),"")</f>
        <v>351.18</v>
      </c>
      <c r="G79" s="92">
        <f>IFERROR(IF(VLOOKUP($A79,'Annex 2 EHV charges'!$A:$O,10,FALSE)=0,"",VLOOKUP($A79,'Annex 2 EHV charges'!$A:$O,10,FALSE)),"")</f>
        <v>2.56</v>
      </c>
      <c r="H79" s="92">
        <f>IFERROR(IF(VLOOKUP($A79,'Annex 2 EHV charges'!$A:$O,11,FALSE)=0,"",VLOOKUP($A79,'Annex 2 EHV charges'!$A:$O,11,FALSE)),"")</f>
        <v>2.56</v>
      </c>
    </row>
    <row r="80" spans="1:8" ht="12.75" customHeight="1" x14ac:dyDescent="0.2">
      <c r="A80" s="85" t="str">
        <f t="array" ref="A80">IFERROR(INDEX('Annex 2 EHV charges'!$A$10:$A$108, MATCH(0, IF(ISBLANK('Annex 2 EHV charges'!$A$10:$A$108),1, COUNTIF(A$4:$A79, 'Annex 2 EHV charges'!$A$10:$A$108)), 0)),"")</f>
        <v>OAKLND</v>
      </c>
      <c r="B80" s="85">
        <f>IF($A80="","",VLOOKUP($A80,'Annex 2 EHV charges'!$A:$O,2,0))</f>
        <v>820</v>
      </c>
      <c r="C80" s="86">
        <f>IF($A80="","",VLOOKUP($A80,'Annex 2 EHV charges'!$A:$O,3,0))</f>
        <v>1900091197414</v>
      </c>
      <c r="D80" s="85" t="str">
        <f>IF($A80="","",VLOOKUP($A80,'Annex 2 EHV charges'!$A:$O,7,0))</f>
        <v>OAKLND</v>
      </c>
      <c r="E80" s="90">
        <f>IFERROR(IF(VLOOKUP($A80,'Annex 2 EHV charges'!$A:$O,8,FALSE)=0,"",VLOOKUP($A80,'Annex 2 EHV charges'!$A:$O,8,FALSE)),"")</f>
        <v>6.9180000000000001</v>
      </c>
      <c r="F80" s="91">
        <f>IFERROR(IF(VLOOKUP($A80,'Annex 2 EHV charges'!$A:$O,9,FALSE)=0,"",VLOOKUP($A80,'Annex 2 EHV charges'!$A:$O,9,FALSE)),"")</f>
        <v>353.41</v>
      </c>
      <c r="G80" s="92">
        <f>IFERROR(IF(VLOOKUP($A80,'Annex 2 EHV charges'!$A:$O,10,FALSE)=0,"",VLOOKUP($A80,'Annex 2 EHV charges'!$A:$O,10,FALSE)),"")</f>
        <v>1.89</v>
      </c>
      <c r="H80" s="92">
        <f>IFERROR(IF(VLOOKUP($A80,'Annex 2 EHV charges'!$A:$O,11,FALSE)=0,"",VLOOKUP($A80,'Annex 2 EHV charges'!$A:$O,11,FALSE)),"")</f>
        <v>1.89</v>
      </c>
    </row>
    <row r="81" spans="1:8" ht="12.75" customHeight="1" x14ac:dyDescent="0.2">
      <c r="A81" s="85" t="str">
        <f t="array" ref="A81">IFERROR(INDEX('Annex 2 EHV charges'!$A$10:$A$108, MATCH(0, IF(ISBLANK('Annex 2 EHV charges'!$A$10:$A$108),1, COUNTIF(A$4:$A80, 'Annex 2 EHV charges'!$A$10:$A$108)), 0)),"")</f>
        <v>OLDRSF</v>
      </c>
      <c r="B81" s="85">
        <f>IF($A81="","",VLOOKUP($A81,'Annex 2 EHV charges'!$A:$O,2,0))</f>
        <v>805</v>
      </c>
      <c r="C81" s="86">
        <f>IF($A81="","",VLOOKUP($A81,'Annex 2 EHV charges'!$A:$O,3,0))</f>
        <v>1900091024517</v>
      </c>
      <c r="D81" s="85" t="str">
        <f>IF($A81="","",VLOOKUP($A81,'Annex 2 EHV charges'!$A:$O,7,0))</f>
        <v>OLDRSF</v>
      </c>
      <c r="E81" s="90">
        <f>IFERROR(IF(VLOOKUP($A81,'Annex 2 EHV charges'!$A:$O,8,FALSE)=0,"",VLOOKUP($A81,'Annex 2 EHV charges'!$A:$O,8,FALSE)),"")</f>
        <v>5.0000000000000001E-3</v>
      </c>
      <c r="F81" s="91">
        <f>IFERROR(IF(VLOOKUP($A81,'Annex 2 EHV charges'!$A:$O,9,FALSE)=0,"",VLOOKUP($A81,'Annex 2 EHV charges'!$A:$O,9,FALSE)),"")</f>
        <v>351.81</v>
      </c>
      <c r="G81" s="92">
        <f>IFERROR(IF(VLOOKUP($A81,'Annex 2 EHV charges'!$A:$O,10,FALSE)=0,"",VLOOKUP($A81,'Annex 2 EHV charges'!$A:$O,10,FALSE)),"")</f>
        <v>4.2300000000000004</v>
      </c>
      <c r="H81" s="92">
        <f>IFERROR(IF(VLOOKUP($A81,'Annex 2 EHV charges'!$A:$O,11,FALSE)=0,"",VLOOKUP($A81,'Annex 2 EHV charges'!$A:$O,11,FALSE)),"")</f>
        <v>4.2300000000000004</v>
      </c>
    </row>
    <row r="82" spans="1:8" ht="12.75" customHeight="1" x14ac:dyDescent="0.2">
      <c r="A82" s="85" t="str">
        <f t="array" ref="A82">IFERROR(INDEX('Annex 2 EHV charges'!$A$10:$A$108, MATCH(0, IF(ISBLANK('Annex 2 EHV charges'!$A$10:$A$108),1, COUNTIF(A$4:$A81, 'Annex 2 EHV charges'!$A$10:$A$108)), 0)),"")</f>
        <v>ORCHRD</v>
      </c>
      <c r="B82" s="85">
        <f>IF($A82="","",VLOOKUP($A82,'Annex 2 EHV charges'!$A:$O,2,0))</f>
        <v>898</v>
      </c>
      <c r="C82" s="86" t="str">
        <f>IF($A82="","",VLOOKUP($A82,'Annex 2 EHV charges'!$A:$O,3,0))</f>
        <v>1900091085120
1900091473662</v>
      </c>
      <c r="D82" s="85" t="str">
        <f>IF($A82="","",VLOOKUP($A82,'Annex 2 EHV charges'!$A:$O,7,0))</f>
        <v>ORCHRD</v>
      </c>
      <c r="E82" s="90">
        <f>IFERROR(IF(VLOOKUP($A82,'Annex 2 EHV charges'!$A:$O,8,FALSE)=0,"",VLOOKUP($A82,'Annex 2 EHV charges'!$A:$O,8,FALSE)),"")</f>
        <v>3.2000000000000001E-2</v>
      </c>
      <c r="F82" s="91">
        <f>IFERROR(IF(VLOOKUP($A82,'Annex 2 EHV charges'!$A:$O,9,FALSE)=0,"",VLOOKUP($A82,'Annex 2 EHV charges'!$A:$O,9,FALSE)),"")</f>
        <v>352.87</v>
      </c>
      <c r="G82" s="92">
        <f>IFERROR(IF(VLOOKUP($A82,'Annex 2 EHV charges'!$A:$O,10,FALSE)=0,"",VLOOKUP($A82,'Annex 2 EHV charges'!$A:$O,10,FALSE)),"")</f>
        <v>3.57</v>
      </c>
      <c r="H82" s="92">
        <f>IFERROR(IF(VLOOKUP($A82,'Annex 2 EHV charges'!$A:$O,11,FALSE)=0,"",VLOOKUP($A82,'Annex 2 EHV charges'!$A:$O,11,FALSE)),"")</f>
        <v>3.57</v>
      </c>
    </row>
    <row r="83" spans="1:8" ht="12.75" customHeight="1" x14ac:dyDescent="0.2">
      <c r="A83" s="85" t="str">
        <f t="array" ref="A83">IFERROR(INDEX('Annex 2 EHV charges'!$A$10:$A$108, MATCH(0, IF(ISBLANK('Annex 2 EHV charges'!$A$10:$A$108),1, COUNTIF(A$4:$A82, 'Annex 2 EHV charges'!$A$10:$A$108)), 0)),"")</f>
        <v>ORCHR2</v>
      </c>
      <c r="B83" s="85">
        <f>IF($A83="","",VLOOKUP($A83,'Annex 2 EHV charges'!$A:$O,2,0))</f>
        <v>898</v>
      </c>
      <c r="C83" s="86" t="str">
        <f>IF($A83="","",VLOOKUP($A83,'Annex 2 EHV charges'!$A:$O,3,0))</f>
        <v>1900091349715
1900091349706</v>
      </c>
      <c r="D83" s="85" t="str">
        <f>IF($A83="","",VLOOKUP($A83,'Annex 2 EHV charges'!$A:$O,7,0))</f>
        <v>ORCHRD</v>
      </c>
      <c r="E83" s="90">
        <f>IFERROR(IF(VLOOKUP($A83,'Annex 2 EHV charges'!$A:$O,8,FALSE)=0,"",VLOOKUP($A83,'Annex 2 EHV charges'!$A:$O,8,FALSE)),"")</f>
        <v>3.2000000000000001E-2</v>
      </c>
      <c r="F83" s="91" t="str">
        <f>IFERROR(IF(VLOOKUP($A83,'Annex 2 EHV charges'!$A:$O,9,FALSE)=0,"",VLOOKUP($A83,'Annex 2 EHV charges'!$A:$O,9,FALSE)),"")</f>
        <v/>
      </c>
      <c r="G83" s="92" t="str">
        <f>IFERROR(IF(VLOOKUP($A83,'Annex 2 EHV charges'!$A:$O,10,FALSE)=0,"",VLOOKUP($A83,'Annex 2 EHV charges'!$A:$O,10,FALSE)),"")</f>
        <v/>
      </c>
      <c r="H83" s="92" t="str">
        <f>IFERROR(IF(VLOOKUP($A83,'Annex 2 EHV charges'!$A:$O,11,FALSE)=0,"",VLOOKUP($A83,'Annex 2 EHV charges'!$A:$O,11,FALSE)),"")</f>
        <v/>
      </c>
    </row>
    <row r="84" spans="1:8" ht="12.75" customHeight="1" x14ac:dyDescent="0.2">
      <c r="A84" s="85" t="str">
        <f t="array" ref="A84">IFERROR(INDEX('Annex 2 EHV charges'!$A$10:$A$108, MATCH(0, IF(ISBLANK('Annex 2 EHV charges'!$A$10:$A$108),1, COUNTIF(A$4:$A83, 'Annex 2 EHV charges'!$A$10:$A$108)), 0)),"")</f>
        <v>PADWSF</v>
      </c>
      <c r="B84" s="85">
        <f>IF($A84="","",VLOOKUP($A84,'Annex 2 EHV charges'!$A:$O,2,0))</f>
        <v>822</v>
      </c>
      <c r="C84" s="86">
        <f>IF($A84="","",VLOOKUP($A84,'Annex 2 EHV charges'!$A:$O,3,0))</f>
        <v>1900091216634</v>
      </c>
      <c r="D84" s="85" t="str">
        <f>IF($A84="","",VLOOKUP($A84,'Annex 2 EHV charges'!$A:$O,7,0))</f>
        <v>PADWSF</v>
      </c>
      <c r="E84" s="90">
        <f>IFERROR(IF(VLOOKUP($A84,'Annex 2 EHV charges'!$A:$O,8,FALSE)=0,"",VLOOKUP($A84,'Annex 2 EHV charges'!$A:$O,8,FALSE)),"")</f>
        <v>0.59</v>
      </c>
      <c r="F84" s="91">
        <f>IFERROR(IF(VLOOKUP($A84,'Annex 2 EHV charges'!$A:$O,9,FALSE)=0,"",VLOOKUP($A84,'Annex 2 EHV charges'!$A:$O,9,FALSE)),"")</f>
        <v>352.01</v>
      </c>
      <c r="G84" s="92">
        <f>IFERROR(IF(VLOOKUP($A84,'Annex 2 EHV charges'!$A:$O,10,FALSE)=0,"",VLOOKUP($A84,'Annex 2 EHV charges'!$A:$O,10,FALSE)),"")</f>
        <v>1.52</v>
      </c>
      <c r="H84" s="92">
        <f>IFERROR(IF(VLOOKUP($A84,'Annex 2 EHV charges'!$A:$O,11,FALSE)=0,"",VLOOKUP($A84,'Annex 2 EHV charges'!$A:$O,11,FALSE)),"")</f>
        <v>1.52</v>
      </c>
    </row>
    <row r="85" spans="1:8" ht="12.75" customHeight="1" x14ac:dyDescent="0.2">
      <c r="A85" s="85" t="str">
        <f t="array" ref="A85">IFERROR(INDEX('Annex 2 EHV charges'!$A$10:$A$108, MATCH(0, IF(ISBLANK('Annex 2 EHV charges'!$A$10:$A$108),1, COUNTIF(A$4:$A84, 'Annex 2 EHV charges'!$A$10:$A$108)), 0)),"")</f>
        <v>POSHWF</v>
      </c>
      <c r="B85" s="85">
        <f>IF($A85="","",VLOOKUP($A85,'Annex 2 EHV charges'!$A:$O,2,0))</f>
        <v>827</v>
      </c>
      <c r="C85" s="86">
        <f>IF($A85="","",VLOOKUP($A85,'Annex 2 EHV charges'!$A:$O,3,0))</f>
        <v>1900091227307</v>
      </c>
      <c r="D85" s="85" t="str">
        <f>IF($A85="","",VLOOKUP($A85,'Annex 2 EHV charges'!$A:$O,7,0))</f>
        <v>POSHWF</v>
      </c>
      <c r="E85" s="90">
        <f>IFERROR(IF(VLOOKUP($A85,'Annex 2 EHV charges'!$A:$O,8,FALSE)=0,"",VLOOKUP($A85,'Annex 2 EHV charges'!$A:$O,8,FALSE)),"")</f>
        <v>8.0000000000000002E-3</v>
      </c>
      <c r="F85" s="91">
        <f>IFERROR(IF(VLOOKUP($A85,'Annex 2 EHV charges'!$A:$O,9,FALSE)=0,"",VLOOKUP($A85,'Annex 2 EHV charges'!$A:$O,9,FALSE)),"")</f>
        <v>353.85</v>
      </c>
      <c r="G85" s="92">
        <f>IFERROR(IF(VLOOKUP($A85,'Annex 2 EHV charges'!$A:$O,10,FALSE)=0,"",VLOOKUP($A85,'Annex 2 EHV charges'!$A:$O,10,FALSE)),"")</f>
        <v>0.96</v>
      </c>
      <c r="H85" s="92">
        <f>IFERROR(IF(VLOOKUP($A85,'Annex 2 EHV charges'!$A:$O,11,FALSE)=0,"",VLOOKUP($A85,'Annex 2 EHV charges'!$A:$O,11,FALSE)),"")</f>
        <v>0.96</v>
      </c>
    </row>
    <row r="86" spans="1:8" ht="12.75" customHeight="1" x14ac:dyDescent="0.2">
      <c r="A86" s="85" t="str">
        <f t="array" ref="A86">IFERROR(INDEX('Annex 2 EHV charges'!$A$10:$A$108, MATCH(0, IF(ISBLANK('Annex 2 EHV charges'!$A$10:$A$108),1, COUNTIF(A$4:$A85, 'Annex 2 EHV charges'!$A$10:$A$108)), 0)),"")</f>
        <v>PRIORS</v>
      </c>
      <c r="B86" s="85">
        <f>IF($A86="","",VLOOKUP($A86,'Annex 2 EHV charges'!$A:$O,2,0))</f>
        <v>899</v>
      </c>
      <c r="C86" s="86">
        <f>IF($A86="","",VLOOKUP($A86,'Annex 2 EHV charges'!$A:$O,3,0))</f>
        <v>1900091319942</v>
      </c>
      <c r="D86" s="85" t="str">
        <f>IF($A86="","",VLOOKUP($A86,'Annex 2 EHV charges'!$A:$O,7,0))</f>
        <v>PRIORS</v>
      </c>
      <c r="E86" s="90">
        <f>IFERROR(IF(VLOOKUP($A86,'Annex 2 EHV charges'!$A:$O,8,FALSE)=0,"",VLOOKUP($A86,'Annex 2 EHV charges'!$A:$O,8,FALSE)),"")</f>
        <v>0.96299999999999997</v>
      </c>
      <c r="F86" s="91">
        <f>IFERROR(IF(VLOOKUP($A86,'Annex 2 EHV charges'!$A:$O,9,FALSE)=0,"",VLOOKUP($A86,'Annex 2 EHV charges'!$A:$O,9,FALSE)),"")</f>
        <v>351.99</v>
      </c>
      <c r="G86" s="92">
        <f>IFERROR(IF(VLOOKUP($A86,'Annex 2 EHV charges'!$A:$O,10,FALSE)=0,"",VLOOKUP($A86,'Annex 2 EHV charges'!$A:$O,10,FALSE)),"")</f>
        <v>1.37</v>
      </c>
      <c r="H86" s="92">
        <f>IFERROR(IF(VLOOKUP($A86,'Annex 2 EHV charges'!$A:$O,11,FALSE)=0,"",VLOOKUP($A86,'Annex 2 EHV charges'!$A:$O,11,FALSE)),"")</f>
        <v>1.37</v>
      </c>
    </row>
    <row r="87" spans="1:8" ht="12.75" customHeight="1" x14ac:dyDescent="0.2">
      <c r="A87" s="85" t="str">
        <f t="array" ref="A87">IFERROR(INDEX('Annex 2 EHV charges'!$A$10:$A$108, MATCH(0, IF(ISBLANK('Annex 2 EHV charges'!$A$10:$A$108),1, COUNTIF(A$4:$A86, 'Annex 2 EHV charges'!$A$10:$A$108)), 0)),"")</f>
        <v>PSHLEY</v>
      </c>
      <c r="B87" s="85">
        <f>IF($A87="","",VLOOKUP($A87,'Annex 2 EHV charges'!$A:$O,2,0))</f>
        <v>826</v>
      </c>
      <c r="C87" s="86">
        <f>IF($A87="","",VLOOKUP($A87,'Annex 2 EHV charges'!$A:$O,3,0))</f>
        <v>1900091178954</v>
      </c>
      <c r="D87" s="85" t="str">
        <f>IF($A87="","",VLOOKUP($A87,'Annex 2 EHV charges'!$A:$O,7,0))</f>
        <v>PSHLEY</v>
      </c>
      <c r="E87" s="90" t="str">
        <f>IFERROR(IF(VLOOKUP($A87,'Annex 2 EHV charges'!$A:$O,8,FALSE)=0,"",VLOOKUP($A87,'Annex 2 EHV charges'!$A:$O,8,FALSE)),"")</f>
        <v/>
      </c>
      <c r="F87" s="91">
        <f>IFERROR(IF(VLOOKUP($A87,'Annex 2 EHV charges'!$A:$O,9,FALSE)=0,"",VLOOKUP($A87,'Annex 2 EHV charges'!$A:$O,9,FALSE)),"")</f>
        <v>359.47</v>
      </c>
      <c r="G87" s="92">
        <f>IFERROR(IF(VLOOKUP($A87,'Annex 2 EHV charges'!$A:$O,10,FALSE)=0,"",VLOOKUP($A87,'Annex 2 EHV charges'!$A:$O,10,FALSE)),"")</f>
        <v>1.61</v>
      </c>
      <c r="H87" s="92">
        <f>IFERROR(IF(VLOOKUP($A87,'Annex 2 EHV charges'!$A:$O,11,FALSE)=0,"",VLOOKUP($A87,'Annex 2 EHV charges'!$A:$O,11,FALSE)),"")</f>
        <v>1.61</v>
      </c>
    </row>
    <row r="88" spans="1:8" ht="12.75" customHeight="1" x14ac:dyDescent="0.2">
      <c r="A88" s="85" t="str">
        <f t="array" ref="A88">IFERROR(INDEX('Annex 2 EHV charges'!$A$10:$A$108, MATCH(0, IF(ISBLANK('Annex 2 EHV charges'!$A$10:$A$108),1, COUNTIF(A$4:$A87, 'Annex 2 EHV charges'!$A$10:$A$108)), 0)),"")</f>
        <v>SELLSF</v>
      </c>
      <c r="B88" s="85">
        <f>IF($A88="","",VLOOKUP($A88,'Annex 2 EHV charges'!$A:$O,2,0))</f>
        <v>900</v>
      </c>
      <c r="C88" s="86">
        <f>IF($A88="","",VLOOKUP($A88,'Annex 2 EHV charges'!$A:$O,3,0))</f>
        <v>1900091360950</v>
      </c>
      <c r="D88" s="85" t="str">
        <f>IF($A88="","",VLOOKUP($A88,'Annex 2 EHV charges'!$A:$O,7,0))</f>
        <v>SELLSF</v>
      </c>
      <c r="E88" s="90">
        <f>IFERROR(IF(VLOOKUP($A88,'Annex 2 EHV charges'!$A:$O,8,FALSE)=0,"",VLOOKUP($A88,'Annex 2 EHV charges'!$A:$O,8,FALSE)),"")</f>
        <v>0.80100000000000005</v>
      </c>
      <c r="F88" s="91">
        <f>IFERROR(IF(VLOOKUP($A88,'Annex 2 EHV charges'!$A:$O,9,FALSE)=0,"",VLOOKUP($A88,'Annex 2 EHV charges'!$A:$O,9,FALSE)),"")</f>
        <v>351.38</v>
      </c>
      <c r="G88" s="92">
        <f>IFERROR(IF(VLOOKUP($A88,'Annex 2 EHV charges'!$A:$O,10,FALSE)=0,"",VLOOKUP($A88,'Annex 2 EHV charges'!$A:$O,10,FALSE)),"")</f>
        <v>1.43</v>
      </c>
      <c r="H88" s="92">
        <f>IFERROR(IF(VLOOKUP($A88,'Annex 2 EHV charges'!$A:$O,11,FALSE)=0,"",VLOOKUP($A88,'Annex 2 EHV charges'!$A:$O,11,FALSE)),"")</f>
        <v>1.43</v>
      </c>
    </row>
    <row r="89" spans="1:8" ht="12.75" customHeight="1" x14ac:dyDescent="0.2">
      <c r="A89" s="85" t="str">
        <f t="array" ref="A89">IFERROR(INDEX('Annex 2 EHV charges'!$A$10:$A$108, MATCH(0, IF(ISBLANK('Annex 2 EHV charges'!$A$10:$A$108),1, COUNTIF(A$4:$A88, 'Annex 2 EHV charges'!$A$10:$A$108)), 0)),"")</f>
        <v>SEVIND</v>
      </c>
      <c r="B89" s="85">
        <f>IF($A89="","",VLOOKUP($A89,'Annex 2 EHV charges'!$A:$O,2,0))</f>
        <v>0</v>
      </c>
      <c r="C89" s="86" t="str">
        <f>IF($A89="","",VLOOKUP($A89,'Annex 2 EHV charges'!$A:$O,3,0))</f>
        <v>MSID: 7160</v>
      </c>
      <c r="D89" s="85" t="str">
        <f>IF($A89="","",VLOOKUP($A89,'Annex 2 EHV charges'!$A:$O,7,0))</f>
        <v>SEVIND</v>
      </c>
      <c r="E89" s="90">
        <f>IFERROR(IF(VLOOKUP($A89,'Annex 2 EHV charges'!$A:$O,8,FALSE)=0,"",VLOOKUP($A89,'Annex 2 EHV charges'!$A:$O,8,FALSE)),"")</f>
        <v>0.63200000000000001</v>
      </c>
      <c r="F89" s="91">
        <f>IFERROR(IF(VLOOKUP($A89,'Annex 2 EHV charges'!$A:$O,9,FALSE)=0,"",VLOOKUP($A89,'Annex 2 EHV charges'!$A:$O,9,FALSE)),"")</f>
        <v>349</v>
      </c>
      <c r="G89" s="92">
        <f>IFERROR(IF(VLOOKUP($A89,'Annex 2 EHV charges'!$A:$O,10,FALSE)=0,"",VLOOKUP($A89,'Annex 2 EHV charges'!$A:$O,10,FALSE)),"")</f>
        <v>0.75</v>
      </c>
      <c r="H89" s="92">
        <f>IFERROR(IF(VLOOKUP($A89,'Annex 2 EHV charges'!$A:$O,11,FALSE)=0,"",VLOOKUP($A89,'Annex 2 EHV charges'!$A:$O,11,FALSE)),"")</f>
        <v>0.75</v>
      </c>
    </row>
    <row r="90" spans="1:8" ht="12.75" customHeight="1" x14ac:dyDescent="0.2">
      <c r="A90" s="85" t="str">
        <f t="array" ref="A90">IFERROR(INDEX('Annex 2 EHV charges'!$A$10:$A$108, MATCH(0, IF(ISBLANK('Annex 2 EHV charges'!$A$10:$A$108),1, COUNTIF(A$4:$A89, 'Annex 2 EHV charges'!$A$10:$A$108)), 0)),"")</f>
        <v>SHEPHM</v>
      </c>
      <c r="B90" s="85">
        <f>IF($A90="","",VLOOKUP($A90,'Annex 2 EHV charges'!$A:$O,2,0))</f>
        <v>832</v>
      </c>
      <c r="C90" s="86">
        <f>IF($A90="","",VLOOKUP($A90,'Annex 2 EHV charges'!$A:$O,3,0))</f>
        <v>1900091420128</v>
      </c>
      <c r="D90" s="85" t="str">
        <f>IF($A90="","",VLOOKUP($A90,'Annex 2 EHV charges'!$A:$O,7,0))</f>
        <v>SHEPHM</v>
      </c>
      <c r="E90" s="90">
        <f>IFERROR(IF(VLOOKUP($A90,'Annex 2 EHV charges'!$A:$O,8,FALSE)=0,"",VLOOKUP($A90,'Annex 2 EHV charges'!$A:$O,8,FALSE)),"")</f>
        <v>2.1779999999999999</v>
      </c>
      <c r="F90" s="91">
        <f>IFERROR(IF(VLOOKUP($A90,'Annex 2 EHV charges'!$A:$O,9,FALSE)=0,"",VLOOKUP($A90,'Annex 2 EHV charges'!$A:$O,9,FALSE)),"")</f>
        <v>394</v>
      </c>
      <c r="G90" s="92">
        <f>IFERROR(IF(VLOOKUP($A90,'Annex 2 EHV charges'!$A:$O,10,FALSE)=0,"",VLOOKUP($A90,'Annex 2 EHV charges'!$A:$O,10,FALSE)),"")</f>
        <v>0.98</v>
      </c>
      <c r="H90" s="92">
        <f>IFERROR(IF(VLOOKUP($A90,'Annex 2 EHV charges'!$A:$O,11,FALSE)=0,"",VLOOKUP($A90,'Annex 2 EHV charges'!$A:$O,11,FALSE)),"")</f>
        <v>0.98</v>
      </c>
    </row>
    <row r="91" spans="1:8" ht="12.75" customHeight="1" x14ac:dyDescent="0.2">
      <c r="A91" s="85" t="str">
        <f t="array" ref="A91">IFERROR(INDEX('Annex 2 EHV charges'!$A$10:$A$108, MATCH(0, IF(ISBLANK('Annex 2 EHV charges'!$A$10:$A$108),1, COUNTIF(A$4:$A90, 'Annex 2 EHV charges'!$A$10:$A$108)), 0)),"")</f>
        <v>SHORHM</v>
      </c>
      <c r="B91" s="85">
        <f>IF($A91="","",VLOOKUP($A91,'Annex 2 EHV charges'!$A:$O,2,0))</f>
        <v>0</v>
      </c>
      <c r="C91" s="86" t="str">
        <f>IF($A91="","",VLOOKUP($A91,'Annex 2 EHV charges'!$A:$O,3,0))</f>
        <v>MSID: 7104</v>
      </c>
      <c r="D91" s="85" t="str">
        <f>IF($A91="","",VLOOKUP($A91,'Annex 2 EHV charges'!$A:$O,7,0))</f>
        <v>SHORHM</v>
      </c>
      <c r="E91" s="90" t="str">
        <f>IFERROR(IF(VLOOKUP($A91,'Annex 2 EHV charges'!$A:$O,8,FALSE)=0,"",VLOOKUP($A91,'Annex 2 EHV charges'!$A:$O,8,FALSE)),"")</f>
        <v/>
      </c>
      <c r="F91" s="91">
        <f>IFERROR(IF(VLOOKUP($A91,'Annex 2 EHV charges'!$A:$O,9,FALSE)=0,"",VLOOKUP($A91,'Annex 2 EHV charges'!$A:$O,9,FALSE)),"")</f>
        <v>7649.9</v>
      </c>
      <c r="G91" s="92">
        <f>IFERROR(IF(VLOOKUP($A91,'Annex 2 EHV charges'!$A:$O,10,FALSE)=0,"",VLOOKUP($A91,'Annex 2 EHV charges'!$A:$O,10,FALSE)),"")</f>
        <v>1.21</v>
      </c>
      <c r="H91" s="92">
        <f>IFERROR(IF(VLOOKUP($A91,'Annex 2 EHV charges'!$A:$O,11,FALSE)=0,"",VLOOKUP($A91,'Annex 2 EHV charges'!$A:$O,11,FALSE)),"")</f>
        <v>1.21</v>
      </c>
    </row>
    <row r="92" spans="1:8" ht="12.75" customHeight="1" x14ac:dyDescent="0.2">
      <c r="A92" s="85" t="str">
        <f t="array" ref="A92">IFERROR(INDEX('Annex 2 EHV charges'!$A$10:$A$108, MATCH(0, IF(ISBLANK('Annex 2 EHV charges'!$A$10:$A$108),1, COUNTIF(A$4:$A91, 'Annex 2 EHV charges'!$A$10:$A$108)), 0)),"")</f>
        <v>SOLEES</v>
      </c>
      <c r="B92" s="85">
        <f>IF($A92="","",VLOOKUP($A92,'Annex 2 EHV charges'!$A:$O,2,0))</f>
        <v>823</v>
      </c>
      <c r="C92" s="86" t="str">
        <f>IF($A92="","",VLOOKUP($A92,'Annex 2 EHV charges'!$A:$O,3,0))</f>
        <v>1900091121257
1900091121275</v>
      </c>
      <c r="D92" s="85" t="str">
        <f>IF($A92="","",VLOOKUP($A92,'Annex 2 EHV charges'!$A:$O,7,0))</f>
        <v>SOLEES</v>
      </c>
      <c r="E92" s="90">
        <f>IFERROR(IF(VLOOKUP($A92,'Annex 2 EHV charges'!$A:$O,8,FALSE)=0,"",VLOOKUP($A92,'Annex 2 EHV charges'!$A:$O,8,FALSE)),"")</f>
        <v>7.9000000000000001E-2</v>
      </c>
      <c r="F92" s="91">
        <f>IFERROR(IF(VLOOKUP($A92,'Annex 2 EHV charges'!$A:$O,9,FALSE)=0,"",VLOOKUP($A92,'Annex 2 EHV charges'!$A:$O,9,FALSE)),"")</f>
        <v>386.08</v>
      </c>
      <c r="G92" s="92">
        <f>IFERROR(IF(VLOOKUP($A92,'Annex 2 EHV charges'!$A:$O,10,FALSE)=0,"",VLOOKUP($A92,'Annex 2 EHV charges'!$A:$O,10,FALSE)),"")</f>
        <v>2.34</v>
      </c>
      <c r="H92" s="92">
        <f>IFERROR(IF(VLOOKUP($A92,'Annex 2 EHV charges'!$A:$O,11,FALSE)=0,"",VLOOKUP($A92,'Annex 2 EHV charges'!$A:$O,11,FALSE)),"")</f>
        <v>2.34</v>
      </c>
    </row>
    <row r="93" spans="1:8" ht="12.75" customHeight="1" x14ac:dyDescent="0.2">
      <c r="A93" s="85" t="str">
        <f t="array" ref="A93">IFERROR(INDEX('Annex 2 EHV charges'!$A$10:$A$108, MATCH(0, IF(ISBLANK('Annex 2 EHV charges'!$A$10:$A$108),1, COUNTIF(A$4:$A92, 'Annex 2 EHV charges'!$A$10:$A$108)), 0)),"")</f>
        <v>STAREN</v>
      </c>
      <c r="B93" s="85">
        <f>IF($A93="","",VLOOKUP($A93,'Annex 2 EHV charges'!$A:$O,2,0))</f>
        <v>883</v>
      </c>
      <c r="C93" s="86">
        <f>IF($A93="","",VLOOKUP($A93,'Annex 2 EHV charges'!$A:$O,3,0))</f>
        <v>1900060830217</v>
      </c>
      <c r="D93" s="85" t="str">
        <f>IF($A93="","",VLOOKUP($A93,'Annex 2 EHV charges'!$A:$O,7,0))</f>
        <v>STAREN</v>
      </c>
      <c r="E93" s="90">
        <f>IFERROR(IF(VLOOKUP($A93,'Annex 2 EHV charges'!$A:$O,8,FALSE)=0,"",VLOOKUP($A93,'Annex 2 EHV charges'!$A:$O,8,FALSE)),"")</f>
        <v>0.97199999999999998</v>
      </c>
      <c r="F93" s="91">
        <f>IFERROR(IF(VLOOKUP($A93,'Annex 2 EHV charges'!$A:$O,9,FALSE)=0,"",VLOOKUP($A93,'Annex 2 EHV charges'!$A:$O,9,FALSE)),"")</f>
        <v>1660.43</v>
      </c>
      <c r="G93" s="92">
        <f>IFERROR(IF(VLOOKUP($A93,'Annex 2 EHV charges'!$A:$O,10,FALSE)=0,"",VLOOKUP($A93,'Annex 2 EHV charges'!$A:$O,10,FALSE)),"")</f>
        <v>2.83</v>
      </c>
      <c r="H93" s="92">
        <f>IFERROR(IF(VLOOKUP($A93,'Annex 2 EHV charges'!$A:$O,11,FALSE)=0,"",VLOOKUP($A93,'Annex 2 EHV charges'!$A:$O,11,FALSE)),"")</f>
        <v>2.83</v>
      </c>
    </row>
    <row r="94" spans="1:8" ht="12.75" customHeight="1" x14ac:dyDescent="0.2">
      <c r="A94" s="85" t="str">
        <f t="array" ref="A94">IFERROR(INDEX('Annex 2 EHV charges'!$A$10:$A$108, MATCH(0, IF(ISBLANK('Annex 2 EHV charges'!$A$10:$A$108),1, COUNTIF(A$4:$A93, 'Annex 2 EHV charges'!$A$10:$A$108)), 0)),"")</f>
        <v>SYCAMR</v>
      </c>
      <c r="B94" s="85">
        <f>IF($A94="","",VLOOKUP($A94,'Annex 2 EHV charges'!$A:$O,2,0))</f>
        <v>807</v>
      </c>
      <c r="C94" s="86">
        <f>IF($A94="","",VLOOKUP($A94,'Annex 2 EHV charges'!$A:$O,3,0))</f>
        <v>1900091090096</v>
      </c>
      <c r="D94" s="85" t="str">
        <f>IF($A94="","",VLOOKUP($A94,'Annex 2 EHV charges'!$A:$O,7,0))</f>
        <v>SYCAMR</v>
      </c>
      <c r="E94" s="90">
        <f>IFERROR(IF(VLOOKUP($A94,'Annex 2 EHV charges'!$A:$O,8,FALSE)=0,"",VLOOKUP($A94,'Annex 2 EHV charges'!$A:$O,8,FALSE)),"")</f>
        <v>6.1630000000000003</v>
      </c>
      <c r="F94" s="91">
        <f>IFERROR(IF(VLOOKUP($A94,'Annex 2 EHV charges'!$A:$O,9,FALSE)=0,"",VLOOKUP($A94,'Annex 2 EHV charges'!$A:$O,9,FALSE)),"")</f>
        <v>405.94</v>
      </c>
      <c r="G94" s="92">
        <f>IFERROR(IF(VLOOKUP($A94,'Annex 2 EHV charges'!$A:$O,10,FALSE)=0,"",VLOOKUP($A94,'Annex 2 EHV charges'!$A:$O,10,FALSE)),"")</f>
        <v>1.26</v>
      </c>
      <c r="H94" s="92">
        <f>IFERROR(IF(VLOOKUP($A94,'Annex 2 EHV charges'!$A:$O,11,FALSE)=0,"",VLOOKUP($A94,'Annex 2 EHV charges'!$A:$O,11,FALSE)),"")</f>
        <v>1.26</v>
      </c>
    </row>
    <row r="95" spans="1:8" ht="12.75" customHeight="1" x14ac:dyDescent="0.2">
      <c r="A95" s="85" t="str">
        <f t="array" ref="A95">IFERROR(INDEX('Annex 2 EHV charges'!$A$10:$A$108, MATCH(0, IF(ISBLANK('Annex 2 EHV charges'!$A$10:$A$108),1, COUNTIF(A$4:$A94, 'Annex 2 EHV charges'!$A$10:$A$108)), 0)),"")</f>
        <v>THAEAR</v>
      </c>
      <c r="B95" s="85">
        <f>IF($A95="","",VLOOKUP($A95,'Annex 2 EHV charges'!$A:$O,2,0))</f>
        <v>850</v>
      </c>
      <c r="C95" s="86" t="str">
        <f>IF($A95="","",VLOOKUP($A95,'Annex 2 EHV charges'!$A:$O,3,0))</f>
        <v>1900090417081
1900090417106
1900090417133
1900090417142
1900090417151</v>
      </c>
      <c r="D95" s="85" t="str">
        <f>IF($A95="","",VLOOKUP($A95,'Annex 2 EHV charges'!$A:$O,7,0))</f>
        <v>THAEAR</v>
      </c>
      <c r="E95" s="90" t="str">
        <f>IFERROR(IF(VLOOKUP($A95,'Annex 2 EHV charges'!$A:$O,8,FALSE)=0,"",VLOOKUP($A95,'Annex 2 EHV charges'!$A:$O,8,FALSE)),"")</f>
        <v/>
      </c>
      <c r="F95" s="91">
        <f>IFERROR(IF(VLOOKUP($A95,'Annex 2 EHV charges'!$A:$O,9,FALSE)=0,"",VLOOKUP($A95,'Annex 2 EHV charges'!$A:$O,9,FALSE)),"")</f>
        <v>35969.11</v>
      </c>
      <c r="G95" s="92">
        <f>IFERROR(IF(VLOOKUP($A95,'Annex 2 EHV charges'!$A:$O,10,FALSE)=0,"",VLOOKUP($A95,'Annex 2 EHV charges'!$A:$O,10,FALSE)),"")</f>
        <v>1.72</v>
      </c>
      <c r="H95" s="92">
        <f>IFERROR(IF(VLOOKUP($A95,'Annex 2 EHV charges'!$A:$O,11,FALSE)=0,"",VLOOKUP($A95,'Annex 2 EHV charges'!$A:$O,11,FALSE)),"")</f>
        <v>1.72</v>
      </c>
    </row>
    <row r="96" spans="1:8" ht="12.75" customHeight="1" x14ac:dyDescent="0.2">
      <c r="A96" s="85" t="str">
        <f t="array" ref="A96">IFERROR(INDEX('Annex 2 EHV charges'!$A$10:$A$108, MATCH(0, IF(ISBLANK('Annex 2 EHV charges'!$A$10:$A$108),1, COUNTIF(A$4:$A95, 'Annex 2 EHV charges'!$A$10:$A$108)), 0)),"")</f>
        <v>THANET</v>
      </c>
      <c r="B96" s="85">
        <f>IF($A96="","",VLOOKUP($A96,'Annex 2 EHV charges'!$A:$O,2,0))</f>
        <v>0</v>
      </c>
      <c r="C96" s="86" t="str">
        <f>IF($A96="","",VLOOKUP($A96,'Annex 2 EHV charges'!$A:$O,3,0))</f>
        <v>MSID: 7230</v>
      </c>
      <c r="D96" s="85" t="str">
        <f>IF($A96="","",VLOOKUP($A96,'Annex 2 EHV charges'!$A:$O,7,0))</f>
        <v>THANET</v>
      </c>
      <c r="E96" s="90" t="str">
        <f>IFERROR(IF(VLOOKUP($A96,'Annex 2 EHV charges'!$A:$O,8,FALSE)=0,"",VLOOKUP($A96,'Annex 2 EHV charges'!$A:$O,8,FALSE)),"")</f>
        <v/>
      </c>
      <c r="F96" s="91">
        <f>IFERROR(IF(VLOOKUP($A96,'Annex 2 EHV charges'!$A:$O,9,FALSE)=0,"",VLOOKUP($A96,'Annex 2 EHV charges'!$A:$O,9,FALSE)),"")</f>
        <v>362.23</v>
      </c>
      <c r="G96" s="92">
        <f>IFERROR(IF(VLOOKUP($A96,'Annex 2 EHV charges'!$A:$O,10,FALSE)=0,"",VLOOKUP($A96,'Annex 2 EHV charges'!$A:$O,10,FALSE)),"")</f>
        <v>0.79</v>
      </c>
      <c r="H96" s="92">
        <f>IFERROR(IF(VLOOKUP($A96,'Annex 2 EHV charges'!$A:$O,11,FALSE)=0,"",VLOOKUP($A96,'Annex 2 EHV charges'!$A:$O,11,FALSE)),"")</f>
        <v>0.79</v>
      </c>
    </row>
    <row r="97" spans="1:8" ht="12.75" customHeight="1" x14ac:dyDescent="0.2">
      <c r="A97" s="85" t="str">
        <f t="array" ref="A97">IFERROR(INDEX('Annex 2 EHV charges'!$A$10:$A$108, MATCH(0, IF(ISBLANK('Annex 2 EHV charges'!$A$10:$A$108),1, COUNTIF(A$4:$A96, 'Annex 2 EHV charges'!$A$10:$A$108)), 0)),"")</f>
        <v>THORNE</v>
      </c>
      <c r="B97" s="85">
        <f>IF($A97="","",VLOOKUP($A97,'Annex 2 EHV charges'!$A:$O,2,0))</f>
        <v>818</v>
      </c>
      <c r="C97" s="86">
        <f>IF($A97="","",VLOOKUP($A97,'Annex 2 EHV charges'!$A:$O,3,0))</f>
        <v>1900091171364</v>
      </c>
      <c r="D97" s="85" t="str">
        <f>IF($A97="","",VLOOKUP($A97,'Annex 2 EHV charges'!$A:$O,7,0))</f>
        <v>THORNE</v>
      </c>
      <c r="E97" s="90" t="str">
        <f>IFERROR(IF(VLOOKUP($A97,'Annex 2 EHV charges'!$A:$O,8,FALSE)=0,"",VLOOKUP($A97,'Annex 2 EHV charges'!$A:$O,8,FALSE)),"")</f>
        <v/>
      </c>
      <c r="F97" s="91">
        <f>IFERROR(IF(VLOOKUP($A97,'Annex 2 EHV charges'!$A:$O,9,FALSE)=0,"",VLOOKUP($A97,'Annex 2 EHV charges'!$A:$O,9,FALSE)),"")</f>
        <v>367.38</v>
      </c>
      <c r="G97" s="92">
        <f>IFERROR(IF(VLOOKUP($A97,'Annex 2 EHV charges'!$A:$O,10,FALSE)=0,"",VLOOKUP($A97,'Annex 2 EHV charges'!$A:$O,10,FALSE)),"")</f>
        <v>1.28</v>
      </c>
      <c r="H97" s="92">
        <f>IFERROR(IF(VLOOKUP($A97,'Annex 2 EHV charges'!$A:$O,11,FALSE)=0,"",VLOOKUP($A97,'Annex 2 EHV charges'!$A:$O,11,FALSE)),"")</f>
        <v>1.28</v>
      </c>
    </row>
    <row r="98" spans="1:8" ht="12.75" customHeight="1" x14ac:dyDescent="0.2">
      <c r="A98" s="85" t="str">
        <f t="array" ref="A98">IFERROR(INDEX('Annex 2 EHV charges'!$A$10:$A$108, MATCH(0, IF(ISBLANK('Annex 2 EHV charges'!$A$10:$A$108),1, COUNTIF(A$4:$A97, 'Annex 2 EHV charges'!$A$10:$A$108)), 0)),"")</f>
        <v>TONGSF</v>
      </c>
      <c r="B98" s="85">
        <f>IF($A98="","",VLOOKUP($A98,'Annex 2 EHV charges'!$A:$O,2,0))</f>
        <v>828</v>
      </c>
      <c r="C98" s="86">
        <f>IF($A98="","",VLOOKUP($A98,'Annex 2 EHV charges'!$A:$O,3,0))</f>
        <v>1900091363000</v>
      </c>
      <c r="D98" s="85" t="str">
        <f>IF($A98="","",VLOOKUP($A98,'Annex 2 EHV charges'!$A:$O,7,0))</f>
        <v>TONGSF</v>
      </c>
      <c r="E98" s="90">
        <f>IFERROR(IF(VLOOKUP($A98,'Annex 2 EHV charges'!$A:$O,8,FALSE)=0,"",VLOOKUP($A98,'Annex 2 EHV charges'!$A:$O,8,FALSE)),"")</f>
        <v>0.03</v>
      </c>
      <c r="F98" s="91">
        <f>IFERROR(IF(VLOOKUP($A98,'Annex 2 EHV charges'!$A:$O,9,FALSE)=0,"",VLOOKUP($A98,'Annex 2 EHV charges'!$A:$O,9,FALSE)),"")</f>
        <v>377.66</v>
      </c>
      <c r="G98" s="92">
        <f>IFERROR(IF(VLOOKUP($A98,'Annex 2 EHV charges'!$A:$O,10,FALSE)=0,"",VLOOKUP($A98,'Annex 2 EHV charges'!$A:$O,10,FALSE)),"")</f>
        <v>2.1</v>
      </c>
      <c r="H98" s="92">
        <f>IFERROR(IF(VLOOKUP($A98,'Annex 2 EHV charges'!$A:$O,11,FALSE)=0,"",VLOOKUP($A98,'Annex 2 EHV charges'!$A:$O,11,FALSE)),"")</f>
        <v>2.1</v>
      </c>
    </row>
    <row r="99" spans="1:8" ht="12.75" customHeight="1" x14ac:dyDescent="0.2">
      <c r="A99" s="85" t="str">
        <f t="array" ref="A99">IFERROR(INDEX('Annex 2 EHV charges'!$A$10:$A$108, MATCH(0, IF(ISBLANK('Annex 2 EHV charges'!$A$10:$A$108),1, COUNTIF(A$4:$A98, 'Annex 2 EHV charges'!$A$10:$A$108)), 0)),"")</f>
        <v>WDLNDS</v>
      </c>
      <c r="B99" s="85">
        <f>IF($A99="","",VLOOKUP($A99,'Annex 2 EHV charges'!$A:$O,2,0))</f>
        <v>825</v>
      </c>
      <c r="C99" s="86">
        <f>IF($A99="","",VLOOKUP($A99,'Annex 2 EHV charges'!$A:$O,3,0))</f>
        <v>1900091207124</v>
      </c>
      <c r="D99" s="85" t="str">
        <f>IF($A99="","",VLOOKUP($A99,'Annex 2 EHV charges'!$A:$O,7,0))</f>
        <v>WDLNDS</v>
      </c>
      <c r="E99" s="90" t="str">
        <f>IFERROR(IF(VLOOKUP($A99,'Annex 2 EHV charges'!$A:$O,8,FALSE)=0,"",VLOOKUP($A99,'Annex 2 EHV charges'!$A:$O,8,FALSE)),"")</f>
        <v/>
      </c>
      <c r="F99" s="91">
        <f>IFERROR(IF(VLOOKUP($A99,'Annex 2 EHV charges'!$A:$O,9,FALSE)=0,"",VLOOKUP($A99,'Annex 2 EHV charges'!$A:$O,9,FALSE)),"")</f>
        <v>369.83</v>
      </c>
      <c r="G99" s="92">
        <f>IFERROR(IF(VLOOKUP($A99,'Annex 2 EHV charges'!$A:$O,10,FALSE)=0,"",VLOOKUP($A99,'Annex 2 EHV charges'!$A:$O,10,FALSE)),"")</f>
        <v>1.21</v>
      </c>
      <c r="H99" s="92">
        <f>IFERROR(IF(VLOOKUP($A99,'Annex 2 EHV charges'!$A:$O,11,FALSE)=0,"",VLOOKUP($A99,'Annex 2 EHV charges'!$A:$O,11,FALSE)),"")</f>
        <v>1.21</v>
      </c>
    </row>
    <row r="100" spans="1:8" ht="12.75" customHeight="1" x14ac:dyDescent="0.2">
      <c r="A100" s="85" t="str">
        <f t="array" ref="A100">IFERROR(INDEX('Annex 2 EHV charges'!$A$10:$A$108, MATCH(0, IF(ISBLANK('Annex 2 EHV charges'!$A$10:$A$108),1, COUNTIF(A$4:$A99, 'Annex 2 EHV charges'!$A$10:$A$108)), 0)),"")</f>
        <v>WIDHFM</v>
      </c>
      <c r="B100" s="85">
        <f>IF($A100="","",VLOOKUP($A100,'Annex 2 EHV charges'!$A:$O,2,0))</f>
        <v>821</v>
      </c>
      <c r="C100" s="86">
        <f>IF($A100="","",VLOOKUP($A100,'Annex 2 EHV charges'!$A:$O,3,0))</f>
        <v>1900091478493</v>
      </c>
      <c r="D100" s="85" t="str">
        <f>IF($A100="","",VLOOKUP($A100,'Annex 2 EHV charges'!$A:$O,7,0))</f>
        <v>WIDHFM</v>
      </c>
      <c r="E100" s="90">
        <f>IFERROR(IF(VLOOKUP($A100,'Annex 2 EHV charges'!$A:$O,8,FALSE)=0,"",VLOOKUP($A100,'Annex 2 EHV charges'!$A:$O,8,FALSE)),"")</f>
        <v>9.7739999999999991</v>
      </c>
      <c r="F100" s="91">
        <f>IFERROR(IF(VLOOKUP($A100,'Annex 2 EHV charges'!$A:$O,9,FALSE)=0,"",VLOOKUP($A100,'Annex 2 EHV charges'!$A:$O,9,FALSE)),"")</f>
        <v>364.96</v>
      </c>
      <c r="G100" s="92">
        <f>IFERROR(IF(VLOOKUP($A100,'Annex 2 EHV charges'!$A:$O,10,FALSE)=0,"",VLOOKUP($A100,'Annex 2 EHV charges'!$A:$O,10,FALSE)),"")</f>
        <v>4.38</v>
      </c>
      <c r="H100" s="92">
        <f>IFERROR(IF(VLOOKUP($A100,'Annex 2 EHV charges'!$A:$O,11,FALSE)=0,"",VLOOKUP($A100,'Annex 2 EHV charges'!$A:$O,11,FALSE)),"")</f>
        <v>4.38</v>
      </c>
    </row>
    <row r="101" spans="1:8" ht="12.75" customHeight="1" x14ac:dyDescent="0.2">
      <c r="A101" s="85" t="str">
        <f t="array" ref="A101">IFERROR(INDEX('Annex 2 EHV charges'!$A$10:$A$108, MATCH(0, IF(ISBLANK('Annex 2 EHV charges'!$A$10:$A$108),1, COUNTIF(A$4:$A100, 'Annex 2 EHV charges'!$A$10:$A$108)), 0)),"")</f>
        <v>WLBEES</v>
      </c>
      <c r="B101" s="85">
        <f>IF($A101="","",VLOOKUP($A101,'Annex 2 EHV charges'!$A:$O,2,0))</f>
        <v>829</v>
      </c>
      <c r="C101" s="86">
        <f>IF($A101="","",VLOOKUP($A101,'Annex 2 EHV charges'!$A:$O,3,0))</f>
        <v>1900091315238</v>
      </c>
      <c r="D101" s="85" t="str">
        <f>IF($A101="","",VLOOKUP($A101,'Annex 2 EHV charges'!$A:$O,7,0))</f>
        <v>WLBEES</v>
      </c>
      <c r="E101" s="90">
        <f>IFERROR(IF(VLOOKUP($A101,'Annex 2 EHV charges'!$A:$O,8,FALSE)=0,"",VLOOKUP($A101,'Annex 2 EHV charges'!$A:$O,8,FALSE)),"")</f>
        <v>0.56299999999999994</v>
      </c>
      <c r="F101" s="91">
        <f>IFERROR(IF(VLOOKUP($A101,'Annex 2 EHV charges'!$A:$O,9,FALSE)=0,"",VLOOKUP($A101,'Annex 2 EHV charges'!$A:$O,9,FALSE)),"")</f>
        <v>350.77</v>
      </c>
      <c r="G101" s="92">
        <f>IFERROR(IF(VLOOKUP($A101,'Annex 2 EHV charges'!$A:$O,10,FALSE)=0,"",VLOOKUP($A101,'Annex 2 EHV charges'!$A:$O,10,FALSE)),"")</f>
        <v>1.29</v>
      </c>
      <c r="H101" s="92">
        <f>IFERROR(IF(VLOOKUP($A101,'Annex 2 EHV charges'!$A:$O,11,FALSE)=0,"",VLOOKUP($A101,'Annex 2 EHV charges'!$A:$O,11,FALSE)),"")</f>
        <v>1.29</v>
      </c>
    </row>
    <row r="102" spans="1:8" ht="12.75" customHeight="1" x14ac:dyDescent="0.2">
      <c r="A102" s="85" t="str">
        <f t="array" ref="A102">IFERROR(INDEX('Annex 2 EHV charges'!$A$10:$A$108, MATCH(0, IF(ISBLANK('Annex 2 EHV charges'!$A$10:$A$108),1, COUNTIF(A$4:$A101, 'Annex 2 EHV charges'!$A$10:$A$108)), 0)),"")</f>
        <v>WRGALL</v>
      </c>
      <c r="B102" s="85">
        <f>IF($A102="","",VLOOKUP($A102,'Annex 2 EHV charges'!$A:$O,2,0))</f>
        <v>887</v>
      </c>
      <c r="C102" s="86">
        <f>IF($A102="","",VLOOKUP($A102,'Annex 2 EHV charges'!$A:$O,3,0))</f>
        <v>1900070394457</v>
      </c>
      <c r="D102" s="85" t="str">
        <f>IF($A102="","",VLOOKUP($A102,'Annex 2 EHV charges'!$A:$O,7,0))</f>
        <v>WRGALL</v>
      </c>
      <c r="E102" s="90" t="str">
        <f>IFERROR(IF(VLOOKUP($A102,'Annex 2 EHV charges'!$A:$O,8,FALSE)=0,"",VLOOKUP($A102,'Annex 2 EHV charges'!$A:$O,8,FALSE)),"")</f>
        <v/>
      </c>
      <c r="F102" s="91">
        <f>IFERROR(IF(VLOOKUP($A102,'Annex 2 EHV charges'!$A:$O,9,FALSE)=0,"",VLOOKUP($A102,'Annex 2 EHV charges'!$A:$O,9,FALSE)),"")</f>
        <v>8105.12</v>
      </c>
      <c r="G102" s="92">
        <f>IFERROR(IF(VLOOKUP($A102,'Annex 2 EHV charges'!$A:$O,10,FALSE)=0,"",VLOOKUP($A102,'Annex 2 EHV charges'!$A:$O,10,FALSE)),"")</f>
        <v>0.56000000000000005</v>
      </c>
      <c r="H102" s="92">
        <f>IFERROR(IF(VLOOKUP($A102,'Annex 2 EHV charges'!$A:$O,11,FALSE)=0,"",VLOOKUP($A102,'Annex 2 EHV charges'!$A:$O,11,FALSE)),"")</f>
        <v>0.56000000000000005</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72"/>
  <sheetViews>
    <sheetView zoomScale="90" zoomScaleNormal="90" zoomScaleSheetLayoutView="100" workbookViewId="0">
      <selection sqref="A1:H1"/>
    </sheetView>
  </sheetViews>
  <sheetFormatPr defaultRowHeight="12.75" x14ac:dyDescent="0.2"/>
  <cols>
    <col min="1" max="1" width="14.7109375" style="42" customWidth="1"/>
    <col min="2" max="2" width="8.7109375" style="42" customWidth="1"/>
    <col min="3" max="3" width="15.7109375" style="50" bestFit="1" customWidth="1"/>
    <col min="4" max="4" width="50.7109375" style="50" customWidth="1"/>
    <col min="5" max="5" width="14.7109375" style="51" customWidth="1"/>
    <col min="6" max="7" width="14.7109375" style="52" customWidth="1"/>
    <col min="8" max="8" width="14.7109375" style="42" customWidth="1"/>
    <col min="9" max="9" width="15.5703125" style="42" customWidth="1"/>
    <col min="10" max="16384" width="9.140625" style="42"/>
  </cols>
  <sheetData>
    <row r="1" spans="1:15" ht="66.75" customHeight="1" x14ac:dyDescent="0.2">
      <c r="A1" s="263" t="s">
        <v>67</v>
      </c>
      <c r="B1" s="263"/>
      <c r="C1" s="263"/>
      <c r="D1" s="263"/>
      <c r="E1" s="263"/>
      <c r="F1" s="263"/>
      <c r="G1" s="263"/>
      <c r="H1" s="263"/>
    </row>
    <row r="2" spans="1:15" s="43" customFormat="1" ht="25.5" customHeight="1" x14ac:dyDescent="0.2">
      <c r="A2" s="268" t="str">
        <f>Overview!B4&amp; " - Effective from "&amp;Overview!D4&amp;" - "&amp;Overview!E4&amp;" EDCM export charges"</f>
        <v>South Eastern Power Networks - Effective from 1 April 2022 - Final EDCM export charges</v>
      </c>
      <c r="B2" s="269"/>
      <c r="C2" s="269"/>
      <c r="D2" s="269"/>
      <c r="E2" s="269"/>
      <c r="F2" s="269"/>
      <c r="G2" s="269"/>
      <c r="H2" s="270"/>
    </row>
    <row r="3" spans="1:15" s="74" customFormat="1" ht="18" x14ac:dyDescent="0.2">
      <c r="A3" s="78"/>
      <c r="B3" s="78"/>
      <c r="C3" s="78"/>
      <c r="D3" s="79"/>
      <c r="E3" s="80"/>
      <c r="F3" s="80"/>
      <c r="G3" s="81"/>
      <c r="H3" s="81"/>
      <c r="I3" s="73"/>
      <c r="J3" s="73"/>
      <c r="K3" s="73"/>
      <c r="L3" s="73"/>
      <c r="M3" s="73"/>
      <c r="N3" s="73"/>
      <c r="O3" s="73"/>
    </row>
    <row r="4" spans="1:15" ht="60.75" customHeight="1" x14ac:dyDescent="0.2">
      <c r="A4" s="44" t="s">
        <v>53</v>
      </c>
      <c r="B4" s="45" t="s">
        <v>35</v>
      </c>
      <c r="C4" s="44" t="s">
        <v>37</v>
      </c>
      <c r="D4" s="46" t="s">
        <v>29</v>
      </c>
      <c r="E4" s="46" t="str">
        <f>'Annex 2 EHV charges'!L9</f>
        <v>Export
Super Red
unit charge
(p/kWh)</v>
      </c>
      <c r="F4" s="46" t="str">
        <f>'Annex 2 EHV charges'!M9</f>
        <v>Export
fixed charge
(p/day)</v>
      </c>
      <c r="G4" s="46" t="str">
        <f>'Annex 2 EHV charges'!N9</f>
        <v>Export
capacity charge
(p/kVA/day)</v>
      </c>
      <c r="H4" s="46" t="str">
        <f>'Annex 2 EHV charges'!O9</f>
        <v>Export
exceeded capacity charge
(p/kVA/day)</v>
      </c>
    </row>
    <row r="5" spans="1:15" ht="12.75" customHeight="1" x14ac:dyDescent="0.2">
      <c r="A5" s="86" t="str">
        <f t="array" ref="A5">IFERROR(INDEX('Annex 2 EHV charges'!$D$10:$D$108, MATCH(0, IF(ISBLANK('Annex 2 EHV charges'!$D$10:$D$108),1, COUNTIF(A$4:$A4, 'Annex 2 EHV charges'!$D$10:$D$108)), 0)),"")</f>
        <v>THAMEM</v>
      </c>
      <c r="B5" s="85">
        <f>IF($A5="","",VLOOKUP($A5,'Annex 2 EHV charges'!$D:$O,2,0))</f>
        <v>691</v>
      </c>
      <c r="C5" s="86" t="str">
        <f>IF($A5="","",VLOOKUP($A5,'Annex 2 EHV charges'!$D:$O,3,0))</f>
        <v>1900090876979
1900090876988</v>
      </c>
      <c r="D5" s="85" t="str">
        <f>IF($A5="","",VLOOKUP($A5,'Annex 2 EHV charges'!$D:$O,4,0))</f>
        <v>THAMEM</v>
      </c>
      <c r="E5" s="87" t="str">
        <f>IFERROR(IF(VLOOKUP($A5,'Annex 2 EHV charges'!$D:$O,9,FALSE)=0,"",VLOOKUP($A5,'Annex 2 EHV charges'!$D:$O,9,FALSE)),"")</f>
        <v/>
      </c>
      <c r="F5" s="88">
        <f>IFERROR(IF(VLOOKUP($A5,'Annex 2 EHV charges'!$D:$O,10,FALSE)=0,"",VLOOKUP($A5,'Annex 2 EHV charges'!$D:$O,10,FALSE)),"")</f>
        <v>2909.72</v>
      </c>
      <c r="G5" s="89">
        <f>IFERROR(IF(VLOOKUP($A5,'Annex 2 EHV charges'!$D:$O,11,FALSE)=0,"",VLOOKUP($A5,'Annex 2 EHV charges'!$D:$O,11,FALSE)),"")</f>
        <v>0.05</v>
      </c>
      <c r="H5" s="89">
        <f>IFERROR(IF(VLOOKUP($A5,'Annex 2 EHV charges'!$D:$O,12,FALSE)=0,"",VLOOKUP($A5,'Annex 2 EHV charges'!$D:$O,12,FALSE)),"")</f>
        <v>0.05</v>
      </c>
    </row>
    <row r="6" spans="1:15" ht="12.75" customHeight="1" x14ac:dyDescent="0.2">
      <c r="A6" s="86" t="str">
        <f t="array" ref="A6">IFERROR(INDEX('Annex 2 EHV charges'!$D$10:$D$108, MATCH(0, IF(ISBLANK('Annex 2 EHV charges'!$D$10:$D$108),1, COUNTIF(A$4:$A5, 'Annex 2 EHV charges'!$D$10:$D$108)), 0)),"")</f>
        <v>THAMES</v>
      </c>
      <c r="B6" s="85">
        <f>IF($A6="","",VLOOKUP($A6,'Annex 2 EHV charges'!$D:$O,2,0))</f>
        <v>732</v>
      </c>
      <c r="C6" s="86">
        <f>IF($A6="","",VLOOKUP($A6,'Annex 2 EHV charges'!$D:$O,3,0))</f>
        <v>1900060576611</v>
      </c>
      <c r="D6" s="85" t="str">
        <f>IF($A6="","",VLOOKUP($A6,'Annex 2 EHV charges'!$D:$O,4,0))</f>
        <v>THAMES</v>
      </c>
      <c r="E6" s="87" t="str">
        <f>IFERROR(IF(VLOOKUP($A6,'Annex 2 EHV charges'!$D:$O,9,FALSE)=0,"",VLOOKUP($A6,'Annex 2 EHV charges'!$D:$O,9,FALSE)),"")</f>
        <v/>
      </c>
      <c r="F6" s="88">
        <f>IFERROR(IF(VLOOKUP($A6,'Annex 2 EHV charges'!$D:$O,10,FALSE)=0,"",VLOOKUP($A6,'Annex 2 EHV charges'!$D:$O,10,FALSE)),"")</f>
        <v>1744.35</v>
      </c>
      <c r="G6" s="89">
        <f>IFERROR(IF(VLOOKUP($A6,'Annex 2 EHV charges'!$D:$O,11,FALSE)=0,"",VLOOKUP($A6,'Annex 2 EHV charges'!$D:$O,11,FALSE)),"")</f>
        <v>0.05</v>
      </c>
      <c r="H6" s="89">
        <f>IFERROR(IF(VLOOKUP($A6,'Annex 2 EHV charges'!$D:$O,12,FALSE)=0,"",VLOOKUP($A6,'Annex 2 EHV charges'!$D:$O,12,FALSE)),"")</f>
        <v>0.05</v>
      </c>
    </row>
    <row r="7" spans="1:15" ht="12.75" customHeight="1" x14ac:dyDescent="0.2">
      <c r="A7" s="86" t="str">
        <f t="array" ref="A7">IFERROR(INDEX('Annex 2 EHV charges'!$D$10:$D$108, MATCH(0, IF(ISBLANK('Annex 2 EHV charges'!$D$10:$D$108),1, COUNTIF(A$4:$A6, 'Annex 2 EHV charges'!$D$10:$D$108)), 0)),"")</f>
        <v>TWHK66</v>
      </c>
      <c r="B7" s="85">
        <f>IF($A7="","",VLOOKUP($A7,'Annex 2 EHV charges'!$D:$O,2,0))</f>
        <v>692</v>
      </c>
      <c r="C7" s="86">
        <f>IF($A7="","",VLOOKUP($A7,'Annex 2 EHV charges'!$D:$O,3,0))</f>
        <v>1900091206194</v>
      </c>
      <c r="D7" s="85" t="str">
        <f>IF($A7="","",VLOOKUP($A7,'Annex 2 EHV charges'!$D:$O,4,0))</f>
        <v>TWHK66</v>
      </c>
      <c r="E7" s="87">
        <f>IFERROR(IF(VLOOKUP($A7,'Annex 2 EHV charges'!$D:$O,9,FALSE)=0,"",VLOOKUP($A7,'Annex 2 EHV charges'!$D:$O,9,FALSE)),"")</f>
        <v>-3.141</v>
      </c>
      <c r="F7" s="88">
        <f>IFERROR(IF(VLOOKUP($A7,'Annex 2 EHV charges'!$D:$O,10,FALSE)=0,"",VLOOKUP($A7,'Annex 2 EHV charges'!$D:$O,10,FALSE)),"")</f>
        <v>30.5</v>
      </c>
      <c r="G7" s="89">
        <f>IFERROR(IF(VLOOKUP($A7,'Annex 2 EHV charges'!$D:$O,11,FALSE)=0,"",VLOOKUP($A7,'Annex 2 EHV charges'!$D:$O,11,FALSE)),"")</f>
        <v>0.05</v>
      </c>
      <c r="H7" s="89">
        <f>IFERROR(IF(VLOOKUP($A7,'Annex 2 EHV charges'!$D:$O,12,FALSE)=0,"",VLOOKUP($A7,'Annex 2 EHV charges'!$D:$O,12,FALSE)),"")</f>
        <v>0.05</v>
      </c>
    </row>
    <row r="8" spans="1:15" ht="12.75" customHeight="1" x14ac:dyDescent="0.2">
      <c r="A8" s="86" t="str">
        <f t="array" ref="A8">IFERROR(INDEX('Annex 2 EHV charges'!$D$10:$D$108, MATCH(0, IF(ISBLANK('Annex 2 EHV charges'!$D$10:$D$108),1, COUNTIF(A$4:$A7, 'Annex 2 EHV charges'!$D$10:$D$108)), 0)),"")</f>
        <v>ANMSTR</v>
      </c>
      <c r="B8" s="85">
        <f>IF($A8="","",VLOOKUP($A8,'Annex 2 EHV charges'!$D:$O,2,0))</f>
        <v>780</v>
      </c>
      <c r="C8" s="86">
        <f>IF($A8="","",VLOOKUP($A8,'Annex 2 EHV charges'!$D:$O,3,0))</f>
        <v>1900091919597</v>
      </c>
      <c r="D8" s="85" t="str">
        <f>IF($A8="","",VLOOKUP($A8,'Annex 2 EHV charges'!$D:$O,4,0))</f>
        <v>ANMSTR</v>
      </c>
      <c r="E8" s="87">
        <f>IFERROR(IF(VLOOKUP($A8,'Annex 2 EHV charges'!$D:$O,9,FALSE)=0,"",VLOOKUP($A8,'Annex 2 EHV charges'!$D:$O,9,FALSE)),"")</f>
        <v>-3.7749999999999999</v>
      </c>
      <c r="F8" s="88">
        <f>IFERROR(IF(VLOOKUP($A8,'Annex 2 EHV charges'!$D:$O,10,FALSE)=0,"",VLOOKUP($A8,'Annex 2 EHV charges'!$D:$O,10,FALSE)),"")</f>
        <v>966.53</v>
      </c>
      <c r="G8" s="89">
        <f>IFERROR(IF(VLOOKUP($A8,'Annex 2 EHV charges'!$D:$O,11,FALSE)=0,"",VLOOKUP($A8,'Annex 2 EHV charges'!$D:$O,11,FALSE)),"")</f>
        <v>0.05</v>
      </c>
      <c r="H8" s="89">
        <f>IFERROR(IF(VLOOKUP($A8,'Annex 2 EHV charges'!$D:$O,12,FALSE)=0,"",VLOOKUP($A8,'Annex 2 EHV charges'!$D:$O,12,FALSE)),"")</f>
        <v>0.05</v>
      </c>
    </row>
    <row r="9" spans="1:15" ht="12.75" customHeight="1" x14ac:dyDescent="0.2">
      <c r="A9" s="86" t="str">
        <f t="array" ref="A9">IFERROR(INDEX('Annex 2 EHV charges'!$D$10:$D$108, MATCH(0, IF(ISBLANK('Annex 2 EHV charges'!$D$10:$D$108),1, COUNTIF(A$4:$A8, 'Annex 2 EHV charges'!$D$10:$D$108)), 0)),"")</f>
        <v>ASHBYS</v>
      </c>
      <c r="B9" s="85">
        <f>IF($A9="","",VLOOKUP($A9,'Annex 2 EHV charges'!$D:$O,2,0))</f>
        <v>741</v>
      </c>
      <c r="C9" s="86">
        <f>IF($A9="","",VLOOKUP($A9,'Annex 2 EHV charges'!$D:$O,3,0))</f>
        <v>1900091216972</v>
      </c>
      <c r="D9" s="85" t="str">
        <f>IF($A9="","",VLOOKUP($A9,'Annex 2 EHV charges'!$D:$O,4,0))</f>
        <v>ASHBYS</v>
      </c>
      <c r="E9" s="87" t="str">
        <f>IFERROR(IF(VLOOKUP($A9,'Annex 2 EHV charges'!$D:$O,9,FALSE)=0,"",VLOOKUP($A9,'Annex 2 EHV charges'!$D:$O,9,FALSE)),"")</f>
        <v/>
      </c>
      <c r="F9" s="88">
        <f>IFERROR(IF(VLOOKUP($A9,'Annex 2 EHV charges'!$D:$O,10,FALSE)=0,"",VLOOKUP($A9,'Annex 2 EHV charges'!$D:$O,10,FALSE)),"")</f>
        <v>992.65</v>
      </c>
      <c r="G9" s="89">
        <f>IFERROR(IF(VLOOKUP($A9,'Annex 2 EHV charges'!$D:$O,11,FALSE)=0,"",VLOOKUP($A9,'Annex 2 EHV charges'!$D:$O,11,FALSE)),"")</f>
        <v>0.05</v>
      </c>
      <c r="H9" s="89">
        <f>IFERROR(IF(VLOOKUP($A9,'Annex 2 EHV charges'!$D:$O,12,FALSE)=0,"",VLOOKUP($A9,'Annex 2 EHV charges'!$D:$O,12,FALSE)),"")</f>
        <v>0.05</v>
      </c>
    </row>
    <row r="10" spans="1:15" ht="12.75" customHeight="1" x14ac:dyDescent="0.2">
      <c r="A10" s="86" t="str">
        <f t="array" ref="A10">IFERROR(INDEX('Annex 2 EHV charges'!$D$10:$D$108, MATCH(0, IF(ISBLANK('Annex 2 EHV charges'!$D$10:$D$108),1, COUNTIF(A$4:$A9, 'Annex 2 EHV charges'!$D$10:$D$108)), 0)),"")</f>
        <v>ASHGEN</v>
      </c>
      <c r="B10" s="85">
        <f>IF($A10="","",VLOOKUP($A10,'Annex 2 EHV charges'!$D:$O,2,0))</f>
        <v>734</v>
      </c>
      <c r="C10" s="86">
        <f>IF($A10="","",VLOOKUP($A10,'Annex 2 EHV charges'!$D:$O,3,0))</f>
        <v>1900090978875</v>
      </c>
      <c r="D10" s="85" t="str">
        <f>IF($A10="","",VLOOKUP($A10,'Annex 2 EHV charges'!$D:$O,4,0))</f>
        <v>ASHGEN</v>
      </c>
      <c r="E10" s="87" t="str">
        <f>IFERROR(IF(VLOOKUP($A10,'Annex 2 EHV charges'!$D:$O,9,FALSE)=0,"",VLOOKUP($A10,'Annex 2 EHV charges'!$D:$O,9,FALSE)),"")</f>
        <v/>
      </c>
      <c r="F10" s="88">
        <f>IFERROR(IF(VLOOKUP($A10,'Annex 2 EHV charges'!$D:$O,10,FALSE)=0,"",VLOOKUP($A10,'Annex 2 EHV charges'!$D:$O,10,FALSE)),"")</f>
        <v>2785.77</v>
      </c>
      <c r="G10" s="89">
        <f>IFERROR(IF(VLOOKUP($A10,'Annex 2 EHV charges'!$D:$O,11,FALSE)=0,"",VLOOKUP($A10,'Annex 2 EHV charges'!$D:$O,11,FALSE)),"")</f>
        <v>0.05</v>
      </c>
      <c r="H10" s="89">
        <f>IFERROR(IF(VLOOKUP($A10,'Annex 2 EHV charges'!$D:$O,12,FALSE)=0,"",VLOOKUP($A10,'Annex 2 EHV charges'!$D:$O,12,FALSE)),"")</f>
        <v>0.05</v>
      </c>
    </row>
    <row r="11" spans="1:15" ht="12.75" customHeight="1" x14ac:dyDescent="0.2">
      <c r="A11" s="86" t="str">
        <f t="array" ref="A11">IFERROR(INDEX('Annex 2 EHV charges'!$D$10:$D$108, MATCH(0, IF(ISBLANK('Annex 2 EHV charges'!$D$10:$D$108),1, COUNTIF(A$4:$A10, 'Annex 2 EHV charges'!$D$10:$D$108)), 0)),"")</f>
        <v>AYLESF</v>
      </c>
      <c r="B11" s="85">
        <f>IF($A11="","",VLOOKUP($A11,'Annex 2 EHV charges'!$D:$O,2,0))</f>
        <v>725</v>
      </c>
      <c r="C11" s="86">
        <f>IF($A11="","",VLOOKUP($A11,'Annex 2 EHV charges'!$D:$O,3,0))</f>
        <v>1900060436880</v>
      </c>
      <c r="D11" s="85" t="str">
        <f>IF($A11="","",VLOOKUP($A11,'Annex 2 EHV charges'!$D:$O,4,0))</f>
        <v>AYLESF</v>
      </c>
      <c r="E11" s="87" t="str">
        <f>IFERROR(IF(VLOOKUP($A11,'Annex 2 EHV charges'!$D:$O,9,FALSE)=0,"",VLOOKUP($A11,'Annex 2 EHV charges'!$D:$O,9,FALSE)),"")</f>
        <v/>
      </c>
      <c r="F11" s="88" t="str">
        <f>IFERROR(IF(VLOOKUP($A11,'Annex 2 EHV charges'!$D:$O,10,FALSE)=0,"",VLOOKUP($A11,'Annex 2 EHV charges'!$D:$O,10,FALSE)),"")</f>
        <v/>
      </c>
      <c r="G11" s="89" t="str">
        <f>IFERROR(IF(VLOOKUP($A11,'Annex 2 EHV charges'!$D:$O,11,FALSE)=0,"",VLOOKUP($A11,'Annex 2 EHV charges'!$D:$O,11,FALSE)),"")</f>
        <v/>
      </c>
      <c r="H11" s="89" t="str">
        <f>IFERROR(IF(VLOOKUP($A11,'Annex 2 EHV charges'!$D:$O,12,FALSE)=0,"",VLOOKUP($A11,'Annex 2 EHV charges'!$D:$O,12,FALSE)),"")</f>
        <v/>
      </c>
    </row>
    <row r="12" spans="1:15" ht="12.75" customHeight="1" x14ac:dyDescent="0.2">
      <c r="A12" s="86" t="str">
        <f t="array" ref="A12">IFERROR(INDEX('Annex 2 EHV charges'!$D$10:$D$108, MATCH(0, IF(ISBLANK('Annex 2 EHV charges'!$D$10:$D$108),1, COUNTIF(A$4:$A11, 'Annex 2 EHV charges'!$D$10:$D$108)), 0)),"")</f>
        <v>BEDERF</v>
      </c>
      <c r="B12" s="85">
        <f>IF($A12="","",VLOOKUP($A12,'Annex 2 EHV charges'!$D:$O,2,0))</f>
        <v>693</v>
      </c>
      <c r="C12" s="86">
        <f>IF($A12="","",VLOOKUP($A12,'Annex 2 EHV charges'!$D:$O,3,0))</f>
        <v>1900091482597</v>
      </c>
      <c r="D12" s="85" t="str">
        <f>IF($A12="","",VLOOKUP($A12,'Annex 2 EHV charges'!$D:$O,4,0))</f>
        <v>BEDERF</v>
      </c>
      <c r="E12" s="87" t="str">
        <f>IFERROR(IF(VLOOKUP($A12,'Annex 2 EHV charges'!$D:$O,9,FALSE)=0,"",VLOOKUP($A12,'Annex 2 EHV charges'!$D:$O,9,FALSE)),"")</f>
        <v/>
      </c>
      <c r="F12" s="88">
        <f>IFERROR(IF(VLOOKUP($A12,'Annex 2 EHV charges'!$D:$O,10,FALSE)=0,"",VLOOKUP($A12,'Annex 2 EHV charges'!$D:$O,10,FALSE)),"")</f>
        <v>2433.31</v>
      </c>
      <c r="G12" s="89">
        <f>IFERROR(IF(VLOOKUP($A12,'Annex 2 EHV charges'!$D:$O,11,FALSE)=0,"",VLOOKUP($A12,'Annex 2 EHV charges'!$D:$O,11,FALSE)),"")</f>
        <v>0.05</v>
      </c>
      <c r="H12" s="89">
        <f>IFERROR(IF(VLOOKUP($A12,'Annex 2 EHV charges'!$D:$O,12,FALSE)=0,"",VLOOKUP($A12,'Annex 2 EHV charges'!$D:$O,12,FALSE)),"")</f>
        <v>0.05</v>
      </c>
    </row>
    <row r="13" spans="1:15" ht="12.75" customHeight="1" x14ac:dyDescent="0.2">
      <c r="A13" s="86" t="str">
        <f t="array" ref="A13">IFERROR(INDEX('Annex 2 EHV charges'!$D$10:$D$108, MATCH(0, IF(ISBLANK('Annex 2 EHV charges'!$D$10:$D$108),1, COUNTIF(A$4:$A12, 'Annex 2 EHV charges'!$D$10:$D$108)), 0)),"")</f>
        <v>BESAYL</v>
      </c>
      <c r="B13" s="85">
        <f>IF($A13="","",VLOOKUP($A13,'Annex 2 EHV charges'!$D:$O,2,0))</f>
        <v>694</v>
      </c>
      <c r="C13" s="86">
        <f>IF($A13="","",VLOOKUP($A13,'Annex 2 EHV charges'!$D:$O,3,0))</f>
        <v>1900091632784</v>
      </c>
      <c r="D13" s="85" t="str">
        <f>IF($A13="","",VLOOKUP($A13,'Annex 2 EHV charges'!$D:$O,4,0))</f>
        <v>BESAYL</v>
      </c>
      <c r="E13" s="87">
        <f>IFERROR(IF(VLOOKUP($A13,'Annex 2 EHV charges'!$D:$O,9,FALSE)=0,"",VLOOKUP($A13,'Annex 2 EHV charges'!$D:$O,9,FALSE)),"")</f>
        <v>-5.0999999999999997E-2</v>
      </c>
      <c r="F13" s="88">
        <f>IFERROR(IF(VLOOKUP($A13,'Annex 2 EHV charges'!$D:$O,10,FALSE)=0,"",VLOOKUP($A13,'Annex 2 EHV charges'!$D:$O,10,FALSE)),"")</f>
        <v>349.22</v>
      </c>
      <c r="G13" s="89">
        <f>IFERROR(IF(VLOOKUP($A13,'Annex 2 EHV charges'!$D:$O,11,FALSE)=0,"",VLOOKUP($A13,'Annex 2 EHV charges'!$D:$O,11,FALSE)),"")</f>
        <v>0.05</v>
      </c>
      <c r="H13" s="89">
        <f>IFERROR(IF(VLOOKUP($A13,'Annex 2 EHV charges'!$D:$O,12,FALSE)=0,"",VLOOKUP($A13,'Annex 2 EHV charges'!$D:$O,12,FALSE)),"")</f>
        <v>0.05</v>
      </c>
    </row>
    <row r="14" spans="1:15" ht="12.75" customHeight="1" x14ac:dyDescent="0.2">
      <c r="A14" s="86" t="str">
        <f t="array" ref="A14">IFERROR(INDEX('Annex 2 EHV charges'!$D$10:$D$108, MATCH(0, IF(ISBLANK('Annex 2 EHV charges'!$D$10:$D$108),1, COUNTIF(A$4:$A13, 'Annex 2 EHV charges'!$D$10:$D$108)), 0)),"")</f>
        <v>BNTLEY</v>
      </c>
      <c r="B14" s="85">
        <f>IF($A14="","",VLOOKUP($A14,'Annex 2 EHV charges'!$D:$O,2,0))</f>
        <v>713</v>
      </c>
      <c r="C14" s="86">
        <f>IF($A14="","",VLOOKUP($A14,'Annex 2 EHV charges'!$D:$O,3,0))</f>
        <v>1900091343787</v>
      </c>
      <c r="D14" s="85" t="str">
        <f>IF($A14="","",VLOOKUP($A14,'Annex 2 EHV charges'!$D:$O,4,0))</f>
        <v>BNTLEY</v>
      </c>
      <c r="E14" s="87" t="str">
        <f>IFERROR(IF(VLOOKUP($A14,'Annex 2 EHV charges'!$D:$O,9,FALSE)=0,"",VLOOKUP($A14,'Annex 2 EHV charges'!$D:$O,9,FALSE)),"")</f>
        <v/>
      </c>
      <c r="F14" s="88">
        <f>IFERROR(IF(VLOOKUP($A14,'Annex 2 EHV charges'!$D:$O,10,FALSE)=0,"",VLOOKUP($A14,'Annex 2 EHV charges'!$D:$O,10,FALSE)),"")</f>
        <v>875.64</v>
      </c>
      <c r="G14" s="89">
        <f>IFERROR(IF(VLOOKUP($A14,'Annex 2 EHV charges'!$D:$O,11,FALSE)=0,"",VLOOKUP($A14,'Annex 2 EHV charges'!$D:$O,11,FALSE)),"")</f>
        <v>0.05</v>
      </c>
      <c r="H14" s="89">
        <f>IFERROR(IF(VLOOKUP($A14,'Annex 2 EHV charges'!$D:$O,12,FALSE)=0,"",VLOOKUP($A14,'Annex 2 EHV charges'!$D:$O,12,FALSE)),"")</f>
        <v>0.05</v>
      </c>
    </row>
    <row r="15" spans="1:15" ht="12.75" customHeight="1" x14ac:dyDescent="0.2">
      <c r="A15" s="86" t="str">
        <f t="array" ref="A15">IFERROR(INDEX('Annex 2 EHV charges'!$D$10:$D$108, MATCH(0, IF(ISBLANK('Annex 2 EHV charges'!$D$10:$D$108),1, COUNTIF(A$4:$A14, 'Annex 2 EHV charges'!$D$10:$D$108)), 0)),"")</f>
        <v>BNTLY2</v>
      </c>
      <c r="B15" s="85">
        <f>IF($A15="","",VLOOKUP($A15,'Annex 2 EHV charges'!$D:$O,2,0))</f>
        <v>712</v>
      </c>
      <c r="C15" s="86">
        <f>IF($A15="","",VLOOKUP($A15,'Annex 2 EHV charges'!$D:$O,3,0))</f>
        <v>1900091463655</v>
      </c>
      <c r="D15" s="85" t="str">
        <f>IF($A15="","",VLOOKUP($A15,'Annex 2 EHV charges'!$D:$O,4,0))</f>
        <v>BNTLY2</v>
      </c>
      <c r="E15" s="87" t="str">
        <f>IFERROR(IF(VLOOKUP($A15,'Annex 2 EHV charges'!$D:$O,9,FALSE)=0,"",VLOOKUP($A15,'Annex 2 EHV charges'!$D:$O,9,FALSE)),"")</f>
        <v/>
      </c>
      <c r="F15" s="88">
        <f>IFERROR(IF(VLOOKUP($A15,'Annex 2 EHV charges'!$D:$O,10,FALSE)=0,"",VLOOKUP($A15,'Annex 2 EHV charges'!$D:$O,10,FALSE)),"")</f>
        <v>560.55999999999995</v>
      </c>
      <c r="G15" s="89">
        <f>IFERROR(IF(VLOOKUP($A15,'Annex 2 EHV charges'!$D:$O,11,FALSE)=0,"",VLOOKUP($A15,'Annex 2 EHV charges'!$D:$O,11,FALSE)),"")</f>
        <v>0.05</v>
      </c>
      <c r="H15" s="89">
        <f>IFERROR(IF(VLOOKUP($A15,'Annex 2 EHV charges'!$D:$O,12,FALSE)=0,"",VLOOKUP($A15,'Annex 2 EHV charges'!$D:$O,12,FALSE)),"")</f>
        <v>0.05</v>
      </c>
    </row>
    <row r="16" spans="1:15" ht="12.75" customHeight="1" x14ac:dyDescent="0.2">
      <c r="A16" s="86" t="str">
        <f t="array" ref="A16">IFERROR(INDEX('Annex 2 EHV charges'!$D$10:$D$108, MATCH(0, IF(ISBLANK('Annex 2 EHV charges'!$D$10:$D$108),1, COUNTIF(A$4:$A15, 'Annex 2 EHV charges'!$D$10:$D$108)), 0)),"")</f>
        <v>BOBBNG</v>
      </c>
      <c r="B16" s="85">
        <f>IF($A16="","",VLOOKUP($A16,'Annex 2 EHV charges'!$D:$O,2,0))</f>
        <v>705</v>
      </c>
      <c r="C16" s="86">
        <f>IF($A16="","",VLOOKUP($A16,'Annex 2 EHV charges'!$D:$O,3,0))</f>
        <v>1900091395517</v>
      </c>
      <c r="D16" s="85" t="str">
        <f>IF($A16="","",VLOOKUP($A16,'Annex 2 EHV charges'!$D:$O,4,0))</f>
        <v>BOBBNG</v>
      </c>
      <c r="E16" s="87" t="str">
        <f>IFERROR(IF(VLOOKUP($A16,'Annex 2 EHV charges'!$D:$O,9,FALSE)=0,"",VLOOKUP($A16,'Annex 2 EHV charges'!$D:$O,9,FALSE)),"")</f>
        <v/>
      </c>
      <c r="F16" s="88">
        <f>IFERROR(IF(VLOOKUP($A16,'Annex 2 EHV charges'!$D:$O,10,FALSE)=0,"",VLOOKUP($A16,'Annex 2 EHV charges'!$D:$O,10,FALSE)),"")</f>
        <v>950.18</v>
      </c>
      <c r="G16" s="89">
        <f>IFERROR(IF(VLOOKUP($A16,'Annex 2 EHV charges'!$D:$O,11,FALSE)=0,"",VLOOKUP($A16,'Annex 2 EHV charges'!$D:$O,11,FALSE)),"")</f>
        <v>0.05</v>
      </c>
      <c r="H16" s="89">
        <f>IFERROR(IF(VLOOKUP($A16,'Annex 2 EHV charges'!$D:$O,12,FALSE)=0,"",VLOOKUP($A16,'Annex 2 EHV charges'!$D:$O,12,FALSE)),"")</f>
        <v>0.05</v>
      </c>
    </row>
    <row r="17" spans="1:8" ht="12.75" customHeight="1" x14ac:dyDescent="0.2">
      <c r="A17" s="86" t="str">
        <f t="array" ref="A17">IFERROR(INDEX('Annex 2 EHV charges'!$D$10:$D$108, MATCH(0, IF(ISBLANK('Annex 2 EHV charges'!$D$10:$D$108),1, COUNTIF(A$4:$A16, 'Annex 2 EHV charges'!$D$10:$D$108)), 0)),"")</f>
        <v>BRAMBS</v>
      </c>
      <c r="B17" s="85">
        <f>IF($A17="","",VLOOKUP($A17,'Annex 2 EHV charges'!$D:$O,2,0))</f>
        <v>695</v>
      </c>
      <c r="C17" s="86">
        <f>IF($A17="","",VLOOKUP($A17,'Annex 2 EHV charges'!$D:$O,3,0))</f>
        <v>1900091566820</v>
      </c>
      <c r="D17" s="85" t="str">
        <f>IF($A17="","",VLOOKUP($A17,'Annex 2 EHV charges'!$D:$O,4,0))</f>
        <v>BRAMBS</v>
      </c>
      <c r="E17" s="87">
        <f>IFERROR(IF(VLOOKUP($A17,'Annex 2 EHV charges'!$D:$O,9,FALSE)=0,"",VLOOKUP($A17,'Annex 2 EHV charges'!$D:$O,9,FALSE)),"")</f>
        <v>-1.877</v>
      </c>
      <c r="F17" s="88">
        <f>IFERROR(IF(VLOOKUP($A17,'Annex 2 EHV charges'!$D:$O,10,FALSE)=0,"",VLOOKUP($A17,'Annex 2 EHV charges'!$D:$O,10,FALSE)),"")</f>
        <v>349.22</v>
      </c>
      <c r="G17" s="89">
        <f>IFERROR(IF(VLOOKUP($A17,'Annex 2 EHV charges'!$D:$O,11,FALSE)=0,"",VLOOKUP($A17,'Annex 2 EHV charges'!$D:$O,11,FALSE)),"")</f>
        <v>0.05</v>
      </c>
      <c r="H17" s="89">
        <f>IFERROR(IF(VLOOKUP($A17,'Annex 2 EHV charges'!$D:$O,12,FALSE)=0,"",VLOOKUP($A17,'Annex 2 EHV charges'!$D:$O,12,FALSE)),"")</f>
        <v>0.05</v>
      </c>
    </row>
    <row r="18" spans="1:8" ht="12.75" customHeight="1" x14ac:dyDescent="0.2">
      <c r="A18" s="86" t="str">
        <f t="array" ref="A18">IFERROR(INDEX('Annex 2 EHV charges'!$D$10:$D$108, MATCH(0, IF(ISBLANK('Annex 2 EHV charges'!$D$10:$D$108),1, COUNTIF(A$4:$A17, 'Annex 2 EHV charges'!$D$10:$D$108)), 0)),"")</f>
        <v>BRELLE</v>
      </c>
      <c r="B18" s="85">
        <f>IF($A18="","",VLOOKUP($A18,'Annex 2 EHV charges'!$D:$O,2,0))</f>
        <v>696</v>
      </c>
      <c r="C18" s="86">
        <f>IF($A18="","",VLOOKUP($A18,'Annex 2 EHV charges'!$D:$O,3,0))</f>
        <v>1900091523125</v>
      </c>
      <c r="D18" s="85" t="str">
        <f>IF($A18="","",VLOOKUP($A18,'Annex 2 EHV charges'!$D:$O,4,0))</f>
        <v>BRELLE</v>
      </c>
      <c r="E18" s="87">
        <f>IFERROR(IF(VLOOKUP($A18,'Annex 2 EHV charges'!$D:$O,9,FALSE)=0,"",VLOOKUP($A18,'Annex 2 EHV charges'!$D:$O,9,FALSE)),"")</f>
        <v>-0.38600000000000001</v>
      </c>
      <c r="F18" s="88">
        <f>IFERROR(IF(VLOOKUP($A18,'Annex 2 EHV charges'!$D:$O,10,FALSE)=0,"",VLOOKUP($A18,'Annex 2 EHV charges'!$D:$O,10,FALSE)),"")</f>
        <v>728.42</v>
      </c>
      <c r="G18" s="89">
        <f>IFERROR(IF(VLOOKUP($A18,'Annex 2 EHV charges'!$D:$O,11,FALSE)=0,"",VLOOKUP($A18,'Annex 2 EHV charges'!$D:$O,11,FALSE)),"")</f>
        <v>0.05</v>
      </c>
      <c r="H18" s="89">
        <f>IFERROR(IF(VLOOKUP($A18,'Annex 2 EHV charges'!$D:$O,12,FALSE)=0,"",VLOOKUP($A18,'Annex 2 EHV charges'!$D:$O,12,FALSE)),"")</f>
        <v>0.05</v>
      </c>
    </row>
    <row r="19" spans="1:8" ht="12.75" customHeight="1" x14ac:dyDescent="0.2">
      <c r="A19" s="86" t="str">
        <f t="array" ref="A19">IFERROR(INDEX('Annex 2 EHV charges'!$D$10:$D$108, MATCH(0, IF(ISBLANK('Annex 2 EHV charges'!$D$10:$D$108),1, COUNTIF(A$4:$A18, 'Annex 2 EHV charges'!$D$10:$D$108)), 0)),"")</f>
        <v>BRETSH</v>
      </c>
      <c r="B19" s="85">
        <f>IF($A19="","",VLOOKUP($A19,'Annex 2 EHV charges'!$D:$O,2,0))</f>
        <v>726</v>
      </c>
      <c r="C19" s="86" t="str">
        <f>IF($A19="","",VLOOKUP($A19,'Annex 2 EHV charges'!$D:$O,3,0))</f>
        <v>1900060866064
1900060866082</v>
      </c>
      <c r="D19" s="85" t="str">
        <f>IF($A19="","",VLOOKUP($A19,'Annex 2 EHV charges'!$D:$O,4,0))</f>
        <v>BRETSH</v>
      </c>
      <c r="E19" s="87" t="str">
        <f>IFERROR(IF(VLOOKUP($A19,'Annex 2 EHV charges'!$D:$O,9,FALSE)=0,"",VLOOKUP($A19,'Annex 2 EHV charges'!$D:$O,9,FALSE)),"")</f>
        <v/>
      </c>
      <c r="F19" s="88" t="str">
        <f>IFERROR(IF(VLOOKUP($A19,'Annex 2 EHV charges'!$D:$O,10,FALSE)=0,"",VLOOKUP($A19,'Annex 2 EHV charges'!$D:$O,10,FALSE)),"")</f>
        <v/>
      </c>
      <c r="G19" s="89" t="str">
        <f>IFERROR(IF(VLOOKUP($A19,'Annex 2 EHV charges'!$D:$O,11,FALSE)=0,"",VLOOKUP($A19,'Annex 2 EHV charges'!$D:$O,11,FALSE)),"")</f>
        <v/>
      </c>
      <c r="H19" s="89" t="str">
        <f>IFERROR(IF(VLOOKUP($A19,'Annex 2 EHV charges'!$D:$O,12,FALSE)=0,"",VLOOKUP($A19,'Annex 2 EHV charges'!$D:$O,12,FALSE)),"")</f>
        <v/>
      </c>
    </row>
    <row r="20" spans="1:8" ht="12.75" customHeight="1" x14ac:dyDescent="0.2">
      <c r="A20" s="86" t="str">
        <f t="array" ref="A20">IFERROR(INDEX('Annex 2 EHV charges'!$D$10:$D$108, MATCH(0, IF(ISBLANK('Annex 2 EHV charges'!$D$10:$D$108),1, COUNTIF(A$4:$A19, 'Annex 2 EHV charges'!$D$10:$D$108)), 0)),"")</f>
        <v>BRKHST</v>
      </c>
      <c r="B20" s="85">
        <f>IF($A20="","",VLOOKUP($A20,'Annex 2 EHV charges'!$D:$O,2,0))</f>
        <v>738</v>
      </c>
      <c r="C20" s="86">
        <f>IF($A20="","",VLOOKUP($A20,'Annex 2 EHV charges'!$D:$O,3,0))</f>
        <v>1900090834418</v>
      </c>
      <c r="D20" s="85" t="str">
        <f>IF($A20="","",VLOOKUP($A20,'Annex 2 EHV charges'!$D:$O,4,0))</f>
        <v>BRKHST</v>
      </c>
      <c r="E20" s="87">
        <f>IFERROR(IF(VLOOKUP($A20,'Annex 2 EHV charges'!$D:$O,9,FALSE)=0,"",VLOOKUP($A20,'Annex 2 EHV charges'!$D:$O,9,FALSE)),"")</f>
        <v>-0.95</v>
      </c>
      <c r="F20" s="88">
        <f>IFERROR(IF(VLOOKUP($A20,'Annex 2 EHV charges'!$D:$O,10,FALSE)=0,"",VLOOKUP($A20,'Annex 2 EHV charges'!$D:$O,10,FALSE)),"")</f>
        <v>4888.3100000000004</v>
      </c>
      <c r="G20" s="89">
        <f>IFERROR(IF(VLOOKUP($A20,'Annex 2 EHV charges'!$D:$O,11,FALSE)=0,"",VLOOKUP($A20,'Annex 2 EHV charges'!$D:$O,11,FALSE)),"")</f>
        <v>0.05</v>
      </c>
      <c r="H20" s="89">
        <f>IFERROR(IF(VLOOKUP($A20,'Annex 2 EHV charges'!$D:$O,12,FALSE)=0,"",VLOOKUP($A20,'Annex 2 EHV charges'!$D:$O,12,FALSE)),"")</f>
        <v>0.05</v>
      </c>
    </row>
    <row r="21" spans="1:8" ht="12.75" customHeight="1" x14ac:dyDescent="0.2">
      <c r="A21" s="86" t="str">
        <f t="array" ref="A21">IFERROR(INDEX('Annex 2 EHV charges'!$D$10:$D$108, MATCH(0, IF(ISBLANK('Annex 2 EHV charges'!$D$10:$D$108),1, COUNTIF(A$4:$A20, 'Annex 2 EHV charges'!$D$10:$D$108)), 0)),"")</f>
        <v>BTBRKS</v>
      </c>
      <c r="B21" s="85">
        <f>IF($A21="","",VLOOKUP($A21,'Annex 2 EHV charges'!$D:$O,2,0))</f>
        <v>742</v>
      </c>
      <c r="C21" s="86">
        <f>IF($A21="","",VLOOKUP($A21,'Annex 2 EHV charges'!$D:$O,3,0))</f>
        <v>1900091199379</v>
      </c>
      <c r="D21" s="85" t="str">
        <f>IF($A21="","",VLOOKUP($A21,'Annex 2 EHV charges'!$D:$O,4,0))</f>
        <v>BTBRKS</v>
      </c>
      <c r="E21" s="87" t="str">
        <f>IFERROR(IF(VLOOKUP($A21,'Annex 2 EHV charges'!$D:$O,9,FALSE)=0,"",VLOOKUP($A21,'Annex 2 EHV charges'!$D:$O,9,FALSE)),"")</f>
        <v/>
      </c>
      <c r="F21" s="88">
        <f>IFERROR(IF(VLOOKUP($A21,'Annex 2 EHV charges'!$D:$O,10,FALSE)=0,"",VLOOKUP($A21,'Annex 2 EHV charges'!$D:$O,10,FALSE)),"")</f>
        <v>1094.5899999999999</v>
      </c>
      <c r="G21" s="89">
        <f>IFERROR(IF(VLOOKUP($A21,'Annex 2 EHV charges'!$D:$O,11,FALSE)=0,"",VLOOKUP($A21,'Annex 2 EHV charges'!$D:$O,11,FALSE)),"")</f>
        <v>0.05</v>
      </c>
      <c r="H21" s="89">
        <f>IFERROR(IF(VLOOKUP($A21,'Annex 2 EHV charges'!$D:$O,12,FALSE)=0,"",VLOOKUP($A21,'Annex 2 EHV charges'!$D:$O,12,FALSE)),"")</f>
        <v>0.05</v>
      </c>
    </row>
    <row r="22" spans="1:8" ht="12.75" customHeight="1" x14ac:dyDescent="0.2">
      <c r="A22" s="86" t="str">
        <f t="array" ref="A22">IFERROR(INDEX('Annex 2 EHV charges'!$D$10:$D$108, MATCH(0, IF(ISBLANK('Annex 2 EHV charges'!$D$10:$D$108),1, COUNTIF(A$4:$A21, 'Annex 2 EHV charges'!$D$10:$D$108)), 0)),"")</f>
        <v>CAPELG</v>
      </c>
      <c r="B22" s="85">
        <f>IF($A22="","",VLOOKUP($A22,'Annex 2 EHV charges'!$D:$O,2,0))</f>
        <v>706</v>
      </c>
      <c r="C22" s="86">
        <f>IF($A22="","",VLOOKUP($A22,'Annex 2 EHV charges'!$D:$O,3,0))</f>
        <v>1900091353303</v>
      </c>
      <c r="D22" s="85" t="str">
        <f>IF($A22="","",VLOOKUP($A22,'Annex 2 EHV charges'!$D:$O,4,0))</f>
        <v>CAPELG</v>
      </c>
      <c r="E22" s="87" t="str">
        <f>IFERROR(IF(VLOOKUP($A22,'Annex 2 EHV charges'!$D:$O,9,FALSE)=0,"",VLOOKUP($A22,'Annex 2 EHV charges'!$D:$O,9,FALSE)),"")</f>
        <v/>
      </c>
      <c r="F22" s="88">
        <f>IFERROR(IF(VLOOKUP($A22,'Annex 2 EHV charges'!$D:$O,10,FALSE)=0,"",VLOOKUP($A22,'Annex 2 EHV charges'!$D:$O,10,FALSE)),"")</f>
        <v>710.39</v>
      </c>
      <c r="G22" s="89">
        <f>IFERROR(IF(VLOOKUP($A22,'Annex 2 EHV charges'!$D:$O,11,FALSE)=0,"",VLOOKUP($A22,'Annex 2 EHV charges'!$D:$O,11,FALSE)),"")</f>
        <v>0.05</v>
      </c>
      <c r="H22" s="89">
        <f>IFERROR(IF(VLOOKUP($A22,'Annex 2 EHV charges'!$D:$O,12,FALSE)=0,"",VLOOKUP($A22,'Annex 2 EHV charges'!$D:$O,12,FALSE)),"")</f>
        <v>0.05</v>
      </c>
    </row>
    <row r="23" spans="1:8" ht="12.75" customHeight="1" x14ac:dyDescent="0.2">
      <c r="A23" s="86" t="str">
        <f t="array" ref="A23">IFERROR(INDEX('Annex 2 EHV charges'!$D$10:$D$108, MATCH(0, IF(ISBLANK('Annex 2 EHV charges'!$D$10:$D$108),1, COUNTIF(A$4:$A22, 'Annex 2 EHV charges'!$D$10:$D$108)), 0)),"")</f>
        <v>CLYHLL</v>
      </c>
      <c r="B23" s="85">
        <f>IF($A23="","",VLOOKUP($A23,'Annex 2 EHV charges'!$D:$O,2,0))</f>
        <v>716</v>
      </c>
      <c r="C23" s="86">
        <f>IF($A23="","",VLOOKUP($A23,'Annex 2 EHV charges'!$D:$O,3,0))</f>
        <v>1900091343769</v>
      </c>
      <c r="D23" s="85" t="str">
        <f>IF($A23="","",VLOOKUP($A23,'Annex 2 EHV charges'!$D:$O,4,0))</f>
        <v>CLYHLL</v>
      </c>
      <c r="E23" s="87" t="str">
        <f>IFERROR(IF(VLOOKUP($A23,'Annex 2 EHV charges'!$D:$O,9,FALSE)=0,"",VLOOKUP($A23,'Annex 2 EHV charges'!$D:$O,9,FALSE)),"")</f>
        <v/>
      </c>
      <c r="F23" s="88">
        <f>IFERROR(IF(VLOOKUP($A23,'Annex 2 EHV charges'!$D:$O,10,FALSE)=0,"",VLOOKUP($A23,'Annex 2 EHV charges'!$D:$O,10,FALSE)),"")</f>
        <v>659.78</v>
      </c>
      <c r="G23" s="89">
        <f>IFERROR(IF(VLOOKUP($A23,'Annex 2 EHV charges'!$D:$O,11,FALSE)=0,"",VLOOKUP($A23,'Annex 2 EHV charges'!$D:$O,11,FALSE)),"")</f>
        <v>0.05</v>
      </c>
      <c r="H23" s="89">
        <f>IFERROR(IF(VLOOKUP($A23,'Annex 2 EHV charges'!$D:$O,12,FALSE)=0,"",VLOOKUP($A23,'Annex 2 EHV charges'!$D:$O,12,FALSE)),"")</f>
        <v>0.05</v>
      </c>
    </row>
    <row r="24" spans="1:8" ht="12.75" customHeight="1" x14ac:dyDescent="0.2">
      <c r="A24" s="86" t="str">
        <f t="array" ref="A24">IFERROR(INDEX('Annex 2 EHV charges'!$D$10:$D$108, MATCH(0, IF(ISBLANK('Annex 2 EHV charges'!$D$10:$D$108),1, COUNTIF(A$4:$A23, 'Annex 2 EHV charges'!$D$10:$D$108)), 0)),"")</f>
        <v>CRYENG</v>
      </c>
      <c r="B24" s="85">
        <f>IF($A24="","",VLOOKUP($A24,'Annex 2 EHV charges'!$D:$O,2,0))</f>
        <v>730</v>
      </c>
      <c r="C24" s="86">
        <f>IF($A24="","",VLOOKUP($A24,'Annex 2 EHV charges'!$D:$O,3,0))</f>
        <v>1900060831708</v>
      </c>
      <c r="D24" s="85" t="str">
        <f>IF($A24="","",VLOOKUP($A24,'Annex 2 EHV charges'!$D:$O,4,0))</f>
        <v>CRYENG</v>
      </c>
      <c r="E24" s="87">
        <f>IFERROR(IF(VLOOKUP($A24,'Annex 2 EHV charges'!$D:$O,9,FALSE)=0,"",VLOOKUP($A24,'Annex 2 EHV charges'!$D:$O,9,FALSE)),"")</f>
        <v>-4.0000000000000001E-3</v>
      </c>
      <c r="F24" s="88">
        <f>IFERROR(IF(VLOOKUP($A24,'Annex 2 EHV charges'!$D:$O,10,FALSE)=0,"",VLOOKUP($A24,'Annex 2 EHV charges'!$D:$O,10,FALSE)),"")</f>
        <v>302.14</v>
      </c>
      <c r="G24" s="89">
        <f>IFERROR(IF(VLOOKUP($A24,'Annex 2 EHV charges'!$D:$O,11,FALSE)=0,"",VLOOKUP($A24,'Annex 2 EHV charges'!$D:$O,11,FALSE)),"")</f>
        <v>0.05</v>
      </c>
      <c r="H24" s="89">
        <f>IFERROR(IF(VLOOKUP($A24,'Annex 2 EHV charges'!$D:$O,12,FALSE)=0,"",VLOOKUP($A24,'Annex 2 EHV charges'!$D:$O,12,FALSE)),"")</f>
        <v>0.05</v>
      </c>
    </row>
    <row r="25" spans="1:8" ht="12.75" customHeight="1" x14ac:dyDescent="0.2">
      <c r="A25" s="86" t="str">
        <f t="array" ref="A25">IFERROR(INDEX('Annex 2 EHV charges'!$D$10:$D$108, MATCH(0, IF(ISBLANK('Annex 2 EHV charges'!$D$10:$D$108),1, COUNTIF(A$4:$A24, 'Annex 2 EHV charges'!$D$10:$D$108)), 0)),"")</f>
        <v>DARENT</v>
      </c>
      <c r="B25" s="85">
        <f>IF($A25="","",VLOOKUP($A25,'Annex 2 EHV charges'!$D:$O,2,0))</f>
        <v>767</v>
      </c>
      <c r="C25" s="86">
        <f>IF($A25="","",VLOOKUP($A25,'Annex 2 EHV charges'!$D:$O,3,0))</f>
        <v>1900091057559</v>
      </c>
      <c r="D25" s="85" t="str">
        <f>IF($A25="","",VLOOKUP($A25,'Annex 2 EHV charges'!$D:$O,4,0))</f>
        <v>DARENT</v>
      </c>
      <c r="E25" s="87" t="str">
        <f>IFERROR(IF(VLOOKUP($A25,'Annex 2 EHV charges'!$D:$O,9,FALSE)=0,"",VLOOKUP($A25,'Annex 2 EHV charges'!$D:$O,9,FALSE)),"")</f>
        <v/>
      </c>
      <c r="F25" s="88">
        <f>IFERROR(IF(VLOOKUP($A25,'Annex 2 EHV charges'!$D:$O,10,FALSE)=0,"",VLOOKUP($A25,'Annex 2 EHV charges'!$D:$O,10,FALSE)),"")</f>
        <v>2010.65</v>
      </c>
      <c r="G25" s="89">
        <f>IFERROR(IF(VLOOKUP($A25,'Annex 2 EHV charges'!$D:$O,11,FALSE)=0,"",VLOOKUP($A25,'Annex 2 EHV charges'!$D:$O,11,FALSE)),"")</f>
        <v>0.05</v>
      </c>
      <c r="H25" s="89">
        <f>IFERROR(IF(VLOOKUP($A25,'Annex 2 EHV charges'!$D:$O,12,FALSE)=0,"",VLOOKUP($A25,'Annex 2 EHV charges'!$D:$O,12,FALSE)),"")</f>
        <v>0.05</v>
      </c>
    </row>
    <row r="26" spans="1:8" ht="12.75" customHeight="1" x14ac:dyDescent="0.2">
      <c r="A26" s="86" t="str">
        <f t="array" ref="A26">IFERROR(INDEX('Annex 2 EHV charges'!$D$10:$D$108, MATCH(0, IF(ISBLANK('Annex 2 EHV charges'!$D$10:$D$108),1, COUNTIF(A$4:$A25, 'Annex 2 EHV charges'!$D$10:$D$108)), 0)),"")</f>
        <v>DSCPRK</v>
      </c>
      <c r="B26" s="85">
        <f>IF($A26="","",VLOOKUP($A26,'Annex 2 EHV charges'!$D:$O,2,0))</f>
        <v>704</v>
      </c>
      <c r="C26" s="86">
        <f>IF($A26="","",VLOOKUP($A26,'Annex 2 EHV charges'!$D:$O,3,0))</f>
        <v>1900091637081</v>
      </c>
      <c r="D26" s="85" t="str">
        <f>IF($A26="","",VLOOKUP($A26,'Annex 2 EHV charges'!$D:$O,4,0))</f>
        <v>DSCPRK</v>
      </c>
      <c r="E26" s="87" t="str">
        <f>IFERROR(IF(VLOOKUP($A26,'Annex 2 EHV charges'!$D:$O,9,FALSE)=0,"",VLOOKUP($A26,'Annex 2 EHV charges'!$D:$O,9,FALSE)),"")</f>
        <v/>
      </c>
      <c r="F26" s="88">
        <f>IFERROR(IF(VLOOKUP($A26,'Annex 2 EHV charges'!$D:$O,10,FALSE)=0,"",VLOOKUP($A26,'Annex 2 EHV charges'!$D:$O,10,FALSE)),"")</f>
        <v>1227.8499999999999</v>
      </c>
      <c r="G26" s="89">
        <f>IFERROR(IF(VLOOKUP($A26,'Annex 2 EHV charges'!$D:$O,11,FALSE)=0,"",VLOOKUP($A26,'Annex 2 EHV charges'!$D:$O,11,FALSE)),"")</f>
        <v>0.05</v>
      </c>
      <c r="H26" s="89">
        <f>IFERROR(IF(VLOOKUP($A26,'Annex 2 EHV charges'!$D:$O,12,FALSE)=0,"",VLOOKUP($A26,'Annex 2 EHV charges'!$D:$O,12,FALSE)),"")</f>
        <v>0.05</v>
      </c>
    </row>
    <row r="27" spans="1:8" ht="12.75" customHeight="1" x14ac:dyDescent="0.2">
      <c r="A27" s="86" t="str">
        <f t="array" ref="A27">IFERROR(INDEX('Annex 2 EHV charges'!$D$10:$D$108, MATCH(0, IF(ISBLANK('Annex 2 EHV charges'!$D$10:$D$108),1, COUNTIF(A$4:$A26, 'Annex 2 EHV charges'!$D$10:$D$108)), 0)),"")</f>
        <v>FORDSF</v>
      </c>
      <c r="B27" s="85">
        <f>IF($A27="","",VLOOKUP($A27,'Annex 2 EHV charges'!$D:$O,2,0))</f>
        <v>707</v>
      </c>
      <c r="C27" s="86">
        <f>IF($A27="","",VLOOKUP($A27,'Annex 2 EHV charges'!$D:$O,3,0))</f>
        <v>1900091361971</v>
      </c>
      <c r="D27" s="85" t="str">
        <f>IF($A27="","",VLOOKUP($A27,'Annex 2 EHV charges'!$D:$O,4,0))</f>
        <v>FORDSF</v>
      </c>
      <c r="E27" s="87" t="str">
        <f>IFERROR(IF(VLOOKUP($A27,'Annex 2 EHV charges'!$D:$O,9,FALSE)=0,"",VLOOKUP($A27,'Annex 2 EHV charges'!$D:$O,9,FALSE)),"")</f>
        <v/>
      </c>
      <c r="F27" s="88">
        <f>IFERROR(IF(VLOOKUP($A27,'Annex 2 EHV charges'!$D:$O,10,FALSE)=0,"",VLOOKUP($A27,'Annex 2 EHV charges'!$D:$O,10,FALSE)),"")</f>
        <v>654.91999999999996</v>
      </c>
      <c r="G27" s="89">
        <f>IFERROR(IF(VLOOKUP($A27,'Annex 2 EHV charges'!$D:$O,11,FALSE)=0,"",VLOOKUP($A27,'Annex 2 EHV charges'!$D:$O,11,FALSE)),"")</f>
        <v>0.05</v>
      </c>
      <c r="H27" s="89">
        <f>IFERROR(IF(VLOOKUP($A27,'Annex 2 EHV charges'!$D:$O,12,FALSE)=0,"",VLOOKUP($A27,'Annex 2 EHV charges'!$D:$O,12,FALSE)),"")</f>
        <v>0.05</v>
      </c>
    </row>
    <row r="28" spans="1:8" ht="12.75" customHeight="1" x14ac:dyDescent="0.2">
      <c r="A28" s="86" t="str">
        <f t="array" ref="A28">IFERROR(INDEX('Annex 2 EHV charges'!$D$10:$D$108, MATCH(0, IF(ISBLANK('Annex 2 EHV charges'!$D$10:$D$108),1, COUNTIF(A$4:$A27, 'Annex 2 EHV charges'!$D$10:$D$108)), 0)),"")</f>
        <v>FRWOOD</v>
      </c>
      <c r="B28" s="85">
        <f>IF($A28="","",VLOOKUP($A28,'Annex 2 EHV charges'!$D:$O,2,0))</f>
        <v>743</v>
      </c>
      <c r="C28" s="86">
        <f>IF($A28="","",VLOOKUP($A28,'Annex 2 EHV charges'!$D:$O,3,0))</f>
        <v>1900091200397</v>
      </c>
      <c r="D28" s="85" t="str">
        <f>IF($A28="","",VLOOKUP($A28,'Annex 2 EHV charges'!$D:$O,4,0))</f>
        <v>FRWOOD</v>
      </c>
      <c r="E28" s="87" t="str">
        <f>IFERROR(IF(VLOOKUP($A28,'Annex 2 EHV charges'!$D:$O,9,FALSE)=0,"",VLOOKUP($A28,'Annex 2 EHV charges'!$D:$O,9,FALSE)),"")</f>
        <v/>
      </c>
      <c r="F28" s="88">
        <f>IFERROR(IF(VLOOKUP($A28,'Annex 2 EHV charges'!$D:$O,10,FALSE)=0,"",VLOOKUP($A28,'Annex 2 EHV charges'!$D:$O,10,FALSE)),"")</f>
        <v>904.77</v>
      </c>
      <c r="G28" s="89">
        <f>IFERROR(IF(VLOOKUP($A28,'Annex 2 EHV charges'!$D:$O,11,FALSE)=0,"",VLOOKUP($A28,'Annex 2 EHV charges'!$D:$O,11,FALSE)),"")</f>
        <v>0.05</v>
      </c>
      <c r="H28" s="89">
        <f>IFERROR(IF(VLOOKUP($A28,'Annex 2 EHV charges'!$D:$O,12,FALSE)=0,"",VLOOKUP($A28,'Annex 2 EHV charges'!$D:$O,12,FALSE)),"")</f>
        <v>0.05</v>
      </c>
    </row>
    <row r="29" spans="1:8" ht="12.75" customHeight="1" x14ac:dyDescent="0.2">
      <c r="A29" s="86" t="str">
        <f t="array" ref="A29">IFERROR(INDEX('Annex 2 EHV charges'!$D$10:$D$108, MATCH(0, IF(ISBLANK('Annex 2 EHV charges'!$D$10:$D$108),1, COUNTIF(A$4:$A28, 'Annex 2 EHV charges'!$D$10:$D$108)), 0)),"")</f>
        <v>GLASSN</v>
      </c>
      <c r="B29" s="85">
        <f>IF($A29="","",VLOOKUP($A29,'Annex 2 EHV charges'!$D:$O,2,0))</f>
        <v>697</v>
      </c>
      <c r="C29" s="86" t="str">
        <f>IF($A29="","",VLOOKUP($A29,'Annex 2 EHV charges'!$D:$O,3,0))</f>
        <v>1900091523310
1900092037980</v>
      </c>
      <c r="D29" s="85" t="str">
        <f>IF($A29="","",VLOOKUP($A29,'Annex 2 EHV charges'!$D:$O,4,0))</f>
        <v>GLASSN</v>
      </c>
      <c r="E29" s="87" t="str">
        <f>IFERROR(IF(VLOOKUP($A29,'Annex 2 EHV charges'!$D:$O,9,FALSE)=0,"",VLOOKUP($A29,'Annex 2 EHV charges'!$D:$O,9,FALSE)),"")</f>
        <v/>
      </c>
      <c r="F29" s="88">
        <f>IFERROR(IF(VLOOKUP($A29,'Annex 2 EHV charges'!$D:$O,10,FALSE)=0,"",VLOOKUP($A29,'Annex 2 EHV charges'!$D:$O,10,FALSE)),"")</f>
        <v>388.13</v>
      </c>
      <c r="G29" s="89">
        <f>IFERROR(IF(VLOOKUP($A29,'Annex 2 EHV charges'!$D:$O,11,FALSE)=0,"",VLOOKUP($A29,'Annex 2 EHV charges'!$D:$O,11,FALSE)),"")</f>
        <v>0.05</v>
      </c>
      <c r="H29" s="89">
        <f>IFERROR(IF(VLOOKUP($A29,'Annex 2 EHV charges'!$D:$O,12,FALSE)=0,"",VLOOKUP($A29,'Annex 2 EHV charges'!$D:$O,12,FALSE)),"")</f>
        <v>0.05</v>
      </c>
    </row>
    <row r="30" spans="1:8" ht="12.75" customHeight="1" x14ac:dyDescent="0.2">
      <c r="A30" s="86" t="str">
        <f t="array" ref="A30">IFERROR(INDEX('Annex 2 EHV charges'!$D$10:$D$108, MATCH(0, IF(ISBLANK('Annex 2 EHV charges'!$D$10:$D$108),1, COUNTIF(A$4:$A29, 'Annex 2 EHV charges'!$D$10:$D$108)), 0)),"")</f>
        <v>GROVEH</v>
      </c>
      <c r="B30" s="85">
        <f>IF($A30="","",VLOOKUP($A30,'Annex 2 EHV charges'!$D:$O,2,0))</f>
        <v>727</v>
      </c>
      <c r="C30" s="86">
        <f>IF($A30="","",VLOOKUP($A30,'Annex 2 EHV charges'!$D:$O,3,0))</f>
        <v>1900060225194</v>
      </c>
      <c r="D30" s="85" t="str">
        <f>IF($A30="","",VLOOKUP($A30,'Annex 2 EHV charges'!$D:$O,4,0))</f>
        <v>GROVEH</v>
      </c>
      <c r="E30" s="87" t="str">
        <f>IFERROR(IF(VLOOKUP($A30,'Annex 2 EHV charges'!$D:$O,9,FALSE)=0,"",VLOOKUP($A30,'Annex 2 EHV charges'!$D:$O,9,FALSE)),"")</f>
        <v/>
      </c>
      <c r="F30" s="88" t="str">
        <f>IFERROR(IF(VLOOKUP($A30,'Annex 2 EHV charges'!$D:$O,10,FALSE)=0,"",VLOOKUP($A30,'Annex 2 EHV charges'!$D:$O,10,FALSE)),"")</f>
        <v/>
      </c>
      <c r="G30" s="89" t="str">
        <f>IFERROR(IF(VLOOKUP($A30,'Annex 2 EHV charges'!$D:$O,11,FALSE)=0,"",VLOOKUP($A30,'Annex 2 EHV charges'!$D:$O,11,FALSE)),"")</f>
        <v/>
      </c>
      <c r="H30" s="89" t="str">
        <f>IFERROR(IF(VLOOKUP($A30,'Annex 2 EHV charges'!$D:$O,12,FALSE)=0,"",VLOOKUP($A30,'Annex 2 EHV charges'!$D:$O,12,FALSE)),"")</f>
        <v/>
      </c>
    </row>
    <row r="31" spans="1:8" ht="12.75" customHeight="1" x14ac:dyDescent="0.2">
      <c r="A31" s="86" t="str">
        <f t="array" ref="A31">IFERROR(INDEX('Annex 2 EHV charges'!$D$10:$D$108, MATCH(0, IF(ISBLANK('Annex 2 EHV charges'!$D$10:$D$108),1, COUNTIF(A$4:$A30, 'Annex 2 EHV charges'!$D$10:$D$108)), 0)),"")</f>
        <v>GUSTON</v>
      </c>
      <c r="B31" s="85">
        <f>IF($A31="","",VLOOKUP($A31,'Annex 2 EHV charges'!$D:$O,2,0))</f>
        <v>708</v>
      </c>
      <c r="C31" s="86">
        <f>IF($A31="","",VLOOKUP($A31,'Annex 2 EHV charges'!$D:$O,3,0))</f>
        <v>1900091338059</v>
      </c>
      <c r="D31" s="85" t="str">
        <f>IF($A31="","",VLOOKUP($A31,'Annex 2 EHV charges'!$D:$O,4,0))</f>
        <v>GUSTON</v>
      </c>
      <c r="E31" s="87" t="str">
        <f>IFERROR(IF(VLOOKUP($A31,'Annex 2 EHV charges'!$D:$O,9,FALSE)=0,"",VLOOKUP($A31,'Annex 2 EHV charges'!$D:$O,9,FALSE)),"")</f>
        <v/>
      </c>
      <c r="F31" s="88">
        <f>IFERROR(IF(VLOOKUP($A31,'Annex 2 EHV charges'!$D:$O,10,FALSE)=0,"",VLOOKUP($A31,'Annex 2 EHV charges'!$D:$O,10,FALSE)),"")</f>
        <v>1530.84</v>
      </c>
      <c r="G31" s="89">
        <f>IFERROR(IF(VLOOKUP($A31,'Annex 2 EHV charges'!$D:$O,11,FALSE)=0,"",VLOOKUP($A31,'Annex 2 EHV charges'!$D:$O,11,FALSE)),"")</f>
        <v>0.05</v>
      </c>
      <c r="H31" s="89">
        <f>IFERROR(IF(VLOOKUP($A31,'Annex 2 EHV charges'!$D:$O,12,FALSE)=0,"",VLOOKUP($A31,'Annex 2 EHV charges'!$D:$O,12,FALSE)),"")</f>
        <v>0.05</v>
      </c>
    </row>
    <row r="32" spans="1:8" ht="12.75" customHeight="1" x14ac:dyDescent="0.2">
      <c r="A32" s="86" t="str">
        <f t="array" ref="A32">IFERROR(INDEX('Annex 2 EHV charges'!$D$10:$D$108, MATCH(0, IF(ISBLANK('Annex 2 EHV charges'!$D$10:$D$108),1, COUNTIF(A$4:$A31, 'Annex 2 EHV charges'!$D$10:$D$108)), 0)),"")</f>
        <v>HADLOW</v>
      </c>
      <c r="B32" s="85">
        <f>IF($A32="","",VLOOKUP($A32,'Annex 2 EHV charges'!$D:$O,2,0))</f>
        <v>744</v>
      </c>
      <c r="C32" s="86">
        <f>IF($A32="","",VLOOKUP($A32,'Annex 2 EHV charges'!$D:$O,3,0))</f>
        <v>1900091217052</v>
      </c>
      <c r="D32" s="85" t="str">
        <f>IF($A32="","",VLOOKUP($A32,'Annex 2 EHV charges'!$D:$O,4,0))</f>
        <v>HADLOW</v>
      </c>
      <c r="E32" s="87" t="str">
        <f>IFERROR(IF(VLOOKUP($A32,'Annex 2 EHV charges'!$D:$O,9,FALSE)=0,"",VLOOKUP($A32,'Annex 2 EHV charges'!$D:$O,9,FALSE)),"")</f>
        <v/>
      </c>
      <c r="F32" s="88">
        <f>IFERROR(IF(VLOOKUP($A32,'Annex 2 EHV charges'!$D:$O,10,FALSE)=0,"",VLOOKUP($A32,'Annex 2 EHV charges'!$D:$O,10,FALSE)),"")</f>
        <v>696.6</v>
      </c>
      <c r="G32" s="89">
        <f>IFERROR(IF(VLOOKUP($A32,'Annex 2 EHV charges'!$D:$O,11,FALSE)=0,"",VLOOKUP($A32,'Annex 2 EHV charges'!$D:$O,11,FALSE)),"")</f>
        <v>0.05</v>
      </c>
      <c r="H32" s="89">
        <f>IFERROR(IF(VLOOKUP($A32,'Annex 2 EHV charges'!$D:$O,12,FALSE)=0,"",VLOOKUP($A32,'Annex 2 EHV charges'!$D:$O,12,FALSE)),"")</f>
        <v>0.05</v>
      </c>
    </row>
    <row r="33" spans="1:8" ht="12.75" customHeight="1" x14ac:dyDescent="0.2">
      <c r="A33" s="86" t="str">
        <f t="array" ref="A33">IFERROR(INDEX('Annex 2 EHV charges'!$D$10:$D$108, MATCH(0, IF(ISBLANK('Annex 2 EHV charges'!$D$10:$D$108),1, COUNTIF(A$4:$A32, 'Annex 2 EHV charges'!$D$10:$D$108)), 0)),"")</f>
        <v>HANSTA</v>
      </c>
      <c r="B33" s="85">
        <f>IF($A33="","",VLOOKUP($A33,'Annex 2 EHV charges'!$D:$O,2,0))</f>
        <v>728</v>
      </c>
      <c r="C33" s="86" t="str">
        <f>IF($A33="","",VLOOKUP($A33,'Annex 2 EHV charges'!$D:$O,3,0))</f>
        <v>1900060442174
1900060512032</v>
      </c>
      <c r="D33" s="85" t="str">
        <f>IF($A33="","",VLOOKUP($A33,'Annex 2 EHV charges'!$D:$O,4,0))</f>
        <v>HANSTA</v>
      </c>
      <c r="E33" s="87" t="str">
        <f>IFERROR(IF(VLOOKUP($A33,'Annex 2 EHV charges'!$D:$O,9,FALSE)=0,"",VLOOKUP($A33,'Annex 2 EHV charges'!$D:$O,9,FALSE)),"")</f>
        <v/>
      </c>
      <c r="F33" s="88" t="str">
        <f>IFERROR(IF(VLOOKUP($A33,'Annex 2 EHV charges'!$D:$O,10,FALSE)=0,"",VLOOKUP($A33,'Annex 2 EHV charges'!$D:$O,10,FALSE)),"")</f>
        <v/>
      </c>
      <c r="G33" s="89" t="str">
        <f>IFERROR(IF(VLOOKUP($A33,'Annex 2 EHV charges'!$D:$O,11,FALSE)=0,"",VLOOKUP($A33,'Annex 2 EHV charges'!$D:$O,11,FALSE)),"")</f>
        <v/>
      </c>
      <c r="H33" s="89" t="str">
        <f>IFERROR(IF(VLOOKUP($A33,'Annex 2 EHV charges'!$D:$O,12,FALSE)=0,"",VLOOKUP($A33,'Annex 2 EHV charges'!$D:$O,12,FALSE)),"")</f>
        <v/>
      </c>
    </row>
    <row r="34" spans="1:8" ht="12.75" customHeight="1" x14ac:dyDescent="0.2">
      <c r="A34" s="86" t="str">
        <f t="array" ref="A34">IFERROR(INDEX('Annex 2 EHV charges'!$D$10:$D$108, MATCH(0, IF(ISBLANK('Annex 2 EHV charges'!$D$10:$D$108),1, COUNTIF(A$4:$A33, 'Annex 2 EHV charges'!$D$10:$D$108)), 0)),"")</f>
        <v>HLLMBY</v>
      </c>
      <c r="B34" s="85">
        <f>IF($A34="","",VLOOKUP($A34,'Annex 2 EHV charges'!$D:$O,2,0))</f>
        <v>745</v>
      </c>
      <c r="C34" s="86">
        <f>IF($A34="","",VLOOKUP($A34,'Annex 2 EHV charges'!$D:$O,3,0))</f>
        <v>1900091217080</v>
      </c>
      <c r="D34" s="85" t="str">
        <f>IF($A34="","",VLOOKUP($A34,'Annex 2 EHV charges'!$D:$O,4,0))</f>
        <v>HLLMBY</v>
      </c>
      <c r="E34" s="87" t="str">
        <f>IFERROR(IF(VLOOKUP($A34,'Annex 2 EHV charges'!$D:$O,9,FALSE)=0,"",VLOOKUP($A34,'Annex 2 EHV charges'!$D:$O,9,FALSE)),"")</f>
        <v/>
      </c>
      <c r="F34" s="88">
        <f>IFERROR(IF(VLOOKUP($A34,'Annex 2 EHV charges'!$D:$O,10,FALSE)=0,"",VLOOKUP($A34,'Annex 2 EHV charges'!$D:$O,10,FALSE)),"")</f>
        <v>766.76</v>
      </c>
      <c r="G34" s="89">
        <f>IFERROR(IF(VLOOKUP($A34,'Annex 2 EHV charges'!$D:$O,11,FALSE)=0,"",VLOOKUP($A34,'Annex 2 EHV charges'!$D:$O,11,FALSE)),"")</f>
        <v>0.05</v>
      </c>
      <c r="H34" s="89">
        <f>IFERROR(IF(VLOOKUP($A34,'Annex 2 EHV charges'!$D:$O,12,FALSE)=0,"",VLOOKUP($A34,'Annex 2 EHV charges'!$D:$O,12,FALSE)),"")</f>
        <v>0.05</v>
      </c>
    </row>
    <row r="35" spans="1:8" ht="12.75" customHeight="1" x14ac:dyDescent="0.2">
      <c r="A35" s="86" t="str">
        <f t="array" ref="A35">IFERROR(INDEX('Annex 2 EHV charges'!$D$10:$D$108, MATCH(0, IF(ISBLANK('Annex 2 EHV charges'!$D$10:$D$108),1, COUNTIF(A$4:$A34, 'Annex 2 EHV charges'!$D$10:$D$108)), 0)),"")</f>
        <v>HORAMS</v>
      </c>
      <c r="B35" s="85">
        <f>IF($A35="","",VLOOKUP($A35,'Annex 2 EHV charges'!$D:$O,2,0))</f>
        <v>701</v>
      </c>
      <c r="C35" s="86">
        <f>IF($A35="","",VLOOKUP($A35,'Annex 2 EHV charges'!$D:$O,3,0))</f>
        <v>1900091200077</v>
      </c>
      <c r="D35" s="85" t="str">
        <f>IF($A35="","",VLOOKUP($A35,'Annex 2 EHV charges'!$D:$O,4,0))</f>
        <v>HORAMS</v>
      </c>
      <c r="E35" s="87" t="str">
        <f>IFERROR(IF(VLOOKUP($A35,'Annex 2 EHV charges'!$D:$O,9,FALSE)=0,"",VLOOKUP($A35,'Annex 2 EHV charges'!$D:$O,9,FALSE)),"")</f>
        <v/>
      </c>
      <c r="F35" s="88">
        <f>IFERROR(IF(VLOOKUP($A35,'Annex 2 EHV charges'!$D:$O,10,FALSE)=0,"",VLOOKUP($A35,'Annex 2 EHV charges'!$D:$O,10,FALSE)),"")</f>
        <v>1730.34</v>
      </c>
      <c r="G35" s="89">
        <f>IFERROR(IF(VLOOKUP($A35,'Annex 2 EHV charges'!$D:$O,11,FALSE)=0,"",VLOOKUP($A35,'Annex 2 EHV charges'!$D:$O,11,FALSE)),"")</f>
        <v>0.05</v>
      </c>
      <c r="H35" s="89">
        <f>IFERROR(IF(VLOOKUP($A35,'Annex 2 EHV charges'!$D:$O,12,FALSE)=0,"",VLOOKUP($A35,'Annex 2 EHV charges'!$D:$O,12,FALSE)),"")</f>
        <v>0.05</v>
      </c>
    </row>
    <row r="36" spans="1:8" ht="12.75" customHeight="1" x14ac:dyDescent="0.2">
      <c r="A36" s="86" t="str">
        <f t="array" ref="A36">IFERROR(INDEX('Annex 2 EHV charges'!$D$10:$D$108, MATCH(0, IF(ISBLANK('Annex 2 EHV charges'!$D$10:$D$108),1, COUNTIF(A$4:$A35, 'Annex 2 EHV charges'!$D$10:$D$108)), 0)),"")</f>
        <v>KENTI2</v>
      </c>
      <c r="B36" s="85">
        <f>IF($A36="","",VLOOKUP($A36,'Annex 2 EHV charges'!$D:$O,2,0))</f>
        <v>746</v>
      </c>
      <c r="C36" s="86">
        <f>IF($A36="","",VLOOKUP($A36,'Annex 2 EHV charges'!$D:$O,3,0))</f>
        <v>1900091199528</v>
      </c>
      <c r="D36" s="85" t="str">
        <f>IF($A36="","",VLOOKUP($A36,'Annex 2 EHV charges'!$D:$O,4,0))</f>
        <v>KENTI2</v>
      </c>
      <c r="E36" s="87" t="str">
        <f>IFERROR(IF(VLOOKUP($A36,'Annex 2 EHV charges'!$D:$O,9,FALSE)=0,"",VLOOKUP($A36,'Annex 2 EHV charges'!$D:$O,9,FALSE)),"")</f>
        <v/>
      </c>
      <c r="F36" s="88">
        <f>IFERROR(IF(VLOOKUP($A36,'Annex 2 EHV charges'!$D:$O,10,FALSE)=0,"",VLOOKUP($A36,'Annex 2 EHV charges'!$D:$O,10,FALSE)),"")</f>
        <v>308.79000000000002</v>
      </c>
      <c r="G36" s="89">
        <f>IFERROR(IF(VLOOKUP($A36,'Annex 2 EHV charges'!$D:$O,11,FALSE)=0,"",VLOOKUP($A36,'Annex 2 EHV charges'!$D:$O,11,FALSE)),"")</f>
        <v>0.05</v>
      </c>
      <c r="H36" s="89">
        <f>IFERROR(IF(VLOOKUP($A36,'Annex 2 EHV charges'!$D:$O,12,FALSE)=0,"",VLOOKUP($A36,'Annex 2 EHV charges'!$D:$O,12,FALSE)),"")</f>
        <v>0.05</v>
      </c>
    </row>
    <row r="37" spans="1:8" ht="12.75" customHeight="1" x14ac:dyDescent="0.2">
      <c r="A37" s="86" t="str">
        <f t="array" ref="A37">IFERROR(INDEX('Annex 2 EHV charges'!$D$10:$D$108, MATCH(0, IF(ISBLANK('Annex 2 EHV charges'!$D$10:$D$108),1, COUNTIF(A$4:$A36, 'Annex 2 EHV charges'!$D$10:$D$108)), 0)),"")</f>
        <v>KENTIS</v>
      </c>
      <c r="B37" s="85">
        <f>IF($A37="","",VLOOKUP($A37,'Annex 2 EHV charges'!$D:$O,2,0))</f>
        <v>722</v>
      </c>
      <c r="C37" s="86">
        <f>IF($A37="","",VLOOKUP($A37,'Annex 2 EHV charges'!$D:$O,3,0))</f>
        <v>1900070122343</v>
      </c>
      <c r="D37" s="85" t="str">
        <f>IF($A37="","",VLOOKUP($A37,'Annex 2 EHV charges'!$D:$O,4,0))</f>
        <v>KENTIS</v>
      </c>
      <c r="E37" s="87" t="str">
        <f>IFERROR(IF(VLOOKUP($A37,'Annex 2 EHV charges'!$D:$O,9,FALSE)=0,"",VLOOKUP($A37,'Annex 2 EHV charges'!$D:$O,9,FALSE)),"")</f>
        <v/>
      </c>
      <c r="F37" s="88" t="str">
        <f>IFERROR(IF(VLOOKUP($A37,'Annex 2 EHV charges'!$D:$O,10,FALSE)=0,"",VLOOKUP($A37,'Annex 2 EHV charges'!$D:$O,10,FALSE)),"")</f>
        <v/>
      </c>
      <c r="G37" s="89" t="str">
        <f>IFERROR(IF(VLOOKUP($A37,'Annex 2 EHV charges'!$D:$O,11,FALSE)=0,"",VLOOKUP($A37,'Annex 2 EHV charges'!$D:$O,11,FALSE)),"")</f>
        <v/>
      </c>
      <c r="H37" s="89" t="str">
        <f>IFERROR(IF(VLOOKUP($A37,'Annex 2 EHV charges'!$D:$O,12,FALSE)=0,"",VLOOKUP($A37,'Annex 2 EHV charges'!$D:$O,12,FALSE)),"")</f>
        <v/>
      </c>
    </row>
    <row r="38" spans="1:8" ht="12.75" customHeight="1" x14ac:dyDescent="0.2">
      <c r="A38" s="86" t="str">
        <f t="array" ref="A38">IFERROR(INDEX('Annex 2 EHV charges'!$D$10:$D$108, MATCH(0, IF(ISBLANK('Annex 2 EHV charges'!$D$10:$D$108),1, COUNTIF(A$4:$A37, 'Annex 2 EHV charges'!$D$10:$D$108)), 0)),"")</f>
        <v>KM3CHP</v>
      </c>
      <c r="B38" s="85">
        <f>IF($A38="","",VLOOKUP($A38,'Annex 2 EHV charges'!$D:$O,2,0))</f>
        <v>699</v>
      </c>
      <c r="C38" s="86">
        <f>IF($A38="","",VLOOKUP($A38,'Annex 2 EHV charges'!$D:$O,3,0))</f>
        <v>1900091669739</v>
      </c>
      <c r="D38" s="85" t="str">
        <f>IF($A38="","",VLOOKUP($A38,'Annex 2 EHV charges'!$D:$O,4,0))</f>
        <v>KM3CHP</v>
      </c>
      <c r="E38" s="87">
        <f>IFERROR(IF(VLOOKUP($A38,'Annex 2 EHV charges'!$D:$O,9,FALSE)=0,"",VLOOKUP($A38,'Annex 2 EHV charges'!$D:$O,9,FALSE)),"")</f>
        <v>-1.4E-2</v>
      </c>
      <c r="F38" s="88">
        <f>IFERROR(IF(VLOOKUP($A38,'Annex 2 EHV charges'!$D:$O,10,FALSE)=0,"",VLOOKUP($A38,'Annex 2 EHV charges'!$D:$O,10,FALSE)),"")</f>
        <v>2493.69</v>
      </c>
      <c r="G38" s="89">
        <f>IFERROR(IF(VLOOKUP($A38,'Annex 2 EHV charges'!$D:$O,11,FALSE)=0,"",VLOOKUP($A38,'Annex 2 EHV charges'!$D:$O,11,FALSE)),"")</f>
        <v>0.05</v>
      </c>
      <c r="H38" s="89">
        <f>IFERROR(IF(VLOOKUP($A38,'Annex 2 EHV charges'!$D:$O,12,FALSE)=0,"",VLOOKUP($A38,'Annex 2 EHV charges'!$D:$O,12,FALSE)),"")</f>
        <v>0.05</v>
      </c>
    </row>
    <row r="39" spans="1:8" ht="12.75" customHeight="1" x14ac:dyDescent="0.2">
      <c r="A39" s="86" t="str">
        <f t="array" ref="A39">IFERROR(INDEX('Annex 2 EHV charges'!$D$10:$D$108, MATCH(0, IF(ISBLANK('Annex 2 EHV charges'!$D$10:$D$108),1, COUNTIF(A$4:$A38, 'Annex 2 EHV charges'!$D$10:$D$108)), 0)),"")</f>
        <v>KNWLTN</v>
      </c>
      <c r="B39" s="85">
        <f>IF($A39="","",VLOOKUP($A39,'Annex 2 EHV charges'!$D:$O,2,0))</f>
        <v>735</v>
      </c>
      <c r="C39" s="86">
        <f>IF($A39="","",VLOOKUP($A39,'Annex 2 EHV charges'!$D:$O,3,0))</f>
        <v>1900091091940</v>
      </c>
      <c r="D39" s="85" t="str">
        <f>IF($A39="","",VLOOKUP($A39,'Annex 2 EHV charges'!$D:$O,4,0))</f>
        <v>KNWLTN</v>
      </c>
      <c r="E39" s="87" t="str">
        <f>IFERROR(IF(VLOOKUP($A39,'Annex 2 EHV charges'!$D:$O,9,FALSE)=0,"",VLOOKUP($A39,'Annex 2 EHV charges'!$D:$O,9,FALSE)),"")</f>
        <v/>
      </c>
      <c r="F39" s="88">
        <f>IFERROR(IF(VLOOKUP($A39,'Annex 2 EHV charges'!$D:$O,10,FALSE)=0,"",VLOOKUP($A39,'Annex 2 EHV charges'!$D:$O,10,FALSE)),"")</f>
        <v>1293.92</v>
      </c>
      <c r="G39" s="89">
        <f>IFERROR(IF(VLOOKUP($A39,'Annex 2 EHV charges'!$D:$O,11,FALSE)=0,"",VLOOKUP($A39,'Annex 2 EHV charges'!$D:$O,11,FALSE)),"")</f>
        <v>0.05</v>
      </c>
      <c r="H39" s="89">
        <f>IFERROR(IF(VLOOKUP($A39,'Annex 2 EHV charges'!$D:$O,12,FALSE)=0,"",VLOOKUP($A39,'Annex 2 EHV charges'!$D:$O,12,FALSE)),"")</f>
        <v>0.05</v>
      </c>
    </row>
    <row r="40" spans="1:8" ht="12.75" customHeight="1" x14ac:dyDescent="0.2">
      <c r="A40" s="86" t="str">
        <f t="array" ref="A40">IFERROR(INDEX('Annex 2 EHV charges'!$D$10:$D$108, MATCH(0, IF(ISBLANK('Annex 2 EHV charges'!$D$10:$D$108),1, COUNTIF(A$4:$A39, 'Annex 2 EHV charges'!$D$10:$D$108)), 0)),"")</f>
        <v>LBOURN</v>
      </c>
      <c r="B40" s="85">
        <f>IF($A40="","",VLOOKUP($A40,'Annex 2 EHV charges'!$D:$O,2,0))</f>
        <v>747</v>
      </c>
      <c r="C40" s="86">
        <f>IF($A40="","",VLOOKUP($A40,'Annex 2 EHV charges'!$D:$O,3,0))</f>
        <v>1900091171276</v>
      </c>
      <c r="D40" s="85" t="str">
        <f>IF($A40="","",VLOOKUP($A40,'Annex 2 EHV charges'!$D:$O,4,0))</f>
        <v>LBOURN</v>
      </c>
      <c r="E40" s="87" t="str">
        <f>IFERROR(IF(VLOOKUP($A40,'Annex 2 EHV charges'!$D:$O,9,FALSE)=0,"",VLOOKUP($A40,'Annex 2 EHV charges'!$D:$O,9,FALSE)),"")</f>
        <v/>
      </c>
      <c r="F40" s="88">
        <f>IFERROR(IF(VLOOKUP($A40,'Annex 2 EHV charges'!$D:$O,10,FALSE)=0,"",VLOOKUP($A40,'Annex 2 EHV charges'!$D:$O,10,FALSE)),"")</f>
        <v>745</v>
      </c>
      <c r="G40" s="89">
        <f>IFERROR(IF(VLOOKUP($A40,'Annex 2 EHV charges'!$D:$O,11,FALSE)=0,"",VLOOKUP($A40,'Annex 2 EHV charges'!$D:$O,11,FALSE)),"")</f>
        <v>0.05</v>
      </c>
      <c r="H40" s="89">
        <f>IFERROR(IF(VLOOKUP($A40,'Annex 2 EHV charges'!$D:$O,12,FALSE)=0,"",VLOOKUP($A40,'Annex 2 EHV charges'!$D:$O,12,FALSE)),"")</f>
        <v>0.05</v>
      </c>
    </row>
    <row r="41" spans="1:8" ht="12.75" customHeight="1" x14ac:dyDescent="0.2">
      <c r="A41" s="86" t="str">
        <f t="array" ref="A41">IFERROR(INDEX('Annex 2 EHV charges'!$D$10:$D$108, MATCH(0, IF(ISBLANK('Annex 2 EHV charges'!$D$10:$D$108),1, COUNTIF(A$4:$A40, 'Annex 2 EHV charges'!$D$10:$D$108)), 0)),"")</f>
        <v>LCHEYI</v>
      </c>
      <c r="B41" s="85">
        <f>IF($A41="","",VLOOKUP($A41,'Annex 2 EHV charges'!$D:$O,2,0))</f>
        <v>721</v>
      </c>
      <c r="C41" s="86">
        <f>IF($A41="","",VLOOKUP($A41,'Annex 2 EHV charges'!$D:$O,3,0))</f>
        <v>1900090194644</v>
      </c>
      <c r="D41" s="85" t="str">
        <f>IF($A41="","",VLOOKUP($A41,'Annex 2 EHV charges'!$D:$O,4,0))</f>
        <v>LCHEYI</v>
      </c>
      <c r="E41" s="87" t="str">
        <f>IFERROR(IF(VLOOKUP($A41,'Annex 2 EHV charges'!$D:$O,9,FALSE)=0,"",VLOOKUP($A41,'Annex 2 EHV charges'!$D:$O,9,FALSE)),"")</f>
        <v/>
      </c>
      <c r="F41" s="88">
        <f>IFERROR(IF(VLOOKUP($A41,'Annex 2 EHV charges'!$D:$O,10,FALSE)=0,"",VLOOKUP($A41,'Annex 2 EHV charges'!$D:$O,10,FALSE)),"")</f>
        <v>770.33</v>
      </c>
      <c r="G41" s="89">
        <f>IFERROR(IF(VLOOKUP($A41,'Annex 2 EHV charges'!$D:$O,11,FALSE)=0,"",VLOOKUP($A41,'Annex 2 EHV charges'!$D:$O,11,FALSE)),"")</f>
        <v>0.05</v>
      </c>
      <c r="H41" s="89">
        <f>IFERROR(IF(VLOOKUP($A41,'Annex 2 EHV charges'!$D:$O,12,FALSE)=0,"",VLOOKUP($A41,'Annex 2 EHV charges'!$D:$O,12,FALSE)),"")</f>
        <v>0.05</v>
      </c>
    </row>
    <row r="42" spans="1:8" ht="12.75" customHeight="1" x14ac:dyDescent="0.2">
      <c r="A42" s="86" t="str">
        <f t="array" ref="A42">IFERROR(INDEX('Annex 2 EHV charges'!$D$10:$D$108, MATCH(0, IF(ISBLANK('Annex 2 EHV charges'!$D$10:$D$108),1, COUNTIF(A$4:$A41, 'Annex 2 EHV charges'!$D$10:$D$108)), 0)),"")</f>
        <v>LENHAM</v>
      </c>
      <c r="B42" s="85">
        <f>IF($A42="","",VLOOKUP($A42,'Annex 2 EHV charges'!$D:$O,2,0))</f>
        <v>736</v>
      </c>
      <c r="C42" s="86">
        <f>IF($A42="","",VLOOKUP($A42,'Annex 2 EHV charges'!$D:$O,3,0))</f>
        <v>1900091081570</v>
      </c>
      <c r="D42" s="85" t="str">
        <f>IF($A42="","",VLOOKUP($A42,'Annex 2 EHV charges'!$D:$O,4,0))</f>
        <v>LENHAM</v>
      </c>
      <c r="E42" s="87" t="str">
        <f>IFERROR(IF(VLOOKUP($A42,'Annex 2 EHV charges'!$D:$O,9,FALSE)=0,"",VLOOKUP($A42,'Annex 2 EHV charges'!$D:$O,9,FALSE)),"")</f>
        <v/>
      </c>
      <c r="F42" s="88">
        <f>IFERROR(IF(VLOOKUP($A42,'Annex 2 EHV charges'!$D:$O,10,FALSE)=0,"",VLOOKUP($A42,'Annex 2 EHV charges'!$D:$O,10,FALSE)),"")</f>
        <v>1294.6600000000001</v>
      </c>
      <c r="G42" s="89">
        <f>IFERROR(IF(VLOOKUP($A42,'Annex 2 EHV charges'!$D:$O,11,FALSE)=0,"",VLOOKUP($A42,'Annex 2 EHV charges'!$D:$O,11,FALSE)),"")</f>
        <v>0.05</v>
      </c>
      <c r="H42" s="89">
        <f>IFERROR(IF(VLOOKUP($A42,'Annex 2 EHV charges'!$D:$O,12,FALSE)=0,"",VLOOKUP($A42,'Annex 2 EHV charges'!$D:$O,12,FALSE)),"")</f>
        <v>0.05</v>
      </c>
    </row>
    <row r="43" spans="1:8" ht="12.75" customHeight="1" x14ac:dyDescent="0.2">
      <c r="A43" s="86" t="str">
        <f t="array" ref="A43">IFERROR(INDEX('Annex 2 EHV charges'!$D$10:$D$108, MATCH(0, IF(ISBLANK('Annex 2 EHV charges'!$D$10:$D$108),1, COUNTIF(A$4:$A42, 'Annex 2 EHV charges'!$D$10:$D$108)), 0)),"")</f>
        <v>LGHTON</v>
      </c>
      <c r="B43" s="85">
        <f>IF($A43="","",VLOOKUP($A43,'Annex 2 EHV charges'!$D:$O,2,0))</f>
        <v>748</v>
      </c>
      <c r="C43" s="86">
        <f>IF($A43="","",VLOOKUP($A43,'Annex 2 EHV charges'!$D:$O,3,0))</f>
        <v>1900091200147</v>
      </c>
      <c r="D43" s="85" t="str">
        <f>IF($A43="","",VLOOKUP($A43,'Annex 2 EHV charges'!$D:$O,4,0))</f>
        <v>LGHTON</v>
      </c>
      <c r="E43" s="87" t="str">
        <f>IFERROR(IF(VLOOKUP($A43,'Annex 2 EHV charges'!$D:$O,9,FALSE)=0,"",VLOOKUP($A43,'Annex 2 EHV charges'!$D:$O,9,FALSE)),"")</f>
        <v/>
      </c>
      <c r="F43" s="88">
        <f>IFERROR(IF(VLOOKUP($A43,'Annex 2 EHV charges'!$D:$O,10,FALSE)=0,"",VLOOKUP($A43,'Annex 2 EHV charges'!$D:$O,10,FALSE)),"")</f>
        <v>777.11</v>
      </c>
      <c r="G43" s="89">
        <f>IFERROR(IF(VLOOKUP($A43,'Annex 2 EHV charges'!$D:$O,11,FALSE)=0,"",VLOOKUP($A43,'Annex 2 EHV charges'!$D:$O,11,FALSE)),"")</f>
        <v>0.05</v>
      </c>
      <c r="H43" s="89">
        <f>IFERROR(IF(VLOOKUP($A43,'Annex 2 EHV charges'!$D:$O,12,FALSE)=0,"",VLOOKUP($A43,'Annex 2 EHV charges'!$D:$O,12,FALSE)),"")</f>
        <v>0.05</v>
      </c>
    </row>
    <row r="44" spans="1:8" ht="12.75" customHeight="1" x14ac:dyDescent="0.2">
      <c r="A44" s="86" t="str">
        <f t="array" ref="A44">IFERROR(INDEX('Annex 2 EHV charges'!$D$10:$D$108, MATCH(0, IF(ISBLANK('Annex 2 EHV charges'!$D$10:$D$108),1, COUNTIF(A$4:$A43, 'Annex 2 EHV charges'!$D$10:$D$108)), 0)),"")</f>
        <v>MARSHB</v>
      </c>
      <c r="B44" s="85">
        <f>IF($A44="","",VLOOKUP($A44,'Annex 2 EHV charges'!$D:$O,2,0))</f>
        <v>709</v>
      </c>
      <c r="C44" s="86">
        <f>IF($A44="","",VLOOKUP($A44,'Annex 2 EHV charges'!$D:$O,3,0))</f>
        <v>1900091310601</v>
      </c>
      <c r="D44" s="85" t="str">
        <f>IF($A44="","",VLOOKUP($A44,'Annex 2 EHV charges'!$D:$O,4,0))</f>
        <v>MARSHB</v>
      </c>
      <c r="E44" s="87" t="str">
        <f>IFERROR(IF(VLOOKUP($A44,'Annex 2 EHV charges'!$D:$O,9,FALSE)=0,"",VLOOKUP($A44,'Annex 2 EHV charges'!$D:$O,9,FALSE)),"")</f>
        <v/>
      </c>
      <c r="F44" s="88">
        <f>IFERROR(IF(VLOOKUP($A44,'Annex 2 EHV charges'!$D:$O,10,FALSE)=0,"",VLOOKUP($A44,'Annex 2 EHV charges'!$D:$O,10,FALSE)),"")</f>
        <v>825.68</v>
      </c>
      <c r="G44" s="89">
        <f>IFERROR(IF(VLOOKUP($A44,'Annex 2 EHV charges'!$D:$O,11,FALSE)=0,"",VLOOKUP($A44,'Annex 2 EHV charges'!$D:$O,11,FALSE)),"")</f>
        <v>0.05</v>
      </c>
      <c r="H44" s="89">
        <f>IFERROR(IF(VLOOKUP($A44,'Annex 2 EHV charges'!$D:$O,12,FALSE)=0,"",VLOOKUP($A44,'Annex 2 EHV charges'!$D:$O,12,FALSE)),"")</f>
        <v>0.05</v>
      </c>
    </row>
    <row r="45" spans="1:8" ht="12.75" customHeight="1" x14ac:dyDescent="0.2">
      <c r="A45" s="86" t="str">
        <f t="array" ref="A45">IFERROR(INDEX('Annex 2 EHV charges'!$D$10:$D$108, MATCH(0, IF(ISBLANK('Annex 2 EHV charges'!$D$10:$D$108),1, COUNTIF(A$4:$A44, 'Annex 2 EHV charges'!$D$10:$D$108)), 0)),"")</f>
        <v>MLEHLL</v>
      </c>
      <c r="B45" s="85">
        <f>IF($A45="","",VLOOKUP($A45,'Annex 2 EHV charges'!$D:$O,2,0))</f>
        <v>751</v>
      </c>
      <c r="C45" s="86">
        <f>IF($A45="","",VLOOKUP($A45,'Annex 2 EHV charges'!$D:$O,3,0))</f>
        <v>1900091183411</v>
      </c>
      <c r="D45" s="85" t="str">
        <f>IF($A45="","",VLOOKUP($A45,'Annex 2 EHV charges'!$D:$O,4,0))</f>
        <v>MLEHLL</v>
      </c>
      <c r="E45" s="87" t="str">
        <f>IFERROR(IF(VLOOKUP($A45,'Annex 2 EHV charges'!$D:$O,9,FALSE)=0,"",VLOOKUP($A45,'Annex 2 EHV charges'!$D:$O,9,FALSE)),"")</f>
        <v/>
      </c>
      <c r="F45" s="88">
        <f>IFERROR(IF(VLOOKUP($A45,'Annex 2 EHV charges'!$D:$O,10,FALSE)=0,"",VLOOKUP($A45,'Annex 2 EHV charges'!$D:$O,10,FALSE)),"")</f>
        <v>314.64</v>
      </c>
      <c r="G45" s="89">
        <f>IFERROR(IF(VLOOKUP($A45,'Annex 2 EHV charges'!$D:$O,11,FALSE)=0,"",VLOOKUP($A45,'Annex 2 EHV charges'!$D:$O,11,FALSE)),"")</f>
        <v>0.05</v>
      </c>
      <c r="H45" s="89">
        <f>IFERROR(IF(VLOOKUP($A45,'Annex 2 EHV charges'!$D:$O,12,FALSE)=0,"",VLOOKUP($A45,'Annex 2 EHV charges'!$D:$O,12,FALSE)),"")</f>
        <v>0.05</v>
      </c>
    </row>
    <row r="46" spans="1:8" ht="12.75" customHeight="1" x14ac:dyDescent="0.2">
      <c r="A46" s="86" t="str">
        <f t="array" ref="A46">IFERROR(INDEX('Annex 2 EHV charges'!$D$10:$D$108, MATCH(0, IF(ISBLANK('Annex 2 EHV charges'!$D$10:$D$108),1, COUNTIF(A$4:$A45, 'Annex 2 EHV charges'!$D$10:$D$108)), 0)),"")</f>
        <v>MLMAYN</v>
      </c>
      <c r="B46" s="85">
        <f>IF($A46="","",VLOOKUP($A46,'Annex 2 EHV charges'!$D:$O,2,0))</f>
        <v>749</v>
      </c>
      <c r="C46" s="86">
        <f>IF($A46="","",VLOOKUP($A46,'Annex 2 EHV charges'!$D:$O,3,0))</f>
        <v>1900091079232</v>
      </c>
      <c r="D46" s="85" t="str">
        <f>IF($A46="","",VLOOKUP($A46,'Annex 2 EHV charges'!$D:$O,4,0))</f>
        <v>MLMAYN</v>
      </c>
      <c r="E46" s="87" t="str">
        <f>IFERROR(IF(VLOOKUP($A46,'Annex 2 EHV charges'!$D:$O,9,FALSE)=0,"",VLOOKUP($A46,'Annex 2 EHV charges'!$D:$O,9,FALSE)),"")</f>
        <v/>
      </c>
      <c r="F46" s="88">
        <f>IFERROR(IF(VLOOKUP($A46,'Annex 2 EHV charges'!$D:$O,10,FALSE)=0,"",VLOOKUP($A46,'Annex 2 EHV charges'!$D:$O,10,FALSE)),"")</f>
        <v>664.99</v>
      </c>
      <c r="G46" s="89">
        <f>IFERROR(IF(VLOOKUP($A46,'Annex 2 EHV charges'!$D:$O,11,FALSE)=0,"",VLOOKUP($A46,'Annex 2 EHV charges'!$D:$O,11,FALSE)),"")</f>
        <v>0.05</v>
      </c>
      <c r="H46" s="89">
        <f>IFERROR(IF(VLOOKUP($A46,'Annex 2 EHV charges'!$D:$O,12,FALSE)=0,"",VLOOKUP($A46,'Annex 2 EHV charges'!$D:$O,12,FALSE)),"")</f>
        <v>0.05</v>
      </c>
    </row>
    <row r="47" spans="1:8" ht="12.75" customHeight="1" x14ac:dyDescent="0.2">
      <c r="A47" s="86" t="str">
        <f t="array" ref="A47">IFERROR(INDEX('Annex 2 EHV charges'!$D$10:$D$108, MATCH(0, IF(ISBLANK('Annex 2 EHV charges'!$D$10:$D$108),1, COUNTIF(A$4:$A46, 'Annex 2 EHV charges'!$D$10:$D$108)), 0)),"")</f>
        <v>MVVRID</v>
      </c>
      <c r="B47" s="85">
        <f>IF($A47="","",VLOOKUP($A47,'Annex 2 EHV charges'!$D:$O,2,0))</f>
        <v>710</v>
      </c>
      <c r="C47" s="86">
        <f>IF($A47="","",VLOOKUP($A47,'Annex 2 EHV charges'!$D:$O,3,0))</f>
        <v>1900091199147</v>
      </c>
      <c r="D47" s="85" t="str">
        <f>IF($A47="","",VLOOKUP($A47,'Annex 2 EHV charges'!$D:$O,4,0))</f>
        <v>MVVRID</v>
      </c>
      <c r="E47" s="87" t="str">
        <f>IFERROR(IF(VLOOKUP($A47,'Annex 2 EHV charges'!$D:$O,9,FALSE)=0,"",VLOOKUP($A47,'Annex 2 EHV charges'!$D:$O,9,FALSE)),"")</f>
        <v/>
      </c>
      <c r="F47" s="88">
        <f>IFERROR(IF(VLOOKUP($A47,'Annex 2 EHV charges'!$D:$O,10,FALSE)=0,"",VLOOKUP($A47,'Annex 2 EHV charges'!$D:$O,10,FALSE)),"")</f>
        <v>5341.61</v>
      </c>
      <c r="G47" s="89">
        <f>IFERROR(IF(VLOOKUP($A47,'Annex 2 EHV charges'!$D:$O,11,FALSE)=0,"",VLOOKUP($A47,'Annex 2 EHV charges'!$D:$O,11,FALSE)),"")</f>
        <v>0.05</v>
      </c>
      <c r="H47" s="89">
        <f>IFERROR(IF(VLOOKUP($A47,'Annex 2 EHV charges'!$D:$O,12,FALSE)=0,"",VLOOKUP($A47,'Annex 2 EHV charges'!$D:$O,12,FALSE)),"")</f>
        <v>0.05</v>
      </c>
    </row>
    <row r="48" spans="1:8" ht="12.75" customHeight="1" x14ac:dyDescent="0.2">
      <c r="A48" s="86" t="str">
        <f t="array" ref="A48">IFERROR(INDEX('Annex 2 EHV charges'!$D$10:$D$108, MATCH(0, IF(ISBLANK('Annex 2 EHV charges'!$D$10:$D$108),1, COUNTIF(A$4:$A47, 'Annex 2 EHV charges'!$D$10:$D$108)), 0)),"")</f>
        <v>NEWHVN</v>
      </c>
      <c r="B48" s="85">
        <f>IF($A48="","",VLOOKUP($A48,'Annex 2 EHV charges'!$D:$O,2,0))</f>
        <v>700</v>
      </c>
      <c r="C48" s="86">
        <f>IF($A48="","",VLOOKUP($A48,'Annex 2 EHV charges'!$D:$O,3,0))</f>
        <v>1900090585005</v>
      </c>
      <c r="D48" s="85" t="str">
        <f>IF($A48="","",VLOOKUP($A48,'Annex 2 EHV charges'!$D:$O,4,0))</f>
        <v>NEWHVN</v>
      </c>
      <c r="E48" s="87">
        <f>IFERROR(IF(VLOOKUP($A48,'Annex 2 EHV charges'!$D:$O,9,FALSE)=0,"",VLOOKUP($A48,'Annex 2 EHV charges'!$D:$O,9,FALSE)),"")</f>
        <v>-0.60599999999999998</v>
      </c>
      <c r="F48" s="88">
        <f>IFERROR(IF(VLOOKUP($A48,'Annex 2 EHV charges'!$D:$O,10,FALSE)=0,"",VLOOKUP($A48,'Annex 2 EHV charges'!$D:$O,10,FALSE)),"")</f>
        <v>277.51</v>
      </c>
      <c r="G48" s="89">
        <f>IFERROR(IF(VLOOKUP($A48,'Annex 2 EHV charges'!$D:$O,11,FALSE)=0,"",VLOOKUP($A48,'Annex 2 EHV charges'!$D:$O,11,FALSE)),"")</f>
        <v>0.05</v>
      </c>
      <c r="H48" s="89">
        <f>IFERROR(IF(VLOOKUP($A48,'Annex 2 EHV charges'!$D:$O,12,FALSE)=0,"",VLOOKUP($A48,'Annex 2 EHV charges'!$D:$O,12,FALSE)),"")</f>
        <v>0.05</v>
      </c>
    </row>
    <row r="49" spans="1:8" ht="12.75" customHeight="1" x14ac:dyDescent="0.2">
      <c r="A49" s="86" t="str">
        <f t="array" ref="A49">IFERROR(INDEX('Annex 2 EHV charges'!$D$10:$D$108, MATCH(0, IF(ISBLANK('Annex 2 EHV charges'!$D$10:$D$108),1, COUNTIF(A$4:$A48, 'Annex 2 EHV charges'!$D$10:$D$108)), 0)),"")</f>
        <v>NEWRID</v>
      </c>
      <c r="B49" s="85">
        <f>IF($A49="","",VLOOKUP($A49,'Annex 2 EHV charges'!$D:$O,2,0))</f>
        <v>698</v>
      </c>
      <c r="C49" s="86">
        <f>IF($A49="","",VLOOKUP($A49,'Annex 2 EHV charges'!$D:$O,3,0))</f>
        <v>1900091718322</v>
      </c>
      <c r="D49" s="85" t="str">
        <f>IF($A49="","",VLOOKUP($A49,'Annex 2 EHV charges'!$D:$O,4,0))</f>
        <v>NEWRID</v>
      </c>
      <c r="E49" s="87" t="str">
        <f>IFERROR(IF(VLOOKUP($A49,'Annex 2 EHV charges'!$D:$O,9,FALSE)=0,"",VLOOKUP($A49,'Annex 2 EHV charges'!$D:$O,9,FALSE)),"")</f>
        <v/>
      </c>
      <c r="F49" s="88">
        <f>IFERROR(IF(VLOOKUP($A49,'Annex 2 EHV charges'!$D:$O,10,FALSE)=0,"",VLOOKUP($A49,'Annex 2 EHV charges'!$D:$O,10,FALSE)),"")</f>
        <v>1419.48</v>
      </c>
      <c r="G49" s="89">
        <f>IFERROR(IF(VLOOKUP($A49,'Annex 2 EHV charges'!$D:$O,11,FALSE)=0,"",VLOOKUP($A49,'Annex 2 EHV charges'!$D:$O,11,FALSE)),"")</f>
        <v>0.05</v>
      </c>
      <c r="H49" s="89">
        <f>IFERROR(IF(VLOOKUP($A49,'Annex 2 EHV charges'!$D:$O,12,FALSE)=0,"",VLOOKUP($A49,'Annex 2 EHV charges'!$D:$O,12,FALSE)),"")</f>
        <v>0.05</v>
      </c>
    </row>
    <row r="50" spans="1:8" ht="12.75" customHeight="1" x14ac:dyDescent="0.2">
      <c r="A50" s="86" t="str">
        <f t="array" ref="A50">IFERROR(INDEX('Annex 2 EHV charges'!$D$10:$D$108, MATCH(0, IF(ISBLANK('Annex 2 EHV charges'!$D$10:$D$108),1, COUNTIF(A$4:$A49, 'Annex 2 EHV charges'!$D$10:$D$108)), 0)),"")</f>
        <v>OAKLND</v>
      </c>
      <c r="B50" s="85">
        <f>IF($A50="","",VLOOKUP($A50,'Annex 2 EHV charges'!$D:$O,2,0))</f>
        <v>752</v>
      </c>
      <c r="C50" s="86">
        <f>IF($A50="","",VLOOKUP($A50,'Annex 2 EHV charges'!$D:$O,3,0))</f>
        <v>1900091197423</v>
      </c>
      <c r="D50" s="85" t="str">
        <f>IF($A50="","",VLOOKUP($A50,'Annex 2 EHV charges'!$D:$O,4,0))</f>
        <v>OAKLND</v>
      </c>
      <c r="E50" s="87" t="str">
        <f>IFERROR(IF(VLOOKUP($A50,'Annex 2 EHV charges'!$D:$O,9,FALSE)=0,"",VLOOKUP($A50,'Annex 2 EHV charges'!$D:$O,9,FALSE)),"")</f>
        <v/>
      </c>
      <c r="F50" s="88">
        <f>IFERROR(IF(VLOOKUP($A50,'Annex 2 EHV charges'!$D:$O,10,FALSE)=0,"",VLOOKUP($A50,'Annex 2 EHV charges'!$D:$O,10,FALSE)),"")</f>
        <v>634.95000000000005</v>
      </c>
      <c r="G50" s="89">
        <f>IFERROR(IF(VLOOKUP($A50,'Annex 2 EHV charges'!$D:$O,11,FALSE)=0,"",VLOOKUP($A50,'Annex 2 EHV charges'!$D:$O,11,FALSE)),"")</f>
        <v>0.05</v>
      </c>
      <c r="H50" s="89">
        <f>IFERROR(IF(VLOOKUP($A50,'Annex 2 EHV charges'!$D:$O,12,FALSE)=0,"",VLOOKUP($A50,'Annex 2 EHV charges'!$D:$O,12,FALSE)),"")</f>
        <v>0.05</v>
      </c>
    </row>
    <row r="51" spans="1:8" ht="12.75" customHeight="1" x14ac:dyDescent="0.2">
      <c r="A51" s="86" t="str">
        <f t="array" ref="A51">IFERROR(INDEX('Annex 2 EHV charges'!$D$10:$D$108, MATCH(0, IF(ISBLANK('Annex 2 EHV charges'!$D$10:$D$108),1, COUNTIF(A$4:$A50, 'Annex 2 EHV charges'!$D$10:$D$108)), 0)),"")</f>
        <v>OLDRSF</v>
      </c>
      <c r="B51" s="85">
        <f>IF($A51="","",VLOOKUP($A51,'Annex 2 EHV charges'!$D:$O,2,0))</f>
        <v>739</v>
      </c>
      <c r="C51" s="86">
        <f>IF($A51="","",VLOOKUP($A51,'Annex 2 EHV charges'!$D:$O,3,0))</f>
        <v>1900091024526</v>
      </c>
      <c r="D51" s="85" t="str">
        <f>IF($A51="","",VLOOKUP($A51,'Annex 2 EHV charges'!$D:$O,4,0))</f>
        <v>OLDRSF</v>
      </c>
      <c r="E51" s="87" t="str">
        <f>IFERROR(IF(VLOOKUP($A51,'Annex 2 EHV charges'!$D:$O,9,FALSE)=0,"",VLOOKUP($A51,'Annex 2 EHV charges'!$D:$O,9,FALSE)),"")</f>
        <v/>
      </c>
      <c r="F51" s="88">
        <f>IFERROR(IF(VLOOKUP($A51,'Annex 2 EHV charges'!$D:$O,10,FALSE)=0,"",VLOOKUP($A51,'Annex 2 EHV charges'!$D:$O,10,FALSE)),"")</f>
        <v>835.33</v>
      </c>
      <c r="G51" s="89">
        <f>IFERROR(IF(VLOOKUP($A51,'Annex 2 EHV charges'!$D:$O,11,FALSE)=0,"",VLOOKUP($A51,'Annex 2 EHV charges'!$D:$O,11,FALSE)),"")</f>
        <v>0.05</v>
      </c>
      <c r="H51" s="89">
        <f>IFERROR(IF(VLOOKUP($A51,'Annex 2 EHV charges'!$D:$O,12,FALSE)=0,"",VLOOKUP($A51,'Annex 2 EHV charges'!$D:$O,12,FALSE)),"")</f>
        <v>0.05</v>
      </c>
    </row>
    <row r="52" spans="1:8" ht="12.75" customHeight="1" x14ac:dyDescent="0.2">
      <c r="A52" s="86" t="str">
        <f t="array" ref="A52">IFERROR(INDEX('Annex 2 EHV charges'!$D$10:$D$108, MATCH(0, IF(ISBLANK('Annex 2 EHV charges'!$D$10:$D$108),1, COUNTIF(A$4:$A51, 'Annex 2 EHV charges'!$D$10:$D$108)), 0)),"")</f>
        <v>ORCHRD</v>
      </c>
      <c r="B52" s="85">
        <f>IF($A52="","",VLOOKUP($A52,'Annex 2 EHV charges'!$D:$O,2,0))</f>
        <v>753</v>
      </c>
      <c r="C52" s="86" t="str">
        <f>IF($A52="","",VLOOKUP($A52,'Annex 2 EHV charges'!$D:$O,3,0))</f>
        <v>1900091085110
1900091349724
1900091349733
1900091473671</v>
      </c>
      <c r="D52" s="85" t="str">
        <f>IF($A52="","",VLOOKUP($A52,'Annex 2 EHV charges'!$D:$O,4,0))</f>
        <v>ORCHRD</v>
      </c>
      <c r="E52" s="87" t="str">
        <f>IFERROR(IF(VLOOKUP($A52,'Annex 2 EHV charges'!$D:$O,9,FALSE)=0,"",VLOOKUP($A52,'Annex 2 EHV charges'!$D:$O,9,FALSE)),"")</f>
        <v/>
      </c>
      <c r="F52" s="88">
        <f>IFERROR(IF(VLOOKUP($A52,'Annex 2 EHV charges'!$D:$O,10,FALSE)=0,"",VLOOKUP($A52,'Annex 2 EHV charges'!$D:$O,10,FALSE)),"")</f>
        <v>943.28</v>
      </c>
      <c r="G52" s="89">
        <f>IFERROR(IF(VLOOKUP($A52,'Annex 2 EHV charges'!$D:$O,11,FALSE)=0,"",VLOOKUP($A52,'Annex 2 EHV charges'!$D:$O,11,FALSE)),"")</f>
        <v>0.05</v>
      </c>
      <c r="H52" s="89">
        <f>IFERROR(IF(VLOOKUP($A52,'Annex 2 EHV charges'!$D:$O,12,FALSE)=0,"",VLOOKUP($A52,'Annex 2 EHV charges'!$D:$O,12,FALSE)),"")</f>
        <v>0.05</v>
      </c>
    </row>
    <row r="53" spans="1:8" ht="12.75" customHeight="1" x14ac:dyDescent="0.2">
      <c r="A53" s="86" t="str">
        <f t="array" ref="A53">IFERROR(INDEX('Annex 2 EHV charges'!$D$10:$D$108, MATCH(0, IF(ISBLANK('Annex 2 EHV charges'!$D$10:$D$108),1, COUNTIF(A$4:$A52, 'Annex 2 EHV charges'!$D$10:$D$108)), 0)),"")</f>
        <v>PADWSF</v>
      </c>
      <c r="B53" s="85">
        <f>IF($A53="","",VLOOKUP($A53,'Annex 2 EHV charges'!$D:$O,2,0))</f>
        <v>754</v>
      </c>
      <c r="C53" s="86">
        <f>IF($A53="","",VLOOKUP($A53,'Annex 2 EHV charges'!$D:$O,3,0))</f>
        <v>1900091216643</v>
      </c>
      <c r="D53" s="85" t="str">
        <f>IF($A53="","",VLOOKUP($A53,'Annex 2 EHV charges'!$D:$O,4,0))</f>
        <v>PADWSF</v>
      </c>
      <c r="E53" s="87" t="str">
        <f>IFERROR(IF(VLOOKUP($A53,'Annex 2 EHV charges'!$D:$O,9,FALSE)=0,"",VLOOKUP($A53,'Annex 2 EHV charges'!$D:$O,9,FALSE)),"")</f>
        <v/>
      </c>
      <c r="F53" s="88">
        <f>IFERROR(IF(VLOOKUP($A53,'Annex 2 EHV charges'!$D:$O,10,FALSE)=0,"",VLOOKUP($A53,'Annex 2 EHV charges'!$D:$O,10,FALSE)),"")</f>
        <v>694.06</v>
      </c>
      <c r="G53" s="89">
        <f>IFERROR(IF(VLOOKUP($A53,'Annex 2 EHV charges'!$D:$O,11,FALSE)=0,"",VLOOKUP($A53,'Annex 2 EHV charges'!$D:$O,11,FALSE)),"")</f>
        <v>0.05</v>
      </c>
      <c r="H53" s="89">
        <f>IFERROR(IF(VLOOKUP($A53,'Annex 2 EHV charges'!$D:$O,12,FALSE)=0,"",VLOOKUP($A53,'Annex 2 EHV charges'!$D:$O,12,FALSE)),"")</f>
        <v>0.05</v>
      </c>
    </row>
    <row r="54" spans="1:8" ht="12.75" customHeight="1" x14ac:dyDescent="0.2">
      <c r="A54" s="86" t="str">
        <f t="array" ref="A54">IFERROR(INDEX('Annex 2 EHV charges'!$D$10:$D$108, MATCH(0, IF(ISBLANK('Annex 2 EHV charges'!$D$10:$D$108),1, COUNTIF(A$4:$A53, 'Annex 2 EHV charges'!$D$10:$D$108)), 0)),"")</f>
        <v>POSHWF</v>
      </c>
      <c r="B54" s="85">
        <f>IF($A54="","",VLOOKUP($A54,'Annex 2 EHV charges'!$D:$O,2,0))</f>
        <v>719</v>
      </c>
      <c r="C54" s="86">
        <f>IF($A54="","",VLOOKUP($A54,'Annex 2 EHV charges'!$D:$O,3,0))</f>
        <v>1900091227316</v>
      </c>
      <c r="D54" s="85" t="str">
        <f>IF($A54="","",VLOOKUP($A54,'Annex 2 EHV charges'!$D:$O,4,0))</f>
        <v>POSHWF</v>
      </c>
      <c r="E54" s="87" t="str">
        <f>IFERROR(IF(VLOOKUP($A54,'Annex 2 EHV charges'!$D:$O,9,FALSE)=0,"",VLOOKUP($A54,'Annex 2 EHV charges'!$D:$O,9,FALSE)),"")</f>
        <v/>
      </c>
      <c r="F54" s="88">
        <f>IFERROR(IF(VLOOKUP($A54,'Annex 2 EHV charges'!$D:$O,10,FALSE)=0,"",VLOOKUP($A54,'Annex 2 EHV charges'!$D:$O,10,FALSE)),"")</f>
        <v>310.94</v>
      </c>
      <c r="G54" s="89">
        <f>IFERROR(IF(VLOOKUP($A54,'Annex 2 EHV charges'!$D:$O,11,FALSE)=0,"",VLOOKUP($A54,'Annex 2 EHV charges'!$D:$O,11,FALSE)),"")</f>
        <v>0.05</v>
      </c>
      <c r="H54" s="89">
        <f>IFERROR(IF(VLOOKUP($A54,'Annex 2 EHV charges'!$D:$O,12,FALSE)=0,"",VLOOKUP($A54,'Annex 2 EHV charges'!$D:$O,12,FALSE)),"")</f>
        <v>0.05</v>
      </c>
    </row>
    <row r="55" spans="1:8" ht="12.75" customHeight="1" x14ac:dyDescent="0.2">
      <c r="A55" s="86" t="str">
        <f t="array" ref="A55">IFERROR(INDEX('Annex 2 EHV charges'!$D$10:$D$108, MATCH(0, IF(ISBLANK('Annex 2 EHV charges'!$D$10:$D$108),1, COUNTIF(A$4:$A54, 'Annex 2 EHV charges'!$D$10:$D$108)), 0)),"")</f>
        <v>PRIORS</v>
      </c>
      <c r="B55" s="85">
        <f>IF($A55="","",VLOOKUP($A55,'Annex 2 EHV charges'!$D:$O,2,0))</f>
        <v>717</v>
      </c>
      <c r="C55" s="86">
        <f>IF($A55="","",VLOOKUP($A55,'Annex 2 EHV charges'!$D:$O,3,0))</f>
        <v>1900091320006</v>
      </c>
      <c r="D55" s="85" t="str">
        <f>IF($A55="","",VLOOKUP($A55,'Annex 2 EHV charges'!$D:$O,4,0))</f>
        <v>PRIORS</v>
      </c>
      <c r="E55" s="87" t="str">
        <f>IFERROR(IF(VLOOKUP($A55,'Annex 2 EHV charges'!$D:$O,9,FALSE)=0,"",VLOOKUP($A55,'Annex 2 EHV charges'!$D:$O,9,FALSE)),"")</f>
        <v/>
      </c>
      <c r="F55" s="88">
        <f>IFERROR(IF(VLOOKUP($A55,'Annex 2 EHV charges'!$D:$O,10,FALSE)=0,"",VLOOKUP($A55,'Annex 2 EHV charges'!$D:$O,10,FALSE)),"")</f>
        <v>655.61</v>
      </c>
      <c r="G55" s="89">
        <f>IFERROR(IF(VLOOKUP($A55,'Annex 2 EHV charges'!$D:$O,11,FALSE)=0,"",VLOOKUP($A55,'Annex 2 EHV charges'!$D:$O,11,FALSE)),"")</f>
        <v>0.05</v>
      </c>
      <c r="H55" s="89">
        <f>IFERROR(IF(VLOOKUP($A55,'Annex 2 EHV charges'!$D:$O,12,FALSE)=0,"",VLOOKUP($A55,'Annex 2 EHV charges'!$D:$O,12,FALSE)),"")</f>
        <v>0.05</v>
      </c>
    </row>
    <row r="56" spans="1:8" ht="12.75" customHeight="1" x14ac:dyDescent="0.2">
      <c r="A56" s="86" t="str">
        <f t="array" ref="A56">IFERROR(INDEX('Annex 2 EHV charges'!$D$10:$D$108, MATCH(0, IF(ISBLANK('Annex 2 EHV charges'!$D$10:$D$108),1, COUNTIF(A$4:$A55, 'Annex 2 EHV charges'!$D$10:$D$108)), 0)),"")</f>
        <v>PSHLEY</v>
      </c>
      <c r="B56" s="85">
        <f>IF($A56="","",VLOOKUP($A56,'Annex 2 EHV charges'!$D:$O,2,0))</f>
        <v>703</v>
      </c>
      <c r="C56" s="86">
        <f>IF($A56="","",VLOOKUP($A56,'Annex 2 EHV charges'!$D:$O,3,0))</f>
        <v>1900091178963</v>
      </c>
      <c r="D56" s="85" t="str">
        <f>IF($A56="","",VLOOKUP($A56,'Annex 2 EHV charges'!$D:$O,4,0))</f>
        <v>PSHLEY</v>
      </c>
      <c r="E56" s="87" t="str">
        <f>IFERROR(IF(VLOOKUP($A56,'Annex 2 EHV charges'!$D:$O,9,FALSE)=0,"",VLOOKUP($A56,'Annex 2 EHV charges'!$D:$O,9,FALSE)),"")</f>
        <v/>
      </c>
      <c r="F56" s="88">
        <f>IFERROR(IF(VLOOKUP($A56,'Annex 2 EHV charges'!$D:$O,10,FALSE)=0,"",VLOOKUP($A56,'Annex 2 EHV charges'!$D:$O,10,FALSE)),"")</f>
        <v>1183.56</v>
      </c>
      <c r="G56" s="89">
        <f>IFERROR(IF(VLOOKUP($A56,'Annex 2 EHV charges'!$D:$O,11,FALSE)=0,"",VLOOKUP($A56,'Annex 2 EHV charges'!$D:$O,11,FALSE)),"")</f>
        <v>0.05</v>
      </c>
      <c r="H56" s="89">
        <f>IFERROR(IF(VLOOKUP($A56,'Annex 2 EHV charges'!$D:$O,12,FALSE)=0,"",VLOOKUP($A56,'Annex 2 EHV charges'!$D:$O,12,FALSE)),"")</f>
        <v>0.05</v>
      </c>
    </row>
    <row r="57" spans="1:8" ht="12.75" customHeight="1" x14ac:dyDescent="0.2">
      <c r="A57" s="86" t="str">
        <f t="array" ref="A57">IFERROR(INDEX('Annex 2 EHV charges'!$D$10:$D$108, MATCH(0, IF(ISBLANK('Annex 2 EHV charges'!$D$10:$D$108),1, COUNTIF(A$4:$A56, 'Annex 2 EHV charges'!$D$10:$D$108)), 0)),"")</f>
        <v>SELLSF</v>
      </c>
      <c r="B57" s="85">
        <f>IF($A57="","",VLOOKUP($A57,'Annex 2 EHV charges'!$D:$O,2,0))</f>
        <v>720</v>
      </c>
      <c r="C57" s="86">
        <f>IF($A57="","",VLOOKUP($A57,'Annex 2 EHV charges'!$D:$O,3,0))</f>
        <v>1900091360969</v>
      </c>
      <c r="D57" s="85" t="str">
        <f>IF($A57="","",VLOOKUP($A57,'Annex 2 EHV charges'!$D:$O,4,0))</f>
        <v>SELLSF</v>
      </c>
      <c r="E57" s="87" t="str">
        <f>IFERROR(IF(VLOOKUP($A57,'Annex 2 EHV charges'!$D:$O,9,FALSE)=0,"",VLOOKUP($A57,'Annex 2 EHV charges'!$D:$O,9,FALSE)),"")</f>
        <v/>
      </c>
      <c r="F57" s="88">
        <f>IFERROR(IF(VLOOKUP($A57,'Annex 2 EHV charges'!$D:$O,10,FALSE)=0,"",VLOOKUP($A57,'Annex 2 EHV charges'!$D:$O,10,FALSE)),"")</f>
        <v>726.75</v>
      </c>
      <c r="G57" s="89">
        <f>IFERROR(IF(VLOOKUP($A57,'Annex 2 EHV charges'!$D:$O,11,FALSE)=0,"",VLOOKUP($A57,'Annex 2 EHV charges'!$D:$O,11,FALSE)),"")</f>
        <v>0.05</v>
      </c>
      <c r="H57" s="89">
        <f>IFERROR(IF(VLOOKUP($A57,'Annex 2 EHV charges'!$D:$O,12,FALSE)=0,"",VLOOKUP($A57,'Annex 2 EHV charges'!$D:$O,12,FALSE)),"")</f>
        <v>0.05</v>
      </c>
    </row>
    <row r="58" spans="1:8" ht="12.75" customHeight="1" x14ac:dyDescent="0.2">
      <c r="A58" s="86" t="str">
        <f t="array" ref="A58">IFERROR(INDEX('Annex 2 EHV charges'!$D$10:$D$108, MATCH(0, IF(ISBLANK('Annex 2 EHV charges'!$D$10:$D$108),1, COUNTIF(A$4:$A57, 'Annex 2 EHV charges'!$D$10:$D$108)), 0)),"")</f>
        <v>SEVIND</v>
      </c>
      <c r="B58" s="85">
        <f>IF($A58="","",VLOOKUP($A58,'Annex 2 EHV charges'!$D:$O,2,0))</f>
        <v>0</v>
      </c>
      <c r="C58" s="86" t="str">
        <f>IF($A58="","",VLOOKUP($A58,'Annex 2 EHV charges'!$D:$O,3,0))</f>
        <v>MSID: 7160</v>
      </c>
      <c r="D58" s="85" t="str">
        <f>IF($A58="","",VLOOKUP($A58,'Annex 2 EHV charges'!$D:$O,4,0))</f>
        <v>SEVIND</v>
      </c>
      <c r="E58" s="87">
        <f>IFERROR(IF(VLOOKUP($A58,'Annex 2 EHV charges'!$D:$O,9,FALSE)=0,"",VLOOKUP($A58,'Annex 2 EHV charges'!$D:$O,9,FALSE)),"")</f>
        <v>-0.879</v>
      </c>
      <c r="F58" s="88">
        <f>IFERROR(IF(VLOOKUP($A58,'Annex 2 EHV charges'!$D:$O,10,FALSE)=0,"",VLOOKUP($A58,'Annex 2 EHV charges'!$D:$O,10,FALSE)),"")</f>
        <v>109.19</v>
      </c>
      <c r="G58" s="89">
        <f>IFERROR(IF(VLOOKUP($A58,'Annex 2 EHV charges'!$D:$O,11,FALSE)=0,"",VLOOKUP($A58,'Annex 2 EHV charges'!$D:$O,11,FALSE)),"")</f>
        <v>0.05</v>
      </c>
      <c r="H58" s="89">
        <f>IFERROR(IF(VLOOKUP($A58,'Annex 2 EHV charges'!$D:$O,12,FALSE)=0,"",VLOOKUP($A58,'Annex 2 EHV charges'!$D:$O,12,FALSE)),"")</f>
        <v>0.05</v>
      </c>
    </row>
    <row r="59" spans="1:8" ht="12.75" customHeight="1" x14ac:dyDescent="0.2">
      <c r="A59" s="86" t="str">
        <f t="array" ref="A59">IFERROR(INDEX('Annex 2 EHV charges'!$D$10:$D$108, MATCH(0, IF(ISBLANK('Annex 2 EHV charges'!$D$10:$D$108),1, COUNTIF(A$4:$A58, 'Annex 2 EHV charges'!$D$10:$D$108)), 0)),"")</f>
        <v>SHEPHM</v>
      </c>
      <c r="B59" s="85">
        <f>IF($A59="","",VLOOKUP($A59,'Annex 2 EHV charges'!$D:$O,2,0))</f>
        <v>718</v>
      </c>
      <c r="C59" s="86">
        <f>IF($A59="","",VLOOKUP($A59,'Annex 2 EHV charges'!$D:$O,3,0))</f>
        <v>1900091420137</v>
      </c>
      <c r="D59" s="85" t="str">
        <f>IF($A59="","",VLOOKUP($A59,'Annex 2 EHV charges'!$D:$O,4,0))</f>
        <v>SHEPHM</v>
      </c>
      <c r="E59" s="87" t="str">
        <f>IFERROR(IF(VLOOKUP($A59,'Annex 2 EHV charges'!$D:$O,9,FALSE)=0,"",VLOOKUP($A59,'Annex 2 EHV charges'!$D:$O,9,FALSE)),"")</f>
        <v/>
      </c>
      <c r="F59" s="88">
        <f>IFERROR(IF(VLOOKUP($A59,'Annex 2 EHV charges'!$D:$O,10,FALSE)=0,"",VLOOKUP($A59,'Annex 2 EHV charges'!$D:$O,10,FALSE)),"")</f>
        <v>1738.71</v>
      </c>
      <c r="G59" s="89">
        <f>IFERROR(IF(VLOOKUP($A59,'Annex 2 EHV charges'!$D:$O,11,FALSE)=0,"",VLOOKUP($A59,'Annex 2 EHV charges'!$D:$O,11,FALSE)),"")</f>
        <v>0.05</v>
      </c>
      <c r="H59" s="89">
        <f>IFERROR(IF(VLOOKUP($A59,'Annex 2 EHV charges'!$D:$O,12,FALSE)=0,"",VLOOKUP($A59,'Annex 2 EHV charges'!$D:$O,12,FALSE)),"")</f>
        <v>0.05</v>
      </c>
    </row>
    <row r="60" spans="1:8" ht="12.75" customHeight="1" x14ac:dyDescent="0.2">
      <c r="A60" s="86" t="str">
        <f t="array" ref="A60">IFERROR(INDEX('Annex 2 EHV charges'!$D$10:$D$108, MATCH(0, IF(ISBLANK('Annex 2 EHV charges'!$D$10:$D$108),1, COUNTIF(A$4:$A59, 'Annex 2 EHV charges'!$D$10:$D$108)), 0)),"")</f>
        <v>SHORHM</v>
      </c>
      <c r="B60" s="85">
        <f>IF($A60="","",VLOOKUP($A60,'Annex 2 EHV charges'!$D:$O,2,0))</f>
        <v>0</v>
      </c>
      <c r="C60" s="86" t="str">
        <f>IF($A60="","",VLOOKUP($A60,'Annex 2 EHV charges'!$D:$O,3,0))</f>
        <v>MSID: 7105</v>
      </c>
      <c r="D60" s="85" t="str">
        <f>IF($A60="","",VLOOKUP($A60,'Annex 2 EHV charges'!$D:$O,4,0))</f>
        <v>SHORHM</v>
      </c>
      <c r="E60" s="87" t="str">
        <f>IFERROR(IF(VLOOKUP($A60,'Annex 2 EHV charges'!$D:$O,9,FALSE)=0,"",VLOOKUP($A60,'Annex 2 EHV charges'!$D:$O,9,FALSE)),"")</f>
        <v/>
      </c>
      <c r="F60" s="88" t="str">
        <f>IFERROR(IF(VLOOKUP($A60,'Annex 2 EHV charges'!$D:$O,10,FALSE)=0,"",VLOOKUP($A60,'Annex 2 EHV charges'!$D:$O,10,FALSE)),"")</f>
        <v/>
      </c>
      <c r="G60" s="89" t="str">
        <f>IFERROR(IF(VLOOKUP($A60,'Annex 2 EHV charges'!$D:$O,11,FALSE)=0,"",VLOOKUP($A60,'Annex 2 EHV charges'!$D:$O,11,FALSE)),"")</f>
        <v/>
      </c>
      <c r="H60" s="89" t="str">
        <f>IFERROR(IF(VLOOKUP($A60,'Annex 2 EHV charges'!$D:$O,12,FALSE)=0,"",VLOOKUP($A60,'Annex 2 EHV charges'!$D:$O,12,FALSE)),"")</f>
        <v/>
      </c>
    </row>
    <row r="61" spans="1:8" ht="12.75" customHeight="1" x14ac:dyDescent="0.2">
      <c r="A61" s="86" t="str">
        <f t="array" ref="A61">IFERROR(INDEX('Annex 2 EHV charges'!$D$10:$D$108, MATCH(0, IF(ISBLANK('Annex 2 EHV charges'!$D$10:$D$108),1, COUNTIF(A$4:$A60, 'Annex 2 EHV charges'!$D$10:$D$108)), 0)),"")</f>
        <v>SOLEES</v>
      </c>
      <c r="B61" s="85">
        <f>IF($A61="","",VLOOKUP($A61,'Annex 2 EHV charges'!$D:$O,2,0))</f>
        <v>755</v>
      </c>
      <c r="C61" s="86" t="str">
        <f>IF($A61="","",VLOOKUP($A61,'Annex 2 EHV charges'!$D:$O,3,0))</f>
        <v>1900091121266
1900091121284</v>
      </c>
      <c r="D61" s="85" t="str">
        <f>IF($A61="","",VLOOKUP($A61,'Annex 2 EHV charges'!$D:$O,4,0))</f>
        <v>SOLEES</v>
      </c>
      <c r="E61" s="87" t="str">
        <f>IFERROR(IF(VLOOKUP($A61,'Annex 2 EHV charges'!$D:$O,9,FALSE)=0,"",VLOOKUP($A61,'Annex 2 EHV charges'!$D:$O,9,FALSE)),"")</f>
        <v/>
      </c>
      <c r="F61" s="88">
        <f>IFERROR(IF(VLOOKUP($A61,'Annex 2 EHV charges'!$D:$O,10,FALSE)=0,"",VLOOKUP($A61,'Annex 2 EHV charges'!$D:$O,10,FALSE)),"")</f>
        <v>1614.92</v>
      </c>
      <c r="G61" s="89">
        <f>IFERROR(IF(VLOOKUP($A61,'Annex 2 EHV charges'!$D:$O,11,FALSE)=0,"",VLOOKUP($A61,'Annex 2 EHV charges'!$D:$O,11,FALSE)),"")</f>
        <v>0.05</v>
      </c>
      <c r="H61" s="89">
        <f>IFERROR(IF(VLOOKUP($A61,'Annex 2 EHV charges'!$D:$O,12,FALSE)=0,"",VLOOKUP($A61,'Annex 2 EHV charges'!$D:$O,12,FALSE)),"")</f>
        <v>0.05</v>
      </c>
    </row>
    <row r="62" spans="1:8" ht="12.75" customHeight="1" x14ac:dyDescent="0.2">
      <c r="A62" s="86" t="str">
        <f t="array" ref="A62">IFERROR(INDEX('Annex 2 EHV charges'!$D$10:$D$108, MATCH(0, IF(ISBLANK('Annex 2 EHV charges'!$D$10:$D$108),1, COUNTIF(A$4:$A61, 'Annex 2 EHV charges'!$D$10:$D$108)), 0)),"")</f>
        <v>STAREN</v>
      </c>
      <c r="B62" s="85">
        <f>IF($A62="","",VLOOKUP($A62,'Annex 2 EHV charges'!$D:$O,2,0))</f>
        <v>729</v>
      </c>
      <c r="C62" s="86">
        <f>IF($A62="","",VLOOKUP($A62,'Annex 2 EHV charges'!$D:$O,3,0))</f>
        <v>1900060830226</v>
      </c>
      <c r="D62" s="85" t="str">
        <f>IF($A62="","",VLOOKUP($A62,'Annex 2 EHV charges'!$D:$O,4,0))</f>
        <v>STAREN</v>
      </c>
      <c r="E62" s="87" t="str">
        <f>IFERROR(IF(VLOOKUP($A62,'Annex 2 EHV charges'!$D:$O,9,FALSE)=0,"",VLOOKUP($A62,'Annex 2 EHV charges'!$D:$O,9,FALSE)),"")</f>
        <v/>
      </c>
      <c r="F62" s="88" t="str">
        <f>IFERROR(IF(VLOOKUP($A62,'Annex 2 EHV charges'!$D:$O,10,FALSE)=0,"",VLOOKUP($A62,'Annex 2 EHV charges'!$D:$O,10,FALSE)),"")</f>
        <v/>
      </c>
      <c r="G62" s="89" t="str">
        <f>IFERROR(IF(VLOOKUP($A62,'Annex 2 EHV charges'!$D:$O,11,FALSE)=0,"",VLOOKUP($A62,'Annex 2 EHV charges'!$D:$O,11,FALSE)),"")</f>
        <v/>
      </c>
      <c r="H62" s="89" t="str">
        <f>IFERROR(IF(VLOOKUP($A62,'Annex 2 EHV charges'!$D:$O,12,FALSE)=0,"",VLOOKUP($A62,'Annex 2 EHV charges'!$D:$O,12,FALSE)),"")</f>
        <v/>
      </c>
    </row>
    <row r="63" spans="1:8" ht="12.75" customHeight="1" x14ac:dyDescent="0.2">
      <c r="A63" s="86" t="str">
        <f t="array" ref="A63">IFERROR(INDEX('Annex 2 EHV charges'!$D$10:$D$108, MATCH(0, IF(ISBLANK('Annex 2 EHV charges'!$D$10:$D$108),1, COUNTIF(A$4:$A62, 'Annex 2 EHV charges'!$D$10:$D$108)), 0)),"")</f>
        <v>SYCAMR</v>
      </c>
      <c r="B63" s="85">
        <f>IF($A63="","",VLOOKUP($A63,'Annex 2 EHV charges'!$D:$O,2,0))</f>
        <v>737</v>
      </c>
      <c r="C63" s="86">
        <f>IF($A63="","",VLOOKUP($A63,'Annex 2 EHV charges'!$D:$O,3,0))</f>
        <v>1900091090101</v>
      </c>
      <c r="D63" s="85" t="str">
        <f>IF($A63="","",VLOOKUP($A63,'Annex 2 EHV charges'!$D:$O,4,0))</f>
        <v>SYCAMR</v>
      </c>
      <c r="E63" s="87" t="str">
        <f>IFERROR(IF(VLOOKUP($A63,'Annex 2 EHV charges'!$D:$O,9,FALSE)=0,"",VLOOKUP($A63,'Annex 2 EHV charges'!$D:$O,9,FALSE)),"")</f>
        <v/>
      </c>
      <c r="F63" s="88">
        <f>IFERROR(IF(VLOOKUP($A63,'Annex 2 EHV charges'!$D:$O,10,FALSE)=0,"",VLOOKUP($A63,'Annex 2 EHV charges'!$D:$O,10,FALSE)),"")</f>
        <v>2098.94</v>
      </c>
      <c r="G63" s="89">
        <f>IFERROR(IF(VLOOKUP($A63,'Annex 2 EHV charges'!$D:$O,11,FALSE)=0,"",VLOOKUP($A63,'Annex 2 EHV charges'!$D:$O,11,FALSE)),"")</f>
        <v>0.05</v>
      </c>
      <c r="H63" s="89">
        <f>IFERROR(IF(VLOOKUP($A63,'Annex 2 EHV charges'!$D:$O,12,FALSE)=0,"",VLOOKUP($A63,'Annex 2 EHV charges'!$D:$O,12,FALSE)),"")</f>
        <v>0.05</v>
      </c>
    </row>
    <row r="64" spans="1:8" ht="12.75" customHeight="1" x14ac:dyDescent="0.2">
      <c r="A64" s="86" t="str">
        <f t="array" ref="A64">IFERROR(INDEX('Annex 2 EHV charges'!$D$10:$D$108, MATCH(0, IF(ISBLANK('Annex 2 EHV charges'!$D$10:$D$108),1, COUNTIF(A$4:$A63, 'Annex 2 EHV charges'!$D$10:$D$108)), 0)),"")</f>
        <v>THAEAR</v>
      </c>
      <c r="B64" s="85">
        <f>IF($A64="","",VLOOKUP($A64,'Annex 2 EHV charges'!$D:$O,2,0))</f>
        <v>733</v>
      </c>
      <c r="C64" s="86" t="str">
        <f>IF($A64="","",VLOOKUP($A64,'Annex 2 EHV charges'!$D:$O,3,0))</f>
        <v>1900090417160
1900090417189
1900090417212
1900090417221
1900090417230</v>
      </c>
      <c r="D64" s="85" t="str">
        <f>IF($A64="","",VLOOKUP($A64,'Annex 2 EHV charges'!$D:$O,4,0))</f>
        <v>THAEAR</v>
      </c>
      <c r="E64" s="87">
        <f>IFERROR(IF(VLOOKUP($A64,'Annex 2 EHV charges'!$D:$O,9,FALSE)=0,"",VLOOKUP($A64,'Annex 2 EHV charges'!$D:$O,9,FALSE)),"")</f>
        <v>-1.393</v>
      </c>
      <c r="F64" s="88">
        <f>IFERROR(IF(VLOOKUP($A64,'Annex 2 EHV charges'!$D:$O,10,FALSE)=0,"",VLOOKUP($A64,'Annex 2 EHV charges'!$D:$O,10,FALSE)),"")</f>
        <v>3245.27</v>
      </c>
      <c r="G64" s="89">
        <f>IFERROR(IF(VLOOKUP($A64,'Annex 2 EHV charges'!$D:$O,11,FALSE)=0,"",VLOOKUP($A64,'Annex 2 EHV charges'!$D:$O,11,FALSE)),"")</f>
        <v>0.05</v>
      </c>
      <c r="H64" s="89">
        <f>IFERROR(IF(VLOOKUP($A64,'Annex 2 EHV charges'!$D:$O,12,FALSE)=0,"",VLOOKUP($A64,'Annex 2 EHV charges'!$D:$O,12,FALSE)),"")</f>
        <v>0.05</v>
      </c>
    </row>
    <row r="65" spans="1:8" ht="12.75" customHeight="1" x14ac:dyDescent="0.2">
      <c r="A65" s="86" t="str">
        <f t="array" ref="A65">IFERROR(INDEX('Annex 2 EHV charges'!$D$10:$D$108, MATCH(0, IF(ISBLANK('Annex 2 EHV charges'!$D$10:$D$108),1, COUNTIF(A$4:$A64, 'Annex 2 EHV charges'!$D$10:$D$108)), 0)),"")</f>
        <v>THANET</v>
      </c>
      <c r="B65" s="85">
        <f>IF($A65="","",VLOOKUP($A65,'Annex 2 EHV charges'!$D:$O,2,0))</f>
        <v>0</v>
      </c>
      <c r="C65" s="86" t="str">
        <f>IF($A65="","",VLOOKUP($A65,'Annex 2 EHV charges'!$D:$O,3,0))</f>
        <v>MSID: 7230</v>
      </c>
      <c r="D65" s="85" t="str">
        <f>IF($A65="","",VLOOKUP($A65,'Annex 2 EHV charges'!$D:$O,4,0))</f>
        <v>THANET</v>
      </c>
      <c r="E65" s="87" t="str">
        <f>IFERROR(IF(VLOOKUP($A65,'Annex 2 EHV charges'!$D:$O,9,FALSE)=0,"",VLOOKUP($A65,'Annex 2 EHV charges'!$D:$O,9,FALSE)),"")</f>
        <v/>
      </c>
      <c r="F65" s="88">
        <f>IFERROR(IF(VLOOKUP($A65,'Annex 2 EHV charges'!$D:$O,10,FALSE)=0,"",VLOOKUP($A65,'Annex 2 EHV charges'!$D:$O,10,FALSE)),"")</f>
        <v>1537.94</v>
      </c>
      <c r="G65" s="89">
        <f>IFERROR(IF(VLOOKUP($A65,'Annex 2 EHV charges'!$D:$O,11,FALSE)=0,"",VLOOKUP($A65,'Annex 2 EHV charges'!$D:$O,11,FALSE)),"")</f>
        <v>0.05</v>
      </c>
      <c r="H65" s="89">
        <f>IFERROR(IF(VLOOKUP($A65,'Annex 2 EHV charges'!$D:$O,12,FALSE)=0,"",VLOOKUP($A65,'Annex 2 EHV charges'!$D:$O,12,FALSE)),"")</f>
        <v>0.05</v>
      </c>
    </row>
    <row r="66" spans="1:8" ht="12.75" customHeight="1" x14ac:dyDescent="0.2">
      <c r="A66" s="86" t="str">
        <f t="array" ref="A66">IFERROR(INDEX('Annex 2 EHV charges'!$D$10:$D$108, MATCH(0, IF(ISBLANK('Annex 2 EHV charges'!$D$10:$D$108),1, COUNTIF(A$4:$A65, 'Annex 2 EHV charges'!$D$10:$D$108)), 0)),"")</f>
        <v>THORNE</v>
      </c>
      <c r="B66" s="85">
        <f>IF($A66="","",VLOOKUP($A66,'Annex 2 EHV charges'!$D:$O,2,0))</f>
        <v>750</v>
      </c>
      <c r="C66" s="86">
        <f>IF($A66="","",VLOOKUP($A66,'Annex 2 EHV charges'!$D:$O,3,0))</f>
        <v>1900091171373</v>
      </c>
      <c r="D66" s="85" t="str">
        <f>IF($A66="","",VLOOKUP($A66,'Annex 2 EHV charges'!$D:$O,4,0))</f>
        <v>THORNE</v>
      </c>
      <c r="E66" s="87" t="str">
        <f>IFERROR(IF(VLOOKUP($A66,'Annex 2 EHV charges'!$D:$O,9,FALSE)=0,"",VLOOKUP($A66,'Annex 2 EHV charges'!$D:$O,9,FALSE)),"")</f>
        <v/>
      </c>
      <c r="F66" s="88">
        <f>IFERROR(IF(VLOOKUP($A66,'Annex 2 EHV charges'!$D:$O,10,FALSE)=0,"",VLOOKUP($A66,'Annex 2 EHV charges'!$D:$O,10,FALSE)),"")</f>
        <v>2054.13</v>
      </c>
      <c r="G66" s="89">
        <f>IFERROR(IF(VLOOKUP($A66,'Annex 2 EHV charges'!$D:$O,11,FALSE)=0,"",VLOOKUP($A66,'Annex 2 EHV charges'!$D:$O,11,FALSE)),"")</f>
        <v>0.05</v>
      </c>
      <c r="H66" s="89">
        <f>IFERROR(IF(VLOOKUP($A66,'Annex 2 EHV charges'!$D:$O,12,FALSE)=0,"",VLOOKUP($A66,'Annex 2 EHV charges'!$D:$O,12,FALSE)),"")</f>
        <v>0.05</v>
      </c>
    </row>
    <row r="67" spans="1:8" ht="12.75" customHeight="1" x14ac:dyDescent="0.2">
      <c r="A67" s="86" t="str">
        <f t="array" ref="A67">IFERROR(INDEX('Annex 2 EHV charges'!$D$10:$D$108, MATCH(0, IF(ISBLANK('Annex 2 EHV charges'!$D$10:$D$108),1, COUNTIF(A$4:$A66, 'Annex 2 EHV charges'!$D$10:$D$108)), 0)),"")</f>
        <v>TONGSF</v>
      </c>
      <c r="B67" s="85">
        <f>IF($A67="","",VLOOKUP($A67,'Annex 2 EHV charges'!$D:$O,2,0))</f>
        <v>711</v>
      </c>
      <c r="C67" s="86">
        <f>IF($A67="","",VLOOKUP($A67,'Annex 2 EHV charges'!$D:$O,3,0))</f>
        <v>1900091363019</v>
      </c>
      <c r="D67" s="85" t="str">
        <f>IF($A67="","",VLOOKUP($A67,'Annex 2 EHV charges'!$D:$O,4,0))</f>
        <v>TONGSF</v>
      </c>
      <c r="E67" s="87" t="str">
        <f>IFERROR(IF(VLOOKUP($A67,'Annex 2 EHV charges'!$D:$O,9,FALSE)=0,"",VLOOKUP($A67,'Annex 2 EHV charges'!$D:$O,9,FALSE)),"")</f>
        <v/>
      </c>
      <c r="F67" s="88">
        <f>IFERROR(IF(VLOOKUP($A67,'Annex 2 EHV charges'!$D:$O,10,FALSE)=0,"",VLOOKUP($A67,'Annex 2 EHV charges'!$D:$O,10,FALSE)),"")</f>
        <v>2335.61</v>
      </c>
      <c r="G67" s="89">
        <f>IFERROR(IF(VLOOKUP($A67,'Annex 2 EHV charges'!$D:$O,11,FALSE)=0,"",VLOOKUP($A67,'Annex 2 EHV charges'!$D:$O,11,FALSE)),"")</f>
        <v>0.05</v>
      </c>
      <c r="H67" s="89">
        <f>IFERROR(IF(VLOOKUP($A67,'Annex 2 EHV charges'!$D:$O,12,FALSE)=0,"",VLOOKUP($A67,'Annex 2 EHV charges'!$D:$O,12,FALSE)),"")</f>
        <v>0.05</v>
      </c>
    </row>
    <row r="68" spans="1:8" ht="12.75" customHeight="1" x14ac:dyDescent="0.2">
      <c r="A68" s="86" t="str">
        <f t="array" ref="A68">IFERROR(INDEX('Annex 2 EHV charges'!$D$10:$D$108, MATCH(0, IF(ISBLANK('Annex 2 EHV charges'!$D$10:$D$108),1, COUNTIF(A$4:$A67, 'Annex 2 EHV charges'!$D$10:$D$108)), 0)),"")</f>
        <v>WDLNDS</v>
      </c>
      <c r="B68" s="85">
        <f>IF($A68="","",VLOOKUP($A68,'Annex 2 EHV charges'!$D:$O,2,0))</f>
        <v>702</v>
      </c>
      <c r="C68" s="86">
        <f>IF($A68="","",VLOOKUP($A68,'Annex 2 EHV charges'!$D:$O,3,0))</f>
        <v>1900091207133</v>
      </c>
      <c r="D68" s="85" t="str">
        <f>IF($A68="","",VLOOKUP($A68,'Annex 2 EHV charges'!$D:$O,4,0))</f>
        <v>WDLNDS</v>
      </c>
      <c r="E68" s="87" t="str">
        <f>IFERROR(IF(VLOOKUP($A68,'Annex 2 EHV charges'!$D:$O,9,FALSE)=0,"",VLOOKUP($A68,'Annex 2 EHV charges'!$D:$O,9,FALSE)),"")</f>
        <v/>
      </c>
      <c r="F68" s="88">
        <f>IFERROR(IF(VLOOKUP($A68,'Annex 2 EHV charges'!$D:$O,10,FALSE)=0,"",VLOOKUP($A68,'Annex 2 EHV charges'!$D:$O,10,FALSE)),"")</f>
        <v>2664.06</v>
      </c>
      <c r="G68" s="89">
        <f>IFERROR(IF(VLOOKUP($A68,'Annex 2 EHV charges'!$D:$O,11,FALSE)=0,"",VLOOKUP($A68,'Annex 2 EHV charges'!$D:$O,11,FALSE)),"")</f>
        <v>0.05</v>
      </c>
      <c r="H68" s="89">
        <f>IFERROR(IF(VLOOKUP($A68,'Annex 2 EHV charges'!$D:$O,12,FALSE)=0,"",VLOOKUP($A68,'Annex 2 EHV charges'!$D:$O,12,FALSE)),"")</f>
        <v>0.05</v>
      </c>
    </row>
    <row r="69" spans="1:8" ht="12.75" customHeight="1" x14ac:dyDescent="0.2">
      <c r="A69" s="86" t="str">
        <f t="array" ref="A69">IFERROR(INDEX('Annex 2 EHV charges'!$D$10:$D$108, MATCH(0, IF(ISBLANK('Annex 2 EHV charges'!$D$10:$D$108),1, COUNTIF(A$4:$A68, 'Annex 2 EHV charges'!$D$10:$D$108)), 0)),"")</f>
        <v>WIDHFM</v>
      </c>
      <c r="B69" s="85">
        <f>IF($A69="","",VLOOKUP($A69,'Annex 2 EHV charges'!$D:$O,2,0))</f>
        <v>714</v>
      </c>
      <c r="C69" s="86">
        <f>IF($A69="","",VLOOKUP($A69,'Annex 2 EHV charges'!$D:$O,3,0))</f>
        <v>1900091478509</v>
      </c>
      <c r="D69" s="85" t="str">
        <f>IF($A69="","",VLOOKUP($A69,'Annex 2 EHV charges'!$D:$O,4,0))</f>
        <v>WIDHFM</v>
      </c>
      <c r="E69" s="87" t="str">
        <f>IFERROR(IF(VLOOKUP($A69,'Annex 2 EHV charges'!$D:$O,9,FALSE)=0,"",VLOOKUP($A69,'Annex 2 EHV charges'!$D:$O,9,FALSE)),"")</f>
        <v/>
      </c>
      <c r="F69" s="88">
        <f>IFERROR(IF(VLOOKUP($A69,'Annex 2 EHV charges'!$D:$O,10,FALSE)=0,"",VLOOKUP($A69,'Annex 2 EHV charges'!$D:$O,10,FALSE)),"")</f>
        <v>1386.46</v>
      </c>
      <c r="G69" s="89">
        <f>IFERROR(IF(VLOOKUP($A69,'Annex 2 EHV charges'!$D:$O,11,FALSE)=0,"",VLOOKUP($A69,'Annex 2 EHV charges'!$D:$O,11,FALSE)),"")</f>
        <v>0.05</v>
      </c>
      <c r="H69" s="89">
        <f>IFERROR(IF(VLOOKUP($A69,'Annex 2 EHV charges'!$D:$O,12,FALSE)=0,"",VLOOKUP($A69,'Annex 2 EHV charges'!$D:$O,12,FALSE)),"")</f>
        <v>0.05</v>
      </c>
    </row>
    <row r="70" spans="1:8" ht="12.75" customHeight="1" x14ac:dyDescent="0.2">
      <c r="A70" s="86" t="str">
        <f t="array" ref="A70">IFERROR(INDEX('Annex 2 EHV charges'!$D$10:$D$108, MATCH(0, IF(ISBLANK('Annex 2 EHV charges'!$D$10:$D$108),1, COUNTIF(A$4:$A69, 'Annex 2 EHV charges'!$D$10:$D$108)), 0)),"")</f>
        <v>WLBEES</v>
      </c>
      <c r="B70" s="85">
        <f>IF($A70="","",VLOOKUP($A70,'Annex 2 EHV charges'!$D:$O,2,0))</f>
        <v>715</v>
      </c>
      <c r="C70" s="86">
        <f>IF($A70="","",VLOOKUP($A70,'Annex 2 EHV charges'!$D:$O,3,0))</f>
        <v>1900091315229</v>
      </c>
      <c r="D70" s="85" t="str">
        <f>IF($A70="","",VLOOKUP($A70,'Annex 2 EHV charges'!$D:$O,4,0))</f>
        <v>WLBEES</v>
      </c>
      <c r="E70" s="87" t="str">
        <f>IFERROR(IF(VLOOKUP($A70,'Annex 2 EHV charges'!$D:$O,9,FALSE)=0,"",VLOOKUP($A70,'Annex 2 EHV charges'!$D:$O,9,FALSE)),"")</f>
        <v/>
      </c>
      <c r="F70" s="88">
        <f>IFERROR(IF(VLOOKUP($A70,'Annex 2 EHV charges'!$D:$O,10,FALSE)=0,"",VLOOKUP($A70,'Annex 2 EHV charges'!$D:$O,10,FALSE)),"")</f>
        <v>314.02</v>
      </c>
      <c r="G70" s="89">
        <f>IFERROR(IF(VLOOKUP($A70,'Annex 2 EHV charges'!$D:$O,11,FALSE)=0,"",VLOOKUP($A70,'Annex 2 EHV charges'!$D:$O,11,FALSE)),"")</f>
        <v>0.05</v>
      </c>
      <c r="H70" s="89">
        <f>IFERROR(IF(VLOOKUP($A70,'Annex 2 EHV charges'!$D:$O,12,FALSE)=0,"",VLOOKUP($A70,'Annex 2 EHV charges'!$D:$O,12,FALSE)),"")</f>
        <v>0.05</v>
      </c>
    </row>
    <row r="71" spans="1:8" ht="12.75" customHeight="1" x14ac:dyDescent="0.2">
      <c r="A71" s="86" t="str">
        <f t="array" ref="A71">IFERROR(INDEX('Annex 2 EHV charges'!$D$10:$D$108, MATCH(0, IF(ISBLANK('Annex 2 EHV charges'!$D$10:$D$108),1, COUNTIF(A$4:$A70, 'Annex 2 EHV charges'!$D$10:$D$108)), 0)),"")</f>
        <v>WRGALL</v>
      </c>
      <c r="B71" s="85">
        <f>IF($A71="","",VLOOKUP($A71,'Annex 2 EHV charges'!$D:$O,2,0))</f>
        <v>731</v>
      </c>
      <c r="C71" s="86">
        <f>IF($A71="","",VLOOKUP($A71,'Annex 2 EHV charges'!$D:$O,3,0))</f>
        <v>1900070394466</v>
      </c>
      <c r="D71" s="85" t="str">
        <f>IF($A71="","",VLOOKUP($A71,'Annex 2 EHV charges'!$D:$O,4,0))</f>
        <v>WRGALL</v>
      </c>
      <c r="E71" s="87" t="str">
        <f>IFERROR(IF(VLOOKUP($A71,'Annex 2 EHV charges'!$D:$O,9,FALSE)=0,"",VLOOKUP($A71,'Annex 2 EHV charges'!$D:$O,9,FALSE)),"")</f>
        <v/>
      </c>
      <c r="F71" s="88" t="str">
        <f>IFERROR(IF(VLOOKUP($A71,'Annex 2 EHV charges'!$D:$O,10,FALSE)=0,"",VLOOKUP($A71,'Annex 2 EHV charges'!$D:$O,10,FALSE)),"")</f>
        <v/>
      </c>
      <c r="G71" s="89" t="str">
        <f>IFERROR(IF(VLOOKUP($A71,'Annex 2 EHV charges'!$D:$O,11,FALSE)=0,"",VLOOKUP($A71,'Annex 2 EHV charges'!$D:$O,11,FALSE)),"")</f>
        <v/>
      </c>
      <c r="H71" s="89" t="str">
        <f>IFERROR(IF(VLOOKUP($A71,'Annex 2 EHV charges'!$D:$O,12,FALSE)=0,"",VLOOKUP($A71,'Annex 2 EHV charges'!$D:$O,12,FALSE)),"")</f>
        <v/>
      </c>
    </row>
    <row r="72" spans="1:8" ht="12.75" customHeight="1" x14ac:dyDescent="0.2">
      <c r="A72" s="86" t="str">
        <f t="array" ref="A72">IFERROR(INDEX('Annex 2 EHV charges'!$D$10:$D$108, MATCH(0, IF(ISBLANK('Annex 2 EHV charges'!$D$10:$D$108),1, COUNTIF(A$4:$A71, 'Annex 2 EHV charges'!$D$10:$D$108)), 0)),"")</f>
        <v>WSTWDX</v>
      </c>
      <c r="B72" s="85">
        <f>IF($A72="","",VLOOKUP($A72,'Annex 2 EHV charges'!$D:$O,2,0))</f>
        <v>740</v>
      </c>
      <c r="C72" s="86">
        <f>IF($A72="","",VLOOKUP($A72,'Annex 2 EHV charges'!$D:$O,3,0))</f>
        <v>1900091086540</v>
      </c>
      <c r="D72" s="85" t="str">
        <f>IF($A72="","",VLOOKUP($A72,'Annex 2 EHV charges'!$D:$O,4,0))</f>
        <v>WSTWDX</v>
      </c>
      <c r="E72" s="87" t="str">
        <f>IFERROR(IF(VLOOKUP($A72,'Annex 2 EHV charges'!$D:$O,9,FALSE)=0,"",VLOOKUP($A72,'Annex 2 EHV charges'!$D:$O,9,FALSE)),"")</f>
        <v/>
      </c>
      <c r="F72" s="88">
        <f>IFERROR(IF(VLOOKUP($A72,'Annex 2 EHV charges'!$D:$O,10,FALSE)=0,"",VLOOKUP($A72,'Annex 2 EHV charges'!$D:$O,10,FALSE)),"")</f>
        <v>1294.6600000000001</v>
      </c>
      <c r="G72" s="89">
        <f>IFERROR(IF(VLOOKUP($A72,'Annex 2 EHV charges'!$D:$O,11,FALSE)=0,"",VLOOKUP($A72,'Annex 2 EHV charges'!$D:$O,11,FALSE)),"")</f>
        <v>0.05</v>
      </c>
      <c r="H72" s="89">
        <f>IFERROR(IF(VLOOKUP($A72,'Annex 2 EHV charges'!$D:$O,12,FALSE)=0,"",VLOOKUP($A72,'Annex 2 EHV charges'!$D:$O,12,FALSE)),"")</f>
        <v>0.05</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6"/>
  <sheetViews>
    <sheetView zoomScale="80" zoomScaleNormal="80" zoomScaleSheetLayoutView="100" workbookViewId="0"/>
  </sheetViews>
  <sheetFormatPr defaultRowHeight="12.75" x14ac:dyDescent="0.2"/>
  <cols>
    <col min="1" max="1" width="27.42578125" customWidth="1"/>
    <col min="2" max="2" width="11" customWidth="1"/>
    <col min="4" max="10" width="16.5703125" customWidth="1"/>
  </cols>
  <sheetData>
    <row r="1" spans="1:12" s="2" customFormat="1" ht="27.75" customHeight="1" x14ac:dyDescent="0.2">
      <c r="A1" s="13" t="s">
        <v>18</v>
      </c>
      <c r="B1" s="3"/>
      <c r="D1" s="3"/>
      <c r="E1" s="3"/>
      <c r="F1" s="3"/>
      <c r="G1" s="10"/>
      <c r="H1" s="4"/>
      <c r="I1" s="4"/>
    </row>
    <row r="2" spans="1:12" s="2" customFormat="1" ht="27" customHeight="1" x14ac:dyDescent="0.2">
      <c r="A2" s="256" t="str">
        <f>Overview!B4&amp; " - Effective from "&amp;Overview!D4&amp;" - "&amp;Overview!E4&amp;" LV and HV tariffs"</f>
        <v>South Eastern Power Networks - Effective from 1 April 2022 - Final LV and HV tariffs</v>
      </c>
      <c r="B2" s="256"/>
      <c r="C2" s="256"/>
      <c r="D2" s="256"/>
      <c r="E2" s="256"/>
      <c r="F2" s="256"/>
      <c r="G2" s="256"/>
      <c r="H2" s="256"/>
      <c r="I2" s="256"/>
      <c r="J2" s="256"/>
      <c r="K2" s="4"/>
      <c r="L2" s="4"/>
    </row>
    <row r="3" spans="1:12" s="2" customFormat="1" ht="27" customHeight="1" x14ac:dyDescent="0.2">
      <c r="A3" s="283" t="s">
        <v>157</v>
      </c>
      <c r="B3" s="283"/>
      <c r="C3" s="283"/>
      <c r="D3" s="283"/>
      <c r="E3" s="283"/>
      <c r="F3" s="283"/>
      <c r="G3" s="283"/>
      <c r="H3" s="283"/>
      <c r="I3" s="283"/>
      <c r="J3" s="283"/>
      <c r="K3" s="4"/>
      <c r="L3" s="4"/>
    </row>
    <row r="4" spans="1:12" s="2" customFormat="1" ht="71.25" customHeight="1" x14ac:dyDescent="0.2">
      <c r="A4" s="15"/>
      <c r="B4" s="26" t="s">
        <v>0</v>
      </c>
      <c r="C4" s="14" t="s">
        <v>23</v>
      </c>
      <c r="D4" s="44" t="s">
        <v>158</v>
      </c>
      <c r="E4" s="44" t="s">
        <v>160</v>
      </c>
      <c r="F4" s="44" t="s">
        <v>159</v>
      </c>
      <c r="G4" s="14" t="s">
        <v>24</v>
      </c>
      <c r="H4" s="14"/>
      <c r="I4" s="14"/>
      <c r="J4" s="14"/>
      <c r="K4" s="4"/>
      <c r="L4" s="4"/>
    </row>
    <row r="5" spans="1:12" s="2" customFormat="1" ht="32.25" customHeight="1" x14ac:dyDescent="0.2">
      <c r="A5" s="16"/>
      <c r="B5" s="25"/>
      <c r="C5" s="17"/>
      <c r="D5" s="18"/>
      <c r="E5" s="18"/>
      <c r="F5" s="18"/>
      <c r="G5" s="19"/>
      <c r="H5" s="24"/>
      <c r="I5" s="24"/>
      <c r="J5" s="24"/>
      <c r="K5" s="4"/>
      <c r="L5" s="4"/>
    </row>
    <row r="6" spans="1:12" ht="12.75" customHeight="1" x14ac:dyDescent="0.2">
      <c r="A6" s="284" t="s">
        <v>2</v>
      </c>
      <c r="B6" s="271" t="s">
        <v>810</v>
      </c>
      <c r="C6" s="272"/>
      <c r="D6" s="272"/>
      <c r="E6" s="272"/>
      <c r="F6" s="272"/>
      <c r="G6" s="272"/>
      <c r="H6" s="272"/>
      <c r="I6" s="272"/>
      <c r="J6" s="273"/>
    </row>
    <row r="7" spans="1:12" x14ac:dyDescent="0.2">
      <c r="A7" s="284"/>
      <c r="B7" s="274"/>
      <c r="C7" s="275"/>
      <c r="D7" s="275"/>
      <c r="E7" s="275"/>
      <c r="F7" s="275"/>
      <c r="G7" s="275"/>
      <c r="H7" s="275"/>
      <c r="I7" s="275"/>
      <c r="J7" s="276"/>
    </row>
    <row r="8" spans="1:12" x14ac:dyDescent="0.2">
      <c r="A8" s="284"/>
      <c r="B8" s="277"/>
      <c r="C8" s="278"/>
      <c r="D8" s="278"/>
      <c r="E8" s="278"/>
      <c r="F8" s="278"/>
      <c r="G8" s="278"/>
      <c r="H8" s="278"/>
      <c r="I8" s="278"/>
      <c r="J8" s="279"/>
    </row>
    <row r="9" spans="1:12" x14ac:dyDescent="0.2">
      <c r="A9" s="39"/>
      <c r="B9" s="39"/>
      <c r="C9" s="39"/>
      <c r="D9" s="39"/>
      <c r="E9" s="39"/>
      <c r="F9" s="39"/>
      <c r="G9" s="39"/>
      <c r="H9" s="39"/>
      <c r="I9" s="39"/>
      <c r="J9" s="39"/>
    </row>
    <row r="10" spans="1:12" x14ac:dyDescent="0.2">
      <c r="A10" s="39"/>
      <c r="B10" s="39"/>
      <c r="C10" s="39"/>
      <c r="D10" s="39"/>
      <c r="E10" s="39"/>
      <c r="F10" s="39"/>
      <c r="G10" s="39"/>
      <c r="H10" s="39"/>
      <c r="I10" s="39"/>
      <c r="J10" s="39"/>
    </row>
    <row r="11" spans="1:12" s="2" customFormat="1" ht="27" customHeight="1" x14ac:dyDescent="0.2">
      <c r="A11" s="283" t="s">
        <v>154</v>
      </c>
      <c r="B11" s="283"/>
      <c r="C11" s="283"/>
      <c r="D11" s="283"/>
      <c r="E11" s="283"/>
      <c r="F11" s="283"/>
      <c r="G11" s="283"/>
      <c r="H11" s="283"/>
      <c r="I11" s="283"/>
      <c r="J11" s="283"/>
      <c r="K11" s="4"/>
      <c r="L11" s="4"/>
    </row>
    <row r="12" spans="1:12" s="2" customFormat="1" ht="58.5" customHeight="1" x14ac:dyDescent="0.2">
      <c r="A12" s="15"/>
      <c r="B12" s="26" t="s">
        <v>0</v>
      </c>
      <c r="C12" s="14" t="s">
        <v>23</v>
      </c>
      <c r="D12" s="44" t="s">
        <v>158</v>
      </c>
      <c r="E12" s="44" t="s">
        <v>160</v>
      </c>
      <c r="F12" s="44" t="s">
        <v>159</v>
      </c>
      <c r="G12" s="14" t="s">
        <v>24</v>
      </c>
      <c r="H12" s="14" t="s">
        <v>25</v>
      </c>
      <c r="I12" s="26" t="s">
        <v>126</v>
      </c>
      <c r="J12" s="14" t="s">
        <v>32</v>
      </c>
      <c r="K12" s="4"/>
      <c r="L12" s="4"/>
    </row>
    <row r="13" spans="1:12" s="2" customFormat="1" ht="32.25" customHeight="1" x14ac:dyDescent="0.2">
      <c r="A13" s="16"/>
      <c r="B13" s="25"/>
      <c r="C13" s="17"/>
      <c r="D13" s="18"/>
      <c r="E13" s="18"/>
      <c r="F13" s="18"/>
      <c r="G13" s="19"/>
      <c r="H13" s="19"/>
      <c r="I13" s="19"/>
      <c r="J13" s="18"/>
      <c r="K13" s="4"/>
      <c r="L13" s="4"/>
    </row>
    <row r="14" spans="1:12" ht="12.75" customHeight="1" x14ac:dyDescent="0.2">
      <c r="A14" s="284" t="s">
        <v>2</v>
      </c>
      <c r="B14" s="271" t="s">
        <v>811</v>
      </c>
      <c r="C14" s="272"/>
      <c r="D14" s="272"/>
      <c r="E14" s="272"/>
      <c r="F14" s="272"/>
      <c r="G14" s="272"/>
      <c r="H14" s="272"/>
      <c r="I14" s="272"/>
      <c r="J14" s="280"/>
    </row>
    <row r="15" spans="1:12" ht="12.75" customHeight="1" x14ac:dyDescent="0.2">
      <c r="A15" s="284"/>
      <c r="B15" s="274"/>
      <c r="C15" s="275"/>
      <c r="D15" s="275"/>
      <c r="E15" s="275"/>
      <c r="F15" s="275"/>
      <c r="G15" s="275"/>
      <c r="H15" s="275"/>
      <c r="I15" s="275"/>
      <c r="J15" s="281"/>
    </row>
    <row r="16" spans="1:12" ht="12.75" customHeight="1" x14ac:dyDescent="0.2">
      <c r="A16" s="284"/>
      <c r="B16" s="277"/>
      <c r="C16" s="278"/>
      <c r="D16" s="278"/>
      <c r="E16" s="278"/>
      <c r="F16" s="278"/>
      <c r="G16" s="278"/>
      <c r="H16" s="278"/>
      <c r="I16" s="278"/>
      <c r="J16" s="282"/>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B14:J16"/>
    <mergeCell ref="A2:J2"/>
    <mergeCell ref="A3:J3"/>
    <mergeCell ref="A6:A8"/>
    <mergeCell ref="A11:J11"/>
    <mergeCell ref="A14:A16"/>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&amp;"Arial,Bold"Annex 3&amp;"Arial,Regular" - Schedule of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201"/>
  <sheetViews>
    <sheetView zoomScale="70" zoomScaleNormal="70" zoomScaleSheetLayoutView="85" workbookViewId="0"/>
  </sheetViews>
  <sheetFormatPr defaultRowHeight="27.75" customHeight="1" x14ac:dyDescent="0.2"/>
  <cols>
    <col min="1" max="1" width="58" style="2" bestFit="1" customWidth="1"/>
    <col min="2" max="2" width="17.7109375" style="3" customWidth="1"/>
    <col min="3" max="4" width="17.7109375" style="2" customWidth="1"/>
    <col min="5" max="7" width="17.7109375" style="3" customWidth="1"/>
    <col min="8" max="9" width="17.7109375" style="9" customWidth="1"/>
    <col min="10" max="10" width="17.7109375" style="4" customWidth="1"/>
    <col min="11" max="11" width="15.5703125" style="4" customWidth="1"/>
    <col min="12" max="17" width="15.5703125" style="2" customWidth="1"/>
    <col min="18" max="16384" width="9.140625" style="2"/>
  </cols>
  <sheetData>
    <row r="1" spans="1:13" ht="27.75" customHeight="1" x14ac:dyDescent="0.2">
      <c r="A1" s="186" t="s">
        <v>18</v>
      </c>
      <c r="B1" s="288"/>
      <c r="C1" s="288"/>
      <c r="D1" s="288"/>
      <c r="E1" s="187"/>
      <c r="F1" s="289"/>
      <c r="G1" s="289"/>
      <c r="H1" s="289"/>
      <c r="I1" s="188"/>
      <c r="J1" s="2"/>
      <c r="K1" s="2"/>
    </row>
    <row r="2" spans="1:13" ht="31.5" customHeight="1" x14ac:dyDescent="0.2">
      <c r="A2" s="290" t="str">
        <f>Overview!B4&amp; " - Effective from "&amp;Overview!D4&amp;" - "&amp;Overview!E4&amp;" LDNO tariffs"</f>
        <v>South Eastern Power Networks - Effective from 1 April 2022 - Final LDNO tariffs</v>
      </c>
      <c r="B2" s="290"/>
      <c r="C2" s="290"/>
      <c r="D2" s="290"/>
      <c r="E2" s="290"/>
      <c r="F2" s="290"/>
      <c r="G2" s="290"/>
      <c r="H2" s="290"/>
      <c r="I2" s="290"/>
      <c r="J2" s="290"/>
    </row>
    <row r="3" spans="1:13" ht="8.25" customHeight="1" x14ac:dyDescent="0.2">
      <c r="A3" s="75"/>
      <c r="B3" s="75"/>
      <c r="C3" s="75"/>
      <c r="D3" s="75"/>
      <c r="E3" s="75"/>
      <c r="F3" s="75"/>
      <c r="G3" s="75"/>
      <c r="H3" s="75"/>
      <c r="I3" s="75"/>
      <c r="J3" s="75"/>
    </row>
    <row r="4" spans="1:13" ht="27" customHeight="1" x14ac:dyDescent="0.2">
      <c r="A4" s="256" t="s">
        <v>155</v>
      </c>
      <c r="B4" s="256"/>
      <c r="C4" s="256"/>
      <c r="D4" s="256"/>
      <c r="E4" s="77"/>
      <c r="F4" s="256" t="s">
        <v>156</v>
      </c>
      <c r="G4" s="256"/>
      <c r="H4" s="256"/>
      <c r="I4" s="256"/>
      <c r="J4" s="256"/>
      <c r="L4" s="4"/>
    </row>
    <row r="5" spans="1:13" ht="32.25" customHeight="1" x14ac:dyDescent="0.2">
      <c r="A5" s="66" t="s">
        <v>11</v>
      </c>
      <c r="B5" s="69" t="s">
        <v>57</v>
      </c>
      <c r="C5" s="82" t="s">
        <v>58</v>
      </c>
      <c r="D5" s="68" t="s">
        <v>59</v>
      </c>
      <c r="E5" s="73"/>
      <c r="F5" s="260"/>
      <c r="G5" s="261"/>
      <c r="H5" s="70" t="s">
        <v>63</v>
      </c>
      <c r="I5" s="71" t="s">
        <v>64</v>
      </c>
      <c r="J5" s="68" t="s">
        <v>59</v>
      </c>
      <c r="K5" s="73"/>
      <c r="L5" s="4"/>
      <c r="M5" s="4"/>
    </row>
    <row r="6" spans="1:13" ht="56.25" customHeight="1" x14ac:dyDescent="0.2">
      <c r="A6" s="178" t="s">
        <v>60</v>
      </c>
      <c r="B6" s="72" t="s">
        <v>662</v>
      </c>
      <c r="C6" s="72" t="s">
        <v>663</v>
      </c>
      <c r="D6" s="177" t="s">
        <v>664</v>
      </c>
      <c r="E6" s="73"/>
      <c r="F6" s="249" t="s">
        <v>61</v>
      </c>
      <c r="G6" s="250"/>
      <c r="H6" s="72" t="s">
        <v>662</v>
      </c>
      <c r="I6" s="72" t="s">
        <v>663</v>
      </c>
      <c r="J6" s="177" t="s">
        <v>664</v>
      </c>
      <c r="K6" s="73"/>
      <c r="L6" s="4"/>
      <c r="M6" s="4"/>
    </row>
    <row r="7" spans="1:13" ht="56.25" customHeight="1" x14ac:dyDescent="0.2">
      <c r="A7" s="178" t="s">
        <v>14</v>
      </c>
      <c r="B7" s="176"/>
      <c r="C7" s="179"/>
      <c r="D7" s="72" t="s">
        <v>665</v>
      </c>
      <c r="E7" s="73"/>
      <c r="F7" s="249" t="s">
        <v>666</v>
      </c>
      <c r="G7" s="250"/>
      <c r="H7" s="176"/>
      <c r="I7" s="72" t="s">
        <v>667</v>
      </c>
      <c r="J7" s="177" t="s">
        <v>664</v>
      </c>
      <c r="K7" s="73"/>
      <c r="L7" s="4"/>
      <c r="M7" s="4"/>
    </row>
    <row r="8" spans="1:13" ht="55.5" customHeight="1" x14ac:dyDescent="0.2">
      <c r="A8" s="175" t="s">
        <v>12</v>
      </c>
      <c r="B8" s="285" t="s">
        <v>13</v>
      </c>
      <c r="C8" s="286"/>
      <c r="D8" s="287"/>
      <c r="E8" s="73"/>
      <c r="F8" s="249" t="s">
        <v>14</v>
      </c>
      <c r="G8" s="250"/>
      <c r="H8" s="176"/>
      <c r="I8" s="176"/>
      <c r="J8" s="72" t="s">
        <v>665</v>
      </c>
      <c r="K8" s="73"/>
      <c r="L8" s="4"/>
      <c r="M8" s="4"/>
    </row>
    <row r="9" spans="1:13" s="67" customFormat="1" ht="55.5" customHeight="1" x14ac:dyDescent="0.2">
      <c r="E9" s="76"/>
      <c r="F9" s="248" t="s">
        <v>12</v>
      </c>
      <c r="G9" s="248"/>
      <c r="H9" s="285" t="s">
        <v>13</v>
      </c>
      <c r="I9" s="286"/>
      <c r="J9" s="287"/>
      <c r="K9" s="73"/>
      <c r="L9" s="39"/>
      <c r="M9" s="39"/>
    </row>
    <row r="11" spans="1:13" ht="38.25" x14ac:dyDescent="0.2">
      <c r="A11" s="26" t="s">
        <v>125</v>
      </c>
      <c r="B11" s="26" t="s">
        <v>465</v>
      </c>
      <c r="C11" s="14" t="s">
        <v>23</v>
      </c>
      <c r="D11" s="44" t="s">
        <v>158</v>
      </c>
      <c r="E11" s="44" t="s">
        <v>160</v>
      </c>
      <c r="F11" s="44" t="s">
        <v>159</v>
      </c>
      <c r="G11" s="14" t="s">
        <v>24</v>
      </c>
      <c r="H11" s="14" t="s">
        <v>25</v>
      </c>
      <c r="I11" s="14" t="s">
        <v>126</v>
      </c>
      <c r="J11" s="14" t="s">
        <v>32</v>
      </c>
    </row>
    <row r="12" spans="1:13" ht="27.75" customHeight="1" x14ac:dyDescent="0.2">
      <c r="A12" s="156" t="s">
        <v>496</v>
      </c>
      <c r="B12" s="30" t="s">
        <v>1388</v>
      </c>
      <c r="C12" s="171" t="s">
        <v>647</v>
      </c>
      <c r="D12" s="128">
        <v>11.192</v>
      </c>
      <c r="E12" s="129">
        <v>0.49</v>
      </c>
      <c r="F12" s="130">
        <v>7.4999999999999997E-2</v>
      </c>
      <c r="G12" s="157">
        <v>16.48</v>
      </c>
      <c r="H12" s="158"/>
      <c r="I12" s="160"/>
      <c r="J12" s="32"/>
    </row>
    <row r="13" spans="1:13" ht="27.75" customHeight="1" x14ac:dyDescent="0.2">
      <c r="A13" s="156" t="s">
        <v>497</v>
      </c>
      <c r="B13" s="30" t="s">
        <v>1389</v>
      </c>
      <c r="C13" s="165" t="s">
        <v>415</v>
      </c>
      <c r="D13" s="128">
        <v>11.192</v>
      </c>
      <c r="E13" s="129">
        <v>0.49</v>
      </c>
      <c r="F13" s="130">
        <v>7.4999999999999997E-2</v>
      </c>
      <c r="G13" s="158"/>
      <c r="H13" s="158"/>
      <c r="I13" s="160"/>
      <c r="J13" s="32"/>
    </row>
    <row r="14" spans="1:13" ht="27.75" customHeight="1" x14ac:dyDescent="0.2">
      <c r="A14" s="156" t="s">
        <v>498</v>
      </c>
      <c r="B14" s="30" t="s">
        <v>1390</v>
      </c>
      <c r="C14" s="155" t="s">
        <v>646</v>
      </c>
      <c r="D14" s="128">
        <v>8.41</v>
      </c>
      <c r="E14" s="129">
        <v>0.36799999999999999</v>
      </c>
      <c r="F14" s="130">
        <v>5.7000000000000002E-2</v>
      </c>
      <c r="G14" s="157">
        <v>2.79</v>
      </c>
      <c r="H14" s="158"/>
      <c r="I14" s="160"/>
      <c r="J14" s="32"/>
    </row>
    <row r="15" spans="1:13" ht="27.75" customHeight="1" x14ac:dyDescent="0.2">
      <c r="A15" s="156" t="s">
        <v>499</v>
      </c>
      <c r="B15" s="30" t="s">
        <v>1391</v>
      </c>
      <c r="C15" s="155" t="s">
        <v>646</v>
      </c>
      <c r="D15" s="128">
        <v>8.41</v>
      </c>
      <c r="E15" s="129">
        <v>0.36799999999999999</v>
      </c>
      <c r="F15" s="130">
        <v>5.7000000000000002E-2</v>
      </c>
      <c r="G15" s="157">
        <v>4.5</v>
      </c>
      <c r="H15" s="158"/>
      <c r="I15" s="160"/>
      <c r="J15" s="32"/>
    </row>
    <row r="16" spans="1:13" ht="27.75" customHeight="1" x14ac:dyDescent="0.2">
      <c r="A16" s="156" t="s">
        <v>500</v>
      </c>
      <c r="B16" s="30" t="s">
        <v>1392</v>
      </c>
      <c r="C16" s="155" t="s">
        <v>646</v>
      </c>
      <c r="D16" s="128">
        <v>8.41</v>
      </c>
      <c r="E16" s="129">
        <v>0.36799999999999999</v>
      </c>
      <c r="F16" s="130">
        <v>5.7000000000000002E-2</v>
      </c>
      <c r="G16" s="157">
        <v>13.19</v>
      </c>
      <c r="H16" s="158"/>
      <c r="I16" s="160"/>
      <c r="J16" s="32"/>
    </row>
    <row r="17" spans="1:10" ht="27.75" customHeight="1" x14ac:dyDescent="0.2">
      <c r="A17" s="156" t="s">
        <v>501</v>
      </c>
      <c r="B17" s="30" t="s">
        <v>1393</v>
      </c>
      <c r="C17" s="155" t="s">
        <v>646</v>
      </c>
      <c r="D17" s="128">
        <v>8.41</v>
      </c>
      <c r="E17" s="129">
        <v>0.36799999999999999</v>
      </c>
      <c r="F17" s="130">
        <v>5.7000000000000002E-2</v>
      </c>
      <c r="G17" s="157">
        <v>28.54</v>
      </c>
      <c r="H17" s="158"/>
      <c r="I17" s="160"/>
      <c r="J17" s="32"/>
    </row>
    <row r="18" spans="1:10" ht="27.75" customHeight="1" x14ac:dyDescent="0.2">
      <c r="A18" s="156" t="s">
        <v>502</v>
      </c>
      <c r="B18" s="30" t="s">
        <v>1394</v>
      </c>
      <c r="C18" s="155" t="s">
        <v>646</v>
      </c>
      <c r="D18" s="128">
        <v>8.41</v>
      </c>
      <c r="E18" s="129">
        <v>0.36799999999999999</v>
      </c>
      <c r="F18" s="130">
        <v>5.7000000000000002E-2</v>
      </c>
      <c r="G18" s="157">
        <v>78.12</v>
      </c>
      <c r="H18" s="158"/>
      <c r="I18" s="160"/>
      <c r="J18" s="32"/>
    </row>
    <row r="19" spans="1:10" ht="27.75" customHeight="1" x14ac:dyDescent="0.2">
      <c r="A19" s="156" t="s">
        <v>419</v>
      </c>
      <c r="B19" s="30" t="s">
        <v>1395</v>
      </c>
      <c r="C19" s="165" t="s">
        <v>416</v>
      </c>
      <c r="D19" s="128">
        <v>8.41</v>
      </c>
      <c r="E19" s="129">
        <v>0.36799999999999999</v>
      </c>
      <c r="F19" s="130">
        <v>5.7000000000000002E-2</v>
      </c>
      <c r="G19" s="158"/>
      <c r="H19" s="158"/>
      <c r="I19" s="160"/>
      <c r="J19" s="32"/>
    </row>
    <row r="20" spans="1:10" ht="27.75" customHeight="1" x14ac:dyDescent="0.2">
      <c r="A20" s="156" t="s">
        <v>503</v>
      </c>
      <c r="B20" s="30" t="s">
        <v>1396</v>
      </c>
      <c r="C20" s="167">
        <v>0</v>
      </c>
      <c r="D20" s="128">
        <v>5.9939999999999998</v>
      </c>
      <c r="E20" s="129">
        <v>0.25800000000000001</v>
      </c>
      <c r="F20" s="130">
        <v>3.7999999999999999E-2</v>
      </c>
      <c r="G20" s="157">
        <v>7.73</v>
      </c>
      <c r="H20" s="157">
        <v>2.57</v>
      </c>
      <c r="I20" s="161">
        <v>4.93</v>
      </c>
      <c r="J20" s="31">
        <v>0.19800000000000001</v>
      </c>
    </row>
    <row r="21" spans="1:10" ht="27.75" customHeight="1" x14ac:dyDescent="0.2">
      <c r="A21" s="156" t="s">
        <v>504</v>
      </c>
      <c r="B21" s="30" t="s">
        <v>1397</v>
      </c>
      <c r="C21" s="167">
        <v>0</v>
      </c>
      <c r="D21" s="128">
        <v>5.9939999999999998</v>
      </c>
      <c r="E21" s="129">
        <v>0.25800000000000001</v>
      </c>
      <c r="F21" s="130">
        <v>3.7999999999999999E-2</v>
      </c>
      <c r="G21" s="157">
        <v>151.16999999999999</v>
      </c>
      <c r="H21" s="157">
        <v>2.57</v>
      </c>
      <c r="I21" s="161">
        <v>4.93</v>
      </c>
      <c r="J21" s="31">
        <v>0.19800000000000001</v>
      </c>
    </row>
    <row r="22" spans="1:10" ht="27.75" customHeight="1" x14ac:dyDescent="0.2">
      <c r="A22" s="156" t="s">
        <v>505</v>
      </c>
      <c r="B22" s="30" t="s">
        <v>1398</v>
      </c>
      <c r="C22" s="167">
        <v>0</v>
      </c>
      <c r="D22" s="128">
        <v>5.9939999999999998</v>
      </c>
      <c r="E22" s="129">
        <v>0.25800000000000001</v>
      </c>
      <c r="F22" s="130">
        <v>3.7999999999999999E-2</v>
      </c>
      <c r="G22" s="157">
        <v>249.42</v>
      </c>
      <c r="H22" s="157">
        <v>2.57</v>
      </c>
      <c r="I22" s="161">
        <v>4.93</v>
      </c>
      <c r="J22" s="31">
        <v>0.19800000000000001</v>
      </c>
    </row>
    <row r="23" spans="1:10" ht="27.75" customHeight="1" x14ac:dyDescent="0.2">
      <c r="A23" s="156" t="s">
        <v>506</v>
      </c>
      <c r="B23" s="30" t="s">
        <v>1399</v>
      </c>
      <c r="C23" s="167">
        <v>0</v>
      </c>
      <c r="D23" s="128">
        <v>5.9939999999999998</v>
      </c>
      <c r="E23" s="129">
        <v>0.25800000000000001</v>
      </c>
      <c r="F23" s="130">
        <v>3.7999999999999999E-2</v>
      </c>
      <c r="G23" s="157">
        <v>402.41</v>
      </c>
      <c r="H23" s="157">
        <v>2.57</v>
      </c>
      <c r="I23" s="161">
        <v>4.93</v>
      </c>
      <c r="J23" s="31">
        <v>0.19800000000000001</v>
      </c>
    </row>
    <row r="24" spans="1:10" ht="27.75" customHeight="1" x14ac:dyDescent="0.2">
      <c r="A24" s="156" t="s">
        <v>507</v>
      </c>
      <c r="B24" s="30" t="s">
        <v>1400</v>
      </c>
      <c r="C24" s="167">
        <v>0</v>
      </c>
      <c r="D24" s="128">
        <v>5.9939999999999998</v>
      </c>
      <c r="E24" s="129">
        <v>0.25800000000000001</v>
      </c>
      <c r="F24" s="130">
        <v>3.7999999999999999E-2</v>
      </c>
      <c r="G24" s="157">
        <v>886.14</v>
      </c>
      <c r="H24" s="157">
        <v>2.57</v>
      </c>
      <c r="I24" s="161">
        <v>4.93</v>
      </c>
      <c r="J24" s="31">
        <v>0.19800000000000001</v>
      </c>
    </row>
    <row r="25" spans="1:10" ht="27.75" customHeight="1" x14ac:dyDescent="0.2">
      <c r="A25" s="156" t="s">
        <v>420</v>
      </c>
      <c r="B25" s="30" t="s">
        <v>1401</v>
      </c>
      <c r="C25" s="167" t="s">
        <v>417</v>
      </c>
      <c r="D25" s="131">
        <v>27.187999999999999</v>
      </c>
      <c r="E25" s="132">
        <v>1.298</v>
      </c>
      <c r="F25" s="130">
        <v>0.94499999999999995</v>
      </c>
      <c r="G25" s="158"/>
      <c r="H25" s="158"/>
      <c r="I25" s="160"/>
      <c r="J25" s="32"/>
    </row>
    <row r="26" spans="1:10" ht="27.75" customHeight="1" x14ac:dyDescent="0.2">
      <c r="A26" s="156" t="s">
        <v>421</v>
      </c>
      <c r="B26" s="30" t="s">
        <v>1402</v>
      </c>
      <c r="C26" s="166">
        <v>0</v>
      </c>
      <c r="D26" s="128">
        <v>-9.2240000000000002</v>
      </c>
      <c r="E26" s="129">
        <v>-0.40400000000000003</v>
      </c>
      <c r="F26" s="130">
        <v>-6.2E-2</v>
      </c>
      <c r="G26" s="157">
        <v>0</v>
      </c>
      <c r="H26" s="158"/>
      <c r="I26" s="160"/>
      <c r="J26" s="32"/>
    </row>
    <row r="27" spans="1:10" ht="27.75" customHeight="1" x14ac:dyDescent="0.2">
      <c r="A27" s="156" t="s">
        <v>422</v>
      </c>
      <c r="B27" s="30" t="s">
        <v>1403</v>
      </c>
      <c r="C27" s="162">
        <v>0</v>
      </c>
      <c r="D27" s="128">
        <v>-9.2240000000000002</v>
      </c>
      <c r="E27" s="129">
        <v>-0.40400000000000003</v>
      </c>
      <c r="F27" s="130">
        <v>-6.2E-2</v>
      </c>
      <c r="G27" s="157">
        <v>0</v>
      </c>
      <c r="H27" s="158"/>
      <c r="I27" s="160"/>
      <c r="J27" s="31">
        <v>0.27100000000000002</v>
      </c>
    </row>
    <row r="28" spans="1:10" ht="27.75" customHeight="1" x14ac:dyDescent="0.2">
      <c r="A28" s="159" t="s">
        <v>508</v>
      </c>
      <c r="B28" s="30" t="s">
        <v>1404</v>
      </c>
      <c r="C28" s="171" t="s">
        <v>647</v>
      </c>
      <c r="D28" s="128">
        <v>8.6300000000000008</v>
      </c>
      <c r="E28" s="129">
        <v>0.378</v>
      </c>
      <c r="F28" s="130">
        <v>5.8000000000000003E-2</v>
      </c>
      <c r="G28" s="157">
        <v>14.9</v>
      </c>
      <c r="H28" s="158"/>
      <c r="I28" s="160"/>
      <c r="J28" s="32"/>
    </row>
    <row r="29" spans="1:10" ht="27.75" customHeight="1" x14ac:dyDescent="0.2">
      <c r="A29" s="159" t="s">
        <v>509</v>
      </c>
      <c r="B29" s="30" t="s">
        <v>1405</v>
      </c>
      <c r="C29" s="165" t="s">
        <v>415</v>
      </c>
      <c r="D29" s="128">
        <v>8.6300000000000008</v>
      </c>
      <c r="E29" s="129">
        <v>0.378</v>
      </c>
      <c r="F29" s="130">
        <v>5.8000000000000003E-2</v>
      </c>
      <c r="G29" s="158"/>
      <c r="H29" s="158"/>
      <c r="I29" s="160"/>
      <c r="J29" s="32"/>
    </row>
    <row r="30" spans="1:10" ht="27.75" customHeight="1" x14ac:dyDescent="0.2">
      <c r="A30" s="159" t="s">
        <v>510</v>
      </c>
      <c r="B30" s="30" t="s">
        <v>1406</v>
      </c>
      <c r="C30" s="155" t="s">
        <v>646</v>
      </c>
      <c r="D30" s="128">
        <v>6.484</v>
      </c>
      <c r="E30" s="129">
        <v>0.28399999999999997</v>
      </c>
      <c r="F30" s="130">
        <v>4.3999999999999997E-2</v>
      </c>
      <c r="G30" s="157">
        <v>2.16</v>
      </c>
      <c r="H30" s="158"/>
      <c r="I30" s="160"/>
      <c r="J30" s="32"/>
    </row>
    <row r="31" spans="1:10" ht="27.75" customHeight="1" x14ac:dyDescent="0.2">
      <c r="A31" s="159" t="s">
        <v>511</v>
      </c>
      <c r="B31" s="30" t="s">
        <v>1407</v>
      </c>
      <c r="C31" s="155" t="s">
        <v>646</v>
      </c>
      <c r="D31" s="128">
        <v>6.484</v>
      </c>
      <c r="E31" s="129">
        <v>0.28399999999999997</v>
      </c>
      <c r="F31" s="130">
        <v>4.3999999999999997E-2</v>
      </c>
      <c r="G31" s="157">
        <v>3.49</v>
      </c>
      <c r="H31" s="158"/>
      <c r="I31" s="160"/>
      <c r="J31" s="32"/>
    </row>
    <row r="32" spans="1:10" ht="27.75" customHeight="1" x14ac:dyDescent="0.2">
      <c r="A32" s="159" t="s">
        <v>512</v>
      </c>
      <c r="B32" s="30" t="s">
        <v>1408</v>
      </c>
      <c r="C32" s="155" t="s">
        <v>646</v>
      </c>
      <c r="D32" s="128">
        <v>6.484</v>
      </c>
      <c r="E32" s="129">
        <v>0.28399999999999997</v>
      </c>
      <c r="F32" s="130">
        <v>4.3999999999999997E-2</v>
      </c>
      <c r="G32" s="157">
        <v>10.18</v>
      </c>
      <c r="H32" s="158"/>
      <c r="I32" s="160"/>
      <c r="J32" s="32"/>
    </row>
    <row r="33" spans="1:10" ht="27.75" customHeight="1" x14ac:dyDescent="0.2">
      <c r="A33" s="159" t="s">
        <v>513</v>
      </c>
      <c r="B33" s="30" t="s">
        <v>1409</v>
      </c>
      <c r="C33" s="155" t="s">
        <v>646</v>
      </c>
      <c r="D33" s="128">
        <v>6.484</v>
      </c>
      <c r="E33" s="129">
        <v>0.28399999999999997</v>
      </c>
      <c r="F33" s="130">
        <v>4.3999999999999997E-2</v>
      </c>
      <c r="G33" s="157">
        <v>22.02</v>
      </c>
      <c r="H33" s="158"/>
      <c r="I33" s="160"/>
      <c r="J33" s="32"/>
    </row>
    <row r="34" spans="1:10" ht="27.75" customHeight="1" x14ac:dyDescent="0.2">
      <c r="A34" s="159" t="s">
        <v>514</v>
      </c>
      <c r="B34" s="30" t="s">
        <v>1410</v>
      </c>
      <c r="C34" s="155" t="s">
        <v>646</v>
      </c>
      <c r="D34" s="128">
        <v>6.484</v>
      </c>
      <c r="E34" s="129">
        <v>0.28399999999999997</v>
      </c>
      <c r="F34" s="130">
        <v>4.3999999999999997E-2</v>
      </c>
      <c r="G34" s="157">
        <v>60.25</v>
      </c>
      <c r="H34" s="158"/>
      <c r="I34" s="160"/>
      <c r="J34" s="32"/>
    </row>
    <row r="35" spans="1:10" ht="27.75" customHeight="1" x14ac:dyDescent="0.2">
      <c r="A35" s="159" t="s">
        <v>423</v>
      </c>
      <c r="B35" s="30" t="s">
        <v>1411</v>
      </c>
      <c r="C35" s="165" t="s">
        <v>416</v>
      </c>
      <c r="D35" s="128">
        <v>6.484</v>
      </c>
      <c r="E35" s="129">
        <v>0.28399999999999997</v>
      </c>
      <c r="F35" s="130">
        <v>4.3999999999999997E-2</v>
      </c>
      <c r="G35" s="158"/>
      <c r="H35" s="158"/>
      <c r="I35" s="160"/>
      <c r="J35" s="32"/>
    </row>
    <row r="36" spans="1:10" ht="27.75" customHeight="1" x14ac:dyDescent="0.2">
      <c r="A36" s="159" t="s">
        <v>515</v>
      </c>
      <c r="B36" s="30" t="s">
        <v>1412</v>
      </c>
      <c r="C36" s="167">
        <v>0</v>
      </c>
      <c r="D36" s="128">
        <v>4.6219999999999999</v>
      </c>
      <c r="E36" s="129">
        <v>0.19900000000000001</v>
      </c>
      <c r="F36" s="130">
        <v>0.03</v>
      </c>
      <c r="G36" s="157">
        <v>5.97</v>
      </c>
      <c r="H36" s="157">
        <v>1.98</v>
      </c>
      <c r="I36" s="161">
        <v>3.8</v>
      </c>
      <c r="J36" s="31">
        <v>0.153</v>
      </c>
    </row>
    <row r="37" spans="1:10" ht="27.75" customHeight="1" x14ac:dyDescent="0.2">
      <c r="A37" s="159" t="s">
        <v>516</v>
      </c>
      <c r="B37" s="30" t="s">
        <v>1413</v>
      </c>
      <c r="C37" s="167">
        <v>0</v>
      </c>
      <c r="D37" s="128">
        <v>4.6219999999999999</v>
      </c>
      <c r="E37" s="129">
        <v>0.19900000000000001</v>
      </c>
      <c r="F37" s="130">
        <v>0.03</v>
      </c>
      <c r="G37" s="157">
        <v>116.57</v>
      </c>
      <c r="H37" s="157">
        <v>1.98</v>
      </c>
      <c r="I37" s="161">
        <v>3.8</v>
      </c>
      <c r="J37" s="31">
        <v>0.153</v>
      </c>
    </row>
    <row r="38" spans="1:10" ht="27.75" customHeight="1" x14ac:dyDescent="0.2">
      <c r="A38" s="159" t="s">
        <v>517</v>
      </c>
      <c r="B38" s="30" t="s">
        <v>1414</v>
      </c>
      <c r="C38" s="167">
        <v>0</v>
      </c>
      <c r="D38" s="128">
        <v>4.6219999999999999</v>
      </c>
      <c r="E38" s="129">
        <v>0.19900000000000001</v>
      </c>
      <c r="F38" s="130">
        <v>0.03</v>
      </c>
      <c r="G38" s="157">
        <v>192.32</v>
      </c>
      <c r="H38" s="157">
        <v>1.98</v>
      </c>
      <c r="I38" s="161">
        <v>3.8</v>
      </c>
      <c r="J38" s="31">
        <v>0.153</v>
      </c>
    </row>
    <row r="39" spans="1:10" ht="27.75" customHeight="1" x14ac:dyDescent="0.2">
      <c r="A39" s="159" t="s">
        <v>518</v>
      </c>
      <c r="B39" s="30" t="s">
        <v>1415</v>
      </c>
      <c r="C39" s="167">
        <v>0</v>
      </c>
      <c r="D39" s="128">
        <v>4.6219999999999999</v>
      </c>
      <c r="E39" s="129">
        <v>0.19900000000000001</v>
      </c>
      <c r="F39" s="130">
        <v>0.03</v>
      </c>
      <c r="G39" s="157">
        <v>310.27999999999997</v>
      </c>
      <c r="H39" s="157">
        <v>1.98</v>
      </c>
      <c r="I39" s="161">
        <v>3.8</v>
      </c>
      <c r="J39" s="31">
        <v>0.153</v>
      </c>
    </row>
    <row r="40" spans="1:10" ht="27.75" customHeight="1" x14ac:dyDescent="0.2">
      <c r="A40" s="159" t="s">
        <v>519</v>
      </c>
      <c r="B40" s="30" t="s">
        <v>1416</v>
      </c>
      <c r="C40" s="167">
        <v>0</v>
      </c>
      <c r="D40" s="128">
        <v>4.6219999999999999</v>
      </c>
      <c r="E40" s="129">
        <v>0.19900000000000001</v>
      </c>
      <c r="F40" s="130">
        <v>0.03</v>
      </c>
      <c r="G40" s="157">
        <v>683.24</v>
      </c>
      <c r="H40" s="157">
        <v>1.98</v>
      </c>
      <c r="I40" s="161">
        <v>3.8</v>
      </c>
      <c r="J40" s="31">
        <v>0.153</v>
      </c>
    </row>
    <row r="41" spans="1:10" ht="27.75" customHeight="1" x14ac:dyDescent="0.2">
      <c r="A41" s="159" t="s">
        <v>520</v>
      </c>
      <c r="B41" s="30" t="s">
        <v>1417</v>
      </c>
      <c r="C41" s="167">
        <v>0</v>
      </c>
      <c r="D41" s="128">
        <v>4.4790000000000001</v>
      </c>
      <c r="E41" s="129">
        <v>0.186</v>
      </c>
      <c r="F41" s="130">
        <v>2.5999999999999999E-2</v>
      </c>
      <c r="G41" s="157">
        <v>6.58</v>
      </c>
      <c r="H41" s="157">
        <v>4.6399999999999997</v>
      </c>
      <c r="I41" s="161">
        <v>6.04</v>
      </c>
      <c r="J41" s="31">
        <v>0.14199999999999999</v>
      </c>
    </row>
    <row r="42" spans="1:10" ht="27.75" customHeight="1" x14ac:dyDescent="0.2">
      <c r="A42" s="159" t="s">
        <v>521</v>
      </c>
      <c r="B42" s="30" t="s">
        <v>1418</v>
      </c>
      <c r="C42" s="167">
        <v>0</v>
      </c>
      <c r="D42" s="128">
        <v>4.4790000000000001</v>
      </c>
      <c r="E42" s="129">
        <v>0.186</v>
      </c>
      <c r="F42" s="130">
        <v>2.5999999999999999E-2</v>
      </c>
      <c r="G42" s="157">
        <v>172.1</v>
      </c>
      <c r="H42" s="157">
        <v>4.6399999999999997</v>
      </c>
      <c r="I42" s="161">
        <v>6.04</v>
      </c>
      <c r="J42" s="31">
        <v>0.14199999999999999</v>
      </c>
    </row>
    <row r="43" spans="1:10" ht="27.75" customHeight="1" x14ac:dyDescent="0.2">
      <c r="A43" s="159" t="s">
        <v>522</v>
      </c>
      <c r="B43" s="30" t="s">
        <v>1419</v>
      </c>
      <c r="C43" s="167">
        <v>0</v>
      </c>
      <c r="D43" s="128">
        <v>4.4790000000000001</v>
      </c>
      <c r="E43" s="129">
        <v>0.186</v>
      </c>
      <c r="F43" s="130">
        <v>2.5999999999999999E-2</v>
      </c>
      <c r="G43" s="157">
        <v>285.47000000000003</v>
      </c>
      <c r="H43" s="157">
        <v>4.6399999999999997</v>
      </c>
      <c r="I43" s="161">
        <v>6.04</v>
      </c>
      <c r="J43" s="31">
        <v>0.14199999999999999</v>
      </c>
    </row>
    <row r="44" spans="1:10" ht="27.75" customHeight="1" x14ac:dyDescent="0.2">
      <c r="A44" s="159" t="s">
        <v>523</v>
      </c>
      <c r="B44" s="30" t="s">
        <v>1420</v>
      </c>
      <c r="C44" s="167">
        <v>0</v>
      </c>
      <c r="D44" s="128">
        <v>4.4790000000000001</v>
      </c>
      <c r="E44" s="129">
        <v>0.186</v>
      </c>
      <c r="F44" s="130">
        <v>2.5999999999999999E-2</v>
      </c>
      <c r="G44" s="157">
        <v>462.02</v>
      </c>
      <c r="H44" s="157">
        <v>4.6399999999999997</v>
      </c>
      <c r="I44" s="161">
        <v>6.04</v>
      </c>
      <c r="J44" s="31">
        <v>0.14199999999999999</v>
      </c>
    </row>
    <row r="45" spans="1:10" ht="27.75" customHeight="1" x14ac:dyDescent="0.2">
      <c r="A45" s="159" t="s">
        <v>524</v>
      </c>
      <c r="B45" s="30" t="s">
        <v>1421</v>
      </c>
      <c r="C45" s="167">
        <v>0</v>
      </c>
      <c r="D45" s="128">
        <v>4.4790000000000001</v>
      </c>
      <c r="E45" s="129">
        <v>0.186</v>
      </c>
      <c r="F45" s="130">
        <v>2.5999999999999999E-2</v>
      </c>
      <c r="G45" s="157">
        <v>1020.19</v>
      </c>
      <c r="H45" s="157">
        <v>4.6399999999999997</v>
      </c>
      <c r="I45" s="161">
        <v>6.04</v>
      </c>
      <c r="J45" s="31">
        <v>0.14199999999999999</v>
      </c>
    </row>
    <row r="46" spans="1:10" ht="27.75" customHeight="1" x14ac:dyDescent="0.2">
      <c r="A46" s="159" t="s">
        <v>525</v>
      </c>
      <c r="B46" s="30" t="s">
        <v>1422</v>
      </c>
      <c r="C46" s="167">
        <v>0</v>
      </c>
      <c r="D46" s="128">
        <v>4.3159999999999998</v>
      </c>
      <c r="E46" s="129">
        <v>0.17699999999999999</v>
      </c>
      <c r="F46" s="130">
        <v>2.3E-2</v>
      </c>
      <c r="G46" s="157">
        <v>98.39</v>
      </c>
      <c r="H46" s="157">
        <v>3.89</v>
      </c>
      <c r="I46" s="161">
        <v>6.03</v>
      </c>
      <c r="J46" s="31">
        <v>0.13800000000000001</v>
      </c>
    </row>
    <row r="47" spans="1:10" ht="27.75" customHeight="1" x14ac:dyDescent="0.2">
      <c r="A47" s="159" t="s">
        <v>526</v>
      </c>
      <c r="B47" s="30" t="s">
        <v>1423</v>
      </c>
      <c r="C47" s="167">
        <v>0</v>
      </c>
      <c r="D47" s="128">
        <v>4.3159999999999998</v>
      </c>
      <c r="E47" s="129">
        <v>0.17699999999999999</v>
      </c>
      <c r="F47" s="130">
        <v>2.3E-2</v>
      </c>
      <c r="G47" s="157">
        <v>813.68</v>
      </c>
      <c r="H47" s="157">
        <v>3.89</v>
      </c>
      <c r="I47" s="161">
        <v>6.03</v>
      </c>
      <c r="J47" s="31">
        <v>0.13800000000000001</v>
      </c>
    </row>
    <row r="48" spans="1:10" ht="27.75" customHeight="1" x14ac:dyDescent="0.2">
      <c r="A48" s="159" t="s">
        <v>527</v>
      </c>
      <c r="B48" s="30" t="s">
        <v>1424</v>
      </c>
      <c r="C48" s="167">
        <v>0</v>
      </c>
      <c r="D48" s="128">
        <v>4.3159999999999998</v>
      </c>
      <c r="E48" s="129">
        <v>0.17699999999999999</v>
      </c>
      <c r="F48" s="130">
        <v>2.3E-2</v>
      </c>
      <c r="G48" s="157">
        <v>4137.5600000000004</v>
      </c>
      <c r="H48" s="157">
        <v>3.89</v>
      </c>
      <c r="I48" s="161">
        <v>6.03</v>
      </c>
      <c r="J48" s="31">
        <v>0.13800000000000001</v>
      </c>
    </row>
    <row r="49" spans="1:10" ht="27.75" customHeight="1" x14ac:dyDescent="0.2">
      <c r="A49" s="159" t="s">
        <v>528</v>
      </c>
      <c r="B49" s="30" t="s">
        <v>1425</v>
      </c>
      <c r="C49" s="167">
        <v>0</v>
      </c>
      <c r="D49" s="128">
        <v>4.3159999999999998</v>
      </c>
      <c r="E49" s="129">
        <v>0.17699999999999999</v>
      </c>
      <c r="F49" s="130">
        <v>2.3E-2</v>
      </c>
      <c r="G49" s="157">
        <v>3618.09</v>
      </c>
      <c r="H49" s="157">
        <v>3.89</v>
      </c>
      <c r="I49" s="161">
        <v>6.03</v>
      </c>
      <c r="J49" s="31">
        <v>0.13800000000000001</v>
      </c>
    </row>
    <row r="50" spans="1:10" ht="27.75" customHeight="1" x14ac:dyDescent="0.2">
      <c r="A50" s="159" t="s">
        <v>529</v>
      </c>
      <c r="B50" s="30" t="s">
        <v>1426</v>
      </c>
      <c r="C50" s="167">
        <v>0</v>
      </c>
      <c r="D50" s="128">
        <v>4.3159999999999998</v>
      </c>
      <c r="E50" s="129">
        <v>0.17699999999999999</v>
      </c>
      <c r="F50" s="130">
        <v>2.3E-2</v>
      </c>
      <c r="G50" s="157">
        <v>9175.99</v>
      </c>
      <c r="H50" s="157">
        <v>3.89</v>
      </c>
      <c r="I50" s="161">
        <v>6.03</v>
      </c>
      <c r="J50" s="31">
        <v>0.13800000000000001</v>
      </c>
    </row>
    <row r="51" spans="1:10" ht="27.75" customHeight="1" x14ac:dyDescent="0.2">
      <c r="A51" s="159" t="s">
        <v>424</v>
      </c>
      <c r="B51" s="30" t="s">
        <v>1427</v>
      </c>
      <c r="C51" s="167" t="s">
        <v>417</v>
      </c>
      <c r="D51" s="131">
        <v>20.962</v>
      </c>
      <c r="E51" s="132">
        <v>1.0009999999999999</v>
      </c>
      <c r="F51" s="130">
        <v>0.72899999999999998</v>
      </c>
      <c r="G51" s="158"/>
      <c r="H51" s="158"/>
      <c r="I51" s="160"/>
      <c r="J51" s="32"/>
    </row>
    <row r="52" spans="1:10" ht="27.75" customHeight="1" x14ac:dyDescent="0.2">
      <c r="A52" s="159" t="s">
        <v>425</v>
      </c>
      <c r="B52" s="30" t="s">
        <v>1428</v>
      </c>
      <c r="C52" s="162">
        <v>0</v>
      </c>
      <c r="D52" s="128">
        <v>-9.2240000000000002</v>
      </c>
      <c r="E52" s="129">
        <v>-0.40400000000000003</v>
      </c>
      <c r="F52" s="130">
        <v>-6.2E-2</v>
      </c>
      <c r="G52" s="157">
        <v>0</v>
      </c>
      <c r="H52" s="158"/>
      <c r="I52" s="160"/>
      <c r="J52" s="32"/>
    </row>
    <row r="53" spans="1:10" ht="27.75" customHeight="1" x14ac:dyDescent="0.2">
      <c r="A53" s="159" t="s">
        <v>426</v>
      </c>
      <c r="B53" s="30" t="s">
        <v>1429</v>
      </c>
      <c r="C53" s="162">
        <v>0</v>
      </c>
      <c r="D53" s="128">
        <v>-8.2059999999999995</v>
      </c>
      <c r="E53" s="129">
        <v>-0.35599999999999998</v>
      </c>
      <c r="F53" s="130">
        <v>-5.3999999999999999E-2</v>
      </c>
      <c r="G53" s="157">
        <v>0</v>
      </c>
      <c r="H53" s="158"/>
      <c r="I53" s="160"/>
      <c r="J53" s="32"/>
    </row>
    <row r="54" spans="1:10" ht="27.75" customHeight="1" x14ac:dyDescent="0.2">
      <c r="A54" s="159" t="s">
        <v>427</v>
      </c>
      <c r="B54" s="30" t="s">
        <v>1430</v>
      </c>
      <c r="C54" s="162">
        <v>0</v>
      </c>
      <c r="D54" s="128">
        <v>-9.2240000000000002</v>
      </c>
      <c r="E54" s="129">
        <v>-0.40400000000000003</v>
      </c>
      <c r="F54" s="130">
        <v>-6.2E-2</v>
      </c>
      <c r="G54" s="157">
        <v>0</v>
      </c>
      <c r="H54" s="158"/>
      <c r="I54" s="160"/>
      <c r="J54" s="31">
        <v>0.27100000000000002</v>
      </c>
    </row>
    <row r="55" spans="1:10" ht="27.75" customHeight="1" x14ac:dyDescent="0.2">
      <c r="A55" s="159" t="s">
        <v>428</v>
      </c>
      <c r="B55" s="30" t="s">
        <v>1431</v>
      </c>
      <c r="C55" s="162">
        <v>0</v>
      </c>
      <c r="D55" s="128">
        <v>-8.2059999999999995</v>
      </c>
      <c r="E55" s="129">
        <v>-0.35599999999999998</v>
      </c>
      <c r="F55" s="130">
        <v>-5.3999999999999999E-2</v>
      </c>
      <c r="G55" s="157">
        <v>0</v>
      </c>
      <c r="H55" s="158"/>
      <c r="I55" s="160"/>
      <c r="J55" s="31">
        <v>0.246</v>
      </c>
    </row>
    <row r="56" spans="1:10" ht="27.75" customHeight="1" x14ac:dyDescent="0.2">
      <c r="A56" s="159" t="s">
        <v>429</v>
      </c>
      <c r="B56" s="30" t="s">
        <v>1432</v>
      </c>
      <c r="C56" s="162">
        <v>0</v>
      </c>
      <c r="D56" s="128">
        <v>-5.66</v>
      </c>
      <c r="E56" s="129">
        <v>-0.23499999999999999</v>
      </c>
      <c r="F56" s="130">
        <v>-3.2000000000000001E-2</v>
      </c>
      <c r="G56" s="157">
        <v>0</v>
      </c>
      <c r="H56" s="158"/>
      <c r="I56" s="160"/>
      <c r="J56" s="31">
        <v>0.19900000000000001</v>
      </c>
    </row>
    <row r="57" spans="1:10" ht="27.75" customHeight="1" x14ac:dyDescent="0.2">
      <c r="A57" s="156" t="s">
        <v>618</v>
      </c>
      <c r="B57" s="30" t="s">
        <v>1433</v>
      </c>
      <c r="C57" s="171" t="s">
        <v>647</v>
      </c>
      <c r="D57" s="128">
        <v>6.2690000000000001</v>
      </c>
      <c r="E57" s="129">
        <v>0.27400000000000002</v>
      </c>
      <c r="F57" s="130">
        <v>4.2000000000000003E-2</v>
      </c>
      <c r="G57" s="157">
        <v>13.44</v>
      </c>
      <c r="H57" s="158"/>
      <c r="I57" s="160"/>
      <c r="J57" s="32"/>
    </row>
    <row r="58" spans="1:10" ht="27.75" customHeight="1" x14ac:dyDescent="0.2">
      <c r="A58" s="156" t="s">
        <v>619</v>
      </c>
      <c r="B58" s="30" t="s">
        <v>1434</v>
      </c>
      <c r="C58" s="165" t="s">
        <v>415</v>
      </c>
      <c r="D58" s="128">
        <v>6.2690000000000001</v>
      </c>
      <c r="E58" s="129">
        <v>0.27400000000000002</v>
      </c>
      <c r="F58" s="130">
        <v>4.2000000000000003E-2</v>
      </c>
      <c r="G58" s="158"/>
      <c r="H58" s="158"/>
      <c r="I58" s="160"/>
      <c r="J58" s="32"/>
    </row>
    <row r="59" spans="1:10" ht="27.75" customHeight="1" x14ac:dyDescent="0.2">
      <c r="A59" s="156" t="s">
        <v>620</v>
      </c>
      <c r="B59" s="30" t="s">
        <v>1435</v>
      </c>
      <c r="C59" s="155" t="s">
        <v>646</v>
      </c>
      <c r="D59" s="128">
        <v>4.71</v>
      </c>
      <c r="E59" s="129">
        <v>0.20599999999999999</v>
      </c>
      <c r="F59" s="130">
        <v>3.2000000000000001E-2</v>
      </c>
      <c r="G59" s="157">
        <v>1.59</v>
      </c>
      <c r="H59" s="158"/>
      <c r="I59" s="160"/>
      <c r="J59" s="32"/>
    </row>
    <row r="60" spans="1:10" ht="27.75" customHeight="1" x14ac:dyDescent="0.2">
      <c r="A60" s="156" t="s">
        <v>621</v>
      </c>
      <c r="B60" s="30" t="s">
        <v>1436</v>
      </c>
      <c r="C60" s="155" t="s">
        <v>646</v>
      </c>
      <c r="D60" s="128">
        <v>4.71</v>
      </c>
      <c r="E60" s="129">
        <v>0.20599999999999999</v>
      </c>
      <c r="F60" s="130">
        <v>3.2000000000000001E-2</v>
      </c>
      <c r="G60" s="157">
        <v>2.5499999999999998</v>
      </c>
      <c r="H60" s="158"/>
      <c r="I60" s="160"/>
      <c r="J60" s="32"/>
    </row>
    <row r="61" spans="1:10" ht="27.75" customHeight="1" x14ac:dyDescent="0.2">
      <c r="A61" s="156" t="s">
        <v>622</v>
      </c>
      <c r="B61" s="30" t="s">
        <v>1437</v>
      </c>
      <c r="C61" s="155" t="s">
        <v>646</v>
      </c>
      <c r="D61" s="128">
        <v>4.71</v>
      </c>
      <c r="E61" s="129">
        <v>0.20599999999999999</v>
      </c>
      <c r="F61" s="130">
        <v>3.2000000000000001E-2</v>
      </c>
      <c r="G61" s="157">
        <v>7.42</v>
      </c>
      <c r="H61" s="158"/>
      <c r="I61" s="160"/>
      <c r="J61" s="32"/>
    </row>
    <row r="62" spans="1:10" ht="27.75" customHeight="1" x14ac:dyDescent="0.2">
      <c r="A62" s="156" t="s">
        <v>623</v>
      </c>
      <c r="B62" s="30" t="s">
        <v>1438</v>
      </c>
      <c r="C62" s="155" t="s">
        <v>646</v>
      </c>
      <c r="D62" s="128">
        <v>4.71</v>
      </c>
      <c r="E62" s="129">
        <v>0.20599999999999999</v>
      </c>
      <c r="F62" s="130">
        <v>3.2000000000000001E-2</v>
      </c>
      <c r="G62" s="157">
        <v>16.010000000000002</v>
      </c>
      <c r="H62" s="158"/>
      <c r="I62" s="160"/>
      <c r="J62" s="32"/>
    </row>
    <row r="63" spans="1:10" ht="27.75" customHeight="1" x14ac:dyDescent="0.2">
      <c r="A63" s="156" t="s">
        <v>624</v>
      </c>
      <c r="B63" s="30" t="s">
        <v>1439</v>
      </c>
      <c r="C63" s="155" t="s">
        <v>646</v>
      </c>
      <c r="D63" s="128">
        <v>4.71</v>
      </c>
      <c r="E63" s="129">
        <v>0.20599999999999999</v>
      </c>
      <c r="F63" s="130">
        <v>3.2000000000000001E-2</v>
      </c>
      <c r="G63" s="157">
        <v>43.78</v>
      </c>
      <c r="H63" s="158"/>
      <c r="I63" s="160"/>
      <c r="J63" s="32"/>
    </row>
    <row r="64" spans="1:10" ht="27.75" customHeight="1" x14ac:dyDescent="0.2">
      <c r="A64" s="156" t="s">
        <v>430</v>
      </c>
      <c r="B64" s="30" t="s">
        <v>1440</v>
      </c>
      <c r="C64" s="165" t="s">
        <v>416</v>
      </c>
      <c r="D64" s="128">
        <v>4.71</v>
      </c>
      <c r="E64" s="129">
        <v>0.20599999999999999</v>
      </c>
      <c r="F64" s="130">
        <v>3.2000000000000001E-2</v>
      </c>
      <c r="G64" s="158"/>
      <c r="H64" s="158"/>
      <c r="I64" s="160"/>
      <c r="J64" s="32"/>
    </row>
    <row r="65" spans="1:10" ht="27.75" customHeight="1" x14ac:dyDescent="0.2">
      <c r="A65" s="156" t="s">
        <v>625</v>
      </c>
      <c r="B65" s="30" t="s">
        <v>1441</v>
      </c>
      <c r="C65" s="167">
        <v>0</v>
      </c>
      <c r="D65" s="128">
        <v>3.3570000000000002</v>
      </c>
      <c r="E65" s="129">
        <v>0.14499999999999999</v>
      </c>
      <c r="F65" s="130">
        <v>2.1000000000000001E-2</v>
      </c>
      <c r="G65" s="157">
        <v>4.3600000000000003</v>
      </c>
      <c r="H65" s="157">
        <v>1.44</v>
      </c>
      <c r="I65" s="161">
        <v>2.76</v>
      </c>
      <c r="J65" s="31">
        <v>0.111</v>
      </c>
    </row>
    <row r="66" spans="1:10" ht="27.75" customHeight="1" x14ac:dyDescent="0.2">
      <c r="A66" s="156" t="s">
        <v>626</v>
      </c>
      <c r="B66" s="30" t="s">
        <v>1442</v>
      </c>
      <c r="C66" s="167">
        <v>0</v>
      </c>
      <c r="D66" s="128">
        <v>3.3570000000000002</v>
      </c>
      <c r="E66" s="129">
        <v>0.14499999999999999</v>
      </c>
      <c r="F66" s="130">
        <v>2.1000000000000001E-2</v>
      </c>
      <c r="G66" s="157">
        <v>84.69</v>
      </c>
      <c r="H66" s="157">
        <v>1.44</v>
      </c>
      <c r="I66" s="161">
        <v>2.76</v>
      </c>
      <c r="J66" s="31">
        <v>0.111</v>
      </c>
    </row>
    <row r="67" spans="1:10" ht="27.75" customHeight="1" x14ac:dyDescent="0.2">
      <c r="A67" s="156" t="s">
        <v>627</v>
      </c>
      <c r="B67" s="30" t="s">
        <v>1443</v>
      </c>
      <c r="C67" s="167">
        <v>0</v>
      </c>
      <c r="D67" s="128">
        <v>3.3570000000000002</v>
      </c>
      <c r="E67" s="129">
        <v>0.14499999999999999</v>
      </c>
      <c r="F67" s="130">
        <v>2.1000000000000001E-2</v>
      </c>
      <c r="G67" s="157">
        <v>139.72</v>
      </c>
      <c r="H67" s="157">
        <v>1.44</v>
      </c>
      <c r="I67" s="161">
        <v>2.76</v>
      </c>
      <c r="J67" s="31">
        <v>0.111</v>
      </c>
    </row>
    <row r="68" spans="1:10" ht="27.75" customHeight="1" x14ac:dyDescent="0.2">
      <c r="A68" s="156" t="s">
        <v>628</v>
      </c>
      <c r="B68" s="30" t="s">
        <v>1444</v>
      </c>
      <c r="C68" s="167">
        <v>0</v>
      </c>
      <c r="D68" s="128">
        <v>3.3570000000000002</v>
      </c>
      <c r="E68" s="129">
        <v>0.14499999999999999</v>
      </c>
      <c r="F68" s="130">
        <v>2.1000000000000001E-2</v>
      </c>
      <c r="G68" s="157">
        <v>225.41</v>
      </c>
      <c r="H68" s="157">
        <v>1.44</v>
      </c>
      <c r="I68" s="161">
        <v>2.76</v>
      </c>
      <c r="J68" s="31">
        <v>0.111</v>
      </c>
    </row>
    <row r="69" spans="1:10" ht="27.75" customHeight="1" x14ac:dyDescent="0.2">
      <c r="A69" s="156" t="s">
        <v>629</v>
      </c>
      <c r="B69" s="30" t="s">
        <v>1445</v>
      </c>
      <c r="C69" s="167">
        <v>0</v>
      </c>
      <c r="D69" s="128">
        <v>3.3570000000000002</v>
      </c>
      <c r="E69" s="129">
        <v>0.14499999999999999</v>
      </c>
      <c r="F69" s="130">
        <v>2.1000000000000001E-2</v>
      </c>
      <c r="G69" s="157">
        <v>496.34</v>
      </c>
      <c r="H69" s="157">
        <v>1.44</v>
      </c>
      <c r="I69" s="161">
        <v>2.76</v>
      </c>
      <c r="J69" s="31">
        <v>0.111</v>
      </c>
    </row>
    <row r="70" spans="1:10" ht="27.75" customHeight="1" x14ac:dyDescent="0.2">
      <c r="A70" s="156" t="s">
        <v>630</v>
      </c>
      <c r="B70" s="30" t="s">
        <v>1446</v>
      </c>
      <c r="C70" s="167">
        <v>0</v>
      </c>
      <c r="D70" s="128">
        <v>3.2189999999999999</v>
      </c>
      <c r="E70" s="129">
        <v>0.13400000000000001</v>
      </c>
      <c r="F70" s="130">
        <v>1.7999999999999999E-2</v>
      </c>
      <c r="G70" s="157">
        <v>4.75</v>
      </c>
      <c r="H70" s="157">
        <v>3.33</v>
      </c>
      <c r="I70" s="161">
        <v>4.34</v>
      </c>
      <c r="J70" s="31">
        <v>0.10199999999999999</v>
      </c>
    </row>
    <row r="71" spans="1:10" ht="27.75" customHeight="1" x14ac:dyDescent="0.2">
      <c r="A71" s="156" t="s">
        <v>631</v>
      </c>
      <c r="B71" s="30" t="s">
        <v>1447</v>
      </c>
      <c r="C71" s="167">
        <v>0</v>
      </c>
      <c r="D71" s="128">
        <v>3.2189999999999999</v>
      </c>
      <c r="E71" s="129">
        <v>0.13400000000000001</v>
      </c>
      <c r="F71" s="130">
        <v>1.7999999999999999E-2</v>
      </c>
      <c r="G71" s="157">
        <v>123.69</v>
      </c>
      <c r="H71" s="157">
        <v>3.33</v>
      </c>
      <c r="I71" s="161">
        <v>4.34</v>
      </c>
      <c r="J71" s="31">
        <v>0.10199999999999999</v>
      </c>
    </row>
    <row r="72" spans="1:10" ht="27.75" customHeight="1" x14ac:dyDescent="0.2">
      <c r="A72" s="156" t="s">
        <v>632</v>
      </c>
      <c r="B72" s="30" t="s">
        <v>1448</v>
      </c>
      <c r="C72" s="167">
        <v>0</v>
      </c>
      <c r="D72" s="128">
        <v>3.2189999999999999</v>
      </c>
      <c r="E72" s="129">
        <v>0.13400000000000001</v>
      </c>
      <c r="F72" s="130">
        <v>1.7999999999999999E-2</v>
      </c>
      <c r="G72" s="157">
        <v>205.16</v>
      </c>
      <c r="H72" s="157">
        <v>3.33</v>
      </c>
      <c r="I72" s="161">
        <v>4.34</v>
      </c>
      <c r="J72" s="31">
        <v>0.10199999999999999</v>
      </c>
    </row>
    <row r="73" spans="1:10" ht="27.75" customHeight="1" x14ac:dyDescent="0.2">
      <c r="A73" s="156" t="s">
        <v>633</v>
      </c>
      <c r="B73" s="30" t="s">
        <v>1449</v>
      </c>
      <c r="C73" s="167">
        <v>0</v>
      </c>
      <c r="D73" s="128">
        <v>3.2189999999999999</v>
      </c>
      <c r="E73" s="129">
        <v>0.13400000000000001</v>
      </c>
      <c r="F73" s="130">
        <v>1.7999999999999999E-2</v>
      </c>
      <c r="G73" s="157">
        <v>332.02</v>
      </c>
      <c r="H73" s="157">
        <v>3.33</v>
      </c>
      <c r="I73" s="161">
        <v>4.34</v>
      </c>
      <c r="J73" s="31">
        <v>0.10199999999999999</v>
      </c>
    </row>
    <row r="74" spans="1:10" ht="27.75" customHeight="1" x14ac:dyDescent="0.2">
      <c r="A74" s="156" t="s">
        <v>634</v>
      </c>
      <c r="B74" s="30" t="s">
        <v>1450</v>
      </c>
      <c r="C74" s="167">
        <v>0</v>
      </c>
      <c r="D74" s="128">
        <v>3.2189999999999999</v>
      </c>
      <c r="E74" s="129">
        <v>0.13400000000000001</v>
      </c>
      <c r="F74" s="130">
        <v>1.7999999999999999E-2</v>
      </c>
      <c r="G74" s="157">
        <v>733.13</v>
      </c>
      <c r="H74" s="157">
        <v>3.33</v>
      </c>
      <c r="I74" s="161">
        <v>4.34</v>
      </c>
      <c r="J74" s="31">
        <v>0.10199999999999999</v>
      </c>
    </row>
    <row r="75" spans="1:10" ht="27.75" customHeight="1" x14ac:dyDescent="0.2">
      <c r="A75" s="156" t="s">
        <v>635</v>
      </c>
      <c r="B75" s="30" t="s">
        <v>1451</v>
      </c>
      <c r="C75" s="167">
        <v>0</v>
      </c>
      <c r="D75" s="128">
        <v>3.089</v>
      </c>
      <c r="E75" s="129">
        <v>0.127</v>
      </c>
      <c r="F75" s="130">
        <v>1.6E-2</v>
      </c>
      <c r="G75" s="157">
        <v>70.45</v>
      </c>
      <c r="H75" s="157">
        <v>2.79</v>
      </c>
      <c r="I75" s="161">
        <v>4.32</v>
      </c>
      <c r="J75" s="31">
        <v>9.9000000000000005E-2</v>
      </c>
    </row>
    <row r="76" spans="1:10" ht="27.75" customHeight="1" x14ac:dyDescent="0.2">
      <c r="A76" s="156" t="s">
        <v>636</v>
      </c>
      <c r="B76" s="30" t="s">
        <v>1452</v>
      </c>
      <c r="C76" s="167">
        <v>0</v>
      </c>
      <c r="D76" s="128">
        <v>3.089</v>
      </c>
      <c r="E76" s="129">
        <v>0.127</v>
      </c>
      <c r="F76" s="130">
        <v>1.6E-2</v>
      </c>
      <c r="G76" s="157">
        <v>582.46</v>
      </c>
      <c r="H76" s="157">
        <v>2.79</v>
      </c>
      <c r="I76" s="161">
        <v>4.32</v>
      </c>
      <c r="J76" s="31">
        <v>9.9000000000000005E-2</v>
      </c>
    </row>
    <row r="77" spans="1:10" ht="27.75" customHeight="1" x14ac:dyDescent="0.2">
      <c r="A77" s="156" t="s">
        <v>637</v>
      </c>
      <c r="B77" s="30" t="s">
        <v>1453</v>
      </c>
      <c r="C77" s="167">
        <v>0</v>
      </c>
      <c r="D77" s="128">
        <v>3.089</v>
      </c>
      <c r="E77" s="129">
        <v>0.127</v>
      </c>
      <c r="F77" s="130">
        <v>1.6E-2</v>
      </c>
      <c r="G77" s="157">
        <v>2961.72</v>
      </c>
      <c r="H77" s="157">
        <v>2.79</v>
      </c>
      <c r="I77" s="161">
        <v>4.32</v>
      </c>
      <c r="J77" s="31">
        <v>9.9000000000000005E-2</v>
      </c>
    </row>
    <row r="78" spans="1:10" ht="27.75" customHeight="1" x14ac:dyDescent="0.2">
      <c r="A78" s="156" t="s">
        <v>638</v>
      </c>
      <c r="B78" s="30" t="s">
        <v>1454</v>
      </c>
      <c r="C78" s="167">
        <v>0</v>
      </c>
      <c r="D78" s="128">
        <v>3.089</v>
      </c>
      <c r="E78" s="129">
        <v>0.127</v>
      </c>
      <c r="F78" s="130">
        <v>1.6E-2</v>
      </c>
      <c r="G78" s="157">
        <v>2589.87</v>
      </c>
      <c r="H78" s="157">
        <v>2.79</v>
      </c>
      <c r="I78" s="161">
        <v>4.32</v>
      </c>
      <c r="J78" s="31">
        <v>9.9000000000000005E-2</v>
      </c>
    </row>
    <row r="79" spans="1:10" ht="27.75" customHeight="1" x14ac:dyDescent="0.2">
      <c r="A79" s="156" t="s">
        <v>639</v>
      </c>
      <c r="B79" s="30" t="s">
        <v>1455</v>
      </c>
      <c r="C79" s="167">
        <v>0</v>
      </c>
      <c r="D79" s="128">
        <v>3.089</v>
      </c>
      <c r="E79" s="129">
        <v>0.127</v>
      </c>
      <c r="F79" s="130">
        <v>1.6E-2</v>
      </c>
      <c r="G79" s="157">
        <v>6568.26</v>
      </c>
      <c r="H79" s="157">
        <v>2.79</v>
      </c>
      <c r="I79" s="161">
        <v>4.32</v>
      </c>
      <c r="J79" s="31">
        <v>9.9000000000000005E-2</v>
      </c>
    </row>
    <row r="80" spans="1:10" ht="27.75" customHeight="1" x14ac:dyDescent="0.2">
      <c r="A80" s="156" t="s">
        <v>431</v>
      </c>
      <c r="B80" s="30" t="s">
        <v>1456</v>
      </c>
      <c r="C80" s="167" t="s">
        <v>417</v>
      </c>
      <c r="D80" s="131">
        <v>15.227</v>
      </c>
      <c r="E80" s="132">
        <v>0.72699999999999998</v>
      </c>
      <c r="F80" s="130">
        <v>0.52900000000000003</v>
      </c>
      <c r="G80" s="158"/>
      <c r="H80" s="158"/>
      <c r="I80" s="160"/>
      <c r="J80" s="32"/>
    </row>
    <row r="81" spans="1:10" ht="27.75" customHeight="1" x14ac:dyDescent="0.2">
      <c r="A81" s="156" t="s">
        <v>432</v>
      </c>
      <c r="B81" s="30" t="s">
        <v>1457</v>
      </c>
      <c r="C81" s="162">
        <v>0</v>
      </c>
      <c r="D81" s="128">
        <v>-5.2089999999999996</v>
      </c>
      <c r="E81" s="129">
        <v>-0.22800000000000001</v>
      </c>
      <c r="F81" s="130">
        <v>-3.5000000000000003E-2</v>
      </c>
      <c r="G81" s="157">
        <v>0</v>
      </c>
      <c r="H81" s="158"/>
      <c r="I81" s="160"/>
      <c r="J81" s="32"/>
    </row>
    <row r="82" spans="1:10" ht="27.75" customHeight="1" x14ac:dyDescent="0.2">
      <c r="A82" s="156" t="s">
        <v>433</v>
      </c>
      <c r="B82" s="30" t="s">
        <v>1458</v>
      </c>
      <c r="C82" s="162">
        <v>0</v>
      </c>
      <c r="D82" s="128">
        <v>-5.1509999999999998</v>
      </c>
      <c r="E82" s="129">
        <v>-0.223</v>
      </c>
      <c r="F82" s="130">
        <v>-3.4000000000000002E-2</v>
      </c>
      <c r="G82" s="157">
        <v>0</v>
      </c>
      <c r="H82" s="158"/>
      <c r="I82" s="160"/>
      <c r="J82" s="32"/>
    </row>
    <row r="83" spans="1:10" ht="27.75" customHeight="1" x14ac:dyDescent="0.2">
      <c r="A83" s="156" t="s">
        <v>434</v>
      </c>
      <c r="B83" s="30" t="s">
        <v>1459</v>
      </c>
      <c r="C83" s="162">
        <v>0</v>
      </c>
      <c r="D83" s="128">
        <v>-5.2089999999999996</v>
      </c>
      <c r="E83" s="129">
        <v>-0.22800000000000001</v>
      </c>
      <c r="F83" s="130">
        <v>-3.5000000000000003E-2</v>
      </c>
      <c r="G83" s="157">
        <v>0</v>
      </c>
      <c r="H83" s="158"/>
      <c r="I83" s="160"/>
      <c r="J83" s="31">
        <v>0.153</v>
      </c>
    </row>
    <row r="84" spans="1:10" ht="27.75" customHeight="1" x14ac:dyDescent="0.2">
      <c r="A84" s="156" t="s">
        <v>435</v>
      </c>
      <c r="B84" s="30" t="s">
        <v>1460</v>
      </c>
      <c r="C84" s="162">
        <v>0</v>
      </c>
      <c r="D84" s="128">
        <v>-5.1509999999999998</v>
      </c>
      <c r="E84" s="129">
        <v>-0.223</v>
      </c>
      <c r="F84" s="130">
        <v>-3.4000000000000002E-2</v>
      </c>
      <c r="G84" s="157">
        <v>0</v>
      </c>
      <c r="H84" s="158"/>
      <c r="I84" s="160"/>
      <c r="J84" s="31">
        <v>0.154</v>
      </c>
    </row>
    <row r="85" spans="1:10" ht="27.75" customHeight="1" x14ac:dyDescent="0.2">
      <c r="A85" s="156" t="s">
        <v>436</v>
      </c>
      <c r="B85" s="30" t="s">
        <v>1461</v>
      </c>
      <c r="C85" s="162">
        <v>0</v>
      </c>
      <c r="D85" s="128">
        <v>-5.66</v>
      </c>
      <c r="E85" s="129">
        <v>-0.23499999999999999</v>
      </c>
      <c r="F85" s="130">
        <v>-3.2000000000000001E-2</v>
      </c>
      <c r="G85" s="157">
        <v>9.49</v>
      </c>
      <c r="H85" s="158"/>
      <c r="I85" s="160"/>
      <c r="J85" s="31">
        <v>0.19900000000000001</v>
      </c>
    </row>
    <row r="86" spans="1:10" ht="27.75" customHeight="1" x14ac:dyDescent="0.2">
      <c r="A86" s="156" t="s">
        <v>596</v>
      </c>
      <c r="B86" s="30" t="s">
        <v>1462</v>
      </c>
      <c r="C86" s="171" t="s">
        <v>647</v>
      </c>
      <c r="D86" s="128">
        <v>5.0990000000000002</v>
      </c>
      <c r="E86" s="129">
        <v>0.223</v>
      </c>
      <c r="F86" s="130">
        <v>3.4000000000000002E-2</v>
      </c>
      <c r="G86" s="157">
        <v>12.72</v>
      </c>
      <c r="H86" s="158"/>
      <c r="I86" s="160"/>
      <c r="J86" s="32"/>
    </row>
    <row r="87" spans="1:10" ht="27.75" customHeight="1" x14ac:dyDescent="0.2">
      <c r="A87" s="156" t="s">
        <v>597</v>
      </c>
      <c r="B87" s="30" t="s">
        <v>1463</v>
      </c>
      <c r="C87" s="165" t="s">
        <v>415</v>
      </c>
      <c r="D87" s="128">
        <v>5.0990000000000002</v>
      </c>
      <c r="E87" s="129">
        <v>0.223</v>
      </c>
      <c r="F87" s="130">
        <v>3.4000000000000002E-2</v>
      </c>
      <c r="G87" s="158"/>
      <c r="H87" s="158"/>
      <c r="I87" s="160"/>
      <c r="J87" s="32"/>
    </row>
    <row r="88" spans="1:10" ht="27.75" customHeight="1" x14ac:dyDescent="0.2">
      <c r="A88" s="156" t="s">
        <v>598</v>
      </c>
      <c r="B88" s="30" t="s">
        <v>1464</v>
      </c>
      <c r="C88" s="155" t="s">
        <v>646</v>
      </c>
      <c r="D88" s="128">
        <v>3.831</v>
      </c>
      <c r="E88" s="129">
        <v>0.16800000000000001</v>
      </c>
      <c r="F88" s="130">
        <v>2.5999999999999999E-2</v>
      </c>
      <c r="G88" s="157">
        <v>1.31</v>
      </c>
      <c r="H88" s="158"/>
      <c r="I88" s="160"/>
      <c r="J88" s="32"/>
    </row>
    <row r="89" spans="1:10" ht="27.75" customHeight="1" x14ac:dyDescent="0.2">
      <c r="A89" s="156" t="s">
        <v>599</v>
      </c>
      <c r="B89" s="30" t="s">
        <v>1465</v>
      </c>
      <c r="C89" s="155" t="s">
        <v>646</v>
      </c>
      <c r="D89" s="128">
        <v>3.831</v>
      </c>
      <c r="E89" s="129">
        <v>0.16800000000000001</v>
      </c>
      <c r="F89" s="130">
        <v>2.5999999999999999E-2</v>
      </c>
      <c r="G89" s="157">
        <v>2.09</v>
      </c>
      <c r="H89" s="158"/>
      <c r="I89" s="160"/>
      <c r="J89" s="32"/>
    </row>
    <row r="90" spans="1:10" ht="27.75" customHeight="1" x14ac:dyDescent="0.2">
      <c r="A90" s="156" t="s">
        <v>600</v>
      </c>
      <c r="B90" s="30" t="s">
        <v>1466</v>
      </c>
      <c r="C90" s="155" t="s">
        <v>646</v>
      </c>
      <c r="D90" s="128">
        <v>3.831</v>
      </c>
      <c r="E90" s="129">
        <v>0.16800000000000001</v>
      </c>
      <c r="F90" s="130">
        <v>2.5999999999999999E-2</v>
      </c>
      <c r="G90" s="157">
        <v>6.04</v>
      </c>
      <c r="H90" s="158"/>
      <c r="I90" s="160"/>
      <c r="J90" s="32"/>
    </row>
    <row r="91" spans="1:10" ht="27.75" customHeight="1" x14ac:dyDescent="0.2">
      <c r="A91" s="156" t="s">
        <v>601</v>
      </c>
      <c r="B91" s="30" t="s">
        <v>1467</v>
      </c>
      <c r="C91" s="155" t="s">
        <v>646</v>
      </c>
      <c r="D91" s="128">
        <v>3.831</v>
      </c>
      <c r="E91" s="129">
        <v>0.16800000000000001</v>
      </c>
      <c r="F91" s="130">
        <v>2.5999999999999999E-2</v>
      </c>
      <c r="G91" s="157">
        <v>13.04</v>
      </c>
      <c r="H91" s="158"/>
      <c r="I91" s="160"/>
      <c r="J91" s="32"/>
    </row>
    <row r="92" spans="1:10" ht="27.75" customHeight="1" x14ac:dyDescent="0.2">
      <c r="A92" s="156" t="s">
        <v>602</v>
      </c>
      <c r="B92" s="30" t="s">
        <v>1468</v>
      </c>
      <c r="C92" s="155" t="s">
        <v>646</v>
      </c>
      <c r="D92" s="128">
        <v>3.831</v>
      </c>
      <c r="E92" s="129">
        <v>0.16800000000000001</v>
      </c>
      <c r="F92" s="130">
        <v>2.5999999999999999E-2</v>
      </c>
      <c r="G92" s="157">
        <v>35.619999999999997</v>
      </c>
      <c r="H92" s="158"/>
      <c r="I92" s="160"/>
      <c r="J92" s="32"/>
    </row>
    <row r="93" spans="1:10" ht="27.75" customHeight="1" x14ac:dyDescent="0.2">
      <c r="A93" s="156" t="s">
        <v>437</v>
      </c>
      <c r="B93" s="30" t="s">
        <v>1469</v>
      </c>
      <c r="C93" s="165" t="s">
        <v>416</v>
      </c>
      <c r="D93" s="128">
        <v>3.831</v>
      </c>
      <c r="E93" s="129">
        <v>0.16800000000000001</v>
      </c>
      <c r="F93" s="130">
        <v>2.5999999999999999E-2</v>
      </c>
      <c r="G93" s="158"/>
      <c r="H93" s="158"/>
      <c r="I93" s="160"/>
      <c r="J93" s="32"/>
    </row>
    <row r="94" spans="1:10" ht="27.75" customHeight="1" x14ac:dyDescent="0.2">
      <c r="A94" s="156" t="s">
        <v>603</v>
      </c>
      <c r="B94" s="30" t="s">
        <v>1470</v>
      </c>
      <c r="C94" s="167">
        <v>0</v>
      </c>
      <c r="D94" s="128">
        <v>2.7309999999999999</v>
      </c>
      <c r="E94" s="129">
        <v>0.11799999999999999</v>
      </c>
      <c r="F94" s="130">
        <v>1.7000000000000001E-2</v>
      </c>
      <c r="G94" s="157">
        <v>3.55</v>
      </c>
      <c r="H94" s="157">
        <v>1.17</v>
      </c>
      <c r="I94" s="161">
        <v>2.25</v>
      </c>
      <c r="J94" s="31">
        <v>0.09</v>
      </c>
    </row>
    <row r="95" spans="1:10" ht="27.75" customHeight="1" x14ac:dyDescent="0.2">
      <c r="A95" s="156" t="s">
        <v>604</v>
      </c>
      <c r="B95" s="30" t="s">
        <v>1471</v>
      </c>
      <c r="C95" s="167">
        <v>0</v>
      </c>
      <c r="D95" s="128">
        <v>2.7309999999999999</v>
      </c>
      <c r="E95" s="129">
        <v>0.11799999999999999</v>
      </c>
      <c r="F95" s="130">
        <v>1.7000000000000001E-2</v>
      </c>
      <c r="G95" s="157">
        <v>68.900000000000006</v>
      </c>
      <c r="H95" s="157">
        <v>1.17</v>
      </c>
      <c r="I95" s="161">
        <v>2.25</v>
      </c>
      <c r="J95" s="31">
        <v>0.09</v>
      </c>
    </row>
    <row r="96" spans="1:10" ht="27.75" customHeight="1" x14ac:dyDescent="0.2">
      <c r="A96" s="156" t="s">
        <v>605</v>
      </c>
      <c r="B96" s="30" t="s">
        <v>1472</v>
      </c>
      <c r="C96" s="167">
        <v>0</v>
      </c>
      <c r="D96" s="128">
        <v>2.7309999999999999</v>
      </c>
      <c r="E96" s="129">
        <v>0.11799999999999999</v>
      </c>
      <c r="F96" s="130">
        <v>1.7000000000000001E-2</v>
      </c>
      <c r="G96" s="157">
        <v>113.66</v>
      </c>
      <c r="H96" s="157">
        <v>1.17</v>
      </c>
      <c r="I96" s="161">
        <v>2.25</v>
      </c>
      <c r="J96" s="31">
        <v>0.09</v>
      </c>
    </row>
    <row r="97" spans="1:10" ht="27.75" customHeight="1" x14ac:dyDescent="0.2">
      <c r="A97" s="156" t="s">
        <v>606</v>
      </c>
      <c r="B97" s="30" t="s">
        <v>1473</v>
      </c>
      <c r="C97" s="167">
        <v>0</v>
      </c>
      <c r="D97" s="128">
        <v>2.7309999999999999</v>
      </c>
      <c r="E97" s="129">
        <v>0.11799999999999999</v>
      </c>
      <c r="F97" s="130">
        <v>1.7000000000000001E-2</v>
      </c>
      <c r="G97" s="157">
        <v>183.36</v>
      </c>
      <c r="H97" s="157">
        <v>1.17</v>
      </c>
      <c r="I97" s="161">
        <v>2.25</v>
      </c>
      <c r="J97" s="31">
        <v>0.09</v>
      </c>
    </row>
    <row r="98" spans="1:10" ht="27.75" customHeight="1" x14ac:dyDescent="0.2">
      <c r="A98" s="156" t="s">
        <v>607</v>
      </c>
      <c r="B98" s="30" t="s">
        <v>1474</v>
      </c>
      <c r="C98" s="167">
        <v>0</v>
      </c>
      <c r="D98" s="128">
        <v>2.7309999999999999</v>
      </c>
      <c r="E98" s="129">
        <v>0.11799999999999999</v>
      </c>
      <c r="F98" s="130">
        <v>1.7000000000000001E-2</v>
      </c>
      <c r="G98" s="157">
        <v>403.72</v>
      </c>
      <c r="H98" s="157">
        <v>1.17</v>
      </c>
      <c r="I98" s="161">
        <v>2.25</v>
      </c>
      <c r="J98" s="31">
        <v>0.09</v>
      </c>
    </row>
    <row r="99" spans="1:10" ht="27.75" customHeight="1" x14ac:dyDescent="0.2">
      <c r="A99" s="156" t="s">
        <v>608</v>
      </c>
      <c r="B99" s="30" t="s">
        <v>1475</v>
      </c>
      <c r="C99" s="167">
        <v>0</v>
      </c>
      <c r="D99" s="128">
        <v>2.6179999999999999</v>
      </c>
      <c r="E99" s="129">
        <v>0.109</v>
      </c>
      <c r="F99" s="130">
        <v>1.4999999999999999E-2</v>
      </c>
      <c r="G99" s="157">
        <v>3.87</v>
      </c>
      <c r="H99" s="157">
        <v>2.71</v>
      </c>
      <c r="I99" s="161">
        <v>3.53</v>
      </c>
      <c r="J99" s="31">
        <v>8.3000000000000004E-2</v>
      </c>
    </row>
    <row r="100" spans="1:10" ht="27.75" customHeight="1" x14ac:dyDescent="0.2">
      <c r="A100" s="156" t="s">
        <v>609</v>
      </c>
      <c r="B100" s="30" t="s">
        <v>1476</v>
      </c>
      <c r="C100" s="167">
        <v>0</v>
      </c>
      <c r="D100" s="128">
        <v>2.6179999999999999</v>
      </c>
      <c r="E100" s="129">
        <v>0.109</v>
      </c>
      <c r="F100" s="130">
        <v>1.4999999999999999E-2</v>
      </c>
      <c r="G100" s="157">
        <v>100.62</v>
      </c>
      <c r="H100" s="157">
        <v>2.71</v>
      </c>
      <c r="I100" s="161">
        <v>3.53</v>
      </c>
      <c r="J100" s="31">
        <v>8.3000000000000004E-2</v>
      </c>
    </row>
    <row r="101" spans="1:10" ht="27.75" customHeight="1" x14ac:dyDescent="0.2">
      <c r="A101" s="156" t="s">
        <v>610</v>
      </c>
      <c r="B101" s="30" t="s">
        <v>1477</v>
      </c>
      <c r="C101" s="167">
        <v>0</v>
      </c>
      <c r="D101" s="128">
        <v>2.6179999999999999</v>
      </c>
      <c r="E101" s="129">
        <v>0.109</v>
      </c>
      <c r="F101" s="130">
        <v>1.4999999999999999E-2</v>
      </c>
      <c r="G101" s="157">
        <v>166.88</v>
      </c>
      <c r="H101" s="157">
        <v>2.71</v>
      </c>
      <c r="I101" s="161">
        <v>3.53</v>
      </c>
      <c r="J101" s="31">
        <v>8.3000000000000004E-2</v>
      </c>
    </row>
    <row r="102" spans="1:10" ht="27.75" customHeight="1" x14ac:dyDescent="0.2">
      <c r="A102" s="156" t="s">
        <v>611</v>
      </c>
      <c r="B102" s="30" t="s">
        <v>1478</v>
      </c>
      <c r="C102" s="167">
        <v>0</v>
      </c>
      <c r="D102" s="128">
        <v>2.6179999999999999</v>
      </c>
      <c r="E102" s="129">
        <v>0.109</v>
      </c>
      <c r="F102" s="130">
        <v>1.4999999999999999E-2</v>
      </c>
      <c r="G102" s="157">
        <v>270.07</v>
      </c>
      <c r="H102" s="157">
        <v>2.71</v>
      </c>
      <c r="I102" s="161">
        <v>3.53</v>
      </c>
      <c r="J102" s="31">
        <v>8.3000000000000004E-2</v>
      </c>
    </row>
    <row r="103" spans="1:10" ht="27.75" customHeight="1" x14ac:dyDescent="0.2">
      <c r="A103" s="156" t="s">
        <v>612</v>
      </c>
      <c r="B103" s="30" t="s">
        <v>1479</v>
      </c>
      <c r="C103" s="167">
        <v>0</v>
      </c>
      <c r="D103" s="128">
        <v>2.6179999999999999</v>
      </c>
      <c r="E103" s="129">
        <v>0.109</v>
      </c>
      <c r="F103" s="130">
        <v>1.4999999999999999E-2</v>
      </c>
      <c r="G103" s="157">
        <v>596.30999999999995</v>
      </c>
      <c r="H103" s="157">
        <v>2.71</v>
      </c>
      <c r="I103" s="161">
        <v>3.53</v>
      </c>
      <c r="J103" s="31">
        <v>8.3000000000000004E-2</v>
      </c>
    </row>
    <row r="104" spans="1:10" ht="27.75" customHeight="1" x14ac:dyDescent="0.2">
      <c r="A104" s="156" t="s">
        <v>613</v>
      </c>
      <c r="B104" s="30" t="s">
        <v>1480</v>
      </c>
      <c r="C104" s="167">
        <v>0</v>
      </c>
      <c r="D104" s="128">
        <v>2.5129999999999999</v>
      </c>
      <c r="E104" s="129">
        <v>0.10299999999999999</v>
      </c>
      <c r="F104" s="130">
        <v>1.2999999999999999E-2</v>
      </c>
      <c r="G104" s="157">
        <v>57.31</v>
      </c>
      <c r="H104" s="157">
        <v>2.27</v>
      </c>
      <c r="I104" s="161">
        <v>3.51</v>
      </c>
      <c r="J104" s="31">
        <v>0.08</v>
      </c>
    </row>
    <row r="105" spans="1:10" ht="27.75" customHeight="1" x14ac:dyDescent="0.2">
      <c r="A105" s="156" t="s">
        <v>614</v>
      </c>
      <c r="B105" s="30" t="s">
        <v>1481</v>
      </c>
      <c r="C105" s="167">
        <v>0</v>
      </c>
      <c r="D105" s="128">
        <v>2.5129999999999999</v>
      </c>
      <c r="E105" s="129">
        <v>0.10299999999999999</v>
      </c>
      <c r="F105" s="130">
        <v>1.2999999999999999E-2</v>
      </c>
      <c r="G105" s="157">
        <v>473.77</v>
      </c>
      <c r="H105" s="157">
        <v>2.27</v>
      </c>
      <c r="I105" s="161">
        <v>3.51</v>
      </c>
      <c r="J105" s="31">
        <v>0.08</v>
      </c>
    </row>
    <row r="106" spans="1:10" ht="27.75" customHeight="1" x14ac:dyDescent="0.2">
      <c r="A106" s="156" t="s">
        <v>615</v>
      </c>
      <c r="B106" s="30" t="s">
        <v>1482</v>
      </c>
      <c r="C106" s="167">
        <v>0</v>
      </c>
      <c r="D106" s="128">
        <v>2.5129999999999999</v>
      </c>
      <c r="E106" s="129">
        <v>0.10299999999999999</v>
      </c>
      <c r="F106" s="130">
        <v>1.2999999999999999E-2</v>
      </c>
      <c r="G106" s="157">
        <v>2408.9699999999998</v>
      </c>
      <c r="H106" s="157">
        <v>2.27</v>
      </c>
      <c r="I106" s="161">
        <v>3.51</v>
      </c>
      <c r="J106" s="31">
        <v>0.08</v>
      </c>
    </row>
    <row r="107" spans="1:10" ht="27.75" customHeight="1" x14ac:dyDescent="0.2">
      <c r="A107" s="156" t="s">
        <v>616</v>
      </c>
      <c r="B107" s="30" t="s">
        <v>1483</v>
      </c>
      <c r="C107" s="167">
        <v>0</v>
      </c>
      <c r="D107" s="128">
        <v>2.5129999999999999</v>
      </c>
      <c r="E107" s="129">
        <v>0.10299999999999999</v>
      </c>
      <c r="F107" s="130">
        <v>1.2999999999999999E-2</v>
      </c>
      <c r="G107" s="157">
        <v>2106.5300000000002</v>
      </c>
      <c r="H107" s="157">
        <v>2.27</v>
      </c>
      <c r="I107" s="161">
        <v>3.51</v>
      </c>
      <c r="J107" s="31">
        <v>0.08</v>
      </c>
    </row>
    <row r="108" spans="1:10" ht="27.75" customHeight="1" x14ac:dyDescent="0.2">
      <c r="A108" s="156" t="s">
        <v>617</v>
      </c>
      <c r="B108" s="30" t="s">
        <v>1484</v>
      </c>
      <c r="C108" s="167">
        <v>0</v>
      </c>
      <c r="D108" s="128">
        <v>2.5129999999999999</v>
      </c>
      <c r="E108" s="129">
        <v>0.10299999999999999</v>
      </c>
      <c r="F108" s="130">
        <v>1.2999999999999999E-2</v>
      </c>
      <c r="G108" s="157">
        <v>5342.42</v>
      </c>
      <c r="H108" s="157">
        <v>2.27</v>
      </c>
      <c r="I108" s="161">
        <v>3.51</v>
      </c>
      <c r="J108" s="31">
        <v>0.08</v>
      </c>
    </row>
    <row r="109" spans="1:10" ht="27.75" customHeight="1" x14ac:dyDescent="0.2">
      <c r="A109" s="156" t="s">
        <v>438</v>
      </c>
      <c r="B109" s="30" t="s">
        <v>1485</v>
      </c>
      <c r="C109" s="167" t="s">
        <v>417</v>
      </c>
      <c r="D109" s="131">
        <v>12.385</v>
      </c>
      <c r="E109" s="132">
        <v>0.59099999999999997</v>
      </c>
      <c r="F109" s="130">
        <v>0.43099999999999999</v>
      </c>
      <c r="G109" s="158"/>
      <c r="H109" s="158"/>
      <c r="I109" s="160"/>
      <c r="J109" s="32"/>
    </row>
    <row r="110" spans="1:10" ht="27.75" customHeight="1" x14ac:dyDescent="0.2">
      <c r="A110" s="156" t="s">
        <v>439</v>
      </c>
      <c r="B110" s="30" t="s">
        <v>1486</v>
      </c>
      <c r="C110" s="162">
        <v>0</v>
      </c>
      <c r="D110" s="128">
        <v>-4.2370000000000001</v>
      </c>
      <c r="E110" s="129">
        <v>-0.185</v>
      </c>
      <c r="F110" s="130">
        <v>-2.8000000000000001E-2</v>
      </c>
      <c r="G110" s="157">
        <v>0</v>
      </c>
      <c r="H110" s="158"/>
      <c r="I110" s="160"/>
      <c r="J110" s="32"/>
    </row>
    <row r="111" spans="1:10" ht="27.75" customHeight="1" x14ac:dyDescent="0.2">
      <c r="A111" s="156" t="s">
        <v>440</v>
      </c>
      <c r="B111" s="30" t="s">
        <v>1487</v>
      </c>
      <c r="C111" s="162">
        <v>0</v>
      </c>
      <c r="D111" s="128">
        <v>-4.1890000000000001</v>
      </c>
      <c r="E111" s="129">
        <v>-0.182</v>
      </c>
      <c r="F111" s="130">
        <v>-2.7E-2</v>
      </c>
      <c r="G111" s="157">
        <v>0</v>
      </c>
      <c r="H111" s="158"/>
      <c r="I111" s="160"/>
      <c r="J111" s="32"/>
    </row>
    <row r="112" spans="1:10" ht="27.75" customHeight="1" x14ac:dyDescent="0.2">
      <c r="A112" s="156" t="s">
        <v>441</v>
      </c>
      <c r="B112" s="30" t="s">
        <v>1488</v>
      </c>
      <c r="C112" s="162">
        <v>0</v>
      </c>
      <c r="D112" s="128">
        <v>-4.2370000000000001</v>
      </c>
      <c r="E112" s="129">
        <v>-0.185</v>
      </c>
      <c r="F112" s="130">
        <v>-2.8000000000000001E-2</v>
      </c>
      <c r="G112" s="157">
        <v>0</v>
      </c>
      <c r="H112" s="158"/>
      <c r="I112" s="160"/>
      <c r="J112" s="31">
        <v>0.125</v>
      </c>
    </row>
    <row r="113" spans="1:10" ht="27.75" customHeight="1" x14ac:dyDescent="0.2">
      <c r="A113" s="156" t="s">
        <v>442</v>
      </c>
      <c r="B113" s="30" t="s">
        <v>1489</v>
      </c>
      <c r="C113" s="162">
        <v>0</v>
      </c>
      <c r="D113" s="128">
        <v>-4.1890000000000001</v>
      </c>
      <c r="E113" s="129">
        <v>-0.182</v>
      </c>
      <c r="F113" s="130">
        <v>-2.7E-2</v>
      </c>
      <c r="G113" s="157">
        <v>0</v>
      </c>
      <c r="H113" s="158"/>
      <c r="I113" s="160"/>
      <c r="J113" s="31">
        <v>0.126</v>
      </c>
    </row>
    <row r="114" spans="1:10" ht="27.75" customHeight="1" x14ac:dyDescent="0.2">
      <c r="A114" s="156" t="s">
        <v>443</v>
      </c>
      <c r="B114" s="30" t="s">
        <v>1490</v>
      </c>
      <c r="C114" s="162">
        <v>0</v>
      </c>
      <c r="D114" s="128">
        <v>-4.6040000000000001</v>
      </c>
      <c r="E114" s="129">
        <v>-0.191</v>
      </c>
      <c r="F114" s="130">
        <v>-2.5999999999999999E-2</v>
      </c>
      <c r="G114" s="157">
        <v>7.72</v>
      </c>
      <c r="H114" s="158"/>
      <c r="I114" s="160"/>
      <c r="J114" s="31">
        <v>0.16200000000000001</v>
      </c>
    </row>
    <row r="115" spans="1:10" ht="27.75" customHeight="1" x14ac:dyDescent="0.2">
      <c r="A115" s="156" t="s">
        <v>574</v>
      </c>
      <c r="B115" s="30" t="s">
        <v>1491</v>
      </c>
      <c r="C115" s="171" t="s">
        <v>647</v>
      </c>
      <c r="D115" s="128">
        <v>4.2709999999999999</v>
      </c>
      <c r="E115" s="129">
        <v>0.187</v>
      </c>
      <c r="F115" s="130">
        <v>2.9000000000000001E-2</v>
      </c>
      <c r="G115" s="157">
        <v>12.21</v>
      </c>
      <c r="H115" s="158"/>
      <c r="I115" s="160"/>
      <c r="J115" s="32"/>
    </row>
    <row r="116" spans="1:10" ht="27.75" customHeight="1" x14ac:dyDescent="0.2">
      <c r="A116" s="156" t="s">
        <v>575</v>
      </c>
      <c r="B116" s="30" t="s">
        <v>1492</v>
      </c>
      <c r="C116" s="165" t="s">
        <v>415</v>
      </c>
      <c r="D116" s="128">
        <v>4.2709999999999999</v>
      </c>
      <c r="E116" s="129">
        <v>0.187</v>
      </c>
      <c r="F116" s="130">
        <v>2.9000000000000001E-2</v>
      </c>
      <c r="G116" s="158"/>
      <c r="H116" s="158"/>
      <c r="I116" s="160"/>
      <c r="J116" s="32"/>
    </row>
    <row r="117" spans="1:10" ht="27.75" customHeight="1" x14ac:dyDescent="0.2">
      <c r="A117" s="156" t="s">
        <v>576</v>
      </c>
      <c r="B117" s="30" t="s">
        <v>1493</v>
      </c>
      <c r="C117" s="155" t="s">
        <v>646</v>
      </c>
      <c r="D117" s="128">
        <v>3.2090000000000001</v>
      </c>
      <c r="E117" s="129">
        <v>0.14000000000000001</v>
      </c>
      <c r="F117" s="130">
        <v>2.1999999999999999E-2</v>
      </c>
      <c r="G117" s="157">
        <v>1.1000000000000001</v>
      </c>
      <c r="H117" s="158"/>
      <c r="I117" s="160"/>
      <c r="J117" s="32"/>
    </row>
    <row r="118" spans="1:10" ht="27.75" customHeight="1" x14ac:dyDescent="0.2">
      <c r="A118" s="156" t="s">
        <v>577</v>
      </c>
      <c r="B118" s="30" t="s">
        <v>1494</v>
      </c>
      <c r="C118" s="155" t="s">
        <v>646</v>
      </c>
      <c r="D118" s="128">
        <v>3.2090000000000001</v>
      </c>
      <c r="E118" s="129">
        <v>0.14000000000000001</v>
      </c>
      <c r="F118" s="130">
        <v>2.1999999999999999E-2</v>
      </c>
      <c r="G118" s="157">
        <v>1.76</v>
      </c>
      <c r="H118" s="158"/>
      <c r="I118" s="160"/>
      <c r="J118" s="32"/>
    </row>
    <row r="119" spans="1:10" ht="27.75" customHeight="1" x14ac:dyDescent="0.2">
      <c r="A119" s="156" t="s">
        <v>578</v>
      </c>
      <c r="B119" s="30" t="s">
        <v>1495</v>
      </c>
      <c r="C119" s="155" t="s">
        <v>646</v>
      </c>
      <c r="D119" s="128">
        <v>3.2090000000000001</v>
      </c>
      <c r="E119" s="129">
        <v>0.14000000000000001</v>
      </c>
      <c r="F119" s="130">
        <v>2.1999999999999999E-2</v>
      </c>
      <c r="G119" s="157">
        <v>5.07</v>
      </c>
      <c r="H119" s="158"/>
      <c r="I119" s="160"/>
      <c r="J119" s="32"/>
    </row>
    <row r="120" spans="1:10" ht="27.75" customHeight="1" x14ac:dyDescent="0.2">
      <c r="A120" s="156" t="s">
        <v>579</v>
      </c>
      <c r="B120" s="30" t="s">
        <v>1496</v>
      </c>
      <c r="C120" s="155" t="s">
        <v>646</v>
      </c>
      <c r="D120" s="128">
        <v>3.2090000000000001</v>
      </c>
      <c r="E120" s="129">
        <v>0.14000000000000001</v>
      </c>
      <c r="F120" s="130">
        <v>2.1999999999999999E-2</v>
      </c>
      <c r="G120" s="157">
        <v>10.93</v>
      </c>
      <c r="H120" s="158"/>
      <c r="I120" s="160"/>
      <c r="J120" s="32"/>
    </row>
    <row r="121" spans="1:10" ht="27.75" customHeight="1" x14ac:dyDescent="0.2">
      <c r="A121" s="156" t="s">
        <v>580</v>
      </c>
      <c r="B121" s="30" t="s">
        <v>1497</v>
      </c>
      <c r="C121" s="155" t="s">
        <v>646</v>
      </c>
      <c r="D121" s="128">
        <v>3.2090000000000001</v>
      </c>
      <c r="E121" s="129">
        <v>0.14000000000000001</v>
      </c>
      <c r="F121" s="130">
        <v>2.1999999999999999E-2</v>
      </c>
      <c r="G121" s="157">
        <v>29.85</v>
      </c>
      <c r="H121" s="158"/>
      <c r="I121" s="160"/>
      <c r="J121" s="32"/>
    </row>
    <row r="122" spans="1:10" ht="27.75" customHeight="1" x14ac:dyDescent="0.2">
      <c r="A122" s="156" t="s">
        <v>444</v>
      </c>
      <c r="B122" s="30" t="s">
        <v>1498</v>
      </c>
      <c r="C122" s="165" t="s">
        <v>416</v>
      </c>
      <c r="D122" s="128">
        <v>3.2090000000000001</v>
      </c>
      <c r="E122" s="129">
        <v>0.14000000000000001</v>
      </c>
      <c r="F122" s="130">
        <v>2.1999999999999999E-2</v>
      </c>
      <c r="G122" s="158"/>
      <c r="H122" s="158"/>
      <c r="I122" s="160"/>
      <c r="J122" s="32"/>
    </row>
    <row r="123" spans="1:10" ht="27.75" customHeight="1" x14ac:dyDescent="0.2">
      <c r="A123" s="156" t="s">
        <v>581</v>
      </c>
      <c r="B123" s="30" t="s">
        <v>1499</v>
      </c>
      <c r="C123" s="167">
        <v>0</v>
      </c>
      <c r="D123" s="128">
        <v>2.2869999999999999</v>
      </c>
      <c r="E123" s="129">
        <v>9.9000000000000005E-2</v>
      </c>
      <c r="F123" s="130">
        <v>1.4999999999999999E-2</v>
      </c>
      <c r="G123" s="157">
        <v>2.99</v>
      </c>
      <c r="H123" s="157">
        <v>0.98</v>
      </c>
      <c r="I123" s="161">
        <v>1.88</v>
      </c>
      <c r="J123" s="31">
        <v>7.5999999999999998E-2</v>
      </c>
    </row>
    <row r="124" spans="1:10" ht="27.75" customHeight="1" x14ac:dyDescent="0.2">
      <c r="A124" s="156" t="s">
        <v>582</v>
      </c>
      <c r="B124" s="30" t="s">
        <v>1500</v>
      </c>
      <c r="C124" s="167">
        <v>0</v>
      </c>
      <c r="D124" s="128">
        <v>2.2869999999999999</v>
      </c>
      <c r="E124" s="129">
        <v>9.9000000000000005E-2</v>
      </c>
      <c r="F124" s="130">
        <v>1.4999999999999999E-2</v>
      </c>
      <c r="G124" s="157">
        <v>57.72</v>
      </c>
      <c r="H124" s="157">
        <v>0.98</v>
      </c>
      <c r="I124" s="161">
        <v>1.88</v>
      </c>
      <c r="J124" s="31">
        <v>7.5999999999999998E-2</v>
      </c>
    </row>
    <row r="125" spans="1:10" ht="27.75" customHeight="1" x14ac:dyDescent="0.2">
      <c r="A125" s="156" t="s">
        <v>583</v>
      </c>
      <c r="B125" s="30" t="s">
        <v>1501</v>
      </c>
      <c r="C125" s="167">
        <v>0</v>
      </c>
      <c r="D125" s="128">
        <v>2.2869999999999999</v>
      </c>
      <c r="E125" s="129">
        <v>9.9000000000000005E-2</v>
      </c>
      <c r="F125" s="130">
        <v>1.4999999999999999E-2</v>
      </c>
      <c r="G125" s="157">
        <v>95.22</v>
      </c>
      <c r="H125" s="157">
        <v>0.98</v>
      </c>
      <c r="I125" s="161">
        <v>1.88</v>
      </c>
      <c r="J125" s="31">
        <v>7.5999999999999998E-2</v>
      </c>
    </row>
    <row r="126" spans="1:10" ht="27.75" customHeight="1" x14ac:dyDescent="0.2">
      <c r="A126" s="156" t="s">
        <v>584</v>
      </c>
      <c r="B126" s="30" t="s">
        <v>1502</v>
      </c>
      <c r="C126" s="167">
        <v>0</v>
      </c>
      <c r="D126" s="128">
        <v>2.2869999999999999</v>
      </c>
      <c r="E126" s="129">
        <v>9.9000000000000005E-2</v>
      </c>
      <c r="F126" s="130">
        <v>1.4999999999999999E-2</v>
      </c>
      <c r="G126" s="157">
        <v>153.6</v>
      </c>
      <c r="H126" s="157">
        <v>0.98</v>
      </c>
      <c r="I126" s="161">
        <v>1.88</v>
      </c>
      <c r="J126" s="31">
        <v>7.5999999999999998E-2</v>
      </c>
    </row>
    <row r="127" spans="1:10" ht="27.75" customHeight="1" x14ac:dyDescent="0.2">
      <c r="A127" s="156" t="s">
        <v>585</v>
      </c>
      <c r="B127" s="30" t="s">
        <v>1503</v>
      </c>
      <c r="C127" s="167">
        <v>0</v>
      </c>
      <c r="D127" s="128">
        <v>2.2869999999999999</v>
      </c>
      <c r="E127" s="129">
        <v>9.9000000000000005E-2</v>
      </c>
      <c r="F127" s="130">
        <v>1.4999999999999999E-2</v>
      </c>
      <c r="G127" s="157">
        <v>338.18</v>
      </c>
      <c r="H127" s="157">
        <v>0.98</v>
      </c>
      <c r="I127" s="161">
        <v>1.88</v>
      </c>
      <c r="J127" s="31">
        <v>7.5999999999999998E-2</v>
      </c>
    </row>
    <row r="128" spans="1:10" ht="27.75" customHeight="1" x14ac:dyDescent="0.2">
      <c r="A128" s="156" t="s">
        <v>586</v>
      </c>
      <c r="B128" s="30" t="s">
        <v>1504</v>
      </c>
      <c r="C128" s="167">
        <v>0</v>
      </c>
      <c r="D128" s="128">
        <v>2.1930000000000001</v>
      </c>
      <c r="E128" s="129">
        <v>9.0999999999999998E-2</v>
      </c>
      <c r="F128" s="130">
        <v>1.2999999999999999E-2</v>
      </c>
      <c r="G128" s="157">
        <v>3.25</v>
      </c>
      <c r="H128" s="157">
        <v>2.27</v>
      </c>
      <c r="I128" s="161">
        <v>2.96</v>
      </c>
      <c r="J128" s="31">
        <v>7.0000000000000007E-2</v>
      </c>
    </row>
    <row r="129" spans="1:10" ht="27.75" customHeight="1" x14ac:dyDescent="0.2">
      <c r="A129" s="156" t="s">
        <v>587</v>
      </c>
      <c r="B129" s="30" t="s">
        <v>1505</v>
      </c>
      <c r="C129" s="167">
        <v>0</v>
      </c>
      <c r="D129" s="128">
        <v>2.1930000000000001</v>
      </c>
      <c r="E129" s="129">
        <v>9.0999999999999998E-2</v>
      </c>
      <c r="F129" s="130">
        <v>1.2999999999999999E-2</v>
      </c>
      <c r="G129" s="157">
        <v>84.29</v>
      </c>
      <c r="H129" s="157">
        <v>2.27</v>
      </c>
      <c r="I129" s="161">
        <v>2.96</v>
      </c>
      <c r="J129" s="31">
        <v>7.0000000000000007E-2</v>
      </c>
    </row>
    <row r="130" spans="1:10" ht="27.75" customHeight="1" x14ac:dyDescent="0.2">
      <c r="A130" s="156" t="s">
        <v>588</v>
      </c>
      <c r="B130" s="30" t="s">
        <v>1506</v>
      </c>
      <c r="C130" s="167">
        <v>0</v>
      </c>
      <c r="D130" s="128">
        <v>2.1930000000000001</v>
      </c>
      <c r="E130" s="129">
        <v>9.0999999999999998E-2</v>
      </c>
      <c r="F130" s="130">
        <v>1.2999999999999999E-2</v>
      </c>
      <c r="G130" s="157">
        <v>139.80000000000001</v>
      </c>
      <c r="H130" s="157">
        <v>2.27</v>
      </c>
      <c r="I130" s="161">
        <v>2.96</v>
      </c>
      <c r="J130" s="31">
        <v>7.0000000000000007E-2</v>
      </c>
    </row>
    <row r="131" spans="1:10" ht="27.75" customHeight="1" x14ac:dyDescent="0.2">
      <c r="A131" s="156" t="s">
        <v>589</v>
      </c>
      <c r="B131" s="30" t="s">
        <v>1507</v>
      </c>
      <c r="C131" s="167">
        <v>0</v>
      </c>
      <c r="D131" s="128">
        <v>2.1930000000000001</v>
      </c>
      <c r="E131" s="129">
        <v>9.0999999999999998E-2</v>
      </c>
      <c r="F131" s="130">
        <v>1.2999999999999999E-2</v>
      </c>
      <c r="G131" s="157">
        <v>226.23</v>
      </c>
      <c r="H131" s="157">
        <v>2.27</v>
      </c>
      <c r="I131" s="161">
        <v>2.96</v>
      </c>
      <c r="J131" s="31">
        <v>7.0000000000000007E-2</v>
      </c>
    </row>
    <row r="132" spans="1:10" ht="27.75" customHeight="1" x14ac:dyDescent="0.2">
      <c r="A132" s="156" t="s">
        <v>590</v>
      </c>
      <c r="B132" s="30" t="s">
        <v>1508</v>
      </c>
      <c r="C132" s="167">
        <v>0</v>
      </c>
      <c r="D132" s="128">
        <v>2.1930000000000001</v>
      </c>
      <c r="E132" s="129">
        <v>9.0999999999999998E-2</v>
      </c>
      <c r="F132" s="130">
        <v>1.2999999999999999E-2</v>
      </c>
      <c r="G132" s="157">
        <v>499.51</v>
      </c>
      <c r="H132" s="157">
        <v>2.27</v>
      </c>
      <c r="I132" s="161">
        <v>2.96</v>
      </c>
      <c r="J132" s="31">
        <v>7.0000000000000007E-2</v>
      </c>
    </row>
    <row r="133" spans="1:10" ht="27.75" customHeight="1" x14ac:dyDescent="0.2">
      <c r="A133" s="156" t="s">
        <v>591</v>
      </c>
      <c r="B133" s="30" t="s">
        <v>1509</v>
      </c>
      <c r="C133" s="167">
        <v>0</v>
      </c>
      <c r="D133" s="128">
        <v>2.105</v>
      </c>
      <c r="E133" s="129">
        <v>8.5999999999999993E-2</v>
      </c>
      <c r="F133" s="130">
        <v>1.0999999999999999E-2</v>
      </c>
      <c r="G133" s="157">
        <v>48.02</v>
      </c>
      <c r="H133" s="157">
        <v>1.9</v>
      </c>
      <c r="I133" s="161">
        <v>2.94</v>
      </c>
      <c r="J133" s="31">
        <v>6.7000000000000004E-2</v>
      </c>
    </row>
    <row r="134" spans="1:10" ht="27.75" customHeight="1" x14ac:dyDescent="0.2">
      <c r="A134" s="156" t="s">
        <v>592</v>
      </c>
      <c r="B134" s="30" t="s">
        <v>1510</v>
      </c>
      <c r="C134" s="167">
        <v>0</v>
      </c>
      <c r="D134" s="128">
        <v>2.105</v>
      </c>
      <c r="E134" s="129">
        <v>8.5999999999999993E-2</v>
      </c>
      <c r="F134" s="130">
        <v>1.0999999999999999E-2</v>
      </c>
      <c r="G134" s="157">
        <v>396.86</v>
      </c>
      <c r="H134" s="157">
        <v>1.9</v>
      </c>
      <c r="I134" s="161">
        <v>2.94</v>
      </c>
      <c r="J134" s="31">
        <v>6.7000000000000004E-2</v>
      </c>
    </row>
    <row r="135" spans="1:10" ht="27.75" customHeight="1" x14ac:dyDescent="0.2">
      <c r="A135" s="156" t="s">
        <v>593</v>
      </c>
      <c r="B135" s="30" t="s">
        <v>1511</v>
      </c>
      <c r="C135" s="167">
        <v>0</v>
      </c>
      <c r="D135" s="128">
        <v>2.105</v>
      </c>
      <c r="E135" s="129">
        <v>8.5999999999999993E-2</v>
      </c>
      <c r="F135" s="130">
        <v>1.0999999999999999E-2</v>
      </c>
      <c r="G135" s="157">
        <v>2017.87</v>
      </c>
      <c r="H135" s="157">
        <v>1.9</v>
      </c>
      <c r="I135" s="161">
        <v>2.94</v>
      </c>
      <c r="J135" s="31">
        <v>6.7000000000000004E-2</v>
      </c>
    </row>
    <row r="136" spans="1:10" ht="27.75" customHeight="1" x14ac:dyDescent="0.2">
      <c r="A136" s="156" t="s">
        <v>594</v>
      </c>
      <c r="B136" s="30" t="s">
        <v>1512</v>
      </c>
      <c r="C136" s="167">
        <v>0</v>
      </c>
      <c r="D136" s="128">
        <v>2.105</v>
      </c>
      <c r="E136" s="129">
        <v>8.5999999999999993E-2</v>
      </c>
      <c r="F136" s="130">
        <v>1.0999999999999999E-2</v>
      </c>
      <c r="G136" s="157">
        <v>1764.53</v>
      </c>
      <c r="H136" s="157">
        <v>1.9</v>
      </c>
      <c r="I136" s="161">
        <v>2.94</v>
      </c>
      <c r="J136" s="31">
        <v>6.7000000000000004E-2</v>
      </c>
    </row>
    <row r="137" spans="1:10" ht="27.75" customHeight="1" x14ac:dyDescent="0.2">
      <c r="A137" s="156" t="s">
        <v>595</v>
      </c>
      <c r="B137" s="30" t="s">
        <v>1513</v>
      </c>
      <c r="C137" s="167">
        <v>0</v>
      </c>
      <c r="D137" s="128">
        <v>2.105</v>
      </c>
      <c r="E137" s="129">
        <v>8.5999999999999993E-2</v>
      </c>
      <c r="F137" s="130">
        <v>1.0999999999999999E-2</v>
      </c>
      <c r="G137" s="157">
        <v>4475.04</v>
      </c>
      <c r="H137" s="157">
        <v>1.9</v>
      </c>
      <c r="I137" s="161">
        <v>2.94</v>
      </c>
      <c r="J137" s="31">
        <v>6.7000000000000004E-2</v>
      </c>
    </row>
    <row r="138" spans="1:10" ht="27.75" customHeight="1" x14ac:dyDescent="0.2">
      <c r="A138" s="156" t="s">
        <v>445</v>
      </c>
      <c r="B138" s="30" t="s">
        <v>1514</v>
      </c>
      <c r="C138" s="167" t="s">
        <v>417</v>
      </c>
      <c r="D138" s="131">
        <v>10.375</v>
      </c>
      <c r="E138" s="132">
        <v>0.495</v>
      </c>
      <c r="F138" s="130">
        <v>0.36099999999999999</v>
      </c>
      <c r="G138" s="158"/>
      <c r="H138" s="158"/>
      <c r="I138" s="160"/>
      <c r="J138" s="32"/>
    </row>
    <row r="139" spans="1:10" ht="27.75" customHeight="1" x14ac:dyDescent="0.2">
      <c r="A139" s="156" t="s">
        <v>446</v>
      </c>
      <c r="B139" s="30" t="s">
        <v>1515</v>
      </c>
      <c r="C139" s="162">
        <v>0</v>
      </c>
      <c r="D139" s="128">
        <v>-3.5489999999999999</v>
      </c>
      <c r="E139" s="129">
        <v>-0.155</v>
      </c>
      <c r="F139" s="130">
        <v>-2.4E-2</v>
      </c>
      <c r="G139" s="157">
        <v>0</v>
      </c>
      <c r="H139" s="158"/>
      <c r="I139" s="160"/>
      <c r="J139" s="32"/>
    </row>
    <row r="140" spans="1:10" ht="27.75" customHeight="1" x14ac:dyDescent="0.2">
      <c r="A140" s="156" t="s">
        <v>447</v>
      </c>
      <c r="B140" s="30" t="s">
        <v>1516</v>
      </c>
      <c r="C140" s="162">
        <v>0</v>
      </c>
      <c r="D140" s="128">
        <v>-3.5089999999999999</v>
      </c>
      <c r="E140" s="129">
        <v>-0.152</v>
      </c>
      <c r="F140" s="130">
        <v>-2.3E-2</v>
      </c>
      <c r="G140" s="157">
        <v>0</v>
      </c>
      <c r="H140" s="158"/>
      <c r="I140" s="160"/>
      <c r="J140" s="32"/>
    </row>
    <row r="141" spans="1:10" ht="27.75" customHeight="1" x14ac:dyDescent="0.2">
      <c r="A141" s="156" t="s">
        <v>448</v>
      </c>
      <c r="B141" s="30" t="s">
        <v>1517</v>
      </c>
      <c r="C141" s="162">
        <v>0</v>
      </c>
      <c r="D141" s="128">
        <v>-3.5489999999999999</v>
      </c>
      <c r="E141" s="129">
        <v>-0.155</v>
      </c>
      <c r="F141" s="130">
        <v>-2.4E-2</v>
      </c>
      <c r="G141" s="157">
        <v>0</v>
      </c>
      <c r="H141" s="158"/>
      <c r="I141" s="160"/>
      <c r="J141" s="31">
        <v>0.104</v>
      </c>
    </row>
    <row r="142" spans="1:10" ht="27.75" customHeight="1" x14ac:dyDescent="0.2">
      <c r="A142" s="156" t="s">
        <v>449</v>
      </c>
      <c r="B142" s="30" t="s">
        <v>1518</v>
      </c>
      <c r="C142" s="162">
        <v>0</v>
      </c>
      <c r="D142" s="128">
        <v>-3.5089999999999999</v>
      </c>
      <c r="E142" s="129">
        <v>-0.152</v>
      </c>
      <c r="F142" s="130">
        <v>-2.3E-2</v>
      </c>
      <c r="G142" s="157">
        <v>0</v>
      </c>
      <c r="H142" s="158"/>
      <c r="I142" s="160"/>
      <c r="J142" s="31">
        <v>0.105</v>
      </c>
    </row>
    <row r="143" spans="1:10" ht="27.75" customHeight="1" x14ac:dyDescent="0.2">
      <c r="A143" s="156" t="s">
        <v>450</v>
      </c>
      <c r="B143" s="30" t="s">
        <v>1519</v>
      </c>
      <c r="C143" s="162">
        <v>0</v>
      </c>
      <c r="D143" s="128">
        <v>-3.8570000000000002</v>
      </c>
      <c r="E143" s="129">
        <v>-0.16</v>
      </c>
      <c r="F143" s="130">
        <v>-2.1999999999999999E-2</v>
      </c>
      <c r="G143" s="157">
        <v>6.47</v>
      </c>
      <c r="H143" s="158"/>
      <c r="I143" s="160"/>
      <c r="J143" s="31">
        <v>0.13600000000000001</v>
      </c>
    </row>
    <row r="144" spans="1:10" ht="27.75" customHeight="1" x14ac:dyDescent="0.2">
      <c r="A144" s="156" t="s">
        <v>552</v>
      </c>
      <c r="B144" s="30" t="s">
        <v>1520</v>
      </c>
      <c r="C144" s="171" t="s">
        <v>647</v>
      </c>
      <c r="D144" s="128">
        <v>3.052</v>
      </c>
      <c r="E144" s="129">
        <v>0.13400000000000001</v>
      </c>
      <c r="F144" s="130">
        <v>2.1000000000000001E-2</v>
      </c>
      <c r="G144" s="157">
        <v>11.46</v>
      </c>
      <c r="H144" s="158"/>
      <c r="I144" s="160"/>
      <c r="J144" s="32"/>
    </row>
    <row r="145" spans="1:10" ht="27.75" customHeight="1" x14ac:dyDescent="0.2">
      <c r="A145" s="156" t="s">
        <v>553</v>
      </c>
      <c r="B145" s="30" t="s">
        <v>1521</v>
      </c>
      <c r="C145" s="165" t="s">
        <v>415</v>
      </c>
      <c r="D145" s="128">
        <v>3.052</v>
      </c>
      <c r="E145" s="129">
        <v>0.13400000000000001</v>
      </c>
      <c r="F145" s="130">
        <v>2.1000000000000001E-2</v>
      </c>
      <c r="G145" s="158"/>
      <c r="H145" s="158"/>
      <c r="I145" s="160"/>
      <c r="J145" s="32"/>
    </row>
    <row r="146" spans="1:10" ht="27.75" customHeight="1" x14ac:dyDescent="0.2">
      <c r="A146" s="156" t="s">
        <v>554</v>
      </c>
      <c r="B146" s="30" t="s">
        <v>1522</v>
      </c>
      <c r="C146" s="155" t="s">
        <v>646</v>
      </c>
      <c r="D146" s="128">
        <v>2.2930000000000001</v>
      </c>
      <c r="E146" s="129">
        <v>0.1</v>
      </c>
      <c r="F146" s="130">
        <v>1.4999999999999999E-2</v>
      </c>
      <c r="G146" s="157">
        <v>0.81</v>
      </c>
      <c r="H146" s="158"/>
      <c r="I146" s="160"/>
      <c r="J146" s="32"/>
    </row>
    <row r="147" spans="1:10" ht="27.75" customHeight="1" x14ac:dyDescent="0.2">
      <c r="A147" s="156" t="s">
        <v>555</v>
      </c>
      <c r="B147" s="30" t="s">
        <v>1523</v>
      </c>
      <c r="C147" s="155" t="s">
        <v>646</v>
      </c>
      <c r="D147" s="128">
        <v>2.2930000000000001</v>
      </c>
      <c r="E147" s="129">
        <v>0.1</v>
      </c>
      <c r="F147" s="130">
        <v>1.4999999999999999E-2</v>
      </c>
      <c r="G147" s="157">
        <v>1.28</v>
      </c>
      <c r="H147" s="158"/>
      <c r="I147" s="160"/>
      <c r="J147" s="32"/>
    </row>
    <row r="148" spans="1:10" ht="27.75" customHeight="1" x14ac:dyDescent="0.2">
      <c r="A148" s="156" t="s">
        <v>556</v>
      </c>
      <c r="B148" s="30" t="s">
        <v>1524</v>
      </c>
      <c r="C148" s="155" t="s">
        <v>646</v>
      </c>
      <c r="D148" s="128">
        <v>2.2930000000000001</v>
      </c>
      <c r="E148" s="129">
        <v>0.1</v>
      </c>
      <c r="F148" s="130">
        <v>1.4999999999999999E-2</v>
      </c>
      <c r="G148" s="157">
        <v>3.64</v>
      </c>
      <c r="H148" s="158"/>
      <c r="I148" s="160"/>
      <c r="J148" s="32"/>
    </row>
    <row r="149" spans="1:10" ht="27.75" customHeight="1" x14ac:dyDescent="0.2">
      <c r="A149" s="156" t="s">
        <v>557</v>
      </c>
      <c r="B149" s="30" t="s">
        <v>1525</v>
      </c>
      <c r="C149" s="155" t="s">
        <v>646</v>
      </c>
      <c r="D149" s="128">
        <v>2.2930000000000001</v>
      </c>
      <c r="E149" s="129">
        <v>0.1</v>
      </c>
      <c r="F149" s="130">
        <v>1.4999999999999999E-2</v>
      </c>
      <c r="G149" s="157">
        <v>7.83</v>
      </c>
      <c r="H149" s="158"/>
      <c r="I149" s="160"/>
      <c r="J149" s="32"/>
    </row>
    <row r="150" spans="1:10" ht="27.75" customHeight="1" x14ac:dyDescent="0.2">
      <c r="A150" s="156" t="s">
        <v>558</v>
      </c>
      <c r="B150" s="30" t="s">
        <v>1526</v>
      </c>
      <c r="C150" s="155" t="s">
        <v>646</v>
      </c>
      <c r="D150" s="128">
        <v>2.2930000000000001</v>
      </c>
      <c r="E150" s="129">
        <v>0.1</v>
      </c>
      <c r="F150" s="130">
        <v>1.4999999999999999E-2</v>
      </c>
      <c r="G150" s="157">
        <v>21.35</v>
      </c>
      <c r="H150" s="158"/>
      <c r="I150" s="160"/>
      <c r="J150" s="32"/>
    </row>
    <row r="151" spans="1:10" ht="27.75" customHeight="1" x14ac:dyDescent="0.2">
      <c r="A151" s="156" t="s">
        <v>451</v>
      </c>
      <c r="B151" s="30" t="s">
        <v>1527</v>
      </c>
      <c r="C151" s="165" t="s">
        <v>416</v>
      </c>
      <c r="D151" s="128">
        <v>2.2930000000000001</v>
      </c>
      <c r="E151" s="129">
        <v>0.1</v>
      </c>
      <c r="F151" s="130">
        <v>1.4999999999999999E-2</v>
      </c>
      <c r="G151" s="158"/>
      <c r="H151" s="158"/>
      <c r="I151" s="160"/>
      <c r="J151" s="32"/>
    </row>
    <row r="152" spans="1:10" ht="27.75" customHeight="1" x14ac:dyDescent="0.2">
      <c r="A152" s="156" t="s">
        <v>559</v>
      </c>
      <c r="B152" s="30" t="s">
        <v>1528</v>
      </c>
      <c r="C152" s="167">
        <v>0</v>
      </c>
      <c r="D152" s="128">
        <v>1.635</v>
      </c>
      <c r="E152" s="129">
        <v>7.0000000000000007E-2</v>
      </c>
      <c r="F152" s="130">
        <v>0.01</v>
      </c>
      <c r="G152" s="157">
        <v>2.15</v>
      </c>
      <c r="H152" s="157">
        <v>0.7</v>
      </c>
      <c r="I152" s="161">
        <v>1.35</v>
      </c>
      <c r="J152" s="31">
        <v>5.3999999999999999E-2</v>
      </c>
    </row>
    <row r="153" spans="1:10" ht="27.75" customHeight="1" x14ac:dyDescent="0.2">
      <c r="A153" s="156" t="s">
        <v>560</v>
      </c>
      <c r="B153" s="30" t="s">
        <v>1529</v>
      </c>
      <c r="C153" s="167">
        <v>0</v>
      </c>
      <c r="D153" s="128">
        <v>1.635</v>
      </c>
      <c r="E153" s="129">
        <v>7.0000000000000007E-2</v>
      </c>
      <c r="F153" s="130">
        <v>0.01</v>
      </c>
      <c r="G153" s="157">
        <v>41.27</v>
      </c>
      <c r="H153" s="157">
        <v>0.7</v>
      </c>
      <c r="I153" s="161">
        <v>1.35</v>
      </c>
      <c r="J153" s="31">
        <v>5.3999999999999999E-2</v>
      </c>
    </row>
    <row r="154" spans="1:10" ht="27.75" customHeight="1" x14ac:dyDescent="0.2">
      <c r="A154" s="156" t="s">
        <v>561</v>
      </c>
      <c r="B154" s="30" t="s">
        <v>1530</v>
      </c>
      <c r="C154" s="167">
        <v>0</v>
      </c>
      <c r="D154" s="128">
        <v>1.635</v>
      </c>
      <c r="E154" s="129">
        <v>7.0000000000000007E-2</v>
      </c>
      <c r="F154" s="130">
        <v>0.01</v>
      </c>
      <c r="G154" s="157">
        <v>68.069999999999993</v>
      </c>
      <c r="H154" s="157">
        <v>0.7</v>
      </c>
      <c r="I154" s="161">
        <v>1.35</v>
      </c>
      <c r="J154" s="31">
        <v>5.3999999999999999E-2</v>
      </c>
    </row>
    <row r="155" spans="1:10" ht="27.75" customHeight="1" x14ac:dyDescent="0.2">
      <c r="A155" s="156" t="s">
        <v>562</v>
      </c>
      <c r="B155" s="30" t="s">
        <v>1531</v>
      </c>
      <c r="C155" s="167">
        <v>0</v>
      </c>
      <c r="D155" s="128">
        <v>1.635</v>
      </c>
      <c r="E155" s="129">
        <v>7.0000000000000007E-2</v>
      </c>
      <c r="F155" s="130">
        <v>0.01</v>
      </c>
      <c r="G155" s="157">
        <v>109.79</v>
      </c>
      <c r="H155" s="157">
        <v>0.7</v>
      </c>
      <c r="I155" s="161">
        <v>1.35</v>
      </c>
      <c r="J155" s="31">
        <v>5.3999999999999999E-2</v>
      </c>
    </row>
    <row r="156" spans="1:10" ht="27.75" customHeight="1" x14ac:dyDescent="0.2">
      <c r="A156" s="156" t="s">
        <v>563</v>
      </c>
      <c r="B156" s="30" t="s">
        <v>1532</v>
      </c>
      <c r="C156" s="167">
        <v>0</v>
      </c>
      <c r="D156" s="128">
        <v>1.635</v>
      </c>
      <c r="E156" s="129">
        <v>7.0000000000000007E-2</v>
      </c>
      <c r="F156" s="130">
        <v>0.01</v>
      </c>
      <c r="G156" s="157">
        <v>241.71</v>
      </c>
      <c r="H156" s="157">
        <v>0.7</v>
      </c>
      <c r="I156" s="161">
        <v>1.35</v>
      </c>
      <c r="J156" s="31">
        <v>5.3999999999999999E-2</v>
      </c>
    </row>
    <row r="157" spans="1:10" ht="27.75" customHeight="1" x14ac:dyDescent="0.2">
      <c r="A157" s="156" t="s">
        <v>564</v>
      </c>
      <c r="B157" s="30" t="s">
        <v>1533</v>
      </c>
      <c r="C157" s="167">
        <v>0</v>
      </c>
      <c r="D157" s="128">
        <v>1.5669999999999999</v>
      </c>
      <c r="E157" s="129">
        <v>6.5000000000000002E-2</v>
      </c>
      <c r="F157" s="130">
        <v>8.9999999999999993E-3</v>
      </c>
      <c r="G157" s="157">
        <v>2.34</v>
      </c>
      <c r="H157" s="157">
        <v>1.62</v>
      </c>
      <c r="I157" s="161">
        <v>2.11</v>
      </c>
      <c r="J157" s="31">
        <v>0.05</v>
      </c>
    </row>
    <row r="158" spans="1:10" ht="27.75" customHeight="1" x14ac:dyDescent="0.2">
      <c r="A158" s="156" t="s">
        <v>565</v>
      </c>
      <c r="B158" s="30" t="s">
        <v>1534</v>
      </c>
      <c r="C158" s="167">
        <v>0</v>
      </c>
      <c r="D158" s="128">
        <v>1.5669999999999999</v>
      </c>
      <c r="E158" s="129">
        <v>6.5000000000000002E-2</v>
      </c>
      <c r="F158" s="130">
        <v>8.9999999999999993E-3</v>
      </c>
      <c r="G158" s="157">
        <v>60.26</v>
      </c>
      <c r="H158" s="157">
        <v>1.62</v>
      </c>
      <c r="I158" s="161">
        <v>2.11</v>
      </c>
      <c r="J158" s="31">
        <v>0.05</v>
      </c>
    </row>
    <row r="159" spans="1:10" ht="27.75" customHeight="1" x14ac:dyDescent="0.2">
      <c r="A159" s="156" t="s">
        <v>566</v>
      </c>
      <c r="B159" s="30" t="s">
        <v>1535</v>
      </c>
      <c r="C159" s="167">
        <v>0</v>
      </c>
      <c r="D159" s="128">
        <v>1.5669999999999999</v>
      </c>
      <c r="E159" s="129">
        <v>6.5000000000000002E-2</v>
      </c>
      <c r="F159" s="130">
        <v>8.9999999999999993E-3</v>
      </c>
      <c r="G159" s="157">
        <v>99.93</v>
      </c>
      <c r="H159" s="157">
        <v>1.62</v>
      </c>
      <c r="I159" s="161">
        <v>2.11</v>
      </c>
      <c r="J159" s="31">
        <v>0.05</v>
      </c>
    </row>
    <row r="160" spans="1:10" ht="27.75" customHeight="1" x14ac:dyDescent="0.2">
      <c r="A160" s="156" t="s">
        <v>567</v>
      </c>
      <c r="B160" s="30" t="s">
        <v>1536</v>
      </c>
      <c r="C160" s="167">
        <v>0</v>
      </c>
      <c r="D160" s="128">
        <v>1.5669999999999999</v>
      </c>
      <c r="E160" s="129">
        <v>6.5000000000000002E-2</v>
      </c>
      <c r="F160" s="130">
        <v>8.9999999999999993E-3</v>
      </c>
      <c r="G160" s="157">
        <v>161.69999999999999</v>
      </c>
      <c r="H160" s="157">
        <v>1.62</v>
      </c>
      <c r="I160" s="161">
        <v>2.11</v>
      </c>
      <c r="J160" s="31">
        <v>0.05</v>
      </c>
    </row>
    <row r="161" spans="1:10" ht="27.75" customHeight="1" x14ac:dyDescent="0.2">
      <c r="A161" s="156" t="s">
        <v>568</v>
      </c>
      <c r="B161" s="30" t="s">
        <v>1537</v>
      </c>
      <c r="C161" s="167">
        <v>0</v>
      </c>
      <c r="D161" s="128">
        <v>1.5669999999999999</v>
      </c>
      <c r="E161" s="129">
        <v>6.5000000000000002E-2</v>
      </c>
      <c r="F161" s="130">
        <v>8.9999999999999993E-3</v>
      </c>
      <c r="G161" s="157">
        <v>357</v>
      </c>
      <c r="H161" s="157">
        <v>1.62</v>
      </c>
      <c r="I161" s="161">
        <v>2.11</v>
      </c>
      <c r="J161" s="31">
        <v>0.05</v>
      </c>
    </row>
    <row r="162" spans="1:10" ht="27.75" customHeight="1" x14ac:dyDescent="0.2">
      <c r="A162" s="156" t="s">
        <v>569</v>
      </c>
      <c r="B162" s="30" t="s">
        <v>1538</v>
      </c>
      <c r="C162" s="167">
        <v>0</v>
      </c>
      <c r="D162" s="128">
        <v>1.504</v>
      </c>
      <c r="E162" s="129">
        <v>6.2E-2</v>
      </c>
      <c r="F162" s="130">
        <v>8.0000000000000002E-3</v>
      </c>
      <c r="G162" s="157">
        <v>34.33</v>
      </c>
      <c r="H162" s="157">
        <v>1.36</v>
      </c>
      <c r="I162" s="161">
        <v>2.1</v>
      </c>
      <c r="J162" s="31">
        <v>4.8000000000000001E-2</v>
      </c>
    </row>
    <row r="163" spans="1:10" ht="27.75" customHeight="1" x14ac:dyDescent="0.2">
      <c r="A163" s="156" t="s">
        <v>570</v>
      </c>
      <c r="B163" s="30" t="s">
        <v>1539</v>
      </c>
      <c r="C163" s="167">
        <v>0</v>
      </c>
      <c r="D163" s="128">
        <v>1.504</v>
      </c>
      <c r="E163" s="129">
        <v>6.2E-2</v>
      </c>
      <c r="F163" s="130">
        <v>8.0000000000000002E-3</v>
      </c>
      <c r="G163" s="157">
        <v>283.64</v>
      </c>
      <c r="H163" s="157">
        <v>1.36</v>
      </c>
      <c r="I163" s="161">
        <v>2.1</v>
      </c>
      <c r="J163" s="31">
        <v>4.8000000000000001E-2</v>
      </c>
    </row>
    <row r="164" spans="1:10" ht="27.75" customHeight="1" x14ac:dyDescent="0.2">
      <c r="A164" s="156" t="s">
        <v>571</v>
      </c>
      <c r="B164" s="30" t="s">
        <v>1540</v>
      </c>
      <c r="C164" s="167">
        <v>0</v>
      </c>
      <c r="D164" s="128">
        <v>1.504</v>
      </c>
      <c r="E164" s="129">
        <v>6.2E-2</v>
      </c>
      <c r="F164" s="130">
        <v>8.0000000000000002E-3</v>
      </c>
      <c r="G164" s="157">
        <v>1442.13</v>
      </c>
      <c r="H164" s="157">
        <v>1.36</v>
      </c>
      <c r="I164" s="161">
        <v>2.1</v>
      </c>
      <c r="J164" s="31">
        <v>4.8000000000000001E-2</v>
      </c>
    </row>
    <row r="165" spans="1:10" ht="27.75" customHeight="1" x14ac:dyDescent="0.2">
      <c r="A165" s="156" t="s">
        <v>572</v>
      </c>
      <c r="B165" s="30" t="s">
        <v>1541</v>
      </c>
      <c r="C165" s="167">
        <v>0</v>
      </c>
      <c r="D165" s="128">
        <v>1.504</v>
      </c>
      <c r="E165" s="129">
        <v>6.2E-2</v>
      </c>
      <c r="F165" s="130">
        <v>8.0000000000000002E-3</v>
      </c>
      <c r="G165" s="157">
        <v>1261.08</v>
      </c>
      <c r="H165" s="157">
        <v>1.36</v>
      </c>
      <c r="I165" s="161">
        <v>2.1</v>
      </c>
      <c r="J165" s="31">
        <v>4.8000000000000001E-2</v>
      </c>
    </row>
    <row r="166" spans="1:10" ht="27.75" customHeight="1" x14ac:dyDescent="0.2">
      <c r="A166" s="156" t="s">
        <v>573</v>
      </c>
      <c r="B166" s="30" t="s">
        <v>1542</v>
      </c>
      <c r="C166" s="167">
        <v>0</v>
      </c>
      <c r="D166" s="128">
        <v>1.504</v>
      </c>
      <c r="E166" s="129">
        <v>6.2E-2</v>
      </c>
      <c r="F166" s="130">
        <v>8.0000000000000002E-3</v>
      </c>
      <c r="G166" s="157">
        <v>3198.21</v>
      </c>
      <c r="H166" s="157">
        <v>1.36</v>
      </c>
      <c r="I166" s="161">
        <v>2.1</v>
      </c>
      <c r="J166" s="31">
        <v>4.8000000000000001E-2</v>
      </c>
    </row>
    <row r="167" spans="1:10" ht="27.75" customHeight="1" x14ac:dyDescent="0.2">
      <c r="A167" s="156" t="s">
        <v>452</v>
      </c>
      <c r="B167" s="30" t="s">
        <v>1543</v>
      </c>
      <c r="C167" s="167" t="s">
        <v>417</v>
      </c>
      <c r="D167" s="131">
        <v>7.4139999999999997</v>
      </c>
      <c r="E167" s="132">
        <v>0.35399999999999998</v>
      </c>
      <c r="F167" s="130">
        <v>0.25800000000000001</v>
      </c>
      <c r="G167" s="158"/>
      <c r="H167" s="158"/>
      <c r="I167" s="160"/>
      <c r="J167" s="32"/>
    </row>
    <row r="168" spans="1:10" ht="27.75" customHeight="1" x14ac:dyDescent="0.2">
      <c r="A168" s="156" t="s">
        <v>453</v>
      </c>
      <c r="B168" s="30" t="s">
        <v>1544</v>
      </c>
      <c r="C168" s="162">
        <v>0</v>
      </c>
      <c r="D168" s="128">
        <v>-2.536</v>
      </c>
      <c r="E168" s="129">
        <v>-0.111</v>
      </c>
      <c r="F168" s="130">
        <v>-1.7000000000000001E-2</v>
      </c>
      <c r="G168" s="157">
        <v>0</v>
      </c>
      <c r="H168" s="158"/>
      <c r="I168" s="160"/>
      <c r="J168" s="32"/>
    </row>
    <row r="169" spans="1:10" ht="27.75" customHeight="1" x14ac:dyDescent="0.2">
      <c r="A169" s="156" t="s">
        <v>454</v>
      </c>
      <c r="B169" s="30" t="s">
        <v>1545</v>
      </c>
      <c r="C169" s="162">
        <v>0</v>
      </c>
      <c r="D169" s="128">
        <v>-2.508</v>
      </c>
      <c r="E169" s="129">
        <v>-0.109</v>
      </c>
      <c r="F169" s="130">
        <v>-1.6E-2</v>
      </c>
      <c r="G169" s="157">
        <v>0</v>
      </c>
      <c r="H169" s="158"/>
      <c r="I169" s="160"/>
      <c r="J169" s="32"/>
    </row>
    <row r="170" spans="1:10" ht="27.75" customHeight="1" x14ac:dyDescent="0.2">
      <c r="A170" s="156" t="s">
        <v>455</v>
      </c>
      <c r="B170" s="30" t="s">
        <v>1546</v>
      </c>
      <c r="C170" s="162">
        <v>0</v>
      </c>
      <c r="D170" s="128">
        <v>-2.536</v>
      </c>
      <c r="E170" s="129">
        <v>-0.111</v>
      </c>
      <c r="F170" s="130">
        <v>-1.7000000000000001E-2</v>
      </c>
      <c r="G170" s="157">
        <v>0</v>
      </c>
      <c r="H170" s="158"/>
      <c r="I170" s="160"/>
      <c r="J170" s="31">
        <v>7.4999999999999997E-2</v>
      </c>
    </row>
    <row r="171" spans="1:10" ht="27.75" customHeight="1" x14ac:dyDescent="0.2">
      <c r="A171" s="156" t="s">
        <v>456</v>
      </c>
      <c r="B171" s="30" t="s">
        <v>1547</v>
      </c>
      <c r="C171" s="162">
        <v>0</v>
      </c>
      <c r="D171" s="128">
        <v>-2.508</v>
      </c>
      <c r="E171" s="129">
        <v>-0.109</v>
      </c>
      <c r="F171" s="130">
        <v>-1.6E-2</v>
      </c>
      <c r="G171" s="157">
        <v>0</v>
      </c>
      <c r="H171" s="158"/>
      <c r="I171" s="160"/>
      <c r="J171" s="31">
        <v>7.4999999999999997E-2</v>
      </c>
    </row>
    <row r="172" spans="1:10" ht="27.75" customHeight="1" x14ac:dyDescent="0.2">
      <c r="A172" s="156" t="s">
        <v>457</v>
      </c>
      <c r="B172" s="30" t="s">
        <v>1548</v>
      </c>
      <c r="C172" s="162">
        <v>0</v>
      </c>
      <c r="D172" s="128">
        <v>-2.7559999999999998</v>
      </c>
      <c r="E172" s="129">
        <v>-0.114</v>
      </c>
      <c r="F172" s="130">
        <v>-1.4999999999999999E-2</v>
      </c>
      <c r="G172" s="157">
        <v>4.62</v>
      </c>
      <c r="H172" s="158"/>
      <c r="I172" s="160"/>
      <c r="J172" s="31">
        <v>9.7000000000000003E-2</v>
      </c>
    </row>
    <row r="173" spans="1:10" ht="27.75" customHeight="1" x14ac:dyDescent="0.2">
      <c r="A173" s="156" t="s">
        <v>530</v>
      </c>
      <c r="B173" s="30" t="s">
        <v>1549</v>
      </c>
      <c r="C173" s="171" t="s">
        <v>647</v>
      </c>
      <c r="D173" s="128">
        <v>1.1559999999999999</v>
      </c>
      <c r="E173" s="129">
        <v>5.0999999999999997E-2</v>
      </c>
      <c r="F173" s="130">
        <v>8.0000000000000002E-3</v>
      </c>
      <c r="G173" s="157">
        <v>10.29</v>
      </c>
      <c r="H173" s="158"/>
      <c r="I173" s="160"/>
      <c r="J173" s="32"/>
    </row>
    <row r="174" spans="1:10" ht="27.75" customHeight="1" x14ac:dyDescent="0.2">
      <c r="A174" s="156" t="s">
        <v>531</v>
      </c>
      <c r="B174" s="30" t="s">
        <v>1550</v>
      </c>
      <c r="C174" s="165" t="s">
        <v>415</v>
      </c>
      <c r="D174" s="128">
        <v>1.1559999999999999</v>
      </c>
      <c r="E174" s="129">
        <v>5.0999999999999997E-2</v>
      </c>
      <c r="F174" s="130">
        <v>8.0000000000000002E-3</v>
      </c>
      <c r="G174" s="158"/>
      <c r="H174" s="158"/>
      <c r="I174" s="160"/>
      <c r="J174" s="32"/>
    </row>
    <row r="175" spans="1:10" ht="27.75" customHeight="1" x14ac:dyDescent="0.2">
      <c r="A175" s="156" t="s">
        <v>532</v>
      </c>
      <c r="B175" s="30" t="s">
        <v>1551</v>
      </c>
      <c r="C175" s="155" t="s">
        <v>646</v>
      </c>
      <c r="D175" s="128">
        <v>0.86899999999999999</v>
      </c>
      <c r="E175" s="129">
        <v>3.7999999999999999E-2</v>
      </c>
      <c r="F175" s="130">
        <v>6.0000000000000001E-3</v>
      </c>
      <c r="G175" s="157">
        <v>0.35</v>
      </c>
      <c r="H175" s="158"/>
      <c r="I175" s="160"/>
      <c r="J175" s="32"/>
    </row>
    <row r="176" spans="1:10" ht="27.75" customHeight="1" x14ac:dyDescent="0.2">
      <c r="A176" s="156" t="s">
        <v>533</v>
      </c>
      <c r="B176" s="30" t="s">
        <v>1552</v>
      </c>
      <c r="C176" s="155" t="s">
        <v>646</v>
      </c>
      <c r="D176" s="128">
        <v>0.86899999999999999</v>
      </c>
      <c r="E176" s="129">
        <v>3.7999999999999999E-2</v>
      </c>
      <c r="F176" s="130">
        <v>6.0000000000000001E-3</v>
      </c>
      <c r="G176" s="157">
        <v>0.52</v>
      </c>
      <c r="H176" s="158"/>
      <c r="I176" s="160"/>
      <c r="J176" s="32"/>
    </row>
    <row r="177" spans="1:10" ht="27.75" customHeight="1" x14ac:dyDescent="0.2">
      <c r="A177" s="156" t="s">
        <v>534</v>
      </c>
      <c r="B177" s="30" t="s">
        <v>1553</v>
      </c>
      <c r="C177" s="155" t="s">
        <v>646</v>
      </c>
      <c r="D177" s="128">
        <v>0.86899999999999999</v>
      </c>
      <c r="E177" s="129">
        <v>3.7999999999999999E-2</v>
      </c>
      <c r="F177" s="130">
        <v>6.0000000000000001E-3</v>
      </c>
      <c r="G177" s="157">
        <v>1.42</v>
      </c>
      <c r="H177" s="158"/>
      <c r="I177" s="160"/>
      <c r="J177" s="32"/>
    </row>
    <row r="178" spans="1:10" ht="27.75" customHeight="1" x14ac:dyDescent="0.2">
      <c r="A178" s="156" t="s">
        <v>535</v>
      </c>
      <c r="B178" s="30" t="s">
        <v>1554</v>
      </c>
      <c r="C178" s="155" t="s">
        <v>646</v>
      </c>
      <c r="D178" s="128">
        <v>0.86899999999999999</v>
      </c>
      <c r="E178" s="129">
        <v>3.7999999999999999E-2</v>
      </c>
      <c r="F178" s="130">
        <v>6.0000000000000001E-3</v>
      </c>
      <c r="G178" s="157">
        <v>3.01</v>
      </c>
      <c r="H178" s="158"/>
      <c r="I178" s="160"/>
      <c r="J178" s="32"/>
    </row>
    <row r="179" spans="1:10" ht="27.75" customHeight="1" x14ac:dyDescent="0.2">
      <c r="A179" s="156" t="s">
        <v>536</v>
      </c>
      <c r="B179" s="30" t="s">
        <v>1555</v>
      </c>
      <c r="C179" s="155" t="s">
        <v>646</v>
      </c>
      <c r="D179" s="128">
        <v>0.86899999999999999</v>
      </c>
      <c r="E179" s="129">
        <v>3.7999999999999999E-2</v>
      </c>
      <c r="F179" s="130">
        <v>6.0000000000000001E-3</v>
      </c>
      <c r="G179" s="157">
        <v>8.1300000000000008</v>
      </c>
      <c r="H179" s="158"/>
      <c r="I179" s="160"/>
      <c r="J179" s="32"/>
    </row>
    <row r="180" spans="1:10" ht="27.75" customHeight="1" x14ac:dyDescent="0.2">
      <c r="A180" s="156" t="s">
        <v>458</v>
      </c>
      <c r="B180" s="30" t="s">
        <v>1556</v>
      </c>
      <c r="C180" s="165" t="s">
        <v>416</v>
      </c>
      <c r="D180" s="128">
        <v>0.86899999999999999</v>
      </c>
      <c r="E180" s="129">
        <v>3.7999999999999999E-2</v>
      </c>
      <c r="F180" s="130">
        <v>6.0000000000000001E-3</v>
      </c>
      <c r="G180" s="158"/>
      <c r="H180" s="158"/>
      <c r="I180" s="160"/>
      <c r="J180" s="32"/>
    </row>
    <row r="181" spans="1:10" ht="27.75" customHeight="1" x14ac:dyDescent="0.2">
      <c r="A181" s="156" t="s">
        <v>537</v>
      </c>
      <c r="B181" s="30" t="s">
        <v>1557</v>
      </c>
      <c r="C181" s="167">
        <v>0</v>
      </c>
      <c r="D181" s="128">
        <v>0.61899999999999999</v>
      </c>
      <c r="E181" s="129">
        <v>2.7E-2</v>
      </c>
      <c r="F181" s="130">
        <v>4.0000000000000001E-3</v>
      </c>
      <c r="G181" s="157">
        <v>0.86</v>
      </c>
      <c r="H181" s="157">
        <v>0.27</v>
      </c>
      <c r="I181" s="161">
        <v>0.51</v>
      </c>
      <c r="J181" s="31">
        <v>0.02</v>
      </c>
    </row>
    <row r="182" spans="1:10" ht="27.75" customHeight="1" x14ac:dyDescent="0.2">
      <c r="A182" s="156" t="s">
        <v>538</v>
      </c>
      <c r="B182" s="30" t="s">
        <v>1558</v>
      </c>
      <c r="C182" s="167">
        <v>0</v>
      </c>
      <c r="D182" s="128">
        <v>0.61899999999999999</v>
      </c>
      <c r="E182" s="129">
        <v>2.7E-2</v>
      </c>
      <c r="F182" s="130">
        <v>4.0000000000000001E-3</v>
      </c>
      <c r="G182" s="157">
        <v>15.67</v>
      </c>
      <c r="H182" s="157">
        <v>0.27</v>
      </c>
      <c r="I182" s="161">
        <v>0.51</v>
      </c>
      <c r="J182" s="31">
        <v>0.02</v>
      </c>
    </row>
    <row r="183" spans="1:10" ht="27.75" customHeight="1" x14ac:dyDescent="0.2">
      <c r="A183" s="156" t="s">
        <v>539</v>
      </c>
      <c r="B183" s="30" t="s">
        <v>1559</v>
      </c>
      <c r="C183" s="167">
        <v>0</v>
      </c>
      <c r="D183" s="128">
        <v>0.61899999999999999</v>
      </c>
      <c r="E183" s="129">
        <v>2.7E-2</v>
      </c>
      <c r="F183" s="130">
        <v>4.0000000000000001E-3</v>
      </c>
      <c r="G183" s="157">
        <v>25.82</v>
      </c>
      <c r="H183" s="157">
        <v>0.27</v>
      </c>
      <c r="I183" s="161">
        <v>0.51</v>
      </c>
      <c r="J183" s="31">
        <v>0.02</v>
      </c>
    </row>
    <row r="184" spans="1:10" ht="27.75" customHeight="1" x14ac:dyDescent="0.2">
      <c r="A184" s="156" t="s">
        <v>540</v>
      </c>
      <c r="B184" s="30" t="s">
        <v>1560</v>
      </c>
      <c r="C184" s="167">
        <v>0</v>
      </c>
      <c r="D184" s="128">
        <v>0.61899999999999999</v>
      </c>
      <c r="E184" s="129">
        <v>2.7E-2</v>
      </c>
      <c r="F184" s="130">
        <v>4.0000000000000001E-3</v>
      </c>
      <c r="G184" s="157">
        <v>41.62</v>
      </c>
      <c r="H184" s="157">
        <v>0.27</v>
      </c>
      <c r="I184" s="161">
        <v>0.51</v>
      </c>
      <c r="J184" s="31">
        <v>0.02</v>
      </c>
    </row>
    <row r="185" spans="1:10" ht="27.75" customHeight="1" x14ac:dyDescent="0.2">
      <c r="A185" s="156" t="s">
        <v>541</v>
      </c>
      <c r="B185" s="30" t="s">
        <v>1561</v>
      </c>
      <c r="C185" s="167">
        <v>0</v>
      </c>
      <c r="D185" s="128">
        <v>0.61899999999999999</v>
      </c>
      <c r="E185" s="129">
        <v>2.7E-2</v>
      </c>
      <c r="F185" s="130">
        <v>4.0000000000000001E-3</v>
      </c>
      <c r="G185" s="157">
        <v>91.59</v>
      </c>
      <c r="H185" s="157">
        <v>0.27</v>
      </c>
      <c r="I185" s="161">
        <v>0.51</v>
      </c>
      <c r="J185" s="31">
        <v>0.02</v>
      </c>
    </row>
    <row r="186" spans="1:10" ht="27.75" customHeight="1" x14ac:dyDescent="0.2">
      <c r="A186" s="156" t="s">
        <v>542</v>
      </c>
      <c r="B186" s="30" t="s">
        <v>1562</v>
      </c>
      <c r="C186" s="167">
        <v>0</v>
      </c>
      <c r="D186" s="128">
        <v>0.59399999999999997</v>
      </c>
      <c r="E186" s="129">
        <v>2.5000000000000001E-2</v>
      </c>
      <c r="F186" s="130">
        <v>3.0000000000000001E-3</v>
      </c>
      <c r="G186" s="157">
        <v>0.93</v>
      </c>
      <c r="H186" s="157">
        <v>0.61</v>
      </c>
      <c r="I186" s="161">
        <v>0.8</v>
      </c>
      <c r="J186" s="31">
        <v>1.9E-2</v>
      </c>
    </row>
    <row r="187" spans="1:10" ht="27.75" customHeight="1" x14ac:dyDescent="0.2">
      <c r="A187" s="156" t="s">
        <v>543</v>
      </c>
      <c r="B187" s="30" t="s">
        <v>1563</v>
      </c>
      <c r="C187" s="167">
        <v>0</v>
      </c>
      <c r="D187" s="128">
        <v>0.59399999999999997</v>
      </c>
      <c r="E187" s="129">
        <v>2.5000000000000001E-2</v>
      </c>
      <c r="F187" s="130">
        <v>3.0000000000000001E-3</v>
      </c>
      <c r="G187" s="157">
        <v>22.86</v>
      </c>
      <c r="H187" s="157">
        <v>0.61</v>
      </c>
      <c r="I187" s="161">
        <v>0.8</v>
      </c>
      <c r="J187" s="31">
        <v>1.9E-2</v>
      </c>
    </row>
    <row r="188" spans="1:10" ht="27.75" customHeight="1" x14ac:dyDescent="0.2">
      <c r="A188" s="156" t="s">
        <v>544</v>
      </c>
      <c r="B188" s="30" t="s">
        <v>1564</v>
      </c>
      <c r="C188" s="167">
        <v>0</v>
      </c>
      <c r="D188" s="128">
        <v>0.59399999999999997</v>
      </c>
      <c r="E188" s="129">
        <v>2.5000000000000001E-2</v>
      </c>
      <c r="F188" s="130">
        <v>3.0000000000000001E-3</v>
      </c>
      <c r="G188" s="157">
        <v>37.89</v>
      </c>
      <c r="H188" s="157">
        <v>0.61</v>
      </c>
      <c r="I188" s="161">
        <v>0.8</v>
      </c>
      <c r="J188" s="31">
        <v>1.9E-2</v>
      </c>
    </row>
    <row r="189" spans="1:10" ht="27.75" customHeight="1" x14ac:dyDescent="0.2">
      <c r="A189" s="156" t="s">
        <v>545</v>
      </c>
      <c r="B189" s="30" t="s">
        <v>1565</v>
      </c>
      <c r="C189" s="167">
        <v>0</v>
      </c>
      <c r="D189" s="128">
        <v>0.59399999999999997</v>
      </c>
      <c r="E189" s="129">
        <v>2.5000000000000001E-2</v>
      </c>
      <c r="F189" s="130">
        <v>3.0000000000000001E-3</v>
      </c>
      <c r="G189" s="157">
        <v>61.29</v>
      </c>
      <c r="H189" s="157">
        <v>0.61</v>
      </c>
      <c r="I189" s="161">
        <v>0.8</v>
      </c>
      <c r="J189" s="31">
        <v>1.9E-2</v>
      </c>
    </row>
    <row r="190" spans="1:10" ht="27.75" customHeight="1" x14ac:dyDescent="0.2">
      <c r="A190" s="156" t="s">
        <v>546</v>
      </c>
      <c r="B190" s="30" t="s">
        <v>1566</v>
      </c>
      <c r="C190" s="167">
        <v>0</v>
      </c>
      <c r="D190" s="128">
        <v>0.59399999999999997</v>
      </c>
      <c r="E190" s="129">
        <v>2.5000000000000001E-2</v>
      </c>
      <c r="F190" s="130">
        <v>3.0000000000000001E-3</v>
      </c>
      <c r="G190" s="157">
        <v>135.26</v>
      </c>
      <c r="H190" s="157">
        <v>0.61</v>
      </c>
      <c r="I190" s="161">
        <v>0.8</v>
      </c>
      <c r="J190" s="31">
        <v>1.9E-2</v>
      </c>
    </row>
    <row r="191" spans="1:10" ht="27.75" customHeight="1" x14ac:dyDescent="0.2">
      <c r="A191" s="156" t="s">
        <v>547</v>
      </c>
      <c r="B191" s="30" t="s">
        <v>1567</v>
      </c>
      <c r="C191" s="167">
        <v>0</v>
      </c>
      <c r="D191" s="128">
        <v>0.56999999999999995</v>
      </c>
      <c r="E191" s="129">
        <v>2.3E-2</v>
      </c>
      <c r="F191" s="130">
        <v>3.0000000000000001E-3</v>
      </c>
      <c r="G191" s="157">
        <v>13.05</v>
      </c>
      <c r="H191" s="157">
        <v>0.51</v>
      </c>
      <c r="I191" s="161">
        <v>0.8</v>
      </c>
      <c r="J191" s="31">
        <v>1.7999999999999999E-2</v>
      </c>
    </row>
    <row r="192" spans="1:10" ht="27.75" customHeight="1" x14ac:dyDescent="0.2">
      <c r="A192" s="156" t="s">
        <v>548</v>
      </c>
      <c r="B192" s="30" t="s">
        <v>1568</v>
      </c>
      <c r="C192" s="167">
        <v>0</v>
      </c>
      <c r="D192" s="128">
        <v>0.56999999999999995</v>
      </c>
      <c r="E192" s="129">
        <v>2.3E-2</v>
      </c>
      <c r="F192" s="130">
        <v>3.0000000000000001E-3</v>
      </c>
      <c r="G192" s="157">
        <v>107.47</v>
      </c>
      <c r="H192" s="157">
        <v>0.51</v>
      </c>
      <c r="I192" s="161">
        <v>0.8</v>
      </c>
      <c r="J192" s="31">
        <v>1.7999999999999999E-2</v>
      </c>
    </row>
    <row r="193" spans="1:10" ht="27.75" customHeight="1" x14ac:dyDescent="0.2">
      <c r="A193" s="156" t="s">
        <v>549</v>
      </c>
      <c r="B193" s="30" t="s">
        <v>1569</v>
      </c>
      <c r="C193" s="167">
        <v>0</v>
      </c>
      <c r="D193" s="128">
        <v>0.56999999999999995</v>
      </c>
      <c r="E193" s="129">
        <v>2.3E-2</v>
      </c>
      <c r="F193" s="130">
        <v>3.0000000000000001E-3</v>
      </c>
      <c r="G193" s="157">
        <v>546.26</v>
      </c>
      <c r="H193" s="157">
        <v>0.51</v>
      </c>
      <c r="I193" s="161">
        <v>0.8</v>
      </c>
      <c r="J193" s="31">
        <v>1.7999999999999999E-2</v>
      </c>
    </row>
    <row r="194" spans="1:10" ht="27.75" customHeight="1" x14ac:dyDescent="0.2">
      <c r="A194" s="156" t="s">
        <v>550</v>
      </c>
      <c r="B194" s="30" t="s">
        <v>1570</v>
      </c>
      <c r="C194" s="167">
        <v>0</v>
      </c>
      <c r="D194" s="128">
        <v>0.56999999999999995</v>
      </c>
      <c r="E194" s="129">
        <v>2.3E-2</v>
      </c>
      <c r="F194" s="130">
        <v>3.0000000000000001E-3</v>
      </c>
      <c r="G194" s="157">
        <v>477.69</v>
      </c>
      <c r="H194" s="157">
        <v>0.51</v>
      </c>
      <c r="I194" s="161">
        <v>0.8</v>
      </c>
      <c r="J194" s="31">
        <v>1.7999999999999999E-2</v>
      </c>
    </row>
    <row r="195" spans="1:10" ht="27.75" customHeight="1" x14ac:dyDescent="0.2">
      <c r="A195" s="156" t="s">
        <v>551</v>
      </c>
      <c r="B195" s="30" t="s">
        <v>1571</v>
      </c>
      <c r="C195" s="167">
        <v>0</v>
      </c>
      <c r="D195" s="128">
        <v>0.56999999999999995</v>
      </c>
      <c r="E195" s="129">
        <v>2.3E-2</v>
      </c>
      <c r="F195" s="130">
        <v>3.0000000000000001E-3</v>
      </c>
      <c r="G195" s="157">
        <v>1211.4000000000001</v>
      </c>
      <c r="H195" s="157">
        <v>0.51</v>
      </c>
      <c r="I195" s="161">
        <v>0.8</v>
      </c>
      <c r="J195" s="31">
        <v>1.7999999999999999E-2</v>
      </c>
    </row>
    <row r="196" spans="1:10" ht="27.75" customHeight="1" x14ac:dyDescent="0.2">
      <c r="A196" s="156" t="s">
        <v>459</v>
      </c>
      <c r="B196" s="30" t="s">
        <v>1572</v>
      </c>
      <c r="C196" s="167" t="s">
        <v>417</v>
      </c>
      <c r="D196" s="131">
        <v>2.8079999999999998</v>
      </c>
      <c r="E196" s="132">
        <v>0.13400000000000001</v>
      </c>
      <c r="F196" s="130">
        <v>9.8000000000000004E-2</v>
      </c>
      <c r="G196" s="158"/>
      <c r="H196" s="158"/>
      <c r="I196" s="160"/>
      <c r="J196" s="32"/>
    </row>
    <row r="197" spans="1:10" ht="27.75" customHeight="1" x14ac:dyDescent="0.2">
      <c r="A197" s="156" t="s">
        <v>460</v>
      </c>
      <c r="B197" s="30" t="s">
        <v>1573</v>
      </c>
      <c r="C197" s="162">
        <v>0</v>
      </c>
      <c r="D197" s="128">
        <v>-0.96099999999999997</v>
      </c>
      <c r="E197" s="129">
        <v>-4.2000000000000003E-2</v>
      </c>
      <c r="F197" s="130">
        <v>-6.0000000000000001E-3</v>
      </c>
      <c r="G197" s="157">
        <v>0</v>
      </c>
      <c r="H197" s="158"/>
      <c r="I197" s="160"/>
      <c r="J197" s="32"/>
    </row>
    <row r="198" spans="1:10" ht="27.75" customHeight="1" x14ac:dyDescent="0.2">
      <c r="A198" s="156" t="s">
        <v>461</v>
      </c>
      <c r="B198" s="30" t="s">
        <v>1574</v>
      </c>
      <c r="C198" s="162">
        <v>0</v>
      </c>
      <c r="D198" s="128">
        <v>-0.95</v>
      </c>
      <c r="E198" s="129">
        <v>-4.1000000000000002E-2</v>
      </c>
      <c r="F198" s="130">
        <v>-6.0000000000000001E-3</v>
      </c>
      <c r="G198" s="157">
        <v>0</v>
      </c>
      <c r="H198" s="158"/>
      <c r="I198" s="160"/>
      <c r="J198" s="32"/>
    </row>
    <row r="199" spans="1:10" ht="27.75" customHeight="1" x14ac:dyDescent="0.2">
      <c r="A199" s="156" t="s">
        <v>462</v>
      </c>
      <c r="B199" s="30" t="s">
        <v>1575</v>
      </c>
      <c r="C199" s="162">
        <v>0</v>
      </c>
      <c r="D199" s="128">
        <v>-0.96099999999999997</v>
      </c>
      <c r="E199" s="129">
        <v>-4.2000000000000003E-2</v>
      </c>
      <c r="F199" s="130">
        <v>-6.0000000000000001E-3</v>
      </c>
      <c r="G199" s="157">
        <v>0</v>
      </c>
      <c r="H199" s="158"/>
      <c r="I199" s="160"/>
      <c r="J199" s="31">
        <v>2.8000000000000001E-2</v>
      </c>
    </row>
    <row r="200" spans="1:10" ht="27.75" customHeight="1" x14ac:dyDescent="0.2">
      <c r="A200" s="156" t="s">
        <v>463</v>
      </c>
      <c r="B200" s="30" t="s">
        <v>1576</v>
      </c>
      <c r="C200" s="162">
        <v>0</v>
      </c>
      <c r="D200" s="128">
        <v>-0.95</v>
      </c>
      <c r="E200" s="129">
        <v>-4.1000000000000002E-2</v>
      </c>
      <c r="F200" s="130">
        <v>-6.0000000000000001E-3</v>
      </c>
      <c r="G200" s="157">
        <v>0</v>
      </c>
      <c r="H200" s="158"/>
      <c r="I200" s="160"/>
      <c r="J200" s="31">
        <v>2.8000000000000001E-2</v>
      </c>
    </row>
    <row r="201" spans="1:10" ht="27.75" customHeight="1" x14ac:dyDescent="0.2">
      <c r="A201" s="156" t="s">
        <v>464</v>
      </c>
      <c r="B201" s="30" t="s">
        <v>1577</v>
      </c>
      <c r="C201" s="162">
        <v>0</v>
      </c>
      <c r="D201" s="128">
        <v>-1.044</v>
      </c>
      <c r="E201" s="129">
        <v>-4.2999999999999997E-2</v>
      </c>
      <c r="F201" s="130">
        <v>-6.0000000000000001E-3</v>
      </c>
      <c r="G201" s="157">
        <v>1.75</v>
      </c>
      <c r="H201" s="158"/>
      <c r="I201" s="160"/>
      <c r="J201" s="31">
        <v>3.6999999999999998E-2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2">
    <mergeCell ref="H9:J9"/>
    <mergeCell ref="B1:D1"/>
    <mergeCell ref="F1:H1"/>
    <mergeCell ref="A2:J2"/>
    <mergeCell ref="F4:J4"/>
    <mergeCell ref="F5:G5"/>
    <mergeCell ref="F9:G9"/>
    <mergeCell ref="B8:D8"/>
    <mergeCell ref="A4:D4"/>
    <mergeCell ref="F6:G6"/>
    <mergeCell ref="F7:G7"/>
    <mergeCell ref="F8:G8"/>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5" fitToHeight="0" orientation="portrait" r:id="rId2"/>
  <headerFooter differentFirst="1" scaleWithDoc="0">
    <oddFooter>&amp;C&amp;P of &amp;N</oddFooter>
    <firstHeader>&amp;L
Annex 4 - Charges applied to LDNOs with HV/LV end users</firstHeader>
    <firstFooter>&amp;C&amp;P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G194"/>
  <sheetViews>
    <sheetView zoomScale="80" zoomScaleNormal="80" zoomScaleSheetLayoutView="100" workbookViewId="0"/>
  </sheetViews>
  <sheetFormatPr defaultRowHeight="12.75" x14ac:dyDescent="0.2"/>
  <cols>
    <col min="1" max="1" width="24" customWidth="1"/>
    <col min="2" max="2" width="31.28515625" bestFit="1" customWidth="1"/>
    <col min="3" max="7" width="23.7109375" customWidth="1"/>
  </cols>
  <sheetData>
    <row r="1" spans="1:7" ht="27.75" customHeight="1" x14ac:dyDescent="0.2">
      <c r="A1" s="125" t="s">
        <v>18</v>
      </c>
    </row>
    <row r="2" spans="1:7" ht="44.25" customHeight="1" x14ac:dyDescent="0.2">
      <c r="A2" s="295" t="s">
        <v>1758</v>
      </c>
      <c r="B2" s="295"/>
      <c r="C2" s="295"/>
      <c r="D2" s="295"/>
      <c r="E2" s="295"/>
    </row>
    <row r="3" spans="1:7" ht="47.25" customHeight="1" x14ac:dyDescent="0.2">
      <c r="A3" s="268" t="str">
        <f>Overview!B4&amp; " - Illustrative LLFs for year beginning "&amp;Overview!D4</f>
        <v>South Eastern Power Networks - Illustrative LLFs for year beginning 1 April 2022</v>
      </c>
      <c r="B3" s="269"/>
      <c r="C3" s="269"/>
      <c r="D3" s="269"/>
      <c r="E3" s="269"/>
      <c r="F3" s="269"/>
      <c r="G3" s="270"/>
    </row>
    <row r="4" spans="1:7" ht="19.5" customHeight="1" x14ac:dyDescent="0.2">
      <c r="A4" s="296" t="s">
        <v>11</v>
      </c>
      <c r="B4" s="296"/>
      <c r="C4" s="20" t="s">
        <v>4</v>
      </c>
      <c r="D4" s="20" t="s">
        <v>5</v>
      </c>
      <c r="E4" s="20" t="s">
        <v>6</v>
      </c>
      <c r="F4" s="20" t="s">
        <v>7</v>
      </c>
      <c r="G4" s="20" t="s">
        <v>668</v>
      </c>
    </row>
    <row r="5" spans="1:7" ht="19.5" customHeight="1" x14ac:dyDescent="0.2">
      <c r="A5" s="296"/>
      <c r="B5" s="296"/>
      <c r="C5" s="20" t="s">
        <v>669</v>
      </c>
      <c r="D5" s="20" t="s">
        <v>670</v>
      </c>
      <c r="E5" s="20" t="s">
        <v>671</v>
      </c>
      <c r="F5" s="20" t="s">
        <v>672</v>
      </c>
      <c r="G5" s="20" t="s">
        <v>673</v>
      </c>
    </row>
    <row r="6" spans="1:7" ht="45" customHeight="1" x14ac:dyDescent="0.2">
      <c r="A6" s="248" t="s">
        <v>674</v>
      </c>
      <c r="B6" s="248"/>
      <c r="C6" s="21" t="s">
        <v>675</v>
      </c>
      <c r="D6" s="176"/>
      <c r="E6" s="72" t="s">
        <v>676</v>
      </c>
      <c r="F6" s="176"/>
      <c r="G6" s="176"/>
    </row>
    <row r="7" spans="1:7" ht="45" customHeight="1" x14ac:dyDescent="0.2">
      <c r="A7" s="248" t="s">
        <v>677</v>
      </c>
      <c r="B7" s="248"/>
      <c r="C7" s="176"/>
      <c r="D7" s="21" t="s">
        <v>678</v>
      </c>
      <c r="E7" s="176"/>
      <c r="F7" s="176"/>
      <c r="G7" s="176"/>
    </row>
    <row r="8" spans="1:7" ht="45" customHeight="1" x14ac:dyDescent="0.2">
      <c r="A8" s="248" t="s">
        <v>679</v>
      </c>
      <c r="B8" s="248"/>
      <c r="C8" s="176"/>
      <c r="D8" s="176"/>
      <c r="E8" s="21" t="s">
        <v>678</v>
      </c>
      <c r="F8" s="176"/>
      <c r="G8" s="176"/>
    </row>
    <row r="9" spans="1:7" ht="25.5" customHeight="1" x14ac:dyDescent="0.2">
      <c r="A9" s="248" t="s">
        <v>680</v>
      </c>
      <c r="B9" s="248"/>
      <c r="C9" s="176"/>
      <c r="D9" s="176"/>
      <c r="E9" s="176"/>
      <c r="F9" s="72" t="s">
        <v>681</v>
      </c>
      <c r="G9" s="72" t="s">
        <v>682</v>
      </c>
    </row>
    <row r="10" spans="1:7" ht="24.95" customHeight="1" x14ac:dyDescent="0.2">
      <c r="A10" s="248" t="s">
        <v>12</v>
      </c>
      <c r="B10" s="248"/>
      <c r="C10" s="285" t="s">
        <v>13</v>
      </c>
      <c r="D10" s="286"/>
      <c r="E10" s="286"/>
      <c r="F10" s="286"/>
      <c r="G10" s="287"/>
    </row>
    <row r="11" spans="1:7" x14ac:dyDescent="0.2">
      <c r="B11" s="12"/>
      <c r="C11" s="12"/>
      <c r="D11" s="12"/>
      <c r="E11" s="12"/>
    </row>
    <row r="12" spans="1:7" x14ac:dyDescent="0.2">
      <c r="B12" s="12"/>
      <c r="C12" s="12"/>
      <c r="D12" s="12"/>
      <c r="E12" s="12"/>
    </row>
    <row r="13" spans="1:7" ht="22.5" customHeight="1" x14ac:dyDescent="0.2">
      <c r="A13" s="260" t="s">
        <v>42</v>
      </c>
      <c r="B13" s="294"/>
      <c r="C13" s="294"/>
      <c r="D13" s="294"/>
      <c r="E13" s="294"/>
      <c r="F13" s="294"/>
      <c r="G13" s="261"/>
    </row>
    <row r="14" spans="1:7" ht="22.5" customHeight="1" x14ac:dyDescent="0.2">
      <c r="A14" s="260" t="s">
        <v>3</v>
      </c>
      <c r="B14" s="294"/>
      <c r="C14" s="294"/>
      <c r="D14" s="294"/>
      <c r="E14" s="294"/>
      <c r="F14" s="294"/>
      <c r="G14" s="261"/>
    </row>
    <row r="15" spans="1:7" ht="33" customHeight="1" x14ac:dyDescent="0.2">
      <c r="A15" s="20" t="s">
        <v>43</v>
      </c>
      <c r="B15" s="20" t="s">
        <v>4</v>
      </c>
      <c r="C15" s="20" t="s">
        <v>5</v>
      </c>
      <c r="D15" s="20" t="s">
        <v>6</v>
      </c>
      <c r="E15" s="20" t="s">
        <v>7</v>
      </c>
      <c r="F15" s="20" t="s">
        <v>668</v>
      </c>
      <c r="G15" s="20" t="s">
        <v>8</v>
      </c>
    </row>
    <row r="16" spans="1:7" ht="133.5" customHeight="1" x14ac:dyDescent="0.2">
      <c r="A16" s="1" t="s">
        <v>44</v>
      </c>
      <c r="B16" s="222">
        <v>1.107</v>
      </c>
      <c r="C16" s="222">
        <v>1.08</v>
      </c>
      <c r="D16" s="222">
        <v>1.0940000000000001</v>
      </c>
      <c r="E16" s="222">
        <v>1.071</v>
      </c>
      <c r="F16" s="222">
        <v>1.0840000000000001</v>
      </c>
      <c r="G16" s="1" t="s">
        <v>1588</v>
      </c>
    </row>
    <row r="17" spans="1:7" ht="46.5" customHeight="1" x14ac:dyDescent="0.2">
      <c r="A17" s="1" t="s">
        <v>45</v>
      </c>
      <c r="B17" s="222">
        <v>1.0680000000000001</v>
      </c>
      <c r="C17" s="222">
        <v>1.0529999999999999</v>
      </c>
      <c r="D17" s="222">
        <v>1.0609999999999999</v>
      </c>
      <c r="E17" s="222">
        <v>1.05</v>
      </c>
      <c r="F17" s="222">
        <v>1.056</v>
      </c>
      <c r="G17" s="1" t="s">
        <v>1589</v>
      </c>
    </row>
    <row r="18" spans="1:7" ht="46.5" customHeight="1" x14ac:dyDescent="0.2">
      <c r="A18" s="1" t="s">
        <v>46</v>
      </c>
      <c r="B18" s="222">
        <v>1.0509999999999999</v>
      </c>
      <c r="C18" s="222">
        <v>1.038</v>
      </c>
      <c r="D18" s="222">
        <v>1.0449999999999999</v>
      </c>
      <c r="E18" s="222">
        <v>1.0329999999999999</v>
      </c>
      <c r="F18" s="222">
        <v>1.04</v>
      </c>
      <c r="G18" s="1" t="s">
        <v>1590</v>
      </c>
    </row>
    <row r="19" spans="1:7" ht="22.5" customHeight="1" x14ac:dyDescent="0.2">
      <c r="A19" s="1" t="s">
        <v>47</v>
      </c>
      <c r="B19" s="222">
        <v>1.05</v>
      </c>
      <c r="C19" s="222">
        <v>1.0369999999999999</v>
      </c>
      <c r="D19" s="222">
        <v>1.044</v>
      </c>
      <c r="E19" s="222">
        <v>1.0329999999999999</v>
      </c>
      <c r="F19" s="222">
        <v>1.0389999999999999</v>
      </c>
      <c r="G19" s="223" t="s">
        <v>1583</v>
      </c>
    </row>
    <row r="20" spans="1:7" ht="22.5" customHeight="1" x14ac:dyDescent="0.2">
      <c r="A20" s="1" t="s">
        <v>48</v>
      </c>
      <c r="B20" s="222">
        <v>1.0169999999999999</v>
      </c>
      <c r="C20" s="222">
        <v>1.0129999999999999</v>
      </c>
      <c r="D20" s="222">
        <v>1.0149999999999999</v>
      </c>
      <c r="E20" s="222">
        <v>1.0129999999999999</v>
      </c>
      <c r="F20" s="222">
        <v>1.014</v>
      </c>
      <c r="G20" s="223" t="s">
        <v>1584</v>
      </c>
    </row>
    <row r="21" spans="1:7" ht="22.5" customHeight="1" x14ac:dyDescent="0.2">
      <c r="A21" s="1" t="s">
        <v>49</v>
      </c>
      <c r="B21" s="222">
        <v>1.0049999999999999</v>
      </c>
      <c r="C21" s="222">
        <v>1.004</v>
      </c>
      <c r="D21" s="222">
        <v>1.0049999999999999</v>
      </c>
      <c r="E21" s="222">
        <v>1.004</v>
      </c>
      <c r="F21" s="222">
        <v>1.004</v>
      </c>
      <c r="G21" s="223" t="s">
        <v>1585</v>
      </c>
    </row>
    <row r="23" spans="1:7" ht="22.5" customHeight="1" x14ac:dyDescent="0.2">
      <c r="A23" s="260" t="s">
        <v>50</v>
      </c>
      <c r="B23" s="294"/>
      <c r="C23" s="294"/>
      <c r="D23" s="294"/>
      <c r="E23" s="294"/>
      <c r="F23" s="294"/>
      <c r="G23" s="261"/>
    </row>
    <row r="24" spans="1:7" ht="22.5" customHeight="1" x14ac:dyDescent="0.2">
      <c r="A24" s="260" t="s">
        <v>10</v>
      </c>
      <c r="B24" s="294"/>
      <c r="C24" s="294"/>
      <c r="D24" s="294"/>
      <c r="E24" s="294"/>
      <c r="F24" s="294"/>
      <c r="G24" s="261"/>
    </row>
    <row r="25" spans="1:7" ht="33" customHeight="1" x14ac:dyDescent="0.2">
      <c r="A25" s="20" t="s">
        <v>9</v>
      </c>
      <c r="B25" s="20" t="s">
        <v>4</v>
      </c>
      <c r="C25" s="20" t="s">
        <v>5</v>
      </c>
      <c r="D25" s="20" t="s">
        <v>6</v>
      </c>
      <c r="E25" s="20" t="s">
        <v>7</v>
      </c>
      <c r="F25" s="20" t="s">
        <v>668</v>
      </c>
      <c r="G25" s="20" t="s">
        <v>8</v>
      </c>
    </row>
    <row r="26" spans="1:7" ht="24.6" customHeight="1" x14ac:dyDescent="0.2">
      <c r="A26" s="224" t="s">
        <v>1591</v>
      </c>
      <c r="B26" s="222">
        <v>1.0349999999999999</v>
      </c>
      <c r="C26" s="222">
        <v>1.05</v>
      </c>
      <c r="D26" s="222">
        <v>1.0489999999999999</v>
      </c>
      <c r="E26" s="222">
        <v>1.046</v>
      </c>
      <c r="F26" s="222">
        <v>1.048</v>
      </c>
      <c r="G26" s="221">
        <v>800</v>
      </c>
    </row>
    <row r="27" spans="1:7" ht="24.6" customHeight="1" x14ac:dyDescent="0.2">
      <c r="A27" s="224" t="s">
        <v>1592</v>
      </c>
      <c r="B27" s="222">
        <v>0.99099999999999999</v>
      </c>
      <c r="C27" s="222">
        <v>0.996</v>
      </c>
      <c r="D27" s="222">
        <v>0.996</v>
      </c>
      <c r="E27" s="222">
        <v>0.996</v>
      </c>
      <c r="F27" s="222">
        <v>0.997</v>
      </c>
      <c r="G27" s="221">
        <v>801</v>
      </c>
    </row>
    <row r="28" spans="1:7" ht="24.6" customHeight="1" x14ac:dyDescent="0.2">
      <c r="A28" s="224" t="s">
        <v>1593</v>
      </c>
      <c r="B28" s="222">
        <v>1.054</v>
      </c>
      <c r="C28" s="222">
        <v>1.0720000000000001</v>
      </c>
      <c r="D28" s="222">
        <v>1.0509999999999999</v>
      </c>
      <c r="E28" s="222">
        <v>1.028</v>
      </c>
      <c r="F28" s="222">
        <v>1.06</v>
      </c>
      <c r="G28" s="221">
        <v>802</v>
      </c>
    </row>
    <row r="29" spans="1:7" ht="24.6" customHeight="1" x14ac:dyDescent="0.2">
      <c r="A29" s="224" t="s">
        <v>1594</v>
      </c>
      <c r="B29" s="222">
        <v>1.0169999999999999</v>
      </c>
      <c r="C29" s="222">
        <v>1.0129999999999999</v>
      </c>
      <c r="D29" s="222">
        <v>1.0149999999999999</v>
      </c>
      <c r="E29" s="222">
        <v>1.0129999999999999</v>
      </c>
      <c r="F29" s="222">
        <v>1.014</v>
      </c>
      <c r="G29" s="221">
        <v>803</v>
      </c>
    </row>
    <row r="30" spans="1:7" ht="24.6" customHeight="1" x14ac:dyDescent="0.2">
      <c r="A30" s="224" t="s">
        <v>1595</v>
      </c>
      <c r="B30" s="222">
        <v>1.0229999999999999</v>
      </c>
      <c r="C30" s="222">
        <v>1.0169999999999999</v>
      </c>
      <c r="D30" s="222">
        <v>1.022</v>
      </c>
      <c r="E30" s="222">
        <v>1.0109999999999999</v>
      </c>
      <c r="F30" s="222">
        <v>1.0149999999999999</v>
      </c>
      <c r="G30" s="221">
        <v>804</v>
      </c>
    </row>
    <row r="31" spans="1:7" ht="24.6" customHeight="1" x14ac:dyDescent="0.2">
      <c r="A31" s="224" t="s">
        <v>1596</v>
      </c>
      <c r="B31" s="222">
        <v>1.0169999999999999</v>
      </c>
      <c r="C31" s="222">
        <v>1.0129999999999999</v>
      </c>
      <c r="D31" s="222">
        <v>1.0149999999999999</v>
      </c>
      <c r="E31" s="222">
        <v>1.0129999999999999</v>
      </c>
      <c r="F31" s="222">
        <v>1.014</v>
      </c>
      <c r="G31" s="221">
        <v>805</v>
      </c>
    </row>
    <row r="32" spans="1:7" ht="24.6" customHeight="1" x14ac:dyDescent="0.2">
      <c r="A32" s="224" t="s">
        <v>1597</v>
      </c>
      <c r="B32" s="222">
        <v>1.0169999999999999</v>
      </c>
      <c r="C32" s="222">
        <v>1.0129999999999999</v>
      </c>
      <c r="D32" s="222">
        <v>1.0149999999999999</v>
      </c>
      <c r="E32" s="222">
        <v>1.0129999999999999</v>
      </c>
      <c r="F32" s="222">
        <v>1.014</v>
      </c>
      <c r="G32" s="221">
        <v>806</v>
      </c>
    </row>
    <row r="33" spans="1:7" ht="24.6" customHeight="1" x14ac:dyDescent="0.2">
      <c r="A33" s="224" t="s">
        <v>1598</v>
      </c>
      <c r="B33" s="222">
        <v>1.0169999999999999</v>
      </c>
      <c r="C33" s="222">
        <v>1.0129999999999999</v>
      </c>
      <c r="D33" s="222">
        <v>1.0149999999999999</v>
      </c>
      <c r="E33" s="222">
        <v>1.0129999999999999</v>
      </c>
      <c r="F33" s="222">
        <v>1.014</v>
      </c>
      <c r="G33" s="221">
        <v>807</v>
      </c>
    </row>
    <row r="34" spans="1:7" ht="24.6" customHeight="1" x14ac:dyDescent="0.2">
      <c r="A34" s="224" t="s">
        <v>1599</v>
      </c>
      <c r="B34" s="222">
        <v>1.0169999999999999</v>
      </c>
      <c r="C34" s="222">
        <v>1.0129999999999999</v>
      </c>
      <c r="D34" s="222">
        <v>1.0149999999999999</v>
      </c>
      <c r="E34" s="222">
        <v>1.0129999999999999</v>
      </c>
      <c r="F34" s="222">
        <v>1.014</v>
      </c>
      <c r="G34" s="221">
        <v>808</v>
      </c>
    </row>
    <row r="35" spans="1:7" ht="24.6" customHeight="1" x14ac:dyDescent="0.2">
      <c r="A35" s="224" t="s">
        <v>1600</v>
      </c>
      <c r="B35" s="222">
        <v>1.0349999999999999</v>
      </c>
      <c r="C35" s="222">
        <v>1.022</v>
      </c>
      <c r="D35" s="222">
        <v>1.0309999999999999</v>
      </c>
      <c r="E35" s="222">
        <v>1.026</v>
      </c>
      <c r="F35" s="222">
        <v>1.0289999999999999</v>
      </c>
      <c r="G35" s="221">
        <v>809</v>
      </c>
    </row>
    <row r="36" spans="1:7" ht="24.6" customHeight="1" x14ac:dyDescent="0.2">
      <c r="A36" s="224" t="s">
        <v>1601</v>
      </c>
      <c r="B36" s="222">
        <v>1.0089999999999999</v>
      </c>
      <c r="C36" s="222">
        <v>1.0069999999999999</v>
      </c>
      <c r="D36" s="222">
        <v>1.008</v>
      </c>
      <c r="E36" s="222">
        <v>1.008</v>
      </c>
      <c r="F36" s="222">
        <v>1.008</v>
      </c>
      <c r="G36" s="221">
        <v>810</v>
      </c>
    </row>
    <row r="37" spans="1:7" ht="24.6" customHeight="1" x14ac:dyDescent="0.2">
      <c r="A37" s="224" t="s">
        <v>1602</v>
      </c>
      <c r="B37" s="222">
        <v>1.0169999999999999</v>
      </c>
      <c r="C37" s="222">
        <v>1.0129999999999999</v>
      </c>
      <c r="D37" s="222">
        <v>1.0149999999999999</v>
      </c>
      <c r="E37" s="222">
        <v>1.0129999999999999</v>
      </c>
      <c r="F37" s="222">
        <v>1.014</v>
      </c>
      <c r="G37" s="221">
        <v>811</v>
      </c>
    </row>
    <row r="38" spans="1:7" ht="24.6" customHeight="1" x14ac:dyDescent="0.2">
      <c r="A38" s="224" t="s">
        <v>1603</v>
      </c>
      <c r="B38" s="222">
        <v>1.0169999999999999</v>
      </c>
      <c r="C38" s="222">
        <v>1.0129999999999999</v>
      </c>
      <c r="D38" s="222">
        <v>1.0149999999999999</v>
      </c>
      <c r="E38" s="222">
        <v>1.0129999999999999</v>
      </c>
      <c r="F38" s="222">
        <v>1.014</v>
      </c>
      <c r="G38" s="221">
        <v>812</v>
      </c>
    </row>
    <row r="39" spans="1:7" ht="24.6" customHeight="1" x14ac:dyDescent="0.2">
      <c r="A39" s="224" t="s">
        <v>1604</v>
      </c>
      <c r="B39" s="222">
        <v>1.0049999999999999</v>
      </c>
      <c r="C39" s="222">
        <v>1.004</v>
      </c>
      <c r="D39" s="222">
        <v>1.0049999999999999</v>
      </c>
      <c r="E39" s="222">
        <v>1.004</v>
      </c>
      <c r="F39" s="222">
        <v>1.004</v>
      </c>
      <c r="G39" s="221">
        <v>813</v>
      </c>
    </row>
    <row r="40" spans="1:7" ht="24.6" customHeight="1" x14ac:dyDescent="0.2">
      <c r="A40" s="224" t="s">
        <v>1605</v>
      </c>
      <c r="B40" s="222">
        <v>1.0189999999999999</v>
      </c>
      <c r="C40" s="222">
        <v>1.018</v>
      </c>
      <c r="D40" s="222">
        <v>1.0189999999999999</v>
      </c>
      <c r="E40" s="222">
        <v>1.018</v>
      </c>
      <c r="F40" s="222">
        <v>1.0189999999999999</v>
      </c>
      <c r="G40" s="221">
        <v>814</v>
      </c>
    </row>
    <row r="41" spans="1:7" ht="24.6" customHeight="1" x14ac:dyDescent="0.2">
      <c r="A41" s="224" t="s">
        <v>1606</v>
      </c>
      <c r="B41" s="222">
        <v>1.0169999999999999</v>
      </c>
      <c r="C41" s="222">
        <v>1.0129999999999999</v>
      </c>
      <c r="D41" s="222">
        <v>1.0149999999999999</v>
      </c>
      <c r="E41" s="222">
        <v>1.0129999999999999</v>
      </c>
      <c r="F41" s="222">
        <v>1.014</v>
      </c>
      <c r="G41" s="221">
        <v>815</v>
      </c>
    </row>
    <row r="42" spans="1:7" ht="24.6" customHeight="1" x14ac:dyDescent="0.2">
      <c r="A42" s="224" t="s">
        <v>1607</v>
      </c>
      <c r="B42" s="222">
        <v>1.0169999999999999</v>
      </c>
      <c r="C42" s="222">
        <v>1.0129999999999999</v>
      </c>
      <c r="D42" s="222">
        <v>1.0149999999999999</v>
      </c>
      <c r="E42" s="222">
        <v>1.0129999999999999</v>
      </c>
      <c r="F42" s="222">
        <v>1.014</v>
      </c>
      <c r="G42" s="221">
        <v>816</v>
      </c>
    </row>
    <row r="43" spans="1:7" ht="24.6" customHeight="1" x14ac:dyDescent="0.2">
      <c r="A43" s="224" t="s">
        <v>1608</v>
      </c>
      <c r="B43" s="222">
        <v>1.0169999999999999</v>
      </c>
      <c r="C43" s="222">
        <v>1.0129999999999999</v>
      </c>
      <c r="D43" s="222">
        <v>1.0149999999999999</v>
      </c>
      <c r="E43" s="222">
        <v>1.0129999999999999</v>
      </c>
      <c r="F43" s="222">
        <v>1.014</v>
      </c>
      <c r="G43" s="221">
        <v>817</v>
      </c>
    </row>
    <row r="44" spans="1:7" ht="24.6" customHeight="1" x14ac:dyDescent="0.2">
      <c r="A44" s="224" t="s">
        <v>1609</v>
      </c>
      <c r="B44" s="222">
        <v>1.0169999999999999</v>
      </c>
      <c r="C44" s="222">
        <v>1.0129999999999999</v>
      </c>
      <c r="D44" s="222">
        <v>1.0149999999999999</v>
      </c>
      <c r="E44" s="222">
        <v>1.0129999999999999</v>
      </c>
      <c r="F44" s="222">
        <v>1.014</v>
      </c>
      <c r="G44" s="221">
        <v>818</v>
      </c>
    </row>
    <row r="45" spans="1:7" ht="24.6" customHeight="1" x14ac:dyDescent="0.2">
      <c r="A45" s="224" t="s">
        <v>1610</v>
      </c>
      <c r="B45" s="222">
        <v>1.0169999999999999</v>
      </c>
      <c r="C45" s="222">
        <v>1.0129999999999999</v>
      </c>
      <c r="D45" s="222">
        <v>1.0149999999999999</v>
      </c>
      <c r="E45" s="222">
        <v>1.0129999999999999</v>
      </c>
      <c r="F45" s="222">
        <v>1.014</v>
      </c>
      <c r="G45" s="221">
        <v>819</v>
      </c>
    </row>
    <row r="46" spans="1:7" ht="24.6" customHeight="1" x14ac:dyDescent="0.2">
      <c r="A46" s="224" t="s">
        <v>1611</v>
      </c>
      <c r="B46" s="222">
        <v>1.014</v>
      </c>
      <c r="C46" s="222">
        <v>1.0109999999999999</v>
      </c>
      <c r="D46" s="222">
        <v>1.014</v>
      </c>
      <c r="E46" s="222">
        <v>1.012</v>
      </c>
      <c r="F46" s="222">
        <v>1.014</v>
      </c>
      <c r="G46" s="221">
        <v>820</v>
      </c>
    </row>
    <row r="47" spans="1:7" ht="24.6" customHeight="1" x14ac:dyDescent="0.2">
      <c r="A47" s="224" t="s">
        <v>1612</v>
      </c>
      <c r="B47" s="222">
        <v>1.0169999999999999</v>
      </c>
      <c r="C47" s="222">
        <v>1.0129999999999999</v>
      </c>
      <c r="D47" s="222">
        <v>1.0149999999999999</v>
      </c>
      <c r="E47" s="222">
        <v>1.0129999999999999</v>
      </c>
      <c r="F47" s="222">
        <v>1.014</v>
      </c>
      <c r="G47" s="221">
        <v>821</v>
      </c>
    </row>
    <row r="48" spans="1:7" ht="24.6" customHeight="1" x14ac:dyDescent="0.2">
      <c r="A48" s="224" t="s">
        <v>1613</v>
      </c>
      <c r="B48" s="222">
        <v>1.0169999999999999</v>
      </c>
      <c r="C48" s="222">
        <v>1.0129999999999999</v>
      </c>
      <c r="D48" s="222">
        <v>1.0149999999999999</v>
      </c>
      <c r="E48" s="222">
        <v>1.0129999999999999</v>
      </c>
      <c r="F48" s="222">
        <v>1.014</v>
      </c>
      <c r="G48" s="221">
        <v>822</v>
      </c>
    </row>
    <row r="49" spans="1:7" ht="24.6" customHeight="1" x14ac:dyDescent="0.2">
      <c r="A49" s="224" t="s">
        <v>1614</v>
      </c>
      <c r="B49" s="222">
        <v>1.0169999999999999</v>
      </c>
      <c r="C49" s="222">
        <v>1.0129999999999999</v>
      </c>
      <c r="D49" s="222">
        <v>1.0149999999999999</v>
      </c>
      <c r="E49" s="222">
        <v>1.0129999999999999</v>
      </c>
      <c r="F49" s="222">
        <v>1.014</v>
      </c>
      <c r="G49" s="221">
        <v>823</v>
      </c>
    </row>
    <row r="50" spans="1:7" ht="24.6" customHeight="1" x14ac:dyDescent="0.2">
      <c r="A50" s="224" t="s">
        <v>1615</v>
      </c>
      <c r="B50" s="222">
        <v>1.0169999999999999</v>
      </c>
      <c r="C50" s="222">
        <v>1.0129999999999999</v>
      </c>
      <c r="D50" s="222">
        <v>1.0149999999999999</v>
      </c>
      <c r="E50" s="222">
        <v>1.0129999999999999</v>
      </c>
      <c r="F50" s="222">
        <v>1.014</v>
      </c>
      <c r="G50" s="221">
        <v>824</v>
      </c>
    </row>
    <row r="51" spans="1:7" ht="24.6" customHeight="1" x14ac:dyDescent="0.2">
      <c r="A51" s="224" t="s">
        <v>1616</v>
      </c>
      <c r="B51" s="222">
        <v>1.0169999999999999</v>
      </c>
      <c r="C51" s="222">
        <v>1.0129999999999999</v>
      </c>
      <c r="D51" s="222">
        <v>1.0149999999999999</v>
      </c>
      <c r="E51" s="222">
        <v>1.0129999999999999</v>
      </c>
      <c r="F51" s="222">
        <v>1.014</v>
      </c>
      <c r="G51" s="221">
        <v>825</v>
      </c>
    </row>
    <row r="52" spans="1:7" ht="24.6" customHeight="1" x14ac:dyDescent="0.2">
      <c r="A52" s="224" t="s">
        <v>1617</v>
      </c>
      <c r="B52" s="222">
        <v>1.0169999999999999</v>
      </c>
      <c r="C52" s="222">
        <v>1.0129999999999999</v>
      </c>
      <c r="D52" s="222">
        <v>1.0149999999999999</v>
      </c>
      <c r="E52" s="222">
        <v>1.0129999999999999</v>
      </c>
      <c r="F52" s="222">
        <v>1.014</v>
      </c>
      <c r="G52" s="221">
        <v>826</v>
      </c>
    </row>
    <row r="53" spans="1:7" ht="24.6" customHeight="1" x14ac:dyDescent="0.2">
      <c r="A53" s="224" t="s">
        <v>1618</v>
      </c>
      <c r="B53" s="222">
        <v>1.046</v>
      </c>
      <c r="C53" s="222">
        <v>1.0449999999999999</v>
      </c>
      <c r="D53" s="222">
        <v>1.046</v>
      </c>
      <c r="E53" s="222">
        <v>1.044</v>
      </c>
      <c r="F53" s="222">
        <v>1.046</v>
      </c>
      <c r="G53" s="221">
        <v>827</v>
      </c>
    </row>
    <row r="54" spans="1:7" ht="24.6" customHeight="1" x14ac:dyDescent="0.2">
      <c r="A54" s="224" t="s">
        <v>1619</v>
      </c>
      <c r="B54" s="222">
        <v>1.04</v>
      </c>
      <c r="C54" s="222">
        <v>1.0349999999999999</v>
      </c>
      <c r="D54" s="222">
        <v>1.0389999999999999</v>
      </c>
      <c r="E54" s="222">
        <v>1.028</v>
      </c>
      <c r="F54" s="222">
        <v>1.0309999999999999</v>
      </c>
      <c r="G54" s="221">
        <v>828</v>
      </c>
    </row>
    <row r="55" spans="1:7" ht="24.6" customHeight="1" x14ac:dyDescent="0.2">
      <c r="A55" s="224" t="s">
        <v>1620</v>
      </c>
      <c r="B55" s="222">
        <v>1.042</v>
      </c>
      <c r="C55" s="222">
        <v>1.0269999999999999</v>
      </c>
      <c r="D55" s="222">
        <v>1.032</v>
      </c>
      <c r="E55" s="222">
        <v>1.026</v>
      </c>
      <c r="F55" s="222">
        <v>1.032</v>
      </c>
      <c r="G55" s="221">
        <v>829</v>
      </c>
    </row>
    <row r="56" spans="1:7" ht="24.6" customHeight="1" x14ac:dyDescent="0.2">
      <c r="A56" s="224" t="s">
        <v>1621</v>
      </c>
      <c r="B56" s="222">
        <v>1.0169999999999999</v>
      </c>
      <c r="C56" s="222">
        <v>1.0129999999999999</v>
      </c>
      <c r="D56" s="222">
        <v>1.0149999999999999</v>
      </c>
      <c r="E56" s="222">
        <v>1.0129999999999999</v>
      </c>
      <c r="F56" s="222">
        <v>1.014</v>
      </c>
      <c r="G56" s="221">
        <v>830</v>
      </c>
    </row>
    <row r="57" spans="1:7" ht="24.6" customHeight="1" x14ac:dyDescent="0.2">
      <c r="A57" s="224" t="s">
        <v>1622</v>
      </c>
      <c r="B57" s="222">
        <v>1.024</v>
      </c>
      <c r="C57" s="222">
        <v>1.022</v>
      </c>
      <c r="D57" s="222">
        <v>1.026</v>
      </c>
      <c r="E57" s="222">
        <v>1.018</v>
      </c>
      <c r="F57" s="222">
        <v>1.022</v>
      </c>
      <c r="G57" s="221">
        <v>831</v>
      </c>
    </row>
    <row r="58" spans="1:7" ht="24.6" customHeight="1" x14ac:dyDescent="0.2">
      <c r="A58" s="224" t="s">
        <v>1623</v>
      </c>
      <c r="B58" s="222">
        <v>1.0189999999999999</v>
      </c>
      <c r="C58" s="222">
        <v>1.0169999999999999</v>
      </c>
      <c r="D58" s="222">
        <v>1.018</v>
      </c>
      <c r="E58" s="222">
        <v>1.0169999999999999</v>
      </c>
      <c r="F58" s="222">
        <v>1.0189999999999999</v>
      </c>
      <c r="G58" s="221">
        <v>832</v>
      </c>
    </row>
    <row r="59" spans="1:7" ht="24.6" customHeight="1" x14ac:dyDescent="0.2">
      <c r="A59" s="224" t="s">
        <v>1624</v>
      </c>
      <c r="B59" s="222">
        <v>1.0109999999999999</v>
      </c>
      <c r="C59" s="222">
        <v>1.0129999999999999</v>
      </c>
      <c r="D59" s="222">
        <v>1.014</v>
      </c>
      <c r="E59" s="222">
        <v>1.0109999999999999</v>
      </c>
      <c r="F59" s="222">
        <v>1.0149999999999999</v>
      </c>
      <c r="G59" s="221">
        <v>833</v>
      </c>
    </row>
    <row r="60" spans="1:7" ht="24.6" customHeight="1" x14ac:dyDescent="0.2">
      <c r="A60" s="224" t="s">
        <v>1625</v>
      </c>
      <c r="B60" s="222">
        <v>1.05</v>
      </c>
      <c r="C60" s="222">
        <v>1.0369999999999999</v>
      </c>
      <c r="D60" s="222">
        <v>1.044</v>
      </c>
      <c r="E60" s="222">
        <v>1.0329999999999999</v>
      </c>
      <c r="F60" s="222">
        <v>1.0389999999999999</v>
      </c>
      <c r="G60" s="221">
        <v>834</v>
      </c>
    </row>
    <row r="61" spans="1:7" ht="24.6" customHeight="1" x14ac:dyDescent="0.2">
      <c r="A61" s="224" t="s">
        <v>1626</v>
      </c>
      <c r="B61" s="222">
        <v>1.05</v>
      </c>
      <c r="C61" s="222">
        <v>1.0369999999999999</v>
      </c>
      <c r="D61" s="222">
        <v>1.044</v>
      </c>
      <c r="E61" s="222">
        <v>1.0329999999999999</v>
      </c>
      <c r="F61" s="222">
        <v>1.0389999999999999</v>
      </c>
      <c r="G61" s="221">
        <v>835</v>
      </c>
    </row>
    <row r="62" spans="1:7" ht="24.6" customHeight="1" x14ac:dyDescent="0.2">
      <c r="A62" s="224" t="s">
        <v>1627</v>
      </c>
      <c r="B62" s="222">
        <v>1.0229999999999999</v>
      </c>
      <c r="C62" s="222">
        <v>1.0169999999999999</v>
      </c>
      <c r="D62" s="222">
        <v>1.022</v>
      </c>
      <c r="E62" s="222">
        <v>1.0109999999999999</v>
      </c>
      <c r="F62" s="222">
        <v>1.0149999999999999</v>
      </c>
      <c r="G62" s="221">
        <v>836</v>
      </c>
    </row>
    <row r="63" spans="1:7" ht="24.6" customHeight="1" x14ac:dyDescent="0.2">
      <c r="A63" s="224" t="s">
        <v>1628</v>
      </c>
      <c r="B63" s="222">
        <v>1.05</v>
      </c>
      <c r="C63" s="222">
        <v>1.0369999999999999</v>
      </c>
      <c r="D63" s="222">
        <v>1.044</v>
      </c>
      <c r="E63" s="222">
        <v>1.0329999999999999</v>
      </c>
      <c r="F63" s="222">
        <v>1.0389999999999999</v>
      </c>
      <c r="G63" s="221">
        <v>837</v>
      </c>
    </row>
    <row r="64" spans="1:7" ht="24.6" customHeight="1" x14ac:dyDescent="0.2">
      <c r="A64" s="224" t="s">
        <v>1629</v>
      </c>
      <c r="B64" s="222">
        <v>1.05</v>
      </c>
      <c r="C64" s="222">
        <v>1.0369999999999999</v>
      </c>
      <c r="D64" s="222">
        <v>1.044</v>
      </c>
      <c r="E64" s="222">
        <v>1.0329999999999999</v>
      </c>
      <c r="F64" s="222">
        <v>1.0389999999999999</v>
      </c>
      <c r="G64" s="221">
        <v>838</v>
      </c>
    </row>
    <row r="65" spans="1:7" ht="24.6" customHeight="1" x14ac:dyDescent="0.2">
      <c r="A65" s="224" t="s">
        <v>1630</v>
      </c>
      <c r="B65" s="222">
        <v>1.05</v>
      </c>
      <c r="C65" s="222">
        <v>1.0369999999999999</v>
      </c>
      <c r="D65" s="222">
        <v>1.044</v>
      </c>
      <c r="E65" s="222">
        <v>1.0329999999999999</v>
      </c>
      <c r="F65" s="222">
        <v>1.0389999999999999</v>
      </c>
      <c r="G65" s="221">
        <v>839</v>
      </c>
    </row>
    <row r="66" spans="1:7" ht="24.6" customHeight="1" x14ac:dyDescent="0.2">
      <c r="A66" s="224" t="s">
        <v>1631</v>
      </c>
      <c r="B66" s="222">
        <v>1.012</v>
      </c>
      <c r="C66" s="222">
        <v>1.01</v>
      </c>
      <c r="D66" s="222">
        <v>1.012</v>
      </c>
      <c r="E66" s="222">
        <v>1.01</v>
      </c>
      <c r="F66" s="222">
        <v>1.01</v>
      </c>
      <c r="G66" s="221">
        <v>840</v>
      </c>
    </row>
    <row r="67" spans="1:7" ht="24.6" customHeight="1" x14ac:dyDescent="0.2">
      <c r="A67" s="224" t="s">
        <v>1632</v>
      </c>
      <c r="B67" s="222">
        <v>1.0049999999999999</v>
      </c>
      <c r="C67" s="222">
        <v>1.0009999999999999</v>
      </c>
      <c r="D67" s="222">
        <v>1.004</v>
      </c>
      <c r="E67" s="222">
        <v>1.0029999999999999</v>
      </c>
      <c r="F67" s="222">
        <v>1.0029999999999999</v>
      </c>
      <c r="G67" s="221">
        <v>841</v>
      </c>
    </row>
    <row r="68" spans="1:7" ht="24.6" customHeight="1" x14ac:dyDescent="0.2">
      <c r="A68" s="224" t="s">
        <v>1633</v>
      </c>
      <c r="B68" s="222">
        <v>1.042</v>
      </c>
      <c r="C68" s="222">
        <v>1.038</v>
      </c>
      <c r="D68" s="222">
        <v>1.04</v>
      </c>
      <c r="E68" s="222">
        <v>1.0349999999999999</v>
      </c>
      <c r="F68" s="222">
        <v>1.0389999999999999</v>
      </c>
      <c r="G68" s="221">
        <v>842</v>
      </c>
    </row>
    <row r="69" spans="1:7" ht="24.6" customHeight="1" x14ac:dyDescent="0.2">
      <c r="A69" s="224" t="s">
        <v>1634</v>
      </c>
      <c r="B69" s="222">
        <v>1.004</v>
      </c>
      <c r="C69" s="222">
        <v>1.0029999999999999</v>
      </c>
      <c r="D69" s="222">
        <v>1.0029999999999999</v>
      </c>
      <c r="E69" s="222">
        <v>1.0029999999999999</v>
      </c>
      <c r="F69" s="222">
        <v>1.0029999999999999</v>
      </c>
      <c r="G69" s="221">
        <v>843</v>
      </c>
    </row>
    <row r="70" spans="1:7" ht="24.6" customHeight="1" x14ac:dyDescent="0.2">
      <c r="A70" s="224" t="s">
        <v>1635</v>
      </c>
      <c r="B70" s="222">
        <v>1.0029999999999999</v>
      </c>
      <c r="C70" s="222">
        <v>1</v>
      </c>
      <c r="D70" s="222">
        <v>1.0029999999999999</v>
      </c>
      <c r="E70" s="222">
        <v>1</v>
      </c>
      <c r="F70" s="222">
        <v>1.0009999999999999</v>
      </c>
      <c r="G70" s="221">
        <v>844</v>
      </c>
    </row>
    <row r="71" spans="1:7" ht="24.6" customHeight="1" x14ac:dyDescent="0.2">
      <c r="A71" s="224" t="s">
        <v>1636</v>
      </c>
      <c r="B71" s="222">
        <v>1.0169999999999999</v>
      </c>
      <c r="C71" s="222">
        <v>1.0129999999999999</v>
      </c>
      <c r="D71" s="222">
        <v>1.0149999999999999</v>
      </c>
      <c r="E71" s="222">
        <v>1.0129999999999999</v>
      </c>
      <c r="F71" s="222">
        <v>1.014</v>
      </c>
      <c r="G71" s="221">
        <v>845</v>
      </c>
    </row>
    <row r="72" spans="1:7" ht="24.6" customHeight="1" x14ac:dyDescent="0.2">
      <c r="A72" s="224" t="s">
        <v>1637</v>
      </c>
      <c r="B72" s="222">
        <v>1</v>
      </c>
      <c r="C72" s="222">
        <v>1</v>
      </c>
      <c r="D72" s="222">
        <v>1</v>
      </c>
      <c r="E72" s="222">
        <v>1</v>
      </c>
      <c r="F72" s="222">
        <v>1</v>
      </c>
      <c r="G72" s="221">
        <v>846</v>
      </c>
    </row>
    <row r="73" spans="1:7" ht="24.6" customHeight="1" x14ac:dyDescent="0.2">
      <c r="A73" s="224" t="s">
        <v>1638</v>
      </c>
      <c r="B73" s="222">
        <v>1.014</v>
      </c>
      <c r="C73" s="222">
        <v>1.0149999999999999</v>
      </c>
      <c r="D73" s="222">
        <v>1.014</v>
      </c>
      <c r="E73" s="222">
        <v>1.0129999999999999</v>
      </c>
      <c r="F73" s="222">
        <v>1.0129999999999999</v>
      </c>
      <c r="G73" s="221">
        <v>850</v>
      </c>
    </row>
    <row r="74" spans="1:7" ht="24.6" customHeight="1" x14ac:dyDescent="0.2">
      <c r="A74" s="224" t="s">
        <v>1639</v>
      </c>
      <c r="B74" s="222">
        <v>1.018</v>
      </c>
      <c r="C74" s="222">
        <v>1.008</v>
      </c>
      <c r="D74" s="222">
        <v>1.01</v>
      </c>
      <c r="E74" s="222">
        <v>1.0069999999999999</v>
      </c>
      <c r="F74" s="222">
        <v>1.0109999999999999</v>
      </c>
      <c r="G74" s="221">
        <v>851</v>
      </c>
    </row>
    <row r="75" spans="1:7" ht="24.6" customHeight="1" x14ac:dyDescent="0.2">
      <c r="A75" s="224" t="s">
        <v>1640</v>
      </c>
      <c r="B75" s="222">
        <v>1.0009999999999999</v>
      </c>
      <c r="C75" s="222">
        <v>1.004</v>
      </c>
      <c r="D75" s="222">
        <v>1.0089999999999999</v>
      </c>
      <c r="E75" s="222">
        <v>1.0109999999999999</v>
      </c>
      <c r="F75" s="222">
        <v>1.004</v>
      </c>
      <c r="G75" s="221">
        <v>852</v>
      </c>
    </row>
    <row r="76" spans="1:7" ht="24.6" customHeight="1" x14ac:dyDescent="0.2">
      <c r="A76" s="224" t="s">
        <v>1641</v>
      </c>
      <c r="B76" s="222">
        <v>1.0209999999999999</v>
      </c>
      <c r="C76" s="222">
        <v>1.01</v>
      </c>
      <c r="D76" s="222">
        <v>1.0169999999999999</v>
      </c>
      <c r="E76" s="222">
        <v>1.0069999999999999</v>
      </c>
      <c r="F76" s="222">
        <v>1.014</v>
      </c>
      <c r="G76" s="221">
        <v>853</v>
      </c>
    </row>
    <row r="77" spans="1:7" ht="24.6" customHeight="1" x14ac:dyDescent="0.2">
      <c r="A77" s="224" t="s">
        <v>1642</v>
      </c>
      <c r="B77" s="222">
        <v>1.0149999999999999</v>
      </c>
      <c r="C77" s="222">
        <v>1.004</v>
      </c>
      <c r="D77" s="222">
        <v>1.0089999999999999</v>
      </c>
      <c r="E77" s="222">
        <v>1.0069999999999999</v>
      </c>
      <c r="F77" s="222">
        <v>1.01</v>
      </c>
      <c r="G77" s="221">
        <v>854</v>
      </c>
    </row>
    <row r="78" spans="1:7" ht="24.6" customHeight="1" x14ac:dyDescent="0.2">
      <c r="A78" s="224" t="s">
        <v>1643</v>
      </c>
      <c r="B78" s="222">
        <v>1.0049999999999999</v>
      </c>
      <c r="C78" s="222">
        <v>1.0049999999999999</v>
      </c>
      <c r="D78" s="222">
        <v>1.0049999999999999</v>
      </c>
      <c r="E78" s="222">
        <v>1.004</v>
      </c>
      <c r="F78" s="222">
        <v>1.004</v>
      </c>
      <c r="G78" s="221">
        <v>855</v>
      </c>
    </row>
    <row r="79" spans="1:7" ht="24.6" customHeight="1" x14ac:dyDescent="0.2">
      <c r="A79" s="224" t="s">
        <v>1644</v>
      </c>
      <c r="B79" s="222">
        <v>1.0149999999999999</v>
      </c>
      <c r="C79" s="222">
        <v>1.0089999999999999</v>
      </c>
      <c r="D79" s="222">
        <v>1.0129999999999999</v>
      </c>
      <c r="E79" s="222">
        <v>1.008</v>
      </c>
      <c r="F79" s="222">
        <v>1.0129999999999999</v>
      </c>
      <c r="G79" s="221">
        <v>856</v>
      </c>
    </row>
    <row r="80" spans="1:7" ht="24.6" customHeight="1" x14ac:dyDescent="0.2">
      <c r="A80" s="224" t="s">
        <v>1645</v>
      </c>
      <c r="B80" s="222">
        <v>1.0209999999999999</v>
      </c>
      <c r="C80" s="222">
        <v>1.018</v>
      </c>
      <c r="D80" s="222">
        <v>1.02</v>
      </c>
      <c r="E80" s="222">
        <v>1.0149999999999999</v>
      </c>
      <c r="F80" s="222">
        <v>1.02</v>
      </c>
      <c r="G80" s="221">
        <v>857</v>
      </c>
    </row>
    <row r="81" spans="1:7" ht="24.6" customHeight="1" x14ac:dyDescent="0.2">
      <c r="A81" s="224" t="s">
        <v>1646</v>
      </c>
      <c r="B81" s="222">
        <v>1.0169999999999999</v>
      </c>
      <c r="C81" s="222">
        <v>1.014</v>
      </c>
      <c r="D81" s="222">
        <v>1.0089999999999999</v>
      </c>
      <c r="E81" s="222">
        <v>1.0129999999999999</v>
      </c>
      <c r="F81" s="222">
        <v>1.0169999999999999</v>
      </c>
      <c r="G81" s="221">
        <v>858</v>
      </c>
    </row>
    <row r="82" spans="1:7" ht="24.6" customHeight="1" x14ac:dyDescent="0.2">
      <c r="A82" s="224" t="s">
        <v>1647</v>
      </c>
      <c r="B82" s="222">
        <v>1.032</v>
      </c>
      <c r="C82" s="222">
        <v>1.032</v>
      </c>
      <c r="D82" s="222">
        <v>1.032</v>
      </c>
      <c r="E82" s="222">
        <v>1.0309999999999999</v>
      </c>
      <c r="F82" s="222">
        <v>1.0329999999999999</v>
      </c>
      <c r="G82" s="221">
        <v>859</v>
      </c>
    </row>
    <row r="83" spans="1:7" ht="24.6" customHeight="1" x14ac:dyDescent="0.2">
      <c r="A83" s="224" t="s">
        <v>1648</v>
      </c>
      <c r="B83" s="222">
        <v>1.026</v>
      </c>
      <c r="C83" s="222">
        <v>1.016</v>
      </c>
      <c r="D83" s="222">
        <v>1.0209999999999999</v>
      </c>
      <c r="E83" s="222">
        <v>1.01</v>
      </c>
      <c r="F83" s="222">
        <v>1.0189999999999999</v>
      </c>
      <c r="G83" s="221">
        <v>860</v>
      </c>
    </row>
    <row r="84" spans="1:7" ht="24.6" customHeight="1" x14ac:dyDescent="0.2">
      <c r="A84" s="224" t="s">
        <v>1649</v>
      </c>
      <c r="B84" s="222">
        <v>1.048</v>
      </c>
      <c r="C84" s="222">
        <v>1.024</v>
      </c>
      <c r="D84" s="222">
        <v>1.0309999999999999</v>
      </c>
      <c r="E84" s="222">
        <v>1.0189999999999999</v>
      </c>
      <c r="F84" s="222">
        <v>1.03</v>
      </c>
      <c r="G84" s="221">
        <v>861</v>
      </c>
    </row>
    <row r="85" spans="1:7" ht="24.6" customHeight="1" x14ac:dyDescent="0.2">
      <c r="A85" s="224" t="s">
        <v>1650</v>
      </c>
      <c r="B85" s="222">
        <v>1.008</v>
      </c>
      <c r="C85" s="222">
        <v>1.006</v>
      </c>
      <c r="D85" s="222">
        <v>1.0069999999999999</v>
      </c>
      <c r="E85" s="222">
        <v>1.0049999999999999</v>
      </c>
      <c r="F85" s="222">
        <v>1.006</v>
      </c>
      <c r="G85" s="221">
        <v>862</v>
      </c>
    </row>
    <row r="86" spans="1:7" ht="24.6" customHeight="1" x14ac:dyDescent="0.2">
      <c r="A86" s="224" t="s">
        <v>1651</v>
      </c>
      <c r="B86" s="222">
        <v>1.03</v>
      </c>
      <c r="C86" s="222">
        <v>1.0289999999999999</v>
      </c>
      <c r="D86" s="222">
        <v>1.03</v>
      </c>
      <c r="E86" s="222">
        <v>1.03</v>
      </c>
      <c r="F86" s="222">
        <v>1.03</v>
      </c>
      <c r="G86" s="221">
        <v>863</v>
      </c>
    </row>
    <row r="87" spans="1:7" ht="24.6" customHeight="1" x14ac:dyDescent="0.2">
      <c r="A87" s="224" t="s">
        <v>1652</v>
      </c>
      <c r="B87" s="222">
        <v>1.006</v>
      </c>
      <c r="C87" s="222">
        <v>1.0049999999999999</v>
      </c>
      <c r="D87" s="222">
        <v>1.006</v>
      </c>
      <c r="E87" s="222">
        <v>1.0049999999999999</v>
      </c>
      <c r="F87" s="222">
        <v>1.006</v>
      </c>
      <c r="G87" s="221">
        <v>864</v>
      </c>
    </row>
    <row r="88" spans="1:7" ht="24.6" customHeight="1" x14ac:dyDescent="0.2">
      <c r="A88" s="224" t="s">
        <v>1653</v>
      </c>
      <c r="B88" s="222">
        <v>1.016</v>
      </c>
      <c r="C88" s="222">
        <v>1.008</v>
      </c>
      <c r="D88" s="222">
        <v>1.0129999999999999</v>
      </c>
      <c r="E88" s="222">
        <v>1.0089999999999999</v>
      </c>
      <c r="F88" s="222">
        <v>1.01</v>
      </c>
      <c r="G88" s="221">
        <v>865</v>
      </c>
    </row>
    <row r="89" spans="1:7" ht="24.6" customHeight="1" x14ac:dyDescent="0.2">
      <c r="A89" s="224" t="s">
        <v>1654</v>
      </c>
      <c r="B89" s="222">
        <v>1.0269999999999999</v>
      </c>
      <c r="C89" s="222">
        <v>1.0209999999999999</v>
      </c>
      <c r="D89" s="222">
        <v>1.0169999999999999</v>
      </c>
      <c r="E89" s="222">
        <v>1.012</v>
      </c>
      <c r="F89" s="222">
        <v>1.02</v>
      </c>
      <c r="G89" s="221">
        <v>866</v>
      </c>
    </row>
    <row r="90" spans="1:7" ht="24.6" customHeight="1" x14ac:dyDescent="0.2">
      <c r="A90" s="224" t="s">
        <v>1655</v>
      </c>
      <c r="B90" s="222">
        <v>1.032</v>
      </c>
      <c r="C90" s="222">
        <v>1.024</v>
      </c>
      <c r="D90" s="222">
        <v>1.0269999999999999</v>
      </c>
      <c r="E90" s="222">
        <v>1.0149999999999999</v>
      </c>
      <c r="F90" s="222">
        <v>1.022</v>
      </c>
      <c r="G90" s="221">
        <v>867</v>
      </c>
    </row>
    <row r="91" spans="1:7" ht="24.6" customHeight="1" x14ac:dyDescent="0.2">
      <c r="A91" s="224" t="s">
        <v>1656</v>
      </c>
      <c r="B91" s="222">
        <v>1.0049999999999999</v>
      </c>
      <c r="C91" s="222">
        <v>1.0029999999999999</v>
      </c>
      <c r="D91" s="222">
        <v>1.0049999999999999</v>
      </c>
      <c r="E91" s="222">
        <v>0.996</v>
      </c>
      <c r="F91" s="222">
        <v>1.004</v>
      </c>
      <c r="G91" s="221">
        <v>868</v>
      </c>
    </row>
    <row r="92" spans="1:7" ht="24.6" customHeight="1" x14ac:dyDescent="0.2">
      <c r="A92" s="224" t="s">
        <v>1657</v>
      </c>
      <c r="B92" s="222">
        <v>1.0329999999999999</v>
      </c>
      <c r="C92" s="222">
        <v>1.0269999999999999</v>
      </c>
      <c r="D92" s="222">
        <v>1.032</v>
      </c>
      <c r="E92" s="222">
        <v>1.0249999999999999</v>
      </c>
      <c r="F92" s="222">
        <v>1.0409999999999999</v>
      </c>
      <c r="G92" s="221">
        <v>869</v>
      </c>
    </row>
    <row r="93" spans="1:7" ht="24.6" customHeight="1" x14ac:dyDescent="0.2">
      <c r="A93" s="224" t="s">
        <v>1658</v>
      </c>
      <c r="B93" s="222">
        <v>1.028</v>
      </c>
      <c r="C93" s="222">
        <v>1.02</v>
      </c>
      <c r="D93" s="222">
        <v>1.04</v>
      </c>
      <c r="E93" s="222">
        <v>1.0189999999999999</v>
      </c>
      <c r="F93" s="222">
        <v>1.036</v>
      </c>
      <c r="G93" s="221">
        <v>870</v>
      </c>
    </row>
    <row r="94" spans="1:7" ht="24.6" customHeight="1" x14ac:dyDescent="0.2">
      <c r="A94" s="224" t="s">
        <v>1659</v>
      </c>
      <c r="B94" s="222">
        <v>1.044</v>
      </c>
      <c r="C94" s="222">
        <v>1.042</v>
      </c>
      <c r="D94" s="222">
        <v>1.044</v>
      </c>
      <c r="E94" s="222">
        <v>1.0429999999999999</v>
      </c>
      <c r="F94" s="222">
        <v>1.0429999999999999</v>
      </c>
      <c r="G94" s="221">
        <v>871</v>
      </c>
    </row>
    <row r="95" spans="1:7" ht="24.6" customHeight="1" x14ac:dyDescent="0.2">
      <c r="A95" s="224" t="s">
        <v>1660</v>
      </c>
      <c r="B95" s="222">
        <v>1.0009999999999999</v>
      </c>
      <c r="C95" s="222">
        <v>1.0009999999999999</v>
      </c>
      <c r="D95" s="222">
        <v>1.0009999999999999</v>
      </c>
      <c r="E95" s="222">
        <v>1.0009999999999999</v>
      </c>
      <c r="F95" s="222">
        <v>1.0009999999999999</v>
      </c>
      <c r="G95" s="221">
        <v>872</v>
      </c>
    </row>
    <row r="96" spans="1:7" ht="24.6" customHeight="1" x14ac:dyDescent="0.2">
      <c r="A96" s="224" t="s">
        <v>1661</v>
      </c>
      <c r="B96" s="222">
        <v>1.0169999999999999</v>
      </c>
      <c r="C96" s="222">
        <v>1.0129999999999999</v>
      </c>
      <c r="D96" s="222">
        <v>1.0149999999999999</v>
      </c>
      <c r="E96" s="222">
        <v>1.0129999999999999</v>
      </c>
      <c r="F96" s="222">
        <v>1.014</v>
      </c>
      <c r="G96" s="221">
        <v>873</v>
      </c>
    </row>
    <row r="97" spans="1:7" ht="24.6" customHeight="1" x14ac:dyDescent="0.2">
      <c r="A97" s="224" t="s">
        <v>1662</v>
      </c>
      <c r="B97" s="222">
        <v>1.0109999999999999</v>
      </c>
      <c r="C97" s="222">
        <v>1.0109999999999999</v>
      </c>
      <c r="D97" s="222">
        <v>1.0109999999999999</v>
      </c>
      <c r="E97" s="222">
        <v>1.0109999999999999</v>
      </c>
      <c r="F97" s="222">
        <v>1.0109999999999999</v>
      </c>
      <c r="G97" s="221">
        <v>874</v>
      </c>
    </row>
    <row r="98" spans="1:7" ht="24.6" customHeight="1" x14ac:dyDescent="0.2">
      <c r="A98" s="224" t="s">
        <v>1663</v>
      </c>
      <c r="B98" s="222">
        <v>1.0169999999999999</v>
      </c>
      <c r="C98" s="222">
        <v>1.0189999999999999</v>
      </c>
      <c r="D98" s="222">
        <v>1.018</v>
      </c>
      <c r="E98" s="222">
        <v>1.0189999999999999</v>
      </c>
      <c r="F98" s="222">
        <v>1.0189999999999999</v>
      </c>
      <c r="G98" s="221">
        <v>875</v>
      </c>
    </row>
    <row r="99" spans="1:7" ht="24.6" customHeight="1" x14ac:dyDescent="0.2">
      <c r="A99" s="224" t="s">
        <v>1664</v>
      </c>
      <c r="B99" s="222">
        <v>1.05</v>
      </c>
      <c r="C99" s="222">
        <v>1.0369999999999999</v>
      </c>
      <c r="D99" s="222">
        <v>1.044</v>
      </c>
      <c r="E99" s="222">
        <v>1.0329999999999999</v>
      </c>
      <c r="F99" s="222">
        <v>1.0389999999999999</v>
      </c>
      <c r="G99" s="221">
        <v>876</v>
      </c>
    </row>
    <row r="100" spans="1:7" ht="24.6" customHeight="1" x14ac:dyDescent="0.2">
      <c r="A100" s="224" t="s">
        <v>1665</v>
      </c>
      <c r="B100" s="222">
        <v>1.0329999999999999</v>
      </c>
      <c r="C100" s="222">
        <v>1.03</v>
      </c>
      <c r="D100" s="222">
        <v>1.0309999999999999</v>
      </c>
      <c r="E100" s="222">
        <v>1.0309999999999999</v>
      </c>
      <c r="F100" s="222">
        <v>1.03</v>
      </c>
      <c r="G100" s="221">
        <v>877</v>
      </c>
    </row>
    <row r="101" spans="1:7" ht="24.6" customHeight="1" x14ac:dyDescent="0.2">
      <c r="A101" s="224" t="s">
        <v>1666</v>
      </c>
      <c r="B101" s="222">
        <v>1.0169999999999999</v>
      </c>
      <c r="C101" s="222">
        <v>1.0129999999999999</v>
      </c>
      <c r="D101" s="222">
        <v>1.0149999999999999</v>
      </c>
      <c r="E101" s="222">
        <v>1.0129999999999999</v>
      </c>
      <c r="F101" s="222">
        <v>1.014</v>
      </c>
      <c r="G101" s="221">
        <v>878</v>
      </c>
    </row>
    <row r="102" spans="1:7" ht="24.6" customHeight="1" x14ac:dyDescent="0.2">
      <c r="A102" s="224" t="s">
        <v>1667</v>
      </c>
      <c r="B102" s="222">
        <v>1.008</v>
      </c>
      <c r="C102" s="222">
        <v>1.0069999999999999</v>
      </c>
      <c r="D102" s="222">
        <v>1.0069999999999999</v>
      </c>
      <c r="E102" s="222">
        <v>1.0049999999999999</v>
      </c>
      <c r="F102" s="222">
        <v>1.0069999999999999</v>
      </c>
      <c r="G102" s="221">
        <v>879</v>
      </c>
    </row>
    <row r="103" spans="1:7" ht="24.6" customHeight="1" x14ac:dyDescent="0.2">
      <c r="A103" s="224" t="s">
        <v>1668</v>
      </c>
      <c r="B103" s="222">
        <v>1.0229999999999999</v>
      </c>
      <c r="C103" s="222">
        <v>1.0169999999999999</v>
      </c>
      <c r="D103" s="222">
        <v>1.022</v>
      </c>
      <c r="E103" s="222">
        <v>1.0109999999999999</v>
      </c>
      <c r="F103" s="222">
        <v>1.0149999999999999</v>
      </c>
      <c r="G103" s="221">
        <v>881</v>
      </c>
    </row>
    <row r="104" spans="1:7" ht="24.6" customHeight="1" x14ac:dyDescent="0.2">
      <c r="A104" s="224" t="s">
        <v>1669</v>
      </c>
      <c r="B104" s="222">
        <v>1.0169999999999999</v>
      </c>
      <c r="C104" s="222">
        <v>1.0129999999999999</v>
      </c>
      <c r="D104" s="222">
        <v>1.0149999999999999</v>
      </c>
      <c r="E104" s="222">
        <v>1.0129999999999999</v>
      </c>
      <c r="F104" s="222">
        <v>1.014</v>
      </c>
      <c r="G104" s="221">
        <v>883</v>
      </c>
    </row>
    <row r="105" spans="1:7" ht="24.6" customHeight="1" x14ac:dyDescent="0.2">
      <c r="A105" s="224" t="s">
        <v>1670</v>
      </c>
      <c r="B105" s="222">
        <v>1.0129999999999999</v>
      </c>
      <c r="C105" s="222">
        <v>1.0109999999999999</v>
      </c>
      <c r="D105" s="222">
        <v>1.012</v>
      </c>
      <c r="E105" s="222">
        <v>1.01</v>
      </c>
      <c r="F105" s="222">
        <v>1.0109999999999999</v>
      </c>
      <c r="G105" s="221">
        <v>884</v>
      </c>
    </row>
    <row r="106" spans="1:7" ht="24.6" customHeight="1" x14ac:dyDescent="0.2">
      <c r="A106" s="224" t="s">
        <v>1671</v>
      </c>
      <c r="B106" s="222">
        <v>1.032</v>
      </c>
      <c r="C106" s="222">
        <v>1.073</v>
      </c>
      <c r="D106" s="222">
        <v>1.0820000000000001</v>
      </c>
      <c r="E106" s="222">
        <v>1.073</v>
      </c>
      <c r="F106" s="222">
        <v>1.079</v>
      </c>
      <c r="G106" s="221">
        <v>887</v>
      </c>
    </row>
    <row r="107" spans="1:7" ht="24.6" customHeight="1" x14ac:dyDescent="0.2">
      <c r="A107" s="224" t="s">
        <v>1672</v>
      </c>
      <c r="B107" s="222">
        <v>1.0149999999999999</v>
      </c>
      <c r="C107" s="222">
        <v>1.0129999999999999</v>
      </c>
      <c r="D107" s="222">
        <v>1.016</v>
      </c>
      <c r="E107" s="222">
        <v>1.014</v>
      </c>
      <c r="F107" s="222">
        <v>1.014</v>
      </c>
      <c r="G107" s="221">
        <v>888</v>
      </c>
    </row>
    <row r="108" spans="1:7" ht="24.6" customHeight="1" x14ac:dyDescent="0.2">
      <c r="A108" s="224" t="s">
        <v>1673</v>
      </c>
      <c r="B108" s="222">
        <v>1.0369999999999999</v>
      </c>
      <c r="C108" s="222">
        <v>1.028</v>
      </c>
      <c r="D108" s="222">
        <v>1.028</v>
      </c>
      <c r="E108" s="222">
        <v>1.028</v>
      </c>
      <c r="F108" s="222">
        <v>1.028</v>
      </c>
      <c r="G108" s="221">
        <v>889</v>
      </c>
    </row>
    <row r="109" spans="1:7" ht="24.6" customHeight="1" x14ac:dyDescent="0.2">
      <c r="A109" s="224" t="s">
        <v>1674</v>
      </c>
      <c r="B109" s="222">
        <v>1.0169999999999999</v>
      </c>
      <c r="C109" s="222">
        <v>1.0129999999999999</v>
      </c>
      <c r="D109" s="222">
        <v>1.0149999999999999</v>
      </c>
      <c r="E109" s="222">
        <v>1.0129999999999999</v>
      </c>
      <c r="F109" s="222">
        <v>1.014</v>
      </c>
      <c r="G109" s="221">
        <v>890</v>
      </c>
    </row>
    <row r="110" spans="1:7" ht="24.6" customHeight="1" x14ac:dyDescent="0.2">
      <c r="A110" s="224" t="s">
        <v>1675</v>
      </c>
      <c r="B110" s="222">
        <v>1.02</v>
      </c>
      <c r="C110" s="222">
        <v>1.0189999999999999</v>
      </c>
      <c r="D110" s="222">
        <v>1.02</v>
      </c>
      <c r="E110" s="222">
        <v>1.0189999999999999</v>
      </c>
      <c r="F110" s="222">
        <v>1.0189999999999999</v>
      </c>
      <c r="G110" s="221">
        <v>891</v>
      </c>
    </row>
    <row r="111" spans="1:7" ht="24.6" customHeight="1" x14ac:dyDescent="0.2">
      <c r="A111" s="224" t="s">
        <v>1676</v>
      </c>
      <c r="B111" s="222">
        <v>1.0169999999999999</v>
      </c>
      <c r="C111" s="222">
        <v>1.0129999999999999</v>
      </c>
      <c r="D111" s="222">
        <v>1.0149999999999999</v>
      </c>
      <c r="E111" s="222">
        <v>1.0129999999999999</v>
      </c>
      <c r="F111" s="222">
        <v>1.014</v>
      </c>
      <c r="G111" s="221">
        <v>893</v>
      </c>
    </row>
    <row r="112" spans="1:7" ht="24.6" customHeight="1" x14ac:dyDescent="0.2">
      <c r="A112" s="224" t="s">
        <v>1677</v>
      </c>
      <c r="B112" s="222">
        <v>1.026</v>
      </c>
      <c r="C112" s="222">
        <v>1.02</v>
      </c>
      <c r="D112" s="222">
        <v>1.0189999999999999</v>
      </c>
      <c r="E112" s="222">
        <v>1.0169999999999999</v>
      </c>
      <c r="F112" s="222">
        <v>1.0189999999999999</v>
      </c>
      <c r="G112" s="221">
        <v>894</v>
      </c>
    </row>
    <row r="113" spans="1:7" ht="24.6" customHeight="1" x14ac:dyDescent="0.2">
      <c r="A113" s="224" t="s">
        <v>1678</v>
      </c>
      <c r="B113" s="222">
        <v>1.0169999999999999</v>
      </c>
      <c r="C113" s="222">
        <v>1.0129999999999999</v>
      </c>
      <c r="D113" s="222">
        <v>1.0149999999999999</v>
      </c>
      <c r="E113" s="222">
        <v>1.0129999999999999</v>
      </c>
      <c r="F113" s="222">
        <v>1.014</v>
      </c>
      <c r="G113" s="221">
        <v>895</v>
      </c>
    </row>
    <row r="114" spans="1:7" ht="24.6" customHeight="1" x14ac:dyDescent="0.2">
      <c r="A114" s="224" t="s">
        <v>1679</v>
      </c>
      <c r="B114" s="222">
        <v>1.0169999999999999</v>
      </c>
      <c r="C114" s="222">
        <v>1.0129999999999999</v>
      </c>
      <c r="D114" s="222">
        <v>1.0149999999999999</v>
      </c>
      <c r="E114" s="222">
        <v>1.0129999999999999</v>
      </c>
      <c r="F114" s="222">
        <v>1.014</v>
      </c>
      <c r="G114" s="221">
        <v>896</v>
      </c>
    </row>
    <row r="115" spans="1:7" ht="24.6" customHeight="1" x14ac:dyDescent="0.2">
      <c r="A115" s="224" t="s">
        <v>1680</v>
      </c>
      <c r="B115" s="222">
        <v>1.002</v>
      </c>
      <c r="C115" s="222">
        <v>1.002</v>
      </c>
      <c r="D115" s="222">
        <v>1.002</v>
      </c>
      <c r="E115" s="222">
        <v>1.002</v>
      </c>
      <c r="F115" s="222">
        <v>1.002</v>
      </c>
      <c r="G115" s="221">
        <v>897</v>
      </c>
    </row>
    <row r="116" spans="1:7" ht="24.6" customHeight="1" x14ac:dyDescent="0.2">
      <c r="A116" s="224" t="s">
        <v>1681</v>
      </c>
      <c r="B116" s="222">
        <v>1.036</v>
      </c>
      <c r="C116" s="222">
        <v>1.0369999999999999</v>
      </c>
      <c r="D116" s="222">
        <v>1.0349999999999999</v>
      </c>
      <c r="E116" s="222">
        <v>1.036</v>
      </c>
      <c r="F116" s="222">
        <v>1.034</v>
      </c>
      <c r="G116" s="221">
        <v>898</v>
      </c>
    </row>
    <row r="117" spans="1:7" ht="24.6" customHeight="1" x14ac:dyDescent="0.2">
      <c r="A117" s="224" t="s">
        <v>1682</v>
      </c>
      <c r="B117" s="222">
        <v>1.026</v>
      </c>
      <c r="C117" s="222">
        <v>1.0189999999999999</v>
      </c>
      <c r="D117" s="222">
        <v>1.028</v>
      </c>
      <c r="E117" s="222">
        <v>1.018</v>
      </c>
      <c r="F117" s="222">
        <v>1.022</v>
      </c>
      <c r="G117" s="221">
        <v>899</v>
      </c>
    </row>
    <row r="118" spans="1:7" ht="24.6" customHeight="1" x14ac:dyDescent="0.2">
      <c r="A118" s="224" t="s">
        <v>1683</v>
      </c>
      <c r="B118" s="222">
        <v>1.006</v>
      </c>
      <c r="C118" s="222">
        <v>1.006</v>
      </c>
      <c r="D118" s="222">
        <v>1.006</v>
      </c>
      <c r="E118" s="222">
        <v>1.006</v>
      </c>
      <c r="F118" s="222">
        <v>1.006</v>
      </c>
      <c r="G118" s="221">
        <v>900</v>
      </c>
    </row>
    <row r="119" spans="1:7" ht="22.5" customHeight="1" x14ac:dyDescent="0.2">
      <c r="A119" s="72" t="s">
        <v>1684</v>
      </c>
      <c r="B119" s="222">
        <v>1.05</v>
      </c>
      <c r="C119" s="222">
        <v>1.0369999999999999</v>
      </c>
      <c r="D119" s="222">
        <v>1.044</v>
      </c>
      <c r="E119" s="222">
        <v>1.0329999999999999</v>
      </c>
      <c r="F119" s="222">
        <v>1.0389999999999999</v>
      </c>
      <c r="G119" s="221">
        <v>691</v>
      </c>
    </row>
    <row r="120" spans="1:7" ht="22.5" customHeight="1" x14ac:dyDescent="0.2">
      <c r="A120" s="72" t="s">
        <v>1685</v>
      </c>
      <c r="B120" s="222">
        <v>1.05</v>
      </c>
      <c r="C120" s="222">
        <v>1.0369999999999999</v>
      </c>
      <c r="D120" s="222">
        <v>1.044</v>
      </c>
      <c r="E120" s="222">
        <v>1.0329999999999999</v>
      </c>
      <c r="F120" s="222">
        <v>1.0389999999999999</v>
      </c>
      <c r="G120" s="221">
        <v>692</v>
      </c>
    </row>
    <row r="121" spans="1:7" ht="22.5" customHeight="1" x14ac:dyDescent="0.2">
      <c r="A121" s="72" t="s">
        <v>1686</v>
      </c>
      <c r="B121" s="222">
        <v>0.998</v>
      </c>
      <c r="C121" s="222">
        <v>1</v>
      </c>
      <c r="D121" s="222">
        <v>0.997</v>
      </c>
      <c r="E121" s="222">
        <v>0.997</v>
      </c>
      <c r="F121" s="222">
        <v>0.997</v>
      </c>
      <c r="G121" s="221">
        <v>693</v>
      </c>
    </row>
    <row r="122" spans="1:7" ht="22.5" customHeight="1" x14ac:dyDescent="0.2">
      <c r="A122" s="72" t="s">
        <v>1687</v>
      </c>
      <c r="B122" s="222">
        <v>0.999</v>
      </c>
      <c r="C122" s="222">
        <v>1</v>
      </c>
      <c r="D122" s="222">
        <v>1</v>
      </c>
      <c r="E122" s="222">
        <v>1</v>
      </c>
      <c r="F122" s="222">
        <v>1</v>
      </c>
      <c r="G122" s="221">
        <v>694</v>
      </c>
    </row>
    <row r="123" spans="1:7" ht="22.5" customHeight="1" x14ac:dyDescent="0.2">
      <c r="A123" s="72" t="s">
        <v>1688</v>
      </c>
      <c r="B123" s="222">
        <v>1</v>
      </c>
      <c r="C123" s="222">
        <v>1</v>
      </c>
      <c r="D123" s="222">
        <v>1</v>
      </c>
      <c r="E123" s="222">
        <v>1</v>
      </c>
      <c r="F123" s="222">
        <v>1</v>
      </c>
      <c r="G123" s="221">
        <v>695</v>
      </c>
    </row>
    <row r="124" spans="1:7" ht="22.5" customHeight="1" x14ac:dyDescent="0.2">
      <c r="A124" s="72" t="s">
        <v>1689</v>
      </c>
      <c r="B124" s="222">
        <v>0.999</v>
      </c>
      <c r="C124" s="222">
        <v>0.998</v>
      </c>
      <c r="D124" s="222">
        <v>0.999</v>
      </c>
      <c r="E124" s="222">
        <v>0.999</v>
      </c>
      <c r="F124" s="222">
        <v>0.999</v>
      </c>
      <c r="G124" s="221">
        <v>696</v>
      </c>
    </row>
    <row r="125" spans="1:7" ht="22.5" customHeight="1" x14ac:dyDescent="0.2">
      <c r="A125" s="72" t="s">
        <v>1690</v>
      </c>
      <c r="B125" s="222">
        <v>0.99299999999999999</v>
      </c>
      <c r="C125" s="222">
        <v>0.999</v>
      </c>
      <c r="D125" s="222">
        <v>0.999</v>
      </c>
      <c r="E125" s="222">
        <v>0.999</v>
      </c>
      <c r="F125" s="222">
        <v>0.999</v>
      </c>
      <c r="G125" s="221">
        <v>697</v>
      </c>
    </row>
    <row r="126" spans="1:7" ht="22.5" customHeight="1" x14ac:dyDescent="0.2">
      <c r="A126" s="72" t="s">
        <v>1691</v>
      </c>
      <c r="B126" s="222">
        <v>1</v>
      </c>
      <c r="C126" s="222">
        <v>0.999</v>
      </c>
      <c r="D126" s="222">
        <v>1</v>
      </c>
      <c r="E126" s="222">
        <v>1</v>
      </c>
      <c r="F126" s="222">
        <v>1</v>
      </c>
      <c r="G126" s="221">
        <v>698</v>
      </c>
    </row>
    <row r="127" spans="1:7" ht="22.5" customHeight="1" x14ac:dyDescent="0.2">
      <c r="A127" s="72" t="s">
        <v>1692</v>
      </c>
      <c r="B127" s="222">
        <v>1</v>
      </c>
      <c r="C127" s="222">
        <v>1</v>
      </c>
      <c r="D127" s="222">
        <v>1</v>
      </c>
      <c r="E127" s="222">
        <v>1</v>
      </c>
      <c r="F127" s="222">
        <v>1</v>
      </c>
      <c r="G127" s="221">
        <v>699</v>
      </c>
    </row>
    <row r="128" spans="1:7" ht="22.5" customHeight="1" x14ac:dyDescent="0.2">
      <c r="A128" s="72" t="s">
        <v>1693</v>
      </c>
      <c r="B128" s="222">
        <v>1.014</v>
      </c>
      <c r="C128" s="222">
        <v>1.0089999999999999</v>
      </c>
      <c r="D128" s="222">
        <v>1.0129999999999999</v>
      </c>
      <c r="E128" s="222">
        <v>1.0089999999999999</v>
      </c>
      <c r="F128" s="222">
        <v>1.0109999999999999</v>
      </c>
      <c r="G128" s="221">
        <v>700</v>
      </c>
    </row>
    <row r="129" spans="1:7" ht="22.5" customHeight="1" x14ac:dyDescent="0.2">
      <c r="A129" s="72" t="s">
        <v>1694</v>
      </c>
      <c r="B129" s="222">
        <v>1.056</v>
      </c>
      <c r="C129" s="222">
        <v>1.0369999999999999</v>
      </c>
      <c r="D129" s="222">
        <v>1.0369999999999999</v>
      </c>
      <c r="E129" s="222">
        <v>1.03</v>
      </c>
      <c r="F129" s="222">
        <v>1.0449999999999999</v>
      </c>
      <c r="G129" s="221">
        <v>701</v>
      </c>
    </row>
    <row r="130" spans="1:7" ht="22.5" customHeight="1" x14ac:dyDescent="0.2">
      <c r="A130" s="72" t="s">
        <v>1695</v>
      </c>
      <c r="B130" s="222">
        <v>1</v>
      </c>
      <c r="C130" s="222">
        <v>0.99399999999999999</v>
      </c>
      <c r="D130" s="222">
        <v>0.996</v>
      </c>
      <c r="E130" s="222">
        <v>0.999</v>
      </c>
      <c r="F130" s="222">
        <v>0.995</v>
      </c>
      <c r="G130" s="221">
        <v>702</v>
      </c>
    </row>
    <row r="131" spans="1:7" ht="22.5" customHeight="1" x14ac:dyDescent="0.2">
      <c r="A131" s="72" t="s">
        <v>1696</v>
      </c>
      <c r="B131" s="222">
        <v>1.0069999999999999</v>
      </c>
      <c r="C131" s="222">
        <v>1.002</v>
      </c>
      <c r="D131" s="222">
        <v>1.002</v>
      </c>
      <c r="E131" s="222">
        <v>1.0029999999999999</v>
      </c>
      <c r="F131" s="222">
        <v>1.002</v>
      </c>
      <c r="G131" s="221">
        <v>703</v>
      </c>
    </row>
    <row r="132" spans="1:7" ht="22.5" customHeight="1" x14ac:dyDescent="0.2">
      <c r="A132" s="72" t="s">
        <v>1697</v>
      </c>
      <c r="B132" s="222">
        <v>1.006</v>
      </c>
      <c r="C132" s="222">
        <v>1.002</v>
      </c>
      <c r="D132" s="222">
        <v>1.006</v>
      </c>
      <c r="E132" s="222">
        <v>1.002</v>
      </c>
      <c r="F132" s="222">
        <v>1.0069999999999999</v>
      </c>
      <c r="G132" s="221">
        <v>704</v>
      </c>
    </row>
    <row r="133" spans="1:7" ht="22.5" customHeight="1" x14ac:dyDescent="0.2">
      <c r="A133" s="72" t="s">
        <v>1698</v>
      </c>
      <c r="B133" s="222">
        <v>1.004</v>
      </c>
      <c r="C133" s="222">
        <v>1.0029999999999999</v>
      </c>
      <c r="D133" s="222">
        <v>1.002</v>
      </c>
      <c r="E133" s="222">
        <v>1.002</v>
      </c>
      <c r="F133" s="222">
        <v>1.0049999999999999</v>
      </c>
      <c r="G133" s="221">
        <v>705</v>
      </c>
    </row>
    <row r="134" spans="1:7" ht="22.5" customHeight="1" x14ac:dyDescent="0.2">
      <c r="A134" s="72" t="s">
        <v>1699</v>
      </c>
      <c r="B134" s="222">
        <v>1.0209999999999999</v>
      </c>
      <c r="C134" s="222">
        <v>1.0129999999999999</v>
      </c>
      <c r="D134" s="222">
        <v>1.0169999999999999</v>
      </c>
      <c r="E134" s="222">
        <v>1.0109999999999999</v>
      </c>
      <c r="F134" s="222">
        <v>1.024</v>
      </c>
      <c r="G134" s="221">
        <v>706</v>
      </c>
    </row>
    <row r="135" spans="1:7" ht="22.5" customHeight="1" x14ac:dyDescent="0.2">
      <c r="A135" s="72" t="s">
        <v>1700</v>
      </c>
      <c r="B135" s="222">
        <v>1.0029999999999999</v>
      </c>
      <c r="C135" s="222">
        <v>1</v>
      </c>
      <c r="D135" s="222">
        <v>1.0029999999999999</v>
      </c>
      <c r="E135" s="222">
        <v>1.002</v>
      </c>
      <c r="F135" s="222">
        <v>1</v>
      </c>
      <c r="G135" s="221">
        <v>707</v>
      </c>
    </row>
    <row r="136" spans="1:7" ht="22.5" customHeight="1" x14ac:dyDescent="0.2">
      <c r="A136" s="72" t="s">
        <v>1701</v>
      </c>
      <c r="B136" s="222">
        <v>1.0069999999999999</v>
      </c>
      <c r="C136" s="222">
        <v>1.0049999999999999</v>
      </c>
      <c r="D136" s="222">
        <v>1.006</v>
      </c>
      <c r="E136" s="222">
        <v>1.0069999999999999</v>
      </c>
      <c r="F136" s="222">
        <v>1.008</v>
      </c>
      <c r="G136" s="221">
        <v>708</v>
      </c>
    </row>
    <row r="137" spans="1:7" ht="22.5" customHeight="1" x14ac:dyDescent="0.2">
      <c r="A137" s="72" t="s">
        <v>1702</v>
      </c>
      <c r="B137" s="222">
        <v>0.996</v>
      </c>
      <c r="C137" s="222">
        <v>0.998</v>
      </c>
      <c r="D137" s="222">
        <v>0.998</v>
      </c>
      <c r="E137" s="222">
        <v>1</v>
      </c>
      <c r="F137" s="222">
        <v>0.999</v>
      </c>
      <c r="G137" s="221">
        <v>709</v>
      </c>
    </row>
    <row r="138" spans="1:7" ht="22.5" customHeight="1" x14ac:dyDescent="0.2">
      <c r="A138" s="72" t="s">
        <v>1703</v>
      </c>
      <c r="B138" s="222">
        <v>0.99399999999999999</v>
      </c>
      <c r="C138" s="222">
        <v>0.995</v>
      </c>
      <c r="D138" s="222">
        <v>0.99399999999999999</v>
      </c>
      <c r="E138" s="222">
        <v>0.99399999999999999</v>
      </c>
      <c r="F138" s="222">
        <v>0.99399999999999999</v>
      </c>
      <c r="G138" s="221">
        <v>710</v>
      </c>
    </row>
    <row r="139" spans="1:7" ht="22.5" customHeight="1" x14ac:dyDescent="0.2">
      <c r="A139" s="72" t="s">
        <v>1704</v>
      </c>
      <c r="B139" s="222">
        <v>1.004</v>
      </c>
      <c r="C139" s="222">
        <v>1.004</v>
      </c>
      <c r="D139" s="222">
        <v>1.0029999999999999</v>
      </c>
      <c r="E139" s="222">
        <v>1.004</v>
      </c>
      <c r="F139" s="222">
        <v>1.004</v>
      </c>
      <c r="G139" s="221">
        <v>711</v>
      </c>
    </row>
    <row r="140" spans="1:7" ht="22.5" customHeight="1" x14ac:dyDescent="0.2">
      <c r="A140" s="72" t="s">
        <v>1705</v>
      </c>
      <c r="B140" s="222">
        <v>1.0169999999999999</v>
      </c>
      <c r="C140" s="222">
        <v>1.012</v>
      </c>
      <c r="D140" s="222">
        <v>1.016</v>
      </c>
      <c r="E140" s="222">
        <v>1.0149999999999999</v>
      </c>
      <c r="F140" s="222">
        <v>1.022</v>
      </c>
      <c r="G140" s="221">
        <v>712</v>
      </c>
    </row>
    <row r="141" spans="1:7" ht="22.5" customHeight="1" x14ac:dyDescent="0.2">
      <c r="A141" s="72" t="s">
        <v>1706</v>
      </c>
      <c r="B141" s="222">
        <v>1.0169999999999999</v>
      </c>
      <c r="C141" s="222">
        <v>1.012</v>
      </c>
      <c r="D141" s="222">
        <v>1.016</v>
      </c>
      <c r="E141" s="222">
        <v>1.0149999999999999</v>
      </c>
      <c r="F141" s="222">
        <v>1.022</v>
      </c>
      <c r="G141" s="221">
        <v>713</v>
      </c>
    </row>
    <row r="142" spans="1:7" ht="22.5" customHeight="1" x14ac:dyDescent="0.2">
      <c r="A142" s="72" t="s">
        <v>1707</v>
      </c>
      <c r="B142" s="222">
        <v>1.0329999999999999</v>
      </c>
      <c r="C142" s="222">
        <v>1.0229999999999999</v>
      </c>
      <c r="D142" s="222">
        <v>1.0329999999999999</v>
      </c>
      <c r="E142" s="222">
        <v>1.0149999999999999</v>
      </c>
      <c r="F142" s="222">
        <v>1.0449999999999999</v>
      </c>
      <c r="G142" s="221">
        <v>714</v>
      </c>
    </row>
    <row r="143" spans="1:7" ht="22.5" customHeight="1" x14ac:dyDescent="0.2">
      <c r="A143" s="72" t="s">
        <v>1708</v>
      </c>
      <c r="B143" s="222">
        <v>1.0169999999999999</v>
      </c>
      <c r="C143" s="222">
        <v>1.01</v>
      </c>
      <c r="D143" s="222">
        <v>1.0109999999999999</v>
      </c>
      <c r="E143" s="222">
        <v>1.012</v>
      </c>
      <c r="F143" s="222">
        <v>1.014</v>
      </c>
      <c r="G143" s="221">
        <v>715</v>
      </c>
    </row>
    <row r="144" spans="1:7" ht="22.5" customHeight="1" x14ac:dyDescent="0.2">
      <c r="A144" s="72" t="s">
        <v>1709</v>
      </c>
      <c r="B144" s="222">
        <v>1.012</v>
      </c>
      <c r="C144" s="222">
        <v>1.0089999999999999</v>
      </c>
      <c r="D144" s="222">
        <v>1.0089999999999999</v>
      </c>
      <c r="E144" s="222">
        <v>1.0069999999999999</v>
      </c>
      <c r="F144" s="222">
        <v>1.012</v>
      </c>
      <c r="G144" s="221">
        <v>716</v>
      </c>
    </row>
    <row r="145" spans="1:7" ht="22.5" customHeight="1" x14ac:dyDescent="0.2">
      <c r="A145" s="72" t="s">
        <v>1710</v>
      </c>
      <c r="B145" s="222">
        <v>1.0089999999999999</v>
      </c>
      <c r="C145" s="222">
        <v>1.006</v>
      </c>
      <c r="D145" s="222">
        <v>1.0069999999999999</v>
      </c>
      <c r="E145" s="222">
        <v>1.006</v>
      </c>
      <c r="F145" s="222">
        <v>1.0089999999999999</v>
      </c>
      <c r="G145" s="221">
        <v>717</v>
      </c>
    </row>
    <row r="146" spans="1:7" ht="22.5" customHeight="1" x14ac:dyDescent="0.2">
      <c r="A146" s="72" t="s">
        <v>1711</v>
      </c>
      <c r="B146" s="222">
        <v>1.008</v>
      </c>
      <c r="C146" s="222">
        <v>1.004</v>
      </c>
      <c r="D146" s="222">
        <v>1.008</v>
      </c>
      <c r="E146" s="222">
        <v>1.004</v>
      </c>
      <c r="F146" s="222">
        <v>1.006</v>
      </c>
      <c r="G146" s="221">
        <v>718</v>
      </c>
    </row>
    <row r="147" spans="1:7" ht="22.5" customHeight="1" x14ac:dyDescent="0.2">
      <c r="A147" s="72" t="s">
        <v>1712</v>
      </c>
      <c r="B147" s="222">
        <v>1.006</v>
      </c>
      <c r="C147" s="222">
        <v>1.004</v>
      </c>
      <c r="D147" s="222">
        <v>1.004</v>
      </c>
      <c r="E147" s="222">
        <v>1.002</v>
      </c>
      <c r="F147" s="222">
        <v>1.0029999999999999</v>
      </c>
      <c r="G147" s="221">
        <v>719</v>
      </c>
    </row>
    <row r="148" spans="1:7" ht="22.5" customHeight="1" x14ac:dyDescent="0.2">
      <c r="A148" s="72" t="s">
        <v>1713</v>
      </c>
      <c r="B148" s="222">
        <v>1.0009999999999999</v>
      </c>
      <c r="C148" s="222">
        <v>1</v>
      </c>
      <c r="D148" s="222">
        <v>1</v>
      </c>
      <c r="E148" s="222">
        <v>1.002</v>
      </c>
      <c r="F148" s="222">
        <v>1</v>
      </c>
      <c r="G148" s="221">
        <v>720</v>
      </c>
    </row>
    <row r="149" spans="1:7" ht="22.5" customHeight="1" x14ac:dyDescent="0.2">
      <c r="A149" s="72" t="s">
        <v>1714</v>
      </c>
      <c r="B149" s="222">
        <v>0.98799999999999999</v>
      </c>
      <c r="C149" s="222">
        <v>0.99</v>
      </c>
      <c r="D149" s="222">
        <v>0.98799999999999999</v>
      </c>
      <c r="E149" s="222">
        <v>0.98899999999999999</v>
      </c>
      <c r="F149" s="222">
        <v>0.98899999999999999</v>
      </c>
      <c r="G149" s="221">
        <v>721</v>
      </c>
    </row>
    <row r="150" spans="1:7" ht="22.5" customHeight="1" x14ac:dyDescent="0.2">
      <c r="A150" s="72" t="s">
        <v>1715</v>
      </c>
      <c r="B150" s="222">
        <v>1.0009999999999999</v>
      </c>
      <c r="C150" s="222">
        <v>0.999</v>
      </c>
      <c r="D150" s="222">
        <v>1</v>
      </c>
      <c r="E150" s="222">
        <v>0.999</v>
      </c>
      <c r="F150" s="222">
        <v>1</v>
      </c>
      <c r="G150" s="221">
        <v>722</v>
      </c>
    </row>
    <row r="151" spans="1:7" ht="22.5" customHeight="1" x14ac:dyDescent="0.2">
      <c r="A151" s="72" t="s">
        <v>1716</v>
      </c>
      <c r="B151" s="222">
        <v>1.006</v>
      </c>
      <c r="C151" s="222">
        <v>1.002</v>
      </c>
      <c r="D151" s="222">
        <v>1.006</v>
      </c>
      <c r="E151" s="222">
        <v>1.002</v>
      </c>
      <c r="F151" s="222">
        <v>1.0069999999999999</v>
      </c>
      <c r="G151" s="221">
        <v>724</v>
      </c>
    </row>
    <row r="152" spans="1:7" ht="22.5" customHeight="1" x14ac:dyDescent="0.2">
      <c r="A152" s="72" t="s">
        <v>1717</v>
      </c>
      <c r="B152" s="222">
        <v>1.0029999999999999</v>
      </c>
      <c r="C152" s="222">
        <v>1.002</v>
      </c>
      <c r="D152" s="222">
        <v>1.002</v>
      </c>
      <c r="E152" s="222">
        <v>1.002</v>
      </c>
      <c r="F152" s="222">
        <v>1.0009999999999999</v>
      </c>
      <c r="G152" s="221">
        <v>725</v>
      </c>
    </row>
    <row r="153" spans="1:7" ht="22.5" customHeight="1" x14ac:dyDescent="0.2">
      <c r="A153" s="72" t="s">
        <v>1718</v>
      </c>
      <c r="B153" s="222">
        <v>1.006</v>
      </c>
      <c r="C153" s="222">
        <v>1.0029999999999999</v>
      </c>
      <c r="D153" s="222">
        <v>1.0049999999999999</v>
      </c>
      <c r="E153" s="222">
        <v>1.002</v>
      </c>
      <c r="F153" s="222">
        <v>1.004</v>
      </c>
      <c r="G153" s="221">
        <v>726</v>
      </c>
    </row>
    <row r="154" spans="1:7" ht="22.5" customHeight="1" x14ac:dyDescent="0.2">
      <c r="A154" s="72" t="s">
        <v>1719</v>
      </c>
      <c r="B154" s="222">
        <v>1</v>
      </c>
      <c r="C154" s="222">
        <v>1</v>
      </c>
      <c r="D154" s="222">
        <v>1</v>
      </c>
      <c r="E154" s="222">
        <v>1</v>
      </c>
      <c r="F154" s="222">
        <v>1</v>
      </c>
      <c r="G154" s="221">
        <v>727</v>
      </c>
    </row>
    <row r="155" spans="1:7" ht="22.5" customHeight="1" x14ac:dyDescent="0.2">
      <c r="A155" s="72" t="s">
        <v>1720</v>
      </c>
      <c r="B155" s="222">
        <v>0.92800000000000005</v>
      </c>
      <c r="C155" s="222">
        <v>0.92500000000000004</v>
      </c>
      <c r="D155" s="222">
        <v>0.92800000000000005</v>
      </c>
      <c r="E155" s="222">
        <v>0.92600000000000005</v>
      </c>
      <c r="F155" s="222">
        <v>0.91600000000000004</v>
      </c>
      <c r="G155" s="221">
        <v>728</v>
      </c>
    </row>
    <row r="156" spans="1:7" ht="22.5" customHeight="1" x14ac:dyDescent="0.2">
      <c r="A156" s="72" t="s">
        <v>1721</v>
      </c>
      <c r="B156" s="222">
        <v>1.0169999999999999</v>
      </c>
      <c r="C156" s="222">
        <v>1.0129999999999999</v>
      </c>
      <c r="D156" s="222">
        <v>1.0149999999999999</v>
      </c>
      <c r="E156" s="222">
        <v>1.0129999999999999</v>
      </c>
      <c r="F156" s="222">
        <v>1.014</v>
      </c>
      <c r="G156" s="221">
        <v>729</v>
      </c>
    </row>
    <row r="157" spans="1:7" ht="22.5" customHeight="1" x14ac:dyDescent="0.2">
      <c r="A157" s="72" t="s">
        <v>1722</v>
      </c>
      <c r="B157" s="222">
        <v>0.999</v>
      </c>
      <c r="C157" s="222">
        <v>0.999</v>
      </c>
      <c r="D157" s="222">
        <v>0.999</v>
      </c>
      <c r="E157" s="222">
        <v>0.999</v>
      </c>
      <c r="F157" s="222">
        <v>0.999</v>
      </c>
      <c r="G157" s="221">
        <v>730</v>
      </c>
    </row>
    <row r="158" spans="1:7" ht="22.5" customHeight="1" x14ac:dyDescent="0.2">
      <c r="A158" s="72" t="s">
        <v>1723</v>
      </c>
      <c r="B158" s="222">
        <v>1.0369999999999999</v>
      </c>
      <c r="C158" s="222">
        <v>1.024</v>
      </c>
      <c r="D158" s="222">
        <v>1.0349999999999999</v>
      </c>
      <c r="E158" s="222">
        <v>1.0249999999999999</v>
      </c>
      <c r="F158" s="222">
        <v>1.032</v>
      </c>
      <c r="G158" s="221">
        <v>731</v>
      </c>
    </row>
    <row r="159" spans="1:7" ht="22.5" customHeight="1" x14ac:dyDescent="0.2">
      <c r="A159" s="72" t="s">
        <v>1724</v>
      </c>
      <c r="B159" s="222">
        <v>1.0169999999999999</v>
      </c>
      <c r="C159" s="222">
        <v>1.0129999999999999</v>
      </c>
      <c r="D159" s="222">
        <v>1.0149999999999999</v>
      </c>
      <c r="E159" s="222">
        <v>1.0129999999999999</v>
      </c>
      <c r="F159" s="222">
        <v>1.014</v>
      </c>
      <c r="G159" s="221">
        <v>732</v>
      </c>
    </row>
    <row r="160" spans="1:7" ht="22.5" customHeight="1" x14ac:dyDescent="0.2">
      <c r="A160" s="72" t="s">
        <v>1725</v>
      </c>
      <c r="B160" s="222">
        <v>1</v>
      </c>
      <c r="C160" s="222">
        <v>0.998</v>
      </c>
      <c r="D160" s="222">
        <v>0.999</v>
      </c>
      <c r="E160" s="222">
        <v>0.997</v>
      </c>
      <c r="F160" s="222">
        <v>0.999</v>
      </c>
      <c r="G160" s="221">
        <v>733</v>
      </c>
    </row>
    <row r="161" spans="1:7" ht="22.5" customHeight="1" x14ac:dyDescent="0.2">
      <c r="A161" s="72" t="s">
        <v>1726</v>
      </c>
      <c r="B161" s="222">
        <v>0.98799999999999999</v>
      </c>
      <c r="C161" s="222">
        <v>0.99399999999999999</v>
      </c>
      <c r="D161" s="222">
        <v>0.99099999999999999</v>
      </c>
      <c r="E161" s="222">
        <v>0.995</v>
      </c>
      <c r="F161" s="222">
        <v>0.99199999999999999</v>
      </c>
      <c r="G161" s="221">
        <v>734</v>
      </c>
    </row>
    <row r="162" spans="1:7" ht="22.5" customHeight="1" x14ac:dyDescent="0.2">
      <c r="A162" s="72" t="s">
        <v>1727</v>
      </c>
      <c r="B162" s="222">
        <v>1.0069999999999999</v>
      </c>
      <c r="C162" s="222">
        <v>0.997</v>
      </c>
      <c r="D162" s="222">
        <v>1.0009999999999999</v>
      </c>
      <c r="E162" s="222">
        <v>1.004</v>
      </c>
      <c r="F162" s="222">
        <v>0.999</v>
      </c>
      <c r="G162" s="221">
        <v>735</v>
      </c>
    </row>
    <row r="163" spans="1:7" ht="22.5" customHeight="1" x14ac:dyDescent="0.2">
      <c r="A163" s="72" t="s">
        <v>1728</v>
      </c>
      <c r="B163" s="222">
        <v>1.0249999999999999</v>
      </c>
      <c r="C163" s="222">
        <v>1.0169999999999999</v>
      </c>
      <c r="D163" s="222">
        <v>1.026</v>
      </c>
      <c r="E163" s="222">
        <v>1.018</v>
      </c>
      <c r="F163" s="222">
        <v>1.0189999999999999</v>
      </c>
      <c r="G163" s="221">
        <v>736</v>
      </c>
    </row>
    <row r="164" spans="1:7" ht="22.5" customHeight="1" x14ac:dyDescent="0.2">
      <c r="A164" s="72" t="s">
        <v>1729</v>
      </c>
      <c r="B164" s="222">
        <v>1.018</v>
      </c>
      <c r="C164" s="222">
        <v>1.002</v>
      </c>
      <c r="D164" s="222">
        <v>1.01</v>
      </c>
      <c r="E164" s="222">
        <v>1.01</v>
      </c>
      <c r="F164" s="222">
        <v>1.0049999999999999</v>
      </c>
      <c r="G164" s="221">
        <v>737</v>
      </c>
    </row>
    <row r="165" spans="1:7" ht="22.5" customHeight="1" x14ac:dyDescent="0.2">
      <c r="A165" s="72" t="s">
        <v>1730</v>
      </c>
      <c r="B165" s="222">
        <v>0.97299999999999998</v>
      </c>
      <c r="C165" s="222">
        <v>0.96799999999999997</v>
      </c>
      <c r="D165" s="222">
        <v>0.97</v>
      </c>
      <c r="E165" s="222">
        <v>0.96699999999999997</v>
      </c>
      <c r="F165" s="222">
        <v>0.97199999999999998</v>
      </c>
      <c r="G165" s="221">
        <v>738</v>
      </c>
    </row>
    <row r="166" spans="1:7" ht="22.5" customHeight="1" x14ac:dyDescent="0.2">
      <c r="A166" s="72" t="s">
        <v>1731</v>
      </c>
      <c r="B166" s="222">
        <v>0.998</v>
      </c>
      <c r="C166" s="222">
        <v>0.98199999999999998</v>
      </c>
      <c r="D166" s="222">
        <v>0.98599999999999999</v>
      </c>
      <c r="E166" s="222">
        <v>0.998</v>
      </c>
      <c r="F166" s="222">
        <v>0.98299999999999998</v>
      </c>
      <c r="G166" s="221">
        <v>739</v>
      </c>
    </row>
    <row r="167" spans="1:7" ht="22.5" customHeight="1" x14ac:dyDescent="0.2">
      <c r="A167" s="72" t="s">
        <v>1732</v>
      </c>
      <c r="B167" s="222">
        <v>1.006</v>
      </c>
      <c r="C167" s="222">
        <v>1.004</v>
      </c>
      <c r="D167" s="222">
        <v>1.0029999999999999</v>
      </c>
      <c r="E167" s="222">
        <v>1.0049999999999999</v>
      </c>
      <c r="F167" s="222">
        <v>1.0029999999999999</v>
      </c>
      <c r="G167" s="221">
        <v>740</v>
      </c>
    </row>
    <row r="168" spans="1:7" ht="22.5" customHeight="1" x14ac:dyDescent="0.2">
      <c r="A168" s="72" t="s">
        <v>1733</v>
      </c>
      <c r="B168" s="222">
        <v>1.022</v>
      </c>
      <c r="C168" s="222">
        <v>1.0109999999999999</v>
      </c>
      <c r="D168" s="222">
        <v>1.0129999999999999</v>
      </c>
      <c r="E168" s="222">
        <v>1.01</v>
      </c>
      <c r="F168" s="222">
        <v>1.0169999999999999</v>
      </c>
      <c r="G168" s="221">
        <v>741</v>
      </c>
    </row>
    <row r="169" spans="1:7" ht="22.5" customHeight="1" x14ac:dyDescent="0.2">
      <c r="A169" s="72" t="s">
        <v>1734</v>
      </c>
      <c r="B169" s="222">
        <v>0.995</v>
      </c>
      <c r="C169" s="222">
        <v>0.98899999999999999</v>
      </c>
      <c r="D169" s="222">
        <v>0.99199999999999999</v>
      </c>
      <c r="E169" s="222">
        <v>0.997</v>
      </c>
      <c r="F169" s="222">
        <v>0.99</v>
      </c>
      <c r="G169" s="221">
        <v>742</v>
      </c>
    </row>
    <row r="170" spans="1:7" ht="22.5" customHeight="1" x14ac:dyDescent="0.2">
      <c r="A170" s="72" t="s">
        <v>1735</v>
      </c>
      <c r="B170" s="222">
        <v>1.002</v>
      </c>
      <c r="C170" s="222">
        <v>1.002</v>
      </c>
      <c r="D170" s="222">
        <v>1.002</v>
      </c>
      <c r="E170" s="222">
        <v>1.0009999999999999</v>
      </c>
      <c r="F170" s="222">
        <v>1.004</v>
      </c>
      <c r="G170" s="221">
        <v>743</v>
      </c>
    </row>
    <row r="171" spans="1:7" ht="22.5" customHeight="1" x14ac:dyDescent="0.2">
      <c r="A171" s="72" t="s">
        <v>1736</v>
      </c>
      <c r="B171" s="222">
        <v>1.0109999999999999</v>
      </c>
      <c r="C171" s="222">
        <v>1.0089999999999999</v>
      </c>
      <c r="D171" s="222">
        <v>1.0089999999999999</v>
      </c>
      <c r="E171" s="222">
        <v>1.01</v>
      </c>
      <c r="F171" s="222">
        <v>1.0109999999999999</v>
      </c>
      <c r="G171" s="221">
        <v>744</v>
      </c>
    </row>
    <row r="172" spans="1:7" ht="22.5" customHeight="1" x14ac:dyDescent="0.2">
      <c r="A172" s="72" t="s">
        <v>1737</v>
      </c>
      <c r="B172" s="222">
        <v>0.999</v>
      </c>
      <c r="C172" s="222">
        <v>0.996</v>
      </c>
      <c r="D172" s="222">
        <v>0.998</v>
      </c>
      <c r="E172" s="222">
        <v>0.999</v>
      </c>
      <c r="F172" s="222">
        <v>0.997</v>
      </c>
      <c r="G172" s="221">
        <v>745</v>
      </c>
    </row>
    <row r="173" spans="1:7" ht="22.5" customHeight="1" x14ac:dyDescent="0.2">
      <c r="A173" s="72" t="s">
        <v>1738</v>
      </c>
      <c r="B173" s="222">
        <v>1</v>
      </c>
      <c r="C173" s="222">
        <v>1</v>
      </c>
      <c r="D173" s="222">
        <v>0.999</v>
      </c>
      <c r="E173" s="222">
        <v>1</v>
      </c>
      <c r="F173" s="222">
        <v>1</v>
      </c>
      <c r="G173" s="221">
        <v>746</v>
      </c>
    </row>
    <row r="174" spans="1:7" ht="22.5" customHeight="1" x14ac:dyDescent="0.2">
      <c r="A174" s="72" t="s">
        <v>1739</v>
      </c>
      <c r="B174" s="222">
        <v>1.008</v>
      </c>
      <c r="C174" s="222">
        <v>1</v>
      </c>
      <c r="D174" s="222">
        <v>1.002</v>
      </c>
      <c r="E174" s="222">
        <v>1.0029999999999999</v>
      </c>
      <c r="F174" s="222">
        <v>1.0009999999999999</v>
      </c>
      <c r="G174" s="221">
        <v>747</v>
      </c>
    </row>
    <row r="175" spans="1:7" ht="22.5" customHeight="1" x14ac:dyDescent="0.2">
      <c r="A175" s="72" t="s">
        <v>1740</v>
      </c>
      <c r="B175" s="222">
        <v>1.008</v>
      </c>
      <c r="C175" s="222">
        <v>1.006</v>
      </c>
      <c r="D175" s="222">
        <v>1.008</v>
      </c>
      <c r="E175" s="222">
        <v>1.0069999999999999</v>
      </c>
      <c r="F175" s="222">
        <v>1.0089999999999999</v>
      </c>
      <c r="G175" s="221">
        <v>748</v>
      </c>
    </row>
    <row r="176" spans="1:7" ht="22.5" customHeight="1" x14ac:dyDescent="0.2">
      <c r="A176" s="72" t="s">
        <v>1741</v>
      </c>
      <c r="B176" s="222">
        <v>1.006</v>
      </c>
      <c r="C176" s="222">
        <v>0.99099999999999999</v>
      </c>
      <c r="D176" s="222">
        <v>0.995</v>
      </c>
      <c r="E176" s="222">
        <v>1.0049999999999999</v>
      </c>
      <c r="F176" s="222">
        <v>0.99299999999999999</v>
      </c>
      <c r="G176" s="221">
        <v>749</v>
      </c>
    </row>
    <row r="177" spans="1:7" ht="22.5" customHeight="1" x14ac:dyDescent="0.2">
      <c r="A177" s="72" t="s">
        <v>1742</v>
      </c>
      <c r="B177" s="222">
        <v>1</v>
      </c>
      <c r="C177" s="222">
        <v>0.999</v>
      </c>
      <c r="D177" s="222">
        <v>0.999</v>
      </c>
      <c r="E177" s="222">
        <v>1</v>
      </c>
      <c r="F177" s="222">
        <v>0.999</v>
      </c>
      <c r="G177" s="221">
        <v>750</v>
      </c>
    </row>
    <row r="178" spans="1:7" ht="22.5" customHeight="1" x14ac:dyDescent="0.2">
      <c r="A178" s="72" t="s">
        <v>1743</v>
      </c>
      <c r="B178" s="222">
        <v>1.0009999999999999</v>
      </c>
      <c r="C178" s="222">
        <v>1</v>
      </c>
      <c r="D178" s="222">
        <v>1</v>
      </c>
      <c r="E178" s="222">
        <v>1</v>
      </c>
      <c r="F178" s="222">
        <v>1</v>
      </c>
      <c r="G178" s="221">
        <v>751</v>
      </c>
    </row>
    <row r="179" spans="1:7" ht="22.5" customHeight="1" x14ac:dyDescent="0.2">
      <c r="A179" s="72" t="s">
        <v>1744</v>
      </c>
      <c r="B179" s="222">
        <v>1.014</v>
      </c>
      <c r="C179" s="222">
        <v>1.006</v>
      </c>
      <c r="D179" s="222">
        <v>1.008</v>
      </c>
      <c r="E179" s="222">
        <v>1.008</v>
      </c>
      <c r="F179" s="222">
        <v>1.01</v>
      </c>
      <c r="G179" s="221">
        <v>752</v>
      </c>
    </row>
    <row r="180" spans="1:7" ht="22.5" customHeight="1" x14ac:dyDescent="0.2">
      <c r="A180" s="72" t="s">
        <v>1745</v>
      </c>
      <c r="B180" s="222">
        <v>1.0029999999999999</v>
      </c>
      <c r="C180" s="222">
        <v>0.999</v>
      </c>
      <c r="D180" s="222">
        <v>1.002</v>
      </c>
      <c r="E180" s="222">
        <v>1.002</v>
      </c>
      <c r="F180" s="222">
        <v>1.0009999999999999</v>
      </c>
      <c r="G180" s="221">
        <v>753</v>
      </c>
    </row>
    <row r="181" spans="1:7" ht="22.5" customHeight="1" x14ac:dyDescent="0.2">
      <c r="A181" s="72" t="s">
        <v>1746</v>
      </c>
      <c r="B181" s="222">
        <v>1.0149999999999999</v>
      </c>
      <c r="C181" s="222">
        <v>1.0069999999999999</v>
      </c>
      <c r="D181" s="222">
        <v>1.01</v>
      </c>
      <c r="E181" s="222">
        <v>1.006</v>
      </c>
      <c r="F181" s="222">
        <v>1.014</v>
      </c>
      <c r="G181" s="221">
        <v>754</v>
      </c>
    </row>
    <row r="182" spans="1:7" ht="22.5" customHeight="1" x14ac:dyDescent="0.2">
      <c r="A182" s="72" t="s">
        <v>1747</v>
      </c>
      <c r="B182" s="222">
        <v>0.999</v>
      </c>
      <c r="C182" s="222">
        <v>0.99399999999999999</v>
      </c>
      <c r="D182" s="222">
        <v>0.996</v>
      </c>
      <c r="E182" s="222">
        <v>0.999</v>
      </c>
      <c r="F182" s="222">
        <v>0.995</v>
      </c>
      <c r="G182" s="221">
        <v>755</v>
      </c>
    </row>
    <row r="183" spans="1:7" ht="22.5" customHeight="1" x14ac:dyDescent="0.2">
      <c r="A183" s="72" t="s">
        <v>1748</v>
      </c>
      <c r="B183" s="222">
        <v>1.006</v>
      </c>
      <c r="C183" s="222">
        <v>1.002</v>
      </c>
      <c r="D183" s="222">
        <v>1.006</v>
      </c>
      <c r="E183" s="222">
        <v>1.002</v>
      </c>
      <c r="F183" s="222">
        <v>1.0069999999999999</v>
      </c>
      <c r="G183" s="221">
        <v>767</v>
      </c>
    </row>
    <row r="184" spans="1:7" ht="22.5" customHeight="1" x14ac:dyDescent="0.2">
      <c r="A184" s="72" t="s">
        <v>1749</v>
      </c>
      <c r="B184" s="222">
        <v>1.01</v>
      </c>
      <c r="C184" s="222">
        <v>1.004</v>
      </c>
      <c r="D184" s="222">
        <v>1.0069999999999999</v>
      </c>
      <c r="E184" s="222">
        <v>1.004</v>
      </c>
      <c r="F184" s="222">
        <v>1.008</v>
      </c>
      <c r="G184" s="221">
        <v>780</v>
      </c>
    </row>
    <row r="186" spans="1:7" ht="22.5" customHeight="1" x14ac:dyDescent="0.2">
      <c r="A186" s="291" t="s">
        <v>1586</v>
      </c>
      <c r="B186" s="292"/>
      <c r="C186" s="292"/>
      <c r="D186" s="292"/>
      <c r="E186" s="292"/>
      <c r="F186" s="292"/>
      <c r="G186" s="293"/>
    </row>
    <row r="187" spans="1:7" ht="22.5" customHeight="1" x14ac:dyDescent="0.2">
      <c r="A187" s="20" t="s">
        <v>1587</v>
      </c>
      <c r="B187" s="20" t="s">
        <v>9</v>
      </c>
      <c r="C187" s="20" t="s">
        <v>4</v>
      </c>
      <c r="D187" s="20" t="s">
        <v>5</v>
      </c>
      <c r="E187" s="20" t="s">
        <v>6</v>
      </c>
      <c r="F187" s="20" t="s">
        <v>7</v>
      </c>
      <c r="G187" s="20" t="s">
        <v>668</v>
      </c>
    </row>
    <row r="188" spans="1:7" ht="22.5" customHeight="1" x14ac:dyDescent="0.2">
      <c r="A188" s="225">
        <v>1032</v>
      </c>
      <c r="B188" s="225" t="s">
        <v>1750</v>
      </c>
      <c r="C188" s="222">
        <v>1.018</v>
      </c>
      <c r="D188" s="222">
        <v>1.014</v>
      </c>
      <c r="E188" s="222">
        <v>1.0169999999999999</v>
      </c>
      <c r="F188" s="222">
        <v>1.0129999999999999</v>
      </c>
      <c r="G188" s="221">
        <v>1.0149999999999999</v>
      </c>
    </row>
    <row r="189" spans="1:7" ht="22.5" customHeight="1" x14ac:dyDescent="0.2">
      <c r="A189" s="225">
        <v>1630</v>
      </c>
      <c r="B189" s="225" t="s">
        <v>1751</v>
      </c>
      <c r="C189" s="222">
        <v>1.006</v>
      </c>
      <c r="D189" s="222">
        <v>1.0049999999999999</v>
      </c>
      <c r="E189" s="222">
        <v>1.006</v>
      </c>
      <c r="F189" s="222">
        <v>1.0049999999999999</v>
      </c>
      <c r="G189" s="221">
        <v>1.006</v>
      </c>
    </row>
    <row r="190" spans="1:7" ht="22.5" customHeight="1" x14ac:dyDescent="0.2">
      <c r="A190" s="225">
        <v>7104</v>
      </c>
      <c r="B190" s="225" t="s">
        <v>1752</v>
      </c>
      <c r="C190" s="222">
        <v>1.0029999999999999</v>
      </c>
      <c r="D190" s="222">
        <v>0.999</v>
      </c>
      <c r="E190" s="222">
        <v>1.0029999999999999</v>
      </c>
      <c r="F190" s="222">
        <v>0.999</v>
      </c>
      <c r="G190" s="221">
        <v>1.0029999999999999</v>
      </c>
    </row>
    <row r="191" spans="1:7" ht="22.5" customHeight="1" x14ac:dyDescent="0.2">
      <c r="A191" s="225">
        <v>7105</v>
      </c>
      <c r="B191" s="225" t="s">
        <v>1753</v>
      </c>
      <c r="C191" s="222">
        <v>1.0509999999999999</v>
      </c>
      <c r="D191" s="222">
        <v>1.038</v>
      </c>
      <c r="E191" s="222">
        <v>1.0449999999999999</v>
      </c>
      <c r="F191" s="222">
        <v>1.0329999999999999</v>
      </c>
      <c r="G191" s="221">
        <v>1.04</v>
      </c>
    </row>
    <row r="192" spans="1:7" ht="22.5" customHeight="1" x14ac:dyDescent="0.2">
      <c r="A192" s="225">
        <v>7160</v>
      </c>
      <c r="B192" s="225" t="s">
        <v>1754</v>
      </c>
      <c r="C192" s="222">
        <v>1.05</v>
      </c>
      <c r="D192" s="222">
        <v>1.0369999999999999</v>
      </c>
      <c r="E192" s="222">
        <v>1.044</v>
      </c>
      <c r="F192" s="222">
        <v>1.0329999999999999</v>
      </c>
      <c r="G192" s="221">
        <v>1.0389999999999999</v>
      </c>
    </row>
    <row r="193" spans="1:7" ht="22.5" customHeight="1" x14ac:dyDescent="0.2">
      <c r="A193" s="225">
        <v>7435</v>
      </c>
      <c r="B193" s="225" t="s">
        <v>1755</v>
      </c>
      <c r="C193" s="222">
        <v>1.0169999999999999</v>
      </c>
      <c r="D193" s="222">
        <v>1.0129999999999999</v>
      </c>
      <c r="E193" s="222">
        <v>1.0149999999999999</v>
      </c>
      <c r="F193" s="222">
        <v>1.0129999999999999</v>
      </c>
      <c r="G193" s="221">
        <v>1.014</v>
      </c>
    </row>
    <row r="194" spans="1:7" ht="22.5" customHeight="1" x14ac:dyDescent="0.2">
      <c r="A194" s="225">
        <v>7436</v>
      </c>
      <c r="B194" s="225" t="s">
        <v>1755</v>
      </c>
      <c r="C194" s="222">
        <v>1.0169999999999999</v>
      </c>
      <c r="D194" s="222">
        <v>1.0129999999999999</v>
      </c>
      <c r="E194" s="222">
        <v>1.0149999999999999</v>
      </c>
      <c r="F194" s="222">
        <v>1.0129999999999999</v>
      </c>
      <c r="G194" s="221">
        <v>1.014</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4">
    <mergeCell ref="A9:B9"/>
    <mergeCell ref="A3:G3"/>
    <mergeCell ref="A2:E2"/>
    <mergeCell ref="A4:B5"/>
    <mergeCell ref="A6:B6"/>
    <mergeCell ref="A7:B7"/>
    <mergeCell ref="A8:B8"/>
    <mergeCell ref="A186:G186"/>
    <mergeCell ref="A24:G24"/>
    <mergeCell ref="A10:B10"/>
    <mergeCell ref="C10:G10"/>
    <mergeCell ref="A13:G13"/>
    <mergeCell ref="A14:G14"/>
    <mergeCell ref="A23:G23"/>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51" fitToHeight="0" orientation="portrait" r:id="rId2"/>
  <headerFooter differentFirst="1" scaleWithDoc="0">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R111"/>
  <sheetViews>
    <sheetView tabSelected="1" zoomScale="80" zoomScaleNormal="80" zoomScaleSheetLayoutView="100" workbookViewId="0">
      <selection activeCell="A2" sqref="A2:P2"/>
    </sheetView>
  </sheetViews>
  <sheetFormatPr defaultRowHeight="27.75" customHeight="1" x14ac:dyDescent="0.2"/>
  <cols>
    <col min="1" max="2" width="16" style="2" customWidth="1"/>
    <col min="3" max="3" width="6.28515625" style="2" bestFit="1" customWidth="1"/>
    <col min="4" max="4" width="20.7109375" style="2" customWidth="1"/>
    <col min="5" max="5" width="16.42578125" style="3" customWidth="1"/>
    <col min="6" max="6" width="6.28515625" style="3" bestFit="1" customWidth="1"/>
    <col min="7" max="7" width="20.7109375" style="2" customWidth="1"/>
    <col min="8" max="8" width="50.5703125" style="3" customWidth="1"/>
    <col min="9" max="9" width="17.140625" style="3" customWidth="1"/>
    <col min="10" max="10" width="15.5703125" style="3" customWidth="1"/>
    <col min="11" max="11" width="15.5703125" style="10" customWidth="1"/>
    <col min="12" max="13" width="15.5703125" style="4" customWidth="1"/>
    <col min="14" max="17" width="15.5703125" style="2" customWidth="1"/>
    <col min="18" max="18" width="14" style="2" customWidth="1"/>
    <col min="19" max="16384" width="9.140625" style="2"/>
  </cols>
  <sheetData>
    <row r="1" spans="1:17" ht="100.5" customHeight="1" x14ac:dyDescent="0.2">
      <c r="A1" s="13" t="s">
        <v>18</v>
      </c>
      <c r="B1" s="13"/>
      <c r="C1" s="13"/>
      <c r="D1" s="13"/>
      <c r="G1" s="22"/>
      <c r="H1" s="297" t="s">
        <v>134</v>
      </c>
      <c r="I1" s="298"/>
    </row>
    <row r="2" spans="1:17" ht="27.75" customHeight="1" x14ac:dyDescent="0.2">
      <c r="A2" s="268" t="s">
        <v>133</v>
      </c>
      <c r="B2" s="269"/>
      <c r="C2" s="269"/>
      <c r="D2" s="269"/>
      <c r="E2" s="269"/>
      <c r="F2" s="269"/>
      <c r="G2" s="269"/>
      <c r="H2" s="269"/>
      <c r="I2" s="269"/>
      <c r="J2" s="269"/>
      <c r="K2" s="269"/>
      <c r="L2" s="269"/>
      <c r="M2" s="269"/>
      <c r="N2" s="269"/>
      <c r="O2" s="269"/>
      <c r="P2" s="270"/>
    </row>
    <row r="3" spans="1:17" ht="17.25" customHeight="1" x14ac:dyDescent="0.2">
      <c r="A3" s="13"/>
      <c r="B3" s="13"/>
      <c r="C3" s="13"/>
      <c r="D3" s="13"/>
      <c r="G3" s="22"/>
    </row>
    <row r="4" spans="1:17" s="11" customFormat="1" ht="25.5" customHeight="1" x14ac:dyDescent="0.2">
      <c r="A4" s="268" t="str">
        <f>Overview!B4&amp; " - Effective from "&amp;Overview!D4&amp;" - "&amp;Overview!E4&amp;" new designated EHV charges"</f>
        <v>South Eastern Power Networks - Effective from 1 April 2022 - Final new designated EHV charges</v>
      </c>
      <c r="B4" s="269"/>
      <c r="C4" s="269"/>
      <c r="D4" s="269"/>
      <c r="E4" s="269"/>
      <c r="F4" s="269"/>
      <c r="G4" s="269"/>
      <c r="H4" s="269"/>
      <c r="I4" s="269"/>
      <c r="J4" s="269"/>
      <c r="K4" s="269"/>
      <c r="L4" s="269"/>
      <c r="M4" s="269"/>
      <c r="N4" s="269"/>
      <c r="O4" s="269"/>
      <c r="P4" s="270"/>
    </row>
    <row r="5" spans="1:17" ht="69.75" customHeight="1" x14ac:dyDescent="0.2">
      <c r="A5" s="26" t="s">
        <v>137</v>
      </c>
      <c r="B5" s="26" t="s">
        <v>52</v>
      </c>
      <c r="C5" s="26" t="s">
        <v>35</v>
      </c>
      <c r="D5" s="26" t="s">
        <v>36</v>
      </c>
      <c r="E5" s="26" t="s">
        <v>53</v>
      </c>
      <c r="F5" s="26" t="s">
        <v>35</v>
      </c>
      <c r="G5" s="26" t="s">
        <v>37</v>
      </c>
      <c r="H5" s="64" t="s">
        <v>29</v>
      </c>
      <c r="I5" s="64" t="str">
        <f>'Annex 2 EHV charges'!H9</f>
        <v>Import
Super Red
unit charge
(p/kWh)</v>
      </c>
      <c r="J5" s="64" t="str">
        <f>'Annex 2 EHV charges'!I9</f>
        <v>Import
fixed charge
(p/day)</v>
      </c>
      <c r="K5" s="64" t="str">
        <f>'Annex 2 EHV charges'!J9</f>
        <v>Import
capacity charge
(p/kVA/day)</v>
      </c>
      <c r="L5" s="64" t="str">
        <f>'Annex 2 EHV charges'!K9</f>
        <v>Import
exceeded capacity charge
(p/kVA/day)</v>
      </c>
      <c r="M5" s="64" t="str">
        <f>'Annex 2 EHV charges'!L9</f>
        <v>Export
Super Red
unit charge
(p/kWh)</v>
      </c>
      <c r="N5" s="64" t="str">
        <f>'Annex 2 EHV charges'!M9</f>
        <v>Export
fixed charge
(p/day)</v>
      </c>
      <c r="O5" s="64" t="str">
        <f>'Annex 2 EHV charges'!N9</f>
        <v>Export
capacity charge
(p/kVA/day)</v>
      </c>
      <c r="P5" s="64" t="str">
        <f>'Annex 2 EHV charges'!O9</f>
        <v>Export
exceeded capacity charge
(p/kVA/day)</v>
      </c>
    </row>
    <row r="6" spans="1:17" s="220" customFormat="1" ht="22.5" customHeight="1" x14ac:dyDescent="0.2">
      <c r="A6" s="192">
        <v>44652</v>
      </c>
      <c r="B6" s="193" t="s">
        <v>717</v>
      </c>
      <c r="C6" s="194">
        <v>873</v>
      </c>
      <c r="D6" s="195">
        <v>1900091919588</v>
      </c>
      <c r="E6" s="196" t="s">
        <v>717</v>
      </c>
      <c r="F6" s="197">
        <v>780</v>
      </c>
      <c r="G6" s="195">
        <v>1900091919597</v>
      </c>
      <c r="H6" s="198" t="s">
        <v>717</v>
      </c>
      <c r="I6" s="233">
        <v>2.8580000000000001</v>
      </c>
      <c r="J6" s="234">
        <v>36.24</v>
      </c>
      <c r="K6" s="234">
        <v>1.47</v>
      </c>
      <c r="L6" s="234">
        <v>1.47</v>
      </c>
      <c r="M6" s="232">
        <v>-3.7749999999999999</v>
      </c>
      <c r="N6" s="235">
        <v>966.29</v>
      </c>
      <c r="O6" s="235">
        <v>0.05</v>
      </c>
      <c r="P6" s="235">
        <v>0.05</v>
      </c>
      <c r="Q6" s="2"/>
    </row>
    <row r="7" spans="1:17" ht="22.5" customHeight="1" x14ac:dyDescent="0.2">
      <c r="A7" s="192">
        <v>44652</v>
      </c>
      <c r="B7" s="193" t="s">
        <v>718</v>
      </c>
      <c r="C7" s="194">
        <v>809</v>
      </c>
      <c r="D7" s="195">
        <v>1900091216963</v>
      </c>
      <c r="E7" s="196" t="s">
        <v>718</v>
      </c>
      <c r="F7" s="197">
        <v>741</v>
      </c>
      <c r="G7" s="195">
        <v>1900091216972</v>
      </c>
      <c r="H7" s="198" t="s">
        <v>718</v>
      </c>
      <c r="I7" s="233">
        <v>6.1079999999999997</v>
      </c>
      <c r="J7" s="234">
        <v>9.73</v>
      </c>
      <c r="K7" s="234">
        <v>3.65</v>
      </c>
      <c r="L7" s="234">
        <v>3.65</v>
      </c>
      <c r="M7" s="232">
        <v>0</v>
      </c>
      <c r="N7" s="235">
        <v>992.41</v>
      </c>
      <c r="O7" s="235">
        <v>0.05</v>
      </c>
      <c r="P7" s="235">
        <v>0.05</v>
      </c>
    </row>
    <row r="8" spans="1:17" ht="22.5" customHeight="1" x14ac:dyDescent="0.2">
      <c r="A8" s="192">
        <v>44652</v>
      </c>
      <c r="B8" s="193" t="s">
        <v>721</v>
      </c>
      <c r="C8" s="194">
        <v>840</v>
      </c>
      <c r="D8" s="195">
        <v>1900091482588</v>
      </c>
      <c r="E8" s="196" t="s">
        <v>721</v>
      </c>
      <c r="F8" s="197">
        <v>693</v>
      </c>
      <c r="G8" s="195">
        <v>1900091482597</v>
      </c>
      <c r="H8" s="198" t="s">
        <v>721</v>
      </c>
      <c r="I8" s="233">
        <v>0</v>
      </c>
      <c r="J8" s="234">
        <v>342.17</v>
      </c>
      <c r="K8" s="234">
        <v>0.78</v>
      </c>
      <c r="L8" s="234">
        <v>0.78</v>
      </c>
      <c r="M8" s="232">
        <v>0</v>
      </c>
      <c r="N8" s="235">
        <v>2431.1799999999998</v>
      </c>
      <c r="O8" s="235">
        <v>0.05</v>
      </c>
      <c r="P8" s="235">
        <v>0.05</v>
      </c>
    </row>
    <row r="9" spans="1:17" ht="22.5" customHeight="1" x14ac:dyDescent="0.2">
      <c r="A9" s="192">
        <v>44652</v>
      </c>
      <c r="B9" s="193" t="s">
        <v>722</v>
      </c>
      <c r="C9" s="194">
        <v>841</v>
      </c>
      <c r="D9" s="195">
        <v>1900091632775</v>
      </c>
      <c r="E9" s="196" t="s">
        <v>722</v>
      </c>
      <c r="F9" s="197">
        <v>694</v>
      </c>
      <c r="G9" s="195">
        <v>1900091632784</v>
      </c>
      <c r="H9" s="198" t="s">
        <v>722</v>
      </c>
      <c r="I9" s="233">
        <v>0</v>
      </c>
      <c r="J9" s="234">
        <v>348.91</v>
      </c>
      <c r="K9" s="234">
        <v>0.7</v>
      </c>
      <c r="L9" s="234">
        <v>0.7</v>
      </c>
      <c r="M9" s="232">
        <v>-5.0999999999999997E-2</v>
      </c>
      <c r="N9" s="235">
        <v>348.91</v>
      </c>
      <c r="O9" s="235">
        <v>0.05</v>
      </c>
      <c r="P9" s="235">
        <v>0.05</v>
      </c>
    </row>
    <row r="10" spans="1:17" ht="22.5" customHeight="1" x14ac:dyDescent="0.2">
      <c r="A10" s="192">
        <v>44652</v>
      </c>
      <c r="B10" s="193" t="s">
        <v>723</v>
      </c>
      <c r="C10" s="194">
        <v>890</v>
      </c>
      <c r="D10" s="195">
        <v>1900091343778</v>
      </c>
      <c r="E10" s="196" t="s">
        <v>723</v>
      </c>
      <c r="F10" s="197">
        <v>713</v>
      </c>
      <c r="G10" s="195">
        <v>1900091343787</v>
      </c>
      <c r="H10" s="198" t="s">
        <v>723</v>
      </c>
      <c r="I10" s="233">
        <v>9.2230000000000008</v>
      </c>
      <c r="J10" s="234">
        <v>8.75</v>
      </c>
      <c r="K10" s="234">
        <v>0.98</v>
      </c>
      <c r="L10" s="234">
        <v>0.98</v>
      </c>
      <c r="M10" s="232">
        <v>0</v>
      </c>
      <c r="N10" s="235">
        <v>874.87</v>
      </c>
      <c r="O10" s="235">
        <v>0.05</v>
      </c>
      <c r="P10" s="235">
        <v>0.05</v>
      </c>
    </row>
    <row r="11" spans="1:17" ht="22.5" customHeight="1" x14ac:dyDescent="0.2">
      <c r="A11" s="192">
        <v>44652</v>
      </c>
      <c r="B11" s="193" t="s">
        <v>724</v>
      </c>
      <c r="C11" s="194">
        <v>830</v>
      </c>
      <c r="D11" s="195">
        <v>1900091463646</v>
      </c>
      <c r="E11" s="196" t="s">
        <v>724</v>
      </c>
      <c r="F11" s="197">
        <v>712</v>
      </c>
      <c r="G11" s="195">
        <v>1900091463655</v>
      </c>
      <c r="H11" s="198" t="s">
        <v>724</v>
      </c>
      <c r="I11" s="233">
        <v>9.2230000000000008</v>
      </c>
      <c r="J11" s="234">
        <v>6.67</v>
      </c>
      <c r="K11" s="234">
        <v>1.18</v>
      </c>
      <c r="L11" s="234">
        <v>1.18</v>
      </c>
      <c r="M11" s="232">
        <v>0</v>
      </c>
      <c r="N11" s="235">
        <v>560.07000000000005</v>
      </c>
      <c r="O11" s="235">
        <v>0.05</v>
      </c>
      <c r="P11" s="235">
        <v>0.05</v>
      </c>
    </row>
    <row r="12" spans="1:17" ht="22.5" customHeight="1" x14ac:dyDescent="0.2">
      <c r="A12" s="192">
        <v>44652</v>
      </c>
      <c r="B12" s="193" t="s">
        <v>725</v>
      </c>
      <c r="C12" s="194">
        <v>891</v>
      </c>
      <c r="D12" s="195">
        <v>1900091395508</v>
      </c>
      <c r="E12" s="196" t="s">
        <v>725</v>
      </c>
      <c r="F12" s="197">
        <v>705</v>
      </c>
      <c r="G12" s="195">
        <v>1900091395517</v>
      </c>
      <c r="H12" s="198" t="s">
        <v>725</v>
      </c>
      <c r="I12" s="233">
        <v>3.2000000000000001E-2</v>
      </c>
      <c r="J12" s="234">
        <v>4.75</v>
      </c>
      <c r="K12" s="234">
        <v>2.71</v>
      </c>
      <c r="L12" s="234">
        <v>2.71</v>
      </c>
      <c r="M12" s="232">
        <v>0</v>
      </c>
      <c r="N12" s="235">
        <v>949.35</v>
      </c>
      <c r="O12" s="235">
        <v>0.05</v>
      </c>
      <c r="P12" s="235">
        <v>0.05</v>
      </c>
    </row>
    <row r="13" spans="1:17" ht="22.5" customHeight="1" x14ac:dyDescent="0.2">
      <c r="A13" s="192">
        <v>44652</v>
      </c>
      <c r="B13" s="193" t="s">
        <v>726</v>
      </c>
      <c r="C13" s="194">
        <v>842</v>
      </c>
      <c r="D13" s="195">
        <v>1900091566810</v>
      </c>
      <c r="E13" s="196" t="s">
        <v>726</v>
      </c>
      <c r="F13" s="197">
        <v>695</v>
      </c>
      <c r="G13" s="195">
        <v>1900091566820</v>
      </c>
      <c r="H13" s="198" t="s">
        <v>726</v>
      </c>
      <c r="I13" s="233">
        <v>1.8680000000000001</v>
      </c>
      <c r="J13" s="234">
        <v>348.91</v>
      </c>
      <c r="K13" s="234">
        <v>0.84</v>
      </c>
      <c r="L13" s="234">
        <v>0.84</v>
      </c>
      <c r="M13" s="232">
        <v>-1.877</v>
      </c>
      <c r="N13" s="235">
        <v>348.91</v>
      </c>
      <c r="O13" s="235">
        <v>0.05</v>
      </c>
      <c r="P13" s="235">
        <v>0.05</v>
      </c>
    </row>
    <row r="14" spans="1:17" ht="22.5" customHeight="1" x14ac:dyDescent="0.2">
      <c r="A14" s="192">
        <v>44652</v>
      </c>
      <c r="B14" s="193" t="s">
        <v>727</v>
      </c>
      <c r="C14" s="194">
        <v>843</v>
      </c>
      <c r="D14" s="195">
        <v>1900091523116</v>
      </c>
      <c r="E14" s="196" t="s">
        <v>727</v>
      </c>
      <c r="F14" s="197">
        <v>696</v>
      </c>
      <c r="G14" s="195">
        <v>1900091523125</v>
      </c>
      <c r="H14" s="198" t="s">
        <v>727</v>
      </c>
      <c r="I14" s="233">
        <v>0.02</v>
      </c>
      <c r="J14" s="234">
        <v>34.14</v>
      </c>
      <c r="K14" s="234">
        <v>1.1499999999999999</v>
      </c>
      <c r="L14" s="234">
        <v>1.1499999999999999</v>
      </c>
      <c r="M14" s="232">
        <v>-0.38600000000000001</v>
      </c>
      <c r="N14" s="235">
        <v>728.42</v>
      </c>
      <c r="O14" s="235">
        <v>0.05</v>
      </c>
      <c r="P14" s="235">
        <v>0.05</v>
      </c>
    </row>
    <row r="15" spans="1:17" ht="30" customHeight="1" x14ac:dyDescent="0.2">
      <c r="A15" s="192">
        <v>44652</v>
      </c>
      <c r="B15" s="193" t="s">
        <v>728</v>
      </c>
      <c r="C15" s="194">
        <v>871</v>
      </c>
      <c r="D15" s="195" t="s">
        <v>796</v>
      </c>
      <c r="E15" s="196" t="s">
        <v>728</v>
      </c>
      <c r="F15" s="197">
        <v>726</v>
      </c>
      <c r="G15" s="195" t="s">
        <v>797</v>
      </c>
      <c r="H15" s="198" t="s">
        <v>728</v>
      </c>
      <c r="I15" s="233">
        <v>0</v>
      </c>
      <c r="J15" s="234">
        <v>22.72</v>
      </c>
      <c r="K15" s="234">
        <v>0.68</v>
      </c>
      <c r="L15" s="234">
        <v>0.68</v>
      </c>
      <c r="M15" s="232">
        <v>0</v>
      </c>
      <c r="N15" s="235">
        <v>0</v>
      </c>
      <c r="O15" s="235">
        <v>0</v>
      </c>
      <c r="P15" s="235">
        <v>0</v>
      </c>
    </row>
    <row r="16" spans="1:17" ht="22.5" customHeight="1" x14ac:dyDescent="0.2">
      <c r="A16" s="192">
        <v>44652</v>
      </c>
      <c r="B16" s="193" t="s">
        <v>732</v>
      </c>
      <c r="C16" s="194">
        <v>894</v>
      </c>
      <c r="D16" s="195">
        <v>1900091343750</v>
      </c>
      <c r="E16" s="196" t="s">
        <v>732</v>
      </c>
      <c r="F16" s="197">
        <v>716</v>
      </c>
      <c r="G16" s="195">
        <v>1900091343769</v>
      </c>
      <c r="H16" s="198" t="s">
        <v>732</v>
      </c>
      <c r="I16" s="233">
        <v>4.2720000000000002</v>
      </c>
      <c r="J16" s="234">
        <v>6.59</v>
      </c>
      <c r="K16" s="234">
        <v>1.23</v>
      </c>
      <c r="L16" s="234">
        <v>1.23</v>
      </c>
      <c r="M16" s="232">
        <v>0</v>
      </c>
      <c r="N16" s="235">
        <v>659.2</v>
      </c>
      <c r="O16" s="235">
        <v>0.05</v>
      </c>
      <c r="P16" s="235">
        <v>0.05</v>
      </c>
    </row>
    <row r="17" spans="1:17" ht="22.5" customHeight="1" x14ac:dyDescent="0.2">
      <c r="A17" s="192">
        <v>44652</v>
      </c>
      <c r="B17" s="193" t="s">
        <v>733</v>
      </c>
      <c r="C17" s="194">
        <v>872</v>
      </c>
      <c r="D17" s="195">
        <v>1900060831692</v>
      </c>
      <c r="E17" s="196" t="s">
        <v>733</v>
      </c>
      <c r="F17" s="197">
        <v>730</v>
      </c>
      <c r="G17" s="195">
        <v>1900060831708</v>
      </c>
      <c r="H17" s="198" t="s">
        <v>733</v>
      </c>
      <c r="I17" s="233">
        <v>2E-3</v>
      </c>
      <c r="J17" s="234">
        <v>113.2</v>
      </c>
      <c r="K17" s="234">
        <v>0.68</v>
      </c>
      <c r="L17" s="234">
        <v>0.68</v>
      </c>
      <c r="M17" s="232">
        <v>-4.0000000000000001E-3</v>
      </c>
      <c r="N17" s="235">
        <v>301.87</v>
      </c>
      <c r="O17" s="235">
        <v>0.05</v>
      </c>
      <c r="P17" s="235">
        <v>0.05</v>
      </c>
    </row>
    <row r="18" spans="1:17" ht="22.5" customHeight="1" x14ac:dyDescent="0.2">
      <c r="A18" s="192">
        <v>44652</v>
      </c>
      <c r="B18" s="193" t="s">
        <v>736</v>
      </c>
      <c r="C18" s="194">
        <v>895</v>
      </c>
      <c r="D18" s="195">
        <v>1900091361962</v>
      </c>
      <c r="E18" s="196" t="s">
        <v>736</v>
      </c>
      <c r="F18" s="197">
        <v>707</v>
      </c>
      <c r="G18" s="195">
        <v>1900091361971</v>
      </c>
      <c r="H18" s="198" t="s">
        <v>736</v>
      </c>
      <c r="I18" s="233">
        <v>1.0029999999999999</v>
      </c>
      <c r="J18" s="234">
        <v>11.46</v>
      </c>
      <c r="K18" s="234">
        <v>0.98</v>
      </c>
      <c r="L18" s="234">
        <v>0.98</v>
      </c>
      <c r="M18" s="232">
        <v>0</v>
      </c>
      <c r="N18" s="235">
        <v>654.76</v>
      </c>
      <c r="O18" s="235">
        <v>0.05</v>
      </c>
      <c r="P18" s="235">
        <v>0.05</v>
      </c>
    </row>
    <row r="19" spans="1:17" ht="22.5" customHeight="1" x14ac:dyDescent="0.2">
      <c r="A19" s="192">
        <v>44652</v>
      </c>
      <c r="B19" s="193" t="s">
        <v>737</v>
      </c>
      <c r="C19" s="194">
        <v>811</v>
      </c>
      <c r="D19" s="195">
        <v>1900091200388</v>
      </c>
      <c r="E19" s="196" t="s">
        <v>737</v>
      </c>
      <c r="F19" s="197">
        <v>743</v>
      </c>
      <c r="G19" s="195">
        <v>1900091200397</v>
      </c>
      <c r="H19" s="198" t="s">
        <v>737</v>
      </c>
      <c r="I19" s="233">
        <v>0</v>
      </c>
      <c r="J19" s="234">
        <v>18.079999999999998</v>
      </c>
      <c r="K19" s="234">
        <v>1.1000000000000001</v>
      </c>
      <c r="L19" s="234">
        <v>1.1000000000000001</v>
      </c>
      <c r="M19" s="232">
        <v>0</v>
      </c>
      <c r="N19" s="235">
        <v>903.98</v>
      </c>
      <c r="O19" s="235">
        <v>0.05</v>
      </c>
      <c r="P19" s="235">
        <v>0.05</v>
      </c>
    </row>
    <row r="20" spans="1:17" ht="22.5" customHeight="1" x14ac:dyDescent="0.2">
      <c r="A20" s="192">
        <v>44652</v>
      </c>
      <c r="B20" s="193" t="s">
        <v>740</v>
      </c>
      <c r="C20" s="194">
        <v>831</v>
      </c>
      <c r="D20" s="195">
        <v>1900091338040</v>
      </c>
      <c r="E20" s="196" t="s">
        <v>740</v>
      </c>
      <c r="F20" s="197">
        <v>708</v>
      </c>
      <c r="G20" s="195">
        <v>1900091338059</v>
      </c>
      <c r="H20" s="198" t="s">
        <v>740</v>
      </c>
      <c r="I20" s="233">
        <v>0.90300000000000002</v>
      </c>
      <c r="J20" s="234">
        <v>15.3</v>
      </c>
      <c r="K20" s="234">
        <v>1.27</v>
      </c>
      <c r="L20" s="234">
        <v>1.27</v>
      </c>
      <c r="M20" s="232">
        <v>0</v>
      </c>
      <c r="N20" s="235">
        <v>1530.46</v>
      </c>
      <c r="O20" s="235">
        <v>0.05</v>
      </c>
      <c r="P20" s="235">
        <v>0.05</v>
      </c>
    </row>
    <row r="21" spans="1:17" ht="22.5" customHeight="1" x14ac:dyDescent="0.2">
      <c r="A21" s="192">
        <v>44652</v>
      </c>
      <c r="B21" s="193" t="s">
        <v>741</v>
      </c>
      <c r="C21" s="194">
        <v>812</v>
      </c>
      <c r="D21" s="195">
        <v>1900091217043</v>
      </c>
      <c r="E21" s="196" t="s">
        <v>741</v>
      </c>
      <c r="F21" s="197">
        <v>744</v>
      </c>
      <c r="G21" s="195">
        <v>1900091217052</v>
      </c>
      <c r="H21" s="198" t="s">
        <v>741</v>
      </c>
      <c r="I21" s="233">
        <v>0.52600000000000002</v>
      </c>
      <c r="J21" s="234">
        <v>1.84</v>
      </c>
      <c r="K21" s="234">
        <v>2.5499999999999998</v>
      </c>
      <c r="L21" s="234">
        <v>2.5499999999999998</v>
      </c>
      <c r="M21" s="232">
        <v>0</v>
      </c>
      <c r="N21" s="235">
        <v>695.99</v>
      </c>
      <c r="O21" s="235">
        <v>0.05</v>
      </c>
      <c r="P21" s="235">
        <v>0.05</v>
      </c>
    </row>
    <row r="22" spans="1:17" ht="30" customHeight="1" x14ac:dyDescent="0.2">
      <c r="A22" s="192">
        <v>44652</v>
      </c>
      <c r="B22" s="193" t="s">
        <v>742</v>
      </c>
      <c r="C22" s="194">
        <v>876</v>
      </c>
      <c r="D22" s="195" t="s">
        <v>798</v>
      </c>
      <c r="E22" s="196" t="s">
        <v>742</v>
      </c>
      <c r="F22" s="197">
        <v>728</v>
      </c>
      <c r="G22" s="195" t="s">
        <v>799</v>
      </c>
      <c r="H22" s="198" t="s">
        <v>742</v>
      </c>
      <c r="I22" s="233">
        <v>0</v>
      </c>
      <c r="J22" s="234">
        <v>1.82</v>
      </c>
      <c r="K22" s="234">
        <v>0.64</v>
      </c>
      <c r="L22" s="234">
        <v>0.64</v>
      </c>
      <c r="M22" s="232">
        <v>0</v>
      </c>
      <c r="N22" s="235">
        <v>0</v>
      </c>
      <c r="O22" s="235">
        <v>0</v>
      </c>
      <c r="P22" s="235">
        <v>0</v>
      </c>
    </row>
    <row r="23" spans="1:17" ht="22.5" customHeight="1" x14ac:dyDescent="0.2">
      <c r="A23" s="192">
        <v>44652</v>
      </c>
      <c r="B23" s="193" t="s">
        <v>743</v>
      </c>
      <c r="C23" s="194">
        <v>813</v>
      </c>
      <c r="D23" s="195">
        <v>1900091217070</v>
      </c>
      <c r="E23" s="196" t="s">
        <v>743</v>
      </c>
      <c r="F23" s="197">
        <v>745</v>
      </c>
      <c r="G23" s="195">
        <v>1900091217080</v>
      </c>
      <c r="H23" s="198" t="s">
        <v>743</v>
      </c>
      <c r="I23" s="233">
        <v>0</v>
      </c>
      <c r="J23" s="234">
        <v>9.5</v>
      </c>
      <c r="K23" s="234">
        <v>1.02</v>
      </c>
      <c r="L23" s="234">
        <v>1.02</v>
      </c>
      <c r="M23" s="232">
        <v>0</v>
      </c>
      <c r="N23" s="235">
        <v>766.09</v>
      </c>
      <c r="O23" s="235">
        <v>0.05</v>
      </c>
      <c r="P23" s="235">
        <v>0.05</v>
      </c>
    </row>
    <row r="24" spans="1:17" ht="22.5" customHeight="1" x14ac:dyDescent="0.2">
      <c r="A24" s="192">
        <v>44652</v>
      </c>
      <c r="B24" s="193" t="s">
        <v>744</v>
      </c>
      <c r="C24" s="194">
        <v>824</v>
      </c>
      <c r="D24" s="195">
        <v>1900091200068</v>
      </c>
      <c r="E24" s="196" t="s">
        <v>744</v>
      </c>
      <c r="F24" s="197">
        <v>701</v>
      </c>
      <c r="G24" s="195">
        <v>1900091200077</v>
      </c>
      <c r="H24" s="198" t="s">
        <v>744</v>
      </c>
      <c r="I24" s="233">
        <v>0</v>
      </c>
      <c r="J24" s="234">
        <v>13.3</v>
      </c>
      <c r="K24" s="234">
        <v>12.78</v>
      </c>
      <c r="L24" s="234">
        <v>12.78</v>
      </c>
      <c r="M24" s="232">
        <v>0</v>
      </c>
      <c r="N24" s="235">
        <v>1728.82</v>
      </c>
      <c r="O24" s="235">
        <v>0.05</v>
      </c>
      <c r="P24" s="235">
        <v>0.05</v>
      </c>
    </row>
    <row r="25" spans="1:17" ht="22.5" customHeight="1" x14ac:dyDescent="0.2">
      <c r="A25" s="213">
        <v>44652</v>
      </c>
      <c r="B25" s="214" t="s">
        <v>1580</v>
      </c>
      <c r="C25" s="215"/>
      <c r="D25" s="216" t="s">
        <v>1581</v>
      </c>
      <c r="E25" s="217" t="s">
        <v>1580</v>
      </c>
      <c r="F25" s="218"/>
      <c r="G25" s="216" t="s">
        <v>1582</v>
      </c>
      <c r="H25" s="219" t="s">
        <v>1580</v>
      </c>
      <c r="I25" s="238">
        <v>2.8719999999999999</v>
      </c>
      <c r="J25" s="239">
        <v>32480.3</v>
      </c>
      <c r="K25" s="239">
        <v>0.67</v>
      </c>
      <c r="L25" s="239">
        <v>0.67</v>
      </c>
      <c r="M25" s="236">
        <v>-2.8839999999999999</v>
      </c>
      <c r="N25" s="237">
        <v>785.58</v>
      </c>
      <c r="O25" s="237">
        <v>0.05</v>
      </c>
      <c r="P25" s="237">
        <v>0.05</v>
      </c>
      <c r="Q25" s="220"/>
    </row>
    <row r="26" spans="1:17" ht="22.5" customHeight="1" x14ac:dyDescent="0.2">
      <c r="A26" s="192">
        <v>44652</v>
      </c>
      <c r="B26" s="193" t="s">
        <v>1580</v>
      </c>
      <c r="C26" s="194"/>
      <c r="D26" s="195" t="s">
        <v>1759</v>
      </c>
      <c r="E26" s="196" t="s">
        <v>1580</v>
      </c>
      <c r="F26" s="197"/>
      <c r="G26" s="195" t="s">
        <v>1582</v>
      </c>
      <c r="H26" s="198" t="s">
        <v>1580</v>
      </c>
      <c r="I26" s="233">
        <v>2.8719999999999999</v>
      </c>
      <c r="J26" s="234">
        <v>745.61</v>
      </c>
      <c r="K26" s="234">
        <v>0.67</v>
      </c>
      <c r="L26" s="234">
        <v>0.67</v>
      </c>
      <c r="M26" s="232">
        <v>-2.8839999999999999</v>
      </c>
      <c r="N26" s="235">
        <v>785.09</v>
      </c>
      <c r="O26" s="235">
        <v>0.05</v>
      </c>
      <c r="P26" s="235">
        <v>0.05</v>
      </c>
    </row>
    <row r="27" spans="1:17" ht="22.5" customHeight="1" x14ac:dyDescent="0.2">
      <c r="A27" s="192">
        <v>44652</v>
      </c>
      <c r="B27" s="193" t="s">
        <v>748</v>
      </c>
      <c r="C27" s="194">
        <v>803</v>
      </c>
      <c r="D27" s="195">
        <v>1900091091930</v>
      </c>
      <c r="E27" s="196" t="s">
        <v>748</v>
      </c>
      <c r="F27" s="197">
        <v>735</v>
      </c>
      <c r="G27" s="195">
        <v>1900091091940</v>
      </c>
      <c r="H27" s="198" t="s">
        <v>748</v>
      </c>
      <c r="I27" s="233">
        <v>0</v>
      </c>
      <c r="J27" s="234">
        <v>13.68</v>
      </c>
      <c r="K27" s="234">
        <v>1.3</v>
      </c>
      <c r="L27" s="234">
        <v>1.3</v>
      </c>
      <c r="M27" s="232">
        <v>0</v>
      </c>
      <c r="N27" s="235">
        <v>1292.79</v>
      </c>
      <c r="O27" s="235">
        <v>0.05</v>
      </c>
      <c r="P27" s="235">
        <v>0.05</v>
      </c>
    </row>
    <row r="28" spans="1:17" ht="22.5" customHeight="1" x14ac:dyDescent="0.2">
      <c r="A28" s="192">
        <v>44652</v>
      </c>
      <c r="B28" s="193" t="s">
        <v>749</v>
      </c>
      <c r="C28" s="194">
        <v>815</v>
      </c>
      <c r="D28" s="195">
        <v>1900091171267</v>
      </c>
      <c r="E28" s="196" t="s">
        <v>749</v>
      </c>
      <c r="F28" s="197">
        <v>747</v>
      </c>
      <c r="G28" s="195">
        <v>1900091171276</v>
      </c>
      <c r="H28" s="198" t="s">
        <v>749</v>
      </c>
      <c r="I28" s="233">
        <v>0.28000000000000003</v>
      </c>
      <c r="J28" s="234">
        <v>7.94</v>
      </c>
      <c r="K28" s="234">
        <v>2.97</v>
      </c>
      <c r="L28" s="234">
        <v>2.97</v>
      </c>
      <c r="M28" s="232">
        <v>0</v>
      </c>
      <c r="N28" s="235">
        <v>744.35</v>
      </c>
      <c r="O28" s="235">
        <v>0.05</v>
      </c>
      <c r="P28" s="235">
        <v>0.05</v>
      </c>
    </row>
    <row r="29" spans="1:17" ht="22.5" customHeight="1" x14ac:dyDescent="0.2">
      <c r="A29" s="192">
        <v>44652</v>
      </c>
      <c r="B29" s="193" t="s">
        <v>750</v>
      </c>
      <c r="C29" s="194">
        <v>878</v>
      </c>
      <c r="D29" s="195">
        <v>1900090194653</v>
      </c>
      <c r="E29" s="196" t="s">
        <v>750</v>
      </c>
      <c r="F29" s="197">
        <v>721</v>
      </c>
      <c r="G29" s="195">
        <v>1900090194644</v>
      </c>
      <c r="H29" s="198" t="s">
        <v>750</v>
      </c>
      <c r="I29" s="233">
        <v>4.3999999999999997E-2</v>
      </c>
      <c r="J29" s="234">
        <v>5.93</v>
      </c>
      <c r="K29" s="234">
        <v>0.73</v>
      </c>
      <c r="L29" s="234">
        <v>0.73</v>
      </c>
      <c r="M29" s="232">
        <v>0</v>
      </c>
      <c r="N29" s="235">
        <v>769.66</v>
      </c>
      <c r="O29" s="235">
        <v>0.05</v>
      </c>
      <c r="P29" s="235">
        <v>0.05</v>
      </c>
    </row>
    <row r="30" spans="1:17" ht="22.5" customHeight="1" x14ac:dyDescent="0.2">
      <c r="A30" s="192">
        <v>44652</v>
      </c>
      <c r="B30" s="193" t="s">
        <v>751</v>
      </c>
      <c r="C30" s="194">
        <v>808</v>
      </c>
      <c r="D30" s="195">
        <v>1900091081560</v>
      </c>
      <c r="E30" s="196" t="s">
        <v>751</v>
      </c>
      <c r="F30" s="197">
        <v>736</v>
      </c>
      <c r="G30" s="195">
        <v>1900091081570</v>
      </c>
      <c r="H30" s="198" t="s">
        <v>751</v>
      </c>
      <c r="I30" s="233">
        <v>6.742</v>
      </c>
      <c r="J30" s="234">
        <v>12.94</v>
      </c>
      <c r="K30" s="234">
        <v>2.0299999999999998</v>
      </c>
      <c r="L30" s="234">
        <v>2.0299999999999998</v>
      </c>
      <c r="M30" s="232">
        <v>0</v>
      </c>
      <c r="N30" s="235">
        <v>1293.53</v>
      </c>
      <c r="O30" s="235">
        <v>0.05</v>
      </c>
      <c r="P30" s="235">
        <v>0.05</v>
      </c>
    </row>
    <row r="31" spans="1:17" ht="22.5" customHeight="1" x14ac:dyDescent="0.2">
      <c r="A31" s="192">
        <v>44652</v>
      </c>
      <c r="B31" s="193" t="s">
        <v>752</v>
      </c>
      <c r="C31" s="194">
        <v>816</v>
      </c>
      <c r="D31" s="195">
        <v>1900091200138</v>
      </c>
      <c r="E31" s="196" t="s">
        <v>752</v>
      </c>
      <c r="F31" s="197">
        <v>748</v>
      </c>
      <c r="G31" s="195">
        <v>1900091200147</v>
      </c>
      <c r="H31" s="198" t="s">
        <v>752</v>
      </c>
      <c r="I31" s="233">
        <v>1.1279999999999999</v>
      </c>
      <c r="J31" s="234">
        <v>11.09</v>
      </c>
      <c r="K31" s="234">
        <v>1.38</v>
      </c>
      <c r="L31" s="234">
        <v>1.38</v>
      </c>
      <c r="M31" s="232">
        <v>0</v>
      </c>
      <c r="N31" s="235">
        <v>776.43</v>
      </c>
      <c r="O31" s="235">
        <v>0.05</v>
      </c>
      <c r="P31" s="235">
        <v>0.05</v>
      </c>
    </row>
    <row r="32" spans="1:17" ht="22.5" customHeight="1" x14ac:dyDescent="0.2">
      <c r="A32" s="192">
        <v>44652</v>
      </c>
      <c r="B32" s="193" t="s">
        <v>753</v>
      </c>
      <c r="C32" s="194">
        <v>896</v>
      </c>
      <c r="D32" s="195">
        <v>1900091310596</v>
      </c>
      <c r="E32" s="196" t="s">
        <v>753</v>
      </c>
      <c r="F32" s="197">
        <v>709</v>
      </c>
      <c r="G32" s="195">
        <v>1900091310601</v>
      </c>
      <c r="H32" s="198" t="s">
        <v>753</v>
      </c>
      <c r="I32" s="233">
        <v>0</v>
      </c>
      <c r="J32" s="234">
        <v>20.22</v>
      </c>
      <c r="K32" s="234">
        <v>1.04</v>
      </c>
      <c r="L32" s="234">
        <v>1.04</v>
      </c>
      <c r="M32" s="232">
        <v>0</v>
      </c>
      <c r="N32" s="235">
        <v>824.96</v>
      </c>
      <c r="O32" s="235">
        <v>0.05</v>
      </c>
      <c r="P32" s="235">
        <v>0.05</v>
      </c>
    </row>
    <row r="33" spans="1:16" ht="22.5" customHeight="1" x14ac:dyDescent="0.2">
      <c r="A33" s="192">
        <v>44652</v>
      </c>
      <c r="B33" s="193" t="s">
        <v>754</v>
      </c>
      <c r="C33" s="194">
        <v>819</v>
      </c>
      <c r="D33" s="195">
        <v>1900091183402</v>
      </c>
      <c r="E33" s="196" t="s">
        <v>754</v>
      </c>
      <c r="F33" s="197">
        <v>751</v>
      </c>
      <c r="G33" s="195">
        <v>1900091183411</v>
      </c>
      <c r="H33" s="198" t="s">
        <v>754</v>
      </c>
      <c r="I33" s="233">
        <v>3.0000000000000001E-3</v>
      </c>
      <c r="J33" s="234">
        <v>2.5099999999999998</v>
      </c>
      <c r="K33" s="234">
        <v>1.72</v>
      </c>
      <c r="L33" s="234">
        <v>1.72</v>
      </c>
      <c r="M33" s="232">
        <v>0</v>
      </c>
      <c r="N33" s="235">
        <v>314.37</v>
      </c>
      <c r="O33" s="235">
        <v>0.05</v>
      </c>
      <c r="P33" s="235">
        <v>0.05</v>
      </c>
    </row>
    <row r="34" spans="1:16" ht="22.5" customHeight="1" x14ac:dyDescent="0.2">
      <c r="A34" s="192">
        <v>44652</v>
      </c>
      <c r="B34" s="193" t="s">
        <v>755</v>
      </c>
      <c r="C34" s="194">
        <v>817</v>
      </c>
      <c r="D34" s="195">
        <v>1900091079241</v>
      </c>
      <c r="E34" s="196" t="s">
        <v>755</v>
      </c>
      <c r="F34" s="197">
        <v>749</v>
      </c>
      <c r="G34" s="195">
        <v>1900091079232</v>
      </c>
      <c r="H34" s="198" t="s">
        <v>755</v>
      </c>
      <c r="I34" s="233">
        <v>0</v>
      </c>
      <c r="J34" s="234">
        <v>1.39</v>
      </c>
      <c r="K34" s="234">
        <v>2.59</v>
      </c>
      <c r="L34" s="234">
        <v>2.59</v>
      </c>
      <c r="M34" s="232">
        <v>0</v>
      </c>
      <c r="N34" s="235">
        <v>664.83</v>
      </c>
      <c r="O34" s="235">
        <v>0.05</v>
      </c>
      <c r="P34" s="235">
        <v>0.05</v>
      </c>
    </row>
    <row r="35" spans="1:16" ht="22.5" customHeight="1" x14ac:dyDescent="0.2">
      <c r="A35" s="192">
        <v>44652</v>
      </c>
      <c r="B35" s="193" t="s">
        <v>756</v>
      </c>
      <c r="C35" s="194">
        <v>897</v>
      </c>
      <c r="D35" s="195">
        <v>1900091199138</v>
      </c>
      <c r="E35" s="196" t="s">
        <v>756</v>
      </c>
      <c r="F35" s="197">
        <v>710</v>
      </c>
      <c r="G35" s="195">
        <v>1900091199147</v>
      </c>
      <c r="H35" s="198" t="s">
        <v>756</v>
      </c>
      <c r="I35" s="233">
        <v>0</v>
      </c>
      <c r="J35" s="234">
        <v>1014.63</v>
      </c>
      <c r="K35" s="234">
        <v>0.61</v>
      </c>
      <c r="L35" s="234">
        <v>0.61</v>
      </c>
      <c r="M35" s="232">
        <v>0</v>
      </c>
      <c r="N35" s="235">
        <v>5336.95</v>
      </c>
      <c r="O35" s="235">
        <v>0.05</v>
      </c>
      <c r="P35" s="235">
        <v>0.05</v>
      </c>
    </row>
    <row r="36" spans="1:16" ht="22.5" customHeight="1" x14ac:dyDescent="0.2">
      <c r="A36" s="192">
        <v>44652</v>
      </c>
      <c r="B36" s="193" t="s">
        <v>757</v>
      </c>
      <c r="C36" s="194">
        <v>800</v>
      </c>
      <c r="D36" s="195">
        <v>1900090585014</v>
      </c>
      <c r="E36" s="196" t="s">
        <v>757</v>
      </c>
      <c r="F36" s="197">
        <v>700</v>
      </c>
      <c r="G36" s="195">
        <v>1900090585005</v>
      </c>
      <c r="H36" s="198" t="s">
        <v>757</v>
      </c>
      <c r="I36" s="233">
        <v>0.60599999999999998</v>
      </c>
      <c r="J36" s="234">
        <v>39.61</v>
      </c>
      <c r="K36" s="234">
        <v>0.65</v>
      </c>
      <c r="L36" s="234">
        <v>0.65</v>
      </c>
      <c r="M36" s="232">
        <v>-0.60599999999999998</v>
      </c>
      <c r="N36" s="235">
        <v>277.27</v>
      </c>
      <c r="O36" s="235">
        <v>0.05</v>
      </c>
      <c r="P36" s="235">
        <v>0.05</v>
      </c>
    </row>
    <row r="37" spans="1:16" ht="22.5" customHeight="1" x14ac:dyDescent="0.2">
      <c r="A37" s="192">
        <v>44652</v>
      </c>
      <c r="B37" s="193" t="s">
        <v>759</v>
      </c>
      <c r="C37" s="194">
        <v>820</v>
      </c>
      <c r="D37" s="195">
        <v>1900091197414</v>
      </c>
      <c r="E37" s="196" t="s">
        <v>759</v>
      </c>
      <c r="F37" s="197">
        <v>752</v>
      </c>
      <c r="G37" s="195">
        <v>1900091197423</v>
      </c>
      <c r="H37" s="198" t="s">
        <v>759</v>
      </c>
      <c r="I37" s="233">
        <v>6.9180000000000001</v>
      </c>
      <c r="J37" s="234">
        <v>5.77</v>
      </c>
      <c r="K37" s="234">
        <v>1.88</v>
      </c>
      <c r="L37" s="234">
        <v>1.88</v>
      </c>
      <c r="M37" s="232">
        <v>0</v>
      </c>
      <c r="N37" s="235">
        <v>634.39</v>
      </c>
      <c r="O37" s="235">
        <v>0.05</v>
      </c>
      <c r="P37" s="235">
        <v>0.05</v>
      </c>
    </row>
    <row r="38" spans="1:16" ht="22.5" customHeight="1" x14ac:dyDescent="0.2">
      <c r="A38" s="192">
        <v>44652</v>
      </c>
      <c r="B38" s="193" t="s">
        <v>760</v>
      </c>
      <c r="C38" s="194">
        <v>805</v>
      </c>
      <c r="D38" s="195">
        <v>1900091024517</v>
      </c>
      <c r="E38" s="196" t="s">
        <v>760</v>
      </c>
      <c r="F38" s="197">
        <v>739</v>
      </c>
      <c r="G38" s="195">
        <v>1900091024526</v>
      </c>
      <c r="H38" s="198" t="s">
        <v>760</v>
      </c>
      <c r="I38" s="233">
        <v>5.0000000000000001E-3</v>
      </c>
      <c r="J38" s="234">
        <v>4.17</v>
      </c>
      <c r="K38" s="234">
        <v>4.22</v>
      </c>
      <c r="L38" s="234">
        <v>4.22</v>
      </c>
      <c r="M38" s="232">
        <v>0</v>
      </c>
      <c r="N38" s="235">
        <v>834.6</v>
      </c>
      <c r="O38" s="235">
        <v>0.05</v>
      </c>
      <c r="P38" s="235">
        <v>0.05</v>
      </c>
    </row>
    <row r="39" spans="1:16" ht="60" customHeight="1" x14ac:dyDescent="0.2">
      <c r="A39" s="192">
        <v>44652</v>
      </c>
      <c r="B39" s="193" t="s">
        <v>761</v>
      </c>
      <c r="C39" s="194">
        <v>898</v>
      </c>
      <c r="D39" s="195" t="s">
        <v>800</v>
      </c>
      <c r="E39" s="196" t="s">
        <v>761</v>
      </c>
      <c r="F39" s="197">
        <v>753</v>
      </c>
      <c r="G39" s="195" t="s">
        <v>801</v>
      </c>
      <c r="H39" s="198" t="s">
        <v>761</v>
      </c>
      <c r="I39" s="233">
        <v>3.2000000000000001E-2</v>
      </c>
      <c r="J39" s="234">
        <v>5.24</v>
      </c>
      <c r="K39" s="234">
        <v>3.55</v>
      </c>
      <c r="L39" s="234">
        <v>3.55</v>
      </c>
      <c r="M39" s="232">
        <v>0</v>
      </c>
      <c r="N39" s="235">
        <v>943.05</v>
      </c>
      <c r="O39" s="235">
        <v>0.05</v>
      </c>
      <c r="P39" s="235">
        <v>0.05</v>
      </c>
    </row>
    <row r="40" spans="1:16" ht="22.5" customHeight="1" x14ac:dyDescent="0.2">
      <c r="A40" s="192">
        <v>44652</v>
      </c>
      <c r="B40" s="193" t="s">
        <v>762</v>
      </c>
      <c r="C40" s="194">
        <v>822</v>
      </c>
      <c r="D40" s="195">
        <v>1900091216634</v>
      </c>
      <c r="E40" s="196" t="s">
        <v>762</v>
      </c>
      <c r="F40" s="197">
        <v>754</v>
      </c>
      <c r="G40" s="195">
        <v>1900091216643</v>
      </c>
      <c r="H40" s="198" t="s">
        <v>762</v>
      </c>
      <c r="I40" s="233">
        <v>0.59</v>
      </c>
      <c r="J40" s="234">
        <v>4.38</v>
      </c>
      <c r="K40" s="234">
        <v>1.52</v>
      </c>
      <c r="L40" s="234">
        <v>1.52</v>
      </c>
      <c r="M40" s="232">
        <v>0</v>
      </c>
      <c r="N40" s="235">
        <v>693.45</v>
      </c>
      <c r="O40" s="235">
        <v>0.05</v>
      </c>
      <c r="P40" s="235">
        <v>0.05</v>
      </c>
    </row>
    <row r="41" spans="1:16" ht="22.5" customHeight="1" x14ac:dyDescent="0.2">
      <c r="A41" s="213">
        <v>44652</v>
      </c>
      <c r="B41" s="214" t="s">
        <v>763</v>
      </c>
      <c r="C41" s="215">
        <v>827</v>
      </c>
      <c r="D41" s="216">
        <v>1900091227307</v>
      </c>
      <c r="E41" s="217" t="s">
        <v>763</v>
      </c>
      <c r="F41" s="218">
        <v>719</v>
      </c>
      <c r="G41" s="216">
        <v>1900091227316</v>
      </c>
      <c r="H41" s="219" t="s">
        <v>763</v>
      </c>
      <c r="I41" s="238">
        <v>8.0000000000000002E-3</v>
      </c>
      <c r="J41" s="239">
        <v>1028.3800000000001</v>
      </c>
      <c r="K41" s="239">
        <v>0.96</v>
      </c>
      <c r="L41" s="239">
        <v>0.96</v>
      </c>
      <c r="M41" s="236">
        <v>0</v>
      </c>
      <c r="N41" s="237">
        <v>310.67</v>
      </c>
      <c r="O41" s="237">
        <v>0.05</v>
      </c>
      <c r="P41" s="237">
        <v>0.05</v>
      </c>
    </row>
    <row r="42" spans="1:16" ht="22.5" customHeight="1" x14ac:dyDescent="0.2">
      <c r="A42" s="192">
        <v>44652</v>
      </c>
      <c r="B42" s="193" t="s">
        <v>763</v>
      </c>
      <c r="C42" s="194">
        <v>827</v>
      </c>
      <c r="D42" s="195">
        <v>1900091227307</v>
      </c>
      <c r="E42" s="196" t="s">
        <v>763</v>
      </c>
      <c r="F42" s="197">
        <v>719</v>
      </c>
      <c r="G42" s="195">
        <v>1900091227316</v>
      </c>
      <c r="H42" s="198" t="s">
        <v>763</v>
      </c>
      <c r="I42" s="233">
        <v>8.0000000000000002E-3</v>
      </c>
      <c r="J42" s="234">
        <v>6.21</v>
      </c>
      <c r="K42" s="234">
        <v>0.96</v>
      </c>
      <c r="L42" s="234">
        <v>0.96</v>
      </c>
      <c r="M42" s="232">
        <v>0</v>
      </c>
      <c r="N42" s="235">
        <v>310.67</v>
      </c>
      <c r="O42" s="235">
        <v>0.05</v>
      </c>
      <c r="P42" s="235">
        <v>0.05</v>
      </c>
    </row>
    <row r="43" spans="1:16" ht="22.5" customHeight="1" x14ac:dyDescent="0.2">
      <c r="A43" s="192">
        <v>44652</v>
      </c>
      <c r="B43" s="193" t="s">
        <v>764</v>
      </c>
      <c r="C43" s="194">
        <v>899</v>
      </c>
      <c r="D43" s="195">
        <v>1900091319942</v>
      </c>
      <c r="E43" s="196" t="s">
        <v>764</v>
      </c>
      <c r="F43" s="197">
        <v>717</v>
      </c>
      <c r="G43" s="195">
        <v>1900091320006</v>
      </c>
      <c r="H43" s="198" t="s">
        <v>764</v>
      </c>
      <c r="I43" s="233">
        <v>0.96299999999999997</v>
      </c>
      <c r="J43" s="234">
        <v>4.3600000000000003</v>
      </c>
      <c r="K43" s="234">
        <v>1.36</v>
      </c>
      <c r="L43" s="234">
        <v>1.36</v>
      </c>
      <c r="M43" s="232">
        <v>0</v>
      </c>
      <c r="N43" s="235">
        <v>655.03</v>
      </c>
      <c r="O43" s="235">
        <v>0.05</v>
      </c>
      <c r="P43" s="235">
        <v>0.05</v>
      </c>
    </row>
    <row r="44" spans="1:16" ht="22.5" customHeight="1" x14ac:dyDescent="0.2">
      <c r="A44" s="192">
        <v>44652</v>
      </c>
      <c r="B44" s="193" t="s">
        <v>765</v>
      </c>
      <c r="C44" s="194">
        <v>826</v>
      </c>
      <c r="D44" s="195">
        <v>1900091178954</v>
      </c>
      <c r="E44" s="196" t="s">
        <v>765</v>
      </c>
      <c r="F44" s="197">
        <v>703</v>
      </c>
      <c r="G44" s="195">
        <v>1900091178963</v>
      </c>
      <c r="H44" s="198" t="s">
        <v>765</v>
      </c>
      <c r="I44" s="233">
        <v>0</v>
      </c>
      <c r="J44" s="234">
        <v>11.83</v>
      </c>
      <c r="K44" s="234">
        <v>1.6</v>
      </c>
      <c r="L44" s="234">
        <v>1.6</v>
      </c>
      <c r="M44" s="232">
        <v>0</v>
      </c>
      <c r="N44" s="235">
        <v>1182.52</v>
      </c>
      <c r="O44" s="235">
        <v>0.05</v>
      </c>
      <c r="P44" s="235">
        <v>0.05</v>
      </c>
    </row>
    <row r="45" spans="1:16" ht="22.5" customHeight="1" x14ac:dyDescent="0.2">
      <c r="A45" s="192">
        <v>44652</v>
      </c>
      <c r="B45" s="193" t="s">
        <v>766</v>
      </c>
      <c r="C45" s="194">
        <v>900</v>
      </c>
      <c r="D45" s="195">
        <v>1900091360950</v>
      </c>
      <c r="E45" s="196" t="s">
        <v>766</v>
      </c>
      <c r="F45" s="197">
        <v>720</v>
      </c>
      <c r="G45" s="195">
        <v>1900091360969</v>
      </c>
      <c r="H45" s="198" t="s">
        <v>766</v>
      </c>
      <c r="I45" s="233">
        <v>0.80100000000000005</v>
      </c>
      <c r="J45" s="234">
        <v>3.75</v>
      </c>
      <c r="K45" s="234">
        <v>1.43</v>
      </c>
      <c r="L45" s="234">
        <v>1.43</v>
      </c>
      <c r="M45" s="232">
        <v>0</v>
      </c>
      <c r="N45" s="235">
        <v>726.12</v>
      </c>
      <c r="O45" s="235">
        <v>0.05</v>
      </c>
      <c r="P45" s="235">
        <v>0.05</v>
      </c>
    </row>
    <row r="46" spans="1:16" ht="22.5" customHeight="1" x14ac:dyDescent="0.2">
      <c r="A46" s="192">
        <v>44652</v>
      </c>
      <c r="B46" s="193" t="s">
        <v>767</v>
      </c>
      <c r="C46" s="194"/>
      <c r="D46" s="195" t="s">
        <v>802</v>
      </c>
      <c r="E46" s="196" t="s">
        <v>767</v>
      </c>
      <c r="F46" s="197"/>
      <c r="G46" s="195" t="s">
        <v>802</v>
      </c>
      <c r="H46" s="198" t="s">
        <v>767</v>
      </c>
      <c r="I46" s="233">
        <v>0.63200000000000001</v>
      </c>
      <c r="J46" s="234">
        <v>1.36</v>
      </c>
      <c r="K46" s="234">
        <v>0.75</v>
      </c>
      <c r="L46" s="234">
        <v>0.75</v>
      </c>
      <c r="M46" s="232">
        <v>-0.879</v>
      </c>
      <c r="N46" s="235">
        <v>109.16</v>
      </c>
      <c r="O46" s="235">
        <v>0.05</v>
      </c>
      <c r="P46" s="235">
        <v>0.05</v>
      </c>
    </row>
    <row r="47" spans="1:16" ht="22.5" customHeight="1" x14ac:dyDescent="0.2">
      <c r="A47" s="192">
        <v>44652</v>
      </c>
      <c r="B47" s="193" t="s">
        <v>768</v>
      </c>
      <c r="C47" s="194">
        <v>832</v>
      </c>
      <c r="D47" s="195">
        <v>1900091420128</v>
      </c>
      <c r="E47" s="196" t="s">
        <v>768</v>
      </c>
      <c r="F47" s="197">
        <v>718</v>
      </c>
      <c r="G47" s="195">
        <v>1900091420137</v>
      </c>
      <c r="H47" s="198" t="s">
        <v>768</v>
      </c>
      <c r="I47" s="233">
        <v>2.1779999999999999</v>
      </c>
      <c r="J47" s="234">
        <v>46.33</v>
      </c>
      <c r="K47" s="234">
        <v>0.97</v>
      </c>
      <c r="L47" s="234">
        <v>0.97</v>
      </c>
      <c r="M47" s="232">
        <v>0</v>
      </c>
      <c r="N47" s="235">
        <v>1737.19</v>
      </c>
      <c r="O47" s="235">
        <v>0.05</v>
      </c>
      <c r="P47" s="235">
        <v>0.05</v>
      </c>
    </row>
    <row r="48" spans="1:16" ht="30" customHeight="1" x14ac:dyDescent="0.2">
      <c r="A48" s="192">
        <v>44652</v>
      </c>
      <c r="B48" s="193" t="s">
        <v>770</v>
      </c>
      <c r="C48" s="194">
        <v>823</v>
      </c>
      <c r="D48" s="195" t="s">
        <v>805</v>
      </c>
      <c r="E48" s="196" t="s">
        <v>770</v>
      </c>
      <c r="F48" s="197">
        <v>755</v>
      </c>
      <c r="G48" s="195" t="s">
        <v>806</v>
      </c>
      <c r="H48" s="198" t="s">
        <v>770</v>
      </c>
      <c r="I48" s="233">
        <v>7.9000000000000001E-2</v>
      </c>
      <c r="J48" s="234">
        <v>38.42</v>
      </c>
      <c r="K48" s="234">
        <v>2.33</v>
      </c>
      <c r="L48" s="234">
        <v>2.33</v>
      </c>
      <c r="M48" s="232">
        <v>0</v>
      </c>
      <c r="N48" s="235">
        <v>1613.51</v>
      </c>
      <c r="O48" s="235">
        <v>0.05</v>
      </c>
      <c r="P48" s="235">
        <v>0.05</v>
      </c>
    </row>
    <row r="49" spans="1:18" ht="22.5" customHeight="1" x14ac:dyDescent="0.2">
      <c r="A49" s="192">
        <v>44652</v>
      </c>
      <c r="B49" s="193" t="s">
        <v>772</v>
      </c>
      <c r="C49" s="194">
        <v>807</v>
      </c>
      <c r="D49" s="195">
        <v>1900091090096</v>
      </c>
      <c r="E49" s="196" t="s">
        <v>772</v>
      </c>
      <c r="F49" s="197">
        <v>737</v>
      </c>
      <c r="G49" s="195">
        <v>1900091090101</v>
      </c>
      <c r="H49" s="198" t="s">
        <v>772</v>
      </c>
      <c r="I49" s="233">
        <v>6.1630000000000003</v>
      </c>
      <c r="J49" s="234">
        <v>58.25</v>
      </c>
      <c r="K49" s="234">
        <v>1.25</v>
      </c>
      <c r="L49" s="234">
        <v>1.25</v>
      </c>
      <c r="M49" s="232">
        <v>0</v>
      </c>
      <c r="N49" s="235">
        <v>2097.1</v>
      </c>
      <c r="O49" s="235">
        <v>0.05</v>
      </c>
      <c r="P49" s="235">
        <v>0.05</v>
      </c>
    </row>
    <row r="50" spans="1:18" ht="22.5" customHeight="1" x14ac:dyDescent="0.2">
      <c r="A50" s="192">
        <v>44652</v>
      </c>
      <c r="B50" s="193" t="s">
        <v>775</v>
      </c>
      <c r="C50" s="194">
        <v>818</v>
      </c>
      <c r="D50" s="195">
        <v>1900091171364</v>
      </c>
      <c r="E50" s="196" t="s">
        <v>775</v>
      </c>
      <c r="F50" s="197">
        <v>750</v>
      </c>
      <c r="G50" s="195">
        <v>1900091171373</v>
      </c>
      <c r="H50" s="198" t="s">
        <v>775</v>
      </c>
      <c r="I50" s="233">
        <v>0</v>
      </c>
      <c r="J50" s="234">
        <v>19.73</v>
      </c>
      <c r="K50" s="234">
        <v>1.27</v>
      </c>
      <c r="L50" s="234">
        <v>1.27</v>
      </c>
      <c r="M50" s="232">
        <v>0</v>
      </c>
      <c r="N50" s="235">
        <v>2052.33</v>
      </c>
      <c r="O50" s="235">
        <v>0.05</v>
      </c>
      <c r="P50" s="235">
        <v>0.05</v>
      </c>
    </row>
    <row r="51" spans="1:18" ht="22.5" customHeight="1" x14ac:dyDescent="0.2">
      <c r="A51" s="192">
        <v>44652</v>
      </c>
      <c r="B51" s="193" t="s">
        <v>777</v>
      </c>
      <c r="C51" s="194">
        <v>825</v>
      </c>
      <c r="D51" s="195">
        <v>1900091207124</v>
      </c>
      <c r="E51" s="196" t="s">
        <v>777</v>
      </c>
      <c r="F51" s="197">
        <v>702</v>
      </c>
      <c r="G51" s="195">
        <v>1900091207133</v>
      </c>
      <c r="H51" s="198" t="s">
        <v>777</v>
      </c>
      <c r="I51" s="233">
        <v>0</v>
      </c>
      <c r="J51" s="234">
        <v>22.18</v>
      </c>
      <c r="K51" s="234">
        <v>1.2</v>
      </c>
      <c r="L51" s="234">
        <v>1.2</v>
      </c>
      <c r="M51" s="232">
        <v>0</v>
      </c>
      <c r="N51" s="235">
        <v>2661.73</v>
      </c>
      <c r="O51" s="235">
        <v>0.05</v>
      </c>
      <c r="P51" s="235">
        <v>0.05</v>
      </c>
    </row>
    <row r="52" spans="1:18" ht="22.5" customHeight="1" x14ac:dyDescent="0.2">
      <c r="A52" s="192">
        <v>44652</v>
      </c>
      <c r="B52" s="193" t="s">
        <v>778</v>
      </c>
      <c r="C52" s="194">
        <v>821</v>
      </c>
      <c r="D52" s="195">
        <v>1900091478493</v>
      </c>
      <c r="E52" s="196" t="s">
        <v>778</v>
      </c>
      <c r="F52" s="197">
        <v>714</v>
      </c>
      <c r="G52" s="195">
        <v>1900091478509</v>
      </c>
      <c r="H52" s="198" t="s">
        <v>778</v>
      </c>
      <c r="I52" s="233">
        <v>9.7739999999999991</v>
      </c>
      <c r="J52" s="234">
        <v>17.329999999999998</v>
      </c>
      <c r="K52" s="234">
        <v>4.38</v>
      </c>
      <c r="L52" s="234">
        <v>4.38</v>
      </c>
      <c r="M52" s="232">
        <v>0</v>
      </c>
      <c r="N52" s="235">
        <v>1386.12</v>
      </c>
      <c r="O52" s="235">
        <v>0.05</v>
      </c>
      <c r="P52" s="235">
        <v>0.05</v>
      </c>
    </row>
    <row r="53" spans="1:18" ht="22.5" customHeight="1" x14ac:dyDescent="0.2">
      <c r="A53" s="192">
        <v>44652</v>
      </c>
      <c r="B53" s="193" t="s">
        <v>779</v>
      </c>
      <c r="C53" s="194">
        <v>829</v>
      </c>
      <c r="D53" s="195">
        <v>1900091315238</v>
      </c>
      <c r="E53" s="196" t="s">
        <v>779</v>
      </c>
      <c r="F53" s="197">
        <v>715</v>
      </c>
      <c r="G53" s="195">
        <v>1900091315229</v>
      </c>
      <c r="H53" s="198" t="s">
        <v>779</v>
      </c>
      <c r="I53" s="233">
        <v>0.56299999999999994</v>
      </c>
      <c r="J53" s="234">
        <v>3.14</v>
      </c>
      <c r="K53" s="234">
        <v>1.29</v>
      </c>
      <c r="L53" s="234">
        <v>1.29</v>
      </c>
      <c r="M53" s="232">
        <v>0</v>
      </c>
      <c r="N53" s="235">
        <v>313.94</v>
      </c>
      <c r="O53" s="235">
        <v>0.05</v>
      </c>
      <c r="P53" s="235">
        <v>0.05</v>
      </c>
    </row>
    <row r="54" spans="1:18" ht="22.5" customHeight="1" x14ac:dyDescent="0.2">
      <c r="A54" s="192">
        <v>44652</v>
      </c>
      <c r="B54" s="193" t="s">
        <v>780</v>
      </c>
      <c r="C54" s="194">
        <v>887</v>
      </c>
      <c r="D54" s="195">
        <v>1900070394457</v>
      </c>
      <c r="E54" s="196" t="s">
        <v>780</v>
      </c>
      <c r="F54" s="197">
        <v>731</v>
      </c>
      <c r="G54" s="195">
        <v>1900070394466</v>
      </c>
      <c r="H54" s="198" t="s">
        <v>780</v>
      </c>
      <c r="I54" s="233">
        <v>0</v>
      </c>
      <c r="J54" s="234">
        <v>731.07</v>
      </c>
      <c r="K54" s="234">
        <v>0.55000000000000004</v>
      </c>
      <c r="L54" s="234">
        <v>0.55000000000000004</v>
      </c>
      <c r="M54" s="232">
        <v>0</v>
      </c>
      <c r="N54" s="235">
        <v>0</v>
      </c>
      <c r="O54" s="235">
        <v>0</v>
      </c>
      <c r="P54" s="235">
        <v>0</v>
      </c>
    </row>
    <row r="55" spans="1:18" ht="22.5" customHeight="1" x14ac:dyDescent="0.2">
      <c r="A55" s="192">
        <v>44652</v>
      </c>
      <c r="B55" s="193" t="s">
        <v>781</v>
      </c>
      <c r="C55" s="194">
        <v>806</v>
      </c>
      <c r="D55" s="195">
        <v>1900091086531</v>
      </c>
      <c r="E55" s="196" t="s">
        <v>781</v>
      </c>
      <c r="F55" s="197">
        <v>740</v>
      </c>
      <c r="G55" s="195">
        <v>1900091086540</v>
      </c>
      <c r="H55" s="198" t="s">
        <v>781</v>
      </c>
      <c r="I55" s="233">
        <v>0</v>
      </c>
      <c r="J55" s="234">
        <v>12.94</v>
      </c>
      <c r="K55" s="234">
        <v>1.22</v>
      </c>
      <c r="L55" s="234">
        <v>1.22</v>
      </c>
      <c r="M55" s="232">
        <v>0</v>
      </c>
      <c r="N55" s="235">
        <v>1293.53</v>
      </c>
      <c r="O55" s="235">
        <v>0.05</v>
      </c>
      <c r="P55" s="235">
        <v>0.05</v>
      </c>
    </row>
    <row r="56" spans="1:18" ht="22.5" customHeight="1" x14ac:dyDescent="0.2">
      <c r="A56" s="192">
        <v>44652</v>
      </c>
      <c r="B56" s="193" t="s">
        <v>731</v>
      </c>
      <c r="C56" s="194">
        <v>893</v>
      </c>
      <c r="D56" s="195">
        <v>1900091353298</v>
      </c>
      <c r="E56" s="196" t="s">
        <v>731</v>
      </c>
      <c r="F56" s="197">
        <v>706</v>
      </c>
      <c r="G56" s="195">
        <v>1900091353303</v>
      </c>
      <c r="H56" s="198" t="s">
        <v>731</v>
      </c>
      <c r="I56" s="199">
        <v>0.61599999999999999</v>
      </c>
      <c r="J56" s="200">
        <v>0.87</v>
      </c>
      <c r="K56" s="200">
        <v>2.75</v>
      </c>
      <c r="L56" s="200">
        <v>2.75</v>
      </c>
      <c r="M56" s="232">
        <v>0</v>
      </c>
      <c r="N56" s="202">
        <v>709.77</v>
      </c>
      <c r="O56" s="235">
        <v>0.05</v>
      </c>
      <c r="P56" s="235">
        <v>0.05</v>
      </c>
    </row>
    <row r="57" spans="1:18" ht="22.5" customHeight="1" x14ac:dyDescent="0.2">
      <c r="A57" s="192">
        <v>44652</v>
      </c>
      <c r="B57" s="193" t="s">
        <v>1770</v>
      </c>
      <c r="C57" s="194"/>
      <c r="D57" s="194" t="s">
        <v>785</v>
      </c>
      <c r="E57" s="196" t="s">
        <v>1770</v>
      </c>
      <c r="F57" s="197"/>
      <c r="G57" s="194" t="s">
        <v>785</v>
      </c>
      <c r="H57" s="198" t="s">
        <v>1770</v>
      </c>
      <c r="I57" s="233">
        <v>0</v>
      </c>
      <c r="J57" s="200">
        <v>17.059999999999999</v>
      </c>
      <c r="K57" s="200">
        <v>0.45</v>
      </c>
      <c r="L57" s="200">
        <v>0.45</v>
      </c>
      <c r="M57" s="232">
        <v>0</v>
      </c>
      <c r="N57" s="202">
        <v>17.059999999999999</v>
      </c>
      <c r="O57" s="203">
        <v>0.05</v>
      </c>
      <c r="P57" s="203">
        <v>0.05</v>
      </c>
    </row>
    <row r="58" spans="1:18" ht="22.5" customHeight="1" x14ac:dyDescent="0.2">
      <c r="A58" s="192">
        <v>44652</v>
      </c>
      <c r="B58" s="193" t="s">
        <v>1772</v>
      </c>
      <c r="C58" s="194"/>
      <c r="D58" s="194" t="s">
        <v>1773</v>
      </c>
      <c r="E58" s="196" t="s">
        <v>1772</v>
      </c>
      <c r="F58" s="197"/>
      <c r="G58" s="194" t="s">
        <v>1774</v>
      </c>
      <c r="H58" s="198" t="s">
        <v>1772</v>
      </c>
      <c r="I58" s="233">
        <v>0</v>
      </c>
      <c r="J58" s="200">
        <v>348.91</v>
      </c>
      <c r="K58" s="200">
        <v>0.8</v>
      </c>
      <c r="L58" s="200">
        <v>0.8</v>
      </c>
      <c r="M58" s="232">
        <v>-0.105</v>
      </c>
      <c r="N58" s="202">
        <v>348.91</v>
      </c>
      <c r="O58" s="203">
        <v>0.05</v>
      </c>
      <c r="P58" s="203">
        <v>0.05</v>
      </c>
    </row>
    <row r="59" spans="1:18" ht="22.5" customHeight="1" x14ac:dyDescent="0.2">
      <c r="A59" s="192"/>
      <c r="B59" s="193"/>
      <c r="C59" s="194"/>
      <c r="D59" s="195"/>
      <c r="E59" s="196"/>
      <c r="F59" s="197"/>
      <c r="G59" s="195"/>
      <c r="H59" s="198"/>
      <c r="I59" s="199"/>
      <c r="J59" s="200"/>
      <c r="K59" s="200"/>
      <c r="L59" s="200"/>
      <c r="M59" s="201"/>
      <c r="N59" s="202"/>
      <c r="O59" s="203"/>
      <c r="P59" s="203"/>
    </row>
    <row r="60" spans="1:18" ht="27.75" customHeight="1" x14ac:dyDescent="0.2">
      <c r="Q60" s="231"/>
      <c r="R60" s="231"/>
    </row>
    <row r="61" spans="1:18" ht="27.75" customHeight="1" x14ac:dyDescent="0.2">
      <c r="A61" s="268" t="str">
        <f>Overview!B4&amp; " - Effective from "&amp;Overview!D4&amp;" - "&amp;Overview!E4&amp;" new designated EHV line loss factors"</f>
        <v>South Eastern Power Networks - Effective from 1 April 2022 - Final new designated EHV line loss factors</v>
      </c>
      <c r="B61" s="269"/>
      <c r="C61" s="269"/>
      <c r="D61" s="269"/>
      <c r="E61" s="269"/>
      <c r="F61" s="269"/>
      <c r="G61" s="269"/>
      <c r="H61" s="269"/>
      <c r="I61" s="269"/>
      <c r="J61" s="269"/>
      <c r="K61" s="269"/>
      <c r="L61" s="269"/>
      <c r="M61" s="269"/>
      <c r="N61" s="269"/>
      <c r="O61" s="269"/>
      <c r="P61" s="269"/>
      <c r="Q61" s="269"/>
      <c r="R61" s="270"/>
    </row>
    <row r="62" spans="1:18" ht="62.25" customHeight="1" x14ac:dyDescent="0.2">
      <c r="A62" s="26" t="s">
        <v>137</v>
      </c>
      <c r="B62" s="26" t="s">
        <v>52</v>
      </c>
      <c r="C62" s="26" t="s">
        <v>35</v>
      </c>
      <c r="D62" s="26" t="s">
        <v>36</v>
      </c>
      <c r="E62" s="26" t="s">
        <v>53</v>
      </c>
      <c r="F62" s="26" t="s">
        <v>35</v>
      </c>
      <c r="G62" s="26" t="s">
        <v>37</v>
      </c>
      <c r="H62" s="64" t="s">
        <v>29</v>
      </c>
      <c r="I62" s="28" t="s">
        <v>109</v>
      </c>
      <c r="J62" s="28" t="s">
        <v>108</v>
      </c>
      <c r="K62" s="28" t="s">
        <v>110</v>
      </c>
      <c r="L62" s="28" t="s">
        <v>111</v>
      </c>
      <c r="M62" s="28" t="s">
        <v>1757</v>
      </c>
      <c r="N62" s="29" t="s">
        <v>112</v>
      </c>
      <c r="O62" s="29" t="s">
        <v>113</v>
      </c>
      <c r="P62" s="29" t="s">
        <v>114</v>
      </c>
      <c r="Q62" s="230" t="s">
        <v>115</v>
      </c>
      <c r="R62" s="230" t="s">
        <v>1756</v>
      </c>
    </row>
    <row r="63" spans="1:18" ht="22.5" customHeight="1" x14ac:dyDescent="0.2">
      <c r="A63" s="192">
        <v>44652</v>
      </c>
      <c r="B63" s="193" t="s">
        <v>717</v>
      </c>
      <c r="C63" s="194">
        <v>873</v>
      </c>
      <c r="D63" s="195">
        <v>1900091919588</v>
      </c>
      <c r="E63" s="196" t="s">
        <v>717</v>
      </c>
      <c r="F63" s="197">
        <v>780</v>
      </c>
      <c r="G63" s="195">
        <v>1900091919597</v>
      </c>
      <c r="H63" s="198" t="s">
        <v>717</v>
      </c>
      <c r="I63" s="226">
        <v>1.0169999999999999</v>
      </c>
      <c r="J63" s="226">
        <v>1.0129999999999999</v>
      </c>
      <c r="K63" s="226">
        <v>1.0149999999999999</v>
      </c>
      <c r="L63" s="226">
        <v>1.0129999999999999</v>
      </c>
      <c r="M63" s="226">
        <v>1.014</v>
      </c>
      <c r="N63" s="229">
        <v>1.01</v>
      </c>
      <c r="O63" s="228">
        <v>1.004</v>
      </c>
      <c r="P63" s="228">
        <v>1.0069999999999999</v>
      </c>
      <c r="Q63" s="228">
        <v>1.004</v>
      </c>
      <c r="R63" s="228">
        <v>1.008</v>
      </c>
    </row>
    <row r="64" spans="1:18" ht="22.5" customHeight="1" x14ac:dyDescent="0.2">
      <c r="A64" s="192">
        <v>44652</v>
      </c>
      <c r="B64" s="193" t="s">
        <v>718</v>
      </c>
      <c r="C64" s="194">
        <v>809</v>
      </c>
      <c r="D64" s="195">
        <v>1900091216963</v>
      </c>
      <c r="E64" s="196" t="s">
        <v>718</v>
      </c>
      <c r="F64" s="197">
        <v>741</v>
      </c>
      <c r="G64" s="195">
        <v>1900091216972</v>
      </c>
      <c r="H64" s="198" t="s">
        <v>718</v>
      </c>
      <c r="I64" s="227">
        <v>1.0349999999999999</v>
      </c>
      <c r="J64" s="227">
        <v>1.022</v>
      </c>
      <c r="K64" s="227">
        <v>1.0309999999999999</v>
      </c>
      <c r="L64" s="227">
        <v>1.026</v>
      </c>
      <c r="M64" s="227">
        <v>1.0289999999999999</v>
      </c>
      <c r="N64" s="229">
        <v>1.022</v>
      </c>
      <c r="O64" s="229">
        <v>1.0109999999999999</v>
      </c>
      <c r="P64" s="229">
        <v>1.0129999999999999</v>
      </c>
      <c r="Q64" s="229">
        <v>1.01</v>
      </c>
      <c r="R64" s="229">
        <v>1.0169999999999999</v>
      </c>
    </row>
    <row r="65" spans="1:18" ht="22.5" customHeight="1" x14ac:dyDescent="0.2">
      <c r="A65" s="192">
        <v>44652</v>
      </c>
      <c r="B65" s="193" t="s">
        <v>721</v>
      </c>
      <c r="C65" s="194">
        <v>840</v>
      </c>
      <c r="D65" s="195">
        <v>1900091482588</v>
      </c>
      <c r="E65" s="196" t="s">
        <v>721</v>
      </c>
      <c r="F65" s="197">
        <v>693</v>
      </c>
      <c r="G65" s="195">
        <v>1900091482597</v>
      </c>
      <c r="H65" s="198" t="s">
        <v>721</v>
      </c>
      <c r="I65" s="227">
        <v>1.012</v>
      </c>
      <c r="J65" s="227">
        <v>1.01</v>
      </c>
      <c r="K65" s="227">
        <v>1.012</v>
      </c>
      <c r="L65" s="227">
        <v>1.01</v>
      </c>
      <c r="M65" s="227">
        <v>1.01</v>
      </c>
      <c r="N65" s="229">
        <v>0.998</v>
      </c>
      <c r="O65" s="229">
        <v>1</v>
      </c>
      <c r="P65" s="229">
        <v>0.997</v>
      </c>
      <c r="Q65" s="229">
        <v>0.997</v>
      </c>
      <c r="R65" s="229">
        <v>0.997</v>
      </c>
    </row>
    <row r="66" spans="1:18" ht="22.5" customHeight="1" x14ac:dyDescent="0.2">
      <c r="A66" s="192">
        <v>44652</v>
      </c>
      <c r="B66" s="193" t="s">
        <v>722</v>
      </c>
      <c r="C66" s="194">
        <v>841</v>
      </c>
      <c r="D66" s="195">
        <v>1900091632775</v>
      </c>
      <c r="E66" s="196" t="s">
        <v>722</v>
      </c>
      <c r="F66" s="197">
        <v>694</v>
      </c>
      <c r="G66" s="195">
        <v>1900091632784</v>
      </c>
      <c r="H66" s="198" t="s">
        <v>722</v>
      </c>
      <c r="I66" s="227">
        <v>1.0049999999999999</v>
      </c>
      <c r="J66" s="227">
        <v>1.0009999999999999</v>
      </c>
      <c r="K66" s="227">
        <v>1.004</v>
      </c>
      <c r="L66" s="227">
        <v>1.0029999999999999</v>
      </c>
      <c r="M66" s="227">
        <v>1.0029999999999999</v>
      </c>
      <c r="N66" s="229">
        <v>0.999</v>
      </c>
      <c r="O66" s="229">
        <v>1</v>
      </c>
      <c r="P66" s="229">
        <v>1</v>
      </c>
      <c r="Q66" s="229">
        <v>1</v>
      </c>
      <c r="R66" s="229">
        <v>1</v>
      </c>
    </row>
    <row r="67" spans="1:18" ht="22.5" customHeight="1" x14ac:dyDescent="0.2">
      <c r="A67" s="192">
        <v>44652</v>
      </c>
      <c r="B67" s="193" t="s">
        <v>723</v>
      </c>
      <c r="C67" s="194">
        <v>890</v>
      </c>
      <c r="D67" s="195">
        <v>1900091343778</v>
      </c>
      <c r="E67" s="196" t="s">
        <v>723</v>
      </c>
      <c r="F67" s="197">
        <v>713</v>
      </c>
      <c r="G67" s="195">
        <v>1900091343787</v>
      </c>
      <c r="H67" s="198" t="s">
        <v>723</v>
      </c>
      <c r="I67" s="227">
        <v>1.0169999999999999</v>
      </c>
      <c r="J67" s="227">
        <v>1.0129999999999999</v>
      </c>
      <c r="K67" s="227">
        <v>1.0149999999999999</v>
      </c>
      <c r="L67" s="227">
        <v>1.0129999999999999</v>
      </c>
      <c r="M67" s="227">
        <v>1.014</v>
      </c>
      <c r="N67" s="229">
        <v>1.0169999999999999</v>
      </c>
      <c r="O67" s="229">
        <v>1.012</v>
      </c>
      <c r="P67" s="229">
        <v>1.016</v>
      </c>
      <c r="Q67" s="229">
        <v>1.0149999999999999</v>
      </c>
      <c r="R67" s="229">
        <v>1.022</v>
      </c>
    </row>
    <row r="68" spans="1:18" ht="22.5" customHeight="1" x14ac:dyDescent="0.2">
      <c r="A68" s="192">
        <v>44652</v>
      </c>
      <c r="B68" s="193" t="s">
        <v>724</v>
      </c>
      <c r="C68" s="194">
        <v>830</v>
      </c>
      <c r="D68" s="195">
        <v>1900091463646</v>
      </c>
      <c r="E68" s="196" t="s">
        <v>724</v>
      </c>
      <c r="F68" s="197">
        <v>712</v>
      </c>
      <c r="G68" s="195">
        <v>1900091463655</v>
      </c>
      <c r="H68" s="198" t="s">
        <v>724</v>
      </c>
      <c r="I68" s="227">
        <v>1.0169999999999999</v>
      </c>
      <c r="J68" s="227">
        <v>1.0129999999999999</v>
      </c>
      <c r="K68" s="227">
        <v>1.0149999999999999</v>
      </c>
      <c r="L68" s="227">
        <v>1.0129999999999999</v>
      </c>
      <c r="M68" s="227">
        <v>1.014</v>
      </c>
      <c r="N68" s="229">
        <v>1.0169999999999999</v>
      </c>
      <c r="O68" s="229">
        <v>1.012</v>
      </c>
      <c r="P68" s="229">
        <v>1.016</v>
      </c>
      <c r="Q68" s="229">
        <v>1.0149999999999999</v>
      </c>
      <c r="R68" s="229">
        <v>1.022</v>
      </c>
    </row>
    <row r="69" spans="1:18" ht="22.5" customHeight="1" x14ac:dyDescent="0.2">
      <c r="A69" s="192">
        <v>44652</v>
      </c>
      <c r="B69" s="193" t="s">
        <v>725</v>
      </c>
      <c r="C69" s="194">
        <v>891</v>
      </c>
      <c r="D69" s="195">
        <v>1900091395508</v>
      </c>
      <c r="E69" s="196" t="s">
        <v>725</v>
      </c>
      <c r="F69" s="197">
        <v>705</v>
      </c>
      <c r="G69" s="195">
        <v>1900091395517</v>
      </c>
      <c r="H69" s="198" t="s">
        <v>725</v>
      </c>
      <c r="I69" s="227">
        <v>1.02</v>
      </c>
      <c r="J69" s="227">
        <v>1.0189999999999999</v>
      </c>
      <c r="K69" s="227">
        <v>1.02</v>
      </c>
      <c r="L69" s="227">
        <v>1.0189999999999999</v>
      </c>
      <c r="M69" s="227">
        <v>1.0189999999999999</v>
      </c>
      <c r="N69" s="229">
        <v>1.004</v>
      </c>
      <c r="O69" s="229">
        <v>1.0029999999999999</v>
      </c>
      <c r="P69" s="229">
        <v>1.002</v>
      </c>
      <c r="Q69" s="229">
        <v>1.002</v>
      </c>
      <c r="R69" s="229">
        <v>1.0049999999999999</v>
      </c>
    </row>
    <row r="70" spans="1:18" ht="22.5" customHeight="1" x14ac:dyDescent="0.2">
      <c r="A70" s="192">
        <v>44652</v>
      </c>
      <c r="B70" s="193" t="s">
        <v>726</v>
      </c>
      <c r="C70" s="194">
        <v>842</v>
      </c>
      <c r="D70" s="195">
        <v>1900091566810</v>
      </c>
      <c r="E70" s="196" t="s">
        <v>726</v>
      </c>
      <c r="F70" s="197">
        <v>695</v>
      </c>
      <c r="G70" s="195">
        <v>1900091566820</v>
      </c>
      <c r="H70" s="198" t="s">
        <v>726</v>
      </c>
      <c r="I70" s="227">
        <v>1.042</v>
      </c>
      <c r="J70" s="227">
        <v>1.038</v>
      </c>
      <c r="K70" s="227">
        <v>1.04</v>
      </c>
      <c r="L70" s="227">
        <v>1.0349999999999999</v>
      </c>
      <c r="M70" s="227">
        <v>1.0389999999999999</v>
      </c>
      <c r="N70" s="229">
        <v>1</v>
      </c>
      <c r="O70" s="229">
        <v>1</v>
      </c>
      <c r="P70" s="229">
        <v>1</v>
      </c>
      <c r="Q70" s="229">
        <v>1</v>
      </c>
      <c r="R70" s="229">
        <v>1</v>
      </c>
    </row>
    <row r="71" spans="1:18" ht="30" customHeight="1" x14ac:dyDescent="0.2">
      <c r="A71" s="192">
        <v>44652</v>
      </c>
      <c r="B71" s="193" t="s">
        <v>728</v>
      </c>
      <c r="C71" s="194">
        <v>871</v>
      </c>
      <c r="D71" s="195" t="s">
        <v>796</v>
      </c>
      <c r="E71" s="196" t="s">
        <v>728</v>
      </c>
      <c r="F71" s="197">
        <v>726</v>
      </c>
      <c r="G71" s="195" t="s">
        <v>797</v>
      </c>
      <c r="H71" s="198" t="s">
        <v>728</v>
      </c>
      <c r="I71" s="227">
        <v>1.044</v>
      </c>
      <c r="J71" s="227">
        <v>1.042</v>
      </c>
      <c r="K71" s="227">
        <v>1.044</v>
      </c>
      <c r="L71" s="227">
        <v>1.0429999999999999</v>
      </c>
      <c r="M71" s="227">
        <v>1.0429999999999999</v>
      </c>
      <c r="N71" s="229">
        <v>1.006</v>
      </c>
      <c r="O71" s="229">
        <v>1.0029999999999999</v>
      </c>
      <c r="P71" s="229">
        <v>1.0049999999999999</v>
      </c>
      <c r="Q71" s="229">
        <v>1.002</v>
      </c>
      <c r="R71" s="229">
        <v>1.004</v>
      </c>
    </row>
    <row r="72" spans="1:18" ht="22.5" customHeight="1" x14ac:dyDescent="0.2">
      <c r="A72" s="192">
        <v>44652</v>
      </c>
      <c r="B72" s="193" t="s">
        <v>732</v>
      </c>
      <c r="C72" s="194">
        <v>894</v>
      </c>
      <c r="D72" s="195">
        <v>1900091343750</v>
      </c>
      <c r="E72" s="196" t="s">
        <v>732</v>
      </c>
      <c r="F72" s="197">
        <v>716</v>
      </c>
      <c r="G72" s="195">
        <v>1900091343769</v>
      </c>
      <c r="H72" s="198" t="s">
        <v>732</v>
      </c>
      <c r="I72" s="227">
        <v>1.026</v>
      </c>
      <c r="J72" s="227">
        <v>1.02</v>
      </c>
      <c r="K72" s="227">
        <v>1.0189999999999999</v>
      </c>
      <c r="L72" s="227">
        <v>1.0169999999999999</v>
      </c>
      <c r="M72" s="227">
        <v>1.0189999999999999</v>
      </c>
      <c r="N72" s="229">
        <v>1.012</v>
      </c>
      <c r="O72" s="229">
        <v>1.0089999999999999</v>
      </c>
      <c r="P72" s="229">
        <v>1.0089999999999999</v>
      </c>
      <c r="Q72" s="229">
        <v>1.0069999999999999</v>
      </c>
      <c r="R72" s="229">
        <v>1.012</v>
      </c>
    </row>
    <row r="73" spans="1:18" ht="22.5" customHeight="1" x14ac:dyDescent="0.2">
      <c r="A73" s="192">
        <v>44652</v>
      </c>
      <c r="B73" s="193" t="s">
        <v>733</v>
      </c>
      <c r="C73" s="194">
        <v>872</v>
      </c>
      <c r="D73" s="195">
        <v>1900060831692</v>
      </c>
      <c r="E73" s="196" t="s">
        <v>733</v>
      </c>
      <c r="F73" s="197">
        <v>730</v>
      </c>
      <c r="G73" s="195">
        <v>1900060831708</v>
      </c>
      <c r="H73" s="198" t="s">
        <v>733</v>
      </c>
      <c r="I73" s="227">
        <v>1.0009999999999999</v>
      </c>
      <c r="J73" s="227">
        <v>1.0009999999999999</v>
      </c>
      <c r="K73" s="227">
        <v>1.0009999999999999</v>
      </c>
      <c r="L73" s="227">
        <v>1.0009999999999999</v>
      </c>
      <c r="M73" s="227">
        <v>1.0009999999999999</v>
      </c>
      <c r="N73" s="229">
        <v>0.999</v>
      </c>
      <c r="O73" s="229">
        <v>0.999</v>
      </c>
      <c r="P73" s="229">
        <v>0.999</v>
      </c>
      <c r="Q73" s="229">
        <v>0.999</v>
      </c>
      <c r="R73" s="229">
        <v>0.999</v>
      </c>
    </row>
    <row r="74" spans="1:18" ht="22.5" customHeight="1" x14ac:dyDescent="0.2">
      <c r="A74" s="192">
        <v>44652</v>
      </c>
      <c r="B74" s="193" t="s">
        <v>736</v>
      </c>
      <c r="C74" s="194">
        <v>895</v>
      </c>
      <c r="D74" s="195">
        <v>1900091361962</v>
      </c>
      <c r="E74" s="196" t="s">
        <v>736</v>
      </c>
      <c r="F74" s="197">
        <v>707</v>
      </c>
      <c r="G74" s="195">
        <v>1900091361971</v>
      </c>
      <c r="H74" s="198" t="s">
        <v>736</v>
      </c>
      <c r="I74" s="227">
        <v>1.0169999999999999</v>
      </c>
      <c r="J74" s="227">
        <v>1.0129999999999999</v>
      </c>
      <c r="K74" s="227">
        <v>1.0149999999999999</v>
      </c>
      <c r="L74" s="227">
        <v>1.0129999999999999</v>
      </c>
      <c r="M74" s="227">
        <v>1.014</v>
      </c>
      <c r="N74" s="229">
        <v>1.0029999999999999</v>
      </c>
      <c r="O74" s="229">
        <v>1</v>
      </c>
      <c r="P74" s="229">
        <v>1.0029999999999999</v>
      </c>
      <c r="Q74" s="229">
        <v>1.002</v>
      </c>
      <c r="R74" s="229">
        <v>1</v>
      </c>
    </row>
    <row r="75" spans="1:18" ht="22.5" customHeight="1" x14ac:dyDescent="0.2">
      <c r="A75" s="192">
        <v>44652</v>
      </c>
      <c r="B75" s="193" t="s">
        <v>737</v>
      </c>
      <c r="C75" s="194">
        <v>811</v>
      </c>
      <c r="D75" s="195">
        <v>1900091200388</v>
      </c>
      <c r="E75" s="196" t="s">
        <v>737</v>
      </c>
      <c r="F75" s="197">
        <v>743</v>
      </c>
      <c r="G75" s="195">
        <v>1900091200397</v>
      </c>
      <c r="H75" s="198" t="s">
        <v>737</v>
      </c>
      <c r="I75" s="227">
        <v>1.0169999999999999</v>
      </c>
      <c r="J75" s="227">
        <v>1.0129999999999999</v>
      </c>
      <c r="K75" s="227">
        <v>1.0149999999999999</v>
      </c>
      <c r="L75" s="227">
        <v>1.0129999999999999</v>
      </c>
      <c r="M75" s="227">
        <v>1.014</v>
      </c>
      <c r="N75" s="229">
        <v>1.002</v>
      </c>
      <c r="O75" s="229">
        <v>1.002</v>
      </c>
      <c r="P75" s="229">
        <v>1.002</v>
      </c>
      <c r="Q75" s="229">
        <v>1.0009999999999999</v>
      </c>
      <c r="R75" s="229">
        <v>1.004</v>
      </c>
    </row>
    <row r="76" spans="1:18" ht="22.5" customHeight="1" x14ac:dyDescent="0.2">
      <c r="A76" s="192">
        <v>44652</v>
      </c>
      <c r="B76" s="193" t="s">
        <v>740</v>
      </c>
      <c r="C76" s="194">
        <v>831</v>
      </c>
      <c r="D76" s="195">
        <v>1900091338040</v>
      </c>
      <c r="E76" s="196" t="s">
        <v>740</v>
      </c>
      <c r="F76" s="197">
        <v>708</v>
      </c>
      <c r="G76" s="195">
        <v>1900091338059</v>
      </c>
      <c r="H76" s="198" t="s">
        <v>740</v>
      </c>
      <c r="I76" s="227">
        <v>1.024</v>
      </c>
      <c r="J76" s="227">
        <v>1.022</v>
      </c>
      <c r="K76" s="227">
        <v>1.026</v>
      </c>
      <c r="L76" s="227">
        <v>1.018</v>
      </c>
      <c r="M76" s="227">
        <v>1.022</v>
      </c>
      <c r="N76" s="229">
        <v>1.0069999999999999</v>
      </c>
      <c r="O76" s="229">
        <v>1.0049999999999999</v>
      </c>
      <c r="P76" s="229">
        <v>1.006</v>
      </c>
      <c r="Q76" s="229">
        <v>1.0069999999999999</v>
      </c>
      <c r="R76" s="229">
        <v>1.008</v>
      </c>
    </row>
    <row r="77" spans="1:18" ht="22.5" customHeight="1" x14ac:dyDescent="0.2">
      <c r="A77" s="192">
        <v>44652</v>
      </c>
      <c r="B77" s="193" t="s">
        <v>741</v>
      </c>
      <c r="C77" s="194">
        <v>812</v>
      </c>
      <c r="D77" s="195">
        <v>1900091217043</v>
      </c>
      <c r="E77" s="196" t="s">
        <v>741</v>
      </c>
      <c r="F77" s="197">
        <v>744</v>
      </c>
      <c r="G77" s="195">
        <v>1900091217052</v>
      </c>
      <c r="H77" s="198" t="s">
        <v>741</v>
      </c>
      <c r="I77" s="227">
        <v>1.0169999999999999</v>
      </c>
      <c r="J77" s="227">
        <v>1.0129999999999999</v>
      </c>
      <c r="K77" s="227">
        <v>1.0149999999999999</v>
      </c>
      <c r="L77" s="227">
        <v>1.0129999999999999</v>
      </c>
      <c r="M77" s="227">
        <v>1.014</v>
      </c>
      <c r="N77" s="229">
        <v>1.0109999999999999</v>
      </c>
      <c r="O77" s="229">
        <v>1.0089999999999999</v>
      </c>
      <c r="P77" s="229">
        <v>1.0089999999999999</v>
      </c>
      <c r="Q77" s="229">
        <v>1.01</v>
      </c>
      <c r="R77" s="229">
        <v>1.0109999999999999</v>
      </c>
    </row>
    <row r="78" spans="1:18" ht="30" customHeight="1" x14ac:dyDescent="0.2">
      <c r="A78" s="192">
        <v>44652</v>
      </c>
      <c r="B78" s="193" t="s">
        <v>742</v>
      </c>
      <c r="C78" s="194">
        <v>876</v>
      </c>
      <c r="D78" s="195" t="s">
        <v>798</v>
      </c>
      <c r="E78" s="196" t="s">
        <v>742</v>
      </c>
      <c r="F78" s="197">
        <v>728</v>
      </c>
      <c r="G78" s="195" t="s">
        <v>799</v>
      </c>
      <c r="H78" s="198" t="s">
        <v>742</v>
      </c>
      <c r="I78" s="227">
        <v>1.05</v>
      </c>
      <c r="J78" s="227">
        <v>1.0369999999999999</v>
      </c>
      <c r="K78" s="227">
        <v>1.044</v>
      </c>
      <c r="L78" s="227">
        <v>1.0329999999999999</v>
      </c>
      <c r="M78" s="227">
        <v>1.0389999999999999</v>
      </c>
      <c r="N78" s="229">
        <v>0.92800000000000005</v>
      </c>
      <c r="O78" s="229">
        <v>0.92500000000000004</v>
      </c>
      <c r="P78" s="229">
        <v>0.92800000000000005</v>
      </c>
      <c r="Q78" s="229">
        <v>0.92600000000000005</v>
      </c>
      <c r="R78" s="229">
        <v>0.91600000000000004</v>
      </c>
    </row>
    <row r="79" spans="1:18" ht="22.5" customHeight="1" x14ac:dyDescent="0.2">
      <c r="A79" s="192">
        <v>44652</v>
      </c>
      <c r="B79" s="193" t="s">
        <v>743</v>
      </c>
      <c r="C79" s="194">
        <v>813</v>
      </c>
      <c r="D79" s="195">
        <v>1900091217070</v>
      </c>
      <c r="E79" s="196" t="s">
        <v>743</v>
      </c>
      <c r="F79" s="197">
        <v>745</v>
      </c>
      <c r="G79" s="195">
        <v>1900091217080</v>
      </c>
      <c r="H79" s="198" t="s">
        <v>743</v>
      </c>
      <c r="I79" s="227">
        <v>1.0049999999999999</v>
      </c>
      <c r="J79" s="227">
        <v>1.004</v>
      </c>
      <c r="K79" s="227">
        <v>1.0049999999999999</v>
      </c>
      <c r="L79" s="227">
        <v>1.004</v>
      </c>
      <c r="M79" s="227">
        <v>1.004</v>
      </c>
      <c r="N79" s="229">
        <v>0.999</v>
      </c>
      <c r="O79" s="229">
        <v>0.996</v>
      </c>
      <c r="P79" s="229">
        <v>0.998</v>
      </c>
      <c r="Q79" s="229">
        <v>0.999</v>
      </c>
      <c r="R79" s="229">
        <v>0.997</v>
      </c>
    </row>
    <row r="80" spans="1:18" ht="22.5" customHeight="1" x14ac:dyDescent="0.2">
      <c r="A80" s="192">
        <v>44652</v>
      </c>
      <c r="B80" s="193" t="s">
        <v>744</v>
      </c>
      <c r="C80" s="194">
        <v>824</v>
      </c>
      <c r="D80" s="195">
        <v>1900091200068</v>
      </c>
      <c r="E80" s="196" t="s">
        <v>744</v>
      </c>
      <c r="F80" s="197">
        <v>701</v>
      </c>
      <c r="G80" s="195">
        <v>1900091200077</v>
      </c>
      <c r="H80" s="198" t="s">
        <v>744</v>
      </c>
      <c r="I80" s="227">
        <v>1.0169999999999999</v>
      </c>
      <c r="J80" s="227">
        <v>1.0129999999999999</v>
      </c>
      <c r="K80" s="227">
        <v>1.0149999999999999</v>
      </c>
      <c r="L80" s="227">
        <v>1.0129999999999999</v>
      </c>
      <c r="M80" s="227">
        <v>1.014</v>
      </c>
      <c r="N80" s="229">
        <v>1.056</v>
      </c>
      <c r="O80" s="229">
        <v>1.0369999999999999</v>
      </c>
      <c r="P80" s="229">
        <v>1.0369999999999999</v>
      </c>
      <c r="Q80" s="229">
        <v>1.03</v>
      </c>
      <c r="R80" s="229">
        <v>1.0449999999999999</v>
      </c>
    </row>
    <row r="81" spans="1:18" ht="22.5" customHeight="1" x14ac:dyDescent="0.2">
      <c r="A81" s="192">
        <v>44652</v>
      </c>
      <c r="B81" s="193" t="s">
        <v>1580</v>
      </c>
      <c r="C81" s="194"/>
      <c r="D81" s="195" t="s">
        <v>1759</v>
      </c>
      <c r="E81" s="196" t="s">
        <v>1580</v>
      </c>
      <c r="F81" s="197"/>
      <c r="G81" s="195" t="s">
        <v>1582</v>
      </c>
      <c r="H81" s="198" t="s">
        <v>1580</v>
      </c>
      <c r="I81" s="227">
        <v>1.0169999999999999</v>
      </c>
      <c r="J81" s="227">
        <v>1.0129999999999999</v>
      </c>
      <c r="K81" s="227">
        <v>1.0149999999999999</v>
      </c>
      <c r="L81" s="227">
        <v>1.0129999999999999</v>
      </c>
      <c r="M81" s="227">
        <v>1.014</v>
      </c>
      <c r="N81" s="229">
        <v>1.0169999999999999</v>
      </c>
      <c r="O81" s="229">
        <v>1.0129999999999999</v>
      </c>
      <c r="P81" s="229">
        <v>1.0149999999999999</v>
      </c>
      <c r="Q81" s="229">
        <v>1.0129999999999999</v>
      </c>
      <c r="R81" s="229">
        <v>1.014</v>
      </c>
    </row>
    <row r="82" spans="1:18" ht="22.5" customHeight="1" x14ac:dyDescent="0.2">
      <c r="A82" s="192">
        <v>44652</v>
      </c>
      <c r="B82" s="193" t="s">
        <v>748</v>
      </c>
      <c r="C82" s="194">
        <v>803</v>
      </c>
      <c r="D82" s="195">
        <v>1900091091930</v>
      </c>
      <c r="E82" s="196" t="s">
        <v>748</v>
      </c>
      <c r="F82" s="197">
        <v>735</v>
      </c>
      <c r="G82" s="195">
        <v>1900091091940</v>
      </c>
      <c r="H82" s="198" t="s">
        <v>748</v>
      </c>
      <c r="I82" s="227">
        <v>1.0169999999999999</v>
      </c>
      <c r="J82" s="227">
        <v>1.0129999999999999</v>
      </c>
      <c r="K82" s="227">
        <v>1.0149999999999999</v>
      </c>
      <c r="L82" s="227">
        <v>1.0129999999999999</v>
      </c>
      <c r="M82" s="227">
        <v>1.014</v>
      </c>
      <c r="N82" s="229">
        <v>1.0069999999999999</v>
      </c>
      <c r="O82" s="229">
        <v>0.997</v>
      </c>
      <c r="P82" s="229">
        <v>1.0009999999999999</v>
      </c>
      <c r="Q82" s="229">
        <v>1.004</v>
      </c>
      <c r="R82" s="229">
        <v>0.999</v>
      </c>
    </row>
    <row r="83" spans="1:18" ht="22.5" customHeight="1" x14ac:dyDescent="0.2">
      <c r="A83" s="192">
        <v>44652</v>
      </c>
      <c r="B83" s="193" t="s">
        <v>749</v>
      </c>
      <c r="C83" s="194">
        <v>815</v>
      </c>
      <c r="D83" s="195">
        <v>1900091171267</v>
      </c>
      <c r="E83" s="196" t="s">
        <v>749</v>
      </c>
      <c r="F83" s="197">
        <v>747</v>
      </c>
      <c r="G83" s="195">
        <v>1900091171276</v>
      </c>
      <c r="H83" s="198" t="s">
        <v>749</v>
      </c>
      <c r="I83" s="227">
        <v>1.0169999999999999</v>
      </c>
      <c r="J83" s="227">
        <v>1.0129999999999999</v>
      </c>
      <c r="K83" s="227">
        <v>1.0149999999999999</v>
      </c>
      <c r="L83" s="227">
        <v>1.0129999999999999</v>
      </c>
      <c r="M83" s="227">
        <v>1.014</v>
      </c>
      <c r="N83" s="229">
        <v>1.008</v>
      </c>
      <c r="O83" s="229">
        <v>1</v>
      </c>
      <c r="P83" s="229">
        <v>1.002</v>
      </c>
      <c r="Q83" s="229">
        <v>1.0029999999999999</v>
      </c>
      <c r="R83" s="229">
        <v>1.0009999999999999</v>
      </c>
    </row>
    <row r="84" spans="1:18" ht="22.5" customHeight="1" x14ac:dyDescent="0.2">
      <c r="A84" s="192">
        <v>44652</v>
      </c>
      <c r="B84" s="193" t="s">
        <v>750</v>
      </c>
      <c r="C84" s="194">
        <v>878</v>
      </c>
      <c r="D84" s="195">
        <v>1900090194653</v>
      </c>
      <c r="E84" s="196" t="s">
        <v>750</v>
      </c>
      <c r="F84" s="197">
        <v>721</v>
      </c>
      <c r="G84" s="195">
        <v>1900090194644</v>
      </c>
      <c r="H84" s="198" t="s">
        <v>750</v>
      </c>
      <c r="I84" s="227">
        <v>1.0169999999999999</v>
      </c>
      <c r="J84" s="227">
        <v>1.0129999999999999</v>
      </c>
      <c r="K84" s="227">
        <v>1.0149999999999999</v>
      </c>
      <c r="L84" s="227">
        <v>1.0129999999999999</v>
      </c>
      <c r="M84" s="227">
        <v>1.014</v>
      </c>
      <c r="N84" s="229">
        <v>0.98799999999999999</v>
      </c>
      <c r="O84" s="229">
        <v>0.99</v>
      </c>
      <c r="P84" s="229">
        <v>0.98799999999999999</v>
      </c>
      <c r="Q84" s="229">
        <v>0.98899999999999999</v>
      </c>
      <c r="R84" s="229">
        <v>0.98899999999999999</v>
      </c>
    </row>
    <row r="85" spans="1:18" ht="22.5" customHeight="1" x14ac:dyDescent="0.2">
      <c r="A85" s="192">
        <v>44652</v>
      </c>
      <c r="B85" s="193" t="s">
        <v>751</v>
      </c>
      <c r="C85" s="194">
        <v>808</v>
      </c>
      <c r="D85" s="195">
        <v>1900091081560</v>
      </c>
      <c r="E85" s="196" t="s">
        <v>751</v>
      </c>
      <c r="F85" s="197">
        <v>736</v>
      </c>
      <c r="G85" s="195">
        <v>1900091081570</v>
      </c>
      <c r="H85" s="198" t="s">
        <v>751</v>
      </c>
      <c r="I85" s="227">
        <v>1.0169999999999999</v>
      </c>
      <c r="J85" s="227">
        <v>1.0129999999999999</v>
      </c>
      <c r="K85" s="227">
        <v>1.0149999999999999</v>
      </c>
      <c r="L85" s="227">
        <v>1.0129999999999999</v>
      </c>
      <c r="M85" s="227">
        <v>1.014</v>
      </c>
      <c r="N85" s="229">
        <v>1.0249999999999999</v>
      </c>
      <c r="O85" s="229">
        <v>1.0169999999999999</v>
      </c>
      <c r="P85" s="229">
        <v>1.026</v>
      </c>
      <c r="Q85" s="229">
        <v>1.018</v>
      </c>
      <c r="R85" s="229">
        <v>1.0189999999999999</v>
      </c>
    </row>
    <row r="86" spans="1:18" ht="22.5" customHeight="1" x14ac:dyDescent="0.2">
      <c r="A86" s="192">
        <v>44652</v>
      </c>
      <c r="B86" s="193" t="s">
        <v>752</v>
      </c>
      <c r="C86" s="194">
        <v>816</v>
      </c>
      <c r="D86" s="195">
        <v>1900091200138</v>
      </c>
      <c r="E86" s="196" t="s">
        <v>752</v>
      </c>
      <c r="F86" s="197">
        <v>748</v>
      </c>
      <c r="G86" s="195">
        <v>1900091200147</v>
      </c>
      <c r="H86" s="198" t="s">
        <v>752</v>
      </c>
      <c r="I86" s="227">
        <v>1.0169999999999999</v>
      </c>
      <c r="J86" s="227">
        <v>1.0129999999999999</v>
      </c>
      <c r="K86" s="227">
        <v>1.0149999999999999</v>
      </c>
      <c r="L86" s="227">
        <v>1.0129999999999999</v>
      </c>
      <c r="M86" s="227">
        <v>1.014</v>
      </c>
      <c r="N86" s="229">
        <v>1.008</v>
      </c>
      <c r="O86" s="229">
        <v>1.006</v>
      </c>
      <c r="P86" s="229">
        <v>1.008</v>
      </c>
      <c r="Q86" s="229">
        <v>1.0069999999999999</v>
      </c>
      <c r="R86" s="229">
        <v>1.0089999999999999</v>
      </c>
    </row>
    <row r="87" spans="1:18" ht="22.5" customHeight="1" x14ac:dyDescent="0.2">
      <c r="A87" s="192">
        <v>44652</v>
      </c>
      <c r="B87" s="193" t="s">
        <v>753</v>
      </c>
      <c r="C87" s="194">
        <v>896</v>
      </c>
      <c r="D87" s="195">
        <v>1900091310596</v>
      </c>
      <c r="E87" s="196" t="s">
        <v>753</v>
      </c>
      <c r="F87" s="197">
        <v>709</v>
      </c>
      <c r="G87" s="195">
        <v>1900091310601</v>
      </c>
      <c r="H87" s="198" t="s">
        <v>753</v>
      </c>
      <c r="I87" s="227">
        <v>1.0169999999999999</v>
      </c>
      <c r="J87" s="227">
        <v>1.0129999999999999</v>
      </c>
      <c r="K87" s="227">
        <v>1.0149999999999999</v>
      </c>
      <c r="L87" s="227">
        <v>1.0129999999999999</v>
      </c>
      <c r="M87" s="227">
        <v>1.014</v>
      </c>
      <c r="N87" s="229">
        <v>0.996</v>
      </c>
      <c r="O87" s="229">
        <v>0.998</v>
      </c>
      <c r="P87" s="229">
        <v>0.998</v>
      </c>
      <c r="Q87" s="229">
        <v>1</v>
      </c>
      <c r="R87" s="229">
        <v>0.999</v>
      </c>
    </row>
    <row r="88" spans="1:18" ht="22.5" customHeight="1" x14ac:dyDescent="0.2">
      <c r="A88" s="192">
        <v>44652</v>
      </c>
      <c r="B88" s="193" t="s">
        <v>754</v>
      </c>
      <c r="C88" s="194">
        <v>819</v>
      </c>
      <c r="D88" s="195">
        <v>1900091183402</v>
      </c>
      <c r="E88" s="196" t="s">
        <v>754</v>
      </c>
      <c r="F88" s="197">
        <v>751</v>
      </c>
      <c r="G88" s="195">
        <v>1900091183411</v>
      </c>
      <c r="H88" s="198" t="s">
        <v>754</v>
      </c>
      <c r="I88" s="227">
        <v>1.0169999999999999</v>
      </c>
      <c r="J88" s="227">
        <v>1.0129999999999999</v>
      </c>
      <c r="K88" s="227">
        <v>1.0149999999999999</v>
      </c>
      <c r="L88" s="227">
        <v>1.0129999999999999</v>
      </c>
      <c r="M88" s="227">
        <v>1.014</v>
      </c>
      <c r="N88" s="229">
        <v>1.0009999999999999</v>
      </c>
      <c r="O88" s="229">
        <v>1</v>
      </c>
      <c r="P88" s="229">
        <v>1</v>
      </c>
      <c r="Q88" s="229">
        <v>1</v>
      </c>
      <c r="R88" s="229">
        <v>1</v>
      </c>
    </row>
    <row r="89" spans="1:18" ht="22.5" customHeight="1" x14ac:dyDescent="0.2">
      <c r="A89" s="192">
        <v>44652</v>
      </c>
      <c r="B89" s="193" t="s">
        <v>755</v>
      </c>
      <c r="C89" s="194">
        <v>817</v>
      </c>
      <c r="D89" s="195">
        <v>1900091079241</v>
      </c>
      <c r="E89" s="196" t="s">
        <v>755</v>
      </c>
      <c r="F89" s="197">
        <v>749</v>
      </c>
      <c r="G89" s="195">
        <v>1900091079232</v>
      </c>
      <c r="H89" s="198" t="s">
        <v>755</v>
      </c>
      <c r="I89" s="227">
        <v>1.0169999999999999</v>
      </c>
      <c r="J89" s="227">
        <v>1.0129999999999999</v>
      </c>
      <c r="K89" s="227">
        <v>1.0149999999999999</v>
      </c>
      <c r="L89" s="227">
        <v>1.0129999999999999</v>
      </c>
      <c r="M89" s="227">
        <v>1.014</v>
      </c>
      <c r="N89" s="229">
        <v>1.006</v>
      </c>
      <c r="O89" s="229">
        <v>0.99099999999999999</v>
      </c>
      <c r="P89" s="229">
        <v>0.995</v>
      </c>
      <c r="Q89" s="229">
        <v>1.0049999999999999</v>
      </c>
      <c r="R89" s="229">
        <v>0.99299999999999999</v>
      </c>
    </row>
    <row r="90" spans="1:18" ht="22.5" customHeight="1" x14ac:dyDescent="0.2">
      <c r="A90" s="192">
        <v>44652</v>
      </c>
      <c r="B90" s="193" t="s">
        <v>756</v>
      </c>
      <c r="C90" s="194">
        <v>897</v>
      </c>
      <c r="D90" s="195">
        <v>1900091199138</v>
      </c>
      <c r="E90" s="196" t="s">
        <v>756</v>
      </c>
      <c r="F90" s="197">
        <v>710</v>
      </c>
      <c r="G90" s="195">
        <v>1900091199147</v>
      </c>
      <c r="H90" s="198" t="s">
        <v>756</v>
      </c>
      <c r="I90" s="227">
        <v>1.002</v>
      </c>
      <c r="J90" s="227">
        <v>1.002</v>
      </c>
      <c r="K90" s="227">
        <v>1.002</v>
      </c>
      <c r="L90" s="227">
        <v>1.002</v>
      </c>
      <c r="M90" s="227">
        <v>1.002</v>
      </c>
      <c r="N90" s="229">
        <v>0.99399999999999999</v>
      </c>
      <c r="O90" s="229">
        <v>0.995</v>
      </c>
      <c r="P90" s="229">
        <v>0.99399999999999999</v>
      </c>
      <c r="Q90" s="229">
        <v>0.99399999999999999</v>
      </c>
      <c r="R90" s="229">
        <v>0.99399999999999999</v>
      </c>
    </row>
    <row r="91" spans="1:18" ht="22.5" customHeight="1" x14ac:dyDescent="0.2">
      <c r="A91" s="192">
        <v>44652</v>
      </c>
      <c r="B91" s="193" t="s">
        <v>757</v>
      </c>
      <c r="C91" s="194">
        <v>800</v>
      </c>
      <c r="D91" s="195">
        <v>1900090585014</v>
      </c>
      <c r="E91" s="196" t="s">
        <v>757</v>
      </c>
      <c r="F91" s="197">
        <v>700</v>
      </c>
      <c r="G91" s="195">
        <v>1900090585005</v>
      </c>
      <c r="H91" s="198" t="s">
        <v>757</v>
      </c>
      <c r="I91" s="227">
        <v>1.0349999999999999</v>
      </c>
      <c r="J91" s="227">
        <v>1.05</v>
      </c>
      <c r="K91" s="227">
        <v>1.0489999999999999</v>
      </c>
      <c r="L91" s="227">
        <v>1.046</v>
      </c>
      <c r="M91" s="227">
        <v>1.048</v>
      </c>
      <c r="N91" s="229">
        <v>1.014</v>
      </c>
      <c r="O91" s="229">
        <v>1.0089999999999999</v>
      </c>
      <c r="P91" s="229">
        <v>1.0129999999999999</v>
      </c>
      <c r="Q91" s="229">
        <v>1.0089999999999999</v>
      </c>
      <c r="R91" s="229">
        <v>1.0109999999999999</v>
      </c>
    </row>
    <row r="92" spans="1:18" ht="22.5" customHeight="1" x14ac:dyDescent="0.2">
      <c r="A92" s="192">
        <v>44652</v>
      </c>
      <c r="B92" s="193" t="s">
        <v>759</v>
      </c>
      <c r="C92" s="194">
        <v>820</v>
      </c>
      <c r="D92" s="195">
        <v>1900091197414</v>
      </c>
      <c r="E92" s="196" t="s">
        <v>759</v>
      </c>
      <c r="F92" s="197">
        <v>752</v>
      </c>
      <c r="G92" s="195">
        <v>1900091197423</v>
      </c>
      <c r="H92" s="198" t="s">
        <v>759</v>
      </c>
      <c r="I92" s="227">
        <v>1.014</v>
      </c>
      <c r="J92" s="227">
        <v>1.0109999999999999</v>
      </c>
      <c r="K92" s="227">
        <v>1.014</v>
      </c>
      <c r="L92" s="227">
        <v>1.012</v>
      </c>
      <c r="M92" s="227">
        <v>1.014</v>
      </c>
      <c r="N92" s="229">
        <v>1.014</v>
      </c>
      <c r="O92" s="229">
        <v>1.006</v>
      </c>
      <c r="P92" s="229">
        <v>1.008</v>
      </c>
      <c r="Q92" s="229">
        <v>1.008</v>
      </c>
      <c r="R92" s="229">
        <v>1.01</v>
      </c>
    </row>
    <row r="93" spans="1:18" ht="22.5" customHeight="1" x14ac:dyDescent="0.2">
      <c r="A93" s="192">
        <v>44652</v>
      </c>
      <c r="B93" s="193" t="s">
        <v>760</v>
      </c>
      <c r="C93" s="194">
        <v>805</v>
      </c>
      <c r="D93" s="195">
        <v>1900091024517</v>
      </c>
      <c r="E93" s="196" t="s">
        <v>760</v>
      </c>
      <c r="F93" s="197">
        <v>739</v>
      </c>
      <c r="G93" s="195">
        <v>1900091024526</v>
      </c>
      <c r="H93" s="198" t="s">
        <v>760</v>
      </c>
      <c r="I93" s="227">
        <v>1.0169999999999999</v>
      </c>
      <c r="J93" s="227">
        <v>1.0129999999999999</v>
      </c>
      <c r="K93" s="227">
        <v>1.0149999999999999</v>
      </c>
      <c r="L93" s="227">
        <v>1.0129999999999999</v>
      </c>
      <c r="M93" s="227">
        <v>1.014</v>
      </c>
      <c r="N93" s="229">
        <v>0.998</v>
      </c>
      <c r="O93" s="229">
        <v>0.98199999999999998</v>
      </c>
      <c r="P93" s="229">
        <v>0.98599999999999999</v>
      </c>
      <c r="Q93" s="229">
        <v>0.998</v>
      </c>
      <c r="R93" s="229">
        <v>0.98299999999999998</v>
      </c>
    </row>
    <row r="94" spans="1:18" ht="60" customHeight="1" x14ac:dyDescent="0.2">
      <c r="A94" s="192">
        <v>44652</v>
      </c>
      <c r="B94" s="193" t="s">
        <v>761</v>
      </c>
      <c r="C94" s="194">
        <v>898</v>
      </c>
      <c r="D94" s="195" t="s">
        <v>800</v>
      </c>
      <c r="E94" s="196" t="s">
        <v>761</v>
      </c>
      <c r="F94" s="197">
        <v>753</v>
      </c>
      <c r="G94" s="195" t="s">
        <v>801</v>
      </c>
      <c r="H94" s="198" t="s">
        <v>761</v>
      </c>
      <c r="I94" s="227">
        <v>1.036</v>
      </c>
      <c r="J94" s="227">
        <v>1.0369999999999999</v>
      </c>
      <c r="K94" s="227">
        <v>1.0349999999999999</v>
      </c>
      <c r="L94" s="227">
        <v>1.036</v>
      </c>
      <c r="M94" s="227">
        <v>1.034</v>
      </c>
      <c r="N94" s="229">
        <v>1.0029999999999999</v>
      </c>
      <c r="O94" s="229">
        <v>0.999</v>
      </c>
      <c r="P94" s="229">
        <v>1.002</v>
      </c>
      <c r="Q94" s="229">
        <v>1.002</v>
      </c>
      <c r="R94" s="229">
        <v>1.0009999999999999</v>
      </c>
    </row>
    <row r="95" spans="1:18" ht="22.5" customHeight="1" x14ac:dyDescent="0.2">
      <c r="A95" s="192">
        <v>44652</v>
      </c>
      <c r="B95" s="193" t="s">
        <v>762</v>
      </c>
      <c r="C95" s="194">
        <v>822</v>
      </c>
      <c r="D95" s="195">
        <v>1900091216634</v>
      </c>
      <c r="E95" s="196" t="s">
        <v>762</v>
      </c>
      <c r="F95" s="197">
        <v>754</v>
      </c>
      <c r="G95" s="195">
        <v>1900091216643</v>
      </c>
      <c r="H95" s="198" t="s">
        <v>762</v>
      </c>
      <c r="I95" s="227">
        <v>1.0169999999999999</v>
      </c>
      <c r="J95" s="227">
        <v>1.0129999999999999</v>
      </c>
      <c r="K95" s="227">
        <v>1.0149999999999999</v>
      </c>
      <c r="L95" s="227">
        <v>1.0129999999999999</v>
      </c>
      <c r="M95" s="227">
        <v>1.014</v>
      </c>
      <c r="N95" s="229">
        <v>1.0149999999999999</v>
      </c>
      <c r="O95" s="229">
        <v>1.0069999999999999</v>
      </c>
      <c r="P95" s="229">
        <v>1.01</v>
      </c>
      <c r="Q95" s="229">
        <v>1.006</v>
      </c>
      <c r="R95" s="229">
        <v>1.014</v>
      </c>
    </row>
    <row r="96" spans="1:18" ht="22.5" customHeight="1" x14ac:dyDescent="0.2">
      <c r="A96" s="192">
        <v>44652</v>
      </c>
      <c r="B96" s="193" t="s">
        <v>763</v>
      </c>
      <c r="C96" s="194">
        <v>827</v>
      </c>
      <c r="D96" s="195">
        <v>1900091227307</v>
      </c>
      <c r="E96" s="196" t="s">
        <v>763</v>
      </c>
      <c r="F96" s="197">
        <v>719</v>
      </c>
      <c r="G96" s="195">
        <v>1900091227316</v>
      </c>
      <c r="H96" s="198" t="s">
        <v>763</v>
      </c>
      <c r="I96" s="227">
        <v>1.046</v>
      </c>
      <c r="J96" s="227">
        <v>1.0449999999999999</v>
      </c>
      <c r="K96" s="227">
        <v>1.046</v>
      </c>
      <c r="L96" s="227">
        <v>1.044</v>
      </c>
      <c r="M96" s="227">
        <v>1.046</v>
      </c>
      <c r="N96" s="229">
        <v>1.006</v>
      </c>
      <c r="O96" s="229">
        <v>1.004</v>
      </c>
      <c r="P96" s="229">
        <v>1.004</v>
      </c>
      <c r="Q96" s="229">
        <v>1.002</v>
      </c>
      <c r="R96" s="229">
        <v>1.0029999999999999</v>
      </c>
    </row>
    <row r="97" spans="1:18" ht="22.5" customHeight="1" x14ac:dyDescent="0.2">
      <c r="A97" s="192">
        <v>44652</v>
      </c>
      <c r="B97" s="193" t="s">
        <v>764</v>
      </c>
      <c r="C97" s="194">
        <v>899</v>
      </c>
      <c r="D97" s="195">
        <v>1900091319942</v>
      </c>
      <c r="E97" s="196" t="s">
        <v>764</v>
      </c>
      <c r="F97" s="197">
        <v>717</v>
      </c>
      <c r="G97" s="195">
        <v>1900091320006</v>
      </c>
      <c r="H97" s="198" t="s">
        <v>764</v>
      </c>
      <c r="I97" s="227">
        <v>1.026</v>
      </c>
      <c r="J97" s="227">
        <v>1.0189999999999999</v>
      </c>
      <c r="K97" s="227">
        <v>1.028</v>
      </c>
      <c r="L97" s="227">
        <v>1.018</v>
      </c>
      <c r="M97" s="227">
        <v>1.022</v>
      </c>
      <c r="N97" s="229">
        <v>1.0089999999999999</v>
      </c>
      <c r="O97" s="229">
        <v>1.006</v>
      </c>
      <c r="P97" s="229">
        <v>1.0069999999999999</v>
      </c>
      <c r="Q97" s="229">
        <v>1.006</v>
      </c>
      <c r="R97" s="229">
        <v>1.0089999999999999</v>
      </c>
    </row>
    <row r="98" spans="1:18" ht="22.5" customHeight="1" x14ac:dyDescent="0.2">
      <c r="A98" s="192">
        <v>44652</v>
      </c>
      <c r="B98" s="193" t="s">
        <v>765</v>
      </c>
      <c r="C98" s="194">
        <v>826</v>
      </c>
      <c r="D98" s="195">
        <v>1900091178954</v>
      </c>
      <c r="E98" s="196" t="s">
        <v>765</v>
      </c>
      <c r="F98" s="197">
        <v>703</v>
      </c>
      <c r="G98" s="195">
        <v>1900091178963</v>
      </c>
      <c r="H98" s="198" t="s">
        <v>765</v>
      </c>
      <c r="I98" s="227">
        <v>1.0169999999999999</v>
      </c>
      <c r="J98" s="227">
        <v>1.0129999999999999</v>
      </c>
      <c r="K98" s="227">
        <v>1.0149999999999999</v>
      </c>
      <c r="L98" s="227">
        <v>1.0129999999999999</v>
      </c>
      <c r="M98" s="227">
        <v>1.014</v>
      </c>
      <c r="N98" s="229">
        <v>1.0069999999999999</v>
      </c>
      <c r="O98" s="229">
        <v>1.002</v>
      </c>
      <c r="P98" s="229">
        <v>1.002</v>
      </c>
      <c r="Q98" s="229">
        <v>1.0029999999999999</v>
      </c>
      <c r="R98" s="229">
        <v>1.002</v>
      </c>
    </row>
    <row r="99" spans="1:18" ht="22.5" customHeight="1" x14ac:dyDescent="0.2">
      <c r="A99" s="192">
        <v>44652</v>
      </c>
      <c r="B99" s="193" t="s">
        <v>766</v>
      </c>
      <c r="C99" s="194">
        <v>900</v>
      </c>
      <c r="D99" s="195">
        <v>1900091360950</v>
      </c>
      <c r="E99" s="196" t="s">
        <v>766</v>
      </c>
      <c r="F99" s="197">
        <v>720</v>
      </c>
      <c r="G99" s="195">
        <v>1900091360969</v>
      </c>
      <c r="H99" s="198" t="s">
        <v>766</v>
      </c>
      <c r="I99" s="227">
        <v>1.006</v>
      </c>
      <c r="J99" s="227">
        <v>1.006</v>
      </c>
      <c r="K99" s="227">
        <v>1.006</v>
      </c>
      <c r="L99" s="227">
        <v>1.006</v>
      </c>
      <c r="M99" s="227">
        <v>1.006</v>
      </c>
      <c r="N99" s="229">
        <v>1.0009999999999999</v>
      </c>
      <c r="O99" s="229">
        <v>1</v>
      </c>
      <c r="P99" s="229">
        <v>1</v>
      </c>
      <c r="Q99" s="229">
        <v>1.002</v>
      </c>
      <c r="R99" s="229">
        <v>1</v>
      </c>
    </row>
    <row r="100" spans="1:18" ht="22.5" customHeight="1" x14ac:dyDescent="0.2">
      <c r="A100" s="192">
        <v>44652</v>
      </c>
      <c r="B100" s="193" t="s">
        <v>767</v>
      </c>
      <c r="C100" s="194"/>
      <c r="D100" s="195" t="s">
        <v>802</v>
      </c>
      <c r="E100" s="196" t="s">
        <v>767</v>
      </c>
      <c r="F100" s="197"/>
      <c r="G100" s="195" t="s">
        <v>802</v>
      </c>
      <c r="H100" s="198" t="s">
        <v>767</v>
      </c>
      <c r="I100" s="227">
        <v>1.05</v>
      </c>
      <c r="J100" s="227">
        <v>1.0369999999999999</v>
      </c>
      <c r="K100" s="227">
        <v>1.044</v>
      </c>
      <c r="L100" s="227">
        <v>1.0329999999999999</v>
      </c>
      <c r="M100" s="227">
        <v>1.0389999999999999</v>
      </c>
      <c r="N100" s="229">
        <v>1.05</v>
      </c>
      <c r="O100" s="229">
        <v>1.0369999999999999</v>
      </c>
      <c r="P100" s="229">
        <v>1.044</v>
      </c>
      <c r="Q100" s="229">
        <v>1.0329999999999999</v>
      </c>
      <c r="R100" s="229">
        <v>1.0389999999999999</v>
      </c>
    </row>
    <row r="101" spans="1:18" ht="22.5" customHeight="1" x14ac:dyDescent="0.2">
      <c r="A101" s="192">
        <v>44652</v>
      </c>
      <c r="B101" s="193" t="s">
        <v>768</v>
      </c>
      <c r="C101" s="194">
        <v>832</v>
      </c>
      <c r="D101" s="195">
        <v>1900091420128</v>
      </c>
      <c r="E101" s="196" t="s">
        <v>768</v>
      </c>
      <c r="F101" s="197">
        <v>718</v>
      </c>
      <c r="G101" s="195">
        <v>1900091420137</v>
      </c>
      <c r="H101" s="198" t="s">
        <v>768</v>
      </c>
      <c r="I101" s="227">
        <v>1.0189999999999999</v>
      </c>
      <c r="J101" s="227">
        <v>1.0169999999999999</v>
      </c>
      <c r="K101" s="227">
        <v>1.018</v>
      </c>
      <c r="L101" s="227">
        <v>1.0169999999999999</v>
      </c>
      <c r="M101" s="227">
        <v>1.0189999999999999</v>
      </c>
      <c r="N101" s="229">
        <v>1.008</v>
      </c>
      <c r="O101" s="229">
        <v>1.004</v>
      </c>
      <c r="P101" s="229">
        <v>1.008</v>
      </c>
      <c r="Q101" s="229">
        <v>1.004</v>
      </c>
      <c r="R101" s="229">
        <v>1.006</v>
      </c>
    </row>
    <row r="102" spans="1:18" ht="30" customHeight="1" x14ac:dyDescent="0.2">
      <c r="A102" s="192">
        <v>44652</v>
      </c>
      <c r="B102" s="193" t="s">
        <v>770</v>
      </c>
      <c r="C102" s="194">
        <v>823</v>
      </c>
      <c r="D102" s="195" t="s">
        <v>805</v>
      </c>
      <c r="E102" s="196" t="s">
        <v>770</v>
      </c>
      <c r="F102" s="197">
        <v>755</v>
      </c>
      <c r="G102" s="195" t="s">
        <v>806</v>
      </c>
      <c r="H102" s="198" t="s">
        <v>770</v>
      </c>
      <c r="I102" s="227">
        <v>1.0169999999999999</v>
      </c>
      <c r="J102" s="227">
        <v>1.0129999999999999</v>
      </c>
      <c r="K102" s="227">
        <v>1.0149999999999999</v>
      </c>
      <c r="L102" s="227">
        <v>1.0129999999999999</v>
      </c>
      <c r="M102" s="227">
        <v>1.014</v>
      </c>
      <c r="N102" s="229">
        <v>0.999</v>
      </c>
      <c r="O102" s="229">
        <v>0.99399999999999999</v>
      </c>
      <c r="P102" s="229">
        <v>0.996</v>
      </c>
      <c r="Q102" s="229">
        <v>0.999</v>
      </c>
      <c r="R102" s="229">
        <v>0.995</v>
      </c>
    </row>
    <row r="103" spans="1:18" ht="22.5" customHeight="1" x14ac:dyDescent="0.2">
      <c r="A103" s="192">
        <v>44652</v>
      </c>
      <c r="B103" s="193" t="s">
        <v>772</v>
      </c>
      <c r="C103" s="194">
        <v>807</v>
      </c>
      <c r="D103" s="195">
        <v>1900091090096</v>
      </c>
      <c r="E103" s="196" t="s">
        <v>772</v>
      </c>
      <c r="F103" s="197">
        <v>737</v>
      </c>
      <c r="G103" s="195">
        <v>1900091090101</v>
      </c>
      <c r="H103" s="198" t="s">
        <v>772</v>
      </c>
      <c r="I103" s="227">
        <v>1.0169999999999999</v>
      </c>
      <c r="J103" s="227">
        <v>1.0129999999999999</v>
      </c>
      <c r="K103" s="227">
        <v>1.0149999999999999</v>
      </c>
      <c r="L103" s="227">
        <v>1.0129999999999999</v>
      </c>
      <c r="M103" s="227">
        <v>1.014</v>
      </c>
      <c r="N103" s="229">
        <v>1.018</v>
      </c>
      <c r="O103" s="229">
        <v>1.002</v>
      </c>
      <c r="P103" s="229">
        <v>1.01</v>
      </c>
      <c r="Q103" s="229">
        <v>1.01</v>
      </c>
      <c r="R103" s="229">
        <v>1.0049999999999999</v>
      </c>
    </row>
    <row r="104" spans="1:18" ht="22.5" customHeight="1" x14ac:dyDescent="0.2">
      <c r="A104" s="192">
        <v>44652</v>
      </c>
      <c r="B104" s="193" t="s">
        <v>775</v>
      </c>
      <c r="C104" s="194">
        <v>818</v>
      </c>
      <c r="D104" s="195">
        <v>1900091171364</v>
      </c>
      <c r="E104" s="196" t="s">
        <v>775</v>
      </c>
      <c r="F104" s="197">
        <v>750</v>
      </c>
      <c r="G104" s="195">
        <v>1900091171373</v>
      </c>
      <c r="H104" s="198" t="s">
        <v>775</v>
      </c>
      <c r="I104" s="227">
        <v>1.0169999999999999</v>
      </c>
      <c r="J104" s="227">
        <v>1.0129999999999999</v>
      </c>
      <c r="K104" s="227">
        <v>1.0149999999999999</v>
      </c>
      <c r="L104" s="227">
        <v>1.0129999999999999</v>
      </c>
      <c r="M104" s="227">
        <v>1.014</v>
      </c>
      <c r="N104" s="229">
        <v>1</v>
      </c>
      <c r="O104" s="229">
        <v>0.999</v>
      </c>
      <c r="P104" s="229">
        <v>0.999</v>
      </c>
      <c r="Q104" s="229">
        <v>1</v>
      </c>
      <c r="R104" s="229">
        <v>0.999</v>
      </c>
    </row>
    <row r="105" spans="1:18" ht="22.5" customHeight="1" x14ac:dyDescent="0.2">
      <c r="A105" s="192">
        <v>44652</v>
      </c>
      <c r="B105" s="193" t="s">
        <v>777</v>
      </c>
      <c r="C105" s="194">
        <v>825</v>
      </c>
      <c r="D105" s="195">
        <v>1900091207124</v>
      </c>
      <c r="E105" s="196" t="s">
        <v>777</v>
      </c>
      <c r="F105" s="197">
        <v>702</v>
      </c>
      <c r="G105" s="195">
        <v>1900091207133</v>
      </c>
      <c r="H105" s="198" t="s">
        <v>777</v>
      </c>
      <c r="I105" s="227">
        <v>1.0169999999999999</v>
      </c>
      <c r="J105" s="227">
        <v>1.0129999999999999</v>
      </c>
      <c r="K105" s="227">
        <v>1.0149999999999999</v>
      </c>
      <c r="L105" s="227">
        <v>1.0129999999999999</v>
      </c>
      <c r="M105" s="227">
        <v>1.014</v>
      </c>
      <c r="N105" s="229">
        <v>1</v>
      </c>
      <c r="O105" s="229">
        <v>0.99399999999999999</v>
      </c>
      <c r="P105" s="229">
        <v>0.996</v>
      </c>
      <c r="Q105" s="229">
        <v>0.999</v>
      </c>
      <c r="R105" s="229">
        <v>0.995</v>
      </c>
    </row>
    <row r="106" spans="1:18" ht="22.5" customHeight="1" x14ac:dyDescent="0.2">
      <c r="A106" s="192">
        <v>44652</v>
      </c>
      <c r="B106" s="193" t="s">
        <v>778</v>
      </c>
      <c r="C106" s="194">
        <v>821</v>
      </c>
      <c r="D106" s="195">
        <v>1900091478493</v>
      </c>
      <c r="E106" s="196" t="s">
        <v>778</v>
      </c>
      <c r="F106" s="197">
        <v>714</v>
      </c>
      <c r="G106" s="195">
        <v>1900091478509</v>
      </c>
      <c r="H106" s="198" t="s">
        <v>778</v>
      </c>
      <c r="I106" s="227">
        <v>1.0169999999999999</v>
      </c>
      <c r="J106" s="227">
        <v>1.0129999999999999</v>
      </c>
      <c r="K106" s="227">
        <v>1.0149999999999999</v>
      </c>
      <c r="L106" s="227">
        <v>1.0129999999999999</v>
      </c>
      <c r="M106" s="227">
        <v>1.014</v>
      </c>
      <c r="N106" s="229">
        <v>1.0329999999999999</v>
      </c>
      <c r="O106" s="229">
        <v>1.0229999999999999</v>
      </c>
      <c r="P106" s="229">
        <v>1.0329999999999999</v>
      </c>
      <c r="Q106" s="229">
        <v>1.0149999999999999</v>
      </c>
      <c r="R106" s="229">
        <v>1.0449999999999999</v>
      </c>
    </row>
    <row r="107" spans="1:18" ht="22.5" customHeight="1" x14ac:dyDescent="0.2">
      <c r="A107" s="192">
        <v>44652</v>
      </c>
      <c r="B107" s="193" t="s">
        <v>779</v>
      </c>
      <c r="C107" s="194">
        <v>829</v>
      </c>
      <c r="D107" s="195">
        <v>1900091315238</v>
      </c>
      <c r="E107" s="196" t="s">
        <v>779</v>
      </c>
      <c r="F107" s="197">
        <v>715</v>
      </c>
      <c r="G107" s="195">
        <v>1900091315229</v>
      </c>
      <c r="H107" s="198" t="s">
        <v>779</v>
      </c>
      <c r="I107" s="227">
        <v>1.042</v>
      </c>
      <c r="J107" s="227">
        <v>1.0269999999999999</v>
      </c>
      <c r="K107" s="227">
        <v>1.032</v>
      </c>
      <c r="L107" s="227">
        <v>1.026</v>
      </c>
      <c r="M107" s="227">
        <v>1.032</v>
      </c>
      <c r="N107" s="229">
        <v>1.0169999999999999</v>
      </c>
      <c r="O107" s="229">
        <v>1.01</v>
      </c>
      <c r="P107" s="229">
        <v>1.0109999999999999</v>
      </c>
      <c r="Q107" s="229">
        <v>1.012</v>
      </c>
      <c r="R107" s="229">
        <v>1.014</v>
      </c>
    </row>
    <row r="108" spans="1:18" ht="22.5" customHeight="1" x14ac:dyDescent="0.2">
      <c r="A108" s="192">
        <v>44652</v>
      </c>
      <c r="B108" s="193" t="s">
        <v>780</v>
      </c>
      <c r="C108" s="194">
        <v>887</v>
      </c>
      <c r="D108" s="195">
        <v>1900070394457</v>
      </c>
      <c r="E108" s="196" t="s">
        <v>780</v>
      </c>
      <c r="F108" s="197">
        <v>731</v>
      </c>
      <c r="G108" s="195">
        <v>1900070394466</v>
      </c>
      <c r="H108" s="198" t="s">
        <v>780</v>
      </c>
      <c r="I108" s="227">
        <v>1.032</v>
      </c>
      <c r="J108" s="227">
        <v>1.073</v>
      </c>
      <c r="K108" s="227">
        <v>1.0820000000000001</v>
      </c>
      <c r="L108" s="227">
        <v>1.073</v>
      </c>
      <c r="M108" s="227">
        <v>1.079</v>
      </c>
      <c r="N108" s="229">
        <v>1.0369999999999999</v>
      </c>
      <c r="O108" s="229">
        <v>1.024</v>
      </c>
      <c r="P108" s="229">
        <v>1.0349999999999999</v>
      </c>
      <c r="Q108" s="229">
        <v>1.0249999999999999</v>
      </c>
      <c r="R108" s="229">
        <v>1.032</v>
      </c>
    </row>
    <row r="109" spans="1:18" ht="22.5" customHeight="1" x14ac:dyDescent="0.2">
      <c r="A109" s="192">
        <v>44652</v>
      </c>
      <c r="B109" s="193" t="s">
        <v>781</v>
      </c>
      <c r="C109" s="194">
        <v>806</v>
      </c>
      <c r="D109" s="195">
        <v>1900091086531</v>
      </c>
      <c r="E109" s="196" t="s">
        <v>781</v>
      </c>
      <c r="F109" s="197">
        <v>740</v>
      </c>
      <c r="G109" s="195">
        <v>1900091086540</v>
      </c>
      <c r="H109" s="198" t="s">
        <v>781</v>
      </c>
      <c r="I109" s="227">
        <v>1.0169999999999999</v>
      </c>
      <c r="J109" s="227">
        <v>1.0129999999999999</v>
      </c>
      <c r="K109" s="227">
        <v>1.0149999999999999</v>
      </c>
      <c r="L109" s="227">
        <v>1.0129999999999999</v>
      </c>
      <c r="M109" s="227">
        <v>1.014</v>
      </c>
      <c r="N109" s="229">
        <v>1.006</v>
      </c>
      <c r="O109" s="229">
        <v>1.004</v>
      </c>
      <c r="P109" s="229">
        <v>1.0029999999999999</v>
      </c>
      <c r="Q109" s="229">
        <v>1.0049999999999999</v>
      </c>
      <c r="R109" s="229">
        <v>1.0029999999999999</v>
      </c>
    </row>
    <row r="110" spans="1:18" ht="22.5" customHeight="1" x14ac:dyDescent="0.2">
      <c r="A110" s="192">
        <v>44652</v>
      </c>
      <c r="B110" s="193" t="s">
        <v>731</v>
      </c>
      <c r="C110" s="194">
        <v>893</v>
      </c>
      <c r="D110" s="195">
        <v>1900091353298</v>
      </c>
      <c r="E110" s="196" t="s">
        <v>731</v>
      </c>
      <c r="F110" s="197">
        <v>706</v>
      </c>
      <c r="G110" s="195">
        <v>1900091353303</v>
      </c>
      <c r="H110" s="198" t="s">
        <v>731</v>
      </c>
      <c r="I110" s="227">
        <v>1.0169999999999999</v>
      </c>
      <c r="J110" s="227">
        <v>1.0129999999999999</v>
      </c>
      <c r="K110" s="227">
        <v>1.0149999999999999</v>
      </c>
      <c r="L110" s="227">
        <v>1.0129999999999999</v>
      </c>
      <c r="M110" s="227">
        <v>1.014</v>
      </c>
      <c r="N110" s="229">
        <v>1.0209999999999999</v>
      </c>
      <c r="O110" s="229">
        <v>1.0129999999999999</v>
      </c>
      <c r="P110" s="229">
        <v>1.0169999999999999</v>
      </c>
      <c r="Q110" s="229">
        <v>1.0109999999999999</v>
      </c>
      <c r="R110" s="229">
        <v>1.024</v>
      </c>
    </row>
    <row r="111" spans="1:18" ht="22.5" customHeight="1" x14ac:dyDescent="0.2">
      <c r="A111" s="192">
        <v>44652</v>
      </c>
      <c r="B111" s="193" t="s">
        <v>1772</v>
      </c>
      <c r="C111" s="194"/>
      <c r="D111" s="195" t="s">
        <v>1773</v>
      </c>
      <c r="E111" s="196" t="s">
        <v>1772</v>
      </c>
      <c r="F111" s="197"/>
      <c r="G111" s="195" t="s">
        <v>1774</v>
      </c>
      <c r="H111" s="198" t="s">
        <v>1772</v>
      </c>
      <c r="I111" s="227">
        <v>1.0169999999999999</v>
      </c>
      <c r="J111" s="227">
        <v>1.0129999999999999</v>
      </c>
      <c r="K111" s="227">
        <v>1.0149999999999999</v>
      </c>
      <c r="L111" s="227">
        <v>1.0129999999999999</v>
      </c>
      <c r="M111" s="227">
        <v>1.014</v>
      </c>
      <c r="N111" s="229">
        <v>1.0169999999999999</v>
      </c>
      <c r="O111" s="229">
        <v>1.0129999999999999</v>
      </c>
      <c r="P111" s="229">
        <v>1.0149999999999999</v>
      </c>
      <c r="Q111" s="229">
        <v>1.0129999999999999</v>
      </c>
      <c r="R111" s="229">
        <v>1.014</v>
      </c>
    </row>
  </sheetData>
  <sortState xmlns:xlrd2="http://schemas.microsoft.com/office/spreadsheetml/2017/richdata2" ref="A6:Q55">
    <sortCondition ref="B6"/>
  </sortState>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5">
    <mergeCell ref="A4:P4"/>
    <mergeCell ref="A2:P2"/>
    <mergeCell ref="A61:P61"/>
    <mergeCell ref="H1:I1"/>
    <mergeCell ref="Q61:R61"/>
  </mergeCells>
  <hyperlinks>
    <hyperlink ref="A1" location="Overview!A1" display="Back to Overview" xr:uid="{00000000-0004-0000-0800-000000000000}"/>
  </hyperlinks>
  <pageMargins left="0.39370078740157483" right="0.35433070866141736" top="0.78740157480314965" bottom="0.55118110236220474" header="0.35433070866141736" footer="0.31496062992125984"/>
  <pageSetup paperSize="9" scale="46" fitToHeight="0" orientation="landscape" r:id="rId2"/>
  <headerFooter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165"/>
  <sheetViews>
    <sheetView zoomScale="80" zoomScaleNormal="80" zoomScaleSheetLayoutView="100" workbookViewId="0"/>
  </sheetViews>
  <sheetFormatPr defaultRowHeight="27.75" customHeight="1" x14ac:dyDescent="0.2"/>
  <cols>
    <col min="1" max="1" width="49" style="2" bestFit="1" customWidth="1"/>
    <col min="2" max="2" width="17.5703125" style="3" customWidth="1"/>
    <col min="3" max="3" width="6.85546875" style="2" customWidth="1"/>
    <col min="4" max="6" width="17.5703125" style="3" customWidth="1"/>
    <col min="7" max="16384" width="9.140625" style="2"/>
  </cols>
  <sheetData>
    <row r="1" spans="1:9" ht="27.75" customHeight="1" x14ac:dyDescent="0.2">
      <c r="A1" s="13" t="s">
        <v>18</v>
      </c>
      <c r="B1" s="299"/>
      <c r="C1" s="299"/>
      <c r="D1" s="163"/>
      <c r="E1" s="163"/>
      <c r="F1" s="163"/>
    </row>
    <row r="2" spans="1:9" ht="35.1" customHeight="1" x14ac:dyDescent="0.2">
      <c r="A2" s="268" t="str">
        <f>Overview!B4&amp; " - Effective from "&amp;Overview!D4&amp;" - "&amp;Overview!E4&amp;" Supplier of Last Resort and Eligible Bad Debt Pass-Through Costs"</f>
        <v>South Eastern Power Networks - Effective from 1 April 2022 - Final Supplier of Last Resort and Eligible Bad Debt Pass-Through Costs</v>
      </c>
      <c r="B2" s="269"/>
      <c r="C2" s="269"/>
      <c r="D2" s="269"/>
      <c r="E2" s="269"/>
      <c r="F2" s="270"/>
    </row>
    <row r="3" spans="1:9" s="67" customFormat="1" ht="21" customHeight="1" x14ac:dyDescent="0.2">
      <c r="A3" s="73"/>
      <c r="B3" s="73"/>
      <c r="C3" s="73"/>
      <c r="D3" s="73"/>
      <c r="E3" s="73"/>
      <c r="F3" s="73"/>
    </row>
    <row r="4" spans="1:9" ht="78.75" customHeight="1" x14ac:dyDescent="0.2">
      <c r="A4" s="26" t="s">
        <v>125</v>
      </c>
      <c r="B4" s="14" t="s">
        <v>418</v>
      </c>
      <c r="C4" s="14" t="s">
        <v>23</v>
      </c>
      <c r="D4" s="14" t="s">
        <v>469</v>
      </c>
      <c r="E4" s="14" t="s">
        <v>470</v>
      </c>
      <c r="F4" s="14" t="s">
        <v>471</v>
      </c>
    </row>
    <row r="5" spans="1:9" ht="32.25" customHeight="1" x14ac:dyDescent="0.2">
      <c r="A5" s="16" t="s">
        <v>474</v>
      </c>
      <c r="B5" s="33" t="str">
        <f>IFERROR(INDEX('Annex 1 LV, HV and UMS charges'!$B$12:$B$43,MATCH($A5,'Annex 1 LV, HV and UMS charges'!$A$12:$A$43,0)),IF(INDEX('Annex 4 LDNO charges'!$B$11:$B$201,MATCH($A5,'Annex 4 LDNO charges'!$A$11:$A$201,0))=0,"",INDEX('Annex 4 LDNO charges'!$B$11:$B$201,MATCH($A5,'Annex 4 LDNO charges'!$A$11:$A$201,0))))</f>
        <v>1</v>
      </c>
      <c r="C5" s="181" t="str">
        <f>IFERROR(INDEX('Annex 1 LV, HV and UMS charges'!$C$12:$C$43,MATCH($A5,'Annex 1 LV, HV and UMS charges'!$A$12:$A$43,0)),INDEX('Annex 4 LDNO charges'!$C$12:$C$201,MATCH($A5,'Annex 4 LDNO charges'!$A$12:$A$201,0)))</f>
        <v>0, 1, 2</v>
      </c>
      <c r="D5" s="172">
        <v>5.7538427037113801E-2</v>
      </c>
      <c r="E5" s="172">
        <v>9.4536320191825496</v>
      </c>
      <c r="F5" s="172">
        <v>6.5258362970998907E-2</v>
      </c>
      <c r="H5" s="240"/>
      <c r="I5" s="240"/>
    </row>
    <row r="6" spans="1:9" ht="27" customHeight="1" x14ac:dyDescent="0.2">
      <c r="A6" s="16" t="s">
        <v>476</v>
      </c>
      <c r="B6" s="33">
        <f>IFERROR(INDEX('Annex 1 LV, HV and UMS charges'!$B$12:$B$43,MATCH($A6,'Annex 1 LV, HV and UMS charges'!$A$12:$A$43,0)),IF(INDEX('Annex 4 LDNO charges'!$B$11:$B$201,MATCH($A6,'Annex 4 LDNO charges'!$A$11:$A$201,0))=0,"",INDEX('Annex 4 LDNO charges'!$B$11:$B$201,MATCH($A6,'Annex 4 LDNO charges'!$A$11:$A$201,0))))</f>
        <v>199</v>
      </c>
      <c r="C6" s="181" t="str">
        <f>IFERROR(INDEX('Annex 1 LV, HV and UMS charges'!$C$12:$C$43,MATCH($A6,'Annex 1 LV, HV and UMS charges'!$A$12:$A$43,0)),INDEX('Annex 4 LDNO charges'!$C$12:$C$201,MATCH($A6,'Annex 4 LDNO charges'!$A$12:$A$201,0)))</f>
        <v>0, 3, 4, 5-8</v>
      </c>
      <c r="D6" s="173"/>
      <c r="E6" s="173"/>
      <c r="F6" s="172">
        <v>6.5258362970998907E-2</v>
      </c>
    </row>
    <row r="7" spans="1:9" ht="27" customHeight="1" x14ac:dyDescent="0.2">
      <c r="A7" s="16" t="s">
        <v>477</v>
      </c>
      <c r="B7" s="33">
        <f>IFERROR(INDEX('Annex 1 LV, HV and UMS charges'!$B$12:$B$43,MATCH($A7,'Annex 1 LV, HV and UMS charges'!$A$12:$A$43,0)),IF(INDEX('Annex 4 LDNO charges'!$B$11:$B$201,MATCH($A7,'Annex 4 LDNO charges'!$A$11:$A$201,0))=0,"",INDEX('Annex 4 LDNO charges'!$B$11:$B$201,MATCH($A7,'Annex 4 LDNO charges'!$A$11:$A$201,0))))</f>
        <v>201</v>
      </c>
      <c r="C7" s="181" t="str">
        <f>IFERROR(INDEX('Annex 1 LV, HV and UMS charges'!$C$12:$C$43,MATCH($A7,'Annex 1 LV, HV and UMS charges'!$A$12:$A$43,0)),INDEX('Annex 4 LDNO charges'!$C$12:$C$201,MATCH($A7,'Annex 4 LDNO charges'!$A$12:$A$201,0)))</f>
        <v>0, 3, 4, 5-8</v>
      </c>
      <c r="D7" s="173"/>
      <c r="E7" s="173"/>
      <c r="F7" s="172">
        <v>6.5258362970998907E-2</v>
      </c>
    </row>
    <row r="8" spans="1:9" ht="27" customHeight="1" x14ac:dyDescent="0.2">
      <c r="A8" s="16" t="s">
        <v>478</v>
      </c>
      <c r="B8" s="33">
        <f>IFERROR(INDEX('Annex 1 LV, HV and UMS charges'!$B$12:$B$43,MATCH($A8,'Annex 1 LV, HV and UMS charges'!$A$12:$A$43,0)),IF(INDEX('Annex 4 LDNO charges'!$B$11:$B$201,MATCH($A8,'Annex 4 LDNO charges'!$A$11:$A$201,0))=0,"",INDEX('Annex 4 LDNO charges'!$B$11:$B$201,MATCH($A8,'Annex 4 LDNO charges'!$A$11:$A$201,0))))</f>
        <v>202</v>
      </c>
      <c r="C8" s="181" t="str">
        <f>IFERROR(INDEX('Annex 1 LV, HV and UMS charges'!$C$12:$C$43,MATCH($A8,'Annex 1 LV, HV and UMS charges'!$A$12:$A$43,0)),INDEX('Annex 4 LDNO charges'!$C$12:$C$201,MATCH($A8,'Annex 4 LDNO charges'!$A$12:$A$201,0)))</f>
        <v>0, 3, 4, 5-8</v>
      </c>
      <c r="D8" s="173"/>
      <c r="E8" s="173"/>
      <c r="F8" s="172">
        <v>6.5258362970998907E-2</v>
      </c>
    </row>
    <row r="9" spans="1:9" ht="27" customHeight="1" x14ac:dyDescent="0.2">
      <c r="A9" s="16" t="s">
        <v>479</v>
      </c>
      <c r="B9" s="33">
        <f>IFERROR(INDEX('Annex 1 LV, HV and UMS charges'!$B$12:$B$43,MATCH($A9,'Annex 1 LV, HV and UMS charges'!$A$12:$A$43,0)),IF(INDEX('Annex 4 LDNO charges'!$B$11:$B$201,MATCH($A9,'Annex 4 LDNO charges'!$A$11:$A$201,0))=0,"",INDEX('Annex 4 LDNO charges'!$B$11:$B$201,MATCH($A9,'Annex 4 LDNO charges'!$A$11:$A$201,0))))</f>
        <v>203</v>
      </c>
      <c r="C9" s="181" t="str">
        <f>IFERROR(INDEX('Annex 1 LV, HV and UMS charges'!$C$12:$C$43,MATCH($A9,'Annex 1 LV, HV and UMS charges'!$A$12:$A$43,0)),INDEX('Annex 4 LDNO charges'!$C$12:$C$201,MATCH($A9,'Annex 4 LDNO charges'!$A$12:$A$201,0)))</f>
        <v>0, 3, 4, 5-8</v>
      </c>
      <c r="D9" s="173"/>
      <c r="E9" s="173"/>
      <c r="F9" s="172">
        <v>6.5258362970998907E-2</v>
      </c>
    </row>
    <row r="10" spans="1:9" ht="27" customHeight="1" x14ac:dyDescent="0.2">
      <c r="A10" s="16" t="s">
        <v>480</v>
      </c>
      <c r="B10" s="33">
        <f>IFERROR(INDEX('Annex 1 LV, HV and UMS charges'!$B$12:$B$43,MATCH($A10,'Annex 1 LV, HV and UMS charges'!$A$12:$A$43,0)),IF(INDEX('Annex 4 LDNO charges'!$B$11:$B$201,MATCH($A10,'Annex 4 LDNO charges'!$A$11:$A$201,0))=0,"",INDEX('Annex 4 LDNO charges'!$B$11:$B$201,MATCH($A10,'Annex 4 LDNO charges'!$A$11:$A$201,0))))</f>
        <v>204</v>
      </c>
      <c r="C10" s="181" t="str">
        <f>IFERROR(INDEX('Annex 1 LV, HV and UMS charges'!$C$12:$C$43,MATCH($A10,'Annex 1 LV, HV and UMS charges'!$A$12:$A$43,0)),INDEX('Annex 4 LDNO charges'!$C$12:$C$201,MATCH($A10,'Annex 4 LDNO charges'!$A$12:$A$201,0)))</f>
        <v>0, 3, 4, 5-8</v>
      </c>
      <c r="D10" s="173"/>
      <c r="E10" s="173"/>
      <c r="F10" s="172">
        <v>6.5258362970998907E-2</v>
      </c>
    </row>
    <row r="11" spans="1:9" ht="27" customHeight="1" x14ac:dyDescent="0.2">
      <c r="A11" s="156" t="s">
        <v>481</v>
      </c>
      <c r="B11" s="33">
        <f>IFERROR(INDEX('Annex 1 LV, HV and UMS charges'!$B$12:$B$43,MATCH($A11,'Annex 1 LV, HV and UMS charges'!$A$12:$A$43,0)),IF(INDEX('Annex 4 LDNO charges'!$B$11:$B$201,MATCH($A11,'Annex 4 LDNO charges'!$A$11:$A$201,0))=0,"",INDEX('Annex 4 LDNO charges'!$B$11:$B$201,MATCH($A11,'Annex 4 LDNO charges'!$A$11:$A$201,0))))</f>
        <v>70</v>
      </c>
      <c r="C11" s="181">
        <f>IFERROR(INDEX('Annex 1 LV, HV and UMS charges'!$C$12:$C$43,MATCH($A11,'Annex 1 LV, HV and UMS charges'!$A$12:$A$43,0)),INDEX('Annex 4 LDNO charges'!$C$12:$C$201,MATCH($A11,'Annex 4 LDNO charges'!$A$12:$A$201,0)))</f>
        <v>0</v>
      </c>
      <c r="D11" s="173"/>
      <c r="E11" s="173"/>
      <c r="F11" s="172">
        <v>6.5258362970998907E-2</v>
      </c>
    </row>
    <row r="12" spans="1:9" ht="27" customHeight="1" x14ac:dyDescent="0.2">
      <c r="A12" s="156" t="s">
        <v>482</v>
      </c>
      <c r="B12" s="33">
        <f>IFERROR(INDEX('Annex 1 LV, HV and UMS charges'!$B$12:$B$43,MATCH($A12,'Annex 1 LV, HV and UMS charges'!$A$12:$A$43,0)),IF(INDEX('Annex 4 LDNO charges'!$B$11:$B$201,MATCH($A12,'Annex 4 LDNO charges'!$A$11:$A$201,0))=0,"",INDEX('Annex 4 LDNO charges'!$B$11:$B$201,MATCH($A12,'Annex 4 LDNO charges'!$A$11:$A$201,0))))</f>
        <v>71</v>
      </c>
      <c r="C12" s="181">
        <f>IFERROR(INDEX('Annex 1 LV, HV and UMS charges'!$C$12:$C$43,MATCH($A12,'Annex 1 LV, HV and UMS charges'!$A$12:$A$43,0)),INDEX('Annex 4 LDNO charges'!$C$12:$C$201,MATCH($A12,'Annex 4 LDNO charges'!$A$12:$A$201,0)))</f>
        <v>0</v>
      </c>
      <c r="D12" s="173"/>
      <c r="E12" s="173"/>
      <c r="F12" s="172">
        <v>6.5258362970998907E-2</v>
      </c>
    </row>
    <row r="13" spans="1:9" ht="27" customHeight="1" x14ac:dyDescent="0.2">
      <c r="A13" s="156" t="s">
        <v>483</v>
      </c>
      <c r="B13" s="33">
        <f>IFERROR(INDEX('Annex 1 LV, HV and UMS charges'!$B$12:$B$43,MATCH($A13,'Annex 1 LV, HV and UMS charges'!$A$12:$A$43,0)),IF(INDEX('Annex 4 LDNO charges'!$B$11:$B$201,MATCH($A13,'Annex 4 LDNO charges'!$A$11:$A$201,0))=0,"",INDEX('Annex 4 LDNO charges'!$B$11:$B$201,MATCH($A13,'Annex 4 LDNO charges'!$A$11:$A$201,0))))</f>
        <v>72</v>
      </c>
      <c r="C13" s="181">
        <f>IFERROR(INDEX('Annex 1 LV, HV and UMS charges'!$C$12:$C$43,MATCH($A13,'Annex 1 LV, HV and UMS charges'!$A$12:$A$43,0)),INDEX('Annex 4 LDNO charges'!$C$12:$C$201,MATCH($A13,'Annex 4 LDNO charges'!$A$12:$A$201,0)))</f>
        <v>0</v>
      </c>
      <c r="D13" s="173"/>
      <c r="E13" s="173"/>
      <c r="F13" s="172">
        <v>6.5258362970998907E-2</v>
      </c>
    </row>
    <row r="14" spans="1:9" ht="27.75" customHeight="1" x14ac:dyDescent="0.2">
      <c r="A14" s="156" t="s">
        <v>484</v>
      </c>
      <c r="B14" s="33">
        <f>IFERROR(INDEX('Annex 1 LV, HV and UMS charges'!$B$12:$B$43,MATCH($A14,'Annex 1 LV, HV and UMS charges'!$A$12:$A$43,0)),IF(INDEX('Annex 4 LDNO charges'!$B$11:$B$201,MATCH($A14,'Annex 4 LDNO charges'!$A$11:$A$201,0))=0,"",INDEX('Annex 4 LDNO charges'!$B$11:$B$201,MATCH($A14,'Annex 4 LDNO charges'!$A$11:$A$201,0))))</f>
        <v>73</v>
      </c>
      <c r="C14" s="181">
        <f>IFERROR(INDEX('Annex 1 LV, HV and UMS charges'!$C$12:$C$43,MATCH($A14,'Annex 1 LV, HV and UMS charges'!$A$12:$A$43,0)),INDEX('Annex 4 LDNO charges'!$C$12:$C$201,MATCH($A14,'Annex 4 LDNO charges'!$A$12:$A$201,0)))</f>
        <v>0</v>
      </c>
      <c r="D14" s="173"/>
      <c r="E14" s="173"/>
      <c r="F14" s="172">
        <v>6.5258362970998907E-2</v>
      </c>
    </row>
    <row r="15" spans="1:9" ht="27.75" customHeight="1" x14ac:dyDescent="0.2">
      <c r="A15" s="159" t="s">
        <v>485</v>
      </c>
      <c r="B15" s="33">
        <f>IFERROR(INDEX('Annex 1 LV, HV and UMS charges'!$B$12:$B$43,MATCH($A15,'Annex 1 LV, HV and UMS charges'!$A$12:$A$43,0)),IF(INDEX('Annex 4 LDNO charges'!$B$11:$B$201,MATCH($A15,'Annex 4 LDNO charges'!$A$11:$A$201,0))=0,"",INDEX('Annex 4 LDNO charges'!$B$11:$B$201,MATCH($A15,'Annex 4 LDNO charges'!$A$11:$A$201,0))))</f>
        <v>74</v>
      </c>
      <c r="C15" s="181">
        <f>IFERROR(INDEX('Annex 1 LV, HV and UMS charges'!$C$12:$C$43,MATCH($A15,'Annex 1 LV, HV and UMS charges'!$A$12:$A$43,0)),INDEX('Annex 4 LDNO charges'!$C$12:$C$201,MATCH($A15,'Annex 4 LDNO charges'!$A$12:$A$201,0)))</f>
        <v>0</v>
      </c>
      <c r="D15" s="173"/>
      <c r="E15" s="173"/>
      <c r="F15" s="172">
        <v>6.5258362970998907E-2</v>
      </c>
    </row>
    <row r="16" spans="1:9" ht="27.75" customHeight="1" x14ac:dyDescent="0.2">
      <c r="A16" s="159" t="s">
        <v>486</v>
      </c>
      <c r="B16" s="33">
        <f>IFERROR(INDEX('Annex 1 LV, HV and UMS charges'!$B$12:$B$43,MATCH($A16,'Annex 1 LV, HV and UMS charges'!$A$12:$A$43,0)),IF(INDEX('Annex 4 LDNO charges'!$B$11:$B$201,MATCH($A16,'Annex 4 LDNO charges'!$A$11:$A$201,0))=0,"",INDEX('Annex 4 LDNO charges'!$B$11:$B$201,MATCH($A16,'Annex 4 LDNO charges'!$A$11:$A$201,0))))</f>
        <v>80</v>
      </c>
      <c r="C16" s="181">
        <f>IFERROR(INDEX('Annex 1 LV, HV and UMS charges'!$C$12:$C$43,MATCH($A16,'Annex 1 LV, HV and UMS charges'!$A$12:$A$43,0)),INDEX('Annex 4 LDNO charges'!$C$12:$C$201,MATCH($A16,'Annex 4 LDNO charges'!$A$12:$A$201,0)))</f>
        <v>0</v>
      </c>
      <c r="D16" s="173"/>
      <c r="E16" s="173"/>
      <c r="F16" s="172">
        <v>6.5258362970998907E-2</v>
      </c>
    </row>
    <row r="17" spans="1:6" ht="27.75" customHeight="1" x14ac:dyDescent="0.2">
      <c r="A17" s="159" t="s">
        <v>487</v>
      </c>
      <c r="B17" s="33">
        <f>IFERROR(INDEX('Annex 1 LV, HV and UMS charges'!$B$12:$B$43,MATCH($A17,'Annex 1 LV, HV and UMS charges'!$A$12:$A$43,0)),IF(INDEX('Annex 4 LDNO charges'!$B$11:$B$201,MATCH($A17,'Annex 4 LDNO charges'!$A$11:$A$201,0))=0,"",INDEX('Annex 4 LDNO charges'!$B$11:$B$201,MATCH($A17,'Annex 4 LDNO charges'!$A$11:$A$201,0))))</f>
        <v>81</v>
      </c>
      <c r="C17" s="181">
        <f>IFERROR(INDEX('Annex 1 LV, HV and UMS charges'!$C$12:$C$43,MATCH($A17,'Annex 1 LV, HV and UMS charges'!$A$12:$A$43,0)),INDEX('Annex 4 LDNO charges'!$C$12:$C$201,MATCH($A17,'Annex 4 LDNO charges'!$A$12:$A$201,0)))</f>
        <v>0</v>
      </c>
      <c r="D17" s="173"/>
      <c r="E17" s="173"/>
      <c r="F17" s="172">
        <v>6.5258362970998907E-2</v>
      </c>
    </row>
    <row r="18" spans="1:6" ht="27.75" customHeight="1" x14ac:dyDescent="0.2">
      <c r="A18" s="159" t="s">
        <v>488</v>
      </c>
      <c r="B18" s="33">
        <f>IFERROR(INDEX('Annex 1 LV, HV and UMS charges'!$B$12:$B$43,MATCH($A18,'Annex 1 LV, HV and UMS charges'!$A$12:$A$43,0)),IF(INDEX('Annex 4 LDNO charges'!$B$11:$B$201,MATCH($A18,'Annex 4 LDNO charges'!$A$11:$A$201,0))=0,"",INDEX('Annex 4 LDNO charges'!$B$11:$B$201,MATCH($A18,'Annex 4 LDNO charges'!$A$11:$A$201,0))))</f>
        <v>82</v>
      </c>
      <c r="C18" s="181">
        <f>IFERROR(INDEX('Annex 1 LV, HV and UMS charges'!$C$12:$C$43,MATCH($A18,'Annex 1 LV, HV and UMS charges'!$A$12:$A$43,0)),INDEX('Annex 4 LDNO charges'!$C$12:$C$201,MATCH($A18,'Annex 4 LDNO charges'!$A$12:$A$201,0)))</f>
        <v>0</v>
      </c>
      <c r="D18" s="173"/>
      <c r="E18" s="173"/>
      <c r="F18" s="172">
        <v>6.5258362970998907E-2</v>
      </c>
    </row>
    <row r="19" spans="1:6" ht="27.75" customHeight="1" x14ac:dyDescent="0.2">
      <c r="A19" s="159" t="s">
        <v>489</v>
      </c>
      <c r="B19" s="33">
        <f>IFERROR(INDEX('Annex 1 LV, HV and UMS charges'!$B$12:$B$43,MATCH($A19,'Annex 1 LV, HV and UMS charges'!$A$12:$A$43,0)),IF(INDEX('Annex 4 LDNO charges'!$B$11:$B$201,MATCH($A19,'Annex 4 LDNO charges'!$A$11:$A$201,0))=0,"",INDEX('Annex 4 LDNO charges'!$B$11:$B$201,MATCH($A19,'Annex 4 LDNO charges'!$A$11:$A$201,0))))</f>
        <v>83</v>
      </c>
      <c r="C19" s="181">
        <f>IFERROR(INDEX('Annex 1 LV, HV and UMS charges'!$C$12:$C$43,MATCH($A19,'Annex 1 LV, HV and UMS charges'!$A$12:$A$43,0)),INDEX('Annex 4 LDNO charges'!$C$12:$C$201,MATCH($A19,'Annex 4 LDNO charges'!$A$12:$A$201,0)))</f>
        <v>0</v>
      </c>
      <c r="D19" s="173"/>
      <c r="E19" s="173"/>
      <c r="F19" s="172">
        <v>6.5258362970998907E-2</v>
      </c>
    </row>
    <row r="20" spans="1:6" ht="27.75" customHeight="1" x14ac:dyDescent="0.2">
      <c r="A20" s="159" t="s">
        <v>490</v>
      </c>
      <c r="B20" s="33">
        <f>IFERROR(INDEX('Annex 1 LV, HV and UMS charges'!$B$12:$B$43,MATCH($A20,'Annex 1 LV, HV and UMS charges'!$A$12:$A$43,0)),IF(INDEX('Annex 4 LDNO charges'!$B$11:$B$201,MATCH($A20,'Annex 4 LDNO charges'!$A$11:$A$201,0))=0,"",INDEX('Annex 4 LDNO charges'!$B$11:$B$201,MATCH($A20,'Annex 4 LDNO charges'!$A$11:$A$201,0))))</f>
        <v>84</v>
      </c>
      <c r="C20" s="181">
        <f>IFERROR(INDEX('Annex 1 LV, HV and UMS charges'!$C$12:$C$43,MATCH($A20,'Annex 1 LV, HV and UMS charges'!$A$12:$A$43,0)),INDEX('Annex 4 LDNO charges'!$C$12:$C$201,MATCH($A20,'Annex 4 LDNO charges'!$A$12:$A$201,0)))</f>
        <v>0</v>
      </c>
      <c r="D20" s="173"/>
      <c r="E20" s="173"/>
      <c r="F20" s="172">
        <v>6.5258362970998907E-2</v>
      </c>
    </row>
    <row r="21" spans="1:6" ht="27.75" customHeight="1" x14ac:dyDescent="0.2">
      <c r="A21" s="159" t="s">
        <v>491</v>
      </c>
      <c r="B21" s="33">
        <f>IFERROR(INDEX('Annex 1 LV, HV and UMS charges'!$B$12:$B$43,MATCH($A21,'Annex 1 LV, HV and UMS charges'!$A$12:$A$43,0)),IF(INDEX('Annex 4 LDNO charges'!$B$11:$B$201,MATCH($A21,'Annex 4 LDNO charges'!$A$11:$A$201,0))=0,"",INDEX('Annex 4 LDNO charges'!$B$11:$B$201,MATCH($A21,'Annex 4 LDNO charges'!$A$11:$A$201,0))))</f>
        <v>90</v>
      </c>
      <c r="C21" s="181">
        <f>IFERROR(INDEX('Annex 1 LV, HV and UMS charges'!$C$12:$C$43,MATCH($A21,'Annex 1 LV, HV and UMS charges'!$A$12:$A$43,0)),INDEX('Annex 4 LDNO charges'!$C$12:$C$201,MATCH($A21,'Annex 4 LDNO charges'!$A$12:$A$201,0)))</f>
        <v>0</v>
      </c>
      <c r="D21" s="173"/>
      <c r="E21" s="173"/>
      <c r="F21" s="172">
        <v>6.5258362970998907E-2</v>
      </c>
    </row>
    <row r="22" spans="1:6" ht="27.75" customHeight="1" x14ac:dyDescent="0.2">
      <c r="A22" s="159" t="s">
        <v>492</v>
      </c>
      <c r="B22" s="33">
        <f>IFERROR(INDEX('Annex 1 LV, HV and UMS charges'!$B$12:$B$43,MATCH($A22,'Annex 1 LV, HV and UMS charges'!$A$12:$A$43,0)),IF(INDEX('Annex 4 LDNO charges'!$B$11:$B$201,MATCH($A22,'Annex 4 LDNO charges'!$A$11:$A$201,0))=0,"",INDEX('Annex 4 LDNO charges'!$B$11:$B$201,MATCH($A22,'Annex 4 LDNO charges'!$A$11:$A$201,0))))</f>
        <v>91</v>
      </c>
      <c r="C22" s="181">
        <f>IFERROR(INDEX('Annex 1 LV, HV and UMS charges'!$C$12:$C$43,MATCH($A22,'Annex 1 LV, HV and UMS charges'!$A$12:$A$43,0)),INDEX('Annex 4 LDNO charges'!$C$12:$C$201,MATCH($A22,'Annex 4 LDNO charges'!$A$12:$A$201,0)))</f>
        <v>0</v>
      </c>
      <c r="D22" s="173"/>
      <c r="E22" s="173"/>
      <c r="F22" s="172">
        <v>6.5258362970998907E-2</v>
      </c>
    </row>
    <row r="23" spans="1:6" ht="27.75" customHeight="1" x14ac:dyDescent="0.2">
      <c r="A23" s="156" t="s">
        <v>493</v>
      </c>
      <c r="B23" s="33">
        <f>IFERROR(INDEX('Annex 1 LV, HV and UMS charges'!$B$12:$B$43,MATCH($A23,'Annex 1 LV, HV and UMS charges'!$A$12:$A$43,0)),IF(INDEX('Annex 4 LDNO charges'!$B$11:$B$201,MATCH($A23,'Annex 4 LDNO charges'!$A$11:$A$201,0))=0,"",INDEX('Annex 4 LDNO charges'!$B$11:$B$201,MATCH($A23,'Annex 4 LDNO charges'!$A$11:$A$201,0))))</f>
        <v>92</v>
      </c>
      <c r="C23" s="181">
        <f>IFERROR(INDEX('Annex 1 LV, HV and UMS charges'!$C$12:$C$43,MATCH($A23,'Annex 1 LV, HV and UMS charges'!$A$12:$A$43,0)),INDEX('Annex 4 LDNO charges'!$C$12:$C$201,MATCH($A23,'Annex 4 LDNO charges'!$A$12:$A$201,0)))</f>
        <v>0</v>
      </c>
      <c r="D23" s="173"/>
      <c r="E23" s="173"/>
      <c r="F23" s="172">
        <v>6.5258362970998907E-2</v>
      </c>
    </row>
    <row r="24" spans="1:6" ht="27.75" customHeight="1" x14ac:dyDescent="0.2">
      <c r="A24" s="156" t="s">
        <v>494</v>
      </c>
      <c r="B24" s="33">
        <f>IFERROR(INDEX('Annex 1 LV, HV and UMS charges'!$B$12:$B$43,MATCH($A24,'Annex 1 LV, HV and UMS charges'!$A$12:$A$43,0)),IF(INDEX('Annex 4 LDNO charges'!$B$11:$B$201,MATCH($A24,'Annex 4 LDNO charges'!$A$11:$A$201,0))=0,"",INDEX('Annex 4 LDNO charges'!$B$11:$B$201,MATCH($A24,'Annex 4 LDNO charges'!$A$11:$A$201,0))))</f>
        <v>93</v>
      </c>
      <c r="C24" s="181">
        <f>IFERROR(INDEX('Annex 1 LV, HV and UMS charges'!$C$12:$C$43,MATCH($A24,'Annex 1 LV, HV and UMS charges'!$A$12:$A$43,0)),INDEX('Annex 4 LDNO charges'!$C$12:$C$201,MATCH($A24,'Annex 4 LDNO charges'!$A$12:$A$201,0)))</f>
        <v>0</v>
      </c>
      <c r="D24" s="173"/>
      <c r="E24" s="173"/>
      <c r="F24" s="172">
        <v>6.5258362970998907E-2</v>
      </c>
    </row>
    <row r="25" spans="1:6" ht="27.75" customHeight="1" x14ac:dyDescent="0.2">
      <c r="A25" s="156" t="s">
        <v>495</v>
      </c>
      <c r="B25" s="33">
        <f>IFERROR(INDEX('Annex 1 LV, HV and UMS charges'!$B$12:$B$43,MATCH($A25,'Annex 1 LV, HV and UMS charges'!$A$12:$A$43,0)),IF(INDEX('Annex 4 LDNO charges'!$B$11:$B$201,MATCH($A25,'Annex 4 LDNO charges'!$A$11:$A$201,0))=0,"",INDEX('Annex 4 LDNO charges'!$B$11:$B$201,MATCH($A25,'Annex 4 LDNO charges'!$A$11:$A$201,0))))</f>
        <v>94</v>
      </c>
      <c r="C25" s="181">
        <f>IFERROR(INDEX('Annex 1 LV, HV and UMS charges'!$C$12:$C$43,MATCH($A25,'Annex 1 LV, HV and UMS charges'!$A$12:$A$43,0)),INDEX('Annex 4 LDNO charges'!$C$12:$C$201,MATCH($A25,'Annex 4 LDNO charges'!$A$12:$A$201,0)))</f>
        <v>0</v>
      </c>
      <c r="D25" s="173"/>
      <c r="E25" s="173"/>
      <c r="F25" s="172">
        <v>6.5258362970998907E-2</v>
      </c>
    </row>
    <row r="26" spans="1:6" ht="27.75" customHeight="1" x14ac:dyDescent="0.2">
      <c r="A26" s="156" t="s">
        <v>496</v>
      </c>
      <c r="B26" s="33" t="str">
        <f>IFERROR(INDEX('Annex 1 LV, HV and UMS charges'!$B$12:$B$43,MATCH($A26,'Annex 1 LV, HV and UMS charges'!$A$12:$A$43,0)),IF(INDEX('Annex 4 LDNO charges'!$B$11:$B$201,MATCH($A26,'Annex 4 LDNO charges'!$A$11:$A$201,0))=0,"",INDEX('Annex 4 LDNO charges'!$B$11:$B$201,MATCH($A26,'Annex 4 LDNO charges'!$A$11:$A$201,0))))</f>
        <v>A00</v>
      </c>
      <c r="C26" s="181" t="str">
        <f>IFERROR(INDEX('Annex 1 LV, HV and UMS charges'!$C$12:$C$43,MATCH($A26,'Annex 1 LV, HV and UMS charges'!$A$12:$A$43,0)),INDEX('Annex 4 LDNO charges'!$C$12:$C$201,MATCH($A26,'Annex 4 LDNO charges'!$A$12:$A$201,0)))</f>
        <v>0, 1, 2</v>
      </c>
      <c r="D26" s="172">
        <v>5.7538427037113801E-2</v>
      </c>
      <c r="E26" s="172">
        <v>9.4536320191825496</v>
      </c>
      <c r="F26" s="172">
        <v>6.5258362970998907E-2</v>
      </c>
    </row>
    <row r="27" spans="1:6" ht="27.75" customHeight="1" x14ac:dyDescent="0.2">
      <c r="A27" s="156" t="s">
        <v>498</v>
      </c>
      <c r="B27" s="33" t="str">
        <f>IFERROR(INDEX('Annex 1 LV, HV and UMS charges'!$B$12:$B$43,MATCH($A27,'Annex 1 LV, HV and UMS charges'!$A$12:$A$43,0)),IF(INDEX('Annex 4 LDNO charges'!$B$11:$B$201,MATCH($A27,'Annex 4 LDNO charges'!$A$11:$A$201,0))=0,"",INDEX('Annex 4 LDNO charges'!$B$11:$B$201,MATCH($A27,'Annex 4 LDNO charges'!$A$11:$A$201,0))))</f>
        <v>C00</v>
      </c>
      <c r="C27" s="181" t="str">
        <f>IFERROR(INDEX('Annex 1 LV, HV and UMS charges'!$C$12:$C$43,MATCH($A27,'Annex 1 LV, HV and UMS charges'!$A$12:$A$43,0)),INDEX('Annex 4 LDNO charges'!$C$12:$C$201,MATCH($A27,'Annex 4 LDNO charges'!$A$12:$A$201,0)))</f>
        <v>0, 3, 4, 5-8</v>
      </c>
      <c r="D27" s="173"/>
      <c r="E27" s="173"/>
      <c r="F27" s="172">
        <v>6.5258362970998907E-2</v>
      </c>
    </row>
    <row r="28" spans="1:6" ht="27.75" customHeight="1" x14ac:dyDescent="0.2">
      <c r="A28" s="156" t="s">
        <v>499</v>
      </c>
      <c r="B28" s="33" t="str">
        <f>IFERROR(INDEX('Annex 1 LV, HV and UMS charges'!$B$12:$B$43,MATCH($A28,'Annex 1 LV, HV and UMS charges'!$A$12:$A$43,0)),IF(INDEX('Annex 4 LDNO charges'!$B$11:$B$201,MATCH($A28,'Annex 4 LDNO charges'!$A$11:$A$201,0))=0,"",INDEX('Annex 4 LDNO charges'!$B$11:$B$201,MATCH($A28,'Annex 4 LDNO charges'!$A$11:$A$201,0))))</f>
        <v>C01</v>
      </c>
      <c r="C28" s="181" t="str">
        <f>IFERROR(INDEX('Annex 1 LV, HV and UMS charges'!$C$12:$C$43,MATCH($A28,'Annex 1 LV, HV and UMS charges'!$A$12:$A$43,0)),INDEX('Annex 4 LDNO charges'!$C$12:$C$201,MATCH($A28,'Annex 4 LDNO charges'!$A$12:$A$201,0)))</f>
        <v>0, 3, 4, 5-8</v>
      </c>
      <c r="D28" s="173"/>
      <c r="E28" s="173"/>
      <c r="F28" s="172">
        <v>6.5258362970998907E-2</v>
      </c>
    </row>
    <row r="29" spans="1:6" ht="27.75" customHeight="1" x14ac:dyDescent="0.2">
      <c r="A29" s="156" t="s">
        <v>500</v>
      </c>
      <c r="B29" s="33" t="str">
        <f>IFERROR(INDEX('Annex 1 LV, HV and UMS charges'!$B$12:$B$43,MATCH($A29,'Annex 1 LV, HV and UMS charges'!$A$12:$A$43,0)),IF(INDEX('Annex 4 LDNO charges'!$B$11:$B$201,MATCH($A29,'Annex 4 LDNO charges'!$A$11:$A$201,0))=0,"",INDEX('Annex 4 LDNO charges'!$B$11:$B$201,MATCH($A29,'Annex 4 LDNO charges'!$A$11:$A$201,0))))</f>
        <v>C02</v>
      </c>
      <c r="C29" s="181" t="str">
        <f>IFERROR(INDEX('Annex 1 LV, HV and UMS charges'!$C$12:$C$43,MATCH($A29,'Annex 1 LV, HV and UMS charges'!$A$12:$A$43,0)),INDEX('Annex 4 LDNO charges'!$C$12:$C$201,MATCH($A29,'Annex 4 LDNO charges'!$A$12:$A$201,0)))</f>
        <v>0, 3, 4, 5-8</v>
      </c>
      <c r="D29" s="173"/>
      <c r="E29" s="173"/>
      <c r="F29" s="172">
        <v>6.5258362970998907E-2</v>
      </c>
    </row>
    <row r="30" spans="1:6" ht="27.75" customHeight="1" x14ac:dyDescent="0.2">
      <c r="A30" s="156" t="s">
        <v>501</v>
      </c>
      <c r="B30" s="33" t="str">
        <f>IFERROR(INDEX('Annex 1 LV, HV and UMS charges'!$B$12:$B$43,MATCH($A30,'Annex 1 LV, HV and UMS charges'!$A$12:$A$43,0)),IF(INDEX('Annex 4 LDNO charges'!$B$11:$B$201,MATCH($A30,'Annex 4 LDNO charges'!$A$11:$A$201,0))=0,"",INDEX('Annex 4 LDNO charges'!$B$11:$B$201,MATCH($A30,'Annex 4 LDNO charges'!$A$11:$A$201,0))))</f>
        <v>C03</v>
      </c>
      <c r="C30" s="181" t="str">
        <f>IFERROR(INDEX('Annex 1 LV, HV and UMS charges'!$C$12:$C$43,MATCH($A30,'Annex 1 LV, HV and UMS charges'!$A$12:$A$43,0)),INDEX('Annex 4 LDNO charges'!$C$12:$C$201,MATCH($A30,'Annex 4 LDNO charges'!$A$12:$A$201,0)))</f>
        <v>0, 3, 4, 5-8</v>
      </c>
      <c r="D30" s="173"/>
      <c r="E30" s="173"/>
      <c r="F30" s="172">
        <v>6.5258362970998907E-2</v>
      </c>
    </row>
    <row r="31" spans="1:6" ht="27.75" customHeight="1" x14ac:dyDescent="0.2">
      <c r="A31" s="156" t="s">
        <v>502</v>
      </c>
      <c r="B31" s="33" t="str">
        <f>IFERROR(INDEX('Annex 1 LV, HV and UMS charges'!$B$12:$B$43,MATCH($A31,'Annex 1 LV, HV and UMS charges'!$A$12:$A$43,0)),IF(INDEX('Annex 4 LDNO charges'!$B$11:$B$201,MATCH($A31,'Annex 4 LDNO charges'!$A$11:$A$201,0))=0,"",INDEX('Annex 4 LDNO charges'!$B$11:$B$201,MATCH($A31,'Annex 4 LDNO charges'!$A$11:$A$201,0))))</f>
        <v>C04</v>
      </c>
      <c r="C31" s="181" t="str">
        <f>IFERROR(INDEX('Annex 1 LV, HV and UMS charges'!$C$12:$C$43,MATCH($A31,'Annex 1 LV, HV and UMS charges'!$A$12:$A$43,0)),INDEX('Annex 4 LDNO charges'!$C$12:$C$201,MATCH($A31,'Annex 4 LDNO charges'!$A$12:$A$201,0)))</f>
        <v>0, 3, 4, 5-8</v>
      </c>
      <c r="D31" s="173"/>
      <c r="E31" s="173"/>
      <c r="F31" s="172">
        <v>6.5258362970998907E-2</v>
      </c>
    </row>
    <row r="32" spans="1:6" ht="27.75" customHeight="1" x14ac:dyDescent="0.2">
      <c r="A32" s="156" t="s">
        <v>503</v>
      </c>
      <c r="B32" s="33" t="str">
        <f>IFERROR(INDEX('Annex 1 LV, HV and UMS charges'!$B$12:$B$43,MATCH($A32,'Annex 1 LV, HV and UMS charges'!$A$12:$A$43,0)),IF(INDEX('Annex 4 LDNO charges'!$B$11:$B$201,MATCH($A32,'Annex 4 LDNO charges'!$A$11:$A$201,0))=0,"",INDEX('Annex 4 LDNO charges'!$B$11:$B$201,MATCH($A32,'Annex 4 LDNO charges'!$A$11:$A$201,0))))</f>
        <v>E00</v>
      </c>
      <c r="C32" s="181">
        <f>IFERROR(INDEX('Annex 1 LV, HV and UMS charges'!$C$12:$C$43,MATCH($A32,'Annex 1 LV, HV and UMS charges'!$A$12:$A$43,0)),INDEX('Annex 4 LDNO charges'!$C$12:$C$201,MATCH($A32,'Annex 4 LDNO charges'!$A$12:$A$201,0)))</f>
        <v>0</v>
      </c>
      <c r="D32" s="173"/>
      <c r="E32" s="173"/>
      <c r="F32" s="172">
        <v>6.5258362970998907E-2</v>
      </c>
    </row>
    <row r="33" spans="1:6" ht="27.75" customHeight="1" x14ac:dyDescent="0.2">
      <c r="A33" s="156" t="s">
        <v>504</v>
      </c>
      <c r="B33" s="33" t="str">
        <f>IFERROR(INDEX('Annex 1 LV, HV and UMS charges'!$B$12:$B$43,MATCH($A33,'Annex 1 LV, HV and UMS charges'!$A$12:$A$43,0)),IF(INDEX('Annex 4 LDNO charges'!$B$11:$B$201,MATCH($A33,'Annex 4 LDNO charges'!$A$11:$A$201,0))=0,"",INDEX('Annex 4 LDNO charges'!$B$11:$B$201,MATCH($A33,'Annex 4 LDNO charges'!$A$11:$A$201,0))))</f>
        <v>E01</v>
      </c>
      <c r="C33" s="181">
        <f>IFERROR(INDEX('Annex 1 LV, HV and UMS charges'!$C$12:$C$43,MATCH($A33,'Annex 1 LV, HV and UMS charges'!$A$12:$A$43,0)),INDEX('Annex 4 LDNO charges'!$C$12:$C$201,MATCH($A33,'Annex 4 LDNO charges'!$A$12:$A$201,0)))</f>
        <v>0</v>
      </c>
      <c r="D33" s="173"/>
      <c r="E33" s="173"/>
      <c r="F33" s="172">
        <v>6.5258362970998907E-2</v>
      </c>
    </row>
    <row r="34" spans="1:6" ht="27.75" customHeight="1" x14ac:dyDescent="0.2">
      <c r="A34" s="156" t="s">
        <v>505</v>
      </c>
      <c r="B34" s="33" t="str">
        <f>IFERROR(INDEX('Annex 1 LV, HV and UMS charges'!$B$12:$B$43,MATCH($A34,'Annex 1 LV, HV and UMS charges'!$A$12:$A$43,0)),IF(INDEX('Annex 4 LDNO charges'!$B$11:$B$201,MATCH($A34,'Annex 4 LDNO charges'!$A$11:$A$201,0))=0,"",INDEX('Annex 4 LDNO charges'!$B$11:$B$201,MATCH($A34,'Annex 4 LDNO charges'!$A$11:$A$201,0))))</f>
        <v>E02</v>
      </c>
      <c r="C34" s="181">
        <f>IFERROR(INDEX('Annex 1 LV, HV and UMS charges'!$C$12:$C$43,MATCH($A34,'Annex 1 LV, HV and UMS charges'!$A$12:$A$43,0)),INDEX('Annex 4 LDNO charges'!$C$12:$C$201,MATCH($A34,'Annex 4 LDNO charges'!$A$12:$A$201,0)))</f>
        <v>0</v>
      </c>
      <c r="D34" s="173"/>
      <c r="E34" s="173"/>
      <c r="F34" s="172">
        <v>6.5258362970998907E-2</v>
      </c>
    </row>
    <row r="35" spans="1:6" ht="27.75" customHeight="1" x14ac:dyDescent="0.2">
      <c r="A35" s="156" t="s">
        <v>506</v>
      </c>
      <c r="B35" s="33" t="str">
        <f>IFERROR(INDEX('Annex 1 LV, HV and UMS charges'!$B$12:$B$43,MATCH($A35,'Annex 1 LV, HV and UMS charges'!$A$12:$A$43,0)),IF(INDEX('Annex 4 LDNO charges'!$B$11:$B$201,MATCH($A35,'Annex 4 LDNO charges'!$A$11:$A$201,0))=0,"",INDEX('Annex 4 LDNO charges'!$B$11:$B$201,MATCH($A35,'Annex 4 LDNO charges'!$A$11:$A$201,0))))</f>
        <v>E03</v>
      </c>
      <c r="C35" s="181">
        <f>IFERROR(INDEX('Annex 1 LV, HV and UMS charges'!$C$12:$C$43,MATCH($A35,'Annex 1 LV, HV and UMS charges'!$A$12:$A$43,0)),INDEX('Annex 4 LDNO charges'!$C$12:$C$201,MATCH($A35,'Annex 4 LDNO charges'!$A$12:$A$201,0)))</f>
        <v>0</v>
      </c>
      <c r="D35" s="173"/>
      <c r="E35" s="173"/>
      <c r="F35" s="172">
        <v>6.5258362970998907E-2</v>
      </c>
    </row>
    <row r="36" spans="1:6" ht="27.75" customHeight="1" x14ac:dyDescent="0.2">
      <c r="A36" s="156" t="s">
        <v>507</v>
      </c>
      <c r="B36" s="33" t="str">
        <f>IFERROR(INDEX('Annex 1 LV, HV and UMS charges'!$B$12:$B$43,MATCH($A36,'Annex 1 LV, HV and UMS charges'!$A$12:$A$43,0)),IF(INDEX('Annex 4 LDNO charges'!$B$11:$B$201,MATCH($A36,'Annex 4 LDNO charges'!$A$11:$A$201,0))=0,"",INDEX('Annex 4 LDNO charges'!$B$11:$B$201,MATCH($A36,'Annex 4 LDNO charges'!$A$11:$A$201,0))))</f>
        <v>E04</v>
      </c>
      <c r="C36" s="181">
        <f>IFERROR(INDEX('Annex 1 LV, HV and UMS charges'!$C$12:$C$43,MATCH($A36,'Annex 1 LV, HV and UMS charges'!$A$12:$A$43,0)),INDEX('Annex 4 LDNO charges'!$C$12:$C$201,MATCH($A36,'Annex 4 LDNO charges'!$A$12:$A$201,0)))</f>
        <v>0</v>
      </c>
      <c r="D36" s="173"/>
      <c r="E36" s="173"/>
      <c r="F36" s="172">
        <v>6.5258362970998907E-2</v>
      </c>
    </row>
    <row r="37" spans="1:6" ht="27.75" customHeight="1" x14ac:dyDescent="0.2">
      <c r="A37" s="159" t="s">
        <v>508</v>
      </c>
      <c r="B37" s="33" t="str">
        <f>IFERROR(INDEX('Annex 1 LV, HV and UMS charges'!$B$12:$B$43,MATCH($A37,'Annex 1 LV, HV and UMS charges'!$A$12:$A$43,0)),IF(INDEX('Annex 4 LDNO charges'!$B$11:$B$201,MATCH($A37,'Annex 4 LDNO charges'!$A$11:$A$201,0))=0,"",INDEX('Annex 4 LDNO charges'!$B$11:$B$201,MATCH($A37,'Annex 4 LDNO charges'!$A$11:$A$201,0))))</f>
        <v>A10</v>
      </c>
      <c r="C37" s="181" t="str">
        <f>IFERROR(INDEX('Annex 1 LV, HV and UMS charges'!$C$12:$C$43,MATCH($A37,'Annex 1 LV, HV and UMS charges'!$A$12:$A$43,0)),INDEX('Annex 4 LDNO charges'!$C$12:$C$201,MATCH($A37,'Annex 4 LDNO charges'!$A$12:$A$201,0)))</f>
        <v>0, 1, 2</v>
      </c>
      <c r="D37" s="172">
        <v>5.7538427037113801E-2</v>
      </c>
      <c r="E37" s="172">
        <v>9.4536320191825496</v>
      </c>
      <c r="F37" s="172">
        <v>6.5258362970998907E-2</v>
      </c>
    </row>
    <row r="38" spans="1:6" ht="27.75" customHeight="1" x14ac:dyDescent="0.2">
      <c r="A38" s="156" t="s">
        <v>510</v>
      </c>
      <c r="B38" s="33" t="str">
        <f>IFERROR(INDEX('Annex 1 LV, HV and UMS charges'!$B$12:$B$43,MATCH($A38,'Annex 1 LV, HV and UMS charges'!$A$12:$A$43,0)),IF(INDEX('Annex 4 LDNO charges'!$B$11:$B$201,MATCH($A38,'Annex 4 LDNO charges'!$A$11:$A$201,0))=0,"",INDEX('Annex 4 LDNO charges'!$B$11:$B$201,MATCH($A38,'Annex 4 LDNO charges'!$A$11:$A$201,0))))</f>
        <v>C10</v>
      </c>
      <c r="C38" s="181" t="str">
        <f>IFERROR(INDEX('Annex 1 LV, HV and UMS charges'!$C$12:$C$43,MATCH($A38,'Annex 1 LV, HV and UMS charges'!$A$12:$A$43,0)),INDEX('Annex 4 LDNO charges'!$C$12:$C$201,MATCH($A38,'Annex 4 LDNO charges'!$A$12:$A$201,0)))</f>
        <v>0, 3, 4, 5-8</v>
      </c>
      <c r="D38" s="173"/>
      <c r="E38" s="173"/>
      <c r="F38" s="172">
        <v>6.5258362970998907E-2</v>
      </c>
    </row>
    <row r="39" spans="1:6" ht="27.75" customHeight="1" x14ac:dyDescent="0.2">
      <c r="A39" s="156" t="s">
        <v>511</v>
      </c>
      <c r="B39" s="33" t="str">
        <f>IFERROR(INDEX('Annex 1 LV, HV and UMS charges'!$B$12:$B$43,MATCH($A39,'Annex 1 LV, HV and UMS charges'!$A$12:$A$43,0)),IF(INDEX('Annex 4 LDNO charges'!$B$11:$B$201,MATCH($A39,'Annex 4 LDNO charges'!$A$11:$A$201,0))=0,"",INDEX('Annex 4 LDNO charges'!$B$11:$B$201,MATCH($A39,'Annex 4 LDNO charges'!$A$11:$A$201,0))))</f>
        <v>C11</v>
      </c>
      <c r="C39" s="181" t="str">
        <f>IFERROR(INDEX('Annex 1 LV, HV and UMS charges'!$C$12:$C$43,MATCH($A39,'Annex 1 LV, HV and UMS charges'!$A$12:$A$43,0)),INDEX('Annex 4 LDNO charges'!$C$12:$C$201,MATCH($A39,'Annex 4 LDNO charges'!$A$12:$A$201,0)))</f>
        <v>0, 3, 4, 5-8</v>
      </c>
      <c r="D39" s="173"/>
      <c r="E39" s="173"/>
      <c r="F39" s="172">
        <v>6.5258362970998907E-2</v>
      </c>
    </row>
    <row r="40" spans="1:6" ht="27.75" customHeight="1" x14ac:dyDescent="0.2">
      <c r="A40" s="156" t="s">
        <v>512</v>
      </c>
      <c r="B40" s="33" t="str">
        <f>IFERROR(INDEX('Annex 1 LV, HV and UMS charges'!$B$12:$B$43,MATCH($A40,'Annex 1 LV, HV and UMS charges'!$A$12:$A$43,0)),IF(INDEX('Annex 4 LDNO charges'!$B$11:$B$201,MATCH($A40,'Annex 4 LDNO charges'!$A$11:$A$201,0))=0,"",INDEX('Annex 4 LDNO charges'!$B$11:$B$201,MATCH($A40,'Annex 4 LDNO charges'!$A$11:$A$201,0))))</f>
        <v>C12</v>
      </c>
      <c r="C40" s="181" t="str">
        <f>IFERROR(INDEX('Annex 1 LV, HV and UMS charges'!$C$12:$C$43,MATCH($A40,'Annex 1 LV, HV and UMS charges'!$A$12:$A$43,0)),INDEX('Annex 4 LDNO charges'!$C$12:$C$201,MATCH($A40,'Annex 4 LDNO charges'!$A$12:$A$201,0)))</f>
        <v>0, 3, 4, 5-8</v>
      </c>
      <c r="D40" s="173"/>
      <c r="E40" s="173"/>
      <c r="F40" s="172">
        <v>6.5258362970998907E-2</v>
      </c>
    </row>
    <row r="41" spans="1:6" ht="27.75" customHeight="1" x14ac:dyDescent="0.2">
      <c r="A41" s="156" t="s">
        <v>513</v>
      </c>
      <c r="B41" s="33" t="str">
        <f>IFERROR(INDEX('Annex 1 LV, HV and UMS charges'!$B$12:$B$43,MATCH($A41,'Annex 1 LV, HV and UMS charges'!$A$12:$A$43,0)),IF(INDEX('Annex 4 LDNO charges'!$B$11:$B$201,MATCH($A41,'Annex 4 LDNO charges'!$A$11:$A$201,0))=0,"",INDEX('Annex 4 LDNO charges'!$B$11:$B$201,MATCH($A41,'Annex 4 LDNO charges'!$A$11:$A$201,0))))</f>
        <v>C13</v>
      </c>
      <c r="C41" s="181" t="str">
        <f>IFERROR(INDEX('Annex 1 LV, HV and UMS charges'!$C$12:$C$43,MATCH($A41,'Annex 1 LV, HV and UMS charges'!$A$12:$A$43,0)),INDEX('Annex 4 LDNO charges'!$C$12:$C$201,MATCH($A41,'Annex 4 LDNO charges'!$A$12:$A$201,0)))</f>
        <v>0, 3, 4, 5-8</v>
      </c>
      <c r="D41" s="173"/>
      <c r="E41" s="173"/>
      <c r="F41" s="172">
        <v>6.5258362970998907E-2</v>
      </c>
    </row>
    <row r="42" spans="1:6" ht="27.75" customHeight="1" x14ac:dyDescent="0.2">
      <c r="A42" s="156" t="s">
        <v>514</v>
      </c>
      <c r="B42" s="33" t="str">
        <f>IFERROR(INDEX('Annex 1 LV, HV and UMS charges'!$B$12:$B$43,MATCH($A42,'Annex 1 LV, HV and UMS charges'!$A$12:$A$43,0)),IF(INDEX('Annex 4 LDNO charges'!$B$11:$B$201,MATCH($A42,'Annex 4 LDNO charges'!$A$11:$A$201,0))=0,"",INDEX('Annex 4 LDNO charges'!$B$11:$B$201,MATCH($A42,'Annex 4 LDNO charges'!$A$11:$A$201,0))))</f>
        <v>C14</v>
      </c>
      <c r="C42" s="181" t="str">
        <f>IFERROR(INDEX('Annex 1 LV, HV and UMS charges'!$C$12:$C$43,MATCH($A42,'Annex 1 LV, HV and UMS charges'!$A$12:$A$43,0)),INDEX('Annex 4 LDNO charges'!$C$12:$C$201,MATCH($A42,'Annex 4 LDNO charges'!$A$12:$A$201,0)))</f>
        <v>0, 3, 4, 5-8</v>
      </c>
      <c r="D42" s="173"/>
      <c r="E42" s="173"/>
      <c r="F42" s="172">
        <v>6.5258362970998907E-2</v>
      </c>
    </row>
    <row r="43" spans="1:6" ht="27.75" customHeight="1" x14ac:dyDescent="0.2">
      <c r="A43" s="156" t="s">
        <v>515</v>
      </c>
      <c r="B43" s="33" t="str">
        <f>IFERROR(INDEX('Annex 1 LV, HV and UMS charges'!$B$12:$B$43,MATCH($A43,'Annex 1 LV, HV and UMS charges'!$A$12:$A$43,0)),IF(INDEX('Annex 4 LDNO charges'!$B$11:$B$201,MATCH($A43,'Annex 4 LDNO charges'!$A$11:$A$201,0))=0,"",INDEX('Annex 4 LDNO charges'!$B$11:$B$201,MATCH($A43,'Annex 4 LDNO charges'!$A$11:$A$201,0))))</f>
        <v>E10</v>
      </c>
      <c r="C43" s="181">
        <f>IFERROR(INDEX('Annex 1 LV, HV and UMS charges'!$C$12:$C$43,MATCH($A43,'Annex 1 LV, HV and UMS charges'!$A$12:$A$43,0)),INDEX('Annex 4 LDNO charges'!$C$12:$C$201,MATCH($A43,'Annex 4 LDNO charges'!$A$12:$A$201,0)))</f>
        <v>0</v>
      </c>
      <c r="D43" s="173"/>
      <c r="E43" s="173"/>
      <c r="F43" s="172">
        <v>6.5258362970998907E-2</v>
      </c>
    </row>
    <row r="44" spans="1:6" ht="27.75" customHeight="1" x14ac:dyDescent="0.2">
      <c r="A44" s="156" t="s">
        <v>516</v>
      </c>
      <c r="B44" s="33" t="str">
        <f>IFERROR(INDEX('Annex 1 LV, HV and UMS charges'!$B$12:$B$43,MATCH($A44,'Annex 1 LV, HV and UMS charges'!$A$12:$A$43,0)),IF(INDEX('Annex 4 LDNO charges'!$B$11:$B$201,MATCH($A44,'Annex 4 LDNO charges'!$A$11:$A$201,0))=0,"",INDEX('Annex 4 LDNO charges'!$B$11:$B$201,MATCH($A44,'Annex 4 LDNO charges'!$A$11:$A$201,0))))</f>
        <v>E11</v>
      </c>
      <c r="C44" s="181">
        <f>IFERROR(INDEX('Annex 1 LV, HV and UMS charges'!$C$12:$C$43,MATCH($A44,'Annex 1 LV, HV and UMS charges'!$A$12:$A$43,0)),INDEX('Annex 4 LDNO charges'!$C$12:$C$201,MATCH($A44,'Annex 4 LDNO charges'!$A$12:$A$201,0)))</f>
        <v>0</v>
      </c>
      <c r="D44" s="173"/>
      <c r="E44" s="173"/>
      <c r="F44" s="172">
        <v>6.5258362970998907E-2</v>
      </c>
    </row>
    <row r="45" spans="1:6" ht="27.75" customHeight="1" x14ac:dyDescent="0.2">
      <c r="A45" s="156" t="s">
        <v>517</v>
      </c>
      <c r="B45" s="33" t="str">
        <f>IFERROR(INDEX('Annex 1 LV, HV and UMS charges'!$B$12:$B$43,MATCH($A45,'Annex 1 LV, HV and UMS charges'!$A$12:$A$43,0)),IF(INDEX('Annex 4 LDNO charges'!$B$11:$B$201,MATCH($A45,'Annex 4 LDNO charges'!$A$11:$A$201,0))=0,"",INDEX('Annex 4 LDNO charges'!$B$11:$B$201,MATCH($A45,'Annex 4 LDNO charges'!$A$11:$A$201,0))))</f>
        <v>E12</v>
      </c>
      <c r="C45" s="181">
        <f>IFERROR(INDEX('Annex 1 LV, HV and UMS charges'!$C$12:$C$43,MATCH($A45,'Annex 1 LV, HV and UMS charges'!$A$12:$A$43,0)),INDEX('Annex 4 LDNO charges'!$C$12:$C$201,MATCH($A45,'Annex 4 LDNO charges'!$A$12:$A$201,0)))</f>
        <v>0</v>
      </c>
      <c r="D45" s="173"/>
      <c r="E45" s="173"/>
      <c r="F45" s="172">
        <v>6.5258362970998907E-2</v>
      </c>
    </row>
    <row r="46" spans="1:6" ht="27.75" customHeight="1" x14ac:dyDescent="0.2">
      <c r="A46" s="156" t="s">
        <v>518</v>
      </c>
      <c r="B46" s="33" t="str">
        <f>IFERROR(INDEX('Annex 1 LV, HV and UMS charges'!$B$12:$B$43,MATCH($A46,'Annex 1 LV, HV and UMS charges'!$A$12:$A$43,0)),IF(INDEX('Annex 4 LDNO charges'!$B$11:$B$201,MATCH($A46,'Annex 4 LDNO charges'!$A$11:$A$201,0))=0,"",INDEX('Annex 4 LDNO charges'!$B$11:$B$201,MATCH($A46,'Annex 4 LDNO charges'!$A$11:$A$201,0))))</f>
        <v>E13</v>
      </c>
      <c r="C46" s="181">
        <f>IFERROR(INDEX('Annex 1 LV, HV and UMS charges'!$C$12:$C$43,MATCH($A46,'Annex 1 LV, HV and UMS charges'!$A$12:$A$43,0)),INDEX('Annex 4 LDNO charges'!$C$12:$C$201,MATCH($A46,'Annex 4 LDNO charges'!$A$12:$A$201,0)))</f>
        <v>0</v>
      </c>
      <c r="D46" s="173"/>
      <c r="E46" s="173"/>
      <c r="F46" s="172">
        <v>6.5258362970998907E-2</v>
      </c>
    </row>
    <row r="47" spans="1:6" ht="27.75" customHeight="1" x14ac:dyDescent="0.2">
      <c r="A47" s="156" t="s">
        <v>519</v>
      </c>
      <c r="B47" s="33" t="str">
        <f>IFERROR(INDEX('Annex 1 LV, HV and UMS charges'!$B$12:$B$43,MATCH($A47,'Annex 1 LV, HV and UMS charges'!$A$12:$A$43,0)),IF(INDEX('Annex 4 LDNO charges'!$B$11:$B$201,MATCH($A47,'Annex 4 LDNO charges'!$A$11:$A$201,0))=0,"",INDEX('Annex 4 LDNO charges'!$B$11:$B$201,MATCH($A47,'Annex 4 LDNO charges'!$A$11:$A$201,0))))</f>
        <v>E14</v>
      </c>
      <c r="C47" s="181">
        <f>IFERROR(INDEX('Annex 1 LV, HV and UMS charges'!$C$12:$C$43,MATCH($A47,'Annex 1 LV, HV and UMS charges'!$A$12:$A$43,0)),INDEX('Annex 4 LDNO charges'!$C$12:$C$201,MATCH($A47,'Annex 4 LDNO charges'!$A$12:$A$201,0)))</f>
        <v>0</v>
      </c>
      <c r="D47" s="173"/>
      <c r="E47" s="173"/>
      <c r="F47" s="172">
        <v>6.5258362970998907E-2</v>
      </c>
    </row>
    <row r="48" spans="1:6" ht="27.75" customHeight="1" x14ac:dyDescent="0.2">
      <c r="A48" s="156" t="s">
        <v>520</v>
      </c>
      <c r="B48" s="33" t="str">
        <f>IFERROR(INDEX('Annex 1 LV, HV and UMS charges'!$B$12:$B$43,MATCH($A48,'Annex 1 LV, HV and UMS charges'!$A$12:$A$43,0)),IF(INDEX('Annex 4 LDNO charges'!$B$11:$B$201,MATCH($A48,'Annex 4 LDNO charges'!$A$11:$A$201,0))=0,"",INDEX('Annex 4 LDNO charges'!$B$11:$B$201,MATCH($A48,'Annex 4 LDNO charges'!$A$11:$A$201,0))))</f>
        <v>J10</v>
      </c>
      <c r="C48" s="181">
        <f>IFERROR(INDEX('Annex 1 LV, HV and UMS charges'!$C$12:$C$43,MATCH($A48,'Annex 1 LV, HV and UMS charges'!$A$12:$A$43,0)),INDEX('Annex 4 LDNO charges'!$C$12:$C$201,MATCH($A48,'Annex 4 LDNO charges'!$A$12:$A$201,0)))</f>
        <v>0</v>
      </c>
      <c r="D48" s="173"/>
      <c r="E48" s="173"/>
      <c r="F48" s="172">
        <v>6.5258362970998907E-2</v>
      </c>
    </row>
    <row r="49" spans="1:6" ht="27.75" customHeight="1" x14ac:dyDescent="0.2">
      <c r="A49" s="156" t="s">
        <v>521</v>
      </c>
      <c r="B49" s="33" t="str">
        <f>IFERROR(INDEX('Annex 1 LV, HV and UMS charges'!$B$12:$B$43,MATCH($A49,'Annex 1 LV, HV and UMS charges'!$A$12:$A$43,0)),IF(INDEX('Annex 4 LDNO charges'!$B$11:$B$201,MATCH($A49,'Annex 4 LDNO charges'!$A$11:$A$201,0))=0,"",INDEX('Annex 4 LDNO charges'!$B$11:$B$201,MATCH($A49,'Annex 4 LDNO charges'!$A$11:$A$201,0))))</f>
        <v>J11</v>
      </c>
      <c r="C49" s="181">
        <f>IFERROR(INDEX('Annex 1 LV, HV and UMS charges'!$C$12:$C$43,MATCH($A49,'Annex 1 LV, HV and UMS charges'!$A$12:$A$43,0)),INDEX('Annex 4 LDNO charges'!$C$12:$C$201,MATCH($A49,'Annex 4 LDNO charges'!$A$12:$A$201,0)))</f>
        <v>0</v>
      </c>
      <c r="D49" s="173"/>
      <c r="E49" s="173"/>
      <c r="F49" s="172">
        <v>6.5258362970998907E-2</v>
      </c>
    </row>
    <row r="50" spans="1:6" ht="27.75" customHeight="1" x14ac:dyDescent="0.2">
      <c r="A50" s="156" t="s">
        <v>522</v>
      </c>
      <c r="B50" s="33" t="str">
        <f>IFERROR(INDEX('Annex 1 LV, HV and UMS charges'!$B$12:$B$43,MATCH($A50,'Annex 1 LV, HV and UMS charges'!$A$12:$A$43,0)),IF(INDEX('Annex 4 LDNO charges'!$B$11:$B$201,MATCH($A50,'Annex 4 LDNO charges'!$A$11:$A$201,0))=0,"",INDEX('Annex 4 LDNO charges'!$B$11:$B$201,MATCH($A50,'Annex 4 LDNO charges'!$A$11:$A$201,0))))</f>
        <v>J12</v>
      </c>
      <c r="C50" s="181">
        <f>IFERROR(INDEX('Annex 1 LV, HV and UMS charges'!$C$12:$C$43,MATCH($A50,'Annex 1 LV, HV and UMS charges'!$A$12:$A$43,0)),INDEX('Annex 4 LDNO charges'!$C$12:$C$201,MATCH($A50,'Annex 4 LDNO charges'!$A$12:$A$201,0)))</f>
        <v>0</v>
      </c>
      <c r="D50" s="173"/>
      <c r="E50" s="173"/>
      <c r="F50" s="172">
        <v>6.5258362970998907E-2</v>
      </c>
    </row>
    <row r="51" spans="1:6" ht="27.75" customHeight="1" x14ac:dyDescent="0.2">
      <c r="A51" s="156" t="s">
        <v>523</v>
      </c>
      <c r="B51" s="33" t="str">
        <f>IFERROR(INDEX('Annex 1 LV, HV and UMS charges'!$B$12:$B$43,MATCH($A51,'Annex 1 LV, HV and UMS charges'!$A$12:$A$43,0)),IF(INDEX('Annex 4 LDNO charges'!$B$11:$B$201,MATCH($A51,'Annex 4 LDNO charges'!$A$11:$A$201,0))=0,"",INDEX('Annex 4 LDNO charges'!$B$11:$B$201,MATCH($A51,'Annex 4 LDNO charges'!$A$11:$A$201,0))))</f>
        <v>J13</v>
      </c>
      <c r="C51" s="181">
        <f>IFERROR(INDEX('Annex 1 LV, HV and UMS charges'!$C$12:$C$43,MATCH($A51,'Annex 1 LV, HV and UMS charges'!$A$12:$A$43,0)),INDEX('Annex 4 LDNO charges'!$C$12:$C$201,MATCH($A51,'Annex 4 LDNO charges'!$A$12:$A$201,0)))</f>
        <v>0</v>
      </c>
      <c r="D51" s="173"/>
      <c r="E51" s="173"/>
      <c r="F51" s="172">
        <v>6.5258362970998907E-2</v>
      </c>
    </row>
    <row r="52" spans="1:6" ht="27.75" customHeight="1" x14ac:dyDescent="0.2">
      <c r="A52" s="156" t="s">
        <v>524</v>
      </c>
      <c r="B52" s="33" t="str">
        <f>IFERROR(INDEX('Annex 1 LV, HV and UMS charges'!$B$12:$B$43,MATCH($A52,'Annex 1 LV, HV and UMS charges'!$A$12:$A$43,0)),IF(INDEX('Annex 4 LDNO charges'!$B$11:$B$201,MATCH($A52,'Annex 4 LDNO charges'!$A$11:$A$201,0))=0,"",INDEX('Annex 4 LDNO charges'!$B$11:$B$201,MATCH($A52,'Annex 4 LDNO charges'!$A$11:$A$201,0))))</f>
        <v>J14</v>
      </c>
      <c r="C52" s="181">
        <f>IFERROR(INDEX('Annex 1 LV, HV and UMS charges'!$C$12:$C$43,MATCH($A52,'Annex 1 LV, HV and UMS charges'!$A$12:$A$43,0)),INDEX('Annex 4 LDNO charges'!$C$12:$C$201,MATCH($A52,'Annex 4 LDNO charges'!$A$12:$A$201,0)))</f>
        <v>0</v>
      </c>
      <c r="D52" s="173"/>
      <c r="E52" s="173"/>
      <c r="F52" s="172">
        <v>6.5258362970998907E-2</v>
      </c>
    </row>
    <row r="53" spans="1:6" ht="27.75" customHeight="1" x14ac:dyDescent="0.2">
      <c r="A53" s="156" t="s">
        <v>525</v>
      </c>
      <c r="B53" s="33" t="str">
        <f>IFERROR(INDEX('Annex 1 LV, HV and UMS charges'!$B$12:$B$43,MATCH($A53,'Annex 1 LV, HV and UMS charges'!$A$12:$A$43,0)),IF(INDEX('Annex 4 LDNO charges'!$B$11:$B$201,MATCH($A53,'Annex 4 LDNO charges'!$A$11:$A$201,0))=0,"",INDEX('Annex 4 LDNO charges'!$B$11:$B$201,MATCH($A53,'Annex 4 LDNO charges'!$A$11:$A$201,0))))</f>
        <v>K10</v>
      </c>
      <c r="C53" s="181">
        <f>IFERROR(INDEX('Annex 1 LV, HV and UMS charges'!$C$12:$C$43,MATCH($A53,'Annex 1 LV, HV and UMS charges'!$A$12:$A$43,0)),INDEX('Annex 4 LDNO charges'!$C$12:$C$201,MATCH($A53,'Annex 4 LDNO charges'!$A$12:$A$201,0)))</f>
        <v>0</v>
      </c>
      <c r="D53" s="173"/>
      <c r="E53" s="173"/>
      <c r="F53" s="172">
        <v>6.5258362970998907E-2</v>
      </c>
    </row>
    <row r="54" spans="1:6" ht="27.75" customHeight="1" x14ac:dyDescent="0.2">
      <c r="A54" s="156" t="s">
        <v>526</v>
      </c>
      <c r="B54" s="33" t="str">
        <f>IFERROR(INDEX('Annex 1 LV, HV and UMS charges'!$B$12:$B$43,MATCH($A54,'Annex 1 LV, HV and UMS charges'!$A$12:$A$43,0)),IF(INDEX('Annex 4 LDNO charges'!$B$11:$B$201,MATCH($A54,'Annex 4 LDNO charges'!$A$11:$A$201,0))=0,"",INDEX('Annex 4 LDNO charges'!$B$11:$B$201,MATCH($A54,'Annex 4 LDNO charges'!$A$11:$A$201,0))))</f>
        <v>K11</v>
      </c>
      <c r="C54" s="181">
        <f>IFERROR(INDEX('Annex 1 LV, HV and UMS charges'!$C$12:$C$43,MATCH($A54,'Annex 1 LV, HV and UMS charges'!$A$12:$A$43,0)),INDEX('Annex 4 LDNO charges'!$C$12:$C$201,MATCH($A54,'Annex 4 LDNO charges'!$A$12:$A$201,0)))</f>
        <v>0</v>
      </c>
      <c r="D54" s="173"/>
      <c r="E54" s="173"/>
      <c r="F54" s="172">
        <v>6.5258362970998907E-2</v>
      </c>
    </row>
    <row r="55" spans="1:6" ht="27.75" customHeight="1" x14ac:dyDescent="0.2">
      <c r="A55" s="156" t="s">
        <v>527</v>
      </c>
      <c r="B55" s="33" t="str">
        <f>IFERROR(INDEX('Annex 1 LV, HV and UMS charges'!$B$12:$B$43,MATCH($A55,'Annex 1 LV, HV and UMS charges'!$A$12:$A$43,0)),IF(INDEX('Annex 4 LDNO charges'!$B$11:$B$201,MATCH($A55,'Annex 4 LDNO charges'!$A$11:$A$201,0))=0,"",INDEX('Annex 4 LDNO charges'!$B$11:$B$201,MATCH($A55,'Annex 4 LDNO charges'!$A$11:$A$201,0))))</f>
        <v>K12</v>
      </c>
      <c r="C55" s="181">
        <f>IFERROR(INDEX('Annex 1 LV, HV and UMS charges'!$C$12:$C$43,MATCH($A55,'Annex 1 LV, HV and UMS charges'!$A$12:$A$43,0)),INDEX('Annex 4 LDNO charges'!$C$12:$C$201,MATCH($A55,'Annex 4 LDNO charges'!$A$12:$A$201,0)))</f>
        <v>0</v>
      </c>
      <c r="D55" s="173"/>
      <c r="E55" s="173"/>
      <c r="F55" s="172">
        <v>6.5258362970998907E-2</v>
      </c>
    </row>
    <row r="56" spans="1:6" ht="27.75" customHeight="1" x14ac:dyDescent="0.2">
      <c r="A56" s="156" t="s">
        <v>528</v>
      </c>
      <c r="B56" s="33" t="str">
        <f>IFERROR(INDEX('Annex 1 LV, HV and UMS charges'!$B$12:$B$43,MATCH($A56,'Annex 1 LV, HV and UMS charges'!$A$12:$A$43,0)),IF(INDEX('Annex 4 LDNO charges'!$B$11:$B$201,MATCH($A56,'Annex 4 LDNO charges'!$A$11:$A$201,0))=0,"",INDEX('Annex 4 LDNO charges'!$B$11:$B$201,MATCH($A56,'Annex 4 LDNO charges'!$A$11:$A$201,0))))</f>
        <v>K13</v>
      </c>
      <c r="C56" s="181">
        <f>IFERROR(INDEX('Annex 1 LV, HV and UMS charges'!$C$12:$C$43,MATCH($A56,'Annex 1 LV, HV and UMS charges'!$A$12:$A$43,0)),INDEX('Annex 4 LDNO charges'!$C$12:$C$201,MATCH($A56,'Annex 4 LDNO charges'!$A$12:$A$201,0)))</f>
        <v>0</v>
      </c>
      <c r="D56" s="173"/>
      <c r="E56" s="173"/>
      <c r="F56" s="172">
        <v>6.5258362970998907E-2</v>
      </c>
    </row>
    <row r="57" spans="1:6" ht="27.75" customHeight="1" x14ac:dyDescent="0.2">
      <c r="A57" s="156" t="s">
        <v>529</v>
      </c>
      <c r="B57" s="33" t="str">
        <f>IFERROR(INDEX('Annex 1 LV, HV and UMS charges'!$B$12:$B$43,MATCH($A57,'Annex 1 LV, HV and UMS charges'!$A$12:$A$43,0)),IF(INDEX('Annex 4 LDNO charges'!$B$11:$B$201,MATCH($A57,'Annex 4 LDNO charges'!$A$11:$A$201,0))=0,"",INDEX('Annex 4 LDNO charges'!$B$11:$B$201,MATCH($A57,'Annex 4 LDNO charges'!$A$11:$A$201,0))))</f>
        <v>K14</v>
      </c>
      <c r="C57" s="181">
        <f>IFERROR(INDEX('Annex 1 LV, HV and UMS charges'!$C$12:$C$43,MATCH($A57,'Annex 1 LV, HV and UMS charges'!$A$12:$A$43,0)),INDEX('Annex 4 LDNO charges'!$C$12:$C$201,MATCH($A57,'Annex 4 LDNO charges'!$A$12:$A$201,0)))</f>
        <v>0</v>
      </c>
      <c r="D57" s="173"/>
      <c r="E57" s="173"/>
      <c r="F57" s="172">
        <v>6.5258362970998907E-2</v>
      </c>
    </row>
    <row r="58" spans="1:6" ht="27.75" customHeight="1" x14ac:dyDescent="0.2">
      <c r="A58" s="156" t="s">
        <v>618</v>
      </c>
      <c r="B58" s="33" t="str">
        <f>IFERROR(INDEX('Annex 1 LV, HV and UMS charges'!$B$12:$B$43,MATCH($A58,'Annex 1 LV, HV and UMS charges'!$A$12:$A$43,0)),IF(INDEX('Annex 4 LDNO charges'!$B$11:$B$201,MATCH($A58,'Annex 4 LDNO charges'!$A$11:$A$201,0))=0,"",INDEX('Annex 4 LDNO charges'!$B$11:$B$201,MATCH($A58,'Annex 4 LDNO charges'!$A$11:$A$201,0))))</f>
        <v>A20</v>
      </c>
      <c r="C58" s="181" t="str">
        <f>IFERROR(INDEX('Annex 1 LV, HV and UMS charges'!$C$12:$C$43,MATCH($A58,'Annex 1 LV, HV and UMS charges'!$A$12:$A$43,0)),INDEX('Annex 4 LDNO charges'!$C$12:$C$201,MATCH($A58,'Annex 4 LDNO charges'!$A$12:$A$201,0)))</f>
        <v>0, 1, 2</v>
      </c>
      <c r="D58" s="172">
        <v>5.7538427037113801E-2</v>
      </c>
      <c r="E58" s="172">
        <v>9.4536320191825496</v>
      </c>
      <c r="F58" s="172">
        <v>6.5258362970998907E-2</v>
      </c>
    </row>
    <row r="59" spans="1:6" ht="27.75" customHeight="1" x14ac:dyDescent="0.2">
      <c r="A59" s="156" t="s">
        <v>620</v>
      </c>
      <c r="B59" s="33" t="str">
        <f>IFERROR(INDEX('Annex 1 LV, HV and UMS charges'!$B$12:$B$43,MATCH($A59,'Annex 1 LV, HV and UMS charges'!$A$12:$A$43,0)),IF(INDEX('Annex 4 LDNO charges'!$B$11:$B$201,MATCH($A59,'Annex 4 LDNO charges'!$A$11:$A$201,0))=0,"",INDEX('Annex 4 LDNO charges'!$B$11:$B$201,MATCH($A59,'Annex 4 LDNO charges'!$A$11:$A$201,0))))</f>
        <v>C20</v>
      </c>
      <c r="C59" s="181" t="str">
        <f>IFERROR(INDEX('Annex 1 LV, HV and UMS charges'!$C$12:$C$43,MATCH($A59,'Annex 1 LV, HV and UMS charges'!$A$12:$A$43,0)),INDEX('Annex 4 LDNO charges'!$C$12:$C$201,MATCH($A59,'Annex 4 LDNO charges'!$A$12:$A$201,0)))</f>
        <v>0, 3, 4, 5-8</v>
      </c>
      <c r="D59" s="173"/>
      <c r="E59" s="173"/>
      <c r="F59" s="172">
        <v>6.5258362970998907E-2</v>
      </c>
    </row>
    <row r="60" spans="1:6" ht="27.75" customHeight="1" x14ac:dyDescent="0.2">
      <c r="A60" s="156" t="s">
        <v>621</v>
      </c>
      <c r="B60" s="33" t="str">
        <f>IFERROR(INDEX('Annex 1 LV, HV and UMS charges'!$B$12:$B$43,MATCH($A60,'Annex 1 LV, HV and UMS charges'!$A$12:$A$43,0)),IF(INDEX('Annex 4 LDNO charges'!$B$11:$B$201,MATCH($A60,'Annex 4 LDNO charges'!$A$11:$A$201,0))=0,"",INDEX('Annex 4 LDNO charges'!$B$11:$B$201,MATCH($A60,'Annex 4 LDNO charges'!$A$11:$A$201,0))))</f>
        <v>C21</v>
      </c>
      <c r="C60" s="181" t="str">
        <f>IFERROR(INDEX('Annex 1 LV, HV and UMS charges'!$C$12:$C$43,MATCH($A60,'Annex 1 LV, HV and UMS charges'!$A$12:$A$43,0)),INDEX('Annex 4 LDNO charges'!$C$12:$C$201,MATCH($A60,'Annex 4 LDNO charges'!$A$12:$A$201,0)))</f>
        <v>0, 3, 4, 5-8</v>
      </c>
      <c r="D60" s="173"/>
      <c r="E60" s="173"/>
      <c r="F60" s="172">
        <v>6.5258362970998907E-2</v>
      </c>
    </row>
    <row r="61" spans="1:6" ht="27.75" customHeight="1" x14ac:dyDescent="0.2">
      <c r="A61" s="156" t="s">
        <v>622</v>
      </c>
      <c r="B61" s="33" t="str">
        <f>IFERROR(INDEX('Annex 1 LV, HV and UMS charges'!$B$12:$B$43,MATCH($A61,'Annex 1 LV, HV and UMS charges'!$A$12:$A$43,0)),IF(INDEX('Annex 4 LDNO charges'!$B$11:$B$201,MATCH($A61,'Annex 4 LDNO charges'!$A$11:$A$201,0))=0,"",INDEX('Annex 4 LDNO charges'!$B$11:$B$201,MATCH($A61,'Annex 4 LDNO charges'!$A$11:$A$201,0))))</f>
        <v>C22</v>
      </c>
      <c r="C61" s="181" t="str">
        <f>IFERROR(INDEX('Annex 1 LV, HV and UMS charges'!$C$12:$C$43,MATCH($A61,'Annex 1 LV, HV and UMS charges'!$A$12:$A$43,0)),INDEX('Annex 4 LDNO charges'!$C$12:$C$201,MATCH($A61,'Annex 4 LDNO charges'!$A$12:$A$201,0)))</f>
        <v>0, 3, 4, 5-8</v>
      </c>
      <c r="D61" s="173"/>
      <c r="E61" s="173"/>
      <c r="F61" s="172">
        <v>6.5258362970998907E-2</v>
      </c>
    </row>
    <row r="62" spans="1:6" ht="27.75" customHeight="1" x14ac:dyDescent="0.2">
      <c r="A62" s="156" t="s">
        <v>623</v>
      </c>
      <c r="B62" s="33" t="str">
        <f>IFERROR(INDEX('Annex 1 LV, HV and UMS charges'!$B$12:$B$43,MATCH($A62,'Annex 1 LV, HV and UMS charges'!$A$12:$A$43,0)),IF(INDEX('Annex 4 LDNO charges'!$B$11:$B$201,MATCH($A62,'Annex 4 LDNO charges'!$A$11:$A$201,0))=0,"",INDEX('Annex 4 LDNO charges'!$B$11:$B$201,MATCH($A62,'Annex 4 LDNO charges'!$A$11:$A$201,0))))</f>
        <v>C23</v>
      </c>
      <c r="C62" s="181" t="str">
        <f>IFERROR(INDEX('Annex 1 LV, HV and UMS charges'!$C$12:$C$43,MATCH($A62,'Annex 1 LV, HV and UMS charges'!$A$12:$A$43,0)),INDEX('Annex 4 LDNO charges'!$C$12:$C$201,MATCH($A62,'Annex 4 LDNO charges'!$A$12:$A$201,0)))</f>
        <v>0, 3, 4, 5-8</v>
      </c>
      <c r="D62" s="173"/>
      <c r="E62" s="173"/>
      <c r="F62" s="172">
        <v>6.5258362970998907E-2</v>
      </c>
    </row>
    <row r="63" spans="1:6" ht="27.75" customHeight="1" x14ac:dyDescent="0.2">
      <c r="A63" s="156" t="s">
        <v>624</v>
      </c>
      <c r="B63" s="33" t="str">
        <f>IFERROR(INDEX('Annex 1 LV, HV and UMS charges'!$B$12:$B$43,MATCH($A63,'Annex 1 LV, HV and UMS charges'!$A$12:$A$43,0)),IF(INDEX('Annex 4 LDNO charges'!$B$11:$B$201,MATCH($A63,'Annex 4 LDNO charges'!$A$11:$A$201,0))=0,"",INDEX('Annex 4 LDNO charges'!$B$11:$B$201,MATCH($A63,'Annex 4 LDNO charges'!$A$11:$A$201,0))))</f>
        <v>C24</v>
      </c>
      <c r="C63" s="181" t="str">
        <f>IFERROR(INDEX('Annex 1 LV, HV and UMS charges'!$C$12:$C$43,MATCH($A63,'Annex 1 LV, HV and UMS charges'!$A$12:$A$43,0)),INDEX('Annex 4 LDNO charges'!$C$12:$C$201,MATCH($A63,'Annex 4 LDNO charges'!$A$12:$A$201,0)))</f>
        <v>0, 3, 4, 5-8</v>
      </c>
      <c r="D63" s="173"/>
      <c r="E63" s="173"/>
      <c r="F63" s="172">
        <v>6.5258362970998907E-2</v>
      </c>
    </row>
    <row r="64" spans="1:6" ht="27.75" customHeight="1" x14ac:dyDescent="0.2">
      <c r="A64" s="156" t="s">
        <v>625</v>
      </c>
      <c r="B64" s="33" t="str">
        <f>IFERROR(INDEX('Annex 1 LV, HV and UMS charges'!$B$12:$B$43,MATCH($A64,'Annex 1 LV, HV and UMS charges'!$A$12:$A$43,0)),IF(INDEX('Annex 4 LDNO charges'!$B$11:$B$201,MATCH($A64,'Annex 4 LDNO charges'!$A$11:$A$201,0))=0,"",INDEX('Annex 4 LDNO charges'!$B$11:$B$201,MATCH($A64,'Annex 4 LDNO charges'!$A$11:$A$201,0))))</f>
        <v>E20</v>
      </c>
      <c r="C64" s="181">
        <f>IFERROR(INDEX('Annex 1 LV, HV and UMS charges'!$C$12:$C$43,MATCH($A64,'Annex 1 LV, HV and UMS charges'!$A$12:$A$43,0)),INDEX('Annex 4 LDNO charges'!$C$12:$C$201,MATCH($A64,'Annex 4 LDNO charges'!$A$12:$A$201,0)))</f>
        <v>0</v>
      </c>
      <c r="D64" s="173"/>
      <c r="E64" s="173"/>
      <c r="F64" s="172">
        <v>6.5258362970998907E-2</v>
      </c>
    </row>
    <row r="65" spans="1:6" ht="27.75" customHeight="1" x14ac:dyDescent="0.2">
      <c r="A65" s="156" t="s">
        <v>626</v>
      </c>
      <c r="B65" s="33" t="str">
        <f>IFERROR(INDEX('Annex 1 LV, HV and UMS charges'!$B$12:$B$43,MATCH($A65,'Annex 1 LV, HV and UMS charges'!$A$12:$A$43,0)),IF(INDEX('Annex 4 LDNO charges'!$B$11:$B$201,MATCH($A65,'Annex 4 LDNO charges'!$A$11:$A$201,0))=0,"",INDEX('Annex 4 LDNO charges'!$B$11:$B$201,MATCH($A65,'Annex 4 LDNO charges'!$A$11:$A$201,0))))</f>
        <v>E21</v>
      </c>
      <c r="C65" s="181">
        <f>IFERROR(INDEX('Annex 1 LV, HV and UMS charges'!$C$12:$C$43,MATCH($A65,'Annex 1 LV, HV and UMS charges'!$A$12:$A$43,0)),INDEX('Annex 4 LDNO charges'!$C$12:$C$201,MATCH($A65,'Annex 4 LDNO charges'!$A$12:$A$201,0)))</f>
        <v>0</v>
      </c>
      <c r="D65" s="173"/>
      <c r="E65" s="173"/>
      <c r="F65" s="172">
        <v>6.5258362970998907E-2</v>
      </c>
    </row>
    <row r="66" spans="1:6" ht="27.75" customHeight="1" x14ac:dyDescent="0.2">
      <c r="A66" s="156" t="s">
        <v>627</v>
      </c>
      <c r="B66" s="33" t="str">
        <f>IFERROR(INDEX('Annex 1 LV, HV and UMS charges'!$B$12:$B$43,MATCH($A66,'Annex 1 LV, HV and UMS charges'!$A$12:$A$43,0)),IF(INDEX('Annex 4 LDNO charges'!$B$11:$B$201,MATCH($A66,'Annex 4 LDNO charges'!$A$11:$A$201,0))=0,"",INDEX('Annex 4 LDNO charges'!$B$11:$B$201,MATCH($A66,'Annex 4 LDNO charges'!$A$11:$A$201,0))))</f>
        <v>E22</v>
      </c>
      <c r="C66" s="181">
        <f>IFERROR(INDEX('Annex 1 LV, HV and UMS charges'!$C$12:$C$43,MATCH($A66,'Annex 1 LV, HV and UMS charges'!$A$12:$A$43,0)),INDEX('Annex 4 LDNO charges'!$C$12:$C$201,MATCH($A66,'Annex 4 LDNO charges'!$A$12:$A$201,0)))</f>
        <v>0</v>
      </c>
      <c r="D66" s="173"/>
      <c r="E66" s="173"/>
      <c r="F66" s="172">
        <v>6.5258362970998907E-2</v>
      </c>
    </row>
    <row r="67" spans="1:6" ht="27.75" customHeight="1" x14ac:dyDescent="0.2">
      <c r="A67" s="156" t="s">
        <v>628</v>
      </c>
      <c r="B67" s="33" t="str">
        <f>IFERROR(INDEX('Annex 1 LV, HV and UMS charges'!$B$12:$B$43,MATCH($A67,'Annex 1 LV, HV and UMS charges'!$A$12:$A$43,0)),IF(INDEX('Annex 4 LDNO charges'!$B$11:$B$201,MATCH($A67,'Annex 4 LDNO charges'!$A$11:$A$201,0))=0,"",INDEX('Annex 4 LDNO charges'!$B$11:$B$201,MATCH($A67,'Annex 4 LDNO charges'!$A$11:$A$201,0))))</f>
        <v>E23</v>
      </c>
      <c r="C67" s="181">
        <f>IFERROR(INDEX('Annex 1 LV, HV and UMS charges'!$C$12:$C$43,MATCH($A67,'Annex 1 LV, HV and UMS charges'!$A$12:$A$43,0)),INDEX('Annex 4 LDNO charges'!$C$12:$C$201,MATCH($A67,'Annex 4 LDNO charges'!$A$12:$A$201,0)))</f>
        <v>0</v>
      </c>
      <c r="D67" s="173"/>
      <c r="E67" s="173"/>
      <c r="F67" s="172">
        <v>6.5258362970998907E-2</v>
      </c>
    </row>
    <row r="68" spans="1:6" ht="27.75" customHeight="1" x14ac:dyDescent="0.2">
      <c r="A68" s="156" t="s">
        <v>629</v>
      </c>
      <c r="B68" s="33" t="str">
        <f>IFERROR(INDEX('Annex 1 LV, HV and UMS charges'!$B$12:$B$43,MATCH($A68,'Annex 1 LV, HV and UMS charges'!$A$12:$A$43,0)),IF(INDEX('Annex 4 LDNO charges'!$B$11:$B$201,MATCH($A68,'Annex 4 LDNO charges'!$A$11:$A$201,0))=0,"",INDEX('Annex 4 LDNO charges'!$B$11:$B$201,MATCH($A68,'Annex 4 LDNO charges'!$A$11:$A$201,0))))</f>
        <v>E24</v>
      </c>
      <c r="C68" s="181">
        <f>IFERROR(INDEX('Annex 1 LV, HV and UMS charges'!$C$12:$C$43,MATCH($A68,'Annex 1 LV, HV and UMS charges'!$A$12:$A$43,0)),INDEX('Annex 4 LDNO charges'!$C$12:$C$201,MATCH($A68,'Annex 4 LDNO charges'!$A$12:$A$201,0)))</f>
        <v>0</v>
      </c>
      <c r="D68" s="173"/>
      <c r="E68" s="173"/>
      <c r="F68" s="172">
        <v>6.5258362970998907E-2</v>
      </c>
    </row>
    <row r="69" spans="1:6" ht="27.75" customHeight="1" x14ac:dyDescent="0.2">
      <c r="A69" s="156" t="s">
        <v>630</v>
      </c>
      <c r="B69" s="33" t="str">
        <f>IFERROR(INDEX('Annex 1 LV, HV and UMS charges'!$B$12:$B$43,MATCH($A69,'Annex 1 LV, HV and UMS charges'!$A$12:$A$43,0)),IF(INDEX('Annex 4 LDNO charges'!$B$11:$B$201,MATCH($A69,'Annex 4 LDNO charges'!$A$11:$A$201,0))=0,"",INDEX('Annex 4 LDNO charges'!$B$11:$B$201,MATCH($A69,'Annex 4 LDNO charges'!$A$11:$A$201,0))))</f>
        <v>J20</v>
      </c>
      <c r="C69" s="181">
        <f>IFERROR(INDEX('Annex 1 LV, HV and UMS charges'!$C$12:$C$43,MATCH($A69,'Annex 1 LV, HV and UMS charges'!$A$12:$A$43,0)),INDEX('Annex 4 LDNO charges'!$C$12:$C$201,MATCH($A69,'Annex 4 LDNO charges'!$A$12:$A$201,0)))</f>
        <v>0</v>
      </c>
      <c r="D69" s="173"/>
      <c r="E69" s="173"/>
      <c r="F69" s="172">
        <v>6.5258362970998907E-2</v>
      </c>
    </row>
    <row r="70" spans="1:6" ht="27.75" customHeight="1" x14ac:dyDescent="0.2">
      <c r="A70" s="156" t="s">
        <v>631</v>
      </c>
      <c r="B70" s="33" t="str">
        <f>IFERROR(INDEX('Annex 1 LV, HV and UMS charges'!$B$12:$B$43,MATCH($A70,'Annex 1 LV, HV and UMS charges'!$A$12:$A$43,0)),IF(INDEX('Annex 4 LDNO charges'!$B$11:$B$201,MATCH($A70,'Annex 4 LDNO charges'!$A$11:$A$201,0))=0,"",INDEX('Annex 4 LDNO charges'!$B$11:$B$201,MATCH($A70,'Annex 4 LDNO charges'!$A$11:$A$201,0))))</f>
        <v>J21</v>
      </c>
      <c r="C70" s="181">
        <f>IFERROR(INDEX('Annex 1 LV, HV and UMS charges'!$C$12:$C$43,MATCH($A70,'Annex 1 LV, HV and UMS charges'!$A$12:$A$43,0)),INDEX('Annex 4 LDNO charges'!$C$12:$C$201,MATCH($A70,'Annex 4 LDNO charges'!$A$12:$A$201,0)))</f>
        <v>0</v>
      </c>
      <c r="D70" s="173"/>
      <c r="E70" s="173"/>
      <c r="F70" s="172">
        <v>6.5258362970998907E-2</v>
      </c>
    </row>
    <row r="71" spans="1:6" ht="27.75" customHeight="1" x14ac:dyDescent="0.2">
      <c r="A71" s="156" t="s">
        <v>632</v>
      </c>
      <c r="B71" s="33" t="str">
        <f>IFERROR(INDEX('Annex 1 LV, HV and UMS charges'!$B$12:$B$43,MATCH($A71,'Annex 1 LV, HV and UMS charges'!$A$12:$A$43,0)),IF(INDEX('Annex 4 LDNO charges'!$B$11:$B$201,MATCH($A71,'Annex 4 LDNO charges'!$A$11:$A$201,0))=0,"",INDEX('Annex 4 LDNO charges'!$B$11:$B$201,MATCH($A71,'Annex 4 LDNO charges'!$A$11:$A$201,0))))</f>
        <v>J22</v>
      </c>
      <c r="C71" s="181">
        <f>IFERROR(INDEX('Annex 1 LV, HV and UMS charges'!$C$12:$C$43,MATCH($A71,'Annex 1 LV, HV and UMS charges'!$A$12:$A$43,0)),INDEX('Annex 4 LDNO charges'!$C$12:$C$201,MATCH($A71,'Annex 4 LDNO charges'!$A$12:$A$201,0)))</f>
        <v>0</v>
      </c>
      <c r="D71" s="173"/>
      <c r="E71" s="173"/>
      <c r="F71" s="172">
        <v>6.5258362970998907E-2</v>
      </c>
    </row>
    <row r="72" spans="1:6" ht="27.75" customHeight="1" x14ac:dyDescent="0.2">
      <c r="A72" s="156" t="s">
        <v>633</v>
      </c>
      <c r="B72" s="33" t="str">
        <f>IFERROR(INDEX('Annex 1 LV, HV and UMS charges'!$B$12:$B$43,MATCH($A72,'Annex 1 LV, HV and UMS charges'!$A$12:$A$43,0)),IF(INDEX('Annex 4 LDNO charges'!$B$11:$B$201,MATCH($A72,'Annex 4 LDNO charges'!$A$11:$A$201,0))=0,"",INDEX('Annex 4 LDNO charges'!$B$11:$B$201,MATCH($A72,'Annex 4 LDNO charges'!$A$11:$A$201,0))))</f>
        <v>J23</v>
      </c>
      <c r="C72" s="181">
        <f>IFERROR(INDEX('Annex 1 LV, HV and UMS charges'!$C$12:$C$43,MATCH($A72,'Annex 1 LV, HV and UMS charges'!$A$12:$A$43,0)),INDEX('Annex 4 LDNO charges'!$C$12:$C$201,MATCH($A72,'Annex 4 LDNO charges'!$A$12:$A$201,0)))</f>
        <v>0</v>
      </c>
      <c r="D72" s="173"/>
      <c r="E72" s="173"/>
      <c r="F72" s="172">
        <v>6.5258362970998907E-2</v>
      </c>
    </row>
    <row r="73" spans="1:6" ht="27.75" customHeight="1" x14ac:dyDescent="0.2">
      <c r="A73" s="156" t="s">
        <v>634</v>
      </c>
      <c r="B73" s="33" t="str">
        <f>IFERROR(INDEX('Annex 1 LV, HV and UMS charges'!$B$12:$B$43,MATCH($A73,'Annex 1 LV, HV and UMS charges'!$A$12:$A$43,0)),IF(INDEX('Annex 4 LDNO charges'!$B$11:$B$201,MATCH($A73,'Annex 4 LDNO charges'!$A$11:$A$201,0))=0,"",INDEX('Annex 4 LDNO charges'!$B$11:$B$201,MATCH($A73,'Annex 4 LDNO charges'!$A$11:$A$201,0))))</f>
        <v>J24</v>
      </c>
      <c r="C73" s="181">
        <f>IFERROR(INDEX('Annex 1 LV, HV and UMS charges'!$C$12:$C$43,MATCH($A73,'Annex 1 LV, HV and UMS charges'!$A$12:$A$43,0)),INDEX('Annex 4 LDNO charges'!$C$12:$C$201,MATCH($A73,'Annex 4 LDNO charges'!$A$12:$A$201,0)))</f>
        <v>0</v>
      </c>
      <c r="D73" s="173"/>
      <c r="E73" s="173"/>
      <c r="F73" s="172">
        <v>6.5258362970998907E-2</v>
      </c>
    </row>
    <row r="74" spans="1:6" ht="27.75" customHeight="1" x14ac:dyDescent="0.2">
      <c r="A74" s="156" t="s">
        <v>635</v>
      </c>
      <c r="B74" s="33" t="str">
        <f>IFERROR(INDEX('Annex 1 LV, HV and UMS charges'!$B$12:$B$43,MATCH($A74,'Annex 1 LV, HV and UMS charges'!$A$12:$A$43,0)),IF(INDEX('Annex 4 LDNO charges'!$B$11:$B$201,MATCH($A74,'Annex 4 LDNO charges'!$A$11:$A$201,0))=0,"",INDEX('Annex 4 LDNO charges'!$B$11:$B$201,MATCH($A74,'Annex 4 LDNO charges'!$A$11:$A$201,0))))</f>
        <v>K20</v>
      </c>
      <c r="C74" s="181">
        <f>IFERROR(INDEX('Annex 1 LV, HV and UMS charges'!$C$12:$C$43,MATCH($A74,'Annex 1 LV, HV and UMS charges'!$A$12:$A$43,0)),INDEX('Annex 4 LDNO charges'!$C$12:$C$201,MATCH($A74,'Annex 4 LDNO charges'!$A$12:$A$201,0)))</f>
        <v>0</v>
      </c>
      <c r="D74" s="173"/>
      <c r="E74" s="173"/>
      <c r="F74" s="172">
        <v>6.5258362970998907E-2</v>
      </c>
    </row>
    <row r="75" spans="1:6" ht="27.75" customHeight="1" x14ac:dyDescent="0.2">
      <c r="A75" s="156" t="s">
        <v>636</v>
      </c>
      <c r="B75" s="33" t="str">
        <f>IFERROR(INDEX('Annex 1 LV, HV and UMS charges'!$B$12:$B$43,MATCH($A75,'Annex 1 LV, HV and UMS charges'!$A$12:$A$43,0)),IF(INDEX('Annex 4 LDNO charges'!$B$11:$B$201,MATCH($A75,'Annex 4 LDNO charges'!$A$11:$A$201,0))=0,"",INDEX('Annex 4 LDNO charges'!$B$11:$B$201,MATCH($A75,'Annex 4 LDNO charges'!$A$11:$A$201,0))))</f>
        <v>K21</v>
      </c>
      <c r="C75" s="181">
        <f>IFERROR(INDEX('Annex 1 LV, HV and UMS charges'!$C$12:$C$43,MATCH($A75,'Annex 1 LV, HV and UMS charges'!$A$12:$A$43,0)),INDEX('Annex 4 LDNO charges'!$C$12:$C$201,MATCH($A75,'Annex 4 LDNO charges'!$A$12:$A$201,0)))</f>
        <v>0</v>
      </c>
      <c r="D75" s="173"/>
      <c r="E75" s="173"/>
      <c r="F75" s="172">
        <v>6.5258362970998907E-2</v>
      </c>
    </row>
    <row r="76" spans="1:6" ht="27.75" customHeight="1" x14ac:dyDescent="0.2">
      <c r="A76" s="156" t="s">
        <v>637</v>
      </c>
      <c r="B76" s="33" t="str">
        <f>IFERROR(INDEX('Annex 1 LV, HV and UMS charges'!$B$12:$B$43,MATCH($A76,'Annex 1 LV, HV and UMS charges'!$A$12:$A$43,0)),IF(INDEX('Annex 4 LDNO charges'!$B$11:$B$201,MATCH($A76,'Annex 4 LDNO charges'!$A$11:$A$201,0))=0,"",INDEX('Annex 4 LDNO charges'!$B$11:$B$201,MATCH($A76,'Annex 4 LDNO charges'!$A$11:$A$201,0))))</f>
        <v>K22</v>
      </c>
      <c r="C76" s="181">
        <f>IFERROR(INDEX('Annex 1 LV, HV and UMS charges'!$C$12:$C$43,MATCH($A76,'Annex 1 LV, HV and UMS charges'!$A$12:$A$43,0)),INDEX('Annex 4 LDNO charges'!$C$12:$C$201,MATCH($A76,'Annex 4 LDNO charges'!$A$12:$A$201,0)))</f>
        <v>0</v>
      </c>
      <c r="D76" s="173"/>
      <c r="E76" s="173"/>
      <c r="F76" s="172">
        <v>6.5258362970998907E-2</v>
      </c>
    </row>
    <row r="77" spans="1:6" ht="27.75" customHeight="1" x14ac:dyDescent="0.2">
      <c r="A77" s="156" t="s">
        <v>638</v>
      </c>
      <c r="B77" s="33" t="str">
        <f>IFERROR(INDEX('Annex 1 LV, HV and UMS charges'!$B$12:$B$43,MATCH($A77,'Annex 1 LV, HV and UMS charges'!$A$12:$A$43,0)),IF(INDEX('Annex 4 LDNO charges'!$B$11:$B$201,MATCH($A77,'Annex 4 LDNO charges'!$A$11:$A$201,0))=0,"",INDEX('Annex 4 LDNO charges'!$B$11:$B$201,MATCH($A77,'Annex 4 LDNO charges'!$A$11:$A$201,0))))</f>
        <v>K23</v>
      </c>
      <c r="C77" s="181">
        <f>IFERROR(INDEX('Annex 1 LV, HV and UMS charges'!$C$12:$C$43,MATCH($A77,'Annex 1 LV, HV and UMS charges'!$A$12:$A$43,0)),INDEX('Annex 4 LDNO charges'!$C$12:$C$201,MATCH($A77,'Annex 4 LDNO charges'!$A$12:$A$201,0)))</f>
        <v>0</v>
      </c>
      <c r="D77" s="173"/>
      <c r="E77" s="173"/>
      <c r="F77" s="172">
        <v>6.5258362970998907E-2</v>
      </c>
    </row>
    <row r="78" spans="1:6" ht="27.75" customHeight="1" x14ac:dyDescent="0.2">
      <c r="A78" s="156" t="s">
        <v>639</v>
      </c>
      <c r="B78" s="33" t="str">
        <f>IFERROR(INDEX('Annex 1 LV, HV and UMS charges'!$B$12:$B$43,MATCH($A78,'Annex 1 LV, HV and UMS charges'!$A$12:$A$43,0)),IF(INDEX('Annex 4 LDNO charges'!$B$11:$B$201,MATCH($A78,'Annex 4 LDNO charges'!$A$11:$A$201,0))=0,"",INDEX('Annex 4 LDNO charges'!$B$11:$B$201,MATCH($A78,'Annex 4 LDNO charges'!$A$11:$A$201,0))))</f>
        <v>K24</v>
      </c>
      <c r="C78" s="181">
        <f>IFERROR(INDEX('Annex 1 LV, HV and UMS charges'!$C$12:$C$43,MATCH($A78,'Annex 1 LV, HV and UMS charges'!$A$12:$A$43,0)),INDEX('Annex 4 LDNO charges'!$C$12:$C$201,MATCH($A78,'Annex 4 LDNO charges'!$A$12:$A$201,0)))</f>
        <v>0</v>
      </c>
      <c r="D78" s="173"/>
      <c r="E78" s="173"/>
      <c r="F78" s="172">
        <v>6.5258362970998907E-2</v>
      </c>
    </row>
    <row r="79" spans="1:6" ht="27.75" customHeight="1" x14ac:dyDescent="0.2">
      <c r="A79" s="156" t="s">
        <v>596</v>
      </c>
      <c r="B79" s="33" t="str">
        <f>IFERROR(INDEX('Annex 1 LV, HV and UMS charges'!$B$12:$B$43,MATCH($A79,'Annex 1 LV, HV and UMS charges'!$A$12:$A$43,0)),IF(INDEX('Annex 4 LDNO charges'!$B$11:$B$201,MATCH($A79,'Annex 4 LDNO charges'!$A$11:$A$201,0))=0,"",INDEX('Annex 4 LDNO charges'!$B$11:$B$201,MATCH($A79,'Annex 4 LDNO charges'!$A$11:$A$201,0))))</f>
        <v>A30</v>
      </c>
      <c r="C79" s="181" t="str">
        <f>IFERROR(INDEX('Annex 1 LV, HV and UMS charges'!$C$12:$C$43,MATCH($A79,'Annex 1 LV, HV and UMS charges'!$A$12:$A$43,0)),INDEX('Annex 4 LDNO charges'!$C$12:$C$201,MATCH($A79,'Annex 4 LDNO charges'!$A$12:$A$201,0)))</f>
        <v>0, 1, 2</v>
      </c>
      <c r="D79" s="172">
        <v>5.7538427037113801E-2</v>
      </c>
      <c r="E79" s="172">
        <v>9.4536320191825496</v>
      </c>
      <c r="F79" s="172">
        <v>6.5258362970998907E-2</v>
      </c>
    </row>
    <row r="80" spans="1:6" ht="27.75" customHeight="1" x14ac:dyDescent="0.2">
      <c r="A80" s="156" t="s">
        <v>598</v>
      </c>
      <c r="B80" s="33" t="str">
        <f>IFERROR(INDEX('Annex 1 LV, HV and UMS charges'!$B$12:$B$43,MATCH($A80,'Annex 1 LV, HV and UMS charges'!$A$12:$A$43,0)),IF(INDEX('Annex 4 LDNO charges'!$B$11:$B$201,MATCH($A80,'Annex 4 LDNO charges'!$A$11:$A$201,0))=0,"",INDEX('Annex 4 LDNO charges'!$B$11:$B$201,MATCH($A80,'Annex 4 LDNO charges'!$A$11:$A$201,0))))</f>
        <v>C30</v>
      </c>
      <c r="C80" s="181" t="str">
        <f>IFERROR(INDEX('Annex 1 LV, HV and UMS charges'!$C$12:$C$43,MATCH($A80,'Annex 1 LV, HV and UMS charges'!$A$12:$A$43,0)),INDEX('Annex 4 LDNO charges'!$C$12:$C$201,MATCH($A80,'Annex 4 LDNO charges'!$A$12:$A$201,0)))</f>
        <v>0, 3, 4, 5-8</v>
      </c>
      <c r="D80" s="173"/>
      <c r="E80" s="173"/>
      <c r="F80" s="172">
        <v>6.5258362970998907E-2</v>
      </c>
    </row>
    <row r="81" spans="1:6" ht="27.75" customHeight="1" x14ac:dyDescent="0.2">
      <c r="A81" s="156" t="s">
        <v>599</v>
      </c>
      <c r="B81" s="33" t="str">
        <f>IFERROR(INDEX('Annex 1 LV, HV and UMS charges'!$B$12:$B$43,MATCH($A81,'Annex 1 LV, HV and UMS charges'!$A$12:$A$43,0)),IF(INDEX('Annex 4 LDNO charges'!$B$11:$B$201,MATCH($A81,'Annex 4 LDNO charges'!$A$11:$A$201,0))=0,"",INDEX('Annex 4 LDNO charges'!$B$11:$B$201,MATCH($A81,'Annex 4 LDNO charges'!$A$11:$A$201,0))))</f>
        <v>C31</v>
      </c>
      <c r="C81" s="181" t="str">
        <f>IFERROR(INDEX('Annex 1 LV, HV and UMS charges'!$C$12:$C$43,MATCH($A81,'Annex 1 LV, HV and UMS charges'!$A$12:$A$43,0)),INDEX('Annex 4 LDNO charges'!$C$12:$C$201,MATCH($A81,'Annex 4 LDNO charges'!$A$12:$A$201,0)))</f>
        <v>0, 3, 4, 5-8</v>
      </c>
      <c r="D81" s="173"/>
      <c r="E81" s="173"/>
      <c r="F81" s="172">
        <v>6.5258362970998907E-2</v>
      </c>
    </row>
    <row r="82" spans="1:6" ht="27.75" customHeight="1" x14ac:dyDescent="0.2">
      <c r="A82" s="156" t="s">
        <v>600</v>
      </c>
      <c r="B82" s="33" t="str">
        <f>IFERROR(INDEX('Annex 1 LV, HV and UMS charges'!$B$12:$B$43,MATCH($A82,'Annex 1 LV, HV and UMS charges'!$A$12:$A$43,0)),IF(INDEX('Annex 4 LDNO charges'!$B$11:$B$201,MATCH($A82,'Annex 4 LDNO charges'!$A$11:$A$201,0))=0,"",INDEX('Annex 4 LDNO charges'!$B$11:$B$201,MATCH($A82,'Annex 4 LDNO charges'!$A$11:$A$201,0))))</f>
        <v>C32</v>
      </c>
      <c r="C82" s="181" t="str">
        <f>IFERROR(INDEX('Annex 1 LV, HV and UMS charges'!$C$12:$C$43,MATCH($A82,'Annex 1 LV, HV and UMS charges'!$A$12:$A$43,0)),INDEX('Annex 4 LDNO charges'!$C$12:$C$201,MATCH($A82,'Annex 4 LDNO charges'!$A$12:$A$201,0)))</f>
        <v>0, 3, 4, 5-8</v>
      </c>
      <c r="D82" s="173"/>
      <c r="E82" s="173"/>
      <c r="F82" s="172">
        <v>6.5258362970998907E-2</v>
      </c>
    </row>
    <row r="83" spans="1:6" ht="27.75" customHeight="1" x14ac:dyDescent="0.2">
      <c r="A83" s="156" t="s">
        <v>601</v>
      </c>
      <c r="B83" s="33" t="str">
        <f>IFERROR(INDEX('Annex 1 LV, HV and UMS charges'!$B$12:$B$43,MATCH($A83,'Annex 1 LV, HV and UMS charges'!$A$12:$A$43,0)),IF(INDEX('Annex 4 LDNO charges'!$B$11:$B$201,MATCH($A83,'Annex 4 LDNO charges'!$A$11:$A$201,0))=0,"",INDEX('Annex 4 LDNO charges'!$B$11:$B$201,MATCH($A83,'Annex 4 LDNO charges'!$A$11:$A$201,0))))</f>
        <v>C33</v>
      </c>
      <c r="C83" s="181" t="str">
        <f>IFERROR(INDEX('Annex 1 LV, HV and UMS charges'!$C$12:$C$43,MATCH($A83,'Annex 1 LV, HV and UMS charges'!$A$12:$A$43,0)),INDEX('Annex 4 LDNO charges'!$C$12:$C$201,MATCH($A83,'Annex 4 LDNO charges'!$A$12:$A$201,0)))</f>
        <v>0, 3, 4, 5-8</v>
      </c>
      <c r="D83" s="173"/>
      <c r="E83" s="173"/>
      <c r="F83" s="172">
        <v>6.5258362970998907E-2</v>
      </c>
    </row>
    <row r="84" spans="1:6" ht="27.75" customHeight="1" x14ac:dyDescent="0.2">
      <c r="A84" s="156" t="s">
        <v>602</v>
      </c>
      <c r="B84" s="33" t="str">
        <f>IFERROR(INDEX('Annex 1 LV, HV and UMS charges'!$B$12:$B$43,MATCH($A84,'Annex 1 LV, HV and UMS charges'!$A$12:$A$43,0)),IF(INDEX('Annex 4 LDNO charges'!$B$11:$B$201,MATCH($A84,'Annex 4 LDNO charges'!$A$11:$A$201,0))=0,"",INDEX('Annex 4 LDNO charges'!$B$11:$B$201,MATCH($A84,'Annex 4 LDNO charges'!$A$11:$A$201,0))))</f>
        <v>C34</v>
      </c>
      <c r="C84" s="181" t="str">
        <f>IFERROR(INDEX('Annex 1 LV, HV and UMS charges'!$C$12:$C$43,MATCH($A84,'Annex 1 LV, HV and UMS charges'!$A$12:$A$43,0)),INDEX('Annex 4 LDNO charges'!$C$12:$C$201,MATCH($A84,'Annex 4 LDNO charges'!$A$12:$A$201,0)))</f>
        <v>0, 3, 4, 5-8</v>
      </c>
      <c r="D84" s="173"/>
      <c r="E84" s="173"/>
      <c r="F84" s="172">
        <v>6.5258362970998907E-2</v>
      </c>
    </row>
    <row r="85" spans="1:6" ht="27.75" customHeight="1" x14ac:dyDescent="0.2">
      <c r="A85" s="156" t="s">
        <v>603</v>
      </c>
      <c r="B85" s="33" t="str">
        <f>IFERROR(INDEX('Annex 1 LV, HV and UMS charges'!$B$12:$B$43,MATCH($A85,'Annex 1 LV, HV and UMS charges'!$A$12:$A$43,0)),IF(INDEX('Annex 4 LDNO charges'!$B$11:$B$201,MATCH($A85,'Annex 4 LDNO charges'!$A$11:$A$201,0))=0,"",INDEX('Annex 4 LDNO charges'!$B$11:$B$201,MATCH($A85,'Annex 4 LDNO charges'!$A$11:$A$201,0))))</f>
        <v>E30</v>
      </c>
      <c r="C85" s="181">
        <f>IFERROR(INDEX('Annex 1 LV, HV and UMS charges'!$C$12:$C$43,MATCH($A85,'Annex 1 LV, HV and UMS charges'!$A$12:$A$43,0)),INDEX('Annex 4 LDNO charges'!$C$12:$C$201,MATCH($A85,'Annex 4 LDNO charges'!$A$12:$A$201,0)))</f>
        <v>0</v>
      </c>
      <c r="D85" s="173"/>
      <c r="E85" s="173"/>
      <c r="F85" s="172">
        <v>6.5258362970998907E-2</v>
      </c>
    </row>
    <row r="86" spans="1:6" ht="27.75" customHeight="1" x14ac:dyDescent="0.2">
      <c r="A86" s="156" t="s">
        <v>604</v>
      </c>
      <c r="B86" s="33" t="str">
        <f>IFERROR(INDEX('Annex 1 LV, HV and UMS charges'!$B$12:$B$43,MATCH($A86,'Annex 1 LV, HV and UMS charges'!$A$12:$A$43,0)),IF(INDEX('Annex 4 LDNO charges'!$B$11:$B$201,MATCH($A86,'Annex 4 LDNO charges'!$A$11:$A$201,0))=0,"",INDEX('Annex 4 LDNO charges'!$B$11:$B$201,MATCH($A86,'Annex 4 LDNO charges'!$A$11:$A$201,0))))</f>
        <v>E31</v>
      </c>
      <c r="C86" s="181">
        <f>IFERROR(INDEX('Annex 1 LV, HV and UMS charges'!$C$12:$C$43,MATCH($A86,'Annex 1 LV, HV and UMS charges'!$A$12:$A$43,0)),INDEX('Annex 4 LDNO charges'!$C$12:$C$201,MATCH($A86,'Annex 4 LDNO charges'!$A$12:$A$201,0)))</f>
        <v>0</v>
      </c>
      <c r="D86" s="173"/>
      <c r="E86" s="173"/>
      <c r="F86" s="172">
        <v>6.5258362970998907E-2</v>
      </c>
    </row>
    <row r="87" spans="1:6" ht="27.75" customHeight="1" x14ac:dyDescent="0.2">
      <c r="A87" s="156" t="s">
        <v>605</v>
      </c>
      <c r="B87" s="33" t="str">
        <f>IFERROR(INDEX('Annex 1 LV, HV and UMS charges'!$B$12:$B$43,MATCH($A87,'Annex 1 LV, HV and UMS charges'!$A$12:$A$43,0)),IF(INDEX('Annex 4 LDNO charges'!$B$11:$B$201,MATCH($A87,'Annex 4 LDNO charges'!$A$11:$A$201,0))=0,"",INDEX('Annex 4 LDNO charges'!$B$11:$B$201,MATCH($A87,'Annex 4 LDNO charges'!$A$11:$A$201,0))))</f>
        <v>E32</v>
      </c>
      <c r="C87" s="181">
        <f>IFERROR(INDEX('Annex 1 LV, HV and UMS charges'!$C$12:$C$43,MATCH($A87,'Annex 1 LV, HV and UMS charges'!$A$12:$A$43,0)),INDEX('Annex 4 LDNO charges'!$C$12:$C$201,MATCH($A87,'Annex 4 LDNO charges'!$A$12:$A$201,0)))</f>
        <v>0</v>
      </c>
      <c r="D87" s="173"/>
      <c r="E87" s="173"/>
      <c r="F87" s="172">
        <v>6.5258362970998907E-2</v>
      </c>
    </row>
    <row r="88" spans="1:6" ht="27.75" customHeight="1" x14ac:dyDescent="0.2">
      <c r="A88" s="156" t="s">
        <v>606</v>
      </c>
      <c r="B88" s="33" t="str">
        <f>IFERROR(INDEX('Annex 1 LV, HV and UMS charges'!$B$12:$B$43,MATCH($A88,'Annex 1 LV, HV and UMS charges'!$A$12:$A$43,0)),IF(INDEX('Annex 4 LDNO charges'!$B$11:$B$201,MATCH($A88,'Annex 4 LDNO charges'!$A$11:$A$201,0))=0,"",INDEX('Annex 4 LDNO charges'!$B$11:$B$201,MATCH($A88,'Annex 4 LDNO charges'!$A$11:$A$201,0))))</f>
        <v>E33</v>
      </c>
      <c r="C88" s="181">
        <f>IFERROR(INDEX('Annex 1 LV, HV and UMS charges'!$C$12:$C$43,MATCH($A88,'Annex 1 LV, HV and UMS charges'!$A$12:$A$43,0)),INDEX('Annex 4 LDNO charges'!$C$12:$C$201,MATCH($A88,'Annex 4 LDNO charges'!$A$12:$A$201,0)))</f>
        <v>0</v>
      </c>
      <c r="D88" s="173"/>
      <c r="E88" s="173"/>
      <c r="F88" s="172">
        <v>6.5258362970998907E-2</v>
      </c>
    </row>
    <row r="89" spans="1:6" ht="27.75" customHeight="1" x14ac:dyDescent="0.2">
      <c r="A89" s="156" t="s">
        <v>607</v>
      </c>
      <c r="B89" s="33" t="str">
        <f>IFERROR(INDEX('Annex 1 LV, HV and UMS charges'!$B$12:$B$43,MATCH($A89,'Annex 1 LV, HV and UMS charges'!$A$12:$A$43,0)),IF(INDEX('Annex 4 LDNO charges'!$B$11:$B$201,MATCH($A89,'Annex 4 LDNO charges'!$A$11:$A$201,0))=0,"",INDEX('Annex 4 LDNO charges'!$B$11:$B$201,MATCH($A89,'Annex 4 LDNO charges'!$A$11:$A$201,0))))</f>
        <v>E34</v>
      </c>
      <c r="C89" s="181">
        <f>IFERROR(INDEX('Annex 1 LV, HV and UMS charges'!$C$12:$C$43,MATCH($A89,'Annex 1 LV, HV and UMS charges'!$A$12:$A$43,0)),INDEX('Annex 4 LDNO charges'!$C$12:$C$201,MATCH($A89,'Annex 4 LDNO charges'!$A$12:$A$201,0)))</f>
        <v>0</v>
      </c>
      <c r="D89" s="173"/>
      <c r="E89" s="173"/>
      <c r="F89" s="172">
        <v>6.5258362970998907E-2</v>
      </c>
    </row>
    <row r="90" spans="1:6" ht="27.75" customHeight="1" x14ac:dyDescent="0.2">
      <c r="A90" s="156" t="s">
        <v>608</v>
      </c>
      <c r="B90" s="33" t="str">
        <f>IFERROR(INDEX('Annex 1 LV, HV and UMS charges'!$B$12:$B$43,MATCH($A90,'Annex 1 LV, HV and UMS charges'!$A$12:$A$43,0)),IF(INDEX('Annex 4 LDNO charges'!$B$11:$B$201,MATCH($A90,'Annex 4 LDNO charges'!$A$11:$A$201,0))=0,"",INDEX('Annex 4 LDNO charges'!$B$11:$B$201,MATCH($A90,'Annex 4 LDNO charges'!$A$11:$A$201,0))))</f>
        <v>J30</v>
      </c>
      <c r="C90" s="181">
        <f>IFERROR(INDEX('Annex 1 LV, HV and UMS charges'!$C$12:$C$43,MATCH($A90,'Annex 1 LV, HV and UMS charges'!$A$12:$A$43,0)),INDEX('Annex 4 LDNO charges'!$C$12:$C$201,MATCH($A90,'Annex 4 LDNO charges'!$A$12:$A$201,0)))</f>
        <v>0</v>
      </c>
      <c r="D90" s="173"/>
      <c r="E90" s="173"/>
      <c r="F90" s="172">
        <v>6.5258362970998907E-2</v>
      </c>
    </row>
    <row r="91" spans="1:6" ht="27.75" customHeight="1" x14ac:dyDescent="0.2">
      <c r="A91" s="156" t="s">
        <v>609</v>
      </c>
      <c r="B91" s="33" t="str">
        <f>IFERROR(INDEX('Annex 1 LV, HV and UMS charges'!$B$12:$B$43,MATCH($A91,'Annex 1 LV, HV and UMS charges'!$A$12:$A$43,0)),IF(INDEX('Annex 4 LDNO charges'!$B$11:$B$201,MATCH($A91,'Annex 4 LDNO charges'!$A$11:$A$201,0))=0,"",INDEX('Annex 4 LDNO charges'!$B$11:$B$201,MATCH($A91,'Annex 4 LDNO charges'!$A$11:$A$201,0))))</f>
        <v>J31</v>
      </c>
      <c r="C91" s="181">
        <f>IFERROR(INDEX('Annex 1 LV, HV and UMS charges'!$C$12:$C$43,MATCH($A91,'Annex 1 LV, HV and UMS charges'!$A$12:$A$43,0)),INDEX('Annex 4 LDNO charges'!$C$12:$C$201,MATCH($A91,'Annex 4 LDNO charges'!$A$12:$A$201,0)))</f>
        <v>0</v>
      </c>
      <c r="D91" s="173"/>
      <c r="E91" s="173"/>
      <c r="F91" s="172">
        <v>6.5258362970998907E-2</v>
      </c>
    </row>
    <row r="92" spans="1:6" ht="27.75" customHeight="1" x14ac:dyDescent="0.2">
      <c r="A92" s="156" t="s">
        <v>610</v>
      </c>
      <c r="B92" s="33" t="str">
        <f>IFERROR(INDEX('Annex 1 LV, HV and UMS charges'!$B$12:$B$43,MATCH($A92,'Annex 1 LV, HV and UMS charges'!$A$12:$A$43,0)),IF(INDEX('Annex 4 LDNO charges'!$B$11:$B$201,MATCH($A92,'Annex 4 LDNO charges'!$A$11:$A$201,0))=0,"",INDEX('Annex 4 LDNO charges'!$B$11:$B$201,MATCH($A92,'Annex 4 LDNO charges'!$A$11:$A$201,0))))</f>
        <v>J32</v>
      </c>
      <c r="C92" s="181">
        <f>IFERROR(INDEX('Annex 1 LV, HV and UMS charges'!$C$12:$C$43,MATCH($A92,'Annex 1 LV, HV and UMS charges'!$A$12:$A$43,0)),INDEX('Annex 4 LDNO charges'!$C$12:$C$201,MATCH($A92,'Annex 4 LDNO charges'!$A$12:$A$201,0)))</f>
        <v>0</v>
      </c>
      <c r="D92" s="173"/>
      <c r="E92" s="173"/>
      <c r="F92" s="172">
        <v>6.5258362970998907E-2</v>
      </c>
    </row>
    <row r="93" spans="1:6" ht="27.75" customHeight="1" x14ac:dyDescent="0.2">
      <c r="A93" s="156" t="s">
        <v>611</v>
      </c>
      <c r="B93" s="33" t="str">
        <f>IFERROR(INDEX('Annex 1 LV, HV and UMS charges'!$B$12:$B$43,MATCH($A93,'Annex 1 LV, HV and UMS charges'!$A$12:$A$43,0)),IF(INDEX('Annex 4 LDNO charges'!$B$11:$B$201,MATCH($A93,'Annex 4 LDNO charges'!$A$11:$A$201,0))=0,"",INDEX('Annex 4 LDNO charges'!$B$11:$B$201,MATCH($A93,'Annex 4 LDNO charges'!$A$11:$A$201,0))))</f>
        <v>J33</v>
      </c>
      <c r="C93" s="181">
        <f>IFERROR(INDEX('Annex 1 LV, HV and UMS charges'!$C$12:$C$43,MATCH($A93,'Annex 1 LV, HV and UMS charges'!$A$12:$A$43,0)),INDEX('Annex 4 LDNO charges'!$C$12:$C$201,MATCH($A93,'Annex 4 LDNO charges'!$A$12:$A$201,0)))</f>
        <v>0</v>
      </c>
      <c r="D93" s="173"/>
      <c r="E93" s="173"/>
      <c r="F93" s="172">
        <v>6.5258362970998907E-2</v>
      </c>
    </row>
    <row r="94" spans="1:6" ht="27.75" customHeight="1" x14ac:dyDescent="0.2">
      <c r="A94" s="156" t="s">
        <v>612</v>
      </c>
      <c r="B94" s="33" t="str">
        <f>IFERROR(INDEX('Annex 1 LV, HV and UMS charges'!$B$12:$B$43,MATCH($A94,'Annex 1 LV, HV and UMS charges'!$A$12:$A$43,0)),IF(INDEX('Annex 4 LDNO charges'!$B$11:$B$201,MATCH($A94,'Annex 4 LDNO charges'!$A$11:$A$201,0))=0,"",INDEX('Annex 4 LDNO charges'!$B$11:$B$201,MATCH($A94,'Annex 4 LDNO charges'!$A$11:$A$201,0))))</f>
        <v>J34</v>
      </c>
      <c r="C94" s="181">
        <f>IFERROR(INDEX('Annex 1 LV, HV and UMS charges'!$C$12:$C$43,MATCH($A94,'Annex 1 LV, HV and UMS charges'!$A$12:$A$43,0)),INDEX('Annex 4 LDNO charges'!$C$12:$C$201,MATCH($A94,'Annex 4 LDNO charges'!$A$12:$A$201,0)))</f>
        <v>0</v>
      </c>
      <c r="D94" s="173"/>
      <c r="E94" s="173"/>
      <c r="F94" s="172">
        <v>6.5258362970998907E-2</v>
      </c>
    </row>
    <row r="95" spans="1:6" ht="27.75" customHeight="1" x14ac:dyDescent="0.2">
      <c r="A95" s="156" t="s">
        <v>613</v>
      </c>
      <c r="B95" s="33" t="str">
        <f>IFERROR(INDEX('Annex 1 LV, HV and UMS charges'!$B$12:$B$43,MATCH($A95,'Annex 1 LV, HV and UMS charges'!$A$12:$A$43,0)),IF(INDEX('Annex 4 LDNO charges'!$B$11:$B$201,MATCH($A95,'Annex 4 LDNO charges'!$A$11:$A$201,0))=0,"",INDEX('Annex 4 LDNO charges'!$B$11:$B$201,MATCH($A95,'Annex 4 LDNO charges'!$A$11:$A$201,0))))</f>
        <v>K30</v>
      </c>
      <c r="C95" s="181">
        <f>IFERROR(INDEX('Annex 1 LV, HV and UMS charges'!$C$12:$C$43,MATCH($A95,'Annex 1 LV, HV and UMS charges'!$A$12:$A$43,0)),INDEX('Annex 4 LDNO charges'!$C$12:$C$201,MATCH($A95,'Annex 4 LDNO charges'!$A$12:$A$201,0)))</f>
        <v>0</v>
      </c>
      <c r="D95" s="173"/>
      <c r="E95" s="173"/>
      <c r="F95" s="172">
        <v>6.5258362970998907E-2</v>
      </c>
    </row>
    <row r="96" spans="1:6" ht="27.75" customHeight="1" x14ac:dyDescent="0.2">
      <c r="A96" s="156" t="s">
        <v>614</v>
      </c>
      <c r="B96" s="33" t="str">
        <f>IFERROR(INDEX('Annex 1 LV, HV and UMS charges'!$B$12:$B$43,MATCH($A96,'Annex 1 LV, HV and UMS charges'!$A$12:$A$43,0)),IF(INDEX('Annex 4 LDNO charges'!$B$11:$B$201,MATCH($A96,'Annex 4 LDNO charges'!$A$11:$A$201,0))=0,"",INDEX('Annex 4 LDNO charges'!$B$11:$B$201,MATCH($A96,'Annex 4 LDNO charges'!$A$11:$A$201,0))))</f>
        <v>K31</v>
      </c>
      <c r="C96" s="181">
        <f>IFERROR(INDEX('Annex 1 LV, HV and UMS charges'!$C$12:$C$43,MATCH($A96,'Annex 1 LV, HV and UMS charges'!$A$12:$A$43,0)),INDEX('Annex 4 LDNO charges'!$C$12:$C$201,MATCH($A96,'Annex 4 LDNO charges'!$A$12:$A$201,0)))</f>
        <v>0</v>
      </c>
      <c r="D96" s="173"/>
      <c r="E96" s="173"/>
      <c r="F96" s="172">
        <v>6.5258362970998907E-2</v>
      </c>
    </row>
    <row r="97" spans="1:6" ht="27.75" customHeight="1" x14ac:dyDescent="0.2">
      <c r="A97" s="156" t="s">
        <v>615</v>
      </c>
      <c r="B97" s="33" t="str">
        <f>IFERROR(INDEX('Annex 1 LV, HV and UMS charges'!$B$12:$B$43,MATCH($A97,'Annex 1 LV, HV and UMS charges'!$A$12:$A$43,0)),IF(INDEX('Annex 4 LDNO charges'!$B$11:$B$201,MATCH($A97,'Annex 4 LDNO charges'!$A$11:$A$201,0))=0,"",INDEX('Annex 4 LDNO charges'!$B$11:$B$201,MATCH($A97,'Annex 4 LDNO charges'!$A$11:$A$201,0))))</f>
        <v>K32</v>
      </c>
      <c r="C97" s="181">
        <f>IFERROR(INDEX('Annex 1 LV, HV and UMS charges'!$C$12:$C$43,MATCH($A97,'Annex 1 LV, HV and UMS charges'!$A$12:$A$43,0)),INDEX('Annex 4 LDNO charges'!$C$12:$C$201,MATCH($A97,'Annex 4 LDNO charges'!$A$12:$A$201,0)))</f>
        <v>0</v>
      </c>
      <c r="D97" s="173"/>
      <c r="E97" s="173"/>
      <c r="F97" s="172">
        <v>6.5258362970998907E-2</v>
      </c>
    </row>
    <row r="98" spans="1:6" ht="27.75" customHeight="1" x14ac:dyDescent="0.2">
      <c r="A98" s="156" t="s">
        <v>616</v>
      </c>
      <c r="B98" s="33" t="str">
        <f>IFERROR(INDEX('Annex 1 LV, HV and UMS charges'!$B$12:$B$43,MATCH($A98,'Annex 1 LV, HV and UMS charges'!$A$12:$A$43,0)),IF(INDEX('Annex 4 LDNO charges'!$B$11:$B$201,MATCH($A98,'Annex 4 LDNO charges'!$A$11:$A$201,0))=0,"",INDEX('Annex 4 LDNO charges'!$B$11:$B$201,MATCH($A98,'Annex 4 LDNO charges'!$A$11:$A$201,0))))</f>
        <v>K33</v>
      </c>
      <c r="C98" s="181">
        <f>IFERROR(INDEX('Annex 1 LV, HV and UMS charges'!$C$12:$C$43,MATCH($A98,'Annex 1 LV, HV and UMS charges'!$A$12:$A$43,0)),INDEX('Annex 4 LDNO charges'!$C$12:$C$201,MATCH($A98,'Annex 4 LDNO charges'!$A$12:$A$201,0)))</f>
        <v>0</v>
      </c>
      <c r="D98" s="173"/>
      <c r="E98" s="173"/>
      <c r="F98" s="172">
        <v>6.5258362970998907E-2</v>
      </c>
    </row>
    <row r="99" spans="1:6" ht="27.75" customHeight="1" x14ac:dyDescent="0.2">
      <c r="A99" s="156" t="s">
        <v>617</v>
      </c>
      <c r="B99" s="33" t="str">
        <f>IFERROR(INDEX('Annex 1 LV, HV and UMS charges'!$B$12:$B$43,MATCH($A99,'Annex 1 LV, HV and UMS charges'!$A$12:$A$43,0)),IF(INDEX('Annex 4 LDNO charges'!$B$11:$B$201,MATCH($A99,'Annex 4 LDNO charges'!$A$11:$A$201,0))=0,"",INDEX('Annex 4 LDNO charges'!$B$11:$B$201,MATCH($A99,'Annex 4 LDNO charges'!$A$11:$A$201,0))))</f>
        <v>K34</v>
      </c>
      <c r="C99" s="181">
        <f>IFERROR(INDEX('Annex 1 LV, HV and UMS charges'!$C$12:$C$43,MATCH($A99,'Annex 1 LV, HV and UMS charges'!$A$12:$A$43,0)),INDEX('Annex 4 LDNO charges'!$C$12:$C$201,MATCH($A99,'Annex 4 LDNO charges'!$A$12:$A$201,0)))</f>
        <v>0</v>
      </c>
      <c r="D99" s="173"/>
      <c r="E99" s="173"/>
      <c r="F99" s="172">
        <v>6.5258362970998907E-2</v>
      </c>
    </row>
    <row r="100" spans="1:6" ht="27.75" customHeight="1" x14ac:dyDescent="0.2">
      <c r="A100" s="156" t="s">
        <v>574</v>
      </c>
      <c r="B100" s="33" t="str">
        <f>IFERROR(INDEX('Annex 1 LV, HV and UMS charges'!$B$12:$B$43,MATCH($A100,'Annex 1 LV, HV and UMS charges'!$A$12:$A$43,0)),IF(INDEX('Annex 4 LDNO charges'!$B$11:$B$201,MATCH($A100,'Annex 4 LDNO charges'!$A$11:$A$201,0))=0,"",INDEX('Annex 4 LDNO charges'!$B$11:$B$201,MATCH($A100,'Annex 4 LDNO charges'!$A$11:$A$201,0))))</f>
        <v>A40</v>
      </c>
      <c r="C100" s="181" t="str">
        <f>IFERROR(INDEX('Annex 1 LV, HV and UMS charges'!$C$12:$C$43,MATCH($A100,'Annex 1 LV, HV and UMS charges'!$A$12:$A$43,0)),INDEX('Annex 4 LDNO charges'!$C$12:$C$201,MATCH($A100,'Annex 4 LDNO charges'!$A$12:$A$201,0)))</f>
        <v>0, 1, 2</v>
      </c>
      <c r="D100" s="172">
        <v>5.7538427037113801E-2</v>
      </c>
      <c r="E100" s="172">
        <v>9.4536320191825496</v>
      </c>
      <c r="F100" s="172">
        <v>6.5258362970998907E-2</v>
      </c>
    </row>
    <row r="101" spans="1:6" ht="27.75" customHeight="1" x14ac:dyDescent="0.2">
      <c r="A101" s="156" t="s">
        <v>576</v>
      </c>
      <c r="B101" s="33" t="str">
        <f>IFERROR(INDEX('Annex 1 LV, HV and UMS charges'!$B$12:$B$43,MATCH($A101,'Annex 1 LV, HV and UMS charges'!$A$12:$A$43,0)),IF(INDEX('Annex 4 LDNO charges'!$B$11:$B$201,MATCH($A101,'Annex 4 LDNO charges'!$A$11:$A$201,0))=0,"",INDEX('Annex 4 LDNO charges'!$B$11:$B$201,MATCH($A101,'Annex 4 LDNO charges'!$A$11:$A$201,0))))</f>
        <v>C40</v>
      </c>
      <c r="C101" s="181" t="str">
        <f>IFERROR(INDEX('Annex 1 LV, HV and UMS charges'!$C$12:$C$43,MATCH($A101,'Annex 1 LV, HV and UMS charges'!$A$12:$A$43,0)),INDEX('Annex 4 LDNO charges'!$C$12:$C$201,MATCH($A101,'Annex 4 LDNO charges'!$A$12:$A$201,0)))</f>
        <v>0, 3, 4, 5-8</v>
      </c>
      <c r="D101" s="173"/>
      <c r="E101" s="173"/>
      <c r="F101" s="172">
        <v>6.5258362970998907E-2</v>
      </c>
    </row>
    <row r="102" spans="1:6" ht="27.75" customHeight="1" x14ac:dyDescent="0.2">
      <c r="A102" s="156" t="s">
        <v>577</v>
      </c>
      <c r="B102" s="33" t="str">
        <f>IFERROR(INDEX('Annex 1 LV, HV and UMS charges'!$B$12:$B$43,MATCH($A102,'Annex 1 LV, HV and UMS charges'!$A$12:$A$43,0)),IF(INDEX('Annex 4 LDNO charges'!$B$11:$B$201,MATCH($A102,'Annex 4 LDNO charges'!$A$11:$A$201,0))=0,"",INDEX('Annex 4 LDNO charges'!$B$11:$B$201,MATCH($A102,'Annex 4 LDNO charges'!$A$11:$A$201,0))))</f>
        <v>C41</v>
      </c>
      <c r="C102" s="181" t="str">
        <f>IFERROR(INDEX('Annex 1 LV, HV and UMS charges'!$C$12:$C$43,MATCH($A102,'Annex 1 LV, HV and UMS charges'!$A$12:$A$43,0)),INDEX('Annex 4 LDNO charges'!$C$12:$C$201,MATCH($A102,'Annex 4 LDNO charges'!$A$12:$A$201,0)))</f>
        <v>0, 3, 4, 5-8</v>
      </c>
      <c r="D102" s="173"/>
      <c r="E102" s="173"/>
      <c r="F102" s="172">
        <v>6.5258362970998907E-2</v>
      </c>
    </row>
    <row r="103" spans="1:6" ht="27.75" customHeight="1" x14ac:dyDescent="0.2">
      <c r="A103" s="156" t="s">
        <v>578</v>
      </c>
      <c r="B103" s="33" t="str">
        <f>IFERROR(INDEX('Annex 1 LV, HV and UMS charges'!$B$12:$B$43,MATCH($A103,'Annex 1 LV, HV and UMS charges'!$A$12:$A$43,0)),IF(INDEX('Annex 4 LDNO charges'!$B$11:$B$201,MATCH($A103,'Annex 4 LDNO charges'!$A$11:$A$201,0))=0,"",INDEX('Annex 4 LDNO charges'!$B$11:$B$201,MATCH($A103,'Annex 4 LDNO charges'!$A$11:$A$201,0))))</f>
        <v>C42</v>
      </c>
      <c r="C103" s="181" t="str">
        <f>IFERROR(INDEX('Annex 1 LV, HV and UMS charges'!$C$12:$C$43,MATCH($A103,'Annex 1 LV, HV and UMS charges'!$A$12:$A$43,0)),INDEX('Annex 4 LDNO charges'!$C$12:$C$201,MATCH($A103,'Annex 4 LDNO charges'!$A$12:$A$201,0)))</f>
        <v>0, 3, 4, 5-8</v>
      </c>
      <c r="D103" s="173"/>
      <c r="E103" s="173"/>
      <c r="F103" s="172">
        <v>6.5258362970998907E-2</v>
      </c>
    </row>
    <row r="104" spans="1:6" ht="27.75" customHeight="1" x14ac:dyDescent="0.2">
      <c r="A104" s="156" t="s">
        <v>579</v>
      </c>
      <c r="B104" s="33" t="str">
        <f>IFERROR(INDEX('Annex 1 LV, HV and UMS charges'!$B$12:$B$43,MATCH($A104,'Annex 1 LV, HV and UMS charges'!$A$12:$A$43,0)),IF(INDEX('Annex 4 LDNO charges'!$B$11:$B$201,MATCH($A104,'Annex 4 LDNO charges'!$A$11:$A$201,0))=0,"",INDEX('Annex 4 LDNO charges'!$B$11:$B$201,MATCH($A104,'Annex 4 LDNO charges'!$A$11:$A$201,0))))</f>
        <v>C43</v>
      </c>
      <c r="C104" s="181" t="str">
        <f>IFERROR(INDEX('Annex 1 LV, HV and UMS charges'!$C$12:$C$43,MATCH($A104,'Annex 1 LV, HV and UMS charges'!$A$12:$A$43,0)),INDEX('Annex 4 LDNO charges'!$C$12:$C$201,MATCH($A104,'Annex 4 LDNO charges'!$A$12:$A$201,0)))</f>
        <v>0, 3, 4, 5-8</v>
      </c>
      <c r="D104" s="173"/>
      <c r="E104" s="173"/>
      <c r="F104" s="172">
        <v>6.5258362970998907E-2</v>
      </c>
    </row>
    <row r="105" spans="1:6" ht="27.75" customHeight="1" x14ac:dyDescent="0.2">
      <c r="A105" s="156" t="s">
        <v>580</v>
      </c>
      <c r="B105" s="33" t="str">
        <f>IFERROR(INDEX('Annex 1 LV, HV and UMS charges'!$B$12:$B$43,MATCH($A105,'Annex 1 LV, HV and UMS charges'!$A$12:$A$43,0)),IF(INDEX('Annex 4 LDNO charges'!$B$11:$B$201,MATCH($A105,'Annex 4 LDNO charges'!$A$11:$A$201,0))=0,"",INDEX('Annex 4 LDNO charges'!$B$11:$B$201,MATCH($A105,'Annex 4 LDNO charges'!$A$11:$A$201,0))))</f>
        <v>C44</v>
      </c>
      <c r="C105" s="181" t="str">
        <f>IFERROR(INDEX('Annex 1 LV, HV and UMS charges'!$C$12:$C$43,MATCH($A105,'Annex 1 LV, HV and UMS charges'!$A$12:$A$43,0)),INDEX('Annex 4 LDNO charges'!$C$12:$C$201,MATCH($A105,'Annex 4 LDNO charges'!$A$12:$A$201,0)))</f>
        <v>0, 3, 4, 5-8</v>
      </c>
      <c r="D105" s="173"/>
      <c r="E105" s="173"/>
      <c r="F105" s="172">
        <v>6.5258362970998907E-2</v>
      </c>
    </row>
    <row r="106" spans="1:6" ht="27.75" customHeight="1" x14ac:dyDescent="0.2">
      <c r="A106" s="156" t="s">
        <v>581</v>
      </c>
      <c r="B106" s="33" t="str">
        <f>IFERROR(INDEX('Annex 1 LV, HV and UMS charges'!$B$12:$B$43,MATCH($A106,'Annex 1 LV, HV and UMS charges'!$A$12:$A$43,0)),IF(INDEX('Annex 4 LDNO charges'!$B$11:$B$201,MATCH($A106,'Annex 4 LDNO charges'!$A$11:$A$201,0))=0,"",INDEX('Annex 4 LDNO charges'!$B$11:$B$201,MATCH($A106,'Annex 4 LDNO charges'!$A$11:$A$201,0))))</f>
        <v>E40</v>
      </c>
      <c r="C106" s="181">
        <f>IFERROR(INDEX('Annex 1 LV, HV and UMS charges'!$C$12:$C$43,MATCH($A106,'Annex 1 LV, HV and UMS charges'!$A$12:$A$43,0)),INDEX('Annex 4 LDNO charges'!$C$12:$C$201,MATCH($A106,'Annex 4 LDNO charges'!$A$12:$A$201,0)))</f>
        <v>0</v>
      </c>
      <c r="D106" s="173"/>
      <c r="E106" s="173"/>
      <c r="F106" s="172">
        <v>6.5258362970998907E-2</v>
      </c>
    </row>
    <row r="107" spans="1:6" ht="27.75" customHeight="1" x14ac:dyDescent="0.2">
      <c r="A107" s="156" t="s">
        <v>582</v>
      </c>
      <c r="B107" s="33" t="str">
        <f>IFERROR(INDEX('Annex 1 LV, HV and UMS charges'!$B$12:$B$43,MATCH($A107,'Annex 1 LV, HV and UMS charges'!$A$12:$A$43,0)),IF(INDEX('Annex 4 LDNO charges'!$B$11:$B$201,MATCH($A107,'Annex 4 LDNO charges'!$A$11:$A$201,0))=0,"",INDEX('Annex 4 LDNO charges'!$B$11:$B$201,MATCH($A107,'Annex 4 LDNO charges'!$A$11:$A$201,0))))</f>
        <v>E41</v>
      </c>
      <c r="C107" s="181">
        <f>IFERROR(INDEX('Annex 1 LV, HV and UMS charges'!$C$12:$C$43,MATCH($A107,'Annex 1 LV, HV and UMS charges'!$A$12:$A$43,0)),INDEX('Annex 4 LDNO charges'!$C$12:$C$201,MATCH($A107,'Annex 4 LDNO charges'!$A$12:$A$201,0)))</f>
        <v>0</v>
      </c>
      <c r="D107" s="173"/>
      <c r="E107" s="173"/>
      <c r="F107" s="172">
        <v>6.5258362970998907E-2</v>
      </c>
    </row>
    <row r="108" spans="1:6" ht="27.75" customHeight="1" x14ac:dyDescent="0.2">
      <c r="A108" s="156" t="s">
        <v>583</v>
      </c>
      <c r="B108" s="33" t="str">
        <f>IFERROR(INDEX('Annex 1 LV, HV and UMS charges'!$B$12:$B$43,MATCH($A108,'Annex 1 LV, HV and UMS charges'!$A$12:$A$43,0)),IF(INDEX('Annex 4 LDNO charges'!$B$11:$B$201,MATCH($A108,'Annex 4 LDNO charges'!$A$11:$A$201,0))=0,"",INDEX('Annex 4 LDNO charges'!$B$11:$B$201,MATCH($A108,'Annex 4 LDNO charges'!$A$11:$A$201,0))))</f>
        <v>E42</v>
      </c>
      <c r="C108" s="181">
        <f>IFERROR(INDEX('Annex 1 LV, HV and UMS charges'!$C$12:$C$43,MATCH($A108,'Annex 1 LV, HV and UMS charges'!$A$12:$A$43,0)),INDEX('Annex 4 LDNO charges'!$C$12:$C$201,MATCH($A108,'Annex 4 LDNO charges'!$A$12:$A$201,0)))</f>
        <v>0</v>
      </c>
      <c r="D108" s="173"/>
      <c r="E108" s="173"/>
      <c r="F108" s="172">
        <v>6.5258362970998907E-2</v>
      </c>
    </row>
    <row r="109" spans="1:6" ht="27.75" customHeight="1" x14ac:dyDescent="0.2">
      <c r="A109" s="156" t="s">
        <v>584</v>
      </c>
      <c r="B109" s="33" t="str">
        <f>IFERROR(INDEX('Annex 1 LV, HV and UMS charges'!$B$12:$B$43,MATCH($A109,'Annex 1 LV, HV and UMS charges'!$A$12:$A$43,0)),IF(INDEX('Annex 4 LDNO charges'!$B$11:$B$201,MATCH($A109,'Annex 4 LDNO charges'!$A$11:$A$201,0))=0,"",INDEX('Annex 4 LDNO charges'!$B$11:$B$201,MATCH($A109,'Annex 4 LDNO charges'!$A$11:$A$201,0))))</f>
        <v>E43</v>
      </c>
      <c r="C109" s="181">
        <f>IFERROR(INDEX('Annex 1 LV, HV and UMS charges'!$C$12:$C$43,MATCH($A109,'Annex 1 LV, HV and UMS charges'!$A$12:$A$43,0)),INDEX('Annex 4 LDNO charges'!$C$12:$C$201,MATCH($A109,'Annex 4 LDNO charges'!$A$12:$A$201,0)))</f>
        <v>0</v>
      </c>
      <c r="D109" s="173"/>
      <c r="E109" s="173"/>
      <c r="F109" s="172">
        <v>6.5258362970998907E-2</v>
      </c>
    </row>
    <row r="110" spans="1:6" ht="27.75" customHeight="1" x14ac:dyDescent="0.2">
      <c r="A110" s="156" t="s">
        <v>585</v>
      </c>
      <c r="B110" s="33" t="str">
        <f>IFERROR(INDEX('Annex 1 LV, HV and UMS charges'!$B$12:$B$43,MATCH($A110,'Annex 1 LV, HV and UMS charges'!$A$12:$A$43,0)),IF(INDEX('Annex 4 LDNO charges'!$B$11:$B$201,MATCH($A110,'Annex 4 LDNO charges'!$A$11:$A$201,0))=0,"",INDEX('Annex 4 LDNO charges'!$B$11:$B$201,MATCH($A110,'Annex 4 LDNO charges'!$A$11:$A$201,0))))</f>
        <v>E44</v>
      </c>
      <c r="C110" s="181">
        <f>IFERROR(INDEX('Annex 1 LV, HV and UMS charges'!$C$12:$C$43,MATCH($A110,'Annex 1 LV, HV and UMS charges'!$A$12:$A$43,0)),INDEX('Annex 4 LDNO charges'!$C$12:$C$201,MATCH($A110,'Annex 4 LDNO charges'!$A$12:$A$201,0)))</f>
        <v>0</v>
      </c>
      <c r="D110" s="173"/>
      <c r="E110" s="173"/>
      <c r="F110" s="172">
        <v>6.5258362970998907E-2</v>
      </c>
    </row>
    <row r="111" spans="1:6" ht="27.75" customHeight="1" x14ac:dyDescent="0.2">
      <c r="A111" s="156" t="s">
        <v>586</v>
      </c>
      <c r="B111" s="33" t="str">
        <f>IFERROR(INDEX('Annex 1 LV, HV and UMS charges'!$B$12:$B$43,MATCH($A111,'Annex 1 LV, HV and UMS charges'!$A$12:$A$43,0)),IF(INDEX('Annex 4 LDNO charges'!$B$11:$B$201,MATCH($A111,'Annex 4 LDNO charges'!$A$11:$A$201,0))=0,"",INDEX('Annex 4 LDNO charges'!$B$11:$B$201,MATCH($A111,'Annex 4 LDNO charges'!$A$11:$A$201,0))))</f>
        <v>J40</v>
      </c>
      <c r="C111" s="181">
        <f>IFERROR(INDEX('Annex 1 LV, HV and UMS charges'!$C$12:$C$43,MATCH($A111,'Annex 1 LV, HV and UMS charges'!$A$12:$A$43,0)),INDEX('Annex 4 LDNO charges'!$C$12:$C$201,MATCH($A111,'Annex 4 LDNO charges'!$A$12:$A$201,0)))</f>
        <v>0</v>
      </c>
      <c r="D111" s="173"/>
      <c r="E111" s="173"/>
      <c r="F111" s="172">
        <v>6.5258362970998907E-2</v>
      </c>
    </row>
    <row r="112" spans="1:6" ht="27.75" customHeight="1" x14ac:dyDescent="0.2">
      <c r="A112" s="156" t="s">
        <v>587</v>
      </c>
      <c r="B112" s="33" t="str">
        <f>IFERROR(INDEX('Annex 1 LV, HV and UMS charges'!$B$12:$B$43,MATCH($A112,'Annex 1 LV, HV and UMS charges'!$A$12:$A$43,0)),IF(INDEX('Annex 4 LDNO charges'!$B$11:$B$201,MATCH($A112,'Annex 4 LDNO charges'!$A$11:$A$201,0))=0,"",INDEX('Annex 4 LDNO charges'!$B$11:$B$201,MATCH($A112,'Annex 4 LDNO charges'!$A$11:$A$201,0))))</f>
        <v>J41</v>
      </c>
      <c r="C112" s="181">
        <f>IFERROR(INDEX('Annex 1 LV, HV and UMS charges'!$C$12:$C$43,MATCH($A112,'Annex 1 LV, HV and UMS charges'!$A$12:$A$43,0)),INDEX('Annex 4 LDNO charges'!$C$12:$C$201,MATCH($A112,'Annex 4 LDNO charges'!$A$12:$A$201,0)))</f>
        <v>0</v>
      </c>
      <c r="D112" s="173"/>
      <c r="E112" s="173"/>
      <c r="F112" s="172">
        <v>6.5258362970998907E-2</v>
      </c>
    </row>
    <row r="113" spans="1:6" ht="27.75" customHeight="1" x14ac:dyDescent="0.2">
      <c r="A113" s="156" t="s">
        <v>588</v>
      </c>
      <c r="B113" s="33" t="str">
        <f>IFERROR(INDEX('Annex 1 LV, HV and UMS charges'!$B$12:$B$43,MATCH($A113,'Annex 1 LV, HV and UMS charges'!$A$12:$A$43,0)),IF(INDEX('Annex 4 LDNO charges'!$B$11:$B$201,MATCH($A113,'Annex 4 LDNO charges'!$A$11:$A$201,0))=0,"",INDEX('Annex 4 LDNO charges'!$B$11:$B$201,MATCH($A113,'Annex 4 LDNO charges'!$A$11:$A$201,0))))</f>
        <v>J42</v>
      </c>
      <c r="C113" s="181">
        <f>IFERROR(INDEX('Annex 1 LV, HV and UMS charges'!$C$12:$C$43,MATCH($A113,'Annex 1 LV, HV and UMS charges'!$A$12:$A$43,0)),INDEX('Annex 4 LDNO charges'!$C$12:$C$201,MATCH($A113,'Annex 4 LDNO charges'!$A$12:$A$201,0)))</f>
        <v>0</v>
      </c>
      <c r="D113" s="173"/>
      <c r="E113" s="173"/>
      <c r="F113" s="172">
        <v>6.5258362970998907E-2</v>
      </c>
    </row>
    <row r="114" spans="1:6" ht="27.75" customHeight="1" x14ac:dyDescent="0.2">
      <c r="A114" s="156" t="s">
        <v>589</v>
      </c>
      <c r="B114" s="33" t="str">
        <f>IFERROR(INDEX('Annex 1 LV, HV and UMS charges'!$B$12:$B$43,MATCH($A114,'Annex 1 LV, HV and UMS charges'!$A$12:$A$43,0)),IF(INDEX('Annex 4 LDNO charges'!$B$11:$B$201,MATCH($A114,'Annex 4 LDNO charges'!$A$11:$A$201,0))=0,"",INDEX('Annex 4 LDNO charges'!$B$11:$B$201,MATCH($A114,'Annex 4 LDNO charges'!$A$11:$A$201,0))))</f>
        <v>J43</v>
      </c>
      <c r="C114" s="181">
        <f>IFERROR(INDEX('Annex 1 LV, HV and UMS charges'!$C$12:$C$43,MATCH($A114,'Annex 1 LV, HV and UMS charges'!$A$12:$A$43,0)),INDEX('Annex 4 LDNO charges'!$C$12:$C$201,MATCH($A114,'Annex 4 LDNO charges'!$A$12:$A$201,0)))</f>
        <v>0</v>
      </c>
      <c r="D114" s="173"/>
      <c r="E114" s="173"/>
      <c r="F114" s="172">
        <v>6.5258362970998907E-2</v>
      </c>
    </row>
    <row r="115" spans="1:6" ht="27.75" customHeight="1" x14ac:dyDescent="0.2">
      <c r="A115" s="156" t="s">
        <v>590</v>
      </c>
      <c r="B115" s="33" t="str">
        <f>IFERROR(INDEX('Annex 1 LV, HV and UMS charges'!$B$12:$B$43,MATCH($A115,'Annex 1 LV, HV and UMS charges'!$A$12:$A$43,0)),IF(INDEX('Annex 4 LDNO charges'!$B$11:$B$201,MATCH($A115,'Annex 4 LDNO charges'!$A$11:$A$201,0))=0,"",INDEX('Annex 4 LDNO charges'!$B$11:$B$201,MATCH($A115,'Annex 4 LDNO charges'!$A$11:$A$201,0))))</f>
        <v>J44</v>
      </c>
      <c r="C115" s="181">
        <f>IFERROR(INDEX('Annex 1 LV, HV and UMS charges'!$C$12:$C$43,MATCH($A115,'Annex 1 LV, HV and UMS charges'!$A$12:$A$43,0)),INDEX('Annex 4 LDNO charges'!$C$12:$C$201,MATCH($A115,'Annex 4 LDNO charges'!$A$12:$A$201,0)))</f>
        <v>0</v>
      </c>
      <c r="D115" s="173"/>
      <c r="E115" s="173"/>
      <c r="F115" s="172">
        <v>6.5258362970998907E-2</v>
      </c>
    </row>
    <row r="116" spans="1:6" ht="27.75" customHeight="1" x14ac:dyDescent="0.2">
      <c r="A116" s="156" t="s">
        <v>591</v>
      </c>
      <c r="B116" s="33" t="str">
        <f>IFERROR(INDEX('Annex 1 LV, HV and UMS charges'!$B$12:$B$43,MATCH($A116,'Annex 1 LV, HV and UMS charges'!$A$12:$A$43,0)),IF(INDEX('Annex 4 LDNO charges'!$B$11:$B$201,MATCH($A116,'Annex 4 LDNO charges'!$A$11:$A$201,0))=0,"",INDEX('Annex 4 LDNO charges'!$B$11:$B$201,MATCH($A116,'Annex 4 LDNO charges'!$A$11:$A$201,0))))</f>
        <v>K40</v>
      </c>
      <c r="C116" s="181">
        <f>IFERROR(INDEX('Annex 1 LV, HV and UMS charges'!$C$12:$C$43,MATCH($A116,'Annex 1 LV, HV and UMS charges'!$A$12:$A$43,0)),INDEX('Annex 4 LDNO charges'!$C$12:$C$201,MATCH($A116,'Annex 4 LDNO charges'!$A$12:$A$201,0)))</f>
        <v>0</v>
      </c>
      <c r="D116" s="173"/>
      <c r="E116" s="173"/>
      <c r="F116" s="172">
        <v>6.5258362970998907E-2</v>
      </c>
    </row>
    <row r="117" spans="1:6" ht="27.75" customHeight="1" x14ac:dyDescent="0.2">
      <c r="A117" s="156" t="s">
        <v>592</v>
      </c>
      <c r="B117" s="33" t="str">
        <f>IFERROR(INDEX('Annex 1 LV, HV and UMS charges'!$B$12:$B$43,MATCH($A117,'Annex 1 LV, HV and UMS charges'!$A$12:$A$43,0)),IF(INDEX('Annex 4 LDNO charges'!$B$11:$B$201,MATCH($A117,'Annex 4 LDNO charges'!$A$11:$A$201,0))=0,"",INDEX('Annex 4 LDNO charges'!$B$11:$B$201,MATCH($A117,'Annex 4 LDNO charges'!$A$11:$A$201,0))))</f>
        <v>K41</v>
      </c>
      <c r="C117" s="181">
        <f>IFERROR(INDEX('Annex 1 LV, HV and UMS charges'!$C$12:$C$43,MATCH($A117,'Annex 1 LV, HV and UMS charges'!$A$12:$A$43,0)),INDEX('Annex 4 LDNO charges'!$C$12:$C$201,MATCH($A117,'Annex 4 LDNO charges'!$A$12:$A$201,0)))</f>
        <v>0</v>
      </c>
      <c r="D117" s="173"/>
      <c r="E117" s="173"/>
      <c r="F117" s="172">
        <v>6.5258362970998907E-2</v>
      </c>
    </row>
    <row r="118" spans="1:6" ht="27.75" customHeight="1" x14ac:dyDescent="0.2">
      <c r="A118" s="156" t="s">
        <v>593</v>
      </c>
      <c r="B118" s="33" t="str">
        <f>IFERROR(INDEX('Annex 1 LV, HV and UMS charges'!$B$12:$B$43,MATCH($A118,'Annex 1 LV, HV and UMS charges'!$A$12:$A$43,0)),IF(INDEX('Annex 4 LDNO charges'!$B$11:$B$201,MATCH($A118,'Annex 4 LDNO charges'!$A$11:$A$201,0))=0,"",INDEX('Annex 4 LDNO charges'!$B$11:$B$201,MATCH($A118,'Annex 4 LDNO charges'!$A$11:$A$201,0))))</f>
        <v>K42</v>
      </c>
      <c r="C118" s="181">
        <f>IFERROR(INDEX('Annex 1 LV, HV and UMS charges'!$C$12:$C$43,MATCH($A118,'Annex 1 LV, HV and UMS charges'!$A$12:$A$43,0)),INDEX('Annex 4 LDNO charges'!$C$12:$C$201,MATCH($A118,'Annex 4 LDNO charges'!$A$12:$A$201,0)))</f>
        <v>0</v>
      </c>
      <c r="D118" s="173"/>
      <c r="E118" s="173"/>
      <c r="F118" s="172">
        <v>6.5258362970998907E-2</v>
      </c>
    </row>
    <row r="119" spans="1:6" ht="27.75" customHeight="1" x14ac:dyDescent="0.2">
      <c r="A119" s="156" t="s">
        <v>594</v>
      </c>
      <c r="B119" s="33" t="str">
        <f>IFERROR(INDEX('Annex 1 LV, HV and UMS charges'!$B$12:$B$43,MATCH($A119,'Annex 1 LV, HV and UMS charges'!$A$12:$A$43,0)),IF(INDEX('Annex 4 LDNO charges'!$B$11:$B$201,MATCH($A119,'Annex 4 LDNO charges'!$A$11:$A$201,0))=0,"",INDEX('Annex 4 LDNO charges'!$B$11:$B$201,MATCH($A119,'Annex 4 LDNO charges'!$A$11:$A$201,0))))</f>
        <v>K43</v>
      </c>
      <c r="C119" s="181">
        <f>IFERROR(INDEX('Annex 1 LV, HV and UMS charges'!$C$12:$C$43,MATCH($A119,'Annex 1 LV, HV and UMS charges'!$A$12:$A$43,0)),INDEX('Annex 4 LDNO charges'!$C$12:$C$201,MATCH($A119,'Annex 4 LDNO charges'!$A$12:$A$201,0)))</f>
        <v>0</v>
      </c>
      <c r="D119" s="173"/>
      <c r="E119" s="173"/>
      <c r="F119" s="172">
        <v>6.5258362970998907E-2</v>
      </c>
    </row>
    <row r="120" spans="1:6" ht="27.75" customHeight="1" x14ac:dyDescent="0.2">
      <c r="A120" s="156" t="s">
        <v>595</v>
      </c>
      <c r="B120" s="33" t="str">
        <f>IFERROR(INDEX('Annex 1 LV, HV and UMS charges'!$B$12:$B$43,MATCH($A120,'Annex 1 LV, HV and UMS charges'!$A$12:$A$43,0)),IF(INDEX('Annex 4 LDNO charges'!$B$11:$B$201,MATCH($A120,'Annex 4 LDNO charges'!$A$11:$A$201,0))=0,"",INDEX('Annex 4 LDNO charges'!$B$11:$B$201,MATCH($A120,'Annex 4 LDNO charges'!$A$11:$A$201,0))))</f>
        <v>K44</v>
      </c>
      <c r="C120" s="181">
        <f>IFERROR(INDEX('Annex 1 LV, HV and UMS charges'!$C$12:$C$43,MATCH($A120,'Annex 1 LV, HV and UMS charges'!$A$12:$A$43,0)),INDEX('Annex 4 LDNO charges'!$C$12:$C$201,MATCH($A120,'Annex 4 LDNO charges'!$A$12:$A$201,0)))</f>
        <v>0</v>
      </c>
      <c r="D120" s="173"/>
      <c r="E120" s="173"/>
      <c r="F120" s="172">
        <v>6.5258362970998907E-2</v>
      </c>
    </row>
    <row r="121" spans="1:6" ht="27.75" customHeight="1" x14ac:dyDescent="0.2">
      <c r="A121" s="156" t="s">
        <v>552</v>
      </c>
      <c r="B121" s="33" t="str">
        <f>IFERROR(INDEX('Annex 1 LV, HV and UMS charges'!$B$12:$B$43,MATCH($A121,'Annex 1 LV, HV and UMS charges'!$A$12:$A$43,0)),IF(INDEX('Annex 4 LDNO charges'!$B$11:$B$201,MATCH($A121,'Annex 4 LDNO charges'!$A$11:$A$201,0))=0,"",INDEX('Annex 4 LDNO charges'!$B$11:$B$201,MATCH($A121,'Annex 4 LDNO charges'!$A$11:$A$201,0))))</f>
        <v>A50</v>
      </c>
      <c r="C121" s="181" t="str">
        <f>IFERROR(INDEX('Annex 1 LV, HV and UMS charges'!$C$12:$C$43,MATCH($A121,'Annex 1 LV, HV and UMS charges'!$A$12:$A$43,0)),INDEX('Annex 4 LDNO charges'!$C$12:$C$201,MATCH($A121,'Annex 4 LDNO charges'!$A$12:$A$201,0)))</f>
        <v>0, 1, 2</v>
      </c>
      <c r="D121" s="172">
        <v>5.7538427037113801E-2</v>
      </c>
      <c r="E121" s="172">
        <v>9.4536320191825496</v>
      </c>
      <c r="F121" s="172">
        <v>6.5258362970998907E-2</v>
      </c>
    </row>
    <row r="122" spans="1:6" ht="27.75" customHeight="1" x14ac:dyDescent="0.2">
      <c r="A122" s="156" t="s">
        <v>554</v>
      </c>
      <c r="B122" s="33" t="str">
        <f>IFERROR(INDEX('Annex 1 LV, HV and UMS charges'!$B$12:$B$43,MATCH($A122,'Annex 1 LV, HV and UMS charges'!$A$12:$A$43,0)),IF(INDEX('Annex 4 LDNO charges'!$B$11:$B$201,MATCH($A122,'Annex 4 LDNO charges'!$A$11:$A$201,0))=0,"",INDEX('Annex 4 LDNO charges'!$B$11:$B$201,MATCH($A122,'Annex 4 LDNO charges'!$A$11:$A$201,0))))</f>
        <v>C50</v>
      </c>
      <c r="C122" s="181" t="str">
        <f>IFERROR(INDEX('Annex 1 LV, HV and UMS charges'!$C$12:$C$43,MATCH($A122,'Annex 1 LV, HV and UMS charges'!$A$12:$A$43,0)),INDEX('Annex 4 LDNO charges'!$C$12:$C$201,MATCH($A122,'Annex 4 LDNO charges'!$A$12:$A$201,0)))</f>
        <v>0, 3, 4, 5-8</v>
      </c>
      <c r="D122" s="173"/>
      <c r="E122" s="173"/>
      <c r="F122" s="172">
        <v>6.5258362970998907E-2</v>
      </c>
    </row>
    <row r="123" spans="1:6" ht="27.75" customHeight="1" x14ac:dyDescent="0.2">
      <c r="A123" s="156" t="s">
        <v>555</v>
      </c>
      <c r="B123" s="33" t="str">
        <f>IFERROR(INDEX('Annex 1 LV, HV and UMS charges'!$B$12:$B$43,MATCH($A123,'Annex 1 LV, HV and UMS charges'!$A$12:$A$43,0)),IF(INDEX('Annex 4 LDNO charges'!$B$11:$B$201,MATCH($A123,'Annex 4 LDNO charges'!$A$11:$A$201,0))=0,"",INDEX('Annex 4 LDNO charges'!$B$11:$B$201,MATCH($A123,'Annex 4 LDNO charges'!$A$11:$A$201,0))))</f>
        <v>C51</v>
      </c>
      <c r="C123" s="181" t="str">
        <f>IFERROR(INDEX('Annex 1 LV, HV and UMS charges'!$C$12:$C$43,MATCH($A123,'Annex 1 LV, HV and UMS charges'!$A$12:$A$43,0)),INDEX('Annex 4 LDNO charges'!$C$12:$C$201,MATCH($A123,'Annex 4 LDNO charges'!$A$12:$A$201,0)))</f>
        <v>0, 3, 4, 5-8</v>
      </c>
      <c r="D123" s="173"/>
      <c r="E123" s="173"/>
      <c r="F123" s="172">
        <v>6.5258362970998907E-2</v>
      </c>
    </row>
    <row r="124" spans="1:6" ht="27.75" customHeight="1" x14ac:dyDescent="0.2">
      <c r="A124" s="156" t="s">
        <v>556</v>
      </c>
      <c r="B124" s="33" t="str">
        <f>IFERROR(INDEX('Annex 1 LV, HV and UMS charges'!$B$12:$B$43,MATCH($A124,'Annex 1 LV, HV and UMS charges'!$A$12:$A$43,0)),IF(INDEX('Annex 4 LDNO charges'!$B$11:$B$201,MATCH($A124,'Annex 4 LDNO charges'!$A$11:$A$201,0))=0,"",INDEX('Annex 4 LDNO charges'!$B$11:$B$201,MATCH($A124,'Annex 4 LDNO charges'!$A$11:$A$201,0))))</f>
        <v>C52</v>
      </c>
      <c r="C124" s="181" t="str">
        <f>IFERROR(INDEX('Annex 1 LV, HV and UMS charges'!$C$12:$C$43,MATCH($A124,'Annex 1 LV, HV and UMS charges'!$A$12:$A$43,0)),INDEX('Annex 4 LDNO charges'!$C$12:$C$201,MATCH($A124,'Annex 4 LDNO charges'!$A$12:$A$201,0)))</f>
        <v>0, 3, 4, 5-8</v>
      </c>
      <c r="D124" s="173"/>
      <c r="E124" s="173"/>
      <c r="F124" s="172">
        <v>6.5258362970998907E-2</v>
      </c>
    </row>
    <row r="125" spans="1:6" ht="27.75" customHeight="1" x14ac:dyDescent="0.2">
      <c r="A125" s="156" t="s">
        <v>557</v>
      </c>
      <c r="B125" s="33" t="str">
        <f>IFERROR(INDEX('Annex 1 LV, HV and UMS charges'!$B$12:$B$43,MATCH($A125,'Annex 1 LV, HV and UMS charges'!$A$12:$A$43,0)),IF(INDEX('Annex 4 LDNO charges'!$B$11:$B$201,MATCH($A125,'Annex 4 LDNO charges'!$A$11:$A$201,0))=0,"",INDEX('Annex 4 LDNO charges'!$B$11:$B$201,MATCH($A125,'Annex 4 LDNO charges'!$A$11:$A$201,0))))</f>
        <v>C53</v>
      </c>
      <c r="C125" s="181" t="str">
        <f>IFERROR(INDEX('Annex 1 LV, HV and UMS charges'!$C$12:$C$43,MATCH($A125,'Annex 1 LV, HV and UMS charges'!$A$12:$A$43,0)),INDEX('Annex 4 LDNO charges'!$C$12:$C$201,MATCH($A125,'Annex 4 LDNO charges'!$A$12:$A$201,0)))</f>
        <v>0, 3, 4, 5-8</v>
      </c>
      <c r="D125" s="173"/>
      <c r="E125" s="173"/>
      <c r="F125" s="172">
        <v>6.5258362970998907E-2</v>
      </c>
    </row>
    <row r="126" spans="1:6" ht="27.75" customHeight="1" x14ac:dyDescent="0.2">
      <c r="A126" s="156" t="s">
        <v>558</v>
      </c>
      <c r="B126" s="33" t="str">
        <f>IFERROR(INDEX('Annex 1 LV, HV and UMS charges'!$B$12:$B$43,MATCH($A126,'Annex 1 LV, HV and UMS charges'!$A$12:$A$43,0)),IF(INDEX('Annex 4 LDNO charges'!$B$11:$B$201,MATCH($A126,'Annex 4 LDNO charges'!$A$11:$A$201,0))=0,"",INDEX('Annex 4 LDNO charges'!$B$11:$B$201,MATCH($A126,'Annex 4 LDNO charges'!$A$11:$A$201,0))))</f>
        <v>C54</v>
      </c>
      <c r="C126" s="181" t="str">
        <f>IFERROR(INDEX('Annex 1 LV, HV and UMS charges'!$C$12:$C$43,MATCH($A126,'Annex 1 LV, HV and UMS charges'!$A$12:$A$43,0)),INDEX('Annex 4 LDNO charges'!$C$12:$C$201,MATCH($A126,'Annex 4 LDNO charges'!$A$12:$A$201,0)))</f>
        <v>0, 3, 4, 5-8</v>
      </c>
      <c r="D126" s="173"/>
      <c r="E126" s="173"/>
      <c r="F126" s="172">
        <v>6.5258362970998907E-2</v>
      </c>
    </row>
    <row r="127" spans="1:6" ht="27.75" customHeight="1" x14ac:dyDescent="0.2">
      <c r="A127" s="156" t="s">
        <v>559</v>
      </c>
      <c r="B127" s="33" t="str">
        <f>IFERROR(INDEX('Annex 1 LV, HV and UMS charges'!$B$12:$B$43,MATCH($A127,'Annex 1 LV, HV and UMS charges'!$A$12:$A$43,0)),IF(INDEX('Annex 4 LDNO charges'!$B$11:$B$201,MATCH($A127,'Annex 4 LDNO charges'!$A$11:$A$201,0))=0,"",INDEX('Annex 4 LDNO charges'!$B$11:$B$201,MATCH($A127,'Annex 4 LDNO charges'!$A$11:$A$201,0))))</f>
        <v>E50</v>
      </c>
      <c r="C127" s="181">
        <f>IFERROR(INDEX('Annex 1 LV, HV and UMS charges'!$C$12:$C$43,MATCH($A127,'Annex 1 LV, HV and UMS charges'!$A$12:$A$43,0)),INDEX('Annex 4 LDNO charges'!$C$12:$C$201,MATCH($A127,'Annex 4 LDNO charges'!$A$12:$A$201,0)))</f>
        <v>0</v>
      </c>
      <c r="D127" s="173"/>
      <c r="E127" s="173"/>
      <c r="F127" s="172">
        <v>6.5258362970998907E-2</v>
      </c>
    </row>
    <row r="128" spans="1:6" ht="27.75" customHeight="1" x14ac:dyDescent="0.2">
      <c r="A128" s="156" t="s">
        <v>560</v>
      </c>
      <c r="B128" s="33" t="str">
        <f>IFERROR(INDEX('Annex 1 LV, HV and UMS charges'!$B$12:$B$43,MATCH($A128,'Annex 1 LV, HV and UMS charges'!$A$12:$A$43,0)),IF(INDEX('Annex 4 LDNO charges'!$B$11:$B$201,MATCH($A128,'Annex 4 LDNO charges'!$A$11:$A$201,0))=0,"",INDEX('Annex 4 LDNO charges'!$B$11:$B$201,MATCH($A128,'Annex 4 LDNO charges'!$A$11:$A$201,0))))</f>
        <v>E51</v>
      </c>
      <c r="C128" s="181">
        <f>IFERROR(INDEX('Annex 1 LV, HV and UMS charges'!$C$12:$C$43,MATCH($A128,'Annex 1 LV, HV and UMS charges'!$A$12:$A$43,0)),INDEX('Annex 4 LDNO charges'!$C$12:$C$201,MATCH($A128,'Annex 4 LDNO charges'!$A$12:$A$201,0)))</f>
        <v>0</v>
      </c>
      <c r="D128" s="173"/>
      <c r="E128" s="173"/>
      <c r="F128" s="172">
        <v>6.5258362970998907E-2</v>
      </c>
    </row>
    <row r="129" spans="1:6" ht="27.75" customHeight="1" x14ac:dyDescent="0.2">
      <c r="A129" s="156" t="s">
        <v>561</v>
      </c>
      <c r="B129" s="33" t="str">
        <f>IFERROR(INDEX('Annex 1 LV, HV and UMS charges'!$B$12:$B$43,MATCH($A129,'Annex 1 LV, HV and UMS charges'!$A$12:$A$43,0)),IF(INDEX('Annex 4 LDNO charges'!$B$11:$B$201,MATCH($A129,'Annex 4 LDNO charges'!$A$11:$A$201,0))=0,"",INDEX('Annex 4 LDNO charges'!$B$11:$B$201,MATCH($A129,'Annex 4 LDNO charges'!$A$11:$A$201,0))))</f>
        <v>E52</v>
      </c>
      <c r="C129" s="181">
        <f>IFERROR(INDEX('Annex 1 LV, HV and UMS charges'!$C$12:$C$43,MATCH($A129,'Annex 1 LV, HV and UMS charges'!$A$12:$A$43,0)),INDEX('Annex 4 LDNO charges'!$C$12:$C$201,MATCH($A129,'Annex 4 LDNO charges'!$A$12:$A$201,0)))</f>
        <v>0</v>
      </c>
      <c r="D129" s="173"/>
      <c r="E129" s="173"/>
      <c r="F129" s="172">
        <v>6.5258362970998907E-2</v>
      </c>
    </row>
    <row r="130" spans="1:6" ht="27.75" customHeight="1" x14ac:dyDescent="0.2">
      <c r="A130" s="156" t="s">
        <v>562</v>
      </c>
      <c r="B130" s="33" t="str">
        <f>IFERROR(INDEX('Annex 1 LV, HV and UMS charges'!$B$12:$B$43,MATCH($A130,'Annex 1 LV, HV and UMS charges'!$A$12:$A$43,0)),IF(INDEX('Annex 4 LDNO charges'!$B$11:$B$201,MATCH($A130,'Annex 4 LDNO charges'!$A$11:$A$201,0))=0,"",INDEX('Annex 4 LDNO charges'!$B$11:$B$201,MATCH($A130,'Annex 4 LDNO charges'!$A$11:$A$201,0))))</f>
        <v>E53</v>
      </c>
      <c r="C130" s="181">
        <f>IFERROR(INDEX('Annex 1 LV, HV and UMS charges'!$C$12:$C$43,MATCH($A130,'Annex 1 LV, HV and UMS charges'!$A$12:$A$43,0)),INDEX('Annex 4 LDNO charges'!$C$12:$C$201,MATCH($A130,'Annex 4 LDNO charges'!$A$12:$A$201,0)))</f>
        <v>0</v>
      </c>
      <c r="D130" s="173"/>
      <c r="E130" s="173"/>
      <c r="F130" s="172">
        <v>6.5258362970998907E-2</v>
      </c>
    </row>
    <row r="131" spans="1:6" ht="27.75" customHeight="1" x14ac:dyDescent="0.2">
      <c r="A131" s="156" t="s">
        <v>563</v>
      </c>
      <c r="B131" s="33" t="str">
        <f>IFERROR(INDEX('Annex 1 LV, HV and UMS charges'!$B$12:$B$43,MATCH($A131,'Annex 1 LV, HV and UMS charges'!$A$12:$A$43,0)),IF(INDEX('Annex 4 LDNO charges'!$B$11:$B$201,MATCH($A131,'Annex 4 LDNO charges'!$A$11:$A$201,0))=0,"",INDEX('Annex 4 LDNO charges'!$B$11:$B$201,MATCH($A131,'Annex 4 LDNO charges'!$A$11:$A$201,0))))</f>
        <v>E54</v>
      </c>
      <c r="C131" s="181">
        <f>IFERROR(INDEX('Annex 1 LV, HV and UMS charges'!$C$12:$C$43,MATCH($A131,'Annex 1 LV, HV and UMS charges'!$A$12:$A$43,0)),INDEX('Annex 4 LDNO charges'!$C$12:$C$201,MATCH($A131,'Annex 4 LDNO charges'!$A$12:$A$201,0)))</f>
        <v>0</v>
      </c>
      <c r="D131" s="173"/>
      <c r="E131" s="173"/>
      <c r="F131" s="172">
        <v>6.5258362970998907E-2</v>
      </c>
    </row>
    <row r="132" spans="1:6" ht="27.75" customHeight="1" x14ac:dyDescent="0.2">
      <c r="A132" s="156" t="s">
        <v>564</v>
      </c>
      <c r="B132" s="33" t="str">
        <f>IFERROR(INDEX('Annex 1 LV, HV and UMS charges'!$B$12:$B$43,MATCH($A132,'Annex 1 LV, HV and UMS charges'!$A$12:$A$43,0)),IF(INDEX('Annex 4 LDNO charges'!$B$11:$B$201,MATCH($A132,'Annex 4 LDNO charges'!$A$11:$A$201,0))=0,"",INDEX('Annex 4 LDNO charges'!$B$11:$B$201,MATCH($A132,'Annex 4 LDNO charges'!$A$11:$A$201,0))))</f>
        <v>J50</v>
      </c>
      <c r="C132" s="181">
        <f>IFERROR(INDEX('Annex 1 LV, HV and UMS charges'!$C$12:$C$43,MATCH($A132,'Annex 1 LV, HV and UMS charges'!$A$12:$A$43,0)),INDEX('Annex 4 LDNO charges'!$C$12:$C$201,MATCH($A132,'Annex 4 LDNO charges'!$A$12:$A$201,0)))</f>
        <v>0</v>
      </c>
      <c r="D132" s="173"/>
      <c r="E132" s="173"/>
      <c r="F132" s="172">
        <v>6.5258362970998907E-2</v>
      </c>
    </row>
    <row r="133" spans="1:6" ht="27.75" customHeight="1" x14ac:dyDescent="0.2">
      <c r="A133" s="156" t="s">
        <v>565</v>
      </c>
      <c r="B133" s="33" t="str">
        <f>IFERROR(INDEX('Annex 1 LV, HV and UMS charges'!$B$12:$B$43,MATCH($A133,'Annex 1 LV, HV and UMS charges'!$A$12:$A$43,0)),IF(INDEX('Annex 4 LDNO charges'!$B$11:$B$201,MATCH($A133,'Annex 4 LDNO charges'!$A$11:$A$201,0))=0,"",INDEX('Annex 4 LDNO charges'!$B$11:$B$201,MATCH($A133,'Annex 4 LDNO charges'!$A$11:$A$201,0))))</f>
        <v>J51</v>
      </c>
      <c r="C133" s="181">
        <f>IFERROR(INDEX('Annex 1 LV, HV and UMS charges'!$C$12:$C$43,MATCH($A133,'Annex 1 LV, HV and UMS charges'!$A$12:$A$43,0)),INDEX('Annex 4 LDNO charges'!$C$12:$C$201,MATCH($A133,'Annex 4 LDNO charges'!$A$12:$A$201,0)))</f>
        <v>0</v>
      </c>
      <c r="D133" s="173"/>
      <c r="E133" s="173"/>
      <c r="F133" s="172">
        <v>6.5258362970998907E-2</v>
      </c>
    </row>
    <row r="134" spans="1:6" ht="27.75" customHeight="1" x14ac:dyDescent="0.2">
      <c r="A134" s="156" t="s">
        <v>566</v>
      </c>
      <c r="B134" s="33" t="str">
        <f>IFERROR(INDEX('Annex 1 LV, HV and UMS charges'!$B$12:$B$43,MATCH($A134,'Annex 1 LV, HV and UMS charges'!$A$12:$A$43,0)),IF(INDEX('Annex 4 LDNO charges'!$B$11:$B$201,MATCH($A134,'Annex 4 LDNO charges'!$A$11:$A$201,0))=0,"",INDEX('Annex 4 LDNO charges'!$B$11:$B$201,MATCH($A134,'Annex 4 LDNO charges'!$A$11:$A$201,0))))</f>
        <v>J52</v>
      </c>
      <c r="C134" s="181">
        <f>IFERROR(INDEX('Annex 1 LV, HV and UMS charges'!$C$12:$C$43,MATCH($A134,'Annex 1 LV, HV and UMS charges'!$A$12:$A$43,0)),INDEX('Annex 4 LDNO charges'!$C$12:$C$201,MATCH($A134,'Annex 4 LDNO charges'!$A$12:$A$201,0)))</f>
        <v>0</v>
      </c>
      <c r="D134" s="173"/>
      <c r="E134" s="173"/>
      <c r="F134" s="172">
        <v>6.5258362970998907E-2</v>
      </c>
    </row>
    <row r="135" spans="1:6" ht="27.75" customHeight="1" x14ac:dyDescent="0.2">
      <c r="A135" s="156" t="s">
        <v>567</v>
      </c>
      <c r="B135" s="33" t="str">
        <f>IFERROR(INDEX('Annex 1 LV, HV and UMS charges'!$B$12:$B$43,MATCH($A135,'Annex 1 LV, HV and UMS charges'!$A$12:$A$43,0)),IF(INDEX('Annex 4 LDNO charges'!$B$11:$B$201,MATCH($A135,'Annex 4 LDNO charges'!$A$11:$A$201,0))=0,"",INDEX('Annex 4 LDNO charges'!$B$11:$B$201,MATCH($A135,'Annex 4 LDNO charges'!$A$11:$A$201,0))))</f>
        <v>J53</v>
      </c>
      <c r="C135" s="181">
        <f>IFERROR(INDEX('Annex 1 LV, HV and UMS charges'!$C$12:$C$43,MATCH($A135,'Annex 1 LV, HV and UMS charges'!$A$12:$A$43,0)),INDEX('Annex 4 LDNO charges'!$C$12:$C$201,MATCH($A135,'Annex 4 LDNO charges'!$A$12:$A$201,0)))</f>
        <v>0</v>
      </c>
      <c r="D135" s="173"/>
      <c r="E135" s="173"/>
      <c r="F135" s="172">
        <v>6.5258362970998907E-2</v>
      </c>
    </row>
    <row r="136" spans="1:6" ht="27.75" customHeight="1" x14ac:dyDescent="0.2">
      <c r="A136" s="156" t="s">
        <v>568</v>
      </c>
      <c r="B136" s="33" t="str">
        <f>IFERROR(INDEX('Annex 1 LV, HV and UMS charges'!$B$12:$B$43,MATCH($A136,'Annex 1 LV, HV and UMS charges'!$A$12:$A$43,0)),IF(INDEX('Annex 4 LDNO charges'!$B$11:$B$201,MATCH($A136,'Annex 4 LDNO charges'!$A$11:$A$201,0))=0,"",INDEX('Annex 4 LDNO charges'!$B$11:$B$201,MATCH($A136,'Annex 4 LDNO charges'!$A$11:$A$201,0))))</f>
        <v>J54</v>
      </c>
      <c r="C136" s="181">
        <f>IFERROR(INDEX('Annex 1 LV, HV and UMS charges'!$C$12:$C$43,MATCH($A136,'Annex 1 LV, HV and UMS charges'!$A$12:$A$43,0)),INDEX('Annex 4 LDNO charges'!$C$12:$C$201,MATCH($A136,'Annex 4 LDNO charges'!$A$12:$A$201,0)))</f>
        <v>0</v>
      </c>
      <c r="D136" s="173"/>
      <c r="E136" s="173"/>
      <c r="F136" s="172">
        <v>6.5258362970998907E-2</v>
      </c>
    </row>
    <row r="137" spans="1:6" ht="27.75" customHeight="1" x14ac:dyDescent="0.2">
      <c r="A137" s="156" t="s">
        <v>569</v>
      </c>
      <c r="B137" s="33" t="str">
        <f>IFERROR(INDEX('Annex 1 LV, HV and UMS charges'!$B$12:$B$43,MATCH($A137,'Annex 1 LV, HV and UMS charges'!$A$12:$A$43,0)),IF(INDEX('Annex 4 LDNO charges'!$B$11:$B$201,MATCH($A137,'Annex 4 LDNO charges'!$A$11:$A$201,0))=0,"",INDEX('Annex 4 LDNO charges'!$B$11:$B$201,MATCH($A137,'Annex 4 LDNO charges'!$A$11:$A$201,0))))</f>
        <v>K50</v>
      </c>
      <c r="C137" s="181">
        <f>IFERROR(INDEX('Annex 1 LV, HV and UMS charges'!$C$12:$C$43,MATCH($A137,'Annex 1 LV, HV and UMS charges'!$A$12:$A$43,0)),INDEX('Annex 4 LDNO charges'!$C$12:$C$201,MATCH($A137,'Annex 4 LDNO charges'!$A$12:$A$201,0)))</f>
        <v>0</v>
      </c>
      <c r="D137" s="173"/>
      <c r="E137" s="173"/>
      <c r="F137" s="172">
        <v>6.5258362970998907E-2</v>
      </c>
    </row>
    <row r="138" spans="1:6" ht="27.75" customHeight="1" x14ac:dyDescent="0.2">
      <c r="A138" s="156" t="s">
        <v>570</v>
      </c>
      <c r="B138" s="33" t="str">
        <f>IFERROR(INDEX('Annex 1 LV, HV and UMS charges'!$B$12:$B$43,MATCH($A138,'Annex 1 LV, HV and UMS charges'!$A$12:$A$43,0)),IF(INDEX('Annex 4 LDNO charges'!$B$11:$B$201,MATCH($A138,'Annex 4 LDNO charges'!$A$11:$A$201,0))=0,"",INDEX('Annex 4 LDNO charges'!$B$11:$B$201,MATCH($A138,'Annex 4 LDNO charges'!$A$11:$A$201,0))))</f>
        <v>K51</v>
      </c>
      <c r="C138" s="181">
        <f>IFERROR(INDEX('Annex 1 LV, HV and UMS charges'!$C$12:$C$43,MATCH($A138,'Annex 1 LV, HV and UMS charges'!$A$12:$A$43,0)),INDEX('Annex 4 LDNO charges'!$C$12:$C$201,MATCH($A138,'Annex 4 LDNO charges'!$A$12:$A$201,0)))</f>
        <v>0</v>
      </c>
      <c r="D138" s="173"/>
      <c r="E138" s="173"/>
      <c r="F138" s="172">
        <v>6.5258362970998907E-2</v>
      </c>
    </row>
    <row r="139" spans="1:6" ht="27.75" customHeight="1" x14ac:dyDescent="0.2">
      <c r="A139" s="156" t="s">
        <v>571</v>
      </c>
      <c r="B139" s="33" t="str">
        <f>IFERROR(INDEX('Annex 1 LV, HV and UMS charges'!$B$12:$B$43,MATCH($A139,'Annex 1 LV, HV and UMS charges'!$A$12:$A$43,0)),IF(INDEX('Annex 4 LDNO charges'!$B$11:$B$201,MATCH($A139,'Annex 4 LDNO charges'!$A$11:$A$201,0))=0,"",INDEX('Annex 4 LDNO charges'!$B$11:$B$201,MATCH($A139,'Annex 4 LDNO charges'!$A$11:$A$201,0))))</f>
        <v>K52</v>
      </c>
      <c r="C139" s="181">
        <f>IFERROR(INDEX('Annex 1 LV, HV and UMS charges'!$C$12:$C$43,MATCH($A139,'Annex 1 LV, HV and UMS charges'!$A$12:$A$43,0)),INDEX('Annex 4 LDNO charges'!$C$12:$C$201,MATCH($A139,'Annex 4 LDNO charges'!$A$12:$A$201,0)))</f>
        <v>0</v>
      </c>
      <c r="D139" s="173"/>
      <c r="E139" s="173"/>
      <c r="F139" s="172">
        <v>6.5258362970998907E-2</v>
      </c>
    </row>
    <row r="140" spans="1:6" ht="27.75" customHeight="1" x14ac:dyDescent="0.2">
      <c r="A140" s="156" t="s">
        <v>572</v>
      </c>
      <c r="B140" s="33" t="str">
        <f>IFERROR(INDEX('Annex 1 LV, HV and UMS charges'!$B$12:$B$43,MATCH($A140,'Annex 1 LV, HV and UMS charges'!$A$12:$A$43,0)),IF(INDEX('Annex 4 LDNO charges'!$B$11:$B$201,MATCH($A140,'Annex 4 LDNO charges'!$A$11:$A$201,0))=0,"",INDEX('Annex 4 LDNO charges'!$B$11:$B$201,MATCH($A140,'Annex 4 LDNO charges'!$A$11:$A$201,0))))</f>
        <v>K53</v>
      </c>
      <c r="C140" s="181">
        <f>IFERROR(INDEX('Annex 1 LV, HV and UMS charges'!$C$12:$C$43,MATCH($A140,'Annex 1 LV, HV and UMS charges'!$A$12:$A$43,0)),INDEX('Annex 4 LDNO charges'!$C$12:$C$201,MATCH($A140,'Annex 4 LDNO charges'!$A$12:$A$201,0)))</f>
        <v>0</v>
      </c>
      <c r="D140" s="173"/>
      <c r="E140" s="173"/>
      <c r="F140" s="172">
        <v>6.5258362970998907E-2</v>
      </c>
    </row>
    <row r="141" spans="1:6" ht="27.75" customHeight="1" x14ac:dyDescent="0.2">
      <c r="A141" s="156" t="s">
        <v>573</v>
      </c>
      <c r="B141" s="33" t="str">
        <f>IFERROR(INDEX('Annex 1 LV, HV and UMS charges'!$B$12:$B$43,MATCH($A141,'Annex 1 LV, HV and UMS charges'!$A$12:$A$43,0)),IF(INDEX('Annex 4 LDNO charges'!$B$11:$B$201,MATCH($A141,'Annex 4 LDNO charges'!$A$11:$A$201,0))=0,"",INDEX('Annex 4 LDNO charges'!$B$11:$B$201,MATCH($A141,'Annex 4 LDNO charges'!$A$11:$A$201,0))))</f>
        <v>K54</v>
      </c>
      <c r="C141" s="181">
        <f>IFERROR(INDEX('Annex 1 LV, HV and UMS charges'!$C$12:$C$43,MATCH($A141,'Annex 1 LV, HV and UMS charges'!$A$12:$A$43,0)),INDEX('Annex 4 LDNO charges'!$C$12:$C$201,MATCH($A141,'Annex 4 LDNO charges'!$A$12:$A$201,0)))</f>
        <v>0</v>
      </c>
      <c r="D141" s="173"/>
      <c r="E141" s="173"/>
      <c r="F141" s="172">
        <v>6.5258362970998907E-2</v>
      </c>
    </row>
    <row r="142" spans="1:6" ht="27.75" customHeight="1" x14ac:dyDescent="0.2">
      <c r="A142" s="156" t="s">
        <v>530</v>
      </c>
      <c r="B142" s="33" t="str">
        <f>IFERROR(INDEX('Annex 1 LV, HV and UMS charges'!$B$12:$B$43,MATCH($A142,'Annex 1 LV, HV and UMS charges'!$A$12:$A$43,0)),IF(INDEX('Annex 4 LDNO charges'!$B$11:$B$201,MATCH($A142,'Annex 4 LDNO charges'!$A$11:$A$201,0))=0,"",INDEX('Annex 4 LDNO charges'!$B$11:$B$201,MATCH($A142,'Annex 4 LDNO charges'!$A$11:$A$201,0))))</f>
        <v>A60</v>
      </c>
      <c r="C142" s="181" t="str">
        <f>IFERROR(INDEX('Annex 1 LV, HV and UMS charges'!$C$12:$C$43,MATCH($A142,'Annex 1 LV, HV and UMS charges'!$A$12:$A$43,0)),INDEX('Annex 4 LDNO charges'!$C$12:$C$201,MATCH($A142,'Annex 4 LDNO charges'!$A$12:$A$201,0)))</f>
        <v>0, 1, 2</v>
      </c>
      <c r="D142" s="172">
        <v>5.7538427037113801E-2</v>
      </c>
      <c r="E142" s="172">
        <v>9.4536320191825496</v>
      </c>
      <c r="F142" s="172">
        <v>6.5258362970998907E-2</v>
      </c>
    </row>
    <row r="143" spans="1:6" ht="27.75" customHeight="1" x14ac:dyDescent="0.2">
      <c r="A143" s="156" t="s">
        <v>532</v>
      </c>
      <c r="B143" s="33" t="str">
        <f>IFERROR(INDEX('Annex 1 LV, HV and UMS charges'!$B$12:$B$43,MATCH($A143,'Annex 1 LV, HV and UMS charges'!$A$12:$A$43,0)),IF(INDEX('Annex 4 LDNO charges'!$B$11:$B$201,MATCH($A143,'Annex 4 LDNO charges'!$A$11:$A$201,0))=0,"",INDEX('Annex 4 LDNO charges'!$B$11:$B$201,MATCH($A143,'Annex 4 LDNO charges'!$A$11:$A$201,0))))</f>
        <v>C60</v>
      </c>
      <c r="C143" s="181" t="str">
        <f>IFERROR(INDEX('Annex 1 LV, HV and UMS charges'!$C$12:$C$43,MATCH($A143,'Annex 1 LV, HV and UMS charges'!$A$12:$A$43,0)),INDEX('Annex 4 LDNO charges'!$C$12:$C$201,MATCH($A143,'Annex 4 LDNO charges'!$A$12:$A$201,0)))</f>
        <v>0, 3, 4, 5-8</v>
      </c>
      <c r="D143" s="173"/>
      <c r="E143" s="173"/>
      <c r="F143" s="172">
        <v>6.5258362970998907E-2</v>
      </c>
    </row>
    <row r="144" spans="1:6" ht="27.75" customHeight="1" x14ac:dyDescent="0.2">
      <c r="A144" s="156" t="s">
        <v>533</v>
      </c>
      <c r="B144" s="33" t="str">
        <f>IFERROR(INDEX('Annex 1 LV, HV and UMS charges'!$B$12:$B$43,MATCH($A144,'Annex 1 LV, HV and UMS charges'!$A$12:$A$43,0)),IF(INDEX('Annex 4 LDNO charges'!$B$11:$B$201,MATCH($A144,'Annex 4 LDNO charges'!$A$11:$A$201,0))=0,"",INDEX('Annex 4 LDNO charges'!$B$11:$B$201,MATCH($A144,'Annex 4 LDNO charges'!$A$11:$A$201,0))))</f>
        <v>C61</v>
      </c>
      <c r="C144" s="181" t="str">
        <f>IFERROR(INDEX('Annex 1 LV, HV and UMS charges'!$C$12:$C$43,MATCH($A144,'Annex 1 LV, HV and UMS charges'!$A$12:$A$43,0)),INDEX('Annex 4 LDNO charges'!$C$12:$C$201,MATCH($A144,'Annex 4 LDNO charges'!$A$12:$A$201,0)))</f>
        <v>0, 3, 4, 5-8</v>
      </c>
      <c r="D144" s="173"/>
      <c r="E144" s="173"/>
      <c r="F144" s="172">
        <v>6.5258362970998907E-2</v>
      </c>
    </row>
    <row r="145" spans="1:6" ht="27.75" customHeight="1" x14ac:dyDescent="0.2">
      <c r="A145" s="156" t="s">
        <v>534</v>
      </c>
      <c r="B145" s="33" t="str">
        <f>IFERROR(INDEX('Annex 1 LV, HV and UMS charges'!$B$12:$B$43,MATCH($A145,'Annex 1 LV, HV and UMS charges'!$A$12:$A$43,0)),IF(INDEX('Annex 4 LDNO charges'!$B$11:$B$201,MATCH($A145,'Annex 4 LDNO charges'!$A$11:$A$201,0))=0,"",INDEX('Annex 4 LDNO charges'!$B$11:$B$201,MATCH($A145,'Annex 4 LDNO charges'!$A$11:$A$201,0))))</f>
        <v>C62</v>
      </c>
      <c r="C145" s="181" t="str">
        <f>IFERROR(INDEX('Annex 1 LV, HV and UMS charges'!$C$12:$C$43,MATCH($A145,'Annex 1 LV, HV and UMS charges'!$A$12:$A$43,0)),INDEX('Annex 4 LDNO charges'!$C$12:$C$201,MATCH($A145,'Annex 4 LDNO charges'!$A$12:$A$201,0)))</f>
        <v>0, 3, 4, 5-8</v>
      </c>
      <c r="D145" s="173"/>
      <c r="E145" s="173"/>
      <c r="F145" s="172">
        <v>6.5258362970998907E-2</v>
      </c>
    </row>
    <row r="146" spans="1:6" ht="27.75" customHeight="1" x14ac:dyDescent="0.2">
      <c r="A146" s="156" t="s">
        <v>535</v>
      </c>
      <c r="B146" s="33" t="str">
        <f>IFERROR(INDEX('Annex 1 LV, HV and UMS charges'!$B$12:$B$43,MATCH($A146,'Annex 1 LV, HV and UMS charges'!$A$12:$A$43,0)),IF(INDEX('Annex 4 LDNO charges'!$B$11:$B$201,MATCH($A146,'Annex 4 LDNO charges'!$A$11:$A$201,0))=0,"",INDEX('Annex 4 LDNO charges'!$B$11:$B$201,MATCH($A146,'Annex 4 LDNO charges'!$A$11:$A$201,0))))</f>
        <v>C63</v>
      </c>
      <c r="C146" s="181" t="str">
        <f>IFERROR(INDEX('Annex 1 LV, HV and UMS charges'!$C$12:$C$43,MATCH($A146,'Annex 1 LV, HV and UMS charges'!$A$12:$A$43,0)),INDEX('Annex 4 LDNO charges'!$C$12:$C$201,MATCH($A146,'Annex 4 LDNO charges'!$A$12:$A$201,0)))</f>
        <v>0, 3, 4, 5-8</v>
      </c>
      <c r="D146" s="173"/>
      <c r="E146" s="173"/>
      <c r="F146" s="172">
        <v>6.5258362970998907E-2</v>
      </c>
    </row>
    <row r="147" spans="1:6" ht="27.75" customHeight="1" x14ac:dyDescent="0.2">
      <c r="A147" s="156" t="s">
        <v>536</v>
      </c>
      <c r="B147" s="33" t="str">
        <f>IFERROR(INDEX('Annex 1 LV, HV and UMS charges'!$B$12:$B$43,MATCH($A147,'Annex 1 LV, HV and UMS charges'!$A$12:$A$43,0)),IF(INDEX('Annex 4 LDNO charges'!$B$11:$B$201,MATCH($A147,'Annex 4 LDNO charges'!$A$11:$A$201,0))=0,"",INDEX('Annex 4 LDNO charges'!$B$11:$B$201,MATCH($A147,'Annex 4 LDNO charges'!$A$11:$A$201,0))))</f>
        <v>C64</v>
      </c>
      <c r="C147" s="181" t="str">
        <f>IFERROR(INDEX('Annex 1 LV, HV and UMS charges'!$C$12:$C$43,MATCH($A147,'Annex 1 LV, HV and UMS charges'!$A$12:$A$43,0)),INDEX('Annex 4 LDNO charges'!$C$12:$C$201,MATCH($A147,'Annex 4 LDNO charges'!$A$12:$A$201,0)))</f>
        <v>0, 3, 4, 5-8</v>
      </c>
      <c r="D147" s="173"/>
      <c r="E147" s="173"/>
      <c r="F147" s="172">
        <v>6.5258362970998907E-2</v>
      </c>
    </row>
    <row r="148" spans="1:6" ht="27.75" customHeight="1" x14ac:dyDescent="0.2">
      <c r="A148" s="156" t="s">
        <v>537</v>
      </c>
      <c r="B148" s="33" t="str">
        <f>IFERROR(INDEX('Annex 1 LV, HV and UMS charges'!$B$12:$B$43,MATCH($A148,'Annex 1 LV, HV and UMS charges'!$A$12:$A$43,0)),IF(INDEX('Annex 4 LDNO charges'!$B$11:$B$201,MATCH($A148,'Annex 4 LDNO charges'!$A$11:$A$201,0))=0,"",INDEX('Annex 4 LDNO charges'!$B$11:$B$201,MATCH($A148,'Annex 4 LDNO charges'!$A$11:$A$201,0))))</f>
        <v>E60</v>
      </c>
      <c r="C148" s="181">
        <f>IFERROR(INDEX('Annex 1 LV, HV and UMS charges'!$C$12:$C$43,MATCH($A148,'Annex 1 LV, HV and UMS charges'!$A$12:$A$43,0)),INDEX('Annex 4 LDNO charges'!$C$12:$C$201,MATCH($A148,'Annex 4 LDNO charges'!$A$12:$A$201,0)))</f>
        <v>0</v>
      </c>
      <c r="D148" s="173"/>
      <c r="E148" s="173"/>
      <c r="F148" s="172">
        <v>6.5258362970998907E-2</v>
      </c>
    </row>
    <row r="149" spans="1:6" ht="27.75" customHeight="1" x14ac:dyDescent="0.2">
      <c r="A149" s="156" t="s">
        <v>538</v>
      </c>
      <c r="B149" s="33" t="str">
        <f>IFERROR(INDEX('Annex 1 LV, HV and UMS charges'!$B$12:$B$43,MATCH($A149,'Annex 1 LV, HV and UMS charges'!$A$12:$A$43,0)),IF(INDEX('Annex 4 LDNO charges'!$B$11:$B$201,MATCH($A149,'Annex 4 LDNO charges'!$A$11:$A$201,0))=0,"",INDEX('Annex 4 LDNO charges'!$B$11:$B$201,MATCH($A149,'Annex 4 LDNO charges'!$A$11:$A$201,0))))</f>
        <v>E61</v>
      </c>
      <c r="C149" s="181">
        <f>IFERROR(INDEX('Annex 1 LV, HV and UMS charges'!$C$12:$C$43,MATCH($A149,'Annex 1 LV, HV and UMS charges'!$A$12:$A$43,0)),INDEX('Annex 4 LDNO charges'!$C$12:$C$201,MATCH($A149,'Annex 4 LDNO charges'!$A$12:$A$201,0)))</f>
        <v>0</v>
      </c>
      <c r="D149" s="173"/>
      <c r="E149" s="173"/>
      <c r="F149" s="172">
        <v>6.5258362970998907E-2</v>
      </c>
    </row>
    <row r="150" spans="1:6" ht="27.75" customHeight="1" x14ac:dyDescent="0.2">
      <c r="A150" s="156" t="s">
        <v>539</v>
      </c>
      <c r="B150" s="33" t="str">
        <f>IFERROR(INDEX('Annex 1 LV, HV and UMS charges'!$B$12:$B$43,MATCH($A150,'Annex 1 LV, HV and UMS charges'!$A$12:$A$43,0)),IF(INDEX('Annex 4 LDNO charges'!$B$11:$B$201,MATCH($A150,'Annex 4 LDNO charges'!$A$11:$A$201,0))=0,"",INDEX('Annex 4 LDNO charges'!$B$11:$B$201,MATCH($A150,'Annex 4 LDNO charges'!$A$11:$A$201,0))))</f>
        <v>E62</v>
      </c>
      <c r="C150" s="181">
        <f>IFERROR(INDEX('Annex 1 LV, HV and UMS charges'!$C$12:$C$43,MATCH($A150,'Annex 1 LV, HV and UMS charges'!$A$12:$A$43,0)),INDEX('Annex 4 LDNO charges'!$C$12:$C$201,MATCH($A150,'Annex 4 LDNO charges'!$A$12:$A$201,0)))</f>
        <v>0</v>
      </c>
      <c r="D150" s="173"/>
      <c r="E150" s="173"/>
      <c r="F150" s="172">
        <v>6.5258362970998907E-2</v>
      </c>
    </row>
    <row r="151" spans="1:6" ht="27.75" customHeight="1" x14ac:dyDescent="0.2">
      <c r="A151" s="156" t="s">
        <v>540</v>
      </c>
      <c r="B151" s="33" t="str">
        <f>IFERROR(INDEX('Annex 1 LV, HV and UMS charges'!$B$12:$B$43,MATCH($A151,'Annex 1 LV, HV and UMS charges'!$A$12:$A$43,0)),IF(INDEX('Annex 4 LDNO charges'!$B$11:$B$201,MATCH($A151,'Annex 4 LDNO charges'!$A$11:$A$201,0))=0,"",INDEX('Annex 4 LDNO charges'!$B$11:$B$201,MATCH($A151,'Annex 4 LDNO charges'!$A$11:$A$201,0))))</f>
        <v>E63</v>
      </c>
      <c r="C151" s="181">
        <f>IFERROR(INDEX('Annex 1 LV, HV and UMS charges'!$C$12:$C$43,MATCH($A151,'Annex 1 LV, HV and UMS charges'!$A$12:$A$43,0)),INDEX('Annex 4 LDNO charges'!$C$12:$C$201,MATCH($A151,'Annex 4 LDNO charges'!$A$12:$A$201,0)))</f>
        <v>0</v>
      </c>
      <c r="D151" s="173"/>
      <c r="E151" s="173"/>
      <c r="F151" s="172">
        <v>6.5258362970998907E-2</v>
      </c>
    </row>
    <row r="152" spans="1:6" ht="27.75" customHeight="1" x14ac:dyDescent="0.2">
      <c r="A152" s="156" t="s">
        <v>541</v>
      </c>
      <c r="B152" s="33" t="str">
        <f>IFERROR(INDEX('Annex 1 LV, HV and UMS charges'!$B$12:$B$43,MATCH($A152,'Annex 1 LV, HV and UMS charges'!$A$12:$A$43,0)),IF(INDEX('Annex 4 LDNO charges'!$B$11:$B$201,MATCH($A152,'Annex 4 LDNO charges'!$A$11:$A$201,0))=0,"",INDEX('Annex 4 LDNO charges'!$B$11:$B$201,MATCH($A152,'Annex 4 LDNO charges'!$A$11:$A$201,0))))</f>
        <v>E64</v>
      </c>
      <c r="C152" s="181">
        <f>IFERROR(INDEX('Annex 1 LV, HV and UMS charges'!$C$12:$C$43,MATCH($A152,'Annex 1 LV, HV and UMS charges'!$A$12:$A$43,0)),INDEX('Annex 4 LDNO charges'!$C$12:$C$201,MATCH($A152,'Annex 4 LDNO charges'!$A$12:$A$201,0)))</f>
        <v>0</v>
      </c>
      <c r="D152" s="173"/>
      <c r="E152" s="173"/>
      <c r="F152" s="172">
        <v>6.5258362970998907E-2</v>
      </c>
    </row>
    <row r="153" spans="1:6" ht="27.75" customHeight="1" x14ac:dyDescent="0.2">
      <c r="A153" s="156" t="s">
        <v>542</v>
      </c>
      <c r="B153" s="33" t="str">
        <f>IFERROR(INDEX('Annex 1 LV, HV and UMS charges'!$B$12:$B$43,MATCH($A153,'Annex 1 LV, HV and UMS charges'!$A$12:$A$43,0)),IF(INDEX('Annex 4 LDNO charges'!$B$11:$B$201,MATCH($A153,'Annex 4 LDNO charges'!$A$11:$A$201,0))=0,"",INDEX('Annex 4 LDNO charges'!$B$11:$B$201,MATCH($A153,'Annex 4 LDNO charges'!$A$11:$A$201,0))))</f>
        <v>J60</v>
      </c>
      <c r="C153" s="181">
        <f>IFERROR(INDEX('Annex 1 LV, HV and UMS charges'!$C$12:$C$43,MATCH($A153,'Annex 1 LV, HV and UMS charges'!$A$12:$A$43,0)),INDEX('Annex 4 LDNO charges'!$C$12:$C$201,MATCH($A153,'Annex 4 LDNO charges'!$A$12:$A$201,0)))</f>
        <v>0</v>
      </c>
      <c r="D153" s="173"/>
      <c r="E153" s="173"/>
      <c r="F153" s="172">
        <v>6.5258362970998907E-2</v>
      </c>
    </row>
    <row r="154" spans="1:6" ht="27.75" customHeight="1" x14ac:dyDescent="0.2">
      <c r="A154" s="156" t="s">
        <v>543</v>
      </c>
      <c r="B154" s="33" t="str">
        <f>IFERROR(INDEX('Annex 1 LV, HV and UMS charges'!$B$12:$B$43,MATCH($A154,'Annex 1 LV, HV and UMS charges'!$A$12:$A$43,0)),IF(INDEX('Annex 4 LDNO charges'!$B$11:$B$201,MATCH($A154,'Annex 4 LDNO charges'!$A$11:$A$201,0))=0,"",INDEX('Annex 4 LDNO charges'!$B$11:$B$201,MATCH($A154,'Annex 4 LDNO charges'!$A$11:$A$201,0))))</f>
        <v>J61</v>
      </c>
      <c r="C154" s="181">
        <f>IFERROR(INDEX('Annex 1 LV, HV and UMS charges'!$C$12:$C$43,MATCH($A154,'Annex 1 LV, HV and UMS charges'!$A$12:$A$43,0)),INDEX('Annex 4 LDNO charges'!$C$12:$C$201,MATCH($A154,'Annex 4 LDNO charges'!$A$12:$A$201,0)))</f>
        <v>0</v>
      </c>
      <c r="D154" s="173"/>
      <c r="E154" s="173"/>
      <c r="F154" s="172">
        <v>6.5258362970998907E-2</v>
      </c>
    </row>
    <row r="155" spans="1:6" ht="27.75" customHeight="1" x14ac:dyDescent="0.2">
      <c r="A155" s="156" t="s">
        <v>544</v>
      </c>
      <c r="B155" s="33" t="str">
        <f>IFERROR(INDEX('Annex 1 LV, HV and UMS charges'!$B$12:$B$43,MATCH($A155,'Annex 1 LV, HV and UMS charges'!$A$12:$A$43,0)),IF(INDEX('Annex 4 LDNO charges'!$B$11:$B$201,MATCH($A155,'Annex 4 LDNO charges'!$A$11:$A$201,0))=0,"",INDEX('Annex 4 LDNO charges'!$B$11:$B$201,MATCH($A155,'Annex 4 LDNO charges'!$A$11:$A$201,0))))</f>
        <v>J62</v>
      </c>
      <c r="C155" s="181">
        <f>IFERROR(INDEX('Annex 1 LV, HV and UMS charges'!$C$12:$C$43,MATCH($A155,'Annex 1 LV, HV and UMS charges'!$A$12:$A$43,0)),INDEX('Annex 4 LDNO charges'!$C$12:$C$201,MATCH($A155,'Annex 4 LDNO charges'!$A$12:$A$201,0)))</f>
        <v>0</v>
      </c>
      <c r="D155" s="173"/>
      <c r="E155" s="173"/>
      <c r="F155" s="172">
        <v>6.5258362970998907E-2</v>
      </c>
    </row>
    <row r="156" spans="1:6" ht="27.75" customHeight="1" x14ac:dyDescent="0.2">
      <c r="A156" s="156" t="s">
        <v>545</v>
      </c>
      <c r="B156" s="33" t="str">
        <f>IFERROR(INDEX('Annex 1 LV, HV and UMS charges'!$B$12:$B$43,MATCH($A156,'Annex 1 LV, HV and UMS charges'!$A$12:$A$43,0)),IF(INDEX('Annex 4 LDNO charges'!$B$11:$B$201,MATCH($A156,'Annex 4 LDNO charges'!$A$11:$A$201,0))=0,"",INDEX('Annex 4 LDNO charges'!$B$11:$B$201,MATCH($A156,'Annex 4 LDNO charges'!$A$11:$A$201,0))))</f>
        <v>J63</v>
      </c>
      <c r="C156" s="181">
        <f>IFERROR(INDEX('Annex 1 LV, HV and UMS charges'!$C$12:$C$43,MATCH($A156,'Annex 1 LV, HV and UMS charges'!$A$12:$A$43,0)),INDEX('Annex 4 LDNO charges'!$C$12:$C$201,MATCH($A156,'Annex 4 LDNO charges'!$A$12:$A$201,0)))</f>
        <v>0</v>
      </c>
      <c r="D156" s="173"/>
      <c r="E156" s="173"/>
      <c r="F156" s="172">
        <v>6.5258362970998907E-2</v>
      </c>
    </row>
    <row r="157" spans="1:6" ht="27.75" customHeight="1" x14ac:dyDescent="0.2">
      <c r="A157" s="156" t="s">
        <v>546</v>
      </c>
      <c r="B157" s="33" t="str">
        <f>IFERROR(INDEX('Annex 1 LV, HV and UMS charges'!$B$12:$B$43,MATCH($A157,'Annex 1 LV, HV and UMS charges'!$A$12:$A$43,0)),IF(INDEX('Annex 4 LDNO charges'!$B$11:$B$201,MATCH($A157,'Annex 4 LDNO charges'!$A$11:$A$201,0))=0,"",INDEX('Annex 4 LDNO charges'!$B$11:$B$201,MATCH($A157,'Annex 4 LDNO charges'!$A$11:$A$201,0))))</f>
        <v>J64</v>
      </c>
      <c r="C157" s="181">
        <f>IFERROR(INDEX('Annex 1 LV, HV and UMS charges'!$C$12:$C$43,MATCH($A157,'Annex 1 LV, HV and UMS charges'!$A$12:$A$43,0)),INDEX('Annex 4 LDNO charges'!$C$12:$C$201,MATCH($A157,'Annex 4 LDNO charges'!$A$12:$A$201,0)))</f>
        <v>0</v>
      </c>
      <c r="D157" s="173"/>
      <c r="E157" s="173"/>
      <c r="F157" s="172">
        <v>6.5258362970998907E-2</v>
      </c>
    </row>
    <row r="158" spans="1:6" ht="27.75" customHeight="1" x14ac:dyDescent="0.2">
      <c r="A158" s="156" t="s">
        <v>547</v>
      </c>
      <c r="B158" s="33" t="str">
        <f>IFERROR(INDEX('Annex 1 LV, HV and UMS charges'!$B$12:$B$43,MATCH($A158,'Annex 1 LV, HV and UMS charges'!$A$12:$A$43,0)),IF(INDEX('Annex 4 LDNO charges'!$B$11:$B$201,MATCH($A158,'Annex 4 LDNO charges'!$A$11:$A$201,0))=0,"",INDEX('Annex 4 LDNO charges'!$B$11:$B$201,MATCH($A158,'Annex 4 LDNO charges'!$A$11:$A$201,0))))</f>
        <v>K60</v>
      </c>
      <c r="C158" s="181">
        <f>IFERROR(INDEX('Annex 1 LV, HV and UMS charges'!$C$12:$C$43,MATCH($A158,'Annex 1 LV, HV and UMS charges'!$A$12:$A$43,0)),INDEX('Annex 4 LDNO charges'!$C$12:$C$201,MATCH($A158,'Annex 4 LDNO charges'!$A$12:$A$201,0)))</f>
        <v>0</v>
      </c>
      <c r="D158" s="173"/>
      <c r="E158" s="173"/>
      <c r="F158" s="172">
        <v>6.5258362970998907E-2</v>
      </c>
    </row>
    <row r="159" spans="1:6" ht="27.75" customHeight="1" x14ac:dyDescent="0.2">
      <c r="A159" s="156" t="s">
        <v>548</v>
      </c>
      <c r="B159" s="33" t="str">
        <f>IFERROR(INDEX('Annex 1 LV, HV and UMS charges'!$B$12:$B$43,MATCH($A159,'Annex 1 LV, HV and UMS charges'!$A$12:$A$43,0)),IF(INDEX('Annex 4 LDNO charges'!$B$11:$B$201,MATCH($A159,'Annex 4 LDNO charges'!$A$11:$A$201,0))=0,"",INDEX('Annex 4 LDNO charges'!$B$11:$B$201,MATCH($A159,'Annex 4 LDNO charges'!$A$11:$A$201,0))))</f>
        <v>K61</v>
      </c>
      <c r="C159" s="181">
        <f>IFERROR(INDEX('Annex 1 LV, HV and UMS charges'!$C$12:$C$43,MATCH($A159,'Annex 1 LV, HV and UMS charges'!$A$12:$A$43,0)),INDEX('Annex 4 LDNO charges'!$C$12:$C$201,MATCH($A159,'Annex 4 LDNO charges'!$A$12:$A$201,0)))</f>
        <v>0</v>
      </c>
      <c r="D159" s="173"/>
      <c r="E159" s="173"/>
      <c r="F159" s="172">
        <v>6.5258362970998907E-2</v>
      </c>
    </row>
    <row r="160" spans="1:6" ht="27.75" customHeight="1" x14ac:dyDescent="0.2">
      <c r="A160" s="156" t="s">
        <v>549</v>
      </c>
      <c r="B160" s="33" t="str">
        <f>IFERROR(INDEX('Annex 1 LV, HV and UMS charges'!$B$12:$B$43,MATCH($A160,'Annex 1 LV, HV and UMS charges'!$A$12:$A$43,0)),IF(INDEX('Annex 4 LDNO charges'!$B$11:$B$201,MATCH($A160,'Annex 4 LDNO charges'!$A$11:$A$201,0))=0,"",INDEX('Annex 4 LDNO charges'!$B$11:$B$201,MATCH($A160,'Annex 4 LDNO charges'!$A$11:$A$201,0))))</f>
        <v>K62</v>
      </c>
      <c r="C160" s="181">
        <f>IFERROR(INDEX('Annex 1 LV, HV and UMS charges'!$C$12:$C$43,MATCH($A160,'Annex 1 LV, HV and UMS charges'!$A$12:$A$43,0)),INDEX('Annex 4 LDNO charges'!$C$12:$C$201,MATCH($A160,'Annex 4 LDNO charges'!$A$12:$A$201,0)))</f>
        <v>0</v>
      </c>
      <c r="D160" s="173"/>
      <c r="E160" s="173"/>
      <c r="F160" s="172">
        <v>6.5258362970998907E-2</v>
      </c>
    </row>
    <row r="161" spans="1:6" ht="27.75" customHeight="1" x14ac:dyDescent="0.2">
      <c r="A161" s="156" t="s">
        <v>550</v>
      </c>
      <c r="B161" s="33" t="str">
        <f>IFERROR(INDEX('Annex 1 LV, HV and UMS charges'!$B$12:$B$43,MATCH($A161,'Annex 1 LV, HV and UMS charges'!$A$12:$A$43,0)),IF(INDEX('Annex 4 LDNO charges'!$B$11:$B$201,MATCH($A161,'Annex 4 LDNO charges'!$A$11:$A$201,0))=0,"",INDEX('Annex 4 LDNO charges'!$B$11:$B$201,MATCH($A161,'Annex 4 LDNO charges'!$A$11:$A$201,0))))</f>
        <v>K63</v>
      </c>
      <c r="C161" s="181">
        <f>IFERROR(INDEX('Annex 1 LV, HV and UMS charges'!$C$12:$C$43,MATCH($A161,'Annex 1 LV, HV and UMS charges'!$A$12:$A$43,0)),INDEX('Annex 4 LDNO charges'!$C$12:$C$201,MATCH($A161,'Annex 4 LDNO charges'!$A$12:$A$201,0)))</f>
        <v>0</v>
      </c>
      <c r="D161" s="173"/>
      <c r="E161" s="173"/>
      <c r="F161" s="172">
        <v>6.5258362970998907E-2</v>
      </c>
    </row>
    <row r="162" spans="1:6" ht="27.75" customHeight="1" x14ac:dyDescent="0.2">
      <c r="A162" s="156" t="s">
        <v>551</v>
      </c>
      <c r="B162" s="33" t="str">
        <f>IFERROR(INDEX('Annex 1 LV, HV and UMS charges'!$B$12:$B$43,MATCH($A162,'Annex 1 LV, HV and UMS charges'!$A$12:$A$43,0)),IF(INDEX('Annex 4 LDNO charges'!$B$11:$B$201,MATCH($A162,'Annex 4 LDNO charges'!$A$11:$A$201,0))=0,"",INDEX('Annex 4 LDNO charges'!$B$11:$B$201,MATCH($A162,'Annex 4 LDNO charges'!$A$11:$A$201,0))))</f>
        <v>K64</v>
      </c>
      <c r="C162" s="181">
        <f>IFERROR(INDEX('Annex 1 LV, HV and UMS charges'!$C$12:$C$43,MATCH($A162,'Annex 1 LV, HV and UMS charges'!$A$12:$A$43,0)),INDEX('Annex 4 LDNO charges'!$C$12:$C$201,MATCH($A162,'Annex 4 LDNO charges'!$A$12:$A$201,0)))</f>
        <v>0</v>
      </c>
      <c r="D162" s="173"/>
      <c r="E162" s="173"/>
      <c r="F162" s="172">
        <v>6.5258362970998907E-2</v>
      </c>
    </row>
    <row r="163" spans="1:6" ht="27.75" customHeight="1" x14ac:dyDescent="0.2">
      <c r="A163" s="2" t="s">
        <v>466</v>
      </c>
      <c r="C163" s="3"/>
    </row>
    <row r="164" spans="1:6" ht="27.75" customHeight="1" x14ac:dyDescent="0.2">
      <c r="A164" s="2" t="s">
        <v>467</v>
      </c>
      <c r="C164" s="3"/>
    </row>
    <row r="165" spans="1:6" ht="27.75" customHeight="1" x14ac:dyDescent="0.2">
      <c r="A165" s="2" t="s">
        <v>468</v>
      </c>
      <c r="C165" s="3"/>
    </row>
  </sheetData>
  <mergeCells count="2">
    <mergeCell ref="A2:F2"/>
    <mergeCell ref="B1:C1"/>
  </mergeCells>
  <hyperlinks>
    <hyperlink ref="A1" location="Overview!A1" display="Back to Overview" xr:uid="{00000000-0004-0000-0900-000000000000}"/>
  </hyperlinks>
  <pageMargins left="0.39370078740157483" right="0.39370078740157483" top="0.78740157480314965" bottom="0.59055118110236227" header="0.39370078740157483" footer="0.35433070866141736"/>
  <pageSetup paperSize="9" scale="76" fitToHeight="10" orientation="portrait" r:id="rId1"/>
  <headerFooter differentFirst="1" scaleWithDoc="0">
    <oddFooter>&amp;C&amp;P of &amp;N</oddFooter>
    <firstHeader>&amp;L
Annex 7 - Schedule of Charges to recover Excess Supplier of Last Resort pass-through costs</first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G318"/>
  <sheetViews>
    <sheetView zoomScale="85" zoomScaleNormal="85" zoomScaleSheetLayoutView="100" workbookViewId="0"/>
  </sheetViews>
  <sheetFormatPr defaultRowHeight="27.75" customHeight="1" x14ac:dyDescent="0.2"/>
  <cols>
    <col min="1" max="1" width="29.85546875" style="2" customWidth="1"/>
    <col min="2" max="2" width="48.5703125" style="2" customWidth="1"/>
    <col min="3" max="4" width="23.7109375" style="3" customWidth="1"/>
    <col min="5" max="5" width="15.5703125" style="2" customWidth="1"/>
    <col min="6" max="16384" width="9.140625" style="2"/>
  </cols>
  <sheetData>
    <row r="1" spans="1:7" ht="27.75" customHeight="1" x14ac:dyDescent="0.2">
      <c r="A1" s="13" t="s">
        <v>18</v>
      </c>
      <c r="B1" s="3"/>
      <c r="C1" s="2"/>
      <c r="E1" s="10"/>
      <c r="F1" s="4"/>
      <c r="G1" s="4"/>
    </row>
    <row r="2" spans="1:7" s="11" customFormat="1" ht="22.5" customHeight="1" x14ac:dyDescent="0.2">
      <c r="A2" s="268" t="str">
        <f>Overview!B4&amp; " - Effective from "&amp;Overview!D4&amp;" - "&amp;Overview!E4&amp;" Nodal/Zonal charges"</f>
        <v>South Eastern Power Networks - Effective from 1 April 2022 - Final Nodal/Zonal charges</v>
      </c>
      <c r="B2" s="269"/>
      <c r="C2" s="269"/>
      <c r="D2" s="270"/>
    </row>
    <row r="3" spans="1:7" ht="60.75" customHeight="1" x14ac:dyDescent="0.2">
      <c r="A3" s="20" t="s">
        <v>51</v>
      </c>
      <c r="B3" s="20" t="s">
        <v>1</v>
      </c>
      <c r="C3" s="20" t="s">
        <v>33</v>
      </c>
      <c r="D3" s="20" t="s">
        <v>34</v>
      </c>
    </row>
    <row r="4" spans="1:7" ht="21.75" customHeight="1" x14ac:dyDescent="0.2">
      <c r="A4" s="7" t="s">
        <v>812</v>
      </c>
      <c r="B4" s="8" t="s">
        <v>813</v>
      </c>
      <c r="C4" s="183">
        <v>0.1109161381084698</v>
      </c>
      <c r="D4" s="183">
        <v>15.882577379475956</v>
      </c>
    </row>
    <row r="5" spans="1:7" ht="21.75" customHeight="1" x14ac:dyDescent="0.2">
      <c r="A5" s="7" t="s">
        <v>814</v>
      </c>
      <c r="B5" s="8" t="s">
        <v>815</v>
      </c>
      <c r="C5" s="183">
        <v>5.60965213718016E-2</v>
      </c>
      <c r="D5" s="183">
        <v>16.056311135456081</v>
      </c>
    </row>
    <row r="6" spans="1:7" ht="21.75" customHeight="1" x14ac:dyDescent="0.2">
      <c r="A6" s="7" t="s">
        <v>816</v>
      </c>
      <c r="B6" s="8" t="s">
        <v>815</v>
      </c>
      <c r="C6" s="183">
        <v>0.35598508733664402</v>
      </c>
      <c r="D6" s="183">
        <v>16.204969158785126</v>
      </c>
    </row>
    <row r="7" spans="1:7" ht="21.75" customHeight="1" x14ac:dyDescent="0.2">
      <c r="A7" s="7" t="s">
        <v>817</v>
      </c>
      <c r="B7" s="8" t="s">
        <v>818</v>
      </c>
      <c r="C7" s="183">
        <v>0.87808193882757601</v>
      </c>
      <c r="D7" s="183">
        <v>6.4327653603709454</v>
      </c>
    </row>
    <row r="8" spans="1:7" ht="21.75" customHeight="1" x14ac:dyDescent="0.2">
      <c r="A8" s="7" t="s">
        <v>819</v>
      </c>
      <c r="B8" s="8" t="s">
        <v>820</v>
      </c>
      <c r="C8" s="183">
        <v>1.0699414106596201</v>
      </c>
      <c r="D8" s="183">
        <v>9.5166829009627261</v>
      </c>
    </row>
    <row r="9" spans="1:7" ht="21.75" customHeight="1" x14ac:dyDescent="0.2">
      <c r="A9" s="7" t="s">
        <v>821</v>
      </c>
      <c r="B9" s="8" t="s">
        <v>822</v>
      </c>
      <c r="C9" s="183">
        <v>2.0587179402336302</v>
      </c>
      <c r="D9" s="183">
        <v>7.1812752105108375</v>
      </c>
    </row>
    <row r="10" spans="1:7" ht="21.75" customHeight="1" x14ac:dyDescent="0.2">
      <c r="A10" s="7" t="s">
        <v>823</v>
      </c>
      <c r="B10" s="8" t="s">
        <v>824</v>
      </c>
      <c r="C10" s="183">
        <v>0.93828891528817393</v>
      </c>
      <c r="D10" s="183">
        <v>15.234474754411265</v>
      </c>
    </row>
    <row r="11" spans="1:7" ht="21.75" customHeight="1" x14ac:dyDescent="0.2">
      <c r="A11" s="7" t="s">
        <v>825</v>
      </c>
      <c r="B11" s="8" t="s">
        <v>826</v>
      </c>
      <c r="C11" s="183">
        <v>0.62969985097788794</v>
      </c>
      <c r="D11" s="183">
        <v>10.558804090318379</v>
      </c>
    </row>
    <row r="12" spans="1:7" ht="21.75" customHeight="1" x14ac:dyDescent="0.2">
      <c r="A12" s="7" t="s">
        <v>827</v>
      </c>
      <c r="B12" s="8" t="s">
        <v>828</v>
      </c>
      <c r="C12" s="183">
        <v>0</v>
      </c>
      <c r="D12" s="183">
        <v>0</v>
      </c>
    </row>
    <row r="13" spans="1:7" ht="21.75" customHeight="1" x14ac:dyDescent="0.2">
      <c r="A13" s="7" t="s">
        <v>829</v>
      </c>
      <c r="B13" s="8" t="s">
        <v>828</v>
      </c>
      <c r="C13" s="183">
        <v>1.386076587329085E-2</v>
      </c>
      <c r="D13" s="183">
        <v>0</v>
      </c>
    </row>
    <row r="14" spans="1:7" ht="21.75" customHeight="1" x14ac:dyDescent="0.2">
      <c r="A14" s="7" t="s">
        <v>830</v>
      </c>
      <c r="B14" s="8" t="s">
        <v>831</v>
      </c>
      <c r="C14" s="183">
        <v>9.2099715805207705</v>
      </c>
      <c r="D14" s="183">
        <v>0</v>
      </c>
    </row>
    <row r="15" spans="1:7" ht="21.75" customHeight="1" x14ac:dyDescent="0.2">
      <c r="A15" s="7" t="s">
        <v>832</v>
      </c>
      <c r="B15" s="8" t="s">
        <v>831</v>
      </c>
      <c r="C15" s="183">
        <v>9.3487758959950362</v>
      </c>
      <c r="D15" s="183">
        <v>0</v>
      </c>
    </row>
    <row r="16" spans="1:7" ht="21.75" customHeight="1" x14ac:dyDescent="0.2">
      <c r="A16" s="7" t="s">
        <v>833</v>
      </c>
      <c r="B16" s="8" t="s">
        <v>834</v>
      </c>
      <c r="C16" s="183">
        <v>4.3536325920622398E-2</v>
      </c>
      <c r="D16" s="183">
        <v>0.17007102665585638</v>
      </c>
    </row>
    <row r="17" spans="1:4" ht="21.75" customHeight="1" x14ac:dyDescent="0.2">
      <c r="A17" s="7" t="s">
        <v>835</v>
      </c>
      <c r="B17" s="8" t="s">
        <v>834</v>
      </c>
      <c r="C17" s="183">
        <v>4.3768246691137498E-2</v>
      </c>
      <c r="D17" s="183">
        <v>0.27288045405276817</v>
      </c>
    </row>
    <row r="18" spans="1:4" ht="21.75" customHeight="1" x14ac:dyDescent="0.2">
      <c r="A18" s="7" t="s">
        <v>836</v>
      </c>
      <c r="B18" s="8" t="s">
        <v>837</v>
      </c>
      <c r="C18" s="183">
        <v>0.73903006713660602</v>
      </c>
      <c r="D18" s="183">
        <v>5.4976357336922383</v>
      </c>
    </row>
    <row r="19" spans="1:4" ht="21.75" customHeight="1" x14ac:dyDescent="0.2">
      <c r="A19" s="7" t="s">
        <v>838</v>
      </c>
      <c r="B19" s="8" t="s">
        <v>839</v>
      </c>
      <c r="C19" s="183">
        <v>0.77953132422926597</v>
      </c>
      <c r="D19" s="183">
        <v>6.9138876827512847</v>
      </c>
    </row>
    <row r="20" spans="1:4" ht="21.75" customHeight="1" x14ac:dyDescent="0.2">
      <c r="A20" s="7" t="s">
        <v>840</v>
      </c>
      <c r="B20" s="8" t="s">
        <v>841</v>
      </c>
      <c r="C20" s="183">
        <v>0.41158391754141199</v>
      </c>
      <c r="D20" s="183">
        <v>2.4134284835946547</v>
      </c>
    </row>
    <row r="21" spans="1:4" ht="21.75" customHeight="1" x14ac:dyDescent="0.2">
      <c r="A21" s="7" t="s">
        <v>842</v>
      </c>
      <c r="B21" s="8" t="s">
        <v>843</v>
      </c>
      <c r="C21" s="183">
        <v>0.79536825680062107</v>
      </c>
      <c r="D21" s="183">
        <v>2.1924092395252228</v>
      </c>
    </row>
    <row r="22" spans="1:4" ht="21.75" customHeight="1" x14ac:dyDescent="0.2">
      <c r="A22" s="7" t="s">
        <v>844</v>
      </c>
      <c r="B22" s="8" t="s">
        <v>845</v>
      </c>
      <c r="C22" s="183">
        <v>2.5214172603205132E-2</v>
      </c>
      <c r="D22" s="183">
        <v>4.8185982544786583</v>
      </c>
    </row>
    <row r="23" spans="1:4" ht="21.75" customHeight="1" x14ac:dyDescent="0.2">
      <c r="A23" s="7" t="s">
        <v>846</v>
      </c>
      <c r="B23" s="8" t="s">
        <v>847</v>
      </c>
      <c r="C23" s="183">
        <v>1.404612094966964E-2</v>
      </c>
      <c r="D23" s="183">
        <v>0</v>
      </c>
    </row>
    <row r="24" spans="1:4" ht="21.75" customHeight="1" x14ac:dyDescent="0.2">
      <c r="A24" s="7" t="s">
        <v>848</v>
      </c>
      <c r="B24" s="8" t="s">
        <v>849</v>
      </c>
      <c r="C24" s="183">
        <v>0.40526786698206702</v>
      </c>
      <c r="D24" s="183">
        <v>9.1660246500845997</v>
      </c>
    </row>
    <row r="25" spans="1:4" ht="21.75" customHeight="1" x14ac:dyDescent="0.2">
      <c r="A25" s="7" t="s">
        <v>850</v>
      </c>
      <c r="B25" s="8" t="s">
        <v>849</v>
      </c>
      <c r="C25" s="183">
        <v>0</v>
      </c>
      <c r="D25" s="183">
        <v>9.1981603102065694</v>
      </c>
    </row>
    <row r="26" spans="1:4" ht="21.75" customHeight="1" x14ac:dyDescent="0.2">
      <c r="A26" s="7" t="s">
        <v>851</v>
      </c>
      <c r="B26" s="8" t="s">
        <v>852</v>
      </c>
      <c r="C26" s="183">
        <v>0.398693297059944</v>
      </c>
      <c r="D26" s="183">
        <v>0</v>
      </c>
    </row>
    <row r="27" spans="1:4" ht="21.75" customHeight="1" x14ac:dyDescent="0.2">
      <c r="A27" s="7" t="s">
        <v>853</v>
      </c>
      <c r="B27" s="8" t="s">
        <v>854</v>
      </c>
      <c r="C27" s="183">
        <v>0.20913428694121911</v>
      </c>
      <c r="D27" s="183">
        <v>7.5770451877338987</v>
      </c>
    </row>
    <row r="28" spans="1:4" ht="21.75" customHeight="1" x14ac:dyDescent="0.2">
      <c r="A28" s="7" t="s">
        <v>855</v>
      </c>
      <c r="B28" s="8" t="s">
        <v>856</v>
      </c>
      <c r="C28" s="183">
        <v>1.6003091406585079</v>
      </c>
      <c r="D28" s="183">
        <v>16.821142504051931</v>
      </c>
    </row>
    <row r="29" spans="1:4" ht="21.75" customHeight="1" x14ac:dyDescent="0.2">
      <c r="A29" s="7" t="s">
        <v>857</v>
      </c>
      <c r="B29" s="8" t="s">
        <v>858</v>
      </c>
      <c r="C29" s="183">
        <v>4.9686026232394376</v>
      </c>
      <c r="D29" s="183">
        <v>0.54838916127154125</v>
      </c>
    </row>
    <row r="30" spans="1:4" ht="21.75" customHeight="1" x14ac:dyDescent="0.2">
      <c r="A30" s="7" t="s">
        <v>859</v>
      </c>
      <c r="B30" s="8" t="s">
        <v>860</v>
      </c>
      <c r="C30" s="183">
        <v>3.57180593091543</v>
      </c>
      <c r="D30" s="183">
        <v>8.0716723161035642</v>
      </c>
    </row>
    <row r="31" spans="1:4" ht="21.75" customHeight="1" x14ac:dyDescent="0.2">
      <c r="A31" s="7" t="s">
        <v>861</v>
      </c>
      <c r="B31" s="8" t="s">
        <v>862</v>
      </c>
      <c r="C31" s="183">
        <v>1.038650777532617</v>
      </c>
      <c r="D31" s="183">
        <v>0.16026845889294306</v>
      </c>
    </row>
    <row r="32" spans="1:4" ht="21.75" customHeight="1" x14ac:dyDescent="0.2">
      <c r="A32" s="7" t="s">
        <v>863</v>
      </c>
      <c r="B32" s="8" t="s">
        <v>864</v>
      </c>
      <c r="C32" s="183">
        <v>0.135860664059508</v>
      </c>
      <c r="D32" s="183">
        <v>0.18984953378640704</v>
      </c>
    </row>
    <row r="33" spans="1:4" ht="21.75" customHeight="1" x14ac:dyDescent="0.2">
      <c r="A33" s="7" t="s">
        <v>865</v>
      </c>
      <c r="B33" s="8" t="s">
        <v>864</v>
      </c>
      <c r="C33" s="183">
        <v>2.5849486148062502</v>
      </c>
      <c r="D33" s="183">
        <v>10.933330308819347</v>
      </c>
    </row>
    <row r="34" spans="1:4" ht="21.75" customHeight="1" x14ac:dyDescent="0.2">
      <c r="A34" s="7" t="s">
        <v>866</v>
      </c>
      <c r="B34" s="8" t="s">
        <v>867</v>
      </c>
      <c r="C34" s="183">
        <v>1.169289881881153</v>
      </c>
      <c r="D34" s="183">
        <v>5.6090862208135537</v>
      </c>
    </row>
    <row r="35" spans="1:4" ht="21.75" customHeight="1" x14ac:dyDescent="0.2">
      <c r="A35" s="7" t="s">
        <v>868</v>
      </c>
      <c r="B35" s="8" t="s">
        <v>869</v>
      </c>
      <c r="C35" s="183">
        <v>1.8139140226332551</v>
      </c>
      <c r="D35" s="183">
        <v>9.5365489135370147</v>
      </c>
    </row>
    <row r="36" spans="1:4" ht="21.75" customHeight="1" x14ac:dyDescent="0.2">
      <c r="A36" s="7" t="s">
        <v>870</v>
      </c>
      <c r="B36" s="8" t="s">
        <v>871</v>
      </c>
      <c r="C36" s="183">
        <v>1.3543859324944401</v>
      </c>
      <c r="D36" s="183">
        <v>1.8397354464510198</v>
      </c>
    </row>
    <row r="37" spans="1:4" ht="21.75" customHeight="1" x14ac:dyDescent="0.2">
      <c r="A37" s="7" t="s">
        <v>872</v>
      </c>
      <c r="B37" s="8" t="s">
        <v>873</v>
      </c>
      <c r="C37" s="183">
        <v>1.8378801722771727</v>
      </c>
      <c r="D37" s="183">
        <v>3.4345657991180638</v>
      </c>
    </row>
    <row r="38" spans="1:4" ht="21.75" customHeight="1" x14ac:dyDescent="0.2">
      <c r="A38" s="7" t="s">
        <v>874</v>
      </c>
      <c r="B38" s="8" t="s">
        <v>875</v>
      </c>
      <c r="C38" s="183">
        <v>0.41309961235000103</v>
      </c>
      <c r="D38" s="183">
        <v>15.090262664917391</v>
      </c>
    </row>
    <row r="39" spans="1:4" ht="21.75" customHeight="1" x14ac:dyDescent="0.2">
      <c r="A39" s="7" t="s">
        <v>876</v>
      </c>
      <c r="B39" s="8" t="s">
        <v>877</v>
      </c>
      <c r="C39" s="183">
        <v>0.83989327244660394</v>
      </c>
      <c r="D39" s="183">
        <v>2.4389751237997395</v>
      </c>
    </row>
    <row r="40" spans="1:4" ht="21.75" customHeight="1" x14ac:dyDescent="0.2">
      <c r="A40" s="7" t="s">
        <v>878</v>
      </c>
      <c r="B40" s="8" t="s">
        <v>879</v>
      </c>
      <c r="C40" s="183">
        <v>1.5071055611561199</v>
      </c>
      <c r="D40" s="183">
        <v>12.475476524439095</v>
      </c>
    </row>
    <row r="41" spans="1:4" ht="21.75" customHeight="1" x14ac:dyDescent="0.2">
      <c r="A41" s="7" t="s">
        <v>880</v>
      </c>
      <c r="B41" s="8" t="s">
        <v>881</v>
      </c>
      <c r="C41" s="183">
        <v>2.1126523614070898</v>
      </c>
      <c r="D41" s="183">
        <v>14.186593672872892</v>
      </c>
    </row>
    <row r="42" spans="1:4" ht="21.75" customHeight="1" x14ac:dyDescent="0.2">
      <c r="A42" s="7" t="s">
        <v>882</v>
      </c>
      <c r="B42" s="8" t="s">
        <v>883</v>
      </c>
      <c r="C42" s="183">
        <v>1.768912606155999</v>
      </c>
      <c r="D42" s="183">
        <v>14.952689967287581</v>
      </c>
    </row>
    <row r="43" spans="1:4" ht="21.75" customHeight="1" x14ac:dyDescent="0.2">
      <c r="A43" s="7" t="s">
        <v>884</v>
      </c>
      <c r="B43" s="8" t="s">
        <v>885</v>
      </c>
      <c r="C43" s="183">
        <v>3.61804205145225</v>
      </c>
      <c r="D43" s="183">
        <v>15.879838826489301</v>
      </c>
    </row>
    <row r="44" spans="1:4" ht="21.75" customHeight="1" x14ac:dyDescent="0.2">
      <c r="A44" s="7" t="s">
        <v>886</v>
      </c>
      <c r="B44" s="8" t="s">
        <v>887</v>
      </c>
      <c r="C44" s="183">
        <v>2.3935760205106149</v>
      </c>
      <c r="D44" s="183">
        <v>16.172019705282775</v>
      </c>
    </row>
    <row r="45" spans="1:4" ht="21.75" customHeight="1" x14ac:dyDescent="0.2">
      <c r="A45" s="7" t="s">
        <v>888</v>
      </c>
      <c r="B45" s="8" t="s">
        <v>889</v>
      </c>
      <c r="C45" s="183">
        <v>1.8757998491146139</v>
      </c>
      <c r="D45" s="183">
        <v>9.1387646880393874</v>
      </c>
    </row>
    <row r="46" spans="1:4" ht="21.75" customHeight="1" x14ac:dyDescent="0.2">
      <c r="A46" s="7" t="s">
        <v>890</v>
      </c>
      <c r="B46" s="8" t="s">
        <v>891</v>
      </c>
      <c r="C46" s="183">
        <v>8.1274411014347236E-2</v>
      </c>
      <c r="D46" s="183">
        <v>0.90541661006975649</v>
      </c>
    </row>
    <row r="47" spans="1:4" ht="21.75" customHeight="1" x14ac:dyDescent="0.2">
      <c r="A47" s="7" t="s">
        <v>892</v>
      </c>
      <c r="B47" s="8" t="s">
        <v>893</v>
      </c>
      <c r="C47" s="183">
        <v>3.2433622069642301E-2</v>
      </c>
      <c r="D47" s="183">
        <v>0.51243441110060328</v>
      </c>
    </row>
    <row r="48" spans="1:4" ht="21.75" customHeight="1" x14ac:dyDescent="0.2">
      <c r="A48" s="7" t="s">
        <v>894</v>
      </c>
      <c r="B48" s="8" t="s">
        <v>895</v>
      </c>
      <c r="C48" s="183">
        <v>2.1214744267987699E-2</v>
      </c>
      <c r="D48" s="183">
        <v>0.49861054065271398</v>
      </c>
    </row>
    <row r="49" spans="1:4" ht="21.75" customHeight="1" x14ac:dyDescent="0.2">
      <c r="A49" s="7" t="s">
        <v>896</v>
      </c>
      <c r="B49" s="8" t="s">
        <v>895</v>
      </c>
      <c r="C49" s="183">
        <v>2.1213309074696901E-2</v>
      </c>
      <c r="D49" s="183">
        <v>0.4989677699807531</v>
      </c>
    </row>
    <row r="50" spans="1:4" ht="21.75" customHeight="1" x14ac:dyDescent="0.2">
      <c r="A50" s="7" t="s">
        <v>897</v>
      </c>
      <c r="B50" s="8" t="s">
        <v>898</v>
      </c>
      <c r="C50" s="183">
        <v>2.2628368164798998</v>
      </c>
      <c r="D50" s="183">
        <v>0</v>
      </c>
    </row>
    <row r="51" spans="1:4" ht="21.75" customHeight="1" x14ac:dyDescent="0.2">
      <c r="A51" s="7" t="s">
        <v>899</v>
      </c>
      <c r="B51" s="8" t="s">
        <v>898</v>
      </c>
      <c r="C51" s="183">
        <v>6.2870133724528197</v>
      </c>
      <c r="D51" s="183">
        <v>0</v>
      </c>
    </row>
    <row r="52" spans="1:4" ht="21.75" customHeight="1" x14ac:dyDescent="0.2">
      <c r="A52" s="7" t="s">
        <v>900</v>
      </c>
      <c r="B52" s="8" t="s">
        <v>898</v>
      </c>
      <c r="C52" s="183">
        <v>3.7610393473704402</v>
      </c>
      <c r="D52" s="183">
        <v>0.54116934584858534</v>
      </c>
    </row>
    <row r="53" spans="1:4" ht="21.75" customHeight="1" x14ac:dyDescent="0.2">
      <c r="A53" s="7" t="s">
        <v>901</v>
      </c>
      <c r="B53" s="8" t="s">
        <v>898</v>
      </c>
      <c r="C53" s="183">
        <v>2.5162288057469433</v>
      </c>
      <c r="D53" s="183">
        <v>1.4927306255771993</v>
      </c>
    </row>
    <row r="54" spans="1:4" ht="21.75" customHeight="1" x14ac:dyDescent="0.2">
      <c r="A54" s="7" t="s">
        <v>902</v>
      </c>
      <c r="B54" s="8" t="s">
        <v>903</v>
      </c>
      <c r="C54" s="183">
        <v>0.193535605445567</v>
      </c>
      <c r="D54" s="183">
        <v>2.8298419340048078</v>
      </c>
    </row>
    <row r="55" spans="1:4" ht="21.75" customHeight="1" x14ac:dyDescent="0.2">
      <c r="A55" s="7" t="s">
        <v>904</v>
      </c>
      <c r="B55" s="8" t="s">
        <v>905</v>
      </c>
      <c r="C55" s="183">
        <v>1.2594419719536671E-4</v>
      </c>
      <c r="D55" s="183">
        <v>0</v>
      </c>
    </row>
    <row r="56" spans="1:4" ht="21.75" customHeight="1" x14ac:dyDescent="0.2">
      <c r="A56" s="7" t="s">
        <v>906</v>
      </c>
      <c r="B56" s="8" t="s">
        <v>905</v>
      </c>
      <c r="C56" s="183">
        <v>6.6133905101790002E-4</v>
      </c>
      <c r="D56" s="183">
        <v>0</v>
      </c>
    </row>
    <row r="57" spans="1:4" ht="21.75" customHeight="1" x14ac:dyDescent="0.2">
      <c r="A57" s="7" t="s">
        <v>907</v>
      </c>
      <c r="B57" s="8" t="s">
        <v>908</v>
      </c>
      <c r="C57" s="183">
        <v>3.26796503779433E-3</v>
      </c>
      <c r="D57" s="183">
        <v>0</v>
      </c>
    </row>
    <row r="58" spans="1:4" ht="21.75" customHeight="1" x14ac:dyDescent="0.2">
      <c r="A58" s="7" t="s">
        <v>909</v>
      </c>
      <c r="B58" s="8" t="s">
        <v>910</v>
      </c>
      <c r="C58" s="183">
        <v>0.21159890119375199</v>
      </c>
      <c r="D58" s="183">
        <v>10.108245617866494</v>
      </c>
    </row>
    <row r="59" spans="1:4" ht="21.75" customHeight="1" x14ac:dyDescent="0.2">
      <c r="A59" s="7" t="s">
        <v>911</v>
      </c>
      <c r="B59" s="8" t="s">
        <v>912</v>
      </c>
      <c r="C59" s="183">
        <v>0.239898382780244</v>
      </c>
      <c r="D59" s="183">
        <v>4.6414718541000832</v>
      </c>
    </row>
    <row r="60" spans="1:4" ht="21.75" customHeight="1" x14ac:dyDescent="0.2">
      <c r="A60" s="7" t="s">
        <v>913</v>
      </c>
      <c r="B60" s="8" t="s">
        <v>914</v>
      </c>
      <c r="C60" s="183">
        <v>1.0456965053365299</v>
      </c>
      <c r="D60" s="183">
        <v>2.892871082799211</v>
      </c>
    </row>
    <row r="61" spans="1:4" ht="21.75" customHeight="1" x14ac:dyDescent="0.2">
      <c r="A61" s="7" t="s">
        <v>915</v>
      </c>
      <c r="B61" s="8" t="s">
        <v>916</v>
      </c>
      <c r="C61" s="183">
        <v>1.508231667178211</v>
      </c>
      <c r="D61" s="183">
        <v>10.732676224716798</v>
      </c>
    </row>
    <row r="62" spans="1:4" ht="21.75" customHeight="1" x14ac:dyDescent="0.2">
      <c r="A62" s="7" t="s">
        <v>917</v>
      </c>
      <c r="B62" s="8" t="s">
        <v>918</v>
      </c>
      <c r="C62" s="183">
        <v>9.5872484450359448</v>
      </c>
      <c r="D62" s="183">
        <v>1.6075625967249429</v>
      </c>
    </row>
    <row r="63" spans="1:4" ht="21.75" customHeight="1" x14ac:dyDescent="0.2">
      <c r="A63" s="7" t="s">
        <v>919</v>
      </c>
      <c r="B63" s="8" t="s">
        <v>918</v>
      </c>
      <c r="C63" s="183">
        <v>0.70248350947021498</v>
      </c>
      <c r="D63" s="183">
        <v>5.2992899413683334</v>
      </c>
    </row>
    <row r="64" spans="1:4" ht="21.75" customHeight="1" x14ac:dyDescent="0.2">
      <c r="A64" s="7" t="s">
        <v>920</v>
      </c>
      <c r="B64" s="8" t="s">
        <v>918</v>
      </c>
      <c r="C64" s="183">
        <v>1.528379904435051</v>
      </c>
      <c r="D64" s="183">
        <v>9.666449357467723</v>
      </c>
    </row>
    <row r="65" spans="1:4" ht="21.75" customHeight="1" x14ac:dyDescent="0.2">
      <c r="A65" s="7" t="s">
        <v>921</v>
      </c>
      <c r="B65" s="8" t="s">
        <v>922</v>
      </c>
      <c r="C65" s="183">
        <v>4.5800603651571299E-2</v>
      </c>
      <c r="D65" s="183">
        <v>0</v>
      </c>
    </row>
    <row r="66" spans="1:4" ht="21.75" customHeight="1" x14ac:dyDescent="0.2">
      <c r="A66" s="7" t="s">
        <v>923</v>
      </c>
      <c r="B66" s="8" t="s">
        <v>924</v>
      </c>
      <c r="C66" s="183">
        <v>0.51207577459605003</v>
      </c>
      <c r="D66" s="183">
        <v>11.550989853646852</v>
      </c>
    </row>
    <row r="67" spans="1:4" ht="21.75" customHeight="1" x14ac:dyDescent="0.2">
      <c r="A67" s="7" t="s">
        <v>925</v>
      </c>
      <c r="B67" s="8" t="s">
        <v>926</v>
      </c>
      <c r="C67" s="183">
        <v>12.357307633344437</v>
      </c>
      <c r="D67" s="183">
        <v>25.216553661210295</v>
      </c>
    </row>
    <row r="68" spans="1:4" ht="21.75" customHeight="1" x14ac:dyDescent="0.2">
      <c r="A68" s="7" t="s">
        <v>927</v>
      </c>
      <c r="B68" s="8" t="s">
        <v>928</v>
      </c>
      <c r="C68" s="183">
        <v>2.58756245931488</v>
      </c>
      <c r="D68" s="183">
        <v>13.249000287958065</v>
      </c>
    </row>
    <row r="69" spans="1:4" ht="21.75" customHeight="1" x14ac:dyDescent="0.2">
      <c r="A69" s="7" t="s">
        <v>929</v>
      </c>
      <c r="B69" s="8" t="s">
        <v>930</v>
      </c>
      <c r="C69" s="183">
        <v>1.5619289557381748</v>
      </c>
      <c r="D69" s="183">
        <v>12.006502316204934</v>
      </c>
    </row>
    <row r="70" spans="1:4" ht="21.75" customHeight="1" x14ac:dyDescent="0.2">
      <c r="A70" s="7" t="s">
        <v>931</v>
      </c>
      <c r="B70" s="8" t="s">
        <v>932</v>
      </c>
      <c r="C70" s="183">
        <v>0.25755090721026602</v>
      </c>
      <c r="D70" s="183">
        <v>2.561801390605853</v>
      </c>
    </row>
    <row r="71" spans="1:4" ht="21.75" customHeight="1" x14ac:dyDescent="0.2">
      <c r="A71" s="7" t="s">
        <v>933</v>
      </c>
      <c r="B71" s="8" t="s">
        <v>932</v>
      </c>
      <c r="C71" s="183">
        <v>1.5914986557850641</v>
      </c>
      <c r="D71" s="183">
        <v>12.486308478431333</v>
      </c>
    </row>
    <row r="72" spans="1:4" ht="21.75" customHeight="1" x14ac:dyDescent="0.2">
      <c r="A72" s="7" t="s">
        <v>934</v>
      </c>
      <c r="B72" s="8" t="s">
        <v>935</v>
      </c>
      <c r="C72" s="183">
        <v>0</v>
      </c>
      <c r="D72" s="183">
        <v>0</v>
      </c>
    </row>
    <row r="73" spans="1:4" ht="21.75" customHeight="1" x14ac:dyDescent="0.2">
      <c r="A73" s="7" t="s">
        <v>936</v>
      </c>
      <c r="B73" s="8" t="s">
        <v>937</v>
      </c>
      <c r="C73" s="183">
        <v>1.50959939841896E-2</v>
      </c>
      <c r="D73" s="183">
        <v>2.9510974277313795</v>
      </c>
    </row>
    <row r="74" spans="1:4" ht="21.75" customHeight="1" x14ac:dyDescent="0.2">
      <c r="A74" s="7" t="s">
        <v>938</v>
      </c>
      <c r="B74" s="8" t="s">
        <v>939</v>
      </c>
      <c r="C74" s="183">
        <v>0.70500544065363702</v>
      </c>
      <c r="D74" s="183">
        <v>7.9235646789720713</v>
      </c>
    </row>
    <row r="75" spans="1:4" ht="21.75" customHeight="1" x14ac:dyDescent="0.2">
      <c r="A75" s="7" t="s">
        <v>940</v>
      </c>
      <c r="B75" s="8" t="s">
        <v>941</v>
      </c>
      <c r="C75" s="183">
        <v>1.25240207870511</v>
      </c>
      <c r="D75" s="183">
        <v>6.5157117199052008</v>
      </c>
    </row>
    <row r="76" spans="1:4" ht="21.75" customHeight="1" x14ac:dyDescent="0.2">
      <c r="A76" s="7" t="s">
        <v>942</v>
      </c>
      <c r="B76" s="8" t="s">
        <v>943</v>
      </c>
      <c r="C76" s="183">
        <v>5.7038517106482806E-2</v>
      </c>
      <c r="D76" s="183">
        <v>14.821396404773674</v>
      </c>
    </row>
    <row r="77" spans="1:4" ht="21.75" customHeight="1" x14ac:dyDescent="0.2">
      <c r="A77" s="7" t="s">
        <v>944</v>
      </c>
      <c r="B77" s="8" t="s">
        <v>945</v>
      </c>
      <c r="C77" s="183">
        <v>0</v>
      </c>
      <c r="D77" s="183">
        <v>0</v>
      </c>
    </row>
    <row r="78" spans="1:4" ht="21.75" customHeight="1" x14ac:dyDescent="0.2">
      <c r="A78" s="7" t="s">
        <v>946</v>
      </c>
      <c r="B78" s="8" t="s">
        <v>947</v>
      </c>
      <c r="C78" s="183">
        <v>1.1047072953366561</v>
      </c>
      <c r="D78" s="183">
        <v>2.9012086142269142</v>
      </c>
    </row>
    <row r="79" spans="1:4" ht="21.75" customHeight="1" x14ac:dyDescent="0.2">
      <c r="A79" s="7" t="s">
        <v>948</v>
      </c>
      <c r="B79" s="8" t="s">
        <v>949</v>
      </c>
      <c r="C79" s="183">
        <v>0.36542121728855703</v>
      </c>
      <c r="D79" s="183">
        <v>0.17811330233942524</v>
      </c>
    </row>
    <row r="80" spans="1:4" ht="21.75" customHeight="1" x14ac:dyDescent="0.2">
      <c r="A80" s="7" t="s">
        <v>950</v>
      </c>
      <c r="B80" s="8" t="s">
        <v>951</v>
      </c>
      <c r="C80" s="183">
        <v>0.80800003161154499</v>
      </c>
      <c r="D80" s="183">
        <v>2.0324562625391351</v>
      </c>
    </row>
    <row r="81" spans="1:4" ht="21.75" customHeight="1" x14ac:dyDescent="0.2">
      <c r="A81" s="7" t="s">
        <v>952</v>
      </c>
      <c r="B81" s="8" t="s">
        <v>953</v>
      </c>
      <c r="C81" s="183">
        <v>0</v>
      </c>
      <c r="D81" s="183">
        <v>0</v>
      </c>
    </row>
    <row r="82" spans="1:4" ht="21.75" customHeight="1" x14ac:dyDescent="0.2">
      <c r="A82" s="7" t="s">
        <v>954</v>
      </c>
      <c r="B82" s="8" t="s">
        <v>953</v>
      </c>
      <c r="C82" s="183">
        <v>0</v>
      </c>
      <c r="D82" s="183">
        <v>0</v>
      </c>
    </row>
    <row r="83" spans="1:4" ht="21.75" customHeight="1" x14ac:dyDescent="0.2">
      <c r="A83" s="7" t="s">
        <v>955</v>
      </c>
      <c r="B83" s="8" t="s">
        <v>956</v>
      </c>
      <c r="C83" s="183">
        <v>1.1699176432983998</v>
      </c>
      <c r="D83" s="183">
        <v>4.4931805751807774E-2</v>
      </c>
    </row>
    <row r="84" spans="1:4" ht="21.75" customHeight="1" x14ac:dyDescent="0.2">
      <c r="A84" s="7" t="s">
        <v>957</v>
      </c>
      <c r="B84" s="8" t="s">
        <v>958</v>
      </c>
      <c r="C84" s="183">
        <v>2.1002236065098399</v>
      </c>
      <c r="D84" s="183">
        <v>4.8524771372074689</v>
      </c>
    </row>
    <row r="85" spans="1:4" ht="21.75" customHeight="1" x14ac:dyDescent="0.2">
      <c r="A85" s="7" t="s">
        <v>959</v>
      </c>
      <c r="B85" s="8" t="s">
        <v>960</v>
      </c>
      <c r="C85" s="183">
        <v>2.52408700995427</v>
      </c>
      <c r="D85" s="183">
        <v>5.5637103218762594</v>
      </c>
    </row>
    <row r="86" spans="1:4" ht="21.75" customHeight="1" x14ac:dyDescent="0.2">
      <c r="A86" s="7" t="s">
        <v>961</v>
      </c>
      <c r="B86" s="8" t="s">
        <v>962</v>
      </c>
      <c r="C86" s="183">
        <v>2.5334305670990442</v>
      </c>
      <c r="D86" s="183">
        <v>6.0626774220061002</v>
      </c>
    </row>
    <row r="87" spans="1:4" ht="21.75" customHeight="1" x14ac:dyDescent="0.2">
      <c r="A87" s="7" t="s">
        <v>963</v>
      </c>
      <c r="B87" s="8" t="s">
        <v>964</v>
      </c>
      <c r="C87" s="183">
        <v>0.13490807936981891</v>
      </c>
      <c r="D87" s="183">
        <v>12.365893241577117</v>
      </c>
    </row>
    <row r="88" spans="1:4" ht="21.75" customHeight="1" x14ac:dyDescent="0.2">
      <c r="A88" s="7" t="s">
        <v>965</v>
      </c>
      <c r="B88" s="8" t="s">
        <v>966</v>
      </c>
      <c r="C88" s="183">
        <v>4.6540757857385401E-2</v>
      </c>
      <c r="D88" s="183">
        <v>3.4852987801535922</v>
      </c>
    </row>
    <row r="89" spans="1:4" ht="21.75" customHeight="1" x14ac:dyDescent="0.2">
      <c r="A89" s="7" t="s">
        <v>967</v>
      </c>
      <c r="B89" s="8" t="s">
        <v>968</v>
      </c>
      <c r="C89" s="183">
        <v>0.98037301897817997</v>
      </c>
      <c r="D89" s="183">
        <v>5.1364139469501788</v>
      </c>
    </row>
    <row r="90" spans="1:4" ht="21.75" customHeight="1" x14ac:dyDescent="0.2">
      <c r="A90" s="7" t="s">
        <v>969</v>
      </c>
      <c r="B90" s="8" t="s">
        <v>970</v>
      </c>
      <c r="C90" s="183">
        <v>0.100678368414332</v>
      </c>
      <c r="D90" s="183">
        <v>10.211848445267794</v>
      </c>
    </row>
    <row r="91" spans="1:4" ht="21.75" customHeight="1" x14ac:dyDescent="0.2">
      <c r="A91" s="7" t="s">
        <v>971</v>
      </c>
      <c r="B91" s="8" t="s">
        <v>970</v>
      </c>
      <c r="C91" s="183">
        <v>0.10074407327949</v>
      </c>
      <c r="D91" s="183">
        <v>10.45337831309784</v>
      </c>
    </row>
    <row r="92" spans="1:4" ht="21.75" customHeight="1" x14ac:dyDescent="0.2">
      <c r="A92" s="7" t="s">
        <v>972</v>
      </c>
      <c r="B92" s="8" t="s">
        <v>973</v>
      </c>
      <c r="C92" s="183">
        <v>3.1374595892612502</v>
      </c>
      <c r="D92" s="183">
        <v>10.837390322771549</v>
      </c>
    </row>
    <row r="93" spans="1:4" ht="21.75" customHeight="1" x14ac:dyDescent="0.2">
      <c r="A93" s="7" t="s">
        <v>974</v>
      </c>
      <c r="B93" s="8" t="s">
        <v>975</v>
      </c>
      <c r="C93" s="183">
        <v>0.90016016712131286</v>
      </c>
      <c r="D93" s="183">
        <v>16.897116888101404</v>
      </c>
    </row>
    <row r="94" spans="1:4" ht="21.75" customHeight="1" x14ac:dyDescent="0.2">
      <c r="A94" s="7" t="s">
        <v>976</v>
      </c>
      <c r="B94" s="8" t="s">
        <v>977</v>
      </c>
      <c r="C94" s="183">
        <v>0.28410183762185071</v>
      </c>
      <c r="D94" s="183">
        <v>2.3215762925456684E-2</v>
      </c>
    </row>
    <row r="95" spans="1:4" ht="21.75" customHeight="1" x14ac:dyDescent="0.2">
      <c r="A95" s="7" t="s">
        <v>978</v>
      </c>
      <c r="B95" s="8" t="s">
        <v>979</v>
      </c>
      <c r="C95" s="183">
        <v>0.79014341171581703</v>
      </c>
      <c r="D95" s="183">
        <v>17.057759644799013</v>
      </c>
    </row>
    <row r="96" spans="1:4" ht="21.75" customHeight="1" x14ac:dyDescent="0.2">
      <c r="A96" s="7" t="s">
        <v>980</v>
      </c>
      <c r="B96" s="8" t="s">
        <v>981</v>
      </c>
      <c r="C96" s="183">
        <v>0.37169027258856202</v>
      </c>
      <c r="D96" s="183">
        <v>9.12426797004942</v>
      </c>
    </row>
    <row r="97" spans="1:4" ht="21.75" customHeight="1" x14ac:dyDescent="0.2">
      <c r="A97" s="7" t="s">
        <v>982</v>
      </c>
      <c r="B97" s="8" t="s">
        <v>983</v>
      </c>
      <c r="C97" s="183">
        <v>7.4545548598129496</v>
      </c>
      <c r="D97" s="183">
        <v>13.090480984804413</v>
      </c>
    </row>
    <row r="98" spans="1:4" ht="21.75" customHeight="1" x14ac:dyDescent="0.2">
      <c r="A98" s="7" t="s">
        <v>984</v>
      </c>
      <c r="B98" s="8" t="s">
        <v>985</v>
      </c>
      <c r="C98" s="183">
        <v>0</v>
      </c>
      <c r="D98" s="183">
        <v>0</v>
      </c>
    </row>
    <row r="99" spans="1:4" ht="21.75" customHeight="1" x14ac:dyDescent="0.2">
      <c r="A99" s="7" t="s">
        <v>986</v>
      </c>
      <c r="B99" s="8" t="s">
        <v>987</v>
      </c>
      <c r="C99" s="183">
        <v>0.2562938109268324</v>
      </c>
      <c r="D99" s="183">
        <v>6.8871144112829521</v>
      </c>
    </row>
    <row r="100" spans="1:4" ht="21.75" customHeight="1" x14ac:dyDescent="0.2">
      <c r="A100" s="7" t="s">
        <v>988</v>
      </c>
      <c r="B100" s="8" t="s">
        <v>989</v>
      </c>
      <c r="C100" s="183">
        <v>0.54851905881618801</v>
      </c>
      <c r="D100" s="183">
        <v>13.747008282897156</v>
      </c>
    </row>
    <row r="101" spans="1:4" ht="21.75" customHeight="1" x14ac:dyDescent="0.2">
      <c r="A101" s="7" t="s">
        <v>990</v>
      </c>
      <c r="B101" s="8" t="s">
        <v>991</v>
      </c>
      <c r="C101" s="183">
        <v>5.2141201548961437E-2</v>
      </c>
      <c r="D101" s="183">
        <v>0</v>
      </c>
    </row>
    <row r="102" spans="1:4" ht="21.75" customHeight="1" x14ac:dyDescent="0.2">
      <c r="A102" s="7" t="s">
        <v>992</v>
      </c>
      <c r="B102" s="8" t="s">
        <v>993</v>
      </c>
      <c r="C102" s="183">
        <v>0</v>
      </c>
      <c r="D102" s="183">
        <v>0</v>
      </c>
    </row>
    <row r="103" spans="1:4" ht="21.75" customHeight="1" x14ac:dyDescent="0.2">
      <c r="A103" s="7" t="s">
        <v>994</v>
      </c>
      <c r="B103" s="8" t="s">
        <v>995</v>
      </c>
      <c r="C103" s="183">
        <v>1.8525273519832899</v>
      </c>
      <c r="D103" s="183">
        <v>0.63174866981205513</v>
      </c>
    </row>
    <row r="104" spans="1:4" ht="21.75" customHeight="1" x14ac:dyDescent="0.2">
      <c r="A104" s="7" t="s">
        <v>996</v>
      </c>
      <c r="B104" s="8" t="s">
        <v>995</v>
      </c>
      <c r="C104" s="183">
        <v>1.852694470835698</v>
      </c>
      <c r="D104" s="183">
        <v>0.63205734007011394</v>
      </c>
    </row>
    <row r="105" spans="1:4" ht="21.75" customHeight="1" x14ac:dyDescent="0.2">
      <c r="A105" s="7" t="s">
        <v>997</v>
      </c>
      <c r="B105" s="8" t="s">
        <v>995</v>
      </c>
      <c r="C105" s="183">
        <v>1.8526944708357</v>
      </c>
      <c r="D105" s="183">
        <v>0.63205734007011405</v>
      </c>
    </row>
    <row r="106" spans="1:4" ht="21.75" customHeight="1" x14ac:dyDescent="0.2">
      <c r="A106" s="7" t="s">
        <v>998</v>
      </c>
      <c r="B106" s="8" t="s">
        <v>999</v>
      </c>
      <c r="C106" s="183">
        <v>0.86794581336971233</v>
      </c>
      <c r="D106" s="183">
        <v>5.5656157582601891</v>
      </c>
    </row>
    <row r="107" spans="1:4" ht="21.75" customHeight="1" x14ac:dyDescent="0.2">
      <c r="A107" s="7" t="s">
        <v>1000</v>
      </c>
      <c r="B107" s="8" t="s">
        <v>1001</v>
      </c>
      <c r="C107" s="183">
        <v>0.14228670707903179</v>
      </c>
      <c r="D107" s="183">
        <v>8.9108764731046257</v>
      </c>
    </row>
    <row r="108" spans="1:4" ht="21.75" customHeight="1" x14ac:dyDescent="0.2">
      <c r="A108" s="7" t="s">
        <v>1002</v>
      </c>
      <c r="B108" s="8" t="s">
        <v>1003</v>
      </c>
      <c r="C108" s="183">
        <v>0.42452454418445773</v>
      </c>
      <c r="D108" s="183">
        <v>9.6545625286758305</v>
      </c>
    </row>
    <row r="109" spans="1:4" ht="21.75" customHeight="1" x14ac:dyDescent="0.2">
      <c r="A109" s="7" t="s">
        <v>1004</v>
      </c>
      <c r="B109" s="8" t="s">
        <v>1005</v>
      </c>
      <c r="C109" s="183">
        <v>0</v>
      </c>
      <c r="D109" s="183">
        <v>10.281888074874381</v>
      </c>
    </row>
    <row r="110" spans="1:4" ht="21.75" customHeight="1" x14ac:dyDescent="0.2">
      <c r="A110" s="7" t="s">
        <v>1006</v>
      </c>
      <c r="B110" s="8" t="s">
        <v>1007</v>
      </c>
      <c r="C110" s="183">
        <v>0.102202869337678</v>
      </c>
      <c r="D110" s="183">
        <v>0</v>
      </c>
    </row>
    <row r="111" spans="1:4" ht="21.75" customHeight="1" x14ac:dyDescent="0.2">
      <c r="A111" s="7" t="s">
        <v>1008</v>
      </c>
      <c r="B111" s="8" t="s">
        <v>1007</v>
      </c>
      <c r="C111" s="183">
        <v>0.102451619615788</v>
      </c>
      <c r="D111" s="183">
        <v>0</v>
      </c>
    </row>
    <row r="112" spans="1:4" ht="21.75" customHeight="1" x14ac:dyDescent="0.2">
      <c r="A112" s="7" t="s">
        <v>1009</v>
      </c>
      <c r="B112" s="8" t="s">
        <v>1010</v>
      </c>
      <c r="C112" s="183">
        <v>0</v>
      </c>
      <c r="D112" s="183">
        <v>0</v>
      </c>
    </row>
    <row r="113" spans="1:4" ht="21.75" customHeight="1" x14ac:dyDescent="0.2">
      <c r="A113" s="7" t="s">
        <v>1011</v>
      </c>
      <c r="B113" s="8" t="s">
        <v>1012</v>
      </c>
      <c r="C113" s="183">
        <v>0.31740611474621</v>
      </c>
      <c r="D113" s="183">
        <v>0.34654814296401232</v>
      </c>
    </row>
    <row r="114" spans="1:4" ht="21.75" customHeight="1" x14ac:dyDescent="0.2">
      <c r="A114" s="7" t="s">
        <v>1013</v>
      </c>
      <c r="B114" s="8" t="s">
        <v>1014</v>
      </c>
      <c r="C114" s="183">
        <v>3.1795682355883502E-2</v>
      </c>
      <c r="D114" s="183">
        <v>4.3576070669252136</v>
      </c>
    </row>
    <row r="115" spans="1:4" ht="21.75" customHeight="1" x14ac:dyDescent="0.2">
      <c r="A115" s="7" t="s">
        <v>1015</v>
      </c>
      <c r="B115" s="8" t="s">
        <v>1016</v>
      </c>
      <c r="C115" s="183">
        <v>0</v>
      </c>
      <c r="D115" s="183">
        <v>0</v>
      </c>
    </row>
    <row r="116" spans="1:4" ht="21.75" customHeight="1" x14ac:dyDescent="0.2">
      <c r="A116" s="7" t="s">
        <v>1017</v>
      </c>
      <c r="B116" s="8" t="s">
        <v>1018</v>
      </c>
      <c r="C116" s="183">
        <v>0</v>
      </c>
      <c r="D116" s="183">
        <v>0</v>
      </c>
    </row>
    <row r="117" spans="1:4" ht="21.75" customHeight="1" x14ac:dyDescent="0.2">
      <c r="A117" s="7" t="s">
        <v>1019</v>
      </c>
      <c r="B117" s="8" t="s">
        <v>1020</v>
      </c>
      <c r="C117" s="183">
        <v>0</v>
      </c>
      <c r="D117" s="183">
        <v>5.9593275486516202E-3</v>
      </c>
    </row>
    <row r="118" spans="1:4" ht="21.75" customHeight="1" x14ac:dyDescent="0.2">
      <c r="A118" s="7" t="s">
        <v>1021</v>
      </c>
      <c r="B118" s="8" t="s">
        <v>1022</v>
      </c>
      <c r="C118" s="183">
        <v>2.27203616271127E-2</v>
      </c>
      <c r="D118" s="183">
        <v>9.757066446475589</v>
      </c>
    </row>
    <row r="119" spans="1:4" ht="21.75" customHeight="1" x14ac:dyDescent="0.2">
      <c r="A119" s="7" t="s">
        <v>1023</v>
      </c>
      <c r="B119" s="8" t="s">
        <v>1022</v>
      </c>
      <c r="C119" s="183">
        <v>2.2909297467179301E-2</v>
      </c>
      <c r="D119" s="183">
        <v>9.7578172951070528</v>
      </c>
    </row>
    <row r="120" spans="1:4" ht="21.75" customHeight="1" x14ac:dyDescent="0.2">
      <c r="A120" s="7" t="s">
        <v>1024</v>
      </c>
      <c r="B120" s="8" t="s">
        <v>1025</v>
      </c>
      <c r="C120" s="183">
        <v>0.8464649582776469</v>
      </c>
      <c r="D120" s="183">
        <v>11.929271683056859</v>
      </c>
    </row>
    <row r="121" spans="1:4" ht="21.75" customHeight="1" x14ac:dyDescent="0.2">
      <c r="A121" s="7" t="s">
        <v>1026</v>
      </c>
      <c r="B121" s="8" t="s">
        <v>1027</v>
      </c>
      <c r="C121" s="183">
        <v>0.81495372159492996</v>
      </c>
      <c r="D121" s="183">
        <v>11.12054381019936</v>
      </c>
    </row>
    <row r="122" spans="1:4" ht="21.75" customHeight="1" x14ac:dyDescent="0.2">
      <c r="A122" s="7" t="s">
        <v>1028</v>
      </c>
      <c r="B122" s="8" t="s">
        <v>1029</v>
      </c>
      <c r="C122" s="183">
        <v>0.32940409267332998</v>
      </c>
      <c r="D122" s="183">
        <v>4.2432719502953402</v>
      </c>
    </row>
    <row r="123" spans="1:4" ht="21.75" customHeight="1" x14ac:dyDescent="0.2">
      <c r="A123" s="7" t="s">
        <v>1030</v>
      </c>
      <c r="B123" s="8" t="s">
        <v>1029</v>
      </c>
      <c r="C123" s="183">
        <v>0.15484188580946462</v>
      </c>
      <c r="D123" s="183">
        <v>9.1846297440320797</v>
      </c>
    </row>
    <row r="124" spans="1:4" ht="21.75" customHeight="1" x14ac:dyDescent="0.2">
      <c r="A124" s="7" t="s">
        <v>1031</v>
      </c>
      <c r="B124" s="8" t="s">
        <v>1032</v>
      </c>
      <c r="C124" s="183">
        <v>0.59008080174157906</v>
      </c>
      <c r="D124" s="183">
        <v>9.5439224328371886</v>
      </c>
    </row>
    <row r="125" spans="1:4" ht="21.75" customHeight="1" x14ac:dyDescent="0.2">
      <c r="A125" s="7" t="s">
        <v>1033</v>
      </c>
      <c r="B125" s="8" t="s">
        <v>1034</v>
      </c>
      <c r="C125" s="183">
        <v>0</v>
      </c>
      <c r="D125" s="183">
        <v>0</v>
      </c>
    </row>
    <row r="126" spans="1:4" ht="21.75" customHeight="1" x14ac:dyDescent="0.2">
      <c r="A126" s="7" t="s">
        <v>1035</v>
      </c>
      <c r="B126" s="8" t="s">
        <v>1036</v>
      </c>
      <c r="C126" s="183">
        <v>0</v>
      </c>
      <c r="D126" s="183">
        <v>0</v>
      </c>
    </row>
    <row r="127" spans="1:4" ht="21.75" customHeight="1" x14ac:dyDescent="0.2">
      <c r="A127" s="7" t="s">
        <v>1037</v>
      </c>
      <c r="B127" s="8" t="s">
        <v>1038</v>
      </c>
      <c r="C127" s="183">
        <v>1.7105477907390449</v>
      </c>
      <c r="D127" s="183">
        <v>7.9617291179589929</v>
      </c>
    </row>
    <row r="128" spans="1:4" ht="21.75" customHeight="1" x14ac:dyDescent="0.2">
      <c r="A128" s="7" t="s">
        <v>1039</v>
      </c>
      <c r="B128" s="8" t="s">
        <v>1040</v>
      </c>
      <c r="C128" s="183">
        <v>3.4595021265527688</v>
      </c>
      <c r="D128" s="183">
        <v>0</v>
      </c>
    </row>
    <row r="129" spans="1:4" ht="21.75" customHeight="1" x14ac:dyDescent="0.2">
      <c r="A129" s="7" t="s">
        <v>1041</v>
      </c>
      <c r="B129" s="8" t="s">
        <v>1042</v>
      </c>
      <c r="C129" s="183">
        <v>8.3569010682421965</v>
      </c>
      <c r="D129" s="183">
        <v>3.4688388704253725E-2</v>
      </c>
    </row>
    <row r="130" spans="1:4" ht="21.75" customHeight="1" x14ac:dyDescent="0.2">
      <c r="A130" s="7" t="s">
        <v>1043</v>
      </c>
      <c r="B130" s="8" t="s">
        <v>1042</v>
      </c>
      <c r="C130" s="183">
        <v>4.8412007336872183</v>
      </c>
      <c r="D130" s="183">
        <v>0.18612695962155623</v>
      </c>
    </row>
    <row r="131" spans="1:4" ht="21.75" customHeight="1" x14ac:dyDescent="0.2">
      <c r="A131" s="7" t="s">
        <v>1044</v>
      </c>
      <c r="B131" s="8" t="s">
        <v>1045</v>
      </c>
      <c r="C131" s="183">
        <v>0.200499838086901</v>
      </c>
      <c r="D131" s="183">
        <v>1.5479455625991863</v>
      </c>
    </row>
    <row r="132" spans="1:4" ht="21.75" customHeight="1" x14ac:dyDescent="0.2">
      <c r="A132" s="7" t="s">
        <v>1046</v>
      </c>
      <c r="B132" s="8" t="s">
        <v>1047</v>
      </c>
      <c r="C132" s="183">
        <v>0.45371063534717904</v>
      </c>
      <c r="D132" s="183">
        <v>6.6809355613877717</v>
      </c>
    </row>
    <row r="133" spans="1:4" ht="21.75" customHeight="1" x14ac:dyDescent="0.2">
      <c r="A133" s="7" t="s">
        <v>1048</v>
      </c>
      <c r="B133" s="8" t="s">
        <v>1049</v>
      </c>
      <c r="C133" s="183">
        <v>1.14078834804568</v>
      </c>
      <c r="D133" s="183">
        <v>10.620365275103969</v>
      </c>
    </row>
    <row r="134" spans="1:4" ht="21.75" customHeight="1" x14ac:dyDescent="0.2">
      <c r="A134" s="7" t="s">
        <v>1050</v>
      </c>
      <c r="B134" s="8" t="s">
        <v>1051</v>
      </c>
      <c r="C134" s="183">
        <v>1.3178971449903609</v>
      </c>
      <c r="D134" s="183">
        <v>6.3012346899590579</v>
      </c>
    </row>
    <row r="135" spans="1:4" ht="21.75" customHeight="1" x14ac:dyDescent="0.2">
      <c r="A135" s="7" t="s">
        <v>1052</v>
      </c>
      <c r="B135" s="8" t="s">
        <v>1053</v>
      </c>
      <c r="C135" s="183">
        <v>0.54583425954544906</v>
      </c>
      <c r="D135" s="183">
        <v>8.386617445051435</v>
      </c>
    </row>
    <row r="136" spans="1:4" ht="21.75" customHeight="1" x14ac:dyDescent="0.2">
      <c r="A136" s="7" t="s">
        <v>1054</v>
      </c>
      <c r="B136" s="8" t="s">
        <v>1055</v>
      </c>
      <c r="C136" s="183">
        <v>0.45472312817244698</v>
      </c>
      <c r="D136" s="183">
        <v>15.884368419471755</v>
      </c>
    </row>
    <row r="137" spans="1:4" ht="21.75" customHeight="1" x14ac:dyDescent="0.2">
      <c r="A137" s="7" t="s">
        <v>1056</v>
      </c>
      <c r="B137" s="8" t="s">
        <v>1057</v>
      </c>
      <c r="C137" s="183">
        <v>0.44391716275023296</v>
      </c>
      <c r="D137" s="183">
        <v>16.703778299504055</v>
      </c>
    </row>
    <row r="138" spans="1:4" ht="21.75" customHeight="1" x14ac:dyDescent="0.2">
      <c r="A138" s="7" t="s">
        <v>1058</v>
      </c>
      <c r="B138" s="8" t="s">
        <v>1059</v>
      </c>
      <c r="C138" s="183">
        <v>0.28338700931363259</v>
      </c>
      <c r="D138" s="183">
        <v>1.3329430806475473</v>
      </c>
    </row>
    <row r="139" spans="1:4" ht="21.75" customHeight="1" x14ac:dyDescent="0.2">
      <c r="A139" s="7" t="s">
        <v>1060</v>
      </c>
      <c r="B139" s="8" t="s">
        <v>1059</v>
      </c>
      <c r="C139" s="183">
        <v>0.66757727594501504</v>
      </c>
      <c r="D139" s="183">
        <v>2.3380235851042768</v>
      </c>
    </row>
    <row r="140" spans="1:4" ht="21.75" customHeight="1" x14ac:dyDescent="0.2">
      <c r="A140" s="7" t="s">
        <v>1061</v>
      </c>
      <c r="B140" s="8" t="s">
        <v>1062</v>
      </c>
      <c r="C140" s="183">
        <v>1.19062508249516E-2</v>
      </c>
      <c r="D140" s="183">
        <v>0</v>
      </c>
    </row>
    <row r="141" spans="1:4" ht="21.75" customHeight="1" x14ac:dyDescent="0.2">
      <c r="A141" s="7" t="s">
        <v>1063</v>
      </c>
      <c r="B141" s="8" t="s">
        <v>1064</v>
      </c>
      <c r="C141" s="183">
        <v>0.29103351932956589</v>
      </c>
      <c r="D141" s="183">
        <v>8.4202293451866339</v>
      </c>
    </row>
    <row r="142" spans="1:4" ht="21.75" customHeight="1" x14ac:dyDescent="0.2">
      <c r="A142" s="7" t="s">
        <v>1065</v>
      </c>
      <c r="B142" s="8" t="s">
        <v>1066</v>
      </c>
      <c r="C142" s="183">
        <v>0.16033044171262451</v>
      </c>
      <c r="D142" s="183">
        <v>1.1578816770100782</v>
      </c>
    </row>
    <row r="143" spans="1:4" ht="21.75" customHeight="1" x14ac:dyDescent="0.2">
      <c r="A143" s="7" t="s">
        <v>1067</v>
      </c>
      <c r="B143" s="8" t="s">
        <v>1068</v>
      </c>
      <c r="C143" s="183">
        <v>0</v>
      </c>
      <c r="D143" s="183">
        <v>0</v>
      </c>
    </row>
    <row r="144" spans="1:4" ht="21.75" customHeight="1" x14ac:dyDescent="0.2">
      <c r="A144" s="7" t="s">
        <v>1069</v>
      </c>
      <c r="B144" s="8" t="s">
        <v>1070</v>
      </c>
      <c r="C144" s="183">
        <v>1.0685221076355931</v>
      </c>
      <c r="D144" s="183">
        <v>11.557236654169026</v>
      </c>
    </row>
    <row r="145" spans="1:4" ht="21.75" customHeight="1" x14ac:dyDescent="0.2">
      <c r="A145" s="7" t="s">
        <v>1071</v>
      </c>
      <c r="B145" s="8" t="s">
        <v>1072</v>
      </c>
      <c r="C145" s="183">
        <v>0</v>
      </c>
      <c r="D145" s="183">
        <v>0</v>
      </c>
    </row>
    <row r="146" spans="1:4" ht="21.75" customHeight="1" x14ac:dyDescent="0.2">
      <c r="A146" s="7" t="s">
        <v>1073</v>
      </c>
      <c r="B146" s="8" t="s">
        <v>1074</v>
      </c>
      <c r="C146" s="183">
        <v>0.73043618176078196</v>
      </c>
      <c r="D146" s="183">
        <v>3.4228360657492041</v>
      </c>
    </row>
    <row r="147" spans="1:4" ht="21.75" customHeight="1" x14ac:dyDescent="0.2">
      <c r="A147" s="7" t="s">
        <v>1075</v>
      </c>
      <c r="B147" s="8" t="s">
        <v>1076</v>
      </c>
      <c r="C147" s="183">
        <v>0.46530501734903101</v>
      </c>
      <c r="D147" s="183">
        <v>4.9635107858168368</v>
      </c>
    </row>
    <row r="148" spans="1:4" ht="21.75" customHeight="1" x14ac:dyDescent="0.2">
      <c r="A148" s="7" t="s">
        <v>1077</v>
      </c>
      <c r="B148" s="8" t="s">
        <v>1078</v>
      </c>
      <c r="C148" s="183">
        <v>0.95854633953394996</v>
      </c>
      <c r="D148" s="183">
        <v>13.574497891959743</v>
      </c>
    </row>
    <row r="149" spans="1:4" ht="21.75" customHeight="1" x14ac:dyDescent="0.2">
      <c r="A149" s="7" t="s">
        <v>1079</v>
      </c>
      <c r="B149" s="8" t="s">
        <v>1080</v>
      </c>
      <c r="C149" s="183">
        <v>0</v>
      </c>
      <c r="D149" s="183">
        <v>0</v>
      </c>
    </row>
    <row r="150" spans="1:4" ht="21.75" customHeight="1" x14ac:dyDescent="0.2">
      <c r="A150" s="7" t="s">
        <v>1081</v>
      </c>
      <c r="B150" s="8" t="s">
        <v>1080</v>
      </c>
      <c r="C150" s="183">
        <v>0.181304291999133</v>
      </c>
      <c r="D150" s="183">
        <v>4.7306098197204269</v>
      </c>
    </row>
    <row r="151" spans="1:4" ht="21.75" customHeight="1" x14ac:dyDescent="0.2">
      <c r="A151" s="7" t="s">
        <v>1082</v>
      </c>
      <c r="B151" s="8" t="s">
        <v>1083</v>
      </c>
      <c r="C151" s="183">
        <v>0.148330519535773</v>
      </c>
      <c r="D151" s="183">
        <v>10.369392172344641</v>
      </c>
    </row>
    <row r="152" spans="1:4" ht="21.75" customHeight="1" x14ac:dyDescent="0.2">
      <c r="A152" s="7" t="s">
        <v>1084</v>
      </c>
      <c r="B152" s="8" t="s">
        <v>1083</v>
      </c>
      <c r="C152" s="183">
        <v>0.14821155389273599</v>
      </c>
      <c r="D152" s="183">
        <v>10.507798227212614</v>
      </c>
    </row>
    <row r="153" spans="1:4" ht="21.75" customHeight="1" x14ac:dyDescent="0.2">
      <c r="A153" s="7" t="s">
        <v>1085</v>
      </c>
      <c r="B153" s="8" t="s">
        <v>1086</v>
      </c>
      <c r="C153" s="183">
        <v>2.4799611424323742E-2</v>
      </c>
      <c r="D153" s="183">
        <v>16.268259415055464</v>
      </c>
    </row>
    <row r="154" spans="1:4" ht="21.75" customHeight="1" x14ac:dyDescent="0.2">
      <c r="A154" s="7" t="s">
        <v>1087</v>
      </c>
      <c r="B154" s="8" t="s">
        <v>1088</v>
      </c>
      <c r="C154" s="183">
        <v>0.27161564873829602</v>
      </c>
      <c r="D154" s="183">
        <v>3.2078396933577502E-2</v>
      </c>
    </row>
    <row r="155" spans="1:4" ht="21.75" customHeight="1" x14ac:dyDescent="0.2">
      <c r="A155" s="7" t="s">
        <v>1089</v>
      </c>
      <c r="B155" s="8" t="s">
        <v>1090</v>
      </c>
      <c r="C155" s="183">
        <v>0.922622927933752</v>
      </c>
      <c r="D155" s="183">
        <v>4.5322879180611535</v>
      </c>
    </row>
    <row r="156" spans="1:4" ht="21.75" customHeight="1" x14ac:dyDescent="0.2">
      <c r="A156" s="7" t="s">
        <v>1091</v>
      </c>
      <c r="B156" s="8" t="s">
        <v>1090</v>
      </c>
      <c r="C156" s="183">
        <v>0.416920277783219</v>
      </c>
      <c r="D156" s="183">
        <v>5.879312832266165</v>
      </c>
    </row>
    <row r="157" spans="1:4" ht="21.75" customHeight="1" x14ac:dyDescent="0.2">
      <c r="A157" s="7" t="s">
        <v>1092</v>
      </c>
      <c r="B157" s="8" t="s">
        <v>1093</v>
      </c>
      <c r="C157" s="183">
        <v>2.10902848212256</v>
      </c>
      <c r="D157" s="183">
        <v>0</v>
      </c>
    </row>
    <row r="158" spans="1:4" ht="21.75" customHeight="1" x14ac:dyDescent="0.2">
      <c r="A158" s="7" t="s">
        <v>1094</v>
      </c>
      <c r="B158" s="8" t="s">
        <v>1095</v>
      </c>
      <c r="C158" s="183">
        <v>0.41448004278048001</v>
      </c>
      <c r="D158" s="183">
        <v>14.211060459771092</v>
      </c>
    </row>
    <row r="159" spans="1:4" ht="21.75" customHeight="1" x14ac:dyDescent="0.2">
      <c r="A159" s="7" t="s">
        <v>1096</v>
      </c>
      <c r="B159" s="8" t="s">
        <v>1097</v>
      </c>
      <c r="C159" s="183">
        <v>0.2354395107428742</v>
      </c>
      <c r="D159" s="183">
        <v>4.5073248161554762</v>
      </c>
    </row>
    <row r="160" spans="1:4" ht="21.75" customHeight="1" x14ac:dyDescent="0.2">
      <c r="A160" s="7" t="s">
        <v>1098</v>
      </c>
      <c r="B160" s="8" t="s">
        <v>1099</v>
      </c>
      <c r="C160" s="183">
        <v>0.13663718704233399</v>
      </c>
      <c r="D160" s="183">
        <v>1.434217760184006</v>
      </c>
    </row>
    <row r="161" spans="1:4" ht="21.75" customHeight="1" x14ac:dyDescent="0.2">
      <c r="A161" s="7" t="s">
        <v>1100</v>
      </c>
      <c r="B161" s="8" t="s">
        <v>1099</v>
      </c>
      <c r="C161" s="183">
        <v>0.136628026488918</v>
      </c>
      <c r="D161" s="183">
        <v>1.4362218483306113</v>
      </c>
    </row>
    <row r="162" spans="1:4" ht="21.75" customHeight="1" x14ac:dyDescent="0.2">
      <c r="A162" s="7" t="s">
        <v>1101</v>
      </c>
      <c r="B162" s="8" t="s">
        <v>1102</v>
      </c>
      <c r="C162" s="183">
        <v>0</v>
      </c>
      <c r="D162" s="183">
        <v>0</v>
      </c>
    </row>
    <row r="163" spans="1:4" ht="21.75" customHeight="1" x14ac:dyDescent="0.2">
      <c r="A163" s="7" t="s">
        <v>1103</v>
      </c>
      <c r="B163" s="8" t="s">
        <v>1104</v>
      </c>
      <c r="C163" s="183">
        <v>0.70134006566693996</v>
      </c>
      <c r="D163" s="183">
        <v>1.5654055039386645</v>
      </c>
    </row>
    <row r="164" spans="1:4" ht="21.75" customHeight="1" x14ac:dyDescent="0.2">
      <c r="A164" s="7" t="s">
        <v>1105</v>
      </c>
      <c r="B164" s="8" t="s">
        <v>1106</v>
      </c>
      <c r="C164" s="183">
        <v>0.98868157456658501</v>
      </c>
      <c r="D164" s="183">
        <v>7.981084448975504</v>
      </c>
    </row>
    <row r="165" spans="1:4" ht="21.75" customHeight="1" x14ac:dyDescent="0.2">
      <c r="A165" s="7" t="s">
        <v>1107</v>
      </c>
      <c r="B165" s="8" t="s">
        <v>1108</v>
      </c>
      <c r="C165" s="183">
        <v>0.94648733738366997</v>
      </c>
      <c r="D165" s="183">
        <v>5.0663655583312983E-2</v>
      </c>
    </row>
    <row r="166" spans="1:4" ht="21.75" customHeight="1" x14ac:dyDescent="0.2">
      <c r="A166" s="7" t="s">
        <v>1109</v>
      </c>
      <c r="B166" s="8" t="s">
        <v>1108</v>
      </c>
      <c r="C166" s="183">
        <v>1.252557595626042</v>
      </c>
      <c r="D166" s="183">
        <v>1.1259231484951375</v>
      </c>
    </row>
    <row r="167" spans="1:4" ht="21.75" customHeight="1" x14ac:dyDescent="0.2">
      <c r="A167" s="7" t="s">
        <v>1110</v>
      </c>
      <c r="B167" s="8" t="s">
        <v>1111</v>
      </c>
      <c r="C167" s="183">
        <v>1.2848777759684609</v>
      </c>
      <c r="D167" s="183">
        <v>5.6189303095548313</v>
      </c>
    </row>
    <row r="168" spans="1:4" ht="21.75" customHeight="1" x14ac:dyDescent="0.2">
      <c r="A168" s="7" t="s">
        <v>1112</v>
      </c>
      <c r="B168" s="8" t="s">
        <v>1113</v>
      </c>
      <c r="C168" s="183">
        <v>0.34597581504428399</v>
      </c>
      <c r="D168" s="183">
        <v>8.6720427691272217</v>
      </c>
    </row>
    <row r="169" spans="1:4" ht="21.75" customHeight="1" x14ac:dyDescent="0.2">
      <c r="A169" s="7" t="s">
        <v>1114</v>
      </c>
      <c r="B169" s="8" t="s">
        <v>1115</v>
      </c>
      <c r="C169" s="183">
        <v>1.393383778474734</v>
      </c>
      <c r="D169" s="183">
        <v>3.9671234551816394</v>
      </c>
    </row>
    <row r="170" spans="1:4" ht="21.75" customHeight="1" x14ac:dyDescent="0.2">
      <c r="A170" s="7" t="s">
        <v>1116</v>
      </c>
      <c r="B170" s="8" t="s">
        <v>1117</v>
      </c>
      <c r="C170" s="183">
        <v>0.17966692501439249</v>
      </c>
      <c r="D170" s="183">
        <v>4.551898792727517</v>
      </c>
    </row>
    <row r="171" spans="1:4" ht="21.75" customHeight="1" x14ac:dyDescent="0.2">
      <c r="A171" s="7" t="s">
        <v>1118</v>
      </c>
      <c r="B171" s="8" t="s">
        <v>1119</v>
      </c>
      <c r="C171" s="183">
        <v>0</v>
      </c>
      <c r="D171" s="183">
        <v>0.77725628184546725</v>
      </c>
    </row>
    <row r="172" spans="1:4" ht="21.75" customHeight="1" x14ac:dyDescent="0.2">
      <c r="A172" s="7" t="s">
        <v>1120</v>
      </c>
      <c r="B172" s="8" t="s">
        <v>1119</v>
      </c>
      <c r="C172" s="183">
        <v>0.95395373309320197</v>
      </c>
      <c r="D172" s="183">
        <v>2.4631905952901909</v>
      </c>
    </row>
    <row r="173" spans="1:4" ht="21.75" customHeight="1" x14ac:dyDescent="0.2">
      <c r="A173" s="7" t="s">
        <v>1121</v>
      </c>
      <c r="B173" s="8" t="s">
        <v>1122</v>
      </c>
      <c r="C173" s="183">
        <v>1.00533760987198</v>
      </c>
      <c r="D173" s="183">
        <v>2.6682840027422401</v>
      </c>
    </row>
    <row r="174" spans="1:4" ht="21.75" customHeight="1" x14ac:dyDescent="0.2">
      <c r="A174" s="7" t="s">
        <v>1123</v>
      </c>
      <c r="B174" s="8" t="s">
        <v>1124</v>
      </c>
      <c r="C174" s="183">
        <v>0.104261879028656</v>
      </c>
      <c r="D174" s="183">
        <v>3.8779208450992764</v>
      </c>
    </row>
    <row r="175" spans="1:4" ht="21.75" customHeight="1" x14ac:dyDescent="0.2">
      <c r="A175" s="7" t="s">
        <v>1125</v>
      </c>
      <c r="B175" s="8" t="s">
        <v>1124</v>
      </c>
      <c r="C175" s="183">
        <v>0.105693600937902</v>
      </c>
      <c r="D175" s="183">
        <v>3.9180505702061175</v>
      </c>
    </row>
    <row r="176" spans="1:4" ht="21.75" customHeight="1" x14ac:dyDescent="0.2">
      <c r="A176" s="7" t="s">
        <v>1126</v>
      </c>
      <c r="B176" s="8" t="s">
        <v>1127</v>
      </c>
      <c r="C176" s="183">
        <v>0.67041485614571295</v>
      </c>
      <c r="D176" s="183">
        <v>13.009677486733365</v>
      </c>
    </row>
    <row r="177" spans="1:4" ht="21.75" customHeight="1" x14ac:dyDescent="0.2">
      <c r="A177" s="7" t="s">
        <v>1128</v>
      </c>
      <c r="B177" s="8" t="s">
        <v>1129</v>
      </c>
      <c r="C177" s="183">
        <v>0.16309477919301199</v>
      </c>
      <c r="D177" s="183">
        <v>10.657025004505845</v>
      </c>
    </row>
    <row r="178" spans="1:4" ht="21.75" customHeight="1" x14ac:dyDescent="0.2">
      <c r="A178" s="7" t="s">
        <v>1130</v>
      </c>
      <c r="B178" s="8" t="s">
        <v>1129</v>
      </c>
      <c r="C178" s="183">
        <v>0.163082714881121</v>
      </c>
      <c r="D178" s="183">
        <v>10.658143004416011</v>
      </c>
    </row>
    <row r="179" spans="1:4" ht="21.75" customHeight="1" x14ac:dyDescent="0.2">
      <c r="A179" s="7" t="s">
        <v>1131</v>
      </c>
      <c r="B179" s="8" t="s">
        <v>1132</v>
      </c>
      <c r="C179" s="183">
        <v>6.670986595052586E-2</v>
      </c>
      <c r="D179" s="183">
        <v>5.660387261342506E-3</v>
      </c>
    </row>
    <row r="180" spans="1:4" ht="21.75" customHeight="1" x14ac:dyDescent="0.2">
      <c r="A180" s="7" t="s">
        <v>1133</v>
      </c>
      <c r="B180" s="8" t="s">
        <v>1134</v>
      </c>
      <c r="C180" s="183">
        <v>0.1212975501139115</v>
      </c>
      <c r="D180" s="183">
        <v>0</v>
      </c>
    </row>
    <row r="181" spans="1:4" ht="21.75" customHeight="1" x14ac:dyDescent="0.2">
      <c r="A181" s="7" t="s">
        <v>1135</v>
      </c>
      <c r="B181" s="8" t="s">
        <v>1136</v>
      </c>
      <c r="C181" s="183">
        <v>0.31585693753173016</v>
      </c>
      <c r="D181" s="183">
        <v>0.91612529881697213</v>
      </c>
    </row>
    <row r="182" spans="1:4" ht="21.75" customHeight="1" x14ac:dyDescent="0.2">
      <c r="A182" s="7" t="s">
        <v>1137</v>
      </c>
      <c r="B182" s="8" t="s">
        <v>1138</v>
      </c>
      <c r="C182" s="183">
        <v>1.3</v>
      </c>
      <c r="D182" s="183">
        <v>0</v>
      </c>
    </row>
    <row r="183" spans="1:4" ht="21.75" customHeight="1" x14ac:dyDescent="0.2">
      <c r="A183" s="7" t="s">
        <v>1139</v>
      </c>
      <c r="B183" s="8" t="s">
        <v>1140</v>
      </c>
      <c r="C183" s="183">
        <v>2.2681923564756139</v>
      </c>
      <c r="D183" s="183">
        <v>0</v>
      </c>
    </row>
    <row r="184" spans="1:4" ht="21.75" customHeight="1" x14ac:dyDescent="0.2">
      <c r="A184" s="7" t="s">
        <v>1141</v>
      </c>
      <c r="B184" s="8" t="s">
        <v>1140</v>
      </c>
      <c r="C184" s="183">
        <v>2.2681923564756139</v>
      </c>
      <c r="D184" s="183">
        <v>13.011278794434896</v>
      </c>
    </row>
    <row r="185" spans="1:4" ht="21.75" customHeight="1" x14ac:dyDescent="0.2">
      <c r="A185" s="7" t="s">
        <v>1142</v>
      </c>
      <c r="B185" s="8" t="s">
        <v>1143</v>
      </c>
      <c r="C185" s="183">
        <v>0.45131306682648303</v>
      </c>
      <c r="D185" s="183">
        <v>2</v>
      </c>
    </row>
    <row r="186" spans="1:4" ht="21.75" customHeight="1" x14ac:dyDescent="0.2">
      <c r="A186" s="7" t="s">
        <v>1144</v>
      </c>
      <c r="B186" s="8" t="s">
        <v>1145</v>
      </c>
      <c r="C186" s="183">
        <v>7</v>
      </c>
      <c r="D186" s="183">
        <v>2.5068026483430259</v>
      </c>
    </row>
    <row r="187" spans="1:4" ht="21.75" customHeight="1" x14ac:dyDescent="0.2">
      <c r="A187" s="7" t="s">
        <v>1146</v>
      </c>
      <c r="B187" s="8" t="s">
        <v>1147</v>
      </c>
      <c r="C187" s="183">
        <v>3.3544336766752334</v>
      </c>
      <c r="D187" s="183">
        <v>1.4854897851392934</v>
      </c>
    </row>
    <row r="188" spans="1:4" ht="21.75" customHeight="1" x14ac:dyDescent="0.2">
      <c r="A188" s="7" t="s">
        <v>1148</v>
      </c>
      <c r="B188" s="8" t="s">
        <v>1147</v>
      </c>
      <c r="C188" s="183">
        <v>0.89438313637230382</v>
      </c>
      <c r="D188" s="183">
        <v>1.8609118446370931</v>
      </c>
    </row>
    <row r="189" spans="1:4" ht="21.75" customHeight="1" x14ac:dyDescent="0.2">
      <c r="A189" s="7" t="s">
        <v>1149</v>
      </c>
      <c r="B189" s="8" t="s">
        <v>1147</v>
      </c>
      <c r="C189" s="183">
        <v>0.89438313637230382</v>
      </c>
      <c r="D189" s="183">
        <v>13.692783897508299</v>
      </c>
    </row>
    <row r="190" spans="1:4" ht="21.75" customHeight="1" x14ac:dyDescent="0.2">
      <c r="A190" s="7" t="s">
        <v>1150</v>
      </c>
      <c r="B190" s="8" t="s">
        <v>1151</v>
      </c>
      <c r="C190" s="183">
        <v>0</v>
      </c>
      <c r="D190" s="183">
        <v>0</v>
      </c>
    </row>
    <row r="191" spans="1:4" ht="21.75" customHeight="1" x14ac:dyDescent="0.2">
      <c r="A191" s="7" t="s">
        <v>1152</v>
      </c>
      <c r="B191" s="8" t="s">
        <v>1151</v>
      </c>
      <c r="C191" s="183">
        <v>2.6529451353988334</v>
      </c>
      <c r="D191" s="183">
        <v>0</v>
      </c>
    </row>
    <row r="192" spans="1:4" ht="21.75" customHeight="1" x14ac:dyDescent="0.2">
      <c r="A192" s="7" t="s">
        <v>1153</v>
      </c>
      <c r="B192" s="8" t="s">
        <v>1154</v>
      </c>
      <c r="C192" s="183">
        <v>2.5137744712613719</v>
      </c>
      <c r="D192" s="183">
        <v>7.225276936172329</v>
      </c>
    </row>
    <row r="193" spans="1:4" ht="21.75" customHeight="1" x14ac:dyDescent="0.2">
      <c r="A193" s="7" t="s">
        <v>1155</v>
      </c>
      <c r="B193" s="8" t="s">
        <v>1156</v>
      </c>
      <c r="C193" s="183">
        <v>0</v>
      </c>
      <c r="D193" s="183">
        <v>0</v>
      </c>
    </row>
    <row r="194" spans="1:4" ht="21.75" customHeight="1" x14ac:dyDescent="0.2">
      <c r="A194" s="7" t="s">
        <v>1157</v>
      </c>
      <c r="B194" s="8" t="s">
        <v>1156</v>
      </c>
      <c r="C194" s="183">
        <v>0</v>
      </c>
      <c r="D194" s="183">
        <v>0</v>
      </c>
    </row>
    <row r="195" spans="1:4" ht="21.75" customHeight="1" x14ac:dyDescent="0.2">
      <c r="A195" s="7" t="s">
        <v>1158</v>
      </c>
      <c r="B195" s="8" t="s">
        <v>1159</v>
      </c>
      <c r="C195" s="183">
        <v>0</v>
      </c>
      <c r="D195" s="183">
        <v>0</v>
      </c>
    </row>
    <row r="196" spans="1:4" ht="21.75" customHeight="1" x14ac:dyDescent="0.2">
      <c r="A196" s="7" t="s">
        <v>1160</v>
      </c>
      <c r="B196" s="8" t="s">
        <v>1161</v>
      </c>
      <c r="C196" s="183">
        <v>9.0279451587405385E-2</v>
      </c>
      <c r="D196" s="183">
        <v>0</v>
      </c>
    </row>
    <row r="197" spans="1:4" ht="21.75" customHeight="1" x14ac:dyDescent="0.2">
      <c r="A197" s="7" t="s">
        <v>1162</v>
      </c>
      <c r="B197" s="8" t="s">
        <v>1163</v>
      </c>
      <c r="C197" s="183">
        <v>9.4985015830035976E-2</v>
      </c>
      <c r="D197" s="183">
        <v>0</v>
      </c>
    </row>
    <row r="198" spans="1:4" ht="21.75" customHeight="1" x14ac:dyDescent="0.2">
      <c r="A198" s="7" t="s">
        <v>1164</v>
      </c>
      <c r="B198" s="8" t="s">
        <v>1165</v>
      </c>
      <c r="C198" s="183">
        <v>4.5513982848221703E-2</v>
      </c>
      <c r="D198" s="183">
        <v>0</v>
      </c>
    </row>
    <row r="199" spans="1:4" ht="21.75" customHeight="1" x14ac:dyDescent="0.2">
      <c r="A199" s="7" t="s">
        <v>1166</v>
      </c>
      <c r="B199" s="8" t="s">
        <v>1167</v>
      </c>
      <c r="C199" s="183">
        <v>0</v>
      </c>
      <c r="D199" s="183">
        <v>0</v>
      </c>
    </row>
    <row r="200" spans="1:4" ht="21.75" customHeight="1" x14ac:dyDescent="0.2">
      <c r="A200" s="7" t="s">
        <v>1168</v>
      </c>
      <c r="B200" s="8" t="s">
        <v>1169</v>
      </c>
      <c r="C200" s="183">
        <v>0.17945938856770471</v>
      </c>
      <c r="D200" s="183">
        <v>8.1941979000967926</v>
      </c>
    </row>
    <row r="201" spans="1:4" ht="21.75" customHeight="1" x14ac:dyDescent="0.2">
      <c r="A201" s="7" t="s">
        <v>1170</v>
      </c>
      <c r="B201" s="8" t="s">
        <v>1171</v>
      </c>
      <c r="C201" s="183">
        <v>0</v>
      </c>
      <c r="D201" s="183">
        <v>0</v>
      </c>
    </row>
    <row r="202" spans="1:4" ht="21.75" customHeight="1" x14ac:dyDescent="0.2">
      <c r="A202" s="7" t="s">
        <v>1172</v>
      </c>
      <c r="B202" s="8" t="s">
        <v>1171</v>
      </c>
      <c r="C202" s="183">
        <v>0</v>
      </c>
      <c r="D202" s="183">
        <v>2.3172144739269891</v>
      </c>
    </row>
    <row r="203" spans="1:4" ht="21.75" customHeight="1" x14ac:dyDescent="0.2">
      <c r="A203" s="7" t="s">
        <v>1173</v>
      </c>
      <c r="B203" s="8" t="s">
        <v>1174</v>
      </c>
      <c r="C203" s="183">
        <v>0.65443638427973649</v>
      </c>
      <c r="D203" s="183">
        <v>5.2689403931653889E-3</v>
      </c>
    </row>
    <row r="204" spans="1:4" ht="21.75" customHeight="1" x14ac:dyDescent="0.2">
      <c r="A204" s="7" t="s">
        <v>1175</v>
      </c>
      <c r="B204" s="8" t="s">
        <v>1176</v>
      </c>
      <c r="C204" s="183">
        <v>0.86794581336971233</v>
      </c>
      <c r="D204" s="183">
        <v>5.5656157582601891</v>
      </c>
    </row>
    <row r="205" spans="1:4" ht="21.75" customHeight="1" x14ac:dyDescent="0.2">
      <c r="A205" s="7" t="s">
        <v>1177</v>
      </c>
      <c r="B205" s="8" t="s">
        <v>1178</v>
      </c>
      <c r="C205" s="183">
        <v>9.1775725624774007E-6</v>
      </c>
      <c r="D205" s="183">
        <v>0</v>
      </c>
    </row>
    <row r="206" spans="1:4" ht="21.75" customHeight="1" x14ac:dyDescent="0.2">
      <c r="A206" s="7" t="s">
        <v>1179</v>
      </c>
      <c r="B206" s="8" t="s">
        <v>1180</v>
      </c>
      <c r="C206" s="183">
        <v>0</v>
      </c>
      <c r="D206" s="183">
        <v>0</v>
      </c>
    </row>
    <row r="207" spans="1:4" ht="21.75" customHeight="1" x14ac:dyDescent="0.2">
      <c r="A207" s="7" t="s">
        <v>1181</v>
      </c>
      <c r="B207" s="8" t="s">
        <v>1182</v>
      </c>
      <c r="C207" s="183">
        <v>2.2226830774893201E-2</v>
      </c>
      <c r="D207" s="183">
        <v>0</v>
      </c>
    </row>
    <row r="208" spans="1:4" ht="21.75" customHeight="1" x14ac:dyDescent="0.2">
      <c r="A208" s="7" t="s">
        <v>1183</v>
      </c>
      <c r="B208" s="8" t="s">
        <v>1184</v>
      </c>
      <c r="C208" s="183">
        <v>0.52671772582601006</v>
      </c>
      <c r="D208" s="183">
        <v>8.2778951383362775E-2</v>
      </c>
    </row>
    <row r="209" spans="1:4" ht="21.75" customHeight="1" x14ac:dyDescent="0.2">
      <c r="A209" s="7" t="s">
        <v>1185</v>
      </c>
      <c r="B209" s="8" t="s">
        <v>1186</v>
      </c>
      <c r="C209" s="183">
        <v>4.6511103886196041</v>
      </c>
      <c r="D209" s="183">
        <v>0</v>
      </c>
    </row>
    <row r="210" spans="1:4" ht="21.75" customHeight="1" x14ac:dyDescent="0.2">
      <c r="A210" s="7" t="s">
        <v>1187</v>
      </c>
      <c r="B210" s="8" t="s">
        <v>1188</v>
      </c>
      <c r="C210" s="183">
        <v>8.3569010682421965</v>
      </c>
      <c r="D210" s="183">
        <v>3.4688388704253725E-2</v>
      </c>
    </row>
    <row r="211" spans="1:4" ht="21.75" customHeight="1" x14ac:dyDescent="0.2">
      <c r="A211" s="7" t="s">
        <v>1189</v>
      </c>
      <c r="B211" s="8" t="s">
        <v>1188</v>
      </c>
      <c r="C211" s="183">
        <v>8.8848749331208605</v>
      </c>
      <c r="D211" s="183">
        <v>3.5531225407650524E-2</v>
      </c>
    </row>
    <row r="212" spans="1:4" ht="21.75" customHeight="1" x14ac:dyDescent="0.2">
      <c r="A212" s="7" t="s">
        <v>1190</v>
      </c>
      <c r="B212" s="8" t="s">
        <v>1191</v>
      </c>
      <c r="C212" s="183">
        <v>8.9417394657290448</v>
      </c>
      <c r="D212" s="183">
        <v>3.1090199183516631E-3</v>
      </c>
    </row>
    <row r="213" spans="1:4" ht="21.75" customHeight="1" x14ac:dyDescent="0.2">
      <c r="A213" s="7" t="s">
        <v>1192</v>
      </c>
      <c r="B213" s="8" t="s">
        <v>1191</v>
      </c>
      <c r="C213" s="183">
        <v>9.4804655643896982</v>
      </c>
      <c r="D213" s="183">
        <v>1.2356743819459837E-2</v>
      </c>
    </row>
    <row r="214" spans="1:4" ht="21.75" customHeight="1" x14ac:dyDescent="0.2">
      <c r="A214" s="7" t="s">
        <v>1193</v>
      </c>
      <c r="B214" s="8" t="s">
        <v>1194</v>
      </c>
      <c r="C214" s="183">
        <v>0.65243355104620604</v>
      </c>
      <c r="D214" s="183">
        <v>7.4504216724808519</v>
      </c>
    </row>
    <row r="215" spans="1:4" ht="21.75" customHeight="1" x14ac:dyDescent="0.2">
      <c r="A215" s="7" t="s">
        <v>1195</v>
      </c>
      <c r="B215" s="8" t="s">
        <v>1196</v>
      </c>
      <c r="C215" s="183">
        <v>0</v>
      </c>
      <c r="D215" s="183">
        <v>0</v>
      </c>
    </row>
    <row r="216" spans="1:4" ht="21.75" customHeight="1" x14ac:dyDescent="0.2">
      <c r="A216" s="7" t="s">
        <v>1197</v>
      </c>
      <c r="B216" s="8" t="s">
        <v>1198</v>
      </c>
      <c r="C216" s="183">
        <v>0</v>
      </c>
      <c r="D216" s="183">
        <v>0</v>
      </c>
    </row>
    <row r="217" spans="1:4" ht="21.75" customHeight="1" x14ac:dyDescent="0.2">
      <c r="A217" s="7" t="s">
        <v>1199</v>
      </c>
      <c r="B217" s="8" t="s">
        <v>1200</v>
      </c>
      <c r="C217" s="183">
        <v>1.9344600400984244</v>
      </c>
      <c r="D217" s="183">
        <v>3.5713404125396337</v>
      </c>
    </row>
    <row r="218" spans="1:4" ht="21.75" customHeight="1" x14ac:dyDescent="0.2">
      <c r="A218" s="7" t="s">
        <v>1201</v>
      </c>
      <c r="B218" s="8" t="s">
        <v>1202</v>
      </c>
      <c r="C218" s="183">
        <v>0</v>
      </c>
      <c r="D218" s="183">
        <v>0.11305385726511474</v>
      </c>
    </row>
    <row r="219" spans="1:4" ht="21.75" customHeight="1" x14ac:dyDescent="0.2">
      <c r="A219" s="7" t="s">
        <v>1203</v>
      </c>
      <c r="B219" s="8" t="s">
        <v>1204</v>
      </c>
      <c r="C219" s="183">
        <v>0</v>
      </c>
      <c r="D219" s="183">
        <v>1.5628363184485838</v>
      </c>
    </row>
    <row r="220" spans="1:4" ht="21.75" customHeight="1" x14ac:dyDescent="0.2">
      <c r="A220" s="7" t="s">
        <v>1205</v>
      </c>
      <c r="B220" s="8" t="s">
        <v>1206</v>
      </c>
      <c r="C220" s="183">
        <v>0</v>
      </c>
      <c r="D220" s="183">
        <v>0</v>
      </c>
    </row>
    <row r="221" spans="1:4" ht="21.75" customHeight="1" x14ac:dyDescent="0.2">
      <c r="A221" s="7" t="s">
        <v>1207</v>
      </c>
      <c r="B221" s="8" t="s">
        <v>1208</v>
      </c>
      <c r="C221" s="183">
        <v>5.6672104724006613E-2</v>
      </c>
      <c r="D221" s="183">
        <v>0</v>
      </c>
    </row>
    <row r="222" spans="1:4" ht="21.75" customHeight="1" x14ac:dyDescent="0.2">
      <c r="A222" s="7" t="s">
        <v>1209</v>
      </c>
      <c r="B222" s="8" t="s">
        <v>1210</v>
      </c>
      <c r="C222" s="183">
        <v>0.30217157459632121</v>
      </c>
      <c r="D222" s="183">
        <v>19.38613416146379</v>
      </c>
    </row>
    <row r="223" spans="1:4" ht="21.75" customHeight="1" x14ac:dyDescent="0.2">
      <c r="A223" s="7" t="s">
        <v>1211</v>
      </c>
      <c r="B223" s="8" t="s">
        <v>1212</v>
      </c>
      <c r="C223" s="183">
        <v>0.27213944325217271</v>
      </c>
      <c r="D223" s="183">
        <v>0</v>
      </c>
    </row>
    <row r="224" spans="1:4" ht="21.75" customHeight="1" x14ac:dyDescent="0.2">
      <c r="A224" s="7" t="s">
        <v>1213</v>
      </c>
      <c r="B224" s="8" t="s">
        <v>1212</v>
      </c>
      <c r="C224" s="183">
        <v>0.2721394003916619</v>
      </c>
      <c r="D224" s="183">
        <v>0</v>
      </c>
    </row>
    <row r="225" spans="1:4" ht="21.75" customHeight="1" x14ac:dyDescent="0.2">
      <c r="A225" s="7" t="s">
        <v>1214</v>
      </c>
      <c r="B225" s="8" t="s">
        <v>1215</v>
      </c>
      <c r="C225" s="183">
        <v>1.4737647279833552</v>
      </c>
      <c r="D225" s="183">
        <v>2.7213629431873914</v>
      </c>
    </row>
    <row r="226" spans="1:4" ht="21.75" customHeight="1" x14ac:dyDescent="0.2">
      <c r="A226" s="7" t="s">
        <v>1216</v>
      </c>
      <c r="B226" s="8" t="s">
        <v>1215</v>
      </c>
      <c r="C226" s="183">
        <v>1.4737647279833552</v>
      </c>
      <c r="D226" s="183">
        <v>54.32629138965703</v>
      </c>
    </row>
    <row r="227" spans="1:4" ht="21.75" customHeight="1" x14ac:dyDescent="0.2">
      <c r="A227" s="7" t="s">
        <v>1217</v>
      </c>
      <c r="B227" s="8" t="s">
        <v>1218</v>
      </c>
      <c r="C227" s="183">
        <v>0</v>
      </c>
      <c r="D227" s="183">
        <v>0</v>
      </c>
    </row>
    <row r="228" spans="1:4" ht="21.75" customHeight="1" x14ac:dyDescent="0.2">
      <c r="A228" s="7" t="s">
        <v>1219</v>
      </c>
      <c r="B228" s="8" t="s">
        <v>1220</v>
      </c>
      <c r="C228" s="183">
        <v>0.98218585716547169</v>
      </c>
      <c r="D228" s="183">
        <v>4.4821935800553909</v>
      </c>
    </row>
    <row r="229" spans="1:4" ht="21.75" customHeight="1" x14ac:dyDescent="0.2">
      <c r="A229" s="7" t="s">
        <v>1221</v>
      </c>
      <c r="B229" s="8" t="s">
        <v>1222</v>
      </c>
      <c r="C229" s="183">
        <v>3.1516453575164407</v>
      </c>
      <c r="D229" s="183">
        <v>17.394386688713759</v>
      </c>
    </row>
    <row r="230" spans="1:4" ht="21.75" customHeight="1" x14ac:dyDescent="0.2">
      <c r="A230" s="7" t="s">
        <v>1223</v>
      </c>
      <c r="B230" s="8" t="s">
        <v>1224</v>
      </c>
      <c r="C230" s="183">
        <v>1.4257962555799581</v>
      </c>
      <c r="D230" s="183">
        <v>0.40330350098395995</v>
      </c>
    </row>
    <row r="231" spans="1:4" ht="21.75" customHeight="1" x14ac:dyDescent="0.2">
      <c r="A231" s="7" t="s">
        <v>1225</v>
      </c>
      <c r="B231" s="8" t="s">
        <v>1226</v>
      </c>
      <c r="C231" s="183">
        <v>1.4872248858244879</v>
      </c>
      <c r="D231" s="183">
        <v>15.61768624204802</v>
      </c>
    </row>
    <row r="232" spans="1:4" ht="21.75" customHeight="1" x14ac:dyDescent="0.2">
      <c r="A232" s="7" t="s">
        <v>1227</v>
      </c>
      <c r="B232" s="8" t="s">
        <v>1226</v>
      </c>
      <c r="C232" s="183">
        <v>1.5154523833527438</v>
      </c>
      <c r="D232" s="183">
        <v>15.899985140965521</v>
      </c>
    </row>
    <row r="233" spans="1:4" ht="21.75" customHeight="1" x14ac:dyDescent="0.2">
      <c r="A233" s="7" t="s">
        <v>1228</v>
      </c>
      <c r="B233" s="8" t="s">
        <v>1229</v>
      </c>
      <c r="C233" s="183">
        <v>1.3407712785023027</v>
      </c>
      <c r="D233" s="183">
        <v>1.7432358483443133</v>
      </c>
    </row>
    <row r="234" spans="1:4" ht="21.75" customHeight="1" x14ac:dyDescent="0.2">
      <c r="A234" s="7" t="s">
        <v>1230</v>
      </c>
      <c r="B234" s="8" t="s">
        <v>1231</v>
      </c>
      <c r="C234" s="183">
        <v>5.9369445396214529</v>
      </c>
      <c r="D234" s="183">
        <v>0.55304838443284776</v>
      </c>
    </row>
    <row r="235" spans="1:4" ht="21.75" customHeight="1" x14ac:dyDescent="0.2">
      <c r="A235" s="7" t="s">
        <v>1232</v>
      </c>
      <c r="B235" s="8" t="s">
        <v>1231</v>
      </c>
      <c r="C235" s="183">
        <v>6.0045798745367449</v>
      </c>
      <c r="D235" s="183">
        <v>0.7235831175067311</v>
      </c>
    </row>
    <row r="236" spans="1:4" ht="21.75" customHeight="1" x14ac:dyDescent="0.2">
      <c r="A236" s="7" t="s">
        <v>1233</v>
      </c>
      <c r="B236" s="8" t="s">
        <v>1234</v>
      </c>
      <c r="C236" s="183">
        <v>3.5950332043671631</v>
      </c>
      <c r="D236" s="183">
        <v>0</v>
      </c>
    </row>
    <row r="237" spans="1:4" ht="21.75" customHeight="1" x14ac:dyDescent="0.2">
      <c r="A237" s="7" t="s">
        <v>1235</v>
      </c>
      <c r="B237" s="8" t="s">
        <v>1236</v>
      </c>
      <c r="C237" s="183">
        <v>0</v>
      </c>
      <c r="D237" s="183">
        <v>0</v>
      </c>
    </row>
    <row r="238" spans="1:4" ht="21.75" customHeight="1" x14ac:dyDescent="0.2">
      <c r="A238" s="7" t="s">
        <v>1237</v>
      </c>
      <c r="B238" s="8" t="s">
        <v>1238</v>
      </c>
      <c r="C238" s="183">
        <v>4.8412007336872183</v>
      </c>
      <c r="D238" s="183">
        <v>0.18612695962155623</v>
      </c>
    </row>
    <row r="239" spans="1:4" ht="21.75" customHeight="1" x14ac:dyDescent="0.2">
      <c r="A239" s="7" t="s">
        <v>1239</v>
      </c>
      <c r="B239" s="8" t="s">
        <v>1238</v>
      </c>
      <c r="C239" s="183">
        <v>5.1856108849120197</v>
      </c>
      <c r="D239" s="183">
        <v>0.20370219906637477</v>
      </c>
    </row>
    <row r="240" spans="1:4" ht="21.75" customHeight="1" x14ac:dyDescent="0.2">
      <c r="A240" s="7" t="s">
        <v>1240</v>
      </c>
      <c r="B240" s="8" t="s">
        <v>1241</v>
      </c>
      <c r="C240" s="183">
        <v>0</v>
      </c>
      <c r="D240" s="183">
        <v>1.3576666158194106</v>
      </c>
    </row>
    <row r="241" spans="1:4" ht="21.75" customHeight="1" x14ac:dyDescent="0.2">
      <c r="A241" s="7" t="s">
        <v>1242</v>
      </c>
      <c r="B241" s="8" t="s">
        <v>1243</v>
      </c>
      <c r="C241" s="183">
        <v>1.3162363319195061</v>
      </c>
      <c r="D241" s="183">
        <v>0</v>
      </c>
    </row>
    <row r="242" spans="1:4" ht="21.75" customHeight="1" x14ac:dyDescent="0.2">
      <c r="A242" s="7" t="s">
        <v>1244</v>
      </c>
      <c r="B242" s="8" t="s">
        <v>1243</v>
      </c>
      <c r="C242" s="183">
        <v>1.2986288525761136</v>
      </c>
      <c r="D242" s="183">
        <v>0</v>
      </c>
    </row>
    <row r="243" spans="1:4" ht="21.75" customHeight="1" x14ac:dyDescent="0.2">
      <c r="A243" s="7" t="s">
        <v>1245</v>
      </c>
      <c r="B243" s="8" t="s">
        <v>1246</v>
      </c>
      <c r="C243" s="183">
        <v>9.0368857651187255</v>
      </c>
      <c r="D243" s="183">
        <v>15.759065081170778</v>
      </c>
    </row>
    <row r="244" spans="1:4" ht="21.75" customHeight="1" x14ac:dyDescent="0.2">
      <c r="A244" s="7" t="s">
        <v>1247</v>
      </c>
      <c r="B244" s="8" t="s">
        <v>1246</v>
      </c>
      <c r="C244" s="183">
        <v>8.8791843386699707</v>
      </c>
      <c r="D244" s="183">
        <v>16.116940184117553</v>
      </c>
    </row>
    <row r="245" spans="1:4" ht="21.75" customHeight="1" x14ac:dyDescent="0.2">
      <c r="A245" s="7" t="s">
        <v>1248</v>
      </c>
      <c r="B245" s="8" t="s">
        <v>1249</v>
      </c>
      <c r="C245" s="183">
        <v>0.5008286209744871</v>
      </c>
      <c r="D245" s="183">
        <v>0</v>
      </c>
    </row>
    <row r="246" spans="1:4" ht="21.75" customHeight="1" x14ac:dyDescent="0.2">
      <c r="A246" s="7" t="s">
        <v>1250</v>
      </c>
      <c r="B246" s="8" t="s">
        <v>1249</v>
      </c>
      <c r="C246" s="183">
        <v>0.49403484913563933</v>
      </c>
      <c r="D246" s="183">
        <v>0</v>
      </c>
    </row>
    <row r="247" spans="1:4" ht="21.75" customHeight="1" x14ac:dyDescent="0.2">
      <c r="A247" s="7" t="s">
        <v>1251</v>
      </c>
      <c r="B247" s="8" t="s">
        <v>1252</v>
      </c>
      <c r="C247" s="183">
        <v>0.87638504502297709</v>
      </c>
      <c r="D247" s="183">
        <v>8.5693921628011704E-3</v>
      </c>
    </row>
    <row r="248" spans="1:4" ht="21.75" customHeight="1" x14ac:dyDescent="0.2">
      <c r="A248" s="7" t="s">
        <v>1253</v>
      </c>
      <c r="B248" s="8" t="s">
        <v>1254</v>
      </c>
      <c r="C248" s="183">
        <v>9.0187230160653775E-2</v>
      </c>
      <c r="D248" s="183">
        <v>0</v>
      </c>
    </row>
    <row r="249" spans="1:4" ht="21.75" customHeight="1" x14ac:dyDescent="0.2">
      <c r="A249" s="7" t="s">
        <v>1255</v>
      </c>
      <c r="B249" s="8" t="s">
        <v>1254</v>
      </c>
      <c r="C249" s="183">
        <v>4.8908819864529704E-2</v>
      </c>
      <c r="D249" s="183">
        <v>0</v>
      </c>
    </row>
    <row r="250" spans="1:4" ht="21.75" customHeight="1" x14ac:dyDescent="0.2">
      <c r="A250" s="7" t="s">
        <v>1256</v>
      </c>
      <c r="B250" s="8" t="s">
        <v>1257</v>
      </c>
      <c r="C250" s="183">
        <v>1.4952895705889913</v>
      </c>
      <c r="D250" s="183">
        <v>1.522986546350299</v>
      </c>
    </row>
    <row r="251" spans="1:4" ht="21.75" customHeight="1" x14ac:dyDescent="0.2">
      <c r="A251" s="7" t="s">
        <v>1258</v>
      </c>
      <c r="B251" s="8" t="s">
        <v>1259</v>
      </c>
      <c r="C251" s="183">
        <v>0.29029131460599089</v>
      </c>
      <c r="D251" s="183">
        <v>0</v>
      </c>
    </row>
    <row r="252" spans="1:4" ht="21.75" customHeight="1" x14ac:dyDescent="0.2">
      <c r="A252" s="7" t="s">
        <v>1260</v>
      </c>
      <c r="B252" s="8" t="s">
        <v>1259</v>
      </c>
      <c r="C252" s="183">
        <v>0.50022178441281584</v>
      </c>
      <c r="D252" s="183">
        <v>0</v>
      </c>
    </row>
    <row r="253" spans="1:4" ht="21.75" customHeight="1" x14ac:dyDescent="0.2">
      <c r="A253" s="7" t="s">
        <v>1261</v>
      </c>
      <c r="B253" s="8" t="s">
        <v>1262</v>
      </c>
      <c r="C253" s="183">
        <v>42.8661821010216</v>
      </c>
      <c r="D253" s="183">
        <v>0</v>
      </c>
    </row>
    <row r="254" spans="1:4" ht="21.75" customHeight="1" x14ac:dyDescent="0.2">
      <c r="A254" s="7" t="s">
        <v>1263</v>
      </c>
      <c r="B254" s="8" t="s">
        <v>1264</v>
      </c>
      <c r="C254" s="183">
        <v>0.45131306682648303</v>
      </c>
      <c r="D254" s="183">
        <v>10.578769493888103</v>
      </c>
    </row>
    <row r="255" spans="1:4" ht="21.75" customHeight="1" x14ac:dyDescent="0.2">
      <c r="A255" s="7" t="s">
        <v>1265</v>
      </c>
      <c r="B255" s="8" t="s">
        <v>1266</v>
      </c>
      <c r="C255" s="183">
        <v>1.622433553554159</v>
      </c>
      <c r="D255" s="183">
        <v>17.847827116605814</v>
      </c>
    </row>
    <row r="256" spans="1:4" ht="21.75" customHeight="1" x14ac:dyDescent="0.2">
      <c r="A256" s="7" t="s">
        <v>1267</v>
      </c>
      <c r="B256" s="8" t="s">
        <v>1268</v>
      </c>
      <c r="C256" s="183">
        <v>0.46117906226165689</v>
      </c>
      <c r="D256" s="183">
        <v>2.9095781778772838</v>
      </c>
    </row>
    <row r="257" spans="1:4" ht="21.75" customHeight="1" x14ac:dyDescent="0.2">
      <c r="A257" s="7" t="s">
        <v>1269</v>
      </c>
      <c r="B257" s="8" t="s">
        <v>1270</v>
      </c>
      <c r="C257" s="183">
        <v>0</v>
      </c>
      <c r="D257" s="183">
        <v>0</v>
      </c>
    </row>
    <row r="258" spans="1:4" ht="21.75" customHeight="1" x14ac:dyDescent="0.2">
      <c r="A258" s="7" t="s">
        <v>1271</v>
      </c>
      <c r="B258" s="8" t="s">
        <v>1270</v>
      </c>
      <c r="C258" s="183">
        <v>0</v>
      </c>
      <c r="D258" s="183">
        <v>0</v>
      </c>
    </row>
    <row r="259" spans="1:4" ht="21.75" customHeight="1" x14ac:dyDescent="0.2">
      <c r="A259" s="7" t="s">
        <v>1272</v>
      </c>
      <c r="B259" s="8" t="s">
        <v>1273</v>
      </c>
      <c r="C259" s="183">
        <v>8.9551148870684796E-6</v>
      </c>
      <c r="D259" s="183">
        <v>0</v>
      </c>
    </row>
    <row r="260" spans="1:4" ht="21.75" customHeight="1" x14ac:dyDescent="0.2">
      <c r="A260" s="7" t="s">
        <v>1274</v>
      </c>
      <c r="B260" s="8" t="s">
        <v>1275</v>
      </c>
      <c r="C260" s="183">
        <v>0</v>
      </c>
      <c r="D260" s="183">
        <v>11.020497027025385</v>
      </c>
    </row>
    <row r="261" spans="1:4" ht="21.75" customHeight="1" x14ac:dyDescent="0.2">
      <c r="A261" s="7" t="s">
        <v>1276</v>
      </c>
      <c r="B261" s="8" t="s">
        <v>1277</v>
      </c>
      <c r="C261" s="183">
        <v>0.84133048954584733</v>
      </c>
      <c r="D261" s="183">
        <v>2.4852775264407825</v>
      </c>
    </row>
    <row r="262" spans="1:4" ht="21.75" customHeight="1" x14ac:dyDescent="0.2">
      <c r="A262" s="7" t="s">
        <v>1278</v>
      </c>
      <c r="B262" s="8" t="s">
        <v>1279</v>
      </c>
      <c r="C262" s="183">
        <v>0.96955690394835414</v>
      </c>
      <c r="D262" s="183">
        <v>2.3287341515292588</v>
      </c>
    </row>
    <row r="263" spans="1:4" ht="21.75" customHeight="1" x14ac:dyDescent="0.2">
      <c r="A263" s="7" t="s">
        <v>1280</v>
      </c>
      <c r="B263" s="8" t="s">
        <v>1281</v>
      </c>
      <c r="C263" s="183">
        <v>0</v>
      </c>
      <c r="D263" s="183">
        <v>2.3257357570015094</v>
      </c>
    </row>
    <row r="264" spans="1:4" ht="21.75" customHeight="1" x14ac:dyDescent="0.2">
      <c r="A264" s="7" t="s">
        <v>1282</v>
      </c>
      <c r="B264" s="8" t="s">
        <v>1283</v>
      </c>
      <c r="C264" s="183">
        <v>0.52670773619511402</v>
      </c>
      <c r="D264" s="183">
        <v>8.279190857164509E-2</v>
      </c>
    </row>
    <row r="265" spans="1:4" ht="21.75" customHeight="1" x14ac:dyDescent="0.2">
      <c r="A265" s="7" t="s">
        <v>1284</v>
      </c>
      <c r="B265" s="8" t="s">
        <v>1285</v>
      </c>
      <c r="C265" s="183">
        <v>0.57310291899685184</v>
      </c>
      <c r="D265" s="183">
        <v>2.5883616904548301</v>
      </c>
    </row>
    <row r="266" spans="1:4" ht="21.75" customHeight="1" x14ac:dyDescent="0.2">
      <c r="A266" s="7" t="s">
        <v>1286</v>
      </c>
      <c r="B266" s="8" t="s">
        <v>1287</v>
      </c>
      <c r="C266" s="183">
        <v>0.52671326574737098</v>
      </c>
      <c r="D266" s="183">
        <v>8.278427316711412E-2</v>
      </c>
    </row>
    <row r="267" spans="1:4" ht="21.75" customHeight="1" x14ac:dyDescent="0.2">
      <c r="A267" s="7" t="s">
        <v>1288</v>
      </c>
      <c r="B267" s="8" t="s">
        <v>1289</v>
      </c>
      <c r="C267" s="183">
        <v>0.60960605253297984</v>
      </c>
      <c r="D267" s="183">
        <v>2.0667650652361287</v>
      </c>
    </row>
    <row r="268" spans="1:4" ht="21.75" customHeight="1" x14ac:dyDescent="0.2">
      <c r="A268" s="7" t="s">
        <v>1290</v>
      </c>
      <c r="B268" s="8" t="s">
        <v>1291</v>
      </c>
      <c r="C268" s="183">
        <v>0</v>
      </c>
      <c r="D268" s="183">
        <v>1.5899878324232057</v>
      </c>
    </row>
    <row r="269" spans="1:4" ht="21.75" customHeight="1" x14ac:dyDescent="0.2">
      <c r="A269" s="7" t="s">
        <v>1292</v>
      </c>
      <c r="B269" s="8" t="s">
        <v>1293</v>
      </c>
      <c r="C269" s="183">
        <v>1.015116408323703</v>
      </c>
      <c r="D269" s="183">
        <v>2.0408799532840805E-2</v>
      </c>
    </row>
    <row r="270" spans="1:4" ht="21.75" customHeight="1" x14ac:dyDescent="0.2">
      <c r="A270" s="7" t="s">
        <v>1294</v>
      </c>
      <c r="B270" s="8" t="s">
        <v>1295</v>
      </c>
      <c r="C270" s="183">
        <v>3.8564642803604157</v>
      </c>
      <c r="D270" s="183">
        <v>7.6979422915446793E-2</v>
      </c>
    </row>
    <row r="271" spans="1:4" ht="21.75" customHeight="1" x14ac:dyDescent="0.2">
      <c r="A271" s="7" t="s">
        <v>1296</v>
      </c>
      <c r="B271" s="8" t="s">
        <v>1297</v>
      </c>
      <c r="C271" s="183">
        <v>0.85185084148426438</v>
      </c>
      <c r="D271" s="183">
        <v>1.4517702213727519</v>
      </c>
    </row>
    <row r="272" spans="1:4" ht="21.75" customHeight="1" x14ac:dyDescent="0.2">
      <c r="A272" s="7" t="s">
        <v>1298</v>
      </c>
      <c r="B272" s="8" t="s">
        <v>1299</v>
      </c>
      <c r="C272" s="183">
        <v>4.2383883431374878</v>
      </c>
      <c r="D272" s="183">
        <v>15.692496221715864</v>
      </c>
    </row>
    <row r="273" spans="1:4" ht="21.75" customHeight="1" x14ac:dyDescent="0.2">
      <c r="A273" s="7" t="s">
        <v>1300</v>
      </c>
      <c r="B273" s="8" t="s">
        <v>1299</v>
      </c>
      <c r="C273" s="183">
        <v>4.2399631921117633</v>
      </c>
      <c r="D273" s="183">
        <v>15.692496221715889</v>
      </c>
    </row>
    <row r="274" spans="1:4" ht="21.75" customHeight="1" x14ac:dyDescent="0.2">
      <c r="A274" s="7" t="s">
        <v>1301</v>
      </c>
      <c r="B274" s="8" t="s">
        <v>1302</v>
      </c>
      <c r="C274" s="183">
        <v>0</v>
      </c>
      <c r="D274" s="183">
        <v>0</v>
      </c>
    </row>
    <row r="275" spans="1:4" ht="21.75" customHeight="1" x14ac:dyDescent="0.2">
      <c r="A275" s="7" t="s">
        <v>1303</v>
      </c>
      <c r="B275" s="8" t="s">
        <v>1304</v>
      </c>
      <c r="C275" s="183">
        <v>0.94648733738366997</v>
      </c>
      <c r="D275" s="183">
        <v>5.0663655583312983E-2</v>
      </c>
    </row>
    <row r="276" spans="1:4" ht="21.75" customHeight="1" x14ac:dyDescent="0.2">
      <c r="A276" s="7" t="s">
        <v>1305</v>
      </c>
      <c r="B276" s="8" t="s">
        <v>1306</v>
      </c>
      <c r="C276" s="183">
        <v>0</v>
      </c>
      <c r="D276" s="183">
        <v>5.3543519770220014</v>
      </c>
    </row>
    <row r="277" spans="1:4" ht="21.75" customHeight="1" x14ac:dyDescent="0.2">
      <c r="A277" s="7" t="s">
        <v>1307</v>
      </c>
      <c r="B277" s="8" t="s">
        <v>1308</v>
      </c>
      <c r="C277" s="183">
        <v>0</v>
      </c>
      <c r="D277" s="183">
        <v>0</v>
      </c>
    </row>
    <row r="278" spans="1:4" ht="21.75" customHeight="1" x14ac:dyDescent="0.2">
      <c r="A278" s="7" t="s">
        <v>1309</v>
      </c>
      <c r="B278" s="8" t="s">
        <v>1310</v>
      </c>
      <c r="C278" s="183">
        <v>0.13051223910487733</v>
      </c>
      <c r="D278" s="183">
        <v>0</v>
      </c>
    </row>
    <row r="279" spans="1:4" ht="21.75" customHeight="1" x14ac:dyDescent="0.2">
      <c r="A279" s="7" t="s">
        <v>1311</v>
      </c>
      <c r="B279" s="8" t="s">
        <v>1312</v>
      </c>
      <c r="C279" s="183">
        <v>4.846355284767375</v>
      </c>
      <c r="D279" s="183">
        <v>0.1863412464578289</v>
      </c>
    </row>
    <row r="280" spans="1:4" ht="21.75" customHeight="1" x14ac:dyDescent="0.2">
      <c r="A280" s="7" t="s">
        <v>1313</v>
      </c>
      <c r="B280" s="8" t="s">
        <v>1314</v>
      </c>
      <c r="C280" s="183">
        <v>0</v>
      </c>
      <c r="D280" s="183">
        <v>3.5162611495995699E-2</v>
      </c>
    </row>
    <row r="281" spans="1:4" ht="21.75" customHeight="1" x14ac:dyDescent="0.2">
      <c r="A281" s="7" t="s">
        <v>1315</v>
      </c>
      <c r="B281" s="8" t="s">
        <v>1316</v>
      </c>
      <c r="C281" s="183">
        <v>7.8077997684848799E-2</v>
      </c>
      <c r="D281" s="183">
        <v>0.61435592216984736</v>
      </c>
    </row>
    <row r="282" spans="1:4" ht="21.75" customHeight="1" x14ac:dyDescent="0.2">
      <c r="A282" s="7" t="s">
        <v>1317</v>
      </c>
      <c r="B282" s="8" t="s">
        <v>1316</v>
      </c>
      <c r="C282" s="183">
        <v>7.8076312980679796E-2</v>
      </c>
      <c r="D282" s="183">
        <v>0.61482790985789704</v>
      </c>
    </row>
    <row r="283" spans="1:4" ht="21.75" customHeight="1" x14ac:dyDescent="0.2">
      <c r="A283" s="7" t="s">
        <v>1318</v>
      </c>
      <c r="B283" s="8" t="s">
        <v>1319</v>
      </c>
      <c r="C283" s="183">
        <v>3.4067211756019002</v>
      </c>
      <c r="D283" s="183">
        <v>15.942989753979015</v>
      </c>
    </row>
    <row r="284" spans="1:4" ht="21.75" customHeight="1" x14ac:dyDescent="0.2">
      <c r="A284" s="7" t="s">
        <v>1320</v>
      </c>
      <c r="B284" s="8" t="s">
        <v>1321</v>
      </c>
      <c r="C284" s="183">
        <v>0.17708434756094199</v>
      </c>
      <c r="D284" s="183">
        <v>9.9857924454501799</v>
      </c>
    </row>
    <row r="285" spans="1:4" ht="21.75" customHeight="1" x14ac:dyDescent="0.2">
      <c r="A285" s="7" t="s">
        <v>1322</v>
      </c>
      <c r="B285" s="8" t="s">
        <v>1321</v>
      </c>
      <c r="C285" s="183">
        <v>0.17706430600083101</v>
      </c>
      <c r="D285" s="183">
        <v>9.9903032985139291</v>
      </c>
    </row>
    <row r="286" spans="1:4" ht="21.75" customHeight="1" x14ac:dyDescent="0.2">
      <c r="A286" s="7" t="s">
        <v>1323</v>
      </c>
      <c r="B286" s="8" t="s">
        <v>1324</v>
      </c>
      <c r="C286" s="183">
        <v>6.7610891683934804E-2</v>
      </c>
      <c r="D286" s="183">
        <v>2.9318950614706329</v>
      </c>
    </row>
    <row r="287" spans="1:4" ht="21.75" customHeight="1" x14ac:dyDescent="0.2">
      <c r="A287" s="7" t="s">
        <v>1325</v>
      </c>
      <c r="B287" s="8" t="s">
        <v>1326</v>
      </c>
      <c r="C287" s="183">
        <v>3.3140081712238097E-2</v>
      </c>
      <c r="D287" s="183">
        <v>10.557361119071292</v>
      </c>
    </row>
    <row r="288" spans="1:4" ht="21.75" customHeight="1" x14ac:dyDescent="0.2">
      <c r="A288" s="7" t="s">
        <v>1327</v>
      </c>
      <c r="B288" s="8" t="s">
        <v>1328</v>
      </c>
      <c r="C288" s="183">
        <v>1.92125917658467E-2</v>
      </c>
      <c r="D288" s="183">
        <v>4.3109158224912987</v>
      </c>
    </row>
    <row r="289" spans="1:4" ht="21.75" customHeight="1" x14ac:dyDescent="0.2">
      <c r="A289" s="7" t="s">
        <v>1329</v>
      </c>
      <c r="B289" s="8" t="s">
        <v>1330</v>
      </c>
      <c r="C289" s="183">
        <v>9.883812544121949E-2</v>
      </c>
      <c r="D289" s="183">
        <v>1.3915231018472047</v>
      </c>
    </row>
    <row r="290" spans="1:4" ht="21.75" customHeight="1" x14ac:dyDescent="0.2">
      <c r="A290" s="7" t="s">
        <v>1331</v>
      </c>
      <c r="B290" s="8" t="s">
        <v>1332</v>
      </c>
      <c r="C290" s="183">
        <v>0</v>
      </c>
      <c r="D290" s="183">
        <v>9.8024144857792272</v>
      </c>
    </row>
    <row r="291" spans="1:4" ht="21.75" customHeight="1" x14ac:dyDescent="0.2">
      <c r="A291" s="7" t="s">
        <v>1333</v>
      </c>
      <c r="B291" s="8" t="s">
        <v>1334</v>
      </c>
      <c r="C291" s="183">
        <v>0</v>
      </c>
      <c r="D291" s="183">
        <v>0</v>
      </c>
    </row>
    <row r="292" spans="1:4" ht="21.75" customHeight="1" x14ac:dyDescent="0.2">
      <c r="A292" s="7" t="s">
        <v>1335</v>
      </c>
      <c r="B292" s="8" t="s">
        <v>1336</v>
      </c>
      <c r="C292" s="183">
        <v>1.1665322196470749</v>
      </c>
      <c r="D292" s="183">
        <v>2.7503282875098218</v>
      </c>
    </row>
    <row r="293" spans="1:4" ht="21.75" customHeight="1" x14ac:dyDescent="0.2">
      <c r="A293" s="7" t="s">
        <v>1337</v>
      </c>
      <c r="B293" s="8" t="s">
        <v>1338</v>
      </c>
      <c r="C293" s="183">
        <v>0.37520185853996701</v>
      </c>
      <c r="D293" s="183">
        <v>14.8142568069566</v>
      </c>
    </row>
    <row r="294" spans="1:4" ht="21.75" customHeight="1" x14ac:dyDescent="0.2">
      <c r="A294" s="7" t="s">
        <v>1339</v>
      </c>
      <c r="B294" s="8" t="s">
        <v>1340</v>
      </c>
      <c r="C294" s="183">
        <v>0.67435047439228502</v>
      </c>
      <c r="D294" s="183">
        <v>5.1430306450839112</v>
      </c>
    </row>
    <row r="295" spans="1:4" ht="21.75" customHeight="1" x14ac:dyDescent="0.2">
      <c r="A295" s="7" t="s">
        <v>1341</v>
      </c>
      <c r="B295" s="8" t="s">
        <v>1340</v>
      </c>
      <c r="C295" s="183">
        <v>5.0717363929213999</v>
      </c>
      <c r="D295" s="183">
        <v>9.6178172825765635</v>
      </c>
    </row>
    <row r="296" spans="1:4" ht="21.75" customHeight="1" x14ac:dyDescent="0.2">
      <c r="A296" s="7" t="s">
        <v>1342</v>
      </c>
      <c r="B296" s="8" t="s">
        <v>1343</v>
      </c>
      <c r="C296" s="183">
        <v>5.0712730941871396</v>
      </c>
      <c r="D296" s="183">
        <v>9.6172626730050315</v>
      </c>
    </row>
    <row r="297" spans="1:4" ht="21.75" customHeight="1" x14ac:dyDescent="0.2">
      <c r="A297" s="7" t="s">
        <v>1344</v>
      </c>
      <c r="B297" s="8" t="s">
        <v>1345</v>
      </c>
      <c r="C297" s="183">
        <v>1.2521403739773089</v>
      </c>
      <c r="D297" s="183">
        <v>15.043734753817283</v>
      </c>
    </row>
    <row r="298" spans="1:4" ht="21.75" customHeight="1" x14ac:dyDescent="0.2">
      <c r="A298" s="7" t="s">
        <v>1346</v>
      </c>
      <c r="B298" s="8" t="s">
        <v>1347</v>
      </c>
      <c r="C298" s="183">
        <v>0.22607867489966199</v>
      </c>
      <c r="D298" s="183">
        <v>4.9193746267811136</v>
      </c>
    </row>
    <row r="299" spans="1:4" ht="21.75" customHeight="1" x14ac:dyDescent="0.2">
      <c r="A299" s="7" t="s">
        <v>1348</v>
      </c>
      <c r="B299" s="8" t="s">
        <v>1349</v>
      </c>
      <c r="C299" s="183">
        <v>0.74307002552461399</v>
      </c>
      <c r="D299" s="183">
        <v>5.2429734857326586</v>
      </c>
    </row>
    <row r="300" spans="1:4" ht="21.75" customHeight="1" x14ac:dyDescent="0.2">
      <c r="A300" s="7" t="s">
        <v>1350</v>
      </c>
      <c r="B300" s="8" t="s">
        <v>1351</v>
      </c>
      <c r="C300" s="183">
        <v>2.56905656871387</v>
      </c>
      <c r="D300" s="183">
        <v>9.8942245637128945</v>
      </c>
    </row>
    <row r="301" spans="1:4" ht="21.75" customHeight="1" x14ac:dyDescent="0.2">
      <c r="A301" s="7" t="s">
        <v>1352</v>
      </c>
      <c r="B301" s="8" t="s">
        <v>1353</v>
      </c>
      <c r="C301" s="183">
        <v>0.180713378024833</v>
      </c>
      <c r="D301" s="183">
        <v>9.8370391703431324</v>
      </c>
    </row>
    <row r="302" spans="1:4" ht="21.75" customHeight="1" x14ac:dyDescent="0.2">
      <c r="A302" s="7" t="s">
        <v>1354</v>
      </c>
      <c r="B302" s="8" t="s">
        <v>1355</v>
      </c>
      <c r="C302" s="183">
        <v>0</v>
      </c>
      <c r="D302" s="183">
        <v>0</v>
      </c>
    </row>
    <row r="303" spans="1:4" ht="21.75" customHeight="1" x14ac:dyDescent="0.2">
      <c r="A303" s="7" t="s">
        <v>1356</v>
      </c>
      <c r="B303" s="8" t="s">
        <v>1357</v>
      </c>
      <c r="C303" s="183">
        <v>0.8922568464385241</v>
      </c>
      <c r="D303" s="183">
        <v>5.0228504115749812</v>
      </c>
    </row>
    <row r="304" spans="1:4" ht="21.75" customHeight="1" x14ac:dyDescent="0.2">
      <c r="A304" s="7" t="s">
        <v>1358</v>
      </c>
      <c r="B304" s="8" t="s">
        <v>1357</v>
      </c>
      <c r="C304" s="183">
        <v>1.3379746750416541</v>
      </c>
      <c r="D304" s="183">
        <v>5.1033777396463051</v>
      </c>
    </row>
    <row r="305" spans="1:4" ht="21.75" customHeight="1" x14ac:dyDescent="0.2">
      <c r="A305" s="7" t="s">
        <v>1359</v>
      </c>
      <c r="B305" s="8" t="s">
        <v>1360</v>
      </c>
      <c r="C305" s="183">
        <v>0</v>
      </c>
      <c r="D305" s="183">
        <v>23.31949483869279</v>
      </c>
    </row>
    <row r="306" spans="1:4" ht="21.75" customHeight="1" x14ac:dyDescent="0.2">
      <c r="A306" s="7" t="s">
        <v>1361</v>
      </c>
      <c r="B306" s="8" t="s">
        <v>1362</v>
      </c>
      <c r="C306" s="183">
        <v>0.31072363580126805</v>
      </c>
      <c r="D306" s="183">
        <v>2.7517549215841419</v>
      </c>
    </row>
    <row r="307" spans="1:4" ht="21.75" customHeight="1" x14ac:dyDescent="0.2">
      <c r="A307" s="7" t="s">
        <v>1363</v>
      </c>
      <c r="B307" s="8" t="s">
        <v>1364</v>
      </c>
      <c r="C307" s="183">
        <v>0.28502634900255891</v>
      </c>
      <c r="D307" s="183">
        <v>2.8292921327939595</v>
      </c>
    </row>
    <row r="308" spans="1:4" ht="21.75" customHeight="1" x14ac:dyDescent="0.2">
      <c r="A308" s="7" t="s">
        <v>1365</v>
      </c>
      <c r="B308" s="8" t="s">
        <v>1366</v>
      </c>
      <c r="C308" s="183">
        <v>0.21469258023426452</v>
      </c>
      <c r="D308" s="183">
        <v>8.5186629551145394</v>
      </c>
    </row>
    <row r="309" spans="1:4" ht="21.75" customHeight="1" x14ac:dyDescent="0.2">
      <c r="A309" s="7" t="s">
        <v>1367</v>
      </c>
      <c r="B309" s="8" t="s">
        <v>1368</v>
      </c>
      <c r="C309" s="183">
        <v>0</v>
      </c>
      <c r="D309" s="183">
        <v>0</v>
      </c>
    </row>
    <row r="310" spans="1:4" ht="21.75" customHeight="1" x14ac:dyDescent="0.2">
      <c r="A310" s="7" t="s">
        <v>1369</v>
      </c>
      <c r="B310" s="8" t="s">
        <v>1370</v>
      </c>
      <c r="C310" s="183">
        <v>0.52266151064630295</v>
      </c>
      <c r="D310" s="183">
        <v>4.7953233776932471</v>
      </c>
    </row>
    <row r="311" spans="1:4" ht="21.75" customHeight="1" x14ac:dyDescent="0.2">
      <c r="A311" s="7" t="s">
        <v>1371</v>
      </c>
      <c r="B311" s="8" t="s">
        <v>1372</v>
      </c>
      <c r="C311" s="183">
        <v>6.0601532849542501</v>
      </c>
      <c r="D311" s="183">
        <v>0</v>
      </c>
    </row>
    <row r="312" spans="1:4" ht="21.75" customHeight="1" x14ac:dyDescent="0.2">
      <c r="A312" s="7" t="s">
        <v>1373</v>
      </c>
      <c r="B312" s="8" t="s">
        <v>1374</v>
      </c>
      <c r="C312" s="183">
        <v>0.72856027560498204</v>
      </c>
      <c r="D312" s="183">
        <v>14.829788964337451</v>
      </c>
    </row>
    <row r="313" spans="1:4" ht="21.75" customHeight="1" x14ac:dyDescent="0.2">
      <c r="A313" s="7" t="s">
        <v>1375</v>
      </c>
      <c r="B313" s="8" t="s">
        <v>1376</v>
      </c>
      <c r="C313" s="183">
        <v>1.630954065924143</v>
      </c>
      <c r="D313" s="183">
        <v>6.3442419052328631</v>
      </c>
    </row>
    <row r="314" spans="1:4" ht="21.75" customHeight="1" x14ac:dyDescent="0.2">
      <c r="A314" s="7" t="s">
        <v>1377</v>
      </c>
      <c r="B314" s="8" t="s">
        <v>1378</v>
      </c>
      <c r="C314" s="183">
        <v>0.27801147791499398</v>
      </c>
      <c r="D314" s="183">
        <v>2.3867686282633471</v>
      </c>
    </row>
    <row r="315" spans="1:4" ht="21.75" customHeight="1" x14ac:dyDescent="0.2">
      <c r="A315" s="7" t="s">
        <v>1379</v>
      </c>
      <c r="B315" s="8" t="s">
        <v>1380</v>
      </c>
      <c r="C315" s="183">
        <v>0.67560984694762305</v>
      </c>
      <c r="D315" s="183">
        <v>16.625349745245956</v>
      </c>
    </row>
    <row r="316" spans="1:4" ht="21.75" customHeight="1" x14ac:dyDescent="0.2">
      <c r="A316" s="7" t="s">
        <v>1381</v>
      </c>
      <c r="B316" s="8" t="s">
        <v>1382</v>
      </c>
      <c r="C316" s="183">
        <v>0.93532557552401152</v>
      </c>
      <c r="D316" s="183">
        <v>9.6143813138995213</v>
      </c>
    </row>
    <row r="317" spans="1:4" ht="21.75" customHeight="1" x14ac:dyDescent="0.2">
      <c r="A317" s="7" t="s">
        <v>1383</v>
      </c>
      <c r="B317" s="8" t="s">
        <v>1384</v>
      </c>
      <c r="C317" s="183">
        <v>0</v>
      </c>
      <c r="D317" s="183">
        <v>0</v>
      </c>
    </row>
    <row r="318" spans="1:4" ht="21.75" customHeight="1" x14ac:dyDescent="0.2">
      <c r="A318" s="7" t="s">
        <v>1385</v>
      </c>
      <c r="B318" s="8" t="s">
        <v>1384</v>
      </c>
      <c r="C318" s="183">
        <v>0</v>
      </c>
      <c r="D318" s="183">
        <v>0.37934276863484739</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90" zoomScaleNormal="90" zoomScaleSheetLayoutView="100" workbookViewId="0"/>
  </sheetViews>
  <sheetFormatPr defaultColWidth="11.5703125" defaultRowHeight="12.75" x14ac:dyDescent="0.2"/>
  <cols>
    <col min="1" max="1" width="13.85546875" style="144" customWidth="1"/>
    <col min="2" max="2" width="37.42578125" style="144" bestFit="1" customWidth="1"/>
    <col min="3" max="3" width="19" style="145" customWidth="1"/>
    <col min="4" max="4" width="5.28515625" style="144" bestFit="1" customWidth="1"/>
    <col min="5" max="5" width="4.7109375" style="144" customWidth="1"/>
    <col min="6" max="6" width="29.140625" style="144" bestFit="1" customWidth="1"/>
    <col min="7" max="7" width="11.5703125" style="144"/>
    <col min="8" max="8" width="64.5703125" style="144" bestFit="1" customWidth="1"/>
    <col min="9" max="16384" width="11.5703125" style="144"/>
  </cols>
  <sheetData>
    <row r="1" spans="1:8" ht="26.25" customHeight="1" x14ac:dyDescent="0.35">
      <c r="A1" s="147" t="s">
        <v>18</v>
      </c>
      <c r="H1" s="146"/>
    </row>
    <row r="2" spans="1:8" ht="12.75" customHeight="1" x14ac:dyDescent="0.2">
      <c r="A2" s="147"/>
    </row>
    <row r="3" spans="1:8" ht="12.75" customHeight="1" x14ac:dyDescent="0.2">
      <c r="A3" s="147"/>
    </row>
    <row r="4" spans="1:8" ht="12.75" customHeight="1" x14ac:dyDescent="0.2">
      <c r="A4" s="147"/>
    </row>
    <row r="5" spans="1:8" ht="12.75" customHeight="1" x14ac:dyDescent="0.2">
      <c r="A5" s="147"/>
    </row>
    <row r="6" spans="1:8" ht="12.75" customHeight="1" x14ac:dyDescent="0.2">
      <c r="A6" s="147"/>
    </row>
    <row r="7" spans="1:8" ht="12.75" customHeight="1" x14ac:dyDescent="0.2">
      <c r="A7" s="147"/>
    </row>
    <row r="8" spans="1:8" ht="12.75" customHeight="1" x14ac:dyDescent="0.2">
      <c r="A8" s="147"/>
    </row>
    <row r="9" spans="1:8" ht="12.75" customHeight="1" x14ac:dyDescent="0.2">
      <c r="A9" s="147"/>
    </row>
    <row r="10" spans="1:8" ht="12.75" customHeight="1" x14ac:dyDescent="0.2">
      <c r="A10" s="147"/>
    </row>
    <row r="11" spans="1:8" ht="12.75" customHeight="1" x14ac:dyDescent="0.2">
      <c r="A11" s="147"/>
    </row>
    <row r="12" spans="1:8" ht="12.75" customHeight="1" x14ac:dyDescent="0.2">
      <c r="A12" s="147"/>
    </row>
    <row r="13" spans="1:8" ht="12.75" customHeight="1" x14ac:dyDescent="0.2">
      <c r="A13" s="147"/>
    </row>
    <row r="14" spans="1:8" ht="12.75" customHeight="1" x14ac:dyDescent="0.2">
      <c r="A14" s="147"/>
    </row>
    <row r="15" spans="1:8" ht="12.75" customHeight="1" x14ac:dyDescent="0.2">
      <c r="A15" s="147"/>
    </row>
    <row r="16" spans="1:8" ht="12.75" customHeight="1" x14ac:dyDescent="0.2">
      <c r="A16" s="147"/>
    </row>
    <row r="17" spans="1:8" ht="12.75" customHeight="1" x14ac:dyDescent="0.2">
      <c r="A17" s="147"/>
    </row>
    <row r="18" spans="1:8" ht="12.75" customHeight="1" x14ac:dyDescent="0.2">
      <c r="A18" s="147"/>
    </row>
    <row r="19" spans="1:8" ht="12.75" customHeight="1" x14ac:dyDescent="0.2">
      <c r="A19" s="147"/>
    </row>
    <row r="20" spans="1:8" ht="12.75" customHeight="1" x14ac:dyDescent="0.2">
      <c r="A20" s="147"/>
    </row>
    <row r="21" spans="1:8" ht="12.75" customHeight="1" x14ac:dyDescent="0.2">
      <c r="A21" s="147"/>
    </row>
    <row r="22" spans="1:8" ht="12.75" customHeight="1" x14ac:dyDescent="0.2">
      <c r="A22" s="147"/>
    </row>
    <row r="23" spans="1:8" ht="12.75" customHeight="1" x14ac:dyDescent="0.2">
      <c r="A23" s="147"/>
    </row>
    <row r="24" spans="1:8" ht="12.75" customHeight="1" x14ac:dyDescent="0.2">
      <c r="A24" s="147"/>
    </row>
    <row r="25" spans="1:8" ht="12.75" customHeight="1" x14ac:dyDescent="0.2">
      <c r="A25" s="147"/>
    </row>
    <row r="26" spans="1:8" ht="12.75" customHeight="1" x14ac:dyDescent="0.2">
      <c r="A26" s="147"/>
    </row>
    <row r="27" spans="1:8" ht="12.75" customHeight="1" x14ac:dyDescent="0.2">
      <c r="A27" s="147"/>
    </row>
    <row r="28" spans="1:8" s="149" customFormat="1" ht="51" x14ac:dyDescent="0.2">
      <c r="A28" s="45" t="s">
        <v>173</v>
      </c>
      <c r="B28" s="45" t="s">
        <v>174</v>
      </c>
      <c r="C28" s="45" t="s">
        <v>401</v>
      </c>
      <c r="D28" s="148"/>
      <c r="E28" s="148"/>
      <c r="F28" s="45" t="s">
        <v>402</v>
      </c>
      <c r="G28" s="45" t="s">
        <v>403</v>
      </c>
      <c r="H28" s="45" t="s">
        <v>404</v>
      </c>
    </row>
    <row r="29" spans="1:8" x14ac:dyDescent="0.2">
      <c r="A29" s="154">
        <v>3</v>
      </c>
      <c r="B29" s="150" t="s">
        <v>175</v>
      </c>
      <c r="C29" s="153" t="s">
        <v>410</v>
      </c>
      <c r="F29" s="144" t="s">
        <v>407</v>
      </c>
      <c r="G29" s="151">
        <v>43626</v>
      </c>
      <c r="H29" s="144" t="s">
        <v>408</v>
      </c>
    </row>
    <row r="30" spans="1:8" x14ac:dyDescent="0.2">
      <c r="A30" s="154">
        <v>4</v>
      </c>
      <c r="B30" s="150" t="s">
        <v>175</v>
      </c>
      <c r="C30" s="153" t="s">
        <v>410</v>
      </c>
      <c r="F30" s="144" t="s">
        <v>412</v>
      </c>
      <c r="G30" s="151">
        <v>43626</v>
      </c>
      <c r="H30" s="144" t="s">
        <v>408</v>
      </c>
    </row>
    <row r="31" spans="1:8" x14ac:dyDescent="0.2">
      <c r="A31" s="154">
        <v>5</v>
      </c>
      <c r="B31" s="150" t="s">
        <v>176</v>
      </c>
      <c r="C31" s="153" t="s">
        <v>410</v>
      </c>
      <c r="F31" s="144" t="s">
        <v>411</v>
      </c>
      <c r="G31" s="151">
        <v>43626</v>
      </c>
      <c r="H31" s="144" t="s">
        <v>408</v>
      </c>
    </row>
    <row r="32" spans="1:8" x14ac:dyDescent="0.2">
      <c r="A32" s="154">
        <v>6</v>
      </c>
      <c r="B32" s="150" t="s">
        <v>177</v>
      </c>
      <c r="C32" s="153" t="s">
        <v>410</v>
      </c>
      <c r="F32" s="144" t="s">
        <v>413</v>
      </c>
      <c r="G32" s="151">
        <v>43626</v>
      </c>
      <c r="H32" s="144" t="s">
        <v>414</v>
      </c>
    </row>
    <row r="33" spans="1:8" x14ac:dyDescent="0.2">
      <c r="A33" s="154">
        <v>7</v>
      </c>
      <c r="B33" s="150" t="s">
        <v>177</v>
      </c>
      <c r="C33" s="153" t="s">
        <v>410</v>
      </c>
      <c r="G33" s="151"/>
      <c r="H33" s="152"/>
    </row>
    <row r="34" spans="1:8" x14ac:dyDescent="0.2">
      <c r="A34" s="154">
        <v>8</v>
      </c>
      <c r="B34" s="150" t="s">
        <v>177</v>
      </c>
      <c r="C34" s="153" t="s">
        <v>410</v>
      </c>
      <c r="F34" s="152"/>
      <c r="G34" s="151"/>
    </row>
    <row r="35" spans="1:8" x14ac:dyDescent="0.2">
      <c r="A35" s="154">
        <v>9</v>
      </c>
      <c r="B35" s="150" t="s">
        <v>177</v>
      </c>
      <c r="C35" s="153" t="s">
        <v>410</v>
      </c>
      <c r="G35" s="151"/>
      <c r="H35" s="152"/>
    </row>
    <row r="36" spans="1:8" x14ac:dyDescent="0.2">
      <c r="A36" s="154">
        <v>10</v>
      </c>
      <c r="B36" s="150" t="s">
        <v>177</v>
      </c>
      <c r="C36" s="153" t="s">
        <v>410</v>
      </c>
      <c r="G36" s="151"/>
      <c r="H36" s="152"/>
    </row>
    <row r="37" spans="1:8" x14ac:dyDescent="0.2">
      <c r="A37" s="154">
        <v>11</v>
      </c>
      <c r="B37" s="150" t="s">
        <v>177</v>
      </c>
      <c r="C37" s="153" t="s">
        <v>410</v>
      </c>
      <c r="G37" s="151"/>
    </row>
    <row r="38" spans="1:8" x14ac:dyDescent="0.2">
      <c r="A38" s="154">
        <v>12</v>
      </c>
      <c r="B38" s="150" t="s">
        <v>177</v>
      </c>
      <c r="C38" s="153" t="s">
        <v>410</v>
      </c>
      <c r="G38" s="151"/>
    </row>
    <row r="39" spans="1:8" x14ac:dyDescent="0.2">
      <c r="A39" s="154">
        <v>13</v>
      </c>
      <c r="B39" s="150" t="s">
        <v>178</v>
      </c>
      <c r="C39" s="153" t="s">
        <v>410</v>
      </c>
      <c r="G39" s="151"/>
    </row>
    <row r="40" spans="1:8" x14ac:dyDescent="0.2">
      <c r="A40" s="154">
        <v>15</v>
      </c>
      <c r="B40" s="150" t="s">
        <v>178</v>
      </c>
      <c r="C40" s="153" t="s">
        <v>410</v>
      </c>
      <c r="F40" s="152"/>
      <c r="G40" s="151"/>
      <c r="H40" s="152"/>
    </row>
    <row r="41" spans="1:8" x14ac:dyDescent="0.2">
      <c r="A41" s="154">
        <v>16</v>
      </c>
      <c r="B41" s="150" t="s">
        <v>179</v>
      </c>
      <c r="C41" s="153" t="s">
        <v>410</v>
      </c>
      <c r="G41" s="151"/>
      <c r="H41" s="152"/>
    </row>
    <row r="42" spans="1:8" x14ac:dyDescent="0.2">
      <c r="A42" s="154">
        <v>17</v>
      </c>
      <c r="B42" s="150" t="s">
        <v>179</v>
      </c>
      <c r="C42" s="153" t="s">
        <v>410</v>
      </c>
      <c r="G42" s="151"/>
    </row>
    <row r="43" spans="1:8" x14ac:dyDescent="0.2">
      <c r="A43" s="154">
        <v>18</v>
      </c>
      <c r="B43" s="150" t="s">
        <v>179</v>
      </c>
      <c r="C43" s="153" t="s">
        <v>410</v>
      </c>
      <c r="G43" s="151"/>
    </row>
    <row r="44" spans="1:8" x14ac:dyDescent="0.2">
      <c r="A44" s="154">
        <v>19</v>
      </c>
      <c r="B44" s="150" t="s">
        <v>179</v>
      </c>
      <c r="C44" s="153" t="s">
        <v>410</v>
      </c>
      <c r="G44" s="151"/>
    </row>
    <row r="45" spans="1:8" x14ac:dyDescent="0.2">
      <c r="A45" s="154">
        <v>20</v>
      </c>
      <c r="B45" s="150" t="s">
        <v>179</v>
      </c>
      <c r="C45" s="153" t="s">
        <v>410</v>
      </c>
      <c r="G45" s="151"/>
    </row>
    <row r="46" spans="1:8" x14ac:dyDescent="0.2">
      <c r="A46" s="154">
        <v>21</v>
      </c>
      <c r="B46" s="150" t="s">
        <v>179</v>
      </c>
      <c r="C46" s="153" t="s">
        <v>410</v>
      </c>
      <c r="G46" s="151"/>
    </row>
    <row r="47" spans="1:8" x14ac:dyDescent="0.2">
      <c r="A47" s="154">
        <v>22</v>
      </c>
      <c r="B47" s="150" t="s">
        <v>179</v>
      </c>
      <c r="C47" s="153" t="s">
        <v>410</v>
      </c>
      <c r="G47" s="151"/>
    </row>
    <row r="48" spans="1:8" x14ac:dyDescent="0.2">
      <c r="A48" s="154">
        <v>23</v>
      </c>
      <c r="B48" s="150" t="s">
        <v>180</v>
      </c>
      <c r="C48" s="153" t="s">
        <v>410</v>
      </c>
      <c r="G48" s="151"/>
    </row>
    <row r="49" spans="1:8" x14ac:dyDescent="0.2">
      <c r="A49" s="154">
        <v>24</v>
      </c>
      <c r="B49" s="150" t="s">
        <v>180</v>
      </c>
      <c r="C49" s="153" t="s">
        <v>410</v>
      </c>
      <c r="G49" s="151"/>
    </row>
    <row r="50" spans="1:8" x14ac:dyDescent="0.2">
      <c r="A50" s="154">
        <v>25</v>
      </c>
      <c r="B50" s="150" t="s">
        <v>180</v>
      </c>
      <c r="C50" s="153" t="s">
        <v>410</v>
      </c>
      <c r="G50" s="151"/>
    </row>
    <row r="51" spans="1:8" x14ac:dyDescent="0.2">
      <c r="A51" s="154">
        <v>26</v>
      </c>
      <c r="B51" s="150" t="s">
        <v>180</v>
      </c>
      <c r="C51" s="153" t="s">
        <v>410</v>
      </c>
      <c r="G51" s="151"/>
    </row>
    <row r="52" spans="1:8" x14ac:dyDescent="0.2">
      <c r="A52" s="154">
        <v>28</v>
      </c>
      <c r="B52" s="150" t="s">
        <v>180</v>
      </c>
      <c r="C52" s="153" t="s">
        <v>410</v>
      </c>
      <c r="G52" s="151"/>
    </row>
    <row r="53" spans="1:8" x14ac:dyDescent="0.2">
      <c r="A53" s="154">
        <v>29</v>
      </c>
      <c r="B53" s="150" t="s">
        <v>180</v>
      </c>
      <c r="C53" s="153" t="s">
        <v>410</v>
      </c>
      <c r="G53" s="151"/>
    </row>
    <row r="54" spans="1:8" x14ac:dyDescent="0.2">
      <c r="A54" s="154">
        <v>30</v>
      </c>
      <c r="B54" s="150" t="s">
        <v>180</v>
      </c>
      <c r="C54" s="153" t="s">
        <v>410</v>
      </c>
      <c r="G54" s="151"/>
    </row>
    <row r="55" spans="1:8" x14ac:dyDescent="0.2">
      <c r="A55" s="154">
        <v>31</v>
      </c>
      <c r="B55" s="150" t="s">
        <v>180</v>
      </c>
      <c r="C55" s="153" t="s">
        <v>410</v>
      </c>
      <c r="G55" s="151"/>
    </row>
    <row r="56" spans="1:8" x14ac:dyDescent="0.2">
      <c r="A56" s="154">
        <v>32</v>
      </c>
      <c r="B56" s="150" t="s">
        <v>180</v>
      </c>
      <c r="C56" s="153" t="s">
        <v>410</v>
      </c>
      <c r="F56" s="152"/>
      <c r="G56" s="151"/>
      <c r="H56" s="152"/>
    </row>
    <row r="57" spans="1:8" x14ac:dyDescent="0.2">
      <c r="A57" s="154">
        <v>33</v>
      </c>
      <c r="B57" s="150" t="s">
        <v>180</v>
      </c>
      <c r="C57" s="153" t="s">
        <v>410</v>
      </c>
      <c r="F57" s="152"/>
      <c r="G57" s="151"/>
      <c r="H57" s="152"/>
    </row>
    <row r="58" spans="1:8" x14ac:dyDescent="0.2">
      <c r="A58" s="154">
        <v>34</v>
      </c>
      <c r="B58" s="150" t="s">
        <v>180</v>
      </c>
      <c r="C58" s="153" t="s">
        <v>410</v>
      </c>
      <c r="F58" s="152"/>
      <c r="G58" s="151"/>
      <c r="H58" s="152"/>
    </row>
    <row r="59" spans="1:8" x14ac:dyDescent="0.2">
      <c r="A59" s="154">
        <v>35</v>
      </c>
      <c r="B59" s="150" t="s">
        <v>180</v>
      </c>
      <c r="C59" s="153" t="s">
        <v>410</v>
      </c>
      <c r="F59" s="152"/>
      <c r="G59" s="151"/>
      <c r="H59" s="152"/>
    </row>
    <row r="60" spans="1:8" x14ac:dyDescent="0.2">
      <c r="A60" s="154">
        <v>36</v>
      </c>
      <c r="B60" s="150" t="s">
        <v>180</v>
      </c>
      <c r="C60" s="153" t="s">
        <v>410</v>
      </c>
      <c r="F60" s="152"/>
      <c r="G60" s="151"/>
      <c r="H60" s="152"/>
    </row>
    <row r="61" spans="1:8" x14ac:dyDescent="0.2">
      <c r="A61" s="154">
        <v>37</v>
      </c>
      <c r="B61" s="150" t="s">
        <v>180</v>
      </c>
      <c r="C61" s="153" t="s">
        <v>410</v>
      </c>
      <c r="F61" s="152"/>
      <c r="G61" s="151"/>
      <c r="H61" s="152"/>
    </row>
    <row r="62" spans="1:8" x14ac:dyDescent="0.2">
      <c r="A62" s="154">
        <v>38</v>
      </c>
      <c r="B62" s="150" t="s">
        <v>180</v>
      </c>
      <c r="C62" s="153" t="s">
        <v>410</v>
      </c>
      <c r="F62" s="152"/>
      <c r="G62" s="151"/>
      <c r="H62" s="152"/>
    </row>
    <row r="63" spans="1:8" x14ac:dyDescent="0.2">
      <c r="A63" s="154">
        <v>39</v>
      </c>
      <c r="B63" s="150" t="s">
        <v>180</v>
      </c>
      <c r="C63" s="153" t="s">
        <v>410</v>
      </c>
      <c r="F63" s="152"/>
      <c r="G63" s="151"/>
      <c r="H63" s="152"/>
    </row>
    <row r="64" spans="1:8" x14ac:dyDescent="0.2">
      <c r="A64" s="154">
        <v>40</v>
      </c>
      <c r="B64" s="150" t="s">
        <v>179</v>
      </c>
      <c r="C64" s="153" t="s">
        <v>410</v>
      </c>
      <c r="F64" s="152"/>
      <c r="G64" s="151"/>
      <c r="H64" s="152"/>
    </row>
    <row r="65" spans="1:8" x14ac:dyDescent="0.2">
      <c r="A65" s="154">
        <v>41</v>
      </c>
      <c r="B65" s="150" t="s">
        <v>181</v>
      </c>
      <c r="C65" s="153" t="s">
        <v>410</v>
      </c>
      <c r="F65" s="152"/>
      <c r="G65" s="151"/>
      <c r="H65" s="152"/>
    </row>
    <row r="66" spans="1:8" x14ac:dyDescent="0.2">
      <c r="A66" s="154">
        <v>42</v>
      </c>
      <c r="B66" s="150" t="s">
        <v>182</v>
      </c>
      <c r="C66" s="153" t="s">
        <v>410</v>
      </c>
      <c r="F66" s="152"/>
      <c r="G66" s="151"/>
      <c r="H66" s="152"/>
    </row>
    <row r="67" spans="1:8" x14ac:dyDescent="0.2">
      <c r="A67" s="154">
        <v>43</v>
      </c>
      <c r="B67" s="150" t="s">
        <v>182</v>
      </c>
      <c r="C67" s="153" t="s">
        <v>410</v>
      </c>
      <c r="F67" s="152"/>
      <c r="G67" s="151"/>
      <c r="H67" s="152"/>
    </row>
    <row r="68" spans="1:8" x14ac:dyDescent="0.2">
      <c r="A68" s="154">
        <v>44</v>
      </c>
      <c r="B68" s="150" t="s">
        <v>181</v>
      </c>
      <c r="C68" s="153" t="s">
        <v>410</v>
      </c>
      <c r="F68" s="152"/>
      <c r="G68" s="151"/>
      <c r="H68" s="152"/>
    </row>
    <row r="69" spans="1:8" x14ac:dyDescent="0.2">
      <c r="A69" s="154">
        <v>45</v>
      </c>
      <c r="B69" s="150" t="s">
        <v>183</v>
      </c>
      <c r="C69" s="153" t="s">
        <v>410</v>
      </c>
      <c r="F69" s="152"/>
      <c r="G69" s="151"/>
      <c r="H69" s="152"/>
    </row>
    <row r="70" spans="1:8" x14ac:dyDescent="0.2">
      <c r="A70" s="154">
        <v>46</v>
      </c>
      <c r="B70" s="150" t="s">
        <v>184</v>
      </c>
      <c r="C70" s="153" t="s">
        <v>410</v>
      </c>
      <c r="F70" s="152"/>
      <c r="G70" s="151"/>
      <c r="H70" s="152"/>
    </row>
    <row r="71" spans="1:8" x14ac:dyDescent="0.2">
      <c r="A71" s="154">
        <v>47</v>
      </c>
      <c r="B71" s="150" t="s">
        <v>185</v>
      </c>
      <c r="C71" s="153" t="s">
        <v>410</v>
      </c>
      <c r="F71" s="152"/>
      <c r="G71" s="151"/>
      <c r="H71" s="152"/>
    </row>
    <row r="72" spans="1:8" x14ac:dyDescent="0.2">
      <c r="A72" s="154">
        <v>48</v>
      </c>
      <c r="B72" s="150" t="s">
        <v>186</v>
      </c>
      <c r="C72" s="153" t="s">
        <v>410</v>
      </c>
      <c r="F72" s="152"/>
      <c r="G72" s="151"/>
      <c r="H72" s="152"/>
    </row>
    <row r="73" spans="1:8" x14ac:dyDescent="0.2">
      <c r="A73" s="154">
        <v>49</v>
      </c>
      <c r="B73" s="150" t="s">
        <v>179</v>
      </c>
      <c r="C73" s="153" t="s">
        <v>410</v>
      </c>
      <c r="F73" s="152"/>
      <c r="G73" s="151"/>
      <c r="H73" s="152"/>
    </row>
    <row r="74" spans="1:8" x14ac:dyDescent="0.2">
      <c r="A74" s="154">
        <v>50</v>
      </c>
      <c r="B74" s="150" t="s">
        <v>187</v>
      </c>
      <c r="C74" s="153" t="s">
        <v>410</v>
      </c>
      <c r="F74" s="152"/>
      <c r="G74" s="151"/>
      <c r="H74" s="152"/>
    </row>
    <row r="75" spans="1:8" x14ac:dyDescent="0.2">
      <c r="A75" s="154">
        <v>51</v>
      </c>
      <c r="B75" s="150" t="s">
        <v>188</v>
      </c>
      <c r="C75" s="153" t="s">
        <v>409</v>
      </c>
      <c r="F75" s="152"/>
      <c r="G75" s="151"/>
      <c r="H75" s="152"/>
    </row>
    <row r="76" spans="1:8" x14ac:dyDescent="0.2">
      <c r="A76" s="154">
        <v>52</v>
      </c>
      <c r="B76" s="150" t="s">
        <v>189</v>
      </c>
      <c r="C76" s="153" t="s">
        <v>410</v>
      </c>
      <c r="F76" s="152"/>
      <c r="G76" s="151"/>
      <c r="H76" s="152"/>
    </row>
    <row r="77" spans="1:8" x14ac:dyDescent="0.2">
      <c r="A77" s="154">
        <v>53</v>
      </c>
      <c r="B77" s="150" t="s">
        <v>189</v>
      </c>
      <c r="C77" s="153" t="s">
        <v>410</v>
      </c>
      <c r="F77" s="152"/>
      <c r="G77" s="151"/>
      <c r="H77" s="152"/>
    </row>
    <row r="78" spans="1:8" x14ac:dyDescent="0.2">
      <c r="A78" s="154">
        <v>55</v>
      </c>
      <c r="B78" s="150" t="s">
        <v>189</v>
      </c>
      <c r="C78" s="153" t="s">
        <v>410</v>
      </c>
      <c r="F78" s="152"/>
      <c r="G78" s="151"/>
      <c r="H78" s="152"/>
    </row>
    <row r="79" spans="1:8" x14ac:dyDescent="0.2">
      <c r="A79" s="154">
        <v>56</v>
      </c>
      <c r="B79" s="150" t="s">
        <v>189</v>
      </c>
      <c r="C79" s="153" t="s">
        <v>410</v>
      </c>
      <c r="F79" s="152"/>
      <c r="G79" s="151"/>
      <c r="H79" s="152"/>
    </row>
    <row r="80" spans="1:8" x14ac:dyDescent="0.2">
      <c r="A80" s="154">
        <v>57</v>
      </c>
      <c r="B80" s="150" t="s">
        <v>189</v>
      </c>
      <c r="C80" s="153" t="s">
        <v>410</v>
      </c>
      <c r="F80" s="152"/>
      <c r="G80" s="151"/>
      <c r="H80" s="152"/>
    </row>
    <row r="81" spans="1:8" x14ac:dyDescent="0.2">
      <c r="A81" s="154">
        <v>58</v>
      </c>
      <c r="B81" s="150" t="s">
        <v>190</v>
      </c>
      <c r="C81" s="153" t="s">
        <v>409</v>
      </c>
      <c r="F81" s="152"/>
      <c r="G81" s="151"/>
      <c r="H81" s="152"/>
    </row>
    <row r="82" spans="1:8" x14ac:dyDescent="0.2">
      <c r="A82" s="154">
        <v>59</v>
      </c>
      <c r="B82" s="150" t="s">
        <v>189</v>
      </c>
      <c r="C82" s="153" t="s">
        <v>410</v>
      </c>
      <c r="F82" s="152"/>
      <c r="G82" s="151"/>
      <c r="H82" s="152"/>
    </row>
    <row r="83" spans="1:8" x14ac:dyDescent="0.2">
      <c r="A83" s="154">
        <v>60</v>
      </c>
      <c r="B83" s="150" t="s">
        <v>189</v>
      </c>
      <c r="C83" s="153" t="s">
        <v>410</v>
      </c>
      <c r="F83" s="152"/>
      <c r="G83" s="151"/>
      <c r="H83" s="152"/>
    </row>
    <row r="84" spans="1:8" x14ac:dyDescent="0.2">
      <c r="A84" s="154">
        <v>62</v>
      </c>
      <c r="B84" s="150" t="s">
        <v>191</v>
      </c>
      <c r="C84" s="153" t="s">
        <v>409</v>
      </c>
    </row>
    <row r="85" spans="1:8" x14ac:dyDescent="0.2">
      <c r="A85" s="154">
        <v>63</v>
      </c>
      <c r="B85" s="150" t="s">
        <v>182</v>
      </c>
      <c r="C85" s="153" t="s">
        <v>410</v>
      </c>
    </row>
    <row r="86" spans="1:8" x14ac:dyDescent="0.2">
      <c r="A86" s="154">
        <v>64</v>
      </c>
      <c r="B86" s="150" t="s">
        <v>189</v>
      </c>
      <c r="C86" s="153" t="s">
        <v>410</v>
      </c>
    </row>
    <row r="87" spans="1:8" x14ac:dyDescent="0.2">
      <c r="A87" s="154">
        <v>65</v>
      </c>
      <c r="B87" s="150" t="s">
        <v>192</v>
      </c>
      <c r="C87" s="153" t="s">
        <v>410</v>
      </c>
    </row>
    <row r="88" spans="1:8" x14ac:dyDescent="0.2">
      <c r="A88" s="154">
        <v>66</v>
      </c>
      <c r="B88" s="150" t="s">
        <v>192</v>
      </c>
      <c r="C88" s="153" t="s">
        <v>410</v>
      </c>
    </row>
    <row r="89" spans="1:8" x14ac:dyDescent="0.2">
      <c r="A89" s="154">
        <v>67</v>
      </c>
      <c r="B89" s="150" t="s">
        <v>193</v>
      </c>
      <c r="C89" s="153" t="s">
        <v>410</v>
      </c>
    </row>
    <row r="90" spans="1:8" x14ac:dyDescent="0.2">
      <c r="A90" s="154">
        <v>71</v>
      </c>
      <c r="B90" s="150" t="s">
        <v>193</v>
      </c>
      <c r="C90" s="153" t="s">
        <v>410</v>
      </c>
    </row>
    <row r="91" spans="1:8" x14ac:dyDescent="0.2">
      <c r="A91" s="154">
        <v>72</v>
      </c>
      <c r="B91" s="150" t="s">
        <v>193</v>
      </c>
      <c r="C91" s="153" t="s">
        <v>410</v>
      </c>
    </row>
    <row r="92" spans="1:8" x14ac:dyDescent="0.2">
      <c r="A92" s="154">
        <v>73</v>
      </c>
      <c r="B92" s="150" t="s">
        <v>193</v>
      </c>
      <c r="C92" s="153" t="s">
        <v>410</v>
      </c>
    </row>
    <row r="93" spans="1:8" x14ac:dyDescent="0.2">
      <c r="A93" s="154">
        <v>74</v>
      </c>
      <c r="B93" s="150" t="s">
        <v>194</v>
      </c>
      <c r="C93" s="153" t="s">
        <v>410</v>
      </c>
    </row>
    <row r="94" spans="1:8" x14ac:dyDescent="0.2">
      <c r="A94" s="154">
        <v>75</v>
      </c>
      <c r="B94" s="150" t="s">
        <v>195</v>
      </c>
      <c r="C94" s="153" t="s">
        <v>410</v>
      </c>
    </row>
    <row r="95" spans="1:8" x14ac:dyDescent="0.2">
      <c r="A95" s="154">
        <v>76</v>
      </c>
      <c r="B95" s="150" t="s">
        <v>195</v>
      </c>
      <c r="C95" s="153" t="s">
        <v>410</v>
      </c>
    </row>
    <row r="96" spans="1:8" x14ac:dyDescent="0.2">
      <c r="A96" s="154">
        <v>77</v>
      </c>
      <c r="B96" s="150" t="s">
        <v>195</v>
      </c>
      <c r="C96" s="153" t="s">
        <v>410</v>
      </c>
    </row>
    <row r="97" spans="1:3" x14ac:dyDescent="0.2">
      <c r="A97" s="154">
        <v>78</v>
      </c>
      <c r="B97" s="150" t="s">
        <v>196</v>
      </c>
      <c r="C97" s="153" t="s">
        <v>410</v>
      </c>
    </row>
    <row r="98" spans="1:3" x14ac:dyDescent="0.2">
      <c r="A98" s="154">
        <v>79</v>
      </c>
      <c r="B98" s="150" t="s">
        <v>197</v>
      </c>
      <c r="C98" s="153" t="s">
        <v>409</v>
      </c>
    </row>
    <row r="99" spans="1:3" x14ac:dyDescent="0.2">
      <c r="A99" s="154">
        <v>80</v>
      </c>
      <c r="B99" s="150" t="s">
        <v>198</v>
      </c>
      <c r="C99" s="153" t="s">
        <v>410</v>
      </c>
    </row>
    <row r="100" spans="1:3" x14ac:dyDescent="0.2">
      <c r="A100" s="154">
        <v>81</v>
      </c>
      <c r="B100" s="150" t="s">
        <v>199</v>
      </c>
      <c r="C100" s="153" t="s">
        <v>410</v>
      </c>
    </row>
    <row r="101" spans="1:3" x14ac:dyDescent="0.2">
      <c r="A101" s="154">
        <v>82</v>
      </c>
      <c r="B101" s="150" t="s">
        <v>200</v>
      </c>
      <c r="C101" s="153" t="s">
        <v>410</v>
      </c>
    </row>
    <row r="102" spans="1:3" x14ac:dyDescent="0.2">
      <c r="A102" s="154">
        <v>83</v>
      </c>
      <c r="B102" s="150" t="s">
        <v>200</v>
      </c>
      <c r="C102" s="153" t="s">
        <v>410</v>
      </c>
    </row>
    <row r="103" spans="1:3" x14ac:dyDescent="0.2">
      <c r="A103" s="154">
        <v>84</v>
      </c>
      <c r="B103" s="150" t="s">
        <v>200</v>
      </c>
      <c r="C103" s="153" t="s">
        <v>410</v>
      </c>
    </row>
    <row r="104" spans="1:3" x14ac:dyDescent="0.2">
      <c r="A104" s="154">
        <v>85</v>
      </c>
      <c r="B104" s="150" t="s">
        <v>200</v>
      </c>
      <c r="C104" s="153" t="s">
        <v>410</v>
      </c>
    </row>
    <row r="105" spans="1:3" x14ac:dyDescent="0.2">
      <c r="A105" s="154">
        <v>86</v>
      </c>
      <c r="B105" s="150" t="s">
        <v>200</v>
      </c>
      <c r="C105" s="153" t="s">
        <v>410</v>
      </c>
    </row>
    <row r="106" spans="1:3" x14ac:dyDescent="0.2">
      <c r="A106" s="154">
        <v>87</v>
      </c>
      <c r="B106" s="150" t="s">
        <v>200</v>
      </c>
      <c r="C106" s="153" t="s">
        <v>410</v>
      </c>
    </row>
    <row r="107" spans="1:3" x14ac:dyDescent="0.2">
      <c r="A107" s="154">
        <v>88</v>
      </c>
      <c r="B107" s="150" t="s">
        <v>200</v>
      </c>
      <c r="C107" s="153" t="s">
        <v>410</v>
      </c>
    </row>
    <row r="108" spans="1:3" x14ac:dyDescent="0.2">
      <c r="A108" s="154">
        <v>91</v>
      </c>
      <c r="B108" s="150" t="s">
        <v>201</v>
      </c>
      <c r="C108" s="153" t="s">
        <v>410</v>
      </c>
    </row>
    <row r="109" spans="1:3" x14ac:dyDescent="0.2">
      <c r="A109" s="154">
        <v>92</v>
      </c>
      <c r="B109" s="150" t="s">
        <v>201</v>
      </c>
      <c r="C109" s="153" t="s">
        <v>410</v>
      </c>
    </row>
    <row r="110" spans="1:3" x14ac:dyDescent="0.2">
      <c r="A110" s="154">
        <v>93</v>
      </c>
      <c r="B110" s="150" t="s">
        <v>202</v>
      </c>
      <c r="C110" s="153" t="s">
        <v>409</v>
      </c>
    </row>
    <row r="111" spans="1:3" x14ac:dyDescent="0.2">
      <c r="A111" s="154">
        <v>94</v>
      </c>
      <c r="B111" s="150" t="s">
        <v>201</v>
      </c>
      <c r="C111" s="153" t="s">
        <v>410</v>
      </c>
    </row>
    <row r="112" spans="1:3" x14ac:dyDescent="0.2">
      <c r="A112" s="154">
        <v>95</v>
      </c>
      <c r="B112" s="150" t="s">
        <v>201</v>
      </c>
      <c r="C112" s="153" t="s">
        <v>410</v>
      </c>
    </row>
    <row r="113" spans="1:3" x14ac:dyDescent="0.2">
      <c r="A113" s="154">
        <v>96</v>
      </c>
      <c r="B113" s="150" t="s">
        <v>201</v>
      </c>
      <c r="C113" s="153" t="s">
        <v>410</v>
      </c>
    </row>
    <row r="114" spans="1:3" x14ac:dyDescent="0.2">
      <c r="A114" s="154">
        <v>97</v>
      </c>
      <c r="B114" s="150" t="s">
        <v>203</v>
      </c>
      <c r="C114" s="153" t="s">
        <v>410</v>
      </c>
    </row>
    <row r="115" spans="1:3" x14ac:dyDescent="0.2">
      <c r="A115" s="154">
        <v>98</v>
      </c>
      <c r="B115" s="150" t="s">
        <v>204</v>
      </c>
      <c r="C115" s="153" t="s">
        <v>410</v>
      </c>
    </row>
    <row r="116" spans="1:3" x14ac:dyDescent="0.2">
      <c r="A116" s="154">
        <v>99</v>
      </c>
      <c r="B116" s="150" t="s">
        <v>205</v>
      </c>
      <c r="C116" s="153" t="s">
        <v>410</v>
      </c>
    </row>
    <row r="117" spans="1:3" x14ac:dyDescent="0.2">
      <c r="A117" s="154">
        <v>100</v>
      </c>
      <c r="B117" s="150" t="s">
        <v>205</v>
      </c>
      <c r="C117" s="153" t="s">
        <v>410</v>
      </c>
    </row>
    <row r="118" spans="1:3" x14ac:dyDescent="0.2">
      <c r="A118" s="154">
        <v>101</v>
      </c>
      <c r="B118" s="150" t="s">
        <v>206</v>
      </c>
      <c r="C118" s="153" t="s">
        <v>410</v>
      </c>
    </row>
    <row r="119" spans="1:3" x14ac:dyDescent="0.2">
      <c r="A119" s="154">
        <v>102</v>
      </c>
      <c r="B119" s="150" t="s">
        <v>206</v>
      </c>
      <c r="C119" s="153" t="s">
        <v>410</v>
      </c>
    </row>
    <row r="120" spans="1:3" x14ac:dyDescent="0.2">
      <c r="A120" s="154">
        <v>103</v>
      </c>
      <c r="B120" s="150" t="s">
        <v>206</v>
      </c>
      <c r="C120" s="153" t="s">
        <v>410</v>
      </c>
    </row>
    <row r="121" spans="1:3" x14ac:dyDescent="0.2">
      <c r="A121" s="154">
        <v>104</v>
      </c>
      <c r="B121" s="150" t="s">
        <v>207</v>
      </c>
      <c r="C121" s="153" t="s">
        <v>410</v>
      </c>
    </row>
    <row r="122" spans="1:3" x14ac:dyDescent="0.2">
      <c r="A122" s="154">
        <v>105</v>
      </c>
      <c r="B122" s="150" t="s">
        <v>207</v>
      </c>
      <c r="C122" s="153" t="s">
        <v>410</v>
      </c>
    </row>
    <row r="123" spans="1:3" x14ac:dyDescent="0.2">
      <c r="A123" s="154">
        <v>106</v>
      </c>
      <c r="B123" s="150" t="s">
        <v>207</v>
      </c>
      <c r="C123" s="153" t="s">
        <v>410</v>
      </c>
    </row>
    <row r="124" spans="1:3" x14ac:dyDescent="0.2">
      <c r="A124" s="154">
        <v>107</v>
      </c>
      <c r="B124" s="150" t="s">
        <v>207</v>
      </c>
      <c r="C124" s="153" t="s">
        <v>410</v>
      </c>
    </row>
    <row r="125" spans="1:3" x14ac:dyDescent="0.2">
      <c r="A125" s="154">
        <v>108</v>
      </c>
      <c r="B125" s="150" t="s">
        <v>207</v>
      </c>
      <c r="C125" s="153" t="s">
        <v>410</v>
      </c>
    </row>
    <row r="126" spans="1:3" x14ac:dyDescent="0.2">
      <c r="A126" s="154">
        <v>109</v>
      </c>
      <c r="B126" s="150" t="s">
        <v>207</v>
      </c>
      <c r="C126" s="153" t="s">
        <v>410</v>
      </c>
    </row>
    <row r="127" spans="1:3" x14ac:dyDescent="0.2">
      <c r="A127" s="154">
        <v>110</v>
      </c>
      <c r="B127" s="150" t="s">
        <v>207</v>
      </c>
      <c r="C127" s="153" t="s">
        <v>410</v>
      </c>
    </row>
    <row r="128" spans="1:3" x14ac:dyDescent="0.2">
      <c r="A128" s="154">
        <v>111</v>
      </c>
      <c r="B128" s="150" t="s">
        <v>208</v>
      </c>
      <c r="C128" s="153" t="s">
        <v>410</v>
      </c>
    </row>
    <row r="129" spans="1:3" x14ac:dyDescent="0.2">
      <c r="A129" s="154">
        <v>112</v>
      </c>
      <c r="B129" s="150" t="s">
        <v>209</v>
      </c>
      <c r="C129" s="153" t="s">
        <v>410</v>
      </c>
    </row>
    <row r="130" spans="1:3" x14ac:dyDescent="0.2">
      <c r="A130" s="154">
        <v>113</v>
      </c>
      <c r="B130" s="150" t="s">
        <v>209</v>
      </c>
      <c r="C130" s="153" t="s">
        <v>410</v>
      </c>
    </row>
    <row r="131" spans="1:3" x14ac:dyDescent="0.2">
      <c r="A131" s="154">
        <v>115</v>
      </c>
      <c r="B131" s="150" t="s">
        <v>209</v>
      </c>
      <c r="C131" s="153" t="s">
        <v>410</v>
      </c>
    </row>
    <row r="132" spans="1:3" x14ac:dyDescent="0.2">
      <c r="A132" s="154">
        <v>116</v>
      </c>
      <c r="B132" s="150" t="s">
        <v>209</v>
      </c>
      <c r="C132" s="153" t="s">
        <v>410</v>
      </c>
    </row>
    <row r="133" spans="1:3" x14ac:dyDescent="0.2">
      <c r="A133" s="154">
        <v>117</v>
      </c>
      <c r="B133" s="150" t="s">
        <v>209</v>
      </c>
      <c r="C133" s="153" t="s">
        <v>410</v>
      </c>
    </row>
    <row r="134" spans="1:3" x14ac:dyDescent="0.2">
      <c r="A134" s="154">
        <v>118</v>
      </c>
      <c r="B134" s="150" t="s">
        <v>210</v>
      </c>
      <c r="C134" s="153" t="s">
        <v>410</v>
      </c>
    </row>
    <row r="135" spans="1:3" x14ac:dyDescent="0.2">
      <c r="A135" s="154">
        <v>119</v>
      </c>
      <c r="B135" s="150" t="s">
        <v>210</v>
      </c>
      <c r="C135" s="153" t="s">
        <v>410</v>
      </c>
    </row>
    <row r="136" spans="1:3" x14ac:dyDescent="0.2">
      <c r="A136" s="154">
        <v>120</v>
      </c>
      <c r="B136" s="150" t="s">
        <v>182</v>
      </c>
      <c r="C136" s="153" t="s">
        <v>410</v>
      </c>
    </row>
    <row r="137" spans="1:3" x14ac:dyDescent="0.2">
      <c r="A137" s="154">
        <v>121</v>
      </c>
      <c r="B137" s="150" t="s">
        <v>211</v>
      </c>
      <c r="C137" s="153" t="s">
        <v>409</v>
      </c>
    </row>
    <row r="138" spans="1:3" x14ac:dyDescent="0.2">
      <c r="A138" s="154">
        <v>122</v>
      </c>
      <c r="B138" s="150" t="s">
        <v>212</v>
      </c>
      <c r="C138" s="153" t="s">
        <v>409</v>
      </c>
    </row>
    <row r="139" spans="1:3" x14ac:dyDescent="0.2">
      <c r="A139" s="154">
        <v>123</v>
      </c>
      <c r="B139" s="150" t="s">
        <v>213</v>
      </c>
      <c r="C139" s="153" t="s">
        <v>409</v>
      </c>
    </row>
    <row r="140" spans="1:3" x14ac:dyDescent="0.2">
      <c r="A140" s="154">
        <v>124</v>
      </c>
      <c r="B140" s="150" t="s">
        <v>213</v>
      </c>
      <c r="C140" s="153" t="s">
        <v>409</v>
      </c>
    </row>
    <row r="141" spans="1:3" x14ac:dyDescent="0.2">
      <c r="A141" s="154">
        <v>125</v>
      </c>
      <c r="B141" s="150" t="s">
        <v>213</v>
      </c>
      <c r="C141" s="153" t="s">
        <v>409</v>
      </c>
    </row>
    <row r="142" spans="1:3" x14ac:dyDescent="0.2">
      <c r="A142" s="154">
        <v>126</v>
      </c>
      <c r="B142" s="150" t="s">
        <v>214</v>
      </c>
      <c r="C142" s="153" t="s">
        <v>409</v>
      </c>
    </row>
    <row r="143" spans="1:3" x14ac:dyDescent="0.2">
      <c r="A143" s="154">
        <v>127</v>
      </c>
      <c r="B143" s="150" t="s">
        <v>215</v>
      </c>
      <c r="C143" s="153" t="s">
        <v>409</v>
      </c>
    </row>
    <row r="144" spans="1:3" x14ac:dyDescent="0.2">
      <c r="A144" s="154">
        <v>128</v>
      </c>
      <c r="B144" s="150" t="s">
        <v>216</v>
      </c>
      <c r="C144" s="153" t="s">
        <v>409</v>
      </c>
    </row>
    <row r="145" spans="1:3" x14ac:dyDescent="0.2">
      <c r="A145" s="154">
        <v>129</v>
      </c>
      <c r="B145" s="150" t="s">
        <v>215</v>
      </c>
      <c r="C145" s="153" t="s">
        <v>409</v>
      </c>
    </row>
    <row r="146" spans="1:3" x14ac:dyDescent="0.2">
      <c r="A146" s="154">
        <v>130</v>
      </c>
      <c r="B146" s="150" t="s">
        <v>217</v>
      </c>
      <c r="C146" s="153" t="s">
        <v>409</v>
      </c>
    </row>
    <row r="147" spans="1:3" x14ac:dyDescent="0.2">
      <c r="A147" s="154">
        <v>131</v>
      </c>
      <c r="B147" s="150" t="s">
        <v>217</v>
      </c>
      <c r="C147" s="153" t="s">
        <v>409</v>
      </c>
    </row>
    <row r="148" spans="1:3" x14ac:dyDescent="0.2">
      <c r="A148" s="154">
        <v>132</v>
      </c>
      <c r="B148" s="150" t="s">
        <v>218</v>
      </c>
      <c r="C148" s="153" t="s">
        <v>409</v>
      </c>
    </row>
    <row r="149" spans="1:3" x14ac:dyDescent="0.2">
      <c r="A149" s="154">
        <v>133</v>
      </c>
      <c r="B149" s="150" t="s">
        <v>218</v>
      </c>
      <c r="C149" s="153" t="s">
        <v>409</v>
      </c>
    </row>
    <row r="150" spans="1:3" x14ac:dyDescent="0.2">
      <c r="A150" s="154">
        <v>134</v>
      </c>
      <c r="B150" s="150" t="s">
        <v>218</v>
      </c>
      <c r="C150" s="153" t="s">
        <v>409</v>
      </c>
    </row>
    <row r="151" spans="1:3" x14ac:dyDescent="0.2">
      <c r="A151" s="154">
        <v>135</v>
      </c>
      <c r="B151" s="150" t="s">
        <v>218</v>
      </c>
      <c r="C151" s="153" t="s">
        <v>409</v>
      </c>
    </row>
    <row r="152" spans="1:3" x14ac:dyDescent="0.2">
      <c r="A152" s="154">
        <v>136</v>
      </c>
      <c r="B152" s="150" t="s">
        <v>218</v>
      </c>
      <c r="C152" s="153" t="s">
        <v>409</v>
      </c>
    </row>
    <row r="153" spans="1:3" x14ac:dyDescent="0.2">
      <c r="A153" s="154">
        <v>137</v>
      </c>
      <c r="B153" s="150" t="s">
        <v>218</v>
      </c>
      <c r="C153" s="153" t="s">
        <v>409</v>
      </c>
    </row>
    <row r="154" spans="1:3" x14ac:dyDescent="0.2">
      <c r="A154" s="154">
        <v>138</v>
      </c>
      <c r="B154" s="150" t="s">
        <v>218</v>
      </c>
      <c r="C154" s="153" t="s">
        <v>409</v>
      </c>
    </row>
    <row r="155" spans="1:3" x14ac:dyDescent="0.2">
      <c r="A155" s="154">
        <v>140</v>
      </c>
      <c r="B155" s="150" t="s">
        <v>202</v>
      </c>
      <c r="C155" s="153" t="s">
        <v>409</v>
      </c>
    </row>
    <row r="156" spans="1:3" x14ac:dyDescent="0.2">
      <c r="A156" s="154">
        <v>141</v>
      </c>
      <c r="B156" s="150" t="s">
        <v>219</v>
      </c>
      <c r="C156" s="153" t="s">
        <v>409</v>
      </c>
    </row>
    <row r="157" spans="1:3" x14ac:dyDescent="0.2">
      <c r="A157" s="154">
        <v>142</v>
      </c>
      <c r="B157" s="150" t="s">
        <v>219</v>
      </c>
      <c r="C157" s="153" t="s">
        <v>409</v>
      </c>
    </row>
    <row r="158" spans="1:3" x14ac:dyDescent="0.2">
      <c r="A158" s="154">
        <v>143</v>
      </c>
      <c r="B158" s="150" t="s">
        <v>205</v>
      </c>
      <c r="C158" s="153" t="s">
        <v>410</v>
      </c>
    </row>
    <row r="159" spans="1:3" x14ac:dyDescent="0.2">
      <c r="A159" s="154">
        <v>144</v>
      </c>
      <c r="B159" s="150" t="s">
        <v>220</v>
      </c>
      <c r="C159" s="153" t="s">
        <v>409</v>
      </c>
    </row>
    <row r="160" spans="1:3" x14ac:dyDescent="0.2">
      <c r="A160" s="154">
        <v>145</v>
      </c>
      <c r="B160" s="150" t="s">
        <v>220</v>
      </c>
      <c r="C160" s="153" t="s">
        <v>409</v>
      </c>
    </row>
    <row r="161" spans="1:3" x14ac:dyDescent="0.2">
      <c r="A161" s="154">
        <v>146</v>
      </c>
      <c r="B161" s="150" t="s">
        <v>220</v>
      </c>
      <c r="C161" s="153" t="s">
        <v>409</v>
      </c>
    </row>
    <row r="162" spans="1:3" x14ac:dyDescent="0.2">
      <c r="A162" s="154">
        <v>147</v>
      </c>
      <c r="B162" s="150" t="s">
        <v>220</v>
      </c>
      <c r="C162" s="153" t="s">
        <v>409</v>
      </c>
    </row>
    <row r="163" spans="1:3" x14ac:dyDescent="0.2">
      <c r="A163" s="154">
        <v>148</v>
      </c>
      <c r="B163" s="150" t="s">
        <v>221</v>
      </c>
      <c r="C163" s="153" t="s">
        <v>409</v>
      </c>
    </row>
    <row r="164" spans="1:3" x14ac:dyDescent="0.2">
      <c r="A164" s="154">
        <v>149</v>
      </c>
      <c r="B164" s="150" t="s">
        <v>222</v>
      </c>
      <c r="C164" s="153" t="s">
        <v>409</v>
      </c>
    </row>
    <row r="165" spans="1:3" x14ac:dyDescent="0.2">
      <c r="A165" s="154">
        <v>150</v>
      </c>
      <c r="B165" s="150" t="s">
        <v>214</v>
      </c>
      <c r="C165" s="153" t="s">
        <v>409</v>
      </c>
    </row>
    <row r="166" spans="1:3" x14ac:dyDescent="0.2">
      <c r="A166" s="154">
        <v>151</v>
      </c>
      <c r="B166" s="150" t="s">
        <v>214</v>
      </c>
      <c r="C166" s="153" t="s">
        <v>409</v>
      </c>
    </row>
    <row r="167" spans="1:3" x14ac:dyDescent="0.2">
      <c r="A167" s="154">
        <v>152</v>
      </c>
      <c r="B167" s="150" t="s">
        <v>214</v>
      </c>
      <c r="C167" s="153" t="s">
        <v>409</v>
      </c>
    </row>
    <row r="168" spans="1:3" x14ac:dyDescent="0.2">
      <c r="A168" s="154">
        <v>153</v>
      </c>
      <c r="B168" s="150" t="s">
        <v>214</v>
      </c>
      <c r="C168" s="153" t="s">
        <v>409</v>
      </c>
    </row>
    <row r="169" spans="1:3" x14ac:dyDescent="0.2">
      <c r="A169" s="154">
        <v>154</v>
      </c>
      <c r="B169" s="150" t="s">
        <v>214</v>
      </c>
      <c r="C169" s="153" t="s">
        <v>409</v>
      </c>
    </row>
    <row r="170" spans="1:3" x14ac:dyDescent="0.2">
      <c r="A170" s="154">
        <v>155</v>
      </c>
      <c r="B170" s="150" t="s">
        <v>202</v>
      </c>
      <c r="C170" s="153" t="s">
        <v>410</v>
      </c>
    </row>
    <row r="171" spans="1:3" x14ac:dyDescent="0.2">
      <c r="A171" s="154">
        <v>156</v>
      </c>
      <c r="B171" s="150" t="s">
        <v>214</v>
      </c>
      <c r="C171" s="153" t="s">
        <v>409</v>
      </c>
    </row>
    <row r="172" spans="1:3" x14ac:dyDescent="0.2">
      <c r="A172" s="154">
        <v>157</v>
      </c>
      <c r="B172" s="150" t="s">
        <v>214</v>
      </c>
      <c r="C172" s="153" t="s">
        <v>409</v>
      </c>
    </row>
    <row r="173" spans="1:3" x14ac:dyDescent="0.2">
      <c r="A173" s="154">
        <v>158</v>
      </c>
      <c r="B173" s="150" t="s">
        <v>214</v>
      </c>
      <c r="C173" s="153" t="s">
        <v>409</v>
      </c>
    </row>
    <row r="174" spans="1:3" x14ac:dyDescent="0.2">
      <c r="A174" s="154">
        <v>159</v>
      </c>
      <c r="B174" s="150" t="s">
        <v>189</v>
      </c>
      <c r="C174" s="153" t="s">
        <v>410</v>
      </c>
    </row>
    <row r="175" spans="1:3" x14ac:dyDescent="0.2">
      <c r="A175" s="154">
        <v>160</v>
      </c>
      <c r="B175" s="150" t="s">
        <v>214</v>
      </c>
      <c r="C175" s="153" t="s">
        <v>409</v>
      </c>
    </row>
    <row r="176" spans="1:3" x14ac:dyDescent="0.2">
      <c r="A176" s="154">
        <v>161</v>
      </c>
      <c r="B176" s="150" t="s">
        <v>214</v>
      </c>
      <c r="C176" s="153" t="s">
        <v>409</v>
      </c>
    </row>
    <row r="177" spans="1:3" x14ac:dyDescent="0.2">
      <c r="A177" s="154">
        <v>162</v>
      </c>
      <c r="B177" s="150" t="s">
        <v>214</v>
      </c>
      <c r="C177" s="153" t="s">
        <v>409</v>
      </c>
    </row>
    <row r="178" spans="1:3" x14ac:dyDescent="0.2">
      <c r="A178" s="154">
        <v>163</v>
      </c>
      <c r="B178" s="150" t="s">
        <v>214</v>
      </c>
      <c r="C178" s="153" t="s">
        <v>409</v>
      </c>
    </row>
    <row r="179" spans="1:3" x14ac:dyDescent="0.2">
      <c r="A179" s="154">
        <v>164</v>
      </c>
      <c r="B179" s="150" t="s">
        <v>214</v>
      </c>
      <c r="C179" s="153" t="s">
        <v>409</v>
      </c>
    </row>
    <row r="180" spans="1:3" x14ac:dyDescent="0.2">
      <c r="A180" s="154">
        <v>165</v>
      </c>
      <c r="B180" s="150" t="s">
        <v>214</v>
      </c>
      <c r="C180" s="153" t="s">
        <v>409</v>
      </c>
    </row>
    <row r="181" spans="1:3" x14ac:dyDescent="0.2">
      <c r="A181" s="154">
        <v>166</v>
      </c>
      <c r="B181" s="150" t="s">
        <v>214</v>
      </c>
      <c r="C181" s="153" t="s">
        <v>409</v>
      </c>
    </row>
    <row r="182" spans="1:3" x14ac:dyDescent="0.2">
      <c r="A182" s="154">
        <v>167</v>
      </c>
      <c r="B182" s="150" t="s">
        <v>214</v>
      </c>
      <c r="C182" s="153" t="s">
        <v>409</v>
      </c>
    </row>
    <row r="183" spans="1:3" x14ac:dyDescent="0.2">
      <c r="A183" s="154">
        <v>168</v>
      </c>
      <c r="B183" s="150" t="s">
        <v>214</v>
      </c>
      <c r="C183" s="153" t="s">
        <v>409</v>
      </c>
    </row>
    <row r="184" spans="1:3" x14ac:dyDescent="0.2">
      <c r="A184" s="154">
        <v>169</v>
      </c>
      <c r="B184" s="150" t="s">
        <v>214</v>
      </c>
      <c r="C184" s="153" t="s">
        <v>409</v>
      </c>
    </row>
    <row r="185" spans="1:3" x14ac:dyDescent="0.2">
      <c r="A185" s="154">
        <v>170</v>
      </c>
      <c r="B185" s="150" t="s">
        <v>214</v>
      </c>
      <c r="C185" s="153" t="s">
        <v>409</v>
      </c>
    </row>
    <row r="186" spans="1:3" x14ac:dyDescent="0.2">
      <c r="A186" s="154">
        <v>171</v>
      </c>
      <c r="B186" s="150" t="s">
        <v>214</v>
      </c>
      <c r="C186" s="153" t="s">
        <v>409</v>
      </c>
    </row>
    <row r="187" spans="1:3" x14ac:dyDescent="0.2">
      <c r="A187" s="154">
        <v>172</v>
      </c>
      <c r="B187" s="150" t="s">
        <v>214</v>
      </c>
      <c r="C187" s="153" t="s">
        <v>409</v>
      </c>
    </row>
    <row r="188" spans="1:3" x14ac:dyDescent="0.2">
      <c r="A188" s="154">
        <v>173</v>
      </c>
      <c r="B188" s="150" t="s">
        <v>214</v>
      </c>
      <c r="C188" s="153" t="s">
        <v>409</v>
      </c>
    </row>
    <row r="189" spans="1:3" x14ac:dyDescent="0.2">
      <c r="A189" s="154">
        <v>174</v>
      </c>
      <c r="B189" s="150" t="s">
        <v>214</v>
      </c>
      <c r="C189" s="153" t="s">
        <v>409</v>
      </c>
    </row>
    <row r="190" spans="1:3" x14ac:dyDescent="0.2">
      <c r="A190" s="154">
        <v>175</v>
      </c>
      <c r="B190" s="150" t="s">
        <v>214</v>
      </c>
      <c r="C190" s="153" t="s">
        <v>409</v>
      </c>
    </row>
    <row r="191" spans="1:3" x14ac:dyDescent="0.2">
      <c r="A191" s="154">
        <v>176</v>
      </c>
      <c r="B191" s="150" t="s">
        <v>214</v>
      </c>
      <c r="C191" s="153" t="s">
        <v>409</v>
      </c>
    </row>
    <row r="192" spans="1:3" x14ac:dyDescent="0.2">
      <c r="A192" s="154">
        <v>177</v>
      </c>
      <c r="B192" s="150" t="s">
        <v>214</v>
      </c>
      <c r="C192" s="153" t="s">
        <v>409</v>
      </c>
    </row>
    <row r="193" spans="1:3" x14ac:dyDescent="0.2">
      <c r="A193" s="154">
        <v>178</v>
      </c>
      <c r="B193" s="150" t="s">
        <v>223</v>
      </c>
      <c r="C193" s="153" t="s">
        <v>409</v>
      </c>
    </row>
    <row r="194" spans="1:3" x14ac:dyDescent="0.2">
      <c r="A194" s="154">
        <v>179</v>
      </c>
      <c r="B194" s="150" t="s">
        <v>214</v>
      </c>
      <c r="C194" s="153" t="s">
        <v>409</v>
      </c>
    </row>
    <row r="195" spans="1:3" x14ac:dyDescent="0.2">
      <c r="A195" s="154">
        <v>180</v>
      </c>
      <c r="B195" s="150" t="s">
        <v>214</v>
      </c>
      <c r="C195" s="153" t="s">
        <v>409</v>
      </c>
    </row>
    <row r="196" spans="1:3" x14ac:dyDescent="0.2">
      <c r="A196" s="154">
        <v>181</v>
      </c>
      <c r="B196" s="150" t="s">
        <v>214</v>
      </c>
      <c r="C196" s="153" t="s">
        <v>409</v>
      </c>
    </row>
    <row r="197" spans="1:3" x14ac:dyDescent="0.2">
      <c r="A197" s="154">
        <v>182</v>
      </c>
      <c r="B197" s="150" t="s">
        <v>214</v>
      </c>
      <c r="C197" s="153" t="s">
        <v>409</v>
      </c>
    </row>
    <row r="198" spans="1:3" x14ac:dyDescent="0.2">
      <c r="A198" s="154">
        <v>183</v>
      </c>
      <c r="B198" s="150" t="s">
        <v>214</v>
      </c>
      <c r="C198" s="153" t="s">
        <v>409</v>
      </c>
    </row>
    <row r="199" spans="1:3" x14ac:dyDescent="0.2">
      <c r="A199" s="154">
        <v>184</v>
      </c>
      <c r="B199" s="150" t="s">
        <v>214</v>
      </c>
      <c r="C199" s="153" t="s">
        <v>409</v>
      </c>
    </row>
    <row r="200" spans="1:3" x14ac:dyDescent="0.2">
      <c r="A200" s="154">
        <v>185</v>
      </c>
      <c r="B200" s="150" t="s">
        <v>214</v>
      </c>
      <c r="C200" s="153" t="s">
        <v>409</v>
      </c>
    </row>
    <row r="201" spans="1:3" x14ac:dyDescent="0.2">
      <c r="A201" s="154">
        <v>186</v>
      </c>
      <c r="B201" s="150" t="s">
        <v>214</v>
      </c>
      <c r="C201" s="153" t="s">
        <v>409</v>
      </c>
    </row>
    <row r="202" spans="1:3" x14ac:dyDescent="0.2">
      <c r="A202" s="154">
        <v>187</v>
      </c>
      <c r="B202" s="150" t="s">
        <v>214</v>
      </c>
      <c r="C202" s="153" t="s">
        <v>409</v>
      </c>
    </row>
    <row r="203" spans="1:3" x14ac:dyDescent="0.2">
      <c r="A203" s="154">
        <v>188</v>
      </c>
      <c r="B203" s="150" t="s">
        <v>214</v>
      </c>
      <c r="C203" s="153" t="s">
        <v>409</v>
      </c>
    </row>
    <row r="204" spans="1:3" x14ac:dyDescent="0.2">
      <c r="A204" s="154">
        <v>189</v>
      </c>
      <c r="B204" s="150" t="s">
        <v>214</v>
      </c>
      <c r="C204" s="153" t="s">
        <v>410</v>
      </c>
    </row>
    <row r="205" spans="1:3" x14ac:dyDescent="0.2">
      <c r="A205" s="154">
        <v>190</v>
      </c>
      <c r="B205" s="150" t="s">
        <v>214</v>
      </c>
      <c r="C205" s="153" t="s">
        <v>410</v>
      </c>
    </row>
    <row r="206" spans="1:3" x14ac:dyDescent="0.2">
      <c r="A206" s="154">
        <v>191</v>
      </c>
      <c r="B206" s="150" t="s">
        <v>214</v>
      </c>
      <c r="C206" s="153" t="s">
        <v>410</v>
      </c>
    </row>
    <row r="207" spans="1:3" x14ac:dyDescent="0.2">
      <c r="A207" s="154">
        <v>192</v>
      </c>
      <c r="B207" s="150" t="s">
        <v>214</v>
      </c>
      <c r="C207" s="153" t="s">
        <v>410</v>
      </c>
    </row>
    <row r="208" spans="1:3" x14ac:dyDescent="0.2">
      <c r="A208" s="154">
        <v>193</v>
      </c>
      <c r="B208" s="150" t="s">
        <v>214</v>
      </c>
      <c r="C208" s="153" t="s">
        <v>410</v>
      </c>
    </row>
    <row r="209" spans="1:3" x14ac:dyDescent="0.2">
      <c r="A209" s="154">
        <v>194</v>
      </c>
      <c r="B209" s="150" t="s">
        <v>214</v>
      </c>
      <c r="C209" s="153" t="s">
        <v>410</v>
      </c>
    </row>
    <row r="210" spans="1:3" x14ac:dyDescent="0.2">
      <c r="A210" s="154">
        <v>195</v>
      </c>
      <c r="B210" s="150" t="s">
        <v>214</v>
      </c>
      <c r="C210" s="153" t="s">
        <v>410</v>
      </c>
    </row>
    <row r="211" spans="1:3" x14ac:dyDescent="0.2">
      <c r="A211" s="154">
        <v>196</v>
      </c>
      <c r="B211" s="150" t="s">
        <v>214</v>
      </c>
      <c r="C211" s="153" t="s">
        <v>410</v>
      </c>
    </row>
    <row r="212" spans="1:3" x14ac:dyDescent="0.2">
      <c r="A212" s="154">
        <v>197</v>
      </c>
      <c r="B212" s="150" t="s">
        <v>214</v>
      </c>
      <c r="C212" s="153" t="s">
        <v>410</v>
      </c>
    </row>
    <row r="213" spans="1:3" x14ac:dyDescent="0.2">
      <c r="A213" s="154">
        <v>198</v>
      </c>
      <c r="B213" s="150" t="s">
        <v>214</v>
      </c>
      <c r="C213" s="153" t="s">
        <v>410</v>
      </c>
    </row>
    <row r="214" spans="1:3" x14ac:dyDescent="0.2">
      <c r="A214" s="154">
        <v>199</v>
      </c>
      <c r="B214" s="150" t="s">
        <v>214</v>
      </c>
      <c r="C214" s="153" t="s">
        <v>410</v>
      </c>
    </row>
    <row r="215" spans="1:3" x14ac:dyDescent="0.2">
      <c r="A215" s="154">
        <v>201</v>
      </c>
      <c r="B215" s="150" t="s">
        <v>214</v>
      </c>
      <c r="C215" s="153" t="s">
        <v>410</v>
      </c>
    </row>
    <row r="216" spans="1:3" x14ac:dyDescent="0.2">
      <c r="A216" s="154">
        <v>202</v>
      </c>
      <c r="B216" s="150" t="s">
        <v>214</v>
      </c>
      <c r="C216" s="153" t="s">
        <v>410</v>
      </c>
    </row>
    <row r="217" spans="1:3" x14ac:dyDescent="0.2">
      <c r="A217" s="154">
        <v>203</v>
      </c>
      <c r="B217" s="150" t="s">
        <v>214</v>
      </c>
      <c r="C217" s="153" t="s">
        <v>410</v>
      </c>
    </row>
    <row r="218" spans="1:3" x14ac:dyDescent="0.2">
      <c r="A218" s="154">
        <v>204</v>
      </c>
      <c r="B218" s="150" t="s">
        <v>214</v>
      </c>
      <c r="C218" s="153" t="s">
        <v>410</v>
      </c>
    </row>
    <row r="219" spans="1:3" x14ac:dyDescent="0.2">
      <c r="A219" s="154">
        <v>205</v>
      </c>
      <c r="B219" s="150" t="s">
        <v>214</v>
      </c>
      <c r="C219" s="153" t="s">
        <v>410</v>
      </c>
    </row>
    <row r="220" spans="1:3" x14ac:dyDescent="0.2">
      <c r="A220" s="154">
        <v>206</v>
      </c>
      <c r="B220" s="150" t="s">
        <v>214</v>
      </c>
      <c r="C220" s="153" t="s">
        <v>410</v>
      </c>
    </row>
    <row r="221" spans="1:3" x14ac:dyDescent="0.2">
      <c r="A221" s="154">
        <v>207</v>
      </c>
      <c r="B221" s="150" t="s">
        <v>214</v>
      </c>
      <c r="C221" s="153" t="s">
        <v>410</v>
      </c>
    </row>
    <row r="222" spans="1:3" x14ac:dyDescent="0.2">
      <c r="A222" s="154">
        <v>208</v>
      </c>
      <c r="B222" s="150" t="s">
        <v>214</v>
      </c>
      <c r="C222" s="153" t="s">
        <v>410</v>
      </c>
    </row>
    <row r="223" spans="1:3" x14ac:dyDescent="0.2">
      <c r="A223" s="154">
        <v>209</v>
      </c>
      <c r="B223" s="150" t="s">
        <v>214</v>
      </c>
      <c r="C223" s="153" t="s">
        <v>409</v>
      </c>
    </row>
    <row r="224" spans="1:3" x14ac:dyDescent="0.2">
      <c r="A224" s="154">
        <v>210</v>
      </c>
      <c r="B224" s="150" t="s">
        <v>214</v>
      </c>
      <c r="C224" s="153" t="s">
        <v>409</v>
      </c>
    </row>
    <row r="225" spans="1:3" x14ac:dyDescent="0.2">
      <c r="A225" s="154">
        <v>211</v>
      </c>
      <c r="B225" s="150" t="s">
        <v>214</v>
      </c>
      <c r="C225" s="153" t="s">
        <v>409</v>
      </c>
    </row>
    <row r="226" spans="1:3" x14ac:dyDescent="0.2">
      <c r="A226" s="154">
        <v>212</v>
      </c>
      <c r="B226" s="150" t="s">
        <v>214</v>
      </c>
      <c r="C226" s="153" t="s">
        <v>409</v>
      </c>
    </row>
    <row r="227" spans="1:3" x14ac:dyDescent="0.2">
      <c r="A227" s="154">
        <v>213</v>
      </c>
      <c r="B227" s="150" t="s">
        <v>214</v>
      </c>
      <c r="C227" s="153" t="s">
        <v>409</v>
      </c>
    </row>
    <row r="228" spans="1:3" x14ac:dyDescent="0.2">
      <c r="A228" s="154">
        <v>214</v>
      </c>
      <c r="B228" s="150" t="s">
        <v>214</v>
      </c>
      <c r="C228" s="153" t="s">
        <v>409</v>
      </c>
    </row>
    <row r="229" spans="1:3" x14ac:dyDescent="0.2">
      <c r="A229" s="154">
        <v>215</v>
      </c>
      <c r="B229" s="150" t="s">
        <v>214</v>
      </c>
      <c r="C229" s="153" t="s">
        <v>409</v>
      </c>
    </row>
    <row r="230" spans="1:3" x14ac:dyDescent="0.2">
      <c r="A230" s="154">
        <v>216</v>
      </c>
      <c r="B230" s="150" t="s">
        <v>214</v>
      </c>
      <c r="C230" s="153" t="s">
        <v>409</v>
      </c>
    </row>
    <row r="231" spans="1:3" x14ac:dyDescent="0.2">
      <c r="A231" s="154">
        <v>217</v>
      </c>
      <c r="B231" s="150" t="s">
        <v>214</v>
      </c>
      <c r="C231" s="153" t="s">
        <v>409</v>
      </c>
    </row>
    <row r="232" spans="1:3" x14ac:dyDescent="0.2">
      <c r="A232" s="154">
        <v>218</v>
      </c>
      <c r="B232" s="150" t="s">
        <v>214</v>
      </c>
      <c r="C232" s="153" t="s">
        <v>409</v>
      </c>
    </row>
    <row r="233" spans="1:3" x14ac:dyDescent="0.2">
      <c r="A233" s="154">
        <v>219</v>
      </c>
      <c r="B233" s="150" t="s">
        <v>214</v>
      </c>
      <c r="C233" s="153" t="s">
        <v>409</v>
      </c>
    </row>
    <row r="234" spans="1:3" x14ac:dyDescent="0.2">
      <c r="A234" s="154">
        <v>220</v>
      </c>
      <c r="B234" s="150" t="s">
        <v>214</v>
      </c>
      <c r="C234" s="153" t="s">
        <v>409</v>
      </c>
    </row>
    <row r="235" spans="1:3" x14ac:dyDescent="0.2">
      <c r="A235" s="154">
        <v>221</v>
      </c>
      <c r="B235" s="150" t="s">
        <v>214</v>
      </c>
      <c r="C235" s="153" t="s">
        <v>409</v>
      </c>
    </row>
    <row r="236" spans="1:3" x14ac:dyDescent="0.2">
      <c r="A236" s="154">
        <v>222</v>
      </c>
      <c r="B236" s="150" t="s">
        <v>214</v>
      </c>
      <c r="C236" s="153" t="s">
        <v>409</v>
      </c>
    </row>
    <row r="237" spans="1:3" x14ac:dyDescent="0.2">
      <c r="A237" s="154">
        <v>223</v>
      </c>
      <c r="B237" s="150" t="s">
        <v>214</v>
      </c>
      <c r="C237" s="153" t="s">
        <v>409</v>
      </c>
    </row>
    <row r="238" spans="1:3" x14ac:dyDescent="0.2">
      <c r="A238" s="154">
        <v>224</v>
      </c>
      <c r="B238" s="150" t="s">
        <v>214</v>
      </c>
      <c r="C238" s="153" t="s">
        <v>409</v>
      </c>
    </row>
    <row r="239" spans="1:3" x14ac:dyDescent="0.2">
      <c r="A239" s="154">
        <v>225</v>
      </c>
      <c r="B239" s="150" t="s">
        <v>214</v>
      </c>
      <c r="C239" s="153" t="s">
        <v>409</v>
      </c>
    </row>
    <row r="240" spans="1:3" x14ac:dyDescent="0.2">
      <c r="A240" s="154">
        <v>226</v>
      </c>
      <c r="B240" s="150" t="s">
        <v>214</v>
      </c>
      <c r="C240" s="153" t="s">
        <v>409</v>
      </c>
    </row>
    <row r="241" spans="1:3" x14ac:dyDescent="0.2">
      <c r="A241" s="154">
        <v>227</v>
      </c>
      <c r="B241" s="150" t="s">
        <v>214</v>
      </c>
      <c r="C241" s="153" t="s">
        <v>409</v>
      </c>
    </row>
    <row r="242" spans="1:3" x14ac:dyDescent="0.2">
      <c r="A242" s="154">
        <v>228</v>
      </c>
      <c r="B242" s="150" t="s">
        <v>224</v>
      </c>
      <c r="C242" s="153" t="s">
        <v>410</v>
      </c>
    </row>
    <row r="243" spans="1:3" x14ac:dyDescent="0.2">
      <c r="A243" s="154">
        <v>229</v>
      </c>
      <c r="B243" s="150" t="s">
        <v>224</v>
      </c>
      <c r="C243" s="153" t="s">
        <v>410</v>
      </c>
    </row>
    <row r="244" spans="1:3" x14ac:dyDescent="0.2">
      <c r="A244" s="154">
        <v>230</v>
      </c>
      <c r="B244" s="150" t="s">
        <v>214</v>
      </c>
      <c r="C244" s="153" t="s">
        <v>410</v>
      </c>
    </row>
    <row r="245" spans="1:3" x14ac:dyDescent="0.2">
      <c r="A245" s="154">
        <v>231</v>
      </c>
      <c r="B245" s="150" t="s">
        <v>202</v>
      </c>
      <c r="C245" s="153" t="s">
        <v>409</v>
      </c>
    </row>
    <row r="246" spans="1:3" x14ac:dyDescent="0.2">
      <c r="A246" s="154">
        <v>233</v>
      </c>
      <c r="B246" s="150" t="s">
        <v>202</v>
      </c>
      <c r="C246" s="153" t="s">
        <v>409</v>
      </c>
    </row>
    <row r="247" spans="1:3" x14ac:dyDescent="0.2">
      <c r="A247" s="154">
        <v>234</v>
      </c>
      <c r="B247" s="150" t="s">
        <v>202</v>
      </c>
      <c r="C247" s="153" t="s">
        <v>409</v>
      </c>
    </row>
    <row r="248" spans="1:3" x14ac:dyDescent="0.2">
      <c r="A248" s="154">
        <v>235</v>
      </c>
      <c r="B248" s="150" t="s">
        <v>202</v>
      </c>
      <c r="C248" s="153" t="s">
        <v>409</v>
      </c>
    </row>
    <row r="249" spans="1:3" x14ac:dyDescent="0.2">
      <c r="A249" s="154">
        <v>236</v>
      </c>
      <c r="B249" s="150" t="s">
        <v>202</v>
      </c>
      <c r="C249" s="153" t="s">
        <v>409</v>
      </c>
    </row>
    <row r="250" spans="1:3" x14ac:dyDescent="0.2">
      <c r="A250" s="154">
        <v>237</v>
      </c>
      <c r="B250" s="150" t="s">
        <v>202</v>
      </c>
      <c r="C250" s="153" t="s">
        <v>409</v>
      </c>
    </row>
    <row r="251" spans="1:3" x14ac:dyDescent="0.2">
      <c r="A251" s="154">
        <v>238</v>
      </c>
      <c r="B251" s="150" t="s">
        <v>214</v>
      </c>
      <c r="C251" s="153" t="s">
        <v>409</v>
      </c>
    </row>
    <row r="252" spans="1:3" x14ac:dyDescent="0.2">
      <c r="A252" s="154">
        <v>241</v>
      </c>
      <c r="B252" s="150" t="s">
        <v>225</v>
      </c>
      <c r="C252" s="153" t="s">
        <v>409</v>
      </c>
    </row>
    <row r="253" spans="1:3" x14ac:dyDescent="0.2">
      <c r="A253" s="154">
        <v>242</v>
      </c>
      <c r="B253" s="150" t="s">
        <v>226</v>
      </c>
      <c r="C253" s="153" t="s">
        <v>409</v>
      </c>
    </row>
    <row r="254" spans="1:3" x14ac:dyDescent="0.2">
      <c r="A254" s="154">
        <v>243</v>
      </c>
      <c r="B254" s="150" t="s">
        <v>190</v>
      </c>
      <c r="C254" s="153" t="s">
        <v>409</v>
      </c>
    </row>
    <row r="255" spans="1:3" x14ac:dyDescent="0.2">
      <c r="A255" s="154">
        <v>244</v>
      </c>
      <c r="B255" s="150" t="s">
        <v>214</v>
      </c>
      <c r="C255" s="153" t="s">
        <v>409</v>
      </c>
    </row>
    <row r="256" spans="1:3" x14ac:dyDescent="0.2">
      <c r="A256" s="154">
        <v>245</v>
      </c>
      <c r="B256" s="150" t="s">
        <v>226</v>
      </c>
      <c r="C256" s="153" t="s">
        <v>409</v>
      </c>
    </row>
    <row r="257" spans="1:3" x14ac:dyDescent="0.2">
      <c r="A257" s="154">
        <v>246</v>
      </c>
      <c r="B257" s="150" t="s">
        <v>227</v>
      </c>
      <c r="C257" s="153" t="s">
        <v>409</v>
      </c>
    </row>
    <row r="258" spans="1:3" x14ac:dyDescent="0.2">
      <c r="A258" s="154">
        <v>247</v>
      </c>
      <c r="B258" s="150" t="s">
        <v>226</v>
      </c>
      <c r="C258" s="153" t="s">
        <v>409</v>
      </c>
    </row>
    <row r="259" spans="1:3" x14ac:dyDescent="0.2">
      <c r="A259" s="154">
        <v>248</v>
      </c>
      <c r="B259" s="150" t="s">
        <v>214</v>
      </c>
      <c r="C259" s="153" t="s">
        <v>409</v>
      </c>
    </row>
    <row r="260" spans="1:3" x14ac:dyDescent="0.2">
      <c r="A260" s="154">
        <v>249</v>
      </c>
      <c r="B260" s="150" t="s">
        <v>226</v>
      </c>
      <c r="C260" s="153" t="s">
        <v>409</v>
      </c>
    </row>
    <row r="261" spans="1:3" x14ac:dyDescent="0.2">
      <c r="A261" s="154">
        <v>250</v>
      </c>
      <c r="B261" s="150" t="s">
        <v>228</v>
      </c>
      <c r="C261" s="153" t="s">
        <v>410</v>
      </c>
    </row>
    <row r="262" spans="1:3" x14ac:dyDescent="0.2">
      <c r="A262" s="154">
        <v>251</v>
      </c>
      <c r="B262" s="150" t="s">
        <v>228</v>
      </c>
      <c r="C262" s="153" t="s">
        <v>410</v>
      </c>
    </row>
    <row r="263" spans="1:3" x14ac:dyDescent="0.2">
      <c r="A263" s="154">
        <v>252</v>
      </c>
      <c r="B263" s="150" t="s">
        <v>228</v>
      </c>
      <c r="C263" s="153" t="s">
        <v>410</v>
      </c>
    </row>
    <row r="264" spans="1:3" x14ac:dyDescent="0.2">
      <c r="A264" s="154">
        <v>253</v>
      </c>
      <c r="B264" s="150" t="s">
        <v>228</v>
      </c>
      <c r="C264" s="153" t="s">
        <v>410</v>
      </c>
    </row>
    <row r="265" spans="1:3" x14ac:dyDescent="0.2">
      <c r="A265" s="154">
        <v>254</v>
      </c>
      <c r="B265" s="150" t="s">
        <v>229</v>
      </c>
      <c r="C265" s="153" t="s">
        <v>409</v>
      </c>
    </row>
    <row r="266" spans="1:3" x14ac:dyDescent="0.2">
      <c r="A266" s="154">
        <v>255</v>
      </c>
      <c r="B266" s="150" t="s">
        <v>230</v>
      </c>
      <c r="C266" s="153" t="s">
        <v>409</v>
      </c>
    </row>
    <row r="267" spans="1:3" x14ac:dyDescent="0.2">
      <c r="A267" s="154">
        <v>257</v>
      </c>
      <c r="B267" s="150" t="s">
        <v>231</v>
      </c>
      <c r="C267" s="153" t="s">
        <v>409</v>
      </c>
    </row>
    <row r="268" spans="1:3" x14ac:dyDescent="0.2">
      <c r="A268" s="154">
        <v>258</v>
      </c>
      <c r="B268" s="150" t="s">
        <v>232</v>
      </c>
      <c r="C268" s="153" t="s">
        <v>409</v>
      </c>
    </row>
    <row r="269" spans="1:3" x14ac:dyDescent="0.2">
      <c r="A269" s="154">
        <v>259</v>
      </c>
      <c r="B269" s="150" t="s">
        <v>233</v>
      </c>
      <c r="C269" s="153" t="s">
        <v>409</v>
      </c>
    </row>
    <row r="270" spans="1:3" x14ac:dyDescent="0.2">
      <c r="A270" s="154">
        <v>260</v>
      </c>
      <c r="B270" s="150" t="s">
        <v>232</v>
      </c>
      <c r="C270" s="153" t="s">
        <v>410</v>
      </c>
    </row>
    <row r="271" spans="1:3" x14ac:dyDescent="0.2">
      <c r="A271" s="154">
        <v>261</v>
      </c>
      <c r="B271" s="150" t="s">
        <v>232</v>
      </c>
      <c r="C271" s="153" t="s">
        <v>409</v>
      </c>
    </row>
    <row r="272" spans="1:3" x14ac:dyDescent="0.2">
      <c r="A272" s="154">
        <v>262</v>
      </c>
      <c r="B272" s="150" t="s">
        <v>232</v>
      </c>
      <c r="C272" s="153" t="s">
        <v>409</v>
      </c>
    </row>
    <row r="273" spans="1:3" x14ac:dyDescent="0.2">
      <c r="A273" s="154">
        <v>263</v>
      </c>
      <c r="B273" s="150" t="s">
        <v>232</v>
      </c>
      <c r="C273" s="153" t="s">
        <v>409</v>
      </c>
    </row>
    <row r="274" spans="1:3" x14ac:dyDescent="0.2">
      <c r="A274" s="154">
        <v>264</v>
      </c>
      <c r="B274" s="150" t="s">
        <v>232</v>
      </c>
      <c r="C274" s="153" t="s">
        <v>409</v>
      </c>
    </row>
    <row r="275" spans="1:3" x14ac:dyDescent="0.2">
      <c r="A275" s="154">
        <v>265</v>
      </c>
      <c r="B275" s="150" t="s">
        <v>234</v>
      </c>
      <c r="C275" s="153" t="s">
        <v>410</v>
      </c>
    </row>
    <row r="276" spans="1:3" x14ac:dyDescent="0.2">
      <c r="A276" s="154">
        <v>266</v>
      </c>
      <c r="B276" s="150" t="s">
        <v>234</v>
      </c>
      <c r="C276" s="153" t="s">
        <v>410</v>
      </c>
    </row>
    <row r="277" spans="1:3" x14ac:dyDescent="0.2">
      <c r="A277" s="154">
        <v>267</v>
      </c>
      <c r="B277" s="150" t="s">
        <v>234</v>
      </c>
      <c r="C277" s="153" t="s">
        <v>410</v>
      </c>
    </row>
    <row r="278" spans="1:3" x14ac:dyDescent="0.2">
      <c r="A278" s="154">
        <v>268</v>
      </c>
      <c r="B278" s="150" t="s">
        <v>234</v>
      </c>
      <c r="C278" s="153" t="s">
        <v>410</v>
      </c>
    </row>
    <row r="279" spans="1:3" x14ac:dyDescent="0.2">
      <c r="A279" s="154">
        <v>269</v>
      </c>
      <c r="B279" s="150" t="s">
        <v>234</v>
      </c>
      <c r="C279" s="153" t="s">
        <v>410</v>
      </c>
    </row>
    <row r="280" spans="1:3" x14ac:dyDescent="0.2">
      <c r="A280" s="154">
        <v>270</v>
      </c>
      <c r="B280" s="150" t="s">
        <v>234</v>
      </c>
      <c r="C280" s="153" t="s">
        <v>410</v>
      </c>
    </row>
    <row r="281" spans="1:3" x14ac:dyDescent="0.2">
      <c r="A281" s="154">
        <v>271</v>
      </c>
      <c r="B281" s="150" t="s">
        <v>234</v>
      </c>
      <c r="C281" s="153" t="s">
        <v>410</v>
      </c>
    </row>
    <row r="282" spans="1:3" x14ac:dyDescent="0.2">
      <c r="A282" s="154">
        <v>272</v>
      </c>
      <c r="B282" s="150" t="s">
        <v>234</v>
      </c>
      <c r="C282" s="153" t="s">
        <v>410</v>
      </c>
    </row>
    <row r="283" spans="1:3" x14ac:dyDescent="0.2">
      <c r="A283" s="154">
        <v>273</v>
      </c>
      <c r="B283" s="150" t="s">
        <v>234</v>
      </c>
      <c r="C283" s="153" t="s">
        <v>410</v>
      </c>
    </row>
    <row r="284" spans="1:3" x14ac:dyDescent="0.2">
      <c r="A284" s="154">
        <v>274</v>
      </c>
      <c r="B284" s="150" t="s">
        <v>234</v>
      </c>
      <c r="C284" s="153" t="s">
        <v>410</v>
      </c>
    </row>
    <row r="285" spans="1:3" x14ac:dyDescent="0.2">
      <c r="A285" s="154">
        <v>276</v>
      </c>
      <c r="B285" s="150" t="s">
        <v>234</v>
      </c>
      <c r="C285" s="153" t="s">
        <v>410</v>
      </c>
    </row>
    <row r="286" spans="1:3" x14ac:dyDescent="0.2">
      <c r="A286" s="154">
        <v>277</v>
      </c>
      <c r="B286" s="150" t="s">
        <v>235</v>
      </c>
      <c r="C286" s="153" t="s">
        <v>410</v>
      </c>
    </row>
    <row r="287" spans="1:3" x14ac:dyDescent="0.2">
      <c r="A287" s="154">
        <v>278</v>
      </c>
      <c r="B287" s="150" t="s">
        <v>236</v>
      </c>
      <c r="C287" s="153" t="s">
        <v>410</v>
      </c>
    </row>
    <row r="288" spans="1:3" x14ac:dyDescent="0.2">
      <c r="A288" s="154">
        <v>279</v>
      </c>
      <c r="B288" s="150" t="s">
        <v>237</v>
      </c>
      <c r="C288" s="153" t="s">
        <v>410</v>
      </c>
    </row>
    <row r="289" spans="1:3" x14ac:dyDescent="0.2">
      <c r="A289" s="154">
        <v>280</v>
      </c>
      <c r="B289" s="150" t="s">
        <v>238</v>
      </c>
      <c r="C289" s="153" t="s">
        <v>410</v>
      </c>
    </row>
    <row r="290" spans="1:3" x14ac:dyDescent="0.2">
      <c r="A290" s="154">
        <v>281</v>
      </c>
      <c r="B290" s="150" t="s">
        <v>239</v>
      </c>
      <c r="C290" s="153" t="s">
        <v>409</v>
      </c>
    </row>
    <row r="291" spans="1:3" x14ac:dyDescent="0.2">
      <c r="A291" s="154">
        <v>283</v>
      </c>
      <c r="B291" s="150" t="s">
        <v>240</v>
      </c>
      <c r="C291" s="153" t="s">
        <v>409</v>
      </c>
    </row>
    <row r="292" spans="1:3" x14ac:dyDescent="0.2">
      <c r="A292" s="154">
        <v>284</v>
      </c>
      <c r="B292" s="150" t="s">
        <v>182</v>
      </c>
      <c r="C292" s="153" t="s">
        <v>410</v>
      </c>
    </row>
    <row r="293" spans="1:3" x14ac:dyDescent="0.2">
      <c r="A293" s="154">
        <v>285</v>
      </c>
      <c r="B293" s="150" t="s">
        <v>182</v>
      </c>
      <c r="C293" s="153" t="s">
        <v>410</v>
      </c>
    </row>
    <row r="294" spans="1:3" x14ac:dyDescent="0.2">
      <c r="A294" s="154">
        <v>286</v>
      </c>
      <c r="B294" s="150" t="s">
        <v>241</v>
      </c>
      <c r="C294" s="153" t="s">
        <v>410</v>
      </c>
    </row>
    <row r="295" spans="1:3" x14ac:dyDescent="0.2">
      <c r="A295" s="154">
        <v>287</v>
      </c>
      <c r="B295" s="150" t="s">
        <v>242</v>
      </c>
      <c r="C295" s="153" t="s">
        <v>410</v>
      </c>
    </row>
    <row r="296" spans="1:3" x14ac:dyDescent="0.2">
      <c r="A296" s="154">
        <v>288</v>
      </c>
      <c r="B296" s="150" t="s">
        <v>243</v>
      </c>
      <c r="C296" s="153" t="s">
        <v>410</v>
      </c>
    </row>
    <row r="297" spans="1:3" x14ac:dyDescent="0.2">
      <c r="A297" s="154">
        <v>289</v>
      </c>
      <c r="B297" s="150" t="s">
        <v>243</v>
      </c>
      <c r="C297" s="153" t="s">
        <v>410</v>
      </c>
    </row>
    <row r="298" spans="1:3" x14ac:dyDescent="0.2">
      <c r="A298" s="154">
        <v>290</v>
      </c>
      <c r="B298" s="150" t="s">
        <v>243</v>
      </c>
      <c r="C298" s="153" t="s">
        <v>410</v>
      </c>
    </row>
    <row r="299" spans="1:3" x14ac:dyDescent="0.2">
      <c r="A299" s="154">
        <v>291</v>
      </c>
      <c r="B299" s="150" t="s">
        <v>243</v>
      </c>
      <c r="C299" s="153" t="s">
        <v>410</v>
      </c>
    </row>
    <row r="300" spans="1:3" x14ac:dyDescent="0.2">
      <c r="A300" s="154">
        <v>292</v>
      </c>
      <c r="B300" s="150" t="s">
        <v>243</v>
      </c>
      <c r="C300" s="153" t="s">
        <v>410</v>
      </c>
    </row>
    <row r="301" spans="1:3" x14ac:dyDescent="0.2">
      <c r="A301" s="154">
        <v>297</v>
      </c>
      <c r="B301" s="150" t="s">
        <v>243</v>
      </c>
      <c r="C301" s="153" t="s">
        <v>410</v>
      </c>
    </row>
    <row r="302" spans="1:3" x14ac:dyDescent="0.2">
      <c r="A302" s="154">
        <v>298</v>
      </c>
      <c r="B302" s="150" t="s">
        <v>243</v>
      </c>
      <c r="C302" s="153" t="s">
        <v>410</v>
      </c>
    </row>
    <row r="303" spans="1:3" x14ac:dyDescent="0.2">
      <c r="A303" s="154">
        <v>299</v>
      </c>
      <c r="B303" s="150" t="s">
        <v>243</v>
      </c>
      <c r="C303" s="153" t="s">
        <v>410</v>
      </c>
    </row>
    <row r="304" spans="1:3" x14ac:dyDescent="0.2">
      <c r="A304" s="154">
        <v>300</v>
      </c>
      <c r="B304" s="150" t="s">
        <v>244</v>
      </c>
      <c r="C304" s="153" t="s">
        <v>409</v>
      </c>
    </row>
    <row r="305" spans="1:3" x14ac:dyDescent="0.2">
      <c r="A305" s="154">
        <v>301</v>
      </c>
      <c r="B305" s="150" t="s">
        <v>245</v>
      </c>
      <c r="C305" s="153" t="s">
        <v>409</v>
      </c>
    </row>
    <row r="306" spans="1:3" x14ac:dyDescent="0.2">
      <c r="A306" s="154">
        <v>302</v>
      </c>
      <c r="B306" s="150" t="s">
        <v>246</v>
      </c>
      <c r="C306" s="153" t="s">
        <v>409</v>
      </c>
    </row>
    <row r="307" spans="1:3" x14ac:dyDescent="0.2">
      <c r="A307" s="154">
        <v>303</v>
      </c>
      <c r="B307" s="150" t="s">
        <v>243</v>
      </c>
      <c r="C307" s="153" t="s">
        <v>410</v>
      </c>
    </row>
    <row r="308" spans="1:3" x14ac:dyDescent="0.2">
      <c r="A308" s="154">
        <v>304</v>
      </c>
      <c r="B308" s="150" t="s">
        <v>243</v>
      </c>
      <c r="C308" s="153" t="s">
        <v>410</v>
      </c>
    </row>
    <row r="309" spans="1:3" x14ac:dyDescent="0.2">
      <c r="A309" s="154">
        <v>305</v>
      </c>
      <c r="B309" s="150" t="s">
        <v>247</v>
      </c>
      <c r="C309" s="153" t="s">
        <v>409</v>
      </c>
    </row>
    <row r="310" spans="1:3" x14ac:dyDescent="0.2">
      <c r="A310" s="154">
        <v>306</v>
      </c>
      <c r="B310" s="150" t="s">
        <v>247</v>
      </c>
      <c r="C310" s="153" t="s">
        <v>409</v>
      </c>
    </row>
    <row r="311" spans="1:3" x14ac:dyDescent="0.2">
      <c r="A311" s="154">
        <v>307</v>
      </c>
      <c r="B311" s="150" t="s">
        <v>247</v>
      </c>
      <c r="C311" s="153" t="s">
        <v>409</v>
      </c>
    </row>
    <row r="312" spans="1:3" x14ac:dyDescent="0.2">
      <c r="A312" s="154">
        <v>308</v>
      </c>
      <c r="B312" s="150" t="s">
        <v>247</v>
      </c>
      <c r="C312" s="153" t="s">
        <v>409</v>
      </c>
    </row>
    <row r="313" spans="1:3" x14ac:dyDescent="0.2">
      <c r="A313" s="154">
        <v>309</v>
      </c>
      <c r="B313" s="150" t="s">
        <v>248</v>
      </c>
      <c r="C313" s="153" t="s">
        <v>409</v>
      </c>
    </row>
    <row r="314" spans="1:3" x14ac:dyDescent="0.2">
      <c r="A314" s="154">
        <v>310</v>
      </c>
      <c r="B314" s="150" t="s">
        <v>249</v>
      </c>
      <c r="C314" s="153" t="s">
        <v>409</v>
      </c>
    </row>
    <row r="315" spans="1:3" x14ac:dyDescent="0.2">
      <c r="A315" s="154">
        <v>312</v>
      </c>
      <c r="B315" s="150" t="s">
        <v>250</v>
      </c>
      <c r="C315" s="153" t="s">
        <v>409</v>
      </c>
    </row>
    <row r="316" spans="1:3" x14ac:dyDescent="0.2">
      <c r="A316" s="154">
        <v>313</v>
      </c>
      <c r="B316" s="150" t="s">
        <v>251</v>
      </c>
      <c r="C316" s="153" t="s">
        <v>410</v>
      </c>
    </row>
    <row r="317" spans="1:3" x14ac:dyDescent="0.2">
      <c r="A317" s="154">
        <v>314</v>
      </c>
      <c r="B317" s="150" t="s">
        <v>252</v>
      </c>
      <c r="C317" s="153" t="s">
        <v>410</v>
      </c>
    </row>
    <row r="318" spans="1:3" x14ac:dyDescent="0.2">
      <c r="A318" s="154">
        <v>315</v>
      </c>
      <c r="B318" s="150" t="s">
        <v>253</v>
      </c>
      <c r="C318" s="153" t="s">
        <v>410</v>
      </c>
    </row>
    <row r="319" spans="1:3" x14ac:dyDescent="0.2">
      <c r="A319" s="154">
        <v>316</v>
      </c>
      <c r="B319" s="150" t="s">
        <v>254</v>
      </c>
      <c r="C319" s="153" t="s">
        <v>409</v>
      </c>
    </row>
    <row r="320" spans="1:3" x14ac:dyDescent="0.2">
      <c r="A320" s="154">
        <v>317</v>
      </c>
      <c r="B320" s="150" t="s">
        <v>254</v>
      </c>
      <c r="C320" s="153" t="s">
        <v>409</v>
      </c>
    </row>
    <row r="321" spans="1:3" x14ac:dyDescent="0.2">
      <c r="A321" s="154">
        <v>318</v>
      </c>
      <c r="B321" s="150" t="s">
        <v>254</v>
      </c>
      <c r="C321" s="153" t="s">
        <v>409</v>
      </c>
    </row>
    <row r="322" spans="1:3" x14ac:dyDescent="0.2">
      <c r="A322" s="154">
        <v>319</v>
      </c>
      <c r="B322" s="150" t="s">
        <v>255</v>
      </c>
      <c r="C322" s="153" t="s">
        <v>409</v>
      </c>
    </row>
    <row r="323" spans="1:3" x14ac:dyDescent="0.2">
      <c r="A323" s="154">
        <v>320</v>
      </c>
      <c r="B323" s="150" t="s">
        <v>254</v>
      </c>
      <c r="C323" s="153" t="s">
        <v>409</v>
      </c>
    </row>
    <row r="324" spans="1:3" x14ac:dyDescent="0.2">
      <c r="A324" s="154">
        <v>321</v>
      </c>
      <c r="B324" s="150" t="s">
        <v>254</v>
      </c>
      <c r="C324" s="153" t="s">
        <v>409</v>
      </c>
    </row>
    <row r="325" spans="1:3" x14ac:dyDescent="0.2">
      <c r="A325" s="154">
        <v>322</v>
      </c>
      <c r="B325" s="150" t="s">
        <v>254</v>
      </c>
      <c r="C325" s="153" t="s">
        <v>409</v>
      </c>
    </row>
    <row r="326" spans="1:3" x14ac:dyDescent="0.2">
      <c r="A326" s="154">
        <v>323</v>
      </c>
      <c r="B326" s="150" t="s">
        <v>254</v>
      </c>
      <c r="C326" s="153" t="s">
        <v>409</v>
      </c>
    </row>
    <row r="327" spans="1:3" x14ac:dyDescent="0.2">
      <c r="A327" s="154">
        <v>324</v>
      </c>
      <c r="B327" s="150" t="s">
        <v>256</v>
      </c>
      <c r="C327" s="153" t="s">
        <v>409</v>
      </c>
    </row>
    <row r="328" spans="1:3" x14ac:dyDescent="0.2">
      <c r="A328" s="154">
        <v>325</v>
      </c>
      <c r="B328" s="150" t="s">
        <v>257</v>
      </c>
      <c r="C328" s="153" t="s">
        <v>409</v>
      </c>
    </row>
    <row r="329" spans="1:3" x14ac:dyDescent="0.2">
      <c r="A329" s="154">
        <v>326</v>
      </c>
      <c r="B329" s="150" t="s">
        <v>257</v>
      </c>
      <c r="C329" s="153" t="s">
        <v>409</v>
      </c>
    </row>
    <row r="330" spans="1:3" x14ac:dyDescent="0.2">
      <c r="A330" s="154">
        <v>327</v>
      </c>
      <c r="B330" s="150" t="s">
        <v>257</v>
      </c>
      <c r="C330" s="153" t="s">
        <v>409</v>
      </c>
    </row>
    <row r="331" spans="1:3" x14ac:dyDescent="0.2">
      <c r="A331" s="154">
        <v>328</v>
      </c>
      <c r="B331" s="150" t="s">
        <v>257</v>
      </c>
      <c r="C331" s="153" t="s">
        <v>409</v>
      </c>
    </row>
    <row r="332" spans="1:3" x14ac:dyDescent="0.2">
      <c r="A332" s="154">
        <v>329</v>
      </c>
      <c r="B332" s="150" t="s">
        <v>257</v>
      </c>
      <c r="C332" s="153" t="s">
        <v>409</v>
      </c>
    </row>
    <row r="333" spans="1:3" x14ac:dyDescent="0.2">
      <c r="A333" s="154">
        <v>330</v>
      </c>
      <c r="B333" s="150" t="s">
        <v>257</v>
      </c>
      <c r="C333" s="153" t="s">
        <v>409</v>
      </c>
    </row>
    <row r="334" spans="1:3" x14ac:dyDescent="0.2">
      <c r="A334" s="154">
        <v>331</v>
      </c>
      <c r="B334" s="150" t="s">
        <v>257</v>
      </c>
      <c r="C334" s="153" t="s">
        <v>409</v>
      </c>
    </row>
    <row r="335" spans="1:3" x14ac:dyDescent="0.2">
      <c r="A335" s="154">
        <v>332</v>
      </c>
      <c r="B335" s="150" t="s">
        <v>257</v>
      </c>
      <c r="C335" s="153" t="s">
        <v>410</v>
      </c>
    </row>
    <row r="336" spans="1:3" x14ac:dyDescent="0.2">
      <c r="A336" s="154">
        <v>334</v>
      </c>
      <c r="B336" s="150" t="s">
        <v>258</v>
      </c>
      <c r="C336" s="153" t="s">
        <v>409</v>
      </c>
    </row>
    <row r="337" spans="1:3" x14ac:dyDescent="0.2">
      <c r="A337" s="154">
        <v>335</v>
      </c>
      <c r="B337" s="150" t="s">
        <v>259</v>
      </c>
      <c r="C337" s="153" t="s">
        <v>409</v>
      </c>
    </row>
    <row r="338" spans="1:3" x14ac:dyDescent="0.2">
      <c r="A338" s="154">
        <v>336</v>
      </c>
      <c r="B338" s="150" t="s">
        <v>260</v>
      </c>
      <c r="C338" s="153" t="s">
        <v>410</v>
      </c>
    </row>
    <row r="339" spans="1:3" x14ac:dyDescent="0.2">
      <c r="A339" s="154">
        <v>337</v>
      </c>
      <c r="B339" s="150" t="s">
        <v>260</v>
      </c>
      <c r="C339" s="153" t="s">
        <v>410</v>
      </c>
    </row>
    <row r="340" spans="1:3" x14ac:dyDescent="0.2">
      <c r="A340" s="154">
        <v>338</v>
      </c>
      <c r="B340" s="150" t="s">
        <v>261</v>
      </c>
      <c r="C340" s="153" t="s">
        <v>409</v>
      </c>
    </row>
    <row r="341" spans="1:3" x14ac:dyDescent="0.2">
      <c r="A341" s="154">
        <v>339</v>
      </c>
      <c r="B341" s="150" t="s">
        <v>262</v>
      </c>
      <c r="C341" s="153" t="s">
        <v>410</v>
      </c>
    </row>
    <row r="342" spans="1:3" x14ac:dyDescent="0.2">
      <c r="A342" s="154">
        <v>340</v>
      </c>
      <c r="B342" s="150" t="s">
        <v>262</v>
      </c>
      <c r="C342" s="153" t="s">
        <v>410</v>
      </c>
    </row>
    <row r="343" spans="1:3" x14ac:dyDescent="0.2">
      <c r="A343" s="154">
        <v>341</v>
      </c>
      <c r="B343" s="150" t="s">
        <v>262</v>
      </c>
      <c r="C343" s="153" t="s">
        <v>410</v>
      </c>
    </row>
    <row r="344" spans="1:3" x14ac:dyDescent="0.2">
      <c r="A344" s="154">
        <v>342</v>
      </c>
      <c r="B344" s="150" t="s">
        <v>263</v>
      </c>
      <c r="C344" s="153" t="s">
        <v>409</v>
      </c>
    </row>
    <row r="345" spans="1:3" x14ac:dyDescent="0.2">
      <c r="A345" s="154">
        <v>343</v>
      </c>
      <c r="B345" s="150" t="s">
        <v>264</v>
      </c>
      <c r="C345" s="153" t="s">
        <v>409</v>
      </c>
    </row>
    <row r="346" spans="1:3" x14ac:dyDescent="0.2">
      <c r="A346" s="154">
        <v>344</v>
      </c>
      <c r="B346" s="150" t="s">
        <v>265</v>
      </c>
      <c r="C346" s="153" t="s">
        <v>409</v>
      </c>
    </row>
    <row r="347" spans="1:3" x14ac:dyDescent="0.2">
      <c r="A347" s="154">
        <v>344</v>
      </c>
      <c r="B347" s="150" t="s">
        <v>265</v>
      </c>
      <c r="C347" s="153" t="s">
        <v>410</v>
      </c>
    </row>
    <row r="348" spans="1:3" x14ac:dyDescent="0.2">
      <c r="A348" s="154">
        <v>345</v>
      </c>
      <c r="B348" s="150" t="s">
        <v>266</v>
      </c>
      <c r="C348" s="153" t="s">
        <v>409</v>
      </c>
    </row>
    <row r="349" spans="1:3" x14ac:dyDescent="0.2">
      <c r="A349" s="154">
        <v>346</v>
      </c>
      <c r="B349" s="150" t="s">
        <v>267</v>
      </c>
      <c r="C349" s="153" t="s">
        <v>410</v>
      </c>
    </row>
    <row r="350" spans="1:3" x14ac:dyDescent="0.2">
      <c r="A350" s="154">
        <v>347</v>
      </c>
      <c r="B350" s="150" t="s">
        <v>268</v>
      </c>
      <c r="C350" s="153" t="s">
        <v>410</v>
      </c>
    </row>
    <row r="351" spans="1:3" x14ac:dyDescent="0.2">
      <c r="A351" s="154">
        <v>348</v>
      </c>
      <c r="B351" s="150" t="s">
        <v>268</v>
      </c>
      <c r="C351" s="153" t="s">
        <v>410</v>
      </c>
    </row>
    <row r="352" spans="1:3" x14ac:dyDescent="0.2">
      <c r="A352" s="154">
        <v>349</v>
      </c>
      <c r="B352" s="150" t="s">
        <v>214</v>
      </c>
      <c r="C352" s="153" t="s">
        <v>409</v>
      </c>
    </row>
    <row r="353" spans="1:3" x14ac:dyDescent="0.2">
      <c r="A353" s="154">
        <v>350</v>
      </c>
      <c r="B353" s="150" t="s">
        <v>269</v>
      </c>
      <c r="C353" s="153" t="s">
        <v>410</v>
      </c>
    </row>
    <row r="354" spans="1:3" x14ac:dyDescent="0.2">
      <c r="A354" s="154">
        <v>351</v>
      </c>
      <c r="B354" s="150" t="s">
        <v>270</v>
      </c>
      <c r="C354" s="153" t="s">
        <v>409</v>
      </c>
    </row>
    <row r="355" spans="1:3" x14ac:dyDescent="0.2">
      <c r="A355" s="154">
        <v>352</v>
      </c>
      <c r="B355" s="150" t="s">
        <v>271</v>
      </c>
      <c r="C355" s="153" t="s">
        <v>409</v>
      </c>
    </row>
    <row r="356" spans="1:3" x14ac:dyDescent="0.2">
      <c r="A356" s="154">
        <v>353</v>
      </c>
      <c r="B356" s="150" t="s">
        <v>272</v>
      </c>
      <c r="C356" s="153" t="s">
        <v>409</v>
      </c>
    </row>
    <row r="357" spans="1:3" x14ac:dyDescent="0.2">
      <c r="A357" s="154">
        <v>354</v>
      </c>
      <c r="B357" s="150" t="s">
        <v>189</v>
      </c>
      <c r="C357" s="153" t="s">
        <v>410</v>
      </c>
    </row>
    <row r="358" spans="1:3" x14ac:dyDescent="0.2">
      <c r="A358" s="154">
        <v>355</v>
      </c>
      <c r="B358" s="150" t="s">
        <v>273</v>
      </c>
      <c r="C358" s="153" t="s">
        <v>409</v>
      </c>
    </row>
    <row r="359" spans="1:3" x14ac:dyDescent="0.2">
      <c r="A359" s="154">
        <v>357</v>
      </c>
      <c r="B359" s="150" t="s">
        <v>274</v>
      </c>
      <c r="C359" s="153" t="s">
        <v>410</v>
      </c>
    </row>
    <row r="360" spans="1:3" x14ac:dyDescent="0.2">
      <c r="A360" s="154">
        <v>358</v>
      </c>
      <c r="B360" s="150" t="s">
        <v>274</v>
      </c>
      <c r="C360" s="153" t="s">
        <v>410</v>
      </c>
    </row>
    <row r="361" spans="1:3" x14ac:dyDescent="0.2">
      <c r="A361" s="154">
        <v>359</v>
      </c>
      <c r="B361" s="150" t="s">
        <v>274</v>
      </c>
      <c r="C361" s="153" t="s">
        <v>410</v>
      </c>
    </row>
    <row r="362" spans="1:3" x14ac:dyDescent="0.2">
      <c r="A362" s="154">
        <v>360</v>
      </c>
      <c r="B362" s="150" t="s">
        <v>274</v>
      </c>
      <c r="C362" s="153" t="s">
        <v>410</v>
      </c>
    </row>
    <row r="363" spans="1:3" x14ac:dyDescent="0.2">
      <c r="A363" s="154">
        <v>361</v>
      </c>
      <c r="B363" s="150" t="s">
        <v>274</v>
      </c>
      <c r="C363" s="153" t="s">
        <v>410</v>
      </c>
    </row>
    <row r="364" spans="1:3" x14ac:dyDescent="0.2">
      <c r="A364" s="154">
        <v>362</v>
      </c>
      <c r="B364" s="150" t="s">
        <v>274</v>
      </c>
      <c r="C364" s="153" t="s">
        <v>410</v>
      </c>
    </row>
    <row r="365" spans="1:3" x14ac:dyDescent="0.2">
      <c r="A365" s="154">
        <v>363</v>
      </c>
      <c r="B365" s="150" t="s">
        <v>274</v>
      </c>
      <c r="C365" s="153" t="s">
        <v>410</v>
      </c>
    </row>
    <row r="366" spans="1:3" x14ac:dyDescent="0.2">
      <c r="A366" s="154">
        <v>364</v>
      </c>
      <c r="B366" s="150" t="s">
        <v>274</v>
      </c>
      <c r="C366" s="153" t="s">
        <v>410</v>
      </c>
    </row>
    <row r="367" spans="1:3" x14ac:dyDescent="0.2">
      <c r="A367" s="154">
        <v>365</v>
      </c>
      <c r="B367" s="150" t="s">
        <v>274</v>
      </c>
      <c r="C367" s="153" t="s">
        <v>410</v>
      </c>
    </row>
    <row r="368" spans="1:3" x14ac:dyDescent="0.2">
      <c r="A368" s="154">
        <v>366</v>
      </c>
      <c r="B368" s="150" t="s">
        <v>274</v>
      </c>
      <c r="C368" s="153" t="s">
        <v>410</v>
      </c>
    </row>
    <row r="369" spans="1:3" x14ac:dyDescent="0.2">
      <c r="A369" s="154">
        <v>367</v>
      </c>
      <c r="B369" s="150" t="s">
        <v>274</v>
      </c>
      <c r="C369" s="153" t="s">
        <v>410</v>
      </c>
    </row>
    <row r="370" spans="1:3" x14ac:dyDescent="0.2">
      <c r="A370" s="154">
        <v>368</v>
      </c>
      <c r="B370" s="150" t="s">
        <v>274</v>
      </c>
      <c r="C370" s="153" t="s">
        <v>410</v>
      </c>
    </row>
    <row r="371" spans="1:3" x14ac:dyDescent="0.2">
      <c r="A371" s="154">
        <v>369</v>
      </c>
      <c r="B371" s="150" t="s">
        <v>274</v>
      </c>
      <c r="C371" s="153" t="s">
        <v>410</v>
      </c>
    </row>
    <row r="372" spans="1:3" x14ac:dyDescent="0.2">
      <c r="A372" s="154">
        <v>370</v>
      </c>
      <c r="B372" s="150" t="s">
        <v>274</v>
      </c>
      <c r="C372" s="153" t="s">
        <v>410</v>
      </c>
    </row>
    <row r="373" spans="1:3" x14ac:dyDescent="0.2">
      <c r="A373" s="154">
        <v>371</v>
      </c>
      <c r="B373" s="150" t="s">
        <v>274</v>
      </c>
      <c r="C373" s="153" t="s">
        <v>410</v>
      </c>
    </row>
    <row r="374" spans="1:3" x14ac:dyDescent="0.2">
      <c r="A374" s="154">
        <v>372</v>
      </c>
      <c r="B374" s="150" t="s">
        <v>254</v>
      </c>
      <c r="C374" s="153" t="s">
        <v>409</v>
      </c>
    </row>
    <row r="375" spans="1:3" x14ac:dyDescent="0.2">
      <c r="A375" s="154">
        <v>373</v>
      </c>
      <c r="B375" s="150" t="s">
        <v>202</v>
      </c>
      <c r="C375" s="153" t="s">
        <v>409</v>
      </c>
    </row>
    <row r="376" spans="1:3" x14ac:dyDescent="0.2">
      <c r="A376" s="154">
        <v>374</v>
      </c>
      <c r="B376" s="150" t="s">
        <v>202</v>
      </c>
      <c r="C376" s="153" t="s">
        <v>409</v>
      </c>
    </row>
    <row r="377" spans="1:3" x14ac:dyDescent="0.2">
      <c r="A377" s="154">
        <v>375</v>
      </c>
      <c r="B377" s="150" t="s">
        <v>202</v>
      </c>
      <c r="C377" s="153" t="s">
        <v>409</v>
      </c>
    </row>
    <row r="378" spans="1:3" x14ac:dyDescent="0.2">
      <c r="A378" s="154">
        <v>376</v>
      </c>
      <c r="B378" s="150" t="s">
        <v>202</v>
      </c>
      <c r="C378" s="153" t="s">
        <v>409</v>
      </c>
    </row>
    <row r="379" spans="1:3" x14ac:dyDescent="0.2">
      <c r="A379" s="154">
        <v>377</v>
      </c>
      <c r="B379" s="150" t="s">
        <v>202</v>
      </c>
      <c r="C379" s="153" t="s">
        <v>409</v>
      </c>
    </row>
    <row r="380" spans="1:3" x14ac:dyDescent="0.2">
      <c r="A380" s="154">
        <v>378</v>
      </c>
      <c r="B380" s="150" t="s">
        <v>202</v>
      </c>
      <c r="C380" s="153" t="s">
        <v>409</v>
      </c>
    </row>
    <row r="381" spans="1:3" x14ac:dyDescent="0.2">
      <c r="A381" s="154">
        <v>380</v>
      </c>
      <c r="B381" s="150" t="s">
        <v>202</v>
      </c>
      <c r="C381" s="153" t="s">
        <v>409</v>
      </c>
    </row>
    <row r="382" spans="1:3" x14ac:dyDescent="0.2">
      <c r="A382" s="154">
        <v>381</v>
      </c>
      <c r="B382" s="150" t="s">
        <v>202</v>
      </c>
      <c r="C382" s="153" t="s">
        <v>409</v>
      </c>
    </row>
    <row r="383" spans="1:3" x14ac:dyDescent="0.2">
      <c r="A383" s="154">
        <v>382</v>
      </c>
      <c r="B383" s="150" t="s">
        <v>202</v>
      </c>
      <c r="C383" s="153" t="s">
        <v>409</v>
      </c>
    </row>
    <row r="384" spans="1:3" x14ac:dyDescent="0.2">
      <c r="A384" s="154">
        <v>384</v>
      </c>
      <c r="B384" s="150" t="s">
        <v>214</v>
      </c>
      <c r="C384" s="153" t="s">
        <v>409</v>
      </c>
    </row>
    <row r="385" spans="1:3" x14ac:dyDescent="0.2">
      <c r="A385" s="154">
        <v>385</v>
      </c>
      <c r="B385" s="150" t="s">
        <v>202</v>
      </c>
      <c r="C385" s="153" t="s">
        <v>410</v>
      </c>
    </row>
    <row r="386" spans="1:3" x14ac:dyDescent="0.2">
      <c r="A386" s="154">
        <v>386</v>
      </c>
      <c r="B386" s="150" t="s">
        <v>182</v>
      </c>
      <c r="C386" s="153" t="s">
        <v>410</v>
      </c>
    </row>
    <row r="387" spans="1:3" x14ac:dyDescent="0.2">
      <c r="A387" s="154">
        <v>387</v>
      </c>
      <c r="B387" s="150" t="s">
        <v>207</v>
      </c>
      <c r="C387" s="153" t="s">
        <v>410</v>
      </c>
    </row>
    <row r="388" spans="1:3" x14ac:dyDescent="0.2">
      <c r="A388" s="154">
        <v>388</v>
      </c>
      <c r="B388" s="150" t="s">
        <v>202</v>
      </c>
      <c r="C388" s="153" t="s">
        <v>410</v>
      </c>
    </row>
    <row r="389" spans="1:3" x14ac:dyDescent="0.2">
      <c r="A389" s="154">
        <v>389</v>
      </c>
      <c r="B389" s="150" t="s">
        <v>193</v>
      </c>
      <c r="C389" s="153" t="s">
        <v>410</v>
      </c>
    </row>
    <row r="390" spans="1:3" x14ac:dyDescent="0.2">
      <c r="A390" s="154">
        <v>390</v>
      </c>
      <c r="B390" s="150" t="s">
        <v>202</v>
      </c>
      <c r="C390" s="153" t="s">
        <v>409</v>
      </c>
    </row>
    <row r="391" spans="1:3" x14ac:dyDescent="0.2">
      <c r="A391" s="154">
        <v>391</v>
      </c>
      <c r="B391" s="150" t="s">
        <v>275</v>
      </c>
      <c r="C391" s="153" t="s">
        <v>410</v>
      </c>
    </row>
    <row r="392" spans="1:3" x14ac:dyDescent="0.2">
      <c r="A392" s="154">
        <v>392</v>
      </c>
      <c r="B392" s="150" t="s">
        <v>276</v>
      </c>
      <c r="C392" s="153" t="s">
        <v>409</v>
      </c>
    </row>
    <row r="393" spans="1:3" x14ac:dyDescent="0.2">
      <c r="A393" s="154">
        <v>393</v>
      </c>
      <c r="B393" s="150" t="s">
        <v>277</v>
      </c>
      <c r="C393" s="153" t="s">
        <v>409</v>
      </c>
    </row>
    <row r="394" spans="1:3" x14ac:dyDescent="0.2">
      <c r="A394" s="154">
        <v>394</v>
      </c>
      <c r="B394" s="150" t="s">
        <v>233</v>
      </c>
      <c r="C394" s="153" t="s">
        <v>409</v>
      </c>
    </row>
    <row r="395" spans="1:3" x14ac:dyDescent="0.2">
      <c r="A395" s="154">
        <v>395</v>
      </c>
      <c r="B395" s="150" t="s">
        <v>278</v>
      </c>
      <c r="C395" s="153" t="s">
        <v>409</v>
      </c>
    </row>
    <row r="396" spans="1:3" x14ac:dyDescent="0.2">
      <c r="A396" s="154">
        <v>396</v>
      </c>
      <c r="B396" s="150" t="s">
        <v>212</v>
      </c>
      <c r="C396" s="153" t="s">
        <v>409</v>
      </c>
    </row>
    <row r="397" spans="1:3" x14ac:dyDescent="0.2">
      <c r="A397" s="154">
        <v>397</v>
      </c>
      <c r="B397" s="150" t="s">
        <v>279</v>
      </c>
      <c r="C397" s="153" t="s">
        <v>409</v>
      </c>
    </row>
    <row r="398" spans="1:3" x14ac:dyDescent="0.2">
      <c r="A398" s="154">
        <v>398</v>
      </c>
      <c r="B398" s="150" t="s">
        <v>280</v>
      </c>
      <c r="C398" s="153" t="s">
        <v>409</v>
      </c>
    </row>
    <row r="399" spans="1:3" x14ac:dyDescent="0.2">
      <c r="A399" s="154">
        <v>399</v>
      </c>
      <c r="B399" s="150" t="s">
        <v>281</v>
      </c>
      <c r="C399" s="153" t="s">
        <v>410</v>
      </c>
    </row>
    <row r="400" spans="1:3" x14ac:dyDescent="0.2">
      <c r="A400" s="154">
        <v>400</v>
      </c>
      <c r="B400" s="150" t="s">
        <v>232</v>
      </c>
      <c r="C400" s="153" t="s">
        <v>409</v>
      </c>
    </row>
    <row r="401" spans="1:3" x14ac:dyDescent="0.2">
      <c r="A401" s="154">
        <v>401</v>
      </c>
      <c r="B401" s="150" t="s">
        <v>282</v>
      </c>
      <c r="C401" s="153" t="s">
        <v>410</v>
      </c>
    </row>
    <row r="402" spans="1:3" x14ac:dyDescent="0.2">
      <c r="A402" s="154">
        <v>403</v>
      </c>
      <c r="B402" s="150" t="s">
        <v>188</v>
      </c>
      <c r="C402" s="153" t="s">
        <v>409</v>
      </c>
    </row>
    <row r="403" spans="1:3" x14ac:dyDescent="0.2">
      <c r="A403" s="154">
        <v>404</v>
      </c>
      <c r="B403" s="150" t="s">
        <v>283</v>
      </c>
      <c r="C403" s="153" t="s">
        <v>409</v>
      </c>
    </row>
    <row r="404" spans="1:3" x14ac:dyDescent="0.2">
      <c r="A404" s="154">
        <v>405</v>
      </c>
      <c r="B404" s="150" t="s">
        <v>284</v>
      </c>
      <c r="C404" s="153" t="s">
        <v>410</v>
      </c>
    </row>
    <row r="405" spans="1:3" x14ac:dyDescent="0.2">
      <c r="A405" s="154">
        <v>406</v>
      </c>
      <c r="B405" s="150" t="s">
        <v>285</v>
      </c>
      <c r="C405" s="153" t="s">
        <v>410</v>
      </c>
    </row>
    <row r="406" spans="1:3" x14ac:dyDescent="0.2">
      <c r="A406" s="154">
        <v>407</v>
      </c>
      <c r="B406" s="150" t="s">
        <v>286</v>
      </c>
      <c r="C406" s="153" t="s">
        <v>410</v>
      </c>
    </row>
    <row r="407" spans="1:3" x14ac:dyDescent="0.2">
      <c r="A407" s="154">
        <v>408</v>
      </c>
      <c r="B407" s="150" t="s">
        <v>287</v>
      </c>
      <c r="C407" s="153" t="s">
        <v>410</v>
      </c>
    </row>
    <row r="408" spans="1:3" x14ac:dyDescent="0.2">
      <c r="A408" s="154">
        <v>409</v>
      </c>
      <c r="B408" s="150" t="s">
        <v>288</v>
      </c>
      <c r="C408" s="153" t="s">
        <v>410</v>
      </c>
    </row>
    <row r="409" spans="1:3" x14ac:dyDescent="0.2">
      <c r="A409" s="154">
        <v>410</v>
      </c>
      <c r="B409" s="150" t="s">
        <v>289</v>
      </c>
      <c r="C409" s="153" t="s">
        <v>410</v>
      </c>
    </row>
    <row r="410" spans="1:3" x14ac:dyDescent="0.2">
      <c r="A410" s="154">
        <v>411</v>
      </c>
      <c r="B410" s="150" t="s">
        <v>290</v>
      </c>
      <c r="C410" s="153" t="s">
        <v>410</v>
      </c>
    </row>
    <row r="411" spans="1:3" x14ac:dyDescent="0.2">
      <c r="A411" s="154">
        <v>412</v>
      </c>
      <c r="B411" s="150" t="s">
        <v>291</v>
      </c>
      <c r="C411" s="153" t="s">
        <v>410</v>
      </c>
    </row>
    <row r="412" spans="1:3" x14ac:dyDescent="0.2">
      <c r="A412" s="154">
        <v>413</v>
      </c>
      <c r="B412" s="150" t="s">
        <v>292</v>
      </c>
      <c r="C412" s="153" t="s">
        <v>410</v>
      </c>
    </row>
    <row r="413" spans="1:3" x14ac:dyDescent="0.2">
      <c r="A413" s="154">
        <v>414</v>
      </c>
      <c r="B413" s="150" t="s">
        <v>293</v>
      </c>
      <c r="C413" s="153" t="s">
        <v>410</v>
      </c>
    </row>
    <row r="414" spans="1:3" x14ac:dyDescent="0.2">
      <c r="A414" s="154">
        <v>415</v>
      </c>
      <c r="B414" s="150" t="s">
        <v>294</v>
      </c>
      <c r="C414" s="153" t="s">
        <v>410</v>
      </c>
    </row>
    <row r="415" spans="1:3" x14ac:dyDescent="0.2">
      <c r="A415" s="154">
        <v>416</v>
      </c>
      <c r="B415" s="150" t="s">
        <v>295</v>
      </c>
      <c r="C415" s="153" t="s">
        <v>410</v>
      </c>
    </row>
    <row r="416" spans="1:3" x14ac:dyDescent="0.2">
      <c r="A416" s="154">
        <v>417</v>
      </c>
      <c r="B416" s="150" t="s">
        <v>296</v>
      </c>
      <c r="C416" s="153" t="s">
        <v>410</v>
      </c>
    </row>
    <row r="417" spans="1:3" x14ac:dyDescent="0.2">
      <c r="A417" s="154">
        <v>418</v>
      </c>
      <c r="B417" s="150" t="s">
        <v>297</v>
      </c>
      <c r="C417" s="153" t="s">
        <v>410</v>
      </c>
    </row>
    <row r="418" spans="1:3" x14ac:dyDescent="0.2">
      <c r="A418" s="154">
        <v>419</v>
      </c>
      <c r="B418" s="150" t="s">
        <v>298</v>
      </c>
      <c r="C418" s="153" t="s">
        <v>410</v>
      </c>
    </row>
    <row r="419" spans="1:3" x14ac:dyDescent="0.2">
      <c r="A419" s="154">
        <v>420</v>
      </c>
      <c r="B419" s="150" t="s">
        <v>299</v>
      </c>
      <c r="C419" s="153" t="s">
        <v>410</v>
      </c>
    </row>
    <row r="420" spans="1:3" x14ac:dyDescent="0.2">
      <c r="A420" s="154">
        <v>421</v>
      </c>
      <c r="B420" s="150" t="s">
        <v>300</v>
      </c>
      <c r="C420" s="153" t="s">
        <v>410</v>
      </c>
    </row>
    <row r="421" spans="1:3" x14ac:dyDescent="0.2">
      <c r="A421" s="154">
        <v>422</v>
      </c>
      <c r="B421" s="150" t="s">
        <v>301</v>
      </c>
      <c r="C421" s="153" t="s">
        <v>410</v>
      </c>
    </row>
    <row r="422" spans="1:3" x14ac:dyDescent="0.2">
      <c r="A422" s="154">
        <v>423</v>
      </c>
      <c r="B422" s="150" t="s">
        <v>302</v>
      </c>
      <c r="C422" s="153" t="s">
        <v>410</v>
      </c>
    </row>
    <row r="423" spans="1:3" x14ac:dyDescent="0.2">
      <c r="A423" s="154">
        <v>424</v>
      </c>
      <c r="B423" s="150" t="s">
        <v>303</v>
      </c>
      <c r="C423" s="153" t="s">
        <v>410</v>
      </c>
    </row>
    <row r="424" spans="1:3" x14ac:dyDescent="0.2">
      <c r="A424" s="154">
        <v>425</v>
      </c>
      <c r="B424" s="150" t="s">
        <v>304</v>
      </c>
      <c r="C424" s="153" t="s">
        <v>409</v>
      </c>
    </row>
    <row r="425" spans="1:3" x14ac:dyDescent="0.2">
      <c r="A425" s="154">
        <v>426</v>
      </c>
      <c r="B425" s="150" t="s">
        <v>214</v>
      </c>
      <c r="C425" s="153" t="s">
        <v>409</v>
      </c>
    </row>
    <row r="426" spans="1:3" x14ac:dyDescent="0.2">
      <c r="A426" s="154">
        <v>427</v>
      </c>
      <c r="B426" s="150" t="s">
        <v>305</v>
      </c>
      <c r="C426" s="153" t="s">
        <v>409</v>
      </c>
    </row>
    <row r="427" spans="1:3" x14ac:dyDescent="0.2">
      <c r="A427" s="154">
        <v>428</v>
      </c>
      <c r="B427" s="150" t="s">
        <v>306</v>
      </c>
      <c r="C427" s="153" t="s">
        <v>405</v>
      </c>
    </row>
    <row r="428" spans="1:3" x14ac:dyDescent="0.2">
      <c r="A428" s="154">
        <v>429</v>
      </c>
      <c r="B428" s="150" t="s">
        <v>307</v>
      </c>
      <c r="C428" s="153" t="s">
        <v>405</v>
      </c>
    </row>
    <row r="429" spans="1:3" x14ac:dyDescent="0.2">
      <c r="A429" s="154">
        <v>430</v>
      </c>
      <c r="B429" s="150" t="s">
        <v>308</v>
      </c>
      <c r="C429" s="153" t="s">
        <v>405</v>
      </c>
    </row>
    <row r="430" spans="1:3" x14ac:dyDescent="0.2">
      <c r="A430" s="154">
        <v>431</v>
      </c>
      <c r="B430" s="150" t="s">
        <v>309</v>
      </c>
      <c r="C430" s="153" t="s">
        <v>405</v>
      </c>
    </row>
    <row r="431" spans="1:3" x14ac:dyDescent="0.2">
      <c r="A431" s="154">
        <v>432</v>
      </c>
      <c r="B431" s="150" t="s">
        <v>214</v>
      </c>
      <c r="C431" s="153" t="s">
        <v>409</v>
      </c>
    </row>
    <row r="432" spans="1:3" x14ac:dyDescent="0.2">
      <c r="A432" s="154">
        <v>434</v>
      </c>
      <c r="B432" s="150" t="s">
        <v>310</v>
      </c>
      <c r="C432" s="153" t="s">
        <v>410</v>
      </c>
    </row>
    <row r="433" spans="1:3" x14ac:dyDescent="0.2">
      <c r="A433" s="154">
        <v>435</v>
      </c>
      <c r="B433" s="150" t="s">
        <v>311</v>
      </c>
      <c r="C433" s="153" t="s">
        <v>409</v>
      </c>
    </row>
    <row r="434" spans="1:3" x14ac:dyDescent="0.2">
      <c r="A434" s="154">
        <v>436</v>
      </c>
      <c r="B434" s="150" t="s">
        <v>312</v>
      </c>
      <c r="C434" s="153" t="s">
        <v>409</v>
      </c>
    </row>
    <row r="435" spans="1:3" x14ac:dyDescent="0.2">
      <c r="A435" s="154">
        <v>437</v>
      </c>
      <c r="B435" s="150" t="s">
        <v>313</v>
      </c>
      <c r="C435" s="153" t="s">
        <v>409</v>
      </c>
    </row>
    <row r="436" spans="1:3" x14ac:dyDescent="0.2">
      <c r="A436" s="154">
        <v>439</v>
      </c>
      <c r="B436" s="150" t="s">
        <v>314</v>
      </c>
      <c r="C436" s="153" t="s">
        <v>409</v>
      </c>
    </row>
    <row r="437" spans="1:3" x14ac:dyDescent="0.2">
      <c r="A437" s="154">
        <v>440</v>
      </c>
      <c r="B437" s="150" t="s">
        <v>315</v>
      </c>
      <c r="C437" s="153" t="s">
        <v>409</v>
      </c>
    </row>
    <row r="438" spans="1:3" x14ac:dyDescent="0.2">
      <c r="A438" s="154">
        <v>441</v>
      </c>
      <c r="B438" s="150" t="s">
        <v>218</v>
      </c>
      <c r="C438" s="153" t="s">
        <v>409</v>
      </c>
    </row>
    <row r="439" spans="1:3" x14ac:dyDescent="0.2">
      <c r="A439" s="154">
        <v>442</v>
      </c>
      <c r="B439" s="150" t="s">
        <v>214</v>
      </c>
      <c r="C439" s="153" t="s">
        <v>410</v>
      </c>
    </row>
    <row r="440" spans="1:3" x14ac:dyDescent="0.2">
      <c r="A440" s="154">
        <v>443</v>
      </c>
      <c r="B440" s="150" t="s">
        <v>254</v>
      </c>
      <c r="C440" s="153" t="s">
        <v>409</v>
      </c>
    </row>
    <row r="441" spans="1:3" x14ac:dyDescent="0.2">
      <c r="A441" s="154">
        <v>444</v>
      </c>
      <c r="B441" s="150" t="s">
        <v>257</v>
      </c>
      <c r="C441" s="153" t="s">
        <v>409</v>
      </c>
    </row>
    <row r="442" spans="1:3" x14ac:dyDescent="0.2">
      <c r="A442" s="154">
        <v>444</v>
      </c>
      <c r="B442" s="150" t="s">
        <v>257</v>
      </c>
      <c r="C442" s="153" t="s">
        <v>410</v>
      </c>
    </row>
    <row r="443" spans="1:3" x14ac:dyDescent="0.2">
      <c r="A443" s="154">
        <v>445</v>
      </c>
      <c r="B443" s="150" t="s">
        <v>316</v>
      </c>
      <c r="C443" s="153" t="s">
        <v>409</v>
      </c>
    </row>
    <row r="444" spans="1:3" x14ac:dyDescent="0.2">
      <c r="A444" s="154">
        <v>446</v>
      </c>
      <c r="B444" s="150" t="s">
        <v>316</v>
      </c>
      <c r="C444" s="153" t="s">
        <v>409</v>
      </c>
    </row>
    <row r="445" spans="1:3" x14ac:dyDescent="0.2">
      <c r="A445" s="154">
        <v>447</v>
      </c>
      <c r="B445" s="150" t="s">
        <v>228</v>
      </c>
      <c r="C445" s="153" t="s">
        <v>409</v>
      </c>
    </row>
    <row r="446" spans="1:3" x14ac:dyDescent="0.2">
      <c r="A446" s="154">
        <v>448</v>
      </c>
      <c r="B446" s="150" t="s">
        <v>228</v>
      </c>
      <c r="C446" s="153" t="s">
        <v>409</v>
      </c>
    </row>
    <row r="447" spans="1:3" x14ac:dyDescent="0.2">
      <c r="A447" s="154">
        <v>449</v>
      </c>
      <c r="B447" s="150" t="s">
        <v>228</v>
      </c>
      <c r="C447" s="153" t="s">
        <v>409</v>
      </c>
    </row>
    <row r="448" spans="1:3" x14ac:dyDescent="0.2">
      <c r="A448" s="154">
        <v>450</v>
      </c>
      <c r="B448" s="150" t="s">
        <v>228</v>
      </c>
      <c r="C448" s="153" t="s">
        <v>409</v>
      </c>
    </row>
    <row r="449" spans="1:3" x14ac:dyDescent="0.2">
      <c r="A449" s="154">
        <v>451</v>
      </c>
      <c r="B449" s="150" t="s">
        <v>228</v>
      </c>
      <c r="C449" s="153" t="s">
        <v>409</v>
      </c>
    </row>
    <row r="450" spans="1:3" x14ac:dyDescent="0.2">
      <c r="A450" s="154">
        <v>452</v>
      </c>
      <c r="B450" s="150" t="s">
        <v>228</v>
      </c>
      <c r="C450" s="153" t="s">
        <v>409</v>
      </c>
    </row>
    <row r="451" spans="1:3" x14ac:dyDescent="0.2">
      <c r="A451" s="154">
        <v>453</v>
      </c>
      <c r="B451" s="150" t="s">
        <v>228</v>
      </c>
      <c r="C451" s="153" t="s">
        <v>409</v>
      </c>
    </row>
    <row r="452" spans="1:3" x14ac:dyDescent="0.2">
      <c r="A452" s="154">
        <v>454</v>
      </c>
      <c r="B452" s="150" t="s">
        <v>228</v>
      </c>
      <c r="C452" s="153" t="s">
        <v>409</v>
      </c>
    </row>
    <row r="453" spans="1:3" x14ac:dyDescent="0.2">
      <c r="A453" s="154">
        <v>455</v>
      </c>
      <c r="B453" s="150" t="s">
        <v>228</v>
      </c>
      <c r="C453" s="153" t="s">
        <v>409</v>
      </c>
    </row>
    <row r="454" spans="1:3" x14ac:dyDescent="0.2">
      <c r="A454" s="154">
        <v>456</v>
      </c>
      <c r="B454" s="150" t="s">
        <v>228</v>
      </c>
      <c r="C454" s="153" t="s">
        <v>409</v>
      </c>
    </row>
    <row r="455" spans="1:3" x14ac:dyDescent="0.2">
      <c r="A455" s="154">
        <v>459</v>
      </c>
      <c r="B455" s="150" t="s">
        <v>228</v>
      </c>
      <c r="C455" s="153" t="s">
        <v>409</v>
      </c>
    </row>
    <row r="456" spans="1:3" x14ac:dyDescent="0.2">
      <c r="A456" s="154">
        <v>460</v>
      </c>
      <c r="B456" s="150" t="s">
        <v>317</v>
      </c>
      <c r="C456" s="153" t="s">
        <v>410</v>
      </c>
    </row>
    <row r="457" spans="1:3" x14ac:dyDescent="0.2">
      <c r="A457" s="154">
        <v>461</v>
      </c>
      <c r="B457" s="150" t="s">
        <v>317</v>
      </c>
      <c r="C457" s="153" t="s">
        <v>410</v>
      </c>
    </row>
    <row r="458" spans="1:3" x14ac:dyDescent="0.2">
      <c r="A458" s="154">
        <v>462</v>
      </c>
      <c r="B458" s="150" t="s">
        <v>318</v>
      </c>
      <c r="C458" s="153" t="s">
        <v>410</v>
      </c>
    </row>
    <row r="459" spans="1:3" x14ac:dyDescent="0.2">
      <c r="A459" s="154">
        <v>463</v>
      </c>
      <c r="B459" s="150" t="s">
        <v>319</v>
      </c>
      <c r="C459" s="153" t="s">
        <v>410</v>
      </c>
    </row>
    <row r="460" spans="1:3" x14ac:dyDescent="0.2">
      <c r="A460" s="154">
        <v>464</v>
      </c>
      <c r="B460" s="150" t="s">
        <v>320</v>
      </c>
      <c r="C460" s="153" t="s">
        <v>409</v>
      </c>
    </row>
    <row r="461" spans="1:3" x14ac:dyDescent="0.2">
      <c r="A461" s="154">
        <v>465</v>
      </c>
      <c r="B461" s="150" t="s">
        <v>321</v>
      </c>
      <c r="C461" s="153" t="s">
        <v>409</v>
      </c>
    </row>
    <row r="462" spans="1:3" x14ac:dyDescent="0.2">
      <c r="A462" s="154">
        <v>466</v>
      </c>
      <c r="B462" s="150" t="s">
        <v>322</v>
      </c>
      <c r="C462" s="153" t="s">
        <v>409</v>
      </c>
    </row>
    <row r="463" spans="1:3" x14ac:dyDescent="0.2">
      <c r="A463" s="154">
        <v>467</v>
      </c>
      <c r="B463" s="150" t="s">
        <v>322</v>
      </c>
      <c r="C463" s="153" t="s">
        <v>409</v>
      </c>
    </row>
    <row r="464" spans="1:3" x14ac:dyDescent="0.2">
      <c r="A464" s="154">
        <v>468</v>
      </c>
      <c r="B464" s="150" t="s">
        <v>322</v>
      </c>
      <c r="C464" s="153" t="s">
        <v>409</v>
      </c>
    </row>
    <row r="465" spans="1:3" x14ac:dyDescent="0.2">
      <c r="A465" s="154">
        <v>469</v>
      </c>
      <c r="B465" s="150" t="s">
        <v>322</v>
      </c>
      <c r="C465" s="153" t="s">
        <v>409</v>
      </c>
    </row>
    <row r="466" spans="1:3" x14ac:dyDescent="0.2">
      <c r="A466" s="154">
        <v>470</v>
      </c>
      <c r="B466" s="150" t="s">
        <v>322</v>
      </c>
      <c r="C466" s="153" t="s">
        <v>409</v>
      </c>
    </row>
    <row r="467" spans="1:3" x14ac:dyDescent="0.2">
      <c r="A467" s="154">
        <v>473</v>
      </c>
      <c r="B467" s="150" t="s">
        <v>323</v>
      </c>
      <c r="C467" s="153" t="s">
        <v>409</v>
      </c>
    </row>
    <row r="468" spans="1:3" x14ac:dyDescent="0.2">
      <c r="A468" s="154">
        <v>474</v>
      </c>
      <c r="B468" s="150" t="s">
        <v>324</v>
      </c>
      <c r="C468" s="153" t="s">
        <v>410</v>
      </c>
    </row>
    <row r="469" spans="1:3" x14ac:dyDescent="0.2">
      <c r="A469" s="154">
        <v>475</v>
      </c>
      <c r="B469" s="150" t="s">
        <v>325</v>
      </c>
      <c r="C469" s="153" t="s">
        <v>409</v>
      </c>
    </row>
    <row r="470" spans="1:3" x14ac:dyDescent="0.2">
      <c r="A470" s="154">
        <v>476</v>
      </c>
      <c r="B470" s="150" t="s">
        <v>326</v>
      </c>
      <c r="C470" s="153" t="s">
        <v>410</v>
      </c>
    </row>
    <row r="471" spans="1:3" x14ac:dyDescent="0.2">
      <c r="A471" s="154">
        <v>477</v>
      </c>
      <c r="B471" s="150" t="s">
        <v>326</v>
      </c>
      <c r="C471" s="153" t="s">
        <v>410</v>
      </c>
    </row>
    <row r="472" spans="1:3" x14ac:dyDescent="0.2">
      <c r="A472" s="154">
        <v>478</v>
      </c>
      <c r="B472" s="150" t="s">
        <v>257</v>
      </c>
      <c r="C472" s="153" t="s">
        <v>409</v>
      </c>
    </row>
    <row r="473" spans="1:3" x14ac:dyDescent="0.2">
      <c r="A473" s="154">
        <v>479</v>
      </c>
      <c r="B473" s="150" t="s">
        <v>314</v>
      </c>
      <c r="C473" s="153" t="s">
        <v>409</v>
      </c>
    </row>
    <row r="474" spans="1:3" x14ac:dyDescent="0.2">
      <c r="A474" s="154">
        <v>480</v>
      </c>
      <c r="B474" s="150" t="s">
        <v>314</v>
      </c>
      <c r="C474" s="153" t="s">
        <v>409</v>
      </c>
    </row>
    <row r="475" spans="1:3" x14ac:dyDescent="0.2">
      <c r="A475" s="154">
        <v>481</v>
      </c>
      <c r="B475" s="150" t="s">
        <v>314</v>
      </c>
      <c r="C475" s="153" t="s">
        <v>409</v>
      </c>
    </row>
    <row r="476" spans="1:3" x14ac:dyDescent="0.2">
      <c r="A476" s="154">
        <v>482</v>
      </c>
      <c r="B476" s="150" t="s">
        <v>327</v>
      </c>
      <c r="C476" s="153" t="s">
        <v>406</v>
      </c>
    </row>
    <row r="477" spans="1:3" x14ac:dyDescent="0.2">
      <c r="A477" s="154">
        <v>483</v>
      </c>
      <c r="B477" s="150" t="s">
        <v>328</v>
      </c>
      <c r="C477" s="153" t="s">
        <v>406</v>
      </c>
    </row>
    <row r="478" spans="1:3" x14ac:dyDescent="0.2">
      <c r="A478" s="154">
        <v>484</v>
      </c>
      <c r="B478" s="150" t="s">
        <v>329</v>
      </c>
      <c r="C478" s="153" t="s">
        <v>406</v>
      </c>
    </row>
    <row r="479" spans="1:3" x14ac:dyDescent="0.2">
      <c r="A479" s="154">
        <v>485</v>
      </c>
      <c r="B479" s="150" t="s">
        <v>330</v>
      </c>
      <c r="C479" s="153" t="s">
        <v>406</v>
      </c>
    </row>
    <row r="480" spans="1:3" x14ac:dyDescent="0.2">
      <c r="A480" s="154">
        <v>486</v>
      </c>
      <c r="B480" s="150" t="s">
        <v>331</v>
      </c>
      <c r="C480" s="153" t="s">
        <v>406</v>
      </c>
    </row>
    <row r="481" spans="1:3" x14ac:dyDescent="0.2">
      <c r="A481" s="154">
        <v>487</v>
      </c>
      <c r="B481" s="150" t="s">
        <v>332</v>
      </c>
      <c r="C481" s="153" t="s">
        <v>406</v>
      </c>
    </row>
    <row r="482" spans="1:3" x14ac:dyDescent="0.2">
      <c r="A482" s="154">
        <v>488</v>
      </c>
      <c r="B482" s="150" t="s">
        <v>333</v>
      </c>
      <c r="C482" s="153" t="s">
        <v>406</v>
      </c>
    </row>
    <row r="483" spans="1:3" x14ac:dyDescent="0.2">
      <c r="A483" s="154">
        <v>489</v>
      </c>
      <c r="B483" s="150" t="s">
        <v>334</v>
      </c>
      <c r="C483" s="153" t="s">
        <v>406</v>
      </c>
    </row>
    <row r="484" spans="1:3" x14ac:dyDescent="0.2">
      <c r="A484" s="154">
        <v>490</v>
      </c>
      <c r="B484" s="150" t="s">
        <v>335</v>
      </c>
      <c r="C484" s="153" t="s">
        <v>406</v>
      </c>
    </row>
    <row r="485" spans="1:3" x14ac:dyDescent="0.2">
      <c r="A485" s="154">
        <v>491</v>
      </c>
      <c r="B485" s="150" t="s">
        <v>336</v>
      </c>
      <c r="C485" s="153" t="s">
        <v>406</v>
      </c>
    </row>
    <row r="486" spans="1:3" x14ac:dyDescent="0.2">
      <c r="A486" s="154">
        <v>492</v>
      </c>
      <c r="B486" s="150" t="s">
        <v>337</v>
      </c>
      <c r="C486" s="153" t="s">
        <v>406</v>
      </c>
    </row>
    <row r="487" spans="1:3" x14ac:dyDescent="0.2">
      <c r="A487" s="154">
        <v>493</v>
      </c>
      <c r="B487" s="150" t="s">
        <v>338</v>
      </c>
      <c r="C487" s="153" t="s">
        <v>406</v>
      </c>
    </row>
    <row r="488" spans="1:3" x14ac:dyDescent="0.2">
      <c r="A488" s="154">
        <v>494</v>
      </c>
      <c r="B488" s="150" t="s">
        <v>339</v>
      </c>
      <c r="C488" s="153" t="s">
        <v>406</v>
      </c>
    </row>
    <row r="489" spans="1:3" x14ac:dyDescent="0.2">
      <c r="A489" s="154">
        <v>495</v>
      </c>
      <c r="B489" s="150" t="s">
        <v>340</v>
      </c>
      <c r="C489" s="153" t="s">
        <v>406</v>
      </c>
    </row>
    <row r="490" spans="1:3" x14ac:dyDescent="0.2">
      <c r="A490" s="154">
        <v>496</v>
      </c>
      <c r="B490" s="150" t="s">
        <v>341</v>
      </c>
      <c r="C490" s="153" t="s">
        <v>406</v>
      </c>
    </row>
    <row r="491" spans="1:3" x14ac:dyDescent="0.2">
      <c r="A491" s="154">
        <v>497</v>
      </c>
      <c r="B491" s="150" t="s">
        <v>342</v>
      </c>
      <c r="C491" s="153" t="s">
        <v>406</v>
      </c>
    </row>
    <row r="492" spans="1:3" x14ac:dyDescent="0.2">
      <c r="A492" s="154">
        <v>498</v>
      </c>
      <c r="B492" s="150" t="s">
        <v>343</v>
      </c>
      <c r="C492" s="153" t="s">
        <v>406</v>
      </c>
    </row>
    <row r="493" spans="1:3" x14ac:dyDescent="0.2">
      <c r="A493" s="154">
        <v>701</v>
      </c>
      <c r="B493" s="150" t="s">
        <v>344</v>
      </c>
      <c r="C493" s="153" t="s">
        <v>410</v>
      </c>
    </row>
    <row r="494" spans="1:3" x14ac:dyDescent="0.2">
      <c r="A494" s="154">
        <v>702</v>
      </c>
      <c r="B494" s="150" t="s">
        <v>344</v>
      </c>
      <c r="C494" s="153" t="s">
        <v>410</v>
      </c>
    </row>
    <row r="495" spans="1:3" x14ac:dyDescent="0.2">
      <c r="A495" s="154">
        <v>703</v>
      </c>
      <c r="B495" s="150" t="s">
        <v>280</v>
      </c>
      <c r="C495" s="153" t="s">
        <v>410</v>
      </c>
    </row>
    <row r="496" spans="1:3" x14ac:dyDescent="0.2">
      <c r="A496" s="154">
        <v>704</v>
      </c>
      <c r="B496" s="150" t="s">
        <v>280</v>
      </c>
      <c r="C496" s="153" t="s">
        <v>410</v>
      </c>
    </row>
    <row r="497" spans="1:3" x14ac:dyDescent="0.2">
      <c r="A497" s="154">
        <v>705</v>
      </c>
      <c r="B497" s="150" t="s">
        <v>280</v>
      </c>
      <c r="C497" s="153" t="s">
        <v>410</v>
      </c>
    </row>
    <row r="498" spans="1:3" x14ac:dyDescent="0.2">
      <c r="A498" s="154">
        <v>706</v>
      </c>
      <c r="B498" s="150" t="s">
        <v>280</v>
      </c>
      <c r="C498" s="153" t="s">
        <v>410</v>
      </c>
    </row>
    <row r="499" spans="1:3" x14ac:dyDescent="0.2">
      <c r="A499" s="154">
        <v>707</v>
      </c>
      <c r="B499" s="150" t="s">
        <v>280</v>
      </c>
      <c r="C499" s="153" t="s">
        <v>410</v>
      </c>
    </row>
    <row r="500" spans="1:3" x14ac:dyDescent="0.2">
      <c r="A500" s="154">
        <v>708</v>
      </c>
      <c r="B500" s="150" t="s">
        <v>280</v>
      </c>
      <c r="C500" s="153" t="s">
        <v>410</v>
      </c>
    </row>
    <row r="501" spans="1:3" x14ac:dyDescent="0.2">
      <c r="A501" s="154">
        <v>709</v>
      </c>
      <c r="B501" s="150" t="s">
        <v>280</v>
      </c>
      <c r="C501" s="153" t="s">
        <v>410</v>
      </c>
    </row>
    <row r="502" spans="1:3" x14ac:dyDescent="0.2">
      <c r="A502" s="154">
        <v>710</v>
      </c>
      <c r="B502" s="150" t="s">
        <v>280</v>
      </c>
      <c r="C502" s="153" t="s">
        <v>410</v>
      </c>
    </row>
    <row r="503" spans="1:3" x14ac:dyDescent="0.2">
      <c r="A503" s="154">
        <v>711</v>
      </c>
      <c r="B503" s="150" t="s">
        <v>280</v>
      </c>
      <c r="C503" s="153" t="s">
        <v>410</v>
      </c>
    </row>
    <row r="504" spans="1:3" x14ac:dyDescent="0.2">
      <c r="A504" s="154">
        <v>712</v>
      </c>
      <c r="B504" s="150" t="s">
        <v>345</v>
      </c>
      <c r="C504" s="153" t="s">
        <v>410</v>
      </c>
    </row>
    <row r="505" spans="1:3" x14ac:dyDescent="0.2">
      <c r="A505" s="154">
        <v>713</v>
      </c>
      <c r="B505" s="150" t="s">
        <v>345</v>
      </c>
      <c r="C505" s="153" t="s">
        <v>410</v>
      </c>
    </row>
    <row r="506" spans="1:3" x14ac:dyDescent="0.2">
      <c r="A506" s="154">
        <v>714</v>
      </c>
      <c r="B506" s="150" t="s">
        <v>345</v>
      </c>
      <c r="C506" s="153" t="s">
        <v>410</v>
      </c>
    </row>
    <row r="507" spans="1:3" x14ac:dyDescent="0.2">
      <c r="A507" s="154">
        <v>715</v>
      </c>
      <c r="B507" s="150" t="s">
        <v>345</v>
      </c>
      <c r="C507" s="153" t="s">
        <v>410</v>
      </c>
    </row>
    <row r="508" spans="1:3" x14ac:dyDescent="0.2">
      <c r="A508" s="154">
        <v>716</v>
      </c>
      <c r="B508" s="150" t="s">
        <v>346</v>
      </c>
      <c r="C508" s="153" t="s">
        <v>410</v>
      </c>
    </row>
    <row r="509" spans="1:3" x14ac:dyDescent="0.2">
      <c r="A509" s="154">
        <v>717</v>
      </c>
      <c r="B509" s="150" t="s">
        <v>346</v>
      </c>
      <c r="C509" s="153" t="s">
        <v>410</v>
      </c>
    </row>
    <row r="510" spans="1:3" x14ac:dyDescent="0.2">
      <c r="A510" s="154">
        <v>718</v>
      </c>
      <c r="B510" s="150" t="s">
        <v>347</v>
      </c>
      <c r="C510" s="153" t="s">
        <v>410</v>
      </c>
    </row>
    <row r="511" spans="1:3" x14ac:dyDescent="0.2">
      <c r="A511" s="154">
        <v>719</v>
      </c>
      <c r="B511" s="150" t="s">
        <v>347</v>
      </c>
      <c r="C511" s="153" t="s">
        <v>410</v>
      </c>
    </row>
    <row r="512" spans="1:3" x14ac:dyDescent="0.2">
      <c r="A512" s="154">
        <v>720</v>
      </c>
      <c r="B512" s="150" t="s">
        <v>215</v>
      </c>
      <c r="C512" s="153" t="s">
        <v>409</v>
      </c>
    </row>
    <row r="513" spans="1:3" x14ac:dyDescent="0.2">
      <c r="A513" s="154">
        <v>721</v>
      </c>
      <c r="B513" s="150" t="s">
        <v>348</v>
      </c>
      <c r="C513" s="153" t="s">
        <v>409</v>
      </c>
    </row>
    <row r="514" spans="1:3" x14ac:dyDescent="0.2">
      <c r="A514" s="154">
        <v>722</v>
      </c>
      <c r="B514" s="150" t="s">
        <v>348</v>
      </c>
      <c r="C514" s="153" t="s">
        <v>409</v>
      </c>
    </row>
    <row r="515" spans="1:3" x14ac:dyDescent="0.2">
      <c r="A515" s="154">
        <v>723</v>
      </c>
      <c r="B515" s="150" t="s">
        <v>348</v>
      </c>
      <c r="C515" s="153" t="s">
        <v>409</v>
      </c>
    </row>
    <row r="516" spans="1:3" x14ac:dyDescent="0.2">
      <c r="A516" s="154">
        <v>724</v>
      </c>
      <c r="B516" s="150" t="s">
        <v>348</v>
      </c>
      <c r="C516" s="153" t="s">
        <v>409</v>
      </c>
    </row>
    <row r="517" spans="1:3" x14ac:dyDescent="0.2">
      <c r="A517" s="154">
        <v>725</v>
      </c>
      <c r="B517" s="150" t="s">
        <v>348</v>
      </c>
      <c r="C517" s="153" t="s">
        <v>409</v>
      </c>
    </row>
    <row r="518" spans="1:3" x14ac:dyDescent="0.2">
      <c r="A518" s="154">
        <v>726</v>
      </c>
      <c r="B518" s="150" t="s">
        <v>348</v>
      </c>
      <c r="C518" s="153" t="s">
        <v>409</v>
      </c>
    </row>
    <row r="519" spans="1:3" x14ac:dyDescent="0.2">
      <c r="A519" s="154">
        <v>727</v>
      </c>
      <c r="B519" s="150" t="s">
        <v>348</v>
      </c>
      <c r="C519" s="153" t="s">
        <v>409</v>
      </c>
    </row>
    <row r="520" spans="1:3" x14ac:dyDescent="0.2">
      <c r="A520" s="154">
        <v>728</v>
      </c>
      <c r="B520" s="150" t="s">
        <v>349</v>
      </c>
      <c r="C520" s="153" t="s">
        <v>409</v>
      </c>
    </row>
    <row r="521" spans="1:3" x14ac:dyDescent="0.2">
      <c r="A521" s="154">
        <v>729</v>
      </c>
      <c r="B521" s="150" t="s">
        <v>348</v>
      </c>
      <c r="C521" s="153" t="s">
        <v>409</v>
      </c>
    </row>
    <row r="522" spans="1:3" x14ac:dyDescent="0.2">
      <c r="A522" s="154">
        <v>730</v>
      </c>
      <c r="B522" s="150" t="s">
        <v>349</v>
      </c>
      <c r="C522" s="153" t="s">
        <v>409</v>
      </c>
    </row>
    <row r="523" spans="1:3" x14ac:dyDescent="0.2">
      <c r="A523" s="154">
        <v>731</v>
      </c>
      <c r="B523" s="150" t="s">
        <v>348</v>
      </c>
      <c r="C523" s="153" t="s">
        <v>409</v>
      </c>
    </row>
    <row r="524" spans="1:3" x14ac:dyDescent="0.2">
      <c r="A524" s="154">
        <v>732</v>
      </c>
      <c r="B524" s="150" t="s">
        <v>349</v>
      </c>
      <c r="C524" s="153" t="s">
        <v>409</v>
      </c>
    </row>
    <row r="525" spans="1:3" x14ac:dyDescent="0.2">
      <c r="A525" s="154">
        <v>733</v>
      </c>
      <c r="B525" s="150" t="s">
        <v>348</v>
      </c>
      <c r="C525" s="153" t="s">
        <v>409</v>
      </c>
    </row>
    <row r="526" spans="1:3" x14ac:dyDescent="0.2">
      <c r="A526" s="154">
        <v>734</v>
      </c>
      <c r="B526" s="150" t="s">
        <v>349</v>
      </c>
      <c r="C526" s="153" t="s">
        <v>409</v>
      </c>
    </row>
    <row r="527" spans="1:3" x14ac:dyDescent="0.2">
      <c r="A527" s="154">
        <v>735</v>
      </c>
      <c r="B527" s="150" t="s">
        <v>348</v>
      </c>
      <c r="C527" s="153" t="s">
        <v>409</v>
      </c>
    </row>
    <row r="528" spans="1:3" x14ac:dyDescent="0.2">
      <c r="A528" s="154">
        <v>736</v>
      </c>
      <c r="B528" s="150" t="s">
        <v>349</v>
      </c>
      <c r="C528" s="153" t="s">
        <v>409</v>
      </c>
    </row>
    <row r="529" spans="1:3" x14ac:dyDescent="0.2">
      <c r="A529" s="154">
        <v>737</v>
      </c>
      <c r="B529" s="150" t="s">
        <v>348</v>
      </c>
      <c r="C529" s="153" t="s">
        <v>409</v>
      </c>
    </row>
    <row r="530" spans="1:3" x14ac:dyDescent="0.2">
      <c r="A530" s="154">
        <v>738</v>
      </c>
      <c r="B530" s="150" t="s">
        <v>349</v>
      </c>
      <c r="C530" s="153" t="s">
        <v>409</v>
      </c>
    </row>
    <row r="531" spans="1:3" x14ac:dyDescent="0.2">
      <c r="A531" s="154">
        <v>739</v>
      </c>
      <c r="B531" s="150" t="s">
        <v>348</v>
      </c>
      <c r="C531" s="153" t="s">
        <v>409</v>
      </c>
    </row>
    <row r="532" spans="1:3" x14ac:dyDescent="0.2">
      <c r="A532" s="154">
        <v>740</v>
      </c>
      <c r="B532" s="150" t="s">
        <v>349</v>
      </c>
      <c r="C532" s="153" t="s">
        <v>409</v>
      </c>
    </row>
    <row r="533" spans="1:3" x14ac:dyDescent="0.2">
      <c r="A533" s="154">
        <v>741</v>
      </c>
      <c r="B533" s="150" t="s">
        <v>348</v>
      </c>
      <c r="C533" s="153" t="s">
        <v>409</v>
      </c>
    </row>
    <row r="534" spans="1:3" x14ac:dyDescent="0.2">
      <c r="A534" s="154">
        <v>742</v>
      </c>
      <c r="B534" s="150" t="s">
        <v>349</v>
      </c>
      <c r="C534" s="153" t="s">
        <v>409</v>
      </c>
    </row>
    <row r="535" spans="1:3" x14ac:dyDescent="0.2">
      <c r="A535" s="154">
        <v>743</v>
      </c>
      <c r="B535" s="150" t="s">
        <v>348</v>
      </c>
      <c r="C535" s="153" t="s">
        <v>409</v>
      </c>
    </row>
    <row r="536" spans="1:3" x14ac:dyDescent="0.2">
      <c r="A536" s="154">
        <v>744</v>
      </c>
      <c r="B536" s="150" t="s">
        <v>349</v>
      </c>
      <c r="C536" s="153" t="s">
        <v>409</v>
      </c>
    </row>
    <row r="537" spans="1:3" x14ac:dyDescent="0.2">
      <c r="A537" s="154">
        <v>745</v>
      </c>
      <c r="B537" s="150" t="s">
        <v>348</v>
      </c>
      <c r="C537" s="153" t="s">
        <v>409</v>
      </c>
    </row>
    <row r="538" spans="1:3" x14ac:dyDescent="0.2">
      <c r="A538" s="154">
        <v>746</v>
      </c>
      <c r="B538" s="150" t="s">
        <v>349</v>
      </c>
      <c r="C538" s="153" t="s">
        <v>409</v>
      </c>
    </row>
    <row r="539" spans="1:3" x14ac:dyDescent="0.2">
      <c r="A539" s="154">
        <v>747</v>
      </c>
      <c r="B539" s="150" t="s">
        <v>348</v>
      </c>
      <c r="C539" s="153" t="s">
        <v>409</v>
      </c>
    </row>
    <row r="540" spans="1:3" x14ac:dyDescent="0.2">
      <c r="A540" s="154">
        <v>748</v>
      </c>
      <c r="B540" s="150" t="s">
        <v>348</v>
      </c>
      <c r="C540" s="153" t="s">
        <v>409</v>
      </c>
    </row>
    <row r="541" spans="1:3" x14ac:dyDescent="0.2">
      <c r="A541" s="154">
        <v>749</v>
      </c>
      <c r="B541" s="150" t="s">
        <v>349</v>
      </c>
      <c r="C541" s="153" t="s">
        <v>409</v>
      </c>
    </row>
    <row r="542" spans="1:3" x14ac:dyDescent="0.2">
      <c r="A542" s="154">
        <v>752</v>
      </c>
      <c r="B542" s="150" t="s">
        <v>348</v>
      </c>
      <c r="C542" s="153" t="s">
        <v>409</v>
      </c>
    </row>
    <row r="543" spans="1:3" x14ac:dyDescent="0.2">
      <c r="A543" s="154">
        <v>753</v>
      </c>
      <c r="B543" s="150" t="s">
        <v>350</v>
      </c>
      <c r="C543" s="153" t="s">
        <v>409</v>
      </c>
    </row>
    <row r="544" spans="1:3" x14ac:dyDescent="0.2">
      <c r="A544" s="154">
        <v>754</v>
      </c>
      <c r="B544" s="150" t="s">
        <v>348</v>
      </c>
      <c r="C544" s="153" t="s">
        <v>409</v>
      </c>
    </row>
    <row r="545" spans="1:3" x14ac:dyDescent="0.2">
      <c r="A545" s="154">
        <v>755</v>
      </c>
      <c r="B545" s="150" t="s">
        <v>350</v>
      </c>
      <c r="C545" s="153" t="s">
        <v>409</v>
      </c>
    </row>
    <row r="546" spans="1:3" x14ac:dyDescent="0.2">
      <c r="A546" s="154">
        <v>756</v>
      </c>
      <c r="B546" s="150" t="s">
        <v>348</v>
      </c>
      <c r="C546" s="153" t="s">
        <v>409</v>
      </c>
    </row>
    <row r="547" spans="1:3" x14ac:dyDescent="0.2">
      <c r="A547" s="154">
        <v>757</v>
      </c>
      <c r="B547" s="150" t="s">
        <v>350</v>
      </c>
      <c r="C547" s="153" t="s">
        <v>409</v>
      </c>
    </row>
    <row r="548" spans="1:3" x14ac:dyDescent="0.2">
      <c r="A548" s="154">
        <v>758</v>
      </c>
      <c r="B548" s="150" t="s">
        <v>348</v>
      </c>
      <c r="C548" s="153" t="s">
        <v>409</v>
      </c>
    </row>
    <row r="549" spans="1:3" x14ac:dyDescent="0.2">
      <c r="A549" s="154">
        <v>759</v>
      </c>
      <c r="B549" s="150" t="s">
        <v>350</v>
      </c>
      <c r="C549" s="153" t="s">
        <v>409</v>
      </c>
    </row>
    <row r="550" spans="1:3" x14ac:dyDescent="0.2">
      <c r="A550" s="154">
        <v>760</v>
      </c>
      <c r="B550" s="150" t="s">
        <v>348</v>
      </c>
      <c r="C550" s="153" t="s">
        <v>409</v>
      </c>
    </row>
    <row r="551" spans="1:3" x14ac:dyDescent="0.2">
      <c r="A551" s="154">
        <v>761</v>
      </c>
      <c r="B551" s="150" t="s">
        <v>350</v>
      </c>
      <c r="C551" s="153" t="s">
        <v>409</v>
      </c>
    </row>
    <row r="552" spans="1:3" x14ac:dyDescent="0.2">
      <c r="A552" s="154">
        <v>762</v>
      </c>
      <c r="B552" s="150" t="s">
        <v>348</v>
      </c>
      <c r="C552" s="153" t="s">
        <v>409</v>
      </c>
    </row>
    <row r="553" spans="1:3" x14ac:dyDescent="0.2">
      <c r="A553" s="154">
        <v>763</v>
      </c>
      <c r="B553" s="150" t="s">
        <v>350</v>
      </c>
      <c r="C553" s="153" t="s">
        <v>409</v>
      </c>
    </row>
    <row r="554" spans="1:3" x14ac:dyDescent="0.2">
      <c r="A554" s="154">
        <v>764</v>
      </c>
      <c r="B554" s="150" t="s">
        <v>348</v>
      </c>
      <c r="C554" s="153" t="s">
        <v>409</v>
      </c>
    </row>
    <row r="555" spans="1:3" x14ac:dyDescent="0.2">
      <c r="A555" s="154">
        <v>765</v>
      </c>
      <c r="B555" s="150" t="s">
        <v>350</v>
      </c>
      <c r="C555" s="153" t="s">
        <v>409</v>
      </c>
    </row>
    <row r="556" spans="1:3" x14ac:dyDescent="0.2">
      <c r="A556" s="154">
        <v>766</v>
      </c>
      <c r="B556" s="150" t="s">
        <v>348</v>
      </c>
      <c r="C556" s="153" t="s">
        <v>409</v>
      </c>
    </row>
    <row r="557" spans="1:3" x14ac:dyDescent="0.2">
      <c r="A557" s="154">
        <v>767</v>
      </c>
      <c r="B557" s="150" t="s">
        <v>350</v>
      </c>
      <c r="C557" s="153" t="s">
        <v>409</v>
      </c>
    </row>
    <row r="558" spans="1:3" x14ac:dyDescent="0.2">
      <c r="A558" s="154">
        <v>768</v>
      </c>
      <c r="B558" s="150" t="s">
        <v>348</v>
      </c>
      <c r="C558" s="153" t="s">
        <v>409</v>
      </c>
    </row>
    <row r="559" spans="1:3" x14ac:dyDescent="0.2">
      <c r="A559" s="154">
        <v>769</v>
      </c>
      <c r="B559" s="150" t="s">
        <v>350</v>
      </c>
      <c r="C559" s="153" t="s">
        <v>409</v>
      </c>
    </row>
    <row r="560" spans="1:3" x14ac:dyDescent="0.2">
      <c r="A560" s="154">
        <v>770</v>
      </c>
      <c r="B560" s="150" t="s">
        <v>351</v>
      </c>
      <c r="C560" s="153" t="s">
        <v>409</v>
      </c>
    </row>
    <row r="561" spans="1:3" x14ac:dyDescent="0.2">
      <c r="A561" s="154">
        <v>775</v>
      </c>
      <c r="B561" s="150" t="s">
        <v>352</v>
      </c>
      <c r="C561" s="153" t="s">
        <v>409</v>
      </c>
    </row>
    <row r="562" spans="1:3" x14ac:dyDescent="0.2">
      <c r="A562" s="154">
        <v>776</v>
      </c>
      <c r="B562" s="150" t="s">
        <v>352</v>
      </c>
      <c r="C562" s="153" t="s">
        <v>409</v>
      </c>
    </row>
    <row r="563" spans="1:3" x14ac:dyDescent="0.2">
      <c r="A563" s="154">
        <v>781</v>
      </c>
      <c r="B563" s="150" t="s">
        <v>348</v>
      </c>
      <c r="C563" s="153" t="s">
        <v>410</v>
      </c>
    </row>
    <row r="564" spans="1:3" x14ac:dyDescent="0.2">
      <c r="A564" s="154">
        <v>782</v>
      </c>
      <c r="B564" s="150" t="s">
        <v>348</v>
      </c>
      <c r="C564" s="153" t="s">
        <v>409</v>
      </c>
    </row>
    <row r="565" spans="1:3" x14ac:dyDescent="0.2">
      <c r="A565" s="154">
        <v>783</v>
      </c>
      <c r="B565" s="150" t="s">
        <v>348</v>
      </c>
      <c r="C565" s="153" t="s">
        <v>409</v>
      </c>
    </row>
    <row r="566" spans="1:3" x14ac:dyDescent="0.2">
      <c r="A566" s="154">
        <v>784</v>
      </c>
      <c r="B566" s="150" t="s">
        <v>348</v>
      </c>
      <c r="C566" s="153" t="s">
        <v>409</v>
      </c>
    </row>
    <row r="567" spans="1:3" x14ac:dyDescent="0.2">
      <c r="A567" s="154">
        <v>785</v>
      </c>
      <c r="B567" s="150" t="s">
        <v>348</v>
      </c>
      <c r="C567" s="153" t="s">
        <v>409</v>
      </c>
    </row>
    <row r="568" spans="1:3" x14ac:dyDescent="0.2">
      <c r="A568" s="154">
        <v>786</v>
      </c>
      <c r="B568" s="150" t="s">
        <v>348</v>
      </c>
      <c r="C568" s="153" t="s">
        <v>409</v>
      </c>
    </row>
    <row r="569" spans="1:3" x14ac:dyDescent="0.2">
      <c r="A569" s="154">
        <v>787</v>
      </c>
      <c r="B569" s="150" t="s">
        <v>353</v>
      </c>
      <c r="C569" s="153" t="s">
        <v>409</v>
      </c>
    </row>
    <row r="570" spans="1:3" x14ac:dyDescent="0.2">
      <c r="A570" s="154">
        <v>788</v>
      </c>
      <c r="B570" s="150" t="s">
        <v>354</v>
      </c>
      <c r="C570" s="153" t="s">
        <v>409</v>
      </c>
    </row>
    <row r="571" spans="1:3" x14ac:dyDescent="0.2">
      <c r="A571" s="154">
        <v>789</v>
      </c>
      <c r="B571" s="150" t="s">
        <v>355</v>
      </c>
      <c r="C571" s="153" t="s">
        <v>409</v>
      </c>
    </row>
    <row r="572" spans="1:3" x14ac:dyDescent="0.2">
      <c r="A572" s="154">
        <v>790</v>
      </c>
      <c r="B572" s="150" t="s">
        <v>356</v>
      </c>
      <c r="C572" s="153" t="s">
        <v>409</v>
      </c>
    </row>
    <row r="573" spans="1:3" x14ac:dyDescent="0.2">
      <c r="A573" s="154">
        <v>791</v>
      </c>
      <c r="B573" s="150" t="s">
        <v>357</v>
      </c>
      <c r="C573" s="153" t="s">
        <v>409</v>
      </c>
    </row>
    <row r="574" spans="1:3" x14ac:dyDescent="0.2">
      <c r="A574" s="154">
        <v>792</v>
      </c>
      <c r="B574" s="150" t="s">
        <v>358</v>
      </c>
      <c r="C574" s="153" t="s">
        <v>409</v>
      </c>
    </row>
    <row r="575" spans="1:3" x14ac:dyDescent="0.2">
      <c r="A575" s="154">
        <v>793</v>
      </c>
      <c r="B575" s="150" t="s">
        <v>348</v>
      </c>
      <c r="C575" s="153" t="s">
        <v>409</v>
      </c>
    </row>
    <row r="576" spans="1:3" x14ac:dyDescent="0.2">
      <c r="A576" s="154">
        <v>794</v>
      </c>
      <c r="B576" s="150" t="s">
        <v>349</v>
      </c>
      <c r="C576" s="153" t="s">
        <v>409</v>
      </c>
    </row>
    <row r="577" spans="1:3" x14ac:dyDescent="0.2">
      <c r="A577" s="154">
        <v>801</v>
      </c>
      <c r="B577" s="150" t="s">
        <v>277</v>
      </c>
      <c r="C577" s="153" t="s">
        <v>409</v>
      </c>
    </row>
    <row r="578" spans="1:3" x14ac:dyDescent="0.2">
      <c r="A578" s="154">
        <v>802</v>
      </c>
      <c r="B578" s="150" t="s">
        <v>359</v>
      </c>
      <c r="C578" s="153" t="s">
        <v>409</v>
      </c>
    </row>
    <row r="579" spans="1:3" x14ac:dyDescent="0.2">
      <c r="A579" s="154">
        <v>803</v>
      </c>
      <c r="B579" s="150" t="s">
        <v>360</v>
      </c>
      <c r="C579" s="153" t="s">
        <v>410</v>
      </c>
    </row>
    <row r="580" spans="1:3" x14ac:dyDescent="0.2">
      <c r="A580" s="154">
        <v>804</v>
      </c>
      <c r="B580" s="150" t="s">
        <v>359</v>
      </c>
      <c r="C580" s="153" t="s">
        <v>409</v>
      </c>
    </row>
    <row r="581" spans="1:3" x14ac:dyDescent="0.2">
      <c r="A581" s="154">
        <v>805</v>
      </c>
      <c r="B581" s="150" t="s">
        <v>360</v>
      </c>
      <c r="C581" s="153" t="s">
        <v>410</v>
      </c>
    </row>
    <row r="582" spans="1:3" x14ac:dyDescent="0.2">
      <c r="A582" s="154">
        <v>806</v>
      </c>
      <c r="B582" s="150" t="s">
        <v>359</v>
      </c>
      <c r="C582" s="153" t="s">
        <v>409</v>
      </c>
    </row>
    <row r="583" spans="1:3" x14ac:dyDescent="0.2">
      <c r="A583" s="154">
        <v>807</v>
      </c>
      <c r="B583" s="150" t="s">
        <v>360</v>
      </c>
      <c r="C583" s="153" t="s">
        <v>410</v>
      </c>
    </row>
    <row r="584" spans="1:3" x14ac:dyDescent="0.2">
      <c r="A584" s="154">
        <v>808</v>
      </c>
      <c r="B584" s="150" t="s">
        <v>359</v>
      </c>
      <c r="C584" s="153" t="s">
        <v>409</v>
      </c>
    </row>
    <row r="585" spans="1:3" x14ac:dyDescent="0.2">
      <c r="A585" s="154">
        <v>809</v>
      </c>
      <c r="B585" s="150" t="s">
        <v>360</v>
      </c>
      <c r="C585" s="153" t="s">
        <v>410</v>
      </c>
    </row>
    <row r="586" spans="1:3" x14ac:dyDescent="0.2">
      <c r="A586" s="154">
        <v>810</v>
      </c>
      <c r="B586" s="150" t="s">
        <v>359</v>
      </c>
      <c r="C586" s="153" t="s">
        <v>409</v>
      </c>
    </row>
    <row r="587" spans="1:3" x14ac:dyDescent="0.2">
      <c r="A587" s="154">
        <v>811</v>
      </c>
      <c r="B587" s="150" t="s">
        <v>360</v>
      </c>
      <c r="C587" s="153" t="s">
        <v>410</v>
      </c>
    </row>
    <row r="588" spans="1:3" x14ac:dyDescent="0.2">
      <c r="A588" s="154">
        <v>812</v>
      </c>
      <c r="B588" s="150" t="s">
        <v>359</v>
      </c>
      <c r="C588" s="153" t="s">
        <v>409</v>
      </c>
    </row>
    <row r="589" spans="1:3" x14ac:dyDescent="0.2">
      <c r="A589" s="154">
        <v>813</v>
      </c>
      <c r="B589" s="150" t="s">
        <v>360</v>
      </c>
      <c r="C589" s="153" t="s">
        <v>410</v>
      </c>
    </row>
    <row r="590" spans="1:3" x14ac:dyDescent="0.2">
      <c r="A590" s="154">
        <v>814</v>
      </c>
      <c r="B590" s="150" t="s">
        <v>359</v>
      </c>
      <c r="C590" s="153" t="s">
        <v>409</v>
      </c>
    </row>
    <row r="591" spans="1:3" x14ac:dyDescent="0.2">
      <c r="A591" s="154">
        <v>815</v>
      </c>
      <c r="B591" s="150" t="s">
        <v>360</v>
      </c>
      <c r="C591" s="153" t="s">
        <v>410</v>
      </c>
    </row>
    <row r="592" spans="1:3" x14ac:dyDescent="0.2">
      <c r="A592" s="154">
        <v>816</v>
      </c>
      <c r="B592" s="150" t="s">
        <v>359</v>
      </c>
      <c r="C592" s="153" t="s">
        <v>409</v>
      </c>
    </row>
    <row r="593" spans="1:3" x14ac:dyDescent="0.2">
      <c r="A593" s="154">
        <v>817</v>
      </c>
      <c r="B593" s="150" t="s">
        <v>360</v>
      </c>
      <c r="C593" s="153" t="s">
        <v>410</v>
      </c>
    </row>
    <row r="594" spans="1:3" x14ac:dyDescent="0.2">
      <c r="A594" s="154">
        <v>818</v>
      </c>
      <c r="B594" s="150" t="s">
        <v>359</v>
      </c>
      <c r="C594" s="153" t="s">
        <v>409</v>
      </c>
    </row>
    <row r="595" spans="1:3" x14ac:dyDescent="0.2">
      <c r="A595" s="154">
        <v>819</v>
      </c>
      <c r="B595" s="150" t="s">
        <v>360</v>
      </c>
      <c r="C595" s="153" t="s">
        <v>410</v>
      </c>
    </row>
    <row r="596" spans="1:3" x14ac:dyDescent="0.2">
      <c r="A596" s="154">
        <v>820</v>
      </c>
      <c r="B596" s="150" t="s">
        <v>359</v>
      </c>
      <c r="C596" s="153" t="s">
        <v>409</v>
      </c>
    </row>
    <row r="597" spans="1:3" x14ac:dyDescent="0.2">
      <c r="A597" s="154">
        <v>821</v>
      </c>
      <c r="B597" s="150" t="s">
        <v>360</v>
      </c>
      <c r="C597" s="153" t="s">
        <v>410</v>
      </c>
    </row>
    <row r="598" spans="1:3" x14ac:dyDescent="0.2">
      <c r="A598" s="154">
        <v>822</v>
      </c>
      <c r="B598" s="150" t="s">
        <v>359</v>
      </c>
      <c r="C598" s="153" t="s">
        <v>409</v>
      </c>
    </row>
    <row r="599" spans="1:3" x14ac:dyDescent="0.2">
      <c r="A599" s="154">
        <v>823</v>
      </c>
      <c r="B599" s="150" t="s">
        <v>360</v>
      </c>
      <c r="C599" s="153" t="s">
        <v>410</v>
      </c>
    </row>
    <row r="600" spans="1:3" x14ac:dyDescent="0.2">
      <c r="A600" s="154">
        <v>824</v>
      </c>
      <c r="B600" s="150" t="s">
        <v>359</v>
      </c>
      <c r="C600" s="153" t="s">
        <v>409</v>
      </c>
    </row>
    <row r="601" spans="1:3" x14ac:dyDescent="0.2">
      <c r="A601" s="154">
        <v>825</v>
      </c>
      <c r="B601" s="150" t="s">
        <v>360</v>
      </c>
      <c r="C601" s="153" t="s">
        <v>410</v>
      </c>
    </row>
    <row r="602" spans="1:3" x14ac:dyDescent="0.2">
      <c r="A602" s="154">
        <v>826</v>
      </c>
      <c r="B602" s="150" t="s">
        <v>359</v>
      </c>
      <c r="C602" s="153" t="s">
        <v>409</v>
      </c>
    </row>
    <row r="603" spans="1:3" x14ac:dyDescent="0.2">
      <c r="A603" s="154">
        <v>827</v>
      </c>
      <c r="B603" s="150" t="s">
        <v>360</v>
      </c>
      <c r="C603" s="153" t="s">
        <v>410</v>
      </c>
    </row>
    <row r="604" spans="1:3" x14ac:dyDescent="0.2">
      <c r="A604" s="154">
        <v>828</v>
      </c>
      <c r="B604" s="150" t="s">
        <v>359</v>
      </c>
      <c r="C604" s="153" t="s">
        <v>409</v>
      </c>
    </row>
    <row r="605" spans="1:3" x14ac:dyDescent="0.2">
      <c r="A605" s="154">
        <v>829</v>
      </c>
      <c r="B605" s="150" t="s">
        <v>360</v>
      </c>
      <c r="C605" s="153" t="s">
        <v>410</v>
      </c>
    </row>
    <row r="606" spans="1:3" x14ac:dyDescent="0.2">
      <c r="A606" s="154">
        <v>830</v>
      </c>
      <c r="B606" s="150" t="s">
        <v>359</v>
      </c>
      <c r="C606" s="153" t="s">
        <v>409</v>
      </c>
    </row>
    <row r="607" spans="1:3" x14ac:dyDescent="0.2">
      <c r="A607" s="154">
        <v>831</v>
      </c>
      <c r="B607" s="150" t="s">
        <v>360</v>
      </c>
      <c r="C607" s="153" t="s">
        <v>410</v>
      </c>
    </row>
    <row r="608" spans="1:3" x14ac:dyDescent="0.2">
      <c r="A608" s="154">
        <v>832</v>
      </c>
      <c r="B608" s="150" t="s">
        <v>359</v>
      </c>
      <c r="C608" s="153" t="s">
        <v>409</v>
      </c>
    </row>
    <row r="609" spans="1:3" x14ac:dyDescent="0.2">
      <c r="A609" s="154">
        <v>833</v>
      </c>
      <c r="B609" s="150" t="s">
        <v>360</v>
      </c>
      <c r="C609" s="153" t="s">
        <v>410</v>
      </c>
    </row>
    <row r="610" spans="1:3" x14ac:dyDescent="0.2">
      <c r="A610" s="154">
        <v>834</v>
      </c>
      <c r="B610" s="150" t="s">
        <v>359</v>
      </c>
      <c r="C610" s="153" t="s">
        <v>409</v>
      </c>
    </row>
    <row r="611" spans="1:3" x14ac:dyDescent="0.2">
      <c r="A611" s="154">
        <v>835</v>
      </c>
      <c r="B611" s="150" t="s">
        <v>360</v>
      </c>
      <c r="C611" s="153" t="s">
        <v>410</v>
      </c>
    </row>
    <row r="612" spans="1:3" x14ac:dyDescent="0.2">
      <c r="A612" s="154">
        <v>836</v>
      </c>
      <c r="B612" s="150" t="s">
        <v>359</v>
      </c>
      <c r="C612" s="153" t="s">
        <v>409</v>
      </c>
    </row>
    <row r="613" spans="1:3" x14ac:dyDescent="0.2">
      <c r="A613" s="154">
        <v>837</v>
      </c>
      <c r="B613" s="150" t="s">
        <v>360</v>
      </c>
      <c r="C613" s="153" t="s">
        <v>410</v>
      </c>
    </row>
    <row r="614" spans="1:3" x14ac:dyDescent="0.2">
      <c r="A614" s="154">
        <v>838</v>
      </c>
      <c r="B614" s="150" t="s">
        <v>359</v>
      </c>
      <c r="C614" s="153" t="s">
        <v>409</v>
      </c>
    </row>
    <row r="615" spans="1:3" x14ac:dyDescent="0.2">
      <c r="A615" s="154">
        <v>839</v>
      </c>
      <c r="B615" s="150" t="s">
        <v>360</v>
      </c>
      <c r="C615" s="153" t="s">
        <v>410</v>
      </c>
    </row>
    <row r="616" spans="1:3" x14ac:dyDescent="0.2">
      <c r="A616" s="154">
        <v>840</v>
      </c>
      <c r="B616" s="150" t="s">
        <v>359</v>
      </c>
      <c r="C616" s="153" t="s">
        <v>409</v>
      </c>
    </row>
    <row r="617" spans="1:3" x14ac:dyDescent="0.2">
      <c r="A617" s="154">
        <v>841</v>
      </c>
      <c r="B617" s="150" t="s">
        <v>360</v>
      </c>
      <c r="C617" s="153" t="s">
        <v>410</v>
      </c>
    </row>
    <row r="618" spans="1:3" x14ac:dyDescent="0.2">
      <c r="A618" s="154">
        <v>842</v>
      </c>
      <c r="B618" s="150" t="s">
        <v>359</v>
      </c>
      <c r="C618" s="153" t="s">
        <v>409</v>
      </c>
    </row>
    <row r="619" spans="1:3" x14ac:dyDescent="0.2">
      <c r="A619" s="154">
        <v>843</v>
      </c>
      <c r="B619" s="150" t="s">
        <v>360</v>
      </c>
      <c r="C619" s="153" t="s">
        <v>410</v>
      </c>
    </row>
    <row r="620" spans="1:3" x14ac:dyDescent="0.2">
      <c r="A620" s="154">
        <v>844</v>
      </c>
      <c r="B620" s="150" t="s">
        <v>359</v>
      </c>
      <c r="C620" s="153" t="s">
        <v>409</v>
      </c>
    </row>
    <row r="621" spans="1:3" x14ac:dyDescent="0.2">
      <c r="A621" s="154">
        <v>845</v>
      </c>
      <c r="B621" s="150" t="s">
        <v>360</v>
      </c>
      <c r="C621" s="153" t="s">
        <v>410</v>
      </c>
    </row>
    <row r="622" spans="1:3" x14ac:dyDescent="0.2">
      <c r="A622" s="154">
        <v>846</v>
      </c>
      <c r="B622" s="150" t="s">
        <v>359</v>
      </c>
      <c r="C622" s="153" t="s">
        <v>409</v>
      </c>
    </row>
    <row r="623" spans="1:3" x14ac:dyDescent="0.2">
      <c r="A623" s="154">
        <v>847</v>
      </c>
      <c r="B623" s="150" t="s">
        <v>360</v>
      </c>
      <c r="C623" s="153" t="s">
        <v>410</v>
      </c>
    </row>
    <row r="624" spans="1:3" x14ac:dyDescent="0.2">
      <c r="A624" s="154">
        <v>848</v>
      </c>
      <c r="B624" s="150" t="s">
        <v>359</v>
      </c>
      <c r="C624" s="153" t="s">
        <v>409</v>
      </c>
    </row>
    <row r="625" spans="1:3" x14ac:dyDescent="0.2">
      <c r="A625" s="154">
        <v>849</v>
      </c>
      <c r="B625" s="150" t="s">
        <v>360</v>
      </c>
      <c r="C625" s="153" t="s">
        <v>410</v>
      </c>
    </row>
    <row r="626" spans="1:3" x14ac:dyDescent="0.2">
      <c r="A626" s="154">
        <v>850</v>
      </c>
      <c r="B626" s="150" t="s">
        <v>360</v>
      </c>
      <c r="C626" s="153" t="s">
        <v>410</v>
      </c>
    </row>
    <row r="627" spans="1:3" x14ac:dyDescent="0.2">
      <c r="A627" s="154">
        <v>851</v>
      </c>
      <c r="B627" s="150" t="s">
        <v>360</v>
      </c>
      <c r="C627" s="153" t="s">
        <v>410</v>
      </c>
    </row>
    <row r="628" spans="1:3" x14ac:dyDescent="0.2">
      <c r="A628" s="154">
        <v>852</v>
      </c>
      <c r="B628" s="150" t="s">
        <v>359</v>
      </c>
      <c r="C628" s="153" t="s">
        <v>409</v>
      </c>
    </row>
    <row r="629" spans="1:3" x14ac:dyDescent="0.2">
      <c r="A629" s="154">
        <v>853</v>
      </c>
      <c r="B629" s="150" t="s">
        <v>359</v>
      </c>
      <c r="C629" s="153" t="s">
        <v>409</v>
      </c>
    </row>
    <row r="630" spans="1:3" x14ac:dyDescent="0.2">
      <c r="A630" s="154">
        <v>854</v>
      </c>
      <c r="B630" s="150" t="s">
        <v>359</v>
      </c>
      <c r="C630" s="153" t="s">
        <v>409</v>
      </c>
    </row>
    <row r="631" spans="1:3" x14ac:dyDescent="0.2">
      <c r="A631" s="154">
        <v>855</v>
      </c>
      <c r="B631" s="150" t="s">
        <v>359</v>
      </c>
      <c r="C631" s="153" t="s">
        <v>409</v>
      </c>
    </row>
    <row r="632" spans="1:3" x14ac:dyDescent="0.2">
      <c r="A632" s="154">
        <v>856</v>
      </c>
      <c r="B632" s="150" t="s">
        <v>359</v>
      </c>
      <c r="C632" s="153" t="s">
        <v>409</v>
      </c>
    </row>
    <row r="633" spans="1:3" x14ac:dyDescent="0.2">
      <c r="A633" s="154">
        <v>857</v>
      </c>
      <c r="B633" s="150" t="s">
        <v>359</v>
      </c>
      <c r="C633" s="153" t="s">
        <v>409</v>
      </c>
    </row>
    <row r="634" spans="1:3" x14ac:dyDescent="0.2">
      <c r="A634" s="154">
        <v>858</v>
      </c>
      <c r="B634" s="150" t="s">
        <v>359</v>
      </c>
      <c r="C634" s="153" t="s">
        <v>409</v>
      </c>
    </row>
    <row r="635" spans="1:3" x14ac:dyDescent="0.2">
      <c r="A635" s="154">
        <v>859</v>
      </c>
      <c r="B635" s="150" t="s">
        <v>359</v>
      </c>
      <c r="C635" s="153" t="s">
        <v>409</v>
      </c>
    </row>
    <row r="636" spans="1:3" x14ac:dyDescent="0.2">
      <c r="A636" s="154">
        <v>860</v>
      </c>
      <c r="B636" s="150" t="s">
        <v>359</v>
      </c>
      <c r="C636" s="153" t="s">
        <v>409</v>
      </c>
    </row>
    <row r="637" spans="1:3" x14ac:dyDescent="0.2">
      <c r="A637" s="154">
        <v>861</v>
      </c>
      <c r="B637" s="150" t="s">
        <v>359</v>
      </c>
      <c r="C637" s="153" t="s">
        <v>409</v>
      </c>
    </row>
    <row r="638" spans="1:3" x14ac:dyDescent="0.2">
      <c r="A638" s="154">
        <v>862</v>
      </c>
      <c r="B638" s="150" t="s">
        <v>359</v>
      </c>
      <c r="C638" s="153" t="s">
        <v>409</v>
      </c>
    </row>
    <row r="639" spans="1:3" x14ac:dyDescent="0.2">
      <c r="A639" s="154">
        <v>863</v>
      </c>
      <c r="B639" s="150" t="s">
        <v>359</v>
      </c>
      <c r="C639" s="153" t="s">
        <v>409</v>
      </c>
    </row>
    <row r="640" spans="1:3" x14ac:dyDescent="0.2">
      <c r="A640" s="154">
        <v>864</v>
      </c>
      <c r="B640" s="150" t="s">
        <v>359</v>
      </c>
      <c r="C640" s="153" t="s">
        <v>409</v>
      </c>
    </row>
    <row r="641" spans="1:3" x14ac:dyDescent="0.2">
      <c r="A641" s="154">
        <v>865</v>
      </c>
      <c r="B641" s="150" t="s">
        <v>359</v>
      </c>
      <c r="C641" s="153" t="s">
        <v>409</v>
      </c>
    </row>
    <row r="642" spans="1:3" x14ac:dyDescent="0.2">
      <c r="A642" s="154">
        <v>866</v>
      </c>
      <c r="B642" s="150" t="s">
        <v>360</v>
      </c>
      <c r="C642" s="153" t="s">
        <v>410</v>
      </c>
    </row>
    <row r="643" spans="1:3" x14ac:dyDescent="0.2">
      <c r="A643" s="154">
        <v>867</v>
      </c>
      <c r="B643" s="150" t="s">
        <v>359</v>
      </c>
      <c r="C643" s="153" t="s">
        <v>409</v>
      </c>
    </row>
    <row r="644" spans="1:3" x14ac:dyDescent="0.2">
      <c r="A644" s="154">
        <v>868</v>
      </c>
      <c r="B644" s="150" t="s">
        <v>360</v>
      </c>
      <c r="C644" s="153" t="s">
        <v>410</v>
      </c>
    </row>
    <row r="645" spans="1:3" x14ac:dyDescent="0.2">
      <c r="A645" s="154">
        <v>869</v>
      </c>
      <c r="B645" s="150" t="s">
        <v>359</v>
      </c>
      <c r="C645" s="153" t="s">
        <v>409</v>
      </c>
    </row>
    <row r="646" spans="1:3" x14ac:dyDescent="0.2">
      <c r="A646" s="154">
        <v>870</v>
      </c>
      <c r="B646" s="150" t="s">
        <v>360</v>
      </c>
      <c r="C646" s="153" t="s">
        <v>410</v>
      </c>
    </row>
    <row r="647" spans="1:3" x14ac:dyDescent="0.2">
      <c r="A647" s="154">
        <v>871</v>
      </c>
      <c r="B647" s="150" t="s">
        <v>359</v>
      </c>
      <c r="C647" s="153" t="s">
        <v>409</v>
      </c>
    </row>
    <row r="648" spans="1:3" x14ac:dyDescent="0.2">
      <c r="A648" s="154">
        <v>872</v>
      </c>
      <c r="B648" s="150" t="s">
        <v>360</v>
      </c>
      <c r="C648" s="153" t="s">
        <v>410</v>
      </c>
    </row>
    <row r="649" spans="1:3" x14ac:dyDescent="0.2">
      <c r="A649" s="154">
        <v>873</v>
      </c>
      <c r="B649" s="150" t="s">
        <v>359</v>
      </c>
      <c r="C649" s="153" t="s">
        <v>409</v>
      </c>
    </row>
    <row r="650" spans="1:3" x14ac:dyDescent="0.2">
      <c r="A650" s="154">
        <v>874</v>
      </c>
      <c r="B650" s="150" t="s">
        <v>360</v>
      </c>
      <c r="C650" s="153" t="s">
        <v>410</v>
      </c>
    </row>
    <row r="651" spans="1:3" x14ac:dyDescent="0.2">
      <c r="A651" s="154">
        <v>875</v>
      </c>
      <c r="B651" s="150" t="s">
        <v>359</v>
      </c>
      <c r="C651" s="153" t="s">
        <v>409</v>
      </c>
    </row>
    <row r="652" spans="1:3" x14ac:dyDescent="0.2">
      <c r="A652" s="154">
        <v>876</v>
      </c>
      <c r="B652" s="150" t="s">
        <v>360</v>
      </c>
      <c r="C652" s="153" t="s">
        <v>410</v>
      </c>
    </row>
    <row r="653" spans="1:3" x14ac:dyDescent="0.2">
      <c r="A653" s="154">
        <v>877</v>
      </c>
      <c r="B653" s="150" t="s">
        <v>359</v>
      </c>
      <c r="C653" s="153" t="s">
        <v>409</v>
      </c>
    </row>
    <row r="654" spans="1:3" x14ac:dyDescent="0.2">
      <c r="A654" s="154">
        <v>878</v>
      </c>
      <c r="B654" s="150" t="s">
        <v>360</v>
      </c>
      <c r="C654" s="153" t="s">
        <v>410</v>
      </c>
    </row>
    <row r="655" spans="1:3" x14ac:dyDescent="0.2">
      <c r="A655" s="154">
        <v>879</v>
      </c>
      <c r="B655" s="150" t="s">
        <v>359</v>
      </c>
      <c r="C655" s="153" t="s">
        <v>409</v>
      </c>
    </row>
    <row r="656" spans="1:3" x14ac:dyDescent="0.2">
      <c r="A656" s="154">
        <v>880</v>
      </c>
      <c r="B656" s="150" t="s">
        <v>360</v>
      </c>
      <c r="C656" s="153" t="s">
        <v>410</v>
      </c>
    </row>
    <row r="657" spans="1:3" x14ac:dyDescent="0.2">
      <c r="A657" s="154">
        <v>881</v>
      </c>
      <c r="B657" s="150" t="s">
        <v>359</v>
      </c>
      <c r="C657" s="153" t="s">
        <v>409</v>
      </c>
    </row>
    <row r="658" spans="1:3" x14ac:dyDescent="0.2">
      <c r="A658" s="154">
        <v>882</v>
      </c>
      <c r="B658" s="150" t="s">
        <v>360</v>
      </c>
      <c r="C658" s="153" t="s">
        <v>410</v>
      </c>
    </row>
    <row r="659" spans="1:3" x14ac:dyDescent="0.2">
      <c r="A659" s="154">
        <v>883</v>
      </c>
      <c r="B659" s="150" t="s">
        <v>359</v>
      </c>
      <c r="C659" s="153" t="s">
        <v>409</v>
      </c>
    </row>
    <row r="660" spans="1:3" x14ac:dyDescent="0.2">
      <c r="A660" s="154">
        <v>884</v>
      </c>
      <c r="B660" s="150" t="s">
        <v>360</v>
      </c>
      <c r="C660" s="153" t="s">
        <v>410</v>
      </c>
    </row>
    <row r="661" spans="1:3" x14ac:dyDescent="0.2">
      <c r="A661" s="154">
        <v>885</v>
      </c>
      <c r="B661" s="150" t="s">
        <v>359</v>
      </c>
      <c r="C661" s="153" t="s">
        <v>409</v>
      </c>
    </row>
    <row r="662" spans="1:3" x14ac:dyDescent="0.2">
      <c r="A662" s="154">
        <v>886</v>
      </c>
      <c r="B662" s="150" t="s">
        <v>360</v>
      </c>
      <c r="C662" s="153" t="s">
        <v>410</v>
      </c>
    </row>
    <row r="663" spans="1:3" x14ac:dyDescent="0.2">
      <c r="A663" s="154">
        <v>887</v>
      </c>
      <c r="B663" s="150" t="s">
        <v>359</v>
      </c>
      <c r="C663" s="153" t="s">
        <v>409</v>
      </c>
    </row>
    <row r="664" spans="1:3" x14ac:dyDescent="0.2">
      <c r="A664" s="154">
        <v>888</v>
      </c>
      <c r="B664" s="150" t="s">
        <v>360</v>
      </c>
      <c r="C664" s="153" t="s">
        <v>410</v>
      </c>
    </row>
    <row r="665" spans="1:3" x14ac:dyDescent="0.2">
      <c r="A665" s="154">
        <v>889</v>
      </c>
      <c r="B665" s="150" t="s">
        <v>359</v>
      </c>
      <c r="C665" s="153" t="s">
        <v>409</v>
      </c>
    </row>
    <row r="666" spans="1:3" x14ac:dyDescent="0.2">
      <c r="A666" s="154">
        <v>890</v>
      </c>
      <c r="B666" s="150" t="s">
        <v>360</v>
      </c>
      <c r="C666" s="153" t="s">
        <v>410</v>
      </c>
    </row>
    <row r="667" spans="1:3" x14ac:dyDescent="0.2">
      <c r="A667" s="154">
        <v>891</v>
      </c>
      <c r="B667" s="150" t="s">
        <v>360</v>
      </c>
      <c r="C667" s="153" t="s">
        <v>410</v>
      </c>
    </row>
    <row r="668" spans="1:3" x14ac:dyDescent="0.2">
      <c r="A668" s="154">
        <v>892</v>
      </c>
      <c r="B668" s="150" t="s">
        <v>360</v>
      </c>
      <c r="C668" s="153" t="s">
        <v>410</v>
      </c>
    </row>
    <row r="669" spans="1:3" x14ac:dyDescent="0.2">
      <c r="A669" s="154">
        <v>893</v>
      </c>
      <c r="B669" s="150" t="s">
        <v>360</v>
      </c>
      <c r="C669" s="153" t="s">
        <v>410</v>
      </c>
    </row>
    <row r="670" spans="1:3" x14ac:dyDescent="0.2">
      <c r="A670" s="154">
        <v>894</v>
      </c>
      <c r="B670" s="150" t="s">
        <v>318</v>
      </c>
      <c r="C670" s="153" t="s">
        <v>410</v>
      </c>
    </row>
    <row r="671" spans="1:3" x14ac:dyDescent="0.2">
      <c r="A671" s="154">
        <v>895</v>
      </c>
      <c r="B671" s="150" t="s">
        <v>318</v>
      </c>
      <c r="C671" s="153" t="s">
        <v>410</v>
      </c>
    </row>
    <row r="672" spans="1:3" x14ac:dyDescent="0.2">
      <c r="A672" s="154">
        <v>896</v>
      </c>
      <c r="B672" s="150" t="s">
        <v>318</v>
      </c>
      <c r="C672" s="153" t="s">
        <v>410</v>
      </c>
    </row>
    <row r="673" spans="1:3" x14ac:dyDescent="0.2">
      <c r="A673" s="154">
        <v>897</v>
      </c>
      <c r="B673" s="150" t="s">
        <v>360</v>
      </c>
      <c r="C673" s="153" t="s">
        <v>410</v>
      </c>
    </row>
    <row r="674" spans="1:3" x14ac:dyDescent="0.2">
      <c r="A674" s="154">
        <v>898</v>
      </c>
      <c r="B674" s="150" t="s">
        <v>360</v>
      </c>
      <c r="C674" s="153" t="s">
        <v>410</v>
      </c>
    </row>
    <row r="675" spans="1:3" x14ac:dyDescent="0.2">
      <c r="A675" s="154">
        <v>899</v>
      </c>
      <c r="B675" s="150" t="s">
        <v>361</v>
      </c>
      <c r="C675" s="153" t="s">
        <v>410</v>
      </c>
    </row>
    <row r="676" spans="1:3" x14ac:dyDescent="0.2">
      <c r="A676" s="154">
        <v>900</v>
      </c>
      <c r="B676" s="150" t="s">
        <v>361</v>
      </c>
      <c r="C676" s="153" t="s">
        <v>410</v>
      </c>
    </row>
    <row r="677" spans="1:3" x14ac:dyDescent="0.2">
      <c r="A677" s="154">
        <v>901</v>
      </c>
      <c r="B677" s="150" t="s">
        <v>361</v>
      </c>
      <c r="C677" s="153" t="s">
        <v>410</v>
      </c>
    </row>
    <row r="678" spans="1:3" x14ac:dyDescent="0.2">
      <c r="A678" s="154">
        <v>902</v>
      </c>
      <c r="B678" s="150" t="s">
        <v>361</v>
      </c>
      <c r="C678" s="153" t="s">
        <v>410</v>
      </c>
    </row>
    <row r="679" spans="1:3" x14ac:dyDescent="0.2">
      <c r="A679" s="154">
        <v>903</v>
      </c>
      <c r="B679" s="150" t="s">
        <v>361</v>
      </c>
      <c r="C679" s="153" t="s">
        <v>410</v>
      </c>
    </row>
    <row r="680" spans="1:3" x14ac:dyDescent="0.2">
      <c r="A680" s="154">
        <v>904</v>
      </c>
      <c r="B680" s="150" t="s">
        <v>362</v>
      </c>
      <c r="C680" s="153" t="s">
        <v>410</v>
      </c>
    </row>
    <row r="681" spans="1:3" x14ac:dyDescent="0.2">
      <c r="A681" s="154">
        <v>905</v>
      </c>
      <c r="B681" s="150" t="s">
        <v>362</v>
      </c>
      <c r="C681" s="153" t="s">
        <v>410</v>
      </c>
    </row>
    <row r="682" spans="1:3" x14ac:dyDescent="0.2">
      <c r="A682" s="154">
        <v>906</v>
      </c>
      <c r="B682" s="150" t="s">
        <v>362</v>
      </c>
      <c r="C682" s="153" t="s">
        <v>410</v>
      </c>
    </row>
    <row r="683" spans="1:3" x14ac:dyDescent="0.2">
      <c r="A683" s="154">
        <v>907</v>
      </c>
      <c r="B683" s="150" t="s">
        <v>363</v>
      </c>
      <c r="C683" s="153" t="s">
        <v>410</v>
      </c>
    </row>
    <row r="684" spans="1:3" x14ac:dyDescent="0.2">
      <c r="A684" s="154">
        <v>908</v>
      </c>
      <c r="B684" s="150" t="s">
        <v>363</v>
      </c>
      <c r="C684" s="153" t="s">
        <v>410</v>
      </c>
    </row>
    <row r="685" spans="1:3" x14ac:dyDescent="0.2">
      <c r="A685" s="154">
        <v>909</v>
      </c>
      <c r="B685" s="150" t="s">
        <v>363</v>
      </c>
      <c r="C685" s="153" t="s">
        <v>410</v>
      </c>
    </row>
    <row r="686" spans="1:3" x14ac:dyDescent="0.2">
      <c r="A686" s="154">
        <v>910</v>
      </c>
      <c r="B686" s="150" t="s">
        <v>363</v>
      </c>
      <c r="C686" s="153" t="s">
        <v>410</v>
      </c>
    </row>
    <row r="687" spans="1:3" x14ac:dyDescent="0.2">
      <c r="A687" s="154">
        <v>911</v>
      </c>
      <c r="B687" s="150" t="s">
        <v>363</v>
      </c>
      <c r="C687" s="153" t="s">
        <v>410</v>
      </c>
    </row>
    <row r="688" spans="1:3" x14ac:dyDescent="0.2">
      <c r="A688" s="154">
        <v>912</v>
      </c>
      <c r="B688" s="150" t="s">
        <v>363</v>
      </c>
      <c r="C688" s="153" t="s">
        <v>410</v>
      </c>
    </row>
    <row r="689" spans="1:3" x14ac:dyDescent="0.2">
      <c r="A689" s="154">
        <v>913</v>
      </c>
      <c r="B689" s="150" t="s">
        <v>363</v>
      </c>
      <c r="C689" s="153" t="s">
        <v>410</v>
      </c>
    </row>
    <row r="690" spans="1:3" x14ac:dyDescent="0.2">
      <c r="A690" s="154">
        <v>914</v>
      </c>
      <c r="B690" s="150" t="s">
        <v>364</v>
      </c>
      <c r="C690" s="153" t="s">
        <v>409</v>
      </c>
    </row>
    <row r="691" spans="1:3" x14ac:dyDescent="0.2">
      <c r="A691" s="154">
        <v>915</v>
      </c>
      <c r="B691" s="150" t="s">
        <v>318</v>
      </c>
      <c r="C691" s="153" t="s">
        <v>409</v>
      </c>
    </row>
    <row r="692" spans="1:3" x14ac:dyDescent="0.2">
      <c r="A692" s="154">
        <v>916</v>
      </c>
      <c r="B692" s="150" t="s">
        <v>318</v>
      </c>
      <c r="C692" s="153" t="s">
        <v>409</v>
      </c>
    </row>
    <row r="693" spans="1:3" x14ac:dyDescent="0.2">
      <c r="A693" s="154">
        <v>917</v>
      </c>
      <c r="B693" s="150" t="s">
        <v>318</v>
      </c>
      <c r="C693" s="153" t="s">
        <v>409</v>
      </c>
    </row>
    <row r="694" spans="1:3" x14ac:dyDescent="0.2">
      <c r="A694" s="154">
        <v>918</v>
      </c>
      <c r="B694" s="150" t="s">
        <v>254</v>
      </c>
      <c r="C694" s="153" t="s">
        <v>409</v>
      </c>
    </row>
    <row r="695" spans="1:3" x14ac:dyDescent="0.2">
      <c r="A695" s="154">
        <v>919</v>
      </c>
      <c r="B695" s="150" t="s">
        <v>365</v>
      </c>
      <c r="C695" s="153" t="s">
        <v>409</v>
      </c>
    </row>
    <row r="696" spans="1:3" x14ac:dyDescent="0.2">
      <c r="A696" s="154">
        <v>920</v>
      </c>
      <c r="B696" s="150" t="s">
        <v>365</v>
      </c>
      <c r="C696" s="153" t="s">
        <v>409</v>
      </c>
    </row>
    <row r="697" spans="1:3" x14ac:dyDescent="0.2">
      <c r="A697" s="154">
        <v>922</v>
      </c>
      <c r="B697" s="150" t="s">
        <v>277</v>
      </c>
      <c r="C697" s="153" t="s">
        <v>409</v>
      </c>
    </row>
    <row r="698" spans="1:3" x14ac:dyDescent="0.2">
      <c r="A698" s="154">
        <v>923</v>
      </c>
      <c r="B698" s="150" t="s">
        <v>277</v>
      </c>
      <c r="C698" s="153" t="s">
        <v>409</v>
      </c>
    </row>
    <row r="699" spans="1:3" x14ac:dyDescent="0.2">
      <c r="A699" s="154">
        <v>924</v>
      </c>
      <c r="B699" s="150" t="s">
        <v>277</v>
      </c>
      <c r="C699" s="153" t="s">
        <v>409</v>
      </c>
    </row>
    <row r="700" spans="1:3" x14ac:dyDescent="0.2">
      <c r="A700" s="154">
        <v>925</v>
      </c>
      <c r="B700" s="150" t="s">
        <v>366</v>
      </c>
      <c r="C700" s="153" t="s">
        <v>405</v>
      </c>
    </row>
    <row r="701" spans="1:3" x14ac:dyDescent="0.2">
      <c r="A701" s="154">
        <v>926</v>
      </c>
      <c r="B701" s="150" t="s">
        <v>307</v>
      </c>
      <c r="C701" s="153" t="s">
        <v>405</v>
      </c>
    </row>
    <row r="702" spans="1:3" x14ac:dyDescent="0.2">
      <c r="A702" s="154">
        <v>927</v>
      </c>
      <c r="B702" s="150" t="s">
        <v>309</v>
      </c>
      <c r="C702" s="153" t="s">
        <v>405</v>
      </c>
    </row>
    <row r="703" spans="1:3" x14ac:dyDescent="0.2">
      <c r="A703" s="154">
        <v>928</v>
      </c>
      <c r="B703" s="150" t="s">
        <v>308</v>
      </c>
      <c r="C703" s="153" t="s">
        <v>405</v>
      </c>
    </row>
    <row r="704" spans="1:3" x14ac:dyDescent="0.2">
      <c r="A704" s="154">
        <v>929</v>
      </c>
      <c r="B704" s="150" t="s">
        <v>361</v>
      </c>
      <c r="C704" s="153" t="s">
        <v>410</v>
      </c>
    </row>
    <row r="705" spans="1:3" x14ac:dyDescent="0.2">
      <c r="A705" s="154">
        <v>930</v>
      </c>
      <c r="B705" s="150" t="s">
        <v>361</v>
      </c>
      <c r="C705" s="153" t="s">
        <v>410</v>
      </c>
    </row>
    <row r="706" spans="1:3" x14ac:dyDescent="0.2">
      <c r="A706" s="154">
        <v>931</v>
      </c>
      <c r="B706" s="150" t="s">
        <v>361</v>
      </c>
      <c r="C706" s="153" t="s">
        <v>410</v>
      </c>
    </row>
    <row r="707" spans="1:3" x14ac:dyDescent="0.2">
      <c r="A707" s="154">
        <v>932</v>
      </c>
      <c r="B707" s="150" t="s">
        <v>367</v>
      </c>
      <c r="C707" s="153" t="s">
        <v>409</v>
      </c>
    </row>
    <row r="708" spans="1:3" x14ac:dyDescent="0.2">
      <c r="A708" s="154">
        <v>933</v>
      </c>
      <c r="B708" s="150" t="s">
        <v>359</v>
      </c>
      <c r="C708" s="153" t="s">
        <v>409</v>
      </c>
    </row>
    <row r="709" spans="1:3" x14ac:dyDescent="0.2">
      <c r="A709" s="154">
        <v>934</v>
      </c>
      <c r="B709" s="150" t="s">
        <v>360</v>
      </c>
      <c r="C709" s="153" t="s">
        <v>410</v>
      </c>
    </row>
    <row r="710" spans="1:3" x14ac:dyDescent="0.2">
      <c r="A710" s="154">
        <v>935</v>
      </c>
      <c r="B710" s="150" t="s">
        <v>368</v>
      </c>
      <c r="C710" s="153" t="s">
        <v>409</v>
      </c>
    </row>
    <row r="711" spans="1:3" x14ac:dyDescent="0.2">
      <c r="A711" s="154">
        <v>936</v>
      </c>
      <c r="B711" s="150" t="s">
        <v>368</v>
      </c>
      <c r="C711" s="153" t="s">
        <v>409</v>
      </c>
    </row>
    <row r="712" spans="1:3" x14ac:dyDescent="0.2">
      <c r="A712" s="154">
        <v>937</v>
      </c>
      <c r="B712" s="150" t="s">
        <v>368</v>
      </c>
      <c r="C712" s="153" t="s">
        <v>409</v>
      </c>
    </row>
    <row r="713" spans="1:3" x14ac:dyDescent="0.2">
      <c r="A713" s="154">
        <v>938</v>
      </c>
      <c r="B713" s="150" t="s">
        <v>368</v>
      </c>
      <c r="C713" s="153" t="s">
        <v>409</v>
      </c>
    </row>
    <row r="714" spans="1:3" x14ac:dyDescent="0.2">
      <c r="A714" s="154">
        <v>939</v>
      </c>
      <c r="B714" s="150" t="s">
        <v>368</v>
      </c>
      <c r="C714" s="153" t="s">
        <v>409</v>
      </c>
    </row>
    <row r="715" spans="1:3" x14ac:dyDescent="0.2">
      <c r="A715" s="154">
        <v>940</v>
      </c>
      <c r="B715" s="150" t="s">
        <v>369</v>
      </c>
      <c r="C715" s="153" t="s">
        <v>406</v>
      </c>
    </row>
    <row r="716" spans="1:3" x14ac:dyDescent="0.2">
      <c r="A716" s="154">
        <v>941</v>
      </c>
      <c r="B716" s="150" t="s">
        <v>370</v>
      </c>
      <c r="C716" s="153" t="s">
        <v>406</v>
      </c>
    </row>
    <row r="717" spans="1:3" x14ac:dyDescent="0.2">
      <c r="A717" s="154">
        <v>942</v>
      </c>
      <c r="B717" s="150" t="s">
        <v>223</v>
      </c>
      <c r="C717" s="153" t="s">
        <v>409</v>
      </c>
    </row>
    <row r="718" spans="1:3" x14ac:dyDescent="0.2">
      <c r="A718" s="154">
        <v>943</v>
      </c>
      <c r="B718" s="150" t="s">
        <v>214</v>
      </c>
      <c r="C718" s="153" t="s">
        <v>409</v>
      </c>
    </row>
    <row r="719" spans="1:3" x14ac:dyDescent="0.2">
      <c r="A719" s="154">
        <v>944</v>
      </c>
      <c r="B719" s="150" t="s">
        <v>214</v>
      </c>
      <c r="C719" s="153" t="s">
        <v>409</v>
      </c>
    </row>
    <row r="720" spans="1:3" x14ac:dyDescent="0.2">
      <c r="A720" s="154">
        <v>945</v>
      </c>
      <c r="B720" s="150" t="s">
        <v>214</v>
      </c>
      <c r="C720" s="153" t="s">
        <v>409</v>
      </c>
    </row>
    <row r="721" spans="1:3" x14ac:dyDescent="0.2">
      <c r="A721" s="154">
        <v>946</v>
      </c>
      <c r="B721" s="150" t="s">
        <v>214</v>
      </c>
      <c r="C721" s="153" t="s">
        <v>409</v>
      </c>
    </row>
    <row r="722" spans="1:3" x14ac:dyDescent="0.2">
      <c r="A722" s="154">
        <v>947</v>
      </c>
      <c r="B722" s="150" t="s">
        <v>371</v>
      </c>
      <c r="C722" s="153" t="s">
        <v>409</v>
      </c>
    </row>
    <row r="723" spans="1:3" x14ac:dyDescent="0.2">
      <c r="A723" s="154">
        <v>948</v>
      </c>
      <c r="B723" s="150" t="s">
        <v>372</v>
      </c>
      <c r="C723" s="153" t="s">
        <v>409</v>
      </c>
    </row>
    <row r="724" spans="1:3" x14ac:dyDescent="0.2">
      <c r="A724" s="154">
        <v>949</v>
      </c>
      <c r="B724" s="150" t="s">
        <v>373</v>
      </c>
      <c r="C724" s="153" t="s">
        <v>409</v>
      </c>
    </row>
    <row r="725" spans="1:3" x14ac:dyDescent="0.2">
      <c r="A725" s="154">
        <v>950</v>
      </c>
      <c r="B725" s="150" t="s">
        <v>374</v>
      </c>
      <c r="C725" s="153" t="s">
        <v>410</v>
      </c>
    </row>
    <row r="726" spans="1:3" x14ac:dyDescent="0.2">
      <c r="A726" s="154">
        <v>951</v>
      </c>
      <c r="B726" s="150" t="s">
        <v>375</v>
      </c>
      <c r="C726" s="153" t="s">
        <v>410</v>
      </c>
    </row>
    <row r="727" spans="1:3" x14ac:dyDescent="0.2">
      <c r="A727" s="154">
        <v>952</v>
      </c>
      <c r="B727" s="150" t="s">
        <v>376</v>
      </c>
      <c r="C727" s="153" t="s">
        <v>409</v>
      </c>
    </row>
    <row r="728" spans="1:3" x14ac:dyDescent="0.2">
      <c r="A728" s="154">
        <v>953</v>
      </c>
      <c r="B728" s="150" t="s">
        <v>377</v>
      </c>
      <c r="C728" s="153" t="s">
        <v>409</v>
      </c>
    </row>
    <row r="729" spans="1:3" x14ac:dyDescent="0.2">
      <c r="A729" s="154">
        <v>954</v>
      </c>
      <c r="B729" s="150" t="s">
        <v>378</v>
      </c>
      <c r="C729" s="153" t="s">
        <v>409</v>
      </c>
    </row>
    <row r="730" spans="1:3" x14ac:dyDescent="0.2">
      <c r="A730" s="154">
        <v>955</v>
      </c>
      <c r="B730" s="150" t="s">
        <v>379</v>
      </c>
      <c r="C730" s="153" t="s">
        <v>409</v>
      </c>
    </row>
    <row r="731" spans="1:3" x14ac:dyDescent="0.2">
      <c r="A731" s="154">
        <v>956</v>
      </c>
      <c r="B731" s="150" t="s">
        <v>380</v>
      </c>
      <c r="C731" s="153" t="s">
        <v>409</v>
      </c>
    </row>
    <row r="732" spans="1:3" x14ac:dyDescent="0.2">
      <c r="A732" s="154">
        <v>957</v>
      </c>
      <c r="B732" s="150" t="s">
        <v>381</v>
      </c>
      <c r="C732" s="153" t="s">
        <v>409</v>
      </c>
    </row>
    <row r="733" spans="1:3" x14ac:dyDescent="0.2">
      <c r="A733" s="154">
        <v>958</v>
      </c>
      <c r="B733" s="150" t="s">
        <v>382</v>
      </c>
      <c r="C733" s="153" t="s">
        <v>409</v>
      </c>
    </row>
    <row r="734" spans="1:3" x14ac:dyDescent="0.2">
      <c r="A734" s="154">
        <v>959</v>
      </c>
      <c r="B734" s="150" t="s">
        <v>383</v>
      </c>
      <c r="C734" s="153" t="s">
        <v>409</v>
      </c>
    </row>
    <row r="735" spans="1:3" x14ac:dyDescent="0.2">
      <c r="A735" s="154">
        <v>960</v>
      </c>
      <c r="B735" s="150" t="s">
        <v>384</v>
      </c>
      <c r="C735" s="153" t="s">
        <v>409</v>
      </c>
    </row>
    <row r="736" spans="1:3" x14ac:dyDescent="0.2">
      <c r="A736" s="154">
        <v>961</v>
      </c>
      <c r="B736" s="150" t="s">
        <v>385</v>
      </c>
      <c r="C736" s="153" t="s">
        <v>409</v>
      </c>
    </row>
    <row r="737" spans="1:3" x14ac:dyDescent="0.2">
      <c r="A737" s="154">
        <v>962</v>
      </c>
      <c r="B737" s="150" t="s">
        <v>386</v>
      </c>
      <c r="C737" s="153" t="s">
        <v>409</v>
      </c>
    </row>
    <row r="738" spans="1:3" x14ac:dyDescent="0.2">
      <c r="A738" s="154">
        <v>963</v>
      </c>
      <c r="B738" s="150" t="s">
        <v>387</v>
      </c>
      <c r="C738" s="153" t="s">
        <v>409</v>
      </c>
    </row>
    <row r="739" spans="1:3" x14ac:dyDescent="0.2">
      <c r="A739" s="154">
        <v>964</v>
      </c>
      <c r="B739" s="150" t="s">
        <v>388</v>
      </c>
      <c r="C739" s="153" t="s">
        <v>409</v>
      </c>
    </row>
    <row r="740" spans="1:3" x14ac:dyDescent="0.2">
      <c r="A740" s="154">
        <v>965</v>
      </c>
      <c r="B740" s="150" t="s">
        <v>389</v>
      </c>
      <c r="C740" s="153" t="s">
        <v>409</v>
      </c>
    </row>
    <row r="741" spans="1:3" x14ac:dyDescent="0.2">
      <c r="A741" s="154">
        <v>966</v>
      </c>
      <c r="B741" s="150" t="s">
        <v>234</v>
      </c>
      <c r="C741" s="153" t="s">
        <v>410</v>
      </c>
    </row>
    <row r="742" spans="1:3" x14ac:dyDescent="0.2">
      <c r="A742" s="154">
        <v>967</v>
      </c>
      <c r="B742" s="150" t="s">
        <v>246</v>
      </c>
      <c r="C742" s="153" t="s">
        <v>409</v>
      </c>
    </row>
    <row r="743" spans="1:3" x14ac:dyDescent="0.2">
      <c r="A743" s="154">
        <v>968</v>
      </c>
      <c r="B743" s="150" t="s">
        <v>246</v>
      </c>
      <c r="C743" s="153" t="s">
        <v>409</v>
      </c>
    </row>
    <row r="744" spans="1:3" x14ac:dyDescent="0.2">
      <c r="A744" s="154">
        <v>969</v>
      </c>
      <c r="B744" s="150" t="s">
        <v>389</v>
      </c>
      <c r="C744" s="153" t="s">
        <v>409</v>
      </c>
    </row>
    <row r="745" spans="1:3" x14ac:dyDescent="0.2">
      <c r="A745" s="154">
        <v>970</v>
      </c>
      <c r="B745" s="150" t="s">
        <v>202</v>
      </c>
      <c r="C745" s="153" t="s">
        <v>409</v>
      </c>
    </row>
    <row r="746" spans="1:3" x14ac:dyDescent="0.2">
      <c r="A746" s="154">
        <v>971</v>
      </c>
      <c r="B746" s="150" t="s">
        <v>390</v>
      </c>
      <c r="C746" s="153" t="s">
        <v>409</v>
      </c>
    </row>
    <row r="747" spans="1:3" x14ac:dyDescent="0.2">
      <c r="A747" s="154">
        <v>972</v>
      </c>
      <c r="B747" s="150" t="s">
        <v>391</v>
      </c>
      <c r="C747" s="153" t="s">
        <v>409</v>
      </c>
    </row>
    <row r="748" spans="1:3" x14ac:dyDescent="0.2">
      <c r="A748" s="154">
        <v>973</v>
      </c>
      <c r="B748" s="150" t="s">
        <v>244</v>
      </c>
      <c r="C748" s="153" t="s">
        <v>409</v>
      </c>
    </row>
    <row r="749" spans="1:3" x14ac:dyDescent="0.2">
      <c r="A749" s="154">
        <v>974</v>
      </c>
      <c r="B749" s="150" t="s">
        <v>270</v>
      </c>
      <c r="C749" s="153" t="s">
        <v>409</v>
      </c>
    </row>
    <row r="750" spans="1:3" x14ac:dyDescent="0.2">
      <c r="A750" s="154">
        <v>975</v>
      </c>
      <c r="B750" s="150" t="s">
        <v>392</v>
      </c>
      <c r="C750" s="153" t="s">
        <v>409</v>
      </c>
    </row>
    <row r="751" spans="1:3" x14ac:dyDescent="0.2">
      <c r="A751" s="154">
        <v>976</v>
      </c>
      <c r="B751" s="150" t="s">
        <v>393</v>
      </c>
      <c r="C751" s="153" t="s">
        <v>409</v>
      </c>
    </row>
    <row r="752" spans="1:3" x14ac:dyDescent="0.2">
      <c r="A752" s="154">
        <v>978</v>
      </c>
      <c r="B752" s="150" t="s">
        <v>228</v>
      </c>
      <c r="C752" s="153" t="s">
        <v>410</v>
      </c>
    </row>
    <row r="753" spans="1:3" x14ac:dyDescent="0.2">
      <c r="A753" s="154">
        <v>979</v>
      </c>
      <c r="B753" s="150" t="s">
        <v>267</v>
      </c>
      <c r="C753" s="153" t="s">
        <v>410</v>
      </c>
    </row>
    <row r="754" spans="1:3" x14ac:dyDescent="0.2">
      <c r="A754" s="154">
        <v>980</v>
      </c>
      <c r="B754" s="150" t="s">
        <v>394</v>
      </c>
      <c r="C754" s="153" t="s">
        <v>409</v>
      </c>
    </row>
    <row r="755" spans="1:3" x14ac:dyDescent="0.2">
      <c r="A755" s="154">
        <v>981</v>
      </c>
      <c r="B755" s="150" t="s">
        <v>395</v>
      </c>
      <c r="C755" s="153" t="s">
        <v>410</v>
      </c>
    </row>
    <row r="756" spans="1:3" x14ac:dyDescent="0.2">
      <c r="A756" s="154">
        <v>982</v>
      </c>
      <c r="B756" s="150" t="s">
        <v>396</v>
      </c>
      <c r="C756" s="153" t="s">
        <v>409</v>
      </c>
    </row>
    <row r="757" spans="1:3" x14ac:dyDescent="0.2">
      <c r="A757" s="154">
        <v>983</v>
      </c>
      <c r="B757" s="150" t="s">
        <v>397</v>
      </c>
      <c r="C757" s="153" t="s">
        <v>409</v>
      </c>
    </row>
    <row r="758" spans="1:3" x14ac:dyDescent="0.2">
      <c r="A758" s="154">
        <v>984</v>
      </c>
      <c r="B758" s="150" t="s">
        <v>398</v>
      </c>
      <c r="C758" s="153" t="s">
        <v>409</v>
      </c>
    </row>
    <row r="759" spans="1:3" x14ac:dyDescent="0.2">
      <c r="A759" s="154">
        <v>985</v>
      </c>
      <c r="B759" s="150" t="s">
        <v>399</v>
      </c>
      <c r="C759" s="153" t="s">
        <v>409</v>
      </c>
    </row>
    <row r="760" spans="1:3" x14ac:dyDescent="0.2">
      <c r="A760" s="154">
        <v>989</v>
      </c>
      <c r="B760" s="150" t="s">
        <v>283</v>
      </c>
      <c r="C760" s="153" t="s">
        <v>409</v>
      </c>
    </row>
    <row r="761" spans="1:3" x14ac:dyDescent="0.2">
      <c r="A761" s="154">
        <v>990</v>
      </c>
      <c r="B761" s="150" t="s">
        <v>284</v>
      </c>
      <c r="C761" s="153" t="s">
        <v>410</v>
      </c>
    </row>
    <row r="762" spans="1:3" x14ac:dyDescent="0.2">
      <c r="A762" s="154">
        <v>991</v>
      </c>
      <c r="B762" s="150" t="s">
        <v>234</v>
      </c>
      <c r="C762" s="153" t="s">
        <v>410</v>
      </c>
    </row>
    <row r="763" spans="1:3" x14ac:dyDescent="0.2">
      <c r="A763" s="154">
        <v>996</v>
      </c>
      <c r="B763" s="150" t="s">
        <v>313</v>
      </c>
      <c r="C763" s="153" t="s">
        <v>409</v>
      </c>
    </row>
    <row r="764" spans="1:3" x14ac:dyDescent="0.2">
      <c r="A764" s="154">
        <v>997</v>
      </c>
      <c r="B764" s="150" t="s">
        <v>400</v>
      </c>
      <c r="C764" s="153" t="s">
        <v>409</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2"/>
  <sheetViews>
    <sheetView workbookViewId="0"/>
  </sheetViews>
  <sheetFormatPr defaultRowHeight="12.75" x14ac:dyDescent="0.2"/>
  <cols>
    <col min="1" max="1" width="32.140625" bestFit="1" customWidth="1"/>
    <col min="2" max="2" width="11.85546875" bestFit="1" customWidth="1"/>
    <col min="3" max="3" width="5.42578125" bestFit="1" customWidth="1"/>
    <col min="4" max="4" width="16.42578125" customWidth="1"/>
    <col min="5" max="5" width="16.140625" bestFit="1" customWidth="1"/>
    <col min="6" max="6" width="14.7109375" customWidth="1"/>
  </cols>
  <sheetData>
    <row r="1" spans="1:6" x14ac:dyDescent="0.2">
      <c r="A1" s="147" t="s">
        <v>18</v>
      </c>
      <c r="B1" s="147"/>
    </row>
    <row r="2" spans="1:6" ht="36.75" customHeight="1" x14ac:dyDescent="0.2">
      <c r="A2" s="306" t="str">
        <f>Overview!B4&amp; " - Effective from "&amp;Overview!C4&amp;" - "&amp;Overview!E4&amp;" Residual Charging Bands"</f>
        <v>South Eastern Power Networks - Effective from 2022/23 - Final Residual Charging Bands</v>
      </c>
      <c r="B2" s="307"/>
      <c r="C2" s="307"/>
      <c r="D2" s="307"/>
      <c r="E2" s="307"/>
      <c r="F2" s="307"/>
    </row>
    <row r="4" spans="1:6" ht="58.5" customHeight="1" x14ac:dyDescent="0.2">
      <c r="A4" s="168" t="s">
        <v>645</v>
      </c>
      <c r="B4" s="168" t="s">
        <v>641</v>
      </c>
      <c r="C4" s="168" t="s">
        <v>648</v>
      </c>
      <c r="D4" s="168" t="s">
        <v>652</v>
      </c>
      <c r="E4" s="168" t="s">
        <v>653</v>
      </c>
      <c r="F4" s="20" t="s">
        <v>1387</v>
      </c>
    </row>
    <row r="5" spans="1:6" ht="14.25" x14ac:dyDescent="0.2">
      <c r="A5" s="169" t="s">
        <v>138</v>
      </c>
      <c r="B5" s="170" t="s">
        <v>643</v>
      </c>
      <c r="C5" s="170" t="s">
        <v>644</v>
      </c>
      <c r="D5" s="174" t="s">
        <v>644</v>
      </c>
      <c r="E5" s="174" t="s">
        <v>644</v>
      </c>
      <c r="F5" s="182">
        <v>6.2559419310103754</v>
      </c>
    </row>
    <row r="6" spans="1:6" ht="14.25" customHeight="1" x14ac:dyDescent="0.2">
      <c r="A6" s="300" t="s">
        <v>655</v>
      </c>
      <c r="B6" s="170">
        <v>1</v>
      </c>
      <c r="C6" s="170" t="s">
        <v>649</v>
      </c>
      <c r="D6" s="189">
        <v>0</v>
      </c>
      <c r="E6" s="189">
        <v>3571</v>
      </c>
      <c r="F6" s="182">
        <v>2.518832912228639</v>
      </c>
    </row>
    <row r="7" spans="1:6" ht="14.25" x14ac:dyDescent="0.2">
      <c r="A7" s="301"/>
      <c r="B7" s="170">
        <v>2</v>
      </c>
      <c r="C7" s="170" t="s">
        <v>649</v>
      </c>
      <c r="D7" s="189">
        <v>3571</v>
      </c>
      <c r="E7" s="189">
        <v>12553</v>
      </c>
      <c r="F7" s="182">
        <v>15.270427221000579</v>
      </c>
    </row>
    <row r="8" spans="1:6" ht="14.25" x14ac:dyDescent="0.2">
      <c r="A8" s="301"/>
      <c r="B8" s="170">
        <v>3</v>
      </c>
      <c r="C8" s="170" t="s">
        <v>649</v>
      </c>
      <c r="D8" s="189">
        <v>12553</v>
      </c>
      <c r="E8" s="189">
        <v>25279</v>
      </c>
      <c r="F8" s="182">
        <v>37.802759461030426</v>
      </c>
    </row>
    <row r="9" spans="1:6" ht="14.25" x14ac:dyDescent="0.2">
      <c r="A9" s="302"/>
      <c r="B9" s="170">
        <v>4</v>
      </c>
      <c r="C9" s="170" t="s">
        <v>649</v>
      </c>
      <c r="D9" s="189">
        <v>25279</v>
      </c>
      <c r="E9" s="189" t="s">
        <v>651</v>
      </c>
      <c r="F9" s="182">
        <v>110.59937877272073</v>
      </c>
    </row>
    <row r="10" spans="1:6" ht="14.25" x14ac:dyDescent="0.2">
      <c r="A10" s="300" t="s">
        <v>658</v>
      </c>
      <c r="B10" s="170">
        <v>1</v>
      </c>
      <c r="C10" s="170" t="s">
        <v>650</v>
      </c>
      <c r="D10" s="189">
        <v>0</v>
      </c>
      <c r="E10" s="189">
        <v>80</v>
      </c>
      <c r="F10" s="182">
        <v>210.59938665142761</v>
      </c>
    </row>
    <row r="11" spans="1:6" ht="14.25" x14ac:dyDescent="0.2">
      <c r="A11" s="301"/>
      <c r="B11" s="170">
        <v>2</v>
      </c>
      <c r="C11" s="170" t="s">
        <v>650</v>
      </c>
      <c r="D11" s="189">
        <v>80</v>
      </c>
      <c r="E11" s="189">
        <v>150</v>
      </c>
      <c r="F11" s="182">
        <v>354.85235857891172</v>
      </c>
    </row>
    <row r="12" spans="1:6" ht="14.25" x14ac:dyDescent="0.2">
      <c r="A12" s="301"/>
      <c r="B12" s="170">
        <v>3</v>
      </c>
      <c r="C12" s="170" t="s">
        <v>650</v>
      </c>
      <c r="D12" s="189">
        <v>150</v>
      </c>
      <c r="E12" s="189">
        <v>231</v>
      </c>
      <c r="F12" s="182">
        <v>579.48090190610117</v>
      </c>
    </row>
    <row r="13" spans="1:6" ht="14.25" x14ac:dyDescent="0.2">
      <c r="A13" s="302"/>
      <c r="B13" s="170">
        <v>4</v>
      </c>
      <c r="C13" s="170" t="s">
        <v>650</v>
      </c>
      <c r="D13" s="189">
        <v>231</v>
      </c>
      <c r="E13" s="189" t="s">
        <v>651</v>
      </c>
      <c r="F13" s="182">
        <v>1289.6828373155483</v>
      </c>
    </row>
    <row r="14" spans="1:6" ht="14.25" x14ac:dyDescent="0.2">
      <c r="A14" s="300" t="s">
        <v>657</v>
      </c>
      <c r="B14" s="170">
        <v>1</v>
      </c>
      <c r="C14" s="170" t="s">
        <v>650</v>
      </c>
      <c r="D14" s="189">
        <v>0</v>
      </c>
      <c r="E14" s="189">
        <v>422</v>
      </c>
      <c r="F14" s="182">
        <v>815.77651497044167</v>
      </c>
    </row>
    <row r="15" spans="1:6" ht="14.25" x14ac:dyDescent="0.2">
      <c r="A15" s="301"/>
      <c r="B15" s="170">
        <v>2</v>
      </c>
      <c r="C15" s="170" t="s">
        <v>650</v>
      </c>
      <c r="D15" s="189">
        <v>422</v>
      </c>
      <c r="E15" s="189">
        <v>1000</v>
      </c>
      <c r="F15" s="182">
        <v>4606.5716498345664</v>
      </c>
    </row>
    <row r="16" spans="1:6" ht="14.25" x14ac:dyDescent="0.2">
      <c r="A16" s="301"/>
      <c r="B16" s="170">
        <v>3</v>
      </c>
      <c r="C16" s="170" t="s">
        <v>650</v>
      </c>
      <c r="D16" s="189">
        <v>1000</v>
      </c>
      <c r="E16" s="189">
        <v>1800</v>
      </c>
      <c r="F16" s="182">
        <v>4014.1275334887823</v>
      </c>
    </row>
    <row r="17" spans="1:6" ht="14.25" x14ac:dyDescent="0.2">
      <c r="A17" s="302"/>
      <c r="B17" s="170">
        <v>4</v>
      </c>
      <c r="C17" s="170" t="s">
        <v>650</v>
      </c>
      <c r="D17" s="189">
        <v>1800</v>
      </c>
      <c r="E17" s="189" t="s">
        <v>651</v>
      </c>
      <c r="F17" s="182">
        <v>10352.773133831826</v>
      </c>
    </row>
    <row r="18" spans="1:6" ht="14.25" x14ac:dyDescent="0.2">
      <c r="A18" s="303" t="s">
        <v>656</v>
      </c>
      <c r="B18" s="170">
        <v>1</v>
      </c>
      <c r="C18" s="170" t="s">
        <v>650</v>
      </c>
      <c r="D18" s="189">
        <v>0</v>
      </c>
      <c r="E18" s="189">
        <v>5000</v>
      </c>
      <c r="F18" s="182">
        <v>347.63190328796895</v>
      </c>
    </row>
    <row r="19" spans="1:6" ht="14.25" x14ac:dyDescent="0.2">
      <c r="A19" s="304"/>
      <c r="B19" s="170">
        <v>2</v>
      </c>
      <c r="C19" s="170" t="s">
        <v>650</v>
      </c>
      <c r="D19" s="189">
        <v>5000</v>
      </c>
      <c r="E19" s="189">
        <v>12000</v>
      </c>
      <c r="F19" s="182">
        <v>7373.4082903644467</v>
      </c>
    </row>
    <row r="20" spans="1:6" ht="14.25" x14ac:dyDescent="0.2">
      <c r="A20" s="304"/>
      <c r="B20" s="170">
        <v>3</v>
      </c>
      <c r="C20" s="170" t="s">
        <v>650</v>
      </c>
      <c r="D20" s="189">
        <v>12000</v>
      </c>
      <c r="E20" s="189">
        <v>21500</v>
      </c>
      <c r="F20" s="182">
        <v>18529.921679980005</v>
      </c>
    </row>
    <row r="21" spans="1:6" ht="14.25" x14ac:dyDescent="0.2">
      <c r="A21" s="305"/>
      <c r="B21" s="170">
        <v>4</v>
      </c>
      <c r="C21" s="170" t="s">
        <v>650</v>
      </c>
      <c r="D21" s="189">
        <v>21500</v>
      </c>
      <c r="E21" s="189" t="s">
        <v>651</v>
      </c>
      <c r="F21" s="182">
        <v>32723.848676885227</v>
      </c>
    </row>
    <row r="22" spans="1:6" x14ac:dyDescent="0.2">
      <c r="A22" t="s">
        <v>654</v>
      </c>
    </row>
  </sheetData>
  <mergeCells count="5">
    <mergeCell ref="A10:A13"/>
    <mergeCell ref="A14:A17"/>
    <mergeCell ref="A18:A21"/>
    <mergeCell ref="A6:A9"/>
    <mergeCell ref="A2:F2"/>
  </mergeCells>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pageSetUpPr fitToPage="1"/>
  </sheetPr>
  <dimension ref="A1:EX24"/>
  <sheetViews>
    <sheetView zoomScaleNormal="100" workbookViewId="0">
      <selection activeCell="B1" sqref="B1"/>
    </sheetView>
  </sheetViews>
  <sheetFormatPr defaultRowHeight="12.75" x14ac:dyDescent="0.2"/>
  <cols>
    <col min="1" max="1" width="2.42578125" customWidth="1"/>
    <col min="2" max="2" width="33.7109375" customWidth="1"/>
    <col min="3" max="4" width="14.140625" customWidth="1"/>
    <col min="5" max="9" width="12.140625" customWidth="1"/>
    <col min="10" max="10" width="5.5703125" customWidth="1"/>
    <col min="11" max="11" width="5.28515625" customWidth="1"/>
    <col min="12" max="12" width="35.28515625" customWidth="1"/>
    <col min="13" max="20" width="11.7109375" customWidth="1"/>
    <col min="28" max="28" width="25" bestFit="1" customWidth="1"/>
    <col min="29" max="29" width="14.5703125" bestFit="1" customWidth="1"/>
  </cols>
  <sheetData>
    <row r="1" spans="1:154" x14ac:dyDescent="0.2">
      <c r="B1" s="83" t="s">
        <v>18</v>
      </c>
    </row>
    <row r="2" spans="1:154" s="2" customFormat="1" ht="21.75" customHeight="1" x14ac:dyDescent="0.2">
      <c r="B2" s="308" t="str">
        <f>Overview!B4&amp; " - Effective from "&amp;Overview!D4&amp;" - "&amp;Overview!E4</f>
        <v>South Eastern Power Networks - Effective from 1 April 2022 - Final</v>
      </c>
      <c r="C2" s="309"/>
      <c r="D2" s="309"/>
      <c r="E2" s="309"/>
      <c r="F2" s="309"/>
      <c r="G2" s="309"/>
      <c r="H2" s="309"/>
      <c r="I2" s="309"/>
      <c r="J2" s="309"/>
      <c r="K2" s="309"/>
      <c r="L2" s="309"/>
      <c r="M2" s="309"/>
      <c r="N2" s="309"/>
      <c r="O2" s="309"/>
      <c r="P2" s="309"/>
      <c r="Q2" s="309"/>
      <c r="R2" s="309"/>
      <c r="S2" s="309"/>
      <c r="T2" s="310"/>
      <c r="U2"/>
      <c r="V2"/>
      <c r="W2"/>
      <c r="X2"/>
      <c r="Y2"/>
      <c r="Z2"/>
      <c r="AA2"/>
      <c r="AB2" s="26"/>
      <c r="AC2" s="44" t="s">
        <v>158</v>
      </c>
      <c r="AD2" s="44" t="s">
        <v>160</v>
      </c>
      <c r="AE2" s="44" t="s">
        <v>159</v>
      </c>
      <c r="AF2" s="14" t="s">
        <v>24</v>
      </c>
      <c r="AG2" s="14" t="s">
        <v>25</v>
      </c>
      <c r="AH2" s="26" t="s">
        <v>126</v>
      </c>
      <c r="AI2" s="14" t="s">
        <v>32</v>
      </c>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row>
    <row r="3" spans="1:154" s="100" customFormat="1" ht="9" customHeight="1" x14ac:dyDescent="0.2">
      <c r="A3" s="99"/>
      <c r="B3" s="99"/>
      <c r="C3" s="99"/>
      <c r="D3" s="99"/>
      <c r="E3" s="99"/>
      <c r="F3" s="99"/>
      <c r="G3" s="99"/>
      <c r="H3" s="99"/>
      <c r="I3" s="99"/>
      <c r="J3" s="99"/>
      <c r="K3" s="99"/>
      <c r="L3"/>
      <c r="M3"/>
      <c r="N3"/>
      <c r="O3"/>
      <c r="P3"/>
      <c r="Q3"/>
      <c r="R3"/>
      <c r="S3"/>
      <c r="T3"/>
      <c r="U3"/>
      <c r="V3"/>
      <c r="W3"/>
      <c r="X3"/>
      <c r="Y3"/>
      <c r="Z3"/>
      <c r="AA3"/>
      <c r="AB3" s="16" t="s">
        <v>138</v>
      </c>
      <c r="AC3" s="133" t="s">
        <v>164</v>
      </c>
      <c r="AD3" s="134" t="s">
        <v>166</v>
      </c>
      <c r="AE3" s="135" t="s">
        <v>159</v>
      </c>
      <c r="AF3" s="141" t="s">
        <v>168</v>
      </c>
      <c r="AG3" s="136" t="s">
        <v>171</v>
      </c>
      <c r="AH3" s="136" t="s">
        <v>171</v>
      </c>
      <c r="AI3" s="137" t="s">
        <v>171</v>
      </c>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row>
    <row r="4" spans="1:154" ht="26.25" customHeight="1" x14ac:dyDescent="0.2">
      <c r="B4" s="314" t="s">
        <v>162</v>
      </c>
      <c r="C4" s="315"/>
      <c r="D4" s="315"/>
      <c r="E4" s="315"/>
      <c r="F4" s="315"/>
      <c r="G4" s="315"/>
      <c r="H4" s="315"/>
      <c r="I4" s="316"/>
      <c r="L4" s="314" t="s">
        <v>163</v>
      </c>
      <c r="M4" s="315"/>
      <c r="N4" s="315"/>
      <c r="O4" s="315"/>
      <c r="P4" s="315"/>
      <c r="Q4" s="315"/>
      <c r="R4" s="315"/>
      <c r="S4" s="315"/>
      <c r="T4" s="316"/>
      <c r="AB4" s="16" t="s">
        <v>139</v>
      </c>
      <c r="AC4" s="133" t="s">
        <v>164</v>
      </c>
      <c r="AD4" s="134" t="s">
        <v>166</v>
      </c>
      <c r="AE4" s="135" t="s">
        <v>159</v>
      </c>
      <c r="AF4" s="136" t="s">
        <v>171</v>
      </c>
      <c r="AG4" s="136" t="s">
        <v>171</v>
      </c>
      <c r="AH4" s="136" t="s">
        <v>171</v>
      </c>
      <c r="AI4" s="137" t="s">
        <v>171</v>
      </c>
    </row>
    <row r="5" spans="1:154" ht="18" customHeight="1" x14ac:dyDescent="0.2">
      <c r="B5" s="318" t="s">
        <v>100</v>
      </c>
      <c r="C5" s="318"/>
      <c r="D5" s="318"/>
      <c r="E5" s="318"/>
      <c r="F5" s="318"/>
      <c r="G5" s="318"/>
      <c r="H5" s="318"/>
      <c r="I5" s="318"/>
      <c r="L5" s="318" t="s">
        <v>102</v>
      </c>
      <c r="M5" s="318"/>
      <c r="N5" s="318"/>
      <c r="O5" s="318"/>
      <c r="P5" s="318"/>
      <c r="Q5" s="318"/>
      <c r="R5" s="318"/>
      <c r="S5" s="318"/>
      <c r="T5" s="318"/>
      <c r="AB5" s="16" t="s">
        <v>140</v>
      </c>
      <c r="AC5" s="133" t="s">
        <v>164</v>
      </c>
      <c r="AD5" s="134" t="s">
        <v>166</v>
      </c>
      <c r="AE5" s="135" t="s">
        <v>159</v>
      </c>
      <c r="AF5" s="141" t="s">
        <v>168</v>
      </c>
      <c r="AG5" s="136" t="s">
        <v>171</v>
      </c>
      <c r="AH5" s="136" t="s">
        <v>171</v>
      </c>
      <c r="AI5" s="137" t="s">
        <v>171</v>
      </c>
    </row>
    <row r="6" spans="1:154" s="101" customFormat="1" ht="27.75" customHeight="1" x14ac:dyDescent="0.2">
      <c r="B6" s="317" t="s">
        <v>106</v>
      </c>
      <c r="C6" s="317"/>
      <c r="D6" s="317"/>
      <c r="E6" s="317"/>
      <c r="F6" s="317"/>
      <c r="G6" s="317"/>
      <c r="H6" s="317"/>
      <c r="I6" s="317"/>
      <c r="L6" s="317" t="s">
        <v>107</v>
      </c>
      <c r="M6" s="317"/>
      <c r="N6" s="317"/>
      <c r="O6" s="317"/>
      <c r="P6" s="317"/>
      <c r="Q6" s="317"/>
      <c r="R6" s="317"/>
      <c r="S6" s="317"/>
      <c r="T6" s="317"/>
      <c r="AB6" s="16" t="s">
        <v>141</v>
      </c>
      <c r="AC6" s="133" t="s">
        <v>164</v>
      </c>
      <c r="AD6" s="134" t="s">
        <v>166</v>
      </c>
      <c r="AE6" s="135" t="s">
        <v>159</v>
      </c>
      <c r="AF6" s="136" t="s">
        <v>171</v>
      </c>
      <c r="AG6" s="136" t="s">
        <v>171</v>
      </c>
      <c r="AH6" s="136" t="s">
        <v>171</v>
      </c>
      <c r="AI6" s="137" t="s">
        <v>171</v>
      </c>
    </row>
    <row r="7" spans="1:154" ht="18" customHeight="1" x14ac:dyDescent="0.2">
      <c r="B7" s="318" t="s">
        <v>101</v>
      </c>
      <c r="C7" s="318"/>
      <c r="D7" s="318"/>
      <c r="E7" s="318"/>
      <c r="F7" s="318"/>
      <c r="G7" s="318"/>
      <c r="H7" s="318"/>
      <c r="I7" s="318"/>
      <c r="L7" s="318" t="s">
        <v>103</v>
      </c>
      <c r="M7" s="318"/>
      <c r="N7" s="318"/>
      <c r="O7" s="318"/>
      <c r="P7" s="318"/>
      <c r="Q7" s="318"/>
      <c r="R7" s="318"/>
      <c r="S7" s="318"/>
      <c r="T7" s="318"/>
      <c r="AB7" s="16" t="s">
        <v>142</v>
      </c>
      <c r="AC7" s="133" t="s">
        <v>164</v>
      </c>
      <c r="AD7" s="134" t="s">
        <v>166</v>
      </c>
      <c r="AE7" s="135" t="s">
        <v>159</v>
      </c>
      <c r="AF7" s="141" t="s">
        <v>168</v>
      </c>
      <c r="AG7" s="141" t="s">
        <v>169</v>
      </c>
      <c r="AH7" s="142" t="s">
        <v>170</v>
      </c>
      <c r="AI7" s="143" t="s">
        <v>32</v>
      </c>
    </row>
    <row r="8" spans="1:154" ht="8.25" customHeight="1" x14ac:dyDescent="0.2">
      <c r="AB8" s="16" t="s">
        <v>143</v>
      </c>
      <c r="AC8" s="133" t="s">
        <v>164</v>
      </c>
      <c r="AD8" s="134" t="s">
        <v>166</v>
      </c>
      <c r="AE8" s="135" t="s">
        <v>159</v>
      </c>
      <c r="AF8" s="141" t="s">
        <v>168</v>
      </c>
      <c r="AG8" s="141" t="s">
        <v>169</v>
      </c>
      <c r="AH8" s="142" t="s">
        <v>170</v>
      </c>
      <c r="AI8" s="138" t="s">
        <v>32</v>
      </c>
    </row>
    <row r="9" spans="1:154" ht="72" customHeight="1" x14ac:dyDescent="0.2">
      <c r="B9" s="102" t="s">
        <v>104</v>
      </c>
      <c r="C9" s="103" t="str">
        <f>IFERROR(VLOOKUP($B$10,$AB$2:$AI$18,2,FALSE),AC2)</f>
        <v>Red/black unit charge
p/kWh</v>
      </c>
      <c r="D9" s="103" t="str">
        <f>IFERROR(VLOOKUP($B$10,$AB$2:$AI$18,3,FALSE),AD2)</f>
        <v>Amber/yellow unit charge
p/kWh</v>
      </c>
      <c r="E9" s="103" t="str">
        <f>IFERROR(VLOOKUP($B$10,$AB$2:$AI$18,4,FALSE),AE2)</f>
        <v>Green unit charge
p/kWh</v>
      </c>
      <c r="F9" s="103" t="str">
        <f>IFERROR(VLOOKUP($B$10,$AB$2:$AI$18,5,FALSE),AF2)</f>
        <v>Fixed charge p/MPAN/day</v>
      </c>
      <c r="G9" s="103" t="str">
        <f>IFERROR(VLOOKUP($B$10,$AB$2:$AI$18,6,FALSE),AG2)</f>
        <v>Capacity charge p/kVA/day</v>
      </c>
      <c r="H9" s="103" t="str">
        <f>IFERROR(VLOOKUP($B$10,$AB$2:$AI$18,7,FALSE),AH2)</f>
        <v>Exceeded capacity charge
p/kVA/day</v>
      </c>
      <c r="I9" s="103" t="str">
        <f>IFERROR(VLOOKUP($B$10,$AB$2:$AI$18,8,FALSE),AI2)</f>
        <v>Reactive power charge
p/kVArh</v>
      </c>
      <c r="L9" s="102" t="s">
        <v>105</v>
      </c>
      <c r="M9" s="120" t="str">
        <f>'Annex 2 EHV charges'!H9</f>
        <v>Import
Super Red
unit charge
(p/kWh)</v>
      </c>
      <c r="N9" s="120" t="str">
        <f>'Annex 2 EHV charges'!I9</f>
        <v>Import
fixed charge
(p/day)</v>
      </c>
      <c r="O9" s="120" t="str">
        <f>'Annex 2 EHV charges'!J9</f>
        <v>Import
capacity charge
(p/kVA/day)</v>
      </c>
      <c r="P9" s="120" t="str">
        <f>'Annex 2 EHV charges'!K9</f>
        <v>Import
exceeded capacity charge
(p/kVA/day)</v>
      </c>
      <c r="Q9" s="121" t="str">
        <f>'Annex 2 EHV charges'!L9</f>
        <v>Export
Super Red
unit charge
(p/kWh)</v>
      </c>
      <c r="R9" s="121" t="str">
        <f>'Annex 2 EHV charges'!M9</f>
        <v>Export
fixed charge
(p/day)</v>
      </c>
      <c r="S9" s="121" t="str">
        <f>'Annex 2 EHV charges'!N9</f>
        <v>Export
capacity charge
(p/kVA/day)</v>
      </c>
      <c r="T9" s="121" t="str">
        <f>'Annex 2 EHV charges'!O9</f>
        <v>Export
exceeded capacity charge
(p/kVA/day)</v>
      </c>
      <c r="AB9" s="16" t="s">
        <v>144</v>
      </c>
      <c r="AC9" s="133" t="s">
        <v>164</v>
      </c>
      <c r="AD9" s="134" t="s">
        <v>166</v>
      </c>
      <c r="AE9" s="135" t="s">
        <v>159</v>
      </c>
      <c r="AF9" s="141" t="s">
        <v>168</v>
      </c>
      <c r="AG9" s="141" t="s">
        <v>169</v>
      </c>
      <c r="AH9" s="142" t="s">
        <v>170</v>
      </c>
      <c r="AI9" s="138" t="s">
        <v>32</v>
      </c>
    </row>
    <row r="10" spans="1:154" ht="30" customHeight="1" x14ac:dyDescent="0.2">
      <c r="B10" s="93"/>
      <c r="C10" s="117" t="str">
        <f>IFERROR(VLOOKUP($B$10,'Annex 1 LV, HV and UMS charges'!$A:$K,4,FALSE),"")</f>
        <v/>
      </c>
      <c r="D10" s="118" t="str">
        <f>IFERROR(VLOOKUP($B$10,'Annex 1 LV, HV and UMS charges'!$A:$K,5,FALSE),"")</f>
        <v/>
      </c>
      <c r="E10" s="118" t="str">
        <f>IFERROR(VLOOKUP($B$10,'Annex 1 LV, HV and UMS charges'!$A:$K,6,FALSE),"")</f>
        <v/>
      </c>
      <c r="F10" s="95" t="str">
        <f>IFERROR(VLOOKUP($B$10,'Annex 1 LV, HV and UMS charges'!$A:$K,7,FALSE),"")</f>
        <v/>
      </c>
      <c r="G10" s="95" t="str">
        <f>IFERROR(VLOOKUP($B$10,'Annex 1 LV, HV and UMS charges'!$A:$K,8,FALSE),"")</f>
        <v/>
      </c>
      <c r="H10" s="95" t="str">
        <f>IFERROR(VLOOKUP($B$10,'Annex 1 LV, HV and UMS charges'!$A:$K,9,FALSE),"")</f>
        <v/>
      </c>
      <c r="I10" s="95" t="str">
        <f>IFERROR(VLOOKUP($B$10,'Annex 1 LV, HV and UMS charges'!$A:$K,10,FALSE),"")</f>
        <v/>
      </c>
      <c r="L10" s="93"/>
      <c r="M10" s="95" t="str">
        <f>IFERROR(VLOOKUP($L$10,'Annex 2 EHV charges'!$G:$O,2,FALSE),"")</f>
        <v/>
      </c>
      <c r="N10" s="95" t="str">
        <f>IFERROR(VLOOKUP($L$10,'Annex 2 EHV charges'!$G:$O,3,FALSE),"")</f>
        <v/>
      </c>
      <c r="O10" s="95" t="str">
        <f>IFERROR(VLOOKUP($L$10,'Annex 2 EHV charges'!$G:$O,4,FALSE),"")</f>
        <v/>
      </c>
      <c r="P10" s="95" t="str">
        <f>IFERROR(VLOOKUP($L$10,'Annex 2 EHV charges'!$G:$O,5,FALSE),"")</f>
        <v/>
      </c>
      <c r="Q10" s="105" t="str">
        <f>IFERROR(VLOOKUP($L$10,'Annex 2 EHV charges'!$G:$O,6,FALSE),"")</f>
        <v/>
      </c>
      <c r="R10" s="105" t="str">
        <f>IFERROR(VLOOKUP($L$10,'Annex 2 EHV charges'!$G:$O,7,FALSE),"")</f>
        <v/>
      </c>
      <c r="S10" s="105" t="str">
        <f>IFERROR(VLOOKUP($L$10,'Annex 2 EHV charges'!$G:$O,8,FALSE),"")</f>
        <v/>
      </c>
      <c r="T10" s="105" t="str">
        <f>IFERROR(VLOOKUP($L$10,'Annex 2 EHV charges'!$G:$O,9,FALSE),"")</f>
        <v/>
      </c>
      <c r="AB10" s="16" t="s">
        <v>145</v>
      </c>
      <c r="AC10" s="139" t="s">
        <v>165</v>
      </c>
      <c r="AD10" s="140" t="s">
        <v>167</v>
      </c>
      <c r="AE10" s="135" t="s">
        <v>159</v>
      </c>
      <c r="AF10" s="136" t="s">
        <v>171</v>
      </c>
      <c r="AG10" s="136" t="s">
        <v>171</v>
      </c>
      <c r="AH10" s="136" t="s">
        <v>171</v>
      </c>
      <c r="AI10" s="136" t="s">
        <v>171</v>
      </c>
    </row>
    <row r="11" spans="1:154" ht="7.5" customHeight="1" x14ac:dyDescent="0.2">
      <c r="AB11" s="16" t="s">
        <v>146</v>
      </c>
      <c r="AC11" s="133" t="s">
        <v>164</v>
      </c>
      <c r="AD11" s="134" t="s">
        <v>166</v>
      </c>
      <c r="AE11" s="135" t="s">
        <v>159</v>
      </c>
      <c r="AF11" s="141" t="s">
        <v>168</v>
      </c>
      <c r="AG11" s="136" t="s">
        <v>171</v>
      </c>
      <c r="AH11" s="136" t="s">
        <v>171</v>
      </c>
      <c r="AI11" s="136" t="s">
        <v>171</v>
      </c>
    </row>
    <row r="12" spans="1:154" ht="88.5" customHeight="1" x14ac:dyDescent="0.2">
      <c r="B12" s="106" t="s">
        <v>70</v>
      </c>
      <c r="C12" s="103" t="str">
        <f>C9</f>
        <v>Red/black unit charge
p/kWh</v>
      </c>
      <c r="D12" s="103" t="str">
        <f>D9</f>
        <v>Amber/yellow unit charge
p/kWh</v>
      </c>
      <c r="E12" s="103" t="str">
        <f>E9</f>
        <v>Green unit charge
p/kWh</v>
      </c>
      <c r="F12" s="103" t="s">
        <v>71</v>
      </c>
      <c r="G12" s="103" t="s">
        <v>68</v>
      </c>
      <c r="H12" s="103" t="s">
        <v>129</v>
      </c>
      <c r="I12" s="103" t="s">
        <v>69</v>
      </c>
      <c r="L12" s="106" t="s">
        <v>70</v>
      </c>
      <c r="M12" s="103" t="s">
        <v>90</v>
      </c>
      <c r="N12" s="103" t="s">
        <v>71</v>
      </c>
      <c r="O12" s="103" t="s">
        <v>86</v>
      </c>
      <c r="P12" s="103" t="s">
        <v>129</v>
      </c>
      <c r="Q12" s="104" t="s">
        <v>88</v>
      </c>
      <c r="R12" s="104" t="s">
        <v>71</v>
      </c>
      <c r="S12" s="104" t="s">
        <v>87</v>
      </c>
      <c r="T12" s="104" t="s">
        <v>129</v>
      </c>
      <c r="AB12" s="16" t="s">
        <v>147</v>
      </c>
      <c r="AC12" s="133" t="s">
        <v>164</v>
      </c>
      <c r="AD12" s="134" t="s">
        <v>166</v>
      </c>
      <c r="AE12" s="135" t="s">
        <v>159</v>
      </c>
      <c r="AF12" s="141" t="s">
        <v>168</v>
      </c>
      <c r="AG12" s="136" t="s">
        <v>171</v>
      </c>
      <c r="AH12" s="136" t="s">
        <v>171</v>
      </c>
      <c r="AI12" s="136" t="s">
        <v>171</v>
      </c>
    </row>
    <row r="13" spans="1:154" ht="30" customHeight="1" x14ac:dyDescent="0.2">
      <c r="B13" s="107" t="s">
        <v>72</v>
      </c>
      <c r="C13" s="112"/>
      <c r="D13" s="112"/>
      <c r="E13" s="112"/>
      <c r="F13" s="112"/>
      <c r="G13" s="112"/>
      <c r="H13" s="112"/>
      <c r="I13" s="112"/>
      <c r="L13" s="107" t="s">
        <v>72</v>
      </c>
      <c r="M13" s="96"/>
      <c r="N13" s="96"/>
      <c r="O13" s="96"/>
      <c r="P13" s="96"/>
      <c r="Q13" s="97"/>
      <c r="R13" s="97">
        <f>N13</f>
        <v>0</v>
      </c>
      <c r="S13" s="97"/>
      <c r="T13" s="97"/>
      <c r="AB13" s="16" t="s">
        <v>148</v>
      </c>
      <c r="AC13" s="133" t="s">
        <v>164</v>
      </c>
      <c r="AD13" s="134" t="s">
        <v>166</v>
      </c>
      <c r="AE13" s="135" t="s">
        <v>159</v>
      </c>
      <c r="AF13" s="141" t="s">
        <v>168</v>
      </c>
      <c r="AG13" s="136" t="s">
        <v>171</v>
      </c>
      <c r="AH13" s="136" t="s">
        <v>171</v>
      </c>
      <c r="AI13" s="138" t="s">
        <v>32</v>
      </c>
    </row>
    <row r="14" spans="1:154" ht="30" customHeight="1" x14ac:dyDescent="0.2">
      <c r="B14" s="108" t="s">
        <v>74</v>
      </c>
      <c r="C14" s="94">
        <f t="shared" ref="C14:I14" si="0">C13</f>
        <v>0</v>
      </c>
      <c r="D14" s="94">
        <f t="shared" si="0"/>
        <v>0</v>
      </c>
      <c r="E14" s="94">
        <f t="shared" si="0"/>
        <v>0</v>
      </c>
      <c r="F14" s="94">
        <f t="shared" si="0"/>
        <v>0</v>
      </c>
      <c r="G14" s="94">
        <f t="shared" si="0"/>
        <v>0</v>
      </c>
      <c r="H14" s="94">
        <f t="shared" si="0"/>
        <v>0</v>
      </c>
      <c r="I14" s="94">
        <f t="shared" si="0"/>
        <v>0</v>
      </c>
      <c r="L14" s="108" t="s">
        <v>74</v>
      </c>
      <c r="M14" s="94">
        <f>M13</f>
        <v>0</v>
      </c>
      <c r="N14" s="94">
        <f t="shared" ref="N14:T14" si="1">N13</f>
        <v>0</v>
      </c>
      <c r="O14" s="94">
        <f t="shared" si="1"/>
        <v>0</v>
      </c>
      <c r="P14" s="94">
        <f t="shared" si="1"/>
        <v>0</v>
      </c>
      <c r="Q14" s="98">
        <f t="shared" si="1"/>
        <v>0</v>
      </c>
      <c r="R14" s="98">
        <f t="shared" si="1"/>
        <v>0</v>
      </c>
      <c r="S14" s="98">
        <f t="shared" si="1"/>
        <v>0</v>
      </c>
      <c r="T14" s="98">
        <f t="shared" si="1"/>
        <v>0</v>
      </c>
      <c r="AB14" s="16" t="s">
        <v>149</v>
      </c>
      <c r="AC14" s="133" t="s">
        <v>164</v>
      </c>
      <c r="AD14" s="134" t="s">
        <v>166</v>
      </c>
      <c r="AE14" s="135" t="s">
        <v>159</v>
      </c>
      <c r="AF14" s="141" t="s">
        <v>168</v>
      </c>
      <c r="AG14" s="136" t="s">
        <v>171</v>
      </c>
      <c r="AH14" s="136" t="s">
        <v>171</v>
      </c>
      <c r="AI14" s="136" t="s">
        <v>171</v>
      </c>
    </row>
    <row r="15" spans="1:154" ht="7.5" customHeight="1" x14ac:dyDescent="0.2">
      <c r="AB15" s="16" t="s">
        <v>150</v>
      </c>
      <c r="AC15" s="133" t="s">
        <v>164</v>
      </c>
      <c r="AD15" s="134" t="s">
        <v>166</v>
      </c>
      <c r="AE15" s="135" t="s">
        <v>159</v>
      </c>
      <c r="AF15" s="141" t="s">
        <v>168</v>
      </c>
      <c r="AG15" s="136" t="s">
        <v>171</v>
      </c>
      <c r="AH15" s="136" t="s">
        <v>171</v>
      </c>
      <c r="AI15" s="138" t="s">
        <v>32</v>
      </c>
    </row>
    <row r="16" spans="1:154" ht="63.75" customHeight="1" x14ac:dyDescent="0.2">
      <c r="B16" s="106" t="s">
        <v>73</v>
      </c>
      <c r="C16" s="103" t="s">
        <v>83</v>
      </c>
      <c r="D16" s="103" t="s">
        <v>84</v>
      </c>
      <c r="E16" s="103" t="s">
        <v>85</v>
      </c>
      <c r="F16" s="103" t="s">
        <v>79</v>
      </c>
      <c r="G16" s="103" t="s">
        <v>78</v>
      </c>
      <c r="H16" s="103" t="s">
        <v>130</v>
      </c>
      <c r="I16" s="103" t="s">
        <v>77</v>
      </c>
      <c r="L16" s="106" t="s">
        <v>73</v>
      </c>
      <c r="M16" s="103" t="s">
        <v>91</v>
      </c>
      <c r="N16" s="103" t="s">
        <v>89</v>
      </c>
      <c r="O16" s="103" t="s">
        <v>94</v>
      </c>
      <c r="P16" s="103" t="s">
        <v>131</v>
      </c>
      <c r="Q16" s="104" t="s">
        <v>92</v>
      </c>
      <c r="R16" s="104" t="s">
        <v>93</v>
      </c>
      <c r="S16" s="104" t="s">
        <v>95</v>
      </c>
      <c r="T16" s="104" t="s">
        <v>132</v>
      </c>
      <c r="AB16" s="16" t="s">
        <v>151</v>
      </c>
      <c r="AC16" s="133" t="s">
        <v>164</v>
      </c>
      <c r="AD16" s="134" t="s">
        <v>166</v>
      </c>
      <c r="AE16" s="135" t="s">
        <v>159</v>
      </c>
      <c r="AF16" s="141" t="s">
        <v>168</v>
      </c>
      <c r="AG16" s="136" t="s">
        <v>171</v>
      </c>
      <c r="AH16" s="136" t="s">
        <v>171</v>
      </c>
      <c r="AI16" s="136" t="s">
        <v>171</v>
      </c>
    </row>
    <row r="17" spans="2:35" ht="30" customHeight="1" x14ac:dyDescent="0.2">
      <c r="B17" s="107" t="s">
        <v>75</v>
      </c>
      <c r="C17" s="113" t="str">
        <f>IFERROR(C10*C13/100,"")</f>
        <v/>
      </c>
      <c r="D17" s="113" t="str">
        <f t="shared" ref="D17:I17" si="2">IFERROR(D10*D13/100,"")</f>
        <v/>
      </c>
      <c r="E17" s="113" t="str">
        <f t="shared" si="2"/>
        <v/>
      </c>
      <c r="F17" s="113" t="str">
        <f t="shared" si="2"/>
        <v/>
      </c>
      <c r="G17" s="113" t="str">
        <f>IFERROR(G10*G13*F13/100,"")</f>
        <v/>
      </c>
      <c r="H17" s="113" t="str">
        <f>IFERROR(H10*H13*F13/100,"")</f>
        <v/>
      </c>
      <c r="I17" s="113" t="str">
        <f t="shared" si="2"/>
        <v/>
      </c>
      <c r="L17" s="109" t="s">
        <v>75</v>
      </c>
      <c r="M17" s="113" t="str">
        <f>IFERROR(M10*M13/100,"")</f>
        <v/>
      </c>
      <c r="N17" s="113" t="str">
        <f>IFERROR(N10*N13/100,"")</f>
        <v/>
      </c>
      <c r="O17" s="113" t="str">
        <f>IFERROR(O10*O13*N13/100,"")</f>
        <v/>
      </c>
      <c r="P17" s="113" t="str">
        <f>IFERROR(P10*P13*N13/100,"")</f>
        <v/>
      </c>
      <c r="Q17" s="114" t="str">
        <f>IFERROR(Q10*Q13/100,"")</f>
        <v/>
      </c>
      <c r="R17" s="114" t="str">
        <f>IFERROR(R10*R13/100,"")</f>
        <v/>
      </c>
      <c r="S17" s="114" t="str">
        <f>IFERROR(S10*S13*R13/100,"")</f>
        <v/>
      </c>
      <c r="T17" s="114" t="str">
        <f>IFERROR(T10*T13*R13/100,"")</f>
        <v/>
      </c>
      <c r="AB17" s="16" t="s">
        <v>152</v>
      </c>
      <c r="AC17" s="133" t="s">
        <v>164</v>
      </c>
      <c r="AD17" s="134" t="s">
        <v>166</v>
      </c>
      <c r="AE17" s="135" t="s">
        <v>159</v>
      </c>
      <c r="AF17" s="141" t="s">
        <v>168</v>
      </c>
      <c r="AG17" s="136" t="s">
        <v>171</v>
      </c>
      <c r="AH17" s="136" t="s">
        <v>171</v>
      </c>
      <c r="AI17" s="138" t="s">
        <v>32</v>
      </c>
    </row>
    <row r="18" spans="2:35" ht="30" customHeight="1" x14ac:dyDescent="0.2">
      <c r="B18" s="108" t="s">
        <v>76</v>
      </c>
      <c r="C18" s="115" t="str">
        <f>IFERROR(C10*C14/100,"")</f>
        <v/>
      </c>
      <c r="D18" s="115" t="str">
        <f t="shared" ref="D18:I18" si="3">IFERROR(D10*D14/100,"")</f>
        <v/>
      </c>
      <c r="E18" s="115" t="str">
        <f t="shared" si="3"/>
        <v/>
      </c>
      <c r="F18" s="115" t="str">
        <f t="shared" si="3"/>
        <v/>
      </c>
      <c r="G18" s="115" t="str">
        <f>IFERROR(G10*G14*F14/100,"")</f>
        <v/>
      </c>
      <c r="H18" s="115" t="str">
        <f>IFERROR(H10*H14*F14/100,"")</f>
        <v/>
      </c>
      <c r="I18" s="115" t="str">
        <f t="shared" si="3"/>
        <v/>
      </c>
      <c r="L18" s="110" t="s">
        <v>76</v>
      </c>
      <c r="M18" s="115" t="str">
        <f>IFERROR(M10*M14/100,"")</f>
        <v/>
      </c>
      <c r="N18" s="115" t="str">
        <f>IFERROR(N10*N14/100,"")</f>
        <v/>
      </c>
      <c r="O18" s="115" t="str">
        <f>IFERROR(O10*O14*N14/100,"")</f>
        <v/>
      </c>
      <c r="P18" s="115" t="str">
        <f>IFERROR(P10*P14*N14/100,"")</f>
        <v/>
      </c>
      <c r="Q18" s="116" t="str">
        <f>IFERROR(Q10*Q14/100,"")</f>
        <v/>
      </c>
      <c r="R18" s="116" t="str">
        <f>IFERROR(R10*R14/100,"")</f>
        <v/>
      </c>
      <c r="S18" s="116" t="str">
        <f>IFERROR(S10*S14*R14/100,"")</f>
        <v/>
      </c>
      <c r="T18" s="116" t="str">
        <f>IFERROR(T10*T14*R14/100,"")</f>
        <v/>
      </c>
      <c r="AB18" s="16" t="s">
        <v>153</v>
      </c>
      <c r="AC18" s="133" t="s">
        <v>164</v>
      </c>
      <c r="AD18" s="134" t="s">
        <v>166</v>
      </c>
      <c r="AE18" s="135" t="s">
        <v>159</v>
      </c>
      <c r="AF18" s="141" t="s">
        <v>168</v>
      </c>
      <c r="AG18" s="136" t="s">
        <v>171</v>
      </c>
      <c r="AH18" s="136" t="s">
        <v>171</v>
      </c>
      <c r="AI18" s="136" t="s">
        <v>171</v>
      </c>
    </row>
    <row r="19" spans="2:35" ht="7.5" customHeight="1" x14ac:dyDescent="0.2"/>
    <row r="20" spans="2:35" ht="39.75" customHeight="1" x14ac:dyDescent="0.2">
      <c r="C20" s="111" t="s">
        <v>80</v>
      </c>
      <c r="M20" s="103" t="s">
        <v>96</v>
      </c>
      <c r="N20" s="104" t="s">
        <v>97</v>
      </c>
    </row>
    <row r="21" spans="2:35" ht="30" customHeight="1" x14ac:dyDescent="0.2">
      <c r="B21" s="107" t="s">
        <v>75</v>
      </c>
      <c r="C21" s="113">
        <f>SUM(C17:I17)</f>
        <v>0</v>
      </c>
      <c r="L21" s="107" t="s">
        <v>75</v>
      </c>
      <c r="M21" s="113">
        <f>SUM(M17:P17)</f>
        <v>0</v>
      </c>
      <c r="N21" s="114">
        <f>SUM(Q17:T17)</f>
        <v>0</v>
      </c>
    </row>
    <row r="22" spans="2:35" ht="30" customHeight="1" x14ac:dyDescent="0.2">
      <c r="B22" s="108" t="s">
        <v>76</v>
      </c>
      <c r="C22" s="115">
        <f>SUM(C18:I18)</f>
        <v>0</v>
      </c>
      <c r="L22" s="108" t="s">
        <v>76</v>
      </c>
      <c r="M22" s="115">
        <f>SUM(M18:P18)</f>
        <v>0</v>
      </c>
      <c r="N22" s="116">
        <f>SUM(Q18:T18)</f>
        <v>0</v>
      </c>
    </row>
    <row r="24" spans="2:35" ht="30.75" customHeight="1" x14ac:dyDescent="0.2">
      <c r="B24" s="311" t="s">
        <v>98</v>
      </c>
      <c r="C24" s="312"/>
      <c r="D24" s="313"/>
      <c r="L24" s="311" t="s">
        <v>99</v>
      </c>
      <c r="M24" s="312"/>
      <c r="N24" s="313"/>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$T$10=0</formula>
    </cfRule>
  </conditionalFormatting>
  <hyperlinks>
    <hyperlink ref="B1" location="Overview!A1" display="Back to Overview" xr:uid="{00000000-0004-0000-0D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D00-000000000000}">
          <x14:formula1>
            <xm:f>'Annex 1 LV, HV and UMS charges'!$A$12:$A$43</xm:f>
          </x14:formula1>
          <xm:sqref>B10</xm:sqref>
        </x14:dataValidation>
        <x14:dataValidation type="list" errorStyle="information" allowBlank="1" showInputMessage="1" showErrorMessage="1" promptTitle="Choose site" prompt="Select the EHV site that you would like to calculate charges." xr:uid="{00000000-0002-0000-0D00-000001000000}">
          <x14:formula1>
            <xm:f>'Annex 2 EHV charges'!$G$10:$G$108</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19</vt:i4>
      </vt:variant>
    </vt:vector>
  </HeadingPairs>
  <TitlesOfParts>
    <vt:vector size="33" baseType="lpstr">
      <vt:lpstr>Overview</vt:lpstr>
      <vt:lpstr>Annex 1 LV, HV and UMS charges</vt:lpstr>
      <vt:lpstr>Annex 2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Charge Calculator</vt:lpstr>
      <vt:lpstr>'Annex 1 LV, HV and UMS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EHV charges'!Print_Titles</vt:lpstr>
      <vt:lpstr>'Annex 2a Import'!Print_Titles</vt:lpstr>
      <vt:lpstr>'Annex 2b Export'!Print_Titles</vt:lpstr>
      <vt:lpstr>'Annex 4 LDNO charges'!Print_Titles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James, Mark</cp:lastModifiedBy>
  <cp:lastPrinted>2021-10-19T14:07:13Z</cp:lastPrinted>
  <dcterms:created xsi:type="dcterms:W3CDTF">2009-11-12T11:38:00Z</dcterms:created>
  <dcterms:modified xsi:type="dcterms:W3CDTF">2023-04-12T14:17:56Z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y fmtid="{D5CDD505-2E9C-101B-9397-08002B2CF9AE}" pid="6" name="MSIP_Label_24fe2fa2-8093-4776-8a20-2d25f8c7acf2_Enabled">
    <vt:lpwstr>true</vt:lpwstr>
  </property>
  <property fmtid="{D5CDD505-2E9C-101B-9397-08002B2CF9AE}" pid="7" name="MSIP_Label_24fe2fa2-8093-4776-8a20-2d25f8c7acf2_SetDate">
    <vt:lpwstr>2023-01-04T14:28:40Z</vt:lpwstr>
  </property>
  <property fmtid="{D5CDD505-2E9C-101B-9397-08002B2CF9AE}" pid="8" name="MSIP_Label_24fe2fa2-8093-4776-8a20-2d25f8c7acf2_Method">
    <vt:lpwstr>Standard</vt:lpwstr>
  </property>
  <property fmtid="{D5CDD505-2E9C-101B-9397-08002B2CF9AE}" pid="9" name="MSIP_Label_24fe2fa2-8093-4776-8a20-2d25f8c7acf2_Name">
    <vt:lpwstr>Internal</vt:lpwstr>
  </property>
  <property fmtid="{D5CDD505-2E9C-101B-9397-08002B2CF9AE}" pid="10" name="MSIP_Label_24fe2fa2-8093-4776-8a20-2d25f8c7acf2_SiteId">
    <vt:lpwstr>887a239c-e092-45fe-92c8-d902c3681567</vt:lpwstr>
  </property>
  <property fmtid="{D5CDD505-2E9C-101B-9397-08002B2CF9AE}" pid="11" name="MSIP_Label_24fe2fa2-8093-4776-8a20-2d25f8c7acf2_ActionId">
    <vt:lpwstr>33ad05d1-1de1-4b0e-b018-85327f0997c7</vt:lpwstr>
  </property>
  <property fmtid="{D5CDD505-2E9C-101B-9397-08002B2CF9AE}" pid="12" name="MSIP_Label_24fe2fa2-8093-4776-8a20-2d25f8c7acf2_ContentBits">
    <vt:lpwstr>0</vt:lpwstr>
  </property>
</Properties>
</file>