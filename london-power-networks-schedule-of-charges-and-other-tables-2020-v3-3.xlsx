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0-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charges'!$A$12:$K$45</definedName>
    <definedName name="_xlnm._FilterDatabase" localSheetId="2" hidden="1">'Annex 2 EHV charges'!$A$10:$O$10</definedName>
    <definedName name="_xlnm._FilterDatabase" localSheetId="6" hidden="1">'Annex 4 LDNO charges'!$A$12:$Z$12</definedName>
    <definedName name="_xlnm._FilterDatabase" localSheetId="9" hidden="1">'Nodal prices'!$A$3:$D$302</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charges'!$A$2:$O$57</definedName>
    <definedName name="_xlnm.Print_Area" localSheetId="3">'Annex 2a Import'!$A$2:$H$52</definedName>
    <definedName name="_xlnm.Print_Area" localSheetId="4">'Annex 2b Export'!$A$2:$H$8</definedName>
    <definedName name="_xlnm.Print_Area" localSheetId="5">'Annex 3 Preserved charges'!$A$2:$J$16</definedName>
    <definedName name="_xlnm.Print_Area" localSheetId="6">'Annex 4 LDNO charges'!$A$2:$J$190</definedName>
    <definedName name="_xlnm.Print_Area" localSheetId="7">'Annex 5 LLFs'!$A$2:$H$89</definedName>
    <definedName name="_xlnm.Print_Area" localSheetId="8">'Annex 6 new or amended EHV'!$A$2:$R$24</definedName>
    <definedName name="_xlnm.Print_Area" localSheetId="9">'Nodal prices'!$A$2:$D$26</definedName>
    <definedName name="_xlnm.Print_Titles" localSheetId="1">'Annex 1 LV and HV charges'!$2:$11</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EHV'!$14:$15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charges'!$A$2:$I$21</definedName>
    <definedName name="Z_5032A364_B81A_48DA_88DA_AB3B86B47EE9_.wvu.PrintArea" localSheetId="5" hidden="1">'Annex 3 Preserved charges'!$A$2:$J$14</definedName>
    <definedName name="Z_5032A364_B81A_48DA_88DA_AB3B86B47EE9_.wvu.PrintArea" localSheetId="6" hidden="1">'Annex 4 LDNO charges'!$A$2:$I$190</definedName>
    <definedName name="Z_5032A364_B81A_48DA_88DA_AB3B86B47EE9_.wvu.PrintArea" localSheetId="7" hidden="1">'Annex 5 LLFs'!$A$3:$G$29</definedName>
    <definedName name="Z_5032A364_B81A_48DA_88DA_AB3B86B47EE9_.wvu.PrintArea" localSheetId="8" hidden="1">'Annex 6 new or amended EHV'!$A$1:$P$22</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charges'!$2:$10</definedName>
    <definedName name="Z_5032A364_B81A_48DA_88DA_AB3B86B47EE9_.wvu.PrintTitles" localSheetId="6" hidden="1">'Annex 4 LDNO charges'!$2:$12</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5" i="14" l="1" a="1"/>
  <c r="A5" i="14" s="1"/>
  <c r="A5" i="13" a="1"/>
  <c r="A5" i="13" s="1"/>
  <c r="A6" i="13" s="1" a="1"/>
  <c r="A6" i="13" s="1"/>
  <c r="A7" i="13" s="1" a="1"/>
  <c r="A7" i="13" s="1"/>
  <c r="A6" i="14" l="1" a="1"/>
  <c r="A6" i="14" s="1"/>
  <c r="A8" i="13" a="1"/>
  <c r="A8" i="13" s="1"/>
  <c r="A9" i="13" s="1" a="1"/>
  <c r="A9" i="13" s="1"/>
  <c r="A7" i="14" l="1" a="1"/>
  <c r="A7" i="14" s="1"/>
  <c r="A8" i="14" s="1" a="1"/>
  <c r="A8" i="14" s="1"/>
  <c r="A10" i="13" a="1"/>
  <c r="A10" i="13" s="1"/>
  <c r="A11" i="13" s="1" a="1"/>
  <c r="A11" i="13" s="1"/>
  <c r="A12" i="13" l="1" a="1"/>
  <c r="A12" i="13" s="1"/>
  <c r="A13" i="13" l="1" a="1"/>
  <c r="A13" i="13" s="1"/>
  <c r="A14" i="13" s="1" a="1"/>
  <c r="A14" i="13" s="1"/>
  <c r="A15" i="13" l="1" a="1"/>
  <c r="A15" i="13" s="1"/>
  <c r="A16" i="13" l="1" a="1"/>
  <c r="A16" i="13" s="1"/>
  <c r="A17" i="13" l="1" a="1"/>
  <c r="A17" i="13" s="1"/>
  <c r="A18" i="13" l="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3" i="17" l="1"/>
  <c r="T14" i="15" l="1"/>
  <c r="S14" i="15"/>
  <c r="R14" i="15"/>
  <c r="Q14" i="15"/>
  <c r="P14" i="15"/>
  <c r="O14" i="15"/>
  <c r="N14" i="15"/>
  <c r="M14" i="15"/>
  <c r="I14" i="15"/>
  <c r="H14" i="15"/>
  <c r="G14" i="15"/>
  <c r="F14" i="15"/>
  <c r="E14" i="15"/>
  <c r="D14" i="15"/>
  <c r="C14" i="15"/>
  <c r="R13" i="15"/>
  <c r="T10" i="15"/>
  <c r="T17" i="15" s="1"/>
  <c r="S10" i="15"/>
  <c r="S18" i="15" s="1"/>
  <c r="R10" i="15"/>
  <c r="R18" i="15" s="1"/>
  <c r="Q10" i="15"/>
  <c r="Q18" i="15" s="1"/>
  <c r="P10" i="15"/>
  <c r="P17" i="15" s="1"/>
  <c r="O10" i="15"/>
  <c r="O18" i="15" s="1"/>
  <c r="N10" i="15"/>
  <c r="N17" i="15" s="1"/>
  <c r="M10" i="15"/>
  <c r="M18" i="15" s="1"/>
  <c r="T9" i="15"/>
  <c r="S9" i="15"/>
  <c r="R9" i="15"/>
  <c r="Q9" i="15"/>
  <c r="P9" i="15"/>
  <c r="O9" i="15"/>
  <c r="N9" i="15"/>
  <c r="M9" i="15"/>
  <c r="I9" i="15"/>
  <c r="H9" i="15"/>
  <c r="G9" i="15"/>
  <c r="F9" i="15"/>
  <c r="E9" i="15"/>
  <c r="D9" i="15"/>
  <c r="C9" i="15"/>
  <c r="B2" i="15"/>
  <c r="A2" i="7"/>
  <c r="A14" i="8"/>
  <c r="A4" i="8"/>
  <c r="A2" i="5"/>
  <c r="A2" i="4"/>
  <c r="H4" i="14"/>
  <c r="G4" i="14"/>
  <c r="F4" i="14"/>
  <c r="E4" i="14"/>
  <c r="A2" i="14"/>
  <c r="H4" i="13"/>
  <c r="G4" i="13"/>
  <c r="F4" i="13"/>
  <c r="E4" i="13"/>
  <c r="A2" i="13"/>
  <c r="A2" i="12"/>
  <c r="A2" i="2"/>
  <c r="B13" i="1"/>
  <c r="B11" i="1"/>
  <c r="B9" i="1"/>
  <c r="G5" i="13" l="1"/>
  <c r="B5" i="13"/>
  <c r="C5" i="13"/>
  <c r="E5" i="13"/>
  <c r="D5" i="13"/>
  <c r="H5" i="13"/>
  <c r="F5" i="13"/>
  <c r="B6" i="13"/>
  <c r="E6" i="13"/>
  <c r="R17" i="15"/>
  <c r="N18" i="15"/>
  <c r="P18" i="15"/>
  <c r="Q17" i="15"/>
  <c r="D6" i="13"/>
  <c r="C6" i="13"/>
  <c r="G5" i="14"/>
  <c r="C5" i="14"/>
  <c r="H5" i="14"/>
  <c r="B5" i="14"/>
  <c r="F5" i="14"/>
  <c r="E5" i="14"/>
  <c r="D5" i="14"/>
  <c r="M17" i="15"/>
  <c r="T18" i="15"/>
  <c r="N22" i="15" s="1"/>
  <c r="O17" i="15"/>
  <c r="S17" i="15"/>
  <c r="H6" i="13"/>
  <c r="I10" i="15"/>
  <c r="E10" i="15"/>
  <c r="H10" i="15"/>
  <c r="D10" i="15"/>
  <c r="G10" i="15"/>
  <c r="C10" i="15"/>
  <c r="F10" i="15"/>
  <c r="F6" i="13"/>
  <c r="G6" i="13"/>
  <c r="N21" i="15" l="1"/>
  <c r="M22" i="15"/>
  <c r="G8" i="13"/>
  <c r="F8" i="13"/>
  <c r="H8" i="13"/>
  <c r="E8" i="13"/>
  <c r="C9" i="13"/>
  <c r="H7" i="13"/>
  <c r="F7" i="13"/>
  <c r="E7" i="13"/>
  <c r="C7" i="13"/>
  <c r="G7" i="13"/>
  <c r="B7" i="13"/>
  <c r="D7" i="13"/>
  <c r="E7" i="14"/>
  <c r="F7" i="14"/>
  <c r="D7" i="14"/>
  <c r="B7" i="14"/>
  <c r="H7" i="14"/>
  <c r="G7" i="14"/>
  <c r="C7" i="14"/>
  <c r="F6" i="14"/>
  <c r="B6" i="14"/>
  <c r="D6" i="14"/>
  <c r="H6" i="14"/>
  <c r="C6" i="14"/>
  <c r="G6" i="14"/>
  <c r="E6" i="14"/>
  <c r="M21" i="15"/>
  <c r="D8" i="13"/>
  <c r="C8" i="13"/>
  <c r="B8" i="13"/>
  <c r="D17" i="15"/>
  <c r="D18" i="15"/>
  <c r="F17" i="15"/>
  <c r="F18" i="15"/>
  <c r="H17" i="15"/>
  <c r="H18" i="15"/>
  <c r="C18" i="15"/>
  <c r="C17" i="15"/>
  <c r="E17" i="15"/>
  <c r="E18" i="15"/>
  <c r="G18" i="15"/>
  <c r="G17" i="15"/>
  <c r="I17" i="15"/>
  <c r="I18" i="15"/>
  <c r="B9" i="13" l="1"/>
  <c r="D9" i="13"/>
  <c r="G9" i="13"/>
  <c r="H9" i="13"/>
  <c r="E9" i="13"/>
  <c r="F9" i="13"/>
  <c r="H8" i="14"/>
  <c r="D8" i="14"/>
  <c r="G8" i="14"/>
  <c r="B8" i="14"/>
  <c r="F8" i="14"/>
  <c r="C8" i="14"/>
  <c r="E8" i="14"/>
  <c r="C21" i="15"/>
  <c r="C22" i="15"/>
  <c r="C11" i="13" l="1"/>
  <c r="E11" i="13"/>
  <c r="H11" i="13"/>
  <c r="B11" i="13"/>
  <c r="F11" i="13"/>
  <c r="D11" i="13"/>
  <c r="G11" i="13"/>
  <c r="G10" i="13"/>
  <c r="B10" i="13"/>
  <c r="E10" i="13"/>
  <c r="C10" i="13"/>
  <c r="F10" i="13"/>
  <c r="H10" i="13"/>
  <c r="D10" i="13"/>
  <c r="H12" i="13" l="1"/>
  <c r="D12" i="13"/>
  <c r="G12" i="13"/>
  <c r="E12" i="13"/>
  <c r="B12" i="13"/>
  <c r="F12" i="13"/>
  <c r="C12" i="13"/>
  <c r="D13" i="13"/>
  <c r="C13" i="13"/>
  <c r="B13" i="13"/>
  <c r="F13" i="13"/>
  <c r="E13" i="13"/>
  <c r="H13" i="13"/>
  <c r="G13" i="13"/>
  <c r="C14" i="13" l="1"/>
  <c r="B14" i="13"/>
  <c r="D14" i="13"/>
  <c r="F14" i="13"/>
  <c r="H14" i="13"/>
  <c r="E14" i="13"/>
  <c r="G14" i="13"/>
  <c r="B15" i="13" l="1"/>
  <c r="D15" i="13"/>
  <c r="C15" i="13"/>
  <c r="H15" i="13"/>
  <c r="G15" i="13"/>
  <c r="F15" i="13"/>
  <c r="E15" i="13"/>
  <c r="D16" i="13" l="1"/>
  <c r="C16" i="13"/>
  <c r="B16" i="13"/>
  <c r="F16" i="13"/>
  <c r="G16" i="13"/>
  <c r="E16" i="13"/>
  <c r="H16" i="13"/>
  <c r="D17" i="13" l="1"/>
  <c r="C17" i="13"/>
  <c r="B17" i="13"/>
  <c r="F17" i="13"/>
  <c r="H17" i="13"/>
  <c r="G17" i="13"/>
  <c r="E17" i="13"/>
  <c r="C18" i="13" l="1"/>
  <c r="B18" i="13"/>
  <c r="D18" i="13"/>
  <c r="F18" i="13"/>
  <c r="E18" i="13"/>
  <c r="H18" i="13"/>
  <c r="G18" i="13"/>
  <c r="B19" i="13" l="1"/>
  <c r="E19" i="13"/>
  <c r="D19" i="13"/>
  <c r="C19" i="13"/>
  <c r="G19" i="13"/>
  <c r="F19" i="13"/>
  <c r="H19" i="13"/>
  <c r="D20" i="13" l="1"/>
  <c r="C20" i="13"/>
  <c r="B20" i="13"/>
  <c r="E20" i="13"/>
  <c r="F20" i="13"/>
  <c r="H20" i="13"/>
  <c r="G20" i="13"/>
  <c r="C21" i="13" l="1"/>
  <c r="B21" i="13"/>
  <c r="D21" i="13"/>
  <c r="H21" i="13"/>
  <c r="F21" i="13"/>
  <c r="E21" i="13"/>
  <c r="G21" i="13"/>
  <c r="B22" i="13" l="1"/>
  <c r="D22" i="13"/>
  <c r="C22" i="13"/>
  <c r="F22" i="13"/>
  <c r="E22" i="13"/>
  <c r="G22" i="13"/>
  <c r="H22" i="13"/>
  <c r="D23" i="13" l="1"/>
  <c r="C23" i="13"/>
  <c r="B23" i="13"/>
  <c r="F23" i="13"/>
  <c r="E23" i="13"/>
  <c r="G23" i="13"/>
  <c r="H23" i="13"/>
  <c r="D24" i="13" l="1"/>
  <c r="C24" i="13"/>
  <c r="B24" i="13"/>
  <c r="F24" i="13"/>
  <c r="E24" i="13"/>
  <c r="G24" i="13"/>
  <c r="H24" i="13"/>
  <c r="C25" i="13" l="1"/>
  <c r="B25" i="13"/>
  <c r="D25" i="13"/>
  <c r="H25" i="13"/>
  <c r="F25" i="13"/>
  <c r="E25" i="13"/>
  <c r="G25" i="13"/>
  <c r="B26" i="13" l="1"/>
  <c r="D26" i="13"/>
  <c r="C26" i="13"/>
  <c r="F26" i="13"/>
  <c r="E26" i="13"/>
  <c r="H26" i="13"/>
  <c r="G26" i="13"/>
  <c r="D27" i="13" l="1"/>
  <c r="C27" i="13"/>
  <c r="B27" i="13"/>
  <c r="E27" i="13"/>
  <c r="H27" i="13"/>
  <c r="G27" i="13"/>
  <c r="F27" i="13"/>
  <c r="D28" i="13" l="1"/>
  <c r="C28" i="13"/>
  <c r="B28" i="13"/>
  <c r="E28" i="13"/>
  <c r="F28" i="13"/>
  <c r="G28" i="13"/>
  <c r="H28" i="13"/>
  <c r="C29" i="13" l="1"/>
  <c r="B29" i="13"/>
  <c r="D29" i="13"/>
  <c r="H29" i="13"/>
  <c r="G29" i="13"/>
  <c r="F29" i="13"/>
  <c r="E29" i="13"/>
  <c r="B30" i="13" l="1"/>
  <c r="C30" i="13"/>
  <c r="D30" i="13"/>
  <c r="F30" i="13"/>
  <c r="E30" i="13"/>
  <c r="H30" i="13"/>
  <c r="G30" i="13"/>
  <c r="D31" i="13" l="1"/>
  <c r="C31" i="13"/>
  <c r="B31" i="13"/>
  <c r="E31" i="13"/>
  <c r="G31" i="13"/>
  <c r="H31" i="13"/>
  <c r="F31" i="13"/>
  <c r="D32" i="13" l="1"/>
  <c r="C32" i="13"/>
  <c r="B32" i="13"/>
  <c r="F32" i="13"/>
  <c r="E32" i="13"/>
  <c r="H32" i="13"/>
  <c r="G32" i="13"/>
  <c r="C33" i="13" l="1"/>
  <c r="B33" i="13"/>
  <c r="D33" i="13"/>
  <c r="H33" i="13"/>
  <c r="F33" i="13"/>
  <c r="G33" i="13"/>
  <c r="E33" i="13"/>
  <c r="B34" i="13" l="1"/>
  <c r="D34" i="13"/>
  <c r="C34" i="13"/>
  <c r="G34" i="13"/>
  <c r="F34" i="13"/>
  <c r="H34" i="13"/>
  <c r="E34" i="13"/>
  <c r="E35" i="13" l="1"/>
  <c r="D35" i="13"/>
  <c r="B35" i="13"/>
  <c r="C35" i="13"/>
  <c r="H35" i="13"/>
  <c r="F35" i="13"/>
  <c r="G35" i="13"/>
  <c r="C36" i="13" l="1"/>
  <c r="B36" i="13"/>
  <c r="D36" i="13"/>
  <c r="E36" i="13"/>
  <c r="H36" i="13"/>
  <c r="G36" i="13"/>
  <c r="F36" i="13"/>
  <c r="B37" i="13" l="1"/>
  <c r="D37" i="13"/>
  <c r="C37" i="13"/>
  <c r="H37" i="13"/>
  <c r="E37" i="13"/>
  <c r="F37" i="13"/>
  <c r="G37" i="13"/>
  <c r="D38" i="13" l="1"/>
  <c r="B38" i="13"/>
  <c r="C38" i="13"/>
  <c r="G38" i="13"/>
  <c r="F38" i="13"/>
  <c r="E38" i="13"/>
  <c r="H38" i="13"/>
  <c r="D39" i="13" l="1"/>
  <c r="C39" i="13"/>
  <c r="B39" i="13"/>
  <c r="E39" i="13"/>
  <c r="H39" i="13"/>
  <c r="F39" i="13"/>
  <c r="G39" i="13"/>
  <c r="C40" i="13" l="1"/>
  <c r="B40" i="13"/>
  <c r="D40" i="13"/>
  <c r="E40" i="13"/>
  <c r="F40" i="13"/>
  <c r="G40" i="13"/>
  <c r="H40" i="13"/>
  <c r="B41" i="13" l="1"/>
  <c r="C41" i="13"/>
  <c r="D41" i="13"/>
  <c r="E41" i="13"/>
  <c r="H41" i="13"/>
  <c r="F41" i="13"/>
  <c r="G41" i="13"/>
  <c r="D42" i="13" l="1"/>
  <c r="C42" i="13"/>
  <c r="B42" i="13"/>
  <c r="G42" i="13"/>
  <c r="F42" i="13"/>
  <c r="H42" i="13"/>
  <c r="E42" i="13"/>
  <c r="D43" i="13" l="1"/>
  <c r="C43" i="13"/>
  <c r="B43" i="13"/>
  <c r="H43" i="13"/>
  <c r="E43" i="13"/>
  <c r="G43" i="13"/>
  <c r="F43" i="13"/>
  <c r="C44" i="13" l="1"/>
  <c r="B44" i="13"/>
  <c r="D44" i="13"/>
  <c r="E44" i="13"/>
  <c r="G44" i="13"/>
  <c r="F44" i="13"/>
  <c r="H44" i="13"/>
  <c r="B45" i="13" l="1"/>
  <c r="D45" i="13"/>
  <c r="C45" i="13"/>
  <c r="E45" i="13"/>
  <c r="H45" i="13"/>
  <c r="G45" i="13"/>
  <c r="F45" i="13"/>
  <c r="D46" i="13" l="1"/>
  <c r="C46" i="13"/>
  <c r="B46" i="13"/>
  <c r="G46" i="13"/>
  <c r="F46" i="13"/>
  <c r="E46" i="13"/>
  <c r="H46" i="13"/>
  <c r="D47" i="13" l="1"/>
  <c r="C47" i="13"/>
  <c r="B47" i="13"/>
  <c r="H47" i="13"/>
  <c r="E47" i="13"/>
  <c r="G47" i="13"/>
  <c r="F47" i="13"/>
  <c r="D48" i="13" l="1"/>
  <c r="C48" i="13"/>
  <c r="B48" i="13"/>
  <c r="E48" i="13"/>
  <c r="G48" i="13"/>
  <c r="H48" i="13"/>
  <c r="F48" i="13"/>
  <c r="C49" i="13" l="1"/>
  <c r="B49" i="13"/>
  <c r="D49" i="13"/>
  <c r="H49" i="13"/>
  <c r="E49" i="13"/>
  <c r="F49" i="13"/>
  <c r="G49" i="13"/>
  <c r="B50" i="13" l="1"/>
  <c r="C50" i="13"/>
  <c r="D50" i="13"/>
  <c r="G50" i="13"/>
  <c r="F50" i="13"/>
  <c r="H50" i="13"/>
  <c r="E50" i="13"/>
  <c r="E51" i="13" l="1"/>
  <c r="D51" i="13"/>
  <c r="B51" i="13"/>
  <c r="C51" i="13"/>
  <c r="H51" i="13"/>
  <c r="F51" i="13"/>
  <c r="G51" i="13"/>
  <c r="C52" i="13" l="1"/>
  <c r="B52" i="13"/>
  <c r="D52" i="13"/>
  <c r="E52" i="13"/>
  <c r="H52" i="13"/>
  <c r="G52" i="13"/>
  <c r="F52" i="13"/>
</calcChain>
</file>

<file path=xl/sharedStrings.xml><?xml version="1.0" encoding="utf-8"?>
<sst xmlns="http://schemas.openxmlformats.org/spreadsheetml/2006/main" count="3182" uniqueCount="1388">
  <si>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</si>
  <si>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</si>
  <si>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</si>
  <si>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</si>
  <si>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</si>
  <si>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</si>
  <si>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</si>
  <si>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</si>
  <si>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</si>
  <si>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</si>
  <si>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</si>
  <si>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</si>
  <si>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</si>
  <si>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</si>
  <si>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</si>
  <si>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</si>
  <si>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</si>
  <si>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</si>
  <si>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</si>
  <si>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</si>
  <si>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</si>
  <si>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</si>
  <si>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</si>
  <si>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</si>
  <si>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</si>
  <si>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</si>
  <si>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</si>
  <si>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</si>
  <si>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</si>
  <si>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</si>
  <si>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</si>
  <si>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</si>
  <si>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</si>
  <si>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</si>
  <si>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</si>
  <si>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</si>
  <si>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</si>
  <si>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</si>
  <si>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</si>
  <si>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</si>
  <si>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</si>
  <si>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</si>
  <si>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</si>
  <si>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</si>
  <si>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</si>
  <si>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</si>
  <si>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</si>
  <si>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</si>
  <si>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</si>
  <si>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</si>
  <si>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</si>
  <si>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</si>
  <si>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</si>
  <si>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</si>
  <si>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</si>
  <si>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</si>
  <si>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</si>
  <si>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</si>
  <si>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</si>
  <si>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</si>
  <si>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</si>
  <si>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</si>
  <si>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</si>
  <si>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</si>
  <si>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</si>
  <si>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</si>
  <si>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</si>
  <si>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</si>
  <si>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</si>
  <si>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</si>
  <si>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</si>
  <si>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</si>
  <si>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</si>
  <si>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</si>
  <si>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</si>
  <si>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</si>
  <si>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</si>
  <si>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</si>
  <si>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</si>
  <si>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</si>
  <si>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</si>
  <si>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</si>
  <si>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</si>
  <si>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</si>
  <si>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</si>
  <si>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</si>
  <si>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</si>
  <si>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</si>
  <si>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</si>
  <si>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</si>
  <si>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</si>
  <si>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</si>
  <si>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</si>
  <si>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</si>
  <si>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</si>
  <si>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</si>
  <si>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</si>
  <si>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</si>
  <si>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</si>
  <si>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</si>
  <si>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</si>
  <si>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</si>
  <si>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</si>
  <si>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</si>
  <si>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</si>
  <si>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</si>
  <si>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</si>
  <si>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</si>
  <si>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</si>
  <si>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</si>
  <si>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</si>
  <si>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</si>
  <si>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</si>
  <si>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</si>
  <si>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</si>
  <si>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</si>
  <si>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</si>
  <si>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</si>
  <si>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</si>
  <si>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</si>
  <si>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</si>
  <si>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</si>
  <si>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</si>
  <si>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</si>
  <si>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</si>
  <si>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</si>
  <si>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</si>
  <si>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</si>
  <si>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</si>
  <si>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</si>
  <si>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</si>
  <si>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</si>
  <si>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</si>
  <si>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</si>
  <si>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</si>
  <si>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</si>
  <si>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</si>
  <si>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</si>
  <si>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</si>
  <si>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</si>
  <si>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</si>
  <si>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</si>
  <si>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</si>
  <si>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</si>
  <si>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</si>
  <si>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</si>
  <si>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</si>
  <si>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</si>
  <si>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</si>
  <si>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</si>
  <si>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</si>
  <si>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</si>
  <si>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</si>
  <si>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</si>
  <si>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</si>
  <si>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</si>
  <si>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</si>
  <si>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</si>
  <si>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</si>
  <si>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</si>
  <si>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</si>
  <si>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</si>
  <si>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</si>
  <si>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</si>
  <si>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</si>
  <si>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</si>
  <si>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</si>
  <si>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</si>
  <si>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</si>
  <si>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</si>
  <si>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</si>
  <si>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</si>
  <si>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</si>
  <si>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</si>
  <si>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</si>
  <si>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</si>
  <si>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</si>
  <si>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</si>
  <si>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</si>
  <si>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</si>
  <si>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</si>
  <si>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</si>
  <si>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</si>
  <si>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</si>
  <si>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</si>
  <si>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</si>
  <si>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</si>
  <si>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</si>
  <si>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</si>
  <si>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</si>
  <si>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</si>
  <si>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</si>
  <si>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</si>
  <si>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</si>
  <si>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</si>
  <si>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</si>
  <si>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</si>
  <si>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</si>
  <si>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</si>
  <si>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</si>
  <si>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</si>
  <si>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</si>
  <si>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</si>
  <si>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</si>
  <si>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</si>
  <si>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</si>
  <si>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</si>
  <si>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</si>
  <si>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</si>
  <si>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</si>
  <si>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</si>
  <si>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</si>
  <si>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</si>
  <si>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</si>
  <si>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</si>
  <si>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</si>
  <si>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</si>
  <si>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</si>
  <si>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</si>
  <si>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</si>
  <si>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</si>
  <si>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</si>
  <si>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</si>
  <si>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</si>
  <si>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</si>
  <si>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</si>
  <si>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</si>
  <si>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</si>
  <si>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</si>
  <si>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</si>
  <si>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</si>
  <si>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</si>
  <si>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</si>
  <si>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</si>
  <si>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</si>
  <si>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</si>
  <si>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</si>
  <si>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</si>
  <si>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</si>
  <si>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</si>
  <si>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</si>
  <si>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</si>
  <si>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</si>
  <si>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</si>
  <si>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</si>
  <si>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</si>
  <si>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</si>
  <si>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</si>
  <si>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</si>
  <si>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</si>
  <si>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</si>
  <si>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</si>
  <si>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</si>
  <si>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</si>
  <si>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</si>
  <si>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</si>
  <si>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</si>
  <si>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</si>
  <si>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</si>
  <si>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</si>
  <si>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</si>
  <si>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</si>
  <si>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</si>
  <si>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</si>
  <si>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</si>
  <si>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</si>
  <si>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</si>
  <si>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</si>
  <si>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</si>
  <si>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</si>
  <si>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</si>
  <si>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</si>
  <si>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</si>
  <si>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</si>
  <si>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</si>
  <si>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</si>
  <si>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</si>
  <si>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</si>
  <si>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</si>
  <si>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</si>
  <si>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</si>
  <si>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</si>
  <si>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</si>
  <si>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</si>
  <si>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</si>
  <si>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</si>
  <si>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</si>
  <si>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</si>
  <si>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</si>
  <si>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</si>
  <si>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</si>
  <si>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</si>
  <si>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</si>
  <si>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</si>
  <si>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</si>
  <si>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</si>
  <si>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</si>
  <si>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</si>
  <si>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</si>
  <si>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</si>
  <si>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</si>
  <si>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</si>
  <si>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</si>
  <si>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</si>
  <si>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</si>
  <si>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</si>
  <si>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</si>
  <si>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</si>
  <si>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</si>
  <si>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</si>
  <si>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</si>
  <si>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</si>
  <si>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</si>
  <si>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</si>
  <si>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</si>
  <si>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</si>
  <si>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</si>
  <si>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</si>
  <si>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</si>
  <si>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</si>
  <si>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</si>
  <si>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</si>
  <si>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</si>
  <si>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</si>
  <si>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</si>
  <si>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</si>
  <si>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</si>
  <si>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</si>
  <si>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</si>
  <si>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</si>
  <si>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</si>
  <si>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</si>
  <si>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</si>
  <si>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</si>
  <si>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</si>
  <si>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</si>
  <si>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</si>
  <si>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</si>
  <si>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</si>
  <si>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</si>
  <si>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</si>
  <si>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</si>
  <si>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</si>
  <si>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</si>
  <si>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</si>
  <si>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</si>
  <si>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</si>
  <si>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</si>
  <si>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</si>
  <si>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</si>
  <si>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</si>
  <si>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</si>
  <si>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</si>
  <si>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</si>
  <si>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</si>
  <si>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</si>
  <si>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</si>
  <si>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</si>
  <si>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</si>
  <si>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</si>
  <si>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</si>
  <si>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</si>
  <si>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</si>
  <si>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</si>
  <si>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</si>
  <si>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</si>
  <si>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</si>
  <si>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</si>
  <si>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</si>
  <si>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</si>
  <si>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</si>
  <si>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</si>
  <si>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</si>
  <si>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</si>
  <si>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</si>
  <si>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</si>
  <si>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</si>
  <si>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</si>
  <si>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</si>
  <si>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</si>
  <si>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</si>
  <si>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</si>
  <si>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</si>
  <si>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</si>
  <si>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</si>
  <si>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</si>
  <si>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</si>
  <si>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</si>
  <si>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</si>
  <si>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</si>
  <si>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</si>
  <si>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</si>
  <si>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</si>
  <si>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</si>
  <si>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</si>
  <si>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</si>
  <si>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</si>
  <si>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</si>
  <si>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</si>
  <si>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</si>
  <si>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</si>
  <si>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</si>
  <si>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</si>
  <si>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</si>
  <si>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</si>
  <si>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</si>
  <si>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</si>
  <si>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</si>
  <si>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</si>
  <si>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</si>
  <si>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</si>
  <si>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</si>
  <si>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</si>
  <si>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</si>
  <si>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</si>
  <si>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</si>
  <si>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</si>
  <si>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</si>
  <si>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</si>
  <si>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</si>
  <si>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</si>
  <si>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</si>
  <si>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</si>
  <si>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</si>
  <si>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</si>
  <si>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</si>
  <si>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</si>
  <si>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</si>
  <si>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</si>
  <si>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</si>
  <si>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</si>
  <si>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</si>
  <si>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</si>
  <si>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</si>
  <si>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</si>
  <si>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</si>
  <si>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</si>
  <si>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</si>
  <si>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</si>
  <si>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</si>
  <si>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</si>
  <si>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</si>
  <si>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</si>
  <si>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</si>
  <si>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</si>
  <si>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</si>
  <si>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</si>
  <si>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</si>
  <si>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</si>
  <si>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</si>
  <si>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</si>
  <si>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</si>
  <si>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</si>
  <si>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</si>
  <si>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</si>
  <si>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</si>
  <si>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</si>
  <si>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</si>
  <si>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</si>
  <si>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</si>
  <si>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</si>
  <si>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</si>
  <si>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</si>
  <si>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</si>
  <si>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</si>
  <si>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</si>
  <si>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</si>
  <si>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</si>
  <si>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</si>
  <si>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</si>
  <si>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</si>
  <si>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</si>
  <si>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</si>
  <si>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</si>
  <si>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</si>
  <si>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</si>
  <si>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</si>
  <si>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</si>
  <si>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</si>
  <si>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</si>
  <si>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</si>
  <si>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</si>
  <si>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</si>
  <si>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</si>
  <si>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</si>
  <si>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</si>
  <si>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</si>
  <si>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</si>
  <si>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</si>
  <si>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</si>
  <si>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</si>
  <si>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</si>
  <si>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</si>
  <si>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</si>
  <si>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</si>
  <si>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</si>
  <si>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</si>
  <si>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</si>
  <si>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</si>
  <si>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</si>
  <si>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</si>
  <si>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</si>
  <si>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</si>
  <si>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</si>
  <si>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</si>
  <si>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</si>
  <si>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</si>
  <si>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</si>
  <si>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</si>
  <si>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</si>
  <si>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</si>
  <si>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</si>
  <si>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</si>
  <si>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</si>
  <si>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</si>
  <si>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</si>
  <si>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</si>
  <si>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</si>
  <si>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</si>
  <si>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</si>
  <si>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</si>
  <si>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</si>
  <si>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</si>
  <si>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</si>
  <si>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</si>
  <si>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</si>
  <si>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</si>
  <si>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</si>
  <si>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</si>
  <si>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</si>
  <si>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</si>
  <si>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</si>
  <si>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</si>
  <si>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</si>
  <si>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</si>
  <si>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</si>
  <si>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</si>
  <si>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</si>
  <si>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</si>
  <si>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</si>
  <si>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</si>
  <si>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</si>
  <si>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</si>
  <si>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</si>
  <si>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</si>
  <si>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</si>
  <si>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</si>
  <si>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</si>
  <si>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</si>
  <si>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</si>
  <si>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</si>
  <si>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</si>
  <si>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</si>
  <si>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</si>
  <si>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</si>
  <si>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</si>
  <si>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</si>
  <si>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</si>
  <si>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</si>
  <si>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</si>
  <si>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</si>
  <si>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</si>
  <si>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</si>
  <si>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</si>
  <si>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</si>
  <si>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</si>
  <si>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</si>
  <si>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</si>
  <si>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</si>
  <si>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</si>
  <si>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</si>
  <si>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</si>
  <si>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</si>
  <si>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</si>
  <si>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</si>
  <si>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</si>
  <si>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</si>
  <si>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</si>
  <si>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</si>
  <si>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</si>
  <si>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</si>
  <si>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</si>
  <si>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</si>
  <si>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</si>
  <si>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</si>
  <si>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</si>
  <si>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</si>
  <si>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</si>
  <si>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</si>
  <si>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</si>
  <si>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</si>
  <si>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</si>
  <si>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</si>
  <si>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</si>
  <si>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</si>
  <si>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</si>
  <si>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</si>
  <si>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</si>
  <si>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</si>
  <si>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</si>
  <si>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</si>
  <si>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</si>
  <si>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</si>
  <si>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</si>
  <si>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</si>
  <si>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</si>
  <si>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</si>
  <si>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</si>
  <si>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</si>
  <si>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</si>
  <si>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</si>
  <si>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</si>
  <si>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</si>
  <si>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</si>
  <si>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</si>
  <si>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</si>
  <si>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</si>
  <si>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</si>
  <si>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</si>
  <si>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</si>
  <si>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</si>
  <si>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</si>
  <si>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</si>
  <si>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</si>
  <si>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</si>
  <si>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</si>
  <si>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</si>
  <si>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</si>
  <si>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</si>
  <si>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</si>
  <si>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</si>
  <si>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</si>
  <si>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</si>
  <si>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</si>
  <si>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</si>
  <si>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</si>
  <si>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</si>
  <si>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</si>
  <si>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</si>
  <si>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</si>
  <si>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</si>
  <si>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</si>
  <si>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</si>
  <si>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</si>
  <si>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</si>
  <si>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</si>
  <si>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</si>
  <si>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</si>
  <si>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</si>
  <si>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</si>
  <si>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</si>
  <si>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</si>
  <si>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</si>
  <si>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</si>
  <si>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</si>
  <si>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</si>
  <si>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</si>
  <si>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</si>
  <si>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</si>
  <si>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</si>
  <si>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</si>
  <si>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</si>
  <si>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</si>
  <si>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</si>
  <si>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</si>
  <si>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</si>
  <si>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</si>
  <si>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</si>
  <si>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</si>
  <si>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</si>
  <si>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</si>
  <si>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</si>
  <si>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</si>
  <si>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</si>
  <si>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</si>
  <si>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</si>
  <si>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</si>
  <si>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</si>
  <si>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</si>
  <si>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</si>
  <si>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</si>
  <si>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</si>
  <si>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</si>
  <si>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</si>
  <si>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</si>
  <si>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</si>
  <si>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</si>
  <si>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</si>
  <si>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</si>
  <si>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</si>
  <si>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</si>
  <si>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</si>
  <si>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</si>
  <si>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</si>
  <si>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</si>
  <si>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</si>
  <si>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07:00 - 23:00</t>
  </si>
  <si>
    <t>00:00 - 24:00</t>
  </si>
  <si>
    <t xml:space="preserve">Contains the underlying nodal costs used to calculate the current EDCM charges. </t>
  </si>
  <si>
    <t>All times are in UK Clock time</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</si>
  <si>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</si>
  <si>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</si>
  <si>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</si>
  <si>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</si>
  <si>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</si>
  <si>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</si>
  <si>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</si>
  <si>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</si>
  <si>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</si>
  <si>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</si>
  <si>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</si>
  <si>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11:00 - 14:00
16:00 - 19:00</t>
  </si>
  <si>
    <t>07:00 - 11:00
14:00 - 16:00
19:00 - 23:00</t>
  </si>
  <si>
    <t>Monday to Friday 
(Including Bank Holidays)
June to August Inclusive</t>
  </si>
  <si>
    <t>11:00 - 14:00</t>
  </si>
  <si>
    <t>07:00 - 11:00
14:00 - 23:00</t>
  </si>
  <si>
    <t>Monday to Friday 
(Including Bank Holidays)
March, April, May and September, October</t>
  </si>
  <si>
    <t>Saturday and Sunday
All year</t>
  </si>
  <si>
    <t>London Power Networks has no Preserved NHH Tariffs/Additional LLFC classes</t>
  </si>
  <si>
    <t>London Power Networks has no Preserved HH Tariffs/Additional LLFC classes</t>
  </si>
  <si>
    <t>London Power Networks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</si>
  <si>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</si>
  <si>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</si>
  <si>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</si>
  <si>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</si>
  <si>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</si>
  <si>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</si>
  <si>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</si>
  <si>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</si>
  <si>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</si>
  <si>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</si>
  <si>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</si>
  <si>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</si>
  <si>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</si>
  <si>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</si>
  <si>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</si>
  <si>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BISHPC</t>
  </si>
  <si>
    <t>BLMBGN</t>
  </si>
  <si>
    <t>BLMBGS</t>
  </si>
  <si>
    <t>BRDGTE</t>
  </si>
  <si>
    <t>BRKFLD</t>
  </si>
  <si>
    <t>BRMLEY</t>
  </si>
  <si>
    <t>CRLIMM</t>
  </si>
  <si>
    <t>DART11</t>
  </si>
  <si>
    <t>DART33</t>
  </si>
  <si>
    <t>EPNLEI</t>
  </si>
  <si>
    <t>FENAVE</t>
  </si>
  <si>
    <t>FENCHS</t>
  </si>
  <si>
    <t>GBLSWI</t>
  </si>
  <si>
    <t>KNGLPN</t>
  </si>
  <si>
    <t>LEDNHS</t>
  </si>
  <si>
    <t>LIMEST</t>
  </si>
  <si>
    <t>LNWALL</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</si>
  <si>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</si>
  <si>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</si>
  <si>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</si>
  <si>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</si>
  <si>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</si>
  <si>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</si>
  <si>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</si>
  <si>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</si>
  <si>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</si>
  <si>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</si>
  <si>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</si>
  <si>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</si>
  <si>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</si>
  <si>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</si>
  <si>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</si>
  <si>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</si>
  <si>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</si>
  <si>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</si>
  <si>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</si>
  <si>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</si>
  <si>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</si>
  <si>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</si>
  <si>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TWCHST</t>
  </si>
  <si>
    <t>TWGNCH</t>
  </si>
  <si>
    <t>TWKIRT</t>
  </si>
  <si>
    <t>VOLTDC</t>
  </si>
  <si>
    <t>BELVED</t>
  </si>
  <si>
    <t>SELCHP</t>
  </si>
  <si>
    <t>TLRSLN</t>
  </si>
  <si>
    <t xml:space="preserve"> MSID: 1630</t>
  </si>
  <si>
    <t xml:space="preserve"> MSID: 1032</t>
  </si>
  <si>
    <t xml:space="preserve"> MSID: 1628</t>
  </si>
  <si>
    <t xml:space="preserve"> MSID: 1027</t>
  </si>
  <si>
    <t xml:space="preserve"> MSID: 1631</t>
  </si>
  <si>
    <t xml:space="preserve"> MSID: 5538</t>
  </si>
  <si>
    <t>Note: The list of MPANs / MSIDs provided may be incomplete
 the DNO reserves the right to apply the listed charges to any other MPANs / MSIDs associated with the site.</t>
  </si>
  <si>
    <t xml:space="preserve">1200061385700
1200061385710 </t>
  </si>
  <si>
    <t>1200061385729
1200061385738</t>
  </si>
  <si>
    <t>1200061148014
1200061148023</t>
  </si>
  <si>
    <t xml:space="preserve">1200061144029
1200061144038 </t>
  </si>
  <si>
    <t>1200050913681
1200050913690
1200050913706
1200050913715</t>
  </si>
  <si>
    <t xml:space="preserve">1200061144065
1200061144074 </t>
  </si>
  <si>
    <t>1200062132006
1200062132015</t>
  </si>
  <si>
    <t>1200061953070
1200061148200
1200061953089
1200061148194</t>
  </si>
  <si>
    <t>1200060323207
1200060323216</t>
  </si>
  <si>
    <t>1200061231921
1200061231930
1200061231940
1200061231959</t>
  </si>
  <si>
    <t>1200050376902
1200050376911</t>
  </si>
  <si>
    <t>1200010157225
1200010157234</t>
  </si>
  <si>
    <t>1200061378624
1200061378633</t>
  </si>
  <si>
    <t>1200060280440
1200060280468</t>
  </si>
  <si>
    <t>1200060951114
1200060951123</t>
  </si>
  <si>
    <t>1200061171324
1200061171333</t>
  </si>
  <si>
    <t>1200061171342
1200061171351</t>
  </si>
  <si>
    <t xml:space="preserve">1200061148032
1200061148041 </t>
  </si>
  <si>
    <t>1200061143976
1200061143985</t>
  </si>
  <si>
    <t>1200062090483
1200062090492</t>
  </si>
  <si>
    <t>1200062132168
1200062132159</t>
  </si>
  <si>
    <t>1200061999491
1200061999507
1200062001242
1200062001251</t>
  </si>
  <si>
    <t>1</t>
  </si>
  <si>
    <t>200</t>
  </si>
  <si>
    <t>350</t>
  </si>
  <si>
    <t>980</t>
  </si>
  <si>
    <t>981</t>
  </si>
  <si>
    <t>982</t>
  </si>
  <si>
    <t>983</t>
  </si>
  <si>
    <t>984</t>
  </si>
  <si>
    <t>985</t>
  </si>
  <si>
    <t>986</t>
  </si>
  <si>
    <t>987</t>
  </si>
  <si>
    <t>988</t>
  </si>
  <si>
    <t>989</t>
  </si>
  <si>
    <t>990</t>
  </si>
  <si>
    <t>991</t>
  </si>
  <si>
    <t>420, 424, 428, 432</t>
  </si>
  <si>
    <t>422, 426, 430, 434</t>
  </si>
  <si>
    <t>423, 427, 431, 435</t>
  </si>
  <si>
    <t>421, 425, 429, 433</t>
  </si>
  <si>
    <t>8 or 0</t>
  </si>
  <si>
    <t>ABPA51</t>
  </si>
  <si>
    <t>ABPA52</t>
  </si>
  <si>
    <t>ABPB51</t>
  </si>
  <si>
    <t>ACTL81</t>
  </si>
  <si>
    <t>AMBL51</t>
  </si>
  <si>
    <t>AMBL52</t>
  </si>
  <si>
    <t>AXES51</t>
  </si>
  <si>
    <t>AXES52</t>
  </si>
  <si>
    <t>BACA51</t>
  </si>
  <si>
    <t>BACA52</t>
  </si>
  <si>
    <t>BANC51</t>
  </si>
  <si>
    <t>BANC52</t>
  </si>
  <si>
    <t>BANC53</t>
  </si>
  <si>
    <t>BANC54</t>
  </si>
  <si>
    <t>BAND81</t>
  </si>
  <si>
    <t>BAND82</t>
  </si>
  <si>
    <t>BARB81</t>
  </si>
  <si>
    <t>BARD51</t>
  </si>
  <si>
    <t>BARD52</t>
  </si>
  <si>
    <t>BDGE31</t>
  </si>
  <si>
    <t>BDGW31</t>
  </si>
  <si>
    <t>BECS31</t>
  </si>
  <si>
    <t>BEEA51</t>
  </si>
  <si>
    <t>BEEB51</t>
  </si>
  <si>
    <t>BEEB52</t>
  </si>
  <si>
    <t>BEEB53</t>
  </si>
  <si>
    <t>BENR51</t>
  </si>
  <si>
    <t>BENR52</t>
  </si>
  <si>
    <t>BISE31</t>
  </si>
  <si>
    <t>BISW31</t>
  </si>
  <si>
    <t>BK3B51</t>
  </si>
  <si>
    <t>BK3B52</t>
  </si>
  <si>
    <t>BKWY51</t>
  </si>
  <si>
    <t>BLHL51</t>
  </si>
  <si>
    <t>BLHL52</t>
  </si>
  <si>
    <t>BLOP71</t>
  </si>
  <si>
    <t>BLOP72</t>
  </si>
  <si>
    <t>BNSB71</t>
  </si>
  <si>
    <t>BNSB72</t>
  </si>
  <si>
    <t>BOWS51</t>
  </si>
  <si>
    <t>BOWS52</t>
  </si>
  <si>
    <t>BREN81</t>
  </si>
  <si>
    <t>BROA51</t>
  </si>
  <si>
    <t>BROA52</t>
  </si>
  <si>
    <t>BROS51</t>
  </si>
  <si>
    <t>BROS52</t>
  </si>
  <si>
    <t>BRXB51</t>
  </si>
  <si>
    <t>BRXB52</t>
  </si>
  <si>
    <t>BTPN31</t>
  </si>
  <si>
    <t>BTPS31</t>
  </si>
  <si>
    <t>BUCK31</t>
  </si>
  <si>
    <t>BULS51</t>
  </si>
  <si>
    <t>BULS52</t>
  </si>
  <si>
    <t>BURL51</t>
  </si>
  <si>
    <t>BURL52</t>
  </si>
  <si>
    <t>BWNR81</t>
  </si>
  <si>
    <t>BWNR82</t>
  </si>
  <si>
    <t>CALS51</t>
  </si>
  <si>
    <t>CARK51</t>
  </si>
  <si>
    <t>CARK52</t>
  </si>
  <si>
    <t>CARN51</t>
  </si>
  <si>
    <t>CARN52</t>
  </si>
  <si>
    <t>CHAM51</t>
  </si>
  <si>
    <t>CHAP81</t>
  </si>
  <si>
    <t>CHAX71</t>
  </si>
  <si>
    <t>CHSB31</t>
  </si>
  <si>
    <t>CHSL51</t>
  </si>
  <si>
    <t>CHSL52</t>
  </si>
  <si>
    <t>CHUR51</t>
  </si>
  <si>
    <t>CHUR52</t>
  </si>
  <si>
    <t>CITB51</t>
  </si>
  <si>
    <t>CITB52</t>
  </si>
  <si>
    <t>CITB53</t>
  </si>
  <si>
    <t>CITC51</t>
  </si>
  <si>
    <t>CLAP51</t>
  </si>
  <si>
    <t>CLAP52</t>
  </si>
  <si>
    <t>CLAR51</t>
  </si>
  <si>
    <t>CLAR52</t>
  </si>
  <si>
    <t>CORA11</t>
  </si>
  <si>
    <t>CRAY51</t>
  </si>
  <si>
    <t>CRAY52</t>
  </si>
  <si>
    <t>CRSN31</t>
  </si>
  <si>
    <t>CSBN31</t>
  </si>
  <si>
    <t>CSBS31</t>
  </si>
  <si>
    <t>DARA31</t>
  </si>
  <si>
    <t>DARB51</t>
  </si>
  <si>
    <t>DARB52</t>
  </si>
  <si>
    <t>DEPD51</t>
  </si>
  <si>
    <t>DEPD52</t>
  </si>
  <si>
    <t>DERM51</t>
  </si>
  <si>
    <t>DEVO51</t>
  </si>
  <si>
    <t>DEVO52</t>
  </si>
  <si>
    <t>DEVO53</t>
  </si>
  <si>
    <t>DKAV51</t>
  </si>
  <si>
    <t>DURN51</t>
  </si>
  <si>
    <t>DURN52</t>
  </si>
  <si>
    <t>DUST51</t>
  </si>
  <si>
    <t>DUST52</t>
  </si>
  <si>
    <t>DUST53</t>
  </si>
  <si>
    <t>EBBR51</t>
  </si>
  <si>
    <t>EBBR52</t>
  </si>
  <si>
    <t>EBBR53</t>
  </si>
  <si>
    <t>EDLA51</t>
  </si>
  <si>
    <t>EDLA52</t>
  </si>
  <si>
    <t>EITH51</t>
  </si>
  <si>
    <t>EITH52</t>
  </si>
  <si>
    <t>ELHS51</t>
  </si>
  <si>
    <t>ELTM51</t>
  </si>
  <si>
    <t>ELTM52</t>
  </si>
  <si>
    <t>EPPN51</t>
  </si>
  <si>
    <t>EPPN52</t>
  </si>
  <si>
    <t>EXET51</t>
  </si>
  <si>
    <t>EXET52</t>
  </si>
  <si>
    <t>FAIR51</t>
  </si>
  <si>
    <t>FAIR52</t>
  </si>
  <si>
    <t>FARJ51</t>
  </si>
  <si>
    <t>FARJ52</t>
  </si>
  <si>
    <t>FENE31</t>
  </si>
  <si>
    <t>FENN31</t>
  </si>
  <si>
    <t>FENS31</t>
  </si>
  <si>
    <t>FENW31</t>
  </si>
  <si>
    <t>FINA51</t>
  </si>
  <si>
    <t>FINA52</t>
  </si>
  <si>
    <t>FIND51</t>
  </si>
  <si>
    <t>FINE51</t>
  </si>
  <si>
    <t>FINE52</t>
  </si>
  <si>
    <t>FINE53</t>
  </si>
  <si>
    <t>FISB51</t>
  </si>
  <si>
    <t>FORE51</t>
  </si>
  <si>
    <t>FULC51</t>
  </si>
  <si>
    <t>FULC52</t>
  </si>
  <si>
    <t>FULC53</t>
  </si>
  <si>
    <t>GIBR51</t>
  </si>
  <si>
    <t>GIBR53</t>
  </si>
  <si>
    <t>GLAU51</t>
  </si>
  <si>
    <t>GORR51</t>
  </si>
  <si>
    <t>GORR52</t>
  </si>
  <si>
    <t>GRFD81</t>
  </si>
  <si>
    <t>GROL51</t>
  </si>
  <si>
    <t>GROL52</t>
  </si>
  <si>
    <t>GSST31</t>
  </si>
  <si>
    <t>HACC71</t>
  </si>
  <si>
    <t>HACC72</t>
  </si>
  <si>
    <t>HACC73</t>
  </si>
  <si>
    <t>HATR51</t>
  </si>
  <si>
    <t>HATR52</t>
  </si>
  <si>
    <t>HEAR51</t>
  </si>
  <si>
    <t>HEAR52</t>
  </si>
  <si>
    <t>HOLW51</t>
  </si>
  <si>
    <t>HOLW52</t>
  </si>
  <si>
    <t>HYPA51</t>
  </si>
  <si>
    <t>HYPA52</t>
  </si>
  <si>
    <t>HYPB51</t>
  </si>
  <si>
    <t>HYPB52</t>
  </si>
  <si>
    <t>IMPC71</t>
  </si>
  <si>
    <t>IMPC72</t>
  </si>
  <si>
    <t>KHWK51</t>
  </si>
  <si>
    <t>KHWK52</t>
  </si>
  <si>
    <t>KIDV51</t>
  </si>
  <si>
    <t>KIMB51</t>
  </si>
  <si>
    <t>KIMB52</t>
  </si>
  <si>
    <t>KITO11</t>
  </si>
  <si>
    <t>KITO12</t>
  </si>
  <si>
    <t>KITO31</t>
  </si>
  <si>
    <t>KITO32</t>
  </si>
  <si>
    <t>KITO33</t>
  </si>
  <si>
    <t>KITO34</t>
  </si>
  <si>
    <t>KWAY51</t>
  </si>
  <si>
    <t>KWAY52</t>
  </si>
  <si>
    <t>LEAE31</t>
  </si>
  <si>
    <t>LEAW31</t>
  </si>
  <si>
    <t>LEIR31</t>
  </si>
  <si>
    <t>LESQ51</t>
  </si>
  <si>
    <t>LEYB51</t>
  </si>
  <si>
    <t>LEYB52</t>
  </si>
  <si>
    <t>LIMA51</t>
  </si>
  <si>
    <t>LIMA52</t>
  </si>
  <si>
    <t>LITA51</t>
  </si>
  <si>
    <t>LITA52</t>
  </si>
  <si>
    <t>LMSE31</t>
  </si>
  <si>
    <t>LMSN31</t>
  </si>
  <si>
    <t>LOMD51</t>
  </si>
  <si>
    <t>LOMD52</t>
  </si>
  <si>
    <t>LONG51</t>
  </si>
  <si>
    <t>LONG52</t>
  </si>
  <si>
    <t>LONG53</t>
  </si>
  <si>
    <t>LOTS81</t>
  </si>
  <si>
    <t>MANS81</t>
  </si>
  <si>
    <t>MARK31</t>
  </si>
  <si>
    <t>MAYR51</t>
  </si>
  <si>
    <t>MERT51</t>
  </si>
  <si>
    <t>MERT52</t>
  </si>
  <si>
    <t>MONB51</t>
  </si>
  <si>
    <t>MONB52</t>
  </si>
  <si>
    <t>MONB53</t>
  </si>
  <si>
    <t>MONB54</t>
  </si>
  <si>
    <t>MORT51</t>
  </si>
  <si>
    <t>MORT52</t>
  </si>
  <si>
    <t>MORT53</t>
  </si>
  <si>
    <t>MORT54</t>
  </si>
  <si>
    <t>MOSW71</t>
  </si>
  <si>
    <t>MOSW72</t>
  </si>
  <si>
    <t>NECK51</t>
  </si>
  <si>
    <t>NECK52</t>
  </si>
  <si>
    <t>NELN51</t>
  </si>
  <si>
    <t>NEWB51</t>
  </si>
  <si>
    <t>NEWB52</t>
  </si>
  <si>
    <t>NMRD51</t>
  </si>
  <si>
    <t>NORX51</t>
  </si>
  <si>
    <t>NUNH31</t>
  </si>
  <si>
    <t>NUTM51</t>
  </si>
  <si>
    <t>NUTM52</t>
  </si>
  <si>
    <t>OBRB51</t>
  </si>
  <si>
    <t>OSBN51</t>
  </si>
  <si>
    <t>OSBN52</t>
  </si>
  <si>
    <t>OSCL51</t>
  </si>
  <si>
    <t>PARL81</t>
  </si>
  <si>
    <t>PATE51</t>
  </si>
  <si>
    <t>PATE52</t>
  </si>
  <si>
    <t>PYPT31</t>
  </si>
  <si>
    <t>QSBS31</t>
  </si>
  <si>
    <t>REUT51</t>
  </si>
  <si>
    <t>REUT52</t>
  </si>
  <si>
    <t>SBAN51</t>
  </si>
  <si>
    <t>SBAN52</t>
  </si>
  <si>
    <t>SEWL51</t>
  </si>
  <si>
    <t>SEWL52</t>
  </si>
  <si>
    <t>SHOD51</t>
  </si>
  <si>
    <t>SILB51</t>
  </si>
  <si>
    <t>SILB52</t>
  </si>
  <si>
    <t>SIMP51</t>
  </si>
  <si>
    <t>SIMP52</t>
  </si>
  <si>
    <t>SIMP53</t>
  </si>
  <si>
    <t>SPAA51</t>
  </si>
  <si>
    <t>SPAA52</t>
  </si>
  <si>
    <t>SPAB51</t>
  </si>
  <si>
    <t>SPAB52</t>
  </si>
  <si>
    <t>SPAC91</t>
  </si>
  <si>
    <t>SPAC92</t>
  </si>
  <si>
    <t>STEN81</t>
  </si>
  <si>
    <t>STRD51</t>
  </si>
  <si>
    <t>SYDK51</t>
  </si>
  <si>
    <t>SYDK52</t>
  </si>
  <si>
    <t>TAY5G1</t>
  </si>
  <si>
    <t>TOOS51</t>
  </si>
  <si>
    <t>TOWB51</t>
  </si>
  <si>
    <t>TOWB52</t>
  </si>
  <si>
    <t>TRIN51</t>
  </si>
  <si>
    <t>TRIN52</t>
  </si>
  <si>
    <t>VERR51</t>
  </si>
  <si>
    <t>VERR52</t>
  </si>
  <si>
    <t>VICT71</t>
  </si>
  <si>
    <t>VICT72</t>
  </si>
  <si>
    <t>VISC51</t>
  </si>
  <si>
    <t>WANC51</t>
  </si>
  <si>
    <t>WANC52</t>
  </si>
  <si>
    <t>WATR51</t>
  </si>
  <si>
    <t>WATR52</t>
  </si>
  <si>
    <t>WDGR51</t>
  </si>
  <si>
    <t>WFCS51</t>
  </si>
  <si>
    <t>WFCS52</t>
  </si>
  <si>
    <t>WFCS53</t>
  </si>
  <si>
    <t>WHAG12</t>
  </si>
  <si>
    <t>WHAG51</t>
  </si>
  <si>
    <t>WHAG52</t>
  </si>
  <si>
    <t>WHAG53</t>
  </si>
  <si>
    <t>WHAG54</t>
  </si>
  <si>
    <t>WHBR81</t>
  </si>
  <si>
    <t>WHBR82</t>
  </si>
  <si>
    <t>WHSR51</t>
  </si>
  <si>
    <t>WHSR52</t>
  </si>
  <si>
    <t>WILB51</t>
  </si>
  <si>
    <t>WIMD31</t>
  </si>
  <si>
    <t>WINL51</t>
  </si>
  <si>
    <t>WINL52</t>
  </si>
  <si>
    <t>WISB81</t>
  </si>
  <si>
    <t>WNOR51</t>
  </si>
  <si>
    <t>WNOR52</t>
  </si>
  <si>
    <t>WOOD51</t>
  </si>
  <si>
    <t>WORE31</t>
  </si>
  <si>
    <t>Aberdeen Place</t>
  </si>
  <si>
    <t>Acton Lane</t>
  </si>
  <si>
    <t>Amberley Rd</t>
  </si>
  <si>
    <t>Axe St</t>
  </si>
  <si>
    <t>Back Hill</t>
  </si>
  <si>
    <t>Bankside</t>
  </si>
  <si>
    <t>LPN 0005</t>
  </si>
  <si>
    <t>Barking</t>
  </si>
  <si>
    <t>LPN 0014</t>
  </si>
  <si>
    <t>LPN 0015</t>
  </si>
  <si>
    <t>LPN 0007</t>
  </si>
  <si>
    <t>Beech St</t>
  </si>
  <si>
    <t>Bengeworth Rd</t>
  </si>
  <si>
    <t>Bishopsgate 100</t>
  </si>
  <si>
    <t>Blackwall Way</t>
  </si>
  <si>
    <t>Blackhorse Lane</t>
  </si>
  <si>
    <t>Bloomfield Place</t>
  </si>
  <si>
    <t>Barnes</t>
  </si>
  <si>
    <t>Bow</t>
  </si>
  <si>
    <t>LPN 0001</t>
  </si>
  <si>
    <t>Broadway</t>
  </si>
  <si>
    <t>Bromley South</t>
  </si>
  <si>
    <t>Brixton B</t>
  </si>
  <si>
    <t>LPN 0033</t>
  </si>
  <si>
    <t>LPN 0032</t>
  </si>
  <si>
    <t>Buckhurst Hill</t>
  </si>
  <si>
    <t>Bulwer St</t>
  </si>
  <si>
    <t>Burlington Rd</t>
  </si>
  <si>
    <t>LPN 0022</t>
  </si>
  <si>
    <t>Calshot St</t>
  </si>
  <si>
    <t>Carslake Rd</t>
  </si>
  <si>
    <t>Carnaby St</t>
  </si>
  <si>
    <t>LPN 0056</t>
  </si>
  <si>
    <t>LPN 0030</t>
  </si>
  <si>
    <t>LPN 0013</t>
  </si>
  <si>
    <t>LPN 0024</t>
  </si>
  <si>
    <t>Chislehurst</t>
  </si>
  <si>
    <t>Churchfields</t>
  </si>
  <si>
    <t>City Road</t>
  </si>
  <si>
    <t>Clapham Park Rd</t>
  </si>
  <si>
    <t>Clarks Rd B</t>
  </si>
  <si>
    <t>LPN 0034</t>
  </si>
  <si>
    <t>Crayford</t>
  </si>
  <si>
    <t>LPN 0009</t>
  </si>
  <si>
    <t>LPN 0046</t>
  </si>
  <si>
    <t>LPN 0047</t>
  </si>
  <si>
    <t>Dartford Grid</t>
  </si>
  <si>
    <t>Deptford Grid</t>
  </si>
  <si>
    <t>Dermody Rd</t>
  </si>
  <si>
    <t>Devonshire Square</t>
  </si>
  <si>
    <t>Dukes Ave</t>
  </si>
  <si>
    <t>Durnsford Rd</t>
  </si>
  <si>
    <t>Duke St B</t>
  </si>
  <si>
    <t>Ebury Bridge</t>
  </si>
  <si>
    <t>Edwards Lane</t>
  </si>
  <si>
    <t>Erith</t>
  </si>
  <si>
    <t>Eltham High St</t>
  </si>
  <si>
    <t>Eltham Grid</t>
  </si>
  <si>
    <t>Epping New Rd</t>
  </si>
  <si>
    <t>Exeter Rd</t>
  </si>
  <si>
    <t>Fairlop Rd</t>
  </si>
  <si>
    <t>Farjeon Rd</t>
  </si>
  <si>
    <t>LPN 0019</t>
  </si>
  <si>
    <t>LPN 0064</t>
  </si>
  <si>
    <t>LPN 0059</t>
  </si>
  <si>
    <t>LPN 0031</t>
  </si>
  <si>
    <t>Finsbury Market</t>
  </si>
  <si>
    <t>Fisher St</t>
  </si>
  <si>
    <t>Forest Hill</t>
  </si>
  <si>
    <t>Fulham Palace Rd C</t>
  </si>
  <si>
    <t>Gibbons Rd</t>
  </si>
  <si>
    <t>Glaucus St</t>
  </si>
  <si>
    <t>Gorringe Park</t>
  </si>
  <si>
    <t>LPN 0002</t>
  </si>
  <si>
    <t>Grove Lodge</t>
  </si>
  <si>
    <t>LPN 0016</t>
  </si>
  <si>
    <t>Hackney</t>
  </si>
  <si>
    <t>Hatchard Rd</t>
  </si>
  <si>
    <t>Hearn St</t>
  </si>
  <si>
    <t>Holloway</t>
  </si>
  <si>
    <t>Hyde Park Estate</t>
  </si>
  <si>
    <t>Imperial College</t>
  </si>
  <si>
    <t>King Henrys Walk</t>
  </si>
  <si>
    <t>LPN 0058</t>
  </si>
  <si>
    <t>Kimberley Rd</t>
  </si>
  <si>
    <t>Kingston (SEEB)</t>
  </si>
  <si>
    <t>Kingsway</t>
  </si>
  <si>
    <t>LPN 0018</t>
  </si>
  <si>
    <t>LPN 0017</t>
  </si>
  <si>
    <t>Leicester Rd</t>
  </si>
  <si>
    <t>Leicester Sq</t>
  </si>
  <si>
    <t>Ley St B</t>
  </si>
  <si>
    <t>Limeburner Ln</t>
  </si>
  <si>
    <t>Lithos Rd A</t>
  </si>
  <si>
    <t>LPN 0057</t>
  </si>
  <si>
    <t>LPN 0060</t>
  </si>
  <si>
    <t>Lombard Rd</t>
  </si>
  <si>
    <t>Longford St B</t>
  </si>
  <si>
    <t>LPN 0044</t>
  </si>
  <si>
    <t>LPN 0012</t>
  </si>
  <si>
    <t>LPN 0020</t>
  </si>
  <si>
    <t>LPN 0037</t>
  </si>
  <si>
    <t>Merton</t>
  </si>
  <si>
    <t>Montford Place</t>
  </si>
  <si>
    <t>Moreton Street</t>
  </si>
  <si>
    <t>Moscow Rd</t>
  </si>
  <si>
    <t>Neckinger</t>
  </si>
  <si>
    <t>Nelson St</t>
  </si>
  <si>
    <t>Newington House</t>
  </si>
  <si>
    <t>LPN 0004</t>
  </si>
  <si>
    <t>North Cross Rd</t>
  </si>
  <si>
    <t>LPN 0027</t>
  </si>
  <si>
    <t>LPN 0006</t>
  </si>
  <si>
    <t>Old Brompton Rd</t>
  </si>
  <si>
    <t>Osborn St</t>
  </si>
  <si>
    <t>Old School Close</t>
  </si>
  <si>
    <t>LPN 0003</t>
  </si>
  <si>
    <t>Paternoster</t>
  </si>
  <si>
    <t>LPN 0061</t>
  </si>
  <si>
    <t>LPN 0049</t>
  </si>
  <si>
    <t>Reuters</t>
  </si>
  <si>
    <t>South Bank</t>
  </si>
  <si>
    <t>Sewell Rd</t>
  </si>
  <si>
    <t>Shorts Gdns</t>
  </si>
  <si>
    <t>Silvertown</t>
  </si>
  <si>
    <t>Simpsons Road</t>
  </si>
  <si>
    <t>St. Pancras</t>
  </si>
  <si>
    <t>LPN 0035</t>
  </si>
  <si>
    <t>Stewards Rd</t>
  </si>
  <si>
    <t>Sydenham Park</t>
  </si>
  <si>
    <t>LPN 0038</t>
  </si>
  <si>
    <t>Tooley St</t>
  </si>
  <si>
    <t>Townmead</t>
  </si>
  <si>
    <t>Trinity Crescent</t>
  </si>
  <si>
    <t>Verney Rd</t>
  </si>
  <si>
    <t>Victoria Gdns</t>
  </si>
  <si>
    <t>Victoria St</t>
  </si>
  <si>
    <t>Wandsworth Central A</t>
  </si>
  <si>
    <t>Waterloo Rd</t>
  </si>
  <si>
    <t>Woodgrange Park</t>
  </si>
  <si>
    <t>West Ferry Circus</t>
  </si>
  <si>
    <t>West Ham</t>
  </si>
  <si>
    <t>LPN 0036</t>
  </si>
  <si>
    <t>Whiston Rd</t>
  </si>
  <si>
    <t>LPN 0041</t>
  </si>
  <si>
    <t>LPN 0045</t>
  </si>
  <si>
    <t>Winlaton Rd</t>
  </si>
  <si>
    <t>LPN 0040</t>
  </si>
  <si>
    <t>West Norwood</t>
  </si>
  <si>
    <t>Wood Lane</t>
  </si>
  <si>
    <t>LPN 0050</t>
  </si>
  <si>
    <t xml:space="preserve"> </t>
  </si>
  <si>
    <t>CVA site specific LLFs</t>
  </si>
  <si>
    <t>MSID</t>
  </si>
  <si>
    <t>22BSHP</t>
  </si>
  <si>
    <t>1200062355497
1200062355502</t>
  </si>
  <si>
    <t>1200061148060 1200061148079</t>
  </si>
  <si>
    <t>2020/21</t>
  </si>
  <si>
    <t>1 April 2020</t>
  </si>
  <si>
    <t>BKWY52</t>
  </si>
  <si>
    <t>CANE31</t>
  </si>
  <si>
    <t>DEPD53</t>
  </si>
  <si>
    <t>EDLC51</t>
  </si>
  <si>
    <t>KIRT51</t>
  </si>
  <si>
    <t>LESQ52</t>
  </si>
  <si>
    <t>LESQ53</t>
  </si>
  <si>
    <t>LLCR81</t>
  </si>
  <si>
    <t>LWAN31</t>
  </si>
  <si>
    <t>LWAS31</t>
  </si>
  <si>
    <t>LWBN31</t>
  </si>
  <si>
    <t>LWBS31</t>
  </si>
  <si>
    <t>OBRB52</t>
  </si>
  <si>
    <t>OBRB53</t>
  </si>
  <si>
    <t>OSCL52</t>
  </si>
  <si>
    <t>WOOD52</t>
  </si>
  <si>
    <t>WORW31</t>
  </si>
  <si>
    <t>LAND11</t>
  </si>
  <si>
    <t>Copy data from EDCM Outputs 204-A to 204-E in "LDNO tariffs transposed" tab for rows 56 and below</t>
  </si>
  <si>
    <t>Copy LDNO sections from CDCM Ouput 101-A in "Tariff Summary" tab for rows 13 to 55</t>
  </si>
  <si>
    <t>Copy All-the-way section from CDCM Ouput 101-A in "Tariff Summary" tab into row 13 below</t>
  </si>
  <si>
    <t>Copy data from EDCM Outputs 202-A in "LDNO tariffs transposed" tab into row 11</t>
  </si>
  <si>
    <t>HOXT31</t>
  </si>
  <si>
    <t>Canal Junction</t>
  </si>
  <si>
    <t>Hoxton</t>
  </si>
  <si>
    <t>Kirtling St</t>
  </si>
  <si>
    <t>Landmann Way (SELCHP)</t>
  </si>
  <si>
    <t>Lower Lea Crossing</t>
  </si>
  <si>
    <t>London Wall 121</t>
  </si>
  <si>
    <t>London Wall 123</t>
  </si>
  <si>
    <t>Worship Street Principal Pl</t>
  </si>
  <si>
    <t>Low-voltage network</t>
  </si>
  <si>
    <t>Low-voltage substation</t>
  </si>
  <si>
    <t>High-voltage network</t>
  </si>
  <si>
    <t>High-voltage substation</t>
  </si>
  <si>
    <t>33kV generic</t>
  </si>
  <si>
    <t>132kV generic</t>
  </si>
  <si>
    <t>902</t>
  </si>
  <si>
    <t>903, 910</t>
  </si>
  <si>
    <t>906</t>
  </si>
  <si>
    <t>911</t>
  </si>
  <si>
    <t>914, 915</t>
  </si>
  <si>
    <t>953, 960, 961, 970, 971</t>
  </si>
  <si>
    <t>956</t>
  </si>
  <si>
    <t>964</t>
  </si>
  <si>
    <t>753, 763</t>
  </si>
  <si>
    <t>201</t>
  </si>
  <si>
    <t>202</t>
  </si>
  <si>
    <t>203</t>
  </si>
  <si>
    <t>204</t>
  </si>
  <si>
    <t>771, 791, 792</t>
  </si>
  <si>
    <t>796, 797</t>
  </si>
  <si>
    <t>798, 799</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</si>
  <si>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</si>
  <si>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9, 19</t>
  </si>
  <si>
    <t>79, 756</t>
  </si>
  <si>
    <t>89, 359</t>
  </si>
  <si>
    <t>1200050312030
1200050312040
1200061219394</t>
  </si>
  <si>
    <t>WILKST</t>
  </si>
  <si>
    <t>TBC</t>
  </si>
  <si>
    <t>1, 9, 19, 200, 350, 400, 420, 421, 422, 423, 424, 425, 426, 427, 428, 429, 430, 431, 432, 433, 434, 435, 750, 762, 765, 902, 906, 911, 952, 956, 964, 980, 981, 982, 983</t>
  </si>
  <si>
    <t>79, 756, 781, 782, 984, 985, 986, 987</t>
  </si>
  <si>
    <t>89, 359, 751, 767, 988, 989, 990, 991</t>
  </si>
  <si>
    <t>22BSHP - Import</t>
  </si>
  <si>
    <t>TWCHST - Import</t>
  </si>
  <si>
    <t>FENCHS - Import</t>
  </si>
  <si>
    <t>LU_CHA - Import</t>
  </si>
  <si>
    <t>THAMEC - Import</t>
  </si>
  <si>
    <t>VOLTDC - Import</t>
  </si>
  <si>
    <t>LU_HOX - Import</t>
  </si>
  <si>
    <t>BRDGTE - Import</t>
  </si>
  <si>
    <t>MRKLNE - Import</t>
  </si>
  <si>
    <t>NR_BOW - Import</t>
  </si>
  <si>
    <t>LEDNHS - Import</t>
  </si>
  <si>
    <t>TELEHW - Import</t>
  </si>
  <si>
    <t>BELVED - Import</t>
  </si>
  <si>
    <t>NGC_BA - Import</t>
  </si>
  <si>
    <t>LU_CAN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</si>
  <si>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</si>
  <si>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</si>
  <si>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</si>
  <si>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</si>
  <si>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</si>
  <si>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</si>
  <si>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</si>
  <si>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</si>
  <si>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</si>
  <si>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</si>
  <si>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</si>
  <si>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</si>
  <si>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</si>
  <si>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</si>
  <si>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</si>
  <si>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NR_NEW - Import</t>
  </si>
  <si>
    <t>NR_CIT - Import</t>
  </si>
  <si>
    <t>NR_BRO - Import</t>
  </si>
  <si>
    <t>NR_WES - Import</t>
  </si>
  <si>
    <t>NR_WHI - Import</t>
  </si>
  <si>
    <t>BISHPC - Import</t>
  </si>
  <si>
    <t>CRLIMM - Import</t>
  </si>
  <si>
    <t>FENAVE - Import</t>
  </si>
  <si>
    <t>LIMEST - Import</t>
  </si>
  <si>
    <t>LNWALL - Import</t>
  </si>
  <si>
    <t>THAMEB - Export</t>
  </si>
  <si>
    <t>THAMEC - Export</t>
  </si>
  <si>
    <t>BELVED - Export</t>
  </si>
  <si>
    <t>NR_WES - Export</t>
  </si>
  <si>
    <t>SELCHP - Export</t>
  </si>
  <si>
    <t>NR_W25 - Export</t>
  </si>
  <si>
    <t>NR_BOW - Export</t>
  </si>
  <si>
    <t>SPARE - Export</t>
  </si>
  <si>
    <t>WISD_6_T - Import</t>
  </si>
  <si>
    <t>T_BARK_NR - Import</t>
  </si>
  <si>
    <t>DART11/DART33</t>
  </si>
  <si>
    <t>BEDDT1</t>
  </si>
  <si>
    <t>BRIM_C</t>
  </si>
  <si>
    <t>HURS_1</t>
  </si>
  <si>
    <t>WISD_6_B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</si>
</sst>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0_ ;[Red]\-#,##0.00\ "/>
  </numFmts>
  <fonts count="34"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lightUp">
        <fgColor theme="0" tint="-0.499984740745262"/>
        <bgColor rgb="FFFFFFF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999999"/>
      </left>
      <right/>
      <top/>
      <bottom/>
      <diagonal/>
    </border>
  </borders>
  <cellStyleXfs count="18">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1" borderId="0" applyNumberFormat="0" applyBorder="0" applyAlignment="0" applyProtection="0"/>
    <xf numFmtId="0" fontId="3" fillId="6"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3" fillId="24" borderId="0" applyNumberFormat="0" applyBorder="0" applyAlignment="0" applyProtection="0"/>
    <xf numFmtId="0" fontId="25" fillId="25" borderId="0" applyNumberFormat="0" applyBorder="0" applyAlignment="0" applyProtection="0"/>
    <xf numFmtId="0" fontId="30" fillId="0" borderId="0"/>
    <xf numFmtId="0" fontId="31" fillId="33" borderId="0" applyNumberFormat="0" applyBorder="0" applyAlignment="0" applyProtection="0"/>
    <xf numFmtId="0" fontId="1" fillId="37" borderId="19" applyNumberFormat="0" applyBorder="0" applyAlignment="0" applyProtection="0">
      <alignment vertical="center"/>
    </xf>
  </cellStyleXfs>
  <cellXfs count="294">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Border="1" applyAlignment="1">
      <alignment wrapText="1"/>
    </xf>
    <xf numFmtId="0" fontId="0" fillId="0" borderId="0" xfId="0" applyBorder="1"/>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3"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0" fontId="23" fillId="0" borderId="1" xfId="1" applyFont="1" applyFill="1" applyBorder="1" applyAlignment="1" applyProtection="1">
      <alignment horizontal="center" vertical="center" wrapText="1"/>
    </xf>
    <xf numFmtId="0" fontId="21" fillId="0" borderId="1" xfId="0" applyFont="1" applyBorder="1" applyAlignment="1" applyProtection="1">
      <alignment horizontal="center" vertical="center" wrapText="1"/>
    </xf>
    <xf numFmtId="49" fontId="6" fillId="9" borderId="1" xfId="0" applyNumberFormat="1" applyFont="1" applyFill="1" applyBorder="1" applyAlignment="1" applyProtection="1">
      <alignment horizontal="left" vertical="center" wrapText="1"/>
      <protection locked="0"/>
    </xf>
    <xf numFmtId="0" fontId="0" fillId="14"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1" fillId="14"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26" fillId="17" borderId="1" xfId="0" applyFont="1" applyFill="1" applyBorder="1" applyAlignment="1" applyProtection="1">
      <alignment horizontal="center" vertical="center" wrapText="1"/>
      <protection locked="0"/>
    </xf>
    <xf numFmtId="0" fontId="7" fillId="0" borderId="1" xfId="0" applyFont="1" applyBorder="1" applyAlignment="1">
      <alignment vertical="center" wrapText="1"/>
    </xf>
    <xf numFmtId="0" fontId="26" fillId="15" borderId="1" xfId="0" applyFont="1" applyFill="1" applyBorder="1" applyAlignment="1" applyProtection="1">
      <alignment horizontal="center" vertical="center" wrapText="1"/>
      <protection locked="0"/>
    </xf>
    <xf numFmtId="0" fontId="26" fillId="18" borderId="1" xfId="0" applyFont="1" applyFill="1" applyBorder="1" applyAlignment="1" applyProtection="1">
      <alignment horizontal="center" vertical="center" wrapText="1"/>
      <protection locked="0"/>
    </xf>
    <xf numFmtId="0" fontId="7" fillId="19"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8" fillId="14" borderId="0" xfId="7" applyFont="1" applyFill="1" applyBorder="1" applyAlignment="1">
      <alignment vertical="center"/>
    </xf>
    <xf numFmtId="0" fontId="17" fillId="14" borderId="0" xfId="2" applyNumberFormat="1" applyFont="1" applyFill="1" applyBorder="1" applyAlignment="1" applyProtection="1">
      <alignment horizontal="center" vertical="center" wrapText="1"/>
    </xf>
    <xf numFmtId="0" fontId="17" fillId="14" borderId="12" xfId="2" applyNumberFormat="1" applyFont="1" applyFill="1" applyBorder="1" applyAlignment="1">
      <alignment horizontal="center" vertical="center" wrapText="1"/>
    </xf>
    <xf numFmtId="0" fontId="7" fillId="14" borderId="0" xfId="0" applyFont="1" applyFill="1" applyBorder="1" applyAlignment="1">
      <alignment horizontal="left" vertical="center" wrapText="1"/>
    </xf>
    <xf numFmtId="0" fontId="6" fillId="14" borderId="0" xfId="0" applyFont="1" applyFill="1" applyBorder="1" applyAlignment="1">
      <alignment horizontal="left" vertical="center" wrapText="1"/>
    </xf>
    <xf numFmtId="0" fontId="17" fillId="14" borderId="0" xfId="2" applyNumberFormat="1" applyFont="1" applyFill="1" applyBorder="1" applyAlignment="1">
      <alignment vertical="center" wrapText="1"/>
    </xf>
    <xf numFmtId="0" fontId="7" fillId="14" borderId="4" xfId="0" applyFont="1" applyFill="1" applyBorder="1" applyAlignment="1">
      <alignment horizontal="left" vertical="center" wrapText="1"/>
    </xf>
    <xf numFmtId="0" fontId="6" fillId="14" borderId="4"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17" fillId="14"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6" fontId="6" fillId="9"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xf>
    <xf numFmtId="1" fontId="6" fillId="9" borderId="1" xfId="7" applyNumberFormat="1" applyFont="1" applyFill="1" applyBorder="1" applyAlignment="1" applyProtection="1">
      <alignment horizontal="left" vertical="center" wrapText="1"/>
    </xf>
    <xf numFmtId="171" fontId="6" fillId="27" borderId="0" xfId="7" applyNumberFormat="1" applyFill="1"/>
    <xf numFmtId="172" fontId="6" fillId="27" borderId="0" xfId="7" applyNumberFormat="1" applyFill="1"/>
    <xf numFmtId="0" fontId="6" fillId="27" borderId="0" xfId="7" applyFill="1"/>
    <xf numFmtId="0" fontId="6" fillId="27" borderId="0" xfId="7" applyFill="1" applyAlignment="1">
      <alignment horizontal="left"/>
    </xf>
    <xf numFmtId="0" fontId="6" fillId="11" borderId="1" xfId="14" applyFont="1" applyFill="1" applyBorder="1" applyAlignment="1" applyProtection="1">
      <alignment vertical="center"/>
      <protection locked="0"/>
    </xf>
    <xf numFmtId="175" fontId="6" fillId="29" borderId="1" xfId="11" applyNumberFormat="1" applyFont="1" applyFill="1" applyBorder="1" applyAlignment="1" applyProtection="1">
      <alignment vertical="center"/>
      <protection locked="0"/>
    </xf>
    <xf numFmtId="174" fontId="3" fillId="28" borderId="1" xfId="10" applyNumberFormat="1" applyFill="1" applyBorder="1" applyAlignment="1" applyProtection="1">
      <alignment vertical="center"/>
    </xf>
    <xf numFmtId="175" fontId="6" fillId="28" borderId="1" xfId="10" applyNumberFormat="1" applyFont="1" applyFill="1" applyBorder="1" applyAlignment="1" applyProtection="1">
      <alignment vertical="center"/>
      <protection locked="0"/>
    </xf>
    <xf numFmtId="175" fontId="6" fillId="31" borderId="1" xfId="10" applyNumberFormat="1" applyFont="1" applyFill="1" applyBorder="1" applyAlignment="1" applyProtection="1">
      <alignment vertical="center"/>
      <protection locked="0"/>
    </xf>
    <xf numFmtId="175" fontId="6"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0" borderId="1" xfId="12" quotePrefix="1" applyFont="1" applyFill="1" applyBorder="1" applyAlignment="1" applyProtection="1">
      <alignment horizontal="center" vertical="center" wrapText="1"/>
    </xf>
    <xf numFmtId="174" fontId="3" fillId="31"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6"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6"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28" borderId="1" xfId="10" applyNumberFormat="1" applyFill="1" applyBorder="1" applyAlignment="1" applyProtection="1">
      <alignment vertical="center"/>
      <protection locked="0"/>
    </xf>
    <xf numFmtId="177" fontId="3" fillId="28" borderId="1" xfId="10" applyNumberFormat="1" applyFill="1" applyBorder="1" applyAlignment="1" applyProtection="1">
      <alignment vertical="center"/>
    </xf>
    <xf numFmtId="177" fontId="3" fillId="31" borderId="1" xfId="10" applyNumberFormat="1" applyFill="1" applyBorder="1" applyAlignment="1" applyProtection="1">
      <alignment vertical="center"/>
    </xf>
    <xf numFmtId="177" fontId="6" fillId="29" borderId="1" xfId="11" applyNumberFormat="1" applyFont="1" applyFill="1" applyBorder="1" applyAlignment="1" applyProtection="1">
      <alignment vertical="center"/>
    </xf>
    <xf numFmtId="177" fontId="6" fillId="32" borderId="1" xfId="11" applyNumberFormat="1" applyFont="1" applyFill="1" applyBorder="1" applyAlignment="1" applyProtection="1">
      <alignment vertical="center"/>
    </xf>
    <xf numFmtId="178" fontId="3" fillId="28" borderId="5" xfId="10" applyNumberFormat="1" applyFill="1" applyBorder="1" applyAlignment="1" applyProtection="1">
      <alignment vertical="center"/>
    </xf>
    <xf numFmtId="178" fontId="3" fillId="28"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0"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0" fontId="6" fillId="1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26" fillId="15"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0" fontId="6" fillId="0" borderId="3" xfId="0" applyFont="1" applyBorder="1" applyAlignment="1">
      <alignment horizontal="center" vertical="center" wrapText="1"/>
    </xf>
    <xf numFmtId="165" fontId="6" fillId="13" borderId="1" xfId="0" applyNumberFormat="1" applyFont="1" applyFill="1" applyBorder="1" applyAlignment="1" applyProtection="1">
      <alignment horizontal="center" vertical="center" wrapText="1"/>
      <protection locked="0"/>
    </xf>
    <xf numFmtId="165" fontId="4" fillId="13" borderId="1" xfId="0" applyNumberFormat="1" applyFont="1" applyFill="1" applyBorder="1" applyAlignment="1" applyProtection="1">
      <alignment horizontal="center" vertical="center"/>
      <protection locked="0"/>
    </xf>
    <xf numFmtId="0" fontId="6" fillId="4" borderId="1" xfId="0" applyFont="1" applyFill="1" applyBorder="1" applyAlignment="1">
      <alignment vertical="center" wrapText="1"/>
    </xf>
    <xf numFmtId="0" fontId="7" fillId="34" borderId="1" xfId="0" quotePrefix="1" applyFont="1" applyFill="1" applyBorder="1" applyAlignment="1">
      <alignment horizontal="center" vertical="center" wrapText="1"/>
    </xf>
    <xf numFmtId="0" fontId="7" fillId="35" borderId="1" xfId="0" quotePrefix="1" applyFont="1" applyFill="1" applyBorder="1" applyAlignment="1">
      <alignment horizontal="center" vertical="center" wrapText="1"/>
    </xf>
    <xf numFmtId="0" fontId="6" fillId="2" borderId="8" xfId="0" quotePrefix="1" applyFont="1" applyFill="1" applyBorder="1" applyAlignment="1">
      <alignment horizontal="center" vertical="center" wrapText="1"/>
    </xf>
    <xf numFmtId="0" fontId="7" fillId="0" borderId="6" xfId="0" applyFont="1" applyBorder="1" applyAlignment="1">
      <alignment horizontal="left" vertical="center" wrapText="1" indent="1"/>
    </xf>
    <xf numFmtId="0" fontId="7" fillId="7" borderId="1" xfId="0" applyFont="1" applyFill="1" applyBorder="1" applyAlignment="1">
      <alignment horizontal="center" vertical="center" wrapText="1"/>
    </xf>
    <xf numFmtId="0" fontId="13" fillId="0" borderId="0" xfId="4" applyAlignment="1" applyProtection="1">
      <alignment horizontal="left" vertical="top" wrapText="1"/>
    </xf>
    <xf numFmtId="173" fontId="7" fillId="16" borderId="3" xfId="0" applyNumberFormat="1" applyFont="1" applyFill="1" applyBorder="1" applyAlignment="1" applyProtection="1">
      <alignment horizontal="center" vertical="center" wrapText="1"/>
      <protection locked="0"/>
    </xf>
    <xf numFmtId="0" fontId="6" fillId="0" borderId="0" xfId="0" applyFont="1" applyBorder="1" applyAlignment="1">
      <alignment horizontal="left" vertical="center" wrapText="1"/>
    </xf>
    <xf numFmtId="0" fontId="6" fillId="9" borderId="5" xfId="7" applyNumberFormat="1" applyFont="1" applyFill="1" applyBorder="1" applyAlignment="1">
      <alignment horizontal="center" vertical="center" wrapText="1"/>
    </xf>
    <xf numFmtId="176" fontId="6" fillId="9" borderId="5" xfId="7" applyNumberFormat="1" applyFont="1" applyFill="1" applyBorder="1" applyAlignment="1">
      <alignment horizontal="center" vertical="center" wrapText="1"/>
    </xf>
    <xf numFmtId="0" fontId="6" fillId="9" borderId="1" xfId="7" applyNumberFormat="1" applyFont="1" applyFill="1" applyBorder="1" applyAlignment="1">
      <alignment horizontal="center" vertical="center" wrapText="1"/>
    </xf>
    <xf numFmtId="173" fontId="4" fillId="12" borderId="1" xfId="7" applyNumberFormat="1" applyFont="1" applyFill="1" applyBorder="1" applyAlignment="1" applyProtection="1">
      <alignment horizontal="right" vertical="center" indent="1"/>
      <protection locked="0"/>
    </xf>
    <xf numFmtId="164" fontId="4" fillId="12" borderId="1" xfId="7" applyNumberFormat="1" applyFont="1" applyFill="1" applyBorder="1" applyAlignment="1" applyProtection="1">
      <alignment horizontal="right" vertical="center" indent="1"/>
      <protection locked="0"/>
    </xf>
    <xf numFmtId="173" fontId="4" fillId="9"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2" fontId="4" fillId="12" borderId="1" xfId="7" applyNumberFormat="1" applyFont="1" applyFill="1" applyBorder="1" applyAlignment="1" applyProtection="1">
      <alignment horizontal="right" vertical="center" indent="1"/>
    </xf>
    <xf numFmtId="2" fontId="4" fillId="12" borderId="1" xfId="8" applyNumberFormat="1" applyFont="1" applyFill="1" applyBorder="1" applyAlignment="1" applyProtection="1">
      <alignment horizontal="right" vertical="center" indent="1"/>
    </xf>
    <xf numFmtId="165" fontId="4" fillId="12" borderId="1" xfId="7" applyNumberFormat="1" applyFont="1" applyFill="1" applyBorder="1" applyAlignment="1" applyProtection="1">
      <alignment horizontal="right" vertical="center" indent="1"/>
    </xf>
    <xf numFmtId="173" fontId="4" fillId="20" borderId="1" xfId="7" applyNumberFormat="1" applyFont="1" applyFill="1" applyBorder="1" applyAlignment="1" applyProtection="1">
      <alignment horizontal="right" vertical="center" indent="1"/>
    </xf>
    <xf numFmtId="2" fontId="4" fillId="20" borderId="1" xfId="8" applyNumberFormat="1" applyFont="1" applyFill="1" applyBorder="1" applyAlignment="1" applyProtection="1">
      <alignment horizontal="right" vertical="center" indent="1"/>
    </xf>
    <xf numFmtId="2" fontId="4" fillId="20" borderId="1" xfId="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center" vertical="center" wrapText="1"/>
      <protection locked="0"/>
    </xf>
    <xf numFmtId="179" fontId="4" fillId="12" borderId="1" xfId="7" applyNumberFormat="1" applyFont="1" applyFill="1" applyBorder="1" applyAlignment="1" applyProtection="1">
      <alignment horizontal="right" vertical="center" indent="1"/>
      <protection locked="0"/>
    </xf>
    <xf numFmtId="179" fontId="4" fillId="9" borderId="1" xfId="7" applyNumberFormat="1" applyFont="1" applyFill="1" applyBorder="1" applyAlignment="1" applyProtection="1">
      <alignment horizontal="right" vertical="center" indent="1"/>
      <protection locked="0"/>
    </xf>
    <xf numFmtId="173" fontId="21" fillId="9" borderId="1" xfId="0" applyNumberFormat="1" applyFont="1" applyFill="1" applyBorder="1" applyAlignment="1" applyProtection="1">
      <alignment horizontal="center" vertical="center"/>
      <protection locked="0"/>
    </xf>
    <xf numFmtId="173" fontId="22"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protection locked="0"/>
    </xf>
    <xf numFmtId="173" fontId="22" fillId="15" borderId="1" xfId="0" applyNumberFormat="1" applyFont="1" applyFill="1" applyBorder="1" applyAlignment="1" applyProtection="1">
      <alignment horizontal="center" vertical="center"/>
      <protection locked="0"/>
    </xf>
    <xf numFmtId="173" fontId="21" fillId="16" borderId="1" xfId="0" applyNumberFormat="1" applyFont="1" applyFill="1" applyBorder="1" applyAlignment="1" applyProtection="1">
      <alignment horizontal="center" vertical="center"/>
      <protection locked="0"/>
    </xf>
    <xf numFmtId="173" fontId="22" fillId="17"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xf>
    <xf numFmtId="165" fontId="21" fillId="9" borderId="1" xfId="0" applyNumberFormat="1" applyFont="1" applyFill="1" applyBorder="1" applyAlignment="1" applyProtection="1">
      <alignment horizontal="center" vertical="center"/>
      <protection locked="0"/>
    </xf>
    <xf numFmtId="173" fontId="22" fillId="18" borderId="1" xfId="0" applyNumberFormat="1" applyFont="1" applyFill="1" applyBorder="1" applyAlignment="1" applyProtection="1">
      <alignment horizontal="center" vertical="center"/>
      <protection locked="0"/>
    </xf>
    <xf numFmtId="173" fontId="21" fillId="19" borderId="1" xfId="0" applyNumberFormat="1" applyFont="1" applyFill="1" applyBorder="1" applyAlignment="1" applyProtection="1">
      <alignment horizontal="center" vertical="center"/>
      <protection locked="0"/>
    </xf>
    <xf numFmtId="165" fontId="22" fillId="15" borderId="1" xfId="0" applyNumberFormat="1" applyFont="1" applyFill="1" applyBorder="1" applyAlignment="1" applyProtection="1">
      <alignment horizontal="center" vertical="center"/>
      <protection locked="0"/>
    </xf>
    <xf numFmtId="165" fontId="22" fillId="17" borderId="1" xfId="0" applyNumberFormat="1" applyFont="1" applyFill="1" applyBorder="1" applyAlignment="1" applyProtection="1">
      <alignment horizontal="center" vertical="center"/>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xf>
    <xf numFmtId="164" fontId="21" fillId="10" borderId="1" xfId="0" applyNumberFormat="1" applyFont="1" applyFill="1" applyBorder="1" applyAlignment="1" applyProtection="1">
      <alignment horizontal="center" vertical="center"/>
    </xf>
    <xf numFmtId="173" fontId="33" fillId="16" borderId="1" xfId="0" applyNumberFormat="1" applyFont="1" applyFill="1" applyBorder="1" applyAlignment="1" applyProtection="1">
      <alignment horizontal="center" vertical="center"/>
      <protection locked="0"/>
    </xf>
    <xf numFmtId="164" fontId="21" fillId="4" borderId="1" xfId="0" applyNumberFormat="1" applyFont="1" applyFill="1" applyBorder="1" applyAlignment="1" applyProtection="1">
      <alignment horizontal="center" vertical="center"/>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49" fontId="6" fillId="9" borderId="1" xfId="0" quotePrefix="1" applyNumberFormat="1" applyFont="1" applyFill="1" applyBorder="1" applyAlignment="1" applyProtection="1">
      <alignment horizontal="left" vertical="center" wrapText="1" indent="1"/>
      <protection locked="0"/>
    </xf>
    <xf numFmtId="0" fontId="6" fillId="9" borderId="1" xfId="0" quotePrefix="1" applyNumberFormat="1" applyFont="1" applyFill="1" applyBorder="1" applyAlignment="1" applyProtection="1">
      <alignment horizontal="center" vertical="center" wrapText="1"/>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center" wrapText="1" indent="1"/>
      <protection locked="0"/>
    </xf>
    <xf numFmtId="170" fontId="18" fillId="36" borderId="1" xfId="0" applyNumberFormat="1" applyFont="1" applyFill="1" applyBorder="1" applyAlignment="1" applyProtection="1">
      <alignment horizontal="center" vertical="center"/>
      <protection locked="0"/>
    </xf>
    <xf numFmtId="0" fontId="13" fillId="0" borderId="0" xfId="4" applyFont="1" applyFill="1" applyBorder="1" applyAlignment="1" applyProtection="1">
      <alignment vertical="center"/>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0" xfId="0" applyFill="1" applyAlignment="1">
      <alignmen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76" fontId="6" fillId="9" borderId="1" xfId="7" applyNumberFormat="1" applyFont="1" applyFill="1" applyBorder="1" applyAlignment="1">
      <alignment horizontal="left" vertical="center" wrapText="1" inden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1" xfId="0" applyFont="1" applyBorder="1" applyAlignment="1">
      <alignment vertical="center" wrapText="1"/>
    </xf>
    <xf numFmtId="0" fontId="15" fillId="0" borderId="0" xfId="0" quotePrefix="1" applyNumberFormat="1" applyFont="1" applyAlignment="1" applyProtection="1">
      <alignment horizontal="left" vertical="top" wrapText="1"/>
    </xf>
    <xf numFmtId="49" fontId="11" fillId="6" borderId="0" xfId="2"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2" applyNumberFormat="1"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4" xfId="0" applyFont="1" applyBorder="1" applyAlignment="1">
      <alignment horizontal="left" vertical="center" wrapText="1" indent="1"/>
    </xf>
    <xf numFmtId="0" fontId="6" fillId="2" borderId="8" xfId="7" quotePrefix="1" applyFont="1" applyFill="1" applyBorder="1" applyAlignment="1">
      <alignment horizontal="center" vertical="center" wrapText="1"/>
    </xf>
    <xf numFmtId="0" fontId="31" fillId="33" borderId="13" xfId="16" quotePrefix="1" applyBorder="1" applyAlignment="1">
      <alignment horizontal="left" vertical="top" wrapText="1"/>
    </xf>
    <xf numFmtId="0" fontId="31" fillId="33"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3" fontId="7" fillId="16" borderId="3" xfId="0" applyNumberFormat="1" applyFont="1" applyFill="1" applyBorder="1" applyAlignment="1" applyProtection="1">
      <alignment horizontal="center" vertical="center"/>
      <protection locked="0"/>
    </xf>
    <xf numFmtId="173" fontId="7" fillId="16"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6" fillId="15" borderId="1" xfId="0" applyFont="1" applyFill="1" applyBorder="1" applyAlignment="1" applyProtection="1">
      <alignment horizontal="center" vertical="center" wrapText="1"/>
      <protection locked="0"/>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3"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3"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3"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31" fillId="33" borderId="13" xfId="16" quotePrefix="1" applyBorder="1" applyAlignment="1" applyProtection="1">
      <alignment horizontal="left" vertical="center" wrapText="1"/>
    </xf>
    <xf numFmtId="0" fontId="31" fillId="33" borderId="8" xfId="16" quotePrefix="1" applyBorder="1" applyAlignment="1" applyProtection="1">
      <alignment horizontal="left" vertical="center" wrapText="1"/>
    </xf>
    <xf numFmtId="0" fontId="31" fillId="33" borderId="13" xfId="16" quotePrefix="1" applyBorder="1" applyAlignment="1" applyProtection="1">
      <alignment horizontal="center" vertical="center" wrapText="1"/>
    </xf>
    <xf numFmtId="0" fontId="31" fillId="33" borderId="8" xfId="16" quotePrefix="1" applyBorder="1" applyAlignment="1" applyProtection="1">
      <alignment horizontal="center" vertical="center" wrapText="1"/>
    </xf>
    <xf numFmtId="0" fontId="31" fillId="33"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4"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8"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5" xfId="0" applyFont="1" applyFill="1" applyBorder="1" applyAlignment="1" applyProtection="1">
      <alignment horizontal="center" vertical="center" wrapText="1"/>
      <protection locked="0"/>
    </xf>
    <xf numFmtId="0" fontId="7" fillId="7" borderId="17"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17" fillId="6" borderId="3" xfId="2" quotePrefix="1" applyNumberFormat="1" applyFont="1" applyFill="1" applyBorder="1" applyAlignment="1">
      <alignment vertical="center" wrapText="1"/>
    </xf>
    <xf numFmtId="0" fontId="17" fillId="6" borderId="4" xfId="2" quotePrefix="1" applyNumberFormat="1" applyFont="1" applyFill="1" applyBorder="1" applyAlignment="1">
      <alignment vertical="center" wrapText="1"/>
    </xf>
    <xf numFmtId="0" fontId="17"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Blank_CEPATNEI" xfId="17"/>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35" t="s">
        <v>628</v>
      </c>
      <c r="B2" s="53"/>
      <c r="C2" s="53"/>
      <c r="D2" s="53"/>
      <c r="E2" s="53"/>
    </row>
    <row r="3" spans="1:8" ht="15" x14ac:dyDescent="0.2">
      <c r="A3" s="57"/>
      <c r="B3" s="129" t="s">
        <v>629</v>
      </c>
      <c r="C3" s="128" t="s">
        <v>673</v>
      </c>
      <c r="D3" s="128" t="s">
        <v>89</v>
      </c>
      <c r="E3" s="128" t="s">
        <v>88</v>
      </c>
    </row>
    <row r="4" spans="1:8" ht="30" x14ac:dyDescent="0.2">
      <c r="A4" s="54" t="s">
        <v>628</v>
      </c>
      <c r="B4" s="27" t="s">
        <v>720</v>
      </c>
      <c r="C4" s="27" t="s">
        <v>1268</v>
      </c>
      <c r="D4" s="27" t="s">
        <v>1269</v>
      </c>
      <c r="E4" s="27" t="s">
        <v>627</v>
      </c>
    </row>
    <row r="5" spans="1:8" x14ac:dyDescent="0.2">
      <c r="A5" s="53"/>
      <c r="B5" s="53"/>
      <c r="C5" s="53"/>
      <c r="D5" s="53"/>
      <c r="E5" s="53"/>
    </row>
    <row r="6" spans="1:8" ht="16.5" x14ac:dyDescent="0.2">
      <c r="A6" s="56" t="s">
        <v>83</v>
      </c>
      <c r="B6" s="53"/>
      <c r="C6" s="53"/>
      <c r="D6" s="53"/>
      <c r="E6" s="53"/>
    </row>
    <row r="7" spans="1:8" ht="15" x14ac:dyDescent="0.2">
      <c r="A7" s="58" t="s">
        <v>84</v>
      </c>
      <c r="B7" s="214" t="s">
        <v>85</v>
      </c>
      <c r="C7" s="214"/>
      <c r="D7" s="214"/>
      <c r="E7" s="214"/>
    </row>
    <row r="8" spans="1:8" ht="30" customHeight="1" x14ac:dyDescent="0.2">
      <c r="A8" s="62" t="s">
        <v>470</v>
      </c>
      <c r="B8" s="213" t="s">
        <v>689</v>
      </c>
      <c r="C8" s="213"/>
      <c r="D8" s="213"/>
      <c r="E8" s="213"/>
    </row>
    <row r="9" spans="1:8" ht="30" customHeight="1" x14ac:dyDescent="0.2">
      <c r="A9" s="62" t="s">
        <v>471</v>
      </c>
      <c r="B9" s="21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3"/>
      <c r="D9" s="213"/>
      <c r="E9" s="213"/>
    </row>
    <row r="10" spans="1:8" ht="30" customHeight="1" x14ac:dyDescent="0.2">
      <c r="A10" s="62" t="s">
        <v>472</v>
      </c>
      <c r="B10" s="213" t="s">
        <v>87</v>
      </c>
      <c r="C10" s="213"/>
      <c r="D10" s="213"/>
      <c r="E10" s="213"/>
    </row>
    <row r="11" spans="1:8" ht="61.5" customHeight="1" x14ac:dyDescent="0.2">
      <c r="A11" s="62" t="s">
        <v>473</v>
      </c>
      <c r="B11" s="21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3"/>
      <c r="D11" s="213"/>
      <c r="E11" s="213"/>
      <c r="F11" s="216"/>
      <c r="G11" s="216"/>
      <c r="H11" s="216"/>
    </row>
    <row r="12" spans="1:8" ht="86.25" customHeight="1" x14ac:dyDescent="0.2">
      <c r="A12" s="62" t="s">
        <v>178</v>
      </c>
      <c r="B12" s="219" t="s">
        <v>691</v>
      </c>
      <c r="C12" s="219"/>
      <c r="D12" s="219"/>
      <c r="E12" s="219"/>
    </row>
    <row r="13" spans="1:8" ht="42.75" customHeight="1" x14ac:dyDescent="0.2">
      <c r="A13" s="151" t="s">
        <v>692</v>
      </c>
      <c r="B13" s="213"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3"/>
      <c r="D13" s="213"/>
      <c r="E13" s="213"/>
    </row>
    <row r="14" spans="1:8" ht="29.25" customHeight="1" x14ac:dyDescent="0.2">
      <c r="A14" s="62" t="s">
        <v>450</v>
      </c>
      <c r="B14" s="213" t="s">
        <v>698</v>
      </c>
      <c r="C14" s="213"/>
      <c r="D14" s="213"/>
      <c r="E14" s="213"/>
    </row>
    <row r="15" spans="1:8" ht="30" customHeight="1" x14ac:dyDescent="0.2">
      <c r="A15" s="62" t="s">
        <v>445</v>
      </c>
      <c r="B15" s="213" t="s">
        <v>446</v>
      </c>
      <c r="C15" s="213"/>
      <c r="D15" s="213"/>
      <c r="E15" s="213"/>
    </row>
    <row r="16" spans="1:8" ht="30" customHeight="1" x14ac:dyDescent="0.2">
      <c r="A16" s="62" t="s">
        <v>524</v>
      </c>
      <c r="B16" s="213" t="s">
        <v>523</v>
      </c>
      <c r="C16" s="213"/>
      <c r="D16" s="213"/>
      <c r="E16" s="213"/>
    </row>
    <row r="17" spans="1:5" x14ac:dyDescent="0.2">
      <c r="A17" s="53"/>
      <c r="B17" s="53"/>
      <c r="C17" s="53"/>
      <c r="D17" s="53"/>
      <c r="E17" s="53"/>
    </row>
    <row r="18" spans="1:5" ht="15" x14ac:dyDescent="0.2">
      <c r="A18" s="59" t="s">
        <v>94</v>
      </c>
      <c r="B18" s="53"/>
      <c r="C18" s="53"/>
      <c r="D18" s="53"/>
      <c r="E18" s="53"/>
    </row>
    <row r="19" spans="1:5" ht="15" x14ac:dyDescent="0.2">
      <c r="A19" s="58"/>
      <c r="B19" s="220"/>
      <c r="C19" s="220"/>
      <c r="D19" s="220"/>
      <c r="E19" s="220"/>
    </row>
    <row r="20" spans="1:5" ht="32.25" customHeight="1" x14ac:dyDescent="0.2">
      <c r="A20" s="217" t="s">
        <v>503</v>
      </c>
      <c r="B20" s="218"/>
      <c r="C20" s="218"/>
      <c r="D20" s="218"/>
      <c r="E20" s="218"/>
    </row>
    <row r="21" spans="1:5" x14ac:dyDescent="0.2">
      <c r="A21" s="53"/>
      <c r="B21" s="53"/>
      <c r="C21" s="53"/>
      <c r="D21" s="53"/>
      <c r="E21" s="53"/>
    </row>
    <row r="22" spans="1:5" ht="15" x14ac:dyDescent="0.2">
      <c r="A22" s="60" t="s">
        <v>95</v>
      </c>
      <c r="B22" s="53"/>
      <c r="C22" s="53"/>
      <c r="D22" s="53"/>
      <c r="E22" s="53"/>
    </row>
    <row r="23" spans="1:5" ht="15" x14ac:dyDescent="0.2">
      <c r="A23" s="55"/>
      <c r="B23" s="220"/>
      <c r="C23" s="220"/>
      <c r="D23" s="220"/>
      <c r="E23" s="220"/>
    </row>
    <row r="24" spans="1:5" ht="28.5" customHeight="1" x14ac:dyDescent="0.2">
      <c r="A24" s="217" t="s">
        <v>474</v>
      </c>
      <c r="B24" s="218"/>
      <c r="C24" s="218"/>
      <c r="D24" s="218"/>
      <c r="E24" s="218"/>
    </row>
    <row r="25" spans="1:5" ht="28.5" customHeight="1" x14ac:dyDescent="0.2">
      <c r="A25" s="215" t="s">
        <v>626</v>
      </c>
      <c r="B25" s="215"/>
      <c r="C25" s="215"/>
      <c r="D25" s="215"/>
      <c r="E25" s="215"/>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K45"/>
  <sheetViews>
    <sheetView zoomScale="70" zoomScaleNormal="70" zoomScaleSheetLayoutView="100" workbookViewId="0">
      <selection activeCell="A18" sqref="A18"/>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5" width="15.5703125" style="1" customWidth="1"/>
    <col min="16" max="16384" width="9.140625" style="1"/>
  </cols>
  <sheetData>
    <row r="1" spans="1:11" ht="27.75" customHeight="1" x14ac:dyDescent="0.2">
      <c r="A1" s="86" t="s">
        <v>86</v>
      </c>
      <c r="B1" s="227" t="s">
        <v>1290</v>
      </c>
      <c r="C1" s="228"/>
      <c r="D1" s="228"/>
      <c r="E1" s="226" t="s">
        <v>688</v>
      </c>
      <c r="F1" s="226"/>
      <c r="G1" s="226"/>
      <c r="H1" s="226"/>
      <c r="I1" s="226"/>
      <c r="J1" s="226"/>
      <c r="K1" s="226"/>
    </row>
    <row r="2" spans="1:11" ht="27" customHeight="1" x14ac:dyDescent="0.2">
      <c r="A2" s="229" t="str">
        <f>Overview!B4&amp; " - Effective from "&amp;Overview!D4&amp;" - "&amp;Overview!E4&amp;" LV and HV charges"</f>
        <v>London Power Networks - Effective from 1 April 2020 - Final LV and HV charges</v>
      </c>
      <c r="B2" s="229"/>
      <c r="C2" s="229"/>
      <c r="D2" s="229"/>
      <c r="E2" s="229"/>
      <c r="F2" s="229"/>
      <c r="G2" s="229"/>
      <c r="H2" s="229"/>
      <c r="I2" s="229"/>
      <c r="J2" s="229"/>
      <c r="K2" s="229"/>
    </row>
    <row r="3" spans="1:11" s="72" customFormat="1" ht="15" customHeight="1" x14ac:dyDescent="0.2">
      <c r="A3" s="70"/>
      <c r="B3" s="70"/>
      <c r="C3" s="70"/>
      <c r="D3" s="70"/>
      <c r="E3" s="70"/>
      <c r="F3" s="70"/>
      <c r="G3" s="70"/>
      <c r="H3" s="70"/>
      <c r="I3" s="70"/>
      <c r="J3" s="70"/>
      <c r="K3" s="70"/>
    </row>
    <row r="4" spans="1:11" ht="27" customHeight="1" x14ac:dyDescent="0.2">
      <c r="A4" s="229" t="s">
        <v>493</v>
      </c>
      <c r="B4" s="229"/>
      <c r="C4" s="229"/>
      <c r="D4" s="229"/>
      <c r="E4" s="229"/>
      <c r="F4" s="70"/>
      <c r="G4" s="235" t="s">
        <v>492</v>
      </c>
      <c r="H4" s="236"/>
      <c r="I4" s="236"/>
      <c r="J4" s="236"/>
      <c r="K4" s="237"/>
    </row>
    <row r="5" spans="1:11" ht="28.5" customHeight="1" x14ac:dyDescent="0.2">
      <c r="A5" s="63" t="s">
        <v>80</v>
      </c>
      <c r="B5" s="140" t="s">
        <v>484</v>
      </c>
      <c r="C5" s="230" t="s">
        <v>485</v>
      </c>
      <c r="D5" s="231"/>
      <c r="E5" s="64" t="s">
        <v>486</v>
      </c>
      <c r="F5" s="70"/>
      <c r="G5" s="233"/>
      <c r="H5" s="234"/>
      <c r="I5" s="67" t="s">
        <v>490</v>
      </c>
      <c r="J5" s="68" t="s">
        <v>491</v>
      </c>
      <c r="K5" s="64" t="s">
        <v>486</v>
      </c>
    </row>
    <row r="6" spans="1:11" ht="65.25" customHeight="1" x14ac:dyDescent="0.2">
      <c r="A6" s="149" t="s">
        <v>487</v>
      </c>
      <c r="B6" s="19" t="s">
        <v>711</v>
      </c>
      <c r="C6" s="232" t="s">
        <v>712</v>
      </c>
      <c r="D6" s="232"/>
      <c r="E6" s="136" t="s">
        <v>695</v>
      </c>
      <c r="F6" s="70"/>
      <c r="G6" s="222" t="s">
        <v>713</v>
      </c>
      <c r="H6" s="223"/>
      <c r="I6" s="19" t="s">
        <v>714</v>
      </c>
      <c r="J6" s="69" t="s">
        <v>715</v>
      </c>
      <c r="K6" s="136" t="s">
        <v>695</v>
      </c>
    </row>
    <row r="7" spans="1:11" ht="65.25" customHeight="1" x14ac:dyDescent="0.2">
      <c r="A7" s="149" t="s">
        <v>82</v>
      </c>
      <c r="B7" s="139"/>
      <c r="C7" s="224"/>
      <c r="D7" s="224"/>
      <c r="E7" s="69" t="s">
        <v>697</v>
      </c>
      <c r="F7" s="70"/>
      <c r="G7" s="222" t="s">
        <v>488</v>
      </c>
      <c r="H7" s="223"/>
      <c r="I7" s="19" t="s">
        <v>693</v>
      </c>
      <c r="J7" s="69" t="s">
        <v>694</v>
      </c>
      <c r="K7" s="136" t="s">
        <v>695</v>
      </c>
    </row>
    <row r="8" spans="1:11" ht="65.25" customHeight="1" x14ac:dyDescent="0.2">
      <c r="A8" s="138" t="s">
        <v>81</v>
      </c>
      <c r="B8" s="222" t="s">
        <v>699</v>
      </c>
      <c r="C8" s="225"/>
      <c r="D8" s="225"/>
      <c r="E8" s="223"/>
      <c r="F8" s="70"/>
      <c r="G8" s="222" t="s">
        <v>716</v>
      </c>
      <c r="H8" s="223"/>
      <c r="I8" s="139"/>
      <c r="J8" s="69" t="s">
        <v>696</v>
      </c>
      <c r="K8" s="136" t="s">
        <v>695</v>
      </c>
    </row>
    <row r="9" spans="1:11" s="72" customFormat="1" ht="65.25" customHeight="1" x14ac:dyDescent="0.2">
      <c r="F9" s="70"/>
      <c r="G9" s="222" t="s">
        <v>717</v>
      </c>
      <c r="H9" s="223"/>
      <c r="I9" s="139"/>
      <c r="J9" s="139"/>
      <c r="K9" s="69" t="s">
        <v>697</v>
      </c>
    </row>
    <row r="10" spans="1:11" s="72" customFormat="1" ht="32.25" customHeight="1" x14ac:dyDescent="0.2">
      <c r="A10" s="70"/>
      <c r="B10" s="70"/>
      <c r="C10" s="70"/>
      <c r="D10" s="70"/>
      <c r="E10" s="70"/>
      <c r="F10" s="70"/>
      <c r="G10" s="221" t="s">
        <v>81</v>
      </c>
      <c r="H10" s="221"/>
      <c r="I10" s="221" t="s">
        <v>699</v>
      </c>
      <c r="J10" s="221"/>
      <c r="K10" s="221"/>
    </row>
    <row r="11" spans="1:11" ht="17.25" customHeight="1" x14ac:dyDescent="0.2">
      <c r="A11" s="70"/>
      <c r="B11" s="70"/>
      <c r="C11" s="70"/>
      <c r="D11" s="70"/>
      <c r="E11" s="70"/>
      <c r="F11" s="70"/>
      <c r="G11" s="70"/>
      <c r="H11" s="70"/>
      <c r="I11" s="70"/>
      <c r="J11" s="70"/>
      <c r="K11" s="70"/>
    </row>
    <row r="12" spans="1:11" ht="69" customHeight="1" x14ac:dyDescent="0.2">
      <c r="A12" s="26" t="s">
        <v>674</v>
      </c>
      <c r="B12" s="141" t="s">
        <v>90</v>
      </c>
      <c r="C12" s="141" t="s">
        <v>91</v>
      </c>
      <c r="D12" s="26" t="s">
        <v>620</v>
      </c>
      <c r="E12" s="26" t="s">
        <v>621</v>
      </c>
      <c r="F12" s="26" t="s">
        <v>622</v>
      </c>
      <c r="G12" s="141" t="s">
        <v>92</v>
      </c>
      <c r="H12" s="141" t="s">
        <v>93</v>
      </c>
      <c r="I12" s="26" t="s">
        <v>675</v>
      </c>
      <c r="J12" s="141" t="s">
        <v>451</v>
      </c>
      <c r="K12" s="141" t="s">
        <v>50</v>
      </c>
    </row>
    <row r="13" spans="1:11" ht="32.25" customHeight="1" x14ac:dyDescent="0.2">
      <c r="A13" s="14" t="s">
        <v>0</v>
      </c>
      <c r="B13" s="33" t="s">
        <v>1307</v>
      </c>
      <c r="C13" s="52">
        <v>1</v>
      </c>
      <c r="D13" s="170">
        <v>2.181</v>
      </c>
      <c r="E13" s="34"/>
      <c r="F13" s="171"/>
      <c r="G13" s="172">
        <v>4.1100000000000003</v>
      </c>
      <c r="H13" s="173"/>
      <c r="I13" s="173"/>
      <c r="J13" s="174"/>
      <c r="K13" s="35" t="s">
        <v>1308</v>
      </c>
    </row>
    <row r="14" spans="1:11" ht="32.25" customHeight="1" x14ac:dyDescent="0.2">
      <c r="A14" s="14" t="s">
        <v>1</v>
      </c>
      <c r="B14" s="33" t="s">
        <v>1309</v>
      </c>
      <c r="C14" s="52">
        <v>2</v>
      </c>
      <c r="D14" s="170">
        <v>2.8580000000000001</v>
      </c>
      <c r="E14" s="170">
        <v>0</v>
      </c>
      <c r="F14" s="171"/>
      <c r="G14" s="172">
        <v>4.1100000000000003</v>
      </c>
      <c r="H14" s="173"/>
      <c r="I14" s="173"/>
      <c r="J14" s="174"/>
      <c r="K14" s="35">
        <v>907</v>
      </c>
    </row>
    <row r="15" spans="1:11" ht="32.25" customHeight="1" x14ac:dyDescent="0.2">
      <c r="A15" s="14" t="s">
        <v>11</v>
      </c>
      <c r="B15" s="33" t="s">
        <v>1310</v>
      </c>
      <c r="C15" s="52">
        <v>2</v>
      </c>
      <c r="D15" s="170">
        <v>0</v>
      </c>
      <c r="E15" s="34"/>
      <c r="F15" s="171"/>
      <c r="G15" s="173"/>
      <c r="H15" s="173"/>
      <c r="I15" s="173"/>
      <c r="J15" s="174"/>
      <c r="K15" s="35" t="s">
        <v>1311</v>
      </c>
    </row>
    <row r="16" spans="1:11" ht="32.25" customHeight="1" x14ac:dyDescent="0.2">
      <c r="A16" s="14" t="s">
        <v>12</v>
      </c>
      <c r="B16" s="36">
        <v>952</v>
      </c>
      <c r="C16" s="52">
        <v>3</v>
      </c>
      <c r="D16" s="170">
        <v>1.403</v>
      </c>
      <c r="E16" s="34"/>
      <c r="F16" s="171"/>
      <c r="G16" s="172">
        <v>4.1100000000000003</v>
      </c>
      <c r="H16" s="173"/>
      <c r="I16" s="173"/>
      <c r="J16" s="174"/>
      <c r="K16" s="35" t="s">
        <v>1312</v>
      </c>
    </row>
    <row r="17" spans="1:11" ht="32.25" customHeight="1" x14ac:dyDescent="0.2">
      <c r="A17" s="14" t="s">
        <v>13</v>
      </c>
      <c r="B17" s="33" t="s">
        <v>1313</v>
      </c>
      <c r="C17" s="52">
        <v>4</v>
      </c>
      <c r="D17" s="170">
        <v>2.0070000000000001</v>
      </c>
      <c r="E17" s="170">
        <v>0</v>
      </c>
      <c r="F17" s="171"/>
      <c r="G17" s="172">
        <v>4.1100000000000003</v>
      </c>
      <c r="H17" s="173"/>
      <c r="I17" s="173"/>
      <c r="J17" s="174"/>
      <c r="K17" s="35">
        <v>957</v>
      </c>
    </row>
    <row r="18" spans="1:11" ht="32.25" customHeight="1" x14ac:dyDescent="0.2">
      <c r="A18" s="14" t="s">
        <v>14</v>
      </c>
      <c r="B18" s="33" t="s">
        <v>1314</v>
      </c>
      <c r="C18" s="52">
        <v>4</v>
      </c>
      <c r="D18" s="170">
        <v>0.01</v>
      </c>
      <c r="E18" s="34"/>
      <c r="F18" s="171"/>
      <c r="G18" s="173"/>
      <c r="H18" s="173"/>
      <c r="I18" s="173"/>
      <c r="J18" s="174"/>
      <c r="K18" s="35">
        <v>965</v>
      </c>
    </row>
    <row r="19" spans="1:11" ht="32.25" customHeight="1" x14ac:dyDescent="0.2">
      <c r="A19" s="14" t="s">
        <v>2</v>
      </c>
      <c r="B19" s="36">
        <v>400</v>
      </c>
      <c r="C19" s="52" t="s">
        <v>20</v>
      </c>
      <c r="D19" s="170">
        <v>2.0190000000000001</v>
      </c>
      <c r="E19" s="170">
        <v>0</v>
      </c>
      <c r="F19" s="171"/>
      <c r="G19" s="172">
        <v>41.44</v>
      </c>
      <c r="H19" s="173"/>
      <c r="I19" s="173"/>
      <c r="J19" s="174"/>
      <c r="K19" s="35">
        <v>404</v>
      </c>
    </row>
    <row r="20" spans="1:11" ht="32.25" customHeight="1" x14ac:dyDescent="0.2">
      <c r="A20" s="14" t="s">
        <v>15</v>
      </c>
      <c r="B20" s="34"/>
      <c r="C20" s="52" t="s">
        <v>20</v>
      </c>
      <c r="D20" s="170">
        <v>0.95799999999999996</v>
      </c>
      <c r="E20" s="170">
        <v>0</v>
      </c>
      <c r="F20" s="171"/>
      <c r="G20" s="172">
        <v>8.08</v>
      </c>
      <c r="H20" s="173"/>
      <c r="I20" s="173"/>
      <c r="J20" s="174"/>
      <c r="K20" s="35"/>
    </row>
    <row r="21" spans="1:11" ht="32.25" customHeight="1" x14ac:dyDescent="0.2">
      <c r="A21" s="14" t="s">
        <v>16</v>
      </c>
      <c r="B21" s="34"/>
      <c r="C21" s="52" t="s">
        <v>20</v>
      </c>
      <c r="D21" s="170">
        <v>0.33500000000000002</v>
      </c>
      <c r="E21" s="170">
        <v>0</v>
      </c>
      <c r="F21" s="171"/>
      <c r="G21" s="172">
        <v>75</v>
      </c>
      <c r="H21" s="173"/>
      <c r="I21" s="173"/>
      <c r="J21" s="174"/>
      <c r="K21" s="35"/>
    </row>
    <row r="22" spans="1:11" ht="32.25" customHeight="1" x14ac:dyDescent="0.2">
      <c r="A22" s="14" t="s">
        <v>557</v>
      </c>
      <c r="B22" s="33" t="s">
        <v>811</v>
      </c>
      <c r="C22" s="52">
        <v>0</v>
      </c>
      <c r="D22" s="175">
        <v>9.9830000000000005</v>
      </c>
      <c r="E22" s="176">
        <v>0.88100000000000001</v>
      </c>
      <c r="F22" s="177">
        <v>0</v>
      </c>
      <c r="G22" s="172">
        <v>4.1100000000000003</v>
      </c>
      <c r="H22" s="173"/>
      <c r="I22" s="173"/>
      <c r="J22" s="174"/>
      <c r="K22" s="35"/>
    </row>
    <row r="23" spans="1:11" ht="32.25" customHeight="1" x14ac:dyDescent="0.2">
      <c r="A23" s="14" t="s">
        <v>558</v>
      </c>
      <c r="B23" s="33" t="s">
        <v>812</v>
      </c>
      <c r="C23" s="52">
        <v>0</v>
      </c>
      <c r="D23" s="175">
        <v>5.625</v>
      </c>
      <c r="E23" s="176">
        <v>0.34899999999999998</v>
      </c>
      <c r="F23" s="177">
        <v>0</v>
      </c>
      <c r="G23" s="172">
        <v>4.58</v>
      </c>
      <c r="H23" s="173"/>
      <c r="I23" s="173"/>
      <c r="J23" s="174"/>
      <c r="K23" s="35"/>
    </row>
    <row r="24" spans="1:11" ht="32.25" customHeight="1" x14ac:dyDescent="0.2">
      <c r="A24" s="14" t="s">
        <v>17</v>
      </c>
      <c r="B24" s="35" t="s">
        <v>1324</v>
      </c>
      <c r="C24" s="52">
        <v>0</v>
      </c>
      <c r="D24" s="175">
        <v>4.7990000000000004</v>
      </c>
      <c r="E24" s="176">
        <v>0.189</v>
      </c>
      <c r="F24" s="177">
        <v>0</v>
      </c>
      <c r="G24" s="172">
        <v>9.69</v>
      </c>
      <c r="H24" s="172">
        <v>4.38</v>
      </c>
      <c r="I24" s="178">
        <v>6.75</v>
      </c>
      <c r="J24" s="179">
        <v>0.38700000000000001</v>
      </c>
      <c r="K24" s="35"/>
    </row>
    <row r="25" spans="1:11" ht="32.25" customHeight="1" x14ac:dyDescent="0.2">
      <c r="A25" s="14" t="s">
        <v>18</v>
      </c>
      <c r="B25" s="35" t="s">
        <v>1325</v>
      </c>
      <c r="C25" s="52">
        <v>0</v>
      </c>
      <c r="D25" s="175">
        <v>3.0979999999999999</v>
      </c>
      <c r="E25" s="176">
        <v>0</v>
      </c>
      <c r="F25" s="177">
        <v>0</v>
      </c>
      <c r="G25" s="172">
        <v>8.08</v>
      </c>
      <c r="H25" s="172">
        <v>7.79</v>
      </c>
      <c r="I25" s="178">
        <v>8.85</v>
      </c>
      <c r="J25" s="179">
        <v>0.23400000000000001</v>
      </c>
      <c r="K25" s="35"/>
    </row>
    <row r="26" spans="1:11" ht="32.25" customHeight="1" x14ac:dyDescent="0.2">
      <c r="A26" s="14" t="s">
        <v>19</v>
      </c>
      <c r="B26" s="35" t="s">
        <v>1326</v>
      </c>
      <c r="C26" s="52">
        <v>0</v>
      </c>
      <c r="D26" s="175">
        <v>2.403</v>
      </c>
      <c r="E26" s="176">
        <v>0</v>
      </c>
      <c r="F26" s="177">
        <v>0</v>
      </c>
      <c r="G26" s="172">
        <v>75</v>
      </c>
      <c r="H26" s="172">
        <v>7.79</v>
      </c>
      <c r="I26" s="178">
        <v>8.75</v>
      </c>
      <c r="J26" s="179">
        <v>0.20100000000000001</v>
      </c>
      <c r="K26" s="35"/>
    </row>
    <row r="27" spans="1:11" ht="32.25" customHeight="1" x14ac:dyDescent="0.2">
      <c r="A27" s="14" t="s">
        <v>180</v>
      </c>
      <c r="B27" s="35" t="s">
        <v>826</v>
      </c>
      <c r="C27" s="52">
        <v>8</v>
      </c>
      <c r="D27" s="170">
        <v>2.5750000000000002</v>
      </c>
      <c r="E27" s="34"/>
      <c r="F27" s="171"/>
      <c r="G27" s="173"/>
      <c r="H27" s="173"/>
      <c r="I27" s="173"/>
      <c r="J27" s="174"/>
      <c r="K27" s="35"/>
    </row>
    <row r="28" spans="1:11" ht="32.25" customHeight="1" x14ac:dyDescent="0.2">
      <c r="A28" s="14" t="s">
        <v>181</v>
      </c>
      <c r="B28" s="35" t="s">
        <v>827</v>
      </c>
      <c r="C28" s="52">
        <v>1</v>
      </c>
      <c r="D28" s="170">
        <v>2.1269999999999998</v>
      </c>
      <c r="E28" s="34"/>
      <c r="F28" s="171"/>
      <c r="G28" s="173"/>
      <c r="H28" s="173"/>
      <c r="I28" s="173"/>
      <c r="J28" s="174"/>
      <c r="K28" s="35"/>
    </row>
    <row r="29" spans="1:11" ht="32.25" customHeight="1" x14ac:dyDescent="0.2">
      <c r="A29" s="14" t="s">
        <v>182</v>
      </c>
      <c r="B29" s="35" t="s">
        <v>828</v>
      </c>
      <c r="C29" s="52">
        <v>1</v>
      </c>
      <c r="D29" s="170">
        <v>3.9590000000000001</v>
      </c>
      <c r="E29" s="34"/>
      <c r="F29" s="171"/>
      <c r="G29" s="173"/>
      <c r="H29" s="173"/>
      <c r="I29" s="173"/>
      <c r="J29" s="174"/>
      <c r="K29" s="35"/>
    </row>
    <row r="30" spans="1:11" ht="32.25" customHeight="1" x14ac:dyDescent="0.2">
      <c r="A30" s="14" t="s">
        <v>183</v>
      </c>
      <c r="B30" s="35" t="s">
        <v>829</v>
      </c>
      <c r="C30" s="52">
        <v>1</v>
      </c>
      <c r="D30" s="170">
        <v>3.0569999999999999</v>
      </c>
      <c r="E30" s="34"/>
      <c r="F30" s="171"/>
      <c r="G30" s="173"/>
      <c r="H30" s="173"/>
      <c r="I30" s="173"/>
      <c r="J30" s="174"/>
      <c r="K30" s="35"/>
    </row>
    <row r="31" spans="1:11" ht="32.25" customHeight="1" x14ac:dyDescent="0.2">
      <c r="A31" s="14" t="s">
        <v>3</v>
      </c>
      <c r="B31" s="35" t="s">
        <v>813</v>
      </c>
      <c r="C31" s="52">
        <v>0</v>
      </c>
      <c r="D31" s="180">
        <v>31.396000000000001</v>
      </c>
      <c r="E31" s="181">
        <v>2.0569999999999999</v>
      </c>
      <c r="F31" s="177">
        <v>0.14799999999999999</v>
      </c>
      <c r="G31" s="173"/>
      <c r="H31" s="173"/>
      <c r="I31" s="173"/>
      <c r="J31" s="174"/>
      <c r="K31" s="35"/>
    </row>
    <row r="32" spans="1:11" ht="32.25" customHeight="1" x14ac:dyDescent="0.2">
      <c r="A32" s="14" t="s">
        <v>559</v>
      </c>
      <c r="B32" s="36">
        <v>762</v>
      </c>
      <c r="C32" s="52" t="s">
        <v>830</v>
      </c>
      <c r="D32" s="170">
        <v>-1.216</v>
      </c>
      <c r="E32" s="34"/>
      <c r="F32" s="171"/>
      <c r="G32" s="172">
        <v>0</v>
      </c>
      <c r="H32" s="173"/>
      <c r="I32" s="173"/>
      <c r="J32" s="174"/>
      <c r="K32" s="35" t="s">
        <v>1315</v>
      </c>
    </row>
    <row r="33" spans="1:11" ht="32.25" customHeight="1" x14ac:dyDescent="0.2">
      <c r="A33" s="14" t="s">
        <v>10</v>
      </c>
      <c r="B33" s="34"/>
      <c r="C33" s="52">
        <v>8</v>
      </c>
      <c r="D33" s="170">
        <v>-1.08</v>
      </c>
      <c r="E33" s="34"/>
      <c r="F33" s="171"/>
      <c r="G33" s="172">
        <v>0</v>
      </c>
      <c r="H33" s="173"/>
      <c r="I33" s="173"/>
      <c r="J33" s="174"/>
      <c r="K33" s="35"/>
    </row>
    <row r="34" spans="1:11" ht="32.25" customHeight="1" x14ac:dyDescent="0.2">
      <c r="A34" s="14" t="s">
        <v>4</v>
      </c>
      <c r="B34" s="35" t="s">
        <v>814</v>
      </c>
      <c r="C34" s="52">
        <v>0</v>
      </c>
      <c r="D34" s="170">
        <v>-1.216</v>
      </c>
      <c r="E34" s="34"/>
      <c r="F34" s="171"/>
      <c r="G34" s="172">
        <v>0</v>
      </c>
      <c r="H34" s="173"/>
      <c r="I34" s="173"/>
      <c r="J34" s="179">
        <v>0.36399999999999999</v>
      </c>
      <c r="K34" s="35"/>
    </row>
    <row r="35" spans="1:11" ht="32.25" customHeight="1" x14ac:dyDescent="0.2">
      <c r="A35" s="14" t="s">
        <v>682</v>
      </c>
      <c r="B35" s="35" t="s">
        <v>815</v>
      </c>
      <c r="C35" s="52">
        <v>0</v>
      </c>
      <c r="D35" s="170">
        <v>-1.216</v>
      </c>
      <c r="E35" s="34"/>
      <c r="F35" s="171"/>
      <c r="G35" s="172">
        <v>0</v>
      </c>
      <c r="H35" s="173"/>
      <c r="I35" s="173"/>
      <c r="J35" s="174"/>
      <c r="K35" s="35"/>
    </row>
    <row r="36" spans="1:11" ht="32.25" customHeight="1" x14ac:dyDescent="0.2">
      <c r="A36" s="14" t="s">
        <v>5</v>
      </c>
      <c r="B36" s="35" t="s">
        <v>816</v>
      </c>
      <c r="C36" s="52">
        <v>0</v>
      </c>
      <c r="D36" s="182">
        <v>-5.6289999999999996</v>
      </c>
      <c r="E36" s="176">
        <v>-0.69199999999999995</v>
      </c>
      <c r="F36" s="183">
        <v>-7.0000000000000001E-3</v>
      </c>
      <c r="G36" s="172">
        <v>0</v>
      </c>
      <c r="H36" s="173"/>
      <c r="I36" s="173"/>
      <c r="J36" s="179">
        <v>0.36399999999999999</v>
      </c>
      <c r="K36" s="35"/>
    </row>
    <row r="37" spans="1:11" ht="32.25" customHeight="1" x14ac:dyDescent="0.2">
      <c r="A37" s="14" t="s">
        <v>683</v>
      </c>
      <c r="B37" s="35" t="s">
        <v>817</v>
      </c>
      <c r="C37" s="52">
        <v>0</v>
      </c>
      <c r="D37" s="182">
        <v>-5.6289999999999996</v>
      </c>
      <c r="E37" s="176">
        <v>-0.69199999999999995</v>
      </c>
      <c r="F37" s="183">
        <v>-7.0000000000000001E-3</v>
      </c>
      <c r="G37" s="172">
        <v>0</v>
      </c>
      <c r="H37" s="173"/>
      <c r="I37" s="173"/>
      <c r="J37" s="174"/>
      <c r="K37" s="35"/>
    </row>
    <row r="38" spans="1:11" ht="32.25" customHeight="1" x14ac:dyDescent="0.2">
      <c r="A38" s="14" t="s">
        <v>6</v>
      </c>
      <c r="B38" s="35" t="s">
        <v>818</v>
      </c>
      <c r="C38" s="52">
        <v>0</v>
      </c>
      <c r="D38" s="170">
        <v>-1.08</v>
      </c>
      <c r="E38" s="34"/>
      <c r="F38" s="171"/>
      <c r="G38" s="172">
        <v>0</v>
      </c>
      <c r="H38" s="173"/>
      <c r="I38" s="173"/>
      <c r="J38" s="179">
        <v>0.32500000000000001</v>
      </c>
      <c r="K38" s="35"/>
    </row>
    <row r="39" spans="1:11" ht="32.25" customHeight="1" x14ac:dyDescent="0.2">
      <c r="A39" s="14" t="s">
        <v>684</v>
      </c>
      <c r="B39" s="35" t="s">
        <v>819</v>
      </c>
      <c r="C39" s="52">
        <v>0</v>
      </c>
      <c r="D39" s="170">
        <v>-1.08</v>
      </c>
      <c r="E39" s="34"/>
      <c r="F39" s="171"/>
      <c r="G39" s="172">
        <v>0</v>
      </c>
      <c r="H39" s="173"/>
      <c r="I39" s="173"/>
      <c r="J39" s="174"/>
      <c r="K39" s="35"/>
    </row>
    <row r="40" spans="1:11" ht="32.25" customHeight="1" x14ac:dyDescent="0.2">
      <c r="A40" s="14" t="s">
        <v>7</v>
      </c>
      <c r="B40" s="35" t="s">
        <v>820</v>
      </c>
      <c r="C40" s="52">
        <v>0</v>
      </c>
      <c r="D40" s="182">
        <v>-5.0410000000000004</v>
      </c>
      <c r="E40" s="176">
        <v>-0.59099999999999997</v>
      </c>
      <c r="F40" s="183">
        <v>-6.0000000000000001E-3</v>
      </c>
      <c r="G40" s="172">
        <v>0</v>
      </c>
      <c r="H40" s="173"/>
      <c r="I40" s="173"/>
      <c r="J40" s="179">
        <v>0.32500000000000001</v>
      </c>
      <c r="K40" s="35"/>
    </row>
    <row r="41" spans="1:11" ht="32.25" customHeight="1" x14ac:dyDescent="0.2">
      <c r="A41" s="14" t="s">
        <v>685</v>
      </c>
      <c r="B41" s="35" t="s">
        <v>821</v>
      </c>
      <c r="C41" s="52">
        <v>0</v>
      </c>
      <c r="D41" s="182">
        <v>-5.0410000000000004</v>
      </c>
      <c r="E41" s="176">
        <v>-0.59099999999999997</v>
      </c>
      <c r="F41" s="183">
        <v>-6.0000000000000001E-3</v>
      </c>
      <c r="G41" s="172">
        <v>0</v>
      </c>
      <c r="H41" s="173"/>
      <c r="I41" s="173"/>
      <c r="J41" s="174"/>
      <c r="K41" s="35"/>
    </row>
    <row r="42" spans="1:11" ht="32.25" customHeight="1" x14ac:dyDescent="0.2">
      <c r="A42" s="14" t="s">
        <v>8</v>
      </c>
      <c r="B42" s="35" t="s">
        <v>822</v>
      </c>
      <c r="C42" s="52">
        <v>0</v>
      </c>
      <c r="D42" s="170">
        <v>-0.7</v>
      </c>
      <c r="E42" s="34"/>
      <c r="F42" s="171"/>
      <c r="G42" s="172">
        <v>7.07</v>
      </c>
      <c r="H42" s="173"/>
      <c r="I42" s="173"/>
      <c r="J42" s="179">
        <v>0.27900000000000003</v>
      </c>
      <c r="K42" s="35"/>
    </row>
    <row r="43" spans="1:11" ht="32.25" customHeight="1" x14ac:dyDescent="0.2">
      <c r="A43" s="14" t="s">
        <v>686</v>
      </c>
      <c r="B43" s="35" t="s">
        <v>823</v>
      </c>
      <c r="C43" s="52">
        <v>0</v>
      </c>
      <c r="D43" s="170">
        <v>-0.7</v>
      </c>
      <c r="E43" s="34"/>
      <c r="F43" s="171"/>
      <c r="G43" s="172">
        <v>7.07</v>
      </c>
      <c r="H43" s="173"/>
      <c r="I43" s="173"/>
      <c r="J43" s="174"/>
      <c r="K43" s="35"/>
    </row>
    <row r="44" spans="1:11" ht="32.25" customHeight="1" x14ac:dyDescent="0.2">
      <c r="A44" s="14" t="s">
        <v>9</v>
      </c>
      <c r="B44" s="35" t="s">
        <v>824</v>
      </c>
      <c r="C44" s="52">
        <v>0</v>
      </c>
      <c r="D44" s="182">
        <v>-3.4169999999999998</v>
      </c>
      <c r="E44" s="176">
        <v>-0.29199999999999998</v>
      </c>
      <c r="F44" s="183">
        <v>-3.0000000000000001E-3</v>
      </c>
      <c r="G44" s="172">
        <v>7.07</v>
      </c>
      <c r="H44" s="173"/>
      <c r="I44" s="173"/>
      <c r="J44" s="179">
        <v>0.27900000000000003</v>
      </c>
      <c r="K44" s="35"/>
    </row>
    <row r="45" spans="1:11" ht="27.75" customHeight="1" x14ac:dyDescent="0.2">
      <c r="A45" s="14" t="s">
        <v>687</v>
      </c>
      <c r="B45" s="35" t="s">
        <v>825</v>
      </c>
      <c r="C45" s="52">
        <v>0</v>
      </c>
      <c r="D45" s="182">
        <v>-3.4169999999999998</v>
      </c>
      <c r="E45" s="176">
        <v>-0.29199999999999998</v>
      </c>
      <c r="F45" s="183">
        <v>-3.0000000000000001E-3</v>
      </c>
      <c r="G45" s="172">
        <v>7.07</v>
      </c>
      <c r="H45" s="173"/>
      <c r="I45" s="173"/>
      <c r="J45" s="174"/>
      <c r="K45" s="35"/>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C7:D7"/>
    <mergeCell ref="B8:E8"/>
    <mergeCell ref="E1:K1"/>
    <mergeCell ref="B1:D1"/>
    <mergeCell ref="A2:K2"/>
    <mergeCell ref="C5:D5"/>
    <mergeCell ref="C6:D6"/>
    <mergeCell ref="G5:H5"/>
    <mergeCell ref="G6:H6"/>
    <mergeCell ref="G4:K4"/>
    <mergeCell ref="A4:E4"/>
    <mergeCell ref="G10:H10"/>
    <mergeCell ref="I10:K10"/>
    <mergeCell ref="G7:H7"/>
    <mergeCell ref="G8:H8"/>
    <mergeCell ref="G9:H9"/>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57"/>
  <sheetViews>
    <sheetView zoomScale="85" zoomScaleNormal="85" zoomScaleSheetLayoutView="100" workbookViewId="0">
      <selection activeCell="F48" sqref="F48"/>
    </sheetView>
  </sheetViews>
  <sheetFormatPr defaultRowHeight="27.75" customHeight="1" x14ac:dyDescent="0.2"/>
  <cols>
    <col min="1" max="1" width="14.5703125" style="43" customWidth="1"/>
    <col min="2" max="2" width="8.5703125" style="43" bestFit="1" customWidth="1"/>
    <col min="3" max="3" width="17.140625" style="43" customWidth="1"/>
    <col min="4" max="4" width="14.7109375" style="49" customWidth="1"/>
    <col min="5" max="5" width="8.5703125" style="49" bestFit="1" customWidth="1"/>
    <col min="6" max="6" width="17.28515625" style="49" customWidth="1"/>
    <col min="7" max="7" width="21.5703125" style="49" customWidth="1"/>
    <col min="8" max="8" width="14.7109375" style="49" customWidth="1"/>
    <col min="9" max="9" width="14.7109375" style="50" customWidth="1"/>
    <col min="10" max="11" width="14.7109375" style="51" customWidth="1"/>
    <col min="12" max="15" width="14.7109375" style="43" customWidth="1"/>
    <col min="16" max="17" width="15.5703125" style="43" customWidth="1"/>
    <col min="18" max="16384" width="9.140625" style="43"/>
  </cols>
  <sheetData>
    <row r="1" spans="1:15" ht="66.75" customHeight="1" x14ac:dyDescent="0.2">
      <c r="A1" s="41" t="s">
        <v>86</v>
      </c>
      <c r="B1" s="41"/>
      <c r="C1" s="243" t="s">
        <v>1291</v>
      </c>
      <c r="D1" s="243"/>
      <c r="E1" s="42"/>
      <c r="F1" s="242" t="s">
        <v>788</v>
      </c>
      <c r="G1" s="242"/>
      <c r="H1" s="242"/>
      <c r="I1" s="242"/>
      <c r="J1" s="242"/>
      <c r="K1" s="242"/>
      <c r="L1" s="242"/>
      <c r="M1" s="242"/>
      <c r="N1" s="242"/>
      <c r="O1" s="242"/>
    </row>
    <row r="2" spans="1:15" s="44" customFormat="1" ht="25.5" customHeight="1" x14ac:dyDescent="0.2">
      <c r="A2" s="229" t="str">
        <f>Overview!B4&amp; " - Effective from "&amp;Overview!D4&amp;" - "&amp;Overview!E4&amp;" EDCM charges"</f>
        <v>London Power Networks - Effective from 1 April 2020 - Final EDCM charges</v>
      </c>
      <c r="B2" s="229"/>
      <c r="C2" s="229"/>
      <c r="D2" s="229"/>
      <c r="E2" s="229"/>
      <c r="F2" s="229"/>
      <c r="G2" s="229"/>
      <c r="H2" s="229"/>
      <c r="I2" s="229"/>
      <c r="J2" s="229"/>
      <c r="K2" s="229"/>
      <c r="L2" s="229"/>
      <c r="M2" s="229"/>
      <c r="N2" s="229"/>
      <c r="O2" s="229"/>
    </row>
    <row r="3" spans="1:15" s="73" customFormat="1" ht="10.5" customHeight="1" x14ac:dyDescent="0.2">
      <c r="A3" s="70"/>
      <c r="B3" s="70"/>
      <c r="C3" s="70"/>
      <c r="D3" s="70"/>
      <c r="E3" s="70"/>
      <c r="F3" s="70"/>
      <c r="G3" s="70"/>
      <c r="H3" s="70"/>
      <c r="I3" s="70"/>
      <c r="J3" s="70"/>
      <c r="K3" s="70"/>
      <c r="L3" s="70"/>
      <c r="M3" s="70"/>
      <c r="N3" s="70"/>
      <c r="O3" s="70"/>
    </row>
    <row r="4" spans="1:15" s="73" customFormat="1" ht="25.5" customHeight="1" x14ac:dyDescent="0.2">
      <c r="A4" s="229" t="s">
        <v>494</v>
      </c>
      <c r="B4" s="229"/>
      <c r="C4" s="229"/>
      <c r="D4" s="229"/>
      <c r="E4" s="229"/>
      <c r="F4" s="229"/>
      <c r="G4" s="70"/>
      <c r="H4" s="70"/>
      <c r="I4" s="70"/>
      <c r="J4" s="70"/>
      <c r="K4" s="70"/>
      <c r="L4" s="70"/>
      <c r="M4" s="70"/>
      <c r="N4" s="70"/>
      <c r="O4" s="70"/>
    </row>
    <row r="5" spans="1:15" s="73" customFormat="1" ht="25.5" customHeight="1" x14ac:dyDescent="0.2">
      <c r="A5" s="239" t="s">
        <v>80</v>
      </c>
      <c r="B5" s="240"/>
      <c r="C5" s="240"/>
      <c r="D5" s="241" t="s">
        <v>489</v>
      </c>
      <c r="E5" s="241"/>
      <c r="F5" s="241"/>
      <c r="G5" s="70"/>
      <c r="H5" s="70"/>
      <c r="I5" s="70"/>
      <c r="J5" s="70"/>
      <c r="K5" s="70"/>
      <c r="L5" s="70"/>
      <c r="M5" s="70"/>
      <c r="N5" s="70"/>
      <c r="O5" s="70"/>
    </row>
    <row r="6" spans="1:15" s="73" customFormat="1" ht="48" customHeight="1" x14ac:dyDescent="0.2">
      <c r="A6" s="221" t="s">
        <v>713</v>
      </c>
      <c r="B6" s="221"/>
      <c r="C6" s="221"/>
      <c r="D6" s="232" t="s">
        <v>714</v>
      </c>
      <c r="E6" s="232"/>
      <c r="F6" s="232"/>
      <c r="G6" s="70"/>
      <c r="H6" s="70"/>
      <c r="I6" s="70"/>
      <c r="J6" s="70"/>
      <c r="K6" s="70"/>
      <c r="L6" s="70"/>
      <c r="M6" s="70"/>
      <c r="N6" s="70"/>
      <c r="O6" s="70"/>
    </row>
    <row r="7" spans="1:15" s="73" customFormat="1" ht="44.25" customHeight="1" x14ac:dyDescent="0.2">
      <c r="A7" s="221" t="s">
        <v>488</v>
      </c>
      <c r="B7" s="221"/>
      <c r="C7" s="221"/>
      <c r="D7" s="232" t="s">
        <v>693</v>
      </c>
      <c r="E7" s="232"/>
      <c r="F7" s="232"/>
      <c r="G7" s="70"/>
      <c r="H7" s="70"/>
      <c r="I7" s="70"/>
      <c r="J7" s="70"/>
      <c r="K7" s="70"/>
      <c r="L7" s="70"/>
      <c r="M7" s="70"/>
      <c r="N7" s="70"/>
      <c r="O7" s="70"/>
    </row>
    <row r="8" spans="1:15" s="73" customFormat="1" ht="17.25" customHeight="1" x14ac:dyDescent="0.2">
      <c r="A8" s="221" t="s">
        <v>81</v>
      </c>
      <c r="B8" s="221"/>
      <c r="C8" s="221"/>
      <c r="D8" s="238" t="s">
        <v>699</v>
      </c>
      <c r="E8" s="238"/>
      <c r="F8" s="238"/>
      <c r="G8" s="70"/>
      <c r="H8" s="70"/>
      <c r="I8" s="70"/>
      <c r="J8" s="70"/>
      <c r="K8" s="70"/>
      <c r="L8" s="70"/>
      <c r="M8" s="70"/>
      <c r="N8" s="70"/>
      <c r="O8" s="70"/>
    </row>
    <row r="9" spans="1:15" s="73" customFormat="1" ht="10.5" customHeight="1" x14ac:dyDescent="0.2">
      <c r="A9" s="70"/>
      <c r="B9" s="70"/>
      <c r="C9" s="70"/>
      <c r="D9" s="70"/>
      <c r="E9" s="70"/>
      <c r="F9" s="70"/>
      <c r="G9" s="70"/>
      <c r="H9" s="70"/>
      <c r="I9" s="70"/>
      <c r="J9" s="70"/>
      <c r="K9" s="70"/>
      <c r="L9" s="70"/>
      <c r="M9" s="70"/>
      <c r="N9" s="70"/>
      <c r="O9" s="70"/>
    </row>
    <row r="10" spans="1:15" ht="63.75" customHeight="1" x14ac:dyDescent="0.2">
      <c r="A10" s="45" t="s">
        <v>479</v>
      </c>
      <c r="B10" s="46" t="s">
        <v>467</v>
      </c>
      <c r="C10" s="45" t="s">
        <v>468</v>
      </c>
      <c r="D10" s="45" t="s">
        <v>481</v>
      </c>
      <c r="E10" s="46" t="s">
        <v>467</v>
      </c>
      <c r="F10" s="45" t="s">
        <v>469</v>
      </c>
      <c r="G10" s="47" t="s">
        <v>179</v>
      </c>
      <c r="H10" s="48" t="s">
        <v>618</v>
      </c>
      <c r="I10" s="47" t="s">
        <v>482</v>
      </c>
      <c r="J10" s="47" t="s">
        <v>614</v>
      </c>
      <c r="K10" s="130" t="s">
        <v>676</v>
      </c>
      <c r="L10" s="48" t="s">
        <v>619</v>
      </c>
      <c r="M10" s="47" t="s">
        <v>483</v>
      </c>
      <c r="N10" s="47" t="s">
        <v>615</v>
      </c>
      <c r="O10" s="130" t="s">
        <v>677</v>
      </c>
    </row>
    <row r="11" spans="1:15" ht="25.5" x14ac:dyDescent="0.2">
      <c r="A11" s="207" t="s">
        <v>1265</v>
      </c>
      <c r="B11" s="154">
        <v>810</v>
      </c>
      <c r="C11" s="167" t="s">
        <v>1266</v>
      </c>
      <c r="D11" s="207"/>
      <c r="E11" s="154"/>
      <c r="F11" s="167"/>
      <c r="G11" s="207" t="s">
        <v>1265</v>
      </c>
      <c r="H11" s="157">
        <v>0.154</v>
      </c>
      <c r="I11" s="168">
        <v>389.69</v>
      </c>
      <c r="J11" s="158">
        <v>1.28</v>
      </c>
      <c r="K11" s="158">
        <v>1.28</v>
      </c>
      <c r="L11" s="159"/>
      <c r="M11" s="169"/>
      <c r="N11" s="160"/>
      <c r="O11" s="160"/>
    </row>
    <row r="12" spans="1:15" ht="15.75" customHeight="1" x14ac:dyDescent="0.2">
      <c r="A12" s="207" t="s">
        <v>779</v>
      </c>
      <c r="B12" s="154">
        <v>815</v>
      </c>
      <c r="C12" s="167">
        <v>1200060787109</v>
      </c>
      <c r="D12" s="207" t="s">
        <v>779</v>
      </c>
      <c r="E12" s="87">
        <v>711</v>
      </c>
      <c r="F12" s="87">
        <v>1200060787118</v>
      </c>
      <c r="G12" s="207" t="s">
        <v>779</v>
      </c>
      <c r="H12" s="157">
        <v>0</v>
      </c>
      <c r="I12" s="168">
        <v>329.57</v>
      </c>
      <c r="J12" s="158">
        <v>0.42</v>
      </c>
      <c r="K12" s="158">
        <v>0.42</v>
      </c>
      <c r="L12" s="159">
        <v>0</v>
      </c>
      <c r="M12" s="169">
        <v>624.24</v>
      </c>
      <c r="N12" s="160">
        <v>0.05</v>
      </c>
      <c r="O12" s="160">
        <v>0.05</v>
      </c>
    </row>
    <row r="13" spans="1:15" ht="25.5" x14ac:dyDescent="0.2">
      <c r="A13" s="207" t="s">
        <v>736</v>
      </c>
      <c r="B13" s="154">
        <v>811</v>
      </c>
      <c r="C13" s="167" t="s">
        <v>807</v>
      </c>
      <c r="D13" s="207"/>
      <c r="E13" s="156"/>
      <c r="F13" s="87"/>
      <c r="G13" s="207" t="s">
        <v>736</v>
      </c>
      <c r="H13" s="157">
        <v>0.15</v>
      </c>
      <c r="I13" s="168">
        <v>389.69</v>
      </c>
      <c r="J13" s="158">
        <v>0.91</v>
      </c>
      <c r="K13" s="158">
        <v>0.91</v>
      </c>
      <c r="L13" s="159"/>
      <c r="M13" s="169"/>
      <c r="N13" s="160"/>
      <c r="O13" s="160"/>
    </row>
    <row r="14" spans="1:15" ht="25.5" x14ac:dyDescent="0.2">
      <c r="A14" s="207" t="s">
        <v>737</v>
      </c>
      <c r="B14" s="154">
        <v>820</v>
      </c>
      <c r="C14" s="167" t="s">
        <v>789</v>
      </c>
      <c r="D14" s="207"/>
      <c r="E14" s="87"/>
      <c r="F14" s="87"/>
      <c r="G14" s="207" t="s">
        <v>737</v>
      </c>
      <c r="H14" s="157">
        <v>0.153</v>
      </c>
      <c r="I14" s="168">
        <v>194.85</v>
      </c>
      <c r="J14" s="158">
        <v>1.06</v>
      </c>
      <c r="K14" s="158">
        <v>1.06</v>
      </c>
      <c r="L14" s="159"/>
      <c r="M14" s="169"/>
      <c r="N14" s="160"/>
      <c r="O14" s="160"/>
    </row>
    <row r="15" spans="1:15" ht="25.5" x14ac:dyDescent="0.2">
      <c r="A15" s="207" t="s">
        <v>738</v>
      </c>
      <c r="B15" s="154">
        <v>821</v>
      </c>
      <c r="C15" s="167" t="s">
        <v>790</v>
      </c>
      <c r="D15" s="207"/>
      <c r="E15" s="87"/>
      <c r="F15" s="87"/>
      <c r="G15" s="207" t="s">
        <v>738</v>
      </c>
      <c r="H15" s="157">
        <v>0.14499999999999999</v>
      </c>
      <c r="I15" s="168">
        <v>194.85</v>
      </c>
      <c r="J15" s="158">
        <v>0.97</v>
      </c>
      <c r="K15" s="158">
        <v>0.97</v>
      </c>
      <c r="L15" s="159"/>
      <c r="M15" s="169"/>
      <c r="N15" s="160"/>
      <c r="O15" s="160"/>
    </row>
    <row r="16" spans="1:15" ht="25.5" x14ac:dyDescent="0.2">
      <c r="A16" s="207" t="s">
        <v>739</v>
      </c>
      <c r="B16" s="154">
        <v>805</v>
      </c>
      <c r="C16" s="167" t="s">
        <v>791</v>
      </c>
      <c r="D16" s="207"/>
      <c r="E16" s="87"/>
      <c r="F16" s="87"/>
      <c r="G16" s="207" t="s">
        <v>739</v>
      </c>
      <c r="H16" s="157">
        <v>0.13</v>
      </c>
      <c r="I16" s="168">
        <v>194.85</v>
      </c>
      <c r="J16" s="158">
        <v>1.75</v>
      </c>
      <c r="K16" s="158">
        <v>1.75</v>
      </c>
      <c r="L16" s="159"/>
      <c r="M16" s="169"/>
      <c r="N16" s="160"/>
      <c r="O16" s="160"/>
    </row>
    <row r="17" spans="1:15" ht="25.5" x14ac:dyDescent="0.2">
      <c r="A17" s="207" t="s">
        <v>740</v>
      </c>
      <c r="B17" s="154">
        <v>829</v>
      </c>
      <c r="C17" s="167" t="s">
        <v>1267</v>
      </c>
      <c r="D17" s="207"/>
      <c r="E17" s="87"/>
      <c r="F17" s="87"/>
      <c r="G17" s="207" t="s">
        <v>740</v>
      </c>
      <c r="H17" s="157">
        <v>8.2000000000000003E-2</v>
      </c>
      <c r="I17" s="168">
        <v>389.69</v>
      </c>
      <c r="J17" s="158">
        <v>0.82</v>
      </c>
      <c r="K17" s="158">
        <v>0.82</v>
      </c>
      <c r="L17" s="159"/>
      <c r="M17" s="169"/>
      <c r="N17" s="160"/>
      <c r="O17" s="160"/>
    </row>
    <row r="18" spans="1:15" ht="15.75" customHeight="1" x14ac:dyDescent="0.2">
      <c r="A18" s="207" t="s">
        <v>741</v>
      </c>
      <c r="B18" s="154"/>
      <c r="C18" s="167" t="s">
        <v>782</v>
      </c>
      <c r="D18" s="207"/>
      <c r="E18" s="87"/>
      <c r="F18" s="87"/>
      <c r="G18" s="207" t="s">
        <v>741</v>
      </c>
      <c r="H18" s="157">
        <v>5.0999999999999997E-2</v>
      </c>
      <c r="I18" s="168">
        <v>0</v>
      </c>
      <c r="J18" s="158">
        <v>2.72</v>
      </c>
      <c r="K18" s="158">
        <v>2.72</v>
      </c>
      <c r="L18" s="159"/>
      <c r="M18" s="169"/>
      <c r="N18" s="160"/>
      <c r="O18" s="160"/>
    </row>
    <row r="19" spans="1:15" ht="25.5" x14ac:dyDescent="0.2">
      <c r="A19" s="207" t="s">
        <v>742</v>
      </c>
      <c r="B19" s="154">
        <v>812</v>
      </c>
      <c r="C19" s="167" t="s">
        <v>808</v>
      </c>
      <c r="D19" s="207"/>
      <c r="E19" s="87"/>
      <c r="F19" s="87"/>
      <c r="G19" s="207" t="s">
        <v>742</v>
      </c>
      <c r="H19" s="157">
        <v>0</v>
      </c>
      <c r="I19" s="168">
        <v>7390.14</v>
      </c>
      <c r="J19" s="158">
        <v>2.69</v>
      </c>
      <c r="K19" s="158">
        <v>2.69</v>
      </c>
      <c r="L19" s="159"/>
      <c r="M19" s="169"/>
      <c r="N19" s="160"/>
      <c r="O19" s="160"/>
    </row>
    <row r="20" spans="1:15" ht="15.75" customHeight="1" x14ac:dyDescent="0.2">
      <c r="A20" s="207" t="s">
        <v>743</v>
      </c>
      <c r="B20" s="154"/>
      <c r="C20" s="167" t="s">
        <v>783</v>
      </c>
      <c r="D20" s="207"/>
      <c r="E20" s="87"/>
      <c r="F20" s="87"/>
      <c r="G20" s="207" t="s">
        <v>743</v>
      </c>
      <c r="H20" s="157">
        <v>0.183</v>
      </c>
      <c r="I20" s="168">
        <v>0</v>
      </c>
      <c r="J20" s="158">
        <v>4.95</v>
      </c>
      <c r="K20" s="158">
        <v>4.95</v>
      </c>
      <c r="L20" s="159"/>
      <c r="M20" s="169"/>
      <c r="N20" s="160"/>
      <c r="O20" s="160"/>
    </row>
    <row r="21" spans="1:15" ht="15.75" customHeight="1" x14ac:dyDescent="0.2">
      <c r="A21" s="207" t="s">
        <v>744</v>
      </c>
      <c r="B21" s="154"/>
      <c r="C21" s="167" t="s">
        <v>783</v>
      </c>
      <c r="D21" s="207"/>
      <c r="E21" s="87"/>
      <c r="F21" s="87"/>
      <c r="G21" s="207" t="s">
        <v>744</v>
      </c>
      <c r="H21" s="157">
        <v>0.371</v>
      </c>
      <c r="I21" s="168">
        <v>0</v>
      </c>
      <c r="J21" s="158">
        <v>2.69</v>
      </c>
      <c r="K21" s="158">
        <v>2.69</v>
      </c>
      <c r="L21" s="159"/>
      <c r="M21" s="169"/>
      <c r="N21" s="160"/>
      <c r="O21" s="160"/>
    </row>
    <row r="22" spans="1:15" ht="15.75" customHeight="1" x14ac:dyDescent="0.2">
      <c r="A22" s="207" t="s">
        <v>745</v>
      </c>
      <c r="B22" s="154"/>
      <c r="C22" s="167" t="s">
        <v>784</v>
      </c>
      <c r="D22" s="207"/>
      <c r="E22" s="87"/>
      <c r="F22" s="87"/>
      <c r="G22" s="207" t="s">
        <v>745</v>
      </c>
      <c r="H22" s="157">
        <v>4.0000000000000001E-3</v>
      </c>
      <c r="I22" s="168">
        <v>0</v>
      </c>
      <c r="J22" s="158">
        <v>4.62</v>
      </c>
      <c r="K22" s="158">
        <v>4.62</v>
      </c>
      <c r="L22" s="159"/>
      <c r="M22" s="169"/>
      <c r="N22" s="160"/>
      <c r="O22" s="160"/>
    </row>
    <row r="23" spans="1:15" ht="25.5" x14ac:dyDescent="0.2">
      <c r="A23" s="207" t="s">
        <v>746</v>
      </c>
      <c r="B23" s="154">
        <v>813</v>
      </c>
      <c r="C23" s="167" t="s">
        <v>809</v>
      </c>
      <c r="D23" s="207"/>
      <c r="E23" s="87"/>
      <c r="F23" s="87"/>
      <c r="G23" s="207" t="s">
        <v>746</v>
      </c>
      <c r="H23" s="157">
        <v>0.154</v>
      </c>
      <c r="I23" s="168">
        <v>389.69</v>
      </c>
      <c r="J23" s="158">
        <v>1.73</v>
      </c>
      <c r="K23" s="158">
        <v>1.73</v>
      </c>
      <c r="L23" s="159"/>
      <c r="M23" s="169"/>
      <c r="N23" s="160"/>
      <c r="O23" s="160"/>
    </row>
    <row r="24" spans="1:15" ht="25.5" x14ac:dyDescent="0.2">
      <c r="A24" s="207" t="s">
        <v>747</v>
      </c>
      <c r="B24" s="154">
        <v>800</v>
      </c>
      <c r="C24" s="167" t="s">
        <v>792</v>
      </c>
      <c r="D24" s="207"/>
      <c r="E24" s="87"/>
      <c r="F24" s="87"/>
      <c r="G24" s="207" t="s">
        <v>747</v>
      </c>
      <c r="H24" s="157">
        <v>0.14699999999999999</v>
      </c>
      <c r="I24" s="168">
        <v>507.88</v>
      </c>
      <c r="J24" s="158">
        <v>2.4500000000000002</v>
      </c>
      <c r="K24" s="158">
        <v>2.4500000000000002</v>
      </c>
      <c r="L24" s="159"/>
      <c r="M24" s="169"/>
      <c r="N24" s="160"/>
      <c r="O24" s="160"/>
    </row>
    <row r="25" spans="1:15" ht="51" x14ac:dyDescent="0.2">
      <c r="A25" s="207" t="s">
        <v>748</v>
      </c>
      <c r="B25" s="154">
        <v>843</v>
      </c>
      <c r="C25" s="167" t="s">
        <v>793</v>
      </c>
      <c r="D25" s="207"/>
      <c r="E25" s="87"/>
      <c r="F25" s="87"/>
      <c r="G25" s="207" t="s">
        <v>748</v>
      </c>
      <c r="H25" s="157">
        <v>0</v>
      </c>
      <c r="I25" s="168">
        <v>7501.12</v>
      </c>
      <c r="J25" s="158">
        <v>3.68</v>
      </c>
      <c r="K25" s="158">
        <v>3.68</v>
      </c>
      <c r="L25" s="159"/>
      <c r="M25" s="169"/>
      <c r="N25" s="160"/>
      <c r="O25" s="160"/>
    </row>
    <row r="26" spans="1:15" ht="15.75" customHeight="1" x14ac:dyDescent="0.2">
      <c r="A26" s="207" t="s">
        <v>749</v>
      </c>
      <c r="B26" s="154"/>
      <c r="C26" s="167" t="s">
        <v>785</v>
      </c>
      <c r="D26" s="207"/>
      <c r="E26" s="87"/>
      <c r="F26" s="87"/>
      <c r="G26" s="207" t="s">
        <v>749</v>
      </c>
      <c r="H26" s="157">
        <v>0</v>
      </c>
      <c r="I26" s="168">
        <v>0</v>
      </c>
      <c r="J26" s="158">
        <v>1.08</v>
      </c>
      <c r="K26" s="158">
        <v>1.08</v>
      </c>
      <c r="L26" s="159"/>
      <c r="M26" s="169"/>
      <c r="N26" s="160"/>
      <c r="O26" s="160"/>
    </row>
    <row r="27" spans="1:15" ht="25.5" x14ac:dyDescent="0.2">
      <c r="A27" s="207" t="s">
        <v>750</v>
      </c>
      <c r="B27" s="154">
        <v>808</v>
      </c>
      <c r="C27" s="167" t="s">
        <v>794</v>
      </c>
      <c r="D27" s="207"/>
      <c r="E27" s="87"/>
      <c r="F27" s="87"/>
      <c r="G27" s="207" t="s">
        <v>750</v>
      </c>
      <c r="H27" s="157">
        <v>0.154</v>
      </c>
      <c r="I27" s="168">
        <v>436.97</v>
      </c>
      <c r="J27" s="158">
        <v>2.02</v>
      </c>
      <c r="K27" s="158">
        <v>2.02</v>
      </c>
      <c r="L27" s="159"/>
      <c r="M27" s="169"/>
      <c r="N27" s="160"/>
      <c r="O27" s="160"/>
    </row>
    <row r="28" spans="1:15" ht="25.5" x14ac:dyDescent="0.2">
      <c r="A28" s="207" t="s">
        <v>751</v>
      </c>
      <c r="B28" s="154">
        <v>814</v>
      </c>
      <c r="C28" s="167" t="s">
        <v>795</v>
      </c>
      <c r="D28" s="207"/>
      <c r="E28" s="87"/>
      <c r="F28" s="87"/>
      <c r="G28" s="207" t="s">
        <v>751</v>
      </c>
      <c r="H28" s="157">
        <v>0.153</v>
      </c>
      <c r="I28" s="168">
        <v>389.69</v>
      </c>
      <c r="J28" s="158">
        <v>1.73</v>
      </c>
      <c r="K28" s="158">
        <v>1.73</v>
      </c>
      <c r="L28" s="159"/>
      <c r="M28" s="169"/>
      <c r="N28" s="160"/>
      <c r="O28" s="160"/>
    </row>
    <row r="29" spans="1:15" ht="51" x14ac:dyDescent="0.2">
      <c r="A29" s="207" t="s">
        <v>752</v>
      </c>
      <c r="B29" s="154">
        <v>816</v>
      </c>
      <c r="C29" s="167" t="s">
        <v>796</v>
      </c>
      <c r="D29" s="207"/>
      <c r="E29" s="87"/>
      <c r="F29" s="87"/>
      <c r="G29" s="207" t="s">
        <v>752</v>
      </c>
      <c r="H29" s="157">
        <v>0</v>
      </c>
      <c r="I29" s="168">
        <v>1125.6600000000001</v>
      </c>
      <c r="J29" s="158">
        <v>0.56000000000000005</v>
      </c>
      <c r="K29" s="158">
        <v>0.56000000000000005</v>
      </c>
      <c r="L29" s="159"/>
      <c r="M29" s="169"/>
      <c r="N29" s="160"/>
      <c r="O29" s="160"/>
    </row>
    <row r="30" spans="1:15" ht="15.75" customHeight="1" x14ac:dyDescent="0.2">
      <c r="A30" s="207" t="s">
        <v>753</v>
      </c>
      <c r="B30" s="154"/>
      <c r="C30" s="167" t="s">
        <v>786</v>
      </c>
      <c r="D30" s="207"/>
      <c r="E30" s="87"/>
      <c r="F30" s="87"/>
      <c r="G30" s="207" t="s">
        <v>753</v>
      </c>
      <c r="H30" s="157">
        <v>0</v>
      </c>
      <c r="I30" s="168">
        <v>203.76</v>
      </c>
      <c r="J30" s="158">
        <v>2.2200000000000002</v>
      </c>
      <c r="K30" s="158">
        <v>2.2200000000000002</v>
      </c>
      <c r="L30" s="159"/>
      <c r="M30" s="169"/>
      <c r="N30" s="160"/>
      <c r="O30" s="160"/>
    </row>
    <row r="31" spans="1:15" ht="25.5" x14ac:dyDescent="0.2">
      <c r="A31" s="207" t="s">
        <v>754</v>
      </c>
      <c r="B31" s="154">
        <v>818</v>
      </c>
      <c r="C31" s="167" t="s">
        <v>797</v>
      </c>
      <c r="D31" s="207"/>
      <c r="E31" s="87"/>
      <c r="F31" s="87"/>
      <c r="G31" s="207" t="s">
        <v>754</v>
      </c>
      <c r="H31" s="157">
        <v>0</v>
      </c>
      <c r="I31" s="168">
        <v>6575.66</v>
      </c>
      <c r="J31" s="158">
        <v>1</v>
      </c>
      <c r="K31" s="158">
        <v>1</v>
      </c>
      <c r="L31" s="159"/>
      <c r="M31" s="169"/>
      <c r="N31" s="160"/>
      <c r="O31" s="160"/>
    </row>
    <row r="32" spans="1:15" ht="51" x14ac:dyDescent="0.2">
      <c r="A32" s="207" t="s">
        <v>755</v>
      </c>
      <c r="B32" s="154">
        <v>801</v>
      </c>
      <c r="C32" s="167" t="s">
        <v>798</v>
      </c>
      <c r="D32" s="207"/>
      <c r="E32" s="87"/>
      <c r="F32" s="87"/>
      <c r="G32" s="207" t="s">
        <v>755</v>
      </c>
      <c r="H32" s="157">
        <v>0</v>
      </c>
      <c r="I32" s="168">
        <v>7189.05</v>
      </c>
      <c r="J32" s="158">
        <v>0.94</v>
      </c>
      <c r="K32" s="158">
        <v>0.94</v>
      </c>
      <c r="L32" s="159"/>
      <c r="M32" s="169"/>
      <c r="N32" s="160"/>
      <c r="O32" s="160"/>
    </row>
    <row r="33" spans="1:15" ht="15.75" customHeight="1" x14ac:dyDescent="0.2">
      <c r="A33" s="207" t="s">
        <v>756</v>
      </c>
      <c r="B33" s="154">
        <v>804</v>
      </c>
      <c r="C33" s="167">
        <v>1200060323191</v>
      </c>
      <c r="D33" s="207"/>
      <c r="E33" s="87"/>
      <c r="F33" s="87"/>
      <c r="G33" s="207" t="s">
        <v>756</v>
      </c>
      <c r="H33" s="157">
        <v>0</v>
      </c>
      <c r="I33" s="168">
        <v>6482.28</v>
      </c>
      <c r="J33" s="158">
        <v>0.41</v>
      </c>
      <c r="K33" s="158">
        <v>0.41</v>
      </c>
      <c r="L33" s="159"/>
      <c r="M33" s="169"/>
      <c r="N33" s="160"/>
      <c r="O33" s="160"/>
    </row>
    <row r="34" spans="1:15" ht="25.5" x14ac:dyDescent="0.2">
      <c r="A34" s="207" t="s">
        <v>757</v>
      </c>
      <c r="B34" s="154">
        <v>838</v>
      </c>
      <c r="C34" s="167" t="s">
        <v>799</v>
      </c>
      <c r="D34" s="207"/>
      <c r="E34" s="87"/>
      <c r="F34" s="87"/>
      <c r="G34" s="207" t="s">
        <v>757</v>
      </c>
      <c r="H34" s="157">
        <v>0</v>
      </c>
      <c r="I34" s="168">
        <v>32229.99</v>
      </c>
      <c r="J34" s="158">
        <v>2.68</v>
      </c>
      <c r="K34" s="158">
        <v>2.68</v>
      </c>
      <c r="L34" s="159"/>
      <c r="M34" s="169"/>
      <c r="N34" s="160"/>
      <c r="O34" s="160"/>
    </row>
    <row r="35" spans="1:15" ht="15.75" customHeight="1" x14ac:dyDescent="0.2">
      <c r="A35" s="207" t="s">
        <v>758</v>
      </c>
      <c r="B35" s="154">
        <v>837</v>
      </c>
      <c r="C35" s="167">
        <v>1200010200926</v>
      </c>
      <c r="D35" s="207"/>
      <c r="E35" s="87"/>
      <c r="F35" s="87"/>
      <c r="G35" s="207" t="s">
        <v>758</v>
      </c>
      <c r="H35" s="157">
        <v>3.7999999999999999E-2</v>
      </c>
      <c r="I35" s="168">
        <v>22657.96</v>
      </c>
      <c r="J35" s="158">
        <v>1.34</v>
      </c>
      <c r="K35" s="158">
        <v>1.34</v>
      </c>
      <c r="L35" s="159"/>
      <c r="M35" s="169"/>
      <c r="N35" s="160"/>
      <c r="O35" s="160"/>
    </row>
    <row r="36" spans="1:15" ht="25.5" x14ac:dyDescent="0.2">
      <c r="A36" s="207" t="s">
        <v>759</v>
      </c>
      <c r="B36" s="154">
        <v>839</v>
      </c>
      <c r="C36" s="167" t="s">
        <v>800</v>
      </c>
      <c r="D36" s="207"/>
      <c r="E36" s="87"/>
      <c r="F36" s="87"/>
      <c r="G36" s="207" t="s">
        <v>759</v>
      </c>
      <c r="H36" s="157">
        <v>0</v>
      </c>
      <c r="I36" s="168">
        <v>6101.22</v>
      </c>
      <c r="J36" s="158">
        <v>3.29</v>
      </c>
      <c r="K36" s="158">
        <v>3.29</v>
      </c>
      <c r="L36" s="159"/>
      <c r="M36" s="169"/>
      <c r="N36" s="160"/>
      <c r="O36" s="160"/>
    </row>
    <row r="37" spans="1:15" ht="25.5" x14ac:dyDescent="0.2">
      <c r="A37" s="207" t="s">
        <v>760</v>
      </c>
      <c r="B37" s="154">
        <v>806</v>
      </c>
      <c r="C37" s="167" t="s">
        <v>801</v>
      </c>
      <c r="D37" s="207"/>
      <c r="E37" s="87"/>
      <c r="F37" s="87"/>
      <c r="G37" s="207" t="s">
        <v>760</v>
      </c>
      <c r="H37" s="157">
        <v>0.14799999999999999</v>
      </c>
      <c r="I37" s="168">
        <v>389.69</v>
      </c>
      <c r="J37" s="158">
        <v>1.89</v>
      </c>
      <c r="K37" s="158">
        <v>1.89</v>
      </c>
      <c r="L37" s="159"/>
      <c r="M37" s="169"/>
      <c r="N37" s="160"/>
      <c r="O37" s="160"/>
    </row>
    <row r="38" spans="1:15" ht="15.75" customHeight="1" x14ac:dyDescent="0.2">
      <c r="A38" s="207" t="s">
        <v>761</v>
      </c>
      <c r="B38" s="154">
        <v>817</v>
      </c>
      <c r="C38" s="167">
        <v>1200010151872</v>
      </c>
      <c r="D38" s="207"/>
      <c r="E38" s="87"/>
      <c r="F38" s="87"/>
      <c r="G38" s="207" t="s">
        <v>761</v>
      </c>
      <c r="H38" s="157">
        <v>6.0000000000000001E-3</v>
      </c>
      <c r="I38" s="168">
        <v>0</v>
      </c>
      <c r="J38" s="158">
        <v>0.59</v>
      </c>
      <c r="K38" s="158">
        <v>0.59</v>
      </c>
      <c r="L38" s="159"/>
      <c r="M38" s="169"/>
      <c r="N38" s="160"/>
      <c r="O38" s="160"/>
    </row>
    <row r="39" spans="1:15" ht="25.5" x14ac:dyDescent="0.2">
      <c r="A39" s="207" t="s">
        <v>762</v>
      </c>
      <c r="B39" s="154">
        <v>807</v>
      </c>
      <c r="C39" s="167" t="s">
        <v>802</v>
      </c>
      <c r="D39" s="207"/>
      <c r="E39" s="87"/>
      <c r="F39" s="87"/>
      <c r="G39" s="207" t="s">
        <v>762</v>
      </c>
      <c r="H39" s="157">
        <v>0</v>
      </c>
      <c r="I39" s="168">
        <v>5274.12</v>
      </c>
      <c r="J39" s="158">
        <v>4.7699999999999996</v>
      </c>
      <c r="K39" s="158">
        <v>4.7699999999999996</v>
      </c>
      <c r="L39" s="159"/>
      <c r="M39" s="169"/>
      <c r="N39" s="160"/>
      <c r="O39" s="160"/>
    </row>
    <row r="40" spans="1:15" ht="15.75" customHeight="1" x14ac:dyDescent="0.2">
      <c r="A40" s="207" t="s">
        <v>763</v>
      </c>
      <c r="B40" s="154">
        <v>847</v>
      </c>
      <c r="C40" s="167">
        <v>1200010251559</v>
      </c>
      <c r="D40" s="207"/>
      <c r="E40" s="87"/>
      <c r="F40" s="87"/>
      <c r="G40" s="207" t="s">
        <v>763</v>
      </c>
      <c r="H40" s="157">
        <v>5.0999999999999997E-2</v>
      </c>
      <c r="I40" s="168">
        <v>2162.44</v>
      </c>
      <c r="J40" s="158">
        <v>1.81</v>
      </c>
      <c r="K40" s="158">
        <v>1.81</v>
      </c>
      <c r="L40" s="159"/>
      <c r="M40" s="169"/>
      <c r="N40" s="160"/>
      <c r="O40" s="160"/>
    </row>
    <row r="41" spans="1:15" ht="15.75" customHeight="1" x14ac:dyDescent="0.2">
      <c r="A41" s="207" t="s">
        <v>764</v>
      </c>
      <c r="B41" s="154">
        <v>846</v>
      </c>
      <c r="C41" s="167">
        <v>1200010251521</v>
      </c>
      <c r="D41" s="207"/>
      <c r="E41" s="87"/>
      <c r="F41" s="87"/>
      <c r="G41" s="207" t="s">
        <v>764</v>
      </c>
      <c r="H41" s="157">
        <v>2.8069999999999999</v>
      </c>
      <c r="I41" s="168">
        <v>67.92</v>
      </c>
      <c r="J41" s="158">
        <v>2.3199999999999998</v>
      </c>
      <c r="K41" s="158">
        <v>2.3199999999999998</v>
      </c>
      <c r="L41" s="159"/>
      <c r="M41" s="169"/>
      <c r="N41" s="160"/>
      <c r="O41" s="160"/>
    </row>
    <row r="42" spans="1:15" ht="15.75" customHeight="1" x14ac:dyDescent="0.2">
      <c r="A42" s="207" t="s">
        <v>765</v>
      </c>
      <c r="B42" s="154">
        <v>840</v>
      </c>
      <c r="C42" s="167">
        <v>1200010251540</v>
      </c>
      <c r="D42" s="207"/>
      <c r="E42" s="87"/>
      <c r="F42" s="87"/>
      <c r="G42" s="207" t="s">
        <v>765</v>
      </c>
      <c r="H42" s="157">
        <v>0.52700000000000002</v>
      </c>
      <c r="I42" s="168">
        <v>135.84</v>
      </c>
      <c r="J42" s="158">
        <v>1.38</v>
      </c>
      <c r="K42" s="158">
        <v>1.38</v>
      </c>
      <c r="L42" s="159"/>
      <c r="M42" s="169"/>
      <c r="N42" s="160"/>
      <c r="O42" s="160"/>
    </row>
    <row r="43" spans="1:15" ht="15.75" customHeight="1" x14ac:dyDescent="0.2">
      <c r="A43" s="207" t="s">
        <v>766</v>
      </c>
      <c r="B43" s="154">
        <v>845</v>
      </c>
      <c r="C43" s="167">
        <v>1200010251530</v>
      </c>
      <c r="D43" s="207"/>
      <c r="E43" s="87"/>
      <c r="F43" s="87"/>
      <c r="G43" s="207" t="s">
        <v>766</v>
      </c>
      <c r="H43" s="157">
        <v>0</v>
      </c>
      <c r="I43" s="168">
        <v>7724.45</v>
      </c>
      <c r="J43" s="158">
        <v>1.99</v>
      </c>
      <c r="K43" s="158">
        <v>1.99</v>
      </c>
      <c r="L43" s="159"/>
      <c r="M43" s="169"/>
      <c r="N43" s="160"/>
      <c r="O43" s="160"/>
    </row>
    <row r="44" spans="1:15" ht="15.75" customHeight="1" x14ac:dyDescent="0.2">
      <c r="A44" s="207" t="s">
        <v>767</v>
      </c>
      <c r="B44" s="154">
        <v>841</v>
      </c>
      <c r="C44" s="167">
        <v>1200010251512</v>
      </c>
      <c r="D44" s="207"/>
      <c r="E44" s="87"/>
      <c r="F44" s="87"/>
      <c r="G44" s="207" t="s">
        <v>767</v>
      </c>
      <c r="H44" s="157">
        <v>0</v>
      </c>
      <c r="I44" s="168">
        <v>5662.77</v>
      </c>
      <c r="J44" s="158">
        <v>1.96</v>
      </c>
      <c r="K44" s="158">
        <v>1.96</v>
      </c>
      <c r="L44" s="159"/>
      <c r="M44" s="169"/>
      <c r="N44" s="160"/>
      <c r="O44" s="160"/>
    </row>
    <row r="45" spans="1:15" ht="15.75" customHeight="1" x14ac:dyDescent="0.2">
      <c r="A45" s="207" t="s">
        <v>768</v>
      </c>
      <c r="B45" s="154">
        <v>842</v>
      </c>
      <c r="C45" s="167">
        <v>1200010251498</v>
      </c>
      <c r="D45" s="207"/>
      <c r="E45" s="87"/>
      <c r="F45" s="87"/>
      <c r="G45" s="207" t="s">
        <v>768</v>
      </c>
      <c r="H45" s="157">
        <v>1E-3</v>
      </c>
      <c r="I45" s="168">
        <v>4842.47</v>
      </c>
      <c r="J45" s="158">
        <v>0.79</v>
      </c>
      <c r="K45" s="158">
        <v>0.79</v>
      </c>
      <c r="L45" s="159"/>
      <c r="M45" s="169"/>
      <c r="N45" s="160"/>
      <c r="O45" s="160"/>
    </row>
    <row r="46" spans="1:15" ht="15.75" customHeight="1" x14ac:dyDescent="0.2">
      <c r="A46" s="207" t="s">
        <v>769</v>
      </c>
      <c r="B46" s="154">
        <v>848</v>
      </c>
      <c r="C46" s="167">
        <v>1200010251568</v>
      </c>
      <c r="D46" s="207" t="s">
        <v>769</v>
      </c>
      <c r="E46" s="87">
        <v>716</v>
      </c>
      <c r="F46" s="87">
        <v>1200052486875</v>
      </c>
      <c r="G46" s="207" t="s">
        <v>769</v>
      </c>
      <c r="H46" s="157">
        <v>1E-3</v>
      </c>
      <c r="I46" s="168">
        <v>4847.4399999999996</v>
      </c>
      <c r="J46" s="158">
        <v>2.0099999999999998</v>
      </c>
      <c r="K46" s="158">
        <v>2.0099999999999998</v>
      </c>
      <c r="L46" s="159">
        <v>0</v>
      </c>
      <c r="M46" s="169">
        <v>384.72</v>
      </c>
      <c r="N46" s="160">
        <v>0.05</v>
      </c>
      <c r="O46" s="160">
        <v>0.05</v>
      </c>
    </row>
    <row r="47" spans="1:15" ht="15.75" customHeight="1" x14ac:dyDescent="0.2">
      <c r="A47" s="207" t="s">
        <v>770</v>
      </c>
      <c r="B47" s="154">
        <v>849</v>
      </c>
      <c r="C47" s="167">
        <v>1200050493611</v>
      </c>
      <c r="D47" s="207"/>
      <c r="E47" s="87"/>
      <c r="F47" s="87"/>
      <c r="G47" s="207" t="s">
        <v>770</v>
      </c>
      <c r="H47" s="157">
        <v>4.3730000000000002</v>
      </c>
      <c r="I47" s="168">
        <v>67.92</v>
      </c>
      <c r="J47" s="158">
        <v>1.71</v>
      </c>
      <c r="K47" s="158">
        <v>1.71</v>
      </c>
      <c r="L47" s="159"/>
      <c r="M47" s="169"/>
      <c r="N47" s="160"/>
      <c r="O47" s="160"/>
    </row>
    <row r="48" spans="1:15" ht="15.75" customHeight="1" x14ac:dyDescent="0.2">
      <c r="A48" s="207" t="s">
        <v>771</v>
      </c>
      <c r="B48" s="154">
        <v>844</v>
      </c>
      <c r="C48" s="167">
        <v>1200010200874</v>
      </c>
      <c r="D48" s="207"/>
      <c r="E48" s="87"/>
      <c r="F48" s="87"/>
      <c r="G48" s="207" t="s">
        <v>771</v>
      </c>
      <c r="H48" s="157">
        <v>0</v>
      </c>
      <c r="I48" s="168">
        <v>8204.59</v>
      </c>
      <c r="J48" s="158">
        <v>1.66</v>
      </c>
      <c r="K48" s="158">
        <v>1.66</v>
      </c>
      <c r="L48" s="159"/>
      <c r="M48" s="169"/>
      <c r="N48" s="160"/>
      <c r="O48" s="160"/>
    </row>
    <row r="49" spans="1:15" ht="15.75" customHeight="1" x14ac:dyDescent="0.2">
      <c r="A49" s="207" t="s">
        <v>780</v>
      </c>
      <c r="B49" s="154">
        <v>827</v>
      </c>
      <c r="C49" s="167">
        <v>1200010175650</v>
      </c>
      <c r="D49" s="207" t="s">
        <v>780</v>
      </c>
      <c r="E49" s="87">
        <v>730</v>
      </c>
      <c r="F49" s="87">
        <v>1200010258304</v>
      </c>
      <c r="G49" s="207" t="s">
        <v>780</v>
      </c>
      <c r="H49" s="157">
        <v>0.13700000000000001</v>
      </c>
      <c r="I49" s="168">
        <v>290.89999999999998</v>
      </c>
      <c r="J49" s="158">
        <v>1.9</v>
      </c>
      <c r="K49" s="158">
        <v>1.9</v>
      </c>
      <c r="L49" s="159">
        <v>-0.82199999999999995</v>
      </c>
      <c r="M49" s="169">
        <v>3085.31</v>
      </c>
      <c r="N49" s="160">
        <v>0.05</v>
      </c>
      <c r="O49" s="160">
        <v>0.05</v>
      </c>
    </row>
    <row r="50" spans="1:15" ht="25.5" x14ac:dyDescent="0.2">
      <c r="A50" s="207" t="s">
        <v>772</v>
      </c>
      <c r="B50" s="154">
        <v>809</v>
      </c>
      <c r="C50" s="167" t="s">
        <v>803</v>
      </c>
      <c r="D50" s="207"/>
      <c r="E50" s="87"/>
      <c r="F50" s="87"/>
      <c r="G50" s="207" t="s">
        <v>772</v>
      </c>
      <c r="H50" s="157">
        <v>0</v>
      </c>
      <c r="I50" s="168">
        <v>953.81</v>
      </c>
      <c r="J50" s="158">
        <v>3.11</v>
      </c>
      <c r="K50" s="158">
        <v>3.11</v>
      </c>
      <c r="L50" s="159"/>
      <c r="M50" s="169"/>
      <c r="N50" s="160"/>
      <c r="O50" s="160"/>
    </row>
    <row r="51" spans="1:15" ht="38.25" x14ac:dyDescent="0.2">
      <c r="A51" s="207" t="s">
        <v>773</v>
      </c>
      <c r="B51" s="154">
        <v>828</v>
      </c>
      <c r="C51" s="167">
        <v>1200010146153</v>
      </c>
      <c r="D51" s="207" t="s">
        <v>773</v>
      </c>
      <c r="E51" s="87">
        <v>701</v>
      </c>
      <c r="F51" s="87" t="s">
        <v>1327</v>
      </c>
      <c r="G51" s="207" t="s">
        <v>773</v>
      </c>
      <c r="H51" s="157">
        <v>0</v>
      </c>
      <c r="I51" s="168">
        <v>3275.82</v>
      </c>
      <c r="J51" s="158">
        <v>0.74</v>
      </c>
      <c r="K51" s="158">
        <v>0.74</v>
      </c>
      <c r="L51" s="159">
        <v>0</v>
      </c>
      <c r="M51" s="169">
        <v>0</v>
      </c>
      <c r="N51" s="160">
        <v>0</v>
      </c>
      <c r="O51" s="160">
        <v>0</v>
      </c>
    </row>
    <row r="52" spans="1:15" ht="25.5" x14ac:dyDescent="0.2">
      <c r="A52" s="207" t="s">
        <v>774</v>
      </c>
      <c r="B52" s="154">
        <v>802</v>
      </c>
      <c r="C52" s="167" t="s">
        <v>804</v>
      </c>
      <c r="D52" s="207" t="s">
        <v>774</v>
      </c>
      <c r="E52" s="87">
        <v>702</v>
      </c>
      <c r="F52" s="87" t="s">
        <v>805</v>
      </c>
      <c r="G52" s="207" t="s">
        <v>774</v>
      </c>
      <c r="H52" s="157">
        <v>0</v>
      </c>
      <c r="I52" s="168">
        <v>2866.45</v>
      </c>
      <c r="J52" s="158">
        <v>1.06</v>
      </c>
      <c r="K52" s="158">
        <v>1.06</v>
      </c>
      <c r="L52" s="159">
        <v>0</v>
      </c>
      <c r="M52" s="169">
        <v>670.54</v>
      </c>
      <c r="N52" s="160">
        <v>0.05</v>
      </c>
      <c r="O52" s="160">
        <v>0.05</v>
      </c>
    </row>
    <row r="53" spans="1:15" ht="15.75" customHeight="1" x14ac:dyDescent="0.2">
      <c r="A53" s="207" t="s">
        <v>781</v>
      </c>
      <c r="B53" s="154"/>
      <c r="C53" s="167" t="s">
        <v>787</v>
      </c>
      <c r="D53" s="207"/>
      <c r="E53" s="87"/>
      <c r="F53" s="87"/>
      <c r="G53" s="207" t="s">
        <v>781</v>
      </c>
      <c r="H53" s="157">
        <v>0</v>
      </c>
      <c r="I53" s="168">
        <v>32.35</v>
      </c>
      <c r="J53" s="158">
        <v>1.07</v>
      </c>
      <c r="K53" s="158">
        <v>1.07</v>
      </c>
      <c r="L53" s="159"/>
      <c r="M53" s="169"/>
      <c r="N53" s="160"/>
      <c r="O53" s="160"/>
    </row>
    <row r="54" spans="1:15" ht="15.75" customHeight="1" x14ac:dyDescent="0.2">
      <c r="A54" s="207" t="s">
        <v>775</v>
      </c>
      <c r="B54" s="154">
        <v>819</v>
      </c>
      <c r="C54" s="167">
        <v>1200061990150</v>
      </c>
      <c r="D54" s="207"/>
      <c r="E54" s="87"/>
      <c r="F54" s="87"/>
      <c r="G54" s="207" t="s">
        <v>775</v>
      </c>
      <c r="H54" s="157">
        <v>0</v>
      </c>
      <c r="I54" s="168">
        <v>8164.43</v>
      </c>
      <c r="J54" s="158">
        <v>1.72</v>
      </c>
      <c r="K54" s="158">
        <v>1.72</v>
      </c>
      <c r="L54" s="159"/>
      <c r="M54" s="169"/>
      <c r="N54" s="160"/>
      <c r="O54" s="160"/>
    </row>
    <row r="55" spans="1:15" ht="15.75" customHeight="1" x14ac:dyDescent="0.2">
      <c r="A55" s="207" t="s">
        <v>776</v>
      </c>
      <c r="B55" s="154">
        <v>822</v>
      </c>
      <c r="C55" s="167">
        <v>1200061990319</v>
      </c>
      <c r="D55" s="207"/>
      <c r="E55" s="87"/>
      <c r="F55" s="87"/>
      <c r="G55" s="207" t="s">
        <v>776</v>
      </c>
      <c r="H55" s="157">
        <v>0</v>
      </c>
      <c r="I55" s="168">
        <v>135.84</v>
      </c>
      <c r="J55" s="158">
        <v>1.53</v>
      </c>
      <c r="K55" s="158">
        <v>1.53</v>
      </c>
      <c r="L55" s="159"/>
      <c r="M55" s="169"/>
      <c r="N55" s="160"/>
      <c r="O55" s="160"/>
    </row>
    <row r="56" spans="1:15" ht="51" x14ac:dyDescent="0.2">
      <c r="A56" s="207" t="s">
        <v>777</v>
      </c>
      <c r="B56" s="154">
        <v>823</v>
      </c>
      <c r="C56" s="167" t="s">
        <v>810</v>
      </c>
      <c r="D56" s="207"/>
      <c r="E56" s="155"/>
      <c r="F56" s="87"/>
      <c r="G56" s="207" t="s">
        <v>777</v>
      </c>
      <c r="H56" s="157">
        <v>1.2010000000000001</v>
      </c>
      <c r="I56" s="168">
        <v>135.84</v>
      </c>
      <c r="J56" s="158">
        <v>2.36</v>
      </c>
      <c r="K56" s="158">
        <v>2.36</v>
      </c>
      <c r="L56" s="159"/>
      <c r="M56" s="169"/>
      <c r="N56" s="160"/>
      <c r="O56" s="160"/>
    </row>
    <row r="57" spans="1:15" ht="25.5" x14ac:dyDescent="0.2">
      <c r="A57" s="207" t="s">
        <v>778</v>
      </c>
      <c r="B57" s="154">
        <v>803</v>
      </c>
      <c r="C57" s="167" t="s">
        <v>806</v>
      </c>
      <c r="D57" s="207"/>
      <c r="E57" s="87"/>
      <c r="F57" s="87"/>
      <c r="G57" s="207" t="s">
        <v>778</v>
      </c>
      <c r="H57" s="157">
        <v>0.13100000000000001</v>
      </c>
      <c r="I57" s="168">
        <v>547.27</v>
      </c>
      <c r="J57" s="158">
        <v>1.1499999999999999</v>
      </c>
      <c r="K57" s="158">
        <v>1.1499999999999999</v>
      </c>
      <c r="L57" s="159"/>
      <c r="M57" s="169"/>
      <c r="N57" s="160"/>
      <c r="O57" s="160"/>
    </row>
  </sheetData>
  <sortState ref="A11:O57">
    <sortCondition ref="A11"/>
  </sortState>
  <mergeCells count="12">
    <mergeCell ref="A4:F4"/>
    <mergeCell ref="D5:F5"/>
    <mergeCell ref="F1:O1"/>
    <mergeCell ref="A2:O2"/>
    <mergeCell ref="C1:D1"/>
    <mergeCell ref="A8:C8"/>
    <mergeCell ref="D8:F8"/>
    <mergeCell ref="D6:F6"/>
    <mergeCell ref="D7:F7"/>
    <mergeCell ref="A5:C5"/>
    <mergeCell ref="A6:C6"/>
    <mergeCell ref="A7:C7"/>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52"/>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6.7109375" style="49" customWidth="1"/>
    <col min="4" max="4" width="50.7109375" style="49" customWidth="1"/>
    <col min="5" max="5" width="14.7109375" style="50" customWidth="1"/>
    <col min="6" max="7" width="14.7109375" style="51" customWidth="1"/>
    <col min="8" max="8" width="14.7109375" style="43" customWidth="1"/>
    <col min="9" max="9" width="15.5703125" style="43" customWidth="1"/>
    <col min="10" max="13" width="9.140625" style="43"/>
    <col min="14" max="14" width="9.42578125" style="43" bestFit="1" customWidth="1"/>
    <col min="15" max="16384" width="9.140625" style="43"/>
  </cols>
  <sheetData>
    <row r="1" spans="1:14" ht="66.75" customHeight="1" x14ac:dyDescent="0.2">
      <c r="A1" s="242" t="s">
        <v>508</v>
      </c>
      <c r="B1" s="242"/>
      <c r="C1" s="242"/>
      <c r="D1" s="242"/>
      <c r="E1" s="242"/>
      <c r="F1" s="242"/>
      <c r="G1" s="242"/>
      <c r="H1" s="242"/>
    </row>
    <row r="2" spans="1:14" s="44" customFormat="1" ht="25.5" customHeight="1" x14ac:dyDescent="0.2">
      <c r="A2" s="235" t="str">
        <f>Overview!B4&amp; " - Effective from "&amp;Overview!D4&amp;" - "&amp;Overview!E4&amp;" EDCM import charges"</f>
        <v>London Power Networks - Effective from 1 April 2020 - Final EDCM import charges</v>
      </c>
      <c r="B2" s="236"/>
      <c r="C2" s="236"/>
      <c r="D2" s="236"/>
      <c r="E2" s="236"/>
      <c r="F2" s="236"/>
      <c r="G2" s="236"/>
      <c r="H2" s="237"/>
    </row>
    <row r="3" spans="1:14" s="73" customFormat="1" ht="18" x14ac:dyDescent="0.2">
      <c r="A3" s="79"/>
      <c r="B3" s="79"/>
      <c r="C3" s="79"/>
      <c r="D3" s="80"/>
      <c r="E3" s="81"/>
      <c r="F3" s="81"/>
      <c r="G3" s="82"/>
      <c r="H3" s="82"/>
      <c r="I3" s="70"/>
      <c r="J3" s="70"/>
      <c r="K3" s="70"/>
      <c r="L3" s="70"/>
      <c r="M3" s="70"/>
      <c r="N3" s="70"/>
    </row>
    <row r="4" spans="1:14" ht="60.75" customHeight="1" x14ac:dyDescent="0.2">
      <c r="A4" s="45" t="s">
        <v>479</v>
      </c>
      <c r="B4" s="46" t="s">
        <v>467</v>
      </c>
      <c r="C4" s="45" t="s">
        <v>468</v>
      </c>
      <c r="D4" s="47" t="s">
        <v>179</v>
      </c>
      <c r="E4" s="125" t="str">
        <f>'Annex 2 EHV charges'!H10</f>
        <v>Import
Super Red
unit charge
(p/kWh)</v>
      </c>
      <c r="F4" s="125" t="str">
        <f>'Annex 2 EHV charges'!I10</f>
        <v>Import
fixed charge
(p/day)</v>
      </c>
      <c r="G4" s="125" t="str">
        <f>'Annex 2 EHV charges'!J10</f>
        <v>Import
capacity charge
(p/kVA/day)</v>
      </c>
      <c r="H4" s="125" t="str">
        <f>'Annex 2 EHV charges'!K10</f>
        <v>Import
exceeded capacity charge
(p/kVA/day)</v>
      </c>
    </row>
    <row r="5" spans="1:14" ht="12.75" customHeight="1" x14ac:dyDescent="0.2">
      <c r="A5" s="88" t="str">
        <f t="array" ref="A5">IFERROR(INDEX('Annex 2 EHV charges'!$A$11:$A$57, MATCH(0, IF(ISBLANK('Annex 2 EHV charges'!$A$11:$A$57),1, COUNTIF(A$3:$A4, 'Annex 2 EHV charges'!$A$11:$A$57)), 0)),"")</f>
        <v>22BSHP</v>
      </c>
      <c r="B5" s="88">
        <f>IF($A5="","",VLOOKUP($A5,'Annex 2 EHV charges'!$A:$O,2,0))</f>
        <v>810</v>
      </c>
      <c r="C5" s="89" t="str">
        <f>IF($A5="","",VLOOKUP($A5,'Annex 2 EHV charges'!$A:$O,3,0))</f>
        <v>1200062355497
1200062355502</v>
      </c>
      <c r="D5" s="88" t="str">
        <f>IF($A5="","",VLOOKUP($A5,'Annex 2 EHV charges'!$A:$O,7,0))</f>
        <v>22BSHP</v>
      </c>
      <c r="E5" s="163">
        <f>IFERROR(IF(VLOOKUP($A5,'Annex 2 EHV charges'!$A:$O,8,FALSE)=0,"",VLOOKUP($A5,'Annex 2 EHV charges'!$A:$O,8,FALSE)),"")</f>
        <v>0.154</v>
      </c>
      <c r="F5" s="162">
        <f>IFERROR(IF(VLOOKUP($A5,'Annex 2 EHV charges'!$A:$O,9,FALSE)=0,"",VLOOKUP($A5,'Annex 2 EHV charges'!$A:$O,9,FALSE)),"")</f>
        <v>389.69</v>
      </c>
      <c r="G5" s="161">
        <f>IFERROR(IF(VLOOKUP($A5,'Annex 2 EHV charges'!$A:$O,10,FALSE)=0,"",VLOOKUP($A5,'Annex 2 EHV charges'!$A:$O,10,FALSE)),"")</f>
        <v>1.28</v>
      </c>
      <c r="H5" s="161">
        <f>IFERROR(IF(VLOOKUP($A5,'Annex 2 EHV charges'!$A:$O,11,FALSE)=0,"",VLOOKUP($A5,'Annex 2 EHV charges'!$A:$O,11,FALSE)),"")</f>
        <v>1.28</v>
      </c>
    </row>
    <row r="6" spans="1:14" ht="12.75" customHeight="1" x14ac:dyDescent="0.2">
      <c r="A6" s="88" t="str">
        <f t="array" ref="A6">IFERROR(INDEX('Annex 2 EHV charges'!$A$11:$A$57, MATCH(0, IF(ISBLANK('Annex 2 EHV charges'!$A$11:$A$57),1, COUNTIF(A$3:$A5, 'Annex 2 EHV charges'!$A$11:$A$57)), 0)),"")</f>
        <v>BELVED</v>
      </c>
      <c r="B6" s="88">
        <f>IF($A6="","",VLOOKUP($A6,'Annex 2 EHV charges'!$A:$O,2,0))</f>
        <v>815</v>
      </c>
      <c r="C6" s="89">
        <f>IF($A6="","",VLOOKUP($A6,'Annex 2 EHV charges'!$A:$O,3,0))</f>
        <v>1200060787109</v>
      </c>
      <c r="D6" s="88" t="str">
        <f>IF($A6="","",VLOOKUP($A6,'Annex 2 EHV charges'!$A:$O,7,0))</f>
        <v>BELVED</v>
      </c>
      <c r="E6" s="163" t="str">
        <f>IFERROR(IF(VLOOKUP($A6,'Annex 2 EHV charges'!$A:$O,8,FALSE)=0,"",VLOOKUP($A6,'Annex 2 EHV charges'!$A:$O,8,FALSE)),"")</f>
        <v/>
      </c>
      <c r="F6" s="162">
        <f>IFERROR(IF(VLOOKUP($A6,'Annex 2 EHV charges'!$A:$O,9,FALSE)=0,"",VLOOKUP($A6,'Annex 2 EHV charges'!$A:$O,9,FALSE)),"")</f>
        <v>329.57</v>
      </c>
      <c r="G6" s="161">
        <f>IFERROR(IF(VLOOKUP($A6,'Annex 2 EHV charges'!$A:$O,10,FALSE)=0,"",VLOOKUP($A6,'Annex 2 EHV charges'!$A:$O,10,FALSE)),"")</f>
        <v>0.42</v>
      </c>
      <c r="H6" s="161">
        <f>IFERROR(IF(VLOOKUP($A6,'Annex 2 EHV charges'!$A:$O,11,FALSE)=0,"",VLOOKUP($A6,'Annex 2 EHV charges'!$A:$O,11,FALSE)),"")</f>
        <v>0.42</v>
      </c>
    </row>
    <row r="7" spans="1:14" ht="12.75" customHeight="1" x14ac:dyDescent="0.2">
      <c r="A7" s="88" t="str">
        <f t="array" ref="A7">IFERROR(INDEX('Annex 2 EHV charges'!$A$11:$A$57, MATCH(0, IF(ISBLANK('Annex 2 EHV charges'!$A$11:$A$57),1, COUNTIF(A$3:$A6, 'Annex 2 EHV charges'!$A$11:$A$57)), 0)),"")</f>
        <v>BISHPC</v>
      </c>
      <c r="B7" s="88">
        <f>IF($A7="","",VLOOKUP($A7,'Annex 2 EHV charges'!$A:$O,2,0))</f>
        <v>811</v>
      </c>
      <c r="C7" s="89" t="str">
        <f>IF($A7="","",VLOOKUP($A7,'Annex 2 EHV charges'!$A:$O,3,0))</f>
        <v>1200061143976
1200061143985</v>
      </c>
      <c r="D7" s="88" t="str">
        <f>IF($A7="","",VLOOKUP($A7,'Annex 2 EHV charges'!$A:$O,7,0))</f>
        <v>BISHPC</v>
      </c>
      <c r="E7" s="163">
        <f>IFERROR(IF(VLOOKUP($A7,'Annex 2 EHV charges'!$A:$O,8,FALSE)=0,"",VLOOKUP($A7,'Annex 2 EHV charges'!$A:$O,8,FALSE)),"")</f>
        <v>0.15</v>
      </c>
      <c r="F7" s="162">
        <f>IFERROR(IF(VLOOKUP($A7,'Annex 2 EHV charges'!$A:$O,9,FALSE)=0,"",VLOOKUP($A7,'Annex 2 EHV charges'!$A:$O,9,FALSE)),"")</f>
        <v>389.69</v>
      </c>
      <c r="G7" s="161">
        <f>IFERROR(IF(VLOOKUP($A7,'Annex 2 EHV charges'!$A:$O,10,FALSE)=0,"",VLOOKUP($A7,'Annex 2 EHV charges'!$A:$O,10,FALSE)),"")</f>
        <v>0.91</v>
      </c>
      <c r="H7" s="161">
        <f>IFERROR(IF(VLOOKUP($A7,'Annex 2 EHV charges'!$A:$O,11,FALSE)=0,"",VLOOKUP($A7,'Annex 2 EHV charges'!$A:$O,11,FALSE)),"")</f>
        <v>0.91</v>
      </c>
    </row>
    <row r="8" spans="1:14" ht="12.75" customHeight="1" x14ac:dyDescent="0.2">
      <c r="A8" s="88" t="str">
        <f t="array" ref="A8">IFERROR(INDEX('Annex 2 EHV charges'!$A$11:$A$57, MATCH(0, IF(ISBLANK('Annex 2 EHV charges'!$A$11:$A$57),1, COUNTIF(A$3:$A7, 'Annex 2 EHV charges'!$A$11:$A$57)), 0)),"")</f>
        <v>BLMBGN</v>
      </c>
      <c r="B8" s="88">
        <f>IF($A8="","",VLOOKUP($A8,'Annex 2 EHV charges'!$A:$O,2,0))</f>
        <v>820</v>
      </c>
      <c r="C8" s="89" t="str">
        <f>IF($A8="","",VLOOKUP($A8,'Annex 2 EHV charges'!$A:$O,3,0))</f>
        <v xml:space="preserve">1200061385700
1200061385710 </v>
      </c>
      <c r="D8" s="88" t="str">
        <f>IF($A8="","",VLOOKUP($A8,'Annex 2 EHV charges'!$A:$O,7,0))</f>
        <v>BLMBGN</v>
      </c>
      <c r="E8" s="163">
        <f>IFERROR(IF(VLOOKUP($A8,'Annex 2 EHV charges'!$A:$O,8,FALSE)=0,"",VLOOKUP($A8,'Annex 2 EHV charges'!$A:$O,8,FALSE)),"")</f>
        <v>0.153</v>
      </c>
      <c r="F8" s="162">
        <f>IFERROR(IF(VLOOKUP($A8,'Annex 2 EHV charges'!$A:$O,9,FALSE)=0,"",VLOOKUP($A8,'Annex 2 EHV charges'!$A:$O,9,FALSE)),"")</f>
        <v>194.85</v>
      </c>
      <c r="G8" s="161">
        <f>IFERROR(IF(VLOOKUP($A8,'Annex 2 EHV charges'!$A:$O,10,FALSE)=0,"",VLOOKUP($A8,'Annex 2 EHV charges'!$A:$O,10,FALSE)),"")</f>
        <v>1.06</v>
      </c>
      <c r="H8" s="161">
        <f>IFERROR(IF(VLOOKUP($A8,'Annex 2 EHV charges'!$A:$O,11,FALSE)=0,"",VLOOKUP($A8,'Annex 2 EHV charges'!$A:$O,11,FALSE)),"")</f>
        <v>1.06</v>
      </c>
    </row>
    <row r="9" spans="1:14" ht="12.75" customHeight="1" x14ac:dyDescent="0.2">
      <c r="A9" s="88" t="str">
        <f t="array" ref="A9">IFERROR(INDEX('Annex 2 EHV charges'!$A$11:$A$57, MATCH(0, IF(ISBLANK('Annex 2 EHV charges'!$A$11:$A$57),1, COUNTIF(A$3:$A8, 'Annex 2 EHV charges'!$A$11:$A$57)), 0)),"")</f>
        <v>BLMBGS</v>
      </c>
      <c r="B9" s="88">
        <f>IF($A9="","",VLOOKUP($A9,'Annex 2 EHV charges'!$A:$O,2,0))</f>
        <v>821</v>
      </c>
      <c r="C9" s="89" t="str">
        <f>IF($A9="","",VLOOKUP($A9,'Annex 2 EHV charges'!$A:$O,3,0))</f>
        <v>1200061385729
1200061385738</v>
      </c>
      <c r="D9" s="88" t="str">
        <f>IF($A9="","",VLOOKUP($A9,'Annex 2 EHV charges'!$A:$O,7,0))</f>
        <v>BLMBGS</v>
      </c>
      <c r="E9" s="163">
        <f>IFERROR(IF(VLOOKUP($A9,'Annex 2 EHV charges'!$A:$O,8,FALSE)=0,"",VLOOKUP($A9,'Annex 2 EHV charges'!$A:$O,8,FALSE)),"")</f>
        <v>0.14499999999999999</v>
      </c>
      <c r="F9" s="162">
        <f>IFERROR(IF(VLOOKUP($A9,'Annex 2 EHV charges'!$A:$O,9,FALSE)=0,"",VLOOKUP($A9,'Annex 2 EHV charges'!$A:$O,9,FALSE)),"")</f>
        <v>194.85</v>
      </c>
      <c r="G9" s="161">
        <f>IFERROR(IF(VLOOKUP($A9,'Annex 2 EHV charges'!$A:$O,10,FALSE)=0,"",VLOOKUP($A9,'Annex 2 EHV charges'!$A:$O,10,FALSE)),"")</f>
        <v>0.97</v>
      </c>
      <c r="H9" s="161">
        <f>IFERROR(IF(VLOOKUP($A9,'Annex 2 EHV charges'!$A:$O,11,FALSE)=0,"",VLOOKUP($A9,'Annex 2 EHV charges'!$A:$O,11,FALSE)),"")</f>
        <v>0.97</v>
      </c>
    </row>
    <row r="10" spans="1:14" ht="12.75" customHeight="1" x14ac:dyDescent="0.2">
      <c r="A10" s="88" t="str">
        <f t="array" ref="A10">IFERROR(INDEX('Annex 2 EHV charges'!$A$11:$A$57, MATCH(0, IF(ISBLANK('Annex 2 EHV charges'!$A$11:$A$57),1, COUNTIF(A$3:$A9, 'Annex 2 EHV charges'!$A$11:$A$57)), 0)),"")</f>
        <v>BRDGTE</v>
      </c>
      <c r="B10" s="88">
        <f>IF($A10="","",VLOOKUP($A10,'Annex 2 EHV charges'!$A:$O,2,0))</f>
        <v>805</v>
      </c>
      <c r="C10" s="89" t="str">
        <f>IF($A10="","",VLOOKUP($A10,'Annex 2 EHV charges'!$A:$O,3,0))</f>
        <v>1200061148014
1200061148023</v>
      </c>
      <c r="D10" s="88" t="str">
        <f>IF($A10="","",VLOOKUP($A10,'Annex 2 EHV charges'!$A:$O,7,0))</f>
        <v>BRDGTE</v>
      </c>
      <c r="E10" s="163">
        <f>IFERROR(IF(VLOOKUP($A10,'Annex 2 EHV charges'!$A:$O,8,FALSE)=0,"",VLOOKUP($A10,'Annex 2 EHV charges'!$A:$O,8,FALSE)),"")</f>
        <v>0.13</v>
      </c>
      <c r="F10" s="162">
        <f>IFERROR(IF(VLOOKUP($A10,'Annex 2 EHV charges'!$A:$O,9,FALSE)=0,"",VLOOKUP($A10,'Annex 2 EHV charges'!$A:$O,9,FALSE)),"")</f>
        <v>194.85</v>
      </c>
      <c r="G10" s="161">
        <f>IFERROR(IF(VLOOKUP($A10,'Annex 2 EHV charges'!$A:$O,10,FALSE)=0,"",VLOOKUP($A10,'Annex 2 EHV charges'!$A:$O,10,FALSE)),"")</f>
        <v>1.75</v>
      </c>
      <c r="H10" s="161">
        <f>IFERROR(IF(VLOOKUP($A10,'Annex 2 EHV charges'!$A:$O,11,FALSE)=0,"",VLOOKUP($A10,'Annex 2 EHV charges'!$A:$O,11,FALSE)),"")</f>
        <v>1.75</v>
      </c>
    </row>
    <row r="11" spans="1:14" ht="12.75" customHeight="1" x14ac:dyDescent="0.2">
      <c r="A11" s="88" t="str">
        <f t="array" ref="A11">IFERROR(INDEX('Annex 2 EHV charges'!$A$11:$A$57, MATCH(0, IF(ISBLANK('Annex 2 EHV charges'!$A$11:$A$57),1, COUNTIF(A$3:$A10, 'Annex 2 EHV charges'!$A$11:$A$57)), 0)),"")</f>
        <v>BRKFLD</v>
      </c>
      <c r="B11" s="88">
        <f>IF($A11="","",VLOOKUP($A11,'Annex 2 EHV charges'!$A:$O,2,0))</f>
        <v>829</v>
      </c>
      <c r="C11" s="89" t="str">
        <f>IF($A11="","",VLOOKUP($A11,'Annex 2 EHV charges'!$A:$O,3,0))</f>
        <v>1200061148060 1200061148079</v>
      </c>
      <c r="D11" s="88" t="str">
        <f>IF($A11="","",VLOOKUP($A11,'Annex 2 EHV charges'!$A:$O,7,0))</f>
        <v>BRKFLD</v>
      </c>
      <c r="E11" s="163">
        <f>IFERROR(IF(VLOOKUP($A11,'Annex 2 EHV charges'!$A:$O,8,FALSE)=0,"",VLOOKUP($A11,'Annex 2 EHV charges'!$A:$O,8,FALSE)),"")</f>
        <v>8.2000000000000003E-2</v>
      </c>
      <c r="F11" s="162">
        <f>IFERROR(IF(VLOOKUP($A11,'Annex 2 EHV charges'!$A:$O,9,FALSE)=0,"",VLOOKUP($A11,'Annex 2 EHV charges'!$A:$O,9,FALSE)),"")</f>
        <v>389.69</v>
      </c>
      <c r="G11" s="161">
        <f>IFERROR(IF(VLOOKUP($A11,'Annex 2 EHV charges'!$A:$O,10,FALSE)=0,"",VLOOKUP($A11,'Annex 2 EHV charges'!$A:$O,10,FALSE)),"")</f>
        <v>0.82</v>
      </c>
      <c r="H11" s="161">
        <f>IFERROR(IF(VLOOKUP($A11,'Annex 2 EHV charges'!$A:$O,11,FALSE)=0,"",VLOOKUP($A11,'Annex 2 EHV charges'!$A:$O,11,FALSE)),"")</f>
        <v>0.82</v>
      </c>
    </row>
    <row r="12" spans="1:14" ht="12.75" customHeight="1" x14ac:dyDescent="0.2">
      <c r="A12" s="88" t="str">
        <f t="array" ref="A12">IFERROR(INDEX('Annex 2 EHV charges'!$A$11:$A$57, MATCH(0, IF(ISBLANK('Annex 2 EHV charges'!$A$11:$A$57),1, COUNTIF(A$3:$A11, 'Annex 2 EHV charges'!$A$11:$A$57)), 0)),"")</f>
        <v>BRMLEY</v>
      </c>
      <c r="B12" s="88">
        <f>IF($A12="","",VLOOKUP($A12,'Annex 2 EHV charges'!$A:$O,2,0))</f>
        <v>0</v>
      </c>
      <c r="C12" s="89" t="str">
        <f>IF($A12="","",VLOOKUP($A12,'Annex 2 EHV charges'!$A:$O,3,0))</f>
        <v xml:space="preserve"> MSID: 1630</v>
      </c>
      <c r="D12" s="88" t="str">
        <f>IF($A12="","",VLOOKUP($A12,'Annex 2 EHV charges'!$A:$O,7,0))</f>
        <v>BRMLEY</v>
      </c>
      <c r="E12" s="163">
        <f>IFERROR(IF(VLOOKUP($A12,'Annex 2 EHV charges'!$A:$O,8,FALSE)=0,"",VLOOKUP($A12,'Annex 2 EHV charges'!$A:$O,8,FALSE)),"")</f>
        <v>5.0999999999999997E-2</v>
      </c>
      <c r="F12" s="162" t="str">
        <f>IFERROR(IF(VLOOKUP($A12,'Annex 2 EHV charges'!$A:$O,9,FALSE)=0,"",VLOOKUP($A12,'Annex 2 EHV charges'!$A:$O,9,FALSE)),"")</f>
        <v/>
      </c>
      <c r="G12" s="161">
        <f>IFERROR(IF(VLOOKUP($A12,'Annex 2 EHV charges'!$A:$O,10,FALSE)=0,"",VLOOKUP($A12,'Annex 2 EHV charges'!$A:$O,10,FALSE)),"")</f>
        <v>2.72</v>
      </c>
      <c r="H12" s="161">
        <f>IFERROR(IF(VLOOKUP($A12,'Annex 2 EHV charges'!$A:$O,11,FALSE)=0,"",VLOOKUP($A12,'Annex 2 EHV charges'!$A:$O,11,FALSE)),"")</f>
        <v>2.72</v>
      </c>
    </row>
    <row r="13" spans="1:14" ht="12.75" customHeight="1" x14ac:dyDescent="0.2">
      <c r="A13" s="88" t="str">
        <f t="array" ref="A13">IFERROR(INDEX('Annex 2 EHV charges'!$A$11:$A$57, MATCH(0, IF(ISBLANK('Annex 2 EHV charges'!$A$11:$A$57),1, COUNTIF(A$3:$A12, 'Annex 2 EHV charges'!$A$11:$A$57)), 0)),"")</f>
        <v>CRLIMM</v>
      </c>
      <c r="B13" s="88">
        <f>IF($A13="","",VLOOKUP($A13,'Annex 2 EHV charges'!$A:$O,2,0))</f>
        <v>812</v>
      </c>
      <c r="C13" s="89" t="str">
        <f>IF($A13="","",VLOOKUP($A13,'Annex 2 EHV charges'!$A:$O,3,0))</f>
        <v>1200062090483
1200062090492</v>
      </c>
      <c r="D13" s="88" t="str">
        <f>IF($A13="","",VLOOKUP($A13,'Annex 2 EHV charges'!$A:$O,7,0))</f>
        <v>CRLIMM</v>
      </c>
      <c r="E13" s="163" t="str">
        <f>IFERROR(IF(VLOOKUP($A13,'Annex 2 EHV charges'!$A:$O,8,FALSE)=0,"",VLOOKUP($A13,'Annex 2 EHV charges'!$A:$O,8,FALSE)),"")</f>
        <v/>
      </c>
      <c r="F13" s="162">
        <f>IFERROR(IF(VLOOKUP($A13,'Annex 2 EHV charges'!$A:$O,9,FALSE)=0,"",VLOOKUP($A13,'Annex 2 EHV charges'!$A:$O,9,FALSE)),"")</f>
        <v>7390.14</v>
      </c>
      <c r="G13" s="161">
        <f>IFERROR(IF(VLOOKUP($A13,'Annex 2 EHV charges'!$A:$O,10,FALSE)=0,"",VLOOKUP($A13,'Annex 2 EHV charges'!$A:$O,10,FALSE)),"")</f>
        <v>2.69</v>
      </c>
      <c r="H13" s="161">
        <f>IFERROR(IF(VLOOKUP($A13,'Annex 2 EHV charges'!$A:$O,11,FALSE)=0,"",VLOOKUP($A13,'Annex 2 EHV charges'!$A:$O,11,FALSE)),"")</f>
        <v>2.69</v>
      </c>
    </row>
    <row r="14" spans="1:14" ht="12.75" customHeight="1" x14ac:dyDescent="0.2">
      <c r="A14" s="88" t="str">
        <f t="array" ref="A14">IFERROR(INDEX('Annex 2 EHV charges'!$A$11:$A$57, MATCH(0, IF(ISBLANK('Annex 2 EHV charges'!$A$11:$A$57),1, COUNTIF(A$3:$A13, 'Annex 2 EHV charges'!$A$11:$A$57)), 0)),"")</f>
        <v>DART11</v>
      </c>
      <c r="B14" s="88">
        <f>IF($A14="","",VLOOKUP($A14,'Annex 2 EHV charges'!$A:$O,2,0))</f>
        <v>0</v>
      </c>
      <c r="C14" s="89" t="str">
        <f>IF($A14="","",VLOOKUP($A14,'Annex 2 EHV charges'!$A:$O,3,0))</f>
        <v xml:space="preserve"> MSID: 1032</v>
      </c>
      <c r="D14" s="88" t="str">
        <f>IF($A14="","",VLOOKUP($A14,'Annex 2 EHV charges'!$A:$O,7,0))</f>
        <v>DART11</v>
      </c>
      <c r="E14" s="163">
        <f>IFERROR(IF(VLOOKUP($A14,'Annex 2 EHV charges'!$A:$O,8,FALSE)=0,"",VLOOKUP($A14,'Annex 2 EHV charges'!$A:$O,8,FALSE)),"")</f>
        <v>0.183</v>
      </c>
      <c r="F14" s="162" t="str">
        <f>IFERROR(IF(VLOOKUP($A14,'Annex 2 EHV charges'!$A:$O,9,FALSE)=0,"",VLOOKUP($A14,'Annex 2 EHV charges'!$A:$O,9,FALSE)),"")</f>
        <v/>
      </c>
      <c r="G14" s="161">
        <f>IFERROR(IF(VLOOKUP($A14,'Annex 2 EHV charges'!$A:$O,10,FALSE)=0,"",VLOOKUP($A14,'Annex 2 EHV charges'!$A:$O,10,FALSE)),"")</f>
        <v>4.95</v>
      </c>
      <c r="H14" s="161">
        <f>IFERROR(IF(VLOOKUP($A14,'Annex 2 EHV charges'!$A:$O,11,FALSE)=0,"",VLOOKUP($A14,'Annex 2 EHV charges'!$A:$O,11,FALSE)),"")</f>
        <v>4.95</v>
      </c>
    </row>
    <row r="15" spans="1:14" ht="12.75" customHeight="1" x14ac:dyDescent="0.2">
      <c r="A15" s="88" t="str">
        <f t="array" ref="A15">IFERROR(INDEX('Annex 2 EHV charges'!$A$11:$A$57, MATCH(0, IF(ISBLANK('Annex 2 EHV charges'!$A$11:$A$57),1, COUNTIF(A$3:$A14, 'Annex 2 EHV charges'!$A$11:$A$57)), 0)),"")</f>
        <v>DART33</v>
      </c>
      <c r="B15" s="88">
        <f>IF($A15="","",VLOOKUP($A15,'Annex 2 EHV charges'!$A:$O,2,0))</f>
        <v>0</v>
      </c>
      <c r="C15" s="89" t="str">
        <f>IF($A15="","",VLOOKUP($A15,'Annex 2 EHV charges'!$A:$O,3,0))</f>
        <v xml:space="preserve"> MSID: 1032</v>
      </c>
      <c r="D15" s="88" t="str">
        <f>IF($A15="","",VLOOKUP($A15,'Annex 2 EHV charges'!$A:$O,7,0))</f>
        <v>DART33</v>
      </c>
      <c r="E15" s="163">
        <f>IFERROR(IF(VLOOKUP($A15,'Annex 2 EHV charges'!$A:$O,8,FALSE)=0,"",VLOOKUP($A15,'Annex 2 EHV charges'!$A:$O,8,FALSE)),"")</f>
        <v>0.371</v>
      </c>
      <c r="F15" s="162" t="str">
        <f>IFERROR(IF(VLOOKUP($A15,'Annex 2 EHV charges'!$A:$O,9,FALSE)=0,"",VLOOKUP($A15,'Annex 2 EHV charges'!$A:$O,9,FALSE)),"")</f>
        <v/>
      </c>
      <c r="G15" s="161">
        <f>IFERROR(IF(VLOOKUP($A15,'Annex 2 EHV charges'!$A:$O,10,FALSE)=0,"",VLOOKUP($A15,'Annex 2 EHV charges'!$A:$O,10,FALSE)),"")</f>
        <v>2.69</v>
      </c>
      <c r="H15" s="161">
        <f>IFERROR(IF(VLOOKUP($A15,'Annex 2 EHV charges'!$A:$O,11,FALSE)=0,"",VLOOKUP($A15,'Annex 2 EHV charges'!$A:$O,11,FALSE)),"")</f>
        <v>2.69</v>
      </c>
    </row>
    <row r="16" spans="1:14" ht="12.75" customHeight="1" x14ac:dyDescent="0.2">
      <c r="A16" s="88" t="str">
        <f t="array" ref="A16">IFERROR(INDEX('Annex 2 EHV charges'!$A$11:$A$57, MATCH(0, IF(ISBLANK('Annex 2 EHV charges'!$A$11:$A$57),1, COUNTIF(A$3:$A15, 'Annex 2 EHV charges'!$A$11:$A$57)), 0)),"")</f>
        <v>EPNLEI</v>
      </c>
      <c r="B16" s="88">
        <f>IF($A16="","",VLOOKUP($A16,'Annex 2 EHV charges'!$A:$O,2,0))</f>
        <v>0</v>
      </c>
      <c r="C16" s="89" t="str">
        <f>IF($A16="","",VLOOKUP($A16,'Annex 2 EHV charges'!$A:$O,3,0))</f>
        <v xml:space="preserve"> MSID: 1628</v>
      </c>
      <c r="D16" s="88" t="str">
        <f>IF($A16="","",VLOOKUP($A16,'Annex 2 EHV charges'!$A:$O,7,0))</f>
        <v>EPNLEI</v>
      </c>
      <c r="E16" s="163">
        <f>IFERROR(IF(VLOOKUP($A16,'Annex 2 EHV charges'!$A:$O,8,FALSE)=0,"",VLOOKUP($A16,'Annex 2 EHV charges'!$A:$O,8,FALSE)),"")</f>
        <v>4.0000000000000001E-3</v>
      </c>
      <c r="F16" s="162" t="str">
        <f>IFERROR(IF(VLOOKUP($A16,'Annex 2 EHV charges'!$A:$O,9,FALSE)=0,"",VLOOKUP($A16,'Annex 2 EHV charges'!$A:$O,9,FALSE)),"")</f>
        <v/>
      </c>
      <c r="G16" s="161">
        <f>IFERROR(IF(VLOOKUP($A16,'Annex 2 EHV charges'!$A:$O,10,FALSE)=0,"",VLOOKUP($A16,'Annex 2 EHV charges'!$A:$O,10,FALSE)),"")</f>
        <v>4.62</v>
      </c>
      <c r="H16" s="161">
        <f>IFERROR(IF(VLOOKUP($A16,'Annex 2 EHV charges'!$A:$O,11,FALSE)=0,"",VLOOKUP($A16,'Annex 2 EHV charges'!$A:$O,11,FALSE)),"")</f>
        <v>4.62</v>
      </c>
    </row>
    <row r="17" spans="1:8" ht="12.75" customHeight="1" x14ac:dyDescent="0.2">
      <c r="A17" s="88" t="str">
        <f t="array" ref="A17">IFERROR(INDEX('Annex 2 EHV charges'!$A$11:$A$57, MATCH(0, IF(ISBLANK('Annex 2 EHV charges'!$A$11:$A$57),1, COUNTIF(A$3:$A16, 'Annex 2 EHV charges'!$A$11:$A$57)), 0)),"")</f>
        <v>FENAVE</v>
      </c>
      <c r="B17" s="88">
        <f>IF($A17="","",VLOOKUP($A17,'Annex 2 EHV charges'!$A:$O,2,0))</f>
        <v>813</v>
      </c>
      <c r="C17" s="89" t="str">
        <f>IF($A17="","",VLOOKUP($A17,'Annex 2 EHV charges'!$A:$O,3,0))</f>
        <v>1200062132168
1200062132159</v>
      </c>
      <c r="D17" s="88" t="str">
        <f>IF($A17="","",VLOOKUP($A17,'Annex 2 EHV charges'!$A:$O,7,0))</f>
        <v>FENAVE</v>
      </c>
      <c r="E17" s="163">
        <f>IFERROR(IF(VLOOKUP($A17,'Annex 2 EHV charges'!$A:$O,8,FALSE)=0,"",VLOOKUP($A17,'Annex 2 EHV charges'!$A:$O,8,FALSE)),"")</f>
        <v>0.154</v>
      </c>
      <c r="F17" s="162">
        <f>IFERROR(IF(VLOOKUP($A17,'Annex 2 EHV charges'!$A:$O,9,FALSE)=0,"",VLOOKUP($A17,'Annex 2 EHV charges'!$A:$O,9,FALSE)),"")</f>
        <v>389.69</v>
      </c>
      <c r="G17" s="161">
        <f>IFERROR(IF(VLOOKUP($A17,'Annex 2 EHV charges'!$A:$O,10,FALSE)=0,"",VLOOKUP($A17,'Annex 2 EHV charges'!$A:$O,10,FALSE)),"")</f>
        <v>1.73</v>
      </c>
      <c r="H17" s="161">
        <f>IFERROR(IF(VLOOKUP($A17,'Annex 2 EHV charges'!$A:$O,11,FALSE)=0,"",VLOOKUP($A17,'Annex 2 EHV charges'!$A:$O,11,FALSE)),"")</f>
        <v>1.73</v>
      </c>
    </row>
    <row r="18" spans="1:8" ht="12.75" customHeight="1" x14ac:dyDescent="0.2">
      <c r="A18" s="88" t="str">
        <f t="array" ref="A18">IFERROR(INDEX('Annex 2 EHV charges'!$A$11:$A$57, MATCH(0, IF(ISBLANK('Annex 2 EHV charges'!$A$11:$A$57),1, COUNTIF(A$3:$A17, 'Annex 2 EHV charges'!$A$11:$A$57)), 0)),"")</f>
        <v>FENCHS</v>
      </c>
      <c r="B18" s="88">
        <f>IF($A18="","",VLOOKUP($A18,'Annex 2 EHV charges'!$A:$O,2,0))</f>
        <v>800</v>
      </c>
      <c r="C18" s="89" t="str">
        <f>IF($A18="","",VLOOKUP($A18,'Annex 2 EHV charges'!$A:$O,3,0))</f>
        <v xml:space="preserve">1200061144029
1200061144038 </v>
      </c>
      <c r="D18" s="88" t="str">
        <f>IF($A18="","",VLOOKUP($A18,'Annex 2 EHV charges'!$A:$O,7,0))</f>
        <v>FENCHS</v>
      </c>
      <c r="E18" s="163">
        <f>IFERROR(IF(VLOOKUP($A18,'Annex 2 EHV charges'!$A:$O,8,FALSE)=0,"",VLOOKUP($A18,'Annex 2 EHV charges'!$A:$O,8,FALSE)),"")</f>
        <v>0.14699999999999999</v>
      </c>
      <c r="F18" s="162">
        <f>IFERROR(IF(VLOOKUP($A18,'Annex 2 EHV charges'!$A:$O,9,FALSE)=0,"",VLOOKUP($A18,'Annex 2 EHV charges'!$A:$O,9,FALSE)),"")</f>
        <v>507.88</v>
      </c>
      <c r="G18" s="161">
        <f>IFERROR(IF(VLOOKUP($A18,'Annex 2 EHV charges'!$A:$O,10,FALSE)=0,"",VLOOKUP($A18,'Annex 2 EHV charges'!$A:$O,10,FALSE)),"")</f>
        <v>2.4500000000000002</v>
      </c>
      <c r="H18" s="161">
        <f>IFERROR(IF(VLOOKUP($A18,'Annex 2 EHV charges'!$A:$O,11,FALSE)=0,"",VLOOKUP($A18,'Annex 2 EHV charges'!$A:$O,11,FALSE)),"")</f>
        <v>2.4500000000000002</v>
      </c>
    </row>
    <row r="19" spans="1:8" ht="12.75" customHeight="1" x14ac:dyDescent="0.2">
      <c r="A19" s="88" t="str">
        <f t="array" ref="A19">IFERROR(INDEX('Annex 2 EHV charges'!$A$11:$A$57, MATCH(0, IF(ISBLANK('Annex 2 EHV charges'!$A$11:$A$57),1, COUNTIF(A$3:$A18, 'Annex 2 EHV charges'!$A$11:$A$57)), 0)),"")</f>
        <v>GBLSWI</v>
      </c>
      <c r="B19" s="88">
        <f>IF($A19="","",VLOOKUP($A19,'Annex 2 EHV charges'!$A:$O,2,0))</f>
        <v>843</v>
      </c>
      <c r="C19" s="89" t="str">
        <f>IF($A19="","",VLOOKUP($A19,'Annex 2 EHV charges'!$A:$O,3,0))</f>
        <v>1200050913681
1200050913690
1200050913706
1200050913715</v>
      </c>
      <c r="D19" s="88" t="str">
        <f>IF($A19="","",VLOOKUP($A19,'Annex 2 EHV charges'!$A:$O,7,0))</f>
        <v>GBLSWI</v>
      </c>
      <c r="E19" s="163" t="str">
        <f>IFERROR(IF(VLOOKUP($A19,'Annex 2 EHV charges'!$A:$O,8,FALSE)=0,"",VLOOKUP($A19,'Annex 2 EHV charges'!$A:$O,8,FALSE)),"")</f>
        <v/>
      </c>
      <c r="F19" s="162">
        <f>IFERROR(IF(VLOOKUP($A19,'Annex 2 EHV charges'!$A:$O,9,FALSE)=0,"",VLOOKUP($A19,'Annex 2 EHV charges'!$A:$O,9,FALSE)),"")</f>
        <v>7501.12</v>
      </c>
      <c r="G19" s="161">
        <f>IFERROR(IF(VLOOKUP($A19,'Annex 2 EHV charges'!$A:$O,10,FALSE)=0,"",VLOOKUP($A19,'Annex 2 EHV charges'!$A:$O,10,FALSE)),"")</f>
        <v>3.68</v>
      </c>
      <c r="H19" s="161">
        <f>IFERROR(IF(VLOOKUP($A19,'Annex 2 EHV charges'!$A:$O,11,FALSE)=0,"",VLOOKUP($A19,'Annex 2 EHV charges'!$A:$O,11,FALSE)),"")</f>
        <v>3.68</v>
      </c>
    </row>
    <row r="20" spans="1:8" ht="12.75" customHeight="1" x14ac:dyDescent="0.2">
      <c r="A20" s="88" t="str">
        <f t="array" ref="A20">IFERROR(INDEX('Annex 2 EHV charges'!$A$11:$A$57, MATCH(0, IF(ISBLANK('Annex 2 EHV charges'!$A$11:$A$57),1, COUNTIF(A$3:$A19, 'Annex 2 EHV charges'!$A$11:$A$57)), 0)),"")</f>
        <v>KNGLPN</v>
      </c>
      <c r="B20" s="88">
        <f>IF($A20="","",VLOOKUP($A20,'Annex 2 EHV charges'!$A:$O,2,0))</f>
        <v>0</v>
      </c>
      <c r="C20" s="89" t="str">
        <f>IF($A20="","",VLOOKUP($A20,'Annex 2 EHV charges'!$A:$O,3,0))</f>
        <v xml:space="preserve"> MSID: 1027</v>
      </c>
      <c r="D20" s="88" t="str">
        <f>IF($A20="","",VLOOKUP($A20,'Annex 2 EHV charges'!$A:$O,7,0))</f>
        <v>KNGLPN</v>
      </c>
      <c r="E20" s="163" t="str">
        <f>IFERROR(IF(VLOOKUP($A20,'Annex 2 EHV charges'!$A:$O,8,FALSE)=0,"",VLOOKUP($A20,'Annex 2 EHV charges'!$A:$O,8,FALSE)),"")</f>
        <v/>
      </c>
      <c r="F20" s="162" t="str">
        <f>IFERROR(IF(VLOOKUP($A20,'Annex 2 EHV charges'!$A:$O,9,FALSE)=0,"",VLOOKUP($A20,'Annex 2 EHV charges'!$A:$O,9,FALSE)),"")</f>
        <v/>
      </c>
      <c r="G20" s="161">
        <f>IFERROR(IF(VLOOKUP($A20,'Annex 2 EHV charges'!$A:$O,10,FALSE)=0,"",VLOOKUP($A20,'Annex 2 EHV charges'!$A:$O,10,FALSE)),"")</f>
        <v>1.08</v>
      </c>
      <c r="H20" s="161">
        <f>IFERROR(IF(VLOOKUP($A20,'Annex 2 EHV charges'!$A:$O,11,FALSE)=0,"",VLOOKUP($A20,'Annex 2 EHV charges'!$A:$O,11,FALSE)),"")</f>
        <v>1.08</v>
      </c>
    </row>
    <row r="21" spans="1:8" ht="12.75" customHeight="1" x14ac:dyDescent="0.2">
      <c r="A21" s="88" t="str">
        <f t="array" ref="A21">IFERROR(INDEX('Annex 2 EHV charges'!$A$11:$A$57, MATCH(0, IF(ISBLANK('Annex 2 EHV charges'!$A$11:$A$57),1, COUNTIF(A$3:$A20, 'Annex 2 EHV charges'!$A$11:$A$57)), 0)),"")</f>
        <v>LEDNHS</v>
      </c>
      <c r="B21" s="88">
        <f>IF($A21="","",VLOOKUP($A21,'Annex 2 EHV charges'!$A:$O,2,0))</f>
        <v>808</v>
      </c>
      <c r="C21" s="89" t="str">
        <f>IF($A21="","",VLOOKUP($A21,'Annex 2 EHV charges'!$A:$O,3,0))</f>
        <v xml:space="preserve">1200061144065
1200061144074 </v>
      </c>
      <c r="D21" s="88" t="str">
        <f>IF($A21="","",VLOOKUP($A21,'Annex 2 EHV charges'!$A:$O,7,0))</f>
        <v>LEDNHS</v>
      </c>
      <c r="E21" s="163">
        <f>IFERROR(IF(VLOOKUP($A21,'Annex 2 EHV charges'!$A:$O,8,FALSE)=0,"",VLOOKUP($A21,'Annex 2 EHV charges'!$A:$O,8,FALSE)),"")</f>
        <v>0.154</v>
      </c>
      <c r="F21" s="162">
        <f>IFERROR(IF(VLOOKUP($A21,'Annex 2 EHV charges'!$A:$O,9,FALSE)=0,"",VLOOKUP($A21,'Annex 2 EHV charges'!$A:$O,9,FALSE)),"")</f>
        <v>436.97</v>
      </c>
      <c r="G21" s="161">
        <f>IFERROR(IF(VLOOKUP($A21,'Annex 2 EHV charges'!$A:$O,10,FALSE)=0,"",VLOOKUP($A21,'Annex 2 EHV charges'!$A:$O,10,FALSE)),"")</f>
        <v>2.02</v>
      </c>
      <c r="H21" s="161">
        <f>IFERROR(IF(VLOOKUP($A21,'Annex 2 EHV charges'!$A:$O,11,FALSE)=0,"",VLOOKUP($A21,'Annex 2 EHV charges'!$A:$O,11,FALSE)),"")</f>
        <v>2.02</v>
      </c>
    </row>
    <row r="22" spans="1:8" ht="12.75" customHeight="1" x14ac:dyDescent="0.2">
      <c r="A22" s="88" t="str">
        <f t="array" ref="A22">IFERROR(INDEX('Annex 2 EHV charges'!$A$11:$A$57, MATCH(0, IF(ISBLANK('Annex 2 EHV charges'!$A$11:$A$57),1, COUNTIF(A$3:$A21, 'Annex 2 EHV charges'!$A$11:$A$57)), 0)),"")</f>
        <v>LIMEST</v>
      </c>
      <c r="B22" s="88">
        <f>IF($A22="","",VLOOKUP($A22,'Annex 2 EHV charges'!$A:$O,2,0))</f>
        <v>814</v>
      </c>
      <c r="C22" s="89" t="str">
        <f>IF($A22="","",VLOOKUP($A22,'Annex 2 EHV charges'!$A:$O,3,0))</f>
        <v>1200062132006
1200062132015</v>
      </c>
      <c r="D22" s="88" t="str">
        <f>IF($A22="","",VLOOKUP($A22,'Annex 2 EHV charges'!$A:$O,7,0))</f>
        <v>LIMEST</v>
      </c>
      <c r="E22" s="163">
        <f>IFERROR(IF(VLOOKUP($A22,'Annex 2 EHV charges'!$A:$O,8,FALSE)=0,"",VLOOKUP($A22,'Annex 2 EHV charges'!$A:$O,8,FALSE)),"")</f>
        <v>0.153</v>
      </c>
      <c r="F22" s="162">
        <f>IFERROR(IF(VLOOKUP($A22,'Annex 2 EHV charges'!$A:$O,9,FALSE)=0,"",VLOOKUP($A22,'Annex 2 EHV charges'!$A:$O,9,FALSE)),"")</f>
        <v>389.69</v>
      </c>
      <c r="G22" s="161">
        <f>IFERROR(IF(VLOOKUP($A22,'Annex 2 EHV charges'!$A:$O,10,FALSE)=0,"",VLOOKUP($A22,'Annex 2 EHV charges'!$A:$O,10,FALSE)),"")</f>
        <v>1.73</v>
      </c>
      <c r="H22" s="161">
        <f>IFERROR(IF(VLOOKUP($A22,'Annex 2 EHV charges'!$A:$O,11,FALSE)=0,"",VLOOKUP($A22,'Annex 2 EHV charges'!$A:$O,11,FALSE)),"")</f>
        <v>1.73</v>
      </c>
    </row>
    <row r="23" spans="1:8" ht="12.75" customHeight="1" x14ac:dyDescent="0.2">
      <c r="A23" s="88" t="str">
        <f t="array" ref="A23">IFERROR(INDEX('Annex 2 EHV charges'!$A$11:$A$57, MATCH(0, IF(ISBLANK('Annex 2 EHV charges'!$A$11:$A$57),1, COUNTIF(A$3:$A22, 'Annex 2 EHV charges'!$A$11:$A$57)), 0)),"")</f>
        <v>LNWALL</v>
      </c>
      <c r="B23" s="88">
        <f>IF($A23="","",VLOOKUP($A23,'Annex 2 EHV charges'!$A:$O,2,0))</f>
        <v>816</v>
      </c>
      <c r="C23" s="89" t="str">
        <f>IF($A23="","",VLOOKUP($A23,'Annex 2 EHV charges'!$A:$O,3,0))</f>
        <v>1200061953070
1200061148200
1200061953089
1200061148194</v>
      </c>
      <c r="D23" s="88" t="str">
        <f>IF($A23="","",VLOOKUP($A23,'Annex 2 EHV charges'!$A:$O,7,0))</f>
        <v>LNWALL</v>
      </c>
      <c r="E23" s="163" t="str">
        <f>IFERROR(IF(VLOOKUP($A23,'Annex 2 EHV charges'!$A:$O,8,FALSE)=0,"",VLOOKUP($A23,'Annex 2 EHV charges'!$A:$O,8,FALSE)),"")</f>
        <v/>
      </c>
      <c r="F23" s="162">
        <f>IFERROR(IF(VLOOKUP($A23,'Annex 2 EHV charges'!$A:$O,9,FALSE)=0,"",VLOOKUP($A23,'Annex 2 EHV charges'!$A:$O,9,FALSE)),"")</f>
        <v>1125.6600000000001</v>
      </c>
      <c r="G23" s="161">
        <f>IFERROR(IF(VLOOKUP($A23,'Annex 2 EHV charges'!$A:$O,10,FALSE)=0,"",VLOOKUP($A23,'Annex 2 EHV charges'!$A:$O,10,FALSE)),"")</f>
        <v>0.56000000000000005</v>
      </c>
      <c r="H23" s="161">
        <f>IFERROR(IF(VLOOKUP($A23,'Annex 2 EHV charges'!$A:$O,11,FALSE)=0,"",VLOOKUP($A23,'Annex 2 EHV charges'!$A:$O,11,FALSE)),"")</f>
        <v>0.56000000000000005</v>
      </c>
    </row>
    <row r="24" spans="1:8" ht="12.75" customHeight="1" x14ac:dyDescent="0.2">
      <c r="A24" s="88" t="str">
        <f t="array" ref="A24">IFERROR(INDEX('Annex 2 EHV charges'!$A$11:$A$57, MATCH(0, IF(ISBLANK('Annex 2 EHV charges'!$A$11:$A$57),1, COUNTIF(A$3:$A23, 'Annex 2 EHV charges'!$A$11:$A$57)), 0)),"")</f>
        <v>LU_ACT</v>
      </c>
      <c r="B24" s="88">
        <f>IF($A24="","",VLOOKUP($A24,'Annex 2 EHV charges'!$A:$O,2,0))</f>
        <v>0</v>
      </c>
      <c r="C24" s="89" t="str">
        <f>IF($A24="","",VLOOKUP($A24,'Annex 2 EHV charges'!$A:$O,3,0))</f>
        <v xml:space="preserve"> MSID: 1631</v>
      </c>
      <c r="D24" s="88" t="str">
        <f>IF($A24="","",VLOOKUP($A24,'Annex 2 EHV charges'!$A:$O,7,0))</f>
        <v>LU_ACT</v>
      </c>
      <c r="E24" s="163" t="str">
        <f>IFERROR(IF(VLOOKUP($A24,'Annex 2 EHV charges'!$A:$O,8,FALSE)=0,"",VLOOKUP($A24,'Annex 2 EHV charges'!$A:$O,8,FALSE)),"")</f>
        <v/>
      </c>
      <c r="F24" s="162">
        <f>IFERROR(IF(VLOOKUP($A24,'Annex 2 EHV charges'!$A:$O,9,FALSE)=0,"",VLOOKUP($A24,'Annex 2 EHV charges'!$A:$O,9,FALSE)),"")</f>
        <v>203.76</v>
      </c>
      <c r="G24" s="161">
        <f>IFERROR(IF(VLOOKUP($A24,'Annex 2 EHV charges'!$A:$O,10,FALSE)=0,"",VLOOKUP($A24,'Annex 2 EHV charges'!$A:$O,10,FALSE)),"")</f>
        <v>2.2200000000000002</v>
      </c>
      <c r="H24" s="161">
        <f>IFERROR(IF(VLOOKUP($A24,'Annex 2 EHV charges'!$A:$O,11,FALSE)=0,"",VLOOKUP($A24,'Annex 2 EHV charges'!$A:$O,11,FALSE)),"")</f>
        <v>2.2200000000000002</v>
      </c>
    </row>
    <row r="25" spans="1:8" ht="12.75" customHeight="1" x14ac:dyDescent="0.2">
      <c r="A25" s="88" t="str">
        <f t="array" ref="A25">IFERROR(INDEX('Annex 2 EHV charges'!$A$11:$A$57, MATCH(0, IF(ISBLANK('Annex 2 EHV charges'!$A$11:$A$57),1, COUNTIF(A$3:$A24, 'Annex 2 EHV charges'!$A$11:$A$57)), 0)),"")</f>
        <v>LU_CAN</v>
      </c>
      <c r="B25" s="88">
        <f>IF($A25="","",VLOOKUP($A25,'Annex 2 EHV charges'!$A:$O,2,0))</f>
        <v>818</v>
      </c>
      <c r="C25" s="89" t="str">
        <f>IF($A25="","",VLOOKUP($A25,'Annex 2 EHV charges'!$A:$O,3,0))</f>
        <v>1200060323207
1200060323216</v>
      </c>
      <c r="D25" s="88" t="str">
        <f>IF($A25="","",VLOOKUP($A25,'Annex 2 EHV charges'!$A:$O,7,0))</f>
        <v>LU_CAN</v>
      </c>
      <c r="E25" s="163" t="str">
        <f>IFERROR(IF(VLOOKUP($A25,'Annex 2 EHV charges'!$A:$O,8,FALSE)=0,"",VLOOKUP($A25,'Annex 2 EHV charges'!$A:$O,8,FALSE)),"")</f>
        <v/>
      </c>
      <c r="F25" s="162">
        <f>IFERROR(IF(VLOOKUP($A25,'Annex 2 EHV charges'!$A:$O,9,FALSE)=0,"",VLOOKUP($A25,'Annex 2 EHV charges'!$A:$O,9,FALSE)),"")</f>
        <v>6575.66</v>
      </c>
      <c r="G25" s="161">
        <f>IFERROR(IF(VLOOKUP($A25,'Annex 2 EHV charges'!$A:$O,10,FALSE)=0,"",VLOOKUP($A25,'Annex 2 EHV charges'!$A:$O,10,FALSE)),"")</f>
        <v>1</v>
      </c>
      <c r="H25" s="161">
        <f>IFERROR(IF(VLOOKUP($A25,'Annex 2 EHV charges'!$A:$O,11,FALSE)=0,"",VLOOKUP($A25,'Annex 2 EHV charges'!$A:$O,11,FALSE)),"")</f>
        <v>1</v>
      </c>
    </row>
    <row r="26" spans="1:8" ht="12.75" customHeight="1" x14ac:dyDescent="0.2">
      <c r="A26" s="88" t="str">
        <f t="array" ref="A26">IFERROR(INDEX('Annex 2 EHV charges'!$A$11:$A$57, MATCH(0, IF(ISBLANK('Annex 2 EHV charges'!$A$11:$A$57),1, COUNTIF(A$3:$A25, 'Annex 2 EHV charges'!$A$11:$A$57)), 0)),"")</f>
        <v>LU_CHA</v>
      </c>
      <c r="B26" s="88">
        <f>IF($A26="","",VLOOKUP($A26,'Annex 2 EHV charges'!$A:$O,2,0))</f>
        <v>801</v>
      </c>
      <c r="C26" s="89" t="str">
        <f>IF($A26="","",VLOOKUP($A26,'Annex 2 EHV charges'!$A:$O,3,0))</f>
        <v>1200061231921
1200061231930
1200061231940
1200061231959</v>
      </c>
      <c r="D26" s="88" t="str">
        <f>IF($A26="","",VLOOKUP($A26,'Annex 2 EHV charges'!$A:$O,7,0))</f>
        <v>LU_CHA</v>
      </c>
      <c r="E26" s="163" t="str">
        <f>IFERROR(IF(VLOOKUP($A26,'Annex 2 EHV charges'!$A:$O,8,FALSE)=0,"",VLOOKUP($A26,'Annex 2 EHV charges'!$A:$O,8,FALSE)),"")</f>
        <v/>
      </c>
      <c r="F26" s="162">
        <f>IFERROR(IF(VLOOKUP($A26,'Annex 2 EHV charges'!$A:$O,9,FALSE)=0,"",VLOOKUP($A26,'Annex 2 EHV charges'!$A:$O,9,FALSE)),"")</f>
        <v>7189.05</v>
      </c>
      <c r="G26" s="161">
        <f>IFERROR(IF(VLOOKUP($A26,'Annex 2 EHV charges'!$A:$O,10,FALSE)=0,"",VLOOKUP($A26,'Annex 2 EHV charges'!$A:$O,10,FALSE)),"")</f>
        <v>0.94</v>
      </c>
      <c r="H26" s="161">
        <f>IFERROR(IF(VLOOKUP($A26,'Annex 2 EHV charges'!$A:$O,11,FALSE)=0,"",VLOOKUP($A26,'Annex 2 EHV charges'!$A:$O,11,FALSE)),"")</f>
        <v>0.94</v>
      </c>
    </row>
    <row r="27" spans="1:8" ht="12.75" customHeight="1" x14ac:dyDescent="0.2">
      <c r="A27" s="88" t="str">
        <f t="array" ref="A27">IFERROR(INDEX('Annex 2 EHV charges'!$A$11:$A$57, MATCH(0, IF(ISBLANK('Annex 2 EHV charges'!$A$11:$A$57),1, COUNTIF(A$3:$A26, 'Annex 2 EHV charges'!$A$11:$A$57)), 0)),"")</f>
        <v>LU_HOX</v>
      </c>
      <c r="B27" s="88">
        <f>IF($A27="","",VLOOKUP($A27,'Annex 2 EHV charges'!$A:$O,2,0))</f>
        <v>804</v>
      </c>
      <c r="C27" s="89">
        <f>IF($A27="","",VLOOKUP($A27,'Annex 2 EHV charges'!$A:$O,3,0))</f>
        <v>1200060323191</v>
      </c>
      <c r="D27" s="88" t="str">
        <f>IF($A27="","",VLOOKUP($A27,'Annex 2 EHV charges'!$A:$O,7,0))</f>
        <v>LU_HOX</v>
      </c>
      <c r="E27" s="163" t="str">
        <f>IFERROR(IF(VLOOKUP($A27,'Annex 2 EHV charges'!$A:$O,8,FALSE)=0,"",VLOOKUP($A27,'Annex 2 EHV charges'!$A:$O,8,FALSE)),"")</f>
        <v/>
      </c>
      <c r="F27" s="162">
        <f>IFERROR(IF(VLOOKUP($A27,'Annex 2 EHV charges'!$A:$O,9,FALSE)=0,"",VLOOKUP($A27,'Annex 2 EHV charges'!$A:$O,9,FALSE)),"")</f>
        <v>6482.28</v>
      </c>
      <c r="G27" s="161">
        <f>IFERROR(IF(VLOOKUP($A27,'Annex 2 EHV charges'!$A:$O,10,FALSE)=0,"",VLOOKUP($A27,'Annex 2 EHV charges'!$A:$O,10,FALSE)),"")</f>
        <v>0.41</v>
      </c>
      <c r="H27" s="161">
        <f>IFERROR(IF(VLOOKUP($A27,'Annex 2 EHV charges'!$A:$O,11,FALSE)=0,"",VLOOKUP($A27,'Annex 2 EHV charges'!$A:$O,11,FALSE)),"")</f>
        <v>0.41</v>
      </c>
    </row>
    <row r="28" spans="1:8" ht="12.75" customHeight="1" x14ac:dyDescent="0.2">
      <c r="A28" s="88" t="str">
        <f t="array" ref="A28">IFERROR(INDEX('Annex 2 EHV charges'!$A$11:$A$57, MATCH(0, IF(ISBLANK('Annex 2 EHV charges'!$A$11:$A$57),1, COUNTIF(A$3:$A27, 'Annex 2 EHV charges'!$A$11:$A$57)), 0)),"")</f>
        <v>LU_LOT</v>
      </c>
      <c r="B28" s="88">
        <f>IF($A28="","",VLOOKUP($A28,'Annex 2 EHV charges'!$A:$O,2,0))</f>
        <v>838</v>
      </c>
      <c r="C28" s="89" t="str">
        <f>IF($A28="","",VLOOKUP($A28,'Annex 2 EHV charges'!$A:$O,3,0))</f>
        <v>1200050376902
1200050376911</v>
      </c>
      <c r="D28" s="88" t="str">
        <f>IF($A28="","",VLOOKUP($A28,'Annex 2 EHV charges'!$A:$O,7,0))</f>
        <v>LU_LOT</v>
      </c>
      <c r="E28" s="163" t="str">
        <f>IFERROR(IF(VLOOKUP($A28,'Annex 2 EHV charges'!$A:$O,8,FALSE)=0,"",VLOOKUP($A28,'Annex 2 EHV charges'!$A:$O,8,FALSE)),"")</f>
        <v/>
      </c>
      <c r="F28" s="162">
        <f>IFERROR(IF(VLOOKUP($A28,'Annex 2 EHV charges'!$A:$O,9,FALSE)=0,"",VLOOKUP($A28,'Annex 2 EHV charges'!$A:$O,9,FALSE)),"")</f>
        <v>32229.99</v>
      </c>
      <c r="G28" s="161">
        <f>IFERROR(IF(VLOOKUP($A28,'Annex 2 EHV charges'!$A:$O,10,FALSE)=0,"",VLOOKUP($A28,'Annex 2 EHV charges'!$A:$O,10,FALSE)),"")</f>
        <v>2.68</v>
      </c>
      <c r="H28" s="161">
        <f>IFERROR(IF(VLOOKUP($A28,'Annex 2 EHV charges'!$A:$O,11,FALSE)=0,"",VLOOKUP($A28,'Annex 2 EHV charges'!$A:$O,11,FALSE)),"")</f>
        <v>2.68</v>
      </c>
    </row>
    <row r="29" spans="1:8" ht="12.75" customHeight="1" x14ac:dyDescent="0.2">
      <c r="A29" s="88" t="str">
        <f t="array" ref="A29">IFERROR(INDEX('Annex 2 EHV charges'!$A$11:$A$57, MATCH(0, IF(ISBLANK('Annex 2 EHV charges'!$A$11:$A$57),1, COUNTIF(A$3:$A28, 'Annex 2 EHV charges'!$A$11:$A$57)), 0)),"")</f>
        <v>LU_MAN</v>
      </c>
      <c r="B29" s="88">
        <f>IF($A29="","",VLOOKUP($A29,'Annex 2 EHV charges'!$A:$O,2,0))</f>
        <v>837</v>
      </c>
      <c r="C29" s="89">
        <f>IF($A29="","",VLOOKUP($A29,'Annex 2 EHV charges'!$A:$O,3,0))</f>
        <v>1200010200926</v>
      </c>
      <c r="D29" s="88" t="str">
        <f>IF($A29="","",VLOOKUP($A29,'Annex 2 EHV charges'!$A:$O,7,0))</f>
        <v>LU_MAN</v>
      </c>
      <c r="E29" s="163">
        <f>IFERROR(IF(VLOOKUP($A29,'Annex 2 EHV charges'!$A:$O,8,FALSE)=0,"",VLOOKUP($A29,'Annex 2 EHV charges'!$A:$O,8,FALSE)),"")</f>
        <v>3.7999999999999999E-2</v>
      </c>
      <c r="F29" s="162">
        <f>IFERROR(IF(VLOOKUP($A29,'Annex 2 EHV charges'!$A:$O,9,FALSE)=0,"",VLOOKUP($A29,'Annex 2 EHV charges'!$A:$O,9,FALSE)),"")</f>
        <v>22657.96</v>
      </c>
      <c r="G29" s="161">
        <f>IFERROR(IF(VLOOKUP($A29,'Annex 2 EHV charges'!$A:$O,10,FALSE)=0,"",VLOOKUP($A29,'Annex 2 EHV charges'!$A:$O,10,FALSE)),"")</f>
        <v>1.34</v>
      </c>
      <c r="H29" s="161">
        <f>IFERROR(IF(VLOOKUP($A29,'Annex 2 EHV charges'!$A:$O,11,FALSE)=0,"",VLOOKUP($A29,'Annex 2 EHV charges'!$A:$O,11,FALSE)),"")</f>
        <v>1.34</v>
      </c>
    </row>
    <row r="30" spans="1:8" ht="12.75" customHeight="1" x14ac:dyDescent="0.2">
      <c r="A30" s="88" t="str">
        <f t="array" ref="A30">IFERROR(INDEX('Annex 2 EHV charges'!$A$11:$A$57, MATCH(0, IF(ISBLANK('Annex 2 EHV charges'!$A$11:$A$57),1, COUNTIF(A$3:$A29, 'Annex 2 EHV charges'!$A$11:$A$57)), 0)),"")</f>
        <v>LU_STE</v>
      </c>
      <c r="B30" s="88">
        <f>IF($A30="","",VLOOKUP($A30,'Annex 2 EHV charges'!$A:$O,2,0))</f>
        <v>839</v>
      </c>
      <c r="C30" s="89" t="str">
        <f>IF($A30="","",VLOOKUP($A30,'Annex 2 EHV charges'!$A:$O,3,0))</f>
        <v>1200010157225
1200010157234</v>
      </c>
      <c r="D30" s="88" t="str">
        <f>IF($A30="","",VLOOKUP($A30,'Annex 2 EHV charges'!$A:$O,7,0))</f>
        <v>LU_STE</v>
      </c>
      <c r="E30" s="163" t="str">
        <f>IFERROR(IF(VLOOKUP($A30,'Annex 2 EHV charges'!$A:$O,8,FALSE)=0,"",VLOOKUP($A30,'Annex 2 EHV charges'!$A:$O,8,FALSE)),"")</f>
        <v/>
      </c>
      <c r="F30" s="162">
        <f>IFERROR(IF(VLOOKUP($A30,'Annex 2 EHV charges'!$A:$O,9,FALSE)=0,"",VLOOKUP($A30,'Annex 2 EHV charges'!$A:$O,9,FALSE)),"")</f>
        <v>6101.22</v>
      </c>
      <c r="G30" s="161">
        <f>IFERROR(IF(VLOOKUP($A30,'Annex 2 EHV charges'!$A:$O,10,FALSE)=0,"",VLOOKUP($A30,'Annex 2 EHV charges'!$A:$O,10,FALSE)),"")</f>
        <v>3.29</v>
      </c>
      <c r="H30" s="161">
        <f>IFERROR(IF(VLOOKUP($A30,'Annex 2 EHV charges'!$A:$O,11,FALSE)=0,"",VLOOKUP($A30,'Annex 2 EHV charges'!$A:$O,11,FALSE)),"")</f>
        <v>3.29</v>
      </c>
    </row>
    <row r="31" spans="1:8" ht="12.75" customHeight="1" x14ac:dyDescent="0.2">
      <c r="A31" s="88" t="str">
        <f t="array" ref="A31">IFERROR(INDEX('Annex 2 EHV charges'!$A$11:$A$57, MATCH(0, IF(ISBLANK('Annex 2 EHV charges'!$A$11:$A$57),1, COUNTIF(A$3:$A30, 'Annex 2 EHV charges'!$A$11:$A$57)), 0)),"")</f>
        <v>MRKLNE</v>
      </c>
      <c r="B31" s="88">
        <f>IF($A31="","",VLOOKUP($A31,'Annex 2 EHV charges'!$A:$O,2,0))</f>
        <v>806</v>
      </c>
      <c r="C31" s="89" t="str">
        <f>IF($A31="","",VLOOKUP($A31,'Annex 2 EHV charges'!$A:$O,3,0))</f>
        <v>1200061378624
1200061378633</v>
      </c>
      <c r="D31" s="88" t="str">
        <f>IF($A31="","",VLOOKUP($A31,'Annex 2 EHV charges'!$A:$O,7,0))</f>
        <v>MRKLNE</v>
      </c>
      <c r="E31" s="163">
        <f>IFERROR(IF(VLOOKUP($A31,'Annex 2 EHV charges'!$A:$O,8,FALSE)=0,"",VLOOKUP($A31,'Annex 2 EHV charges'!$A:$O,8,FALSE)),"")</f>
        <v>0.14799999999999999</v>
      </c>
      <c r="F31" s="162">
        <f>IFERROR(IF(VLOOKUP($A31,'Annex 2 EHV charges'!$A:$O,9,FALSE)=0,"",VLOOKUP($A31,'Annex 2 EHV charges'!$A:$O,9,FALSE)),"")</f>
        <v>389.69</v>
      </c>
      <c r="G31" s="161">
        <f>IFERROR(IF(VLOOKUP($A31,'Annex 2 EHV charges'!$A:$O,10,FALSE)=0,"",VLOOKUP($A31,'Annex 2 EHV charges'!$A:$O,10,FALSE)),"")</f>
        <v>1.89</v>
      </c>
      <c r="H31" s="161">
        <f>IFERROR(IF(VLOOKUP($A31,'Annex 2 EHV charges'!$A:$O,11,FALSE)=0,"",VLOOKUP($A31,'Annex 2 EHV charges'!$A:$O,11,FALSE)),"")</f>
        <v>1.89</v>
      </c>
    </row>
    <row r="32" spans="1:8" ht="12.75" customHeight="1" x14ac:dyDescent="0.2">
      <c r="A32" s="88" t="str">
        <f t="array" ref="A32">IFERROR(INDEX('Annex 2 EHV charges'!$A$11:$A$57, MATCH(0, IF(ISBLANK('Annex 2 EHV charges'!$A$11:$A$57),1, COUNTIF(A$3:$A31, 'Annex 2 EHV charges'!$A$11:$A$57)), 0)),"")</f>
        <v>NGC_BA</v>
      </c>
      <c r="B32" s="88">
        <f>IF($A32="","",VLOOKUP($A32,'Annex 2 EHV charges'!$A:$O,2,0))</f>
        <v>817</v>
      </c>
      <c r="C32" s="89">
        <f>IF($A32="","",VLOOKUP($A32,'Annex 2 EHV charges'!$A:$O,3,0))</f>
        <v>1200010151872</v>
      </c>
      <c r="D32" s="88" t="str">
        <f>IF($A32="","",VLOOKUP($A32,'Annex 2 EHV charges'!$A:$O,7,0))</f>
        <v>NGC_BA</v>
      </c>
      <c r="E32" s="163">
        <f>IFERROR(IF(VLOOKUP($A32,'Annex 2 EHV charges'!$A:$O,8,FALSE)=0,"",VLOOKUP($A32,'Annex 2 EHV charges'!$A:$O,8,FALSE)),"")</f>
        <v>6.0000000000000001E-3</v>
      </c>
      <c r="F32" s="162" t="str">
        <f>IFERROR(IF(VLOOKUP($A32,'Annex 2 EHV charges'!$A:$O,9,FALSE)=0,"",VLOOKUP($A32,'Annex 2 EHV charges'!$A:$O,9,FALSE)),"")</f>
        <v/>
      </c>
      <c r="G32" s="161">
        <f>IFERROR(IF(VLOOKUP($A32,'Annex 2 EHV charges'!$A:$O,10,FALSE)=0,"",VLOOKUP($A32,'Annex 2 EHV charges'!$A:$O,10,FALSE)),"")</f>
        <v>0.59</v>
      </c>
      <c r="H32" s="161">
        <f>IFERROR(IF(VLOOKUP($A32,'Annex 2 EHV charges'!$A:$O,11,FALSE)=0,"",VLOOKUP($A32,'Annex 2 EHV charges'!$A:$O,11,FALSE)),"")</f>
        <v>0.59</v>
      </c>
    </row>
    <row r="33" spans="1:8" ht="12.75" customHeight="1" x14ac:dyDescent="0.2">
      <c r="A33" s="88" t="str">
        <f t="array" ref="A33">IFERROR(INDEX('Annex 2 EHV charges'!$A$11:$A$57, MATCH(0, IF(ISBLANK('Annex 2 EHV charges'!$A$11:$A$57),1, COUNTIF(A$3:$A32, 'Annex 2 EHV charges'!$A$11:$A$57)), 0)),"")</f>
        <v>NR_BOW</v>
      </c>
      <c r="B33" s="88">
        <f>IF($A33="","",VLOOKUP($A33,'Annex 2 EHV charges'!$A:$O,2,0))</f>
        <v>807</v>
      </c>
      <c r="C33" s="89" t="str">
        <f>IF($A33="","",VLOOKUP($A33,'Annex 2 EHV charges'!$A:$O,3,0))</f>
        <v>1200060280440
1200060280468</v>
      </c>
      <c r="D33" s="88" t="str">
        <f>IF($A33="","",VLOOKUP($A33,'Annex 2 EHV charges'!$A:$O,7,0))</f>
        <v>NR_BOW</v>
      </c>
      <c r="E33" s="163" t="str">
        <f>IFERROR(IF(VLOOKUP($A33,'Annex 2 EHV charges'!$A:$O,8,FALSE)=0,"",VLOOKUP($A33,'Annex 2 EHV charges'!$A:$O,8,FALSE)),"")</f>
        <v/>
      </c>
      <c r="F33" s="162">
        <f>IFERROR(IF(VLOOKUP($A33,'Annex 2 EHV charges'!$A:$O,9,FALSE)=0,"",VLOOKUP($A33,'Annex 2 EHV charges'!$A:$O,9,FALSE)),"")</f>
        <v>5274.12</v>
      </c>
      <c r="G33" s="161">
        <f>IFERROR(IF(VLOOKUP($A33,'Annex 2 EHV charges'!$A:$O,10,FALSE)=0,"",VLOOKUP($A33,'Annex 2 EHV charges'!$A:$O,10,FALSE)),"")</f>
        <v>4.7699999999999996</v>
      </c>
      <c r="H33" s="161">
        <f>IFERROR(IF(VLOOKUP($A33,'Annex 2 EHV charges'!$A:$O,11,FALSE)=0,"",VLOOKUP($A33,'Annex 2 EHV charges'!$A:$O,11,FALSE)),"")</f>
        <v>4.7699999999999996</v>
      </c>
    </row>
    <row r="34" spans="1:8" ht="12.75" customHeight="1" x14ac:dyDescent="0.2">
      <c r="A34" s="88" t="str">
        <f t="array" ref="A34">IFERROR(INDEX('Annex 2 EHV charges'!$A$11:$A$57, MATCH(0, IF(ISBLANK('Annex 2 EHV charges'!$A$11:$A$57),1, COUNTIF(A$3:$A33, 'Annex 2 EHV charges'!$A$11:$A$57)), 0)),"")</f>
        <v>NR_BRO</v>
      </c>
      <c r="B34" s="88">
        <f>IF($A34="","",VLOOKUP($A34,'Annex 2 EHV charges'!$A:$O,2,0))</f>
        <v>847</v>
      </c>
      <c r="C34" s="89">
        <f>IF($A34="","",VLOOKUP($A34,'Annex 2 EHV charges'!$A:$O,3,0))</f>
        <v>1200010251559</v>
      </c>
      <c r="D34" s="88" t="str">
        <f>IF($A34="","",VLOOKUP($A34,'Annex 2 EHV charges'!$A:$O,7,0))</f>
        <v>NR_BRO</v>
      </c>
      <c r="E34" s="163">
        <f>IFERROR(IF(VLOOKUP($A34,'Annex 2 EHV charges'!$A:$O,8,FALSE)=0,"",VLOOKUP($A34,'Annex 2 EHV charges'!$A:$O,8,FALSE)),"")</f>
        <v>5.0999999999999997E-2</v>
      </c>
      <c r="F34" s="162">
        <f>IFERROR(IF(VLOOKUP($A34,'Annex 2 EHV charges'!$A:$O,9,FALSE)=0,"",VLOOKUP($A34,'Annex 2 EHV charges'!$A:$O,9,FALSE)),"")</f>
        <v>2162.44</v>
      </c>
      <c r="G34" s="161">
        <f>IFERROR(IF(VLOOKUP($A34,'Annex 2 EHV charges'!$A:$O,10,FALSE)=0,"",VLOOKUP($A34,'Annex 2 EHV charges'!$A:$O,10,FALSE)),"")</f>
        <v>1.81</v>
      </c>
      <c r="H34" s="161">
        <f>IFERROR(IF(VLOOKUP($A34,'Annex 2 EHV charges'!$A:$O,11,FALSE)=0,"",VLOOKUP($A34,'Annex 2 EHV charges'!$A:$O,11,FALSE)),"")</f>
        <v>1.81</v>
      </c>
    </row>
    <row r="35" spans="1:8" ht="12.75" customHeight="1" x14ac:dyDescent="0.2">
      <c r="A35" s="88" t="str">
        <f t="array" ref="A35">IFERROR(INDEX('Annex 2 EHV charges'!$A$11:$A$57, MATCH(0, IF(ISBLANK('Annex 2 EHV charges'!$A$11:$A$57),1, COUNTIF(A$3:$A34, 'Annex 2 EHV charges'!$A$11:$A$57)), 0)),"")</f>
        <v>NR_CIT</v>
      </c>
      <c r="B35" s="88">
        <f>IF($A35="","",VLOOKUP($A35,'Annex 2 EHV charges'!$A:$O,2,0))</f>
        <v>846</v>
      </c>
      <c r="C35" s="89">
        <f>IF($A35="","",VLOOKUP($A35,'Annex 2 EHV charges'!$A:$O,3,0))</f>
        <v>1200010251521</v>
      </c>
      <c r="D35" s="88" t="str">
        <f>IF($A35="","",VLOOKUP($A35,'Annex 2 EHV charges'!$A:$O,7,0))</f>
        <v>NR_CIT</v>
      </c>
      <c r="E35" s="163">
        <f>IFERROR(IF(VLOOKUP($A35,'Annex 2 EHV charges'!$A:$O,8,FALSE)=0,"",VLOOKUP($A35,'Annex 2 EHV charges'!$A:$O,8,FALSE)),"")</f>
        <v>2.8069999999999999</v>
      </c>
      <c r="F35" s="162">
        <f>IFERROR(IF(VLOOKUP($A35,'Annex 2 EHV charges'!$A:$O,9,FALSE)=0,"",VLOOKUP($A35,'Annex 2 EHV charges'!$A:$O,9,FALSE)),"")</f>
        <v>67.92</v>
      </c>
      <c r="G35" s="161">
        <f>IFERROR(IF(VLOOKUP($A35,'Annex 2 EHV charges'!$A:$O,10,FALSE)=0,"",VLOOKUP($A35,'Annex 2 EHV charges'!$A:$O,10,FALSE)),"")</f>
        <v>2.3199999999999998</v>
      </c>
      <c r="H35" s="161">
        <f>IFERROR(IF(VLOOKUP($A35,'Annex 2 EHV charges'!$A:$O,11,FALSE)=0,"",VLOOKUP($A35,'Annex 2 EHV charges'!$A:$O,11,FALSE)),"")</f>
        <v>2.3199999999999998</v>
      </c>
    </row>
    <row r="36" spans="1:8" ht="12.75" customHeight="1" x14ac:dyDescent="0.2">
      <c r="A36" s="88" t="str">
        <f t="array" ref="A36">IFERROR(INDEX('Annex 2 EHV charges'!$A$11:$A$57, MATCH(0, IF(ISBLANK('Annex 2 EHV charges'!$A$11:$A$57),1, COUNTIF(A$3:$A35, 'Annex 2 EHV charges'!$A$11:$A$57)), 0)),"")</f>
        <v>NR_MAD</v>
      </c>
      <c r="B36" s="88">
        <f>IF($A36="","",VLOOKUP($A36,'Annex 2 EHV charges'!$A:$O,2,0))</f>
        <v>840</v>
      </c>
      <c r="C36" s="89">
        <f>IF($A36="","",VLOOKUP($A36,'Annex 2 EHV charges'!$A:$O,3,0))</f>
        <v>1200010251540</v>
      </c>
      <c r="D36" s="88" t="str">
        <f>IF($A36="","",VLOOKUP($A36,'Annex 2 EHV charges'!$A:$O,7,0))</f>
        <v>NR_MAD</v>
      </c>
      <c r="E36" s="163">
        <f>IFERROR(IF(VLOOKUP($A36,'Annex 2 EHV charges'!$A:$O,8,FALSE)=0,"",VLOOKUP($A36,'Annex 2 EHV charges'!$A:$O,8,FALSE)),"")</f>
        <v>0.52700000000000002</v>
      </c>
      <c r="F36" s="162">
        <f>IFERROR(IF(VLOOKUP($A36,'Annex 2 EHV charges'!$A:$O,9,FALSE)=0,"",VLOOKUP($A36,'Annex 2 EHV charges'!$A:$O,9,FALSE)),"")</f>
        <v>135.84</v>
      </c>
      <c r="G36" s="161">
        <f>IFERROR(IF(VLOOKUP($A36,'Annex 2 EHV charges'!$A:$O,10,FALSE)=0,"",VLOOKUP($A36,'Annex 2 EHV charges'!$A:$O,10,FALSE)),"")</f>
        <v>1.38</v>
      </c>
      <c r="H36" s="161">
        <f>IFERROR(IF(VLOOKUP($A36,'Annex 2 EHV charges'!$A:$O,11,FALSE)=0,"",VLOOKUP($A36,'Annex 2 EHV charges'!$A:$O,11,FALSE)),"")</f>
        <v>1.38</v>
      </c>
    </row>
    <row r="37" spans="1:8" ht="12.75" customHeight="1" x14ac:dyDescent="0.2">
      <c r="A37" s="88" t="str">
        <f t="array" ref="A37">IFERROR(INDEX('Annex 2 EHV charges'!$A$11:$A$57, MATCH(0, IF(ISBLANK('Annex 2 EHV charges'!$A$11:$A$57),1, COUNTIF(A$3:$A36, 'Annex 2 EHV charges'!$A$11:$A$57)), 0)),"")</f>
        <v>NR_NEW</v>
      </c>
      <c r="B37" s="88">
        <f>IF($A37="","",VLOOKUP($A37,'Annex 2 EHV charges'!$A:$O,2,0))</f>
        <v>845</v>
      </c>
      <c r="C37" s="89">
        <f>IF($A37="","",VLOOKUP($A37,'Annex 2 EHV charges'!$A:$O,3,0))</f>
        <v>1200010251530</v>
      </c>
      <c r="D37" s="88" t="str">
        <f>IF($A37="","",VLOOKUP($A37,'Annex 2 EHV charges'!$A:$O,7,0))</f>
        <v>NR_NEW</v>
      </c>
      <c r="E37" s="163" t="str">
        <f>IFERROR(IF(VLOOKUP($A37,'Annex 2 EHV charges'!$A:$O,8,FALSE)=0,"",VLOOKUP($A37,'Annex 2 EHV charges'!$A:$O,8,FALSE)),"")</f>
        <v/>
      </c>
      <c r="F37" s="162">
        <f>IFERROR(IF(VLOOKUP($A37,'Annex 2 EHV charges'!$A:$O,9,FALSE)=0,"",VLOOKUP($A37,'Annex 2 EHV charges'!$A:$O,9,FALSE)),"")</f>
        <v>7724.45</v>
      </c>
      <c r="G37" s="161">
        <f>IFERROR(IF(VLOOKUP($A37,'Annex 2 EHV charges'!$A:$O,10,FALSE)=0,"",VLOOKUP($A37,'Annex 2 EHV charges'!$A:$O,10,FALSE)),"")</f>
        <v>1.99</v>
      </c>
      <c r="H37" s="161">
        <f>IFERROR(IF(VLOOKUP($A37,'Annex 2 EHV charges'!$A:$O,11,FALSE)=0,"",VLOOKUP($A37,'Annex 2 EHV charges'!$A:$O,11,FALSE)),"")</f>
        <v>1.99</v>
      </c>
    </row>
    <row r="38" spans="1:8" ht="12.75" customHeight="1" x14ac:dyDescent="0.2">
      <c r="A38" s="88" t="str">
        <f t="array" ref="A38">IFERROR(INDEX('Annex 2 EHV charges'!$A$11:$A$57, MATCH(0, IF(ISBLANK('Annex 2 EHV charges'!$A$11:$A$57),1, COUNTIF(A$3:$A37, 'Annex 2 EHV charges'!$A$11:$A$57)), 0)),"")</f>
        <v>NR_W11</v>
      </c>
      <c r="B38" s="88">
        <f>IF($A38="","",VLOOKUP($A38,'Annex 2 EHV charges'!$A:$O,2,0))</f>
        <v>841</v>
      </c>
      <c r="C38" s="89">
        <f>IF($A38="","",VLOOKUP($A38,'Annex 2 EHV charges'!$A:$O,3,0))</f>
        <v>1200010251512</v>
      </c>
      <c r="D38" s="88" t="str">
        <f>IF($A38="","",VLOOKUP($A38,'Annex 2 EHV charges'!$A:$O,7,0))</f>
        <v>NR_W11</v>
      </c>
      <c r="E38" s="163" t="str">
        <f>IFERROR(IF(VLOOKUP($A38,'Annex 2 EHV charges'!$A:$O,8,FALSE)=0,"",VLOOKUP($A38,'Annex 2 EHV charges'!$A:$O,8,FALSE)),"")</f>
        <v/>
      </c>
      <c r="F38" s="162">
        <f>IFERROR(IF(VLOOKUP($A38,'Annex 2 EHV charges'!$A:$O,9,FALSE)=0,"",VLOOKUP($A38,'Annex 2 EHV charges'!$A:$O,9,FALSE)),"")</f>
        <v>5662.77</v>
      </c>
      <c r="G38" s="161">
        <f>IFERROR(IF(VLOOKUP($A38,'Annex 2 EHV charges'!$A:$O,10,FALSE)=0,"",VLOOKUP($A38,'Annex 2 EHV charges'!$A:$O,10,FALSE)),"")</f>
        <v>1.96</v>
      </c>
      <c r="H38" s="161">
        <f>IFERROR(IF(VLOOKUP($A38,'Annex 2 EHV charges'!$A:$O,11,FALSE)=0,"",VLOOKUP($A38,'Annex 2 EHV charges'!$A:$O,11,FALSE)),"")</f>
        <v>1.96</v>
      </c>
    </row>
    <row r="39" spans="1:8" ht="12.75" customHeight="1" x14ac:dyDescent="0.2">
      <c r="A39" s="88" t="str">
        <f t="array" ref="A39">IFERROR(INDEX('Annex 2 EHV charges'!$A$11:$A$57, MATCH(0, IF(ISBLANK('Annex 2 EHV charges'!$A$11:$A$57),1, COUNTIF(A$3:$A38, 'Annex 2 EHV charges'!$A$11:$A$57)), 0)),"")</f>
        <v>NR_W25</v>
      </c>
      <c r="B39" s="88">
        <f>IF($A39="","",VLOOKUP($A39,'Annex 2 EHV charges'!$A:$O,2,0))</f>
        <v>842</v>
      </c>
      <c r="C39" s="89">
        <f>IF($A39="","",VLOOKUP($A39,'Annex 2 EHV charges'!$A:$O,3,0))</f>
        <v>1200010251498</v>
      </c>
      <c r="D39" s="88" t="str">
        <f>IF($A39="","",VLOOKUP($A39,'Annex 2 EHV charges'!$A:$O,7,0))</f>
        <v>NR_W25</v>
      </c>
      <c r="E39" s="163">
        <f>IFERROR(IF(VLOOKUP($A39,'Annex 2 EHV charges'!$A:$O,8,FALSE)=0,"",VLOOKUP($A39,'Annex 2 EHV charges'!$A:$O,8,FALSE)),"")</f>
        <v>1E-3</v>
      </c>
      <c r="F39" s="162">
        <f>IFERROR(IF(VLOOKUP($A39,'Annex 2 EHV charges'!$A:$O,9,FALSE)=0,"",VLOOKUP($A39,'Annex 2 EHV charges'!$A:$O,9,FALSE)),"")</f>
        <v>4842.47</v>
      </c>
      <c r="G39" s="161">
        <f>IFERROR(IF(VLOOKUP($A39,'Annex 2 EHV charges'!$A:$O,10,FALSE)=0,"",VLOOKUP($A39,'Annex 2 EHV charges'!$A:$O,10,FALSE)),"")</f>
        <v>0.79</v>
      </c>
      <c r="H39" s="161">
        <f>IFERROR(IF(VLOOKUP($A39,'Annex 2 EHV charges'!$A:$O,11,FALSE)=0,"",VLOOKUP($A39,'Annex 2 EHV charges'!$A:$O,11,FALSE)),"")</f>
        <v>0.79</v>
      </c>
    </row>
    <row r="40" spans="1:8" ht="12.75" customHeight="1" x14ac:dyDescent="0.2">
      <c r="A40" s="88" t="str">
        <f t="array" ref="A40">IFERROR(INDEX('Annex 2 EHV charges'!$A$11:$A$57, MATCH(0, IF(ISBLANK('Annex 2 EHV charges'!$A$11:$A$57),1, COUNTIF(A$3:$A39, 'Annex 2 EHV charges'!$A$11:$A$57)), 0)),"")</f>
        <v>NR_WES</v>
      </c>
      <c r="B40" s="88">
        <f>IF($A40="","",VLOOKUP($A40,'Annex 2 EHV charges'!$A:$O,2,0))</f>
        <v>848</v>
      </c>
      <c r="C40" s="89">
        <f>IF($A40="","",VLOOKUP($A40,'Annex 2 EHV charges'!$A:$O,3,0))</f>
        <v>1200010251568</v>
      </c>
      <c r="D40" s="88" t="str">
        <f>IF($A40="","",VLOOKUP($A40,'Annex 2 EHV charges'!$A:$O,7,0))</f>
        <v>NR_WES</v>
      </c>
      <c r="E40" s="163">
        <f>IFERROR(IF(VLOOKUP($A40,'Annex 2 EHV charges'!$A:$O,8,FALSE)=0,"",VLOOKUP($A40,'Annex 2 EHV charges'!$A:$O,8,FALSE)),"")</f>
        <v>1E-3</v>
      </c>
      <c r="F40" s="162">
        <f>IFERROR(IF(VLOOKUP($A40,'Annex 2 EHV charges'!$A:$O,9,FALSE)=0,"",VLOOKUP($A40,'Annex 2 EHV charges'!$A:$O,9,FALSE)),"")</f>
        <v>4847.4399999999996</v>
      </c>
      <c r="G40" s="161">
        <f>IFERROR(IF(VLOOKUP($A40,'Annex 2 EHV charges'!$A:$O,10,FALSE)=0,"",VLOOKUP($A40,'Annex 2 EHV charges'!$A:$O,10,FALSE)),"")</f>
        <v>2.0099999999999998</v>
      </c>
      <c r="H40" s="161">
        <f>IFERROR(IF(VLOOKUP($A40,'Annex 2 EHV charges'!$A:$O,11,FALSE)=0,"",VLOOKUP($A40,'Annex 2 EHV charges'!$A:$O,11,FALSE)),"")</f>
        <v>2.0099999999999998</v>
      </c>
    </row>
    <row r="41" spans="1:8" ht="12.75" customHeight="1" x14ac:dyDescent="0.2">
      <c r="A41" s="88" t="str">
        <f t="array" ref="A41">IFERROR(INDEX('Annex 2 EHV charges'!$A$11:$A$57, MATCH(0, IF(ISBLANK('Annex 2 EHV charges'!$A$11:$A$57),1, COUNTIF(A$3:$A40, 'Annex 2 EHV charges'!$A$11:$A$57)), 0)),"")</f>
        <v>NR_WHI</v>
      </c>
      <c r="B41" s="88">
        <f>IF($A41="","",VLOOKUP($A41,'Annex 2 EHV charges'!$A:$O,2,0))</f>
        <v>849</v>
      </c>
      <c r="C41" s="89">
        <f>IF($A41="","",VLOOKUP($A41,'Annex 2 EHV charges'!$A:$O,3,0))</f>
        <v>1200050493611</v>
      </c>
      <c r="D41" s="88" t="str">
        <f>IF($A41="","",VLOOKUP($A41,'Annex 2 EHV charges'!$A:$O,7,0))</f>
        <v>NR_WHI</v>
      </c>
      <c r="E41" s="163">
        <f>IFERROR(IF(VLOOKUP($A41,'Annex 2 EHV charges'!$A:$O,8,FALSE)=0,"",VLOOKUP($A41,'Annex 2 EHV charges'!$A:$O,8,FALSE)),"")</f>
        <v>4.3730000000000002</v>
      </c>
      <c r="F41" s="162">
        <f>IFERROR(IF(VLOOKUP($A41,'Annex 2 EHV charges'!$A:$O,9,FALSE)=0,"",VLOOKUP($A41,'Annex 2 EHV charges'!$A:$O,9,FALSE)),"")</f>
        <v>67.92</v>
      </c>
      <c r="G41" s="161">
        <f>IFERROR(IF(VLOOKUP($A41,'Annex 2 EHV charges'!$A:$O,10,FALSE)=0,"",VLOOKUP($A41,'Annex 2 EHV charges'!$A:$O,10,FALSE)),"")</f>
        <v>1.71</v>
      </c>
      <c r="H41" s="161">
        <f>IFERROR(IF(VLOOKUP($A41,'Annex 2 EHV charges'!$A:$O,11,FALSE)=0,"",VLOOKUP($A41,'Annex 2 EHV charges'!$A:$O,11,FALSE)),"")</f>
        <v>1.71</v>
      </c>
    </row>
    <row r="42" spans="1:8" ht="12.75" customHeight="1" x14ac:dyDescent="0.2">
      <c r="A42" s="88" t="str">
        <f t="array" ref="A42">IFERROR(INDEX('Annex 2 EHV charges'!$A$11:$A$57, MATCH(0, IF(ISBLANK('Annex 2 EHV charges'!$A$11:$A$57),1, COUNTIF(A$3:$A41, 'Annex 2 EHV charges'!$A$11:$A$57)), 0)),"")</f>
        <v>NR_WIM</v>
      </c>
      <c r="B42" s="88">
        <f>IF($A42="","",VLOOKUP($A42,'Annex 2 EHV charges'!$A:$O,2,0))</f>
        <v>844</v>
      </c>
      <c r="C42" s="89">
        <f>IF($A42="","",VLOOKUP($A42,'Annex 2 EHV charges'!$A:$O,3,0))</f>
        <v>1200010200874</v>
      </c>
      <c r="D42" s="88" t="str">
        <f>IF($A42="","",VLOOKUP($A42,'Annex 2 EHV charges'!$A:$O,7,0))</f>
        <v>NR_WIM</v>
      </c>
      <c r="E42" s="163" t="str">
        <f>IFERROR(IF(VLOOKUP($A42,'Annex 2 EHV charges'!$A:$O,8,FALSE)=0,"",VLOOKUP($A42,'Annex 2 EHV charges'!$A:$O,8,FALSE)),"")</f>
        <v/>
      </c>
      <c r="F42" s="162">
        <f>IFERROR(IF(VLOOKUP($A42,'Annex 2 EHV charges'!$A:$O,9,FALSE)=0,"",VLOOKUP($A42,'Annex 2 EHV charges'!$A:$O,9,FALSE)),"")</f>
        <v>8204.59</v>
      </c>
      <c r="G42" s="161">
        <f>IFERROR(IF(VLOOKUP($A42,'Annex 2 EHV charges'!$A:$O,10,FALSE)=0,"",VLOOKUP($A42,'Annex 2 EHV charges'!$A:$O,10,FALSE)),"")</f>
        <v>1.66</v>
      </c>
      <c r="H42" s="161">
        <f>IFERROR(IF(VLOOKUP($A42,'Annex 2 EHV charges'!$A:$O,11,FALSE)=0,"",VLOOKUP($A42,'Annex 2 EHV charges'!$A:$O,11,FALSE)),"")</f>
        <v>1.66</v>
      </c>
    </row>
    <row r="43" spans="1:8" ht="12.75" customHeight="1" x14ac:dyDescent="0.2">
      <c r="A43" s="88" t="str">
        <f t="array" ref="A43">IFERROR(INDEX('Annex 2 EHV charges'!$A$11:$A$57, MATCH(0, IF(ISBLANK('Annex 2 EHV charges'!$A$11:$A$57),1, COUNTIF(A$3:$A42, 'Annex 2 EHV charges'!$A$11:$A$57)), 0)),"")</f>
        <v>SELCHP</v>
      </c>
      <c r="B43" s="88">
        <f>IF($A43="","",VLOOKUP($A43,'Annex 2 EHV charges'!$A:$O,2,0))</f>
        <v>827</v>
      </c>
      <c r="C43" s="89">
        <f>IF($A43="","",VLOOKUP($A43,'Annex 2 EHV charges'!$A:$O,3,0))</f>
        <v>1200010175650</v>
      </c>
      <c r="D43" s="88" t="str">
        <f>IF($A43="","",VLOOKUP($A43,'Annex 2 EHV charges'!$A:$O,7,0))</f>
        <v>SELCHP</v>
      </c>
      <c r="E43" s="163">
        <f>IFERROR(IF(VLOOKUP($A43,'Annex 2 EHV charges'!$A:$O,8,FALSE)=0,"",VLOOKUP($A43,'Annex 2 EHV charges'!$A:$O,8,FALSE)),"")</f>
        <v>0.13700000000000001</v>
      </c>
      <c r="F43" s="162">
        <f>IFERROR(IF(VLOOKUP($A43,'Annex 2 EHV charges'!$A:$O,9,FALSE)=0,"",VLOOKUP($A43,'Annex 2 EHV charges'!$A:$O,9,FALSE)),"")</f>
        <v>290.89999999999998</v>
      </c>
      <c r="G43" s="161">
        <f>IFERROR(IF(VLOOKUP($A43,'Annex 2 EHV charges'!$A:$O,10,FALSE)=0,"",VLOOKUP($A43,'Annex 2 EHV charges'!$A:$O,10,FALSE)),"")</f>
        <v>1.9</v>
      </c>
      <c r="H43" s="161">
        <f>IFERROR(IF(VLOOKUP($A43,'Annex 2 EHV charges'!$A:$O,11,FALSE)=0,"",VLOOKUP($A43,'Annex 2 EHV charges'!$A:$O,11,FALSE)),"")</f>
        <v>1.9</v>
      </c>
    </row>
    <row r="44" spans="1:8" ht="12.75" customHeight="1" x14ac:dyDescent="0.2">
      <c r="A44" s="88" t="str">
        <f t="array" ref="A44">IFERROR(INDEX('Annex 2 EHV charges'!$A$11:$A$57, MATCH(0, IF(ISBLANK('Annex 2 EHV charges'!$A$11:$A$57),1, COUNTIF(A$3:$A43, 'Annex 2 EHV charges'!$A$11:$A$57)), 0)),"")</f>
        <v>TELEHW</v>
      </c>
      <c r="B44" s="88">
        <f>IF($A44="","",VLOOKUP($A44,'Annex 2 EHV charges'!$A:$O,2,0))</f>
        <v>809</v>
      </c>
      <c r="C44" s="89" t="str">
        <f>IF($A44="","",VLOOKUP($A44,'Annex 2 EHV charges'!$A:$O,3,0))</f>
        <v>1200060951114
1200060951123</v>
      </c>
      <c r="D44" s="88" t="str">
        <f>IF($A44="","",VLOOKUP($A44,'Annex 2 EHV charges'!$A:$O,7,0))</f>
        <v>TELEHW</v>
      </c>
      <c r="E44" s="163" t="str">
        <f>IFERROR(IF(VLOOKUP($A44,'Annex 2 EHV charges'!$A:$O,8,FALSE)=0,"",VLOOKUP($A44,'Annex 2 EHV charges'!$A:$O,8,FALSE)),"")</f>
        <v/>
      </c>
      <c r="F44" s="162">
        <f>IFERROR(IF(VLOOKUP($A44,'Annex 2 EHV charges'!$A:$O,9,FALSE)=0,"",VLOOKUP($A44,'Annex 2 EHV charges'!$A:$O,9,FALSE)),"")</f>
        <v>953.81</v>
      </c>
      <c r="G44" s="161">
        <f>IFERROR(IF(VLOOKUP($A44,'Annex 2 EHV charges'!$A:$O,10,FALSE)=0,"",VLOOKUP($A44,'Annex 2 EHV charges'!$A:$O,10,FALSE)),"")</f>
        <v>3.11</v>
      </c>
      <c r="H44" s="161">
        <f>IFERROR(IF(VLOOKUP($A44,'Annex 2 EHV charges'!$A:$O,11,FALSE)=0,"",VLOOKUP($A44,'Annex 2 EHV charges'!$A:$O,11,FALSE)),"")</f>
        <v>3.11</v>
      </c>
    </row>
    <row r="45" spans="1:8" ht="12.75" customHeight="1" x14ac:dyDescent="0.2">
      <c r="A45" s="88" t="str">
        <f t="array" ref="A45">IFERROR(INDEX('Annex 2 EHV charges'!$A$11:$A$57, MATCH(0, IF(ISBLANK('Annex 2 EHV charges'!$A$11:$A$57),1, COUNTIF(A$3:$A44, 'Annex 2 EHV charges'!$A$11:$A$57)), 0)),"")</f>
        <v>THAMEB</v>
      </c>
      <c r="B45" s="88">
        <f>IF($A45="","",VLOOKUP($A45,'Annex 2 EHV charges'!$A:$O,2,0))</f>
        <v>828</v>
      </c>
      <c r="C45" s="89">
        <f>IF($A45="","",VLOOKUP($A45,'Annex 2 EHV charges'!$A:$O,3,0))</f>
        <v>1200010146153</v>
      </c>
      <c r="D45" s="88" t="str">
        <f>IF($A45="","",VLOOKUP($A45,'Annex 2 EHV charges'!$A:$O,7,0))</f>
        <v>THAMEB</v>
      </c>
      <c r="E45" s="163" t="str">
        <f>IFERROR(IF(VLOOKUP($A45,'Annex 2 EHV charges'!$A:$O,8,FALSE)=0,"",VLOOKUP($A45,'Annex 2 EHV charges'!$A:$O,8,FALSE)),"")</f>
        <v/>
      </c>
      <c r="F45" s="162">
        <f>IFERROR(IF(VLOOKUP($A45,'Annex 2 EHV charges'!$A:$O,9,FALSE)=0,"",VLOOKUP($A45,'Annex 2 EHV charges'!$A:$O,9,FALSE)),"")</f>
        <v>3275.82</v>
      </c>
      <c r="G45" s="161">
        <f>IFERROR(IF(VLOOKUP($A45,'Annex 2 EHV charges'!$A:$O,10,FALSE)=0,"",VLOOKUP($A45,'Annex 2 EHV charges'!$A:$O,10,FALSE)),"")</f>
        <v>0.74</v>
      </c>
      <c r="H45" s="161">
        <f>IFERROR(IF(VLOOKUP($A45,'Annex 2 EHV charges'!$A:$O,11,FALSE)=0,"",VLOOKUP($A45,'Annex 2 EHV charges'!$A:$O,11,FALSE)),"")</f>
        <v>0.74</v>
      </c>
    </row>
    <row r="46" spans="1:8" ht="12.75" customHeight="1" x14ac:dyDescent="0.2">
      <c r="A46" s="88" t="str">
        <f t="array" ref="A46">IFERROR(INDEX('Annex 2 EHV charges'!$A$11:$A$57, MATCH(0, IF(ISBLANK('Annex 2 EHV charges'!$A$11:$A$57),1, COUNTIF(A$3:$A45, 'Annex 2 EHV charges'!$A$11:$A$57)), 0)),"")</f>
        <v>THAMEC</v>
      </c>
      <c r="B46" s="88">
        <f>IF($A46="","",VLOOKUP($A46,'Annex 2 EHV charges'!$A:$O,2,0))</f>
        <v>802</v>
      </c>
      <c r="C46" s="89" t="str">
        <f>IF($A46="","",VLOOKUP($A46,'Annex 2 EHV charges'!$A:$O,3,0))</f>
        <v>1200061171324
1200061171333</v>
      </c>
      <c r="D46" s="88" t="str">
        <f>IF($A46="","",VLOOKUP($A46,'Annex 2 EHV charges'!$A:$O,7,0))</f>
        <v>THAMEC</v>
      </c>
      <c r="E46" s="163" t="str">
        <f>IFERROR(IF(VLOOKUP($A46,'Annex 2 EHV charges'!$A:$O,8,FALSE)=0,"",VLOOKUP($A46,'Annex 2 EHV charges'!$A:$O,8,FALSE)),"")</f>
        <v/>
      </c>
      <c r="F46" s="162">
        <f>IFERROR(IF(VLOOKUP($A46,'Annex 2 EHV charges'!$A:$O,9,FALSE)=0,"",VLOOKUP($A46,'Annex 2 EHV charges'!$A:$O,9,FALSE)),"")</f>
        <v>2866.45</v>
      </c>
      <c r="G46" s="161">
        <f>IFERROR(IF(VLOOKUP($A46,'Annex 2 EHV charges'!$A:$O,10,FALSE)=0,"",VLOOKUP($A46,'Annex 2 EHV charges'!$A:$O,10,FALSE)),"")</f>
        <v>1.06</v>
      </c>
      <c r="H46" s="161">
        <f>IFERROR(IF(VLOOKUP($A46,'Annex 2 EHV charges'!$A:$O,11,FALSE)=0,"",VLOOKUP($A46,'Annex 2 EHV charges'!$A:$O,11,FALSE)),"")</f>
        <v>1.06</v>
      </c>
    </row>
    <row r="47" spans="1:8" ht="12.75" customHeight="1" x14ac:dyDescent="0.2">
      <c r="A47" s="88" t="str">
        <f t="array" ref="A47">IFERROR(INDEX('Annex 2 EHV charges'!$A$11:$A$57, MATCH(0, IF(ISBLANK('Annex 2 EHV charges'!$A$11:$A$57),1, COUNTIF(A$3:$A46, 'Annex 2 EHV charges'!$A$11:$A$57)), 0)),"")</f>
        <v>TLRSLN</v>
      </c>
      <c r="B47" s="88">
        <f>IF($A47="","",VLOOKUP($A47,'Annex 2 EHV charges'!$A:$O,2,0))</f>
        <v>0</v>
      </c>
      <c r="C47" s="89" t="str">
        <f>IF($A47="","",VLOOKUP($A47,'Annex 2 EHV charges'!$A:$O,3,0))</f>
        <v xml:space="preserve"> MSID: 5538</v>
      </c>
      <c r="D47" s="88" t="str">
        <f>IF($A47="","",VLOOKUP($A47,'Annex 2 EHV charges'!$A:$O,7,0))</f>
        <v>TLRSLN</v>
      </c>
      <c r="E47" s="163" t="str">
        <f>IFERROR(IF(VLOOKUP($A47,'Annex 2 EHV charges'!$A:$O,8,FALSE)=0,"",VLOOKUP($A47,'Annex 2 EHV charges'!$A:$O,8,FALSE)),"")</f>
        <v/>
      </c>
      <c r="F47" s="162">
        <f>IFERROR(IF(VLOOKUP($A47,'Annex 2 EHV charges'!$A:$O,9,FALSE)=0,"",VLOOKUP($A47,'Annex 2 EHV charges'!$A:$O,9,FALSE)),"")</f>
        <v>32.35</v>
      </c>
      <c r="G47" s="161">
        <f>IFERROR(IF(VLOOKUP($A47,'Annex 2 EHV charges'!$A:$O,10,FALSE)=0,"",VLOOKUP($A47,'Annex 2 EHV charges'!$A:$O,10,FALSE)),"")</f>
        <v>1.07</v>
      </c>
      <c r="H47" s="161">
        <f>IFERROR(IF(VLOOKUP($A47,'Annex 2 EHV charges'!$A:$O,11,FALSE)=0,"",VLOOKUP($A47,'Annex 2 EHV charges'!$A:$O,11,FALSE)),"")</f>
        <v>1.07</v>
      </c>
    </row>
    <row r="48" spans="1:8" ht="12.75" customHeight="1" x14ac:dyDescent="0.2">
      <c r="A48" s="88" t="str">
        <f t="array" ref="A48">IFERROR(INDEX('Annex 2 EHV charges'!$A$11:$A$57, MATCH(0, IF(ISBLANK('Annex 2 EHV charges'!$A$11:$A$57),1, COUNTIF(A$3:$A47, 'Annex 2 EHV charges'!$A$11:$A$57)), 0)),"")</f>
        <v>TWCHST</v>
      </c>
      <c r="B48" s="88">
        <f>IF($A48="","",VLOOKUP($A48,'Annex 2 EHV charges'!$A:$O,2,0))</f>
        <v>819</v>
      </c>
      <c r="C48" s="89">
        <f>IF($A48="","",VLOOKUP($A48,'Annex 2 EHV charges'!$A:$O,3,0))</f>
        <v>1200061990150</v>
      </c>
      <c r="D48" s="88" t="str">
        <f>IF($A48="","",VLOOKUP($A48,'Annex 2 EHV charges'!$A:$O,7,0))</f>
        <v>TWCHST</v>
      </c>
      <c r="E48" s="163" t="str">
        <f>IFERROR(IF(VLOOKUP($A48,'Annex 2 EHV charges'!$A:$O,8,FALSE)=0,"",VLOOKUP($A48,'Annex 2 EHV charges'!$A:$O,8,FALSE)),"")</f>
        <v/>
      </c>
      <c r="F48" s="162">
        <f>IFERROR(IF(VLOOKUP($A48,'Annex 2 EHV charges'!$A:$O,9,FALSE)=0,"",VLOOKUP($A48,'Annex 2 EHV charges'!$A:$O,9,FALSE)),"")</f>
        <v>8164.43</v>
      </c>
      <c r="G48" s="161">
        <f>IFERROR(IF(VLOOKUP($A48,'Annex 2 EHV charges'!$A:$O,10,FALSE)=0,"",VLOOKUP($A48,'Annex 2 EHV charges'!$A:$O,10,FALSE)),"")</f>
        <v>1.72</v>
      </c>
      <c r="H48" s="161">
        <f>IFERROR(IF(VLOOKUP($A48,'Annex 2 EHV charges'!$A:$O,11,FALSE)=0,"",VLOOKUP($A48,'Annex 2 EHV charges'!$A:$O,11,FALSE)),"")</f>
        <v>1.72</v>
      </c>
    </row>
    <row r="49" spans="1:8" ht="12.75" customHeight="1" x14ac:dyDescent="0.2">
      <c r="A49" s="88" t="str">
        <f t="array" ref="A49">IFERROR(INDEX('Annex 2 EHV charges'!$A$11:$A$57, MATCH(0, IF(ISBLANK('Annex 2 EHV charges'!$A$11:$A$57),1, COUNTIF(A$3:$A48, 'Annex 2 EHV charges'!$A$11:$A$57)), 0)),"")</f>
        <v>TWGNCH</v>
      </c>
      <c r="B49" s="88">
        <f>IF($A49="","",VLOOKUP($A49,'Annex 2 EHV charges'!$A:$O,2,0))</f>
        <v>822</v>
      </c>
      <c r="C49" s="89">
        <f>IF($A49="","",VLOOKUP($A49,'Annex 2 EHV charges'!$A:$O,3,0))</f>
        <v>1200061990319</v>
      </c>
      <c r="D49" s="88" t="str">
        <f>IF($A49="","",VLOOKUP($A49,'Annex 2 EHV charges'!$A:$O,7,0))</f>
        <v>TWGNCH</v>
      </c>
      <c r="E49" s="163" t="str">
        <f>IFERROR(IF(VLOOKUP($A49,'Annex 2 EHV charges'!$A:$O,8,FALSE)=0,"",VLOOKUP($A49,'Annex 2 EHV charges'!$A:$O,8,FALSE)),"")</f>
        <v/>
      </c>
      <c r="F49" s="162">
        <f>IFERROR(IF(VLOOKUP($A49,'Annex 2 EHV charges'!$A:$O,9,FALSE)=0,"",VLOOKUP($A49,'Annex 2 EHV charges'!$A:$O,9,FALSE)),"")</f>
        <v>135.84</v>
      </c>
      <c r="G49" s="161">
        <f>IFERROR(IF(VLOOKUP($A49,'Annex 2 EHV charges'!$A:$O,10,FALSE)=0,"",VLOOKUP($A49,'Annex 2 EHV charges'!$A:$O,10,FALSE)),"")</f>
        <v>1.53</v>
      </c>
      <c r="H49" s="161">
        <f>IFERROR(IF(VLOOKUP($A49,'Annex 2 EHV charges'!$A:$O,11,FALSE)=0,"",VLOOKUP($A49,'Annex 2 EHV charges'!$A:$O,11,FALSE)),"")</f>
        <v>1.53</v>
      </c>
    </row>
    <row r="50" spans="1:8" ht="12.75" customHeight="1" x14ac:dyDescent="0.2">
      <c r="A50" s="88" t="str">
        <f t="array" ref="A50">IFERROR(INDEX('Annex 2 EHV charges'!$A$11:$A$57, MATCH(0, IF(ISBLANK('Annex 2 EHV charges'!$A$11:$A$57),1, COUNTIF(A$3:$A49, 'Annex 2 EHV charges'!$A$11:$A$57)), 0)),"")</f>
        <v>TWKIRT</v>
      </c>
      <c r="B50" s="88">
        <f>IF($A50="","",VLOOKUP($A50,'Annex 2 EHV charges'!$A:$O,2,0))</f>
        <v>823</v>
      </c>
      <c r="C50" s="89" t="str">
        <f>IF($A50="","",VLOOKUP($A50,'Annex 2 EHV charges'!$A:$O,3,0))</f>
        <v>1200061999491
1200061999507
1200062001242
1200062001251</v>
      </c>
      <c r="D50" s="88" t="str">
        <f>IF($A50="","",VLOOKUP($A50,'Annex 2 EHV charges'!$A:$O,7,0))</f>
        <v>TWKIRT</v>
      </c>
      <c r="E50" s="163">
        <f>IFERROR(IF(VLOOKUP($A50,'Annex 2 EHV charges'!$A:$O,8,FALSE)=0,"",VLOOKUP($A50,'Annex 2 EHV charges'!$A:$O,8,FALSE)),"")</f>
        <v>1.2010000000000001</v>
      </c>
      <c r="F50" s="162">
        <f>IFERROR(IF(VLOOKUP($A50,'Annex 2 EHV charges'!$A:$O,9,FALSE)=0,"",VLOOKUP($A50,'Annex 2 EHV charges'!$A:$O,9,FALSE)),"")</f>
        <v>135.84</v>
      </c>
      <c r="G50" s="161">
        <f>IFERROR(IF(VLOOKUP($A50,'Annex 2 EHV charges'!$A:$O,10,FALSE)=0,"",VLOOKUP($A50,'Annex 2 EHV charges'!$A:$O,10,FALSE)),"")</f>
        <v>2.36</v>
      </c>
      <c r="H50" s="161">
        <f>IFERROR(IF(VLOOKUP($A50,'Annex 2 EHV charges'!$A:$O,11,FALSE)=0,"",VLOOKUP($A50,'Annex 2 EHV charges'!$A:$O,11,FALSE)),"")</f>
        <v>2.36</v>
      </c>
    </row>
    <row r="51" spans="1:8" ht="12.75" customHeight="1" x14ac:dyDescent="0.2">
      <c r="A51" s="88" t="str">
        <f t="array" ref="A51">IFERROR(INDEX('Annex 2 EHV charges'!$A$11:$A$57, MATCH(0, IF(ISBLANK('Annex 2 EHV charges'!$A$11:$A$57),1, COUNTIF(A$3:$A50, 'Annex 2 EHV charges'!$A$11:$A$57)), 0)),"")</f>
        <v>VOLTDC</v>
      </c>
      <c r="B51" s="88">
        <f>IF($A51="","",VLOOKUP($A51,'Annex 2 EHV charges'!$A:$O,2,0))</f>
        <v>803</v>
      </c>
      <c r="C51" s="89" t="str">
        <f>IF($A51="","",VLOOKUP($A51,'Annex 2 EHV charges'!$A:$O,3,0))</f>
        <v xml:space="preserve">1200061148032
1200061148041 </v>
      </c>
      <c r="D51" s="88" t="str">
        <f>IF($A51="","",VLOOKUP($A51,'Annex 2 EHV charges'!$A:$O,7,0))</f>
        <v>VOLTDC</v>
      </c>
      <c r="E51" s="163">
        <f>IFERROR(IF(VLOOKUP($A51,'Annex 2 EHV charges'!$A:$O,8,FALSE)=0,"",VLOOKUP($A51,'Annex 2 EHV charges'!$A:$O,8,FALSE)),"")</f>
        <v>0.13100000000000001</v>
      </c>
      <c r="F51" s="162">
        <f>IFERROR(IF(VLOOKUP($A51,'Annex 2 EHV charges'!$A:$O,9,FALSE)=0,"",VLOOKUP($A51,'Annex 2 EHV charges'!$A:$O,9,FALSE)),"")</f>
        <v>547.27</v>
      </c>
      <c r="G51" s="161">
        <f>IFERROR(IF(VLOOKUP($A51,'Annex 2 EHV charges'!$A:$O,10,FALSE)=0,"",VLOOKUP($A51,'Annex 2 EHV charges'!$A:$O,10,FALSE)),"")</f>
        <v>1.1499999999999999</v>
      </c>
      <c r="H51" s="161">
        <f>IFERROR(IF(VLOOKUP($A51,'Annex 2 EHV charges'!$A:$O,11,FALSE)=0,"",VLOOKUP($A51,'Annex 2 EHV charges'!$A:$O,11,FALSE)),"")</f>
        <v>1.1499999999999999</v>
      </c>
    </row>
    <row r="52" spans="1:8" ht="12.75" customHeight="1" x14ac:dyDescent="0.2">
      <c r="A52" s="88" t="str">
        <f t="array" ref="A52">IFERROR(INDEX('Annex 2 EHV charges'!$A$11:$A$57, MATCH(0, IF(ISBLANK('Annex 2 EHV charges'!$A$11:$A$57),1, COUNTIF(A$3:$A51, 'Annex 2 EHV charges'!$A$11:$A$57)), 0)),"")</f>
        <v/>
      </c>
      <c r="B52" s="88" t="str">
        <f>IF($A52="","",VLOOKUP($A52,'Annex 2 EHV charges'!$A:$O,2,0))</f>
        <v/>
      </c>
      <c r="C52" s="89" t="str">
        <f>IF($A52="","",VLOOKUP($A52,'Annex 2 EHV charges'!$A:$O,3,0))</f>
        <v/>
      </c>
      <c r="D52" s="88" t="str">
        <f>IF($A52="","",VLOOKUP($A52,'Annex 2 EHV charges'!$A:$O,7,0))</f>
        <v/>
      </c>
      <c r="E52" s="163" t="str">
        <f>IFERROR(IF(VLOOKUP($A52,'Annex 2 EHV charges'!$A:$O,8,FALSE)=0,"",VLOOKUP($A52,'Annex 2 EHV charges'!$A:$O,8,FALSE)),"")</f>
        <v/>
      </c>
      <c r="F52" s="162" t="str">
        <f>IFERROR(IF(VLOOKUP($A52,'Annex 2 EHV charges'!$A:$O,9,FALSE)=0,"",VLOOKUP($A52,'Annex 2 EHV charges'!$A:$O,9,FALSE)),"")</f>
        <v/>
      </c>
      <c r="G52" s="161" t="str">
        <f>IFERROR(IF(VLOOKUP($A52,'Annex 2 EHV charges'!$A:$O,10,FALSE)=0,"",VLOOKUP($A52,'Annex 2 EHV charges'!$A:$O,10,FALSE)),"")</f>
        <v/>
      </c>
      <c r="H52" s="161" t="str">
        <f>IFERROR(IF(VLOOKUP($A52,'Annex 2 EHV charges'!$A:$O,11,FALSE)=0,"",VLOOKUP($A52,'Annex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8"/>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5.7109375" style="49" bestFit="1" customWidth="1"/>
    <col min="4" max="4" width="50.7109375" style="49" customWidth="1"/>
    <col min="5" max="5" width="14.7109375" style="50" customWidth="1"/>
    <col min="6" max="7" width="14.7109375" style="51" customWidth="1"/>
    <col min="8" max="8" width="14.7109375" style="43" customWidth="1"/>
    <col min="9" max="9" width="15.5703125" style="43" customWidth="1"/>
    <col min="10" max="16384" width="9.140625" style="43"/>
  </cols>
  <sheetData>
    <row r="1" spans="1:15" ht="66.75" customHeight="1" x14ac:dyDescent="0.2">
      <c r="A1" s="242" t="s">
        <v>508</v>
      </c>
      <c r="B1" s="242"/>
      <c r="C1" s="242"/>
      <c r="D1" s="242"/>
      <c r="E1" s="242"/>
      <c r="F1" s="242"/>
      <c r="G1" s="242"/>
      <c r="H1" s="242"/>
    </row>
    <row r="2" spans="1:15" s="44" customFormat="1" ht="25.5" customHeight="1" x14ac:dyDescent="0.2">
      <c r="A2" s="235" t="str">
        <f>Overview!B4&amp; " - Effective from "&amp;Overview!D4&amp;" - "&amp;Overview!E4&amp;" EDCM export charges"</f>
        <v>London Power Networks - Effective from 1 April 2020 - Final EDCM export charges</v>
      </c>
      <c r="B2" s="236"/>
      <c r="C2" s="236"/>
      <c r="D2" s="236"/>
      <c r="E2" s="236"/>
      <c r="F2" s="236"/>
      <c r="G2" s="236"/>
      <c r="H2" s="237"/>
    </row>
    <row r="3" spans="1:15" s="73" customFormat="1" ht="18" x14ac:dyDescent="0.2">
      <c r="A3" s="79"/>
      <c r="B3" s="79"/>
      <c r="C3" s="79"/>
      <c r="D3" s="80"/>
      <c r="E3" s="81"/>
      <c r="F3" s="81"/>
      <c r="G3" s="82"/>
      <c r="H3" s="82"/>
      <c r="I3" s="70"/>
      <c r="J3" s="70"/>
      <c r="K3" s="70"/>
      <c r="L3" s="70"/>
      <c r="M3" s="70"/>
      <c r="N3" s="70"/>
      <c r="O3" s="70"/>
    </row>
    <row r="4" spans="1:15" ht="60.75" customHeight="1" x14ac:dyDescent="0.2">
      <c r="A4" s="45" t="s">
        <v>480</v>
      </c>
      <c r="B4" s="46" t="s">
        <v>467</v>
      </c>
      <c r="C4" s="45" t="s">
        <v>469</v>
      </c>
      <c r="D4" s="47" t="s">
        <v>179</v>
      </c>
      <c r="E4" s="47" t="str">
        <f>'Annex 2 EHV charges'!L10</f>
        <v>Export
Super Red
unit charge
(p/kWh)</v>
      </c>
      <c r="F4" s="47" t="str">
        <f>'Annex 2 EHV charges'!M10</f>
        <v>Export
fixed charge
(p/day)</v>
      </c>
      <c r="G4" s="47" t="str">
        <f>'Annex 2 EHV charges'!N10</f>
        <v>Export
capacity charge
(p/kVA/day)</v>
      </c>
      <c r="H4" s="47" t="str">
        <f>'Annex 2 EHV charges'!O10</f>
        <v>Export
exceeded capacity charge
(p/kVA/day)</v>
      </c>
    </row>
    <row r="5" spans="1:15" ht="12.75" customHeight="1" x14ac:dyDescent="0.2">
      <c r="A5" s="89" t="str">
        <f t="array" ref="A5">IFERROR(INDEX('Annex 2 EHV charges'!$D$11:$D$57, MATCH(0, IF(ISBLANK('Annex 2 EHV charges'!$D$11:$D$57),1, COUNTIF(A$4:$A4, 'Annex 2 EHV charges'!$D$11:$D$57)), 0)),"")</f>
        <v>BELVED</v>
      </c>
      <c r="B5" s="88">
        <f>IF($A5="","",VLOOKUP($A5,'Annex 2 EHV charges'!$D:$O,2,0))</f>
        <v>711</v>
      </c>
      <c r="C5" s="89">
        <f>IF($A5="","",VLOOKUP($A5,'Annex 2 EHV charges'!$D:$O,3,0))</f>
        <v>1200060787118</v>
      </c>
      <c r="D5" s="88" t="str">
        <f>IF($A5="","",VLOOKUP($A5,'Annex 2 EHV charges'!$D:$O,4,0))</f>
        <v>BELVED</v>
      </c>
      <c r="E5" s="164" t="str">
        <f>IFERROR(IF(VLOOKUP($A5,'Annex 2 EHV charges'!$D:$O,9,FALSE)=0,"",VLOOKUP($A5,'Annex 2 EHV charges'!$D:$O,9,FALSE)),"")</f>
        <v/>
      </c>
      <c r="F5" s="165">
        <f>IFERROR(IF(VLOOKUP($A5,'Annex 2 EHV charges'!$D:$O,10,FALSE)=0,"",VLOOKUP($A5,'Annex 2 EHV charges'!$D:$O,10,FALSE)),"")</f>
        <v>624.24</v>
      </c>
      <c r="G5" s="166">
        <f>IFERROR(IF(VLOOKUP($A5,'Annex 2 EHV charges'!$D:$O,11,FALSE)=0,"",VLOOKUP($A5,'Annex 2 EHV charges'!$D:$O,11,FALSE)),"")</f>
        <v>0.05</v>
      </c>
      <c r="H5" s="166">
        <f>IFERROR(IF(VLOOKUP($A5,'Annex 2 EHV charges'!$D:$O,12,FALSE)=0,"",VLOOKUP($A5,'Annex 2 EHV charges'!$D:$O,12,FALSE)),"")</f>
        <v>0.05</v>
      </c>
    </row>
    <row r="6" spans="1:15" ht="12.75" customHeight="1" x14ac:dyDescent="0.2">
      <c r="A6" s="89" t="str">
        <f t="array" ref="A6">IFERROR(INDEX('Annex 2 EHV charges'!$D$11:$D$57, MATCH(0, IF(ISBLANK('Annex 2 EHV charges'!$D$11:$D$57),1, COUNTIF(A$4:$A5, 'Annex 2 EHV charges'!$D$11:$D$57)), 0)),"")</f>
        <v>NR_WES</v>
      </c>
      <c r="B6" s="88">
        <f>IF($A6="","",VLOOKUP($A6,'Annex 2 EHV charges'!$D:$O,2,0))</f>
        <v>716</v>
      </c>
      <c r="C6" s="89">
        <f>IF($A6="","",VLOOKUP($A6,'Annex 2 EHV charges'!$D:$O,3,0))</f>
        <v>1200052486875</v>
      </c>
      <c r="D6" s="88" t="str">
        <f>IF($A6="","",VLOOKUP($A6,'Annex 2 EHV charges'!$D:$O,4,0))</f>
        <v>NR_WES</v>
      </c>
      <c r="E6" s="164" t="str">
        <f>IFERROR(IF(VLOOKUP($A6,'Annex 2 EHV charges'!$D:$O,9,FALSE)=0,"",VLOOKUP($A6,'Annex 2 EHV charges'!$D:$O,9,FALSE)),"")</f>
        <v/>
      </c>
      <c r="F6" s="165">
        <f>IFERROR(IF(VLOOKUP($A6,'Annex 2 EHV charges'!$D:$O,10,FALSE)=0,"",VLOOKUP($A6,'Annex 2 EHV charges'!$D:$O,10,FALSE)),"")</f>
        <v>384.72</v>
      </c>
      <c r="G6" s="166">
        <f>IFERROR(IF(VLOOKUP($A6,'Annex 2 EHV charges'!$D:$O,11,FALSE)=0,"",VLOOKUP($A6,'Annex 2 EHV charges'!$D:$O,11,FALSE)),"")</f>
        <v>0.05</v>
      </c>
      <c r="H6" s="166">
        <f>IFERROR(IF(VLOOKUP($A6,'Annex 2 EHV charges'!$D:$O,12,FALSE)=0,"",VLOOKUP($A6,'Annex 2 EHV charges'!$D:$O,12,FALSE)),"")</f>
        <v>0.05</v>
      </c>
    </row>
    <row r="7" spans="1:15" ht="12.75" customHeight="1" x14ac:dyDescent="0.2">
      <c r="A7" s="89" t="str">
        <f t="array" ref="A7">IFERROR(INDEX('Annex 2 EHV charges'!$D$11:$D$57, MATCH(0, IF(ISBLANK('Annex 2 EHV charges'!$D$11:$D$57),1, COUNTIF(A$4:$A6, 'Annex 2 EHV charges'!$D$11:$D$57)), 0)),"")</f>
        <v>SELCHP</v>
      </c>
      <c r="B7" s="88">
        <f>IF($A7="","",VLOOKUP($A7,'Annex 2 EHV charges'!$D:$O,2,0))</f>
        <v>730</v>
      </c>
      <c r="C7" s="89">
        <f>IF($A7="","",VLOOKUP($A7,'Annex 2 EHV charges'!$D:$O,3,0))</f>
        <v>1200010258304</v>
      </c>
      <c r="D7" s="88" t="str">
        <f>IF($A7="","",VLOOKUP($A7,'Annex 2 EHV charges'!$D:$O,4,0))</f>
        <v>SELCHP</v>
      </c>
      <c r="E7" s="164">
        <f>IFERROR(IF(VLOOKUP($A7,'Annex 2 EHV charges'!$D:$O,9,FALSE)=0,"",VLOOKUP($A7,'Annex 2 EHV charges'!$D:$O,9,FALSE)),"")</f>
        <v>-0.82199999999999995</v>
      </c>
      <c r="F7" s="165">
        <f>IFERROR(IF(VLOOKUP($A7,'Annex 2 EHV charges'!$D:$O,10,FALSE)=0,"",VLOOKUP($A7,'Annex 2 EHV charges'!$D:$O,10,FALSE)),"")</f>
        <v>3085.31</v>
      </c>
      <c r="G7" s="166">
        <f>IFERROR(IF(VLOOKUP($A7,'Annex 2 EHV charges'!$D:$O,11,FALSE)=0,"",VLOOKUP($A7,'Annex 2 EHV charges'!$D:$O,11,FALSE)),"")</f>
        <v>0.05</v>
      </c>
      <c r="H7" s="166">
        <f>IFERROR(IF(VLOOKUP($A7,'Annex 2 EHV charges'!$D:$O,12,FALSE)=0,"",VLOOKUP($A7,'Annex 2 EHV charges'!$D:$O,12,FALSE)),"")</f>
        <v>0.05</v>
      </c>
    </row>
    <row r="8" spans="1:15" ht="12.75" customHeight="1" x14ac:dyDescent="0.2">
      <c r="A8" s="89" t="str">
        <f t="array" ref="A8">IFERROR(INDEX('Annex 2 EHV charges'!$D$11:$D$57, MATCH(0, IF(ISBLANK('Annex 2 EHV charges'!$D$11:$D$57),1, COUNTIF(A$4:$A7, 'Annex 2 EHV charges'!$D$11:$D$57)), 0)),"")</f>
        <v>THAMEB</v>
      </c>
      <c r="B8" s="88">
        <f>IF($A8="","",VLOOKUP($A8,'Annex 2 EHV charges'!$D:$O,2,0))</f>
        <v>701</v>
      </c>
      <c r="C8" s="89" t="str">
        <f>IF($A8="","",VLOOKUP($A8,'Annex 2 EHV charges'!$D:$O,3,0))</f>
        <v>1200050312030
1200050312040
1200061219394</v>
      </c>
      <c r="D8" s="88" t="str">
        <f>IF($A8="","",VLOOKUP($A8,'Annex 2 EHV charges'!$D:$O,4,0))</f>
        <v>THAMEB</v>
      </c>
      <c r="E8" s="164" t="str">
        <f>IFERROR(IF(VLOOKUP($A8,'Annex 2 EHV charges'!$D:$O,9,FALSE)=0,"",VLOOKUP($A8,'Annex 2 EHV charges'!$D:$O,9,FALSE)),"")</f>
        <v/>
      </c>
      <c r="F8" s="165" t="str">
        <f>IFERROR(IF(VLOOKUP($A8,'Annex 2 EHV charges'!$D:$O,10,FALSE)=0,"",VLOOKUP($A8,'Annex 2 EHV charges'!$D:$O,10,FALSE)),"")</f>
        <v/>
      </c>
      <c r="G8" s="166" t="str">
        <f>IFERROR(IF(VLOOKUP($A8,'Annex 2 EHV charges'!$D:$O,11,FALSE)=0,"",VLOOKUP($A8,'Annex 2 EHV charges'!$D:$O,11,FALSE)),"")</f>
        <v/>
      </c>
      <c r="H8" s="166" t="str">
        <f>IFERROR(IF(VLOOKUP($A8,'Annex 2 EHV charges'!$D:$O,12,FALSE)=0,"",VLOOKUP($A8,'Annex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1" t="s">
        <v>86</v>
      </c>
      <c r="B1" s="2"/>
      <c r="D1" s="2"/>
      <c r="E1" s="2"/>
      <c r="F1" s="2"/>
      <c r="G1" s="7"/>
      <c r="H1" s="3"/>
      <c r="I1" s="3"/>
    </row>
    <row r="2" spans="1:12" s="1" customFormat="1" ht="27" customHeight="1" x14ac:dyDescent="0.2">
      <c r="A2" s="229" t="str">
        <f>Overview!B4&amp; " - Effective from "&amp;Overview!D4&amp;" - "&amp;Overview!E4&amp;" LV and HV tariffs"</f>
        <v>London Power Networks - Effective from 1 April 2020 - Final LV and HV tariffs</v>
      </c>
      <c r="B2" s="229"/>
      <c r="C2" s="229"/>
      <c r="D2" s="229"/>
      <c r="E2" s="229"/>
      <c r="F2" s="229"/>
      <c r="G2" s="229"/>
      <c r="H2" s="229"/>
      <c r="I2" s="229"/>
      <c r="J2" s="229"/>
      <c r="K2" s="3"/>
      <c r="L2" s="3"/>
    </row>
    <row r="3" spans="1:12" s="1" customFormat="1" ht="27" customHeight="1" x14ac:dyDescent="0.2">
      <c r="A3" s="259" t="s">
        <v>452</v>
      </c>
      <c r="B3" s="259"/>
      <c r="C3" s="259"/>
      <c r="D3" s="259"/>
      <c r="E3" s="259"/>
      <c r="F3" s="259"/>
      <c r="G3" s="259"/>
      <c r="H3" s="259"/>
      <c r="I3" s="259"/>
      <c r="J3" s="259"/>
      <c r="K3" s="3"/>
      <c r="L3" s="3"/>
    </row>
    <row r="4" spans="1:12" s="1" customFormat="1" ht="71.25" customHeight="1" x14ac:dyDescent="0.2">
      <c r="A4" s="13"/>
      <c r="B4" s="26" t="s">
        <v>50</v>
      </c>
      <c r="C4" s="12" t="s">
        <v>91</v>
      </c>
      <c r="D4" s="12" t="s">
        <v>616</v>
      </c>
      <c r="E4" s="124" t="s">
        <v>617</v>
      </c>
      <c r="F4" s="124" t="s">
        <v>92</v>
      </c>
      <c r="G4" s="12"/>
      <c r="H4" s="12"/>
      <c r="I4" s="12"/>
      <c r="J4" s="12"/>
      <c r="K4" s="3"/>
      <c r="L4" s="3"/>
    </row>
    <row r="5" spans="1:12" s="1" customFormat="1" ht="32.25" customHeight="1" x14ac:dyDescent="0.2">
      <c r="A5" s="14"/>
      <c r="B5" s="25"/>
      <c r="C5" s="15"/>
      <c r="D5" s="16"/>
      <c r="E5" s="16"/>
      <c r="F5" s="17"/>
      <c r="G5" s="24"/>
      <c r="H5" s="24"/>
      <c r="I5" s="24"/>
      <c r="J5" s="24"/>
      <c r="K5" s="3"/>
      <c r="L5" s="3"/>
    </row>
    <row r="6" spans="1:12" ht="12.75" customHeight="1" x14ac:dyDescent="0.2">
      <c r="A6" s="260" t="s">
        <v>52</v>
      </c>
      <c r="B6" s="244" t="s">
        <v>718</v>
      </c>
      <c r="C6" s="245"/>
      <c r="D6" s="245"/>
      <c r="E6" s="245"/>
      <c r="F6" s="245"/>
      <c r="G6" s="245"/>
      <c r="H6" s="245"/>
      <c r="I6" s="245"/>
      <c r="J6" s="246"/>
    </row>
    <row r="7" spans="1:12" ht="12.75" customHeight="1" x14ac:dyDescent="0.2">
      <c r="A7" s="260"/>
      <c r="B7" s="247"/>
      <c r="C7" s="248"/>
      <c r="D7" s="248"/>
      <c r="E7" s="248"/>
      <c r="F7" s="248"/>
      <c r="G7" s="248"/>
      <c r="H7" s="248"/>
      <c r="I7" s="248"/>
      <c r="J7" s="249"/>
    </row>
    <row r="8" spans="1:12" ht="12.75" customHeight="1" x14ac:dyDescent="0.2">
      <c r="A8" s="260"/>
      <c r="B8" s="250"/>
      <c r="C8" s="251"/>
      <c r="D8" s="251"/>
      <c r="E8" s="251"/>
      <c r="F8" s="251"/>
      <c r="G8" s="251"/>
      <c r="H8" s="251"/>
      <c r="I8" s="251"/>
      <c r="J8" s="252"/>
    </row>
    <row r="9" spans="1:12" x14ac:dyDescent="0.2">
      <c r="A9" s="40"/>
      <c r="B9" s="40"/>
      <c r="C9" s="40"/>
      <c r="D9" s="40"/>
      <c r="E9" s="40"/>
      <c r="F9" s="40"/>
      <c r="G9" s="40"/>
      <c r="H9" s="40"/>
      <c r="I9" s="40"/>
      <c r="J9" s="40"/>
    </row>
    <row r="10" spans="1:12" x14ac:dyDescent="0.2">
      <c r="A10" s="40"/>
      <c r="B10" s="40"/>
      <c r="C10" s="40"/>
      <c r="D10" s="40"/>
      <c r="E10" s="40"/>
      <c r="F10" s="40"/>
      <c r="G10" s="40"/>
      <c r="H10" s="40"/>
      <c r="I10" s="40"/>
      <c r="J10" s="40"/>
    </row>
    <row r="11" spans="1:12" s="1" customFormat="1" ht="27" customHeight="1" x14ac:dyDescent="0.2">
      <c r="A11" s="259" t="s">
        <v>453</v>
      </c>
      <c r="B11" s="259"/>
      <c r="C11" s="259"/>
      <c r="D11" s="259"/>
      <c r="E11" s="259"/>
      <c r="F11" s="259"/>
      <c r="G11" s="259"/>
      <c r="H11" s="259"/>
      <c r="I11" s="259"/>
      <c r="J11" s="259"/>
      <c r="K11" s="3"/>
      <c r="L11" s="3"/>
    </row>
    <row r="12" spans="1:12" s="1" customFormat="1" ht="58.5" customHeight="1" x14ac:dyDescent="0.2">
      <c r="A12" s="13"/>
      <c r="B12" s="26" t="s">
        <v>50</v>
      </c>
      <c r="C12" s="12" t="s">
        <v>91</v>
      </c>
      <c r="D12" s="26" t="s">
        <v>623</v>
      </c>
      <c r="E12" s="26" t="s">
        <v>624</v>
      </c>
      <c r="F12" s="26" t="s">
        <v>625</v>
      </c>
      <c r="G12" s="124" t="s">
        <v>92</v>
      </c>
      <c r="H12" s="124" t="s">
        <v>93</v>
      </c>
      <c r="I12" s="26" t="s">
        <v>675</v>
      </c>
      <c r="J12" s="124" t="s">
        <v>451</v>
      </c>
      <c r="K12" s="3"/>
      <c r="L12" s="3"/>
    </row>
    <row r="13" spans="1:12" s="1" customFormat="1" ht="32.25" customHeight="1" x14ac:dyDescent="0.2">
      <c r="A13" s="14"/>
      <c r="B13" s="25"/>
      <c r="C13" s="15"/>
      <c r="D13" s="16"/>
      <c r="E13" s="16"/>
      <c r="F13" s="16"/>
      <c r="G13" s="17"/>
      <c r="H13" s="17"/>
      <c r="I13" s="17"/>
      <c r="J13" s="16"/>
      <c r="K13" s="3"/>
      <c r="L13" s="3"/>
    </row>
    <row r="14" spans="1:12" ht="12.75" customHeight="1" x14ac:dyDescent="0.2">
      <c r="A14" s="253" t="s">
        <v>52</v>
      </c>
      <c r="B14" s="244" t="s">
        <v>719</v>
      </c>
      <c r="C14" s="245"/>
      <c r="D14" s="245"/>
      <c r="E14" s="245"/>
      <c r="F14" s="245"/>
      <c r="G14" s="245"/>
      <c r="H14" s="245"/>
      <c r="I14" s="245"/>
      <c r="J14" s="256"/>
    </row>
    <row r="15" spans="1:12" ht="12.75" customHeight="1" x14ac:dyDescent="0.2">
      <c r="A15" s="254"/>
      <c r="B15" s="247"/>
      <c r="C15" s="248"/>
      <c r="D15" s="248"/>
      <c r="E15" s="248"/>
      <c r="F15" s="248"/>
      <c r="G15" s="248"/>
      <c r="H15" s="248"/>
      <c r="I15" s="248"/>
      <c r="J15" s="257"/>
    </row>
    <row r="16" spans="1:12" ht="12.75" customHeight="1" x14ac:dyDescent="0.2">
      <c r="A16" s="255"/>
      <c r="B16" s="250"/>
      <c r="C16" s="251"/>
      <c r="D16" s="251"/>
      <c r="E16" s="251"/>
      <c r="F16" s="251"/>
      <c r="G16" s="251"/>
      <c r="H16" s="251"/>
      <c r="I16" s="251"/>
      <c r="J16" s="25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0"/>
  <sheetViews>
    <sheetView zoomScale="70" zoomScaleNormal="70" zoomScaleSheetLayoutView="85" zoomScalePageLayoutView="70" workbookViewId="0">
      <selection activeCell="E10" sqref="E10"/>
    </sheetView>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1" width="17.7109375" style="3" customWidth="1"/>
    <col min="12" max="17" width="15.5703125" style="1" customWidth="1"/>
    <col min="18" max="16384" width="9.140625" style="1"/>
  </cols>
  <sheetData>
    <row r="1" spans="1:13" ht="42.75" customHeight="1" x14ac:dyDescent="0.2">
      <c r="A1" s="11" t="s">
        <v>86</v>
      </c>
      <c r="B1" s="261" t="s">
        <v>1289</v>
      </c>
      <c r="C1" s="262"/>
      <c r="D1" s="262"/>
      <c r="F1" s="263" t="s">
        <v>1288</v>
      </c>
      <c r="G1" s="264"/>
      <c r="H1" s="265"/>
      <c r="I1" s="3"/>
      <c r="J1" s="1"/>
      <c r="K1" s="1"/>
    </row>
    <row r="2" spans="1:13" ht="31.5" customHeight="1" x14ac:dyDescent="0.2">
      <c r="A2" s="266" t="str">
        <f>Overview!B4&amp; " - Effective from "&amp;Overview!D4&amp;" - "&amp;Overview!E4&amp;" LDNO tariffs"</f>
        <v>London Power Networks - Effective from 1 April 2020 - Final LDNO tariffs</v>
      </c>
      <c r="B2" s="266"/>
      <c r="C2" s="266"/>
      <c r="D2" s="266"/>
      <c r="E2" s="266"/>
      <c r="F2" s="266"/>
      <c r="G2" s="266"/>
      <c r="H2" s="266"/>
      <c r="I2" s="266"/>
      <c r="J2" s="266"/>
    </row>
    <row r="3" spans="1:13" ht="8.25" customHeight="1" x14ac:dyDescent="0.2">
      <c r="A3" s="74"/>
      <c r="B3" s="74"/>
      <c r="C3" s="74"/>
      <c r="D3" s="74"/>
      <c r="E3" s="74"/>
      <c r="F3" s="74"/>
      <c r="G3" s="74"/>
      <c r="H3" s="74"/>
      <c r="I3" s="74"/>
      <c r="J3" s="74"/>
    </row>
    <row r="4" spans="1:13" ht="27" customHeight="1" x14ac:dyDescent="0.2">
      <c r="A4" s="229" t="s">
        <v>493</v>
      </c>
      <c r="B4" s="229"/>
      <c r="C4" s="229"/>
      <c r="D4" s="229"/>
      <c r="E4" s="78"/>
      <c r="F4" s="229" t="s">
        <v>492</v>
      </c>
      <c r="G4" s="229"/>
      <c r="H4" s="229"/>
      <c r="I4" s="229"/>
      <c r="J4" s="229"/>
      <c r="L4" s="3"/>
    </row>
    <row r="5" spans="1:13" ht="32.25" customHeight="1" x14ac:dyDescent="0.2">
      <c r="A5" s="63" t="s">
        <v>80</v>
      </c>
      <c r="B5" s="66" t="s">
        <v>484</v>
      </c>
      <c r="C5" s="152" t="s">
        <v>485</v>
      </c>
      <c r="D5" s="64" t="s">
        <v>486</v>
      </c>
      <c r="E5" s="70"/>
      <c r="F5" s="233"/>
      <c r="G5" s="234"/>
      <c r="H5" s="67" t="s">
        <v>490</v>
      </c>
      <c r="I5" s="68" t="s">
        <v>491</v>
      </c>
      <c r="J5" s="64" t="s">
        <v>486</v>
      </c>
      <c r="K5" s="70"/>
      <c r="L5" s="3"/>
      <c r="M5" s="3"/>
    </row>
    <row r="6" spans="1:13" ht="56.25" customHeight="1" x14ac:dyDescent="0.2">
      <c r="A6" s="138" t="s">
        <v>487</v>
      </c>
      <c r="B6" s="19" t="s">
        <v>711</v>
      </c>
      <c r="C6" s="142" t="s">
        <v>712</v>
      </c>
      <c r="D6" s="136" t="s">
        <v>695</v>
      </c>
      <c r="E6" s="70"/>
      <c r="F6" s="221" t="s">
        <v>713</v>
      </c>
      <c r="G6" s="221"/>
      <c r="H6" s="19" t="s">
        <v>714</v>
      </c>
      <c r="I6" s="69" t="s">
        <v>715</v>
      </c>
      <c r="J6" s="136" t="s">
        <v>695</v>
      </c>
      <c r="K6" s="70"/>
      <c r="L6" s="3"/>
      <c r="M6" s="3"/>
    </row>
    <row r="7" spans="1:13" ht="56.25" customHeight="1" x14ac:dyDescent="0.2">
      <c r="A7" s="138" t="s">
        <v>82</v>
      </c>
      <c r="B7" s="139"/>
      <c r="C7" s="145"/>
      <c r="D7" s="69" t="s">
        <v>697</v>
      </c>
      <c r="E7" s="70"/>
      <c r="F7" s="221" t="s">
        <v>488</v>
      </c>
      <c r="G7" s="221"/>
      <c r="H7" s="137" t="s">
        <v>693</v>
      </c>
      <c r="I7" s="69" t="s">
        <v>694</v>
      </c>
      <c r="J7" s="136" t="s">
        <v>695</v>
      </c>
      <c r="K7" s="70"/>
      <c r="L7" s="3"/>
      <c r="M7" s="3"/>
    </row>
    <row r="8" spans="1:13" ht="55.5" customHeight="1" x14ac:dyDescent="0.2">
      <c r="A8" s="65" t="s">
        <v>81</v>
      </c>
      <c r="B8" s="222" t="s">
        <v>699</v>
      </c>
      <c r="C8" s="225"/>
      <c r="D8" s="223"/>
      <c r="E8" s="70"/>
      <c r="F8" s="221" t="s">
        <v>716</v>
      </c>
      <c r="G8" s="221"/>
      <c r="H8" s="139"/>
      <c r="I8" s="69" t="s">
        <v>696</v>
      </c>
      <c r="J8" s="136" t="s">
        <v>695</v>
      </c>
      <c r="K8" s="70"/>
      <c r="L8" s="3"/>
      <c r="M8" s="3"/>
    </row>
    <row r="9" spans="1:13" s="72" customFormat="1" ht="55.5" customHeight="1" x14ac:dyDescent="0.2">
      <c r="B9" s="70"/>
      <c r="C9" s="70"/>
      <c r="D9" s="70"/>
      <c r="E9" s="75"/>
      <c r="F9" s="221" t="s">
        <v>717</v>
      </c>
      <c r="G9" s="221"/>
      <c r="H9" s="139"/>
      <c r="I9" s="139"/>
      <c r="J9" s="69" t="s">
        <v>697</v>
      </c>
      <c r="K9" s="71"/>
      <c r="L9" s="71"/>
    </row>
    <row r="10" spans="1:13" s="72" customFormat="1" ht="55.5" customHeight="1" x14ac:dyDescent="0.2">
      <c r="B10" s="70"/>
      <c r="C10" s="70"/>
      <c r="D10" s="70"/>
      <c r="E10" s="70"/>
      <c r="F10" s="221" t="s">
        <v>81</v>
      </c>
      <c r="G10" s="221"/>
      <c r="H10" s="221" t="s">
        <v>699</v>
      </c>
      <c r="I10" s="221"/>
      <c r="J10" s="221"/>
      <c r="K10" s="71"/>
      <c r="L10" s="71"/>
    </row>
    <row r="11" spans="1:13" s="72" customFormat="1" ht="12" customHeight="1" x14ac:dyDescent="0.2">
      <c r="A11" s="70"/>
      <c r="B11" s="70"/>
      <c r="C11" s="70"/>
      <c r="D11" s="70"/>
      <c r="E11" s="70"/>
      <c r="F11" s="76"/>
      <c r="G11" s="76"/>
      <c r="H11" s="77"/>
      <c r="I11" s="77"/>
      <c r="J11" s="77"/>
      <c r="K11" s="71"/>
      <c r="L11" s="71"/>
    </row>
    <row r="12" spans="1:13" ht="66" customHeight="1" x14ac:dyDescent="0.2">
      <c r="A12" s="28" t="s">
        <v>674</v>
      </c>
      <c r="B12" s="28" t="s">
        <v>192</v>
      </c>
      <c r="C12" s="22" t="s">
        <v>91</v>
      </c>
      <c r="D12" s="150" t="s">
        <v>620</v>
      </c>
      <c r="E12" s="150" t="s">
        <v>621</v>
      </c>
      <c r="F12" s="150" t="s">
        <v>622</v>
      </c>
      <c r="G12" s="22" t="s">
        <v>92</v>
      </c>
      <c r="H12" s="22" t="s">
        <v>93</v>
      </c>
      <c r="I12" s="22" t="s">
        <v>675</v>
      </c>
      <c r="J12" s="22" t="s">
        <v>451</v>
      </c>
      <c r="K12" s="1"/>
    </row>
    <row r="13" spans="1:13" ht="27" customHeight="1" x14ac:dyDescent="0.2">
      <c r="A13" s="23" t="s">
        <v>21</v>
      </c>
      <c r="B13" s="25">
        <v>101</v>
      </c>
      <c r="C13" s="37">
        <v>1</v>
      </c>
      <c r="D13" s="170">
        <v>1.6</v>
      </c>
      <c r="E13" s="34"/>
      <c r="F13" s="34"/>
      <c r="G13" s="184">
        <v>3.01</v>
      </c>
      <c r="H13" s="185"/>
      <c r="I13" s="186"/>
      <c r="J13" s="34"/>
      <c r="K13" s="1"/>
    </row>
    <row r="14" spans="1:13" ht="27" customHeight="1" x14ac:dyDescent="0.2">
      <c r="A14" s="23" t="s">
        <v>22</v>
      </c>
      <c r="B14" s="25">
        <v>111</v>
      </c>
      <c r="C14" s="37">
        <v>2</v>
      </c>
      <c r="D14" s="170">
        <v>2.0960000000000001</v>
      </c>
      <c r="E14" s="170">
        <v>0</v>
      </c>
      <c r="F14" s="34"/>
      <c r="G14" s="184">
        <v>3.01</v>
      </c>
      <c r="H14" s="185"/>
      <c r="I14" s="186"/>
      <c r="J14" s="34"/>
      <c r="K14" s="1"/>
    </row>
    <row r="15" spans="1:13" ht="27" customHeight="1" x14ac:dyDescent="0.2">
      <c r="A15" s="23" t="s">
        <v>23</v>
      </c>
      <c r="B15" s="25">
        <v>121</v>
      </c>
      <c r="C15" s="37">
        <v>2</v>
      </c>
      <c r="D15" s="170">
        <v>0</v>
      </c>
      <c r="E15" s="34"/>
      <c r="F15" s="34"/>
      <c r="G15" s="185"/>
      <c r="H15" s="185"/>
      <c r="I15" s="186"/>
      <c r="J15" s="34"/>
      <c r="K15" s="1"/>
    </row>
    <row r="16" spans="1:13" ht="27" customHeight="1" x14ac:dyDescent="0.2">
      <c r="A16" s="23" t="s">
        <v>24</v>
      </c>
      <c r="B16" s="25">
        <v>131</v>
      </c>
      <c r="C16" s="37">
        <v>3</v>
      </c>
      <c r="D16" s="170">
        <v>1.0289999999999999</v>
      </c>
      <c r="E16" s="34"/>
      <c r="F16" s="34"/>
      <c r="G16" s="184">
        <v>3.01</v>
      </c>
      <c r="H16" s="185"/>
      <c r="I16" s="186"/>
      <c r="J16" s="34"/>
      <c r="K16" s="1"/>
    </row>
    <row r="17" spans="1:11" ht="27" customHeight="1" x14ac:dyDescent="0.2">
      <c r="A17" s="23" t="s">
        <v>25</v>
      </c>
      <c r="B17" s="25">
        <v>141</v>
      </c>
      <c r="C17" s="37">
        <v>4</v>
      </c>
      <c r="D17" s="170">
        <v>1.472</v>
      </c>
      <c r="E17" s="170">
        <v>0</v>
      </c>
      <c r="F17" s="34"/>
      <c r="G17" s="184">
        <v>3.01</v>
      </c>
      <c r="H17" s="185"/>
      <c r="I17" s="186"/>
      <c r="J17" s="34"/>
      <c r="K17" s="1"/>
    </row>
    <row r="18" spans="1:11" ht="27" customHeight="1" x14ac:dyDescent="0.2">
      <c r="A18" s="23" t="s">
        <v>26</v>
      </c>
      <c r="B18" s="25">
        <v>151</v>
      </c>
      <c r="C18" s="37">
        <v>4</v>
      </c>
      <c r="D18" s="170">
        <v>7.0000000000000001E-3</v>
      </c>
      <c r="E18" s="34"/>
      <c r="F18" s="34"/>
      <c r="G18" s="185"/>
      <c r="H18" s="185"/>
      <c r="I18" s="186"/>
      <c r="J18" s="34"/>
      <c r="K18" s="1"/>
    </row>
    <row r="19" spans="1:11" ht="27" customHeight="1" x14ac:dyDescent="0.2">
      <c r="A19" s="23" t="s">
        <v>27</v>
      </c>
      <c r="B19" s="25">
        <v>161</v>
      </c>
      <c r="C19" s="37" t="s">
        <v>20</v>
      </c>
      <c r="D19" s="170">
        <v>1.4810000000000001</v>
      </c>
      <c r="E19" s="170">
        <v>0</v>
      </c>
      <c r="F19" s="34"/>
      <c r="G19" s="184">
        <v>30.4</v>
      </c>
      <c r="H19" s="185"/>
      <c r="I19" s="186"/>
      <c r="J19" s="34"/>
      <c r="K19" s="1"/>
    </row>
    <row r="20" spans="1:11" ht="27" customHeight="1" x14ac:dyDescent="0.2">
      <c r="A20" s="23" t="s">
        <v>560</v>
      </c>
      <c r="B20" s="25">
        <v>318</v>
      </c>
      <c r="C20" s="37">
        <v>0</v>
      </c>
      <c r="D20" s="175">
        <v>7.3230000000000004</v>
      </c>
      <c r="E20" s="176">
        <v>0.64600000000000002</v>
      </c>
      <c r="F20" s="177">
        <v>0</v>
      </c>
      <c r="G20" s="184">
        <v>3.01</v>
      </c>
      <c r="H20" s="185"/>
      <c r="I20" s="186"/>
      <c r="J20" s="34"/>
      <c r="K20" s="1"/>
    </row>
    <row r="21" spans="1:11" ht="27" customHeight="1" x14ac:dyDescent="0.2">
      <c r="A21" s="23" t="s">
        <v>561</v>
      </c>
      <c r="B21" s="25">
        <v>325</v>
      </c>
      <c r="C21" s="37">
        <v>0</v>
      </c>
      <c r="D21" s="175">
        <v>4.1260000000000003</v>
      </c>
      <c r="E21" s="176">
        <v>0.25600000000000001</v>
      </c>
      <c r="F21" s="177">
        <v>0</v>
      </c>
      <c r="G21" s="184">
        <v>3.36</v>
      </c>
      <c r="H21" s="185"/>
      <c r="I21" s="186"/>
      <c r="J21" s="34"/>
      <c r="K21" s="1"/>
    </row>
    <row r="22" spans="1:11" ht="27" customHeight="1" x14ac:dyDescent="0.2">
      <c r="A22" s="23" t="s">
        <v>28</v>
      </c>
      <c r="B22" s="25">
        <v>181</v>
      </c>
      <c r="C22" s="37">
        <v>0</v>
      </c>
      <c r="D22" s="175">
        <v>3.52</v>
      </c>
      <c r="E22" s="176">
        <v>0.13900000000000001</v>
      </c>
      <c r="F22" s="177">
        <v>0</v>
      </c>
      <c r="G22" s="184">
        <v>7.11</v>
      </c>
      <c r="H22" s="184">
        <v>3.21</v>
      </c>
      <c r="I22" s="187">
        <v>4.95</v>
      </c>
      <c r="J22" s="170">
        <v>0.28399999999999997</v>
      </c>
      <c r="K22" s="1"/>
    </row>
    <row r="23" spans="1:11" ht="27" customHeight="1" x14ac:dyDescent="0.2">
      <c r="A23" s="23" t="s">
        <v>184</v>
      </c>
      <c r="B23" s="25" t="s">
        <v>1316</v>
      </c>
      <c r="C23" s="37">
        <v>8</v>
      </c>
      <c r="D23" s="170">
        <v>1.889</v>
      </c>
      <c r="E23" s="34"/>
      <c r="F23" s="34"/>
      <c r="G23" s="185"/>
      <c r="H23" s="185"/>
      <c r="I23" s="186"/>
      <c r="J23" s="34"/>
      <c r="K23" s="1"/>
    </row>
    <row r="24" spans="1:11" ht="27" customHeight="1" x14ac:dyDescent="0.2">
      <c r="A24" s="23" t="s">
        <v>185</v>
      </c>
      <c r="B24" s="25" t="s">
        <v>1316</v>
      </c>
      <c r="C24" s="37">
        <v>1</v>
      </c>
      <c r="D24" s="170">
        <v>1.56</v>
      </c>
      <c r="E24" s="34"/>
      <c r="F24" s="34"/>
      <c r="G24" s="185"/>
      <c r="H24" s="185"/>
      <c r="I24" s="186"/>
      <c r="J24" s="34"/>
      <c r="K24" s="1"/>
    </row>
    <row r="25" spans="1:11" ht="27" customHeight="1" x14ac:dyDescent="0.2">
      <c r="A25" s="23" t="s">
        <v>186</v>
      </c>
      <c r="B25" s="25" t="s">
        <v>1316</v>
      </c>
      <c r="C25" s="37">
        <v>1</v>
      </c>
      <c r="D25" s="170">
        <v>2.9039999999999999</v>
      </c>
      <c r="E25" s="34"/>
      <c r="F25" s="34"/>
      <c r="G25" s="185"/>
      <c r="H25" s="185"/>
      <c r="I25" s="186"/>
      <c r="J25" s="34"/>
      <c r="K25" s="1"/>
    </row>
    <row r="26" spans="1:11" ht="27" customHeight="1" x14ac:dyDescent="0.2">
      <c r="A26" s="23" t="s">
        <v>187</v>
      </c>
      <c r="B26" s="25" t="s">
        <v>1316</v>
      </c>
      <c r="C26" s="37">
        <v>1</v>
      </c>
      <c r="D26" s="170">
        <v>2.242</v>
      </c>
      <c r="E26" s="34"/>
      <c r="F26" s="34"/>
      <c r="G26" s="185"/>
      <c r="H26" s="185"/>
      <c r="I26" s="186"/>
      <c r="J26" s="34"/>
      <c r="K26" s="1"/>
    </row>
    <row r="27" spans="1:11" ht="27" customHeight="1" x14ac:dyDescent="0.2">
      <c r="A27" s="23" t="s">
        <v>29</v>
      </c>
      <c r="B27" s="25">
        <v>211</v>
      </c>
      <c r="C27" s="38">
        <v>0</v>
      </c>
      <c r="D27" s="180">
        <v>23.029</v>
      </c>
      <c r="E27" s="181">
        <v>1.5089999999999999</v>
      </c>
      <c r="F27" s="177">
        <v>0.109</v>
      </c>
      <c r="G27" s="185"/>
      <c r="H27" s="185"/>
      <c r="I27" s="186"/>
      <c r="J27" s="34"/>
      <c r="K27" s="1"/>
    </row>
    <row r="28" spans="1:11" ht="27" customHeight="1" x14ac:dyDescent="0.2">
      <c r="A28" s="23" t="s">
        <v>562</v>
      </c>
      <c r="B28" s="25">
        <v>221</v>
      </c>
      <c r="C28" s="38" t="s">
        <v>830</v>
      </c>
      <c r="D28" s="170">
        <v>-1.216</v>
      </c>
      <c r="E28" s="34"/>
      <c r="F28" s="34"/>
      <c r="G28" s="184">
        <v>0</v>
      </c>
      <c r="H28" s="185"/>
      <c r="I28" s="186"/>
      <c r="J28" s="34"/>
      <c r="K28" s="1"/>
    </row>
    <row r="29" spans="1:11" ht="27" customHeight="1" x14ac:dyDescent="0.2">
      <c r="A29" s="23" t="s">
        <v>30</v>
      </c>
      <c r="B29" s="25">
        <v>231</v>
      </c>
      <c r="C29" s="38">
        <v>0</v>
      </c>
      <c r="D29" s="170">
        <v>-1.216</v>
      </c>
      <c r="E29" s="34"/>
      <c r="F29" s="34"/>
      <c r="G29" s="184">
        <v>0</v>
      </c>
      <c r="H29" s="185"/>
      <c r="I29" s="186"/>
      <c r="J29" s="170">
        <v>0.36399999999999999</v>
      </c>
      <c r="K29" s="1"/>
    </row>
    <row r="30" spans="1:11" ht="27" customHeight="1" x14ac:dyDescent="0.2">
      <c r="A30" s="23" t="s">
        <v>31</v>
      </c>
      <c r="B30" s="25">
        <v>241</v>
      </c>
      <c r="C30" s="38">
        <v>0</v>
      </c>
      <c r="D30" s="182">
        <v>-5.6289999999999996</v>
      </c>
      <c r="E30" s="188">
        <v>-0.69199999999999995</v>
      </c>
      <c r="F30" s="183">
        <v>-7.0000000000000001E-3</v>
      </c>
      <c r="G30" s="184">
        <v>0</v>
      </c>
      <c r="H30" s="185"/>
      <c r="I30" s="186"/>
      <c r="J30" s="170">
        <v>0.36399999999999999</v>
      </c>
      <c r="K30" s="1"/>
    </row>
    <row r="31" spans="1:11" ht="27" customHeight="1" x14ac:dyDescent="0.2">
      <c r="A31" s="23" t="s">
        <v>32</v>
      </c>
      <c r="B31" s="25">
        <v>102</v>
      </c>
      <c r="C31" s="38">
        <v>1</v>
      </c>
      <c r="D31" s="170">
        <v>1.2130000000000001</v>
      </c>
      <c r="E31" s="34"/>
      <c r="F31" s="34"/>
      <c r="G31" s="184">
        <v>2.29</v>
      </c>
      <c r="H31" s="185"/>
      <c r="I31" s="186"/>
      <c r="J31" s="34"/>
      <c r="K31" s="1"/>
    </row>
    <row r="32" spans="1:11" ht="27" customHeight="1" x14ac:dyDescent="0.2">
      <c r="A32" s="23" t="s">
        <v>33</v>
      </c>
      <c r="B32" s="25">
        <v>112</v>
      </c>
      <c r="C32" s="38">
        <v>2</v>
      </c>
      <c r="D32" s="170">
        <v>1.589</v>
      </c>
      <c r="E32" s="170">
        <v>0</v>
      </c>
      <c r="F32" s="34"/>
      <c r="G32" s="184">
        <v>2.29</v>
      </c>
      <c r="H32" s="185"/>
      <c r="I32" s="186"/>
      <c r="J32" s="34"/>
      <c r="K32" s="1"/>
    </row>
    <row r="33" spans="1:11" ht="27" customHeight="1" x14ac:dyDescent="0.2">
      <c r="A33" s="23" t="s">
        <v>34</v>
      </c>
      <c r="B33" s="25">
        <v>122</v>
      </c>
      <c r="C33" s="38">
        <v>2</v>
      </c>
      <c r="D33" s="170">
        <v>0</v>
      </c>
      <c r="E33" s="34"/>
      <c r="F33" s="34"/>
      <c r="G33" s="185"/>
      <c r="H33" s="185"/>
      <c r="I33" s="186"/>
      <c r="J33" s="34"/>
      <c r="K33" s="1"/>
    </row>
    <row r="34" spans="1:11" ht="27" customHeight="1" x14ac:dyDescent="0.2">
      <c r="A34" s="23" t="s">
        <v>35</v>
      </c>
      <c r="B34" s="25">
        <v>132</v>
      </c>
      <c r="C34" s="38">
        <v>3</v>
      </c>
      <c r="D34" s="170">
        <v>0.78</v>
      </c>
      <c r="E34" s="34"/>
      <c r="F34" s="34"/>
      <c r="G34" s="184">
        <v>2.29</v>
      </c>
      <c r="H34" s="185"/>
      <c r="I34" s="186"/>
      <c r="J34" s="34"/>
      <c r="K34" s="1"/>
    </row>
    <row r="35" spans="1:11" ht="27" customHeight="1" x14ac:dyDescent="0.2">
      <c r="A35" s="23" t="s">
        <v>36</v>
      </c>
      <c r="B35" s="25">
        <v>142</v>
      </c>
      <c r="C35" s="38">
        <v>4</v>
      </c>
      <c r="D35" s="170">
        <v>1.1160000000000001</v>
      </c>
      <c r="E35" s="170">
        <v>0</v>
      </c>
      <c r="F35" s="34"/>
      <c r="G35" s="184">
        <v>2.29</v>
      </c>
      <c r="H35" s="185"/>
      <c r="I35" s="186"/>
      <c r="J35" s="34"/>
      <c r="K35" s="1"/>
    </row>
    <row r="36" spans="1:11" ht="27" customHeight="1" x14ac:dyDescent="0.2">
      <c r="A36" s="23" t="s">
        <v>37</v>
      </c>
      <c r="B36" s="25">
        <v>152</v>
      </c>
      <c r="C36" s="38">
        <v>4</v>
      </c>
      <c r="D36" s="170">
        <v>5.0000000000000001E-3</v>
      </c>
      <c r="E36" s="34"/>
      <c r="F36" s="34"/>
      <c r="G36" s="185"/>
      <c r="H36" s="185"/>
      <c r="I36" s="186"/>
      <c r="J36" s="34"/>
      <c r="K36" s="1"/>
    </row>
    <row r="37" spans="1:11" ht="27" customHeight="1" x14ac:dyDescent="0.2">
      <c r="A37" s="23" t="s">
        <v>38</v>
      </c>
      <c r="B37" s="25">
        <v>162</v>
      </c>
      <c r="C37" s="38" t="s">
        <v>20</v>
      </c>
      <c r="D37" s="170">
        <v>1.1220000000000001</v>
      </c>
      <c r="E37" s="170">
        <v>0</v>
      </c>
      <c r="F37" s="34"/>
      <c r="G37" s="184">
        <v>23.04</v>
      </c>
      <c r="H37" s="185"/>
      <c r="I37" s="186"/>
      <c r="J37" s="34"/>
      <c r="K37" s="1"/>
    </row>
    <row r="38" spans="1:11" ht="27" customHeight="1" x14ac:dyDescent="0.2">
      <c r="A38" s="23" t="s">
        <v>563</v>
      </c>
      <c r="B38" s="25">
        <v>319</v>
      </c>
      <c r="C38" s="38">
        <v>0</v>
      </c>
      <c r="D38" s="175">
        <v>5.5510000000000002</v>
      </c>
      <c r="E38" s="176">
        <v>0.49</v>
      </c>
      <c r="F38" s="177">
        <v>0</v>
      </c>
      <c r="G38" s="184">
        <v>2.29</v>
      </c>
      <c r="H38" s="185"/>
      <c r="I38" s="186"/>
      <c r="J38" s="34"/>
      <c r="K38" s="1"/>
    </row>
    <row r="39" spans="1:11" ht="27" customHeight="1" x14ac:dyDescent="0.2">
      <c r="A39" s="23" t="s">
        <v>564</v>
      </c>
      <c r="B39" s="25">
        <v>326</v>
      </c>
      <c r="C39" s="38">
        <v>0</v>
      </c>
      <c r="D39" s="175">
        <v>3.1280000000000001</v>
      </c>
      <c r="E39" s="176">
        <v>0.19400000000000001</v>
      </c>
      <c r="F39" s="177">
        <v>0</v>
      </c>
      <c r="G39" s="184">
        <v>2.5499999999999998</v>
      </c>
      <c r="H39" s="185"/>
      <c r="I39" s="186"/>
      <c r="J39" s="34"/>
      <c r="K39" s="1"/>
    </row>
    <row r="40" spans="1:11" ht="27" customHeight="1" x14ac:dyDescent="0.2">
      <c r="A40" s="23" t="s">
        <v>39</v>
      </c>
      <c r="B40" s="25">
        <v>182</v>
      </c>
      <c r="C40" s="38">
        <v>0</v>
      </c>
      <c r="D40" s="175">
        <v>2.6680000000000001</v>
      </c>
      <c r="E40" s="176">
        <v>0.105</v>
      </c>
      <c r="F40" s="177">
        <v>0</v>
      </c>
      <c r="G40" s="184">
        <v>5.39</v>
      </c>
      <c r="H40" s="184">
        <v>2.44</v>
      </c>
      <c r="I40" s="187">
        <v>3.75</v>
      </c>
      <c r="J40" s="170">
        <v>0.215</v>
      </c>
      <c r="K40" s="1"/>
    </row>
    <row r="41" spans="1:11" ht="27" customHeight="1" x14ac:dyDescent="0.2">
      <c r="A41" s="23" t="s">
        <v>40</v>
      </c>
      <c r="B41" s="25">
        <v>172</v>
      </c>
      <c r="C41" s="38">
        <v>0</v>
      </c>
      <c r="D41" s="175">
        <v>2.3969999999999998</v>
      </c>
      <c r="E41" s="176">
        <v>0</v>
      </c>
      <c r="F41" s="177">
        <v>0</v>
      </c>
      <c r="G41" s="184">
        <v>6.25</v>
      </c>
      <c r="H41" s="184">
        <v>6.03</v>
      </c>
      <c r="I41" s="187">
        <v>6.85</v>
      </c>
      <c r="J41" s="170">
        <v>0.18099999999999999</v>
      </c>
      <c r="K41" s="1"/>
    </row>
    <row r="42" spans="1:11" ht="27" customHeight="1" x14ac:dyDescent="0.2">
      <c r="A42" s="23" t="s">
        <v>41</v>
      </c>
      <c r="B42" s="25">
        <v>192</v>
      </c>
      <c r="C42" s="38">
        <v>0</v>
      </c>
      <c r="D42" s="175">
        <v>2.0670000000000002</v>
      </c>
      <c r="E42" s="176">
        <v>0</v>
      </c>
      <c r="F42" s="177">
        <v>0</v>
      </c>
      <c r="G42" s="184">
        <v>64.53</v>
      </c>
      <c r="H42" s="184">
        <v>6.7</v>
      </c>
      <c r="I42" s="187">
        <v>7.53</v>
      </c>
      <c r="J42" s="170">
        <v>0.17299999999999999</v>
      </c>
      <c r="K42" s="1"/>
    </row>
    <row r="43" spans="1:11" ht="27" customHeight="1" x14ac:dyDescent="0.2">
      <c r="A43" s="23" t="s">
        <v>188</v>
      </c>
      <c r="B43" s="25" t="s">
        <v>1317</v>
      </c>
      <c r="C43" s="38">
        <v>8</v>
      </c>
      <c r="D43" s="170">
        <v>1.4319999999999999</v>
      </c>
      <c r="E43" s="34"/>
      <c r="F43" s="34"/>
      <c r="G43" s="185"/>
      <c r="H43" s="185"/>
      <c r="I43" s="186"/>
      <c r="J43" s="34"/>
      <c r="K43" s="1"/>
    </row>
    <row r="44" spans="1:11" ht="27" customHeight="1" x14ac:dyDescent="0.2">
      <c r="A44" s="23" t="s">
        <v>189</v>
      </c>
      <c r="B44" s="25" t="s">
        <v>1317</v>
      </c>
      <c r="C44" s="38">
        <v>1</v>
      </c>
      <c r="D44" s="170">
        <v>1.1830000000000001</v>
      </c>
      <c r="E44" s="34"/>
      <c r="F44" s="34"/>
      <c r="G44" s="185"/>
      <c r="H44" s="185"/>
      <c r="I44" s="186"/>
      <c r="J44" s="34"/>
      <c r="K44" s="1"/>
    </row>
    <row r="45" spans="1:11" ht="27" customHeight="1" x14ac:dyDescent="0.2">
      <c r="A45" s="23" t="s">
        <v>190</v>
      </c>
      <c r="B45" s="25" t="s">
        <v>1317</v>
      </c>
      <c r="C45" s="38">
        <v>1</v>
      </c>
      <c r="D45" s="170">
        <v>2.2010000000000001</v>
      </c>
      <c r="E45" s="34"/>
      <c r="F45" s="34"/>
      <c r="G45" s="185"/>
      <c r="H45" s="185"/>
      <c r="I45" s="186"/>
      <c r="J45" s="34"/>
      <c r="K45" s="1"/>
    </row>
    <row r="46" spans="1:11" ht="27" customHeight="1" x14ac:dyDescent="0.2">
      <c r="A46" s="23" t="s">
        <v>191</v>
      </c>
      <c r="B46" s="25" t="s">
        <v>1317</v>
      </c>
      <c r="C46" s="38">
        <v>1</v>
      </c>
      <c r="D46" s="170">
        <v>1.7</v>
      </c>
      <c r="E46" s="34"/>
      <c r="F46" s="34"/>
      <c r="G46" s="185"/>
      <c r="H46" s="185"/>
      <c r="I46" s="186"/>
      <c r="J46" s="34"/>
      <c r="K46" s="1"/>
    </row>
    <row r="47" spans="1:11" ht="27" customHeight="1" x14ac:dyDescent="0.2">
      <c r="A47" s="23" t="s">
        <v>42</v>
      </c>
      <c r="B47" s="25">
        <v>212</v>
      </c>
      <c r="C47" s="38">
        <v>0</v>
      </c>
      <c r="D47" s="180">
        <v>17.457999999999998</v>
      </c>
      <c r="E47" s="181">
        <v>1.1439999999999999</v>
      </c>
      <c r="F47" s="177">
        <v>8.2000000000000003E-2</v>
      </c>
      <c r="G47" s="185"/>
      <c r="H47" s="185"/>
      <c r="I47" s="186"/>
      <c r="J47" s="34"/>
      <c r="K47" s="204"/>
    </row>
    <row r="48" spans="1:11" ht="27" customHeight="1" x14ac:dyDescent="0.2">
      <c r="A48" s="23" t="s">
        <v>565</v>
      </c>
      <c r="B48" s="25">
        <v>222</v>
      </c>
      <c r="C48" s="38" t="s">
        <v>830</v>
      </c>
      <c r="D48" s="170">
        <v>-1.216</v>
      </c>
      <c r="E48" s="34"/>
      <c r="F48" s="34"/>
      <c r="G48" s="184">
        <v>0</v>
      </c>
      <c r="H48" s="185"/>
      <c r="I48" s="186"/>
      <c r="J48" s="34"/>
      <c r="K48" s="204"/>
    </row>
    <row r="49" spans="1:11" ht="27" customHeight="1" x14ac:dyDescent="0.2">
      <c r="A49" s="23" t="s">
        <v>43</v>
      </c>
      <c r="B49" s="25"/>
      <c r="C49" s="38">
        <v>8</v>
      </c>
      <c r="D49" s="170">
        <v>-1.08</v>
      </c>
      <c r="E49" s="34"/>
      <c r="F49" s="34"/>
      <c r="G49" s="184">
        <v>0</v>
      </c>
      <c r="H49" s="185"/>
      <c r="I49" s="186"/>
      <c r="J49" s="34"/>
      <c r="K49" s="1"/>
    </row>
    <row r="50" spans="1:11" ht="27" customHeight="1" x14ac:dyDescent="0.2">
      <c r="A50" s="23" t="s">
        <v>44</v>
      </c>
      <c r="B50" s="25">
        <v>232</v>
      </c>
      <c r="C50" s="38">
        <v>0</v>
      </c>
      <c r="D50" s="170">
        <v>-1.216</v>
      </c>
      <c r="E50" s="34"/>
      <c r="F50" s="34"/>
      <c r="G50" s="184">
        <v>0</v>
      </c>
      <c r="H50" s="185"/>
      <c r="I50" s="186"/>
      <c r="J50" s="170">
        <v>0.36399999999999999</v>
      </c>
      <c r="K50" s="1"/>
    </row>
    <row r="51" spans="1:11" ht="27" customHeight="1" x14ac:dyDescent="0.2">
      <c r="A51" s="23" t="s">
        <v>45</v>
      </c>
      <c r="B51" s="25">
        <v>242</v>
      </c>
      <c r="C51" s="38">
        <v>0</v>
      </c>
      <c r="D51" s="182">
        <v>-5.6289999999999996</v>
      </c>
      <c r="E51" s="188">
        <v>-0.69199999999999995</v>
      </c>
      <c r="F51" s="183">
        <v>-7.0000000000000001E-3</v>
      </c>
      <c r="G51" s="184">
        <v>0</v>
      </c>
      <c r="H51" s="185"/>
      <c r="I51" s="186"/>
      <c r="J51" s="170">
        <v>0.36399999999999999</v>
      </c>
      <c r="K51" s="1"/>
    </row>
    <row r="52" spans="1:11" ht="27" customHeight="1" x14ac:dyDescent="0.2">
      <c r="A52" s="23" t="s">
        <v>46</v>
      </c>
      <c r="B52" s="25">
        <v>252</v>
      </c>
      <c r="C52" s="38">
        <v>0</v>
      </c>
      <c r="D52" s="170">
        <v>-1.08</v>
      </c>
      <c r="E52" s="34"/>
      <c r="F52" s="34"/>
      <c r="G52" s="184">
        <v>0</v>
      </c>
      <c r="H52" s="185"/>
      <c r="I52" s="186"/>
      <c r="J52" s="170">
        <v>0.32500000000000001</v>
      </c>
      <c r="K52" s="1"/>
    </row>
    <row r="53" spans="1:11" ht="27" customHeight="1" x14ac:dyDescent="0.2">
      <c r="A53" s="23" t="s">
        <v>47</v>
      </c>
      <c r="B53" s="25">
        <v>262</v>
      </c>
      <c r="C53" s="38">
        <v>0</v>
      </c>
      <c r="D53" s="182">
        <v>-5.0410000000000004</v>
      </c>
      <c r="E53" s="188">
        <v>-0.59099999999999997</v>
      </c>
      <c r="F53" s="183">
        <v>-6.0000000000000001E-3</v>
      </c>
      <c r="G53" s="184">
        <v>0</v>
      </c>
      <c r="H53" s="185"/>
      <c r="I53" s="186"/>
      <c r="J53" s="170">
        <v>0.32500000000000001</v>
      </c>
      <c r="K53" s="1"/>
    </row>
    <row r="54" spans="1:11" ht="27" customHeight="1" x14ac:dyDescent="0.2">
      <c r="A54" s="23" t="s">
        <v>48</v>
      </c>
      <c r="B54" s="25">
        <v>272</v>
      </c>
      <c r="C54" s="38">
        <v>0</v>
      </c>
      <c r="D54" s="170">
        <v>-0.7</v>
      </c>
      <c r="E54" s="34"/>
      <c r="F54" s="34"/>
      <c r="G54" s="184">
        <v>0</v>
      </c>
      <c r="H54" s="185"/>
      <c r="I54" s="186"/>
      <c r="J54" s="170">
        <v>0.27900000000000003</v>
      </c>
      <c r="K54" s="1"/>
    </row>
    <row r="55" spans="1:11" ht="27" customHeight="1" x14ac:dyDescent="0.2">
      <c r="A55" s="23" t="s">
        <v>49</v>
      </c>
      <c r="B55" s="25">
        <v>282</v>
      </c>
      <c r="C55" s="38">
        <v>0</v>
      </c>
      <c r="D55" s="182">
        <v>-3.4169999999999998</v>
      </c>
      <c r="E55" s="188">
        <v>-0.29199999999999998</v>
      </c>
      <c r="F55" s="183">
        <v>-3.0000000000000001E-3</v>
      </c>
      <c r="G55" s="184">
        <v>0</v>
      </c>
      <c r="H55" s="185"/>
      <c r="I55" s="186"/>
      <c r="J55" s="170">
        <v>0.27900000000000003</v>
      </c>
      <c r="K55" s="1"/>
    </row>
    <row r="56" spans="1:11" ht="27" customHeight="1" x14ac:dyDescent="0.2">
      <c r="A56" s="23" t="s">
        <v>96</v>
      </c>
      <c r="B56" s="25">
        <v>103</v>
      </c>
      <c r="C56" s="38">
        <v>1</v>
      </c>
      <c r="D56" s="170">
        <v>1.089</v>
      </c>
      <c r="E56" s="34"/>
      <c r="F56" s="34"/>
      <c r="G56" s="184">
        <v>2.0499999999999998</v>
      </c>
      <c r="H56" s="185"/>
      <c r="I56" s="186"/>
      <c r="J56" s="34"/>
      <c r="K56" s="1"/>
    </row>
    <row r="57" spans="1:11" ht="27" customHeight="1" x14ac:dyDescent="0.2">
      <c r="A57" s="23" t="s">
        <v>97</v>
      </c>
      <c r="B57" s="25">
        <v>113</v>
      </c>
      <c r="C57" s="38">
        <v>2</v>
      </c>
      <c r="D57" s="170">
        <v>1.4279999999999999</v>
      </c>
      <c r="E57" s="170">
        <v>0</v>
      </c>
      <c r="F57" s="34"/>
      <c r="G57" s="184">
        <v>2.0499999999999998</v>
      </c>
      <c r="H57" s="185"/>
      <c r="I57" s="186"/>
      <c r="J57" s="34"/>
      <c r="K57" s="1"/>
    </row>
    <row r="58" spans="1:11" ht="27" customHeight="1" x14ac:dyDescent="0.2">
      <c r="A58" s="23" t="s">
        <v>98</v>
      </c>
      <c r="B58" s="25">
        <v>123</v>
      </c>
      <c r="C58" s="38">
        <v>2</v>
      </c>
      <c r="D58" s="170">
        <v>0</v>
      </c>
      <c r="E58" s="34"/>
      <c r="F58" s="34"/>
      <c r="G58" s="185"/>
      <c r="H58" s="185"/>
      <c r="I58" s="186"/>
      <c r="J58" s="34"/>
      <c r="K58" s="1"/>
    </row>
    <row r="59" spans="1:11" ht="27" customHeight="1" x14ac:dyDescent="0.2">
      <c r="A59" s="23" t="s">
        <v>99</v>
      </c>
      <c r="B59" s="25">
        <v>133</v>
      </c>
      <c r="C59" s="38">
        <v>3</v>
      </c>
      <c r="D59" s="170">
        <v>0.70099999999999996</v>
      </c>
      <c r="E59" s="34"/>
      <c r="F59" s="34"/>
      <c r="G59" s="184">
        <v>2.0499999999999998</v>
      </c>
      <c r="H59" s="185"/>
      <c r="I59" s="186"/>
      <c r="J59" s="34"/>
      <c r="K59" s="1"/>
    </row>
    <row r="60" spans="1:11" ht="27" customHeight="1" x14ac:dyDescent="0.2">
      <c r="A60" s="23" t="s">
        <v>100</v>
      </c>
      <c r="B60" s="25">
        <v>143</v>
      </c>
      <c r="C60" s="38">
        <v>4</v>
      </c>
      <c r="D60" s="170">
        <v>1.0029999999999999</v>
      </c>
      <c r="E60" s="170">
        <v>0</v>
      </c>
      <c r="F60" s="34"/>
      <c r="G60" s="184">
        <v>2.0499999999999998</v>
      </c>
      <c r="H60" s="185"/>
      <c r="I60" s="186"/>
      <c r="J60" s="34"/>
      <c r="K60" s="1"/>
    </row>
    <row r="61" spans="1:11" ht="27" customHeight="1" x14ac:dyDescent="0.2">
      <c r="A61" s="23" t="s">
        <v>101</v>
      </c>
      <c r="B61" s="25">
        <v>153</v>
      </c>
      <c r="C61" s="38">
        <v>4</v>
      </c>
      <c r="D61" s="170">
        <v>5.0000000000000001E-3</v>
      </c>
      <c r="E61" s="34"/>
      <c r="F61" s="34"/>
      <c r="G61" s="185"/>
      <c r="H61" s="185"/>
      <c r="I61" s="186"/>
      <c r="J61" s="34"/>
      <c r="K61" s="1"/>
    </row>
    <row r="62" spans="1:11" ht="27" customHeight="1" x14ac:dyDescent="0.2">
      <c r="A62" s="23" t="s">
        <v>102</v>
      </c>
      <c r="B62" s="25">
        <v>163</v>
      </c>
      <c r="C62" s="38" t="s">
        <v>20</v>
      </c>
      <c r="D62" s="170">
        <v>1.0089999999999999</v>
      </c>
      <c r="E62" s="170">
        <v>0</v>
      </c>
      <c r="F62" s="34"/>
      <c r="G62" s="184">
        <v>20.7</v>
      </c>
      <c r="H62" s="185"/>
      <c r="I62" s="186"/>
      <c r="J62" s="34"/>
      <c r="K62" s="1"/>
    </row>
    <row r="63" spans="1:11" ht="27" customHeight="1" x14ac:dyDescent="0.2">
      <c r="A63" s="23" t="s">
        <v>103</v>
      </c>
      <c r="B63" s="25"/>
      <c r="C63" s="38" t="s">
        <v>20</v>
      </c>
      <c r="D63" s="170">
        <v>0.65900000000000003</v>
      </c>
      <c r="E63" s="170">
        <v>0</v>
      </c>
      <c r="F63" s="34"/>
      <c r="G63" s="184">
        <v>5.56</v>
      </c>
      <c r="H63" s="185"/>
      <c r="I63" s="186"/>
      <c r="J63" s="34"/>
      <c r="K63" s="1"/>
    </row>
    <row r="64" spans="1:11" ht="27" customHeight="1" x14ac:dyDescent="0.2">
      <c r="A64" s="23" t="s">
        <v>104</v>
      </c>
      <c r="B64" s="25"/>
      <c r="C64" s="38" t="s">
        <v>20</v>
      </c>
      <c r="D64" s="170">
        <v>0.255</v>
      </c>
      <c r="E64" s="170">
        <v>0</v>
      </c>
      <c r="F64" s="34"/>
      <c r="G64" s="184">
        <v>57.2</v>
      </c>
      <c r="H64" s="185"/>
      <c r="I64" s="186"/>
      <c r="J64" s="34"/>
      <c r="K64" s="1"/>
    </row>
    <row r="65" spans="1:11" ht="27" customHeight="1" x14ac:dyDescent="0.2">
      <c r="A65" s="23" t="s">
        <v>566</v>
      </c>
      <c r="B65" s="25">
        <v>320</v>
      </c>
      <c r="C65" s="38">
        <v>0</v>
      </c>
      <c r="D65" s="175">
        <v>4.9870000000000001</v>
      </c>
      <c r="E65" s="176">
        <v>0.44</v>
      </c>
      <c r="F65" s="177">
        <v>0</v>
      </c>
      <c r="G65" s="184">
        <v>2.0499999999999998</v>
      </c>
      <c r="H65" s="185"/>
      <c r="I65" s="186"/>
      <c r="J65" s="34"/>
      <c r="K65" s="1"/>
    </row>
    <row r="66" spans="1:11" ht="27" customHeight="1" x14ac:dyDescent="0.2">
      <c r="A66" s="23" t="s">
        <v>567</v>
      </c>
      <c r="B66" s="25">
        <v>327</v>
      </c>
      <c r="C66" s="38">
        <v>0</v>
      </c>
      <c r="D66" s="175">
        <v>2.81</v>
      </c>
      <c r="E66" s="176">
        <v>0.17399999999999999</v>
      </c>
      <c r="F66" s="177">
        <v>0</v>
      </c>
      <c r="G66" s="184">
        <v>2.29</v>
      </c>
      <c r="H66" s="185"/>
      <c r="I66" s="186"/>
      <c r="J66" s="34"/>
      <c r="K66" s="1"/>
    </row>
    <row r="67" spans="1:11" ht="27" customHeight="1" x14ac:dyDescent="0.2">
      <c r="A67" s="23" t="s">
        <v>105</v>
      </c>
      <c r="B67" s="25">
        <v>183</v>
      </c>
      <c r="C67" s="38">
        <v>0</v>
      </c>
      <c r="D67" s="175">
        <v>2.3969999999999998</v>
      </c>
      <c r="E67" s="176">
        <v>9.4E-2</v>
      </c>
      <c r="F67" s="177">
        <v>0</v>
      </c>
      <c r="G67" s="184">
        <v>4.84</v>
      </c>
      <c r="H67" s="184">
        <v>2.19</v>
      </c>
      <c r="I67" s="187">
        <v>3.37</v>
      </c>
      <c r="J67" s="170">
        <v>0.193</v>
      </c>
      <c r="K67" s="1"/>
    </row>
    <row r="68" spans="1:11" ht="27" customHeight="1" x14ac:dyDescent="0.2">
      <c r="A68" s="23" t="s">
        <v>106</v>
      </c>
      <c r="B68" s="25">
        <v>173</v>
      </c>
      <c r="C68" s="38">
        <v>0</v>
      </c>
      <c r="D68" s="175">
        <v>2.1309999999999998</v>
      </c>
      <c r="E68" s="176">
        <v>0</v>
      </c>
      <c r="F68" s="177">
        <v>0</v>
      </c>
      <c r="G68" s="184">
        <v>5.56</v>
      </c>
      <c r="H68" s="184">
        <v>5.36</v>
      </c>
      <c r="I68" s="187">
        <v>6.09</v>
      </c>
      <c r="J68" s="170">
        <v>0.161</v>
      </c>
      <c r="K68" s="1"/>
    </row>
    <row r="69" spans="1:11" ht="27" customHeight="1" x14ac:dyDescent="0.2">
      <c r="A69" s="23" t="s">
        <v>107</v>
      </c>
      <c r="B69" s="25">
        <v>193</v>
      </c>
      <c r="C69" s="38">
        <v>0</v>
      </c>
      <c r="D69" s="175">
        <v>1.833</v>
      </c>
      <c r="E69" s="176">
        <v>0</v>
      </c>
      <c r="F69" s="177">
        <v>0</v>
      </c>
      <c r="G69" s="184">
        <v>57.2</v>
      </c>
      <c r="H69" s="184">
        <v>5.94</v>
      </c>
      <c r="I69" s="187">
        <v>6.67</v>
      </c>
      <c r="J69" s="170">
        <v>0.153</v>
      </c>
      <c r="K69" s="1"/>
    </row>
    <row r="70" spans="1:11" ht="27" customHeight="1" x14ac:dyDescent="0.2">
      <c r="A70" s="23" t="s">
        <v>193</v>
      </c>
      <c r="B70" s="25" t="s">
        <v>1318</v>
      </c>
      <c r="C70" s="38">
        <v>8</v>
      </c>
      <c r="D70" s="170">
        <v>1.286</v>
      </c>
      <c r="E70" s="34"/>
      <c r="F70" s="34"/>
      <c r="G70" s="185"/>
      <c r="H70" s="185"/>
      <c r="I70" s="189"/>
      <c r="J70" s="34"/>
      <c r="K70" s="1"/>
    </row>
    <row r="71" spans="1:11" ht="27" customHeight="1" x14ac:dyDescent="0.2">
      <c r="A71" s="23" t="s">
        <v>194</v>
      </c>
      <c r="B71" s="25" t="s">
        <v>1318</v>
      </c>
      <c r="C71" s="38">
        <v>1</v>
      </c>
      <c r="D71" s="170">
        <v>1.0629999999999999</v>
      </c>
      <c r="E71" s="34"/>
      <c r="F71" s="34"/>
      <c r="G71" s="185"/>
      <c r="H71" s="185"/>
      <c r="I71" s="189"/>
      <c r="J71" s="34"/>
      <c r="K71" s="1"/>
    </row>
    <row r="72" spans="1:11" ht="27" customHeight="1" x14ac:dyDescent="0.2">
      <c r="A72" s="23" t="s">
        <v>195</v>
      </c>
      <c r="B72" s="25" t="s">
        <v>1318</v>
      </c>
      <c r="C72" s="38">
        <v>1</v>
      </c>
      <c r="D72" s="170">
        <v>1.978</v>
      </c>
      <c r="E72" s="34"/>
      <c r="F72" s="34"/>
      <c r="G72" s="185"/>
      <c r="H72" s="185"/>
      <c r="I72" s="189"/>
      <c r="J72" s="34"/>
      <c r="K72" s="1"/>
    </row>
    <row r="73" spans="1:11" ht="27" customHeight="1" x14ac:dyDescent="0.2">
      <c r="A73" s="23" t="s">
        <v>196</v>
      </c>
      <c r="B73" s="25" t="s">
        <v>1318</v>
      </c>
      <c r="C73" s="38">
        <v>1</v>
      </c>
      <c r="D73" s="170">
        <v>1.5269999999999999</v>
      </c>
      <c r="E73" s="34"/>
      <c r="F73" s="34"/>
      <c r="G73" s="185"/>
      <c r="H73" s="185"/>
      <c r="I73" s="189"/>
      <c r="J73" s="34"/>
      <c r="K73" s="1"/>
    </row>
    <row r="74" spans="1:11" ht="27" customHeight="1" x14ac:dyDescent="0.2">
      <c r="A74" s="23" t="s">
        <v>108</v>
      </c>
      <c r="B74" s="25">
        <v>213</v>
      </c>
      <c r="C74" s="38">
        <v>0</v>
      </c>
      <c r="D74" s="180">
        <v>15.683</v>
      </c>
      <c r="E74" s="181">
        <v>1.028</v>
      </c>
      <c r="F74" s="177">
        <v>7.3999999999999996E-2</v>
      </c>
      <c r="G74" s="185"/>
      <c r="H74" s="185"/>
      <c r="I74" s="186"/>
      <c r="J74" s="34"/>
      <c r="K74" s="1"/>
    </row>
    <row r="75" spans="1:11" ht="27" customHeight="1" x14ac:dyDescent="0.2">
      <c r="A75" s="23" t="s">
        <v>568</v>
      </c>
      <c r="B75" s="25">
        <v>223</v>
      </c>
      <c r="C75" s="38">
        <v>8</v>
      </c>
      <c r="D75" s="170">
        <v>-0.83599999999999997</v>
      </c>
      <c r="E75" s="34"/>
      <c r="F75" s="34"/>
      <c r="G75" s="184">
        <v>0</v>
      </c>
      <c r="H75" s="185"/>
      <c r="I75" s="186"/>
      <c r="J75" s="34"/>
      <c r="K75" s="1"/>
    </row>
    <row r="76" spans="1:11" ht="27" customHeight="1" x14ac:dyDescent="0.2">
      <c r="A76" s="23" t="s">
        <v>109</v>
      </c>
      <c r="B76" s="25"/>
      <c r="C76" s="38">
        <v>8</v>
      </c>
      <c r="D76" s="170">
        <v>-0.82399999999999995</v>
      </c>
      <c r="E76" s="34"/>
      <c r="F76" s="34"/>
      <c r="G76" s="184">
        <v>0</v>
      </c>
      <c r="H76" s="185"/>
      <c r="I76" s="186"/>
      <c r="J76" s="34"/>
      <c r="K76" s="1"/>
    </row>
    <row r="77" spans="1:11" ht="27" customHeight="1" x14ac:dyDescent="0.2">
      <c r="A77" s="23" t="s">
        <v>110</v>
      </c>
      <c r="B77" s="25">
        <v>233</v>
      </c>
      <c r="C77" s="38">
        <v>0</v>
      </c>
      <c r="D77" s="170">
        <v>-0.83599999999999997</v>
      </c>
      <c r="E77" s="34"/>
      <c r="F77" s="34"/>
      <c r="G77" s="184">
        <v>0</v>
      </c>
      <c r="H77" s="185"/>
      <c r="I77" s="186"/>
      <c r="J77" s="170">
        <v>0.25</v>
      </c>
      <c r="K77" s="1"/>
    </row>
    <row r="78" spans="1:11" ht="27" customHeight="1" x14ac:dyDescent="0.2">
      <c r="A78" s="23" t="s">
        <v>111</v>
      </c>
      <c r="B78" s="25">
        <v>243</v>
      </c>
      <c r="C78" s="38">
        <v>0</v>
      </c>
      <c r="D78" s="182">
        <v>-3.8719999999999999</v>
      </c>
      <c r="E78" s="188">
        <v>-0.47599999999999998</v>
      </c>
      <c r="F78" s="183">
        <v>-5.0000000000000001E-3</v>
      </c>
      <c r="G78" s="184">
        <v>0</v>
      </c>
      <c r="H78" s="185"/>
      <c r="I78" s="186"/>
      <c r="J78" s="170">
        <v>0.25</v>
      </c>
      <c r="K78" s="1"/>
    </row>
    <row r="79" spans="1:11" ht="27" customHeight="1" x14ac:dyDescent="0.2">
      <c r="A79" s="23" t="s">
        <v>112</v>
      </c>
      <c r="B79" s="25">
        <v>253</v>
      </c>
      <c r="C79" s="38">
        <v>0</v>
      </c>
      <c r="D79" s="170">
        <v>-0.82399999999999995</v>
      </c>
      <c r="E79" s="34"/>
      <c r="F79" s="34"/>
      <c r="G79" s="184">
        <v>0</v>
      </c>
      <c r="H79" s="185"/>
      <c r="I79" s="186"/>
      <c r="J79" s="170">
        <v>0.248</v>
      </c>
      <c r="K79" s="1"/>
    </row>
    <row r="80" spans="1:11" ht="27" customHeight="1" x14ac:dyDescent="0.2">
      <c r="A80" s="23" t="s">
        <v>113</v>
      </c>
      <c r="B80" s="25">
        <v>263</v>
      </c>
      <c r="C80" s="38">
        <v>0</v>
      </c>
      <c r="D80" s="182">
        <v>-3.8450000000000002</v>
      </c>
      <c r="E80" s="188">
        <v>-0.45100000000000001</v>
      </c>
      <c r="F80" s="183">
        <v>-5.0000000000000001E-3</v>
      </c>
      <c r="G80" s="184">
        <v>0</v>
      </c>
      <c r="H80" s="185"/>
      <c r="I80" s="186"/>
      <c r="J80" s="170">
        <v>0.248</v>
      </c>
      <c r="K80" s="1"/>
    </row>
    <row r="81" spans="1:11" ht="27" customHeight="1" x14ac:dyDescent="0.2">
      <c r="A81" s="23" t="s">
        <v>114</v>
      </c>
      <c r="B81" s="25">
        <v>273</v>
      </c>
      <c r="C81" s="38">
        <v>0</v>
      </c>
      <c r="D81" s="170">
        <v>-0.7</v>
      </c>
      <c r="E81" s="34"/>
      <c r="F81" s="34"/>
      <c r="G81" s="184">
        <v>7.07</v>
      </c>
      <c r="H81" s="185"/>
      <c r="I81" s="186"/>
      <c r="J81" s="170">
        <v>0.27900000000000003</v>
      </c>
      <c r="K81" s="1"/>
    </row>
    <row r="82" spans="1:11" ht="27" customHeight="1" x14ac:dyDescent="0.2">
      <c r="A82" s="23" t="s">
        <v>115</v>
      </c>
      <c r="B82" s="25">
        <v>283</v>
      </c>
      <c r="C82" s="38">
        <v>0</v>
      </c>
      <c r="D82" s="182">
        <v>-3.4169999999999998</v>
      </c>
      <c r="E82" s="188">
        <v>-0.29199999999999998</v>
      </c>
      <c r="F82" s="183">
        <v>-3.0000000000000001E-3</v>
      </c>
      <c r="G82" s="184">
        <v>7.07</v>
      </c>
      <c r="H82" s="185"/>
      <c r="I82" s="186"/>
      <c r="J82" s="170">
        <v>0.27900000000000003</v>
      </c>
      <c r="K82" s="1"/>
    </row>
    <row r="83" spans="1:11" ht="27" customHeight="1" x14ac:dyDescent="0.2">
      <c r="A83" s="23" t="s">
        <v>62</v>
      </c>
      <c r="B83" s="25">
        <v>104</v>
      </c>
      <c r="C83" s="38">
        <v>1</v>
      </c>
      <c r="D83" s="170">
        <v>0.83899999999999997</v>
      </c>
      <c r="E83" s="34"/>
      <c r="F83" s="34"/>
      <c r="G83" s="184">
        <v>1.58</v>
      </c>
      <c r="H83" s="185"/>
      <c r="I83" s="186"/>
      <c r="J83" s="34"/>
      <c r="K83" s="1"/>
    </row>
    <row r="84" spans="1:11" ht="27" customHeight="1" x14ac:dyDescent="0.2">
      <c r="A84" s="23" t="s">
        <v>63</v>
      </c>
      <c r="B84" s="25">
        <v>114</v>
      </c>
      <c r="C84" s="38">
        <v>2</v>
      </c>
      <c r="D84" s="170">
        <v>1.099</v>
      </c>
      <c r="E84" s="170">
        <v>0</v>
      </c>
      <c r="F84" s="34"/>
      <c r="G84" s="184">
        <v>1.58</v>
      </c>
      <c r="H84" s="185"/>
      <c r="I84" s="186"/>
      <c r="J84" s="34"/>
      <c r="K84" s="1"/>
    </row>
    <row r="85" spans="1:11" ht="27" customHeight="1" x14ac:dyDescent="0.2">
      <c r="A85" s="23" t="s">
        <v>64</v>
      </c>
      <c r="B85" s="25">
        <v>124</v>
      </c>
      <c r="C85" s="38">
        <v>2</v>
      </c>
      <c r="D85" s="170">
        <v>0</v>
      </c>
      <c r="E85" s="34"/>
      <c r="F85" s="34"/>
      <c r="G85" s="185"/>
      <c r="H85" s="185"/>
      <c r="I85" s="186"/>
      <c r="J85" s="34"/>
      <c r="K85" s="1"/>
    </row>
    <row r="86" spans="1:11" ht="27" customHeight="1" x14ac:dyDescent="0.2">
      <c r="A86" s="23" t="s">
        <v>65</v>
      </c>
      <c r="B86" s="25">
        <v>134</v>
      </c>
      <c r="C86" s="38">
        <v>3</v>
      </c>
      <c r="D86" s="170">
        <v>0.53900000000000003</v>
      </c>
      <c r="E86" s="34"/>
      <c r="F86" s="34"/>
      <c r="G86" s="184">
        <v>1.58</v>
      </c>
      <c r="H86" s="185"/>
      <c r="I86" s="186"/>
      <c r="J86" s="34"/>
      <c r="K86" s="1"/>
    </row>
    <row r="87" spans="1:11" ht="27" customHeight="1" x14ac:dyDescent="0.2">
      <c r="A87" s="23" t="s">
        <v>66</v>
      </c>
      <c r="B87" s="25">
        <v>144</v>
      </c>
      <c r="C87" s="38">
        <v>4</v>
      </c>
      <c r="D87" s="170">
        <v>0.77200000000000002</v>
      </c>
      <c r="E87" s="170">
        <v>0</v>
      </c>
      <c r="F87" s="34"/>
      <c r="G87" s="184">
        <v>1.58</v>
      </c>
      <c r="H87" s="185"/>
      <c r="I87" s="186"/>
      <c r="J87" s="34"/>
      <c r="K87" s="1"/>
    </row>
    <row r="88" spans="1:11" ht="27" customHeight="1" x14ac:dyDescent="0.2">
      <c r="A88" s="23" t="s">
        <v>67</v>
      </c>
      <c r="B88" s="25">
        <v>154</v>
      </c>
      <c r="C88" s="38">
        <v>4</v>
      </c>
      <c r="D88" s="170">
        <v>4.0000000000000001E-3</v>
      </c>
      <c r="E88" s="34"/>
      <c r="F88" s="34"/>
      <c r="G88" s="185"/>
      <c r="H88" s="185"/>
      <c r="I88" s="186"/>
      <c r="J88" s="34"/>
      <c r="K88" s="1"/>
    </row>
    <row r="89" spans="1:11" ht="27" customHeight="1" x14ac:dyDescent="0.2">
      <c r="A89" s="23" t="s">
        <v>68</v>
      </c>
      <c r="B89" s="25">
        <v>164</v>
      </c>
      <c r="C89" s="38" t="s">
        <v>20</v>
      </c>
      <c r="D89" s="170">
        <v>0.77600000000000002</v>
      </c>
      <c r="E89" s="170">
        <v>0</v>
      </c>
      <c r="F89" s="34"/>
      <c r="G89" s="184">
        <v>15.93</v>
      </c>
      <c r="H89" s="185"/>
      <c r="I89" s="186"/>
      <c r="J89" s="34"/>
      <c r="K89" s="1"/>
    </row>
    <row r="90" spans="1:11" ht="27" customHeight="1" x14ac:dyDescent="0.2">
      <c r="A90" s="23" t="s">
        <v>116</v>
      </c>
      <c r="B90" s="25">
        <v>294</v>
      </c>
      <c r="C90" s="38" t="s">
        <v>20</v>
      </c>
      <c r="D90" s="170">
        <v>0.50700000000000001</v>
      </c>
      <c r="E90" s="170">
        <v>0</v>
      </c>
      <c r="F90" s="34"/>
      <c r="G90" s="184">
        <v>4.28</v>
      </c>
      <c r="H90" s="185"/>
      <c r="I90" s="186"/>
      <c r="J90" s="34"/>
      <c r="K90" s="1"/>
    </row>
    <row r="91" spans="1:11" ht="27" customHeight="1" x14ac:dyDescent="0.2">
      <c r="A91" s="23" t="s">
        <v>117</v>
      </c>
      <c r="B91" s="25">
        <v>304</v>
      </c>
      <c r="C91" s="38" t="s">
        <v>20</v>
      </c>
      <c r="D91" s="170">
        <v>0.19700000000000001</v>
      </c>
      <c r="E91" s="170">
        <v>0</v>
      </c>
      <c r="F91" s="34"/>
      <c r="G91" s="184">
        <v>44.03</v>
      </c>
      <c r="H91" s="185"/>
      <c r="I91" s="186"/>
      <c r="J91" s="34"/>
      <c r="K91" s="1"/>
    </row>
    <row r="92" spans="1:11" ht="27" customHeight="1" x14ac:dyDescent="0.2">
      <c r="A92" s="23" t="s">
        <v>569</v>
      </c>
      <c r="B92" s="25">
        <v>321</v>
      </c>
      <c r="C92" s="38">
        <v>0</v>
      </c>
      <c r="D92" s="175">
        <v>3.839</v>
      </c>
      <c r="E92" s="176">
        <v>0.33900000000000002</v>
      </c>
      <c r="F92" s="177">
        <v>0</v>
      </c>
      <c r="G92" s="184">
        <v>1.58</v>
      </c>
      <c r="H92" s="185"/>
      <c r="I92" s="186"/>
      <c r="J92" s="34"/>
      <c r="K92" s="1"/>
    </row>
    <row r="93" spans="1:11" ht="27" customHeight="1" x14ac:dyDescent="0.2">
      <c r="A93" s="23" t="s">
        <v>570</v>
      </c>
      <c r="B93" s="25">
        <v>328</v>
      </c>
      <c r="C93" s="38">
        <v>0</v>
      </c>
      <c r="D93" s="175">
        <v>2.1629999999999998</v>
      </c>
      <c r="E93" s="176">
        <v>0.13400000000000001</v>
      </c>
      <c r="F93" s="177">
        <v>0</v>
      </c>
      <c r="G93" s="184">
        <v>1.76</v>
      </c>
      <c r="H93" s="185"/>
      <c r="I93" s="186"/>
      <c r="J93" s="34"/>
      <c r="K93" s="1"/>
    </row>
    <row r="94" spans="1:11" ht="27" customHeight="1" x14ac:dyDescent="0.2">
      <c r="A94" s="23" t="s">
        <v>69</v>
      </c>
      <c r="B94" s="25">
        <v>184</v>
      </c>
      <c r="C94" s="38">
        <v>0</v>
      </c>
      <c r="D94" s="175">
        <v>1.845</v>
      </c>
      <c r="E94" s="176">
        <v>7.2999999999999995E-2</v>
      </c>
      <c r="F94" s="177">
        <v>0</v>
      </c>
      <c r="G94" s="184">
        <v>3.73</v>
      </c>
      <c r="H94" s="184">
        <v>1.68</v>
      </c>
      <c r="I94" s="187">
        <v>2.6</v>
      </c>
      <c r="J94" s="170">
        <v>0.14899999999999999</v>
      </c>
      <c r="K94" s="1"/>
    </row>
    <row r="95" spans="1:11" ht="27" customHeight="1" x14ac:dyDescent="0.2">
      <c r="A95" s="23" t="s">
        <v>70</v>
      </c>
      <c r="B95" s="25">
        <v>174</v>
      </c>
      <c r="C95" s="38">
        <v>0</v>
      </c>
      <c r="D95" s="175">
        <v>1.64</v>
      </c>
      <c r="E95" s="176">
        <v>0</v>
      </c>
      <c r="F95" s="177">
        <v>0</v>
      </c>
      <c r="G95" s="184">
        <v>4.28</v>
      </c>
      <c r="H95" s="184">
        <v>4.12</v>
      </c>
      <c r="I95" s="187">
        <v>4.6900000000000004</v>
      </c>
      <c r="J95" s="170">
        <v>0.124</v>
      </c>
      <c r="K95" s="1"/>
    </row>
    <row r="96" spans="1:11" ht="27" customHeight="1" x14ac:dyDescent="0.2">
      <c r="A96" s="23" t="s">
        <v>71</v>
      </c>
      <c r="B96" s="25">
        <v>194</v>
      </c>
      <c r="C96" s="38">
        <v>0</v>
      </c>
      <c r="D96" s="175">
        <v>1.411</v>
      </c>
      <c r="E96" s="176">
        <v>0</v>
      </c>
      <c r="F96" s="177">
        <v>0</v>
      </c>
      <c r="G96" s="184">
        <v>44.03</v>
      </c>
      <c r="H96" s="184">
        <v>4.57</v>
      </c>
      <c r="I96" s="187">
        <v>5.14</v>
      </c>
      <c r="J96" s="170">
        <v>0.11799999999999999</v>
      </c>
      <c r="K96" s="1"/>
    </row>
    <row r="97" spans="1:11" ht="27" customHeight="1" x14ac:dyDescent="0.2">
      <c r="A97" s="23" t="s">
        <v>197</v>
      </c>
      <c r="B97" s="25" t="s">
        <v>1319</v>
      </c>
      <c r="C97" s="38">
        <v>8</v>
      </c>
      <c r="D97" s="170">
        <v>0.99</v>
      </c>
      <c r="E97" s="34"/>
      <c r="F97" s="34"/>
      <c r="G97" s="185"/>
      <c r="H97" s="185"/>
      <c r="I97" s="189"/>
      <c r="J97" s="34"/>
      <c r="K97" s="1"/>
    </row>
    <row r="98" spans="1:11" ht="27" customHeight="1" x14ac:dyDescent="0.2">
      <c r="A98" s="23" t="s">
        <v>198</v>
      </c>
      <c r="B98" s="25" t="s">
        <v>1319</v>
      </c>
      <c r="C98" s="38">
        <v>1</v>
      </c>
      <c r="D98" s="170">
        <v>0.81799999999999995</v>
      </c>
      <c r="E98" s="34"/>
      <c r="F98" s="34"/>
      <c r="G98" s="185"/>
      <c r="H98" s="185"/>
      <c r="I98" s="189"/>
      <c r="J98" s="34"/>
      <c r="K98" s="1"/>
    </row>
    <row r="99" spans="1:11" ht="27" customHeight="1" x14ac:dyDescent="0.2">
      <c r="A99" s="23" t="s">
        <v>199</v>
      </c>
      <c r="B99" s="25" t="s">
        <v>1319</v>
      </c>
      <c r="C99" s="38">
        <v>1</v>
      </c>
      <c r="D99" s="170">
        <v>1.522</v>
      </c>
      <c r="E99" s="34"/>
      <c r="F99" s="34"/>
      <c r="G99" s="185"/>
      <c r="H99" s="185"/>
      <c r="I99" s="189"/>
      <c r="J99" s="34"/>
      <c r="K99" s="1"/>
    </row>
    <row r="100" spans="1:11" ht="27" customHeight="1" x14ac:dyDescent="0.2">
      <c r="A100" s="23" t="s">
        <v>200</v>
      </c>
      <c r="B100" s="25" t="s">
        <v>1319</v>
      </c>
      <c r="C100" s="38">
        <v>1</v>
      </c>
      <c r="D100" s="170">
        <v>1.175</v>
      </c>
      <c r="E100" s="34"/>
      <c r="F100" s="34"/>
      <c r="G100" s="185"/>
      <c r="H100" s="185"/>
      <c r="I100" s="189"/>
      <c r="J100" s="34"/>
      <c r="K100" s="1"/>
    </row>
    <row r="101" spans="1:11" ht="27" customHeight="1" x14ac:dyDescent="0.2">
      <c r="A101" s="23" t="s">
        <v>72</v>
      </c>
      <c r="B101" s="25">
        <v>214</v>
      </c>
      <c r="C101" s="38">
        <v>0</v>
      </c>
      <c r="D101" s="180">
        <v>12.071999999999999</v>
      </c>
      <c r="E101" s="181">
        <v>0.79100000000000004</v>
      </c>
      <c r="F101" s="177">
        <v>5.7000000000000002E-2</v>
      </c>
      <c r="G101" s="185"/>
      <c r="H101" s="185"/>
      <c r="I101" s="186"/>
      <c r="J101" s="34"/>
      <c r="K101" s="1"/>
    </row>
    <row r="102" spans="1:11" ht="27" customHeight="1" x14ac:dyDescent="0.2">
      <c r="A102" s="23" t="s">
        <v>571</v>
      </c>
      <c r="B102" s="25">
        <v>224</v>
      </c>
      <c r="C102" s="38">
        <v>8</v>
      </c>
      <c r="D102" s="170">
        <v>-0.64400000000000002</v>
      </c>
      <c r="E102" s="34"/>
      <c r="F102" s="34"/>
      <c r="G102" s="184">
        <v>0</v>
      </c>
      <c r="H102" s="185"/>
      <c r="I102" s="186"/>
      <c r="J102" s="34"/>
      <c r="K102" s="1"/>
    </row>
    <row r="103" spans="1:11" ht="27" customHeight="1" x14ac:dyDescent="0.2">
      <c r="A103" s="23" t="s">
        <v>73</v>
      </c>
      <c r="B103" s="25"/>
      <c r="C103" s="38">
        <v>8</v>
      </c>
      <c r="D103" s="170">
        <v>-0.63400000000000001</v>
      </c>
      <c r="E103" s="34"/>
      <c r="F103" s="34"/>
      <c r="G103" s="184">
        <v>0</v>
      </c>
      <c r="H103" s="185"/>
      <c r="I103" s="186"/>
      <c r="J103" s="34"/>
      <c r="K103" s="1"/>
    </row>
    <row r="104" spans="1:11" ht="27" customHeight="1" x14ac:dyDescent="0.2">
      <c r="A104" s="23" t="s">
        <v>74</v>
      </c>
      <c r="B104" s="25">
        <v>234</v>
      </c>
      <c r="C104" s="38">
        <v>0</v>
      </c>
      <c r="D104" s="170">
        <v>-0.64400000000000002</v>
      </c>
      <c r="E104" s="34"/>
      <c r="F104" s="34"/>
      <c r="G104" s="184">
        <v>0</v>
      </c>
      <c r="H104" s="185"/>
      <c r="I104" s="186"/>
      <c r="J104" s="170">
        <v>0.193</v>
      </c>
      <c r="K104" s="1"/>
    </row>
    <row r="105" spans="1:11" ht="27" customHeight="1" x14ac:dyDescent="0.2">
      <c r="A105" s="23" t="s">
        <v>75</v>
      </c>
      <c r="B105" s="25">
        <v>244</v>
      </c>
      <c r="C105" s="38">
        <v>0</v>
      </c>
      <c r="D105" s="182">
        <v>-2.98</v>
      </c>
      <c r="E105" s="188">
        <v>-0.36599999999999999</v>
      </c>
      <c r="F105" s="183">
        <v>-4.0000000000000001E-3</v>
      </c>
      <c r="G105" s="184">
        <v>0</v>
      </c>
      <c r="H105" s="185"/>
      <c r="I105" s="186"/>
      <c r="J105" s="170">
        <v>0.193</v>
      </c>
      <c r="K105" s="1"/>
    </row>
    <row r="106" spans="1:11" ht="27" customHeight="1" x14ac:dyDescent="0.2">
      <c r="A106" s="23" t="s">
        <v>76</v>
      </c>
      <c r="B106" s="25">
        <v>254</v>
      </c>
      <c r="C106" s="38">
        <v>0</v>
      </c>
      <c r="D106" s="170">
        <v>-0.63400000000000001</v>
      </c>
      <c r="E106" s="34"/>
      <c r="F106" s="34"/>
      <c r="G106" s="184">
        <v>0</v>
      </c>
      <c r="H106" s="185"/>
      <c r="I106" s="186"/>
      <c r="J106" s="170">
        <v>0.191</v>
      </c>
      <c r="K106" s="1"/>
    </row>
    <row r="107" spans="1:11" ht="27" customHeight="1" x14ac:dyDescent="0.2">
      <c r="A107" s="23" t="s">
        <v>77</v>
      </c>
      <c r="B107" s="25">
        <v>264</v>
      </c>
      <c r="C107" s="38">
        <v>0</v>
      </c>
      <c r="D107" s="182">
        <v>-2.9590000000000001</v>
      </c>
      <c r="E107" s="188">
        <v>-0.34699999999999998</v>
      </c>
      <c r="F107" s="183">
        <v>-4.0000000000000001E-3</v>
      </c>
      <c r="G107" s="184">
        <v>0</v>
      </c>
      <c r="H107" s="185"/>
      <c r="I107" s="186"/>
      <c r="J107" s="170">
        <v>0.191</v>
      </c>
      <c r="K107" s="1"/>
    </row>
    <row r="108" spans="1:11" ht="27" customHeight="1" x14ac:dyDescent="0.2">
      <c r="A108" s="23" t="s">
        <v>78</v>
      </c>
      <c r="B108" s="25">
        <v>274</v>
      </c>
      <c r="C108" s="38">
        <v>0</v>
      </c>
      <c r="D108" s="170">
        <v>-0.53900000000000003</v>
      </c>
      <c r="E108" s="34"/>
      <c r="F108" s="34"/>
      <c r="G108" s="184">
        <v>5.44</v>
      </c>
      <c r="H108" s="185"/>
      <c r="I108" s="186"/>
      <c r="J108" s="170">
        <v>0.215</v>
      </c>
      <c r="K108" s="1"/>
    </row>
    <row r="109" spans="1:11" ht="27" customHeight="1" x14ac:dyDescent="0.2">
      <c r="A109" s="23" t="s">
        <v>79</v>
      </c>
      <c r="B109" s="25">
        <v>284</v>
      </c>
      <c r="C109" s="38">
        <v>0</v>
      </c>
      <c r="D109" s="182">
        <v>-2.63</v>
      </c>
      <c r="E109" s="188">
        <v>-0.22500000000000001</v>
      </c>
      <c r="F109" s="183">
        <v>-2E-3</v>
      </c>
      <c r="G109" s="184">
        <v>5.44</v>
      </c>
      <c r="H109" s="185"/>
      <c r="I109" s="186"/>
      <c r="J109" s="170">
        <v>0.215</v>
      </c>
      <c r="K109" s="1"/>
    </row>
    <row r="110" spans="1:11" ht="27" customHeight="1" x14ac:dyDescent="0.2">
      <c r="A110" s="23" t="s">
        <v>118</v>
      </c>
      <c r="B110" s="25">
        <v>105</v>
      </c>
      <c r="C110" s="38">
        <v>1</v>
      </c>
      <c r="D110" s="170">
        <v>0.52400000000000002</v>
      </c>
      <c r="E110" s="34"/>
      <c r="F110" s="34"/>
      <c r="G110" s="184">
        <v>0.99</v>
      </c>
      <c r="H110" s="185"/>
      <c r="I110" s="186"/>
      <c r="J110" s="34"/>
      <c r="K110" s="1"/>
    </row>
    <row r="111" spans="1:11" ht="27" customHeight="1" x14ac:dyDescent="0.2">
      <c r="A111" s="23" t="s">
        <v>119</v>
      </c>
      <c r="B111" s="25">
        <v>115</v>
      </c>
      <c r="C111" s="38">
        <v>2</v>
      </c>
      <c r="D111" s="170">
        <v>0.68700000000000006</v>
      </c>
      <c r="E111" s="170">
        <v>0</v>
      </c>
      <c r="F111" s="34"/>
      <c r="G111" s="184">
        <v>0.99</v>
      </c>
      <c r="H111" s="185"/>
      <c r="I111" s="186"/>
      <c r="J111" s="34"/>
      <c r="K111" s="1"/>
    </row>
    <row r="112" spans="1:11" ht="27" customHeight="1" x14ac:dyDescent="0.2">
      <c r="A112" s="23" t="s">
        <v>120</v>
      </c>
      <c r="B112" s="25">
        <v>125</v>
      </c>
      <c r="C112" s="38">
        <v>2</v>
      </c>
      <c r="D112" s="170">
        <v>0</v>
      </c>
      <c r="E112" s="34"/>
      <c r="F112" s="34"/>
      <c r="G112" s="185"/>
      <c r="H112" s="185"/>
      <c r="I112" s="186"/>
      <c r="J112" s="34"/>
      <c r="K112" s="1"/>
    </row>
    <row r="113" spans="1:11" ht="27" customHeight="1" x14ac:dyDescent="0.2">
      <c r="A113" s="23" t="s">
        <v>121</v>
      </c>
      <c r="B113" s="25">
        <v>135</v>
      </c>
      <c r="C113" s="38">
        <v>3</v>
      </c>
      <c r="D113" s="170">
        <v>0.33700000000000002</v>
      </c>
      <c r="E113" s="34"/>
      <c r="F113" s="34"/>
      <c r="G113" s="184">
        <v>0.99</v>
      </c>
      <c r="H113" s="185"/>
      <c r="I113" s="186"/>
      <c r="J113" s="34"/>
      <c r="K113" s="1"/>
    </row>
    <row r="114" spans="1:11" ht="27" customHeight="1" x14ac:dyDescent="0.2">
      <c r="A114" s="23" t="s">
        <v>122</v>
      </c>
      <c r="B114" s="25">
        <v>145</v>
      </c>
      <c r="C114" s="38">
        <v>4</v>
      </c>
      <c r="D114" s="170">
        <v>0.48199999999999998</v>
      </c>
      <c r="E114" s="170">
        <v>0</v>
      </c>
      <c r="F114" s="34"/>
      <c r="G114" s="184">
        <v>0.99</v>
      </c>
      <c r="H114" s="185"/>
      <c r="I114" s="186"/>
      <c r="J114" s="34"/>
      <c r="K114" s="1"/>
    </row>
    <row r="115" spans="1:11" ht="27" customHeight="1" x14ac:dyDescent="0.2">
      <c r="A115" s="23" t="s">
        <v>123</v>
      </c>
      <c r="B115" s="25">
        <v>155</v>
      </c>
      <c r="C115" s="38">
        <v>4</v>
      </c>
      <c r="D115" s="170">
        <v>2E-3</v>
      </c>
      <c r="E115" s="34"/>
      <c r="F115" s="34"/>
      <c r="G115" s="185"/>
      <c r="H115" s="185"/>
      <c r="I115" s="186"/>
      <c r="J115" s="34"/>
      <c r="K115" s="1"/>
    </row>
    <row r="116" spans="1:11" ht="27" customHeight="1" x14ac:dyDescent="0.2">
      <c r="A116" s="23" t="s">
        <v>124</v>
      </c>
      <c r="B116" s="25">
        <v>165</v>
      </c>
      <c r="C116" s="38" t="s">
        <v>20</v>
      </c>
      <c r="D116" s="170">
        <v>0.48499999999999999</v>
      </c>
      <c r="E116" s="170">
        <v>0</v>
      </c>
      <c r="F116" s="34"/>
      <c r="G116" s="184">
        <v>9.9600000000000009</v>
      </c>
      <c r="H116" s="185"/>
      <c r="I116" s="186"/>
      <c r="J116" s="34"/>
      <c r="K116" s="1"/>
    </row>
    <row r="117" spans="1:11" ht="27" customHeight="1" x14ac:dyDescent="0.2">
      <c r="A117" s="23" t="s">
        <v>125</v>
      </c>
      <c r="B117" s="25"/>
      <c r="C117" s="38" t="s">
        <v>20</v>
      </c>
      <c r="D117" s="170">
        <v>0.317</v>
      </c>
      <c r="E117" s="170">
        <v>0</v>
      </c>
      <c r="F117" s="34"/>
      <c r="G117" s="184">
        <v>2.67</v>
      </c>
      <c r="H117" s="185"/>
      <c r="I117" s="186"/>
      <c r="J117" s="34"/>
      <c r="K117" s="1"/>
    </row>
    <row r="118" spans="1:11" ht="27" customHeight="1" x14ac:dyDescent="0.2">
      <c r="A118" s="23" t="s">
        <v>126</v>
      </c>
      <c r="B118" s="25"/>
      <c r="C118" s="38" t="s">
        <v>20</v>
      </c>
      <c r="D118" s="170">
        <v>0.123</v>
      </c>
      <c r="E118" s="170">
        <v>0</v>
      </c>
      <c r="F118" s="34"/>
      <c r="G118" s="184">
        <v>27.51</v>
      </c>
      <c r="H118" s="185"/>
      <c r="I118" s="186"/>
      <c r="J118" s="34"/>
      <c r="K118" s="1"/>
    </row>
    <row r="119" spans="1:11" ht="27" customHeight="1" x14ac:dyDescent="0.2">
      <c r="A119" s="23" t="s">
        <v>572</v>
      </c>
      <c r="B119" s="25">
        <v>322</v>
      </c>
      <c r="C119" s="38">
        <v>0</v>
      </c>
      <c r="D119" s="175">
        <v>2.399</v>
      </c>
      <c r="E119" s="176">
        <v>0.21199999999999999</v>
      </c>
      <c r="F119" s="177">
        <v>0</v>
      </c>
      <c r="G119" s="184">
        <v>0.99</v>
      </c>
      <c r="H119" s="185"/>
      <c r="I119" s="186"/>
      <c r="J119" s="34"/>
      <c r="K119" s="1"/>
    </row>
    <row r="120" spans="1:11" ht="27" customHeight="1" x14ac:dyDescent="0.2">
      <c r="A120" s="23" t="s">
        <v>573</v>
      </c>
      <c r="B120" s="25">
        <v>329</v>
      </c>
      <c r="C120" s="38">
        <v>0</v>
      </c>
      <c r="D120" s="175">
        <v>1.3520000000000001</v>
      </c>
      <c r="E120" s="176">
        <v>8.4000000000000005E-2</v>
      </c>
      <c r="F120" s="177">
        <v>0</v>
      </c>
      <c r="G120" s="184">
        <v>1.1000000000000001</v>
      </c>
      <c r="H120" s="185"/>
      <c r="I120" s="186"/>
      <c r="J120" s="34"/>
      <c r="K120" s="1"/>
    </row>
    <row r="121" spans="1:11" ht="27" customHeight="1" x14ac:dyDescent="0.2">
      <c r="A121" s="23" t="s">
        <v>127</v>
      </c>
      <c r="B121" s="25">
        <v>185</v>
      </c>
      <c r="C121" s="38">
        <v>0</v>
      </c>
      <c r="D121" s="175">
        <v>1.153</v>
      </c>
      <c r="E121" s="176">
        <v>4.4999999999999998E-2</v>
      </c>
      <c r="F121" s="177">
        <v>0</v>
      </c>
      <c r="G121" s="184">
        <v>2.33</v>
      </c>
      <c r="H121" s="184">
        <v>1.05</v>
      </c>
      <c r="I121" s="187">
        <v>1.62</v>
      </c>
      <c r="J121" s="170">
        <v>9.2999999999999999E-2</v>
      </c>
      <c r="K121" s="1"/>
    </row>
    <row r="122" spans="1:11" ht="27" customHeight="1" x14ac:dyDescent="0.2">
      <c r="A122" s="23" t="s">
        <v>128</v>
      </c>
      <c r="B122" s="25">
        <v>175</v>
      </c>
      <c r="C122" s="38">
        <v>0</v>
      </c>
      <c r="D122" s="175">
        <v>1.0249999999999999</v>
      </c>
      <c r="E122" s="176">
        <v>0</v>
      </c>
      <c r="F122" s="177">
        <v>0</v>
      </c>
      <c r="G122" s="184">
        <v>2.67</v>
      </c>
      <c r="H122" s="184">
        <v>2.58</v>
      </c>
      <c r="I122" s="187">
        <v>2.93</v>
      </c>
      <c r="J122" s="170">
        <v>7.6999999999999999E-2</v>
      </c>
      <c r="K122" s="1"/>
    </row>
    <row r="123" spans="1:11" ht="27" customHeight="1" x14ac:dyDescent="0.2">
      <c r="A123" s="23" t="s">
        <v>129</v>
      </c>
      <c r="B123" s="25">
        <v>195</v>
      </c>
      <c r="C123" s="38">
        <v>0</v>
      </c>
      <c r="D123" s="175">
        <v>0.88200000000000001</v>
      </c>
      <c r="E123" s="176">
        <v>0</v>
      </c>
      <c r="F123" s="177">
        <v>0</v>
      </c>
      <c r="G123" s="184">
        <v>27.51</v>
      </c>
      <c r="H123" s="184">
        <v>2.86</v>
      </c>
      <c r="I123" s="187">
        <v>3.21</v>
      </c>
      <c r="J123" s="170">
        <v>7.3999999999999996E-2</v>
      </c>
      <c r="K123" s="1"/>
    </row>
    <row r="124" spans="1:11" ht="27" customHeight="1" x14ac:dyDescent="0.2">
      <c r="A124" s="23" t="s">
        <v>201</v>
      </c>
      <c r="B124" s="25"/>
      <c r="C124" s="38">
        <v>8</v>
      </c>
      <c r="D124" s="170">
        <v>0.61899999999999999</v>
      </c>
      <c r="E124" s="34"/>
      <c r="F124" s="34"/>
      <c r="G124" s="185"/>
      <c r="H124" s="185"/>
      <c r="I124" s="189"/>
      <c r="J124" s="34"/>
      <c r="K124" s="1"/>
    </row>
    <row r="125" spans="1:11" ht="27" customHeight="1" x14ac:dyDescent="0.2">
      <c r="A125" s="23" t="s">
        <v>202</v>
      </c>
      <c r="B125" s="25"/>
      <c r="C125" s="38">
        <v>1</v>
      </c>
      <c r="D125" s="170">
        <v>0.51100000000000001</v>
      </c>
      <c r="E125" s="34"/>
      <c r="F125" s="34"/>
      <c r="G125" s="185"/>
      <c r="H125" s="185"/>
      <c r="I125" s="189"/>
      <c r="J125" s="34"/>
      <c r="K125" s="1"/>
    </row>
    <row r="126" spans="1:11" ht="27" customHeight="1" x14ac:dyDescent="0.2">
      <c r="A126" s="23" t="s">
        <v>203</v>
      </c>
      <c r="B126" s="25"/>
      <c r="C126" s="38">
        <v>1</v>
      </c>
      <c r="D126" s="170">
        <v>0.95099999999999996</v>
      </c>
      <c r="E126" s="34"/>
      <c r="F126" s="34"/>
      <c r="G126" s="185"/>
      <c r="H126" s="185"/>
      <c r="I126" s="189"/>
      <c r="J126" s="34"/>
      <c r="K126" s="1"/>
    </row>
    <row r="127" spans="1:11" ht="27" customHeight="1" x14ac:dyDescent="0.2">
      <c r="A127" s="23" t="s">
        <v>204</v>
      </c>
      <c r="B127" s="25"/>
      <c r="C127" s="38">
        <v>1</v>
      </c>
      <c r="D127" s="170">
        <v>0.73499999999999999</v>
      </c>
      <c r="E127" s="34"/>
      <c r="F127" s="34"/>
      <c r="G127" s="185"/>
      <c r="H127" s="185"/>
      <c r="I127" s="189"/>
      <c r="J127" s="34"/>
      <c r="K127" s="1"/>
    </row>
    <row r="128" spans="1:11" ht="27" customHeight="1" x14ac:dyDescent="0.2">
      <c r="A128" s="23" t="s">
        <v>130</v>
      </c>
      <c r="B128" s="25">
        <v>215</v>
      </c>
      <c r="C128" s="38">
        <v>0</v>
      </c>
      <c r="D128" s="180">
        <v>7.5439999999999996</v>
      </c>
      <c r="E128" s="181">
        <v>0.49399999999999999</v>
      </c>
      <c r="F128" s="177">
        <v>3.5999999999999997E-2</v>
      </c>
      <c r="G128" s="185"/>
      <c r="H128" s="185"/>
      <c r="I128" s="186"/>
      <c r="J128" s="34"/>
      <c r="K128" s="1"/>
    </row>
    <row r="129" spans="1:11" ht="27" customHeight="1" x14ac:dyDescent="0.2">
      <c r="A129" s="23" t="s">
        <v>574</v>
      </c>
      <c r="B129" s="25">
        <v>225</v>
      </c>
      <c r="C129" s="38">
        <v>8</v>
      </c>
      <c r="D129" s="170">
        <v>-0.40200000000000002</v>
      </c>
      <c r="E129" s="34"/>
      <c r="F129" s="34"/>
      <c r="G129" s="184">
        <v>0</v>
      </c>
      <c r="H129" s="185"/>
      <c r="I129" s="186"/>
      <c r="J129" s="34"/>
      <c r="K129" s="1"/>
    </row>
    <row r="130" spans="1:11" ht="27" customHeight="1" x14ac:dyDescent="0.2">
      <c r="A130" s="23" t="s">
        <v>131</v>
      </c>
      <c r="B130" s="25"/>
      <c r="C130" s="38">
        <v>8</v>
      </c>
      <c r="D130" s="170">
        <v>-0.39600000000000002</v>
      </c>
      <c r="E130" s="34"/>
      <c r="F130" s="34"/>
      <c r="G130" s="184">
        <v>0</v>
      </c>
      <c r="H130" s="185"/>
      <c r="I130" s="186"/>
      <c r="J130" s="34"/>
      <c r="K130" s="1"/>
    </row>
    <row r="131" spans="1:11" ht="27" customHeight="1" x14ac:dyDescent="0.2">
      <c r="A131" s="23" t="s">
        <v>132</v>
      </c>
      <c r="B131" s="25">
        <v>235</v>
      </c>
      <c r="C131" s="38">
        <v>0</v>
      </c>
      <c r="D131" s="170">
        <v>-0.40200000000000002</v>
      </c>
      <c r="E131" s="34"/>
      <c r="F131" s="34"/>
      <c r="G131" s="184">
        <v>0</v>
      </c>
      <c r="H131" s="185"/>
      <c r="I131" s="186"/>
      <c r="J131" s="170">
        <v>0.12</v>
      </c>
      <c r="K131" s="1"/>
    </row>
    <row r="132" spans="1:11" ht="27" customHeight="1" x14ac:dyDescent="0.2">
      <c r="A132" s="23" t="s">
        <v>133</v>
      </c>
      <c r="B132" s="25">
        <v>245</v>
      </c>
      <c r="C132" s="38">
        <v>0</v>
      </c>
      <c r="D132" s="182">
        <v>-1.8620000000000001</v>
      </c>
      <c r="E132" s="188">
        <v>-0.22900000000000001</v>
      </c>
      <c r="F132" s="183">
        <v>-2E-3</v>
      </c>
      <c r="G132" s="184">
        <v>0</v>
      </c>
      <c r="H132" s="185"/>
      <c r="I132" s="186"/>
      <c r="J132" s="170">
        <v>0.12</v>
      </c>
      <c r="K132" s="1"/>
    </row>
    <row r="133" spans="1:11" ht="27" customHeight="1" x14ac:dyDescent="0.2">
      <c r="A133" s="23" t="s">
        <v>134</v>
      </c>
      <c r="B133" s="25">
        <v>255</v>
      </c>
      <c r="C133" s="38">
        <v>0</v>
      </c>
      <c r="D133" s="170">
        <v>-0.39600000000000002</v>
      </c>
      <c r="E133" s="34"/>
      <c r="F133" s="34"/>
      <c r="G133" s="184">
        <v>0</v>
      </c>
      <c r="H133" s="185"/>
      <c r="I133" s="186"/>
      <c r="J133" s="170">
        <v>0.11899999999999999</v>
      </c>
      <c r="K133" s="1"/>
    </row>
    <row r="134" spans="1:11" ht="27" customHeight="1" x14ac:dyDescent="0.2">
      <c r="A134" s="23" t="s">
        <v>135</v>
      </c>
      <c r="B134" s="25">
        <v>265</v>
      </c>
      <c r="C134" s="38">
        <v>0</v>
      </c>
      <c r="D134" s="182">
        <v>-1.849</v>
      </c>
      <c r="E134" s="188">
        <v>-0.217</v>
      </c>
      <c r="F134" s="183">
        <v>-2E-3</v>
      </c>
      <c r="G134" s="184">
        <v>0</v>
      </c>
      <c r="H134" s="185"/>
      <c r="I134" s="186"/>
      <c r="J134" s="170">
        <v>0.11899999999999999</v>
      </c>
      <c r="K134" s="1"/>
    </row>
    <row r="135" spans="1:11" ht="27" customHeight="1" x14ac:dyDescent="0.2">
      <c r="A135" s="23" t="s">
        <v>136</v>
      </c>
      <c r="B135" s="25">
        <v>275</v>
      </c>
      <c r="C135" s="38">
        <v>0</v>
      </c>
      <c r="D135" s="170">
        <v>-0.33700000000000002</v>
      </c>
      <c r="E135" s="34"/>
      <c r="F135" s="34"/>
      <c r="G135" s="184">
        <v>3.4</v>
      </c>
      <c r="H135" s="185"/>
      <c r="I135" s="186"/>
      <c r="J135" s="170">
        <v>0.13400000000000001</v>
      </c>
      <c r="K135" s="1"/>
    </row>
    <row r="136" spans="1:11" ht="27" customHeight="1" x14ac:dyDescent="0.2">
      <c r="A136" s="23" t="s">
        <v>137</v>
      </c>
      <c r="B136" s="25">
        <v>285</v>
      </c>
      <c r="C136" s="38">
        <v>0</v>
      </c>
      <c r="D136" s="182">
        <v>-1.6439999999999999</v>
      </c>
      <c r="E136" s="188">
        <v>-0.14000000000000001</v>
      </c>
      <c r="F136" s="183">
        <v>-1E-3</v>
      </c>
      <c r="G136" s="184">
        <v>3.4</v>
      </c>
      <c r="H136" s="185"/>
      <c r="I136" s="186"/>
      <c r="J136" s="170">
        <v>0.13400000000000001</v>
      </c>
      <c r="K136" s="1"/>
    </row>
    <row r="137" spans="1:11" ht="27" customHeight="1" x14ac:dyDescent="0.2">
      <c r="A137" s="23" t="s">
        <v>138</v>
      </c>
      <c r="B137" s="25">
        <v>106</v>
      </c>
      <c r="C137" s="38">
        <v>1</v>
      </c>
      <c r="D137" s="170">
        <v>0.372</v>
      </c>
      <c r="E137" s="34"/>
      <c r="F137" s="34"/>
      <c r="G137" s="184">
        <v>0.7</v>
      </c>
      <c r="H137" s="185"/>
      <c r="I137" s="186"/>
      <c r="J137" s="34"/>
      <c r="K137" s="1"/>
    </row>
    <row r="138" spans="1:11" ht="27" customHeight="1" x14ac:dyDescent="0.2">
      <c r="A138" s="23" t="s">
        <v>139</v>
      </c>
      <c r="B138" s="25">
        <v>116</v>
      </c>
      <c r="C138" s="38">
        <v>2</v>
      </c>
      <c r="D138" s="170">
        <v>0.48699999999999999</v>
      </c>
      <c r="E138" s="170">
        <v>0</v>
      </c>
      <c r="F138" s="34"/>
      <c r="G138" s="184">
        <v>0.7</v>
      </c>
      <c r="H138" s="185"/>
      <c r="I138" s="186"/>
      <c r="J138" s="34"/>
      <c r="K138" s="1"/>
    </row>
    <row r="139" spans="1:11" ht="27" customHeight="1" x14ac:dyDescent="0.2">
      <c r="A139" s="23" t="s">
        <v>140</v>
      </c>
      <c r="B139" s="25">
        <v>126</v>
      </c>
      <c r="C139" s="38">
        <v>2</v>
      </c>
      <c r="D139" s="170">
        <v>0</v>
      </c>
      <c r="E139" s="34"/>
      <c r="F139" s="34"/>
      <c r="G139" s="185"/>
      <c r="H139" s="185"/>
      <c r="I139" s="186"/>
      <c r="J139" s="34"/>
      <c r="K139" s="1"/>
    </row>
    <row r="140" spans="1:11" ht="27" customHeight="1" x14ac:dyDescent="0.2">
      <c r="A140" s="23" t="s">
        <v>141</v>
      </c>
      <c r="B140" s="25">
        <v>136</v>
      </c>
      <c r="C140" s="38">
        <v>3</v>
      </c>
      <c r="D140" s="170">
        <v>0.23899999999999999</v>
      </c>
      <c r="E140" s="34"/>
      <c r="F140" s="34"/>
      <c r="G140" s="184">
        <v>0.7</v>
      </c>
      <c r="H140" s="185"/>
      <c r="I140" s="186"/>
      <c r="J140" s="34"/>
      <c r="K140" s="1"/>
    </row>
    <row r="141" spans="1:11" ht="27" customHeight="1" x14ac:dyDescent="0.2">
      <c r="A141" s="23" t="s">
        <v>142</v>
      </c>
      <c r="B141" s="25">
        <v>146</v>
      </c>
      <c r="C141" s="38">
        <v>4</v>
      </c>
      <c r="D141" s="170">
        <v>0.34200000000000003</v>
      </c>
      <c r="E141" s="170">
        <v>0</v>
      </c>
      <c r="F141" s="34"/>
      <c r="G141" s="184">
        <v>0.7</v>
      </c>
      <c r="H141" s="185"/>
      <c r="I141" s="186"/>
      <c r="J141" s="34"/>
      <c r="K141" s="1"/>
    </row>
    <row r="142" spans="1:11" ht="27" customHeight="1" x14ac:dyDescent="0.2">
      <c r="A142" s="23" t="s">
        <v>143</v>
      </c>
      <c r="B142" s="25">
        <v>156</v>
      </c>
      <c r="C142" s="38">
        <v>4</v>
      </c>
      <c r="D142" s="170">
        <v>2E-3</v>
      </c>
      <c r="E142" s="34"/>
      <c r="F142" s="34"/>
      <c r="G142" s="185"/>
      <c r="H142" s="185"/>
      <c r="I142" s="186"/>
      <c r="J142" s="34"/>
      <c r="K142" s="1"/>
    </row>
    <row r="143" spans="1:11" ht="27" customHeight="1" x14ac:dyDescent="0.2">
      <c r="A143" s="23" t="s">
        <v>144</v>
      </c>
      <c r="B143" s="25">
        <v>166</v>
      </c>
      <c r="C143" s="38" t="s">
        <v>20</v>
      </c>
      <c r="D143" s="170">
        <v>0.34399999999999997</v>
      </c>
      <c r="E143" s="170">
        <v>0</v>
      </c>
      <c r="F143" s="34"/>
      <c r="G143" s="184">
        <v>7.07</v>
      </c>
      <c r="H143" s="185"/>
      <c r="I143" s="186"/>
      <c r="J143" s="34"/>
      <c r="K143" s="1"/>
    </row>
    <row r="144" spans="1:11" ht="27" customHeight="1" x14ac:dyDescent="0.2">
      <c r="A144" s="23" t="s">
        <v>145</v>
      </c>
      <c r="B144" s="25"/>
      <c r="C144" s="38" t="s">
        <v>20</v>
      </c>
      <c r="D144" s="170">
        <v>0.22500000000000001</v>
      </c>
      <c r="E144" s="170">
        <v>0</v>
      </c>
      <c r="F144" s="34"/>
      <c r="G144" s="184">
        <v>1.9</v>
      </c>
      <c r="H144" s="185"/>
      <c r="I144" s="186"/>
      <c r="J144" s="34"/>
      <c r="K144" s="1"/>
    </row>
    <row r="145" spans="1:11" ht="27" customHeight="1" x14ac:dyDescent="0.2">
      <c r="A145" s="23" t="s">
        <v>146</v>
      </c>
      <c r="B145" s="25"/>
      <c r="C145" s="38" t="s">
        <v>20</v>
      </c>
      <c r="D145" s="170">
        <v>8.6999999999999994E-2</v>
      </c>
      <c r="E145" s="170">
        <v>0</v>
      </c>
      <c r="F145" s="34"/>
      <c r="G145" s="184">
        <v>19.53</v>
      </c>
      <c r="H145" s="185"/>
      <c r="I145" s="186"/>
      <c r="J145" s="34"/>
      <c r="K145" s="1"/>
    </row>
    <row r="146" spans="1:11" ht="27" customHeight="1" x14ac:dyDescent="0.2">
      <c r="A146" s="23" t="s">
        <v>575</v>
      </c>
      <c r="B146" s="25">
        <v>323</v>
      </c>
      <c r="C146" s="38">
        <v>0</v>
      </c>
      <c r="D146" s="175">
        <v>1.7030000000000001</v>
      </c>
      <c r="E146" s="176">
        <v>0.15</v>
      </c>
      <c r="F146" s="177">
        <v>0</v>
      </c>
      <c r="G146" s="184">
        <v>0.7</v>
      </c>
      <c r="H146" s="185"/>
      <c r="I146" s="186"/>
      <c r="J146" s="34"/>
      <c r="K146" s="1"/>
    </row>
    <row r="147" spans="1:11" ht="27" customHeight="1" x14ac:dyDescent="0.2">
      <c r="A147" s="23" t="s">
        <v>576</v>
      </c>
      <c r="B147" s="25">
        <v>330</v>
      </c>
      <c r="C147" s="38">
        <v>0</v>
      </c>
      <c r="D147" s="175">
        <v>0.95899999999999996</v>
      </c>
      <c r="E147" s="176">
        <v>0.06</v>
      </c>
      <c r="F147" s="177">
        <v>0</v>
      </c>
      <c r="G147" s="184">
        <v>0.78</v>
      </c>
      <c r="H147" s="185"/>
      <c r="I147" s="186"/>
      <c r="J147" s="34"/>
      <c r="K147" s="1"/>
    </row>
    <row r="148" spans="1:11" ht="27" customHeight="1" x14ac:dyDescent="0.2">
      <c r="A148" s="23" t="s">
        <v>147</v>
      </c>
      <c r="B148" s="25">
        <v>186</v>
      </c>
      <c r="C148" s="38">
        <v>0</v>
      </c>
      <c r="D148" s="175">
        <v>0.81899999999999995</v>
      </c>
      <c r="E148" s="176">
        <v>3.2000000000000001E-2</v>
      </c>
      <c r="F148" s="177">
        <v>0</v>
      </c>
      <c r="G148" s="184">
        <v>1.65</v>
      </c>
      <c r="H148" s="184">
        <v>0.75</v>
      </c>
      <c r="I148" s="187">
        <v>1.1499999999999999</v>
      </c>
      <c r="J148" s="170">
        <v>6.6000000000000003E-2</v>
      </c>
      <c r="K148" s="1"/>
    </row>
    <row r="149" spans="1:11" ht="27" customHeight="1" x14ac:dyDescent="0.2">
      <c r="A149" s="23" t="s">
        <v>148</v>
      </c>
      <c r="B149" s="25">
        <v>176</v>
      </c>
      <c r="C149" s="38">
        <v>0</v>
      </c>
      <c r="D149" s="175">
        <v>0.72799999999999998</v>
      </c>
      <c r="E149" s="176">
        <v>0</v>
      </c>
      <c r="F149" s="177">
        <v>0</v>
      </c>
      <c r="G149" s="184">
        <v>1.9</v>
      </c>
      <c r="H149" s="184">
        <v>1.83</v>
      </c>
      <c r="I149" s="187">
        <v>2.08</v>
      </c>
      <c r="J149" s="170">
        <v>5.5E-2</v>
      </c>
      <c r="K149" s="1"/>
    </row>
    <row r="150" spans="1:11" ht="27" customHeight="1" x14ac:dyDescent="0.2">
      <c r="A150" s="23" t="s">
        <v>149</v>
      </c>
      <c r="B150" s="25">
        <v>196</v>
      </c>
      <c r="C150" s="38">
        <v>0</v>
      </c>
      <c r="D150" s="175">
        <v>0.626</v>
      </c>
      <c r="E150" s="176">
        <v>0</v>
      </c>
      <c r="F150" s="177">
        <v>0</v>
      </c>
      <c r="G150" s="184">
        <v>19.53</v>
      </c>
      <c r="H150" s="184">
        <v>2.0299999999999998</v>
      </c>
      <c r="I150" s="187">
        <v>2.2799999999999998</v>
      </c>
      <c r="J150" s="170">
        <v>5.1999999999999998E-2</v>
      </c>
      <c r="K150" s="1"/>
    </row>
    <row r="151" spans="1:11" ht="27" customHeight="1" x14ac:dyDescent="0.2">
      <c r="A151" s="23" t="s">
        <v>205</v>
      </c>
      <c r="B151" s="25"/>
      <c r="C151" s="38">
        <v>8</v>
      </c>
      <c r="D151" s="170">
        <v>0.439</v>
      </c>
      <c r="E151" s="34"/>
      <c r="F151" s="34"/>
      <c r="G151" s="185"/>
      <c r="H151" s="185"/>
      <c r="I151" s="189"/>
      <c r="J151" s="34"/>
      <c r="K151" s="1"/>
    </row>
    <row r="152" spans="1:11" ht="27" customHeight="1" x14ac:dyDescent="0.2">
      <c r="A152" s="23" t="s">
        <v>206</v>
      </c>
      <c r="B152" s="25"/>
      <c r="C152" s="38">
        <v>1</v>
      </c>
      <c r="D152" s="170">
        <v>0.36299999999999999</v>
      </c>
      <c r="E152" s="34"/>
      <c r="F152" s="34"/>
      <c r="G152" s="185"/>
      <c r="H152" s="185"/>
      <c r="I152" s="189"/>
      <c r="J152" s="34"/>
      <c r="K152" s="1"/>
    </row>
    <row r="153" spans="1:11" ht="27" customHeight="1" x14ac:dyDescent="0.2">
      <c r="A153" s="23" t="s">
        <v>207</v>
      </c>
      <c r="B153" s="25"/>
      <c r="C153" s="38">
        <v>1</v>
      </c>
      <c r="D153" s="170">
        <v>0.67500000000000004</v>
      </c>
      <c r="E153" s="34"/>
      <c r="F153" s="34"/>
      <c r="G153" s="185"/>
      <c r="H153" s="185"/>
      <c r="I153" s="186"/>
      <c r="J153" s="34"/>
      <c r="K153" s="1"/>
    </row>
    <row r="154" spans="1:11" ht="27" customHeight="1" x14ac:dyDescent="0.2">
      <c r="A154" s="23" t="s">
        <v>208</v>
      </c>
      <c r="B154" s="25"/>
      <c r="C154" s="38">
        <v>1</v>
      </c>
      <c r="D154" s="170">
        <v>0.52100000000000002</v>
      </c>
      <c r="E154" s="34"/>
      <c r="F154" s="34"/>
      <c r="G154" s="185"/>
      <c r="H154" s="185"/>
      <c r="I154" s="186"/>
      <c r="J154" s="34"/>
      <c r="K154" s="1"/>
    </row>
    <row r="155" spans="1:11" ht="27" customHeight="1" x14ac:dyDescent="0.2">
      <c r="A155" s="23" t="s">
        <v>150</v>
      </c>
      <c r="B155" s="25">
        <v>216</v>
      </c>
      <c r="C155" s="38">
        <v>0</v>
      </c>
      <c r="D155" s="180">
        <v>5.3550000000000004</v>
      </c>
      <c r="E155" s="181">
        <v>0.35099999999999998</v>
      </c>
      <c r="F155" s="177">
        <v>2.5000000000000001E-2</v>
      </c>
      <c r="G155" s="185"/>
      <c r="H155" s="185"/>
      <c r="I155" s="186"/>
      <c r="J155" s="34"/>
      <c r="K155" s="1"/>
    </row>
    <row r="156" spans="1:11" ht="27" customHeight="1" x14ac:dyDescent="0.2">
      <c r="A156" s="23" t="s">
        <v>577</v>
      </c>
      <c r="B156" s="25">
        <v>226</v>
      </c>
      <c r="C156" s="38">
        <v>8</v>
      </c>
      <c r="D156" s="170">
        <v>-0.28599999999999998</v>
      </c>
      <c r="E156" s="34"/>
      <c r="F156" s="34"/>
      <c r="G156" s="184">
        <v>0</v>
      </c>
      <c r="H156" s="185"/>
      <c r="I156" s="186"/>
      <c r="J156" s="34"/>
      <c r="K156" s="1"/>
    </row>
    <row r="157" spans="1:11" ht="27" customHeight="1" x14ac:dyDescent="0.2">
      <c r="A157" s="23" t="s">
        <v>151</v>
      </c>
      <c r="B157" s="25"/>
      <c r="C157" s="38">
        <v>8</v>
      </c>
      <c r="D157" s="170">
        <v>-0.28100000000000003</v>
      </c>
      <c r="E157" s="34"/>
      <c r="F157" s="34"/>
      <c r="G157" s="184">
        <v>0</v>
      </c>
      <c r="H157" s="185"/>
      <c r="I157" s="186"/>
      <c r="J157" s="34"/>
      <c r="K157" s="1"/>
    </row>
    <row r="158" spans="1:11" ht="27" customHeight="1" x14ac:dyDescent="0.2">
      <c r="A158" s="23" t="s">
        <v>152</v>
      </c>
      <c r="B158" s="25">
        <v>236</v>
      </c>
      <c r="C158" s="38">
        <v>0</v>
      </c>
      <c r="D158" s="170">
        <v>-0.28599999999999998</v>
      </c>
      <c r="E158" s="34"/>
      <c r="F158" s="34"/>
      <c r="G158" s="184">
        <v>0</v>
      </c>
      <c r="H158" s="185"/>
      <c r="I158" s="186"/>
      <c r="J158" s="170">
        <v>8.5000000000000006E-2</v>
      </c>
      <c r="K158" s="1"/>
    </row>
    <row r="159" spans="1:11" ht="27" customHeight="1" x14ac:dyDescent="0.2">
      <c r="A159" s="23" t="s">
        <v>153</v>
      </c>
      <c r="B159" s="25">
        <v>246</v>
      </c>
      <c r="C159" s="38">
        <v>0</v>
      </c>
      <c r="D159" s="182">
        <v>-1.3220000000000001</v>
      </c>
      <c r="E159" s="188">
        <v>-0.16300000000000001</v>
      </c>
      <c r="F159" s="183">
        <v>-2E-3</v>
      </c>
      <c r="G159" s="184">
        <v>0</v>
      </c>
      <c r="H159" s="185"/>
      <c r="I159" s="186"/>
      <c r="J159" s="170">
        <v>8.5000000000000006E-2</v>
      </c>
      <c r="K159" s="1"/>
    </row>
    <row r="160" spans="1:11" ht="27" customHeight="1" x14ac:dyDescent="0.2">
      <c r="A160" s="23" t="s">
        <v>154</v>
      </c>
      <c r="B160" s="25">
        <v>256</v>
      </c>
      <c r="C160" s="38">
        <v>0</v>
      </c>
      <c r="D160" s="170">
        <v>-0.28100000000000003</v>
      </c>
      <c r="E160" s="34"/>
      <c r="F160" s="34"/>
      <c r="G160" s="184">
        <v>0</v>
      </c>
      <c r="H160" s="185"/>
      <c r="I160" s="186"/>
      <c r="J160" s="170">
        <v>8.5000000000000006E-2</v>
      </c>
      <c r="K160" s="1"/>
    </row>
    <row r="161" spans="1:11" ht="27" customHeight="1" x14ac:dyDescent="0.2">
      <c r="A161" s="23" t="s">
        <v>155</v>
      </c>
      <c r="B161" s="25">
        <v>266</v>
      </c>
      <c r="C161" s="38">
        <v>0</v>
      </c>
      <c r="D161" s="182">
        <v>-1.3129999999999999</v>
      </c>
      <c r="E161" s="188">
        <v>-0.154</v>
      </c>
      <c r="F161" s="183">
        <v>-2E-3</v>
      </c>
      <c r="G161" s="184">
        <v>0</v>
      </c>
      <c r="H161" s="185"/>
      <c r="I161" s="186"/>
      <c r="J161" s="170">
        <v>8.5000000000000006E-2</v>
      </c>
      <c r="K161" s="1"/>
    </row>
    <row r="162" spans="1:11" ht="27" customHeight="1" x14ac:dyDescent="0.2">
      <c r="A162" s="23" t="s">
        <v>156</v>
      </c>
      <c r="B162" s="25">
        <v>276</v>
      </c>
      <c r="C162" s="38">
        <v>0</v>
      </c>
      <c r="D162" s="170">
        <v>-0.23899999999999999</v>
      </c>
      <c r="E162" s="34"/>
      <c r="F162" s="34"/>
      <c r="G162" s="184">
        <v>2.41</v>
      </c>
      <c r="H162" s="185"/>
      <c r="I162" s="186"/>
      <c r="J162" s="170">
        <v>9.5000000000000001E-2</v>
      </c>
      <c r="K162" s="1"/>
    </row>
    <row r="163" spans="1:11" ht="27" customHeight="1" x14ac:dyDescent="0.2">
      <c r="A163" s="23" t="s">
        <v>157</v>
      </c>
      <c r="B163" s="25">
        <v>286</v>
      </c>
      <c r="C163" s="38">
        <v>0</v>
      </c>
      <c r="D163" s="182">
        <v>-1.167</v>
      </c>
      <c r="E163" s="188">
        <v>-0.1</v>
      </c>
      <c r="F163" s="183">
        <v>-1E-3</v>
      </c>
      <c r="G163" s="184">
        <v>2.41</v>
      </c>
      <c r="H163" s="185"/>
      <c r="I163" s="186"/>
      <c r="J163" s="170">
        <v>9.5000000000000001E-2</v>
      </c>
      <c r="K163" s="1"/>
    </row>
    <row r="164" spans="1:11" ht="27" customHeight="1" x14ac:dyDescent="0.2">
      <c r="A164" s="23" t="s">
        <v>158</v>
      </c>
      <c r="B164" s="25">
        <v>107</v>
      </c>
      <c r="C164" s="38">
        <v>1</v>
      </c>
      <c r="D164" s="170">
        <v>0.16</v>
      </c>
      <c r="E164" s="34"/>
      <c r="F164" s="34"/>
      <c r="G164" s="184">
        <v>0.3</v>
      </c>
      <c r="H164" s="185"/>
      <c r="I164" s="186"/>
      <c r="J164" s="34"/>
      <c r="K164" s="1"/>
    </row>
    <row r="165" spans="1:11" ht="27" customHeight="1" x14ac:dyDescent="0.2">
      <c r="A165" s="23" t="s">
        <v>159</v>
      </c>
      <c r="B165" s="25">
        <v>117</v>
      </c>
      <c r="C165" s="38">
        <v>2</v>
      </c>
      <c r="D165" s="170">
        <v>0.20899999999999999</v>
      </c>
      <c r="E165" s="170">
        <v>0</v>
      </c>
      <c r="F165" s="34"/>
      <c r="G165" s="184">
        <v>0.3</v>
      </c>
      <c r="H165" s="185"/>
      <c r="I165" s="186"/>
      <c r="J165" s="34"/>
      <c r="K165" s="1"/>
    </row>
    <row r="166" spans="1:11" ht="27" customHeight="1" x14ac:dyDescent="0.2">
      <c r="A166" s="23" t="s">
        <v>160</v>
      </c>
      <c r="B166" s="25">
        <v>127</v>
      </c>
      <c r="C166" s="38">
        <v>2</v>
      </c>
      <c r="D166" s="170">
        <v>0</v>
      </c>
      <c r="E166" s="34"/>
      <c r="F166" s="34"/>
      <c r="G166" s="185"/>
      <c r="H166" s="185"/>
      <c r="I166" s="186"/>
      <c r="J166" s="34"/>
      <c r="K166" s="1"/>
    </row>
    <row r="167" spans="1:11" ht="27" customHeight="1" x14ac:dyDescent="0.2">
      <c r="A167" s="23" t="s">
        <v>161</v>
      </c>
      <c r="B167" s="25">
        <v>137</v>
      </c>
      <c r="C167" s="38">
        <v>3</v>
      </c>
      <c r="D167" s="170">
        <v>0.10299999999999999</v>
      </c>
      <c r="E167" s="34"/>
      <c r="F167" s="34"/>
      <c r="G167" s="184">
        <v>0.3</v>
      </c>
      <c r="H167" s="185"/>
      <c r="I167" s="186"/>
      <c r="J167" s="34"/>
      <c r="K167" s="1"/>
    </row>
    <row r="168" spans="1:11" ht="27" customHeight="1" x14ac:dyDescent="0.2">
      <c r="A168" s="23" t="s">
        <v>162</v>
      </c>
      <c r="B168" s="25">
        <v>147</v>
      </c>
      <c r="C168" s="38">
        <v>4</v>
      </c>
      <c r="D168" s="170">
        <v>0.14699999999999999</v>
      </c>
      <c r="E168" s="170">
        <v>0</v>
      </c>
      <c r="F168" s="34"/>
      <c r="G168" s="184">
        <v>0.3</v>
      </c>
      <c r="H168" s="185"/>
      <c r="I168" s="186"/>
      <c r="J168" s="34"/>
      <c r="K168" s="1"/>
    </row>
    <row r="169" spans="1:11" ht="27" customHeight="1" x14ac:dyDescent="0.2">
      <c r="A169" s="23" t="s">
        <v>163</v>
      </c>
      <c r="B169" s="25">
        <v>157</v>
      </c>
      <c r="C169" s="38">
        <v>4</v>
      </c>
      <c r="D169" s="170">
        <v>1E-3</v>
      </c>
      <c r="E169" s="34"/>
      <c r="F169" s="34"/>
      <c r="G169" s="185"/>
      <c r="H169" s="185"/>
      <c r="I169" s="186"/>
      <c r="J169" s="34"/>
      <c r="K169" s="1"/>
    </row>
    <row r="170" spans="1:11" ht="27" customHeight="1" x14ac:dyDescent="0.2">
      <c r="A170" s="23" t="s">
        <v>164</v>
      </c>
      <c r="B170" s="25">
        <v>167</v>
      </c>
      <c r="C170" s="38" t="s">
        <v>20</v>
      </c>
      <c r="D170" s="170">
        <v>0.14799999999999999</v>
      </c>
      <c r="E170" s="170">
        <v>0</v>
      </c>
      <c r="F170" s="34"/>
      <c r="G170" s="184">
        <v>3.03</v>
      </c>
      <c r="H170" s="185"/>
      <c r="I170" s="186"/>
      <c r="J170" s="34"/>
      <c r="K170" s="1"/>
    </row>
    <row r="171" spans="1:11" ht="27" customHeight="1" x14ac:dyDescent="0.2">
      <c r="A171" s="23" t="s">
        <v>165</v>
      </c>
      <c r="B171" s="25"/>
      <c r="C171" s="38" t="s">
        <v>20</v>
      </c>
      <c r="D171" s="170">
        <v>9.7000000000000003E-2</v>
      </c>
      <c r="E171" s="170">
        <v>0</v>
      </c>
      <c r="F171" s="34"/>
      <c r="G171" s="184">
        <v>0.81</v>
      </c>
      <c r="H171" s="185"/>
      <c r="I171" s="186"/>
      <c r="J171" s="34"/>
      <c r="K171" s="1"/>
    </row>
    <row r="172" spans="1:11" ht="27" customHeight="1" x14ac:dyDescent="0.2">
      <c r="A172" s="23" t="s">
        <v>166</v>
      </c>
      <c r="B172" s="25"/>
      <c r="C172" s="38" t="s">
        <v>20</v>
      </c>
      <c r="D172" s="170">
        <v>3.6999999999999998E-2</v>
      </c>
      <c r="E172" s="170">
        <v>0</v>
      </c>
      <c r="F172" s="34"/>
      <c r="G172" s="184">
        <v>8.3800000000000008</v>
      </c>
      <c r="H172" s="185"/>
      <c r="I172" s="186"/>
      <c r="J172" s="34"/>
      <c r="K172" s="1"/>
    </row>
    <row r="173" spans="1:11" ht="27" customHeight="1" x14ac:dyDescent="0.2">
      <c r="A173" s="23" t="s">
        <v>578</v>
      </c>
      <c r="B173" s="25">
        <v>324</v>
      </c>
      <c r="C173" s="38">
        <v>0</v>
      </c>
      <c r="D173" s="175">
        <v>0.73099999999999998</v>
      </c>
      <c r="E173" s="176">
        <v>6.5000000000000002E-2</v>
      </c>
      <c r="F173" s="177">
        <v>0</v>
      </c>
      <c r="G173" s="184">
        <v>0.3</v>
      </c>
      <c r="H173" s="185"/>
      <c r="I173" s="186"/>
      <c r="J173" s="34"/>
      <c r="K173" s="1"/>
    </row>
    <row r="174" spans="1:11" ht="27" customHeight="1" x14ac:dyDescent="0.2">
      <c r="A174" s="23" t="s">
        <v>579</v>
      </c>
      <c r="B174" s="25">
        <v>331</v>
      </c>
      <c r="C174" s="38">
        <v>0</v>
      </c>
      <c r="D174" s="175">
        <v>0.41199999999999998</v>
      </c>
      <c r="E174" s="176">
        <v>2.5999999999999999E-2</v>
      </c>
      <c r="F174" s="177">
        <v>0</v>
      </c>
      <c r="G174" s="184">
        <v>0.34</v>
      </c>
      <c r="H174" s="185"/>
      <c r="I174" s="186"/>
      <c r="J174" s="34"/>
      <c r="K174" s="1"/>
    </row>
    <row r="175" spans="1:11" ht="27" customHeight="1" x14ac:dyDescent="0.2">
      <c r="A175" s="23" t="s">
        <v>167</v>
      </c>
      <c r="B175" s="25">
        <v>187</v>
      </c>
      <c r="C175" s="38">
        <v>0</v>
      </c>
      <c r="D175" s="175">
        <v>0.35099999999999998</v>
      </c>
      <c r="E175" s="176">
        <v>1.4E-2</v>
      </c>
      <c r="F175" s="177">
        <v>0</v>
      </c>
      <c r="G175" s="184">
        <v>0.71</v>
      </c>
      <c r="H175" s="184">
        <v>0.32</v>
      </c>
      <c r="I175" s="187">
        <v>0.49</v>
      </c>
      <c r="J175" s="170">
        <v>2.8000000000000001E-2</v>
      </c>
      <c r="K175" s="1"/>
    </row>
    <row r="176" spans="1:11" ht="27" customHeight="1" x14ac:dyDescent="0.2">
      <c r="A176" s="23" t="s">
        <v>168</v>
      </c>
      <c r="B176" s="25">
        <v>177</v>
      </c>
      <c r="C176" s="38">
        <v>0</v>
      </c>
      <c r="D176" s="175">
        <v>0.312</v>
      </c>
      <c r="E176" s="176">
        <v>0</v>
      </c>
      <c r="F176" s="177">
        <v>0</v>
      </c>
      <c r="G176" s="184">
        <v>0.81</v>
      </c>
      <c r="H176" s="184">
        <v>0.79</v>
      </c>
      <c r="I176" s="187">
        <v>0.89</v>
      </c>
      <c r="J176" s="170">
        <v>2.4E-2</v>
      </c>
      <c r="K176" s="1"/>
    </row>
    <row r="177" spans="1:11" ht="27" customHeight="1" x14ac:dyDescent="0.2">
      <c r="A177" s="23" t="s">
        <v>169</v>
      </c>
      <c r="B177" s="25">
        <v>197</v>
      </c>
      <c r="C177" s="38">
        <v>0</v>
      </c>
      <c r="D177" s="175">
        <v>0.26900000000000002</v>
      </c>
      <c r="E177" s="176">
        <v>0</v>
      </c>
      <c r="F177" s="177">
        <v>0</v>
      </c>
      <c r="G177" s="184">
        <v>8.3800000000000008</v>
      </c>
      <c r="H177" s="184">
        <v>0.87</v>
      </c>
      <c r="I177" s="187">
        <v>0.98</v>
      </c>
      <c r="J177" s="170">
        <v>2.1999999999999999E-2</v>
      </c>
      <c r="K177" s="1"/>
    </row>
    <row r="178" spans="1:11" ht="27" customHeight="1" x14ac:dyDescent="0.2">
      <c r="A178" s="23" t="s">
        <v>209</v>
      </c>
      <c r="B178" s="25"/>
      <c r="C178" s="38">
        <v>8</v>
      </c>
      <c r="D178" s="170">
        <v>0.189</v>
      </c>
      <c r="E178" s="34"/>
      <c r="F178" s="34"/>
      <c r="G178" s="185"/>
      <c r="H178" s="185"/>
      <c r="I178" s="189"/>
      <c r="J178" s="34"/>
    </row>
    <row r="179" spans="1:11" ht="27" customHeight="1" x14ac:dyDescent="0.2">
      <c r="A179" s="23" t="s">
        <v>210</v>
      </c>
      <c r="B179" s="25"/>
      <c r="C179" s="38">
        <v>1</v>
      </c>
      <c r="D179" s="170">
        <v>0.156</v>
      </c>
      <c r="E179" s="34"/>
      <c r="F179" s="34"/>
      <c r="G179" s="185"/>
      <c r="H179" s="185"/>
      <c r="I179" s="189"/>
      <c r="J179" s="34"/>
    </row>
    <row r="180" spans="1:11" ht="27" customHeight="1" x14ac:dyDescent="0.2">
      <c r="A180" s="23" t="s">
        <v>211</v>
      </c>
      <c r="B180" s="25"/>
      <c r="C180" s="38">
        <v>1</v>
      </c>
      <c r="D180" s="170">
        <v>0.28999999999999998</v>
      </c>
      <c r="E180" s="34"/>
      <c r="F180" s="34"/>
      <c r="G180" s="185"/>
      <c r="H180" s="185"/>
      <c r="I180" s="186"/>
      <c r="J180" s="34"/>
    </row>
    <row r="181" spans="1:11" ht="27" customHeight="1" x14ac:dyDescent="0.2">
      <c r="A181" s="23" t="s">
        <v>212</v>
      </c>
      <c r="B181" s="25"/>
      <c r="C181" s="38">
        <v>1</v>
      </c>
      <c r="D181" s="170">
        <v>0.224</v>
      </c>
      <c r="E181" s="34"/>
      <c r="F181" s="34"/>
      <c r="G181" s="185"/>
      <c r="H181" s="185"/>
      <c r="I181" s="186"/>
      <c r="J181" s="34"/>
    </row>
    <row r="182" spans="1:11" ht="27" customHeight="1" x14ac:dyDescent="0.2">
      <c r="A182" s="23" t="s">
        <v>170</v>
      </c>
      <c r="B182" s="25">
        <v>217</v>
      </c>
      <c r="C182" s="38">
        <v>0</v>
      </c>
      <c r="D182" s="180">
        <v>2.2989999999999999</v>
      </c>
      <c r="E182" s="181">
        <v>0.151</v>
      </c>
      <c r="F182" s="177">
        <v>1.0999999999999999E-2</v>
      </c>
      <c r="G182" s="185"/>
      <c r="H182" s="185"/>
      <c r="I182" s="186"/>
      <c r="J182" s="34"/>
    </row>
    <row r="183" spans="1:11" ht="27" customHeight="1" x14ac:dyDescent="0.2">
      <c r="A183" s="23" t="s">
        <v>580</v>
      </c>
      <c r="B183" s="25">
        <v>227</v>
      </c>
      <c r="C183" s="38">
        <v>8</v>
      </c>
      <c r="D183" s="170">
        <v>-0.123</v>
      </c>
      <c r="E183" s="34"/>
      <c r="F183" s="34"/>
      <c r="G183" s="184">
        <v>0</v>
      </c>
      <c r="H183" s="185"/>
      <c r="I183" s="186"/>
      <c r="J183" s="34"/>
    </row>
    <row r="184" spans="1:11" ht="27" customHeight="1" x14ac:dyDescent="0.2">
      <c r="A184" s="23" t="s">
        <v>171</v>
      </c>
      <c r="B184" s="25"/>
      <c r="C184" s="38">
        <v>8</v>
      </c>
      <c r="D184" s="170">
        <v>-0.121</v>
      </c>
      <c r="E184" s="34"/>
      <c r="F184" s="34"/>
      <c r="G184" s="184">
        <v>0</v>
      </c>
      <c r="H184" s="185"/>
      <c r="I184" s="186"/>
      <c r="J184" s="34"/>
    </row>
    <row r="185" spans="1:11" ht="27" customHeight="1" x14ac:dyDescent="0.2">
      <c r="A185" s="23" t="s">
        <v>172</v>
      </c>
      <c r="B185" s="25">
        <v>237</v>
      </c>
      <c r="C185" s="38">
        <v>0</v>
      </c>
      <c r="D185" s="170">
        <v>-0.123</v>
      </c>
      <c r="E185" s="34"/>
      <c r="F185" s="34"/>
      <c r="G185" s="184">
        <v>0</v>
      </c>
      <c r="H185" s="185"/>
      <c r="I185" s="186"/>
      <c r="J185" s="170">
        <v>3.6999999999999998E-2</v>
      </c>
    </row>
    <row r="186" spans="1:11" ht="27" customHeight="1" x14ac:dyDescent="0.2">
      <c r="A186" s="23" t="s">
        <v>173</v>
      </c>
      <c r="B186" s="25">
        <v>247</v>
      </c>
      <c r="C186" s="38">
        <v>0</v>
      </c>
      <c r="D186" s="182">
        <v>-0.56799999999999995</v>
      </c>
      <c r="E186" s="188">
        <v>-7.0000000000000007E-2</v>
      </c>
      <c r="F186" s="183">
        <v>-1E-3</v>
      </c>
      <c r="G186" s="184">
        <v>0</v>
      </c>
      <c r="H186" s="185"/>
      <c r="I186" s="186"/>
      <c r="J186" s="170">
        <v>3.6999999999999998E-2</v>
      </c>
    </row>
    <row r="187" spans="1:11" ht="27" customHeight="1" x14ac:dyDescent="0.2">
      <c r="A187" s="23" t="s">
        <v>174</v>
      </c>
      <c r="B187" s="25">
        <v>257</v>
      </c>
      <c r="C187" s="38">
        <v>0</v>
      </c>
      <c r="D187" s="170">
        <v>-0.121</v>
      </c>
      <c r="E187" s="34"/>
      <c r="F187" s="34"/>
      <c r="G187" s="184">
        <v>0</v>
      </c>
      <c r="H187" s="185"/>
      <c r="I187" s="186"/>
      <c r="J187" s="170">
        <v>3.5999999999999997E-2</v>
      </c>
    </row>
    <row r="188" spans="1:11" ht="27" customHeight="1" x14ac:dyDescent="0.2">
      <c r="A188" s="23" t="s">
        <v>175</v>
      </c>
      <c r="B188" s="25">
        <v>267</v>
      </c>
      <c r="C188" s="38">
        <v>0</v>
      </c>
      <c r="D188" s="182">
        <v>-0.56399999999999995</v>
      </c>
      <c r="E188" s="188">
        <v>-6.6000000000000003E-2</v>
      </c>
      <c r="F188" s="183">
        <v>-1E-3</v>
      </c>
      <c r="G188" s="184">
        <v>0</v>
      </c>
      <c r="H188" s="185"/>
      <c r="I188" s="186"/>
      <c r="J188" s="170">
        <v>3.5999999999999997E-2</v>
      </c>
    </row>
    <row r="189" spans="1:11" ht="27" customHeight="1" x14ac:dyDescent="0.2">
      <c r="A189" s="23" t="s">
        <v>176</v>
      </c>
      <c r="B189" s="25">
        <v>277</v>
      </c>
      <c r="C189" s="38">
        <v>0</v>
      </c>
      <c r="D189" s="170">
        <v>-0.10299999999999999</v>
      </c>
      <c r="E189" s="34"/>
      <c r="F189" s="34"/>
      <c r="G189" s="184">
        <v>1.04</v>
      </c>
      <c r="H189" s="185"/>
      <c r="I189" s="186"/>
      <c r="J189" s="170">
        <v>4.1000000000000002E-2</v>
      </c>
    </row>
    <row r="190" spans="1:11" ht="27" customHeight="1" x14ac:dyDescent="0.2">
      <c r="A190" s="23" t="s">
        <v>177</v>
      </c>
      <c r="B190" s="25">
        <v>287</v>
      </c>
      <c r="C190" s="38">
        <v>0</v>
      </c>
      <c r="D190" s="182">
        <v>-0.501</v>
      </c>
      <c r="E190" s="188">
        <v>-4.2999999999999997E-2</v>
      </c>
      <c r="F190" s="177">
        <v>0</v>
      </c>
      <c r="G190" s="184">
        <v>1.04</v>
      </c>
      <c r="H190" s="185"/>
      <c r="I190" s="186"/>
      <c r="J190" s="170">
        <v>4.1000000000000002E-2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B1:D1"/>
    <mergeCell ref="F1:H1"/>
    <mergeCell ref="A2:J2"/>
    <mergeCell ref="F4:J4"/>
    <mergeCell ref="F5:G5"/>
    <mergeCell ref="F10:G10"/>
    <mergeCell ref="H10:J10"/>
    <mergeCell ref="F9:G9"/>
    <mergeCell ref="B8:D8"/>
    <mergeCell ref="A4:D4"/>
    <mergeCell ref="F6:G6"/>
    <mergeCell ref="F7:G7"/>
    <mergeCell ref="F8:G8"/>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89"/>
  <sheetViews>
    <sheetView zoomScale="80" zoomScaleNormal="80" zoomScaleSheetLayoutView="100" workbookViewId="0">
      <selection activeCell="N79" sqref="N79"/>
    </sheetView>
  </sheetViews>
  <sheetFormatPr defaultRowHeight="12.75" x14ac:dyDescent="0.2"/>
  <cols>
    <col min="1" max="7" width="24" customWidth="1"/>
    <col min="8" max="8" width="21" customWidth="1"/>
    <col min="9" max="9" width="9.140625" customWidth="1"/>
  </cols>
  <sheetData>
    <row r="1" spans="1:16384" s="1" customFormat="1" ht="27.75" customHeight="1" x14ac:dyDescent="0.2">
      <c r="A1" s="200" t="s">
        <v>86</v>
      </c>
      <c r="B1"/>
      <c r="C1" s="13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72" t="s">
        <v>1323</v>
      </c>
      <c r="B2" s="272"/>
      <c r="C2" s="272"/>
      <c r="D2" s="272"/>
      <c r="E2" s="272"/>
      <c r="F2" s="153"/>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5" t="str">
        <f>Overview!B4&amp; " - Illustrative LLFs for year beginning "&amp;Overview!D4</f>
        <v>London Power Networks - Illustrative LLFs for year beginning 1 April 2020</v>
      </c>
      <c r="B3" s="236"/>
      <c r="C3" s="236"/>
      <c r="D3" s="236"/>
      <c r="E3" s="236"/>
      <c r="F3" s="236"/>
      <c r="G3" s="237"/>
    </row>
    <row r="4" spans="1:16384" ht="21" customHeight="1" x14ac:dyDescent="0.2">
      <c r="A4" s="273" t="s">
        <v>80</v>
      </c>
      <c r="B4" s="274"/>
      <c r="C4" s="18" t="s">
        <v>54</v>
      </c>
      <c r="D4" s="18" t="s">
        <v>55</v>
      </c>
      <c r="E4" s="18" t="s">
        <v>56</v>
      </c>
      <c r="F4" s="18" t="s">
        <v>57</v>
      </c>
      <c r="G4" s="18" t="s">
        <v>721</v>
      </c>
    </row>
    <row r="5" spans="1:16384" ht="21" customHeight="1" x14ac:dyDescent="0.2">
      <c r="A5" s="270"/>
      <c r="B5" s="275"/>
      <c r="C5" s="18" t="s">
        <v>722</v>
      </c>
      <c r="D5" s="18" t="s">
        <v>723</v>
      </c>
      <c r="E5" s="18" t="s">
        <v>724</v>
      </c>
      <c r="F5" s="18" t="s">
        <v>725</v>
      </c>
      <c r="G5" s="18" t="s">
        <v>726</v>
      </c>
    </row>
    <row r="6" spans="1:16384" ht="45" customHeight="1" x14ac:dyDescent="0.2">
      <c r="A6" s="222" t="s">
        <v>727</v>
      </c>
      <c r="B6" s="223"/>
      <c r="C6" s="19" t="s">
        <v>728</v>
      </c>
      <c r="D6" s="192"/>
      <c r="E6" s="69" t="s">
        <v>729</v>
      </c>
      <c r="F6" s="192"/>
      <c r="G6" s="192"/>
    </row>
    <row r="7" spans="1:16384" ht="45" customHeight="1" x14ac:dyDescent="0.2">
      <c r="A7" s="222" t="s">
        <v>730</v>
      </c>
      <c r="B7" s="223"/>
      <c r="C7" s="192"/>
      <c r="D7" s="19" t="s">
        <v>731</v>
      </c>
      <c r="E7" s="192"/>
      <c r="F7" s="192"/>
      <c r="G7" s="192"/>
    </row>
    <row r="8" spans="1:16384" ht="45" customHeight="1" x14ac:dyDescent="0.2">
      <c r="A8" s="222" t="s">
        <v>732</v>
      </c>
      <c r="B8" s="223"/>
      <c r="C8" s="192"/>
      <c r="D8" s="192"/>
      <c r="E8" s="19" t="s">
        <v>731</v>
      </c>
      <c r="F8" s="192"/>
      <c r="G8" s="192"/>
    </row>
    <row r="9" spans="1:16384" ht="25.5" customHeight="1" x14ac:dyDescent="0.2">
      <c r="A9" s="222" t="s">
        <v>733</v>
      </c>
      <c r="B9" s="223"/>
      <c r="C9" s="192"/>
      <c r="D9" s="192"/>
      <c r="E9" s="192"/>
      <c r="F9" s="69" t="s">
        <v>734</v>
      </c>
      <c r="G9" s="69" t="s">
        <v>735</v>
      </c>
    </row>
    <row r="10" spans="1:16384" s="10" customFormat="1" ht="27" customHeight="1" x14ac:dyDescent="0.2">
      <c r="A10" s="222" t="s">
        <v>81</v>
      </c>
      <c r="B10" s="223"/>
      <c r="C10" s="222" t="s">
        <v>699</v>
      </c>
      <c r="D10" s="225"/>
      <c r="E10" s="225"/>
      <c r="F10" s="225"/>
      <c r="G10" s="223"/>
    </row>
    <row r="11" spans="1:16384" x14ac:dyDescent="0.2">
      <c r="B11" s="9"/>
      <c r="C11" s="9"/>
      <c r="D11" s="9"/>
      <c r="E11" s="9"/>
      <c r="F11" s="9"/>
    </row>
    <row r="12" spans="1:16384" ht="21" customHeight="1" x14ac:dyDescent="0.2">
      <c r="A12" s="233" t="s">
        <v>475</v>
      </c>
      <c r="B12" s="269"/>
      <c r="C12" s="269"/>
      <c r="D12" s="269"/>
      <c r="E12" s="269"/>
      <c r="F12" s="269"/>
      <c r="G12" s="234"/>
    </row>
    <row r="13" spans="1:16384" ht="21" customHeight="1" x14ac:dyDescent="0.2">
      <c r="A13" s="233" t="s">
        <v>53</v>
      </c>
      <c r="B13" s="269"/>
      <c r="C13" s="269"/>
      <c r="D13" s="269"/>
      <c r="E13" s="269"/>
      <c r="F13" s="269"/>
      <c r="G13" s="234"/>
    </row>
    <row r="14" spans="1:16384" ht="21" customHeight="1" x14ac:dyDescent="0.2">
      <c r="A14" s="18" t="s">
        <v>476</v>
      </c>
      <c r="B14" s="18" t="s">
        <v>54</v>
      </c>
      <c r="C14" s="18" t="s">
        <v>55</v>
      </c>
      <c r="D14" s="18" t="s">
        <v>56</v>
      </c>
      <c r="E14" s="18" t="s">
        <v>57</v>
      </c>
      <c r="F14" s="18" t="s">
        <v>721</v>
      </c>
      <c r="G14" s="18" t="s">
        <v>58</v>
      </c>
    </row>
    <row r="15" spans="1:16384" ht="99.75" customHeight="1" x14ac:dyDescent="0.2">
      <c r="A15" s="205" t="s">
        <v>1301</v>
      </c>
      <c r="B15" s="203">
        <v>1.1000000000000001</v>
      </c>
      <c r="C15" s="201">
        <v>1.081</v>
      </c>
      <c r="D15" s="201">
        <v>1.0940000000000001</v>
      </c>
      <c r="E15" s="201">
        <v>1.0640000000000001</v>
      </c>
      <c r="F15" s="201">
        <v>1.08</v>
      </c>
      <c r="G15" s="212" t="s">
        <v>1330</v>
      </c>
    </row>
    <row r="16" spans="1:16384" ht="32.25" customHeight="1" x14ac:dyDescent="0.2">
      <c r="A16" s="205" t="s">
        <v>1302</v>
      </c>
      <c r="B16" s="203">
        <v>1.07</v>
      </c>
      <c r="C16" s="201">
        <v>1.0580000000000001</v>
      </c>
      <c r="D16" s="201">
        <v>1.0660000000000001</v>
      </c>
      <c r="E16" s="201">
        <v>1.0469999999999999</v>
      </c>
      <c r="F16" s="201">
        <v>1.0569999999999999</v>
      </c>
      <c r="G16" s="212" t="s">
        <v>1331</v>
      </c>
    </row>
    <row r="17" spans="1:8" ht="32.25" customHeight="1" x14ac:dyDescent="0.2">
      <c r="A17" s="205" t="s">
        <v>1303</v>
      </c>
      <c r="B17" s="203">
        <v>1.038</v>
      </c>
      <c r="C17" s="201">
        <v>1.032</v>
      </c>
      <c r="D17" s="201">
        <v>1.036</v>
      </c>
      <c r="E17" s="201">
        <v>1.0249999999999999</v>
      </c>
      <c r="F17" s="201">
        <v>1.0309999999999999</v>
      </c>
      <c r="G17" s="212" t="s">
        <v>1332</v>
      </c>
    </row>
    <row r="18" spans="1:8" ht="21" customHeight="1" x14ac:dyDescent="0.2">
      <c r="A18" s="205" t="s">
        <v>1304</v>
      </c>
      <c r="B18" s="201">
        <v>1.0269999999999999</v>
      </c>
      <c r="C18" s="201">
        <v>1.0249999999999999</v>
      </c>
      <c r="D18" s="201">
        <v>1.026</v>
      </c>
      <c r="E18" s="201">
        <v>1.024</v>
      </c>
      <c r="F18" s="201">
        <v>1.0249999999999999</v>
      </c>
      <c r="G18" s="202" t="s">
        <v>1320</v>
      </c>
    </row>
    <row r="19" spans="1:8" ht="21" customHeight="1" x14ac:dyDescent="0.2">
      <c r="A19" s="205" t="s">
        <v>1305</v>
      </c>
      <c r="B19" s="201">
        <v>1.016</v>
      </c>
      <c r="C19" s="201">
        <v>1.0149999999999999</v>
      </c>
      <c r="D19" s="201">
        <v>1.016</v>
      </c>
      <c r="E19" s="201">
        <v>1.014</v>
      </c>
      <c r="F19" s="201">
        <v>1.0149999999999999</v>
      </c>
      <c r="G19" s="202" t="s">
        <v>1321</v>
      </c>
    </row>
    <row r="20" spans="1:8" ht="21" customHeight="1" x14ac:dyDescent="0.2">
      <c r="A20" s="205" t="s">
        <v>1306</v>
      </c>
      <c r="B20" s="201">
        <v>1.002</v>
      </c>
      <c r="C20" s="201">
        <v>1.002</v>
      </c>
      <c r="D20" s="201">
        <v>1.002</v>
      </c>
      <c r="E20" s="201">
        <v>1.002</v>
      </c>
      <c r="F20" s="201">
        <v>1.002</v>
      </c>
      <c r="G20" s="202" t="s">
        <v>1322</v>
      </c>
    </row>
    <row r="21" spans="1:8" ht="21" customHeight="1" x14ac:dyDescent="0.2"/>
    <row r="22" spans="1:8" ht="21.75" customHeight="1" x14ac:dyDescent="0.2">
      <c r="A22" s="239" t="s">
        <v>477</v>
      </c>
      <c r="B22" s="240"/>
      <c r="C22" s="240"/>
      <c r="D22" s="240"/>
      <c r="E22" s="240"/>
      <c r="F22" s="240"/>
      <c r="G22" s="240"/>
      <c r="H22" s="240"/>
    </row>
    <row r="23" spans="1:8" ht="21" customHeight="1" x14ac:dyDescent="0.2">
      <c r="A23" s="270" t="s">
        <v>60</v>
      </c>
      <c r="B23" s="271"/>
      <c r="C23" s="271"/>
      <c r="D23" s="271"/>
      <c r="E23" s="271"/>
      <c r="F23" s="271"/>
      <c r="G23" s="271"/>
      <c r="H23" s="271"/>
    </row>
    <row r="24" spans="1:8" ht="21" customHeight="1" x14ac:dyDescent="0.2">
      <c r="A24" s="18" t="s">
        <v>467</v>
      </c>
      <c r="B24" s="233" t="s">
        <v>59</v>
      </c>
      <c r="C24" s="234"/>
      <c r="D24" s="18" t="s">
        <v>54</v>
      </c>
      <c r="E24" s="18" t="s">
        <v>55</v>
      </c>
      <c r="F24" s="18" t="s">
        <v>56</v>
      </c>
      <c r="G24" s="18" t="s">
        <v>57</v>
      </c>
      <c r="H24" s="18" t="s">
        <v>721</v>
      </c>
    </row>
    <row r="25" spans="1:8" ht="21" customHeight="1" x14ac:dyDescent="0.2">
      <c r="A25" s="193">
        <v>800</v>
      </c>
      <c r="B25" s="267" t="s">
        <v>1335</v>
      </c>
      <c r="C25" s="268"/>
      <c r="D25" s="203">
        <v>1.0089999999999999</v>
      </c>
      <c r="E25" s="203">
        <v>1.0069999999999999</v>
      </c>
      <c r="F25" s="203">
        <v>1.0089999999999999</v>
      </c>
      <c r="G25" s="203">
        <v>1.006</v>
      </c>
      <c r="H25" s="203">
        <v>1.0069999999999999</v>
      </c>
    </row>
    <row r="26" spans="1:8" ht="21" customHeight="1" x14ac:dyDescent="0.2">
      <c r="A26" s="206">
        <v>801</v>
      </c>
      <c r="B26" s="267" t="s">
        <v>1336</v>
      </c>
      <c r="C26" s="268"/>
      <c r="D26" s="203">
        <v>1.01</v>
      </c>
      <c r="E26" s="203">
        <v>1.01</v>
      </c>
      <c r="F26" s="203">
        <v>1.01</v>
      </c>
      <c r="G26" s="203">
        <v>1.008</v>
      </c>
      <c r="H26" s="203">
        <v>1.0089999999999999</v>
      </c>
    </row>
    <row r="27" spans="1:8" ht="21" customHeight="1" x14ac:dyDescent="0.2">
      <c r="A27" s="206">
        <v>802</v>
      </c>
      <c r="B27" s="267" t="s">
        <v>1337</v>
      </c>
      <c r="C27" s="268"/>
      <c r="D27" s="203">
        <v>1.0009999999999999</v>
      </c>
      <c r="E27" s="203">
        <v>1.0009999999999999</v>
      </c>
      <c r="F27" s="203">
        <v>1.0009999999999999</v>
      </c>
      <c r="G27" s="203">
        <v>1.0009999999999999</v>
      </c>
      <c r="H27" s="203">
        <v>1.0009999999999999</v>
      </c>
    </row>
    <row r="28" spans="1:8" ht="21" customHeight="1" x14ac:dyDescent="0.2">
      <c r="A28" s="206">
        <v>803</v>
      </c>
      <c r="B28" s="267" t="s">
        <v>1338</v>
      </c>
      <c r="C28" s="268"/>
      <c r="D28" s="203">
        <v>1.006</v>
      </c>
      <c r="E28" s="203">
        <v>1.0049999999999999</v>
      </c>
      <c r="F28" s="203">
        <v>1.006</v>
      </c>
      <c r="G28" s="203">
        <v>1.0049999999999999</v>
      </c>
      <c r="H28" s="203">
        <v>1.006</v>
      </c>
    </row>
    <row r="29" spans="1:8" ht="21" customHeight="1" x14ac:dyDescent="0.2">
      <c r="A29" s="206">
        <v>804</v>
      </c>
      <c r="B29" s="267" t="s">
        <v>1339</v>
      </c>
      <c r="C29" s="268"/>
      <c r="D29" s="203">
        <v>1.016</v>
      </c>
      <c r="E29" s="203">
        <v>1.0149999999999999</v>
      </c>
      <c r="F29" s="203">
        <v>1.016</v>
      </c>
      <c r="G29" s="203">
        <v>1.014</v>
      </c>
      <c r="H29" s="203">
        <v>1.0149999999999999</v>
      </c>
    </row>
    <row r="30" spans="1:8" ht="21" customHeight="1" x14ac:dyDescent="0.2">
      <c r="A30" s="206">
        <v>805</v>
      </c>
      <c r="B30" s="267" t="s">
        <v>1340</v>
      </c>
      <c r="C30" s="268"/>
      <c r="D30" s="203">
        <v>1.0289999999999999</v>
      </c>
      <c r="E30" s="203">
        <v>1.03</v>
      </c>
      <c r="F30" s="203">
        <v>1.0269999999999999</v>
      </c>
      <c r="G30" s="203">
        <v>1.0289999999999999</v>
      </c>
      <c r="H30" s="203">
        <v>1.0289999999999999</v>
      </c>
    </row>
    <row r="31" spans="1:8" ht="21" customHeight="1" x14ac:dyDescent="0.2">
      <c r="A31" s="206">
        <v>806</v>
      </c>
      <c r="B31" s="267" t="s">
        <v>1341</v>
      </c>
      <c r="C31" s="268"/>
      <c r="D31" s="203">
        <v>1.0189999999999999</v>
      </c>
      <c r="E31" s="203">
        <v>1.0169999999999999</v>
      </c>
      <c r="F31" s="203">
        <v>1.0169999999999999</v>
      </c>
      <c r="G31" s="203">
        <v>1.0149999999999999</v>
      </c>
      <c r="H31" s="203">
        <v>1.016</v>
      </c>
    </row>
    <row r="32" spans="1:8" ht="21" customHeight="1" x14ac:dyDescent="0.2">
      <c r="A32" s="206">
        <v>807</v>
      </c>
      <c r="B32" s="267" t="s">
        <v>1342</v>
      </c>
      <c r="C32" s="268"/>
      <c r="D32" s="203">
        <v>1.012</v>
      </c>
      <c r="E32" s="203">
        <v>1.012</v>
      </c>
      <c r="F32" s="203">
        <v>1.012</v>
      </c>
      <c r="G32" s="203">
        <v>1.0109999999999999</v>
      </c>
      <c r="H32" s="203">
        <v>1.0109999999999999</v>
      </c>
    </row>
    <row r="33" spans="1:8" ht="21" customHeight="1" x14ac:dyDescent="0.2">
      <c r="A33" s="206">
        <v>808</v>
      </c>
      <c r="B33" s="267" t="s">
        <v>1343</v>
      </c>
      <c r="C33" s="268"/>
      <c r="D33" s="203">
        <v>1.01</v>
      </c>
      <c r="E33" s="203">
        <v>1.0069999999999999</v>
      </c>
      <c r="F33" s="203">
        <v>1.01</v>
      </c>
      <c r="G33" s="203">
        <v>1.006</v>
      </c>
      <c r="H33" s="203">
        <v>1.008</v>
      </c>
    </row>
    <row r="34" spans="1:8" ht="21" customHeight="1" x14ac:dyDescent="0.2">
      <c r="A34" s="206">
        <v>809</v>
      </c>
      <c r="B34" s="267" t="s">
        <v>1344</v>
      </c>
      <c r="C34" s="268"/>
      <c r="D34" s="203">
        <v>1.004</v>
      </c>
      <c r="E34" s="203">
        <v>1.0029999999999999</v>
      </c>
      <c r="F34" s="203">
        <v>1.0049999999999999</v>
      </c>
      <c r="G34" s="203">
        <v>1</v>
      </c>
      <c r="H34" s="203">
        <v>1.0089999999999999</v>
      </c>
    </row>
    <row r="35" spans="1:8" ht="21" customHeight="1" x14ac:dyDescent="0.2">
      <c r="A35" s="208">
        <v>810</v>
      </c>
      <c r="B35" s="267" t="s">
        <v>1333</v>
      </c>
      <c r="C35" s="268"/>
      <c r="D35" s="203">
        <v>1.016</v>
      </c>
      <c r="E35" s="203">
        <v>1.0149999999999999</v>
      </c>
      <c r="F35" s="203">
        <v>1.016</v>
      </c>
      <c r="G35" s="203">
        <v>1.014</v>
      </c>
      <c r="H35" s="203">
        <v>1.0149999999999999</v>
      </c>
    </row>
    <row r="36" spans="1:8" ht="21" customHeight="1" x14ac:dyDescent="0.2">
      <c r="A36" s="206">
        <v>811</v>
      </c>
      <c r="B36" s="267" t="s">
        <v>1368</v>
      </c>
      <c r="C36" s="268"/>
      <c r="D36" s="203">
        <v>1.02</v>
      </c>
      <c r="E36" s="203">
        <v>1.0189999999999999</v>
      </c>
      <c r="F36" s="203">
        <v>1.0189999999999999</v>
      </c>
      <c r="G36" s="203">
        <v>1.0189999999999999</v>
      </c>
      <c r="H36" s="203">
        <v>1.0189999999999999</v>
      </c>
    </row>
    <row r="37" spans="1:8" ht="21" customHeight="1" x14ac:dyDescent="0.2">
      <c r="A37" s="206">
        <v>812</v>
      </c>
      <c r="B37" s="267" t="s">
        <v>1369</v>
      </c>
      <c r="C37" s="268"/>
      <c r="D37" s="203">
        <v>1.0509999999999999</v>
      </c>
      <c r="E37" s="203">
        <v>1.05</v>
      </c>
      <c r="F37" s="203">
        <v>1.0509999999999999</v>
      </c>
      <c r="G37" s="203">
        <v>1.0509999999999999</v>
      </c>
      <c r="H37" s="203">
        <v>1.0509999999999999</v>
      </c>
    </row>
    <row r="38" spans="1:8" ht="21" customHeight="1" x14ac:dyDescent="0.2">
      <c r="A38" s="206">
        <v>813</v>
      </c>
      <c r="B38" s="267" t="s">
        <v>1370</v>
      </c>
      <c r="C38" s="268"/>
      <c r="D38" s="203">
        <v>1.0089999999999999</v>
      </c>
      <c r="E38" s="203">
        <v>1.0069999999999999</v>
      </c>
      <c r="F38" s="203">
        <v>1.0089999999999999</v>
      </c>
      <c r="G38" s="203">
        <v>1.0069999999999999</v>
      </c>
      <c r="H38" s="203">
        <v>1.006</v>
      </c>
    </row>
    <row r="39" spans="1:8" ht="21" customHeight="1" x14ac:dyDescent="0.2">
      <c r="A39" s="206">
        <v>814</v>
      </c>
      <c r="B39" s="267" t="s">
        <v>1371</v>
      </c>
      <c r="C39" s="268"/>
      <c r="D39" s="203">
        <v>1.01</v>
      </c>
      <c r="E39" s="203">
        <v>1.008</v>
      </c>
      <c r="F39" s="203">
        <v>1.01</v>
      </c>
      <c r="G39" s="203">
        <v>1.008</v>
      </c>
      <c r="H39" s="203">
        <v>1.0069999999999999</v>
      </c>
    </row>
    <row r="40" spans="1:8" ht="21" customHeight="1" x14ac:dyDescent="0.2">
      <c r="A40" s="206">
        <v>815</v>
      </c>
      <c r="B40" s="267" t="s">
        <v>1345</v>
      </c>
      <c r="C40" s="268"/>
      <c r="D40" s="203">
        <v>1.0029999999999999</v>
      </c>
      <c r="E40" s="203">
        <v>1.0029999999999999</v>
      </c>
      <c r="F40" s="203">
        <v>1.0029999999999999</v>
      </c>
      <c r="G40" s="203">
        <v>1.0029999999999999</v>
      </c>
      <c r="H40" s="203">
        <v>1.0029999999999999</v>
      </c>
    </row>
    <row r="41" spans="1:8" ht="21" customHeight="1" x14ac:dyDescent="0.2">
      <c r="A41" s="206">
        <v>816</v>
      </c>
      <c r="B41" s="267" t="s">
        <v>1372</v>
      </c>
      <c r="C41" s="268"/>
      <c r="D41" s="203">
        <v>1.008</v>
      </c>
      <c r="E41" s="203">
        <v>1.006</v>
      </c>
      <c r="F41" s="203">
        <v>1.008</v>
      </c>
      <c r="G41" s="203">
        <v>1.006</v>
      </c>
      <c r="H41" s="203">
        <v>1.006</v>
      </c>
    </row>
    <row r="42" spans="1:8" ht="21" customHeight="1" x14ac:dyDescent="0.2">
      <c r="A42" s="206">
        <v>817</v>
      </c>
      <c r="B42" s="267" t="s">
        <v>1346</v>
      </c>
      <c r="C42" s="268"/>
      <c r="D42" s="203">
        <v>1</v>
      </c>
      <c r="E42" s="203">
        <v>1</v>
      </c>
      <c r="F42" s="203">
        <v>1</v>
      </c>
      <c r="G42" s="203">
        <v>1</v>
      </c>
      <c r="H42" s="203">
        <v>1</v>
      </c>
    </row>
    <row r="43" spans="1:8" ht="21" customHeight="1" x14ac:dyDescent="0.2">
      <c r="A43" s="206">
        <v>818</v>
      </c>
      <c r="B43" s="267" t="s">
        <v>1347</v>
      </c>
      <c r="C43" s="268"/>
      <c r="D43" s="203">
        <v>1</v>
      </c>
      <c r="E43" s="203">
        <v>1</v>
      </c>
      <c r="F43" s="203">
        <v>1</v>
      </c>
      <c r="G43" s="203">
        <v>1</v>
      </c>
      <c r="H43" s="203">
        <v>1</v>
      </c>
    </row>
    <row r="44" spans="1:8" ht="21" customHeight="1" x14ac:dyDescent="0.2">
      <c r="A44" s="208">
        <v>819</v>
      </c>
      <c r="B44" s="267" t="s">
        <v>1334</v>
      </c>
      <c r="C44" s="268"/>
      <c r="D44" s="203">
        <v>1.0269999999999999</v>
      </c>
      <c r="E44" s="203">
        <v>1.0249999999999999</v>
      </c>
      <c r="F44" s="203">
        <v>1.026</v>
      </c>
      <c r="G44" s="203">
        <v>1.024</v>
      </c>
      <c r="H44" s="203">
        <v>1.0249999999999999</v>
      </c>
    </row>
    <row r="45" spans="1:8" ht="21" customHeight="1" x14ac:dyDescent="0.2">
      <c r="A45" s="206">
        <v>820</v>
      </c>
      <c r="B45" s="267" t="s">
        <v>1348</v>
      </c>
      <c r="C45" s="268"/>
      <c r="D45" s="203">
        <v>1.01</v>
      </c>
      <c r="E45" s="203">
        <v>1.0089999999999999</v>
      </c>
      <c r="F45" s="203">
        <v>1.0069999999999999</v>
      </c>
      <c r="G45" s="203">
        <v>1.006</v>
      </c>
      <c r="H45" s="203">
        <v>1.008</v>
      </c>
    </row>
    <row r="46" spans="1:8" ht="21" customHeight="1" x14ac:dyDescent="0.2">
      <c r="A46" s="206">
        <v>821</v>
      </c>
      <c r="B46" s="267" t="s">
        <v>1349</v>
      </c>
      <c r="C46" s="268"/>
      <c r="D46" s="203">
        <v>1.0089999999999999</v>
      </c>
      <c r="E46" s="203">
        <v>1.008</v>
      </c>
      <c r="F46" s="203">
        <v>1.008</v>
      </c>
      <c r="G46" s="203">
        <v>1.0049999999999999</v>
      </c>
      <c r="H46" s="203">
        <v>1.0069999999999999</v>
      </c>
    </row>
    <row r="47" spans="1:8" ht="21" customHeight="1" x14ac:dyDescent="0.2">
      <c r="A47" s="208">
        <v>822</v>
      </c>
      <c r="B47" s="267" t="s">
        <v>1350</v>
      </c>
      <c r="C47" s="268"/>
      <c r="D47" s="203">
        <v>1.0269999999999999</v>
      </c>
      <c r="E47" s="203">
        <v>1.0249999999999999</v>
      </c>
      <c r="F47" s="203">
        <v>1.026</v>
      </c>
      <c r="G47" s="203">
        <v>1.024</v>
      </c>
      <c r="H47" s="203">
        <v>1.0249999999999999</v>
      </c>
    </row>
    <row r="48" spans="1:8" ht="21" customHeight="1" x14ac:dyDescent="0.2">
      <c r="A48" s="208">
        <v>823</v>
      </c>
      <c r="B48" s="267" t="s">
        <v>1351</v>
      </c>
      <c r="C48" s="268"/>
      <c r="D48" s="203">
        <v>1.0269999999999999</v>
      </c>
      <c r="E48" s="203">
        <v>1.0249999999999999</v>
      </c>
      <c r="F48" s="203">
        <v>1.026</v>
      </c>
      <c r="G48" s="203">
        <v>1.024</v>
      </c>
      <c r="H48" s="203">
        <v>1.0249999999999999</v>
      </c>
    </row>
    <row r="49" spans="1:8" ht="21" customHeight="1" x14ac:dyDescent="0.2">
      <c r="A49" s="206">
        <v>827</v>
      </c>
      <c r="B49" s="267" t="s">
        <v>1352</v>
      </c>
      <c r="C49" s="268"/>
      <c r="D49" s="203">
        <v>1.0249999999999999</v>
      </c>
      <c r="E49" s="203">
        <v>1.0249999999999999</v>
      </c>
      <c r="F49" s="203">
        <v>1.0249999999999999</v>
      </c>
      <c r="G49" s="203">
        <v>1.0249999999999999</v>
      </c>
      <c r="H49" s="203">
        <v>1.0249999999999999</v>
      </c>
    </row>
    <row r="50" spans="1:8" ht="21" customHeight="1" x14ac:dyDescent="0.2">
      <c r="A50" s="206">
        <v>828</v>
      </c>
      <c r="B50" s="267" t="s">
        <v>1353</v>
      </c>
      <c r="C50" s="268"/>
      <c r="D50" s="203">
        <v>1.0029999999999999</v>
      </c>
      <c r="E50" s="203">
        <v>1.0029999999999999</v>
      </c>
      <c r="F50" s="203">
        <v>1.002</v>
      </c>
      <c r="G50" s="203">
        <v>1.002</v>
      </c>
      <c r="H50" s="203">
        <v>1.0029999999999999</v>
      </c>
    </row>
    <row r="51" spans="1:8" ht="21" customHeight="1" x14ac:dyDescent="0.2">
      <c r="A51" s="206">
        <v>829</v>
      </c>
      <c r="B51" s="267" t="s">
        <v>1354</v>
      </c>
      <c r="C51" s="268"/>
      <c r="D51" s="203">
        <v>1.0229999999999999</v>
      </c>
      <c r="E51" s="203">
        <v>1.02</v>
      </c>
      <c r="F51" s="203">
        <v>1.0229999999999999</v>
      </c>
      <c r="G51" s="203">
        <v>1.02</v>
      </c>
      <c r="H51" s="203">
        <v>1.0209999999999999</v>
      </c>
    </row>
    <row r="52" spans="1:8" ht="21" customHeight="1" x14ac:dyDescent="0.2">
      <c r="A52" s="206">
        <v>837</v>
      </c>
      <c r="B52" s="267" t="s">
        <v>1355</v>
      </c>
      <c r="C52" s="268"/>
      <c r="D52" s="203">
        <v>1.012</v>
      </c>
      <c r="E52" s="203">
        <v>1.0109999999999999</v>
      </c>
      <c r="F52" s="203">
        <v>1.0109999999999999</v>
      </c>
      <c r="G52" s="203">
        <v>1.0069999999999999</v>
      </c>
      <c r="H52" s="203">
        <v>1.01</v>
      </c>
    </row>
    <row r="53" spans="1:8" ht="21" customHeight="1" x14ac:dyDescent="0.2">
      <c r="A53" s="206">
        <v>838</v>
      </c>
      <c r="B53" s="267" t="s">
        <v>1356</v>
      </c>
      <c r="C53" s="268"/>
      <c r="D53" s="203">
        <v>1.0069999999999999</v>
      </c>
      <c r="E53" s="203">
        <v>1.008</v>
      </c>
      <c r="F53" s="203">
        <v>1.006</v>
      </c>
      <c r="G53" s="203">
        <v>1.004</v>
      </c>
      <c r="H53" s="203">
        <v>1.0069999999999999</v>
      </c>
    </row>
    <row r="54" spans="1:8" ht="21" customHeight="1" x14ac:dyDescent="0.2">
      <c r="A54" s="206">
        <v>839</v>
      </c>
      <c r="B54" s="267" t="s">
        <v>1357</v>
      </c>
      <c r="C54" s="268"/>
      <c r="D54" s="203">
        <v>1.0069999999999999</v>
      </c>
      <c r="E54" s="203">
        <v>1.006</v>
      </c>
      <c r="F54" s="203">
        <v>1.0069999999999999</v>
      </c>
      <c r="G54" s="203">
        <v>1.0029999999999999</v>
      </c>
      <c r="H54" s="203">
        <v>1.006</v>
      </c>
    </row>
    <row r="55" spans="1:8" ht="21" customHeight="1" x14ac:dyDescent="0.2">
      <c r="A55" s="206">
        <v>840</v>
      </c>
      <c r="B55" s="267" t="s">
        <v>1358</v>
      </c>
      <c r="C55" s="268"/>
      <c r="D55" s="203">
        <v>1.0109999999999999</v>
      </c>
      <c r="E55" s="203">
        <v>1.0109999999999999</v>
      </c>
      <c r="F55" s="203">
        <v>1.0109999999999999</v>
      </c>
      <c r="G55" s="203">
        <v>1.0109999999999999</v>
      </c>
      <c r="H55" s="203">
        <v>1.0109999999999999</v>
      </c>
    </row>
    <row r="56" spans="1:8" ht="21" customHeight="1" x14ac:dyDescent="0.2">
      <c r="A56" s="206">
        <v>841</v>
      </c>
      <c r="B56" s="267" t="s">
        <v>1359</v>
      </c>
      <c r="C56" s="268"/>
      <c r="D56" s="203">
        <v>1.008</v>
      </c>
      <c r="E56" s="203">
        <v>1.008</v>
      </c>
      <c r="F56" s="203">
        <v>1.008</v>
      </c>
      <c r="G56" s="203">
        <v>1.006</v>
      </c>
      <c r="H56" s="203">
        <v>1.008</v>
      </c>
    </row>
    <row r="57" spans="1:8" ht="21" customHeight="1" x14ac:dyDescent="0.2">
      <c r="A57" s="206">
        <v>842</v>
      </c>
      <c r="B57" s="267" t="s">
        <v>1360</v>
      </c>
      <c r="C57" s="268"/>
      <c r="D57" s="203">
        <v>1.0129999999999999</v>
      </c>
      <c r="E57" s="203">
        <v>1.012</v>
      </c>
      <c r="F57" s="203">
        <v>1.012</v>
      </c>
      <c r="G57" s="203">
        <v>1.01</v>
      </c>
      <c r="H57" s="203">
        <v>1.0109999999999999</v>
      </c>
    </row>
    <row r="58" spans="1:8" ht="21" customHeight="1" x14ac:dyDescent="0.2">
      <c r="A58" s="206">
        <v>843</v>
      </c>
      <c r="B58" s="267" t="s">
        <v>1361</v>
      </c>
      <c r="C58" s="268"/>
      <c r="D58" s="203">
        <v>1.012</v>
      </c>
      <c r="E58" s="203">
        <v>1.012</v>
      </c>
      <c r="F58" s="203">
        <v>1.012</v>
      </c>
      <c r="G58" s="203">
        <v>1.012</v>
      </c>
      <c r="H58" s="203">
        <v>1.0109999999999999</v>
      </c>
    </row>
    <row r="59" spans="1:8" ht="21" customHeight="1" x14ac:dyDescent="0.2">
      <c r="A59" s="206">
        <v>844</v>
      </c>
      <c r="B59" s="267" t="s">
        <v>1362</v>
      </c>
      <c r="C59" s="268"/>
      <c r="D59" s="203">
        <v>1.0049999999999999</v>
      </c>
      <c r="E59" s="203">
        <v>1.0049999999999999</v>
      </c>
      <c r="F59" s="203">
        <v>1.0049999999999999</v>
      </c>
      <c r="G59" s="203">
        <v>1.0049999999999999</v>
      </c>
      <c r="H59" s="203">
        <v>1.0049999999999999</v>
      </c>
    </row>
    <row r="60" spans="1:8" ht="21" customHeight="1" x14ac:dyDescent="0.2">
      <c r="A60" s="206">
        <v>845</v>
      </c>
      <c r="B60" s="267" t="s">
        <v>1363</v>
      </c>
      <c r="C60" s="268"/>
      <c r="D60" s="203">
        <v>1.002</v>
      </c>
      <c r="E60" s="203">
        <v>1.002</v>
      </c>
      <c r="F60" s="203">
        <v>1.002</v>
      </c>
      <c r="G60" s="203">
        <v>1.0009999999999999</v>
      </c>
      <c r="H60" s="203">
        <v>1.002</v>
      </c>
    </row>
    <row r="61" spans="1:8" ht="21" customHeight="1" x14ac:dyDescent="0.2">
      <c r="A61" s="206">
        <v>846</v>
      </c>
      <c r="B61" s="267" t="s">
        <v>1364</v>
      </c>
      <c r="C61" s="268"/>
      <c r="D61" s="203">
        <v>1.0109999999999999</v>
      </c>
      <c r="E61" s="203">
        <v>1.01</v>
      </c>
      <c r="F61" s="203">
        <v>1.01</v>
      </c>
      <c r="G61" s="203">
        <v>1.008</v>
      </c>
      <c r="H61" s="203">
        <v>1.0089999999999999</v>
      </c>
    </row>
    <row r="62" spans="1:8" ht="21" customHeight="1" x14ac:dyDescent="0.2">
      <c r="A62" s="206">
        <v>847</v>
      </c>
      <c r="B62" s="267" t="s">
        <v>1365</v>
      </c>
      <c r="C62" s="268"/>
      <c r="D62" s="203">
        <v>1.012</v>
      </c>
      <c r="E62" s="203">
        <v>1.01</v>
      </c>
      <c r="F62" s="203">
        <v>1.012</v>
      </c>
      <c r="G62" s="203">
        <v>1.0069999999999999</v>
      </c>
      <c r="H62" s="203">
        <v>1.0089999999999999</v>
      </c>
    </row>
    <row r="63" spans="1:8" ht="21" customHeight="1" x14ac:dyDescent="0.2">
      <c r="A63" s="206">
        <v>848</v>
      </c>
      <c r="B63" s="267" t="s">
        <v>1366</v>
      </c>
      <c r="C63" s="268"/>
      <c r="D63" s="203">
        <v>1.0249999999999999</v>
      </c>
      <c r="E63" s="203">
        <v>1.022</v>
      </c>
      <c r="F63" s="203">
        <v>1.0229999999999999</v>
      </c>
      <c r="G63" s="203">
        <v>1.0209999999999999</v>
      </c>
      <c r="H63" s="203">
        <v>1.0209999999999999</v>
      </c>
    </row>
    <row r="64" spans="1:8" ht="21" customHeight="1" x14ac:dyDescent="0.2">
      <c r="A64" s="206">
        <v>849</v>
      </c>
      <c r="B64" s="267" t="s">
        <v>1367</v>
      </c>
      <c r="C64" s="268"/>
      <c r="D64" s="203">
        <v>1.0209999999999999</v>
      </c>
      <c r="E64" s="203">
        <v>1.0209999999999999</v>
      </c>
      <c r="F64" s="203">
        <v>1.018</v>
      </c>
      <c r="G64" s="203">
        <v>1.016</v>
      </c>
      <c r="H64" s="203">
        <v>1.0189999999999999</v>
      </c>
    </row>
    <row r="65" spans="1:13" ht="21" customHeight="1" x14ac:dyDescent="0.2"/>
    <row r="66" spans="1:13" ht="21" customHeight="1" x14ac:dyDescent="0.2">
      <c r="A66" s="239" t="s">
        <v>477</v>
      </c>
      <c r="B66" s="240"/>
      <c r="C66" s="240"/>
      <c r="D66" s="240"/>
      <c r="E66" s="240"/>
      <c r="F66" s="240"/>
      <c r="G66" s="240"/>
      <c r="H66" s="240"/>
      <c r="M66" t="s">
        <v>1262</v>
      </c>
    </row>
    <row r="67" spans="1:13" ht="21" customHeight="1" x14ac:dyDescent="0.2">
      <c r="A67" s="270" t="s">
        <v>61</v>
      </c>
      <c r="B67" s="271"/>
      <c r="C67" s="271"/>
      <c r="D67" s="271"/>
      <c r="E67" s="271"/>
      <c r="F67" s="271"/>
      <c r="G67" s="271"/>
      <c r="H67" s="271"/>
    </row>
    <row r="68" spans="1:13" ht="21" customHeight="1" x14ac:dyDescent="0.2">
      <c r="A68" s="18" t="s">
        <v>467</v>
      </c>
      <c r="B68" s="233" t="s">
        <v>59</v>
      </c>
      <c r="C68" s="234"/>
      <c r="D68" s="18" t="s">
        <v>54</v>
      </c>
      <c r="E68" s="18" t="s">
        <v>55</v>
      </c>
      <c r="F68" s="18" t="s">
        <v>56</v>
      </c>
      <c r="G68" s="18" t="s">
        <v>57</v>
      </c>
      <c r="H68" s="18" t="s">
        <v>721</v>
      </c>
    </row>
    <row r="69" spans="1:13" ht="21" customHeight="1" x14ac:dyDescent="0.2">
      <c r="A69" s="193">
        <v>701</v>
      </c>
      <c r="B69" s="267" t="s">
        <v>1373</v>
      </c>
      <c r="C69" s="268"/>
      <c r="D69" s="203">
        <v>0.999</v>
      </c>
      <c r="E69" s="203">
        <v>0.999</v>
      </c>
      <c r="F69" s="203">
        <v>0.999</v>
      </c>
      <c r="G69" s="203">
        <v>0.999</v>
      </c>
      <c r="H69" s="203">
        <v>0.999</v>
      </c>
    </row>
    <row r="70" spans="1:13" ht="21" customHeight="1" x14ac:dyDescent="0.2">
      <c r="A70" s="206">
        <v>702</v>
      </c>
      <c r="B70" s="267" t="s">
        <v>1374</v>
      </c>
      <c r="C70" s="268"/>
      <c r="D70" s="203">
        <v>1</v>
      </c>
      <c r="E70" s="203">
        <v>0.999</v>
      </c>
      <c r="F70" s="203">
        <v>1</v>
      </c>
      <c r="G70" s="203">
        <v>0.999</v>
      </c>
      <c r="H70" s="203">
        <v>1</v>
      </c>
    </row>
    <row r="71" spans="1:13" ht="21" customHeight="1" x14ac:dyDescent="0.2">
      <c r="A71" s="206">
        <v>706</v>
      </c>
      <c r="B71" s="267" t="s">
        <v>1378</v>
      </c>
      <c r="C71" s="268"/>
      <c r="D71" s="203">
        <v>0.94599999999999995</v>
      </c>
      <c r="E71" s="203">
        <v>0.94699999999999995</v>
      </c>
      <c r="F71" s="203">
        <v>0.94599999999999995</v>
      </c>
      <c r="G71" s="203">
        <v>0.94499999999999995</v>
      </c>
      <c r="H71" s="203">
        <v>0.94599999999999995</v>
      </c>
    </row>
    <row r="72" spans="1:13" ht="21" customHeight="1" x14ac:dyDescent="0.2">
      <c r="A72" s="206">
        <v>707</v>
      </c>
      <c r="B72" s="267" t="s">
        <v>1379</v>
      </c>
      <c r="C72" s="268"/>
      <c r="D72" s="203">
        <v>0.95499999999999996</v>
      </c>
      <c r="E72" s="203">
        <v>0.95399999999999996</v>
      </c>
      <c r="F72" s="203">
        <v>0.95399999999999996</v>
      </c>
      <c r="G72" s="203">
        <v>0.95399999999999996</v>
      </c>
      <c r="H72" s="203">
        <v>0.95399999999999996</v>
      </c>
    </row>
    <row r="73" spans="1:13" ht="21" customHeight="1" x14ac:dyDescent="0.2">
      <c r="A73" s="206">
        <v>711</v>
      </c>
      <c r="B73" s="267" t="s">
        <v>1375</v>
      </c>
      <c r="C73" s="268"/>
      <c r="D73" s="203">
        <v>0.999</v>
      </c>
      <c r="E73" s="203">
        <v>0.998</v>
      </c>
      <c r="F73" s="203">
        <v>0.999</v>
      </c>
      <c r="G73" s="203">
        <v>0.998</v>
      </c>
      <c r="H73" s="203">
        <v>0.998</v>
      </c>
    </row>
    <row r="74" spans="1:13" ht="21" customHeight="1" x14ac:dyDescent="0.2">
      <c r="A74" s="206">
        <v>716</v>
      </c>
      <c r="B74" s="267" t="s">
        <v>1376</v>
      </c>
      <c r="C74" s="268"/>
      <c r="D74" s="203">
        <v>0.97599999999999998</v>
      </c>
      <c r="E74" s="203">
        <v>0.97499999999999998</v>
      </c>
      <c r="F74" s="203">
        <v>0.96899999999999997</v>
      </c>
      <c r="G74" s="203">
        <v>0.97499999999999998</v>
      </c>
      <c r="H74" s="203">
        <v>0.97499999999999998</v>
      </c>
    </row>
    <row r="75" spans="1:13" ht="21" customHeight="1" x14ac:dyDescent="0.2">
      <c r="A75" s="206">
        <v>728</v>
      </c>
      <c r="B75" s="267" t="s">
        <v>1380</v>
      </c>
      <c r="C75" s="268"/>
      <c r="D75" s="203">
        <v>1.016</v>
      </c>
      <c r="E75" s="203">
        <v>1.0149999999999999</v>
      </c>
      <c r="F75" s="203">
        <v>1.016</v>
      </c>
      <c r="G75" s="203">
        <v>1.014</v>
      </c>
      <c r="H75" s="203">
        <v>1.0149999999999999</v>
      </c>
    </row>
    <row r="76" spans="1:13" ht="21" customHeight="1" x14ac:dyDescent="0.2">
      <c r="A76" s="206">
        <v>730</v>
      </c>
      <c r="B76" s="267" t="s">
        <v>1377</v>
      </c>
      <c r="C76" s="268"/>
      <c r="D76" s="203">
        <v>1</v>
      </c>
      <c r="E76" s="203">
        <v>1</v>
      </c>
      <c r="F76" s="203">
        <v>1</v>
      </c>
      <c r="G76" s="203">
        <v>1</v>
      </c>
      <c r="H76" s="203">
        <v>1</v>
      </c>
    </row>
    <row r="77" spans="1:13" ht="21" customHeight="1" x14ac:dyDescent="0.2"/>
    <row r="78" spans="1:13" ht="21" customHeight="1" x14ac:dyDescent="0.2">
      <c r="A78" s="276" t="s">
        <v>1263</v>
      </c>
      <c r="B78" s="277"/>
      <c r="C78" s="277"/>
      <c r="D78" s="277"/>
      <c r="E78" s="277"/>
      <c r="F78" s="277"/>
      <c r="G78" s="277"/>
      <c r="H78" s="277"/>
    </row>
    <row r="79" spans="1:13" ht="21" customHeight="1" x14ac:dyDescent="0.2">
      <c r="A79" s="18" t="s">
        <v>1264</v>
      </c>
      <c r="B79" s="277" t="s">
        <v>59</v>
      </c>
      <c r="C79" s="277"/>
      <c r="D79" s="18" t="s">
        <v>54</v>
      </c>
      <c r="E79" s="18" t="s">
        <v>55</v>
      </c>
      <c r="F79" s="18" t="s">
        <v>56</v>
      </c>
      <c r="G79" s="18" t="s">
        <v>57</v>
      </c>
      <c r="H79" s="18" t="s">
        <v>721</v>
      </c>
    </row>
    <row r="80" spans="1:13" ht="21" customHeight="1" x14ac:dyDescent="0.2">
      <c r="A80" s="206">
        <v>1000</v>
      </c>
      <c r="B80" s="267" t="s">
        <v>1384</v>
      </c>
      <c r="C80" s="268"/>
      <c r="D80" s="203">
        <v>1</v>
      </c>
      <c r="E80" s="203">
        <v>1</v>
      </c>
      <c r="F80" s="203">
        <v>1</v>
      </c>
      <c r="G80" s="203">
        <v>1</v>
      </c>
      <c r="H80" s="203">
        <v>1</v>
      </c>
    </row>
    <row r="81" spans="1:8" ht="21" customHeight="1" x14ac:dyDescent="0.2">
      <c r="A81" s="206">
        <v>1027</v>
      </c>
      <c r="B81" s="267" t="s">
        <v>749</v>
      </c>
      <c r="C81" s="268"/>
      <c r="D81" s="203">
        <v>1.0049999999999999</v>
      </c>
      <c r="E81" s="203">
        <v>1.0029999999999999</v>
      </c>
      <c r="F81" s="203">
        <v>1.0049999999999999</v>
      </c>
      <c r="G81" s="203">
        <v>1.002</v>
      </c>
      <c r="H81" s="203">
        <v>1.002</v>
      </c>
    </row>
    <row r="82" spans="1:8" ht="21" customHeight="1" x14ac:dyDescent="0.2">
      <c r="A82" s="209">
        <v>1032</v>
      </c>
      <c r="B82" s="267" t="s">
        <v>1383</v>
      </c>
      <c r="C82" s="268"/>
      <c r="D82" s="203">
        <v>1.016</v>
      </c>
      <c r="E82" s="203">
        <v>1.014</v>
      </c>
      <c r="F82" s="203">
        <v>1.016</v>
      </c>
      <c r="G82" s="203">
        <v>1.0129999999999999</v>
      </c>
      <c r="H82" s="203">
        <v>1.012</v>
      </c>
    </row>
    <row r="83" spans="1:8" ht="21" customHeight="1" x14ac:dyDescent="0.2">
      <c r="A83" s="206">
        <v>1436</v>
      </c>
      <c r="B83" s="267" t="s">
        <v>1385</v>
      </c>
      <c r="C83" s="268"/>
      <c r="D83" s="203">
        <v>1.006</v>
      </c>
      <c r="E83" s="203">
        <v>1.0029999999999999</v>
      </c>
      <c r="F83" s="203">
        <v>1.004</v>
      </c>
      <c r="G83" s="203">
        <v>1.002</v>
      </c>
      <c r="H83" s="203">
        <v>1.004</v>
      </c>
    </row>
    <row r="84" spans="1:8" ht="21" customHeight="1" x14ac:dyDescent="0.2">
      <c r="A84" s="206">
        <v>1608</v>
      </c>
      <c r="B84" s="267" t="s">
        <v>1386</v>
      </c>
      <c r="C84" s="268"/>
      <c r="D84" s="203">
        <v>1</v>
      </c>
      <c r="E84" s="203">
        <v>0.999</v>
      </c>
      <c r="F84" s="203">
        <v>1</v>
      </c>
      <c r="G84" s="203">
        <v>1</v>
      </c>
      <c r="H84" s="203">
        <v>1</v>
      </c>
    </row>
    <row r="85" spans="1:8" ht="21" customHeight="1" x14ac:dyDescent="0.2">
      <c r="A85" s="206">
        <v>1625</v>
      </c>
      <c r="B85" s="267" t="s">
        <v>1387</v>
      </c>
      <c r="C85" s="268"/>
      <c r="D85" s="203">
        <v>1.008</v>
      </c>
      <c r="E85" s="203">
        <v>1.006</v>
      </c>
      <c r="F85" s="203">
        <v>1.0069999999999999</v>
      </c>
      <c r="G85" s="203">
        <v>1.004</v>
      </c>
      <c r="H85" s="203">
        <v>1.006</v>
      </c>
    </row>
    <row r="86" spans="1:8" ht="21" customHeight="1" x14ac:dyDescent="0.2">
      <c r="A86" s="209">
        <v>1630</v>
      </c>
      <c r="B86" s="210" t="s">
        <v>741</v>
      </c>
      <c r="C86" s="211"/>
      <c r="D86" s="203">
        <v>1.0029999999999999</v>
      </c>
      <c r="E86" s="203">
        <v>1.0029999999999999</v>
      </c>
      <c r="F86" s="203">
        <v>1.0029999999999999</v>
      </c>
      <c r="G86" s="203">
        <v>1.002</v>
      </c>
      <c r="H86" s="203">
        <v>1.0029999999999999</v>
      </c>
    </row>
    <row r="87" spans="1:8" ht="21" customHeight="1" x14ac:dyDescent="0.2">
      <c r="A87" s="193">
        <v>5538</v>
      </c>
      <c r="B87" s="267" t="s">
        <v>781</v>
      </c>
      <c r="C87" s="268"/>
      <c r="D87" s="203">
        <v>1.07</v>
      </c>
      <c r="E87" s="203">
        <v>1.0580000000000001</v>
      </c>
      <c r="F87" s="203">
        <v>1.0660000000000001</v>
      </c>
      <c r="G87" s="203">
        <v>1.0469999999999999</v>
      </c>
      <c r="H87" s="203">
        <v>1.0569999999999999</v>
      </c>
    </row>
    <row r="88" spans="1:8" ht="21" customHeight="1" x14ac:dyDescent="0.2">
      <c r="A88" s="206">
        <v>7167</v>
      </c>
      <c r="B88" s="267" t="s">
        <v>1381</v>
      </c>
      <c r="C88" s="268"/>
      <c r="D88" s="203">
        <v>1.006</v>
      </c>
      <c r="E88" s="203">
        <v>1.004</v>
      </c>
      <c r="F88" s="203">
        <v>1.0049999999999999</v>
      </c>
      <c r="G88" s="203">
        <v>1.002</v>
      </c>
      <c r="H88" s="203">
        <v>1.004</v>
      </c>
    </row>
    <row r="89" spans="1:8" ht="21" customHeight="1" x14ac:dyDescent="0.2">
      <c r="A89" s="206">
        <v>7198</v>
      </c>
      <c r="B89" s="267" t="s">
        <v>1382</v>
      </c>
      <c r="C89" s="268"/>
      <c r="D89" s="203">
        <v>1.0009999999999999</v>
      </c>
      <c r="E89" s="203">
        <v>1.0009999999999999</v>
      </c>
      <c r="F89" s="203">
        <v>1.0009999999999999</v>
      </c>
      <c r="G89" s="203">
        <v>1</v>
      </c>
      <c r="H89" s="203">
        <v>1</v>
      </c>
    </row>
  </sheetData>
  <mergeCells count="76">
    <mergeCell ref="B82:C82"/>
    <mergeCell ref="B38:C38"/>
    <mergeCell ref="B39:C39"/>
    <mergeCell ref="B88:C88"/>
    <mergeCell ref="B89:C89"/>
    <mergeCell ref="B41:C41"/>
    <mergeCell ref="B74:C74"/>
    <mergeCell ref="B75:C75"/>
    <mergeCell ref="B76:C76"/>
    <mergeCell ref="B85:C85"/>
    <mergeCell ref="B71:C71"/>
    <mergeCell ref="B72:C72"/>
    <mergeCell ref="B73:C73"/>
    <mergeCell ref="B84:C84"/>
    <mergeCell ref="A78:H78"/>
    <mergeCell ref="B79:C79"/>
    <mergeCell ref="B87:C87"/>
    <mergeCell ref="B80:C80"/>
    <mergeCell ref="B81:C81"/>
    <mergeCell ref="B62:C62"/>
    <mergeCell ref="B63:C63"/>
    <mergeCell ref="B64:C64"/>
    <mergeCell ref="B36:C36"/>
    <mergeCell ref="B37:C37"/>
    <mergeCell ref="B57:C57"/>
    <mergeCell ref="B58:C58"/>
    <mergeCell ref="B59:C59"/>
    <mergeCell ref="B60:C60"/>
    <mergeCell ref="B61:C61"/>
    <mergeCell ref="B52:C52"/>
    <mergeCell ref="B53:C53"/>
    <mergeCell ref="B54:C54"/>
    <mergeCell ref="B55:C55"/>
    <mergeCell ref="B56:C56"/>
    <mergeCell ref="B45:C45"/>
    <mergeCell ref="B46:C46"/>
    <mergeCell ref="B49:C49"/>
    <mergeCell ref="B50:C50"/>
    <mergeCell ref="B51:C51"/>
    <mergeCell ref="B28:C28"/>
    <mergeCell ref="B24:C24"/>
    <mergeCell ref="B83:C83"/>
    <mergeCell ref="B68:C68"/>
    <mergeCell ref="A66:H66"/>
    <mergeCell ref="A67:H67"/>
    <mergeCell ref="B69:C69"/>
    <mergeCell ref="B70:C70"/>
    <mergeCell ref="B30:C30"/>
    <mergeCell ref="B31:C31"/>
    <mergeCell ref="B32:C32"/>
    <mergeCell ref="B33:C33"/>
    <mergeCell ref="B34:C34"/>
    <mergeCell ref="B40:C40"/>
    <mergeCell ref="B42:C42"/>
    <mergeCell ref="B43:C43"/>
    <mergeCell ref="A2:E2"/>
    <mergeCell ref="A3:G3"/>
    <mergeCell ref="A4:B5"/>
    <mergeCell ref="A6:B6"/>
    <mergeCell ref="A7:B7"/>
    <mergeCell ref="B35:C35"/>
    <mergeCell ref="B44:C44"/>
    <mergeCell ref="B47:C47"/>
    <mergeCell ref="B48:C48"/>
    <mergeCell ref="A8:B8"/>
    <mergeCell ref="B29:C29"/>
    <mergeCell ref="A9:B9"/>
    <mergeCell ref="A10:B10"/>
    <mergeCell ref="C10:G10"/>
    <mergeCell ref="A12:G12"/>
    <mergeCell ref="A13:G13"/>
    <mergeCell ref="A22:H22"/>
    <mergeCell ref="A23:H23"/>
    <mergeCell ref="B25:C25"/>
    <mergeCell ref="B26:C26"/>
    <mergeCell ref="B27:C27"/>
  </mergeCells>
  <hyperlinks>
    <hyperlink ref="A1" location="Overview!A1" display="Back to Overview"/>
  </hyperlinks>
  <pageMargins left="0.70866141732283472" right="0.70866141732283472" top="0.74803149606299213" bottom="0.74803149606299213" header="0.31496062992125984" footer="0.31496062992125984"/>
  <pageSetup paperSize="9" scale="36" orientation="portrait" r:id="rId1"/>
  <headerFooter differentFirst="1" scaleWithDoc="0">
    <oddFooter>&amp;R&amp;P of &amp;N</oddFooter>
    <firstHeader>&amp;L
Annex 5 –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4"/>
  <sheetViews>
    <sheetView zoomScale="80" zoomScaleNormal="80" zoomScaleSheetLayoutView="100" workbookViewId="0">
      <selection activeCell="D9" sqref="D9"/>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7" ht="100.5" customHeight="1" x14ac:dyDescent="0.2">
      <c r="A1" s="11" t="s">
        <v>86</v>
      </c>
      <c r="B1" s="11"/>
      <c r="C1" s="11"/>
      <c r="D1" s="11"/>
      <c r="G1" s="281" t="s">
        <v>710</v>
      </c>
      <c r="H1" s="281"/>
      <c r="I1" s="148"/>
    </row>
    <row r="2" spans="1:17" ht="27.75" customHeight="1" x14ac:dyDescent="0.2">
      <c r="A2" s="278" t="s">
        <v>690</v>
      </c>
      <c r="B2" s="279"/>
      <c r="C2" s="279"/>
      <c r="D2" s="279"/>
      <c r="E2" s="279"/>
      <c r="F2" s="279"/>
      <c r="G2" s="279"/>
      <c r="H2" s="279"/>
      <c r="I2" s="279"/>
      <c r="J2" s="279"/>
      <c r="K2" s="279"/>
      <c r="L2" s="279"/>
      <c r="M2" s="279"/>
      <c r="N2" s="279"/>
      <c r="O2" s="280"/>
    </row>
    <row r="3" spans="1:17" ht="17.25" customHeight="1" x14ac:dyDescent="0.2">
      <c r="A3" s="11"/>
      <c r="B3" s="11"/>
      <c r="C3" s="11"/>
      <c r="D3" s="11"/>
      <c r="G3" s="20"/>
    </row>
    <row r="4" spans="1:17" s="8" customFormat="1" ht="25.5" customHeight="1" x14ac:dyDescent="0.2">
      <c r="A4" s="235" t="str">
        <f>Overview!B4&amp; " - Effective from "&amp;Overview!D4&amp;" - "&amp;Overview!E4&amp;" new designated EHV charges"</f>
        <v>London Power Networks - Effective from 1 April 2020 - Final new designated EHV charges</v>
      </c>
      <c r="B4" s="236"/>
      <c r="C4" s="236"/>
      <c r="D4" s="236"/>
      <c r="E4" s="236"/>
      <c r="F4" s="236"/>
      <c r="G4" s="236"/>
      <c r="H4" s="236"/>
      <c r="I4" s="236"/>
      <c r="J4" s="236"/>
      <c r="K4" s="236"/>
      <c r="L4" s="236"/>
      <c r="M4" s="236"/>
      <c r="N4" s="236"/>
      <c r="O4" s="237"/>
      <c r="P4" s="1"/>
    </row>
    <row r="5" spans="1:17" ht="69.75" customHeight="1" x14ac:dyDescent="0.2">
      <c r="A5" s="26" t="s">
        <v>479</v>
      </c>
      <c r="B5" s="26" t="s">
        <v>467</v>
      </c>
      <c r="C5" s="26" t="s">
        <v>468</v>
      </c>
      <c r="D5" s="26" t="s">
        <v>480</v>
      </c>
      <c r="E5" s="26" t="s">
        <v>467</v>
      </c>
      <c r="F5" s="26" t="s">
        <v>469</v>
      </c>
      <c r="G5" s="61" t="s">
        <v>179</v>
      </c>
      <c r="H5" s="61" t="s">
        <v>618</v>
      </c>
      <c r="I5" s="61" t="s">
        <v>482</v>
      </c>
      <c r="J5" s="61" t="s">
        <v>614</v>
      </c>
      <c r="K5" s="61" t="s">
        <v>676</v>
      </c>
      <c r="L5" s="61" t="s">
        <v>619</v>
      </c>
      <c r="M5" s="61" t="s">
        <v>483</v>
      </c>
      <c r="N5" s="61" t="s">
        <v>615</v>
      </c>
      <c r="O5" s="61" t="s">
        <v>677</v>
      </c>
    </row>
    <row r="6" spans="1:17" ht="22.5" customHeight="1" x14ac:dyDescent="0.2">
      <c r="A6" s="194" t="s">
        <v>1328</v>
      </c>
      <c r="B6" s="195">
        <v>824</v>
      </c>
      <c r="C6" s="196" t="s">
        <v>1329</v>
      </c>
      <c r="D6" s="39"/>
      <c r="E6" s="39"/>
      <c r="F6" s="39"/>
      <c r="G6" s="198" t="s">
        <v>1328</v>
      </c>
      <c r="H6" s="157">
        <v>8.2000000000000003E-2</v>
      </c>
      <c r="I6" s="168">
        <v>1077.49</v>
      </c>
      <c r="J6" s="158">
        <v>1.72</v>
      </c>
      <c r="K6" s="158">
        <v>1.72</v>
      </c>
      <c r="L6" s="159"/>
      <c r="M6" s="169"/>
      <c r="N6" s="160"/>
      <c r="O6" s="160"/>
    </row>
    <row r="7" spans="1:17" ht="22.5" customHeight="1" x14ac:dyDescent="0.2">
      <c r="A7" s="194"/>
      <c r="B7" s="195"/>
      <c r="C7" s="196"/>
      <c r="D7" s="39"/>
      <c r="E7" s="39"/>
      <c r="F7" s="39"/>
      <c r="G7" s="198"/>
      <c r="H7" s="157"/>
      <c r="I7" s="168"/>
      <c r="J7" s="158"/>
      <c r="K7" s="158"/>
      <c r="L7" s="159"/>
      <c r="M7" s="169"/>
      <c r="N7" s="160"/>
      <c r="O7" s="160"/>
    </row>
    <row r="8" spans="1:17" ht="22.5" customHeight="1" x14ac:dyDescent="0.2">
      <c r="A8" s="194"/>
      <c r="B8" s="195"/>
      <c r="C8" s="196"/>
      <c r="D8" s="39"/>
      <c r="E8" s="39"/>
      <c r="F8" s="39"/>
      <c r="G8" s="198"/>
      <c r="H8" s="157"/>
      <c r="I8" s="168"/>
      <c r="J8" s="158"/>
      <c r="K8" s="158"/>
      <c r="L8" s="159"/>
      <c r="M8" s="169"/>
      <c r="N8" s="160"/>
      <c r="O8" s="160"/>
    </row>
    <row r="9" spans="1:17" ht="22.5" customHeight="1" x14ac:dyDescent="0.2">
      <c r="A9" s="194"/>
      <c r="B9" s="195"/>
      <c r="C9" s="196"/>
      <c r="D9" s="39"/>
      <c r="E9" s="39"/>
      <c r="F9" s="39"/>
      <c r="G9" s="197"/>
      <c r="H9" s="157"/>
      <c r="I9" s="168"/>
      <c r="J9" s="158"/>
      <c r="K9" s="158"/>
      <c r="L9" s="159"/>
      <c r="M9" s="169"/>
      <c r="N9" s="160"/>
      <c r="O9" s="160"/>
    </row>
    <row r="10" spans="1:17" ht="22.5" customHeight="1" x14ac:dyDescent="0.2">
      <c r="A10" s="194"/>
      <c r="B10" s="195"/>
      <c r="C10" s="196"/>
      <c r="D10" s="39"/>
      <c r="E10" s="39"/>
      <c r="F10" s="39"/>
      <c r="G10" s="197"/>
      <c r="H10" s="157"/>
      <c r="I10" s="168"/>
      <c r="J10" s="158"/>
      <c r="K10" s="158"/>
      <c r="L10" s="159"/>
      <c r="M10" s="169"/>
      <c r="N10" s="160"/>
      <c r="O10" s="160"/>
    </row>
    <row r="11" spans="1:17" ht="22.5" customHeight="1" x14ac:dyDescent="0.2">
      <c r="A11" s="194"/>
      <c r="B11" s="195"/>
      <c r="C11" s="196"/>
      <c r="D11" s="39"/>
      <c r="E11" s="39"/>
      <c r="F11" s="39"/>
      <c r="G11" s="198"/>
      <c r="H11" s="157"/>
      <c r="I11" s="168"/>
      <c r="J11" s="158"/>
      <c r="K11" s="158"/>
      <c r="L11" s="159"/>
      <c r="M11" s="169"/>
      <c r="N11" s="160"/>
      <c r="O11" s="160"/>
    </row>
    <row r="12" spans="1:17" ht="22.5" customHeight="1" x14ac:dyDescent="0.2">
      <c r="A12" s="194"/>
      <c r="B12" s="195"/>
      <c r="C12" s="196"/>
      <c r="D12" s="39"/>
      <c r="E12" s="39"/>
      <c r="F12" s="39"/>
      <c r="G12" s="197"/>
      <c r="H12" s="157"/>
      <c r="I12" s="168"/>
      <c r="J12" s="158"/>
      <c r="K12" s="158"/>
      <c r="L12" s="159"/>
      <c r="M12" s="169"/>
      <c r="N12" s="160"/>
      <c r="O12" s="160"/>
    </row>
    <row r="14" spans="1:17" ht="27.75" customHeight="1" x14ac:dyDescent="0.2">
      <c r="A14" s="235" t="str">
        <f>Overview!B4&amp; " - Effective from "&amp;Overview!D4&amp;" - "&amp;Overview!E4&amp;" new designated EHV line loss factors"</f>
        <v>London Power Networks - Effective from 1 April 2020 - Final new designated EHV line loss factors</v>
      </c>
      <c r="B14" s="236"/>
      <c r="C14" s="236"/>
      <c r="D14" s="236"/>
      <c r="E14" s="236"/>
      <c r="F14" s="236"/>
      <c r="G14" s="236"/>
      <c r="H14" s="236"/>
      <c r="I14" s="236"/>
      <c r="J14" s="236"/>
      <c r="K14" s="236"/>
      <c r="L14" s="236"/>
      <c r="M14" s="236"/>
      <c r="N14" s="236"/>
      <c r="O14" s="236"/>
      <c r="P14" s="236"/>
      <c r="Q14" s="237"/>
    </row>
    <row r="15" spans="1:17" ht="62.25" customHeight="1" x14ac:dyDescent="0.2">
      <c r="A15" s="26" t="s">
        <v>479</v>
      </c>
      <c r="B15" s="26" t="s">
        <v>467</v>
      </c>
      <c r="C15" s="26" t="s">
        <v>468</v>
      </c>
      <c r="D15" s="26" t="s">
        <v>480</v>
      </c>
      <c r="E15" s="26" t="s">
        <v>467</v>
      </c>
      <c r="F15" s="26" t="s">
        <v>469</v>
      </c>
      <c r="G15" s="61" t="s">
        <v>179</v>
      </c>
      <c r="H15" s="146" t="s">
        <v>700</v>
      </c>
      <c r="I15" s="146" t="s">
        <v>701</v>
      </c>
      <c r="J15" s="146" t="s">
        <v>702</v>
      </c>
      <c r="K15" s="146" t="s">
        <v>703</v>
      </c>
      <c r="L15" s="146" t="s">
        <v>704</v>
      </c>
      <c r="M15" s="147" t="s">
        <v>705</v>
      </c>
      <c r="N15" s="147" t="s">
        <v>706</v>
      </c>
      <c r="O15" s="147" t="s">
        <v>707</v>
      </c>
      <c r="P15" s="147" t="s">
        <v>708</v>
      </c>
      <c r="Q15" s="147" t="s">
        <v>709</v>
      </c>
    </row>
    <row r="16" spans="1:17" ht="33.75" customHeight="1" x14ac:dyDescent="0.2">
      <c r="A16" s="194" t="s">
        <v>1328</v>
      </c>
      <c r="B16" s="195">
        <v>824</v>
      </c>
      <c r="C16" s="194" t="s">
        <v>1329</v>
      </c>
      <c r="D16" s="194"/>
      <c r="E16" s="194"/>
      <c r="F16" s="194"/>
      <c r="G16" s="194" t="s">
        <v>1328</v>
      </c>
      <c r="H16" s="143">
        <v>1.016</v>
      </c>
      <c r="I16" s="143">
        <v>1.0149999999999999</v>
      </c>
      <c r="J16" s="144">
        <v>1.016</v>
      </c>
      <c r="K16" s="144">
        <v>1.014</v>
      </c>
      <c r="L16" s="144">
        <v>1.0149999999999999</v>
      </c>
      <c r="M16" s="143">
        <v>1.016</v>
      </c>
      <c r="N16" s="143">
        <v>1.0149999999999999</v>
      </c>
      <c r="O16" s="144">
        <v>1.016</v>
      </c>
      <c r="P16" s="144">
        <v>1.014</v>
      </c>
      <c r="Q16" s="144">
        <v>1.0149999999999999</v>
      </c>
    </row>
    <row r="17" spans="1:17" ht="33.75" customHeight="1" x14ac:dyDescent="0.2">
      <c r="A17" s="194"/>
      <c r="B17" s="195"/>
      <c r="C17" s="194"/>
      <c r="D17" s="194"/>
      <c r="E17" s="194"/>
      <c r="F17" s="194"/>
      <c r="G17" s="194"/>
      <c r="H17" s="143"/>
      <c r="I17" s="143"/>
      <c r="J17" s="144"/>
      <c r="K17" s="144"/>
      <c r="L17" s="144"/>
      <c r="M17" s="199"/>
      <c r="N17" s="199"/>
      <c r="O17" s="199"/>
      <c r="P17" s="199"/>
      <c r="Q17" s="199"/>
    </row>
    <row r="18" spans="1:17" ht="33.75" customHeight="1" x14ac:dyDescent="0.2">
      <c r="A18" s="194"/>
      <c r="B18" s="195"/>
      <c r="C18" s="194"/>
      <c r="D18" s="194"/>
      <c r="E18" s="194"/>
      <c r="F18" s="194"/>
      <c r="G18" s="194"/>
      <c r="H18" s="143"/>
      <c r="I18" s="143"/>
      <c r="J18" s="144"/>
      <c r="K18" s="144"/>
      <c r="L18" s="144"/>
      <c r="M18" s="199"/>
      <c r="N18" s="199"/>
      <c r="O18" s="199"/>
      <c r="P18" s="199"/>
      <c r="Q18" s="199"/>
    </row>
    <row r="19" spans="1:17" ht="33.75" customHeight="1" x14ac:dyDescent="0.2">
      <c r="A19" s="194"/>
      <c r="B19" s="195"/>
      <c r="C19" s="194"/>
      <c r="D19" s="194"/>
      <c r="E19" s="194"/>
      <c r="F19" s="194"/>
      <c r="G19" s="194"/>
      <c r="H19" s="143"/>
      <c r="I19" s="143"/>
      <c r="J19" s="144"/>
      <c r="K19" s="144"/>
      <c r="L19" s="144"/>
      <c r="M19" s="199"/>
      <c r="N19" s="199"/>
      <c r="O19" s="199"/>
      <c r="P19" s="199"/>
      <c r="Q19" s="199"/>
    </row>
    <row r="20" spans="1:17" ht="33.75" customHeight="1" x14ac:dyDescent="0.2">
      <c r="A20" s="194"/>
      <c r="B20" s="195"/>
      <c r="C20" s="194"/>
      <c r="D20" s="194"/>
      <c r="E20" s="194"/>
      <c r="F20" s="194"/>
      <c r="G20" s="194"/>
      <c r="H20" s="143"/>
      <c r="I20" s="143"/>
      <c r="J20" s="144"/>
      <c r="K20" s="144"/>
      <c r="L20" s="144"/>
      <c r="M20" s="199"/>
      <c r="N20" s="199"/>
      <c r="O20" s="199"/>
      <c r="P20" s="199"/>
      <c r="Q20" s="199"/>
    </row>
    <row r="21" spans="1:17" ht="33.75" customHeight="1" x14ac:dyDescent="0.2">
      <c r="A21" s="194"/>
      <c r="B21" s="195"/>
      <c r="C21" s="194"/>
      <c r="D21" s="194"/>
      <c r="E21" s="194"/>
      <c r="F21" s="194"/>
      <c r="G21" s="194"/>
      <c r="H21" s="143"/>
      <c r="I21" s="143"/>
      <c r="J21" s="144"/>
      <c r="K21" s="144"/>
      <c r="L21" s="144"/>
      <c r="M21" s="199"/>
      <c r="N21" s="199"/>
      <c r="O21" s="199"/>
      <c r="P21" s="199"/>
      <c r="Q21" s="199"/>
    </row>
    <row r="22" spans="1:17" ht="33.75" customHeight="1" x14ac:dyDescent="0.2">
      <c r="A22" s="194"/>
      <c r="B22" s="195"/>
      <c r="C22" s="194"/>
      <c r="D22" s="194"/>
      <c r="E22" s="194"/>
      <c r="F22" s="194"/>
      <c r="G22" s="194"/>
      <c r="H22" s="143"/>
      <c r="I22" s="143"/>
      <c r="J22" s="144"/>
      <c r="K22" s="144"/>
      <c r="L22" s="144"/>
      <c r="M22" s="199"/>
      <c r="N22" s="199"/>
      <c r="O22" s="199"/>
      <c r="P22" s="199"/>
      <c r="Q22" s="199"/>
    </row>
    <row r="24" spans="1:17" ht="27.75" customHeight="1" x14ac:dyDescent="0.2">
      <c r="A24" s="1" t="s">
        <v>1323</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4:Q14"/>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E302"/>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16384" width="9.140625" style="1"/>
  </cols>
  <sheetData>
    <row r="1" spans="1:5" ht="27.75" customHeight="1" x14ac:dyDescent="0.2">
      <c r="A1" s="11" t="s">
        <v>86</v>
      </c>
      <c r="B1" s="2"/>
      <c r="C1" s="1"/>
      <c r="E1" s="3"/>
    </row>
    <row r="2" spans="1:5" s="8" customFormat="1" ht="22.5" customHeight="1" x14ac:dyDescent="0.2">
      <c r="A2" s="235" t="str">
        <f>Overview!B4&amp; " - Effective from "&amp;Overview!D4&amp;" - "&amp;Overview!E4&amp;" Nodal/Zonal charges"</f>
        <v>London Power Networks - Effective from 1 April 2020 - Final Nodal/Zonal charges</v>
      </c>
      <c r="B2" s="236"/>
      <c r="C2" s="236"/>
      <c r="D2" s="237"/>
    </row>
    <row r="3" spans="1:5" ht="60.75" customHeight="1" x14ac:dyDescent="0.2">
      <c r="A3" s="18" t="s">
        <v>478</v>
      </c>
      <c r="B3" s="18" t="s">
        <v>51</v>
      </c>
      <c r="C3" s="18" t="s">
        <v>454</v>
      </c>
      <c r="D3" s="18" t="s">
        <v>455</v>
      </c>
    </row>
    <row r="4" spans="1:5" ht="21.75" customHeight="1" x14ac:dyDescent="0.2">
      <c r="A4" s="190" t="s">
        <v>831</v>
      </c>
      <c r="B4" s="190" t="s">
        <v>1111</v>
      </c>
      <c r="C4" s="191">
        <v>3.3146913387041601</v>
      </c>
      <c r="D4" s="191">
        <v>2.7873642049904401E-2</v>
      </c>
    </row>
    <row r="5" spans="1:5" ht="21.75" customHeight="1" x14ac:dyDescent="0.2">
      <c r="A5" s="190" t="s">
        <v>832</v>
      </c>
      <c r="B5" s="190" t="s">
        <v>1111</v>
      </c>
      <c r="C5" s="191">
        <v>1.1978340239163301</v>
      </c>
      <c r="D5" s="191">
        <v>6.3661797280003497E-3</v>
      </c>
    </row>
    <row r="6" spans="1:5" ht="21.75" customHeight="1" x14ac:dyDescent="0.2">
      <c r="A6" s="190" t="s">
        <v>833</v>
      </c>
      <c r="B6" s="190" t="s">
        <v>1111</v>
      </c>
      <c r="C6" s="191">
        <v>5.3683069959997702</v>
      </c>
      <c r="D6" s="191">
        <v>3.1627939291619001E-2</v>
      </c>
    </row>
    <row r="7" spans="1:5" ht="21.75" customHeight="1" x14ac:dyDescent="0.2">
      <c r="A7" s="190" t="s">
        <v>834</v>
      </c>
      <c r="B7" s="190" t="s">
        <v>1112</v>
      </c>
      <c r="C7" s="191">
        <v>0</v>
      </c>
      <c r="D7" s="191">
        <v>0</v>
      </c>
    </row>
    <row r="8" spans="1:5" ht="21.75" customHeight="1" x14ac:dyDescent="0.2">
      <c r="A8" s="190" t="s">
        <v>835</v>
      </c>
      <c r="B8" s="190" t="s">
        <v>1113</v>
      </c>
      <c r="C8" s="191">
        <v>0</v>
      </c>
      <c r="D8" s="191">
        <v>0</v>
      </c>
    </row>
    <row r="9" spans="1:5" ht="21.75" customHeight="1" x14ac:dyDescent="0.2">
      <c r="A9" s="190" t="s">
        <v>836</v>
      </c>
      <c r="B9" s="190" t="s">
        <v>1113</v>
      </c>
      <c r="C9" s="191">
        <v>0</v>
      </c>
      <c r="D9" s="191">
        <v>0</v>
      </c>
    </row>
    <row r="10" spans="1:5" ht="21.75" customHeight="1" x14ac:dyDescent="0.2">
      <c r="A10" s="190" t="s">
        <v>837</v>
      </c>
      <c r="B10" s="190" t="s">
        <v>1114</v>
      </c>
      <c r="C10" s="191">
        <v>2.4753576893350702</v>
      </c>
      <c r="D10" s="191">
        <v>9.2125320145024805</v>
      </c>
    </row>
    <row r="11" spans="1:5" ht="21.75" customHeight="1" x14ac:dyDescent="0.2">
      <c r="A11" s="190" t="s">
        <v>838</v>
      </c>
      <c r="B11" s="190" t="s">
        <v>1114</v>
      </c>
      <c r="C11" s="191">
        <v>2.8035325968882701</v>
      </c>
      <c r="D11" s="191">
        <v>9.4143254747993108</v>
      </c>
    </row>
    <row r="12" spans="1:5" ht="21.75" customHeight="1" x14ac:dyDescent="0.2">
      <c r="A12" s="190" t="s">
        <v>839</v>
      </c>
      <c r="B12" s="190" t="s">
        <v>1115</v>
      </c>
      <c r="C12" s="191">
        <v>1.5815225641307499E-2</v>
      </c>
      <c r="D12" s="191">
        <v>0.41660652599327602</v>
      </c>
    </row>
    <row r="13" spans="1:5" ht="21.75" customHeight="1" x14ac:dyDescent="0.2">
      <c r="A13" s="190" t="s">
        <v>840</v>
      </c>
      <c r="B13" s="190" t="s">
        <v>1115</v>
      </c>
      <c r="C13" s="191">
        <v>0</v>
      </c>
      <c r="D13" s="191">
        <v>-5.52561555152861E-2</v>
      </c>
    </row>
    <row r="14" spans="1:5" ht="21.75" customHeight="1" x14ac:dyDescent="0.2">
      <c r="A14" s="190" t="s">
        <v>841</v>
      </c>
      <c r="B14" s="190" t="s">
        <v>1116</v>
      </c>
      <c r="C14" s="191">
        <v>0</v>
      </c>
      <c r="D14" s="191">
        <v>0</v>
      </c>
    </row>
    <row r="15" spans="1:5" ht="21.75" customHeight="1" x14ac:dyDescent="0.2">
      <c r="A15" s="190" t="s">
        <v>842</v>
      </c>
      <c r="B15" s="190" t="s">
        <v>1116</v>
      </c>
      <c r="C15" s="191">
        <v>0</v>
      </c>
      <c r="D15" s="191">
        <v>0</v>
      </c>
    </row>
    <row r="16" spans="1:5" ht="21.75" customHeight="1" x14ac:dyDescent="0.2">
      <c r="A16" s="190" t="s">
        <v>843</v>
      </c>
      <c r="B16" s="190" t="s">
        <v>1116</v>
      </c>
      <c r="C16" s="191">
        <v>0</v>
      </c>
      <c r="D16" s="191">
        <v>0</v>
      </c>
    </row>
    <row r="17" spans="1:4" ht="21.75" customHeight="1" x14ac:dyDescent="0.2">
      <c r="A17" s="190" t="s">
        <v>844</v>
      </c>
      <c r="B17" s="190" t="s">
        <v>1116</v>
      </c>
      <c r="C17" s="191">
        <v>0</v>
      </c>
      <c r="D17" s="191">
        <v>0</v>
      </c>
    </row>
    <row r="18" spans="1:4" ht="21.75" customHeight="1" x14ac:dyDescent="0.2">
      <c r="A18" s="190" t="s">
        <v>845</v>
      </c>
      <c r="B18" s="190" t="s">
        <v>1116</v>
      </c>
      <c r="C18" s="191">
        <v>0</v>
      </c>
      <c r="D18" s="191">
        <v>0</v>
      </c>
    </row>
    <row r="19" spans="1:4" ht="21.75" customHeight="1" x14ac:dyDescent="0.2">
      <c r="A19" s="190" t="s">
        <v>846</v>
      </c>
      <c r="B19" s="190" t="s">
        <v>1116</v>
      </c>
      <c r="C19" s="191">
        <v>0</v>
      </c>
      <c r="D19" s="191">
        <v>0</v>
      </c>
    </row>
    <row r="20" spans="1:4" ht="21.75" customHeight="1" x14ac:dyDescent="0.2">
      <c r="A20" s="190" t="s">
        <v>847</v>
      </c>
      <c r="B20" s="190" t="s">
        <v>1117</v>
      </c>
      <c r="C20" s="191">
        <v>0</v>
      </c>
      <c r="D20" s="191">
        <v>2.5624443154917499E-2</v>
      </c>
    </row>
    <row r="21" spans="1:4" ht="21.75" customHeight="1" x14ac:dyDescent="0.2">
      <c r="A21" s="190" t="s">
        <v>848</v>
      </c>
      <c r="B21" s="190" t="s">
        <v>1118</v>
      </c>
      <c r="C21" s="191">
        <v>4.3396726519598902E-2</v>
      </c>
      <c r="D21" s="191">
        <v>0.118086413979397</v>
      </c>
    </row>
    <row r="22" spans="1:4" ht="21.75" customHeight="1" x14ac:dyDescent="0.2">
      <c r="A22" s="190" t="s">
        <v>849</v>
      </c>
      <c r="B22" s="190" t="s">
        <v>1118</v>
      </c>
      <c r="C22" s="191">
        <v>0.18701571362212899</v>
      </c>
      <c r="D22" s="191">
        <v>1.0605999276368701</v>
      </c>
    </row>
    <row r="23" spans="1:4" ht="21.75" customHeight="1" x14ac:dyDescent="0.2">
      <c r="A23" s="190" t="s">
        <v>850</v>
      </c>
      <c r="B23" s="190" t="s">
        <v>1119</v>
      </c>
      <c r="C23" s="191">
        <v>0.64330477345236303</v>
      </c>
      <c r="D23" s="191">
        <v>0.566716816598829</v>
      </c>
    </row>
    <row r="24" spans="1:4" ht="21.75" customHeight="1" x14ac:dyDescent="0.2">
      <c r="A24" s="190" t="s">
        <v>851</v>
      </c>
      <c r="B24" s="190" t="s">
        <v>1120</v>
      </c>
      <c r="C24" s="191">
        <v>0.64330288310820505</v>
      </c>
      <c r="D24" s="191">
        <v>0.56652356262796999</v>
      </c>
    </row>
    <row r="25" spans="1:4" ht="21.75" customHeight="1" x14ac:dyDescent="0.2">
      <c r="A25" s="190" t="s">
        <v>852</v>
      </c>
      <c r="B25" s="190" t="s">
        <v>1121</v>
      </c>
      <c r="C25" s="191">
        <v>5.3632605483827801E-12</v>
      </c>
      <c r="D25" s="191">
        <v>0</v>
      </c>
    </row>
    <row r="26" spans="1:4" ht="21.75" customHeight="1" x14ac:dyDescent="0.2">
      <c r="A26" s="190" t="s">
        <v>853</v>
      </c>
      <c r="B26" s="190" t="s">
        <v>1122</v>
      </c>
      <c r="C26" s="191">
        <v>0.56931638679503405</v>
      </c>
      <c r="D26" s="191">
        <v>3.6204146726862598</v>
      </c>
    </row>
    <row r="27" spans="1:4" ht="21.75" customHeight="1" x14ac:dyDescent="0.2">
      <c r="A27" s="190" t="s">
        <v>854</v>
      </c>
      <c r="B27" s="190" t="s">
        <v>1122</v>
      </c>
      <c r="C27" s="191">
        <v>0</v>
      </c>
      <c r="D27" s="191">
        <v>0</v>
      </c>
    </row>
    <row r="28" spans="1:4" ht="21.75" customHeight="1" x14ac:dyDescent="0.2">
      <c r="A28" s="190" t="s">
        <v>855</v>
      </c>
      <c r="B28" s="190" t="s">
        <v>1122</v>
      </c>
      <c r="C28" s="191">
        <v>1.4198958463892</v>
      </c>
      <c r="D28" s="191">
        <v>-4.30374502121929E-2</v>
      </c>
    </row>
    <row r="29" spans="1:4" ht="21.75" customHeight="1" x14ac:dyDescent="0.2">
      <c r="A29" s="190" t="s">
        <v>856</v>
      </c>
      <c r="B29" s="190" t="s">
        <v>1122</v>
      </c>
      <c r="C29" s="191">
        <v>0.58350533763445001</v>
      </c>
      <c r="D29" s="191">
        <v>0.18230253112234299</v>
      </c>
    </row>
    <row r="30" spans="1:4" ht="21.75" customHeight="1" x14ac:dyDescent="0.2">
      <c r="A30" s="190" t="s">
        <v>857</v>
      </c>
      <c r="B30" s="190" t="s">
        <v>1123</v>
      </c>
      <c r="C30" s="191">
        <v>2.70729506566123</v>
      </c>
      <c r="D30" s="191">
        <v>5.9679225361127104</v>
      </c>
    </row>
    <row r="31" spans="1:4" ht="21.75" customHeight="1" x14ac:dyDescent="0.2">
      <c r="A31" s="190" t="s">
        <v>858</v>
      </c>
      <c r="B31" s="190" t="s">
        <v>1123</v>
      </c>
      <c r="C31" s="191">
        <v>1.5555912413292601</v>
      </c>
      <c r="D31" s="191">
        <v>5.2777155175291899</v>
      </c>
    </row>
    <row r="32" spans="1:4" ht="21.75" customHeight="1" x14ac:dyDescent="0.2">
      <c r="A32" s="190" t="s">
        <v>859</v>
      </c>
      <c r="B32" s="190" t="s">
        <v>1124</v>
      </c>
      <c r="C32" s="191">
        <v>0.64068195523493698</v>
      </c>
      <c r="D32" s="191">
        <v>0.65199022437225695</v>
      </c>
    </row>
    <row r="33" spans="1:4" ht="21.75" customHeight="1" x14ac:dyDescent="0.2">
      <c r="A33" s="190" t="s">
        <v>860</v>
      </c>
      <c r="B33" s="190" t="s">
        <v>1124</v>
      </c>
      <c r="C33" s="191">
        <v>0.64066385159601102</v>
      </c>
      <c r="D33" s="191">
        <v>0.65007369761675704</v>
      </c>
    </row>
    <row r="34" spans="1:4" ht="21.75" customHeight="1" x14ac:dyDescent="0.2">
      <c r="A34" s="190" t="s">
        <v>861</v>
      </c>
      <c r="B34" s="190" t="s">
        <v>1116</v>
      </c>
      <c r="C34" s="191">
        <v>0</v>
      </c>
      <c r="D34" s="191">
        <v>0</v>
      </c>
    </row>
    <row r="35" spans="1:4" ht="21.75" customHeight="1" x14ac:dyDescent="0.2">
      <c r="A35" s="190" t="s">
        <v>862</v>
      </c>
      <c r="B35" s="190" t="s">
        <v>1116</v>
      </c>
      <c r="C35" s="191">
        <v>0</v>
      </c>
      <c r="D35" s="191">
        <v>0</v>
      </c>
    </row>
    <row r="36" spans="1:4" ht="21.75" customHeight="1" x14ac:dyDescent="0.2">
      <c r="A36" s="190" t="s">
        <v>863</v>
      </c>
      <c r="B36" s="190" t="s">
        <v>1125</v>
      </c>
      <c r="C36" s="191">
        <v>0</v>
      </c>
      <c r="D36" s="191">
        <v>0</v>
      </c>
    </row>
    <row r="37" spans="1:4" ht="21.75" customHeight="1" x14ac:dyDescent="0.2">
      <c r="A37" s="190" t="s">
        <v>1270</v>
      </c>
      <c r="B37" s="190" t="s">
        <v>1125</v>
      </c>
      <c r="C37" s="191">
        <v>0</v>
      </c>
      <c r="D37" s="191">
        <v>0</v>
      </c>
    </row>
    <row r="38" spans="1:4" ht="21.75" customHeight="1" x14ac:dyDescent="0.2">
      <c r="A38" s="190" t="s">
        <v>864</v>
      </c>
      <c r="B38" s="190" t="s">
        <v>1126</v>
      </c>
      <c r="C38" s="191">
        <v>4.8679337665280897</v>
      </c>
      <c r="D38" s="191">
        <v>2.31462698746477</v>
      </c>
    </row>
    <row r="39" spans="1:4" ht="21.75" customHeight="1" x14ac:dyDescent="0.2">
      <c r="A39" s="190" t="s">
        <v>865</v>
      </c>
      <c r="B39" s="190" t="s">
        <v>1126</v>
      </c>
      <c r="C39" s="191">
        <v>0.25946520161509301</v>
      </c>
      <c r="D39" s="191">
        <v>1.0495422979950999</v>
      </c>
    </row>
    <row r="40" spans="1:4" ht="21.75" customHeight="1" x14ac:dyDescent="0.2">
      <c r="A40" s="190" t="s">
        <v>866</v>
      </c>
      <c r="B40" s="190" t="s">
        <v>1127</v>
      </c>
      <c r="C40" s="191">
        <v>4.7527513250024702</v>
      </c>
      <c r="D40" s="191">
        <v>1.1348827722879999</v>
      </c>
    </row>
    <row r="41" spans="1:4" ht="21.75" customHeight="1" x14ac:dyDescent="0.2">
      <c r="A41" s="190" t="s">
        <v>867</v>
      </c>
      <c r="B41" s="190" t="s">
        <v>1127</v>
      </c>
      <c r="C41" s="191">
        <v>6.2830234285094502</v>
      </c>
      <c r="D41" s="191">
        <v>0.33698760719269699</v>
      </c>
    </row>
    <row r="42" spans="1:4" ht="21.75" customHeight="1" x14ac:dyDescent="0.2">
      <c r="A42" s="190" t="s">
        <v>868</v>
      </c>
      <c r="B42" s="190" t="s">
        <v>1128</v>
      </c>
      <c r="C42" s="191">
        <v>0.70368467555572001</v>
      </c>
      <c r="D42" s="191">
        <v>7.7531857880006401</v>
      </c>
    </row>
    <row r="43" spans="1:4" ht="21.75" customHeight="1" x14ac:dyDescent="0.2">
      <c r="A43" s="190" t="s">
        <v>869</v>
      </c>
      <c r="B43" s="190" t="s">
        <v>1128</v>
      </c>
      <c r="C43" s="191">
        <v>0.28759360620314101</v>
      </c>
      <c r="D43" s="191">
        <v>4.3328394225994398</v>
      </c>
    </row>
    <row r="44" spans="1:4" ht="21.75" customHeight="1" x14ac:dyDescent="0.2">
      <c r="A44" s="190" t="s">
        <v>870</v>
      </c>
      <c r="B44" s="190" t="s">
        <v>1129</v>
      </c>
      <c r="C44" s="191">
        <v>5.5010990488244798E-3</v>
      </c>
      <c r="D44" s="191">
        <v>-0.33516155345350501</v>
      </c>
    </row>
    <row r="45" spans="1:4" ht="21.75" customHeight="1" x14ac:dyDescent="0.2">
      <c r="A45" s="190" t="s">
        <v>871</v>
      </c>
      <c r="B45" s="190" t="s">
        <v>1129</v>
      </c>
      <c r="C45" s="191">
        <v>2.99050203464153E-3</v>
      </c>
      <c r="D45" s="191">
        <v>-0.68274049759961697</v>
      </c>
    </row>
    <row r="46" spans="1:4" ht="21.75" customHeight="1" x14ac:dyDescent="0.2">
      <c r="A46" s="190" t="s">
        <v>872</v>
      </c>
      <c r="B46" s="190" t="s">
        <v>1130</v>
      </c>
      <c r="C46" s="191">
        <v>0</v>
      </c>
      <c r="D46" s="191">
        <v>0</v>
      </c>
    </row>
    <row r="47" spans="1:4" ht="21.75" customHeight="1" x14ac:dyDescent="0.2">
      <c r="A47" s="190" t="s">
        <v>873</v>
      </c>
      <c r="B47" s="190" t="s">
        <v>1131</v>
      </c>
      <c r="C47" s="191">
        <v>2.1453067102997001</v>
      </c>
      <c r="D47" s="191">
        <v>13.8197281594159</v>
      </c>
    </row>
    <row r="48" spans="1:4" ht="21.75" customHeight="1" x14ac:dyDescent="0.2">
      <c r="A48" s="190" t="s">
        <v>874</v>
      </c>
      <c r="B48" s="190" t="s">
        <v>1131</v>
      </c>
      <c r="C48" s="191">
        <v>2.7476987812956901</v>
      </c>
      <c r="D48" s="191">
        <v>15.952190284861199</v>
      </c>
    </row>
    <row r="49" spans="1:4" ht="21.75" customHeight="1" x14ac:dyDescent="0.2">
      <c r="A49" s="190" t="s">
        <v>875</v>
      </c>
      <c r="B49" s="190" t="s">
        <v>1132</v>
      </c>
      <c r="C49" s="191">
        <v>1.88116288740245</v>
      </c>
      <c r="D49" s="191">
        <v>2.0515637093421901</v>
      </c>
    </row>
    <row r="50" spans="1:4" ht="21.75" customHeight="1" x14ac:dyDescent="0.2">
      <c r="A50" s="190" t="s">
        <v>876</v>
      </c>
      <c r="B50" s="190" t="s">
        <v>1132</v>
      </c>
      <c r="C50" s="191">
        <v>0.81686332812136597</v>
      </c>
      <c r="D50" s="191">
        <v>1.7475809334825601</v>
      </c>
    </row>
    <row r="51" spans="1:4" ht="21.75" customHeight="1" x14ac:dyDescent="0.2">
      <c r="A51" s="190" t="s">
        <v>877</v>
      </c>
      <c r="B51" s="190" t="s">
        <v>1133</v>
      </c>
      <c r="C51" s="191">
        <v>2.8385967137060102</v>
      </c>
      <c r="D51" s="191">
        <v>9.4170550340201107</v>
      </c>
    </row>
    <row r="52" spans="1:4" ht="21.75" customHeight="1" x14ac:dyDescent="0.2">
      <c r="A52" s="190" t="s">
        <v>878</v>
      </c>
      <c r="B52" s="190" t="s">
        <v>1133</v>
      </c>
      <c r="C52" s="191">
        <v>2.7237221694523499</v>
      </c>
      <c r="D52" s="191">
        <v>9.2469101821522806</v>
      </c>
    </row>
    <row r="53" spans="1:4" ht="21.75" customHeight="1" x14ac:dyDescent="0.2">
      <c r="A53" s="190" t="s">
        <v>879</v>
      </c>
      <c r="B53" s="190" t="s">
        <v>1134</v>
      </c>
      <c r="C53" s="191">
        <v>0.64084876376957101</v>
      </c>
      <c r="D53" s="191">
        <v>0.67091313301799604</v>
      </c>
    </row>
    <row r="54" spans="1:4" ht="21.75" customHeight="1" x14ac:dyDescent="0.2">
      <c r="A54" s="190" t="s">
        <v>880</v>
      </c>
      <c r="B54" s="190" t="s">
        <v>1135</v>
      </c>
      <c r="C54" s="191">
        <v>0.64084356948857402</v>
      </c>
      <c r="D54" s="191">
        <v>0.67131535752017601</v>
      </c>
    </row>
    <row r="55" spans="1:4" ht="21.75" customHeight="1" x14ac:dyDescent="0.2">
      <c r="A55" s="190" t="s">
        <v>881</v>
      </c>
      <c r="B55" s="190" t="s">
        <v>1136</v>
      </c>
      <c r="C55" s="191">
        <v>4.1554958346603703</v>
      </c>
      <c r="D55" s="191">
        <v>0.70234671927623005</v>
      </c>
    </row>
    <row r="56" spans="1:4" ht="21.75" customHeight="1" x14ac:dyDescent="0.2">
      <c r="A56" s="190" t="s">
        <v>882</v>
      </c>
      <c r="B56" s="190" t="s">
        <v>1137</v>
      </c>
      <c r="C56" s="191">
        <v>0.54548280794531101</v>
      </c>
      <c r="D56" s="191">
        <v>1.09563960208848</v>
      </c>
    </row>
    <row r="57" spans="1:4" ht="21.75" customHeight="1" x14ac:dyDescent="0.2">
      <c r="A57" s="190" t="s">
        <v>883</v>
      </c>
      <c r="B57" s="190" t="s">
        <v>1137</v>
      </c>
      <c r="C57" s="191">
        <v>0.73824740800358901</v>
      </c>
      <c r="D57" s="191">
        <v>1.3502064511798999</v>
      </c>
    </row>
    <row r="58" spans="1:4" ht="21.75" customHeight="1" x14ac:dyDescent="0.2">
      <c r="A58" s="190" t="s">
        <v>884</v>
      </c>
      <c r="B58" s="190" t="s">
        <v>1138</v>
      </c>
      <c r="C58" s="191">
        <v>1.8198302566731099</v>
      </c>
      <c r="D58" s="191">
        <v>2.7864625246191101</v>
      </c>
    </row>
    <row r="59" spans="1:4" ht="21.75" customHeight="1" x14ac:dyDescent="0.2">
      <c r="A59" s="190" t="s">
        <v>885</v>
      </c>
      <c r="B59" s="190" t="s">
        <v>1138</v>
      </c>
      <c r="C59" s="191">
        <v>0.49200326089236901</v>
      </c>
      <c r="D59" s="191">
        <v>2.32316750193336</v>
      </c>
    </row>
    <row r="60" spans="1:4" ht="21.75" customHeight="1" x14ac:dyDescent="0.2">
      <c r="A60" s="190" t="s">
        <v>886</v>
      </c>
      <c r="B60" s="190" t="s">
        <v>1139</v>
      </c>
      <c r="C60" s="191">
        <v>4.0372244064773001E-2</v>
      </c>
      <c r="D60" s="191">
        <v>1.9490659086685001E-13</v>
      </c>
    </row>
    <row r="61" spans="1:4" ht="21.75" customHeight="1" x14ac:dyDescent="0.2">
      <c r="A61" s="190" t="s">
        <v>887</v>
      </c>
      <c r="B61" s="190" t="s">
        <v>1139</v>
      </c>
      <c r="C61" s="191">
        <v>4.0372193468349103E-2</v>
      </c>
      <c r="D61" s="191">
        <v>1.9657886429769201E-13</v>
      </c>
    </row>
    <row r="62" spans="1:4" ht="21.75" customHeight="1" x14ac:dyDescent="0.2">
      <c r="A62" s="190" t="s">
        <v>888</v>
      </c>
      <c r="B62" s="190" t="s">
        <v>1140</v>
      </c>
      <c r="C62" s="191">
        <v>0</v>
      </c>
      <c r="D62" s="191">
        <v>0</v>
      </c>
    </row>
    <row r="63" spans="1:4" ht="21.75" customHeight="1" x14ac:dyDescent="0.2">
      <c r="A63" s="190" t="s">
        <v>1271</v>
      </c>
      <c r="B63" s="190" t="s">
        <v>1293</v>
      </c>
      <c r="C63" s="191">
        <v>0</v>
      </c>
      <c r="D63" s="191">
        <v>0</v>
      </c>
    </row>
    <row r="64" spans="1:4" ht="21.75" customHeight="1" x14ac:dyDescent="0.2">
      <c r="A64" s="190" t="s">
        <v>889</v>
      </c>
      <c r="B64" s="190" t="s">
        <v>1141</v>
      </c>
      <c r="C64" s="191">
        <v>5.2157272347315997</v>
      </c>
      <c r="D64" s="191">
        <v>6.7486183635492498</v>
      </c>
    </row>
    <row r="65" spans="1:4" ht="21.75" customHeight="1" x14ac:dyDescent="0.2">
      <c r="A65" s="190" t="s">
        <v>890</v>
      </c>
      <c r="B65" s="190" t="s">
        <v>1141</v>
      </c>
      <c r="C65" s="191">
        <v>1.47887104452189</v>
      </c>
      <c r="D65" s="191">
        <v>1.06638247462105</v>
      </c>
    </row>
    <row r="66" spans="1:4" ht="21.75" customHeight="1" x14ac:dyDescent="0.2">
      <c r="A66" s="190" t="s">
        <v>891</v>
      </c>
      <c r="B66" s="190" t="s">
        <v>1142</v>
      </c>
      <c r="C66" s="191">
        <v>0</v>
      </c>
      <c r="D66" s="191">
        <v>0</v>
      </c>
    </row>
    <row r="67" spans="1:4" ht="21.75" customHeight="1" x14ac:dyDescent="0.2">
      <c r="A67" s="190" t="s">
        <v>892</v>
      </c>
      <c r="B67" s="190" t="s">
        <v>1142</v>
      </c>
      <c r="C67" s="191">
        <v>0</v>
      </c>
      <c r="D67" s="191">
        <v>0</v>
      </c>
    </row>
    <row r="68" spans="1:4" ht="21.75" customHeight="1" x14ac:dyDescent="0.2">
      <c r="A68" s="190" t="s">
        <v>893</v>
      </c>
      <c r="B68" s="190" t="s">
        <v>1143</v>
      </c>
      <c r="C68" s="191">
        <v>2.2982997906887199</v>
      </c>
      <c r="D68" s="191">
        <v>7.5642970057909797E-4</v>
      </c>
    </row>
    <row r="69" spans="1:4" ht="21.75" customHeight="1" x14ac:dyDescent="0.2">
      <c r="A69" s="190" t="s">
        <v>894</v>
      </c>
      <c r="B69" s="190" t="s">
        <v>1144</v>
      </c>
      <c r="C69" s="191">
        <v>0</v>
      </c>
      <c r="D69" s="191">
        <v>0</v>
      </c>
    </row>
    <row r="70" spans="1:4" ht="21.75" customHeight="1" x14ac:dyDescent="0.2">
      <c r="A70" s="190" t="s">
        <v>895</v>
      </c>
      <c r="B70" s="190" t="s">
        <v>1145</v>
      </c>
      <c r="C70" s="191">
        <v>0</v>
      </c>
      <c r="D70" s="191">
        <v>0</v>
      </c>
    </row>
    <row r="71" spans="1:4" ht="21.75" customHeight="1" x14ac:dyDescent="0.2">
      <c r="A71" s="190" t="s">
        <v>896</v>
      </c>
      <c r="B71" s="190" t="s">
        <v>1146</v>
      </c>
      <c r="C71" s="191">
        <v>1.24410459848536</v>
      </c>
      <c r="D71" s="191">
        <v>0.22301413921851099</v>
      </c>
    </row>
    <row r="72" spans="1:4" ht="21.75" customHeight="1" x14ac:dyDescent="0.2">
      <c r="A72" s="190" t="s">
        <v>897</v>
      </c>
      <c r="B72" s="190" t="s">
        <v>1147</v>
      </c>
      <c r="C72" s="191">
        <v>2.4899559264258802</v>
      </c>
      <c r="D72" s="191">
        <v>1.9736217621751799</v>
      </c>
    </row>
    <row r="73" spans="1:4" ht="21.75" customHeight="1" x14ac:dyDescent="0.2">
      <c r="A73" s="190" t="s">
        <v>898</v>
      </c>
      <c r="B73" s="190" t="s">
        <v>1147</v>
      </c>
      <c r="C73" s="191">
        <v>0.71685446651086304</v>
      </c>
      <c r="D73" s="191">
        <v>1.81285197482695</v>
      </c>
    </row>
    <row r="74" spans="1:4" ht="21.75" customHeight="1" x14ac:dyDescent="0.2">
      <c r="A74" s="190" t="s">
        <v>899</v>
      </c>
      <c r="B74" s="190" t="s">
        <v>1148</v>
      </c>
      <c r="C74" s="191">
        <v>2.7109139815074701</v>
      </c>
      <c r="D74" s="191">
        <v>4.5678378997552196</v>
      </c>
    </row>
    <row r="75" spans="1:4" ht="21.75" customHeight="1" x14ac:dyDescent="0.2">
      <c r="A75" s="190" t="s">
        <v>900</v>
      </c>
      <c r="B75" s="190" t="s">
        <v>1148</v>
      </c>
      <c r="C75" s="191">
        <v>3.15965396767296</v>
      </c>
      <c r="D75" s="191">
        <v>4.91023112891203</v>
      </c>
    </row>
    <row r="76" spans="1:4" ht="21.75" customHeight="1" x14ac:dyDescent="0.2">
      <c r="A76" s="190" t="s">
        <v>901</v>
      </c>
      <c r="B76" s="190" t="s">
        <v>1149</v>
      </c>
      <c r="C76" s="191">
        <v>7.4560034815611903E-3</v>
      </c>
      <c r="D76" s="191">
        <v>-0.18250011030673899</v>
      </c>
    </row>
    <row r="77" spans="1:4" ht="21.75" customHeight="1" x14ac:dyDescent="0.2">
      <c r="A77" s="190" t="s">
        <v>902</v>
      </c>
      <c r="B77" s="190" t="s">
        <v>1149</v>
      </c>
      <c r="C77" s="191">
        <v>0.26485684446979002</v>
      </c>
      <c r="D77" s="191">
        <v>-0.175650320015803</v>
      </c>
    </row>
    <row r="78" spans="1:4" ht="21.75" customHeight="1" x14ac:dyDescent="0.2">
      <c r="A78" s="190" t="s">
        <v>903</v>
      </c>
      <c r="B78" s="190" t="s">
        <v>1149</v>
      </c>
      <c r="C78" s="191">
        <v>9.0261551144281596E-2</v>
      </c>
      <c r="D78" s="191">
        <v>0.13533885896050801</v>
      </c>
    </row>
    <row r="79" spans="1:4" ht="21.75" customHeight="1" x14ac:dyDescent="0.2">
      <c r="A79" s="190" t="s">
        <v>904</v>
      </c>
      <c r="B79" s="190" t="s">
        <v>1149</v>
      </c>
      <c r="C79" s="191">
        <v>0</v>
      </c>
      <c r="D79" s="191">
        <v>0</v>
      </c>
    </row>
    <row r="80" spans="1:4" ht="21.75" customHeight="1" x14ac:dyDescent="0.2">
      <c r="A80" s="190" t="s">
        <v>905</v>
      </c>
      <c r="B80" s="190" t="s">
        <v>1150</v>
      </c>
      <c r="C80" s="191">
        <v>2.4406519793524999</v>
      </c>
      <c r="D80" s="191">
        <v>5.6627216290074296</v>
      </c>
    </row>
    <row r="81" spans="1:4" ht="21.75" customHeight="1" x14ac:dyDescent="0.2">
      <c r="A81" s="190" t="s">
        <v>906</v>
      </c>
      <c r="B81" s="190" t="s">
        <v>1150</v>
      </c>
      <c r="C81" s="191">
        <v>2.1361779984272098</v>
      </c>
      <c r="D81" s="191">
        <v>4.8234582034656102</v>
      </c>
    </row>
    <row r="82" spans="1:4" ht="21.75" customHeight="1" x14ac:dyDescent="0.2">
      <c r="A82" s="190" t="s">
        <v>907</v>
      </c>
      <c r="B82" s="190" t="s">
        <v>1151</v>
      </c>
      <c r="C82" s="191">
        <v>2.0484990334214102</v>
      </c>
      <c r="D82" s="191">
        <v>5.0084890069934103</v>
      </c>
    </row>
    <row r="83" spans="1:4" ht="21.75" customHeight="1" x14ac:dyDescent="0.2">
      <c r="A83" s="190" t="s">
        <v>908</v>
      </c>
      <c r="B83" s="190" t="s">
        <v>1151</v>
      </c>
      <c r="C83" s="191">
        <v>2.2201083946325499</v>
      </c>
      <c r="D83" s="191">
        <v>5.3988464338667601</v>
      </c>
    </row>
    <row r="84" spans="1:4" ht="21.75" customHeight="1" x14ac:dyDescent="0.2">
      <c r="A84" s="190" t="s">
        <v>909</v>
      </c>
      <c r="B84" s="190" t="s">
        <v>1152</v>
      </c>
      <c r="C84" s="191">
        <v>0</v>
      </c>
      <c r="D84" s="191">
        <v>0</v>
      </c>
    </row>
    <row r="85" spans="1:4" ht="21.75" customHeight="1" x14ac:dyDescent="0.2">
      <c r="A85" s="190" t="s">
        <v>910</v>
      </c>
      <c r="B85" s="190" t="s">
        <v>1153</v>
      </c>
      <c r="C85" s="191">
        <v>2.4414338640226299</v>
      </c>
      <c r="D85" s="191">
        <v>4.6574729340826497</v>
      </c>
    </row>
    <row r="86" spans="1:4" ht="21.75" customHeight="1" x14ac:dyDescent="0.2">
      <c r="A86" s="190" t="s">
        <v>911</v>
      </c>
      <c r="B86" s="190" t="s">
        <v>1153</v>
      </c>
      <c r="C86" s="191">
        <v>2.4570234775829101</v>
      </c>
      <c r="D86" s="191">
        <v>4.1951359543449103</v>
      </c>
    </row>
    <row r="87" spans="1:4" ht="21.75" customHeight="1" x14ac:dyDescent="0.2">
      <c r="A87" s="190" t="s">
        <v>912</v>
      </c>
      <c r="B87" s="190" t="s">
        <v>1154</v>
      </c>
      <c r="C87" s="191">
        <v>0</v>
      </c>
      <c r="D87" s="191">
        <v>0</v>
      </c>
    </row>
    <row r="88" spans="1:4" ht="21.75" customHeight="1" x14ac:dyDescent="0.2">
      <c r="A88" s="190" t="s">
        <v>913</v>
      </c>
      <c r="B88" s="190" t="s">
        <v>1155</v>
      </c>
      <c r="C88" s="191">
        <v>0.64063604717274203</v>
      </c>
      <c r="D88" s="191">
        <v>0.66403674382065703</v>
      </c>
    </row>
    <row r="89" spans="1:4" ht="21.75" customHeight="1" x14ac:dyDescent="0.2">
      <c r="A89" s="190" t="s">
        <v>914</v>
      </c>
      <c r="B89" s="190" t="s">
        <v>1156</v>
      </c>
      <c r="C89" s="191">
        <v>0.64041685100073298</v>
      </c>
      <c r="D89" s="191">
        <v>0.63041144715957997</v>
      </c>
    </row>
    <row r="90" spans="1:4" ht="21.75" customHeight="1" x14ac:dyDescent="0.2">
      <c r="A90" s="190" t="s">
        <v>915</v>
      </c>
      <c r="B90" s="190" t="s">
        <v>1157</v>
      </c>
      <c r="C90" s="191">
        <v>2.3619517178647298</v>
      </c>
      <c r="D90" s="191">
        <v>1.6801937887588301</v>
      </c>
    </row>
    <row r="91" spans="1:4" ht="21.75" customHeight="1" x14ac:dyDescent="0.2">
      <c r="A91" s="190" t="s">
        <v>916</v>
      </c>
      <c r="B91" s="190" t="s">
        <v>1157</v>
      </c>
      <c r="C91" s="191">
        <v>3.4361057177602401</v>
      </c>
      <c r="D91" s="191">
        <v>0.81854633039618996</v>
      </c>
    </row>
    <row r="92" spans="1:4" ht="21.75" customHeight="1" x14ac:dyDescent="0.2">
      <c r="A92" s="190" t="s">
        <v>917</v>
      </c>
      <c r="B92" s="190" t="s">
        <v>1157</v>
      </c>
      <c r="C92" s="191">
        <v>5.1079549736414602</v>
      </c>
      <c r="D92" s="191">
        <v>0.77450007705876101</v>
      </c>
    </row>
    <row r="93" spans="1:4" ht="21.75" customHeight="1" x14ac:dyDescent="0.2">
      <c r="A93" s="190" t="s">
        <v>918</v>
      </c>
      <c r="B93" s="190" t="s">
        <v>1158</v>
      </c>
      <c r="C93" s="191">
        <v>0</v>
      </c>
      <c r="D93" s="191">
        <v>0</v>
      </c>
    </row>
    <row r="94" spans="1:4" ht="21.75" customHeight="1" x14ac:dyDescent="0.2">
      <c r="A94" s="190" t="s">
        <v>919</v>
      </c>
      <c r="B94" s="190" t="s">
        <v>1158</v>
      </c>
      <c r="C94" s="191">
        <v>0</v>
      </c>
      <c r="D94" s="191">
        <v>0</v>
      </c>
    </row>
    <row r="95" spans="1:4" ht="21.75" customHeight="1" x14ac:dyDescent="0.2">
      <c r="A95" s="190" t="s">
        <v>1272</v>
      </c>
      <c r="B95" s="190" t="s">
        <v>1158</v>
      </c>
      <c r="C95" s="191">
        <v>0</v>
      </c>
      <c r="D95" s="191">
        <v>0</v>
      </c>
    </row>
    <row r="96" spans="1:4" ht="21.75" customHeight="1" x14ac:dyDescent="0.2">
      <c r="A96" s="190" t="s">
        <v>920</v>
      </c>
      <c r="B96" s="190" t="s">
        <v>1159</v>
      </c>
      <c r="C96" s="191">
        <v>2.8285101365571199</v>
      </c>
      <c r="D96" s="191">
        <v>2.3849709141203701</v>
      </c>
    </row>
    <row r="97" spans="1:4" ht="21.75" customHeight="1" x14ac:dyDescent="0.2">
      <c r="A97" s="190" t="s">
        <v>921</v>
      </c>
      <c r="B97" s="190" t="s">
        <v>1160</v>
      </c>
      <c r="C97" s="191">
        <v>1.5329933718485</v>
      </c>
      <c r="D97" s="191">
        <v>0.134006034603945</v>
      </c>
    </row>
    <row r="98" spans="1:4" ht="21.75" customHeight="1" x14ac:dyDescent="0.2">
      <c r="A98" s="190" t="s">
        <v>922</v>
      </c>
      <c r="B98" s="190" t="s">
        <v>1160</v>
      </c>
      <c r="C98" s="191">
        <v>1.1590980691208299</v>
      </c>
      <c r="D98" s="191">
        <v>0.100641713547009</v>
      </c>
    </row>
    <row r="99" spans="1:4" ht="21.75" customHeight="1" x14ac:dyDescent="0.2">
      <c r="A99" s="190" t="s">
        <v>923</v>
      </c>
      <c r="B99" s="190" t="s">
        <v>1160</v>
      </c>
      <c r="C99" s="191">
        <v>0.76078782583068205</v>
      </c>
      <c r="D99" s="191">
        <v>0.16477700474193199</v>
      </c>
    </row>
    <row r="100" spans="1:4" ht="21.75" customHeight="1" x14ac:dyDescent="0.2">
      <c r="A100" s="190" t="s">
        <v>924</v>
      </c>
      <c r="B100" s="190" t="s">
        <v>1161</v>
      </c>
      <c r="C100" s="191">
        <v>2.8665760762016101</v>
      </c>
      <c r="D100" s="191">
        <v>2.98645787096061</v>
      </c>
    </row>
    <row r="101" spans="1:4" ht="21.75" customHeight="1" x14ac:dyDescent="0.2">
      <c r="A101" s="190" t="s">
        <v>925</v>
      </c>
      <c r="B101" s="190" t="s">
        <v>1162</v>
      </c>
      <c r="C101" s="191">
        <v>2.5508122453525499</v>
      </c>
      <c r="D101" s="191">
        <v>2.63059855020559</v>
      </c>
    </row>
    <row r="102" spans="1:4" ht="21.75" customHeight="1" x14ac:dyDescent="0.2">
      <c r="A102" s="190" t="s">
        <v>926</v>
      </c>
      <c r="B102" s="190" t="s">
        <v>1162</v>
      </c>
      <c r="C102" s="191">
        <v>1.7547930955592701</v>
      </c>
      <c r="D102" s="191">
        <v>2.5511669365121601</v>
      </c>
    </row>
    <row r="103" spans="1:4" ht="21.75" customHeight="1" x14ac:dyDescent="0.2">
      <c r="A103" s="190" t="s">
        <v>927</v>
      </c>
      <c r="B103" s="190" t="s">
        <v>1163</v>
      </c>
      <c r="C103" s="191">
        <v>1.7566361349177799</v>
      </c>
      <c r="D103" s="191">
        <v>0.56594960287683604</v>
      </c>
    </row>
    <row r="104" spans="1:4" ht="21.75" customHeight="1" x14ac:dyDescent="0.2">
      <c r="A104" s="190" t="s">
        <v>928</v>
      </c>
      <c r="B104" s="190" t="s">
        <v>1163</v>
      </c>
      <c r="C104" s="191">
        <v>2.0431285331105702</v>
      </c>
      <c r="D104" s="191">
        <v>0.80702600384530898</v>
      </c>
    </row>
    <row r="105" spans="1:4" ht="21.75" customHeight="1" x14ac:dyDescent="0.2">
      <c r="A105" s="190" t="s">
        <v>929</v>
      </c>
      <c r="B105" s="190" t="s">
        <v>1163</v>
      </c>
      <c r="C105" s="191">
        <v>2.5364529574391099</v>
      </c>
      <c r="D105" s="191">
        <v>0.554573165409459</v>
      </c>
    </row>
    <row r="106" spans="1:4" ht="21.75" customHeight="1" x14ac:dyDescent="0.2">
      <c r="A106" s="190" t="s">
        <v>930</v>
      </c>
      <c r="B106" s="190" t="s">
        <v>1164</v>
      </c>
      <c r="C106" s="191">
        <v>0.91361850018283197</v>
      </c>
      <c r="D106" s="191">
        <v>5.7828511421178703</v>
      </c>
    </row>
    <row r="107" spans="1:4" ht="21.75" customHeight="1" x14ac:dyDescent="0.2">
      <c r="A107" s="190" t="s">
        <v>931</v>
      </c>
      <c r="B107" s="190" t="s">
        <v>1164</v>
      </c>
      <c r="C107" s="191">
        <v>0.584546143132473</v>
      </c>
      <c r="D107" s="191">
        <v>3.0812960570409098</v>
      </c>
    </row>
    <row r="108" spans="1:4" ht="21.75" customHeight="1" x14ac:dyDescent="0.2">
      <c r="A108" s="190" t="s">
        <v>932</v>
      </c>
      <c r="B108" s="190" t="s">
        <v>1164</v>
      </c>
      <c r="C108" s="191">
        <v>0.31751073893287701</v>
      </c>
      <c r="D108" s="191">
        <v>1.97958151592155</v>
      </c>
    </row>
    <row r="109" spans="1:4" ht="21.75" customHeight="1" x14ac:dyDescent="0.2">
      <c r="A109" s="190" t="s">
        <v>933</v>
      </c>
      <c r="B109" s="190" t="s">
        <v>1165</v>
      </c>
      <c r="C109" s="191">
        <v>3.5959835780410598</v>
      </c>
      <c r="D109" s="191">
        <v>0.99998624618361498</v>
      </c>
    </row>
    <row r="110" spans="1:4" ht="21.75" customHeight="1" x14ac:dyDescent="0.2">
      <c r="A110" s="190" t="s">
        <v>934</v>
      </c>
      <c r="B110" s="190" t="s">
        <v>1165</v>
      </c>
      <c r="C110" s="191">
        <v>4.3371260917518901</v>
      </c>
      <c r="D110" s="191">
        <v>0.84304455494906105</v>
      </c>
    </row>
    <row r="111" spans="1:4" ht="21.75" customHeight="1" x14ac:dyDescent="0.2">
      <c r="A111" s="190" t="s">
        <v>1273</v>
      </c>
      <c r="B111" s="190" t="s">
        <v>1165</v>
      </c>
      <c r="C111" s="191">
        <v>0.428321359392699</v>
      </c>
      <c r="D111" s="191">
        <v>0.96720593110653696</v>
      </c>
    </row>
    <row r="112" spans="1:4" ht="21.75" customHeight="1" x14ac:dyDescent="0.2">
      <c r="A112" s="190" t="s">
        <v>935</v>
      </c>
      <c r="B112" s="190" t="s">
        <v>1166</v>
      </c>
      <c r="C112" s="191">
        <v>0.387659195152319</v>
      </c>
      <c r="D112" s="191">
        <v>15.9675119106384</v>
      </c>
    </row>
    <row r="113" spans="1:4" ht="21.75" customHeight="1" x14ac:dyDescent="0.2">
      <c r="A113" s="190" t="s">
        <v>936</v>
      </c>
      <c r="B113" s="190" t="s">
        <v>1166</v>
      </c>
      <c r="C113" s="191">
        <v>0.31194188839050901</v>
      </c>
      <c r="D113" s="191">
        <v>17.3796315303744</v>
      </c>
    </row>
    <row r="114" spans="1:4" ht="21.75" customHeight="1" x14ac:dyDescent="0.2">
      <c r="A114" s="190" t="s">
        <v>937</v>
      </c>
      <c r="B114" s="190" t="s">
        <v>1167</v>
      </c>
      <c r="C114" s="191">
        <v>2.8591175867137002</v>
      </c>
      <c r="D114" s="191">
        <v>2.27925758268908</v>
      </c>
    </row>
    <row r="115" spans="1:4" ht="21.75" customHeight="1" x14ac:dyDescent="0.2">
      <c r="A115" s="190" t="s">
        <v>938</v>
      </c>
      <c r="B115" s="190" t="s">
        <v>1168</v>
      </c>
      <c r="C115" s="191">
        <v>3.79471339631856</v>
      </c>
      <c r="D115" s="191">
        <v>-0.15956332162654899</v>
      </c>
    </row>
    <row r="116" spans="1:4" ht="21.75" customHeight="1" x14ac:dyDescent="0.2">
      <c r="A116" s="190" t="s">
        <v>939</v>
      </c>
      <c r="B116" s="190" t="s">
        <v>1168</v>
      </c>
      <c r="C116" s="191">
        <v>3.17596697930195</v>
      </c>
      <c r="D116" s="191">
        <v>-0.14747060791932801</v>
      </c>
    </row>
    <row r="117" spans="1:4" ht="21.75" customHeight="1" x14ac:dyDescent="0.2">
      <c r="A117" s="190" t="s">
        <v>940</v>
      </c>
      <c r="B117" s="190" t="s">
        <v>1169</v>
      </c>
      <c r="C117" s="191">
        <v>2.1875261281050902</v>
      </c>
      <c r="D117" s="191">
        <v>3.7993289401427099</v>
      </c>
    </row>
    <row r="118" spans="1:4" ht="21.75" customHeight="1" x14ac:dyDescent="0.2">
      <c r="A118" s="190" t="s">
        <v>941</v>
      </c>
      <c r="B118" s="190" t="s">
        <v>1169</v>
      </c>
      <c r="C118" s="191">
        <v>2.4939016658443598</v>
      </c>
      <c r="D118" s="191">
        <v>4.1696390049552603</v>
      </c>
    </row>
    <row r="119" spans="1:4" ht="21.75" customHeight="1" x14ac:dyDescent="0.2">
      <c r="A119" s="190" t="s">
        <v>942</v>
      </c>
      <c r="B119" s="190" t="s">
        <v>1170</v>
      </c>
      <c r="C119" s="191">
        <v>3.4388920946203898</v>
      </c>
      <c r="D119" s="191">
        <v>0.93831458274034596</v>
      </c>
    </row>
    <row r="120" spans="1:4" ht="21.75" customHeight="1" x14ac:dyDescent="0.2">
      <c r="A120" s="190" t="s">
        <v>943</v>
      </c>
      <c r="B120" s="190" t="s">
        <v>1170</v>
      </c>
      <c r="C120" s="191">
        <v>5.5720091881480496</v>
      </c>
      <c r="D120" s="191">
        <v>2.2124187594953999</v>
      </c>
    </row>
    <row r="121" spans="1:4" ht="21.75" customHeight="1" x14ac:dyDescent="0.2">
      <c r="A121" s="190" t="s">
        <v>944</v>
      </c>
      <c r="B121" s="190" t="s">
        <v>1171</v>
      </c>
      <c r="C121" s="191">
        <v>2.8026545051360601</v>
      </c>
      <c r="D121" s="191">
        <v>8.71278859923666</v>
      </c>
    </row>
    <row r="122" spans="1:4" ht="21.75" customHeight="1" x14ac:dyDescent="0.2">
      <c r="A122" s="190" t="s">
        <v>945</v>
      </c>
      <c r="B122" s="190" t="s">
        <v>1171</v>
      </c>
      <c r="C122" s="191">
        <v>3.2012547928595301</v>
      </c>
      <c r="D122" s="191">
        <v>8.6791074889303701</v>
      </c>
    </row>
    <row r="123" spans="1:4" ht="21.75" customHeight="1" x14ac:dyDescent="0.2">
      <c r="A123" s="190" t="s">
        <v>946</v>
      </c>
      <c r="B123" s="190" t="s">
        <v>1172</v>
      </c>
      <c r="C123" s="191">
        <v>2.1902389026359002</v>
      </c>
      <c r="D123" s="191">
        <v>4.1221342881369498</v>
      </c>
    </row>
    <row r="124" spans="1:4" ht="21.75" customHeight="1" x14ac:dyDescent="0.2">
      <c r="A124" s="190" t="s">
        <v>947</v>
      </c>
      <c r="B124" s="190" t="s">
        <v>1172</v>
      </c>
      <c r="C124" s="191">
        <v>2.86747612363409</v>
      </c>
      <c r="D124" s="191">
        <v>5.0875736486320999</v>
      </c>
    </row>
    <row r="125" spans="1:4" ht="21.75" customHeight="1" x14ac:dyDescent="0.2">
      <c r="A125" s="190" t="s">
        <v>948</v>
      </c>
      <c r="B125" s="190" t="s">
        <v>1173</v>
      </c>
      <c r="C125" s="191">
        <v>0.64058728891104899</v>
      </c>
      <c r="D125" s="191">
        <v>0.64220321032314798</v>
      </c>
    </row>
    <row r="126" spans="1:4" ht="21.75" customHeight="1" x14ac:dyDescent="0.2">
      <c r="A126" s="190" t="s">
        <v>949</v>
      </c>
      <c r="B126" s="190" t="s">
        <v>1174</v>
      </c>
      <c r="C126" s="191">
        <v>0.64084844609844105</v>
      </c>
      <c r="D126" s="191">
        <v>0.66842980809049501</v>
      </c>
    </row>
    <row r="127" spans="1:4" ht="21.75" customHeight="1" x14ac:dyDescent="0.2">
      <c r="A127" s="190" t="s">
        <v>950</v>
      </c>
      <c r="B127" s="190" t="s">
        <v>1175</v>
      </c>
      <c r="C127" s="191">
        <v>0.64085204512763605</v>
      </c>
      <c r="D127" s="191">
        <v>0.66937811922247603</v>
      </c>
    </row>
    <row r="128" spans="1:4" ht="21.75" customHeight="1" x14ac:dyDescent="0.2">
      <c r="A128" s="190" t="s">
        <v>951</v>
      </c>
      <c r="B128" s="190" t="s">
        <v>1176</v>
      </c>
      <c r="C128" s="191">
        <v>0.64055871102057205</v>
      </c>
      <c r="D128" s="191">
        <v>0.63892963340818099</v>
      </c>
    </row>
    <row r="129" spans="1:4" ht="21.75" customHeight="1" x14ac:dyDescent="0.2">
      <c r="A129" s="190" t="s">
        <v>952</v>
      </c>
      <c r="B129" s="190" t="s">
        <v>1177</v>
      </c>
      <c r="C129" s="191">
        <v>1.2087669518316599</v>
      </c>
      <c r="D129" s="191">
        <v>0.53368864872302402</v>
      </c>
    </row>
    <row r="130" spans="1:4" ht="21.75" customHeight="1" x14ac:dyDescent="0.2">
      <c r="A130" s="190" t="s">
        <v>953</v>
      </c>
      <c r="B130" s="190" t="s">
        <v>1177</v>
      </c>
      <c r="C130" s="191">
        <v>0.51163546747077304</v>
      </c>
      <c r="D130" s="191">
        <v>2.81324476594137</v>
      </c>
    </row>
    <row r="131" spans="1:4" ht="21.75" customHeight="1" x14ac:dyDescent="0.2">
      <c r="A131" s="190" t="s">
        <v>954</v>
      </c>
      <c r="B131" s="190" t="s">
        <v>1177</v>
      </c>
      <c r="C131" s="191">
        <v>0.405804225948108</v>
      </c>
      <c r="D131" s="191">
        <v>3.1478791764868199</v>
      </c>
    </row>
    <row r="132" spans="1:4" ht="21.75" customHeight="1" x14ac:dyDescent="0.2">
      <c r="A132" s="190" t="s">
        <v>955</v>
      </c>
      <c r="B132" s="190" t="s">
        <v>1177</v>
      </c>
      <c r="C132" s="191">
        <v>0</v>
      </c>
      <c r="D132" s="191">
        <v>0</v>
      </c>
    </row>
    <row r="133" spans="1:4" ht="21.75" customHeight="1" x14ac:dyDescent="0.2">
      <c r="A133" s="190" t="s">
        <v>956</v>
      </c>
      <c r="B133" s="190" t="s">
        <v>1177</v>
      </c>
      <c r="C133" s="191">
        <v>0</v>
      </c>
      <c r="D133" s="191">
        <v>0</v>
      </c>
    </row>
    <row r="134" spans="1:4" ht="21.75" customHeight="1" x14ac:dyDescent="0.2">
      <c r="A134" s="190" t="s">
        <v>957</v>
      </c>
      <c r="B134" s="190" t="s">
        <v>1177</v>
      </c>
      <c r="C134" s="191">
        <v>0</v>
      </c>
      <c r="D134" s="191">
        <v>0</v>
      </c>
    </row>
    <row r="135" spans="1:4" ht="21.75" customHeight="1" x14ac:dyDescent="0.2">
      <c r="A135" s="190" t="s">
        <v>958</v>
      </c>
      <c r="B135" s="190" t="s">
        <v>1178</v>
      </c>
      <c r="C135" s="191">
        <v>0</v>
      </c>
      <c r="D135" s="191">
        <v>0</v>
      </c>
    </row>
    <row r="136" spans="1:4" ht="21.75" customHeight="1" x14ac:dyDescent="0.2">
      <c r="A136" s="190" t="s">
        <v>959</v>
      </c>
      <c r="B136" s="190" t="s">
        <v>1179</v>
      </c>
      <c r="C136" s="191">
        <v>2.3430996046172399</v>
      </c>
      <c r="D136" s="191">
        <v>5.6771012631136797</v>
      </c>
    </row>
    <row r="137" spans="1:4" ht="21.75" customHeight="1" x14ac:dyDescent="0.2">
      <c r="A137" s="190" t="s">
        <v>960</v>
      </c>
      <c r="B137" s="190" t="s">
        <v>1180</v>
      </c>
      <c r="C137" s="191">
        <v>0</v>
      </c>
      <c r="D137" s="191">
        <v>0</v>
      </c>
    </row>
    <row r="138" spans="1:4" ht="21.75" customHeight="1" x14ac:dyDescent="0.2">
      <c r="A138" s="190" t="s">
        <v>961</v>
      </c>
      <c r="B138" s="190" t="s">
        <v>1180</v>
      </c>
      <c r="C138" s="191">
        <v>0</v>
      </c>
      <c r="D138" s="191">
        <v>0</v>
      </c>
    </row>
    <row r="139" spans="1:4" ht="21.75" customHeight="1" x14ac:dyDescent="0.2">
      <c r="A139" s="190" t="s">
        <v>962</v>
      </c>
      <c r="B139" s="190" t="s">
        <v>1180</v>
      </c>
      <c r="C139" s="191">
        <v>0</v>
      </c>
      <c r="D139" s="191">
        <v>0</v>
      </c>
    </row>
    <row r="140" spans="1:4" ht="21.75" customHeight="1" x14ac:dyDescent="0.2">
      <c r="A140" s="190" t="s">
        <v>963</v>
      </c>
      <c r="B140" s="190" t="s">
        <v>1181</v>
      </c>
      <c r="C140" s="191">
        <v>0</v>
      </c>
      <c r="D140" s="191">
        <v>0</v>
      </c>
    </row>
    <row r="141" spans="1:4" ht="21.75" customHeight="1" x14ac:dyDescent="0.2">
      <c r="A141" s="190" t="s">
        <v>964</v>
      </c>
      <c r="B141" s="190" t="s">
        <v>1181</v>
      </c>
      <c r="C141" s="191">
        <v>0</v>
      </c>
      <c r="D141" s="191">
        <v>0</v>
      </c>
    </row>
    <row r="142" spans="1:4" ht="21.75" customHeight="1" x14ac:dyDescent="0.2">
      <c r="A142" s="190" t="s">
        <v>965</v>
      </c>
      <c r="B142" s="190" t="s">
        <v>1182</v>
      </c>
      <c r="C142" s="191">
        <v>5.3239458993725801</v>
      </c>
      <c r="D142" s="191">
        <v>0.54685541681654004</v>
      </c>
    </row>
    <row r="143" spans="1:4" ht="21.75" customHeight="1" x14ac:dyDescent="0.2">
      <c r="A143" s="190" t="s">
        <v>966</v>
      </c>
      <c r="B143" s="190" t="s">
        <v>1183</v>
      </c>
      <c r="C143" s="191">
        <v>2.1690684446413901</v>
      </c>
      <c r="D143" s="191">
        <v>2.92111384542399</v>
      </c>
    </row>
    <row r="144" spans="1:4" ht="21.75" customHeight="1" x14ac:dyDescent="0.2">
      <c r="A144" s="190" t="s">
        <v>967</v>
      </c>
      <c r="B144" s="190" t="s">
        <v>1183</v>
      </c>
      <c r="C144" s="191">
        <v>1.85037641121588</v>
      </c>
      <c r="D144" s="191">
        <v>2.4186360442923598</v>
      </c>
    </row>
    <row r="145" spans="1:4" ht="21.75" customHeight="1" x14ac:dyDescent="0.2">
      <c r="A145" s="190" t="s">
        <v>968</v>
      </c>
      <c r="B145" s="190" t="s">
        <v>1184</v>
      </c>
      <c r="C145" s="191">
        <v>0</v>
      </c>
      <c r="D145" s="191">
        <v>0</v>
      </c>
    </row>
    <row r="146" spans="1:4" ht="21.75" customHeight="1" x14ac:dyDescent="0.2">
      <c r="A146" s="190" t="s">
        <v>969</v>
      </c>
      <c r="B146" s="190" t="s">
        <v>1185</v>
      </c>
      <c r="C146" s="191">
        <v>3.1893414817027699</v>
      </c>
      <c r="D146" s="191">
        <v>8.8971139913620103</v>
      </c>
    </row>
    <row r="147" spans="1:4" ht="21.75" customHeight="1" x14ac:dyDescent="0.2">
      <c r="A147" s="190" t="s">
        <v>970</v>
      </c>
      <c r="B147" s="190" t="s">
        <v>1185</v>
      </c>
      <c r="C147" s="191">
        <v>3.0687994835444101</v>
      </c>
      <c r="D147" s="191">
        <v>7.2109806990815697</v>
      </c>
    </row>
    <row r="148" spans="1:4" ht="21.75" customHeight="1" x14ac:dyDescent="0.2">
      <c r="A148" s="190" t="s">
        <v>971</v>
      </c>
      <c r="B148" s="190" t="s">
        <v>1186</v>
      </c>
      <c r="C148" s="191">
        <v>0.64315069031549599</v>
      </c>
      <c r="D148" s="191">
        <v>0.57044942423582401</v>
      </c>
    </row>
    <row r="149" spans="1:4" ht="21.75" customHeight="1" x14ac:dyDescent="0.2">
      <c r="A149" s="190" t="s">
        <v>972</v>
      </c>
      <c r="B149" s="190" t="s">
        <v>1187</v>
      </c>
      <c r="C149" s="191">
        <v>0</v>
      </c>
      <c r="D149" s="191">
        <v>0</v>
      </c>
    </row>
    <row r="150" spans="1:4" ht="21.75" customHeight="1" x14ac:dyDescent="0.2">
      <c r="A150" s="190" t="s">
        <v>973</v>
      </c>
      <c r="B150" s="190" t="s">
        <v>1187</v>
      </c>
      <c r="C150" s="191">
        <v>0</v>
      </c>
      <c r="D150" s="191">
        <v>0</v>
      </c>
    </row>
    <row r="151" spans="1:4" ht="21.75" customHeight="1" x14ac:dyDescent="0.2">
      <c r="A151" s="190" t="s">
        <v>974</v>
      </c>
      <c r="B151" s="190" t="s">
        <v>1187</v>
      </c>
      <c r="C151" s="191">
        <v>0</v>
      </c>
      <c r="D151" s="191">
        <v>0</v>
      </c>
    </row>
    <row r="152" spans="1:4" ht="21.75" customHeight="1" x14ac:dyDescent="0.2">
      <c r="A152" s="190" t="s">
        <v>975</v>
      </c>
      <c r="B152" s="190" t="s">
        <v>1188</v>
      </c>
      <c r="C152" s="191">
        <v>4.5650671050397298</v>
      </c>
      <c r="D152" s="191">
        <v>18.416931481901599</v>
      </c>
    </row>
    <row r="153" spans="1:4" ht="21.75" customHeight="1" x14ac:dyDescent="0.2">
      <c r="A153" s="190" t="s">
        <v>976</v>
      </c>
      <c r="B153" s="190" t="s">
        <v>1188</v>
      </c>
      <c r="C153" s="191">
        <v>5.2063542513953802</v>
      </c>
      <c r="D153" s="191">
        <v>20.2132000484511</v>
      </c>
    </row>
    <row r="154" spans="1:4" ht="21.75" customHeight="1" x14ac:dyDescent="0.2">
      <c r="A154" s="190" t="s">
        <v>977</v>
      </c>
      <c r="B154" s="190" t="s">
        <v>1189</v>
      </c>
      <c r="C154" s="191">
        <v>0.40802114925490401</v>
      </c>
      <c r="D154" s="191">
        <v>6.4499089745380704</v>
      </c>
    </row>
    <row r="155" spans="1:4" ht="21.75" customHeight="1" x14ac:dyDescent="0.2">
      <c r="A155" s="190" t="s">
        <v>978</v>
      </c>
      <c r="B155" s="190" t="s">
        <v>1189</v>
      </c>
      <c r="C155" s="191">
        <v>9.39068919276069E-2</v>
      </c>
      <c r="D155" s="191">
        <v>4.5046103043782901</v>
      </c>
    </row>
    <row r="156" spans="1:4" ht="21.75" customHeight="1" x14ac:dyDescent="0.2">
      <c r="A156" s="190" t="s">
        <v>979</v>
      </c>
      <c r="B156" s="190" t="s">
        <v>1190</v>
      </c>
      <c r="C156" s="191">
        <v>0</v>
      </c>
      <c r="D156" s="191">
        <v>0</v>
      </c>
    </row>
    <row r="157" spans="1:4" ht="21.75" customHeight="1" x14ac:dyDescent="0.2">
      <c r="A157" s="190" t="s">
        <v>980</v>
      </c>
      <c r="B157" s="190" t="s">
        <v>1190</v>
      </c>
      <c r="C157" s="191">
        <v>0</v>
      </c>
      <c r="D157" s="191">
        <v>0</v>
      </c>
    </row>
    <row r="158" spans="1:4" ht="21.75" customHeight="1" x14ac:dyDescent="0.2">
      <c r="A158" s="190" t="s">
        <v>1292</v>
      </c>
      <c r="B158" s="190" t="s">
        <v>1294</v>
      </c>
      <c r="C158" s="191">
        <v>0</v>
      </c>
      <c r="D158" s="191">
        <v>0</v>
      </c>
    </row>
    <row r="159" spans="1:4" ht="21.75" customHeight="1" x14ac:dyDescent="0.2">
      <c r="A159" s="190" t="s">
        <v>981</v>
      </c>
      <c r="B159" s="190" t="s">
        <v>1191</v>
      </c>
      <c r="C159" s="191">
        <v>1.4812814856251499</v>
      </c>
      <c r="D159" s="191">
        <v>2.2441139630457099</v>
      </c>
    </row>
    <row r="160" spans="1:4" ht="21.75" customHeight="1" x14ac:dyDescent="0.2">
      <c r="A160" s="190" t="s">
        <v>982</v>
      </c>
      <c r="B160" s="190" t="s">
        <v>1191</v>
      </c>
      <c r="C160" s="191">
        <v>0.292009535712764</v>
      </c>
      <c r="D160" s="191">
        <v>0.93676056760541704</v>
      </c>
    </row>
    <row r="161" spans="1:4" ht="21.75" customHeight="1" x14ac:dyDescent="0.2">
      <c r="A161" s="190" t="s">
        <v>983</v>
      </c>
      <c r="B161" s="190" t="s">
        <v>1191</v>
      </c>
      <c r="C161" s="191">
        <v>2.5349019136993598</v>
      </c>
      <c r="D161" s="191">
        <v>0.96188506289159703</v>
      </c>
    </row>
    <row r="162" spans="1:4" ht="21.75" customHeight="1" x14ac:dyDescent="0.2">
      <c r="A162" s="190" t="s">
        <v>984</v>
      </c>
      <c r="B162" s="190" t="s">
        <v>1191</v>
      </c>
      <c r="C162" s="191">
        <v>0.89784642115681002</v>
      </c>
      <c r="D162" s="191">
        <v>2.18296041703322</v>
      </c>
    </row>
    <row r="163" spans="1:4" ht="21.75" customHeight="1" x14ac:dyDescent="0.2">
      <c r="A163" s="190" t="s">
        <v>985</v>
      </c>
      <c r="B163" s="190" t="s">
        <v>1192</v>
      </c>
      <c r="C163" s="191">
        <v>3.3934366064627599</v>
      </c>
      <c r="D163" s="191">
        <v>14.325527664905</v>
      </c>
    </row>
    <row r="164" spans="1:4" ht="21.75" customHeight="1" x14ac:dyDescent="0.2">
      <c r="A164" s="190" t="s">
        <v>986</v>
      </c>
      <c r="B164" s="190" t="s">
        <v>1192</v>
      </c>
      <c r="C164" s="191">
        <v>2.7248468026043202</v>
      </c>
      <c r="D164" s="191">
        <v>15.509068448432201</v>
      </c>
    </row>
    <row r="165" spans="1:4" ht="21.75" customHeight="1" x14ac:dyDescent="0.2">
      <c r="A165" s="190" t="s">
        <v>987</v>
      </c>
      <c r="B165" s="190" t="s">
        <v>1193</v>
      </c>
      <c r="C165" s="191">
        <v>3.7307717849430202</v>
      </c>
      <c r="D165" s="191">
        <v>8.0415388084308095</v>
      </c>
    </row>
    <row r="166" spans="1:4" ht="21.75" customHeight="1" x14ac:dyDescent="0.2">
      <c r="A166" s="190" t="s">
        <v>988</v>
      </c>
      <c r="B166" s="190" t="s">
        <v>1193</v>
      </c>
      <c r="C166" s="191">
        <v>3.5151421025462599</v>
      </c>
      <c r="D166" s="191">
        <v>7.6862479773041299</v>
      </c>
    </row>
    <row r="167" spans="1:4" ht="21.75" customHeight="1" x14ac:dyDescent="0.2">
      <c r="A167" s="190" t="s">
        <v>989</v>
      </c>
      <c r="B167" s="190" t="s">
        <v>1194</v>
      </c>
      <c r="C167" s="191">
        <v>0.59815634857164002</v>
      </c>
      <c r="D167" s="191">
        <v>2.3785050452275698</v>
      </c>
    </row>
    <row r="168" spans="1:4" ht="21.75" customHeight="1" x14ac:dyDescent="0.2">
      <c r="A168" s="190" t="s">
        <v>990</v>
      </c>
      <c r="B168" s="190" t="s">
        <v>1195</v>
      </c>
      <c r="C168" s="191">
        <v>2.4622934717472802</v>
      </c>
      <c r="D168" s="191">
        <v>8.1620469097104795</v>
      </c>
    </row>
    <row r="169" spans="1:4" ht="21.75" customHeight="1" x14ac:dyDescent="0.2">
      <c r="A169" s="190" t="s">
        <v>991</v>
      </c>
      <c r="B169" s="190" t="s">
        <v>1195</v>
      </c>
      <c r="C169" s="191">
        <v>1.19181858989861</v>
      </c>
      <c r="D169" s="191">
        <v>16.038714285644598</v>
      </c>
    </row>
    <row r="170" spans="1:4" ht="21.75" customHeight="1" x14ac:dyDescent="0.2">
      <c r="A170" s="190" t="s">
        <v>1274</v>
      </c>
      <c r="B170" s="190" t="s">
        <v>1295</v>
      </c>
      <c r="C170" s="191">
        <v>0.91653110103484003</v>
      </c>
      <c r="D170" s="191">
        <v>2.80313638861776</v>
      </c>
    </row>
    <row r="171" spans="1:4" ht="21.75" customHeight="1" x14ac:dyDescent="0.2">
      <c r="A171" s="190" t="s">
        <v>992</v>
      </c>
      <c r="B171" s="190" t="s">
        <v>1196</v>
      </c>
      <c r="C171" s="191">
        <v>9.6596192128017202E-3</v>
      </c>
      <c r="D171" s="191">
        <v>-0.31137539039996198</v>
      </c>
    </row>
    <row r="172" spans="1:4" ht="21.75" customHeight="1" x14ac:dyDescent="0.2">
      <c r="A172" s="190" t="s">
        <v>993</v>
      </c>
      <c r="B172" s="190" t="s">
        <v>1196</v>
      </c>
      <c r="C172" s="191">
        <v>1.31042479764506E-2</v>
      </c>
      <c r="D172" s="191">
        <v>-0.31269743746046902</v>
      </c>
    </row>
    <row r="173" spans="1:4" ht="21.75" customHeight="1" x14ac:dyDescent="0.2">
      <c r="A173" s="190" t="s">
        <v>994</v>
      </c>
      <c r="B173" s="190" t="s">
        <v>1196</v>
      </c>
      <c r="C173" s="191">
        <v>1.31042479764506E-2</v>
      </c>
      <c r="D173" s="191">
        <v>-0.31269743746046902</v>
      </c>
    </row>
    <row r="174" spans="1:4" ht="21.75" customHeight="1" x14ac:dyDescent="0.2">
      <c r="A174" s="190" t="s">
        <v>995</v>
      </c>
      <c r="B174" s="190" t="s">
        <v>1196</v>
      </c>
      <c r="C174" s="191">
        <v>1.3104275108348299E-2</v>
      </c>
      <c r="D174" s="191">
        <v>-0.31269743746046902</v>
      </c>
    </row>
    <row r="175" spans="1:4" ht="21.75" customHeight="1" x14ac:dyDescent="0.2">
      <c r="A175" s="190" t="s">
        <v>996</v>
      </c>
      <c r="B175" s="190" t="s">
        <v>1196</v>
      </c>
      <c r="C175" s="191">
        <v>9.6596192128017202E-3</v>
      </c>
      <c r="D175" s="191">
        <v>-0.31137539039996198</v>
      </c>
    </row>
    <row r="176" spans="1:4" ht="21.75" customHeight="1" x14ac:dyDescent="0.2">
      <c r="A176" s="190" t="s">
        <v>997</v>
      </c>
      <c r="B176" s="190" t="s">
        <v>1196</v>
      </c>
      <c r="C176" s="191">
        <v>9.6596192128017202E-3</v>
      </c>
      <c r="D176" s="191">
        <v>-0.311375707712303</v>
      </c>
    </row>
    <row r="177" spans="1:4" ht="21.75" customHeight="1" x14ac:dyDescent="0.2">
      <c r="A177" s="190" t="s">
        <v>998</v>
      </c>
      <c r="B177" s="190" t="s">
        <v>1197</v>
      </c>
      <c r="C177" s="191">
        <v>1.4092732202017899</v>
      </c>
      <c r="D177" s="191">
        <v>4.1597637269131802</v>
      </c>
    </row>
    <row r="178" spans="1:4" ht="21.75" customHeight="1" x14ac:dyDescent="0.2">
      <c r="A178" s="190" t="s">
        <v>999</v>
      </c>
      <c r="B178" s="190" t="s">
        <v>1197</v>
      </c>
      <c r="C178" s="191">
        <v>0.70653328525987003</v>
      </c>
      <c r="D178" s="191">
        <v>2.16571119864666</v>
      </c>
    </row>
    <row r="179" spans="1:4" ht="21.75" customHeight="1" x14ac:dyDescent="0.2">
      <c r="A179" s="190" t="s">
        <v>1287</v>
      </c>
      <c r="B179" s="190" t="s">
        <v>1296</v>
      </c>
      <c r="C179" s="191">
        <v>3.1013514624441205</v>
      </c>
      <c r="D179" s="191">
        <v>0.62077635246767615</v>
      </c>
    </row>
    <row r="180" spans="1:4" ht="21.75" customHeight="1" x14ac:dyDescent="0.2">
      <c r="A180" s="190" t="s">
        <v>1000</v>
      </c>
      <c r="B180" s="190" t="s">
        <v>1198</v>
      </c>
      <c r="C180" s="191">
        <v>0.64086307544801902</v>
      </c>
      <c r="D180" s="191">
        <v>0.66831566346028104</v>
      </c>
    </row>
    <row r="181" spans="1:4" ht="21.75" customHeight="1" x14ac:dyDescent="0.2">
      <c r="A181" s="190" t="s">
        <v>1001</v>
      </c>
      <c r="B181" s="190" t="s">
        <v>1199</v>
      </c>
      <c r="C181" s="191">
        <v>0.64086307544801902</v>
      </c>
      <c r="D181" s="191">
        <v>0.668192611648462</v>
      </c>
    </row>
    <row r="182" spans="1:4" ht="21.75" customHeight="1" x14ac:dyDescent="0.2">
      <c r="A182" s="190" t="s">
        <v>1002</v>
      </c>
      <c r="B182" s="190" t="s">
        <v>1200</v>
      </c>
      <c r="C182" s="191">
        <v>0.359086606717961</v>
      </c>
      <c r="D182" s="191">
        <v>1.8586994262504299E-2</v>
      </c>
    </row>
    <row r="183" spans="1:4" ht="21.75" customHeight="1" x14ac:dyDescent="0.2">
      <c r="A183" s="190" t="s">
        <v>1003</v>
      </c>
      <c r="B183" s="190" t="s">
        <v>1201</v>
      </c>
      <c r="C183" s="191">
        <v>0</v>
      </c>
      <c r="D183" s="191">
        <v>0</v>
      </c>
    </row>
    <row r="184" spans="1:4" ht="21.75" customHeight="1" x14ac:dyDescent="0.2">
      <c r="A184" s="190" t="s">
        <v>1275</v>
      </c>
      <c r="B184" s="190" t="s">
        <v>1201</v>
      </c>
      <c r="C184" s="191">
        <v>0</v>
      </c>
      <c r="D184" s="191">
        <v>0</v>
      </c>
    </row>
    <row r="185" spans="1:4" ht="21.75" customHeight="1" x14ac:dyDescent="0.2">
      <c r="A185" s="190" t="s">
        <v>1276</v>
      </c>
      <c r="B185" s="190" t="s">
        <v>1201</v>
      </c>
      <c r="C185" s="191">
        <v>0</v>
      </c>
      <c r="D185" s="191">
        <v>0</v>
      </c>
    </row>
    <row r="186" spans="1:4" ht="21.75" customHeight="1" x14ac:dyDescent="0.2">
      <c r="A186" s="190" t="s">
        <v>1004</v>
      </c>
      <c r="B186" s="190" t="s">
        <v>1202</v>
      </c>
      <c r="C186" s="191">
        <v>2.7876097640400301</v>
      </c>
      <c r="D186" s="191">
        <v>2.1573910111119701</v>
      </c>
    </row>
    <row r="187" spans="1:4" ht="21.75" customHeight="1" x14ac:dyDescent="0.2">
      <c r="A187" s="190" t="s">
        <v>1005</v>
      </c>
      <c r="B187" s="190" t="s">
        <v>1202</v>
      </c>
      <c r="C187" s="191">
        <v>2.7878609567833301</v>
      </c>
      <c r="D187" s="191">
        <v>0.67258512771000101</v>
      </c>
    </row>
    <row r="188" spans="1:4" ht="21.75" customHeight="1" x14ac:dyDescent="0.2">
      <c r="A188" s="190" t="s">
        <v>1006</v>
      </c>
      <c r="B188" s="190" t="s">
        <v>1203</v>
      </c>
      <c r="C188" s="191">
        <v>0</v>
      </c>
      <c r="D188" s="191">
        <v>0</v>
      </c>
    </row>
    <row r="189" spans="1:4" ht="21.75" customHeight="1" x14ac:dyDescent="0.2">
      <c r="A189" s="190" t="s">
        <v>1007</v>
      </c>
      <c r="B189" s="190" t="s">
        <v>1203</v>
      </c>
      <c r="C189" s="191">
        <v>0</v>
      </c>
      <c r="D189" s="191">
        <v>0</v>
      </c>
    </row>
    <row r="190" spans="1:4" ht="21.75" customHeight="1" x14ac:dyDescent="0.2">
      <c r="A190" s="190" t="s">
        <v>1008</v>
      </c>
      <c r="B190" s="190" t="s">
        <v>1204</v>
      </c>
      <c r="C190" s="191">
        <v>2.6371775339603398</v>
      </c>
      <c r="D190" s="191">
        <v>12.1912998825998</v>
      </c>
    </row>
    <row r="191" spans="1:4" ht="21.75" customHeight="1" x14ac:dyDescent="0.2">
      <c r="A191" s="190" t="s">
        <v>1009</v>
      </c>
      <c r="B191" s="190" t="s">
        <v>1204</v>
      </c>
      <c r="C191" s="191">
        <v>3.90009777548345</v>
      </c>
      <c r="D191" s="191">
        <v>18.1621350975797</v>
      </c>
    </row>
    <row r="192" spans="1:4" ht="21.75" customHeight="1" x14ac:dyDescent="0.2">
      <c r="A192" s="190" t="s">
        <v>1277</v>
      </c>
      <c r="B192" s="190" t="s">
        <v>1297</v>
      </c>
      <c r="C192" s="191">
        <v>0</v>
      </c>
      <c r="D192" s="191">
        <v>0</v>
      </c>
    </row>
    <row r="193" spans="1:4" ht="21.75" customHeight="1" x14ac:dyDescent="0.2">
      <c r="A193" s="190" t="s">
        <v>1010</v>
      </c>
      <c r="B193" s="190" t="s">
        <v>1205</v>
      </c>
      <c r="C193" s="191">
        <v>0.64083683525423096</v>
      </c>
      <c r="D193" s="191">
        <v>0.66621532604371403</v>
      </c>
    </row>
    <row r="194" spans="1:4" ht="21.75" customHeight="1" x14ac:dyDescent="0.2">
      <c r="A194" s="190" t="s">
        <v>1011</v>
      </c>
      <c r="B194" s="190" t="s">
        <v>1206</v>
      </c>
      <c r="C194" s="191">
        <v>0.64081770868425803</v>
      </c>
      <c r="D194" s="191">
        <v>0.66007947226206898</v>
      </c>
    </row>
    <row r="195" spans="1:4" ht="21.75" customHeight="1" x14ac:dyDescent="0.2">
      <c r="A195" s="190" t="s">
        <v>1012</v>
      </c>
      <c r="B195" s="190" t="s">
        <v>1207</v>
      </c>
      <c r="C195" s="191">
        <v>2.9200603834301799</v>
      </c>
      <c r="D195" s="191">
        <v>6.2417677363711404</v>
      </c>
    </row>
    <row r="196" spans="1:4" ht="21.75" customHeight="1" x14ac:dyDescent="0.2">
      <c r="A196" s="190" t="s">
        <v>1013</v>
      </c>
      <c r="B196" s="190" t="s">
        <v>1207</v>
      </c>
      <c r="C196" s="191">
        <v>0.88406739970852899</v>
      </c>
      <c r="D196" s="191">
        <v>5.7404287808065204</v>
      </c>
    </row>
    <row r="197" spans="1:4" ht="21.75" customHeight="1" x14ac:dyDescent="0.2">
      <c r="A197" s="190" t="s">
        <v>1014</v>
      </c>
      <c r="B197" s="190" t="s">
        <v>1208</v>
      </c>
      <c r="C197" s="191">
        <v>0</v>
      </c>
      <c r="D197" s="191">
        <v>0</v>
      </c>
    </row>
    <row r="198" spans="1:4" ht="21.75" customHeight="1" x14ac:dyDescent="0.2">
      <c r="A198" s="190" t="s">
        <v>1015</v>
      </c>
      <c r="B198" s="190" t="s">
        <v>1208</v>
      </c>
      <c r="C198" s="191">
        <v>0</v>
      </c>
      <c r="D198" s="191">
        <v>0</v>
      </c>
    </row>
    <row r="199" spans="1:4" ht="21.75" customHeight="1" x14ac:dyDescent="0.2">
      <c r="A199" s="190" t="s">
        <v>1016</v>
      </c>
      <c r="B199" s="190" t="s">
        <v>1208</v>
      </c>
      <c r="C199" s="191">
        <v>0</v>
      </c>
      <c r="D199" s="191">
        <v>0</v>
      </c>
    </row>
    <row r="200" spans="1:4" ht="21.75" customHeight="1" x14ac:dyDescent="0.2">
      <c r="A200" s="190" t="s">
        <v>1017</v>
      </c>
      <c r="B200" s="190" t="s">
        <v>1209</v>
      </c>
      <c r="C200" s="191">
        <v>0</v>
      </c>
      <c r="D200" s="191">
        <v>0</v>
      </c>
    </row>
    <row r="201" spans="1:4" ht="21.75" customHeight="1" x14ac:dyDescent="0.2">
      <c r="A201" s="190" t="s">
        <v>1278</v>
      </c>
      <c r="B201" s="190" t="s">
        <v>1298</v>
      </c>
      <c r="C201" s="191">
        <v>0</v>
      </c>
      <c r="D201" s="191">
        <v>0</v>
      </c>
    </row>
    <row r="202" spans="1:4" ht="21.75" customHeight="1" x14ac:dyDescent="0.2">
      <c r="A202" s="190" t="s">
        <v>1279</v>
      </c>
      <c r="B202" s="190" t="s">
        <v>1298</v>
      </c>
      <c r="C202" s="191">
        <v>0</v>
      </c>
      <c r="D202" s="191">
        <v>0</v>
      </c>
    </row>
    <row r="203" spans="1:4" ht="21.75" customHeight="1" x14ac:dyDescent="0.2">
      <c r="A203" s="190" t="s">
        <v>1280</v>
      </c>
      <c r="B203" s="190" t="s">
        <v>1299</v>
      </c>
      <c r="C203" s="191">
        <v>0</v>
      </c>
      <c r="D203" s="191">
        <v>0</v>
      </c>
    </row>
    <row r="204" spans="1:4" ht="21.75" customHeight="1" x14ac:dyDescent="0.2">
      <c r="A204" s="190" t="s">
        <v>1281</v>
      </c>
      <c r="B204" s="190" t="s">
        <v>1299</v>
      </c>
      <c r="C204" s="191">
        <v>0</v>
      </c>
      <c r="D204" s="191">
        <v>0</v>
      </c>
    </row>
    <row r="205" spans="1:4" ht="21.75" customHeight="1" x14ac:dyDescent="0.2">
      <c r="A205" s="190" t="s">
        <v>1018</v>
      </c>
      <c r="B205" s="190" t="s">
        <v>1210</v>
      </c>
      <c r="C205" s="191">
        <v>0</v>
      </c>
      <c r="D205" s="191">
        <v>0.167146564767093</v>
      </c>
    </row>
    <row r="206" spans="1:4" ht="21.75" customHeight="1" x14ac:dyDescent="0.2">
      <c r="A206" s="190" t="s">
        <v>1019</v>
      </c>
      <c r="B206" s="190" t="s">
        <v>1211</v>
      </c>
      <c r="C206" s="191">
        <v>0.64061714438928596</v>
      </c>
      <c r="D206" s="191">
        <v>0.64496443717317298</v>
      </c>
    </row>
    <row r="207" spans="1:4" ht="21.75" customHeight="1" x14ac:dyDescent="0.2">
      <c r="A207" s="190" t="s">
        <v>1020</v>
      </c>
      <c r="B207" s="190" t="s">
        <v>1212</v>
      </c>
      <c r="C207" s="191">
        <v>1.16714266319689</v>
      </c>
      <c r="D207" s="191">
        <v>0.56561632186503796</v>
      </c>
    </row>
    <row r="208" spans="1:4" ht="21.75" customHeight="1" x14ac:dyDescent="0.2">
      <c r="A208" s="190" t="s">
        <v>1021</v>
      </c>
      <c r="B208" s="190" t="s">
        <v>1213</v>
      </c>
      <c r="C208" s="191">
        <v>1.9559881424493299</v>
      </c>
      <c r="D208" s="191">
        <v>5.10680729563631</v>
      </c>
    </row>
    <row r="209" spans="1:4" ht="21.75" customHeight="1" x14ac:dyDescent="0.2">
      <c r="A209" s="190" t="s">
        <v>1022</v>
      </c>
      <c r="B209" s="190" t="s">
        <v>1213</v>
      </c>
      <c r="C209" s="191">
        <v>1.9562746779173801</v>
      </c>
      <c r="D209" s="191">
        <v>3.1438306885312599</v>
      </c>
    </row>
    <row r="210" spans="1:4" ht="21.75" customHeight="1" x14ac:dyDescent="0.2">
      <c r="A210" s="190" t="s">
        <v>1023</v>
      </c>
      <c r="B210" s="190" t="s">
        <v>1214</v>
      </c>
      <c r="C210" s="191">
        <v>3.0068750492794898</v>
      </c>
      <c r="D210" s="191">
        <v>12.4393204087188</v>
      </c>
    </row>
    <row r="211" spans="1:4" ht="21.75" customHeight="1" x14ac:dyDescent="0.2">
      <c r="A211" s="190" t="s">
        <v>1024</v>
      </c>
      <c r="B211" s="190" t="s">
        <v>1214</v>
      </c>
      <c r="C211" s="191">
        <v>0.113016219677161</v>
      </c>
      <c r="D211" s="191">
        <v>6.89793107368207</v>
      </c>
    </row>
    <row r="212" spans="1:4" ht="21.75" customHeight="1" x14ac:dyDescent="0.2">
      <c r="A212" s="190" t="s">
        <v>1025</v>
      </c>
      <c r="B212" s="190" t="s">
        <v>1214</v>
      </c>
      <c r="C212" s="191">
        <v>1.50386668168154</v>
      </c>
      <c r="D212" s="191">
        <v>12.849040023986801</v>
      </c>
    </row>
    <row r="213" spans="1:4" ht="21.75" customHeight="1" x14ac:dyDescent="0.2">
      <c r="A213" s="190" t="s">
        <v>1026</v>
      </c>
      <c r="B213" s="190" t="s">
        <v>1214</v>
      </c>
      <c r="C213" s="191">
        <v>2.70828213903325E-3</v>
      </c>
      <c r="D213" s="191">
        <v>2.9151489747560202</v>
      </c>
    </row>
    <row r="214" spans="1:4" ht="21.75" customHeight="1" x14ac:dyDescent="0.2">
      <c r="A214" s="190" t="s">
        <v>1027</v>
      </c>
      <c r="B214" s="190" t="s">
        <v>1215</v>
      </c>
      <c r="C214" s="191">
        <v>7.6201736745434401E-2</v>
      </c>
      <c r="D214" s="191">
        <v>2.8104280019922898</v>
      </c>
    </row>
    <row r="215" spans="1:4" ht="21.75" customHeight="1" x14ac:dyDescent="0.2">
      <c r="A215" s="190" t="s">
        <v>1028</v>
      </c>
      <c r="B215" s="190" t="s">
        <v>1215</v>
      </c>
      <c r="C215" s="191">
        <v>6.1641949679916201E-2</v>
      </c>
      <c r="D215" s="191">
        <v>2.4623439968990799</v>
      </c>
    </row>
    <row r="216" spans="1:4" ht="21.75" customHeight="1" x14ac:dyDescent="0.2">
      <c r="A216" s="190" t="s">
        <v>1029</v>
      </c>
      <c r="B216" s="190" t="s">
        <v>1215</v>
      </c>
      <c r="C216" s="191">
        <v>0</v>
      </c>
      <c r="D216" s="191">
        <v>0</v>
      </c>
    </row>
    <row r="217" spans="1:4" ht="21.75" customHeight="1" x14ac:dyDescent="0.2">
      <c r="A217" s="190" t="s">
        <v>1030</v>
      </c>
      <c r="B217" s="190" t="s">
        <v>1215</v>
      </c>
      <c r="C217" s="191">
        <v>0</v>
      </c>
      <c r="D217" s="191">
        <v>0</v>
      </c>
    </row>
    <row r="218" spans="1:4" ht="21.75" customHeight="1" x14ac:dyDescent="0.2">
      <c r="A218" s="190" t="s">
        <v>1031</v>
      </c>
      <c r="B218" s="190" t="s">
        <v>1216</v>
      </c>
      <c r="C218" s="191">
        <v>4.3534756568790201</v>
      </c>
      <c r="D218" s="191">
        <v>9.6135392724981994</v>
      </c>
    </row>
    <row r="219" spans="1:4" ht="21.75" customHeight="1" x14ac:dyDescent="0.2">
      <c r="A219" s="190" t="s">
        <v>1032</v>
      </c>
      <c r="B219" s="190" t="s">
        <v>1216</v>
      </c>
      <c r="C219" s="191">
        <v>3.6710868277177502</v>
      </c>
      <c r="D219" s="191">
        <v>9.5663869988648997</v>
      </c>
    </row>
    <row r="220" spans="1:4" ht="21.75" customHeight="1" x14ac:dyDescent="0.2">
      <c r="A220" s="190" t="s">
        <v>1033</v>
      </c>
      <c r="B220" s="190" t="s">
        <v>1217</v>
      </c>
      <c r="C220" s="191">
        <v>2.2390571985243799</v>
      </c>
      <c r="D220" s="191">
        <v>4.6002582572804904</v>
      </c>
    </row>
    <row r="221" spans="1:4" ht="21.75" customHeight="1" x14ac:dyDescent="0.2">
      <c r="A221" s="190" t="s">
        <v>1034</v>
      </c>
      <c r="B221" s="190" t="s">
        <v>1217</v>
      </c>
      <c r="C221" s="191">
        <v>2.57722020295855</v>
      </c>
      <c r="D221" s="191">
        <v>5.6722612796349097</v>
      </c>
    </row>
    <row r="222" spans="1:4" ht="21.75" customHeight="1" x14ac:dyDescent="0.2">
      <c r="A222" s="190" t="s">
        <v>1035</v>
      </c>
      <c r="B222" s="190" t="s">
        <v>1218</v>
      </c>
      <c r="C222" s="191">
        <v>2.3108389206665301</v>
      </c>
      <c r="D222" s="191">
        <v>1.2768688632215499</v>
      </c>
    </row>
    <row r="223" spans="1:4" ht="21.75" customHeight="1" x14ac:dyDescent="0.2">
      <c r="A223" s="190" t="s">
        <v>1036</v>
      </c>
      <c r="B223" s="190" t="s">
        <v>1219</v>
      </c>
      <c r="C223" s="191">
        <v>0</v>
      </c>
      <c r="D223" s="191">
        <v>0</v>
      </c>
    </row>
    <row r="224" spans="1:4" ht="21.75" customHeight="1" x14ac:dyDescent="0.2">
      <c r="A224" s="190" t="s">
        <v>1037</v>
      </c>
      <c r="B224" s="190" t="s">
        <v>1219</v>
      </c>
      <c r="C224" s="191">
        <v>0</v>
      </c>
      <c r="D224" s="191">
        <v>0</v>
      </c>
    </row>
    <row r="225" spans="1:4" ht="21.75" customHeight="1" x14ac:dyDescent="0.2">
      <c r="A225" s="190" t="s">
        <v>1038</v>
      </c>
      <c r="B225" s="190" t="s">
        <v>1220</v>
      </c>
      <c r="C225" s="191">
        <v>0</v>
      </c>
      <c r="D225" s="191">
        <v>0</v>
      </c>
    </row>
    <row r="226" spans="1:4" ht="21.75" customHeight="1" x14ac:dyDescent="0.2">
      <c r="A226" s="190" t="s">
        <v>1039</v>
      </c>
      <c r="B226" s="190" t="s">
        <v>1221</v>
      </c>
      <c r="C226" s="191">
        <v>1.07908928724607</v>
      </c>
      <c r="D226" s="191">
        <v>6.4117643989735296</v>
      </c>
    </row>
    <row r="227" spans="1:4" ht="21.75" customHeight="1" x14ac:dyDescent="0.2">
      <c r="A227" s="190" t="s">
        <v>1040</v>
      </c>
      <c r="B227" s="190" t="s">
        <v>1222</v>
      </c>
      <c r="C227" s="191">
        <v>0</v>
      </c>
      <c r="D227" s="191">
        <v>0</v>
      </c>
    </row>
    <row r="228" spans="1:4" ht="21.75" customHeight="1" x14ac:dyDescent="0.2">
      <c r="A228" s="190" t="s">
        <v>1041</v>
      </c>
      <c r="B228" s="190" t="s">
        <v>1223</v>
      </c>
      <c r="C228" s="191">
        <v>7.0717862873703796E-2</v>
      </c>
      <c r="D228" s="191">
        <v>-6.8807527637620103E-2</v>
      </c>
    </row>
    <row r="229" spans="1:4" ht="21.75" customHeight="1" x14ac:dyDescent="0.2">
      <c r="A229" s="190" t="s">
        <v>1042</v>
      </c>
      <c r="B229" s="190" t="s">
        <v>1223</v>
      </c>
      <c r="C229" s="191">
        <v>7.2152712849394299E-2</v>
      </c>
      <c r="D229" s="191">
        <v>-6.8232203708006506E-2</v>
      </c>
    </row>
    <row r="230" spans="1:4" ht="21.75" customHeight="1" x14ac:dyDescent="0.2">
      <c r="A230" s="190" t="s">
        <v>1043</v>
      </c>
      <c r="B230" s="190" t="s">
        <v>1224</v>
      </c>
      <c r="C230" s="191">
        <v>1.3202323662537401</v>
      </c>
      <c r="D230" s="191">
        <v>0.994608850563239</v>
      </c>
    </row>
    <row r="231" spans="1:4" ht="21.75" customHeight="1" x14ac:dyDescent="0.2">
      <c r="A231" s="190" t="s">
        <v>1282</v>
      </c>
      <c r="B231" s="190" t="s">
        <v>1224</v>
      </c>
      <c r="C231" s="191">
        <v>1.1904864841767899</v>
      </c>
      <c r="D231" s="191">
        <v>2.0808394411580502</v>
      </c>
    </row>
    <row r="232" spans="1:4" ht="21.75" customHeight="1" x14ac:dyDescent="0.2">
      <c r="A232" s="190" t="s">
        <v>1283</v>
      </c>
      <c r="B232" s="190" t="s">
        <v>1224</v>
      </c>
      <c r="C232" s="191">
        <v>1.1815269314708301</v>
      </c>
      <c r="D232" s="191">
        <v>1.17446771400795</v>
      </c>
    </row>
    <row r="233" spans="1:4" ht="21.75" customHeight="1" x14ac:dyDescent="0.2">
      <c r="A233" s="190" t="s">
        <v>1044</v>
      </c>
      <c r="B233" s="190" t="s">
        <v>1225</v>
      </c>
      <c r="C233" s="191">
        <v>0.44511422574076098</v>
      </c>
      <c r="D233" s="191">
        <v>3.4695766805515502</v>
      </c>
    </row>
    <row r="234" spans="1:4" ht="21.75" customHeight="1" x14ac:dyDescent="0.2">
      <c r="A234" s="190" t="s">
        <v>1045</v>
      </c>
      <c r="B234" s="190" t="s">
        <v>1225</v>
      </c>
      <c r="C234" s="191">
        <v>0.101665996626528</v>
      </c>
      <c r="D234" s="191">
        <v>2.8507860732891901</v>
      </c>
    </row>
    <row r="235" spans="1:4" ht="21.75" customHeight="1" x14ac:dyDescent="0.2">
      <c r="A235" s="190" t="s">
        <v>1046</v>
      </c>
      <c r="B235" s="190" t="s">
        <v>1226</v>
      </c>
      <c r="C235" s="191">
        <v>0</v>
      </c>
      <c r="D235" s="191">
        <v>0</v>
      </c>
    </row>
    <row r="236" spans="1:4" ht="21.75" customHeight="1" x14ac:dyDescent="0.2">
      <c r="A236" s="190" t="s">
        <v>1284</v>
      </c>
      <c r="B236" s="190" t="s">
        <v>1226</v>
      </c>
      <c r="C236" s="191">
        <v>0</v>
      </c>
      <c r="D236" s="191">
        <v>0</v>
      </c>
    </row>
    <row r="237" spans="1:4" ht="21.75" customHeight="1" x14ac:dyDescent="0.2">
      <c r="A237" s="190" t="s">
        <v>1047</v>
      </c>
      <c r="B237" s="190" t="s">
        <v>1227</v>
      </c>
      <c r="C237" s="191">
        <v>0</v>
      </c>
      <c r="D237" s="191">
        <v>0</v>
      </c>
    </row>
    <row r="238" spans="1:4" ht="21.75" customHeight="1" x14ac:dyDescent="0.2">
      <c r="A238" s="190" t="s">
        <v>1048</v>
      </c>
      <c r="B238" s="190" t="s">
        <v>1228</v>
      </c>
      <c r="C238" s="191">
        <v>0</v>
      </c>
      <c r="D238" s="191">
        <v>0</v>
      </c>
    </row>
    <row r="239" spans="1:4" ht="21.75" customHeight="1" x14ac:dyDescent="0.2">
      <c r="A239" s="190" t="s">
        <v>1049</v>
      </c>
      <c r="B239" s="190" t="s">
        <v>1228</v>
      </c>
      <c r="C239" s="191">
        <v>0.77145931789896105</v>
      </c>
      <c r="D239" s="191">
        <v>3.6967017815346699</v>
      </c>
    </row>
    <row r="240" spans="1:4" ht="21.75" customHeight="1" x14ac:dyDescent="0.2">
      <c r="A240" s="190" t="s">
        <v>1050</v>
      </c>
      <c r="B240" s="190" t="s">
        <v>1229</v>
      </c>
      <c r="C240" s="191">
        <v>0.64333641554474796</v>
      </c>
      <c r="D240" s="191">
        <v>0.56786462388242098</v>
      </c>
    </row>
    <row r="241" spans="1:4" ht="21.75" customHeight="1" x14ac:dyDescent="0.2">
      <c r="A241" s="190" t="s">
        <v>1051</v>
      </c>
      <c r="B241" s="190" t="s">
        <v>1230</v>
      </c>
      <c r="C241" s="191">
        <v>0.64038376972641697</v>
      </c>
      <c r="D241" s="191">
        <v>0.62373109717551101</v>
      </c>
    </row>
    <row r="242" spans="1:4" ht="21.75" customHeight="1" x14ac:dyDescent="0.2">
      <c r="A242" s="190" t="s">
        <v>1052</v>
      </c>
      <c r="B242" s="190" t="s">
        <v>1231</v>
      </c>
      <c r="C242" s="191">
        <v>0</v>
      </c>
      <c r="D242" s="191">
        <v>0</v>
      </c>
    </row>
    <row r="243" spans="1:4" ht="21.75" customHeight="1" x14ac:dyDescent="0.2">
      <c r="A243" s="190" t="s">
        <v>1053</v>
      </c>
      <c r="B243" s="190" t="s">
        <v>1231</v>
      </c>
      <c r="C243" s="191">
        <v>0</v>
      </c>
      <c r="D243" s="191">
        <v>0</v>
      </c>
    </row>
    <row r="244" spans="1:4" ht="21.75" customHeight="1" x14ac:dyDescent="0.2">
      <c r="A244" s="190" t="s">
        <v>1054</v>
      </c>
      <c r="B244" s="190" t="s">
        <v>1232</v>
      </c>
      <c r="C244" s="191">
        <v>2.06118238229051</v>
      </c>
      <c r="D244" s="191">
        <v>1.58633921664597E-3</v>
      </c>
    </row>
    <row r="245" spans="1:4" ht="21.75" customHeight="1" x14ac:dyDescent="0.2">
      <c r="A245" s="190" t="s">
        <v>1055</v>
      </c>
      <c r="B245" s="190" t="s">
        <v>1232</v>
      </c>
      <c r="C245" s="191">
        <v>1.60921113180105</v>
      </c>
      <c r="D245" s="191">
        <v>1.5888197280866699E-3</v>
      </c>
    </row>
    <row r="246" spans="1:4" ht="21.75" customHeight="1" x14ac:dyDescent="0.2">
      <c r="A246" s="190" t="s">
        <v>1056</v>
      </c>
      <c r="B246" s="190" t="s">
        <v>1233</v>
      </c>
      <c r="C246" s="191">
        <v>1.9829621797619801</v>
      </c>
      <c r="D246" s="191">
        <v>3.8941842154828299</v>
      </c>
    </row>
    <row r="247" spans="1:4" ht="21.75" customHeight="1" x14ac:dyDescent="0.2">
      <c r="A247" s="190" t="s">
        <v>1057</v>
      </c>
      <c r="B247" s="190" t="s">
        <v>1233</v>
      </c>
      <c r="C247" s="191">
        <v>2.0276491007889299</v>
      </c>
      <c r="D247" s="191">
        <v>3.9273564221832502</v>
      </c>
    </row>
    <row r="248" spans="1:4" ht="21.75" customHeight="1" x14ac:dyDescent="0.2">
      <c r="A248" s="190" t="s">
        <v>1058</v>
      </c>
      <c r="B248" s="190" t="s">
        <v>1234</v>
      </c>
      <c r="C248" s="191">
        <v>1.02768050189271</v>
      </c>
      <c r="D248" s="191">
        <v>13.8767781570709</v>
      </c>
    </row>
    <row r="249" spans="1:4" ht="21.75" customHeight="1" x14ac:dyDescent="0.2">
      <c r="A249" s="190" t="s">
        <v>1059</v>
      </c>
      <c r="B249" s="190" t="s">
        <v>1235</v>
      </c>
      <c r="C249" s="191">
        <v>3.0309861472044899</v>
      </c>
      <c r="D249" s="191">
        <v>0.59741656029201395</v>
      </c>
    </row>
    <row r="250" spans="1:4" ht="21.75" customHeight="1" x14ac:dyDescent="0.2">
      <c r="A250" s="190" t="s">
        <v>1060</v>
      </c>
      <c r="B250" s="190" t="s">
        <v>1235</v>
      </c>
      <c r="C250" s="191">
        <v>1.6090535512636499</v>
      </c>
      <c r="D250" s="191">
        <v>0.542708216412503</v>
      </c>
    </row>
    <row r="251" spans="1:4" ht="21.75" customHeight="1" x14ac:dyDescent="0.2">
      <c r="A251" s="190" t="s">
        <v>1061</v>
      </c>
      <c r="B251" s="190" t="s">
        <v>1236</v>
      </c>
      <c r="C251" s="191">
        <v>0</v>
      </c>
      <c r="D251" s="191">
        <v>0</v>
      </c>
    </row>
    <row r="252" spans="1:4" ht="21.75" customHeight="1" x14ac:dyDescent="0.2">
      <c r="A252" s="190" t="s">
        <v>1062</v>
      </c>
      <c r="B252" s="190" t="s">
        <v>1236</v>
      </c>
      <c r="C252" s="191">
        <v>0</v>
      </c>
      <c r="D252" s="191">
        <v>0</v>
      </c>
    </row>
    <row r="253" spans="1:4" ht="21.75" customHeight="1" x14ac:dyDescent="0.2">
      <c r="A253" s="190" t="s">
        <v>1063</v>
      </c>
      <c r="B253" s="190" t="s">
        <v>1236</v>
      </c>
      <c r="C253" s="191">
        <v>0</v>
      </c>
      <c r="D253" s="191">
        <v>0</v>
      </c>
    </row>
    <row r="254" spans="1:4" ht="21.75" customHeight="1" x14ac:dyDescent="0.2">
      <c r="A254" s="190" t="s">
        <v>1064</v>
      </c>
      <c r="B254" s="190" t="s">
        <v>1237</v>
      </c>
      <c r="C254" s="191">
        <v>0</v>
      </c>
      <c r="D254" s="191">
        <v>6.2388070020151902</v>
      </c>
    </row>
    <row r="255" spans="1:4" ht="21.75" customHeight="1" x14ac:dyDescent="0.2">
      <c r="A255" s="190" t="s">
        <v>1065</v>
      </c>
      <c r="B255" s="190" t="s">
        <v>1237</v>
      </c>
      <c r="C255" s="191">
        <v>0.80007216956332405</v>
      </c>
      <c r="D255" s="191">
        <v>2.1993250257681898</v>
      </c>
    </row>
    <row r="256" spans="1:4" ht="21.75" customHeight="1" x14ac:dyDescent="0.2">
      <c r="A256" s="190" t="s">
        <v>1066</v>
      </c>
      <c r="B256" s="190" t="s">
        <v>1237</v>
      </c>
      <c r="C256" s="191">
        <v>0</v>
      </c>
      <c r="D256" s="191">
        <v>6.4674747521981901</v>
      </c>
    </row>
    <row r="257" spans="1:4" ht="21.75" customHeight="1" x14ac:dyDescent="0.2">
      <c r="A257" s="190" t="s">
        <v>1067</v>
      </c>
      <c r="B257" s="190" t="s">
        <v>1237</v>
      </c>
      <c r="C257" s="191">
        <v>0.83637717650421795</v>
      </c>
      <c r="D257" s="191">
        <v>2.2661947853660598</v>
      </c>
    </row>
    <row r="258" spans="1:4" ht="21.75" customHeight="1" x14ac:dyDescent="0.2">
      <c r="A258" s="190" t="s">
        <v>1068</v>
      </c>
      <c r="B258" s="190" t="s">
        <v>1237</v>
      </c>
      <c r="C258" s="191">
        <v>0</v>
      </c>
      <c r="D258" s="191">
        <v>0</v>
      </c>
    </row>
    <row r="259" spans="1:4" ht="21.75" customHeight="1" x14ac:dyDescent="0.2">
      <c r="A259" s="190" t="s">
        <v>1069</v>
      </c>
      <c r="B259" s="190" t="s">
        <v>1237</v>
      </c>
      <c r="C259" s="191">
        <v>0</v>
      </c>
      <c r="D259" s="191">
        <v>0</v>
      </c>
    </row>
    <row r="260" spans="1:4" ht="21.75" customHeight="1" x14ac:dyDescent="0.2">
      <c r="A260" s="190" t="s">
        <v>1070</v>
      </c>
      <c r="B260" s="190" t="s">
        <v>1238</v>
      </c>
      <c r="C260" s="191">
        <v>0</v>
      </c>
      <c r="D260" s="191">
        <v>0</v>
      </c>
    </row>
    <row r="261" spans="1:4" ht="21.75" customHeight="1" x14ac:dyDescent="0.2">
      <c r="A261" s="190" t="s">
        <v>1071</v>
      </c>
      <c r="B261" s="190" t="s">
        <v>1239</v>
      </c>
      <c r="C261" s="191">
        <v>0</v>
      </c>
      <c r="D261" s="191">
        <v>0</v>
      </c>
    </row>
    <row r="262" spans="1:4" ht="21.75" customHeight="1" x14ac:dyDescent="0.2">
      <c r="A262" s="190" t="s">
        <v>1072</v>
      </c>
      <c r="B262" s="190" t="s">
        <v>1240</v>
      </c>
      <c r="C262" s="191">
        <v>4.3707294381786603</v>
      </c>
      <c r="D262" s="191">
        <v>0.391338970847803</v>
      </c>
    </row>
    <row r="263" spans="1:4" ht="21.75" customHeight="1" x14ac:dyDescent="0.2">
      <c r="A263" s="190" t="s">
        <v>1073</v>
      </c>
      <c r="B263" s="190" t="s">
        <v>1240</v>
      </c>
      <c r="C263" s="191">
        <v>3.4315642203641001</v>
      </c>
      <c r="D263" s="191">
        <v>0.39556865892668502</v>
      </c>
    </row>
    <row r="264" spans="1:4" ht="21.75" customHeight="1" x14ac:dyDescent="0.2">
      <c r="A264" s="190" t="s">
        <v>1074</v>
      </c>
      <c r="B264" s="190" t="s">
        <v>1241</v>
      </c>
      <c r="C264" s="191">
        <v>0</v>
      </c>
      <c r="D264" s="191">
        <v>0</v>
      </c>
    </row>
    <row r="265" spans="1:4" ht="21.75" customHeight="1" x14ac:dyDescent="0.2">
      <c r="A265" s="190" t="s">
        <v>1075</v>
      </c>
      <c r="B265" s="190" t="s">
        <v>1242</v>
      </c>
      <c r="C265" s="191">
        <v>0.53600231288616795</v>
      </c>
      <c r="D265" s="191">
        <v>0.45199932984584801</v>
      </c>
    </row>
    <row r="266" spans="1:4" ht="21.75" customHeight="1" x14ac:dyDescent="0.2">
      <c r="A266" s="190" t="s">
        <v>1076</v>
      </c>
      <c r="B266" s="190" t="s">
        <v>1243</v>
      </c>
      <c r="C266" s="191">
        <v>4.4273871770091402</v>
      </c>
      <c r="D266" s="191">
        <v>3.5860361305686101</v>
      </c>
    </row>
    <row r="267" spans="1:4" ht="21.75" customHeight="1" x14ac:dyDescent="0.2">
      <c r="A267" s="190" t="s">
        <v>1077</v>
      </c>
      <c r="B267" s="190" t="s">
        <v>1243</v>
      </c>
      <c r="C267" s="191">
        <v>0.46333668292086799</v>
      </c>
      <c r="D267" s="191">
        <v>3.5760637350668998</v>
      </c>
    </row>
    <row r="268" spans="1:4" ht="21.75" customHeight="1" x14ac:dyDescent="0.2">
      <c r="A268" s="190" t="s">
        <v>1078</v>
      </c>
      <c r="B268" s="190" t="s">
        <v>1244</v>
      </c>
      <c r="C268" s="191">
        <v>1.8833747291241001</v>
      </c>
      <c r="D268" s="191">
        <v>2.9555297415483701</v>
      </c>
    </row>
    <row r="269" spans="1:4" ht="21.75" customHeight="1" x14ac:dyDescent="0.2">
      <c r="A269" s="190" t="s">
        <v>1079</v>
      </c>
      <c r="B269" s="190" t="s">
        <v>1244</v>
      </c>
      <c r="C269" s="191">
        <v>2.6913168298972501</v>
      </c>
      <c r="D269" s="191">
        <v>2.7526945075480298</v>
      </c>
    </row>
    <row r="270" spans="1:4" ht="21.75" customHeight="1" x14ac:dyDescent="0.2">
      <c r="A270" s="190" t="s">
        <v>1080</v>
      </c>
      <c r="B270" s="190" t="s">
        <v>1245</v>
      </c>
      <c r="C270" s="191">
        <v>2.5926256934916401</v>
      </c>
      <c r="D270" s="191">
        <v>1.7905836053320501</v>
      </c>
    </row>
    <row r="271" spans="1:4" ht="21.75" customHeight="1" x14ac:dyDescent="0.2">
      <c r="A271" s="190" t="s">
        <v>1081</v>
      </c>
      <c r="B271" s="190" t="s">
        <v>1245</v>
      </c>
      <c r="C271" s="191">
        <v>1.41144140046358</v>
      </c>
      <c r="D271" s="191">
        <v>0.95327481985621498</v>
      </c>
    </row>
    <row r="272" spans="1:4" ht="21.75" customHeight="1" x14ac:dyDescent="0.2">
      <c r="A272" s="190" t="s">
        <v>1082</v>
      </c>
      <c r="B272" s="190" t="s">
        <v>1246</v>
      </c>
      <c r="C272" s="191">
        <v>2.3151268395483799</v>
      </c>
      <c r="D272" s="191">
        <v>3.7299873600057301</v>
      </c>
    </row>
    <row r="273" spans="1:4" ht="21.75" customHeight="1" x14ac:dyDescent="0.2">
      <c r="A273" s="190" t="s">
        <v>1083</v>
      </c>
      <c r="B273" s="190" t="s">
        <v>1246</v>
      </c>
      <c r="C273" s="191">
        <v>3.5224165209054701</v>
      </c>
      <c r="D273" s="191">
        <v>4.8948119340653298</v>
      </c>
    </row>
    <row r="274" spans="1:4" ht="21.75" customHeight="1" x14ac:dyDescent="0.2">
      <c r="A274" s="190" t="s">
        <v>1084</v>
      </c>
      <c r="B274" s="190" t="s">
        <v>1247</v>
      </c>
      <c r="C274" s="191">
        <v>0</v>
      </c>
      <c r="D274" s="191">
        <v>0</v>
      </c>
    </row>
    <row r="275" spans="1:4" ht="21.75" customHeight="1" x14ac:dyDescent="0.2">
      <c r="A275" s="190" t="s">
        <v>1085</v>
      </c>
      <c r="B275" s="190" t="s">
        <v>1248</v>
      </c>
      <c r="C275" s="191">
        <v>2.4123068973926598</v>
      </c>
      <c r="D275" s="191">
        <v>2.4704178233468301</v>
      </c>
    </row>
    <row r="276" spans="1:4" ht="21.75" customHeight="1" x14ac:dyDescent="0.2">
      <c r="A276" s="190" t="s">
        <v>1086</v>
      </c>
      <c r="B276" s="190" t="s">
        <v>1248</v>
      </c>
      <c r="C276" s="191">
        <v>2.4456402066289402</v>
      </c>
      <c r="D276" s="191">
        <v>2.4667357012403399</v>
      </c>
    </row>
    <row r="277" spans="1:4" ht="21.75" customHeight="1" x14ac:dyDescent="0.2">
      <c r="A277" s="190" t="s">
        <v>1087</v>
      </c>
      <c r="B277" s="190" t="s">
        <v>1249</v>
      </c>
      <c r="C277" s="191">
        <v>4.0310527140256101</v>
      </c>
      <c r="D277" s="191">
        <v>16.704844231388499</v>
      </c>
    </row>
    <row r="278" spans="1:4" ht="21.75" customHeight="1" x14ac:dyDescent="0.2">
      <c r="A278" s="190" t="s">
        <v>1088</v>
      </c>
      <c r="B278" s="190" t="s">
        <v>1249</v>
      </c>
      <c r="C278" s="191">
        <v>5.0512738347732098</v>
      </c>
      <c r="D278" s="191">
        <v>19.336238629349999</v>
      </c>
    </row>
    <row r="279" spans="1:4" ht="21.75" customHeight="1" x14ac:dyDescent="0.2">
      <c r="A279" s="190" t="s">
        <v>1089</v>
      </c>
      <c r="B279" s="190" t="s">
        <v>1250</v>
      </c>
      <c r="C279" s="191">
        <v>1.0205283713742499</v>
      </c>
      <c r="D279" s="191">
        <v>5.4717498581647197</v>
      </c>
    </row>
    <row r="280" spans="1:4" ht="21.75" customHeight="1" x14ac:dyDescent="0.2">
      <c r="A280" s="190" t="s">
        <v>1090</v>
      </c>
      <c r="B280" s="190" t="s">
        <v>1251</v>
      </c>
      <c r="C280" s="191">
        <v>2.4084421194871999E-6</v>
      </c>
      <c r="D280" s="191">
        <v>2.2760384112233099</v>
      </c>
    </row>
    <row r="281" spans="1:4" ht="21.75" customHeight="1" x14ac:dyDescent="0.2">
      <c r="A281" s="190" t="s">
        <v>1091</v>
      </c>
      <c r="B281" s="190" t="s">
        <v>1251</v>
      </c>
      <c r="C281" s="191">
        <v>1.59178116726427E-6</v>
      </c>
      <c r="D281" s="191">
        <v>1.44265186673927</v>
      </c>
    </row>
    <row r="282" spans="1:4" ht="21.75" customHeight="1" x14ac:dyDescent="0.2">
      <c r="A282" s="190" t="s">
        <v>1092</v>
      </c>
      <c r="B282" s="190" t="s">
        <v>1251</v>
      </c>
      <c r="C282" s="191">
        <v>6.2884686195352698E-7</v>
      </c>
      <c r="D282" s="191">
        <v>0.42277649929137001</v>
      </c>
    </row>
    <row r="283" spans="1:4" ht="21.75" customHeight="1" x14ac:dyDescent="0.2">
      <c r="A283" s="190" t="s">
        <v>1093</v>
      </c>
      <c r="B283" s="190" t="s">
        <v>1252</v>
      </c>
      <c r="C283" s="191">
        <v>0</v>
      </c>
      <c r="D283" s="191">
        <v>0</v>
      </c>
    </row>
    <row r="284" spans="1:4" ht="21.75" customHeight="1" x14ac:dyDescent="0.2">
      <c r="A284" s="190" t="s">
        <v>1094</v>
      </c>
      <c r="B284" s="190" t="s">
        <v>1252</v>
      </c>
      <c r="C284" s="191">
        <v>0</v>
      </c>
      <c r="D284" s="191">
        <v>0</v>
      </c>
    </row>
    <row r="285" spans="1:4" ht="21.75" customHeight="1" x14ac:dyDescent="0.2">
      <c r="A285" s="190" t="s">
        <v>1095</v>
      </c>
      <c r="B285" s="190" t="s">
        <v>1252</v>
      </c>
      <c r="C285" s="191">
        <v>0</v>
      </c>
      <c r="D285" s="191">
        <v>0</v>
      </c>
    </row>
    <row r="286" spans="1:4" ht="21.75" customHeight="1" x14ac:dyDescent="0.2">
      <c r="A286" s="190" t="s">
        <v>1096</v>
      </c>
      <c r="B286" s="190" t="s">
        <v>1252</v>
      </c>
      <c r="C286" s="191">
        <v>4.4778657761495803E-2</v>
      </c>
      <c r="D286" s="191">
        <v>0.321911740831898</v>
      </c>
    </row>
    <row r="287" spans="1:4" ht="21.75" customHeight="1" x14ac:dyDescent="0.2">
      <c r="A287" s="190" t="s">
        <v>1097</v>
      </c>
      <c r="B287" s="190" t="s">
        <v>1252</v>
      </c>
      <c r="C287" s="191">
        <v>4.4606710906712602E-2</v>
      </c>
      <c r="D287" s="191">
        <v>0.32931497258755099</v>
      </c>
    </row>
    <row r="288" spans="1:4" ht="21.75" customHeight="1" x14ac:dyDescent="0.2">
      <c r="A288" s="190" t="s">
        <v>1098</v>
      </c>
      <c r="B288" s="190" t="s">
        <v>1253</v>
      </c>
      <c r="C288" s="191">
        <v>0.32760055264826499</v>
      </c>
      <c r="D288" s="191">
        <v>4.9615050724563002E-3</v>
      </c>
    </row>
    <row r="289" spans="1:4" ht="21.75" customHeight="1" x14ac:dyDescent="0.2">
      <c r="A289" s="190" t="s">
        <v>1099</v>
      </c>
      <c r="B289" s="190" t="s">
        <v>1253</v>
      </c>
      <c r="C289" s="191">
        <v>0.31936249906737701</v>
      </c>
      <c r="D289" s="191">
        <v>4.9615050724563002E-3</v>
      </c>
    </row>
    <row r="290" spans="1:4" ht="21.75" customHeight="1" x14ac:dyDescent="0.2">
      <c r="A290" s="190" t="s">
        <v>1100</v>
      </c>
      <c r="B290" s="190" t="s">
        <v>1254</v>
      </c>
      <c r="C290" s="191">
        <v>1.1620327047535901</v>
      </c>
      <c r="D290" s="191">
        <v>24.314858371280401</v>
      </c>
    </row>
    <row r="291" spans="1:4" ht="21.75" customHeight="1" x14ac:dyDescent="0.2">
      <c r="A291" s="190" t="s">
        <v>1101</v>
      </c>
      <c r="B291" s="190" t="s">
        <v>1254</v>
      </c>
      <c r="C291" s="191">
        <v>1.6648325166700799</v>
      </c>
      <c r="D291" s="191">
        <v>6.65411256437066</v>
      </c>
    </row>
    <row r="292" spans="1:4" ht="21.75" customHeight="1" x14ac:dyDescent="0.2">
      <c r="A292" s="190" t="s">
        <v>1102</v>
      </c>
      <c r="B292" s="190" t="s">
        <v>1255</v>
      </c>
      <c r="C292" s="191">
        <v>0</v>
      </c>
      <c r="D292" s="191">
        <v>0</v>
      </c>
    </row>
    <row r="293" spans="1:4" ht="21.75" customHeight="1" x14ac:dyDescent="0.2">
      <c r="A293" s="190" t="s">
        <v>1103</v>
      </c>
      <c r="B293" s="190" t="s">
        <v>1256</v>
      </c>
      <c r="C293" s="191">
        <v>0</v>
      </c>
      <c r="D293" s="191">
        <v>0</v>
      </c>
    </row>
    <row r="294" spans="1:4" ht="21.75" customHeight="1" x14ac:dyDescent="0.2">
      <c r="A294" s="190" t="s">
        <v>1104</v>
      </c>
      <c r="B294" s="190" t="s">
        <v>1257</v>
      </c>
      <c r="C294" s="191">
        <v>1.87916578095725</v>
      </c>
      <c r="D294" s="191">
        <v>4.8086681537555798</v>
      </c>
    </row>
    <row r="295" spans="1:4" ht="21.75" customHeight="1" x14ac:dyDescent="0.2">
      <c r="A295" s="190" t="s">
        <v>1105</v>
      </c>
      <c r="B295" s="190" t="s">
        <v>1257</v>
      </c>
      <c r="C295" s="191">
        <v>1.0665450540982</v>
      </c>
      <c r="D295" s="191">
        <v>4.4115053659380496</v>
      </c>
    </row>
    <row r="296" spans="1:4" ht="21.75" customHeight="1" x14ac:dyDescent="0.2">
      <c r="A296" s="190" t="s">
        <v>1106</v>
      </c>
      <c r="B296" s="190" t="s">
        <v>1258</v>
      </c>
      <c r="C296" s="191">
        <v>0</v>
      </c>
      <c r="D296" s="191">
        <v>5.2931490995054599E-3</v>
      </c>
    </row>
    <row r="297" spans="1:4" ht="21.75" customHeight="1" x14ac:dyDescent="0.2">
      <c r="A297" s="190" t="s">
        <v>1107</v>
      </c>
      <c r="B297" s="190" t="s">
        <v>1259</v>
      </c>
      <c r="C297" s="191">
        <v>1.7852682576761301</v>
      </c>
      <c r="D297" s="191">
        <v>2.9301002325474101</v>
      </c>
    </row>
    <row r="298" spans="1:4" ht="21.75" customHeight="1" x14ac:dyDescent="0.2">
      <c r="A298" s="190" t="s">
        <v>1108</v>
      </c>
      <c r="B298" s="190" t="s">
        <v>1259</v>
      </c>
      <c r="C298" s="191">
        <v>2.8436577497255699</v>
      </c>
      <c r="D298" s="191">
        <v>2.9816218475244902</v>
      </c>
    </row>
    <row r="299" spans="1:4" ht="21.75" customHeight="1" x14ac:dyDescent="0.2">
      <c r="A299" s="190" t="s">
        <v>1109</v>
      </c>
      <c r="B299" s="190" t="s">
        <v>1260</v>
      </c>
      <c r="C299" s="191">
        <v>1.69027610566048E-4</v>
      </c>
      <c r="D299" s="191">
        <v>1.28404741839858E-6</v>
      </c>
    </row>
    <row r="300" spans="1:4" ht="21.75" customHeight="1" x14ac:dyDescent="0.2">
      <c r="A300" s="190" t="s">
        <v>1285</v>
      </c>
      <c r="B300" s="190" t="s">
        <v>1260</v>
      </c>
      <c r="C300" s="191">
        <v>1.69027610566048E-4</v>
      </c>
      <c r="D300" s="191">
        <v>1.28404741839858E-6</v>
      </c>
    </row>
    <row r="301" spans="1:4" ht="21.75" customHeight="1" x14ac:dyDescent="0.2">
      <c r="A301" s="190" t="s">
        <v>1110</v>
      </c>
      <c r="B301" s="190" t="s">
        <v>1261</v>
      </c>
      <c r="C301" s="191">
        <v>0.170023022010137</v>
      </c>
      <c r="D301" s="191">
        <v>0.56786462388242098</v>
      </c>
    </row>
    <row r="302" spans="1:4" ht="21.75" customHeight="1" x14ac:dyDescent="0.2">
      <c r="A302" s="190" t="s">
        <v>1286</v>
      </c>
      <c r="B302" s="190" t="s">
        <v>1300</v>
      </c>
      <c r="C302" s="191">
        <v>0.17002302903982999</v>
      </c>
      <c r="D302" s="191">
        <v>0</v>
      </c>
    </row>
  </sheetData>
  <sheetProtection selectLockedCells="1" selectUnlockedCells="1"/>
  <autoFilter ref="A3:D302"/>
  <sortState ref="A4:D290">
    <sortCondition ref="A4:A290"/>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0" customWidth="1"/>
    <col min="2" max="2" width="11.5703125" style="30" customWidth="1"/>
    <col min="3" max="3" width="37.42578125" style="30" bestFit="1" customWidth="1"/>
    <col min="4" max="4" width="40.5703125" style="31" bestFit="1" customWidth="1"/>
    <col min="5" max="6" width="4.7109375" style="30" customWidth="1"/>
    <col min="7" max="7" width="29.140625" style="30" bestFit="1" customWidth="1"/>
    <col min="8" max="8" width="11.5703125" style="30"/>
    <col min="9" max="9" width="60.28515625" style="30" customWidth="1"/>
    <col min="10" max="16384" width="11.5703125" style="30"/>
  </cols>
  <sheetData>
    <row r="1" spans="1:2" ht="26.25" customHeight="1" x14ac:dyDescent="0.2">
      <c r="A1" s="282" t="s">
        <v>86</v>
      </c>
      <c r="B1" s="282"/>
    </row>
    <row r="2" spans="1:2" ht="12.75" customHeight="1" x14ac:dyDescent="0.2">
      <c r="A2" s="132"/>
      <c r="B2" s="132"/>
    </row>
    <row r="3" spans="1:2" ht="12.75" customHeight="1" x14ac:dyDescent="0.2">
      <c r="A3" s="132"/>
      <c r="B3" s="132"/>
    </row>
    <row r="4" spans="1:2" ht="12.75" customHeight="1" x14ac:dyDescent="0.2">
      <c r="A4" s="132"/>
      <c r="B4" s="132"/>
    </row>
    <row r="5" spans="1:2" ht="12.75" customHeight="1" x14ac:dyDescent="0.2">
      <c r="A5" s="132"/>
      <c r="B5" s="132"/>
    </row>
    <row r="6" spans="1:2" ht="12.75" customHeight="1" x14ac:dyDescent="0.2">
      <c r="A6" s="132"/>
      <c r="B6" s="132"/>
    </row>
    <row r="7" spans="1:2" ht="12.75" customHeight="1" x14ac:dyDescent="0.2">
      <c r="A7" s="132"/>
      <c r="B7" s="132"/>
    </row>
    <row r="8" spans="1:2" ht="12.75" customHeight="1" x14ac:dyDescent="0.2">
      <c r="A8" s="132"/>
      <c r="B8" s="132"/>
    </row>
    <row r="9" spans="1:2" ht="12.75" customHeight="1" x14ac:dyDescent="0.2">
      <c r="A9" s="132"/>
      <c r="B9" s="132"/>
    </row>
    <row r="10" spans="1:2" ht="12.75" customHeight="1" x14ac:dyDescent="0.2">
      <c r="A10" s="132"/>
      <c r="B10" s="132"/>
    </row>
    <row r="11" spans="1:2" ht="12.75" customHeight="1" x14ac:dyDescent="0.2">
      <c r="A11" s="132"/>
      <c r="B11" s="132"/>
    </row>
    <row r="12" spans="1:2" ht="12.75" customHeight="1" x14ac:dyDescent="0.2">
      <c r="A12" s="132"/>
      <c r="B12" s="132"/>
    </row>
    <row r="13" spans="1:2" ht="12.75" customHeight="1" x14ac:dyDescent="0.2">
      <c r="A13" s="132"/>
      <c r="B13" s="132"/>
    </row>
    <row r="14" spans="1:2" ht="12.75" customHeight="1" x14ac:dyDescent="0.2">
      <c r="A14" s="132"/>
      <c r="B14" s="132"/>
    </row>
    <row r="15" spans="1:2" ht="12.75" customHeight="1" x14ac:dyDescent="0.2">
      <c r="A15" s="132"/>
      <c r="B15" s="132"/>
    </row>
    <row r="16" spans="1:2" ht="12.75" customHeight="1" x14ac:dyDescent="0.2">
      <c r="A16" s="132"/>
      <c r="B16" s="132"/>
    </row>
    <row r="17" spans="1:9" ht="12.75" customHeight="1" x14ac:dyDescent="0.2">
      <c r="A17" s="132"/>
      <c r="B17" s="132"/>
    </row>
    <row r="18" spans="1:9" ht="12.75" customHeight="1" x14ac:dyDescent="0.2">
      <c r="A18" s="132"/>
      <c r="B18" s="132"/>
    </row>
    <row r="19" spans="1:9" ht="12.75" customHeight="1" x14ac:dyDescent="0.2">
      <c r="A19" s="132"/>
      <c r="B19" s="132"/>
    </row>
    <row r="20" spans="1:9" ht="12.75" customHeight="1" x14ac:dyDescent="0.2">
      <c r="A20" s="132"/>
      <c r="B20" s="132"/>
    </row>
    <row r="21" spans="1:9" ht="12.75" customHeight="1" x14ac:dyDescent="0.2">
      <c r="A21" s="132"/>
      <c r="B21" s="132"/>
    </row>
    <row r="22" spans="1:9" ht="12.75" customHeight="1" x14ac:dyDescent="0.2">
      <c r="A22" s="132"/>
      <c r="B22" s="132"/>
    </row>
    <row r="23" spans="1:9" ht="12.75" customHeight="1" x14ac:dyDescent="0.2">
      <c r="A23" s="132"/>
      <c r="B23" s="132"/>
    </row>
    <row r="24" spans="1:9" ht="12.75" customHeight="1" x14ac:dyDescent="0.2">
      <c r="A24" s="132"/>
      <c r="B24" s="132"/>
    </row>
    <row r="25" spans="1:9" ht="12.75" customHeight="1" x14ac:dyDescent="0.2">
      <c r="A25" s="132"/>
      <c r="B25" s="132"/>
    </row>
    <row r="26" spans="1:9" ht="12.75" customHeight="1" x14ac:dyDescent="0.2">
      <c r="A26" s="132"/>
      <c r="B26" s="132"/>
    </row>
    <row r="27" spans="1:9" ht="12.75" customHeight="1" x14ac:dyDescent="0.2">
      <c r="A27" s="132"/>
      <c r="B27" s="132"/>
    </row>
    <row r="28" spans="1:9" s="29" customFormat="1" ht="51" x14ac:dyDescent="0.2">
      <c r="A28" s="46" t="s">
        <v>213</v>
      </c>
      <c r="B28" s="46" t="s">
        <v>214</v>
      </c>
      <c r="C28" s="46" t="s">
        <v>215</v>
      </c>
      <c r="D28" s="46" t="s">
        <v>216</v>
      </c>
      <c r="E28" s="32"/>
      <c r="F28" s="32"/>
      <c r="G28" s="46" t="s">
        <v>436</v>
      </c>
      <c r="H28" s="46" t="s">
        <v>437</v>
      </c>
      <c r="I28" s="46" t="s">
        <v>438</v>
      </c>
    </row>
    <row r="29" spans="1:9" x14ac:dyDescent="0.2">
      <c r="A29" s="90">
        <v>3</v>
      </c>
      <c r="B29" s="91">
        <v>166</v>
      </c>
      <c r="C29" s="92" t="s">
        <v>217</v>
      </c>
      <c r="D29" s="93" t="s">
        <v>218</v>
      </c>
      <c r="H29" s="83">
        <v>40057</v>
      </c>
      <c r="I29" s="84" t="s">
        <v>439</v>
      </c>
    </row>
    <row r="30" spans="1:9" x14ac:dyDescent="0.2">
      <c r="A30" s="90">
        <v>4</v>
      </c>
      <c r="B30" s="91">
        <v>168</v>
      </c>
      <c r="C30" s="92" t="s">
        <v>217</v>
      </c>
      <c r="D30" s="93" t="s">
        <v>218</v>
      </c>
      <c r="G30" s="84" t="s">
        <v>440</v>
      </c>
      <c r="H30" s="83">
        <v>40275</v>
      </c>
      <c r="I30" s="133" t="s">
        <v>444</v>
      </c>
    </row>
    <row r="31" spans="1:9" x14ac:dyDescent="0.2">
      <c r="A31" s="90">
        <v>5</v>
      </c>
      <c r="B31" s="91">
        <v>100</v>
      </c>
      <c r="C31" s="92" t="s">
        <v>219</v>
      </c>
      <c r="D31" s="93" t="s">
        <v>218</v>
      </c>
      <c r="G31" s="134" t="s">
        <v>447</v>
      </c>
      <c r="H31" s="83">
        <v>40347</v>
      </c>
      <c r="I31" s="30" t="s">
        <v>441</v>
      </c>
    </row>
    <row r="32" spans="1:9" x14ac:dyDescent="0.2">
      <c r="A32" s="90">
        <v>6</v>
      </c>
      <c r="B32" s="91">
        <v>257</v>
      </c>
      <c r="C32" s="92" t="s">
        <v>220</v>
      </c>
      <c r="D32" s="93" t="s">
        <v>218</v>
      </c>
      <c r="G32" s="133" t="s">
        <v>448</v>
      </c>
      <c r="H32" s="83">
        <v>41166</v>
      </c>
      <c r="I32" s="133" t="s">
        <v>449</v>
      </c>
    </row>
    <row r="33" spans="1:9" x14ac:dyDescent="0.2">
      <c r="A33" s="90">
        <v>7</v>
      </c>
      <c r="B33" s="91">
        <v>158</v>
      </c>
      <c r="C33" s="92" t="s">
        <v>220</v>
      </c>
      <c r="D33" s="93" t="s">
        <v>218</v>
      </c>
      <c r="G33" s="134" t="s">
        <v>442</v>
      </c>
      <c r="H33" s="83">
        <v>41178</v>
      </c>
      <c r="I33" s="133" t="s">
        <v>443</v>
      </c>
    </row>
    <row r="34" spans="1:9" x14ac:dyDescent="0.2">
      <c r="A34" s="90">
        <v>8</v>
      </c>
      <c r="B34" s="91">
        <v>159</v>
      </c>
      <c r="C34" s="92" t="s">
        <v>220</v>
      </c>
      <c r="D34" s="93" t="s">
        <v>218</v>
      </c>
      <c r="G34" s="84" t="s">
        <v>506</v>
      </c>
      <c r="H34" s="83">
        <v>41758</v>
      </c>
      <c r="I34" s="30" t="s">
        <v>507</v>
      </c>
    </row>
    <row r="35" spans="1:9" x14ac:dyDescent="0.2">
      <c r="A35" s="90">
        <v>9</v>
      </c>
      <c r="B35" s="91">
        <v>1111</v>
      </c>
      <c r="C35" s="92" t="s">
        <v>220</v>
      </c>
      <c r="D35" s="93" t="s">
        <v>218</v>
      </c>
      <c r="G35" s="30" t="s">
        <v>504</v>
      </c>
      <c r="H35" s="83">
        <v>41758</v>
      </c>
      <c r="I35" s="84" t="s">
        <v>505</v>
      </c>
    </row>
    <row r="36" spans="1:9" x14ac:dyDescent="0.2">
      <c r="A36" s="90">
        <v>10</v>
      </c>
      <c r="B36" s="91">
        <v>1104</v>
      </c>
      <c r="C36" s="92" t="s">
        <v>220</v>
      </c>
      <c r="D36" s="93" t="s">
        <v>218</v>
      </c>
      <c r="G36" s="30" t="s">
        <v>504</v>
      </c>
      <c r="H36" s="83">
        <v>41944</v>
      </c>
      <c r="I36" s="84" t="s">
        <v>556</v>
      </c>
    </row>
    <row r="37" spans="1:9" x14ac:dyDescent="0.2">
      <c r="A37" s="90">
        <v>11</v>
      </c>
      <c r="B37" s="91">
        <v>1112</v>
      </c>
      <c r="C37" s="92" t="s">
        <v>220</v>
      </c>
      <c r="D37" s="93" t="s">
        <v>218</v>
      </c>
      <c r="G37" s="30" t="s">
        <v>582</v>
      </c>
      <c r="H37" s="83">
        <v>42081</v>
      </c>
      <c r="I37" s="30" t="s">
        <v>583</v>
      </c>
    </row>
    <row r="38" spans="1:9" x14ac:dyDescent="0.2">
      <c r="A38" s="90">
        <v>12</v>
      </c>
      <c r="B38" s="91">
        <v>1116</v>
      </c>
      <c r="C38" s="92" t="s">
        <v>220</v>
      </c>
      <c r="D38" s="93" t="s">
        <v>218</v>
      </c>
      <c r="G38" s="30" t="s">
        <v>584</v>
      </c>
      <c r="H38" s="83">
        <v>42081</v>
      </c>
      <c r="I38" s="30" t="s">
        <v>585</v>
      </c>
    </row>
    <row r="39" spans="1:9" x14ac:dyDescent="0.2">
      <c r="A39" s="90">
        <v>13</v>
      </c>
      <c r="B39" s="91">
        <v>139</v>
      </c>
      <c r="C39" s="92" t="s">
        <v>221</v>
      </c>
      <c r="D39" s="93" t="s">
        <v>456</v>
      </c>
      <c r="G39" s="30" t="s">
        <v>586</v>
      </c>
      <c r="H39" s="83">
        <v>42081</v>
      </c>
      <c r="I39" s="30" t="s">
        <v>611</v>
      </c>
    </row>
    <row r="40" spans="1:9" x14ac:dyDescent="0.2">
      <c r="A40" s="90">
        <v>15</v>
      </c>
      <c r="B40" s="91">
        <v>152</v>
      </c>
      <c r="C40" s="92" t="s">
        <v>221</v>
      </c>
      <c r="D40" s="93" t="s">
        <v>456</v>
      </c>
      <c r="G40" s="84" t="s">
        <v>581</v>
      </c>
      <c r="H40" s="83">
        <v>42081</v>
      </c>
      <c r="I40" s="84" t="s">
        <v>610</v>
      </c>
    </row>
    <row r="41" spans="1:9" x14ac:dyDescent="0.2">
      <c r="A41" s="90">
        <v>16</v>
      </c>
      <c r="B41" s="91">
        <v>113</v>
      </c>
      <c r="C41" s="92" t="s">
        <v>222</v>
      </c>
      <c r="D41" s="93" t="s">
        <v>457</v>
      </c>
      <c r="G41" s="30" t="s">
        <v>587</v>
      </c>
      <c r="H41" s="83">
        <v>42081</v>
      </c>
      <c r="I41" s="84" t="s">
        <v>588</v>
      </c>
    </row>
    <row r="42" spans="1:9" x14ac:dyDescent="0.2">
      <c r="A42" s="90">
        <v>17</v>
      </c>
      <c r="B42" s="91">
        <v>125</v>
      </c>
      <c r="C42" s="92" t="s">
        <v>222</v>
      </c>
      <c r="D42" s="93" t="s">
        <v>457</v>
      </c>
      <c r="G42" s="30" t="s">
        <v>589</v>
      </c>
      <c r="H42" s="83">
        <v>42081</v>
      </c>
      <c r="I42" s="30" t="s">
        <v>590</v>
      </c>
    </row>
    <row r="43" spans="1:9" x14ac:dyDescent="0.2">
      <c r="A43" s="90">
        <v>18</v>
      </c>
      <c r="B43" s="91">
        <v>126</v>
      </c>
      <c r="C43" s="92" t="s">
        <v>222</v>
      </c>
      <c r="D43" s="93" t="s">
        <v>457</v>
      </c>
      <c r="G43" s="30" t="s">
        <v>589</v>
      </c>
      <c r="H43" s="83">
        <v>42081</v>
      </c>
      <c r="I43" s="30" t="s">
        <v>591</v>
      </c>
    </row>
    <row r="44" spans="1:9" x14ac:dyDescent="0.2">
      <c r="A44" s="90">
        <v>19</v>
      </c>
      <c r="B44" s="91">
        <v>127</v>
      </c>
      <c r="C44" s="92" t="s">
        <v>222</v>
      </c>
      <c r="D44" s="93" t="s">
        <v>457</v>
      </c>
      <c r="G44" s="30" t="s">
        <v>592</v>
      </c>
      <c r="H44" s="83">
        <v>42081</v>
      </c>
      <c r="I44" s="30" t="s">
        <v>593</v>
      </c>
    </row>
    <row r="45" spans="1:9" x14ac:dyDescent="0.2">
      <c r="A45" s="90">
        <v>20</v>
      </c>
      <c r="B45" s="91">
        <v>129</v>
      </c>
      <c r="C45" s="92" t="s">
        <v>222</v>
      </c>
      <c r="D45" s="93" t="s">
        <v>457</v>
      </c>
      <c r="G45" s="30" t="s">
        <v>594</v>
      </c>
      <c r="H45" s="83">
        <v>42081</v>
      </c>
      <c r="I45" s="30" t="s">
        <v>595</v>
      </c>
    </row>
    <row r="46" spans="1:9" x14ac:dyDescent="0.2">
      <c r="A46" s="90">
        <v>21</v>
      </c>
      <c r="B46" s="91">
        <v>130</v>
      </c>
      <c r="C46" s="92" t="s">
        <v>222</v>
      </c>
      <c r="D46" s="93" t="s">
        <v>457</v>
      </c>
      <c r="G46" s="30" t="s">
        <v>596</v>
      </c>
      <c r="H46" s="83">
        <v>42081</v>
      </c>
      <c r="I46" s="30" t="s">
        <v>593</v>
      </c>
    </row>
    <row r="47" spans="1:9" x14ac:dyDescent="0.2">
      <c r="A47" s="90">
        <v>22</v>
      </c>
      <c r="B47" s="91">
        <v>131</v>
      </c>
      <c r="C47" s="92" t="s">
        <v>222</v>
      </c>
      <c r="D47" s="93" t="s">
        <v>457</v>
      </c>
      <c r="G47" s="30" t="s">
        <v>596</v>
      </c>
      <c r="H47" s="83">
        <v>42081</v>
      </c>
      <c r="I47" s="30" t="s">
        <v>597</v>
      </c>
    </row>
    <row r="48" spans="1:9" x14ac:dyDescent="0.2">
      <c r="A48" s="90">
        <v>23</v>
      </c>
      <c r="B48" s="91">
        <v>136</v>
      </c>
      <c r="C48" s="92" t="s">
        <v>223</v>
      </c>
      <c r="D48" s="93" t="s">
        <v>458</v>
      </c>
      <c r="G48" s="30" t="s">
        <v>598</v>
      </c>
      <c r="H48" s="83">
        <v>42081</v>
      </c>
      <c r="I48" s="30" t="s">
        <v>595</v>
      </c>
    </row>
    <row r="49" spans="1:9" x14ac:dyDescent="0.2">
      <c r="A49" s="90">
        <v>24</v>
      </c>
      <c r="B49" s="91">
        <v>137</v>
      </c>
      <c r="C49" s="92" t="s">
        <v>223</v>
      </c>
      <c r="D49" s="93" t="s">
        <v>457</v>
      </c>
      <c r="G49" s="30" t="s">
        <v>599</v>
      </c>
      <c r="H49" s="83">
        <v>42081</v>
      </c>
      <c r="I49" s="30" t="s">
        <v>593</v>
      </c>
    </row>
    <row r="50" spans="1:9" x14ac:dyDescent="0.2">
      <c r="A50" s="90">
        <v>25</v>
      </c>
      <c r="B50" s="91">
        <v>138</v>
      </c>
      <c r="C50" s="92" t="s">
        <v>223</v>
      </c>
      <c r="D50" s="93" t="s">
        <v>457</v>
      </c>
      <c r="G50" s="30" t="s">
        <v>600</v>
      </c>
      <c r="H50" s="83">
        <v>42081</v>
      </c>
      <c r="I50" s="30" t="s">
        <v>601</v>
      </c>
    </row>
    <row r="51" spans="1:9" x14ac:dyDescent="0.2">
      <c r="A51" s="90">
        <v>26</v>
      </c>
      <c r="B51" s="91">
        <v>141</v>
      </c>
      <c r="C51" s="92" t="s">
        <v>223</v>
      </c>
      <c r="D51" s="93" t="s">
        <v>218</v>
      </c>
      <c r="G51" s="30" t="s">
        <v>602</v>
      </c>
      <c r="H51" s="83">
        <v>42081</v>
      </c>
      <c r="I51" s="30" t="s">
        <v>603</v>
      </c>
    </row>
    <row r="52" spans="1:9" x14ac:dyDescent="0.2">
      <c r="A52" s="90">
        <v>28</v>
      </c>
      <c r="B52" s="91">
        <v>143</v>
      </c>
      <c r="C52" s="92" t="s">
        <v>223</v>
      </c>
      <c r="D52" s="93" t="s">
        <v>218</v>
      </c>
      <c r="G52" s="30" t="s">
        <v>604</v>
      </c>
      <c r="H52" s="83">
        <v>42081</v>
      </c>
      <c r="I52" s="30" t="s">
        <v>605</v>
      </c>
    </row>
    <row r="53" spans="1:9" x14ac:dyDescent="0.2">
      <c r="A53" s="90">
        <v>29</v>
      </c>
      <c r="B53" s="91">
        <v>144</v>
      </c>
      <c r="C53" s="92" t="s">
        <v>223</v>
      </c>
      <c r="D53" s="93" t="s">
        <v>456</v>
      </c>
      <c r="G53" s="30" t="s">
        <v>604</v>
      </c>
      <c r="H53" s="83">
        <v>42081</v>
      </c>
      <c r="I53" s="30" t="s">
        <v>606</v>
      </c>
    </row>
    <row r="54" spans="1:9" x14ac:dyDescent="0.2">
      <c r="A54" s="90">
        <v>30</v>
      </c>
      <c r="B54" s="91">
        <v>145</v>
      </c>
      <c r="C54" s="92" t="s">
        <v>223</v>
      </c>
      <c r="D54" s="93" t="s">
        <v>218</v>
      </c>
      <c r="G54" s="30" t="s">
        <v>607</v>
      </c>
      <c r="H54" s="83">
        <v>42081</v>
      </c>
      <c r="I54" s="30" t="s">
        <v>608</v>
      </c>
    </row>
    <row r="55" spans="1:9" x14ac:dyDescent="0.2">
      <c r="A55" s="90">
        <v>31</v>
      </c>
      <c r="B55" s="91">
        <v>146</v>
      </c>
      <c r="C55" s="92" t="s">
        <v>223</v>
      </c>
      <c r="D55" s="93" t="s">
        <v>218</v>
      </c>
      <c r="G55" s="30" t="s">
        <v>607</v>
      </c>
      <c r="H55" s="83">
        <v>42081</v>
      </c>
      <c r="I55" s="30" t="s">
        <v>609</v>
      </c>
    </row>
    <row r="56" spans="1:9" x14ac:dyDescent="0.2">
      <c r="A56" s="90">
        <v>32</v>
      </c>
      <c r="B56" s="91">
        <v>147</v>
      </c>
      <c r="C56" s="92" t="s">
        <v>223</v>
      </c>
      <c r="D56" s="93" t="s">
        <v>218</v>
      </c>
      <c r="G56" s="84" t="s">
        <v>612</v>
      </c>
      <c r="H56" s="83">
        <v>42089</v>
      </c>
      <c r="I56" s="84" t="s">
        <v>613</v>
      </c>
    </row>
    <row r="57" spans="1:9" x14ac:dyDescent="0.2">
      <c r="A57" s="90">
        <v>33</v>
      </c>
      <c r="B57" s="91">
        <v>228</v>
      </c>
      <c r="C57" s="92" t="s">
        <v>223</v>
      </c>
      <c r="D57" s="93" t="s">
        <v>458</v>
      </c>
      <c r="G57" s="84" t="s">
        <v>594</v>
      </c>
      <c r="H57" s="83">
        <v>42166</v>
      </c>
      <c r="I57" s="84" t="s">
        <v>593</v>
      </c>
    </row>
    <row r="58" spans="1:9" x14ac:dyDescent="0.2">
      <c r="A58" s="90">
        <v>34</v>
      </c>
      <c r="B58" s="91">
        <v>149</v>
      </c>
      <c r="C58" s="92" t="s">
        <v>223</v>
      </c>
      <c r="D58" s="93" t="s">
        <v>458</v>
      </c>
      <c r="G58" s="84" t="s">
        <v>598</v>
      </c>
      <c r="H58" s="83">
        <v>42166</v>
      </c>
      <c r="I58" s="84" t="s">
        <v>593</v>
      </c>
    </row>
    <row r="59" spans="1:9" x14ac:dyDescent="0.2">
      <c r="A59" s="90">
        <v>35</v>
      </c>
      <c r="B59" s="91">
        <v>150</v>
      </c>
      <c r="C59" s="92" t="s">
        <v>223</v>
      </c>
      <c r="D59" s="93" t="s">
        <v>218</v>
      </c>
      <c r="G59" s="84" t="s">
        <v>630</v>
      </c>
      <c r="H59" s="83">
        <v>42166</v>
      </c>
      <c r="I59" s="84" t="s">
        <v>270</v>
      </c>
    </row>
    <row r="60" spans="1:9" x14ac:dyDescent="0.2">
      <c r="A60" s="90">
        <v>36</v>
      </c>
      <c r="B60" s="91">
        <v>151</v>
      </c>
      <c r="C60" s="92" t="s">
        <v>223</v>
      </c>
      <c r="D60" s="93" t="s">
        <v>457</v>
      </c>
      <c r="G60" s="84" t="s">
        <v>631</v>
      </c>
      <c r="H60" s="83">
        <v>42166</v>
      </c>
      <c r="I60" s="84" t="s">
        <v>256</v>
      </c>
    </row>
    <row r="61" spans="1:9" x14ac:dyDescent="0.2">
      <c r="A61" s="90">
        <v>37</v>
      </c>
      <c r="B61" s="91">
        <v>153</v>
      </c>
      <c r="C61" s="92" t="s">
        <v>223</v>
      </c>
      <c r="D61" s="93" t="s">
        <v>457</v>
      </c>
      <c r="G61" s="84" t="s">
        <v>632</v>
      </c>
      <c r="H61" s="83">
        <v>42166</v>
      </c>
      <c r="I61" s="84" t="s">
        <v>354</v>
      </c>
    </row>
    <row r="62" spans="1:9" x14ac:dyDescent="0.2">
      <c r="A62" s="90">
        <v>38</v>
      </c>
      <c r="B62" s="91">
        <v>154</v>
      </c>
      <c r="C62" s="92" t="s">
        <v>223</v>
      </c>
      <c r="D62" s="93" t="s">
        <v>218</v>
      </c>
      <c r="G62" s="84" t="s">
        <v>633</v>
      </c>
      <c r="H62" s="83">
        <v>42166</v>
      </c>
      <c r="I62" s="84" t="s">
        <v>353</v>
      </c>
    </row>
    <row r="63" spans="1:9" x14ac:dyDescent="0.2">
      <c r="A63" s="90">
        <v>39</v>
      </c>
      <c r="B63" s="91">
        <v>155</v>
      </c>
      <c r="C63" s="92" t="s">
        <v>223</v>
      </c>
      <c r="D63" s="93" t="s">
        <v>218</v>
      </c>
      <c r="G63" s="84" t="s">
        <v>634</v>
      </c>
      <c r="H63" s="83">
        <v>42166</v>
      </c>
      <c r="I63" s="84" t="s">
        <v>635</v>
      </c>
    </row>
    <row r="64" spans="1:9" x14ac:dyDescent="0.2">
      <c r="A64" s="90">
        <v>40</v>
      </c>
      <c r="B64" s="91">
        <v>157</v>
      </c>
      <c r="C64" s="92" t="s">
        <v>222</v>
      </c>
      <c r="D64" s="93" t="s">
        <v>457</v>
      </c>
      <c r="G64" s="84" t="s">
        <v>636</v>
      </c>
      <c r="H64" s="83">
        <v>42166</v>
      </c>
      <c r="I64" s="84" t="s">
        <v>637</v>
      </c>
    </row>
    <row r="65" spans="1:9" x14ac:dyDescent="0.2">
      <c r="A65" s="90">
        <v>41</v>
      </c>
      <c r="B65" s="91">
        <v>171</v>
      </c>
      <c r="C65" s="92" t="s">
        <v>224</v>
      </c>
      <c r="D65" s="93" t="s">
        <v>457</v>
      </c>
      <c r="G65" s="84" t="s">
        <v>638</v>
      </c>
      <c r="H65" s="83">
        <v>42166</v>
      </c>
      <c r="I65" s="84" t="s">
        <v>639</v>
      </c>
    </row>
    <row r="66" spans="1:9" x14ac:dyDescent="0.2">
      <c r="A66" s="90">
        <v>42</v>
      </c>
      <c r="B66" s="91">
        <v>173</v>
      </c>
      <c r="C66" s="92" t="s">
        <v>225</v>
      </c>
      <c r="D66" s="93" t="s">
        <v>457</v>
      </c>
      <c r="G66" s="84" t="s">
        <v>640</v>
      </c>
      <c r="H66" s="83">
        <v>42166</v>
      </c>
      <c r="I66" s="84" t="s">
        <v>641</v>
      </c>
    </row>
    <row r="67" spans="1:9" x14ac:dyDescent="0.2">
      <c r="A67" s="90">
        <v>43</v>
      </c>
      <c r="B67" s="91">
        <v>174</v>
      </c>
      <c r="C67" s="92" t="s">
        <v>225</v>
      </c>
      <c r="D67" s="93" t="s">
        <v>457</v>
      </c>
      <c r="G67" s="84" t="s">
        <v>642</v>
      </c>
      <c r="H67" s="83">
        <v>42166</v>
      </c>
      <c r="I67" s="84" t="s">
        <v>643</v>
      </c>
    </row>
    <row r="68" spans="1:9" x14ac:dyDescent="0.2">
      <c r="A68" s="90">
        <v>44</v>
      </c>
      <c r="B68" s="91">
        <v>185</v>
      </c>
      <c r="C68" s="92" t="s">
        <v>224</v>
      </c>
      <c r="D68" s="93" t="s">
        <v>457</v>
      </c>
      <c r="G68" s="84" t="s">
        <v>644</v>
      </c>
      <c r="H68" s="83">
        <v>42166</v>
      </c>
      <c r="I68" s="84" t="s">
        <v>645</v>
      </c>
    </row>
    <row r="69" spans="1:9" x14ac:dyDescent="0.2">
      <c r="A69" s="90">
        <v>45</v>
      </c>
      <c r="B69" s="91">
        <v>19</v>
      </c>
      <c r="C69" s="92" t="s">
        <v>226</v>
      </c>
      <c r="D69" s="93" t="s">
        <v>218</v>
      </c>
      <c r="G69" s="84" t="s">
        <v>646</v>
      </c>
      <c r="H69" s="83">
        <v>42166</v>
      </c>
      <c r="I69" s="84" t="s">
        <v>647</v>
      </c>
    </row>
    <row r="70" spans="1:9" x14ac:dyDescent="0.2">
      <c r="A70" s="90">
        <v>46</v>
      </c>
      <c r="B70" s="91">
        <v>78</v>
      </c>
      <c r="C70" s="92" t="s">
        <v>227</v>
      </c>
      <c r="D70" s="93" t="s">
        <v>218</v>
      </c>
      <c r="G70" s="84" t="s">
        <v>648</v>
      </c>
      <c r="H70" s="83">
        <v>42166</v>
      </c>
      <c r="I70" s="84" t="s">
        <v>649</v>
      </c>
    </row>
    <row r="71" spans="1:9" x14ac:dyDescent="0.2">
      <c r="A71" s="90">
        <v>47</v>
      </c>
      <c r="B71" s="91">
        <v>15</v>
      </c>
      <c r="C71" s="92" t="s">
        <v>228</v>
      </c>
      <c r="D71" s="93" t="s">
        <v>218</v>
      </c>
      <c r="G71" s="84" t="s">
        <v>648</v>
      </c>
      <c r="H71" s="83">
        <v>42166</v>
      </c>
      <c r="I71" s="84" t="s">
        <v>650</v>
      </c>
    </row>
    <row r="72" spans="1:9" x14ac:dyDescent="0.2">
      <c r="A72" s="90">
        <v>48</v>
      </c>
      <c r="B72" s="91">
        <v>79</v>
      </c>
      <c r="C72" s="92" t="s">
        <v>229</v>
      </c>
      <c r="D72" s="93" t="s">
        <v>456</v>
      </c>
      <c r="G72" s="84" t="s">
        <v>651</v>
      </c>
      <c r="H72" s="83">
        <v>42166</v>
      </c>
      <c r="I72" s="84" t="s">
        <v>652</v>
      </c>
    </row>
    <row r="73" spans="1:9" x14ac:dyDescent="0.2">
      <c r="A73" s="90">
        <v>49</v>
      </c>
      <c r="B73" s="91">
        <v>128</v>
      </c>
      <c r="C73" s="92" t="s">
        <v>222</v>
      </c>
      <c r="D73" s="93" t="s">
        <v>218</v>
      </c>
      <c r="G73" s="84" t="s">
        <v>651</v>
      </c>
      <c r="H73" s="83">
        <v>42166</v>
      </c>
      <c r="I73" s="84" t="s">
        <v>653</v>
      </c>
    </row>
    <row r="74" spans="1:9" x14ac:dyDescent="0.2">
      <c r="A74" s="90">
        <v>50</v>
      </c>
      <c r="B74" s="91">
        <v>14</v>
      </c>
      <c r="C74" s="92" t="s">
        <v>230</v>
      </c>
      <c r="D74" s="93" t="s">
        <v>218</v>
      </c>
      <c r="G74" s="84" t="s">
        <v>654</v>
      </c>
      <c r="H74" s="83">
        <v>42166</v>
      </c>
      <c r="I74" s="84" t="s">
        <v>655</v>
      </c>
    </row>
    <row r="75" spans="1:9" x14ac:dyDescent="0.2">
      <c r="A75" s="90">
        <v>51</v>
      </c>
      <c r="B75" s="91">
        <v>112</v>
      </c>
      <c r="C75" s="92" t="s">
        <v>231</v>
      </c>
      <c r="D75" s="93">
        <v>1</v>
      </c>
      <c r="G75" s="84" t="s">
        <v>656</v>
      </c>
      <c r="H75" s="83">
        <v>42166</v>
      </c>
      <c r="I75" s="84" t="s">
        <v>657</v>
      </c>
    </row>
    <row r="76" spans="1:9" x14ac:dyDescent="0.2">
      <c r="A76" s="90">
        <v>51</v>
      </c>
      <c r="B76" s="91">
        <v>120</v>
      </c>
      <c r="C76" s="92" t="s">
        <v>231</v>
      </c>
      <c r="D76" s="93">
        <v>2</v>
      </c>
      <c r="G76" s="84" t="s">
        <v>658</v>
      </c>
      <c r="H76" s="83">
        <v>42166</v>
      </c>
      <c r="I76" s="84" t="s">
        <v>659</v>
      </c>
    </row>
    <row r="77" spans="1:9" x14ac:dyDescent="0.2">
      <c r="A77" s="90">
        <v>52</v>
      </c>
      <c r="B77" s="91">
        <v>114</v>
      </c>
      <c r="C77" s="92" t="s">
        <v>232</v>
      </c>
      <c r="D77" s="93" t="s">
        <v>456</v>
      </c>
      <c r="G77" s="84" t="s">
        <v>660</v>
      </c>
      <c r="H77" s="83">
        <v>42166</v>
      </c>
      <c r="I77" s="84" t="s">
        <v>661</v>
      </c>
    </row>
    <row r="78" spans="1:9" x14ac:dyDescent="0.2">
      <c r="A78" s="90">
        <v>53</v>
      </c>
      <c r="B78" s="91">
        <v>115</v>
      </c>
      <c r="C78" s="92" t="s">
        <v>232</v>
      </c>
      <c r="D78" s="93" t="s">
        <v>456</v>
      </c>
      <c r="G78" s="84" t="s">
        <v>662</v>
      </c>
      <c r="H78" s="83">
        <v>42166</v>
      </c>
      <c r="I78" s="84" t="s">
        <v>663</v>
      </c>
    </row>
    <row r="79" spans="1:9" x14ac:dyDescent="0.2">
      <c r="A79" s="90">
        <v>55</v>
      </c>
      <c r="B79" s="91">
        <v>117</v>
      </c>
      <c r="C79" s="92" t="s">
        <v>232</v>
      </c>
      <c r="D79" s="93" t="s">
        <v>456</v>
      </c>
      <c r="G79" s="84" t="s">
        <v>664</v>
      </c>
      <c r="H79" s="83">
        <v>42166</v>
      </c>
      <c r="I79" s="84" t="s">
        <v>665</v>
      </c>
    </row>
    <row r="80" spans="1:9" x14ac:dyDescent="0.2">
      <c r="A80" s="90">
        <v>56</v>
      </c>
      <c r="B80" s="91">
        <v>118</v>
      </c>
      <c r="C80" s="92" t="s">
        <v>232</v>
      </c>
      <c r="D80" s="93" t="s">
        <v>456</v>
      </c>
      <c r="G80" s="84" t="s">
        <v>666</v>
      </c>
      <c r="H80" s="83">
        <v>42166</v>
      </c>
      <c r="I80" s="84" t="s">
        <v>667</v>
      </c>
    </row>
    <row r="81" spans="1:9" x14ac:dyDescent="0.2">
      <c r="A81" s="90">
        <v>57</v>
      </c>
      <c r="B81" s="91">
        <v>119</v>
      </c>
      <c r="C81" s="92" t="s">
        <v>232</v>
      </c>
      <c r="D81" s="93" t="s">
        <v>218</v>
      </c>
      <c r="G81" s="84" t="s">
        <v>668</v>
      </c>
      <c r="H81" s="83">
        <v>42166</v>
      </c>
      <c r="I81" s="84" t="s">
        <v>669</v>
      </c>
    </row>
    <row r="82" spans="1:9" x14ac:dyDescent="0.2">
      <c r="A82" s="90">
        <v>58</v>
      </c>
      <c r="B82" s="91">
        <v>21</v>
      </c>
      <c r="C82" s="92" t="s">
        <v>270</v>
      </c>
      <c r="D82" s="93">
        <v>1</v>
      </c>
      <c r="G82" s="84" t="s">
        <v>668</v>
      </c>
      <c r="H82" s="83">
        <v>42166</v>
      </c>
      <c r="I82" s="84" t="s">
        <v>670</v>
      </c>
    </row>
    <row r="83" spans="1:9" x14ac:dyDescent="0.2">
      <c r="A83" s="90">
        <v>58</v>
      </c>
      <c r="B83" s="91">
        <v>175</v>
      </c>
      <c r="C83" s="92" t="s">
        <v>270</v>
      </c>
      <c r="D83" s="93">
        <v>1</v>
      </c>
      <c r="G83" s="84" t="s">
        <v>671</v>
      </c>
      <c r="H83" s="83">
        <v>42166</v>
      </c>
      <c r="I83" s="84" t="s">
        <v>672</v>
      </c>
    </row>
    <row r="84" spans="1:9" x14ac:dyDescent="0.2">
      <c r="A84" s="90">
        <v>59</v>
      </c>
      <c r="B84" s="91">
        <v>121</v>
      </c>
      <c r="C84" s="92" t="s">
        <v>232</v>
      </c>
      <c r="D84" s="93" t="s">
        <v>456</v>
      </c>
    </row>
    <row r="85" spans="1:9" x14ac:dyDescent="0.2">
      <c r="A85" s="90">
        <v>60</v>
      </c>
      <c r="B85" s="91">
        <v>122</v>
      </c>
      <c r="C85" s="92" t="s">
        <v>232</v>
      </c>
      <c r="D85" s="93" t="s">
        <v>218</v>
      </c>
    </row>
    <row r="86" spans="1:9" x14ac:dyDescent="0.2">
      <c r="A86" s="90">
        <v>62</v>
      </c>
      <c r="B86" s="91">
        <v>1119</v>
      </c>
      <c r="C86" s="92" t="s">
        <v>233</v>
      </c>
      <c r="D86" s="93" t="s">
        <v>459</v>
      </c>
    </row>
    <row r="87" spans="1:9" x14ac:dyDescent="0.2">
      <c r="A87" s="90">
        <v>63</v>
      </c>
      <c r="B87" s="91">
        <v>172</v>
      </c>
      <c r="C87" s="92" t="s">
        <v>225</v>
      </c>
      <c r="D87" s="93" t="s">
        <v>456</v>
      </c>
    </row>
    <row r="88" spans="1:9" x14ac:dyDescent="0.2">
      <c r="A88" s="90">
        <v>64</v>
      </c>
      <c r="B88" s="91">
        <v>1105</v>
      </c>
      <c r="C88" s="92" t="s">
        <v>232</v>
      </c>
      <c r="D88" s="93" t="s">
        <v>218</v>
      </c>
    </row>
    <row r="89" spans="1:9" x14ac:dyDescent="0.2">
      <c r="A89" s="90">
        <v>65</v>
      </c>
      <c r="B89" s="91">
        <v>10</v>
      </c>
      <c r="C89" s="92" t="s">
        <v>234</v>
      </c>
      <c r="D89" s="93" t="s">
        <v>218</v>
      </c>
    </row>
    <row r="90" spans="1:9" x14ac:dyDescent="0.2">
      <c r="A90" s="90">
        <v>66</v>
      </c>
      <c r="B90" s="91">
        <v>1106</v>
      </c>
      <c r="C90" s="92" t="s">
        <v>234</v>
      </c>
      <c r="D90" s="93" t="s">
        <v>218</v>
      </c>
    </row>
    <row r="91" spans="1:9" x14ac:dyDescent="0.2">
      <c r="A91" s="90">
        <v>67</v>
      </c>
      <c r="B91" s="91">
        <v>102</v>
      </c>
      <c r="C91" s="92" t="s">
        <v>235</v>
      </c>
      <c r="D91" s="93" t="s">
        <v>457</v>
      </c>
    </row>
    <row r="92" spans="1:9" x14ac:dyDescent="0.2">
      <c r="A92" s="90">
        <v>71</v>
      </c>
      <c r="B92" s="91">
        <v>109</v>
      </c>
      <c r="C92" s="92" t="s">
        <v>235</v>
      </c>
      <c r="D92" s="93" t="s">
        <v>218</v>
      </c>
    </row>
    <row r="93" spans="1:9" x14ac:dyDescent="0.2">
      <c r="A93" s="90">
        <v>72</v>
      </c>
      <c r="B93" s="91">
        <v>111</v>
      </c>
      <c r="C93" s="92" t="s">
        <v>235</v>
      </c>
      <c r="D93" s="93" t="s">
        <v>218</v>
      </c>
    </row>
    <row r="94" spans="1:9" x14ac:dyDescent="0.2">
      <c r="A94" s="90">
        <v>73</v>
      </c>
      <c r="B94" s="91">
        <v>156</v>
      </c>
      <c r="C94" s="92" t="s">
        <v>235</v>
      </c>
      <c r="D94" s="93" t="s">
        <v>457</v>
      </c>
    </row>
    <row r="95" spans="1:9" x14ac:dyDescent="0.2">
      <c r="A95" s="90">
        <v>74</v>
      </c>
      <c r="B95" s="91">
        <v>17</v>
      </c>
      <c r="C95" s="92" t="s">
        <v>236</v>
      </c>
      <c r="D95" s="93" t="s">
        <v>218</v>
      </c>
    </row>
    <row r="96" spans="1:9" x14ac:dyDescent="0.2">
      <c r="A96" s="90">
        <v>75</v>
      </c>
      <c r="B96" s="91">
        <v>62</v>
      </c>
      <c r="C96" s="92" t="s">
        <v>237</v>
      </c>
      <c r="D96" s="93" t="s">
        <v>218</v>
      </c>
    </row>
    <row r="97" spans="1:4" x14ac:dyDescent="0.2">
      <c r="A97" s="90">
        <v>76</v>
      </c>
      <c r="B97" s="91">
        <v>63</v>
      </c>
      <c r="C97" s="92" t="s">
        <v>237</v>
      </c>
      <c r="D97" s="93" t="s">
        <v>218</v>
      </c>
    </row>
    <row r="98" spans="1:4" x14ac:dyDescent="0.2">
      <c r="A98" s="90">
        <v>77</v>
      </c>
      <c r="B98" s="91">
        <v>134</v>
      </c>
      <c r="C98" s="92" t="s">
        <v>237</v>
      </c>
      <c r="D98" s="93" t="s">
        <v>218</v>
      </c>
    </row>
    <row r="99" spans="1:4" x14ac:dyDescent="0.2">
      <c r="A99" s="90">
        <v>78</v>
      </c>
      <c r="B99" s="91">
        <v>13</v>
      </c>
      <c r="C99" s="92" t="s">
        <v>238</v>
      </c>
      <c r="D99" s="93" t="s">
        <v>218</v>
      </c>
    </row>
    <row r="100" spans="1:4" x14ac:dyDescent="0.2">
      <c r="A100" s="90">
        <v>79</v>
      </c>
      <c r="B100" s="91">
        <v>97</v>
      </c>
      <c r="C100" s="92" t="s">
        <v>239</v>
      </c>
      <c r="D100" s="93">
        <v>2</v>
      </c>
    </row>
    <row r="101" spans="1:4" x14ac:dyDescent="0.2">
      <c r="A101" s="90">
        <v>79</v>
      </c>
      <c r="B101" s="91">
        <v>164</v>
      </c>
      <c r="C101" s="92" t="s">
        <v>239</v>
      </c>
      <c r="D101" s="93">
        <v>1</v>
      </c>
    </row>
    <row r="102" spans="1:4" x14ac:dyDescent="0.2">
      <c r="A102" s="90">
        <v>80</v>
      </c>
      <c r="B102" s="91">
        <v>96</v>
      </c>
      <c r="C102" s="92" t="s">
        <v>240</v>
      </c>
      <c r="D102" s="93" t="s">
        <v>218</v>
      </c>
    </row>
    <row r="103" spans="1:4" x14ac:dyDescent="0.2">
      <c r="A103" s="90">
        <v>81</v>
      </c>
      <c r="B103" s="91">
        <v>60</v>
      </c>
      <c r="C103" s="92" t="s">
        <v>241</v>
      </c>
      <c r="D103" s="93" t="s">
        <v>218</v>
      </c>
    </row>
    <row r="104" spans="1:4" x14ac:dyDescent="0.2">
      <c r="A104" s="90">
        <v>82</v>
      </c>
      <c r="B104" s="91">
        <v>83</v>
      </c>
      <c r="C104" s="92" t="s">
        <v>242</v>
      </c>
      <c r="D104" s="93" t="s">
        <v>218</v>
      </c>
    </row>
    <row r="105" spans="1:4" x14ac:dyDescent="0.2">
      <c r="A105" s="90">
        <v>83</v>
      </c>
      <c r="B105" s="91">
        <v>84</v>
      </c>
      <c r="C105" s="92" t="s">
        <v>242</v>
      </c>
      <c r="D105" s="93" t="s">
        <v>218</v>
      </c>
    </row>
    <row r="106" spans="1:4" x14ac:dyDescent="0.2">
      <c r="A106" s="90">
        <v>84</v>
      </c>
      <c r="B106" s="91">
        <v>85</v>
      </c>
      <c r="C106" s="92" t="s">
        <v>242</v>
      </c>
      <c r="D106" s="93" t="s">
        <v>218</v>
      </c>
    </row>
    <row r="107" spans="1:4" x14ac:dyDescent="0.2">
      <c r="A107" s="90">
        <v>85</v>
      </c>
      <c r="B107" s="91">
        <v>86</v>
      </c>
      <c r="C107" s="92" t="s">
        <v>242</v>
      </c>
      <c r="D107" s="93" t="s">
        <v>218</v>
      </c>
    </row>
    <row r="108" spans="1:4" x14ac:dyDescent="0.2">
      <c r="A108" s="90">
        <v>86</v>
      </c>
      <c r="B108" s="91">
        <v>1107</v>
      </c>
      <c r="C108" s="92" t="s">
        <v>242</v>
      </c>
      <c r="D108" s="93" t="s">
        <v>218</v>
      </c>
    </row>
    <row r="109" spans="1:4" x14ac:dyDescent="0.2">
      <c r="A109" s="90">
        <v>87</v>
      </c>
      <c r="B109" s="91">
        <v>1109</v>
      </c>
      <c r="C109" s="92" t="s">
        <v>242</v>
      </c>
      <c r="D109" s="93" t="s">
        <v>218</v>
      </c>
    </row>
    <row r="110" spans="1:4" x14ac:dyDescent="0.2">
      <c r="A110" s="90">
        <v>88</v>
      </c>
      <c r="B110" s="91">
        <v>1113</v>
      </c>
      <c r="C110" s="92" t="s">
        <v>242</v>
      </c>
      <c r="D110" s="93" t="s">
        <v>218</v>
      </c>
    </row>
    <row r="111" spans="1:4" x14ac:dyDescent="0.2">
      <c r="A111" s="90">
        <v>91</v>
      </c>
      <c r="B111" s="91">
        <v>3</v>
      </c>
      <c r="C111" s="92" t="s">
        <v>243</v>
      </c>
      <c r="D111" s="93" t="s">
        <v>218</v>
      </c>
    </row>
    <row r="112" spans="1:4" x14ac:dyDescent="0.2">
      <c r="A112" s="90">
        <v>92</v>
      </c>
      <c r="B112" s="91">
        <v>4</v>
      </c>
      <c r="C112" s="92" t="s">
        <v>243</v>
      </c>
      <c r="D112" s="93" t="s">
        <v>218</v>
      </c>
    </row>
    <row r="113" spans="1:4" x14ac:dyDescent="0.2">
      <c r="A113" s="90">
        <v>93</v>
      </c>
      <c r="B113" s="91">
        <v>30</v>
      </c>
      <c r="C113" s="92" t="s">
        <v>244</v>
      </c>
      <c r="D113" s="93">
        <v>1</v>
      </c>
    </row>
    <row r="114" spans="1:4" x14ac:dyDescent="0.2">
      <c r="A114" s="90">
        <v>93</v>
      </c>
      <c r="B114" s="91">
        <v>214</v>
      </c>
      <c r="C114" s="92" t="s">
        <v>244</v>
      </c>
      <c r="D114" s="93">
        <v>2</v>
      </c>
    </row>
    <row r="115" spans="1:4" x14ac:dyDescent="0.2">
      <c r="A115" s="90">
        <v>94</v>
      </c>
      <c r="B115" s="91">
        <v>1108</v>
      </c>
      <c r="C115" s="92" t="s">
        <v>243</v>
      </c>
      <c r="D115" s="93" t="s">
        <v>218</v>
      </c>
    </row>
    <row r="116" spans="1:4" x14ac:dyDescent="0.2">
      <c r="A116" s="90">
        <v>95</v>
      </c>
      <c r="B116" s="91">
        <v>1110</v>
      </c>
      <c r="C116" s="92" t="s">
        <v>243</v>
      </c>
      <c r="D116" s="93" t="s">
        <v>218</v>
      </c>
    </row>
    <row r="117" spans="1:4" x14ac:dyDescent="0.2">
      <c r="A117" s="90">
        <v>96</v>
      </c>
      <c r="B117" s="91">
        <v>1114</v>
      </c>
      <c r="C117" s="92" t="s">
        <v>243</v>
      </c>
      <c r="D117" s="93" t="s">
        <v>218</v>
      </c>
    </row>
    <row r="118" spans="1:4" x14ac:dyDescent="0.2">
      <c r="A118" s="90">
        <v>97</v>
      </c>
      <c r="B118" s="91">
        <v>54</v>
      </c>
      <c r="C118" s="92" t="s">
        <v>245</v>
      </c>
      <c r="D118" s="93" t="s">
        <v>218</v>
      </c>
    </row>
    <row r="119" spans="1:4" x14ac:dyDescent="0.2">
      <c r="A119" s="90">
        <v>98</v>
      </c>
      <c r="B119" s="91">
        <v>12</v>
      </c>
      <c r="C119" s="92" t="s">
        <v>246</v>
      </c>
      <c r="D119" s="93" t="s">
        <v>218</v>
      </c>
    </row>
    <row r="120" spans="1:4" x14ac:dyDescent="0.2">
      <c r="A120" s="90">
        <v>99</v>
      </c>
      <c r="B120" s="91">
        <v>75</v>
      </c>
      <c r="C120" s="92" t="s">
        <v>247</v>
      </c>
      <c r="D120" s="93" t="s">
        <v>456</v>
      </c>
    </row>
    <row r="121" spans="1:4" x14ac:dyDescent="0.2">
      <c r="A121" s="90">
        <v>100</v>
      </c>
      <c r="B121" s="91">
        <v>76</v>
      </c>
      <c r="C121" s="92" t="s">
        <v>247</v>
      </c>
      <c r="D121" s="93" t="s">
        <v>456</v>
      </c>
    </row>
    <row r="122" spans="1:4" x14ac:dyDescent="0.2">
      <c r="A122" s="90">
        <v>101</v>
      </c>
      <c r="B122" s="91">
        <v>7</v>
      </c>
      <c r="C122" s="92" t="s">
        <v>248</v>
      </c>
      <c r="D122" s="93" t="s">
        <v>218</v>
      </c>
    </row>
    <row r="123" spans="1:4" x14ac:dyDescent="0.2">
      <c r="A123" s="90">
        <v>102</v>
      </c>
      <c r="B123" s="91">
        <v>8</v>
      </c>
      <c r="C123" s="92" t="s">
        <v>248</v>
      </c>
      <c r="D123" s="93" t="s">
        <v>218</v>
      </c>
    </row>
    <row r="124" spans="1:4" x14ac:dyDescent="0.2">
      <c r="A124" s="90">
        <v>103</v>
      </c>
      <c r="B124" s="91">
        <v>9</v>
      </c>
      <c r="C124" s="92" t="s">
        <v>248</v>
      </c>
      <c r="D124" s="93" t="s">
        <v>218</v>
      </c>
    </row>
    <row r="125" spans="1:4" x14ac:dyDescent="0.2">
      <c r="A125" s="90">
        <v>104</v>
      </c>
      <c r="B125" s="91">
        <v>61</v>
      </c>
      <c r="C125" s="92" t="s">
        <v>249</v>
      </c>
      <c r="D125" s="93" t="s">
        <v>457</v>
      </c>
    </row>
    <row r="126" spans="1:4" x14ac:dyDescent="0.2">
      <c r="A126" s="90">
        <v>105</v>
      </c>
      <c r="B126" s="91">
        <v>65</v>
      </c>
      <c r="C126" s="92" t="s">
        <v>249</v>
      </c>
      <c r="D126" s="93" t="s">
        <v>218</v>
      </c>
    </row>
    <row r="127" spans="1:4" x14ac:dyDescent="0.2">
      <c r="A127" s="90">
        <v>106</v>
      </c>
      <c r="B127" s="91">
        <v>66</v>
      </c>
      <c r="C127" s="92" t="s">
        <v>249</v>
      </c>
      <c r="D127" s="93" t="s">
        <v>457</v>
      </c>
    </row>
    <row r="128" spans="1:4" x14ac:dyDescent="0.2">
      <c r="A128" s="90">
        <v>107</v>
      </c>
      <c r="B128" s="91">
        <v>67</v>
      </c>
      <c r="C128" s="92" t="s">
        <v>249</v>
      </c>
      <c r="D128" s="93" t="s">
        <v>457</v>
      </c>
    </row>
    <row r="129" spans="1:4" x14ac:dyDescent="0.2">
      <c r="A129" s="90">
        <v>108</v>
      </c>
      <c r="B129" s="91">
        <v>68</v>
      </c>
      <c r="C129" s="92" t="s">
        <v>249</v>
      </c>
      <c r="D129" s="93" t="s">
        <v>457</v>
      </c>
    </row>
    <row r="130" spans="1:4" x14ac:dyDescent="0.2">
      <c r="A130" s="90">
        <v>109</v>
      </c>
      <c r="B130" s="91">
        <v>69</v>
      </c>
      <c r="C130" s="92" t="s">
        <v>249</v>
      </c>
      <c r="D130" s="93" t="s">
        <v>218</v>
      </c>
    </row>
    <row r="131" spans="1:4" x14ac:dyDescent="0.2">
      <c r="A131" s="90">
        <v>110</v>
      </c>
      <c r="B131" s="91">
        <v>1348</v>
      </c>
      <c r="C131" s="92" t="s">
        <v>249</v>
      </c>
      <c r="D131" s="93" t="s">
        <v>218</v>
      </c>
    </row>
    <row r="132" spans="1:4" x14ac:dyDescent="0.2">
      <c r="A132" s="90">
        <v>111</v>
      </c>
      <c r="B132" s="91">
        <v>91</v>
      </c>
      <c r="C132" s="92" t="s">
        <v>250</v>
      </c>
      <c r="D132" s="93" t="s">
        <v>218</v>
      </c>
    </row>
    <row r="133" spans="1:4" x14ac:dyDescent="0.2">
      <c r="A133" s="90">
        <v>112</v>
      </c>
      <c r="B133" s="91">
        <v>22</v>
      </c>
      <c r="C133" s="92" t="s">
        <v>251</v>
      </c>
      <c r="D133" s="93" t="s">
        <v>456</v>
      </c>
    </row>
    <row r="134" spans="1:4" x14ac:dyDescent="0.2">
      <c r="A134" s="90">
        <v>113</v>
      </c>
      <c r="B134" s="91">
        <v>23</v>
      </c>
      <c r="C134" s="92" t="s">
        <v>251</v>
      </c>
      <c r="D134" s="93" t="s">
        <v>456</v>
      </c>
    </row>
    <row r="135" spans="1:4" x14ac:dyDescent="0.2">
      <c r="A135" s="90">
        <v>115</v>
      </c>
      <c r="B135" s="91">
        <v>25</v>
      </c>
      <c r="C135" s="92" t="s">
        <v>251</v>
      </c>
      <c r="D135" s="93" t="s">
        <v>218</v>
      </c>
    </row>
    <row r="136" spans="1:4" x14ac:dyDescent="0.2">
      <c r="A136" s="90">
        <v>116</v>
      </c>
      <c r="B136" s="91">
        <v>26</v>
      </c>
      <c r="C136" s="92" t="s">
        <v>251</v>
      </c>
      <c r="D136" s="93" t="s">
        <v>218</v>
      </c>
    </row>
    <row r="137" spans="1:4" x14ac:dyDescent="0.2">
      <c r="A137" s="90">
        <v>117</v>
      </c>
      <c r="B137" s="91">
        <v>1349</v>
      </c>
      <c r="C137" s="92" t="s">
        <v>251</v>
      </c>
      <c r="D137" s="93" t="s">
        <v>218</v>
      </c>
    </row>
    <row r="138" spans="1:4" x14ac:dyDescent="0.2">
      <c r="A138" s="90">
        <v>118</v>
      </c>
      <c r="B138" s="91">
        <v>6</v>
      </c>
      <c r="C138" s="92" t="s">
        <v>252</v>
      </c>
      <c r="D138" s="93" t="s">
        <v>218</v>
      </c>
    </row>
    <row r="139" spans="1:4" x14ac:dyDescent="0.2">
      <c r="A139" s="90">
        <v>119</v>
      </c>
      <c r="B139" s="91">
        <v>1350</v>
      </c>
      <c r="C139" s="92" t="s">
        <v>252</v>
      </c>
      <c r="D139" s="93" t="s">
        <v>218</v>
      </c>
    </row>
    <row r="140" spans="1:4" x14ac:dyDescent="0.2">
      <c r="A140" s="90">
        <v>120</v>
      </c>
      <c r="B140" s="91">
        <v>11</v>
      </c>
      <c r="C140" s="92" t="s">
        <v>225</v>
      </c>
      <c r="D140" s="93" t="s">
        <v>218</v>
      </c>
    </row>
    <row r="141" spans="1:4" x14ac:dyDescent="0.2">
      <c r="A141" s="90">
        <v>121</v>
      </c>
      <c r="B141" s="91">
        <v>26</v>
      </c>
      <c r="C141" s="92" t="s">
        <v>253</v>
      </c>
      <c r="D141" s="93">
        <v>2</v>
      </c>
    </row>
    <row r="142" spans="1:4" x14ac:dyDescent="0.2">
      <c r="A142" s="90">
        <v>121</v>
      </c>
      <c r="B142" s="91">
        <v>224</v>
      </c>
      <c r="C142" s="92" t="s">
        <v>253</v>
      </c>
      <c r="D142" s="93">
        <v>1</v>
      </c>
    </row>
    <row r="143" spans="1:4" x14ac:dyDescent="0.2">
      <c r="A143" s="90">
        <v>122</v>
      </c>
      <c r="B143" s="91">
        <v>201</v>
      </c>
      <c r="C143" s="92" t="s">
        <v>254</v>
      </c>
      <c r="D143" s="93">
        <v>1</v>
      </c>
    </row>
    <row r="144" spans="1:4" x14ac:dyDescent="0.2">
      <c r="A144" s="90">
        <v>122</v>
      </c>
      <c r="B144" s="91">
        <v>245</v>
      </c>
      <c r="C144" s="92" t="s">
        <v>254</v>
      </c>
      <c r="D144" s="93">
        <v>2</v>
      </c>
    </row>
    <row r="145" spans="1:4" x14ac:dyDescent="0.2">
      <c r="A145" s="90">
        <v>123</v>
      </c>
      <c r="B145" s="91">
        <v>1307</v>
      </c>
      <c r="C145" s="92" t="s">
        <v>255</v>
      </c>
      <c r="D145" s="93">
        <v>1</v>
      </c>
    </row>
    <row r="146" spans="1:4" x14ac:dyDescent="0.2">
      <c r="A146" s="90">
        <v>124</v>
      </c>
      <c r="B146" s="91">
        <v>1319</v>
      </c>
      <c r="C146" s="92" t="s">
        <v>255</v>
      </c>
      <c r="D146" s="93">
        <v>1</v>
      </c>
    </row>
    <row r="147" spans="1:4" x14ac:dyDescent="0.2">
      <c r="A147" s="90">
        <v>125</v>
      </c>
      <c r="B147" s="91">
        <v>1315</v>
      </c>
      <c r="C147" s="92" t="s">
        <v>255</v>
      </c>
      <c r="D147" s="93">
        <v>1</v>
      </c>
    </row>
    <row r="148" spans="1:4" x14ac:dyDescent="0.2">
      <c r="A148" s="90">
        <v>126</v>
      </c>
      <c r="B148" s="91">
        <v>1193</v>
      </c>
      <c r="C148" s="92" t="s">
        <v>256</v>
      </c>
      <c r="D148" s="93">
        <v>1</v>
      </c>
    </row>
    <row r="149" spans="1:4" x14ac:dyDescent="0.2">
      <c r="A149" s="90">
        <v>126</v>
      </c>
      <c r="B149" s="91">
        <v>1194</v>
      </c>
      <c r="C149" s="92" t="s">
        <v>256</v>
      </c>
      <c r="D149" s="93">
        <v>2</v>
      </c>
    </row>
    <row r="150" spans="1:4" x14ac:dyDescent="0.2">
      <c r="A150" s="90">
        <v>127</v>
      </c>
      <c r="B150" s="91">
        <v>80</v>
      </c>
      <c r="C150" s="92" t="s">
        <v>257</v>
      </c>
      <c r="D150" s="93" t="s">
        <v>457</v>
      </c>
    </row>
    <row r="151" spans="1:4" x14ac:dyDescent="0.2">
      <c r="A151" s="90">
        <v>127</v>
      </c>
      <c r="B151" s="91">
        <v>148</v>
      </c>
      <c r="C151" s="92" t="s">
        <v>257</v>
      </c>
      <c r="D151" s="93">
        <v>1</v>
      </c>
    </row>
    <row r="152" spans="1:4" x14ac:dyDescent="0.2">
      <c r="A152" s="90">
        <v>127</v>
      </c>
      <c r="B152" s="91">
        <v>221</v>
      </c>
      <c r="C152" s="92" t="s">
        <v>257</v>
      </c>
      <c r="D152" s="93" t="s">
        <v>459</v>
      </c>
    </row>
    <row r="153" spans="1:4" x14ac:dyDescent="0.2">
      <c r="A153" s="90">
        <v>128</v>
      </c>
      <c r="B153" s="91">
        <v>1120</v>
      </c>
      <c r="C153" s="92" t="s">
        <v>258</v>
      </c>
      <c r="D153" s="93">
        <v>1</v>
      </c>
    </row>
    <row r="154" spans="1:4" x14ac:dyDescent="0.2">
      <c r="A154" s="90">
        <v>128</v>
      </c>
      <c r="B154" s="91">
        <v>1121</v>
      </c>
      <c r="C154" s="92" t="s">
        <v>258</v>
      </c>
      <c r="D154" s="93">
        <v>1</v>
      </c>
    </row>
    <row r="155" spans="1:4" x14ac:dyDescent="0.2">
      <c r="A155" s="90">
        <v>128</v>
      </c>
      <c r="B155" s="91">
        <v>1122</v>
      </c>
      <c r="C155" s="92" t="s">
        <v>258</v>
      </c>
      <c r="D155" s="93">
        <v>2</v>
      </c>
    </row>
    <row r="156" spans="1:4" x14ac:dyDescent="0.2">
      <c r="A156" s="90">
        <v>129</v>
      </c>
      <c r="B156" s="91">
        <v>169</v>
      </c>
      <c r="C156" s="92" t="s">
        <v>257</v>
      </c>
      <c r="D156" s="93">
        <v>1</v>
      </c>
    </row>
    <row r="157" spans="1:4" x14ac:dyDescent="0.2">
      <c r="A157" s="90">
        <v>129</v>
      </c>
      <c r="B157" s="91">
        <v>202</v>
      </c>
      <c r="C157" s="92" t="s">
        <v>257</v>
      </c>
      <c r="D157" s="93">
        <v>1</v>
      </c>
    </row>
    <row r="158" spans="1:4" x14ac:dyDescent="0.2">
      <c r="A158" s="90">
        <v>129</v>
      </c>
      <c r="B158" s="91">
        <v>222</v>
      </c>
      <c r="C158" s="92" t="s">
        <v>257</v>
      </c>
      <c r="D158" s="93">
        <v>2</v>
      </c>
    </row>
    <row r="159" spans="1:4" x14ac:dyDescent="0.2">
      <c r="A159" s="90">
        <v>130</v>
      </c>
      <c r="B159" s="91">
        <v>1308</v>
      </c>
      <c r="C159" s="92" t="s">
        <v>259</v>
      </c>
      <c r="D159" s="93">
        <v>1</v>
      </c>
    </row>
    <row r="160" spans="1:4" x14ac:dyDescent="0.2">
      <c r="A160" s="90">
        <v>130</v>
      </c>
      <c r="B160" s="91">
        <v>1309</v>
      </c>
      <c r="C160" s="92" t="s">
        <v>259</v>
      </c>
      <c r="D160" s="93">
        <v>1</v>
      </c>
    </row>
    <row r="161" spans="1:4" x14ac:dyDescent="0.2">
      <c r="A161" s="90">
        <v>130</v>
      </c>
      <c r="B161" s="91">
        <v>1310</v>
      </c>
      <c r="C161" s="92" t="s">
        <v>259</v>
      </c>
      <c r="D161" s="93">
        <v>2</v>
      </c>
    </row>
    <row r="162" spans="1:4" x14ac:dyDescent="0.2">
      <c r="A162" s="90">
        <v>131</v>
      </c>
      <c r="B162" s="91">
        <v>1311</v>
      </c>
      <c r="C162" s="92" t="s">
        <v>259</v>
      </c>
      <c r="D162" s="93">
        <v>1</v>
      </c>
    </row>
    <row r="163" spans="1:4" x14ac:dyDescent="0.2">
      <c r="A163" s="90">
        <v>131</v>
      </c>
      <c r="B163" s="91">
        <v>1312</v>
      </c>
      <c r="C163" s="92" t="s">
        <v>259</v>
      </c>
      <c r="D163" s="93">
        <v>1</v>
      </c>
    </row>
    <row r="164" spans="1:4" x14ac:dyDescent="0.2">
      <c r="A164" s="90">
        <v>131</v>
      </c>
      <c r="B164" s="91">
        <v>1313</v>
      </c>
      <c r="C164" s="92" t="s">
        <v>259</v>
      </c>
      <c r="D164" s="93">
        <v>2</v>
      </c>
    </row>
    <row r="165" spans="1:4" x14ac:dyDescent="0.2">
      <c r="A165" s="90">
        <v>132</v>
      </c>
      <c r="B165" s="91">
        <v>92</v>
      </c>
      <c r="C165" s="92" t="s">
        <v>260</v>
      </c>
      <c r="D165" s="93" t="s">
        <v>456</v>
      </c>
    </row>
    <row r="166" spans="1:4" x14ac:dyDescent="0.2">
      <c r="A166" s="90">
        <v>132</v>
      </c>
      <c r="B166" s="91">
        <v>210</v>
      </c>
      <c r="C166" s="92" t="s">
        <v>260</v>
      </c>
      <c r="D166" s="93">
        <v>2</v>
      </c>
    </row>
    <row r="167" spans="1:4" x14ac:dyDescent="0.2">
      <c r="A167" s="90">
        <v>132</v>
      </c>
      <c r="B167" s="91">
        <v>234</v>
      </c>
      <c r="C167" s="92" t="s">
        <v>260</v>
      </c>
      <c r="D167" s="93" t="s">
        <v>456</v>
      </c>
    </row>
    <row r="168" spans="1:4" x14ac:dyDescent="0.2">
      <c r="A168" s="90">
        <v>132</v>
      </c>
      <c r="B168" s="91">
        <v>236</v>
      </c>
      <c r="C168" s="92" t="s">
        <v>260</v>
      </c>
      <c r="D168" s="93" t="s">
        <v>456</v>
      </c>
    </row>
    <row r="169" spans="1:4" x14ac:dyDescent="0.2">
      <c r="A169" s="90">
        <v>133</v>
      </c>
      <c r="B169" s="91">
        <v>92</v>
      </c>
      <c r="C169" s="92" t="s">
        <v>260</v>
      </c>
      <c r="D169" s="93">
        <v>1</v>
      </c>
    </row>
    <row r="170" spans="1:4" x14ac:dyDescent="0.2">
      <c r="A170" s="90">
        <v>133</v>
      </c>
      <c r="B170" s="91">
        <v>210</v>
      </c>
      <c r="C170" s="92" t="s">
        <v>260</v>
      </c>
      <c r="D170" s="93">
        <v>2</v>
      </c>
    </row>
    <row r="171" spans="1:4" x14ac:dyDescent="0.2">
      <c r="A171" s="90">
        <v>133</v>
      </c>
      <c r="B171" s="91">
        <v>233</v>
      </c>
      <c r="C171" s="92" t="s">
        <v>260</v>
      </c>
      <c r="D171" s="93">
        <v>1</v>
      </c>
    </row>
    <row r="172" spans="1:4" x14ac:dyDescent="0.2">
      <c r="A172" s="90">
        <v>133</v>
      </c>
      <c r="B172" s="91">
        <v>246</v>
      </c>
      <c r="C172" s="92" t="s">
        <v>260</v>
      </c>
      <c r="D172" s="93">
        <v>1</v>
      </c>
    </row>
    <row r="173" spans="1:4" x14ac:dyDescent="0.2">
      <c r="A173" s="90">
        <v>134</v>
      </c>
      <c r="B173" s="91">
        <v>101</v>
      </c>
      <c r="C173" s="92" t="s">
        <v>260</v>
      </c>
      <c r="D173" s="93">
        <v>1</v>
      </c>
    </row>
    <row r="174" spans="1:4" x14ac:dyDescent="0.2">
      <c r="A174" s="90">
        <v>134</v>
      </c>
      <c r="B174" s="91">
        <v>210</v>
      </c>
      <c r="C174" s="92" t="s">
        <v>260</v>
      </c>
      <c r="D174" s="93">
        <v>2</v>
      </c>
    </row>
    <row r="175" spans="1:4" x14ac:dyDescent="0.2">
      <c r="A175" s="90">
        <v>134</v>
      </c>
      <c r="B175" s="91">
        <v>232</v>
      </c>
      <c r="C175" s="92" t="s">
        <v>260</v>
      </c>
      <c r="D175" s="93">
        <v>1</v>
      </c>
    </row>
    <row r="176" spans="1:4" x14ac:dyDescent="0.2">
      <c r="A176" s="90">
        <v>134</v>
      </c>
      <c r="B176" s="91">
        <v>250</v>
      </c>
      <c r="C176" s="92" t="s">
        <v>260</v>
      </c>
      <c r="D176" s="93">
        <v>1</v>
      </c>
    </row>
    <row r="177" spans="1:4" x14ac:dyDescent="0.2">
      <c r="A177" s="90">
        <v>135</v>
      </c>
      <c r="B177" s="91">
        <v>38</v>
      </c>
      <c r="C177" s="92" t="s">
        <v>260</v>
      </c>
      <c r="D177" s="93">
        <v>1</v>
      </c>
    </row>
    <row r="178" spans="1:4" x14ac:dyDescent="0.2">
      <c r="A178" s="90">
        <v>135</v>
      </c>
      <c r="B178" s="91">
        <v>80</v>
      </c>
      <c r="C178" s="92" t="s">
        <v>260</v>
      </c>
      <c r="D178" s="93">
        <v>1</v>
      </c>
    </row>
    <row r="179" spans="1:4" x14ac:dyDescent="0.2">
      <c r="A179" s="90">
        <v>135</v>
      </c>
      <c r="B179" s="91">
        <v>221</v>
      </c>
      <c r="C179" s="92" t="s">
        <v>260</v>
      </c>
      <c r="D179" s="93" t="s">
        <v>459</v>
      </c>
    </row>
    <row r="180" spans="1:4" x14ac:dyDescent="0.2">
      <c r="A180" s="90">
        <v>135</v>
      </c>
      <c r="B180" s="91">
        <v>247</v>
      </c>
      <c r="C180" s="92" t="s">
        <v>260</v>
      </c>
      <c r="D180" s="93">
        <v>1</v>
      </c>
    </row>
    <row r="181" spans="1:4" x14ac:dyDescent="0.2">
      <c r="A181" s="90">
        <v>136</v>
      </c>
      <c r="B181" s="91">
        <v>124</v>
      </c>
      <c r="C181" s="92" t="s">
        <v>260</v>
      </c>
      <c r="D181" s="93">
        <v>1</v>
      </c>
    </row>
    <row r="182" spans="1:4" x14ac:dyDescent="0.2">
      <c r="A182" s="90">
        <v>136</v>
      </c>
      <c r="B182" s="91">
        <v>202</v>
      </c>
      <c r="C182" s="92" t="s">
        <v>260</v>
      </c>
      <c r="D182" s="93">
        <v>1</v>
      </c>
    </row>
    <row r="183" spans="1:4" x14ac:dyDescent="0.2">
      <c r="A183" s="90">
        <v>136</v>
      </c>
      <c r="B183" s="91">
        <v>222</v>
      </c>
      <c r="C183" s="92" t="s">
        <v>260</v>
      </c>
      <c r="D183" s="93">
        <v>2</v>
      </c>
    </row>
    <row r="184" spans="1:4" x14ac:dyDescent="0.2">
      <c r="A184" s="90">
        <v>136</v>
      </c>
      <c r="B184" s="91">
        <v>246</v>
      </c>
      <c r="C184" s="92" t="s">
        <v>260</v>
      </c>
      <c r="D184" s="93">
        <v>1</v>
      </c>
    </row>
    <row r="185" spans="1:4" x14ac:dyDescent="0.2">
      <c r="A185" s="90">
        <v>137</v>
      </c>
      <c r="B185" s="91">
        <v>203</v>
      </c>
      <c r="C185" s="92" t="s">
        <v>260</v>
      </c>
      <c r="D185" s="93" t="s">
        <v>261</v>
      </c>
    </row>
    <row r="186" spans="1:4" x14ac:dyDescent="0.2">
      <c r="A186" s="90">
        <v>137</v>
      </c>
      <c r="B186" s="91">
        <v>222</v>
      </c>
      <c r="C186" s="92" t="s">
        <v>260</v>
      </c>
      <c r="D186" s="93" t="s">
        <v>261</v>
      </c>
    </row>
    <row r="187" spans="1:4" x14ac:dyDescent="0.2">
      <c r="A187" s="90">
        <v>137</v>
      </c>
      <c r="B187" s="91">
        <v>223</v>
      </c>
      <c r="C187" s="92" t="s">
        <v>260</v>
      </c>
      <c r="D187" s="93" t="s">
        <v>261</v>
      </c>
    </row>
    <row r="188" spans="1:4" x14ac:dyDescent="0.2">
      <c r="A188" s="90">
        <v>137</v>
      </c>
      <c r="B188" s="91">
        <v>229</v>
      </c>
      <c r="C188" s="92" t="s">
        <v>260</v>
      </c>
      <c r="D188" s="93" t="s">
        <v>261</v>
      </c>
    </row>
    <row r="189" spans="1:4" x14ac:dyDescent="0.2">
      <c r="A189" s="90">
        <v>138</v>
      </c>
      <c r="B189" s="91">
        <v>5</v>
      </c>
      <c r="C189" s="92" t="s">
        <v>260</v>
      </c>
      <c r="D189" s="93" t="s">
        <v>456</v>
      </c>
    </row>
    <row r="190" spans="1:4" x14ac:dyDescent="0.2">
      <c r="A190" s="90">
        <v>138</v>
      </c>
      <c r="B190" s="91">
        <v>88</v>
      </c>
      <c r="C190" s="92" t="s">
        <v>260</v>
      </c>
      <c r="D190" s="93" t="s">
        <v>456</v>
      </c>
    </row>
    <row r="191" spans="1:4" x14ac:dyDescent="0.2">
      <c r="A191" s="90">
        <v>138</v>
      </c>
      <c r="B191" s="91">
        <v>208</v>
      </c>
      <c r="C191" s="92" t="s">
        <v>260</v>
      </c>
      <c r="D191" s="93">
        <v>2</v>
      </c>
    </row>
    <row r="192" spans="1:4" x14ac:dyDescent="0.2">
      <c r="A192" s="90">
        <v>138</v>
      </c>
      <c r="B192" s="91">
        <v>235</v>
      </c>
      <c r="C192" s="92" t="s">
        <v>260</v>
      </c>
      <c r="D192" s="93" t="s">
        <v>456</v>
      </c>
    </row>
    <row r="193" spans="1:4" x14ac:dyDescent="0.2">
      <c r="A193" s="90">
        <v>140</v>
      </c>
      <c r="B193" s="91">
        <v>1395</v>
      </c>
      <c r="C193" s="92" t="s">
        <v>244</v>
      </c>
      <c r="D193" s="93">
        <v>2</v>
      </c>
    </row>
    <row r="194" spans="1:4" x14ac:dyDescent="0.2">
      <c r="A194" s="90">
        <v>140</v>
      </c>
      <c r="B194" s="91">
        <v>1396</v>
      </c>
      <c r="C194" s="92" t="s">
        <v>244</v>
      </c>
      <c r="D194" s="93">
        <v>1</v>
      </c>
    </row>
    <row r="195" spans="1:4" x14ac:dyDescent="0.2">
      <c r="A195" s="90">
        <v>141</v>
      </c>
      <c r="B195" s="91">
        <v>189</v>
      </c>
      <c r="C195" s="92" t="s">
        <v>262</v>
      </c>
      <c r="D195" s="93">
        <v>1</v>
      </c>
    </row>
    <row r="196" spans="1:4" x14ac:dyDescent="0.2">
      <c r="A196" s="90">
        <v>141</v>
      </c>
      <c r="B196" s="91">
        <v>210</v>
      </c>
      <c r="C196" s="92" t="s">
        <v>262</v>
      </c>
      <c r="D196" s="93">
        <v>2</v>
      </c>
    </row>
    <row r="197" spans="1:4" x14ac:dyDescent="0.2">
      <c r="A197" s="90">
        <v>141</v>
      </c>
      <c r="B197" s="91">
        <v>233</v>
      </c>
      <c r="C197" s="92" t="s">
        <v>262</v>
      </c>
      <c r="D197" s="93">
        <v>1</v>
      </c>
    </row>
    <row r="198" spans="1:4" x14ac:dyDescent="0.2">
      <c r="A198" s="90">
        <v>141</v>
      </c>
      <c r="B198" s="91">
        <v>249</v>
      </c>
      <c r="C198" s="92" t="s">
        <v>262</v>
      </c>
      <c r="D198" s="93">
        <v>1</v>
      </c>
    </row>
    <row r="199" spans="1:4" x14ac:dyDescent="0.2">
      <c r="A199" s="90">
        <v>141</v>
      </c>
      <c r="B199" s="91">
        <v>252</v>
      </c>
      <c r="C199" s="92" t="s">
        <v>262</v>
      </c>
      <c r="D199" s="93">
        <v>1</v>
      </c>
    </row>
    <row r="200" spans="1:4" x14ac:dyDescent="0.2">
      <c r="A200" s="90">
        <v>142</v>
      </c>
      <c r="B200" s="91">
        <v>132</v>
      </c>
      <c r="C200" s="92" t="s">
        <v>262</v>
      </c>
      <c r="D200" s="93">
        <v>1</v>
      </c>
    </row>
    <row r="201" spans="1:4" x14ac:dyDescent="0.2">
      <c r="A201" s="90">
        <v>142</v>
      </c>
      <c r="B201" s="91">
        <v>206</v>
      </c>
      <c r="C201" s="92" t="s">
        <v>262</v>
      </c>
      <c r="D201" s="93">
        <v>2</v>
      </c>
    </row>
    <row r="202" spans="1:4" x14ac:dyDescent="0.2">
      <c r="A202" s="90">
        <v>142</v>
      </c>
      <c r="B202" s="91">
        <v>230</v>
      </c>
      <c r="C202" s="92" t="s">
        <v>262</v>
      </c>
      <c r="D202" s="93">
        <v>1</v>
      </c>
    </row>
    <row r="203" spans="1:4" x14ac:dyDescent="0.2">
      <c r="A203" s="90">
        <v>142</v>
      </c>
      <c r="B203" s="91">
        <v>249</v>
      </c>
      <c r="C203" s="92" t="s">
        <v>262</v>
      </c>
      <c r="D203" s="93">
        <v>1</v>
      </c>
    </row>
    <row r="204" spans="1:4" x14ac:dyDescent="0.2">
      <c r="A204" s="90">
        <v>142</v>
      </c>
      <c r="B204" s="91">
        <v>252</v>
      </c>
      <c r="C204" s="92" t="s">
        <v>262</v>
      </c>
      <c r="D204" s="93">
        <v>1</v>
      </c>
    </row>
    <row r="205" spans="1:4" x14ac:dyDescent="0.2">
      <c r="A205" s="90">
        <v>143</v>
      </c>
      <c r="B205" s="91">
        <v>47</v>
      </c>
      <c r="C205" s="92" t="s">
        <v>247</v>
      </c>
      <c r="D205" s="93" t="s">
        <v>218</v>
      </c>
    </row>
    <row r="206" spans="1:4" x14ac:dyDescent="0.2">
      <c r="A206" s="90">
        <v>144</v>
      </c>
      <c r="B206" s="91">
        <v>93</v>
      </c>
      <c r="C206" s="92" t="s">
        <v>263</v>
      </c>
      <c r="D206" s="93">
        <v>1</v>
      </c>
    </row>
    <row r="207" spans="1:4" x14ac:dyDescent="0.2">
      <c r="A207" s="90">
        <v>144</v>
      </c>
      <c r="B207" s="91">
        <v>208</v>
      </c>
      <c r="C207" s="92" t="s">
        <v>263</v>
      </c>
      <c r="D207" s="93">
        <v>2</v>
      </c>
    </row>
    <row r="208" spans="1:4" x14ac:dyDescent="0.2">
      <c r="A208" s="90">
        <v>144</v>
      </c>
      <c r="B208" s="91">
        <v>239</v>
      </c>
      <c r="C208" s="92" t="s">
        <v>263</v>
      </c>
      <c r="D208" s="93">
        <v>1</v>
      </c>
    </row>
    <row r="209" spans="1:4" x14ac:dyDescent="0.2">
      <c r="A209" s="90">
        <v>144</v>
      </c>
      <c r="B209" s="91">
        <v>243</v>
      </c>
      <c r="C209" s="92" t="s">
        <v>263</v>
      </c>
      <c r="D209" s="93">
        <v>1</v>
      </c>
    </row>
    <row r="210" spans="1:4" x14ac:dyDescent="0.2">
      <c r="A210" s="90">
        <v>144</v>
      </c>
      <c r="B210" s="91">
        <v>248</v>
      </c>
      <c r="C210" s="92" t="s">
        <v>263</v>
      </c>
      <c r="D210" s="93">
        <v>1</v>
      </c>
    </row>
    <row r="211" spans="1:4" x14ac:dyDescent="0.2">
      <c r="A211" s="90">
        <v>144</v>
      </c>
      <c r="B211" s="91">
        <v>251</v>
      </c>
      <c r="C211" s="92" t="s">
        <v>263</v>
      </c>
      <c r="D211" s="93">
        <v>1</v>
      </c>
    </row>
    <row r="212" spans="1:4" x14ac:dyDescent="0.2">
      <c r="A212" s="90">
        <v>145</v>
      </c>
      <c r="B212" s="91">
        <v>210</v>
      </c>
      <c r="C212" s="92" t="s">
        <v>263</v>
      </c>
      <c r="D212" s="93">
        <v>2</v>
      </c>
    </row>
    <row r="213" spans="1:4" x14ac:dyDescent="0.2">
      <c r="A213" s="90">
        <v>145</v>
      </c>
      <c r="B213" s="91">
        <v>249</v>
      </c>
      <c r="C213" s="92" t="s">
        <v>263</v>
      </c>
      <c r="D213" s="93">
        <v>1</v>
      </c>
    </row>
    <row r="214" spans="1:4" x14ac:dyDescent="0.2">
      <c r="A214" s="90">
        <v>145</v>
      </c>
      <c r="B214" s="91">
        <v>92</v>
      </c>
      <c r="C214" s="92" t="s">
        <v>263</v>
      </c>
      <c r="D214" s="93" t="s">
        <v>456</v>
      </c>
    </row>
    <row r="215" spans="1:4" x14ac:dyDescent="0.2">
      <c r="A215" s="90">
        <v>145</v>
      </c>
      <c r="B215" s="91">
        <v>240</v>
      </c>
      <c r="C215" s="92" t="s">
        <v>263</v>
      </c>
      <c r="D215" s="93" t="s">
        <v>456</v>
      </c>
    </row>
    <row r="216" spans="1:4" x14ac:dyDescent="0.2">
      <c r="A216" s="90">
        <v>145</v>
      </c>
      <c r="B216" s="91">
        <v>244</v>
      </c>
      <c r="C216" s="92" t="s">
        <v>263</v>
      </c>
      <c r="D216" s="93" t="s">
        <v>456</v>
      </c>
    </row>
    <row r="217" spans="1:4" x14ac:dyDescent="0.2">
      <c r="A217" s="90">
        <v>145</v>
      </c>
      <c r="B217" s="91">
        <v>252</v>
      </c>
      <c r="C217" s="92" t="s">
        <v>263</v>
      </c>
      <c r="D217" s="93">
        <v>1</v>
      </c>
    </row>
    <row r="218" spans="1:4" x14ac:dyDescent="0.2">
      <c r="A218" s="90">
        <v>146</v>
      </c>
      <c r="B218" s="91">
        <v>73</v>
      </c>
      <c r="C218" s="92" t="s">
        <v>263</v>
      </c>
      <c r="D218" s="93">
        <v>1</v>
      </c>
    </row>
    <row r="219" spans="1:4" x14ac:dyDescent="0.2">
      <c r="A219" s="90">
        <v>146</v>
      </c>
      <c r="B219" s="91">
        <v>93</v>
      </c>
      <c r="C219" s="92" t="s">
        <v>263</v>
      </c>
      <c r="D219" s="93">
        <v>1</v>
      </c>
    </row>
    <row r="220" spans="1:4" x14ac:dyDescent="0.2">
      <c r="A220" s="90">
        <v>146</v>
      </c>
      <c r="B220" s="91">
        <v>208</v>
      </c>
      <c r="C220" s="92" t="s">
        <v>263</v>
      </c>
      <c r="D220" s="93">
        <v>2</v>
      </c>
    </row>
    <row r="221" spans="1:4" x14ac:dyDescent="0.2">
      <c r="A221" s="90">
        <v>146</v>
      </c>
      <c r="B221" s="91">
        <v>239</v>
      </c>
      <c r="C221" s="92" t="s">
        <v>263</v>
      </c>
      <c r="D221" s="93">
        <v>1</v>
      </c>
    </row>
    <row r="222" spans="1:4" x14ac:dyDescent="0.2">
      <c r="A222" s="90">
        <v>146</v>
      </c>
      <c r="B222" s="91">
        <v>248</v>
      </c>
      <c r="C222" s="92" t="s">
        <v>263</v>
      </c>
      <c r="D222" s="93">
        <v>1</v>
      </c>
    </row>
    <row r="223" spans="1:4" x14ac:dyDescent="0.2">
      <c r="A223" s="90">
        <v>146</v>
      </c>
      <c r="B223" s="91">
        <v>251</v>
      </c>
      <c r="C223" s="92" t="s">
        <v>263</v>
      </c>
      <c r="D223" s="93">
        <v>1</v>
      </c>
    </row>
    <row r="224" spans="1:4" x14ac:dyDescent="0.2">
      <c r="A224" s="90">
        <v>147</v>
      </c>
      <c r="B224" s="91">
        <v>99</v>
      </c>
      <c r="C224" s="92" t="s">
        <v>263</v>
      </c>
      <c r="D224" s="93">
        <v>1</v>
      </c>
    </row>
    <row r="225" spans="1:4" x14ac:dyDescent="0.2">
      <c r="A225" s="90">
        <v>147</v>
      </c>
      <c r="B225" s="91">
        <v>206</v>
      </c>
      <c r="C225" s="92" t="s">
        <v>263</v>
      </c>
      <c r="D225" s="93">
        <v>2</v>
      </c>
    </row>
    <row r="226" spans="1:4" x14ac:dyDescent="0.2">
      <c r="A226" s="90">
        <v>147</v>
      </c>
      <c r="B226" s="91">
        <v>238</v>
      </c>
      <c r="C226" s="92" t="s">
        <v>263</v>
      </c>
      <c r="D226" s="93">
        <v>1</v>
      </c>
    </row>
    <row r="227" spans="1:4" x14ac:dyDescent="0.2">
      <c r="A227" s="90">
        <v>147</v>
      </c>
      <c r="B227" s="91">
        <v>242</v>
      </c>
      <c r="C227" s="92" t="s">
        <v>263</v>
      </c>
      <c r="D227" s="93">
        <v>1</v>
      </c>
    </row>
    <row r="228" spans="1:4" x14ac:dyDescent="0.2">
      <c r="A228" s="90">
        <v>147</v>
      </c>
      <c r="B228" s="91">
        <v>249</v>
      </c>
      <c r="C228" s="92" t="s">
        <v>263</v>
      </c>
      <c r="D228" s="93">
        <v>1</v>
      </c>
    </row>
    <row r="229" spans="1:4" x14ac:dyDescent="0.2">
      <c r="A229" s="90">
        <v>147</v>
      </c>
      <c r="B229" s="91">
        <v>252</v>
      </c>
      <c r="C229" s="92" t="s">
        <v>263</v>
      </c>
      <c r="D229" s="93">
        <v>1</v>
      </c>
    </row>
    <row r="230" spans="1:4" x14ac:dyDescent="0.2">
      <c r="A230" s="90">
        <v>148</v>
      </c>
      <c r="B230" s="91">
        <v>1152</v>
      </c>
      <c r="C230" s="92" t="s">
        <v>264</v>
      </c>
      <c r="D230" s="93" t="s">
        <v>459</v>
      </c>
    </row>
    <row r="231" spans="1:4" x14ac:dyDescent="0.2">
      <c r="A231" s="90">
        <v>149</v>
      </c>
      <c r="B231" s="91">
        <v>1394</v>
      </c>
      <c r="C231" s="92" t="s">
        <v>265</v>
      </c>
      <c r="D231" s="93">
        <v>2</v>
      </c>
    </row>
    <row r="232" spans="1:4" x14ac:dyDescent="0.2">
      <c r="A232" s="90">
        <v>150</v>
      </c>
      <c r="B232" s="91">
        <v>42</v>
      </c>
      <c r="C232" s="92" t="s">
        <v>256</v>
      </c>
      <c r="D232" s="93">
        <v>1</v>
      </c>
    </row>
    <row r="233" spans="1:4" x14ac:dyDescent="0.2">
      <c r="A233" s="90">
        <v>150</v>
      </c>
      <c r="B233" s="91">
        <v>207</v>
      </c>
      <c r="C233" s="92" t="s">
        <v>256</v>
      </c>
      <c r="D233" s="93">
        <v>2</v>
      </c>
    </row>
    <row r="234" spans="1:4" x14ac:dyDescent="0.2">
      <c r="A234" s="90">
        <v>151</v>
      </c>
      <c r="B234" s="91">
        <v>43</v>
      </c>
      <c r="C234" s="92" t="s">
        <v>256</v>
      </c>
      <c r="D234" s="93">
        <v>1</v>
      </c>
    </row>
    <row r="235" spans="1:4" x14ac:dyDescent="0.2">
      <c r="A235" s="90">
        <v>151</v>
      </c>
      <c r="B235" s="91">
        <v>210</v>
      </c>
      <c r="C235" s="92" t="s">
        <v>256</v>
      </c>
      <c r="D235" s="93" t="s">
        <v>459</v>
      </c>
    </row>
    <row r="236" spans="1:4" x14ac:dyDescent="0.2">
      <c r="A236" s="90">
        <v>152</v>
      </c>
      <c r="B236" s="91">
        <v>45</v>
      </c>
      <c r="C236" s="92" t="s">
        <v>256</v>
      </c>
      <c r="D236" s="93">
        <v>1</v>
      </c>
    </row>
    <row r="237" spans="1:4" x14ac:dyDescent="0.2">
      <c r="A237" s="90">
        <v>152</v>
      </c>
      <c r="B237" s="91">
        <v>211</v>
      </c>
      <c r="C237" s="92" t="s">
        <v>256</v>
      </c>
      <c r="D237" s="93">
        <v>2</v>
      </c>
    </row>
    <row r="238" spans="1:4" x14ac:dyDescent="0.2">
      <c r="A238" s="90">
        <v>153</v>
      </c>
      <c r="B238" s="91">
        <v>46</v>
      </c>
      <c r="C238" s="92" t="s">
        <v>256</v>
      </c>
      <c r="D238" s="93">
        <v>1</v>
      </c>
    </row>
    <row r="239" spans="1:4" x14ac:dyDescent="0.2">
      <c r="A239" s="90">
        <v>153</v>
      </c>
      <c r="B239" s="91">
        <v>212</v>
      </c>
      <c r="C239" s="92" t="s">
        <v>256</v>
      </c>
      <c r="D239" s="93">
        <v>2</v>
      </c>
    </row>
    <row r="240" spans="1:4" x14ac:dyDescent="0.2">
      <c r="A240" s="90">
        <v>154</v>
      </c>
      <c r="B240" s="91">
        <v>39</v>
      </c>
      <c r="C240" s="92" t="s">
        <v>256</v>
      </c>
      <c r="D240" s="93">
        <v>1</v>
      </c>
    </row>
    <row r="241" spans="1:4" x14ac:dyDescent="0.2">
      <c r="A241" s="90">
        <v>154</v>
      </c>
      <c r="B241" s="91">
        <v>221</v>
      </c>
      <c r="C241" s="92" t="s">
        <v>256</v>
      </c>
      <c r="D241" s="93">
        <v>2</v>
      </c>
    </row>
    <row r="242" spans="1:4" x14ac:dyDescent="0.2">
      <c r="A242" s="90">
        <v>155</v>
      </c>
      <c r="B242" s="91">
        <v>51</v>
      </c>
      <c r="C242" s="92" t="s">
        <v>244</v>
      </c>
      <c r="D242" s="93" t="s">
        <v>456</v>
      </c>
    </row>
    <row r="243" spans="1:4" x14ac:dyDescent="0.2">
      <c r="A243" s="90">
        <v>155</v>
      </c>
      <c r="B243" s="91">
        <v>200</v>
      </c>
      <c r="C243" s="92" t="s">
        <v>244</v>
      </c>
      <c r="D243" s="93" t="s">
        <v>456</v>
      </c>
    </row>
    <row r="244" spans="1:4" x14ac:dyDescent="0.2">
      <c r="A244" s="90">
        <v>156</v>
      </c>
      <c r="B244" s="91">
        <v>1000</v>
      </c>
      <c r="C244" s="92" t="s">
        <v>256</v>
      </c>
      <c r="D244" s="93">
        <v>2</v>
      </c>
    </row>
    <row r="245" spans="1:4" x14ac:dyDescent="0.2">
      <c r="A245" s="90">
        <v>156</v>
      </c>
      <c r="B245" s="91">
        <v>1001</v>
      </c>
      <c r="C245" s="92" t="s">
        <v>256</v>
      </c>
      <c r="D245" s="93">
        <v>1</v>
      </c>
    </row>
    <row r="246" spans="1:4" x14ac:dyDescent="0.2">
      <c r="A246" s="90">
        <v>157</v>
      </c>
      <c r="B246" s="91">
        <v>1002</v>
      </c>
      <c r="C246" s="92" t="s">
        <v>256</v>
      </c>
      <c r="D246" s="93">
        <v>2</v>
      </c>
    </row>
    <row r="247" spans="1:4" x14ac:dyDescent="0.2">
      <c r="A247" s="90">
        <v>157</v>
      </c>
      <c r="B247" s="91">
        <v>1003</v>
      </c>
      <c r="C247" s="92" t="s">
        <v>256</v>
      </c>
      <c r="D247" s="93">
        <v>1</v>
      </c>
    </row>
    <row r="248" spans="1:4" x14ac:dyDescent="0.2">
      <c r="A248" s="90">
        <v>158</v>
      </c>
      <c r="B248" s="91">
        <v>1008</v>
      </c>
      <c r="C248" s="92" t="s">
        <v>256</v>
      </c>
      <c r="D248" s="93">
        <v>2</v>
      </c>
    </row>
    <row r="249" spans="1:4" x14ac:dyDescent="0.2">
      <c r="A249" s="90">
        <v>158</v>
      </c>
      <c r="B249" s="91">
        <v>1009</v>
      </c>
      <c r="C249" s="92" t="s">
        <v>256</v>
      </c>
      <c r="D249" s="93">
        <v>1</v>
      </c>
    </row>
    <row r="250" spans="1:4" x14ac:dyDescent="0.2">
      <c r="A250" s="90">
        <v>159</v>
      </c>
      <c r="B250" s="91">
        <v>28</v>
      </c>
      <c r="C250" s="92" t="s">
        <v>232</v>
      </c>
      <c r="D250" s="93" t="s">
        <v>458</v>
      </c>
    </row>
    <row r="251" spans="1:4" x14ac:dyDescent="0.2">
      <c r="A251" s="90">
        <v>160</v>
      </c>
      <c r="B251" s="91">
        <v>1014</v>
      </c>
      <c r="C251" s="92" t="s">
        <v>256</v>
      </c>
      <c r="D251" s="93">
        <v>2</v>
      </c>
    </row>
    <row r="252" spans="1:4" x14ac:dyDescent="0.2">
      <c r="A252" s="90">
        <v>160</v>
      </c>
      <c r="B252" s="91">
        <v>1015</v>
      </c>
      <c r="C252" s="92" t="s">
        <v>256</v>
      </c>
      <c r="D252" s="93">
        <v>1</v>
      </c>
    </row>
    <row r="253" spans="1:4" x14ac:dyDescent="0.2">
      <c r="A253" s="90">
        <v>161</v>
      </c>
      <c r="B253" s="91">
        <v>1018</v>
      </c>
      <c r="C253" s="92" t="s">
        <v>256</v>
      </c>
      <c r="D253" s="93">
        <v>2</v>
      </c>
    </row>
    <row r="254" spans="1:4" x14ac:dyDescent="0.2">
      <c r="A254" s="90">
        <v>161</v>
      </c>
      <c r="B254" s="91">
        <v>1019</v>
      </c>
      <c r="C254" s="92" t="s">
        <v>256</v>
      </c>
      <c r="D254" s="93">
        <v>1</v>
      </c>
    </row>
    <row r="255" spans="1:4" x14ac:dyDescent="0.2">
      <c r="A255" s="90">
        <v>162</v>
      </c>
      <c r="B255" s="91">
        <v>1020</v>
      </c>
      <c r="C255" s="92" t="s">
        <v>256</v>
      </c>
      <c r="D255" s="93">
        <v>2</v>
      </c>
    </row>
    <row r="256" spans="1:4" x14ac:dyDescent="0.2">
      <c r="A256" s="90">
        <v>162</v>
      </c>
      <c r="B256" s="91">
        <v>1021</v>
      </c>
      <c r="C256" s="92" t="s">
        <v>256</v>
      </c>
      <c r="D256" s="93">
        <v>1</v>
      </c>
    </row>
    <row r="257" spans="1:4" x14ac:dyDescent="0.2">
      <c r="A257" s="90">
        <v>163</v>
      </c>
      <c r="B257" s="91">
        <v>1034</v>
      </c>
      <c r="C257" s="92" t="s">
        <v>256</v>
      </c>
      <c r="D257" s="93">
        <v>2</v>
      </c>
    </row>
    <row r="258" spans="1:4" x14ac:dyDescent="0.2">
      <c r="A258" s="90">
        <v>163</v>
      </c>
      <c r="B258" s="91">
        <v>1035</v>
      </c>
      <c r="C258" s="92" t="s">
        <v>256</v>
      </c>
      <c r="D258" s="93">
        <v>1</v>
      </c>
    </row>
    <row r="259" spans="1:4" x14ac:dyDescent="0.2">
      <c r="A259" s="90">
        <v>164</v>
      </c>
      <c r="B259" s="91">
        <v>1037</v>
      </c>
      <c r="C259" s="92" t="s">
        <v>256</v>
      </c>
      <c r="D259" s="93">
        <v>2</v>
      </c>
    </row>
    <row r="260" spans="1:4" x14ac:dyDescent="0.2">
      <c r="A260" s="90">
        <v>164</v>
      </c>
      <c r="B260" s="91">
        <v>1038</v>
      </c>
      <c r="C260" s="92" t="s">
        <v>256</v>
      </c>
      <c r="D260" s="93">
        <v>1</v>
      </c>
    </row>
    <row r="261" spans="1:4" x14ac:dyDescent="0.2">
      <c r="A261" s="90">
        <v>165</v>
      </c>
      <c r="B261" s="91">
        <v>1039</v>
      </c>
      <c r="C261" s="92" t="s">
        <v>256</v>
      </c>
      <c r="D261" s="93">
        <v>2</v>
      </c>
    </row>
    <row r="262" spans="1:4" x14ac:dyDescent="0.2">
      <c r="A262" s="90">
        <v>165</v>
      </c>
      <c r="B262" s="91">
        <v>1040</v>
      </c>
      <c r="C262" s="92" t="s">
        <v>256</v>
      </c>
      <c r="D262" s="93">
        <v>1</v>
      </c>
    </row>
    <row r="263" spans="1:4" x14ac:dyDescent="0.2">
      <c r="A263" s="90">
        <v>166</v>
      </c>
      <c r="B263" s="91">
        <v>1048</v>
      </c>
      <c r="C263" s="92" t="s">
        <v>256</v>
      </c>
      <c r="D263" s="93">
        <v>2</v>
      </c>
    </row>
    <row r="264" spans="1:4" x14ac:dyDescent="0.2">
      <c r="A264" s="90">
        <v>166</v>
      </c>
      <c r="B264" s="91">
        <v>1049</v>
      </c>
      <c r="C264" s="92" t="s">
        <v>256</v>
      </c>
      <c r="D264" s="93">
        <v>1</v>
      </c>
    </row>
    <row r="265" spans="1:4" x14ac:dyDescent="0.2">
      <c r="A265" s="90">
        <v>167</v>
      </c>
      <c r="B265" s="91">
        <v>1055</v>
      </c>
      <c r="C265" s="92" t="s">
        <v>256</v>
      </c>
      <c r="D265" s="93">
        <v>1</v>
      </c>
    </row>
    <row r="266" spans="1:4" x14ac:dyDescent="0.2">
      <c r="A266" s="90">
        <v>167</v>
      </c>
      <c r="B266" s="91">
        <v>1056</v>
      </c>
      <c r="C266" s="92" t="s">
        <v>256</v>
      </c>
      <c r="D266" s="93">
        <v>2</v>
      </c>
    </row>
    <row r="267" spans="1:4" x14ac:dyDescent="0.2">
      <c r="A267" s="90">
        <v>168</v>
      </c>
      <c r="B267" s="91">
        <v>1057</v>
      </c>
      <c r="C267" s="92" t="s">
        <v>256</v>
      </c>
      <c r="D267" s="93">
        <v>1</v>
      </c>
    </row>
    <row r="268" spans="1:4" x14ac:dyDescent="0.2">
      <c r="A268" s="90">
        <v>168</v>
      </c>
      <c r="B268" s="91">
        <v>1058</v>
      </c>
      <c r="C268" s="92" t="s">
        <v>256</v>
      </c>
      <c r="D268" s="93">
        <v>2</v>
      </c>
    </row>
    <row r="269" spans="1:4" x14ac:dyDescent="0.2">
      <c r="A269" s="90">
        <v>169</v>
      </c>
      <c r="B269" s="91">
        <v>1059</v>
      </c>
      <c r="C269" s="92" t="s">
        <v>256</v>
      </c>
      <c r="D269" s="93">
        <v>1</v>
      </c>
    </row>
    <row r="270" spans="1:4" x14ac:dyDescent="0.2">
      <c r="A270" s="90">
        <v>169</v>
      </c>
      <c r="B270" s="91">
        <v>1060</v>
      </c>
      <c r="C270" s="92" t="s">
        <v>256</v>
      </c>
      <c r="D270" s="93">
        <v>2</v>
      </c>
    </row>
    <row r="271" spans="1:4" x14ac:dyDescent="0.2">
      <c r="A271" s="90">
        <v>170</v>
      </c>
      <c r="B271" s="91">
        <v>1061</v>
      </c>
      <c r="C271" s="92" t="s">
        <v>256</v>
      </c>
      <c r="D271" s="93">
        <v>1</v>
      </c>
    </row>
    <row r="272" spans="1:4" x14ac:dyDescent="0.2">
      <c r="A272" s="90">
        <v>170</v>
      </c>
      <c r="B272" s="91">
        <v>1062</v>
      </c>
      <c r="C272" s="92" t="s">
        <v>256</v>
      </c>
      <c r="D272" s="93">
        <v>2</v>
      </c>
    </row>
    <row r="273" spans="1:4" x14ac:dyDescent="0.2">
      <c r="A273" s="90">
        <v>171</v>
      </c>
      <c r="B273" s="91">
        <v>1063</v>
      </c>
      <c r="C273" s="92" t="s">
        <v>256</v>
      </c>
      <c r="D273" s="93">
        <v>1</v>
      </c>
    </row>
    <row r="274" spans="1:4" x14ac:dyDescent="0.2">
      <c r="A274" s="90">
        <v>171</v>
      </c>
      <c r="B274" s="91">
        <v>1064</v>
      </c>
      <c r="C274" s="92" t="s">
        <v>256</v>
      </c>
      <c r="D274" s="93">
        <v>2</v>
      </c>
    </row>
    <row r="275" spans="1:4" x14ac:dyDescent="0.2">
      <c r="A275" s="90">
        <v>172</v>
      </c>
      <c r="B275" s="91">
        <v>1065</v>
      </c>
      <c r="C275" s="92" t="s">
        <v>256</v>
      </c>
      <c r="D275" s="93">
        <v>1</v>
      </c>
    </row>
    <row r="276" spans="1:4" x14ac:dyDescent="0.2">
      <c r="A276" s="90">
        <v>172</v>
      </c>
      <c r="B276" s="91">
        <v>1066</v>
      </c>
      <c r="C276" s="92" t="s">
        <v>256</v>
      </c>
      <c r="D276" s="93">
        <v>2</v>
      </c>
    </row>
    <row r="277" spans="1:4" x14ac:dyDescent="0.2">
      <c r="A277" s="90">
        <v>173</v>
      </c>
      <c r="B277" s="91">
        <v>1067</v>
      </c>
      <c r="C277" s="92" t="s">
        <v>256</v>
      </c>
      <c r="D277" s="93">
        <v>1</v>
      </c>
    </row>
    <row r="278" spans="1:4" x14ac:dyDescent="0.2">
      <c r="A278" s="90">
        <v>173</v>
      </c>
      <c r="B278" s="91">
        <v>1068</v>
      </c>
      <c r="C278" s="92" t="s">
        <v>256</v>
      </c>
      <c r="D278" s="93">
        <v>2</v>
      </c>
    </row>
    <row r="279" spans="1:4" x14ac:dyDescent="0.2">
      <c r="A279" s="90">
        <v>174</v>
      </c>
      <c r="B279" s="91">
        <v>1071</v>
      </c>
      <c r="C279" s="92" t="s">
        <v>256</v>
      </c>
      <c r="D279" s="93">
        <v>1</v>
      </c>
    </row>
    <row r="280" spans="1:4" x14ac:dyDescent="0.2">
      <c r="A280" s="90">
        <v>174</v>
      </c>
      <c r="B280" s="91">
        <v>1072</v>
      </c>
      <c r="C280" s="92" t="s">
        <v>256</v>
      </c>
      <c r="D280" s="93">
        <v>2</v>
      </c>
    </row>
    <row r="281" spans="1:4" x14ac:dyDescent="0.2">
      <c r="A281" s="90">
        <v>175</v>
      </c>
      <c r="B281" s="91">
        <v>1078</v>
      </c>
      <c r="C281" s="92" t="s">
        <v>256</v>
      </c>
      <c r="D281" s="93">
        <v>1</v>
      </c>
    </row>
    <row r="282" spans="1:4" x14ac:dyDescent="0.2">
      <c r="A282" s="90">
        <v>175</v>
      </c>
      <c r="B282" s="91">
        <v>1079</v>
      </c>
      <c r="C282" s="92" t="s">
        <v>256</v>
      </c>
      <c r="D282" s="93">
        <v>2</v>
      </c>
    </row>
    <row r="283" spans="1:4" x14ac:dyDescent="0.2">
      <c r="A283" s="90">
        <v>176</v>
      </c>
      <c r="B283" s="91">
        <v>1124</v>
      </c>
      <c r="C283" s="92" t="s">
        <v>256</v>
      </c>
      <c r="D283" s="93">
        <v>1</v>
      </c>
    </row>
    <row r="284" spans="1:4" x14ac:dyDescent="0.2">
      <c r="A284" s="90">
        <v>176</v>
      </c>
      <c r="B284" s="91">
        <v>1125</v>
      </c>
      <c r="C284" s="92" t="s">
        <v>256</v>
      </c>
      <c r="D284" s="93">
        <v>2</v>
      </c>
    </row>
    <row r="285" spans="1:4" x14ac:dyDescent="0.2">
      <c r="A285" s="90">
        <v>177</v>
      </c>
      <c r="B285" s="91">
        <v>1126</v>
      </c>
      <c r="C285" s="92" t="s">
        <v>256</v>
      </c>
      <c r="D285" s="93">
        <v>1</v>
      </c>
    </row>
    <row r="286" spans="1:4" x14ac:dyDescent="0.2">
      <c r="A286" s="90">
        <v>177</v>
      </c>
      <c r="B286" s="91">
        <v>1127</v>
      </c>
      <c r="C286" s="92" t="s">
        <v>256</v>
      </c>
      <c r="D286" s="93">
        <v>2</v>
      </c>
    </row>
    <row r="287" spans="1:4" x14ac:dyDescent="0.2">
      <c r="A287" s="90">
        <v>178</v>
      </c>
      <c r="B287" s="91">
        <v>1128</v>
      </c>
      <c r="C287" s="92" t="s">
        <v>266</v>
      </c>
      <c r="D287" s="93">
        <v>1</v>
      </c>
    </row>
    <row r="288" spans="1:4" x14ac:dyDescent="0.2">
      <c r="A288" s="90">
        <v>178</v>
      </c>
      <c r="B288" s="91">
        <v>1129</v>
      </c>
      <c r="C288" s="92" t="s">
        <v>266</v>
      </c>
      <c r="D288" s="93">
        <v>2</v>
      </c>
    </row>
    <row r="289" spans="1:4" x14ac:dyDescent="0.2">
      <c r="A289" s="90">
        <v>179</v>
      </c>
      <c r="B289" s="91">
        <v>1139</v>
      </c>
      <c r="C289" s="92" t="s">
        <v>256</v>
      </c>
      <c r="D289" s="93">
        <v>1</v>
      </c>
    </row>
    <row r="290" spans="1:4" x14ac:dyDescent="0.2">
      <c r="A290" s="90">
        <v>179</v>
      </c>
      <c r="B290" s="91">
        <v>1140</v>
      </c>
      <c r="C290" s="92" t="s">
        <v>256</v>
      </c>
      <c r="D290" s="93">
        <v>2</v>
      </c>
    </row>
    <row r="291" spans="1:4" x14ac:dyDescent="0.2">
      <c r="A291" s="90">
        <v>180</v>
      </c>
      <c r="B291" s="91">
        <v>1141</v>
      </c>
      <c r="C291" s="92" t="s">
        <v>256</v>
      </c>
      <c r="D291" s="93">
        <v>1</v>
      </c>
    </row>
    <row r="292" spans="1:4" x14ac:dyDescent="0.2">
      <c r="A292" s="90">
        <v>180</v>
      </c>
      <c r="B292" s="91">
        <v>1142</v>
      </c>
      <c r="C292" s="92" t="s">
        <v>256</v>
      </c>
      <c r="D292" s="93">
        <v>2</v>
      </c>
    </row>
    <row r="293" spans="1:4" x14ac:dyDescent="0.2">
      <c r="A293" s="90">
        <v>181</v>
      </c>
      <c r="B293" s="91">
        <v>1143</v>
      </c>
      <c r="C293" s="92" t="s">
        <v>256</v>
      </c>
      <c r="D293" s="93">
        <v>1</v>
      </c>
    </row>
    <row r="294" spans="1:4" x14ac:dyDescent="0.2">
      <c r="A294" s="90">
        <v>181</v>
      </c>
      <c r="B294" s="91">
        <v>1144</v>
      </c>
      <c r="C294" s="92" t="s">
        <v>256</v>
      </c>
      <c r="D294" s="93">
        <v>2</v>
      </c>
    </row>
    <row r="295" spans="1:4" x14ac:dyDescent="0.2">
      <c r="A295" s="90">
        <v>182</v>
      </c>
      <c r="B295" s="91">
        <v>1145</v>
      </c>
      <c r="C295" s="92" t="s">
        <v>256</v>
      </c>
      <c r="D295" s="93">
        <v>1</v>
      </c>
    </row>
    <row r="296" spans="1:4" x14ac:dyDescent="0.2">
      <c r="A296" s="90">
        <v>182</v>
      </c>
      <c r="B296" s="91">
        <v>1146</v>
      </c>
      <c r="C296" s="92" t="s">
        <v>256</v>
      </c>
      <c r="D296" s="93">
        <v>2</v>
      </c>
    </row>
    <row r="297" spans="1:4" x14ac:dyDescent="0.2">
      <c r="A297" s="90">
        <v>183</v>
      </c>
      <c r="B297" s="91">
        <v>1147</v>
      </c>
      <c r="C297" s="92" t="s">
        <v>256</v>
      </c>
      <c r="D297" s="93">
        <v>1</v>
      </c>
    </row>
    <row r="298" spans="1:4" x14ac:dyDescent="0.2">
      <c r="A298" s="90">
        <v>183</v>
      </c>
      <c r="B298" s="91">
        <v>1148</v>
      </c>
      <c r="C298" s="92" t="s">
        <v>256</v>
      </c>
      <c r="D298" s="93">
        <v>2</v>
      </c>
    </row>
    <row r="299" spans="1:4" x14ac:dyDescent="0.2">
      <c r="A299" s="90">
        <v>184</v>
      </c>
      <c r="B299" s="91">
        <v>1149</v>
      </c>
      <c r="C299" s="92" t="s">
        <v>256</v>
      </c>
      <c r="D299" s="93">
        <v>1</v>
      </c>
    </row>
    <row r="300" spans="1:4" x14ac:dyDescent="0.2">
      <c r="A300" s="90">
        <v>184</v>
      </c>
      <c r="B300" s="91">
        <v>1150</v>
      </c>
      <c r="C300" s="92" t="s">
        <v>256</v>
      </c>
      <c r="D300" s="93">
        <v>2</v>
      </c>
    </row>
    <row r="301" spans="1:4" x14ac:dyDescent="0.2">
      <c r="A301" s="90">
        <v>185</v>
      </c>
      <c r="B301" s="91">
        <v>1151</v>
      </c>
      <c r="C301" s="92" t="s">
        <v>256</v>
      </c>
      <c r="D301" s="93">
        <v>1</v>
      </c>
    </row>
    <row r="302" spans="1:4" x14ac:dyDescent="0.2">
      <c r="A302" s="90">
        <v>185</v>
      </c>
      <c r="B302" s="91">
        <v>1152</v>
      </c>
      <c r="C302" s="92" t="s">
        <v>256</v>
      </c>
      <c r="D302" s="93">
        <v>2</v>
      </c>
    </row>
    <row r="303" spans="1:4" x14ac:dyDescent="0.2">
      <c r="A303" s="90">
        <v>186</v>
      </c>
      <c r="B303" s="91">
        <v>1153</v>
      </c>
      <c r="C303" s="92" t="s">
        <v>256</v>
      </c>
      <c r="D303" s="93">
        <v>1</v>
      </c>
    </row>
    <row r="304" spans="1:4" x14ac:dyDescent="0.2">
      <c r="A304" s="90">
        <v>186</v>
      </c>
      <c r="B304" s="91">
        <v>1154</v>
      </c>
      <c r="C304" s="92" t="s">
        <v>256</v>
      </c>
      <c r="D304" s="93">
        <v>2</v>
      </c>
    </row>
    <row r="305" spans="1:4" x14ac:dyDescent="0.2">
      <c r="A305" s="90">
        <v>187</v>
      </c>
      <c r="B305" s="91">
        <v>1324</v>
      </c>
      <c r="C305" s="92" t="s">
        <v>256</v>
      </c>
      <c r="D305" s="93">
        <v>2</v>
      </c>
    </row>
    <row r="306" spans="1:4" x14ac:dyDescent="0.2">
      <c r="A306" s="90">
        <v>187</v>
      </c>
      <c r="B306" s="91">
        <v>1325</v>
      </c>
      <c r="C306" s="92" t="s">
        <v>256</v>
      </c>
      <c r="D306" s="93">
        <v>1</v>
      </c>
    </row>
    <row r="307" spans="1:4" x14ac:dyDescent="0.2">
      <c r="A307" s="90">
        <v>188</v>
      </c>
      <c r="B307" s="91">
        <v>1191</v>
      </c>
      <c r="C307" s="92" t="s">
        <v>256</v>
      </c>
      <c r="D307" s="93">
        <v>2</v>
      </c>
    </row>
    <row r="308" spans="1:4" x14ac:dyDescent="0.2">
      <c r="A308" s="90">
        <v>188</v>
      </c>
      <c r="B308" s="91">
        <v>1192</v>
      </c>
      <c r="C308" s="92" t="s">
        <v>256</v>
      </c>
      <c r="D308" s="93">
        <v>1</v>
      </c>
    </row>
    <row r="309" spans="1:4" x14ac:dyDescent="0.2">
      <c r="A309" s="90">
        <v>189</v>
      </c>
      <c r="B309" s="91">
        <v>1233</v>
      </c>
      <c r="C309" s="92" t="s">
        <v>256</v>
      </c>
      <c r="D309" s="93" t="s">
        <v>456</v>
      </c>
    </row>
    <row r="310" spans="1:4" x14ac:dyDescent="0.2">
      <c r="A310" s="90">
        <v>189</v>
      </c>
      <c r="B310" s="91">
        <v>1234</v>
      </c>
      <c r="C310" s="92" t="s">
        <v>256</v>
      </c>
      <c r="D310" s="93" t="s">
        <v>456</v>
      </c>
    </row>
    <row r="311" spans="1:4" x14ac:dyDescent="0.2">
      <c r="A311" s="90">
        <v>190</v>
      </c>
      <c r="B311" s="91">
        <v>1238</v>
      </c>
      <c r="C311" s="92" t="s">
        <v>256</v>
      </c>
      <c r="D311" s="93" t="s">
        <v>456</v>
      </c>
    </row>
    <row r="312" spans="1:4" x14ac:dyDescent="0.2">
      <c r="A312" s="90">
        <v>190</v>
      </c>
      <c r="B312" s="91">
        <v>1239</v>
      </c>
      <c r="C312" s="92" t="s">
        <v>256</v>
      </c>
      <c r="D312" s="93" t="s">
        <v>456</v>
      </c>
    </row>
    <row r="313" spans="1:4" x14ac:dyDescent="0.2">
      <c r="A313" s="90">
        <v>191</v>
      </c>
      <c r="B313" s="91">
        <v>1240</v>
      </c>
      <c r="C313" s="92" t="s">
        <v>256</v>
      </c>
      <c r="D313" s="93" t="s">
        <v>456</v>
      </c>
    </row>
    <row r="314" spans="1:4" x14ac:dyDescent="0.2">
      <c r="A314" s="90">
        <v>191</v>
      </c>
      <c r="B314" s="91">
        <v>1241</v>
      </c>
      <c r="C314" s="92" t="s">
        <v>256</v>
      </c>
      <c r="D314" s="93" t="s">
        <v>456</v>
      </c>
    </row>
    <row r="315" spans="1:4" x14ac:dyDescent="0.2">
      <c r="A315" s="90">
        <v>192</v>
      </c>
      <c r="B315" s="91">
        <v>1242</v>
      </c>
      <c r="C315" s="92" t="s">
        <v>256</v>
      </c>
      <c r="D315" s="93" t="s">
        <v>456</v>
      </c>
    </row>
    <row r="316" spans="1:4" x14ac:dyDescent="0.2">
      <c r="A316" s="90">
        <v>192</v>
      </c>
      <c r="B316" s="91">
        <v>1243</v>
      </c>
      <c r="C316" s="92" t="s">
        <v>256</v>
      </c>
      <c r="D316" s="93" t="s">
        <v>456</v>
      </c>
    </row>
    <row r="317" spans="1:4" x14ac:dyDescent="0.2">
      <c r="A317" s="90">
        <v>193</v>
      </c>
      <c r="B317" s="91">
        <v>1244</v>
      </c>
      <c r="C317" s="92" t="s">
        <v>256</v>
      </c>
      <c r="D317" s="93" t="s">
        <v>456</v>
      </c>
    </row>
    <row r="318" spans="1:4" x14ac:dyDescent="0.2">
      <c r="A318" s="90">
        <v>193</v>
      </c>
      <c r="B318" s="91">
        <v>1245</v>
      </c>
      <c r="C318" s="92" t="s">
        <v>256</v>
      </c>
      <c r="D318" s="93" t="s">
        <v>456</v>
      </c>
    </row>
    <row r="319" spans="1:4" x14ac:dyDescent="0.2">
      <c r="A319" s="90">
        <v>194</v>
      </c>
      <c r="B319" s="91">
        <v>1246</v>
      </c>
      <c r="C319" s="92" t="s">
        <v>256</v>
      </c>
      <c r="D319" s="93" t="s">
        <v>456</v>
      </c>
    </row>
    <row r="320" spans="1:4" x14ac:dyDescent="0.2">
      <c r="A320" s="90">
        <v>194</v>
      </c>
      <c r="B320" s="91">
        <v>1247</v>
      </c>
      <c r="C320" s="92" t="s">
        <v>256</v>
      </c>
      <c r="D320" s="93" t="s">
        <v>456</v>
      </c>
    </row>
    <row r="321" spans="1:4" x14ac:dyDescent="0.2">
      <c r="A321" s="90">
        <v>195</v>
      </c>
      <c r="B321" s="91">
        <v>1248</v>
      </c>
      <c r="C321" s="92" t="s">
        <v>256</v>
      </c>
      <c r="D321" s="93" t="s">
        <v>456</v>
      </c>
    </row>
    <row r="322" spans="1:4" x14ac:dyDescent="0.2">
      <c r="A322" s="90">
        <v>195</v>
      </c>
      <c r="B322" s="91">
        <v>1249</v>
      </c>
      <c r="C322" s="92" t="s">
        <v>256</v>
      </c>
      <c r="D322" s="93" t="s">
        <v>456</v>
      </c>
    </row>
    <row r="323" spans="1:4" x14ac:dyDescent="0.2">
      <c r="A323" s="90">
        <v>196</v>
      </c>
      <c r="B323" s="91">
        <v>1250</v>
      </c>
      <c r="C323" s="92" t="s">
        <v>256</v>
      </c>
      <c r="D323" s="93" t="s">
        <v>456</v>
      </c>
    </row>
    <row r="324" spans="1:4" x14ac:dyDescent="0.2">
      <c r="A324" s="90">
        <v>196</v>
      </c>
      <c r="B324" s="91">
        <v>1251</v>
      </c>
      <c r="C324" s="92" t="s">
        <v>256</v>
      </c>
      <c r="D324" s="93" t="s">
        <v>456</v>
      </c>
    </row>
    <row r="325" spans="1:4" x14ac:dyDescent="0.2">
      <c r="A325" s="90">
        <v>197</v>
      </c>
      <c r="B325" s="91">
        <v>1252</v>
      </c>
      <c r="C325" s="92" t="s">
        <v>256</v>
      </c>
      <c r="D325" s="93" t="s">
        <v>456</v>
      </c>
    </row>
    <row r="326" spans="1:4" x14ac:dyDescent="0.2">
      <c r="A326" s="90">
        <v>197</v>
      </c>
      <c r="B326" s="91">
        <v>1253</v>
      </c>
      <c r="C326" s="92" t="s">
        <v>256</v>
      </c>
      <c r="D326" s="93" t="s">
        <v>456</v>
      </c>
    </row>
    <row r="327" spans="1:4" x14ac:dyDescent="0.2">
      <c r="A327" s="90">
        <v>198</v>
      </c>
      <c r="B327" s="91">
        <v>1254</v>
      </c>
      <c r="C327" s="92" t="s">
        <v>256</v>
      </c>
      <c r="D327" s="93" t="s">
        <v>456</v>
      </c>
    </row>
    <row r="328" spans="1:4" x14ac:dyDescent="0.2">
      <c r="A328" s="90">
        <v>198</v>
      </c>
      <c r="B328" s="91">
        <v>1255</v>
      </c>
      <c r="C328" s="92" t="s">
        <v>256</v>
      </c>
      <c r="D328" s="93" t="s">
        <v>456</v>
      </c>
    </row>
    <row r="329" spans="1:4" x14ac:dyDescent="0.2">
      <c r="A329" s="90">
        <v>199</v>
      </c>
      <c r="B329" s="91">
        <v>1256</v>
      </c>
      <c r="C329" s="92" t="s">
        <v>256</v>
      </c>
      <c r="D329" s="93" t="s">
        <v>456</v>
      </c>
    </row>
    <row r="330" spans="1:4" x14ac:dyDescent="0.2">
      <c r="A330" s="90">
        <v>199</v>
      </c>
      <c r="B330" s="91">
        <v>1257</v>
      </c>
      <c r="C330" s="92" t="s">
        <v>256</v>
      </c>
      <c r="D330" s="93" t="s">
        <v>456</v>
      </c>
    </row>
    <row r="331" spans="1:4" x14ac:dyDescent="0.2">
      <c r="A331" s="90">
        <v>201</v>
      </c>
      <c r="B331" s="91">
        <v>1265</v>
      </c>
      <c r="C331" s="92" t="s">
        <v>256</v>
      </c>
      <c r="D331" s="93" t="s">
        <v>456</v>
      </c>
    </row>
    <row r="332" spans="1:4" x14ac:dyDescent="0.2">
      <c r="A332" s="90">
        <v>201</v>
      </c>
      <c r="B332" s="91">
        <v>1266</v>
      </c>
      <c r="C332" s="92" t="s">
        <v>256</v>
      </c>
      <c r="D332" s="93" t="s">
        <v>456</v>
      </c>
    </row>
    <row r="333" spans="1:4" x14ac:dyDescent="0.2">
      <c r="A333" s="90">
        <v>202</v>
      </c>
      <c r="B333" s="91">
        <v>1267</v>
      </c>
      <c r="C333" s="92" t="s">
        <v>256</v>
      </c>
      <c r="D333" s="93" t="s">
        <v>456</v>
      </c>
    </row>
    <row r="334" spans="1:4" x14ac:dyDescent="0.2">
      <c r="A334" s="90">
        <v>202</v>
      </c>
      <c r="B334" s="91">
        <v>1268</v>
      </c>
      <c r="C334" s="92" t="s">
        <v>256</v>
      </c>
      <c r="D334" s="93" t="s">
        <v>456</v>
      </c>
    </row>
    <row r="335" spans="1:4" x14ac:dyDescent="0.2">
      <c r="A335" s="90">
        <v>203</v>
      </c>
      <c r="B335" s="91">
        <v>1269</v>
      </c>
      <c r="C335" s="92" t="s">
        <v>256</v>
      </c>
      <c r="D335" s="93" t="s">
        <v>456</v>
      </c>
    </row>
    <row r="336" spans="1:4" x14ac:dyDescent="0.2">
      <c r="A336" s="90">
        <v>203</v>
      </c>
      <c r="B336" s="91">
        <v>1270</v>
      </c>
      <c r="C336" s="92" t="s">
        <v>256</v>
      </c>
      <c r="D336" s="93" t="s">
        <v>456</v>
      </c>
    </row>
    <row r="337" spans="1:4" x14ac:dyDescent="0.2">
      <c r="A337" s="90">
        <v>204</v>
      </c>
      <c r="B337" s="91">
        <v>1271</v>
      </c>
      <c r="C337" s="92" t="s">
        <v>256</v>
      </c>
      <c r="D337" s="93" t="s">
        <v>456</v>
      </c>
    </row>
    <row r="338" spans="1:4" x14ac:dyDescent="0.2">
      <c r="A338" s="90">
        <v>204</v>
      </c>
      <c r="B338" s="91">
        <v>1272</v>
      </c>
      <c r="C338" s="92" t="s">
        <v>256</v>
      </c>
      <c r="D338" s="93" t="s">
        <v>456</v>
      </c>
    </row>
    <row r="339" spans="1:4" x14ac:dyDescent="0.2">
      <c r="A339" s="90">
        <v>205</v>
      </c>
      <c r="B339" s="91">
        <v>1273</v>
      </c>
      <c r="C339" s="92" t="s">
        <v>256</v>
      </c>
      <c r="D339" s="93" t="s">
        <v>456</v>
      </c>
    </row>
    <row r="340" spans="1:4" x14ac:dyDescent="0.2">
      <c r="A340" s="90">
        <v>205</v>
      </c>
      <c r="B340" s="91">
        <v>1274</v>
      </c>
      <c r="C340" s="92" t="s">
        <v>256</v>
      </c>
      <c r="D340" s="93" t="s">
        <v>456</v>
      </c>
    </row>
    <row r="341" spans="1:4" x14ac:dyDescent="0.2">
      <c r="A341" s="90">
        <v>206</v>
      </c>
      <c r="B341" s="91">
        <v>1275</v>
      </c>
      <c r="C341" s="92" t="s">
        <v>256</v>
      </c>
      <c r="D341" s="93" t="s">
        <v>456</v>
      </c>
    </row>
    <row r="342" spans="1:4" x14ac:dyDescent="0.2">
      <c r="A342" s="90">
        <v>206</v>
      </c>
      <c r="B342" s="91">
        <v>1276</v>
      </c>
      <c r="C342" s="92" t="s">
        <v>256</v>
      </c>
      <c r="D342" s="93" t="s">
        <v>456</v>
      </c>
    </row>
    <row r="343" spans="1:4" x14ac:dyDescent="0.2">
      <c r="A343" s="90">
        <v>207</v>
      </c>
      <c r="B343" s="91">
        <v>1277</v>
      </c>
      <c r="C343" s="92" t="s">
        <v>256</v>
      </c>
      <c r="D343" s="93" t="s">
        <v>456</v>
      </c>
    </row>
    <row r="344" spans="1:4" x14ac:dyDescent="0.2">
      <c r="A344" s="90">
        <v>207</v>
      </c>
      <c r="B344" s="91">
        <v>1278</v>
      </c>
      <c r="C344" s="92" t="s">
        <v>256</v>
      </c>
      <c r="D344" s="93" t="s">
        <v>456</v>
      </c>
    </row>
    <row r="345" spans="1:4" x14ac:dyDescent="0.2">
      <c r="A345" s="90">
        <v>208</v>
      </c>
      <c r="B345" s="91">
        <v>1279</v>
      </c>
      <c r="C345" s="92" t="s">
        <v>256</v>
      </c>
      <c r="D345" s="93" t="s">
        <v>456</v>
      </c>
    </row>
    <row r="346" spans="1:4" x14ac:dyDescent="0.2">
      <c r="A346" s="90">
        <v>208</v>
      </c>
      <c r="B346" s="91">
        <v>1280</v>
      </c>
      <c r="C346" s="92" t="s">
        <v>256</v>
      </c>
      <c r="D346" s="93" t="s">
        <v>456</v>
      </c>
    </row>
    <row r="347" spans="1:4" x14ac:dyDescent="0.2">
      <c r="A347" s="90">
        <v>209</v>
      </c>
      <c r="B347" s="91">
        <v>1286</v>
      </c>
      <c r="C347" s="92" t="s">
        <v>256</v>
      </c>
      <c r="D347" s="93">
        <v>2</v>
      </c>
    </row>
    <row r="348" spans="1:4" x14ac:dyDescent="0.2">
      <c r="A348" s="90">
        <v>209</v>
      </c>
      <c r="B348" s="91">
        <v>1287</v>
      </c>
      <c r="C348" s="92" t="s">
        <v>256</v>
      </c>
      <c r="D348" s="93">
        <v>1</v>
      </c>
    </row>
    <row r="349" spans="1:4" x14ac:dyDescent="0.2">
      <c r="A349" s="90">
        <v>210</v>
      </c>
      <c r="B349" s="91">
        <v>1293</v>
      </c>
      <c r="C349" s="92" t="s">
        <v>256</v>
      </c>
      <c r="D349" s="93">
        <v>2</v>
      </c>
    </row>
    <row r="350" spans="1:4" x14ac:dyDescent="0.2">
      <c r="A350" s="90">
        <v>210</v>
      </c>
      <c r="B350" s="91">
        <v>1294</v>
      </c>
      <c r="C350" s="92" t="s">
        <v>256</v>
      </c>
      <c r="D350" s="93">
        <v>1</v>
      </c>
    </row>
    <row r="351" spans="1:4" x14ac:dyDescent="0.2">
      <c r="A351" s="90">
        <v>211</v>
      </c>
      <c r="B351" s="91">
        <v>1295</v>
      </c>
      <c r="C351" s="92" t="s">
        <v>256</v>
      </c>
      <c r="D351" s="93">
        <v>2</v>
      </c>
    </row>
    <row r="352" spans="1:4" x14ac:dyDescent="0.2">
      <c r="A352" s="90">
        <v>211</v>
      </c>
      <c r="B352" s="91">
        <v>1296</v>
      </c>
      <c r="C352" s="92" t="s">
        <v>256</v>
      </c>
      <c r="D352" s="93">
        <v>1</v>
      </c>
    </row>
    <row r="353" spans="1:4" x14ac:dyDescent="0.2">
      <c r="A353" s="90">
        <v>212</v>
      </c>
      <c r="B353" s="91">
        <v>1297</v>
      </c>
      <c r="C353" s="92" t="s">
        <v>256</v>
      </c>
      <c r="D353" s="93">
        <v>2</v>
      </c>
    </row>
    <row r="354" spans="1:4" x14ac:dyDescent="0.2">
      <c r="A354" s="90">
        <v>212</v>
      </c>
      <c r="B354" s="91">
        <v>1298</v>
      </c>
      <c r="C354" s="92" t="s">
        <v>256</v>
      </c>
      <c r="D354" s="93">
        <v>1</v>
      </c>
    </row>
    <row r="355" spans="1:4" x14ac:dyDescent="0.2">
      <c r="A355" s="90">
        <v>213</v>
      </c>
      <c r="B355" s="91">
        <v>1299</v>
      </c>
      <c r="C355" s="92" t="s">
        <v>256</v>
      </c>
      <c r="D355" s="93">
        <v>2</v>
      </c>
    </row>
    <row r="356" spans="1:4" x14ac:dyDescent="0.2">
      <c r="A356" s="90">
        <v>213</v>
      </c>
      <c r="B356" s="91">
        <v>1300</v>
      </c>
      <c r="C356" s="92" t="s">
        <v>256</v>
      </c>
      <c r="D356" s="93">
        <v>1</v>
      </c>
    </row>
    <row r="357" spans="1:4" x14ac:dyDescent="0.2">
      <c r="A357" s="90">
        <v>214</v>
      </c>
      <c r="B357" s="91">
        <v>1326</v>
      </c>
      <c r="C357" s="92" t="s">
        <v>256</v>
      </c>
      <c r="D357" s="93">
        <v>2</v>
      </c>
    </row>
    <row r="358" spans="1:4" x14ac:dyDescent="0.2">
      <c r="A358" s="90">
        <v>214</v>
      </c>
      <c r="B358" s="91">
        <v>1327</v>
      </c>
      <c r="C358" s="92" t="s">
        <v>256</v>
      </c>
      <c r="D358" s="93">
        <v>1</v>
      </c>
    </row>
    <row r="359" spans="1:4" x14ac:dyDescent="0.2">
      <c r="A359" s="90">
        <v>215</v>
      </c>
      <c r="B359" s="91">
        <v>1328</v>
      </c>
      <c r="C359" s="92" t="s">
        <v>256</v>
      </c>
      <c r="D359" s="93">
        <v>2</v>
      </c>
    </row>
    <row r="360" spans="1:4" x14ac:dyDescent="0.2">
      <c r="A360" s="90">
        <v>215</v>
      </c>
      <c r="B360" s="91">
        <v>1329</v>
      </c>
      <c r="C360" s="92" t="s">
        <v>256</v>
      </c>
      <c r="D360" s="93">
        <v>1</v>
      </c>
    </row>
    <row r="361" spans="1:4" x14ac:dyDescent="0.2">
      <c r="A361" s="90">
        <v>216</v>
      </c>
      <c r="B361" s="91">
        <v>1330</v>
      </c>
      <c r="C361" s="92" t="s">
        <v>256</v>
      </c>
      <c r="D361" s="93">
        <v>2</v>
      </c>
    </row>
    <row r="362" spans="1:4" x14ac:dyDescent="0.2">
      <c r="A362" s="90">
        <v>216</v>
      </c>
      <c r="B362" s="91">
        <v>1331</v>
      </c>
      <c r="C362" s="92" t="s">
        <v>256</v>
      </c>
      <c r="D362" s="93">
        <v>1</v>
      </c>
    </row>
    <row r="363" spans="1:4" x14ac:dyDescent="0.2">
      <c r="A363" s="90">
        <v>217</v>
      </c>
      <c r="B363" s="91">
        <v>1332</v>
      </c>
      <c r="C363" s="92" t="s">
        <v>256</v>
      </c>
      <c r="D363" s="93">
        <v>2</v>
      </c>
    </row>
    <row r="364" spans="1:4" x14ac:dyDescent="0.2">
      <c r="A364" s="90">
        <v>217</v>
      </c>
      <c r="B364" s="91">
        <v>1333</v>
      </c>
      <c r="C364" s="92" t="s">
        <v>256</v>
      </c>
      <c r="D364" s="93">
        <v>1</v>
      </c>
    </row>
    <row r="365" spans="1:4" x14ac:dyDescent="0.2">
      <c r="A365" s="90">
        <v>218</v>
      </c>
      <c r="B365" s="91">
        <v>1334</v>
      </c>
      <c r="C365" s="92" t="s">
        <v>256</v>
      </c>
      <c r="D365" s="93">
        <v>2</v>
      </c>
    </row>
    <row r="366" spans="1:4" x14ac:dyDescent="0.2">
      <c r="A366" s="90">
        <v>218</v>
      </c>
      <c r="B366" s="91">
        <v>1335</v>
      </c>
      <c r="C366" s="92" t="s">
        <v>256</v>
      </c>
      <c r="D366" s="93">
        <v>1</v>
      </c>
    </row>
    <row r="367" spans="1:4" x14ac:dyDescent="0.2">
      <c r="A367" s="90">
        <v>219</v>
      </c>
      <c r="B367" s="91">
        <v>1336</v>
      </c>
      <c r="C367" s="92" t="s">
        <v>256</v>
      </c>
      <c r="D367" s="93">
        <v>2</v>
      </c>
    </row>
    <row r="368" spans="1:4" x14ac:dyDescent="0.2">
      <c r="A368" s="90">
        <v>219</v>
      </c>
      <c r="B368" s="91">
        <v>1337</v>
      </c>
      <c r="C368" s="92" t="s">
        <v>256</v>
      </c>
      <c r="D368" s="93">
        <v>1</v>
      </c>
    </row>
    <row r="369" spans="1:4" x14ac:dyDescent="0.2">
      <c r="A369" s="90">
        <v>220</v>
      </c>
      <c r="B369" s="91">
        <v>1338</v>
      </c>
      <c r="C369" s="92" t="s">
        <v>256</v>
      </c>
      <c r="D369" s="93">
        <v>2</v>
      </c>
    </row>
    <row r="370" spans="1:4" x14ac:dyDescent="0.2">
      <c r="A370" s="90">
        <v>220</v>
      </c>
      <c r="B370" s="91">
        <v>1339</v>
      </c>
      <c r="C370" s="92" t="s">
        <v>256</v>
      </c>
      <c r="D370" s="93">
        <v>1</v>
      </c>
    </row>
    <row r="371" spans="1:4" x14ac:dyDescent="0.2">
      <c r="A371" s="90">
        <v>221</v>
      </c>
      <c r="B371" s="91">
        <v>1340</v>
      </c>
      <c r="C371" s="92" t="s">
        <v>256</v>
      </c>
      <c r="D371" s="93">
        <v>2</v>
      </c>
    </row>
    <row r="372" spans="1:4" x14ac:dyDescent="0.2">
      <c r="A372" s="90">
        <v>221</v>
      </c>
      <c r="B372" s="91">
        <v>1341</v>
      </c>
      <c r="C372" s="92" t="s">
        <v>256</v>
      </c>
      <c r="D372" s="93">
        <v>1</v>
      </c>
    </row>
    <row r="373" spans="1:4" x14ac:dyDescent="0.2">
      <c r="A373" s="90">
        <v>222</v>
      </c>
      <c r="B373" s="91">
        <v>1342</v>
      </c>
      <c r="C373" s="92" t="s">
        <v>256</v>
      </c>
      <c r="D373" s="93">
        <v>2</v>
      </c>
    </row>
    <row r="374" spans="1:4" x14ac:dyDescent="0.2">
      <c r="A374" s="90">
        <v>222</v>
      </c>
      <c r="B374" s="91">
        <v>1343</v>
      </c>
      <c r="C374" s="92" t="s">
        <v>256</v>
      </c>
      <c r="D374" s="93">
        <v>1</v>
      </c>
    </row>
    <row r="375" spans="1:4" x14ac:dyDescent="0.2">
      <c r="A375" s="90">
        <v>223</v>
      </c>
      <c r="B375" s="91">
        <v>1344</v>
      </c>
      <c r="C375" s="92" t="s">
        <v>256</v>
      </c>
      <c r="D375" s="93">
        <v>2</v>
      </c>
    </row>
    <row r="376" spans="1:4" x14ac:dyDescent="0.2">
      <c r="A376" s="90">
        <v>223</v>
      </c>
      <c r="B376" s="91">
        <v>1345</v>
      </c>
      <c r="C376" s="92" t="s">
        <v>256</v>
      </c>
      <c r="D376" s="93">
        <v>1</v>
      </c>
    </row>
    <row r="377" spans="1:4" x14ac:dyDescent="0.2">
      <c r="A377" s="90">
        <v>224</v>
      </c>
      <c r="B377" s="91">
        <v>1353</v>
      </c>
      <c r="C377" s="92" t="s">
        <v>256</v>
      </c>
      <c r="D377" s="93">
        <v>2</v>
      </c>
    </row>
    <row r="378" spans="1:4" x14ac:dyDescent="0.2">
      <c r="A378" s="90">
        <v>224</v>
      </c>
      <c r="B378" s="91">
        <v>1354</v>
      </c>
      <c r="C378" s="92" t="s">
        <v>256</v>
      </c>
      <c r="D378" s="93">
        <v>1</v>
      </c>
    </row>
    <row r="379" spans="1:4" x14ac:dyDescent="0.2">
      <c r="A379" s="90">
        <v>225</v>
      </c>
      <c r="B379" s="91">
        <v>1355</v>
      </c>
      <c r="C379" s="92" t="s">
        <v>256</v>
      </c>
      <c r="D379" s="93">
        <v>2</v>
      </c>
    </row>
    <row r="380" spans="1:4" x14ac:dyDescent="0.2">
      <c r="A380" s="90">
        <v>225</v>
      </c>
      <c r="B380" s="91">
        <v>1356</v>
      </c>
      <c r="C380" s="92" t="s">
        <v>256</v>
      </c>
      <c r="D380" s="93">
        <v>1</v>
      </c>
    </row>
    <row r="381" spans="1:4" x14ac:dyDescent="0.2">
      <c r="A381" s="90">
        <v>226</v>
      </c>
      <c r="B381" s="91">
        <v>1357</v>
      </c>
      <c r="C381" s="92" t="s">
        <v>256</v>
      </c>
      <c r="D381" s="93">
        <v>2</v>
      </c>
    </row>
    <row r="382" spans="1:4" x14ac:dyDescent="0.2">
      <c r="A382" s="90">
        <v>226</v>
      </c>
      <c r="B382" s="91">
        <v>1358</v>
      </c>
      <c r="C382" s="92" t="s">
        <v>256</v>
      </c>
      <c r="D382" s="93">
        <v>1</v>
      </c>
    </row>
    <row r="383" spans="1:4" x14ac:dyDescent="0.2">
      <c r="A383" s="90">
        <v>227</v>
      </c>
      <c r="B383" s="91">
        <v>1359</v>
      </c>
      <c r="C383" s="92" t="s">
        <v>256</v>
      </c>
      <c r="D383" s="93">
        <v>2</v>
      </c>
    </row>
    <row r="384" spans="1:4" x14ac:dyDescent="0.2">
      <c r="A384" s="90">
        <v>227</v>
      </c>
      <c r="B384" s="91">
        <v>1360</v>
      </c>
      <c r="C384" s="92" t="s">
        <v>256</v>
      </c>
      <c r="D384" s="93">
        <v>1</v>
      </c>
    </row>
    <row r="385" spans="1:4" x14ac:dyDescent="0.2">
      <c r="A385" s="90">
        <v>228</v>
      </c>
      <c r="B385" s="91">
        <v>1361</v>
      </c>
      <c r="C385" s="92" t="s">
        <v>267</v>
      </c>
      <c r="D385" s="93" t="s">
        <v>218</v>
      </c>
    </row>
    <row r="386" spans="1:4" x14ac:dyDescent="0.2">
      <c r="A386" s="90">
        <v>228</v>
      </c>
      <c r="B386" s="91">
        <v>1399</v>
      </c>
      <c r="C386" s="92" t="s">
        <v>267</v>
      </c>
      <c r="D386" s="93" t="s">
        <v>218</v>
      </c>
    </row>
    <row r="387" spans="1:4" x14ac:dyDescent="0.2">
      <c r="A387" s="90">
        <v>229</v>
      </c>
      <c r="B387" s="91">
        <v>1362</v>
      </c>
      <c r="C387" s="92" t="s">
        <v>267</v>
      </c>
      <c r="D387" s="93" t="s">
        <v>218</v>
      </c>
    </row>
    <row r="388" spans="1:4" x14ac:dyDescent="0.2">
      <c r="A388" s="90">
        <v>229</v>
      </c>
      <c r="B388" s="91">
        <v>1400</v>
      </c>
      <c r="C388" s="92" t="s">
        <v>267</v>
      </c>
      <c r="D388" s="93" t="s">
        <v>218</v>
      </c>
    </row>
    <row r="389" spans="1:4" x14ac:dyDescent="0.2">
      <c r="A389" s="90">
        <v>230</v>
      </c>
      <c r="B389" s="91">
        <v>1363</v>
      </c>
      <c r="C389" s="92" t="s">
        <v>256</v>
      </c>
      <c r="D389" s="93" t="s">
        <v>218</v>
      </c>
    </row>
    <row r="390" spans="1:4" x14ac:dyDescent="0.2">
      <c r="A390" s="90">
        <v>230</v>
      </c>
      <c r="B390" s="91">
        <v>1401</v>
      </c>
      <c r="C390" s="92" t="s">
        <v>256</v>
      </c>
      <c r="D390" s="93" t="s">
        <v>218</v>
      </c>
    </row>
    <row r="391" spans="1:4" x14ac:dyDescent="0.2">
      <c r="A391" s="90">
        <v>231</v>
      </c>
      <c r="B391" s="91">
        <v>1371</v>
      </c>
      <c r="C391" s="92" t="s">
        <v>244</v>
      </c>
      <c r="D391" s="93">
        <v>2</v>
      </c>
    </row>
    <row r="392" spans="1:4" x14ac:dyDescent="0.2">
      <c r="A392" s="90">
        <v>231</v>
      </c>
      <c r="B392" s="91">
        <v>1372</v>
      </c>
      <c r="C392" s="92" t="s">
        <v>244</v>
      </c>
      <c r="D392" s="93">
        <v>1</v>
      </c>
    </row>
    <row r="393" spans="1:4" x14ac:dyDescent="0.2">
      <c r="A393" s="90">
        <v>233</v>
      </c>
      <c r="B393" s="91">
        <v>1375</v>
      </c>
      <c r="C393" s="92" t="s">
        <v>244</v>
      </c>
      <c r="D393" s="93">
        <v>2</v>
      </c>
    </row>
    <row r="394" spans="1:4" x14ac:dyDescent="0.2">
      <c r="A394" s="90">
        <v>233</v>
      </c>
      <c r="B394" s="91">
        <v>1376</v>
      </c>
      <c r="C394" s="92" t="s">
        <v>244</v>
      </c>
      <c r="D394" s="93">
        <v>1</v>
      </c>
    </row>
    <row r="395" spans="1:4" x14ac:dyDescent="0.2">
      <c r="A395" s="90">
        <v>234</v>
      </c>
      <c r="B395" s="91">
        <v>1377</v>
      </c>
      <c r="C395" s="92" t="s">
        <v>244</v>
      </c>
      <c r="D395" s="93">
        <v>2</v>
      </c>
    </row>
    <row r="396" spans="1:4" x14ac:dyDescent="0.2">
      <c r="A396" s="90">
        <v>234</v>
      </c>
      <c r="B396" s="91">
        <v>1378</v>
      </c>
      <c r="C396" s="92" t="s">
        <v>244</v>
      </c>
      <c r="D396" s="93">
        <v>1</v>
      </c>
    </row>
    <row r="397" spans="1:4" x14ac:dyDescent="0.2">
      <c r="A397" s="90">
        <v>235</v>
      </c>
      <c r="B397" s="91">
        <v>1379</v>
      </c>
      <c r="C397" s="92" t="s">
        <v>244</v>
      </c>
      <c r="D397" s="93">
        <v>2</v>
      </c>
    </row>
    <row r="398" spans="1:4" x14ac:dyDescent="0.2">
      <c r="A398" s="90">
        <v>235</v>
      </c>
      <c r="B398" s="91">
        <v>1380</v>
      </c>
      <c r="C398" s="92" t="s">
        <v>244</v>
      </c>
      <c r="D398" s="93">
        <v>1</v>
      </c>
    </row>
    <row r="399" spans="1:4" x14ac:dyDescent="0.2">
      <c r="A399" s="90">
        <v>236</v>
      </c>
      <c r="B399" s="91">
        <v>1381</v>
      </c>
      <c r="C399" s="92" t="s">
        <v>244</v>
      </c>
      <c r="D399" s="93">
        <v>2</v>
      </c>
    </row>
    <row r="400" spans="1:4" x14ac:dyDescent="0.2">
      <c r="A400" s="90">
        <v>236</v>
      </c>
      <c r="B400" s="91">
        <v>1382</v>
      </c>
      <c r="C400" s="92" t="s">
        <v>244</v>
      </c>
      <c r="D400" s="93">
        <v>1</v>
      </c>
    </row>
    <row r="401" spans="1:4" x14ac:dyDescent="0.2">
      <c r="A401" s="90">
        <v>237</v>
      </c>
      <c r="B401" s="91">
        <v>1383</v>
      </c>
      <c r="C401" s="92" t="s">
        <v>244</v>
      </c>
      <c r="D401" s="93">
        <v>2</v>
      </c>
    </row>
    <row r="402" spans="1:4" x14ac:dyDescent="0.2">
      <c r="A402" s="90">
        <v>237</v>
      </c>
      <c r="B402" s="91">
        <v>1384</v>
      </c>
      <c r="C402" s="92" t="s">
        <v>244</v>
      </c>
      <c r="D402" s="93">
        <v>1</v>
      </c>
    </row>
    <row r="403" spans="1:4" x14ac:dyDescent="0.2">
      <c r="A403" s="90">
        <v>238</v>
      </c>
      <c r="B403" s="91">
        <v>1385</v>
      </c>
      <c r="C403" s="92" t="s">
        <v>256</v>
      </c>
      <c r="D403" s="93">
        <v>2</v>
      </c>
    </row>
    <row r="404" spans="1:4" x14ac:dyDescent="0.2">
      <c r="A404" s="90">
        <v>238</v>
      </c>
      <c r="B404" s="91">
        <v>1386</v>
      </c>
      <c r="C404" s="92" t="s">
        <v>256</v>
      </c>
      <c r="D404" s="93">
        <v>1</v>
      </c>
    </row>
    <row r="405" spans="1:4" x14ac:dyDescent="0.2">
      <c r="A405" s="90">
        <v>241</v>
      </c>
      <c r="B405" s="91">
        <v>1042</v>
      </c>
      <c r="C405" s="92" t="s">
        <v>268</v>
      </c>
      <c r="D405" s="93">
        <v>2</v>
      </c>
    </row>
    <row r="406" spans="1:4" x14ac:dyDescent="0.2">
      <c r="A406" s="90">
        <v>241</v>
      </c>
      <c r="B406" s="91">
        <v>1043</v>
      </c>
      <c r="C406" s="92" t="s">
        <v>268</v>
      </c>
      <c r="D406" s="93">
        <v>1</v>
      </c>
    </row>
    <row r="407" spans="1:4" x14ac:dyDescent="0.2">
      <c r="A407" s="90">
        <v>242</v>
      </c>
      <c r="B407" s="91">
        <v>44</v>
      </c>
      <c r="C407" s="92" t="s">
        <v>269</v>
      </c>
      <c r="D407" s="93">
        <v>1</v>
      </c>
    </row>
    <row r="408" spans="1:4" x14ac:dyDescent="0.2">
      <c r="A408" s="90">
        <v>242</v>
      </c>
      <c r="B408" s="91">
        <v>208</v>
      </c>
      <c r="C408" s="92" t="s">
        <v>269</v>
      </c>
      <c r="D408" s="93">
        <v>2</v>
      </c>
    </row>
    <row r="409" spans="1:4" x14ac:dyDescent="0.2">
      <c r="A409" s="90">
        <v>243</v>
      </c>
      <c r="B409" s="91">
        <v>21</v>
      </c>
      <c r="C409" s="92" t="s">
        <v>270</v>
      </c>
      <c r="D409" s="93">
        <v>1</v>
      </c>
    </row>
    <row r="410" spans="1:4" x14ac:dyDescent="0.2">
      <c r="A410" s="90">
        <v>243</v>
      </c>
      <c r="B410" s="91">
        <v>231</v>
      </c>
      <c r="C410" s="92" t="s">
        <v>270</v>
      </c>
      <c r="D410" s="93" t="s">
        <v>460</v>
      </c>
    </row>
    <row r="411" spans="1:4" x14ac:dyDescent="0.2">
      <c r="A411" s="90">
        <v>244</v>
      </c>
      <c r="B411" s="91">
        <v>40</v>
      </c>
      <c r="C411" s="92" t="s">
        <v>256</v>
      </c>
      <c r="D411" s="93">
        <v>1</v>
      </c>
    </row>
    <row r="412" spans="1:4" x14ac:dyDescent="0.2">
      <c r="A412" s="90">
        <v>244</v>
      </c>
      <c r="B412" s="91">
        <v>206</v>
      </c>
      <c r="C412" s="92" t="s">
        <v>256</v>
      </c>
      <c r="D412" s="93">
        <v>2</v>
      </c>
    </row>
    <row r="413" spans="1:4" x14ac:dyDescent="0.2">
      <c r="A413" s="90">
        <v>245</v>
      </c>
      <c r="B413" s="91">
        <v>1012</v>
      </c>
      <c r="C413" s="92" t="s">
        <v>269</v>
      </c>
      <c r="D413" s="93">
        <v>2</v>
      </c>
    </row>
    <row r="414" spans="1:4" x14ac:dyDescent="0.2">
      <c r="A414" s="90">
        <v>245</v>
      </c>
      <c r="B414" s="91">
        <v>1013</v>
      </c>
      <c r="C414" s="92" t="s">
        <v>269</v>
      </c>
      <c r="D414" s="93">
        <v>1</v>
      </c>
    </row>
    <row r="415" spans="1:4" x14ac:dyDescent="0.2">
      <c r="A415" s="90">
        <v>246</v>
      </c>
      <c r="B415" s="91">
        <v>160</v>
      </c>
      <c r="C415" s="92" t="s">
        <v>271</v>
      </c>
      <c r="D415" s="93">
        <v>2</v>
      </c>
    </row>
    <row r="416" spans="1:4" x14ac:dyDescent="0.2">
      <c r="A416" s="90">
        <v>246</v>
      </c>
      <c r="B416" s="91">
        <v>276</v>
      </c>
      <c r="C416" s="92" t="s">
        <v>271</v>
      </c>
      <c r="D416" s="93">
        <v>1</v>
      </c>
    </row>
    <row r="417" spans="1:4" x14ac:dyDescent="0.2">
      <c r="A417" s="90">
        <v>246</v>
      </c>
      <c r="B417" s="91">
        <v>277</v>
      </c>
      <c r="C417" s="92" t="s">
        <v>271</v>
      </c>
      <c r="D417" s="93">
        <v>1</v>
      </c>
    </row>
    <row r="418" spans="1:4" x14ac:dyDescent="0.2">
      <c r="A418" s="90">
        <v>247</v>
      </c>
      <c r="B418" s="91">
        <v>1288</v>
      </c>
      <c r="C418" s="92" t="s">
        <v>269</v>
      </c>
      <c r="D418" s="93">
        <v>1</v>
      </c>
    </row>
    <row r="419" spans="1:4" x14ac:dyDescent="0.2">
      <c r="A419" s="90">
        <v>247</v>
      </c>
      <c r="B419" s="91">
        <v>1289</v>
      </c>
      <c r="C419" s="92" t="s">
        <v>269</v>
      </c>
      <c r="D419" s="93">
        <v>2</v>
      </c>
    </row>
    <row r="420" spans="1:4" x14ac:dyDescent="0.2">
      <c r="A420" s="90">
        <v>248</v>
      </c>
      <c r="B420" s="91">
        <v>1174</v>
      </c>
      <c r="C420" s="92" t="s">
        <v>256</v>
      </c>
      <c r="D420" s="93">
        <v>1</v>
      </c>
    </row>
    <row r="421" spans="1:4" x14ac:dyDescent="0.2">
      <c r="A421" s="90">
        <v>248</v>
      </c>
      <c r="B421" s="91">
        <v>1175</v>
      </c>
      <c r="C421" s="92" t="s">
        <v>256</v>
      </c>
      <c r="D421" s="93">
        <v>2</v>
      </c>
    </row>
    <row r="422" spans="1:4" x14ac:dyDescent="0.2">
      <c r="A422" s="90">
        <v>249</v>
      </c>
      <c r="B422" s="91">
        <v>1351</v>
      </c>
      <c r="C422" s="92" t="s">
        <v>269</v>
      </c>
      <c r="D422" s="93">
        <v>2</v>
      </c>
    </row>
    <row r="423" spans="1:4" x14ac:dyDescent="0.2">
      <c r="A423" s="90">
        <v>249</v>
      </c>
      <c r="B423" s="91">
        <v>1352</v>
      </c>
      <c r="C423" s="92" t="s">
        <v>269</v>
      </c>
      <c r="D423" s="93">
        <v>1</v>
      </c>
    </row>
    <row r="424" spans="1:4" x14ac:dyDescent="0.2">
      <c r="A424" s="90">
        <v>250</v>
      </c>
      <c r="B424" s="91">
        <v>206</v>
      </c>
      <c r="C424" s="92" t="s">
        <v>272</v>
      </c>
      <c r="D424" s="93" t="s">
        <v>218</v>
      </c>
    </row>
    <row r="425" spans="1:4" x14ac:dyDescent="0.2">
      <c r="A425" s="90">
        <v>251</v>
      </c>
      <c r="B425" s="91">
        <v>210</v>
      </c>
      <c r="C425" s="92" t="s">
        <v>272</v>
      </c>
      <c r="D425" s="93" t="s">
        <v>218</v>
      </c>
    </row>
    <row r="426" spans="1:4" x14ac:dyDescent="0.2">
      <c r="A426" s="90">
        <v>252</v>
      </c>
      <c r="B426" s="91">
        <v>212</v>
      </c>
      <c r="C426" s="92" t="s">
        <v>272</v>
      </c>
      <c r="D426" s="93" t="s">
        <v>218</v>
      </c>
    </row>
    <row r="427" spans="1:4" x14ac:dyDescent="0.2">
      <c r="A427" s="90">
        <v>253</v>
      </c>
      <c r="B427" s="91">
        <v>1290</v>
      </c>
      <c r="C427" s="92" t="s">
        <v>272</v>
      </c>
      <c r="D427" s="93" t="s">
        <v>218</v>
      </c>
    </row>
    <row r="428" spans="1:4" x14ac:dyDescent="0.2">
      <c r="A428" s="90">
        <v>254</v>
      </c>
      <c r="B428" s="91">
        <v>1316</v>
      </c>
      <c r="C428" s="92" t="s">
        <v>273</v>
      </c>
      <c r="D428" s="93">
        <v>2</v>
      </c>
    </row>
    <row r="429" spans="1:4" x14ac:dyDescent="0.2">
      <c r="A429" s="90">
        <v>254</v>
      </c>
      <c r="B429" s="91">
        <v>1317</v>
      </c>
      <c r="C429" s="92" t="s">
        <v>273</v>
      </c>
      <c r="D429" s="93">
        <v>1</v>
      </c>
    </row>
    <row r="430" spans="1:4" x14ac:dyDescent="0.2">
      <c r="A430" s="90">
        <v>255</v>
      </c>
      <c r="B430" s="91">
        <v>1320</v>
      </c>
      <c r="C430" s="92" t="s">
        <v>274</v>
      </c>
      <c r="D430" s="93">
        <v>2</v>
      </c>
    </row>
    <row r="431" spans="1:4" x14ac:dyDescent="0.2">
      <c r="A431" s="90">
        <v>255</v>
      </c>
      <c r="B431" s="91">
        <v>1321</v>
      </c>
      <c r="C431" s="92" t="s">
        <v>274</v>
      </c>
      <c r="D431" s="93">
        <v>1</v>
      </c>
    </row>
    <row r="432" spans="1:4" x14ac:dyDescent="0.2">
      <c r="A432" s="90">
        <v>257</v>
      </c>
      <c r="B432" s="91">
        <v>57</v>
      </c>
      <c r="C432" s="92" t="s">
        <v>275</v>
      </c>
      <c r="D432" s="93">
        <v>1</v>
      </c>
    </row>
    <row r="433" spans="1:4" x14ac:dyDescent="0.2">
      <c r="A433" s="90">
        <v>257</v>
      </c>
      <c r="B433" s="91">
        <v>196</v>
      </c>
      <c r="C433" s="92" t="s">
        <v>275</v>
      </c>
      <c r="D433" s="93">
        <v>2</v>
      </c>
    </row>
    <row r="434" spans="1:4" x14ac:dyDescent="0.2">
      <c r="A434" s="90">
        <v>258</v>
      </c>
      <c r="B434" s="91">
        <v>56</v>
      </c>
      <c r="C434" s="92" t="s">
        <v>276</v>
      </c>
      <c r="D434" s="93">
        <v>1</v>
      </c>
    </row>
    <row r="435" spans="1:4" x14ac:dyDescent="0.2">
      <c r="A435" s="90">
        <v>258</v>
      </c>
      <c r="B435" s="91">
        <v>195</v>
      </c>
      <c r="C435" s="92" t="s">
        <v>276</v>
      </c>
      <c r="D435" s="93">
        <v>2</v>
      </c>
    </row>
    <row r="436" spans="1:4" x14ac:dyDescent="0.2">
      <c r="A436" s="90">
        <v>259</v>
      </c>
      <c r="B436" s="91">
        <v>94</v>
      </c>
      <c r="C436" s="92" t="s">
        <v>277</v>
      </c>
      <c r="D436" s="93">
        <v>1</v>
      </c>
    </row>
    <row r="437" spans="1:4" x14ac:dyDescent="0.2">
      <c r="A437" s="90">
        <v>259</v>
      </c>
      <c r="B437" s="91">
        <v>167</v>
      </c>
      <c r="C437" s="92" t="s">
        <v>277</v>
      </c>
      <c r="D437" s="93">
        <v>2</v>
      </c>
    </row>
    <row r="438" spans="1:4" x14ac:dyDescent="0.2">
      <c r="A438" s="90">
        <v>260</v>
      </c>
      <c r="B438" s="91">
        <v>59</v>
      </c>
      <c r="C438" s="92" t="s">
        <v>276</v>
      </c>
      <c r="D438" s="93" t="s">
        <v>456</v>
      </c>
    </row>
    <row r="439" spans="1:4" x14ac:dyDescent="0.2">
      <c r="A439" s="90">
        <v>260</v>
      </c>
      <c r="B439" s="91">
        <v>191</v>
      </c>
      <c r="C439" s="92" t="s">
        <v>276</v>
      </c>
      <c r="D439" s="93" t="s">
        <v>456</v>
      </c>
    </row>
    <row r="440" spans="1:4" x14ac:dyDescent="0.2">
      <c r="A440" s="90">
        <v>261</v>
      </c>
      <c r="B440" s="91">
        <v>55</v>
      </c>
      <c r="C440" s="92" t="s">
        <v>276</v>
      </c>
      <c r="D440" s="93">
        <v>1</v>
      </c>
    </row>
    <row r="441" spans="1:4" x14ac:dyDescent="0.2">
      <c r="A441" s="90">
        <v>261</v>
      </c>
      <c r="B441" s="91">
        <v>194</v>
      </c>
      <c r="C441" s="92" t="s">
        <v>276</v>
      </c>
      <c r="D441" s="93" t="s">
        <v>459</v>
      </c>
    </row>
    <row r="442" spans="1:4" x14ac:dyDescent="0.2">
      <c r="A442" s="90">
        <v>262</v>
      </c>
      <c r="B442" s="91">
        <v>57</v>
      </c>
      <c r="C442" s="92" t="s">
        <v>276</v>
      </c>
      <c r="D442" s="93">
        <v>1</v>
      </c>
    </row>
    <row r="443" spans="1:4" x14ac:dyDescent="0.2">
      <c r="A443" s="90">
        <v>262</v>
      </c>
      <c r="B443" s="91">
        <v>196</v>
      </c>
      <c r="C443" s="92" t="s">
        <v>276</v>
      </c>
      <c r="D443" s="93" t="s">
        <v>461</v>
      </c>
    </row>
    <row r="444" spans="1:4" x14ac:dyDescent="0.2">
      <c r="A444" s="90">
        <v>263</v>
      </c>
      <c r="B444" s="91">
        <v>1010</v>
      </c>
      <c r="C444" s="92" t="s">
        <v>276</v>
      </c>
      <c r="D444" s="93">
        <v>2</v>
      </c>
    </row>
    <row r="445" spans="1:4" x14ac:dyDescent="0.2">
      <c r="A445" s="90">
        <v>263</v>
      </c>
      <c r="B445" s="91">
        <v>1011</v>
      </c>
      <c r="C445" s="92" t="s">
        <v>276</v>
      </c>
      <c r="D445" s="93">
        <v>1</v>
      </c>
    </row>
    <row r="446" spans="1:4" x14ac:dyDescent="0.2">
      <c r="A446" s="90">
        <v>264</v>
      </c>
      <c r="B446" s="91">
        <v>1069</v>
      </c>
      <c r="C446" s="92" t="s">
        <v>276</v>
      </c>
      <c r="D446" s="93">
        <v>1</v>
      </c>
    </row>
    <row r="447" spans="1:4" x14ac:dyDescent="0.2">
      <c r="A447" s="90">
        <v>264</v>
      </c>
      <c r="B447" s="91">
        <v>1070</v>
      </c>
      <c r="C447" s="92" t="s">
        <v>276</v>
      </c>
      <c r="D447" s="93">
        <v>2</v>
      </c>
    </row>
    <row r="448" spans="1:4" x14ac:dyDescent="0.2">
      <c r="A448" s="90">
        <v>265</v>
      </c>
      <c r="B448" s="91">
        <v>190</v>
      </c>
      <c r="C448" s="92" t="s">
        <v>278</v>
      </c>
      <c r="D448" s="93" t="s">
        <v>458</v>
      </c>
    </row>
    <row r="449" spans="1:4" x14ac:dyDescent="0.2">
      <c r="A449" s="90">
        <v>266</v>
      </c>
      <c r="B449" s="91">
        <v>191</v>
      </c>
      <c r="C449" s="92" t="s">
        <v>278</v>
      </c>
      <c r="D449" s="93" t="s">
        <v>218</v>
      </c>
    </row>
    <row r="450" spans="1:4" x14ac:dyDescent="0.2">
      <c r="A450" s="90">
        <v>267</v>
      </c>
      <c r="B450" s="91">
        <v>192</v>
      </c>
      <c r="C450" s="92" t="s">
        <v>278</v>
      </c>
      <c r="D450" s="93" t="s">
        <v>218</v>
      </c>
    </row>
    <row r="451" spans="1:4" x14ac:dyDescent="0.2">
      <c r="A451" s="90">
        <v>268</v>
      </c>
      <c r="B451" s="91">
        <v>193</v>
      </c>
      <c r="C451" s="92" t="s">
        <v>278</v>
      </c>
      <c r="D451" s="93" t="s">
        <v>458</v>
      </c>
    </row>
    <row r="452" spans="1:4" x14ac:dyDescent="0.2">
      <c r="A452" s="90">
        <v>269</v>
      </c>
      <c r="B452" s="91">
        <v>194</v>
      </c>
      <c r="C452" s="92" t="s">
        <v>278</v>
      </c>
      <c r="D452" s="93" t="s">
        <v>218</v>
      </c>
    </row>
    <row r="453" spans="1:4" x14ac:dyDescent="0.2">
      <c r="A453" s="90">
        <v>270</v>
      </c>
      <c r="B453" s="91">
        <v>196</v>
      </c>
      <c r="C453" s="92" t="s">
        <v>278</v>
      </c>
      <c r="D453" s="93" t="s">
        <v>458</v>
      </c>
    </row>
    <row r="454" spans="1:4" x14ac:dyDescent="0.2">
      <c r="A454" s="90">
        <v>271</v>
      </c>
      <c r="B454" s="91">
        <v>1088</v>
      </c>
      <c r="C454" s="92" t="s">
        <v>278</v>
      </c>
      <c r="D454" s="93" t="s">
        <v>218</v>
      </c>
    </row>
    <row r="455" spans="1:4" x14ac:dyDescent="0.2">
      <c r="A455" s="90">
        <v>272</v>
      </c>
      <c r="B455" s="91">
        <v>1089</v>
      </c>
      <c r="C455" s="92" t="s">
        <v>278</v>
      </c>
      <c r="D455" s="93" t="s">
        <v>218</v>
      </c>
    </row>
    <row r="456" spans="1:4" x14ac:dyDescent="0.2">
      <c r="A456" s="90">
        <v>273</v>
      </c>
      <c r="B456" s="91">
        <v>1090</v>
      </c>
      <c r="C456" s="92" t="s">
        <v>278</v>
      </c>
      <c r="D456" s="93" t="s">
        <v>218</v>
      </c>
    </row>
    <row r="457" spans="1:4" x14ac:dyDescent="0.2">
      <c r="A457" s="90">
        <v>274</v>
      </c>
      <c r="B457" s="91">
        <v>1115</v>
      </c>
      <c r="C457" s="92" t="s">
        <v>278</v>
      </c>
      <c r="D457" s="93" t="s">
        <v>218</v>
      </c>
    </row>
    <row r="458" spans="1:4" x14ac:dyDescent="0.2">
      <c r="A458" s="90">
        <v>276</v>
      </c>
      <c r="B458" s="91">
        <v>1347</v>
      </c>
      <c r="C458" s="92" t="s">
        <v>278</v>
      </c>
      <c r="D458" s="93" t="s">
        <v>218</v>
      </c>
    </row>
    <row r="459" spans="1:4" x14ac:dyDescent="0.2">
      <c r="A459" s="90">
        <v>277</v>
      </c>
      <c r="B459" s="91">
        <v>52</v>
      </c>
      <c r="C459" s="92" t="s">
        <v>279</v>
      </c>
      <c r="D459" s="93" t="s">
        <v>218</v>
      </c>
    </row>
    <row r="460" spans="1:4" x14ac:dyDescent="0.2">
      <c r="A460" s="90">
        <v>278</v>
      </c>
      <c r="B460" s="91">
        <v>105</v>
      </c>
      <c r="C460" s="92" t="s">
        <v>280</v>
      </c>
      <c r="D460" s="93" t="s">
        <v>218</v>
      </c>
    </row>
    <row r="461" spans="1:4" x14ac:dyDescent="0.2">
      <c r="A461" s="90">
        <v>279</v>
      </c>
      <c r="B461" s="91">
        <v>16</v>
      </c>
      <c r="C461" s="92" t="s">
        <v>281</v>
      </c>
      <c r="D461" s="93" t="s">
        <v>218</v>
      </c>
    </row>
    <row r="462" spans="1:4" x14ac:dyDescent="0.2">
      <c r="A462" s="90">
        <v>280</v>
      </c>
      <c r="B462" s="91">
        <v>170</v>
      </c>
      <c r="C462" s="92" t="s">
        <v>282</v>
      </c>
      <c r="D462" s="93" t="s">
        <v>456</v>
      </c>
    </row>
    <row r="463" spans="1:4" x14ac:dyDescent="0.2">
      <c r="A463" s="90">
        <v>281</v>
      </c>
      <c r="B463" s="91">
        <v>11</v>
      </c>
      <c r="C463" s="92" t="s">
        <v>283</v>
      </c>
      <c r="D463" s="93">
        <v>2</v>
      </c>
    </row>
    <row r="464" spans="1:4" x14ac:dyDescent="0.2">
      <c r="A464" s="90">
        <v>281</v>
      </c>
      <c r="B464" s="91">
        <v>95</v>
      </c>
      <c r="C464" s="92" t="s">
        <v>283</v>
      </c>
      <c r="D464" s="93">
        <v>1</v>
      </c>
    </row>
    <row r="465" spans="1:4" x14ac:dyDescent="0.2">
      <c r="A465" s="90">
        <v>283</v>
      </c>
      <c r="B465" s="91">
        <v>1016</v>
      </c>
      <c r="C465" s="92" t="s">
        <v>284</v>
      </c>
      <c r="D465" s="93">
        <v>1</v>
      </c>
    </row>
    <row r="466" spans="1:4" x14ac:dyDescent="0.2">
      <c r="A466" s="90">
        <v>283</v>
      </c>
      <c r="B466" s="91">
        <v>1017</v>
      </c>
      <c r="C466" s="92" t="s">
        <v>284</v>
      </c>
      <c r="D466" s="93">
        <v>2</v>
      </c>
    </row>
    <row r="467" spans="1:4" x14ac:dyDescent="0.2">
      <c r="A467" s="90">
        <v>284</v>
      </c>
      <c r="B467" s="91">
        <v>177</v>
      </c>
      <c r="C467" s="92" t="s">
        <v>225</v>
      </c>
      <c r="D467" s="93" t="s">
        <v>218</v>
      </c>
    </row>
    <row r="468" spans="1:4" x14ac:dyDescent="0.2">
      <c r="A468" s="90">
        <v>285</v>
      </c>
      <c r="B468" s="91">
        <v>178</v>
      </c>
      <c r="C468" s="92" t="s">
        <v>225</v>
      </c>
      <c r="D468" s="93" t="s">
        <v>456</v>
      </c>
    </row>
    <row r="469" spans="1:4" x14ac:dyDescent="0.2">
      <c r="A469" s="90">
        <v>286</v>
      </c>
      <c r="B469" s="91">
        <v>103</v>
      </c>
      <c r="C469" s="92" t="s">
        <v>285</v>
      </c>
      <c r="D469" s="93" t="s">
        <v>218</v>
      </c>
    </row>
    <row r="470" spans="1:4" x14ac:dyDescent="0.2">
      <c r="A470" s="90">
        <v>287</v>
      </c>
      <c r="B470" s="91">
        <v>1364</v>
      </c>
      <c r="C470" s="92" t="s">
        <v>286</v>
      </c>
      <c r="D470" s="93" t="s">
        <v>218</v>
      </c>
    </row>
    <row r="471" spans="1:4" x14ac:dyDescent="0.2">
      <c r="A471" s="90">
        <v>287</v>
      </c>
      <c r="B471" s="91">
        <v>1402</v>
      </c>
      <c r="C471" s="92" t="s">
        <v>286</v>
      </c>
      <c r="D471" s="93" t="s">
        <v>218</v>
      </c>
    </row>
    <row r="472" spans="1:4" x14ac:dyDescent="0.2">
      <c r="A472" s="90">
        <v>288</v>
      </c>
      <c r="B472" s="91">
        <v>1036</v>
      </c>
      <c r="C472" s="92" t="s">
        <v>287</v>
      </c>
      <c r="D472" s="93" t="s">
        <v>218</v>
      </c>
    </row>
    <row r="473" spans="1:4" x14ac:dyDescent="0.2">
      <c r="A473" s="90">
        <v>289</v>
      </c>
      <c r="B473" s="91">
        <v>1041</v>
      </c>
      <c r="C473" s="92" t="s">
        <v>287</v>
      </c>
      <c r="D473" s="93" t="s">
        <v>218</v>
      </c>
    </row>
    <row r="474" spans="1:4" x14ac:dyDescent="0.2">
      <c r="A474" s="90">
        <v>290</v>
      </c>
      <c r="B474" s="91">
        <v>1050</v>
      </c>
      <c r="C474" s="92" t="s">
        <v>287</v>
      </c>
      <c r="D474" s="93" t="s">
        <v>218</v>
      </c>
    </row>
    <row r="475" spans="1:4" x14ac:dyDescent="0.2">
      <c r="A475" s="90">
        <v>291</v>
      </c>
      <c r="B475" s="91">
        <v>1051</v>
      </c>
      <c r="C475" s="92" t="s">
        <v>287</v>
      </c>
      <c r="D475" s="93" t="s">
        <v>218</v>
      </c>
    </row>
    <row r="476" spans="1:4" x14ac:dyDescent="0.2">
      <c r="A476" s="90">
        <v>292</v>
      </c>
      <c r="B476" s="91">
        <v>1052</v>
      </c>
      <c r="C476" s="92" t="s">
        <v>287</v>
      </c>
      <c r="D476" s="93" t="s">
        <v>218</v>
      </c>
    </row>
    <row r="477" spans="1:4" x14ac:dyDescent="0.2">
      <c r="A477" s="90">
        <v>297</v>
      </c>
      <c r="B477" s="91">
        <v>1367</v>
      </c>
      <c r="C477" s="92" t="s">
        <v>287</v>
      </c>
      <c r="D477" s="93" t="s">
        <v>218</v>
      </c>
    </row>
    <row r="478" spans="1:4" x14ac:dyDescent="0.2">
      <c r="A478" s="90">
        <v>298</v>
      </c>
      <c r="B478" s="91">
        <v>1368</v>
      </c>
      <c r="C478" s="92" t="s">
        <v>287</v>
      </c>
      <c r="D478" s="93" t="s">
        <v>218</v>
      </c>
    </row>
    <row r="479" spans="1:4" x14ac:dyDescent="0.2">
      <c r="A479" s="90">
        <v>299</v>
      </c>
      <c r="B479" s="91">
        <v>1053</v>
      </c>
      <c r="C479" s="92" t="s">
        <v>287</v>
      </c>
      <c r="D479" s="93" t="s">
        <v>218</v>
      </c>
    </row>
    <row r="480" spans="1:4" x14ac:dyDescent="0.2">
      <c r="A480" s="90">
        <v>300</v>
      </c>
      <c r="B480" s="91">
        <v>1080</v>
      </c>
      <c r="C480" s="92" t="s">
        <v>288</v>
      </c>
      <c r="D480" s="93">
        <v>1</v>
      </c>
    </row>
    <row r="481" spans="1:4" x14ac:dyDescent="0.2">
      <c r="A481" s="90">
        <v>300</v>
      </c>
      <c r="B481" s="91">
        <v>1081</v>
      </c>
      <c r="C481" s="92" t="s">
        <v>288</v>
      </c>
      <c r="D481" s="93">
        <v>1</v>
      </c>
    </row>
    <row r="482" spans="1:4" x14ac:dyDescent="0.2">
      <c r="A482" s="90">
        <v>301</v>
      </c>
      <c r="B482" s="91">
        <v>1095</v>
      </c>
      <c r="C482" s="92" t="s">
        <v>289</v>
      </c>
      <c r="D482" s="93">
        <v>1</v>
      </c>
    </row>
    <row r="483" spans="1:4" x14ac:dyDescent="0.2">
      <c r="A483" s="90">
        <v>301</v>
      </c>
      <c r="B483" s="91">
        <v>1096</v>
      </c>
      <c r="C483" s="92" t="s">
        <v>289</v>
      </c>
      <c r="D483" s="93">
        <v>1</v>
      </c>
    </row>
    <row r="484" spans="1:4" x14ac:dyDescent="0.2">
      <c r="A484" s="90">
        <v>302</v>
      </c>
      <c r="B484" s="91">
        <v>1101</v>
      </c>
      <c r="C484" s="92" t="s">
        <v>290</v>
      </c>
      <c r="D484" s="93">
        <v>1</v>
      </c>
    </row>
    <row r="485" spans="1:4" x14ac:dyDescent="0.2">
      <c r="A485" s="90">
        <v>302</v>
      </c>
      <c r="B485" s="91">
        <v>1102</v>
      </c>
      <c r="C485" s="92" t="s">
        <v>290</v>
      </c>
      <c r="D485" s="93">
        <v>1</v>
      </c>
    </row>
    <row r="486" spans="1:4" x14ac:dyDescent="0.2">
      <c r="A486" s="90">
        <v>303</v>
      </c>
      <c r="B486" s="91">
        <v>1054</v>
      </c>
      <c r="C486" s="92" t="s">
        <v>287</v>
      </c>
      <c r="D486" s="93" t="s">
        <v>218</v>
      </c>
    </row>
    <row r="487" spans="1:4" x14ac:dyDescent="0.2">
      <c r="A487" s="90">
        <v>304</v>
      </c>
      <c r="B487" s="91">
        <v>1083</v>
      </c>
      <c r="C487" s="92" t="s">
        <v>287</v>
      </c>
      <c r="D487" s="93" t="s">
        <v>218</v>
      </c>
    </row>
    <row r="488" spans="1:4" x14ac:dyDescent="0.2">
      <c r="A488" s="90">
        <v>305</v>
      </c>
      <c r="B488" s="91">
        <v>1084</v>
      </c>
      <c r="C488" s="92" t="s">
        <v>291</v>
      </c>
      <c r="D488" s="93">
        <v>1</v>
      </c>
    </row>
    <row r="489" spans="1:4" x14ac:dyDescent="0.2">
      <c r="A489" s="90">
        <v>305</v>
      </c>
      <c r="B489" s="91">
        <v>1085</v>
      </c>
      <c r="C489" s="92" t="s">
        <v>291</v>
      </c>
      <c r="D489" s="93">
        <v>2</v>
      </c>
    </row>
    <row r="490" spans="1:4" x14ac:dyDescent="0.2">
      <c r="A490" s="90">
        <v>306</v>
      </c>
      <c r="B490" s="91">
        <v>1086</v>
      </c>
      <c r="C490" s="92" t="s">
        <v>291</v>
      </c>
      <c r="D490" s="93">
        <v>1</v>
      </c>
    </row>
    <row r="491" spans="1:4" x14ac:dyDescent="0.2">
      <c r="A491" s="90">
        <v>306</v>
      </c>
      <c r="B491" s="91">
        <v>1087</v>
      </c>
      <c r="C491" s="92" t="s">
        <v>291</v>
      </c>
      <c r="D491" s="93">
        <v>2</v>
      </c>
    </row>
    <row r="492" spans="1:4" x14ac:dyDescent="0.2">
      <c r="A492" s="90">
        <v>307</v>
      </c>
      <c r="B492" s="91">
        <v>1091</v>
      </c>
      <c r="C492" s="92" t="s">
        <v>291</v>
      </c>
      <c r="D492" s="93">
        <v>1</v>
      </c>
    </row>
    <row r="493" spans="1:4" x14ac:dyDescent="0.2">
      <c r="A493" s="90">
        <v>307</v>
      </c>
      <c r="B493" s="91">
        <v>1092</v>
      </c>
      <c r="C493" s="92" t="s">
        <v>291</v>
      </c>
      <c r="D493" s="93">
        <v>2</v>
      </c>
    </row>
    <row r="494" spans="1:4" x14ac:dyDescent="0.2">
      <c r="A494" s="90">
        <v>308</v>
      </c>
      <c r="B494" s="91">
        <v>1093</v>
      </c>
      <c r="C494" s="92" t="s">
        <v>291</v>
      </c>
      <c r="D494" s="93">
        <v>1</v>
      </c>
    </row>
    <row r="495" spans="1:4" x14ac:dyDescent="0.2">
      <c r="A495" s="90">
        <v>308</v>
      </c>
      <c r="B495" s="91">
        <v>1094</v>
      </c>
      <c r="C495" s="92" t="s">
        <v>291</v>
      </c>
      <c r="D495" s="93">
        <v>2</v>
      </c>
    </row>
    <row r="496" spans="1:4" x14ac:dyDescent="0.2">
      <c r="A496" s="90">
        <v>309</v>
      </c>
      <c r="B496" s="91">
        <v>1098</v>
      </c>
      <c r="C496" s="92" t="s">
        <v>292</v>
      </c>
      <c r="D496" s="93">
        <v>1</v>
      </c>
    </row>
    <row r="497" spans="1:4" x14ac:dyDescent="0.2">
      <c r="A497" s="90">
        <v>309</v>
      </c>
      <c r="B497" s="91">
        <v>1099</v>
      </c>
      <c r="C497" s="92" t="s">
        <v>292</v>
      </c>
      <c r="D497" s="93">
        <v>1</v>
      </c>
    </row>
    <row r="498" spans="1:4" x14ac:dyDescent="0.2">
      <c r="A498" s="90">
        <v>310</v>
      </c>
      <c r="B498" s="91">
        <v>1155</v>
      </c>
      <c r="C498" s="92" t="s">
        <v>293</v>
      </c>
      <c r="D498" s="93">
        <v>2</v>
      </c>
    </row>
    <row r="499" spans="1:4" x14ac:dyDescent="0.2">
      <c r="A499" s="90">
        <v>310</v>
      </c>
      <c r="B499" s="91">
        <v>1156</v>
      </c>
      <c r="C499" s="92" t="s">
        <v>293</v>
      </c>
      <c r="D499" s="93">
        <v>1</v>
      </c>
    </row>
    <row r="500" spans="1:4" x14ac:dyDescent="0.2">
      <c r="A500" s="90">
        <v>312</v>
      </c>
      <c r="B500" s="91">
        <v>1154</v>
      </c>
      <c r="C500" s="92" t="s">
        <v>294</v>
      </c>
      <c r="D500" s="93">
        <v>2</v>
      </c>
    </row>
    <row r="501" spans="1:4" x14ac:dyDescent="0.2">
      <c r="A501" s="90">
        <v>313</v>
      </c>
      <c r="B501" s="91">
        <v>1006</v>
      </c>
      <c r="C501" s="92" t="s">
        <v>295</v>
      </c>
      <c r="D501" s="93" t="s">
        <v>218</v>
      </c>
    </row>
    <row r="502" spans="1:4" x14ac:dyDescent="0.2">
      <c r="A502" s="90">
        <v>314</v>
      </c>
      <c r="B502" s="91">
        <v>104</v>
      </c>
      <c r="C502" s="92" t="s">
        <v>296</v>
      </c>
      <c r="D502" s="93" t="s">
        <v>456</v>
      </c>
    </row>
    <row r="503" spans="1:4" x14ac:dyDescent="0.2">
      <c r="A503" s="90">
        <v>315</v>
      </c>
      <c r="B503" s="91">
        <v>178</v>
      </c>
      <c r="C503" s="92" t="s">
        <v>297</v>
      </c>
      <c r="D503" s="93" t="s">
        <v>456</v>
      </c>
    </row>
    <row r="504" spans="1:4" x14ac:dyDescent="0.2">
      <c r="A504" s="90">
        <v>315</v>
      </c>
      <c r="B504" s="91">
        <v>227</v>
      </c>
      <c r="C504" s="92" t="s">
        <v>297</v>
      </c>
      <c r="D504" s="93" t="s">
        <v>456</v>
      </c>
    </row>
    <row r="505" spans="1:4" x14ac:dyDescent="0.2">
      <c r="A505" s="90">
        <v>316</v>
      </c>
      <c r="B505" s="91">
        <v>53</v>
      </c>
      <c r="C505" s="92" t="s">
        <v>298</v>
      </c>
      <c r="D505" s="93">
        <v>2</v>
      </c>
    </row>
    <row r="506" spans="1:4" x14ac:dyDescent="0.2">
      <c r="A506" s="90">
        <v>316</v>
      </c>
      <c r="B506" s="91">
        <v>198</v>
      </c>
      <c r="C506" s="92" t="s">
        <v>298</v>
      </c>
      <c r="D506" s="93">
        <v>1</v>
      </c>
    </row>
    <row r="507" spans="1:4" x14ac:dyDescent="0.2">
      <c r="A507" s="90">
        <v>317</v>
      </c>
      <c r="B507" s="91">
        <v>70</v>
      </c>
      <c r="C507" s="92" t="s">
        <v>298</v>
      </c>
      <c r="D507" s="93" t="s">
        <v>461</v>
      </c>
    </row>
    <row r="508" spans="1:4" x14ac:dyDescent="0.2">
      <c r="A508" s="90">
        <v>317</v>
      </c>
      <c r="B508" s="91">
        <v>183</v>
      </c>
      <c r="C508" s="92" t="s">
        <v>298</v>
      </c>
      <c r="D508" s="93" t="s">
        <v>462</v>
      </c>
    </row>
    <row r="509" spans="1:4" x14ac:dyDescent="0.2">
      <c r="A509" s="90">
        <v>318</v>
      </c>
      <c r="B509" s="91">
        <v>74</v>
      </c>
      <c r="C509" s="92" t="s">
        <v>298</v>
      </c>
      <c r="D509" s="93">
        <v>1</v>
      </c>
    </row>
    <row r="510" spans="1:4" x14ac:dyDescent="0.2">
      <c r="A510" s="90">
        <v>318</v>
      </c>
      <c r="B510" s="91">
        <v>180</v>
      </c>
      <c r="C510" s="92" t="s">
        <v>298</v>
      </c>
      <c r="D510" s="93">
        <v>1</v>
      </c>
    </row>
    <row r="511" spans="1:4" x14ac:dyDescent="0.2">
      <c r="A511" s="90">
        <v>319</v>
      </c>
      <c r="B511" s="91">
        <v>71</v>
      </c>
      <c r="C511" s="92" t="s">
        <v>299</v>
      </c>
      <c r="D511" s="93" t="s">
        <v>465</v>
      </c>
    </row>
    <row r="512" spans="1:4" x14ac:dyDescent="0.2">
      <c r="A512" s="90">
        <v>319</v>
      </c>
      <c r="B512" s="91">
        <v>183</v>
      </c>
      <c r="C512" s="92" t="s">
        <v>299</v>
      </c>
      <c r="D512" s="93" t="s">
        <v>463</v>
      </c>
    </row>
    <row r="513" spans="1:4" x14ac:dyDescent="0.2">
      <c r="A513" s="90">
        <v>320</v>
      </c>
      <c r="B513" s="91">
        <v>72</v>
      </c>
      <c r="C513" s="92" t="s">
        <v>298</v>
      </c>
      <c r="D513" s="93">
        <v>2</v>
      </c>
    </row>
    <row r="514" spans="1:4" x14ac:dyDescent="0.2">
      <c r="A514" s="90">
        <v>320</v>
      </c>
      <c r="B514" s="91">
        <v>184</v>
      </c>
      <c r="C514" s="92" t="s">
        <v>298</v>
      </c>
      <c r="D514" s="93">
        <v>1</v>
      </c>
    </row>
    <row r="515" spans="1:4" x14ac:dyDescent="0.2">
      <c r="A515" s="90">
        <v>321</v>
      </c>
      <c r="B515" s="91">
        <v>1004</v>
      </c>
      <c r="C515" s="92" t="s">
        <v>298</v>
      </c>
      <c r="D515" s="93">
        <v>1</v>
      </c>
    </row>
    <row r="516" spans="1:4" x14ac:dyDescent="0.2">
      <c r="A516" s="90">
        <v>321</v>
      </c>
      <c r="B516" s="91">
        <v>1005</v>
      </c>
      <c r="C516" s="92" t="s">
        <v>298</v>
      </c>
      <c r="D516" s="93">
        <v>1</v>
      </c>
    </row>
    <row r="517" spans="1:4" x14ac:dyDescent="0.2">
      <c r="A517" s="90">
        <v>322</v>
      </c>
      <c r="B517" s="91">
        <v>1073</v>
      </c>
      <c r="C517" s="92" t="s">
        <v>298</v>
      </c>
      <c r="D517" s="93">
        <v>1</v>
      </c>
    </row>
    <row r="518" spans="1:4" x14ac:dyDescent="0.2">
      <c r="A518" s="90">
        <v>322</v>
      </c>
      <c r="B518" s="91">
        <v>1074</v>
      </c>
      <c r="C518" s="92" t="s">
        <v>298</v>
      </c>
      <c r="D518" s="93">
        <v>1</v>
      </c>
    </row>
    <row r="519" spans="1:4" x14ac:dyDescent="0.2">
      <c r="A519" s="90">
        <v>323</v>
      </c>
      <c r="B519" s="91">
        <v>1284</v>
      </c>
      <c r="C519" s="92" t="s">
        <v>298</v>
      </c>
      <c r="D519" s="93">
        <v>1</v>
      </c>
    </row>
    <row r="520" spans="1:4" x14ac:dyDescent="0.2">
      <c r="A520" s="90">
        <v>323</v>
      </c>
      <c r="B520" s="91">
        <v>1285</v>
      </c>
      <c r="C520" s="92" t="s">
        <v>298</v>
      </c>
      <c r="D520" s="93" t="s">
        <v>464</v>
      </c>
    </row>
    <row r="521" spans="1:4" x14ac:dyDescent="0.2">
      <c r="A521" s="90">
        <v>324</v>
      </c>
      <c r="B521" s="91">
        <v>1007</v>
      </c>
      <c r="C521" s="92" t="s">
        <v>300</v>
      </c>
      <c r="D521" s="93">
        <v>1</v>
      </c>
    </row>
    <row r="522" spans="1:4" x14ac:dyDescent="0.2">
      <c r="A522" s="90">
        <v>325</v>
      </c>
      <c r="B522" s="91">
        <v>183</v>
      </c>
      <c r="C522" s="92" t="s">
        <v>301</v>
      </c>
      <c r="D522" s="93">
        <v>1</v>
      </c>
    </row>
    <row r="523" spans="1:4" x14ac:dyDescent="0.2">
      <c r="A523" s="90">
        <v>325</v>
      </c>
      <c r="B523" s="91">
        <v>186</v>
      </c>
      <c r="C523" s="92" t="s">
        <v>301</v>
      </c>
      <c r="D523" s="93">
        <v>1</v>
      </c>
    </row>
    <row r="524" spans="1:4" x14ac:dyDescent="0.2">
      <c r="A524" s="90">
        <v>325</v>
      </c>
      <c r="B524" s="91">
        <v>206</v>
      </c>
      <c r="C524" s="92" t="s">
        <v>301</v>
      </c>
      <c r="D524" s="93">
        <v>2</v>
      </c>
    </row>
    <row r="525" spans="1:4" x14ac:dyDescent="0.2">
      <c r="A525" s="90">
        <v>326</v>
      </c>
      <c r="B525" s="91">
        <v>184</v>
      </c>
      <c r="C525" s="92" t="s">
        <v>301</v>
      </c>
      <c r="D525" s="93">
        <v>1</v>
      </c>
    </row>
    <row r="526" spans="1:4" x14ac:dyDescent="0.2">
      <c r="A526" s="90">
        <v>326</v>
      </c>
      <c r="B526" s="91">
        <v>187</v>
      </c>
      <c r="C526" s="92" t="s">
        <v>301</v>
      </c>
      <c r="D526" s="93" t="s">
        <v>461</v>
      </c>
    </row>
    <row r="527" spans="1:4" x14ac:dyDescent="0.2">
      <c r="A527" s="90">
        <v>326</v>
      </c>
      <c r="B527" s="91">
        <v>210</v>
      </c>
      <c r="C527" s="92" t="s">
        <v>301</v>
      </c>
      <c r="D527" s="93" t="s">
        <v>461</v>
      </c>
    </row>
    <row r="528" spans="1:4" x14ac:dyDescent="0.2">
      <c r="A528" s="90">
        <v>327</v>
      </c>
      <c r="B528" s="91">
        <v>135</v>
      </c>
      <c r="C528" s="92" t="s">
        <v>301</v>
      </c>
      <c r="D528" s="93">
        <v>1</v>
      </c>
    </row>
    <row r="529" spans="1:4" x14ac:dyDescent="0.2">
      <c r="A529" s="90">
        <v>327</v>
      </c>
      <c r="B529" s="91">
        <v>198</v>
      </c>
      <c r="C529" s="92" t="s">
        <v>301</v>
      </c>
      <c r="D529" s="93">
        <v>1</v>
      </c>
    </row>
    <row r="530" spans="1:4" x14ac:dyDescent="0.2">
      <c r="A530" s="90">
        <v>327</v>
      </c>
      <c r="B530" s="91">
        <v>222</v>
      </c>
      <c r="C530" s="92" t="s">
        <v>301</v>
      </c>
      <c r="D530" s="93">
        <v>2</v>
      </c>
    </row>
    <row r="531" spans="1:4" x14ac:dyDescent="0.2">
      <c r="A531" s="90">
        <v>328</v>
      </c>
      <c r="B531" s="91">
        <v>1022</v>
      </c>
      <c r="C531" s="92" t="s">
        <v>301</v>
      </c>
      <c r="D531" s="93">
        <v>1</v>
      </c>
    </row>
    <row r="532" spans="1:4" x14ac:dyDescent="0.2">
      <c r="A532" s="90">
        <v>328</v>
      </c>
      <c r="B532" s="91">
        <v>1023</v>
      </c>
      <c r="C532" s="92" t="s">
        <v>301</v>
      </c>
      <c r="D532" s="93">
        <v>2</v>
      </c>
    </row>
    <row r="533" spans="1:4" x14ac:dyDescent="0.2">
      <c r="A533" s="90">
        <v>328</v>
      </c>
      <c r="B533" s="91">
        <v>1024</v>
      </c>
      <c r="C533" s="92" t="s">
        <v>301</v>
      </c>
      <c r="D533" s="93">
        <v>1</v>
      </c>
    </row>
    <row r="534" spans="1:4" x14ac:dyDescent="0.2">
      <c r="A534" s="90">
        <v>329</v>
      </c>
      <c r="B534" s="91">
        <v>1027</v>
      </c>
      <c r="C534" s="92" t="s">
        <v>301</v>
      </c>
      <c r="D534" s="93">
        <v>1</v>
      </c>
    </row>
    <row r="535" spans="1:4" x14ac:dyDescent="0.2">
      <c r="A535" s="90">
        <v>329</v>
      </c>
      <c r="B535" s="91">
        <v>1028</v>
      </c>
      <c r="C535" s="92" t="s">
        <v>301</v>
      </c>
      <c r="D535" s="93">
        <v>2</v>
      </c>
    </row>
    <row r="536" spans="1:4" x14ac:dyDescent="0.2">
      <c r="A536" s="90">
        <v>329</v>
      </c>
      <c r="B536" s="91">
        <v>1029</v>
      </c>
      <c r="C536" s="92" t="s">
        <v>301</v>
      </c>
      <c r="D536" s="93">
        <v>1</v>
      </c>
    </row>
    <row r="537" spans="1:4" x14ac:dyDescent="0.2">
      <c r="A537" s="90">
        <v>330</v>
      </c>
      <c r="B537" s="91">
        <v>1075</v>
      </c>
      <c r="C537" s="92" t="s">
        <v>301</v>
      </c>
      <c r="D537" s="93">
        <v>2</v>
      </c>
    </row>
    <row r="538" spans="1:4" x14ac:dyDescent="0.2">
      <c r="A538" s="90">
        <v>330</v>
      </c>
      <c r="B538" s="91">
        <v>1076</v>
      </c>
      <c r="C538" s="92" t="s">
        <v>301</v>
      </c>
      <c r="D538" s="93">
        <v>1</v>
      </c>
    </row>
    <row r="539" spans="1:4" x14ac:dyDescent="0.2">
      <c r="A539" s="90">
        <v>330</v>
      </c>
      <c r="B539" s="91">
        <v>1077</v>
      </c>
      <c r="C539" s="92" t="s">
        <v>301</v>
      </c>
      <c r="D539" s="93">
        <v>2</v>
      </c>
    </row>
    <row r="540" spans="1:4" x14ac:dyDescent="0.2">
      <c r="A540" s="90">
        <v>331</v>
      </c>
      <c r="B540" s="91">
        <v>1167</v>
      </c>
      <c r="C540" s="92" t="s">
        <v>301</v>
      </c>
      <c r="D540" s="93">
        <v>1</v>
      </c>
    </row>
    <row r="541" spans="1:4" x14ac:dyDescent="0.2">
      <c r="A541" s="90">
        <v>331</v>
      </c>
      <c r="B541" s="91">
        <v>1168</v>
      </c>
      <c r="C541" s="92" t="s">
        <v>301</v>
      </c>
      <c r="D541" s="93">
        <v>1</v>
      </c>
    </row>
    <row r="542" spans="1:4" x14ac:dyDescent="0.2">
      <c r="A542" s="90">
        <v>331</v>
      </c>
      <c r="B542" s="91">
        <v>1169</v>
      </c>
      <c r="C542" s="92" t="s">
        <v>301</v>
      </c>
      <c r="D542" s="93">
        <v>2</v>
      </c>
    </row>
    <row r="543" spans="1:4" x14ac:dyDescent="0.2">
      <c r="A543" s="90">
        <v>332</v>
      </c>
      <c r="B543" s="91">
        <v>1235</v>
      </c>
      <c r="C543" s="92" t="s">
        <v>301</v>
      </c>
      <c r="D543" s="93" t="s">
        <v>456</v>
      </c>
    </row>
    <row r="544" spans="1:4" x14ac:dyDescent="0.2">
      <c r="A544" s="90">
        <v>332</v>
      </c>
      <c r="B544" s="91">
        <v>1236</v>
      </c>
      <c r="C544" s="92" t="s">
        <v>301</v>
      </c>
      <c r="D544" s="93" t="s">
        <v>456</v>
      </c>
    </row>
    <row r="545" spans="1:4" x14ac:dyDescent="0.2">
      <c r="A545" s="90">
        <v>332</v>
      </c>
      <c r="B545" s="91">
        <v>1237</v>
      </c>
      <c r="C545" s="92" t="s">
        <v>301</v>
      </c>
      <c r="D545" s="93" t="s">
        <v>456</v>
      </c>
    </row>
    <row r="546" spans="1:4" x14ac:dyDescent="0.2">
      <c r="A546" s="90">
        <v>334</v>
      </c>
      <c r="B546" s="91">
        <v>1131</v>
      </c>
      <c r="C546" s="92" t="s">
        <v>302</v>
      </c>
      <c r="D546" s="93">
        <v>1</v>
      </c>
    </row>
    <row r="547" spans="1:4" x14ac:dyDescent="0.2">
      <c r="A547" s="90">
        <v>334</v>
      </c>
      <c r="B547" s="91">
        <v>1132</v>
      </c>
      <c r="C547" s="92" t="s">
        <v>302</v>
      </c>
      <c r="D547" s="93">
        <v>1</v>
      </c>
    </row>
    <row r="548" spans="1:4" x14ac:dyDescent="0.2">
      <c r="A548" s="90">
        <v>334</v>
      </c>
      <c r="B548" s="91">
        <v>1133</v>
      </c>
      <c r="C548" s="92" t="s">
        <v>302</v>
      </c>
      <c r="D548" s="93">
        <v>2</v>
      </c>
    </row>
    <row r="549" spans="1:4" x14ac:dyDescent="0.2">
      <c r="A549" s="90">
        <v>335</v>
      </c>
      <c r="B549" s="91">
        <v>18</v>
      </c>
      <c r="C549" s="92" t="s">
        <v>303</v>
      </c>
      <c r="D549" s="93">
        <v>1</v>
      </c>
    </row>
    <row r="550" spans="1:4" x14ac:dyDescent="0.2">
      <c r="A550" s="90">
        <v>336</v>
      </c>
      <c r="B550" s="91">
        <v>20</v>
      </c>
      <c r="C550" s="92" t="s">
        <v>304</v>
      </c>
      <c r="D550" s="93" t="s">
        <v>218</v>
      </c>
    </row>
    <row r="551" spans="1:4" x14ac:dyDescent="0.2">
      <c r="A551" s="90">
        <v>337</v>
      </c>
      <c r="B551" s="91">
        <v>82</v>
      </c>
      <c r="C551" s="92" t="s">
        <v>304</v>
      </c>
      <c r="D551" s="93" t="s">
        <v>218</v>
      </c>
    </row>
    <row r="552" spans="1:4" x14ac:dyDescent="0.2">
      <c r="A552" s="90">
        <v>338</v>
      </c>
      <c r="B552" s="91">
        <v>1365</v>
      </c>
      <c r="C552" s="92" t="s">
        <v>305</v>
      </c>
      <c r="D552" s="93">
        <v>2</v>
      </c>
    </row>
    <row r="553" spans="1:4" x14ac:dyDescent="0.2">
      <c r="A553" s="90">
        <v>338</v>
      </c>
      <c r="B553" s="91">
        <v>1366</v>
      </c>
      <c r="C553" s="92" t="s">
        <v>305</v>
      </c>
      <c r="D553" s="93">
        <v>1</v>
      </c>
    </row>
    <row r="554" spans="1:4" x14ac:dyDescent="0.2">
      <c r="A554" s="90">
        <v>339</v>
      </c>
      <c r="B554" s="91">
        <v>1025</v>
      </c>
      <c r="C554" s="92" t="s">
        <v>306</v>
      </c>
      <c r="D554" s="93" t="s">
        <v>218</v>
      </c>
    </row>
    <row r="555" spans="1:4" x14ac:dyDescent="0.2">
      <c r="A555" s="90">
        <v>340</v>
      </c>
      <c r="B555" s="91">
        <v>1030</v>
      </c>
      <c r="C555" s="92" t="s">
        <v>306</v>
      </c>
      <c r="D555" s="93" t="s">
        <v>218</v>
      </c>
    </row>
    <row r="556" spans="1:4" x14ac:dyDescent="0.2">
      <c r="A556" s="90">
        <v>341</v>
      </c>
      <c r="B556" s="91">
        <v>1032</v>
      </c>
      <c r="C556" s="92" t="s">
        <v>306</v>
      </c>
      <c r="D556" s="93" t="s">
        <v>218</v>
      </c>
    </row>
    <row r="557" spans="1:4" x14ac:dyDescent="0.2">
      <c r="A557" s="90">
        <v>342</v>
      </c>
      <c r="B557" s="91">
        <v>1123</v>
      </c>
      <c r="C557" s="92" t="s">
        <v>307</v>
      </c>
      <c r="D557" s="93">
        <v>2</v>
      </c>
    </row>
    <row r="558" spans="1:4" x14ac:dyDescent="0.2">
      <c r="A558" s="90">
        <v>343</v>
      </c>
      <c r="B558" s="91">
        <v>1134</v>
      </c>
      <c r="C558" s="92" t="s">
        <v>308</v>
      </c>
      <c r="D558" s="93">
        <v>2</v>
      </c>
    </row>
    <row r="559" spans="1:4" x14ac:dyDescent="0.2">
      <c r="A559" s="90">
        <v>344</v>
      </c>
      <c r="B559" s="91">
        <v>1135</v>
      </c>
      <c r="C559" s="92" t="s">
        <v>309</v>
      </c>
      <c r="D559" s="93">
        <v>1</v>
      </c>
    </row>
    <row r="560" spans="1:4" x14ac:dyDescent="0.2">
      <c r="A560" s="90">
        <v>344</v>
      </c>
      <c r="B560" s="91">
        <v>1136</v>
      </c>
      <c r="C560" s="92" t="s">
        <v>309</v>
      </c>
      <c r="D560" s="93" t="s">
        <v>218</v>
      </c>
    </row>
    <row r="561" spans="1:4" x14ac:dyDescent="0.2">
      <c r="A561" s="90">
        <v>344</v>
      </c>
      <c r="B561" s="91">
        <v>1137</v>
      </c>
      <c r="C561" s="92" t="s">
        <v>309</v>
      </c>
      <c r="D561" s="93">
        <v>2</v>
      </c>
    </row>
    <row r="562" spans="1:4" x14ac:dyDescent="0.2">
      <c r="A562" s="90">
        <v>345</v>
      </c>
      <c r="B562" s="91">
        <v>1138</v>
      </c>
      <c r="C562" s="92" t="s">
        <v>310</v>
      </c>
      <c r="D562" s="93">
        <v>2</v>
      </c>
    </row>
    <row r="563" spans="1:4" x14ac:dyDescent="0.2">
      <c r="A563" s="90">
        <v>346</v>
      </c>
      <c r="B563" s="91">
        <v>1130</v>
      </c>
      <c r="C563" s="92" t="s">
        <v>311</v>
      </c>
      <c r="D563" s="93" t="s">
        <v>458</v>
      </c>
    </row>
    <row r="564" spans="1:4" x14ac:dyDescent="0.2">
      <c r="A564" s="90">
        <v>347</v>
      </c>
      <c r="B564" s="91">
        <v>48</v>
      </c>
      <c r="C564" s="92" t="s">
        <v>312</v>
      </c>
      <c r="D564" s="93" t="s">
        <v>218</v>
      </c>
    </row>
    <row r="565" spans="1:4" x14ac:dyDescent="0.2">
      <c r="A565" s="90">
        <v>348</v>
      </c>
      <c r="B565" s="91">
        <v>49</v>
      </c>
      <c r="C565" s="92" t="s">
        <v>312</v>
      </c>
      <c r="D565" s="93" t="s">
        <v>218</v>
      </c>
    </row>
    <row r="566" spans="1:4" x14ac:dyDescent="0.2">
      <c r="A566" s="90">
        <v>349</v>
      </c>
      <c r="B566" s="91">
        <v>50</v>
      </c>
      <c r="C566" s="92" t="s">
        <v>256</v>
      </c>
      <c r="D566" s="93">
        <v>1</v>
      </c>
    </row>
    <row r="567" spans="1:4" x14ac:dyDescent="0.2">
      <c r="A567" s="90">
        <v>349</v>
      </c>
      <c r="B567" s="91">
        <v>222</v>
      </c>
      <c r="C567" s="92" t="s">
        <v>256</v>
      </c>
      <c r="D567" s="93">
        <v>2</v>
      </c>
    </row>
    <row r="568" spans="1:4" x14ac:dyDescent="0.2">
      <c r="A568" s="90">
        <v>350</v>
      </c>
      <c r="B568" s="91">
        <v>1047</v>
      </c>
      <c r="C568" s="92" t="s">
        <v>313</v>
      </c>
      <c r="D568" s="93" t="s">
        <v>218</v>
      </c>
    </row>
    <row r="569" spans="1:4" x14ac:dyDescent="0.2">
      <c r="A569" s="90">
        <v>351</v>
      </c>
      <c r="B569" s="91">
        <v>1082</v>
      </c>
      <c r="C569" s="92" t="s">
        <v>314</v>
      </c>
      <c r="D569" s="93">
        <v>1</v>
      </c>
    </row>
    <row r="570" spans="1:4" x14ac:dyDescent="0.2">
      <c r="A570" s="90">
        <v>352</v>
      </c>
      <c r="B570" s="91">
        <v>1097</v>
      </c>
      <c r="C570" s="92" t="s">
        <v>315</v>
      </c>
      <c r="D570" s="93">
        <v>1</v>
      </c>
    </row>
    <row r="571" spans="1:4" x14ac:dyDescent="0.2">
      <c r="A571" s="90">
        <v>353</v>
      </c>
      <c r="B571" s="91">
        <v>1103</v>
      </c>
      <c r="C571" s="92" t="s">
        <v>316</v>
      </c>
      <c r="D571" s="93">
        <v>1</v>
      </c>
    </row>
    <row r="572" spans="1:4" x14ac:dyDescent="0.2">
      <c r="A572" s="90">
        <v>354</v>
      </c>
      <c r="B572" s="91">
        <v>64</v>
      </c>
      <c r="C572" s="92" t="s">
        <v>232</v>
      </c>
      <c r="D572" s="93" t="s">
        <v>456</v>
      </c>
    </row>
    <row r="573" spans="1:4" x14ac:dyDescent="0.2">
      <c r="A573" s="90">
        <v>355</v>
      </c>
      <c r="B573" s="91">
        <v>1392</v>
      </c>
      <c r="C573" s="92" t="s">
        <v>317</v>
      </c>
      <c r="D573" s="93">
        <v>1</v>
      </c>
    </row>
    <row r="574" spans="1:4" x14ac:dyDescent="0.2">
      <c r="A574" s="90">
        <v>355</v>
      </c>
      <c r="B574" s="91">
        <v>1393</v>
      </c>
      <c r="C574" s="92" t="s">
        <v>317</v>
      </c>
      <c r="D574" s="93">
        <v>1</v>
      </c>
    </row>
    <row r="575" spans="1:4" x14ac:dyDescent="0.2">
      <c r="A575" s="90">
        <v>357</v>
      </c>
      <c r="B575" s="91">
        <v>1200</v>
      </c>
      <c r="C575" s="92" t="s">
        <v>318</v>
      </c>
      <c r="D575" s="93" t="s">
        <v>456</v>
      </c>
    </row>
    <row r="576" spans="1:4" x14ac:dyDescent="0.2">
      <c r="A576" s="90">
        <v>357</v>
      </c>
      <c r="B576" s="91">
        <v>1201</v>
      </c>
      <c r="C576" s="92" t="s">
        <v>318</v>
      </c>
      <c r="D576" s="93" t="s">
        <v>456</v>
      </c>
    </row>
    <row r="577" spans="1:4" x14ac:dyDescent="0.2">
      <c r="A577" s="90">
        <v>358</v>
      </c>
      <c r="B577" s="91">
        <v>1202</v>
      </c>
      <c r="C577" s="92" t="s">
        <v>318</v>
      </c>
      <c r="D577" s="93" t="s">
        <v>456</v>
      </c>
    </row>
    <row r="578" spans="1:4" x14ac:dyDescent="0.2">
      <c r="A578" s="90">
        <v>358</v>
      </c>
      <c r="B578" s="91">
        <v>1203</v>
      </c>
      <c r="C578" s="92" t="s">
        <v>318</v>
      </c>
      <c r="D578" s="93" t="s">
        <v>456</v>
      </c>
    </row>
    <row r="579" spans="1:4" x14ac:dyDescent="0.2">
      <c r="A579" s="90">
        <v>359</v>
      </c>
      <c r="B579" s="91">
        <v>1204</v>
      </c>
      <c r="C579" s="92" t="s">
        <v>318</v>
      </c>
      <c r="D579" s="93" t="s">
        <v>456</v>
      </c>
    </row>
    <row r="580" spans="1:4" x14ac:dyDescent="0.2">
      <c r="A580" s="90">
        <v>359</v>
      </c>
      <c r="B580" s="91">
        <v>1205</v>
      </c>
      <c r="C580" s="92" t="s">
        <v>318</v>
      </c>
      <c r="D580" s="93" t="s">
        <v>456</v>
      </c>
    </row>
    <row r="581" spans="1:4" x14ac:dyDescent="0.2">
      <c r="A581" s="90">
        <v>360</v>
      </c>
      <c r="B581" s="91">
        <v>1206</v>
      </c>
      <c r="C581" s="92" t="s">
        <v>318</v>
      </c>
      <c r="D581" s="93" t="s">
        <v>456</v>
      </c>
    </row>
    <row r="582" spans="1:4" x14ac:dyDescent="0.2">
      <c r="A582" s="90">
        <v>360</v>
      </c>
      <c r="B582" s="91">
        <v>1207</v>
      </c>
      <c r="C582" s="92" t="s">
        <v>318</v>
      </c>
      <c r="D582" s="93" t="s">
        <v>456</v>
      </c>
    </row>
    <row r="583" spans="1:4" x14ac:dyDescent="0.2">
      <c r="A583" s="90">
        <v>361</v>
      </c>
      <c r="B583" s="91">
        <v>1208</v>
      </c>
      <c r="C583" s="92" t="s">
        <v>318</v>
      </c>
      <c r="D583" s="93" t="s">
        <v>456</v>
      </c>
    </row>
    <row r="584" spans="1:4" x14ac:dyDescent="0.2">
      <c r="A584" s="90">
        <v>361</v>
      </c>
      <c r="B584" s="91">
        <v>1209</v>
      </c>
      <c r="C584" s="92" t="s">
        <v>318</v>
      </c>
      <c r="D584" s="93" t="s">
        <v>456</v>
      </c>
    </row>
    <row r="585" spans="1:4" x14ac:dyDescent="0.2">
      <c r="A585" s="90">
        <v>362</v>
      </c>
      <c r="B585" s="91">
        <v>1210</v>
      </c>
      <c r="C585" s="92" t="s">
        <v>318</v>
      </c>
      <c r="D585" s="93" t="s">
        <v>456</v>
      </c>
    </row>
    <row r="586" spans="1:4" x14ac:dyDescent="0.2">
      <c r="A586" s="90">
        <v>362</v>
      </c>
      <c r="B586" s="91">
        <v>1211</v>
      </c>
      <c r="C586" s="92" t="s">
        <v>318</v>
      </c>
      <c r="D586" s="93" t="s">
        <v>456</v>
      </c>
    </row>
    <row r="587" spans="1:4" x14ac:dyDescent="0.2">
      <c r="A587" s="90">
        <v>363</v>
      </c>
      <c r="B587" s="91">
        <v>1212</v>
      </c>
      <c r="C587" s="92" t="s">
        <v>318</v>
      </c>
      <c r="D587" s="93" t="s">
        <v>456</v>
      </c>
    </row>
    <row r="588" spans="1:4" x14ac:dyDescent="0.2">
      <c r="A588" s="90">
        <v>363</v>
      </c>
      <c r="B588" s="91">
        <v>1213</v>
      </c>
      <c r="C588" s="92" t="s">
        <v>318</v>
      </c>
      <c r="D588" s="93" t="s">
        <v>456</v>
      </c>
    </row>
    <row r="589" spans="1:4" x14ac:dyDescent="0.2">
      <c r="A589" s="90">
        <v>364</v>
      </c>
      <c r="B589" s="91">
        <v>1214</v>
      </c>
      <c r="C589" s="92" t="s">
        <v>318</v>
      </c>
      <c r="D589" s="93" t="s">
        <v>456</v>
      </c>
    </row>
    <row r="590" spans="1:4" x14ac:dyDescent="0.2">
      <c r="A590" s="90">
        <v>364</v>
      </c>
      <c r="B590" s="91">
        <v>1215</v>
      </c>
      <c r="C590" s="92" t="s">
        <v>318</v>
      </c>
      <c r="D590" s="93" t="s">
        <v>456</v>
      </c>
    </row>
    <row r="591" spans="1:4" x14ac:dyDescent="0.2">
      <c r="A591" s="90">
        <v>365</v>
      </c>
      <c r="B591" s="91">
        <v>1216</v>
      </c>
      <c r="C591" s="92" t="s">
        <v>318</v>
      </c>
      <c r="D591" s="93" t="s">
        <v>456</v>
      </c>
    </row>
    <row r="592" spans="1:4" x14ac:dyDescent="0.2">
      <c r="A592" s="90">
        <v>365</v>
      </c>
      <c r="B592" s="91">
        <v>1217</v>
      </c>
      <c r="C592" s="92" t="s">
        <v>318</v>
      </c>
      <c r="D592" s="93" t="s">
        <v>456</v>
      </c>
    </row>
    <row r="593" spans="1:4" x14ac:dyDescent="0.2">
      <c r="A593" s="90">
        <v>366</v>
      </c>
      <c r="B593" s="91">
        <v>1218</v>
      </c>
      <c r="C593" s="92" t="s">
        <v>318</v>
      </c>
      <c r="D593" s="93" t="s">
        <v>456</v>
      </c>
    </row>
    <row r="594" spans="1:4" x14ac:dyDescent="0.2">
      <c r="A594" s="90">
        <v>366</v>
      </c>
      <c r="B594" s="91">
        <v>1219</v>
      </c>
      <c r="C594" s="92" t="s">
        <v>318</v>
      </c>
      <c r="D594" s="93" t="s">
        <v>456</v>
      </c>
    </row>
    <row r="595" spans="1:4" x14ac:dyDescent="0.2">
      <c r="A595" s="90">
        <v>367</v>
      </c>
      <c r="B595" s="91">
        <v>1220</v>
      </c>
      <c r="C595" s="92" t="s">
        <v>318</v>
      </c>
      <c r="D595" s="93" t="s">
        <v>456</v>
      </c>
    </row>
    <row r="596" spans="1:4" x14ac:dyDescent="0.2">
      <c r="A596" s="90">
        <v>367</v>
      </c>
      <c r="B596" s="91">
        <v>1221</v>
      </c>
      <c r="C596" s="92" t="s">
        <v>318</v>
      </c>
      <c r="D596" s="93" t="s">
        <v>456</v>
      </c>
    </row>
    <row r="597" spans="1:4" x14ac:dyDescent="0.2">
      <c r="A597" s="90">
        <v>368</v>
      </c>
      <c r="B597" s="91">
        <v>1222</v>
      </c>
      <c r="C597" s="92" t="s">
        <v>318</v>
      </c>
      <c r="D597" s="93" t="s">
        <v>456</v>
      </c>
    </row>
    <row r="598" spans="1:4" x14ac:dyDescent="0.2">
      <c r="A598" s="90">
        <v>368</v>
      </c>
      <c r="B598" s="91">
        <v>1223</v>
      </c>
      <c r="C598" s="92" t="s">
        <v>318</v>
      </c>
      <c r="D598" s="93" t="s">
        <v>456</v>
      </c>
    </row>
    <row r="599" spans="1:4" x14ac:dyDescent="0.2">
      <c r="A599" s="90">
        <v>369</v>
      </c>
      <c r="B599" s="91">
        <v>1224</v>
      </c>
      <c r="C599" s="92" t="s">
        <v>318</v>
      </c>
      <c r="D599" s="93" t="s">
        <v>456</v>
      </c>
    </row>
    <row r="600" spans="1:4" x14ac:dyDescent="0.2">
      <c r="A600" s="90">
        <v>369</v>
      </c>
      <c r="B600" s="91">
        <v>1225</v>
      </c>
      <c r="C600" s="92" t="s">
        <v>318</v>
      </c>
      <c r="D600" s="93" t="s">
        <v>456</v>
      </c>
    </row>
    <row r="601" spans="1:4" x14ac:dyDescent="0.2">
      <c r="A601" s="90">
        <v>370</v>
      </c>
      <c r="B601" s="91">
        <v>1226</v>
      </c>
      <c r="C601" s="92" t="s">
        <v>318</v>
      </c>
      <c r="D601" s="93" t="s">
        <v>456</v>
      </c>
    </row>
    <row r="602" spans="1:4" x14ac:dyDescent="0.2">
      <c r="A602" s="90">
        <v>370</v>
      </c>
      <c r="B602" s="91">
        <v>1227</v>
      </c>
      <c r="C602" s="92" t="s">
        <v>318</v>
      </c>
      <c r="D602" s="93" t="s">
        <v>456</v>
      </c>
    </row>
    <row r="603" spans="1:4" x14ac:dyDescent="0.2">
      <c r="A603" s="90">
        <v>371</v>
      </c>
      <c r="B603" s="91">
        <v>1228</v>
      </c>
      <c r="C603" s="92" t="s">
        <v>318</v>
      </c>
      <c r="D603" s="93" t="s">
        <v>456</v>
      </c>
    </row>
    <row r="604" spans="1:4" x14ac:dyDescent="0.2">
      <c r="A604" s="90">
        <v>371</v>
      </c>
      <c r="B604" s="91">
        <v>1229</v>
      </c>
      <c r="C604" s="92" t="s">
        <v>318</v>
      </c>
      <c r="D604" s="93" t="s">
        <v>456</v>
      </c>
    </row>
    <row r="605" spans="1:4" x14ac:dyDescent="0.2">
      <c r="A605" s="90">
        <v>372</v>
      </c>
      <c r="B605" s="91">
        <v>1180</v>
      </c>
      <c r="C605" s="92" t="s">
        <v>298</v>
      </c>
      <c r="D605" s="93">
        <v>1</v>
      </c>
    </row>
    <row r="606" spans="1:4" x14ac:dyDescent="0.2">
      <c r="A606" s="90">
        <v>372</v>
      </c>
      <c r="B606" s="91">
        <v>1181</v>
      </c>
      <c r="C606" s="92" t="s">
        <v>298</v>
      </c>
      <c r="D606" s="93">
        <v>1</v>
      </c>
    </row>
    <row r="607" spans="1:4" x14ac:dyDescent="0.2">
      <c r="A607" s="90">
        <v>373</v>
      </c>
      <c r="B607" s="91">
        <v>31</v>
      </c>
      <c r="C607" s="92" t="s">
        <v>244</v>
      </c>
      <c r="D607" s="93">
        <v>1</v>
      </c>
    </row>
    <row r="608" spans="1:4" x14ac:dyDescent="0.2">
      <c r="A608" s="90">
        <v>373</v>
      </c>
      <c r="B608" s="91">
        <v>213</v>
      </c>
      <c r="C608" s="92" t="s">
        <v>244</v>
      </c>
      <c r="D608" s="93">
        <v>2</v>
      </c>
    </row>
    <row r="609" spans="1:4" x14ac:dyDescent="0.2">
      <c r="A609" s="90">
        <v>374</v>
      </c>
      <c r="B609" s="91">
        <v>30</v>
      </c>
      <c r="C609" s="92" t="s">
        <v>244</v>
      </c>
      <c r="D609" s="93">
        <v>1</v>
      </c>
    </row>
    <row r="610" spans="1:4" x14ac:dyDescent="0.2">
      <c r="A610" s="90">
        <v>374</v>
      </c>
      <c r="B610" s="91">
        <v>214</v>
      </c>
      <c r="C610" s="92" t="s">
        <v>244</v>
      </c>
      <c r="D610" s="93">
        <v>2</v>
      </c>
    </row>
    <row r="611" spans="1:4" x14ac:dyDescent="0.2">
      <c r="A611" s="90">
        <v>375</v>
      </c>
      <c r="B611" s="91">
        <v>32</v>
      </c>
      <c r="C611" s="92" t="s">
        <v>244</v>
      </c>
      <c r="D611" s="93">
        <v>1</v>
      </c>
    </row>
    <row r="612" spans="1:4" x14ac:dyDescent="0.2">
      <c r="A612" s="90">
        <v>375</v>
      </c>
      <c r="B612" s="91">
        <v>215</v>
      </c>
      <c r="C612" s="92" t="s">
        <v>244</v>
      </c>
      <c r="D612" s="93">
        <v>2</v>
      </c>
    </row>
    <row r="613" spans="1:4" x14ac:dyDescent="0.2">
      <c r="A613" s="90">
        <v>376</v>
      </c>
      <c r="B613" s="91">
        <v>34</v>
      </c>
      <c r="C613" s="92" t="s">
        <v>244</v>
      </c>
      <c r="D613" s="93">
        <v>1</v>
      </c>
    </row>
    <row r="614" spans="1:4" x14ac:dyDescent="0.2">
      <c r="A614" s="90">
        <v>376</v>
      </c>
      <c r="B614" s="91">
        <v>216</v>
      </c>
      <c r="C614" s="92" t="s">
        <v>244</v>
      </c>
      <c r="D614" s="93">
        <v>2</v>
      </c>
    </row>
    <row r="615" spans="1:4" x14ac:dyDescent="0.2">
      <c r="A615" s="90">
        <v>377</v>
      </c>
      <c r="B615" s="91">
        <v>35</v>
      </c>
      <c r="C615" s="92" t="s">
        <v>244</v>
      </c>
      <c r="D615" s="93">
        <v>1</v>
      </c>
    </row>
    <row r="616" spans="1:4" x14ac:dyDescent="0.2">
      <c r="A616" s="90">
        <v>377</v>
      </c>
      <c r="B616" s="91">
        <v>217</v>
      </c>
      <c r="C616" s="92" t="s">
        <v>244</v>
      </c>
      <c r="D616" s="93">
        <v>2</v>
      </c>
    </row>
    <row r="617" spans="1:4" x14ac:dyDescent="0.2">
      <c r="A617" s="90">
        <v>378</v>
      </c>
      <c r="B617" s="91">
        <v>36</v>
      </c>
      <c r="C617" s="92" t="s">
        <v>244</v>
      </c>
      <c r="D617" s="93">
        <v>1</v>
      </c>
    </row>
    <row r="618" spans="1:4" x14ac:dyDescent="0.2">
      <c r="A618" s="90">
        <v>378</v>
      </c>
      <c r="B618" s="91">
        <v>218</v>
      </c>
      <c r="C618" s="92" t="s">
        <v>244</v>
      </c>
      <c r="D618" s="93">
        <v>2</v>
      </c>
    </row>
    <row r="619" spans="1:4" x14ac:dyDescent="0.2">
      <c r="A619" s="90">
        <v>380</v>
      </c>
      <c r="B619" s="91">
        <v>37</v>
      </c>
      <c r="C619" s="92" t="s">
        <v>244</v>
      </c>
      <c r="D619" s="93">
        <v>1</v>
      </c>
    </row>
    <row r="620" spans="1:4" x14ac:dyDescent="0.2">
      <c r="A620" s="90">
        <v>380</v>
      </c>
      <c r="B620" s="91">
        <v>220</v>
      </c>
      <c r="C620" s="92" t="s">
        <v>244</v>
      </c>
      <c r="D620" s="93">
        <v>2</v>
      </c>
    </row>
    <row r="621" spans="1:4" x14ac:dyDescent="0.2">
      <c r="A621" s="90">
        <v>381</v>
      </c>
      <c r="B621" s="91">
        <v>1170</v>
      </c>
      <c r="C621" s="92" t="s">
        <v>244</v>
      </c>
      <c r="D621" s="93">
        <v>2</v>
      </c>
    </row>
    <row r="622" spans="1:4" x14ac:dyDescent="0.2">
      <c r="A622" s="90">
        <v>381</v>
      </c>
      <c r="B622" s="91">
        <v>1171</v>
      </c>
      <c r="C622" s="92" t="s">
        <v>244</v>
      </c>
      <c r="D622" s="93">
        <v>1</v>
      </c>
    </row>
    <row r="623" spans="1:4" x14ac:dyDescent="0.2">
      <c r="A623" s="90">
        <v>382</v>
      </c>
      <c r="B623" s="91">
        <v>1172</v>
      </c>
      <c r="C623" s="92" t="s">
        <v>244</v>
      </c>
      <c r="D623" s="93">
        <v>2</v>
      </c>
    </row>
    <row r="624" spans="1:4" x14ac:dyDescent="0.2">
      <c r="A624" s="90">
        <v>382</v>
      </c>
      <c r="B624" s="91">
        <v>1173</v>
      </c>
      <c r="C624" s="92" t="s">
        <v>244</v>
      </c>
      <c r="D624" s="93">
        <v>1</v>
      </c>
    </row>
    <row r="625" spans="1:4" x14ac:dyDescent="0.2">
      <c r="A625" s="90">
        <v>384</v>
      </c>
      <c r="B625" s="91">
        <v>1185</v>
      </c>
      <c r="C625" s="92" t="s">
        <v>256</v>
      </c>
      <c r="D625" s="93">
        <v>1</v>
      </c>
    </row>
    <row r="626" spans="1:4" x14ac:dyDescent="0.2">
      <c r="A626" s="90">
        <v>384</v>
      </c>
      <c r="B626" s="91">
        <v>1186</v>
      </c>
      <c r="C626" s="92" t="s">
        <v>256</v>
      </c>
      <c r="D626" s="93">
        <v>2</v>
      </c>
    </row>
    <row r="627" spans="1:4" x14ac:dyDescent="0.2">
      <c r="A627" s="90">
        <v>385</v>
      </c>
      <c r="B627" s="91">
        <v>1260</v>
      </c>
      <c r="C627" s="92" t="s">
        <v>244</v>
      </c>
      <c r="D627" s="93" t="s">
        <v>456</v>
      </c>
    </row>
    <row r="628" spans="1:4" x14ac:dyDescent="0.2">
      <c r="A628" s="90">
        <v>385</v>
      </c>
      <c r="B628" s="91">
        <v>1261</v>
      </c>
      <c r="C628" s="92" t="s">
        <v>244</v>
      </c>
      <c r="D628" s="93" t="s">
        <v>456</v>
      </c>
    </row>
    <row r="629" spans="1:4" x14ac:dyDescent="0.2">
      <c r="A629" s="90">
        <v>386</v>
      </c>
      <c r="B629" s="91">
        <v>1184</v>
      </c>
      <c r="C629" s="92" t="s">
        <v>225</v>
      </c>
      <c r="D629" s="93" t="s">
        <v>218</v>
      </c>
    </row>
    <row r="630" spans="1:4" x14ac:dyDescent="0.2">
      <c r="A630" s="90">
        <v>387</v>
      </c>
      <c r="B630" s="91">
        <v>1183</v>
      </c>
      <c r="C630" s="92" t="s">
        <v>249</v>
      </c>
      <c r="D630" s="93" t="s">
        <v>218</v>
      </c>
    </row>
    <row r="631" spans="1:4" x14ac:dyDescent="0.2">
      <c r="A631" s="90">
        <v>388</v>
      </c>
      <c r="B631" s="91">
        <v>1262</v>
      </c>
      <c r="C631" s="92" t="s">
        <v>244</v>
      </c>
      <c r="D631" s="93" t="s">
        <v>456</v>
      </c>
    </row>
    <row r="632" spans="1:4" x14ac:dyDescent="0.2">
      <c r="A632" s="90">
        <v>388</v>
      </c>
      <c r="B632" s="91">
        <v>1263</v>
      </c>
      <c r="C632" s="92" t="s">
        <v>244</v>
      </c>
      <c r="D632" s="93" t="s">
        <v>456</v>
      </c>
    </row>
    <row r="633" spans="1:4" x14ac:dyDescent="0.2">
      <c r="A633" s="90">
        <v>389</v>
      </c>
      <c r="B633" s="91">
        <v>1182</v>
      </c>
      <c r="C633" s="92" t="s">
        <v>235</v>
      </c>
      <c r="D633" s="93" t="s">
        <v>218</v>
      </c>
    </row>
    <row r="634" spans="1:4" x14ac:dyDescent="0.2">
      <c r="A634" s="90">
        <v>390</v>
      </c>
      <c r="B634" s="91">
        <v>1291</v>
      </c>
      <c r="C634" s="92" t="s">
        <v>244</v>
      </c>
      <c r="D634" s="93">
        <v>2</v>
      </c>
    </row>
    <row r="635" spans="1:4" x14ac:dyDescent="0.2">
      <c r="A635" s="90">
        <v>390</v>
      </c>
      <c r="B635" s="91">
        <v>1292</v>
      </c>
      <c r="C635" s="92" t="s">
        <v>244</v>
      </c>
      <c r="D635" s="93">
        <v>1</v>
      </c>
    </row>
    <row r="636" spans="1:4" x14ac:dyDescent="0.2">
      <c r="A636" s="90">
        <v>391</v>
      </c>
      <c r="B636" s="91">
        <v>29</v>
      </c>
      <c r="C636" s="92" t="s">
        <v>319</v>
      </c>
      <c r="D636" s="93" t="s">
        <v>218</v>
      </c>
    </row>
    <row r="637" spans="1:4" x14ac:dyDescent="0.2">
      <c r="A637" s="90">
        <v>392</v>
      </c>
      <c r="B637" s="91">
        <v>90</v>
      </c>
      <c r="C637" s="92" t="s">
        <v>320</v>
      </c>
      <c r="D637" s="93">
        <v>1</v>
      </c>
    </row>
    <row r="638" spans="1:4" x14ac:dyDescent="0.2">
      <c r="A638" s="90">
        <v>393</v>
      </c>
      <c r="B638" s="91">
        <v>1</v>
      </c>
      <c r="C638" s="92" t="s">
        <v>321</v>
      </c>
      <c r="D638" s="93">
        <v>1</v>
      </c>
    </row>
    <row r="639" spans="1:4" x14ac:dyDescent="0.2">
      <c r="A639" s="90">
        <v>394</v>
      </c>
      <c r="B639" s="91">
        <v>1176</v>
      </c>
      <c r="C639" s="92" t="s">
        <v>277</v>
      </c>
      <c r="D639" s="93">
        <v>1</v>
      </c>
    </row>
    <row r="640" spans="1:4" x14ac:dyDescent="0.2">
      <c r="A640" s="90">
        <v>394</v>
      </c>
      <c r="B640" s="91">
        <v>1177</v>
      </c>
      <c r="C640" s="92" t="s">
        <v>277</v>
      </c>
      <c r="D640" s="93">
        <v>2</v>
      </c>
    </row>
    <row r="641" spans="1:4" x14ac:dyDescent="0.2">
      <c r="A641" s="90">
        <v>395</v>
      </c>
      <c r="B641" s="91">
        <v>1044</v>
      </c>
      <c r="C641" s="92" t="s">
        <v>322</v>
      </c>
      <c r="D641" s="93">
        <v>2</v>
      </c>
    </row>
    <row r="642" spans="1:4" x14ac:dyDescent="0.2">
      <c r="A642" s="90">
        <v>395</v>
      </c>
      <c r="B642" s="91">
        <v>1045</v>
      </c>
      <c r="C642" s="92" t="s">
        <v>322</v>
      </c>
      <c r="D642" s="93">
        <v>1</v>
      </c>
    </row>
    <row r="643" spans="1:4" x14ac:dyDescent="0.2">
      <c r="A643" s="90">
        <v>395</v>
      </c>
      <c r="B643" s="91">
        <v>1046</v>
      </c>
      <c r="C643" s="92" t="s">
        <v>322</v>
      </c>
      <c r="D643" s="93">
        <v>1</v>
      </c>
    </row>
    <row r="644" spans="1:4" x14ac:dyDescent="0.2">
      <c r="A644" s="90">
        <v>396</v>
      </c>
      <c r="B644" s="91">
        <v>1323</v>
      </c>
      <c r="C644" s="92" t="s">
        <v>254</v>
      </c>
      <c r="D644" s="93">
        <v>1</v>
      </c>
    </row>
    <row r="645" spans="1:4" x14ac:dyDescent="0.2">
      <c r="A645" s="90">
        <v>397</v>
      </c>
      <c r="B645" s="91">
        <v>1346</v>
      </c>
      <c r="C645" s="92" t="s">
        <v>323</v>
      </c>
      <c r="D645" s="93">
        <v>1</v>
      </c>
    </row>
    <row r="646" spans="1:4" x14ac:dyDescent="0.2">
      <c r="A646" s="90">
        <v>398</v>
      </c>
      <c r="B646" s="91">
        <v>72</v>
      </c>
      <c r="C646" s="92" t="s">
        <v>324</v>
      </c>
      <c r="D646" s="93">
        <v>2</v>
      </c>
    </row>
    <row r="647" spans="1:4" x14ac:dyDescent="0.2">
      <c r="A647" s="90">
        <v>399</v>
      </c>
      <c r="B647" s="91">
        <v>27</v>
      </c>
      <c r="C647" s="92" t="s">
        <v>325</v>
      </c>
      <c r="D647" s="93" t="s">
        <v>464</v>
      </c>
    </row>
    <row r="648" spans="1:4" x14ac:dyDescent="0.2">
      <c r="A648" s="90">
        <v>400</v>
      </c>
      <c r="B648" s="91">
        <v>58</v>
      </c>
      <c r="C648" s="92" t="s">
        <v>276</v>
      </c>
      <c r="D648" s="93">
        <v>1</v>
      </c>
    </row>
    <row r="649" spans="1:4" x14ac:dyDescent="0.2">
      <c r="A649" s="90">
        <v>400</v>
      </c>
      <c r="B649" s="91">
        <v>190</v>
      </c>
      <c r="C649" s="92" t="s">
        <v>276</v>
      </c>
      <c r="D649" s="93" t="s">
        <v>461</v>
      </c>
    </row>
    <row r="650" spans="1:4" x14ac:dyDescent="0.2">
      <c r="A650" s="90">
        <v>401</v>
      </c>
      <c r="B650" s="91">
        <v>1157</v>
      </c>
      <c r="C650" s="92" t="s">
        <v>326</v>
      </c>
      <c r="D650" s="93" t="s">
        <v>218</v>
      </c>
    </row>
    <row r="651" spans="1:4" x14ac:dyDescent="0.2">
      <c r="A651" s="90">
        <v>403</v>
      </c>
      <c r="B651" s="91">
        <v>1178</v>
      </c>
      <c r="C651" s="92" t="s">
        <v>231</v>
      </c>
      <c r="D651" s="93">
        <v>1</v>
      </c>
    </row>
    <row r="652" spans="1:4" x14ac:dyDescent="0.2">
      <c r="A652" s="90">
        <v>403</v>
      </c>
      <c r="B652" s="91">
        <v>1179</v>
      </c>
      <c r="C652" s="92" t="s">
        <v>231</v>
      </c>
      <c r="D652" s="93">
        <v>2</v>
      </c>
    </row>
    <row r="653" spans="1:4" x14ac:dyDescent="0.2">
      <c r="A653" s="90">
        <v>404</v>
      </c>
      <c r="B653" s="91">
        <v>1161</v>
      </c>
      <c r="C653" s="92" t="s">
        <v>327</v>
      </c>
      <c r="D653" s="93">
        <v>2</v>
      </c>
    </row>
    <row r="654" spans="1:4" x14ac:dyDescent="0.2">
      <c r="A654" s="90">
        <v>404</v>
      </c>
      <c r="B654" s="91">
        <v>1162</v>
      </c>
      <c r="C654" s="92" t="s">
        <v>327</v>
      </c>
      <c r="D654" s="93">
        <v>1</v>
      </c>
    </row>
    <row r="655" spans="1:4" x14ac:dyDescent="0.2">
      <c r="A655" s="90">
        <v>405</v>
      </c>
      <c r="B655" s="91">
        <v>1163</v>
      </c>
      <c r="C655" s="92" t="s">
        <v>328</v>
      </c>
      <c r="D655" s="93" t="s">
        <v>218</v>
      </c>
    </row>
    <row r="656" spans="1:4" x14ac:dyDescent="0.2">
      <c r="A656" s="90">
        <v>406</v>
      </c>
      <c r="B656" s="91">
        <v>77</v>
      </c>
      <c r="C656" s="92" t="s">
        <v>329</v>
      </c>
      <c r="D656" s="93" t="s">
        <v>218</v>
      </c>
    </row>
    <row r="657" spans="1:4" x14ac:dyDescent="0.2">
      <c r="A657" s="90">
        <v>407</v>
      </c>
      <c r="B657" s="91">
        <v>81</v>
      </c>
      <c r="C657" s="92" t="s">
        <v>330</v>
      </c>
      <c r="D657" s="93" t="s">
        <v>218</v>
      </c>
    </row>
    <row r="658" spans="1:4" x14ac:dyDescent="0.2">
      <c r="A658" s="90">
        <v>408</v>
      </c>
      <c r="B658" s="91">
        <v>87</v>
      </c>
      <c r="C658" s="92" t="s">
        <v>331</v>
      </c>
      <c r="D658" s="93" t="s">
        <v>218</v>
      </c>
    </row>
    <row r="659" spans="1:4" x14ac:dyDescent="0.2">
      <c r="A659" s="90">
        <v>409</v>
      </c>
      <c r="B659" s="91">
        <v>89</v>
      </c>
      <c r="C659" s="92" t="s">
        <v>332</v>
      </c>
      <c r="D659" s="93" t="s">
        <v>218</v>
      </c>
    </row>
    <row r="660" spans="1:4" x14ac:dyDescent="0.2">
      <c r="A660" s="90">
        <v>410</v>
      </c>
      <c r="B660" s="91">
        <v>98</v>
      </c>
      <c r="C660" s="92" t="s">
        <v>333</v>
      </c>
      <c r="D660" s="93" t="s">
        <v>218</v>
      </c>
    </row>
    <row r="661" spans="1:4" x14ac:dyDescent="0.2">
      <c r="A661" s="90">
        <v>411</v>
      </c>
      <c r="B661" s="91">
        <v>106</v>
      </c>
      <c r="C661" s="92" t="s">
        <v>334</v>
      </c>
      <c r="D661" s="93" t="s">
        <v>218</v>
      </c>
    </row>
    <row r="662" spans="1:4" x14ac:dyDescent="0.2">
      <c r="A662" s="90">
        <v>412</v>
      </c>
      <c r="B662" s="91">
        <v>107</v>
      </c>
      <c r="C662" s="92" t="s">
        <v>335</v>
      </c>
      <c r="D662" s="93" t="s">
        <v>218</v>
      </c>
    </row>
    <row r="663" spans="1:4" x14ac:dyDescent="0.2">
      <c r="A663" s="90">
        <v>413</v>
      </c>
      <c r="B663" s="91">
        <v>108</v>
      </c>
      <c r="C663" s="92" t="s">
        <v>336</v>
      </c>
      <c r="D663" s="93" t="s">
        <v>218</v>
      </c>
    </row>
    <row r="664" spans="1:4" x14ac:dyDescent="0.2">
      <c r="A664" s="90">
        <v>414</v>
      </c>
      <c r="B664" s="91">
        <v>110</v>
      </c>
      <c r="C664" s="92" t="s">
        <v>337</v>
      </c>
      <c r="D664" s="93" t="s">
        <v>218</v>
      </c>
    </row>
    <row r="665" spans="1:4" x14ac:dyDescent="0.2">
      <c r="A665" s="90">
        <v>415</v>
      </c>
      <c r="B665" s="91">
        <v>165</v>
      </c>
      <c r="C665" s="92" t="s">
        <v>338</v>
      </c>
      <c r="D665" s="93" t="s">
        <v>218</v>
      </c>
    </row>
    <row r="666" spans="1:4" x14ac:dyDescent="0.2">
      <c r="A666" s="90">
        <v>416</v>
      </c>
      <c r="B666" s="91">
        <v>179</v>
      </c>
      <c r="C666" s="92" t="s">
        <v>339</v>
      </c>
      <c r="D666" s="93" t="s">
        <v>218</v>
      </c>
    </row>
    <row r="667" spans="1:4" x14ac:dyDescent="0.2">
      <c r="A667" s="90">
        <v>417</v>
      </c>
      <c r="B667" s="91">
        <v>209</v>
      </c>
      <c r="C667" s="92" t="s">
        <v>340</v>
      </c>
      <c r="D667" s="93" t="s">
        <v>218</v>
      </c>
    </row>
    <row r="668" spans="1:4" x14ac:dyDescent="0.2">
      <c r="A668" s="90">
        <v>418</v>
      </c>
      <c r="B668" s="91">
        <v>188</v>
      </c>
      <c r="C668" s="92" t="s">
        <v>341</v>
      </c>
      <c r="D668" s="93" t="s">
        <v>218</v>
      </c>
    </row>
    <row r="669" spans="1:4" x14ac:dyDescent="0.2">
      <c r="A669" s="90">
        <v>419</v>
      </c>
      <c r="B669" s="91">
        <v>176</v>
      </c>
      <c r="C669" s="92" t="s">
        <v>342</v>
      </c>
      <c r="D669" s="93" t="s">
        <v>218</v>
      </c>
    </row>
    <row r="670" spans="1:4" x14ac:dyDescent="0.2">
      <c r="A670" s="90">
        <v>420</v>
      </c>
      <c r="B670" s="91">
        <v>253</v>
      </c>
      <c r="C670" s="92" t="s">
        <v>343</v>
      </c>
      <c r="D670" s="93" t="s">
        <v>218</v>
      </c>
    </row>
    <row r="671" spans="1:4" x14ac:dyDescent="0.2">
      <c r="A671" s="90">
        <v>421</v>
      </c>
      <c r="B671" s="91">
        <v>222</v>
      </c>
      <c r="C671" s="92" t="s">
        <v>344</v>
      </c>
      <c r="D671" s="93" t="s">
        <v>218</v>
      </c>
    </row>
    <row r="672" spans="1:4" x14ac:dyDescent="0.2">
      <c r="A672" s="90">
        <v>422</v>
      </c>
      <c r="B672" s="91">
        <v>254</v>
      </c>
      <c r="C672" s="92" t="s">
        <v>345</v>
      </c>
      <c r="D672" s="93" t="s">
        <v>218</v>
      </c>
    </row>
    <row r="673" spans="1:4" x14ac:dyDescent="0.2">
      <c r="A673" s="90">
        <v>423</v>
      </c>
      <c r="B673" s="91">
        <v>255</v>
      </c>
      <c r="C673" s="92" t="s">
        <v>346</v>
      </c>
      <c r="D673" s="93" t="s">
        <v>218</v>
      </c>
    </row>
    <row r="674" spans="1:4" x14ac:dyDescent="0.2">
      <c r="A674" s="90">
        <v>424</v>
      </c>
      <c r="B674" s="91">
        <v>256</v>
      </c>
      <c r="C674" s="92" t="s">
        <v>347</v>
      </c>
      <c r="D674" s="93" t="s">
        <v>218</v>
      </c>
    </row>
    <row r="675" spans="1:4" x14ac:dyDescent="0.2">
      <c r="A675" s="90">
        <v>425</v>
      </c>
      <c r="B675" s="91">
        <v>1100</v>
      </c>
      <c r="C675" s="92" t="s">
        <v>348</v>
      </c>
      <c r="D675" s="93">
        <v>2</v>
      </c>
    </row>
    <row r="676" spans="1:4" x14ac:dyDescent="0.2">
      <c r="A676" s="90">
        <v>426</v>
      </c>
      <c r="B676" s="91">
        <v>1189</v>
      </c>
      <c r="C676" s="92" t="s">
        <v>256</v>
      </c>
      <c r="D676" s="93">
        <v>1</v>
      </c>
    </row>
    <row r="677" spans="1:4" x14ac:dyDescent="0.2">
      <c r="A677" s="90">
        <v>426</v>
      </c>
      <c r="B677" s="91">
        <v>1190</v>
      </c>
      <c r="C677" s="92" t="s">
        <v>256</v>
      </c>
      <c r="D677" s="93">
        <v>2</v>
      </c>
    </row>
    <row r="678" spans="1:4" x14ac:dyDescent="0.2">
      <c r="A678" s="90">
        <v>427</v>
      </c>
      <c r="B678" s="91">
        <v>1118</v>
      </c>
      <c r="C678" s="92" t="s">
        <v>349</v>
      </c>
      <c r="D678" s="93">
        <v>1</v>
      </c>
    </row>
    <row r="679" spans="1:4" x14ac:dyDescent="0.2">
      <c r="A679" s="90">
        <v>427</v>
      </c>
      <c r="B679" s="91">
        <v>1119</v>
      </c>
      <c r="C679" s="92" t="s">
        <v>349</v>
      </c>
      <c r="D679" s="93" t="s">
        <v>459</v>
      </c>
    </row>
    <row r="680" spans="1:4" x14ac:dyDescent="0.2">
      <c r="A680" s="90">
        <v>428</v>
      </c>
      <c r="B680" s="91">
        <v>258</v>
      </c>
      <c r="C680" s="92" t="s">
        <v>350</v>
      </c>
      <c r="D680" s="93" t="s">
        <v>351</v>
      </c>
    </row>
    <row r="681" spans="1:4" x14ac:dyDescent="0.2">
      <c r="A681" s="90">
        <v>428</v>
      </c>
      <c r="B681" s="91">
        <v>259</v>
      </c>
      <c r="C681" s="92" t="s">
        <v>350</v>
      </c>
      <c r="D681" s="93" t="s">
        <v>351</v>
      </c>
    </row>
    <row r="682" spans="1:4" x14ac:dyDescent="0.2">
      <c r="A682" s="90">
        <v>429</v>
      </c>
      <c r="B682" s="91">
        <v>260</v>
      </c>
      <c r="C682" s="92" t="s">
        <v>352</v>
      </c>
      <c r="D682" s="93" t="s">
        <v>351</v>
      </c>
    </row>
    <row r="683" spans="1:4" x14ac:dyDescent="0.2">
      <c r="A683" s="90">
        <v>429</v>
      </c>
      <c r="B683" s="91">
        <v>261</v>
      </c>
      <c r="C683" s="92" t="s">
        <v>352</v>
      </c>
      <c r="D683" s="93" t="s">
        <v>351</v>
      </c>
    </row>
    <row r="684" spans="1:4" x14ac:dyDescent="0.2">
      <c r="A684" s="90">
        <v>430</v>
      </c>
      <c r="B684" s="91">
        <v>264</v>
      </c>
      <c r="C684" s="92" t="s">
        <v>353</v>
      </c>
      <c r="D684" s="93" t="s">
        <v>351</v>
      </c>
    </row>
    <row r="685" spans="1:4" x14ac:dyDescent="0.2">
      <c r="A685" s="90">
        <v>430</v>
      </c>
      <c r="B685" s="91">
        <v>265</v>
      </c>
      <c r="C685" s="92" t="s">
        <v>353</v>
      </c>
      <c r="D685" s="93" t="s">
        <v>351</v>
      </c>
    </row>
    <row r="686" spans="1:4" x14ac:dyDescent="0.2">
      <c r="A686" s="90">
        <v>431</v>
      </c>
      <c r="B686" s="91">
        <v>262</v>
      </c>
      <c r="C686" s="92" t="s">
        <v>354</v>
      </c>
      <c r="D686" s="93" t="s">
        <v>351</v>
      </c>
    </row>
    <row r="687" spans="1:4" x14ac:dyDescent="0.2">
      <c r="A687" s="90">
        <v>431</v>
      </c>
      <c r="B687" s="91">
        <v>263</v>
      </c>
      <c r="C687" s="92" t="s">
        <v>354</v>
      </c>
      <c r="D687" s="93" t="s">
        <v>351</v>
      </c>
    </row>
    <row r="688" spans="1:4" x14ac:dyDescent="0.2">
      <c r="A688" s="90">
        <v>432</v>
      </c>
      <c r="B688" s="91">
        <v>1397</v>
      </c>
      <c r="C688" s="92" t="s">
        <v>256</v>
      </c>
      <c r="D688" s="93">
        <v>1</v>
      </c>
    </row>
    <row r="689" spans="1:4" x14ac:dyDescent="0.2">
      <c r="A689" s="90">
        <v>432</v>
      </c>
      <c r="B689" s="91">
        <v>1398</v>
      </c>
      <c r="C689" s="92" t="s">
        <v>256</v>
      </c>
      <c r="D689" s="93">
        <v>2</v>
      </c>
    </row>
    <row r="690" spans="1:4" x14ac:dyDescent="0.2">
      <c r="A690" s="90">
        <v>434</v>
      </c>
      <c r="B690" s="91">
        <v>269</v>
      </c>
      <c r="C690" s="92" t="s">
        <v>355</v>
      </c>
      <c r="D690" s="93" t="s">
        <v>456</v>
      </c>
    </row>
    <row r="691" spans="1:4" x14ac:dyDescent="0.2">
      <c r="A691" s="90">
        <v>435</v>
      </c>
      <c r="B691" s="91">
        <v>270</v>
      </c>
      <c r="C691" s="92" t="s">
        <v>356</v>
      </c>
      <c r="D691" s="93">
        <v>1</v>
      </c>
    </row>
    <row r="692" spans="1:4" x14ac:dyDescent="0.2">
      <c r="A692" s="90">
        <v>435</v>
      </c>
      <c r="B692" s="91">
        <v>271</v>
      </c>
      <c r="C692" s="92" t="s">
        <v>356</v>
      </c>
      <c r="D692" s="93">
        <v>1</v>
      </c>
    </row>
    <row r="693" spans="1:4" x14ac:dyDescent="0.2">
      <c r="A693" s="90">
        <v>435</v>
      </c>
      <c r="B693" s="91">
        <v>272</v>
      </c>
      <c r="C693" s="92" t="s">
        <v>356</v>
      </c>
      <c r="D693" s="93">
        <v>2</v>
      </c>
    </row>
    <row r="694" spans="1:4" x14ac:dyDescent="0.2">
      <c r="A694" s="90">
        <v>436</v>
      </c>
      <c r="B694" s="91">
        <v>273</v>
      </c>
      <c r="C694" s="92" t="s">
        <v>357</v>
      </c>
      <c r="D694" s="93">
        <v>1</v>
      </c>
    </row>
    <row r="695" spans="1:4" x14ac:dyDescent="0.2">
      <c r="A695" s="90">
        <v>436</v>
      </c>
      <c r="B695" s="91">
        <v>274</v>
      </c>
      <c r="C695" s="92" t="s">
        <v>357</v>
      </c>
      <c r="D695" s="93">
        <v>1</v>
      </c>
    </row>
    <row r="696" spans="1:4" x14ac:dyDescent="0.2">
      <c r="A696" s="90">
        <v>436</v>
      </c>
      <c r="B696" s="91">
        <v>275</v>
      </c>
      <c r="C696" s="92" t="s">
        <v>357</v>
      </c>
      <c r="D696" s="93">
        <v>2</v>
      </c>
    </row>
    <row r="697" spans="1:4" x14ac:dyDescent="0.2">
      <c r="A697" s="90">
        <v>437</v>
      </c>
      <c r="B697" s="91">
        <v>1403</v>
      </c>
      <c r="C697" s="92" t="s">
        <v>358</v>
      </c>
      <c r="D697" s="93">
        <v>2</v>
      </c>
    </row>
    <row r="698" spans="1:4" x14ac:dyDescent="0.2">
      <c r="A698" s="90">
        <v>437</v>
      </c>
      <c r="B698" s="91">
        <v>1404</v>
      </c>
      <c r="C698" s="92" t="s">
        <v>358</v>
      </c>
      <c r="D698" s="93">
        <v>1</v>
      </c>
    </row>
    <row r="699" spans="1:4" x14ac:dyDescent="0.2">
      <c r="A699" s="90">
        <v>437</v>
      </c>
      <c r="B699" s="91">
        <v>1405</v>
      </c>
      <c r="C699" s="92" t="s">
        <v>358</v>
      </c>
      <c r="D699" s="93">
        <v>1</v>
      </c>
    </row>
    <row r="700" spans="1:4" x14ac:dyDescent="0.2">
      <c r="A700" s="90">
        <v>439</v>
      </c>
      <c r="B700" s="91">
        <v>346</v>
      </c>
      <c r="C700" s="92" t="s">
        <v>359</v>
      </c>
      <c r="D700" s="93">
        <v>2</v>
      </c>
    </row>
    <row r="701" spans="1:4" x14ac:dyDescent="0.2">
      <c r="A701" s="90">
        <v>439</v>
      </c>
      <c r="B701" s="91">
        <v>349</v>
      </c>
      <c r="C701" s="92" t="s">
        <v>359</v>
      </c>
      <c r="D701" s="93">
        <v>1</v>
      </c>
    </row>
    <row r="702" spans="1:4" x14ac:dyDescent="0.2">
      <c r="A702" s="90">
        <v>440</v>
      </c>
      <c r="B702" s="91">
        <v>210</v>
      </c>
      <c r="C702" s="92" t="s">
        <v>360</v>
      </c>
      <c r="D702" s="93">
        <v>2</v>
      </c>
    </row>
    <row r="703" spans="1:4" x14ac:dyDescent="0.2">
      <c r="A703" s="90">
        <v>440</v>
      </c>
      <c r="B703" s="91">
        <v>347</v>
      </c>
      <c r="C703" s="92" t="s">
        <v>360</v>
      </c>
      <c r="D703" s="93" t="s">
        <v>456</v>
      </c>
    </row>
    <row r="704" spans="1:4" x14ac:dyDescent="0.2">
      <c r="A704" s="90">
        <v>440</v>
      </c>
      <c r="B704" s="91">
        <v>348</v>
      </c>
      <c r="C704" s="92" t="s">
        <v>360</v>
      </c>
      <c r="D704" s="93" t="s">
        <v>456</v>
      </c>
    </row>
    <row r="705" spans="1:4" x14ac:dyDescent="0.2">
      <c r="A705" s="90">
        <v>441</v>
      </c>
      <c r="B705" s="91">
        <v>206</v>
      </c>
      <c r="C705" s="92" t="s">
        <v>260</v>
      </c>
      <c r="D705" s="93">
        <v>2</v>
      </c>
    </row>
    <row r="706" spans="1:4" x14ac:dyDescent="0.2">
      <c r="A706" s="90">
        <v>441</v>
      </c>
      <c r="B706" s="91">
        <v>350</v>
      </c>
      <c r="C706" s="92" t="s">
        <v>260</v>
      </c>
      <c r="D706" s="93">
        <v>1</v>
      </c>
    </row>
    <row r="707" spans="1:4" x14ac:dyDescent="0.2">
      <c r="A707" s="90">
        <v>441</v>
      </c>
      <c r="B707" s="91">
        <v>351</v>
      </c>
      <c r="C707" s="92" t="s">
        <v>260</v>
      </c>
      <c r="D707" s="93">
        <v>1</v>
      </c>
    </row>
    <row r="708" spans="1:4" x14ac:dyDescent="0.2">
      <c r="A708" s="90">
        <v>441</v>
      </c>
      <c r="B708" s="91">
        <v>352</v>
      </c>
      <c r="C708" s="92" t="s">
        <v>260</v>
      </c>
      <c r="D708" s="93">
        <v>1</v>
      </c>
    </row>
    <row r="709" spans="1:4" x14ac:dyDescent="0.2">
      <c r="A709" s="90">
        <v>442</v>
      </c>
      <c r="B709" s="91">
        <v>356</v>
      </c>
      <c r="C709" s="92" t="s">
        <v>256</v>
      </c>
      <c r="D709" s="93" t="s">
        <v>456</v>
      </c>
    </row>
    <row r="710" spans="1:4" x14ac:dyDescent="0.2">
      <c r="A710" s="90">
        <v>442</v>
      </c>
      <c r="B710" s="91">
        <v>357</v>
      </c>
      <c r="C710" s="92" t="s">
        <v>256</v>
      </c>
      <c r="D710" s="93" t="s">
        <v>456</v>
      </c>
    </row>
    <row r="711" spans="1:4" x14ac:dyDescent="0.2">
      <c r="A711" s="90">
        <v>443</v>
      </c>
      <c r="B711" s="91">
        <v>358</v>
      </c>
      <c r="C711" s="92" t="s">
        <v>298</v>
      </c>
      <c r="D711" s="93">
        <v>1</v>
      </c>
    </row>
    <row r="712" spans="1:4" x14ac:dyDescent="0.2">
      <c r="A712" s="90">
        <v>443</v>
      </c>
      <c r="B712" s="91">
        <v>359</v>
      </c>
      <c r="C712" s="92" t="s">
        <v>298</v>
      </c>
      <c r="D712" s="93" t="s">
        <v>461</v>
      </c>
    </row>
    <row r="713" spans="1:4" x14ac:dyDescent="0.2">
      <c r="A713" s="90">
        <v>444</v>
      </c>
      <c r="B713" s="91">
        <v>208</v>
      </c>
      <c r="C713" s="92" t="s">
        <v>301</v>
      </c>
      <c r="D713" s="93">
        <v>2</v>
      </c>
    </row>
    <row r="714" spans="1:4" x14ac:dyDescent="0.2">
      <c r="A714" s="90">
        <v>444</v>
      </c>
      <c r="B714" s="91">
        <v>358</v>
      </c>
      <c r="C714" s="92" t="s">
        <v>301</v>
      </c>
      <c r="D714" s="93" t="s">
        <v>464</v>
      </c>
    </row>
    <row r="715" spans="1:4" x14ac:dyDescent="0.2">
      <c r="A715" s="90">
        <v>444</v>
      </c>
      <c r="B715" s="91">
        <v>360</v>
      </c>
      <c r="C715" s="92" t="s">
        <v>301</v>
      </c>
      <c r="D715" s="93" t="s">
        <v>464</v>
      </c>
    </row>
    <row r="716" spans="1:4" x14ac:dyDescent="0.2">
      <c r="A716" s="90">
        <v>445</v>
      </c>
      <c r="B716" s="91">
        <v>1406</v>
      </c>
      <c r="C716" s="92" t="s">
        <v>361</v>
      </c>
      <c r="D716" s="93">
        <v>1</v>
      </c>
    </row>
    <row r="717" spans="1:4" x14ac:dyDescent="0.2">
      <c r="A717" s="90">
        <v>445</v>
      </c>
      <c r="B717" s="91">
        <v>1407</v>
      </c>
      <c r="C717" s="92" t="s">
        <v>361</v>
      </c>
      <c r="D717" s="93">
        <v>2</v>
      </c>
    </row>
    <row r="718" spans="1:4" x14ac:dyDescent="0.2">
      <c r="A718" s="90">
        <v>446</v>
      </c>
      <c r="B718" s="91">
        <v>1408</v>
      </c>
      <c r="C718" s="92" t="s">
        <v>361</v>
      </c>
      <c r="D718" s="93">
        <v>1</v>
      </c>
    </row>
    <row r="719" spans="1:4" x14ac:dyDescent="0.2">
      <c r="A719" s="90">
        <v>446</v>
      </c>
      <c r="B719" s="91">
        <v>1409</v>
      </c>
      <c r="C719" s="92" t="s">
        <v>361</v>
      </c>
      <c r="D719" s="93">
        <v>2</v>
      </c>
    </row>
    <row r="720" spans="1:4" x14ac:dyDescent="0.2">
      <c r="A720" s="90">
        <v>447</v>
      </c>
      <c r="B720" s="91">
        <v>206</v>
      </c>
      <c r="C720" s="92" t="s">
        <v>272</v>
      </c>
      <c r="D720" s="93">
        <v>2</v>
      </c>
    </row>
    <row r="721" spans="1:4" x14ac:dyDescent="0.2">
      <c r="A721" s="90">
        <v>448</v>
      </c>
      <c r="B721" s="91">
        <v>1125</v>
      </c>
      <c r="C721" s="92" t="s">
        <v>272</v>
      </c>
      <c r="D721" s="93">
        <v>2</v>
      </c>
    </row>
    <row r="722" spans="1:4" x14ac:dyDescent="0.2">
      <c r="A722" s="90">
        <v>449</v>
      </c>
      <c r="B722" s="91">
        <v>1127</v>
      </c>
      <c r="C722" s="92" t="s">
        <v>272</v>
      </c>
      <c r="D722" s="93">
        <v>2</v>
      </c>
    </row>
    <row r="723" spans="1:4" x14ac:dyDescent="0.2">
      <c r="A723" s="90">
        <v>450</v>
      </c>
      <c r="B723" s="91">
        <v>1129</v>
      </c>
      <c r="C723" s="92" t="s">
        <v>272</v>
      </c>
      <c r="D723" s="93">
        <v>2</v>
      </c>
    </row>
    <row r="724" spans="1:4" x14ac:dyDescent="0.2">
      <c r="A724" s="90">
        <v>451</v>
      </c>
      <c r="B724" s="91">
        <v>1140</v>
      </c>
      <c r="C724" s="92" t="s">
        <v>272</v>
      </c>
      <c r="D724" s="93">
        <v>2</v>
      </c>
    </row>
    <row r="725" spans="1:4" x14ac:dyDescent="0.2">
      <c r="A725" s="90">
        <v>452</v>
      </c>
      <c r="B725" s="91">
        <v>1142</v>
      </c>
      <c r="C725" s="92" t="s">
        <v>272</v>
      </c>
      <c r="D725" s="93">
        <v>2</v>
      </c>
    </row>
    <row r="726" spans="1:4" x14ac:dyDescent="0.2">
      <c r="A726" s="90">
        <v>453</v>
      </c>
      <c r="B726" s="91">
        <v>1144</v>
      </c>
      <c r="C726" s="92" t="s">
        <v>272</v>
      </c>
      <c r="D726" s="93">
        <v>2</v>
      </c>
    </row>
    <row r="727" spans="1:4" x14ac:dyDescent="0.2">
      <c r="A727" s="90">
        <v>454</v>
      </c>
      <c r="B727" s="91">
        <v>1146</v>
      </c>
      <c r="C727" s="92" t="s">
        <v>272</v>
      </c>
      <c r="D727" s="93">
        <v>2</v>
      </c>
    </row>
    <row r="728" spans="1:4" x14ac:dyDescent="0.2">
      <c r="A728" s="90">
        <v>455</v>
      </c>
      <c r="B728" s="91">
        <v>1148</v>
      </c>
      <c r="C728" s="92" t="s">
        <v>272</v>
      </c>
      <c r="D728" s="93">
        <v>2</v>
      </c>
    </row>
    <row r="729" spans="1:4" x14ac:dyDescent="0.2">
      <c r="A729" s="90">
        <v>456</v>
      </c>
      <c r="B729" s="91">
        <v>1150</v>
      </c>
      <c r="C729" s="92" t="s">
        <v>272</v>
      </c>
      <c r="D729" s="93">
        <v>2</v>
      </c>
    </row>
    <row r="730" spans="1:4" x14ac:dyDescent="0.2">
      <c r="A730" s="90">
        <v>459</v>
      </c>
      <c r="B730" s="91">
        <v>1398</v>
      </c>
      <c r="C730" s="92" t="s">
        <v>272</v>
      </c>
      <c r="D730" s="93">
        <v>2</v>
      </c>
    </row>
    <row r="731" spans="1:4" x14ac:dyDescent="0.2">
      <c r="A731" s="90">
        <v>460</v>
      </c>
      <c r="B731" s="91">
        <v>361</v>
      </c>
      <c r="C731" s="92" t="s">
        <v>362</v>
      </c>
      <c r="D731" s="93" t="s">
        <v>218</v>
      </c>
    </row>
    <row r="732" spans="1:4" x14ac:dyDescent="0.2">
      <c r="A732" s="90">
        <v>461</v>
      </c>
      <c r="B732" s="91">
        <v>361</v>
      </c>
      <c r="C732" s="92" t="s">
        <v>362</v>
      </c>
      <c r="D732" s="93" t="s">
        <v>218</v>
      </c>
    </row>
    <row r="733" spans="1:4" x14ac:dyDescent="0.2">
      <c r="A733" s="90">
        <v>462</v>
      </c>
      <c r="B733" s="91">
        <v>362</v>
      </c>
      <c r="C733" s="92" t="s">
        <v>363</v>
      </c>
      <c r="D733" s="93" t="s">
        <v>218</v>
      </c>
    </row>
    <row r="734" spans="1:4" x14ac:dyDescent="0.2">
      <c r="A734" s="90">
        <v>463</v>
      </c>
      <c r="B734" s="91">
        <v>363</v>
      </c>
      <c r="C734" s="92" t="s">
        <v>364</v>
      </c>
      <c r="D734" s="93" t="s">
        <v>218</v>
      </c>
    </row>
    <row r="735" spans="1:4" x14ac:dyDescent="0.2">
      <c r="A735" s="90">
        <v>464</v>
      </c>
      <c r="B735" s="91">
        <v>364</v>
      </c>
      <c r="C735" s="92" t="s">
        <v>365</v>
      </c>
      <c r="D735" s="93">
        <v>1</v>
      </c>
    </row>
    <row r="736" spans="1:4" x14ac:dyDescent="0.2">
      <c r="A736" s="90">
        <v>464</v>
      </c>
      <c r="B736" s="91">
        <v>365</v>
      </c>
      <c r="C736" s="92" t="s">
        <v>365</v>
      </c>
      <c r="D736" s="93">
        <v>1</v>
      </c>
    </row>
    <row r="737" spans="1:4" x14ac:dyDescent="0.2">
      <c r="A737" s="90">
        <v>465</v>
      </c>
      <c r="B737" s="91">
        <v>1410</v>
      </c>
      <c r="C737" s="92" t="s">
        <v>366</v>
      </c>
      <c r="D737" s="93">
        <v>1</v>
      </c>
    </row>
    <row r="738" spans="1:4" x14ac:dyDescent="0.2">
      <c r="A738" s="90">
        <v>465</v>
      </c>
      <c r="B738" s="91">
        <v>1411</v>
      </c>
      <c r="C738" s="92" t="s">
        <v>366</v>
      </c>
      <c r="D738" s="93">
        <v>1</v>
      </c>
    </row>
    <row r="739" spans="1:4" x14ac:dyDescent="0.2">
      <c r="A739" s="90">
        <v>466</v>
      </c>
      <c r="B739" s="91">
        <v>366</v>
      </c>
      <c r="C739" s="92" t="s">
        <v>367</v>
      </c>
      <c r="D739" s="93" t="s">
        <v>456</v>
      </c>
    </row>
    <row r="740" spans="1:4" x14ac:dyDescent="0.2">
      <c r="A740" s="90">
        <v>467</v>
      </c>
      <c r="B740" s="91">
        <v>367</v>
      </c>
      <c r="C740" s="92" t="s">
        <v>367</v>
      </c>
      <c r="D740" s="93" t="s">
        <v>456</v>
      </c>
    </row>
    <row r="741" spans="1:4" x14ac:dyDescent="0.2">
      <c r="A741" s="90">
        <v>468</v>
      </c>
      <c r="B741" s="91">
        <v>368</v>
      </c>
      <c r="C741" s="92" t="s">
        <v>367</v>
      </c>
      <c r="D741" s="93" t="s">
        <v>456</v>
      </c>
    </row>
    <row r="742" spans="1:4" x14ac:dyDescent="0.2">
      <c r="A742" s="90">
        <v>469</v>
      </c>
      <c r="B742" s="91">
        <v>369</v>
      </c>
      <c r="C742" s="92" t="s">
        <v>367</v>
      </c>
      <c r="D742" s="93" t="s">
        <v>456</v>
      </c>
    </row>
    <row r="743" spans="1:4" x14ac:dyDescent="0.2">
      <c r="A743" s="90">
        <v>470</v>
      </c>
      <c r="B743" s="91">
        <v>370</v>
      </c>
      <c r="C743" s="92" t="s">
        <v>367</v>
      </c>
      <c r="D743" s="93" t="s">
        <v>456</v>
      </c>
    </row>
    <row r="744" spans="1:4" x14ac:dyDescent="0.2">
      <c r="A744" s="90">
        <v>473</v>
      </c>
      <c r="B744" s="91">
        <v>1412</v>
      </c>
      <c r="C744" s="92" t="s">
        <v>368</v>
      </c>
      <c r="D744" s="93">
        <v>1</v>
      </c>
    </row>
    <row r="745" spans="1:4" x14ac:dyDescent="0.2">
      <c r="A745" s="90">
        <v>473</v>
      </c>
      <c r="B745" s="91">
        <v>1413</v>
      </c>
      <c r="C745" s="92" t="s">
        <v>368</v>
      </c>
      <c r="D745" s="93">
        <v>2</v>
      </c>
    </row>
    <row r="746" spans="1:4" x14ac:dyDescent="0.2">
      <c r="A746" s="90">
        <v>474</v>
      </c>
      <c r="B746" s="91">
        <v>1414</v>
      </c>
      <c r="C746" s="92" t="s">
        <v>369</v>
      </c>
      <c r="D746" s="93" t="s">
        <v>218</v>
      </c>
    </row>
    <row r="747" spans="1:4" x14ac:dyDescent="0.2">
      <c r="A747" s="90">
        <v>475</v>
      </c>
      <c r="B747" s="91">
        <v>1415</v>
      </c>
      <c r="C747" s="92" t="s">
        <v>370</v>
      </c>
      <c r="D747" s="93">
        <v>1</v>
      </c>
    </row>
    <row r="748" spans="1:4" x14ac:dyDescent="0.2">
      <c r="A748" s="90">
        <v>475</v>
      </c>
      <c r="B748" s="91">
        <v>1416</v>
      </c>
      <c r="C748" s="92" t="s">
        <v>370</v>
      </c>
      <c r="D748" s="93">
        <v>2</v>
      </c>
    </row>
    <row r="749" spans="1:4" x14ac:dyDescent="0.2">
      <c r="A749" s="90">
        <v>476</v>
      </c>
      <c r="B749" s="91">
        <v>1417</v>
      </c>
      <c r="C749" s="92" t="s">
        <v>371</v>
      </c>
      <c r="D749" s="93" t="s">
        <v>218</v>
      </c>
    </row>
    <row r="750" spans="1:4" x14ac:dyDescent="0.2">
      <c r="A750" s="90">
        <v>477</v>
      </c>
      <c r="B750" s="91">
        <v>1418</v>
      </c>
      <c r="C750" s="92" t="s">
        <v>371</v>
      </c>
      <c r="D750" s="93" t="s">
        <v>218</v>
      </c>
    </row>
    <row r="751" spans="1:4" x14ac:dyDescent="0.2">
      <c r="A751" s="90">
        <v>478</v>
      </c>
      <c r="B751" s="91">
        <v>1419</v>
      </c>
      <c r="C751" s="92" t="s">
        <v>301</v>
      </c>
      <c r="D751" s="93">
        <v>1</v>
      </c>
    </row>
    <row r="752" spans="1:4" x14ac:dyDescent="0.2">
      <c r="A752" s="90">
        <v>478</v>
      </c>
      <c r="B752" s="91">
        <v>1420</v>
      </c>
      <c r="C752" s="92" t="s">
        <v>301</v>
      </c>
      <c r="D752" s="93">
        <v>1</v>
      </c>
    </row>
    <row r="753" spans="1:4" x14ac:dyDescent="0.2">
      <c r="A753" s="90">
        <v>478</v>
      </c>
      <c r="B753" s="91">
        <v>1421</v>
      </c>
      <c r="C753" s="92" t="s">
        <v>301</v>
      </c>
      <c r="D753" s="93">
        <v>2</v>
      </c>
    </row>
    <row r="754" spans="1:4" x14ac:dyDescent="0.2">
      <c r="A754" s="90">
        <v>479</v>
      </c>
      <c r="B754" s="91">
        <v>1424</v>
      </c>
      <c r="C754" s="92" t="s">
        <v>359</v>
      </c>
      <c r="D754" s="93">
        <v>2</v>
      </c>
    </row>
    <row r="755" spans="1:4" x14ac:dyDescent="0.2">
      <c r="A755" s="90">
        <v>479</v>
      </c>
      <c r="B755" s="91">
        <v>1425</v>
      </c>
      <c r="C755" s="92" t="s">
        <v>359</v>
      </c>
      <c r="D755" s="93">
        <v>1</v>
      </c>
    </row>
    <row r="756" spans="1:4" x14ac:dyDescent="0.2">
      <c r="A756" s="90">
        <v>480</v>
      </c>
      <c r="B756" s="91">
        <v>1426</v>
      </c>
      <c r="C756" s="92" t="s">
        <v>359</v>
      </c>
      <c r="D756" s="93">
        <v>2</v>
      </c>
    </row>
    <row r="757" spans="1:4" x14ac:dyDescent="0.2">
      <c r="A757" s="90">
        <v>480</v>
      </c>
      <c r="B757" s="91">
        <v>1427</v>
      </c>
      <c r="C757" s="92" t="s">
        <v>359</v>
      </c>
      <c r="D757" s="93">
        <v>1</v>
      </c>
    </row>
    <row r="758" spans="1:4" x14ac:dyDescent="0.2">
      <c r="A758" s="90">
        <v>481</v>
      </c>
      <c r="B758" s="91">
        <v>1428</v>
      </c>
      <c r="C758" s="92" t="s">
        <v>359</v>
      </c>
      <c r="D758" s="93">
        <v>2</v>
      </c>
    </row>
    <row r="759" spans="1:4" x14ac:dyDescent="0.2">
      <c r="A759" s="90">
        <v>481</v>
      </c>
      <c r="B759" s="91">
        <v>1429</v>
      </c>
      <c r="C759" s="92" t="s">
        <v>359</v>
      </c>
      <c r="D759" s="93">
        <v>1</v>
      </c>
    </row>
    <row r="760" spans="1:4" x14ac:dyDescent="0.2">
      <c r="A760" s="90">
        <v>482</v>
      </c>
      <c r="B760" s="91">
        <v>378</v>
      </c>
      <c r="C760" s="92" t="s">
        <v>372</v>
      </c>
      <c r="D760" s="93" t="s">
        <v>373</v>
      </c>
    </row>
    <row r="761" spans="1:4" x14ac:dyDescent="0.2">
      <c r="A761" s="90">
        <v>483</v>
      </c>
      <c r="B761" s="91">
        <v>379</v>
      </c>
      <c r="C761" s="92" t="s">
        <v>374</v>
      </c>
      <c r="D761" s="93" t="s">
        <v>373</v>
      </c>
    </row>
    <row r="762" spans="1:4" x14ac:dyDescent="0.2">
      <c r="A762" s="90">
        <v>484</v>
      </c>
      <c r="B762" s="91">
        <v>380</v>
      </c>
      <c r="C762" s="92" t="s">
        <v>375</v>
      </c>
      <c r="D762" s="93" t="s">
        <v>373</v>
      </c>
    </row>
    <row r="763" spans="1:4" x14ac:dyDescent="0.2">
      <c r="A763" s="90">
        <v>485</v>
      </c>
      <c r="B763" s="91">
        <v>381</v>
      </c>
      <c r="C763" s="92" t="s">
        <v>376</v>
      </c>
      <c r="D763" s="93" t="s">
        <v>373</v>
      </c>
    </row>
    <row r="764" spans="1:4" x14ac:dyDescent="0.2">
      <c r="A764" s="90">
        <v>486</v>
      </c>
      <c r="B764" s="91">
        <v>382</v>
      </c>
      <c r="C764" s="92" t="s">
        <v>377</v>
      </c>
      <c r="D764" s="93" t="s">
        <v>373</v>
      </c>
    </row>
    <row r="765" spans="1:4" x14ac:dyDescent="0.2">
      <c r="A765" s="90">
        <v>487</v>
      </c>
      <c r="B765" s="91">
        <v>383</v>
      </c>
      <c r="C765" s="92" t="s">
        <v>378</v>
      </c>
      <c r="D765" s="93" t="s">
        <v>373</v>
      </c>
    </row>
    <row r="766" spans="1:4" x14ac:dyDescent="0.2">
      <c r="A766" s="90">
        <v>488</v>
      </c>
      <c r="B766" s="91">
        <v>384</v>
      </c>
      <c r="C766" s="92" t="s">
        <v>379</v>
      </c>
      <c r="D766" s="93" t="s">
        <v>373</v>
      </c>
    </row>
    <row r="767" spans="1:4" x14ac:dyDescent="0.2">
      <c r="A767" s="90">
        <v>489</v>
      </c>
      <c r="B767" s="91">
        <v>385</v>
      </c>
      <c r="C767" s="92" t="s">
        <v>380</v>
      </c>
      <c r="D767" s="93" t="s">
        <v>373</v>
      </c>
    </row>
    <row r="768" spans="1:4" x14ac:dyDescent="0.2">
      <c r="A768" s="90">
        <v>490</v>
      </c>
      <c r="B768" s="91">
        <v>386</v>
      </c>
      <c r="C768" s="92" t="s">
        <v>381</v>
      </c>
      <c r="D768" s="93" t="s">
        <v>373</v>
      </c>
    </row>
    <row r="769" spans="1:4" x14ac:dyDescent="0.2">
      <c r="A769" s="90">
        <v>491</v>
      </c>
      <c r="B769" s="91">
        <v>387</v>
      </c>
      <c r="C769" s="92" t="s">
        <v>382</v>
      </c>
      <c r="D769" s="93" t="s">
        <v>373</v>
      </c>
    </row>
    <row r="770" spans="1:4" x14ac:dyDescent="0.2">
      <c r="A770" s="90">
        <v>492</v>
      </c>
      <c r="B770" s="91">
        <v>388</v>
      </c>
      <c r="C770" s="92" t="s">
        <v>383</v>
      </c>
      <c r="D770" s="93" t="s">
        <v>373</v>
      </c>
    </row>
    <row r="771" spans="1:4" x14ac:dyDescent="0.2">
      <c r="A771" s="90">
        <v>493</v>
      </c>
      <c r="B771" s="91">
        <v>389</v>
      </c>
      <c r="C771" s="92" t="s">
        <v>384</v>
      </c>
      <c r="D771" s="93" t="s">
        <v>373</v>
      </c>
    </row>
    <row r="772" spans="1:4" x14ac:dyDescent="0.2">
      <c r="A772" s="90">
        <v>494</v>
      </c>
      <c r="B772" s="91">
        <v>390</v>
      </c>
      <c r="C772" s="92" t="s">
        <v>385</v>
      </c>
      <c r="D772" s="93" t="s">
        <v>373</v>
      </c>
    </row>
    <row r="773" spans="1:4" x14ac:dyDescent="0.2">
      <c r="A773" s="90">
        <v>495</v>
      </c>
      <c r="B773" s="91">
        <v>391</v>
      </c>
      <c r="C773" s="92" t="s">
        <v>386</v>
      </c>
      <c r="D773" s="93" t="s">
        <v>373</v>
      </c>
    </row>
    <row r="774" spans="1:4" x14ac:dyDescent="0.2">
      <c r="A774" s="90">
        <v>496</v>
      </c>
      <c r="B774" s="91">
        <v>392</v>
      </c>
      <c r="C774" s="92" t="s">
        <v>387</v>
      </c>
      <c r="D774" s="93" t="s">
        <v>373</v>
      </c>
    </row>
    <row r="775" spans="1:4" x14ac:dyDescent="0.2">
      <c r="A775" s="90">
        <v>497</v>
      </c>
      <c r="B775" s="91">
        <v>393</v>
      </c>
      <c r="C775" s="92" t="s">
        <v>388</v>
      </c>
      <c r="D775" s="93" t="s">
        <v>373</v>
      </c>
    </row>
    <row r="776" spans="1:4" x14ac:dyDescent="0.2">
      <c r="A776" s="90">
        <v>498</v>
      </c>
      <c r="B776" s="91">
        <v>394</v>
      </c>
      <c r="C776" s="92" t="s">
        <v>389</v>
      </c>
      <c r="D776" s="93" t="s">
        <v>373</v>
      </c>
    </row>
    <row r="777" spans="1:4" x14ac:dyDescent="0.2">
      <c r="A777" s="90">
        <v>701</v>
      </c>
      <c r="B777" s="91">
        <v>343</v>
      </c>
      <c r="C777" s="92" t="s">
        <v>390</v>
      </c>
      <c r="D777" s="93" t="s">
        <v>218</v>
      </c>
    </row>
    <row r="778" spans="1:4" x14ac:dyDescent="0.2">
      <c r="A778" s="90">
        <v>702</v>
      </c>
      <c r="B778" s="91">
        <v>344</v>
      </c>
      <c r="C778" s="92" t="s">
        <v>390</v>
      </c>
      <c r="D778" s="93" t="s">
        <v>218</v>
      </c>
    </row>
    <row r="779" spans="1:4" x14ac:dyDescent="0.2">
      <c r="A779" s="90">
        <v>703</v>
      </c>
      <c r="B779" s="91">
        <v>317</v>
      </c>
      <c r="C779" s="92" t="s">
        <v>324</v>
      </c>
      <c r="D779" s="93" t="s">
        <v>218</v>
      </c>
    </row>
    <row r="780" spans="1:4" x14ac:dyDescent="0.2">
      <c r="A780" s="90">
        <v>704</v>
      </c>
      <c r="B780" s="91">
        <v>318</v>
      </c>
      <c r="C780" s="92" t="s">
        <v>324</v>
      </c>
      <c r="D780" s="93" t="s">
        <v>218</v>
      </c>
    </row>
    <row r="781" spans="1:4" x14ac:dyDescent="0.2">
      <c r="A781" s="90">
        <v>705</v>
      </c>
      <c r="B781" s="91">
        <v>319</v>
      </c>
      <c r="C781" s="92" t="s">
        <v>324</v>
      </c>
      <c r="D781" s="93" t="s">
        <v>218</v>
      </c>
    </row>
    <row r="782" spans="1:4" x14ac:dyDescent="0.2">
      <c r="A782" s="90">
        <v>706</v>
      </c>
      <c r="B782" s="91">
        <v>320</v>
      </c>
      <c r="C782" s="92" t="s">
        <v>324</v>
      </c>
      <c r="D782" s="93" t="s">
        <v>218</v>
      </c>
    </row>
    <row r="783" spans="1:4" x14ac:dyDescent="0.2">
      <c r="A783" s="90">
        <v>707</v>
      </c>
      <c r="B783" s="91">
        <v>321</v>
      </c>
      <c r="C783" s="92" t="s">
        <v>324</v>
      </c>
      <c r="D783" s="93" t="s">
        <v>218</v>
      </c>
    </row>
    <row r="784" spans="1:4" x14ac:dyDescent="0.2">
      <c r="A784" s="90">
        <v>708</v>
      </c>
      <c r="B784" s="91">
        <v>322</v>
      </c>
      <c r="C784" s="92" t="s">
        <v>324</v>
      </c>
      <c r="D784" s="93" t="s">
        <v>218</v>
      </c>
    </row>
    <row r="785" spans="1:4" x14ac:dyDescent="0.2">
      <c r="A785" s="90">
        <v>709</v>
      </c>
      <c r="B785" s="91">
        <v>323</v>
      </c>
      <c r="C785" s="92" t="s">
        <v>324</v>
      </c>
      <c r="D785" s="93" t="s">
        <v>218</v>
      </c>
    </row>
    <row r="786" spans="1:4" x14ac:dyDescent="0.2">
      <c r="A786" s="90">
        <v>710</v>
      </c>
      <c r="B786" s="91">
        <v>324</v>
      </c>
      <c r="C786" s="92" t="s">
        <v>324</v>
      </c>
      <c r="D786" s="93" t="s">
        <v>218</v>
      </c>
    </row>
    <row r="787" spans="1:4" x14ac:dyDescent="0.2">
      <c r="A787" s="90">
        <v>711</v>
      </c>
      <c r="B787" s="91">
        <v>325</v>
      </c>
      <c r="C787" s="92" t="s">
        <v>324</v>
      </c>
      <c r="D787" s="93" t="s">
        <v>218</v>
      </c>
    </row>
    <row r="788" spans="1:4" x14ac:dyDescent="0.2">
      <c r="A788" s="90">
        <v>712</v>
      </c>
      <c r="B788" s="91">
        <v>326</v>
      </c>
      <c r="C788" s="92" t="s">
        <v>391</v>
      </c>
      <c r="D788" s="93" t="s">
        <v>218</v>
      </c>
    </row>
    <row r="789" spans="1:4" x14ac:dyDescent="0.2">
      <c r="A789" s="90">
        <v>713</v>
      </c>
      <c r="B789" s="91">
        <v>328</v>
      </c>
      <c r="C789" s="92" t="s">
        <v>391</v>
      </c>
      <c r="D789" s="93" t="s">
        <v>218</v>
      </c>
    </row>
    <row r="790" spans="1:4" x14ac:dyDescent="0.2">
      <c r="A790" s="90">
        <v>714</v>
      </c>
      <c r="B790" s="91">
        <v>329</v>
      </c>
      <c r="C790" s="92" t="s">
        <v>391</v>
      </c>
      <c r="D790" s="93" t="s">
        <v>218</v>
      </c>
    </row>
    <row r="791" spans="1:4" x14ac:dyDescent="0.2">
      <c r="A791" s="90">
        <v>715</v>
      </c>
      <c r="B791" s="91">
        <v>330</v>
      </c>
      <c r="C791" s="92" t="s">
        <v>391</v>
      </c>
      <c r="D791" s="93" t="s">
        <v>218</v>
      </c>
    </row>
    <row r="792" spans="1:4" x14ac:dyDescent="0.2">
      <c r="A792" s="90">
        <v>716</v>
      </c>
      <c r="B792" s="91">
        <v>339</v>
      </c>
      <c r="C792" s="92" t="s">
        <v>392</v>
      </c>
      <c r="D792" s="93" t="s">
        <v>218</v>
      </c>
    </row>
    <row r="793" spans="1:4" x14ac:dyDescent="0.2">
      <c r="A793" s="90">
        <v>717</v>
      </c>
      <c r="B793" s="91">
        <v>340</v>
      </c>
      <c r="C793" s="92" t="s">
        <v>392</v>
      </c>
      <c r="D793" s="93" t="s">
        <v>218</v>
      </c>
    </row>
    <row r="794" spans="1:4" x14ac:dyDescent="0.2">
      <c r="A794" s="90">
        <v>718</v>
      </c>
      <c r="B794" s="91">
        <v>341</v>
      </c>
      <c r="C794" s="92" t="s">
        <v>393</v>
      </c>
      <c r="D794" s="93" t="s">
        <v>218</v>
      </c>
    </row>
    <row r="795" spans="1:4" x14ac:dyDescent="0.2">
      <c r="A795" s="90">
        <v>719</v>
      </c>
      <c r="B795" s="91">
        <v>342</v>
      </c>
      <c r="C795" s="92" t="s">
        <v>393</v>
      </c>
      <c r="D795" s="93" t="s">
        <v>218</v>
      </c>
    </row>
    <row r="796" spans="1:4" x14ac:dyDescent="0.2">
      <c r="A796" s="90">
        <v>720</v>
      </c>
      <c r="B796" s="91">
        <v>331</v>
      </c>
      <c r="C796" s="92" t="s">
        <v>257</v>
      </c>
      <c r="D796" s="93">
        <v>1</v>
      </c>
    </row>
    <row r="797" spans="1:4" x14ac:dyDescent="0.2">
      <c r="A797" s="90">
        <v>720</v>
      </c>
      <c r="B797" s="91">
        <v>332</v>
      </c>
      <c r="C797" s="92" t="s">
        <v>257</v>
      </c>
      <c r="D797" s="93">
        <v>1</v>
      </c>
    </row>
    <row r="798" spans="1:4" x14ac:dyDescent="0.2">
      <c r="A798" s="90">
        <v>720</v>
      </c>
      <c r="B798" s="91">
        <v>333</v>
      </c>
      <c r="C798" s="92" t="s">
        <v>257</v>
      </c>
      <c r="D798" s="93">
        <v>2</v>
      </c>
    </row>
    <row r="799" spans="1:4" x14ac:dyDescent="0.2">
      <c r="A799" s="90">
        <v>721</v>
      </c>
      <c r="B799" s="91">
        <v>327</v>
      </c>
      <c r="C799" s="92" t="s">
        <v>394</v>
      </c>
      <c r="D799" s="93">
        <v>2</v>
      </c>
    </row>
    <row r="800" spans="1:4" x14ac:dyDescent="0.2">
      <c r="A800" s="90">
        <v>721</v>
      </c>
      <c r="B800" s="91">
        <v>336</v>
      </c>
      <c r="C800" s="92" t="s">
        <v>394</v>
      </c>
      <c r="D800" s="93">
        <v>1</v>
      </c>
    </row>
    <row r="801" spans="1:4" x14ac:dyDescent="0.2">
      <c r="A801" s="90">
        <v>722</v>
      </c>
      <c r="B801" s="91">
        <v>13067</v>
      </c>
      <c r="C801" s="92" t="s">
        <v>394</v>
      </c>
      <c r="D801" s="93">
        <v>2</v>
      </c>
    </row>
    <row r="802" spans="1:4" x14ac:dyDescent="0.2">
      <c r="A802" s="90">
        <v>722</v>
      </c>
      <c r="B802" s="91">
        <v>13068</v>
      </c>
      <c r="C802" s="92" t="s">
        <v>394</v>
      </c>
      <c r="D802" s="93">
        <v>1</v>
      </c>
    </row>
    <row r="803" spans="1:4" x14ac:dyDescent="0.2">
      <c r="A803" s="90">
        <v>723</v>
      </c>
      <c r="B803" s="91">
        <v>13070</v>
      </c>
      <c r="C803" s="92" t="s">
        <v>394</v>
      </c>
      <c r="D803" s="93">
        <v>2</v>
      </c>
    </row>
    <row r="804" spans="1:4" x14ac:dyDescent="0.2">
      <c r="A804" s="90">
        <v>723</v>
      </c>
      <c r="B804" s="91">
        <v>13071</v>
      </c>
      <c r="C804" s="92" t="s">
        <v>394</v>
      </c>
      <c r="D804" s="93">
        <v>1</v>
      </c>
    </row>
    <row r="805" spans="1:4" x14ac:dyDescent="0.2">
      <c r="A805" s="90">
        <v>724</v>
      </c>
      <c r="B805" s="91">
        <v>13073</v>
      </c>
      <c r="C805" s="92" t="s">
        <v>394</v>
      </c>
      <c r="D805" s="93">
        <v>2</v>
      </c>
    </row>
    <row r="806" spans="1:4" x14ac:dyDescent="0.2">
      <c r="A806" s="90">
        <v>724</v>
      </c>
      <c r="B806" s="91">
        <v>13074</v>
      </c>
      <c r="C806" s="92" t="s">
        <v>394</v>
      </c>
      <c r="D806" s="93">
        <v>1</v>
      </c>
    </row>
    <row r="807" spans="1:4" x14ac:dyDescent="0.2">
      <c r="A807" s="90">
        <v>725</v>
      </c>
      <c r="B807" s="91">
        <v>13076</v>
      </c>
      <c r="C807" s="92" t="s">
        <v>394</v>
      </c>
      <c r="D807" s="93">
        <v>2</v>
      </c>
    </row>
    <row r="808" spans="1:4" x14ac:dyDescent="0.2">
      <c r="A808" s="90">
        <v>725</v>
      </c>
      <c r="B808" s="91">
        <v>13077</v>
      </c>
      <c r="C808" s="92" t="s">
        <v>394</v>
      </c>
      <c r="D808" s="93">
        <v>1</v>
      </c>
    </row>
    <row r="809" spans="1:4" x14ac:dyDescent="0.2">
      <c r="A809" s="90">
        <v>726</v>
      </c>
      <c r="B809" s="91">
        <v>13079</v>
      </c>
      <c r="C809" s="92" t="s">
        <v>394</v>
      </c>
      <c r="D809" s="93">
        <v>2</v>
      </c>
    </row>
    <row r="810" spans="1:4" x14ac:dyDescent="0.2">
      <c r="A810" s="90">
        <v>726</v>
      </c>
      <c r="B810" s="91">
        <v>13080</v>
      </c>
      <c r="C810" s="92" t="s">
        <v>394</v>
      </c>
      <c r="D810" s="93">
        <v>1</v>
      </c>
    </row>
    <row r="811" spans="1:4" x14ac:dyDescent="0.2">
      <c r="A811" s="90">
        <v>727</v>
      </c>
      <c r="B811" s="91">
        <v>13032</v>
      </c>
      <c r="C811" s="92" t="s">
        <v>394</v>
      </c>
      <c r="D811" s="93">
        <v>2</v>
      </c>
    </row>
    <row r="812" spans="1:4" x14ac:dyDescent="0.2">
      <c r="A812" s="90">
        <v>727</v>
      </c>
      <c r="B812" s="91">
        <v>13033</v>
      </c>
      <c r="C812" s="92" t="s">
        <v>394</v>
      </c>
      <c r="D812" s="93">
        <v>1</v>
      </c>
    </row>
    <row r="813" spans="1:4" x14ac:dyDescent="0.2">
      <c r="A813" s="90">
        <v>728</v>
      </c>
      <c r="B813" s="91">
        <v>13034</v>
      </c>
      <c r="C813" s="92" t="s">
        <v>395</v>
      </c>
      <c r="D813" s="93">
        <v>2</v>
      </c>
    </row>
    <row r="814" spans="1:4" x14ac:dyDescent="0.2">
      <c r="A814" s="90">
        <v>729</v>
      </c>
      <c r="B814" s="91">
        <v>13035</v>
      </c>
      <c r="C814" s="92" t="s">
        <v>394</v>
      </c>
      <c r="D814" s="93">
        <v>2</v>
      </c>
    </row>
    <row r="815" spans="1:4" x14ac:dyDescent="0.2">
      <c r="A815" s="90">
        <v>729</v>
      </c>
      <c r="B815" s="91">
        <v>13036</v>
      </c>
      <c r="C815" s="92" t="s">
        <v>394</v>
      </c>
      <c r="D815" s="93">
        <v>1</v>
      </c>
    </row>
    <row r="816" spans="1:4" x14ac:dyDescent="0.2">
      <c r="A816" s="90">
        <v>730</v>
      </c>
      <c r="B816" s="91">
        <v>13037</v>
      </c>
      <c r="C816" s="92" t="s">
        <v>395</v>
      </c>
      <c r="D816" s="93">
        <v>2</v>
      </c>
    </row>
    <row r="817" spans="1:4" x14ac:dyDescent="0.2">
      <c r="A817" s="90">
        <v>731</v>
      </c>
      <c r="B817" s="91">
        <v>13038</v>
      </c>
      <c r="C817" s="92" t="s">
        <v>394</v>
      </c>
      <c r="D817" s="93">
        <v>2</v>
      </c>
    </row>
    <row r="818" spans="1:4" x14ac:dyDescent="0.2">
      <c r="A818" s="90">
        <v>731</v>
      </c>
      <c r="B818" s="91">
        <v>13039</v>
      </c>
      <c r="C818" s="92" t="s">
        <v>394</v>
      </c>
      <c r="D818" s="93">
        <v>1</v>
      </c>
    </row>
    <row r="819" spans="1:4" x14ac:dyDescent="0.2">
      <c r="A819" s="90">
        <v>732</v>
      </c>
      <c r="B819" s="91">
        <v>13040</v>
      </c>
      <c r="C819" s="92" t="s">
        <v>395</v>
      </c>
      <c r="D819" s="93">
        <v>2</v>
      </c>
    </row>
    <row r="820" spans="1:4" x14ac:dyDescent="0.2">
      <c r="A820" s="90">
        <v>733</v>
      </c>
      <c r="B820" s="91">
        <v>13041</v>
      </c>
      <c r="C820" s="92" t="s">
        <v>394</v>
      </c>
      <c r="D820" s="93">
        <v>2</v>
      </c>
    </row>
    <row r="821" spans="1:4" x14ac:dyDescent="0.2">
      <c r="A821" s="90">
        <v>733</v>
      </c>
      <c r="B821" s="91">
        <v>13042</v>
      </c>
      <c r="C821" s="92" t="s">
        <v>394</v>
      </c>
      <c r="D821" s="93">
        <v>1</v>
      </c>
    </row>
    <row r="822" spans="1:4" x14ac:dyDescent="0.2">
      <c r="A822" s="90">
        <v>734</v>
      </c>
      <c r="B822" s="91">
        <v>13043</v>
      </c>
      <c r="C822" s="92" t="s">
        <v>395</v>
      </c>
      <c r="D822" s="93">
        <v>2</v>
      </c>
    </row>
    <row r="823" spans="1:4" x14ac:dyDescent="0.2">
      <c r="A823" s="90">
        <v>735</v>
      </c>
      <c r="B823" s="91">
        <v>13044</v>
      </c>
      <c r="C823" s="92" t="s">
        <v>394</v>
      </c>
      <c r="D823" s="93">
        <v>2</v>
      </c>
    </row>
    <row r="824" spans="1:4" x14ac:dyDescent="0.2">
      <c r="A824" s="90">
        <v>735</v>
      </c>
      <c r="B824" s="91">
        <v>13045</v>
      </c>
      <c r="C824" s="92" t="s">
        <v>394</v>
      </c>
      <c r="D824" s="93">
        <v>1</v>
      </c>
    </row>
    <row r="825" spans="1:4" x14ac:dyDescent="0.2">
      <c r="A825" s="90">
        <v>736</v>
      </c>
      <c r="B825" s="91">
        <v>13046</v>
      </c>
      <c r="C825" s="92" t="s">
        <v>395</v>
      </c>
      <c r="D825" s="93">
        <v>2</v>
      </c>
    </row>
    <row r="826" spans="1:4" x14ac:dyDescent="0.2">
      <c r="A826" s="90">
        <v>737</v>
      </c>
      <c r="B826" s="91">
        <v>13047</v>
      </c>
      <c r="C826" s="92" t="s">
        <v>394</v>
      </c>
      <c r="D826" s="93">
        <v>2</v>
      </c>
    </row>
    <row r="827" spans="1:4" x14ac:dyDescent="0.2">
      <c r="A827" s="90">
        <v>737</v>
      </c>
      <c r="B827" s="91">
        <v>13048</v>
      </c>
      <c r="C827" s="92" t="s">
        <v>394</v>
      </c>
      <c r="D827" s="93">
        <v>1</v>
      </c>
    </row>
    <row r="828" spans="1:4" x14ac:dyDescent="0.2">
      <c r="A828" s="90">
        <v>738</v>
      </c>
      <c r="B828" s="91">
        <v>13049</v>
      </c>
      <c r="C828" s="92" t="s">
        <v>395</v>
      </c>
      <c r="D828" s="93">
        <v>2</v>
      </c>
    </row>
    <row r="829" spans="1:4" x14ac:dyDescent="0.2">
      <c r="A829" s="90">
        <v>739</v>
      </c>
      <c r="B829" s="91">
        <v>13050</v>
      </c>
      <c r="C829" s="92" t="s">
        <v>394</v>
      </c>
      <c r="D829" s="93">
        <v>2</v>
      </c>
    </row>
    <row r="830" spans="1:4" x14ac:dyDescent="0.2">
      <c r="A830" s="90">
        <v>739</v>
      </c>
      <c r="B830" s="91">
        <v>13051</v>
      </c>
      <c r="C830" s="92" t="s">
        <v>394</v>
      </c>
      <c r="D830" s="93">
        <v>1</v>
      </c>
    </row>
    <row r="831" spans="1:4" x14ac:dyDescent="0.2">
      <c r="A831" s="90">
        <v>740</v>
      </c>
      <c r="B831" s="91">
        <v>13052</v>
      </c>
      <c r="C831" s="92" t="s">
        <v>395</v>
      </c>
      <c r="D831" s="93">
        <v>2</v>
      </c>
    </row>
    <row r="832" spans="1:4" x14ac:dyDescent="0.2">
      <c r="A832" s="90">
        <v>741</v>
      </c>
      <c r="B832" s="91">
        <v>13053</v>
      </c>
      <c r="C832" s="92" t="s">
        <v>394</v>
      </c>
      <c r="D832" s="93">
        <v>2</v>
      </c>
    </row>
    <row r="833" spans="1:4" x14ac:dyDescent="0.2">
      <c r="A833" s="90">
        <v>741</v>
      </c>
      <c r="B833" s="91">
        <v>13054</v>
      </c>
      <c r="C833" s="92" t="s">
        <v>394</v>
      </c>
      <c r="D833" s="93">
        <v>1</v>
      </c>
    </row>
    <row r="834" spans="1:4" x14ac:dyDescent="0.2">
      <c r="A834" s="90">
        <v>742</v>
      </c>
      <c r="B834" s="91">
        <v>13055</v>
      </c>
      <c r="C834" s="92" t="s">
        <v>395</v>
      </c>
      <c r="D834" s="93">
        <v>2</v>
      </c>
    </row>
    <row r="835" spans="1:4" x14ac:dyDescent="0.2">
      <c r="A835" s="90">
        <v>743</v>
      </c>
      <c r="B835" s="91">
        <v>13056</v>
      </c>
      <c r="C835" s="92" t="s">
        <v>394</v>
      </c>
      <c r="D835" s="93">
        <v>2</v>
      </c>
    </row>
    <row r="836" spans="1:4" x14ac:dyDescent="0.2">
      <c r="A836" s="90">
        <v>743</v>
      </c>
      <c r="B836" s="91">
        <v>13057</v>
      </c>
      <c r="C836" s="92" t="s">
        <v>394</v>
      </c>
      <c r="D836" s="93">
        <v>1</v>
      </c>
    </row>
    <row r="837" spans="1:4" x14ac:dyDescent="0.2">
      <c r="A837" s="90">
        <v>744</v>
      </c>
      <c r="B837" s="91">
        <v>13058</v>
      </c>
      <c r="C837" s="92" t="s">
        <v>395</v>
      </c>
      <c r="D837" s="93">
        <v>2</v>
      </c>
    </row>
    <row r="838" spans="1:4" x14ac:dyDescent="0.2">
      <c r="A838" s="90">
        <v>745</v>
      </c>
      <c r="B838" s="91">
        <v>13059</v>
      </c>
      <c r="C838" s="92" t="s">
        <v>394</v>
      </c>
      <c r="D838" s="93">
        <v>2</v>
      </c>
    </row>
    <row r="839" spans="1:4" x14ac:dyDescent="0.2">
      <c r="A839" s="90">
        <v>745</v>
      </c>
      <c r="B839" s="91">
        <v>13060</v>
      </c>
      <c r="C839" s="92" t="s">
        <v>394</v>
      </c>
      <c r="D839" s="93">
        <v>1</v>
      </c>
    </row>
    <row r="840" spans="1:4" x14ac:dyDescent="0.2">
      <c r="A840" s="90">
        <v>746</v>
      </c>
      <c r="B840" s="91">
        <v>13061</v>
      </c>
      <c r="C840" s="92" t="s">
        <v>395</v>
      </c>
      <c r="D840" s="93">
        <v>2</v>
      </c>
    </row>
    <row r="841" spans="1:4" x14ac:dyDescent="0.2">
      <c r="A841" s="90">
        <v>747</v>
      </c>
      <c r="B841" s="91">
        <v>13062</v>
      </c>
      <c r="C841" s="92" t="s">
        <v>394</v>
      </c>
      <c r="D841" s="93">
        <v>2</v>
      </c>
    </row>
    <row r="842" spans="1:4" x14ac:dyDescent="0.2">
      <c r="A842" s="90">
        <v>747</v>
      </c>
      <c r="B842" s="91">
        <v>13063</v>
      </c>
      <c r="C842" s="92" t="s">
        <v>394</v>
      </c>
      <c r="D842" s="93">
        <v>1</v>
      </c>
    </row>
    <row r="843" spans="1:4" x14ac:dyDescent="0.2">
      <c r="A843" s="90">
        <v>748</v>
      </c>
      <c r="B843" s="91">
        <v>13064</v>
      </c>
      <c r="C843" s="92" t="s">
        <v>394</v>
      </c>
      <c r="D843" s="93">
        <v>2</v>
      </c>
    </row>
    <row r="844" spans="1:4" x14ac:dyDescent="0.2">
      <c r="A844" s="90">
        <v>748</v>
      </c>
      <c r="B844" s="91">
        <v>13065</v>
      </c>
      <c r="C844" s="92" t="s">
        <v>394</v>
      </c>
      <c r="D844" s="93">
        <v>1</v>
      </c>
    </row>
    <row r="845" spans="1:4" x14ac:dyDescent="0.2">
      <c r="A845" s="90">
        <v>749</v>
      </c>
      <c r="B845" s="91">
        <v>13066</v>
      </c>
      <c r="C845" s="92" t="s">
        <v>395</v>
      </c>
      <c r="D845" s="93">
        <v>2</v>
      </c>
    </row>
    <row r="846" spans="1:4" x14ac:dyDescent="0.2">
      <c r="A846" s="90">
        <v>752</v>
      </c>
      <c r="B846" s="91">
        <v>13011</v>
      </c>
      <c r="C846" s="92" t="s">
        <v>394</v>
      </c>
      <c r="D846" s="93">
        <v>2</v>
      </c>
    </row>
    <row r="847" spans="1:4" x14ac:dyDescent="0.2">
      <c r="A847" s="90">
        <v>752</v>
      </c>
      <c r="B847" s="91">
        <v>13012</v>
      </c>
      <c r="C847" s="92" t="s">
        <v>394</v>
      </c>
      <c r="D847" s="93">
        <v>1</v>
      </c>
    </row>
    <row r="848" spans="1:4" x14ac:dyDescent="0.2">
      <c r="A848" s="90">
        <v>753</v>
      </c>
      <c r="B848" s="91">
        <v>13013</v>
      </c>
      <c r="C848" s="92" t="s">
        <v>396</v>
      </c>
      <c r="D848" s="93">
        <v>2</v>
      </c>
    </row>
    <row r="849" spans="1:4" x14ac:dyDescent="0.2">
      <c r="A849" s="90">
        <v>754</v>
      </c>
      <c r="B849" s="91">
        <v>13014</v>
      </c>
      <c r="C849" s="92" t="s">
        <v>394</v>
      </c>
      <c r="D849" s="93">
        <v>2</v>
      </c>
    </row>
    <row r="850" spans="1:4" x14ac:dyDescent="0.2">
      <c r="A850" s="90">
        <v>754</v>
      </c>
      <c r="B850" s="91">
        <v>13015</v>
      </c>
      <c r="C850" s="92" t="s">
        <v>394</v>
      </c>
      <c r="D850" s="93">
        <v>1</v>
      </c>
    </row>
    <row r="851" spans="1:4" x14ac:dyDescent="0.2">
      <c r="A851" s="90">
        <v>755</v>
      </c>
      <c r="B851" s="91">
        <v>13016</v>
      </c>
      <c r="C851" s="92" t="s">
        <v>396</v>
      </c>
      <c r="D851" s="93">
        <v>2</v>
      </c>
    </row>
    <row r="852" spans="1:4" x14ac:dyDescent="0.2">
      <c r="A852" s="90">
        <v>756</v>
      </c>
      <c r="B852" s="91">
        <v>13017</v>
      </c>
      <c r="C852" s="92" t="s">
        <v>394</v>
      </c>
      <c r="D852" s="93">
        <v>2</v>
      </c>
    </row>
    <row r="853" spans="1:4" x14ac:dyDescent="0.2">
      <c r="A853" s="90">
        <v>756</v>
      </c>
      <c r="B853" s="91">
        <v>13018</v>
      </c>
      <c r="C853" s="92" t="s">
        <v>394</v>
      </c>
      <c r="D853" s="93">
        <v>1</v>
      </c>
    </row>
    <row r="854" spans="1:4" x14ac:dyDescent="0.2">
      <c r="A854" s="90">
        <v>757</v>
      </c>
      <c r="B854" s="91">
        <v>13019</v>
      </c>
      <c r="C854" s="92" t="s">
        <v>396</v>
      </c>
      <c r="D854" s="93">
        <v>2</v>
      </c>
    </row>
    <row r="855" spans="1:4" x14ac:dyDescent="0.2">
      <c r="A855" s="90">
        <v>758</v>
      </c>
      <c r="B855" s="91">
        <v>13020</v>
      </c>
      <c r="C855" s="92" t="s">
        <v>394</v>
      </c>
      <c r="D855" s="93">
        <v>2</v>
      </c>
    </row>
    <row r="856" spans="1:4" x14ac:dyDescent="0.2">
      <c r="A856" s="90">
        <v>758</v>
      </c>
      <c r="B856" s="91">
        <v>13021</v>
      </c>
      <c r="C856" s="92" t="s">
        <v>394</v>
      </c>
      <c r="D856" s="93">
        <v>1</v>
      </c>
    </row>
    <row r="857" spans="1:4" x14ac:dyDescent="0.2">
      <c r="A857" s="90">
        <v>759</v>
      </c>
      <c r="B857" s="91">
        <v>13022</v>
      </c>
      <c r="C857" s="92" t="s">
        <v>396</v>
      </c>
      <c r="D857" s="93">
        <v>2</v>
      </c>
    </row>
    <row r="858" spans="1:4" x14ac:dyDescent="0.2">
      <c r="A858" s="90">
        <v>760</v>
      </c>
      <c r="B858" s="91">
        <v>13023</v>
      </c>
      <c r="C858" s="92" t="s">
        <v>394</v>
      </c>
      <c r="D858" s="93">
        <v>2</v>
      </c>
    </row>
    <row r="859" spans="1:4" x14ac:dyDescent="0.2">
      <c r="A859" s="90">
        <v>760</v>
      </c>
      <c r="B859" s="91">
        <v>13024</v>
      </c>
      <c r="C859" s="92" t="s">
        <v>394</v>
      </c>
      <c r="D859" s="93">
        <v>1</v>
      </c>
    </row>
    <row r="860" spans="1:4" x14ac:dyDescent="0.2">
      <c r="A860" s="90">
        <v>761</v>
      </c>
      <c r="B860" s="91">
        <v>13025</v>
      </c>
      <c r="C860" s="92" t="s">
        <v>396</v>
      </c>
      <c r="D860" s="93">
        <v>2</v>
      </c>
    </row>
    <row r="861" spans="1:4" x14ac:dyDescent="0.2">
      <c r="A861" s="90">
        <v>762</v>
      </c>
      <c r="B861" s="91">
        <v>13026</v>
      </c>
      <c r="C861" s="92" t="s">
        <v>394</v>
      </c>
      <c r="D861" s="93">
        <v>2</v>
      </c>
    </row>
    <row r="862" spans="1:4" x14ac:dyDescent="0.2">
      <c r="A862" s="90">
        <v>762</v>
      </c>
      <c r="B862" s="91">
        <v>13027</v>
      </c>
      <c r="C862" s="92" t="s">
        <v>394</v>
      </c>
      <c r="D862" s="93">
        <v>1</v>
      </c>
    </row>
    <row r="863" spans="1:4" x14ac:dyDescent="0.2">
      <c r="A863" s="90">
        <v>763</v>
      </c>
      <c r="B863" s="91">
        <v>13028</v>
      </c>
      <c r="C863" s="92" t="s">
        <v>396</v>
      </c>
      <c r="D863" s="93">
        <v>2</v>
      </c>
    </row>
    <row r="864" spans="1:4" x14ac:dyDescent="0.2">
      <c r="A864" s="90">
        <v>764</v>
      </c>
      <c r="B864" s="91">
        <v>13002</v>
      </c>
      <c r="C864" s="92" t="s">
        <v>394</v>
      </c>
      <c r="D864" s="93">
        <v>2</v>
      </c>
    </row>
    <row r="865" spans="1:4" x14ac:dyDescent="0.2">
      <c r="A865" s="90">
        <v>764</v>
      </c>
      <c r="B865" s="91">
        <v>13003</v>
      </c>
      <c r="C865" s="92" t="s">
        <v>394</v>
      </c>
      <c r="D865" s="93">
        <v>1</v>
      </c>
    </row>
    <row r="866" spans="1:4" x14ac:dyDescent="0.2">
      <c r="A866" s="90">
        <v>765</v>
      </c>
      <c r="B866" s="91">
        <v>13004</v>
      </c>
      <c r="C866" s="92" t="s">
        <v>396</v>
      </c>
      <c r="D866" s="93">
        <v>2</v>
      </c>
    </row>
    <row r="867" spans="1:4" x14ac:dyDescent="0.2">
      <c r="A867" s="90">
        <v>766</v>
      </c>
      <c r="B867" s="91">
        <v>13005</v>
      </c>
      <c r="C867" s="92" t="s">
        <v>394</v>
      </c>
      <c r="D867" s="93">
        <v>2</v>
      </c>
    </row>
    <row r="868" spans="1:4" x14ac:dyDescent="0.2">
      <c r="A868" s="90">
        <v>766</v>
      </c>
      <c r="B868" s="91">
        <v>13006</v>
      </c>
      <c r="C868" s="92" t="s">
        <v>394</v>
      </c>
      <c r="D868" s="93">
        <v>1</v>
      </c>
    </row>
    <row r="869" spans="1:4" x14ac:dyDescent="0.2">
      <c r="A869" s="90">
        <v>767</v>
      </c>
      <c r="B869" s="91">
        <v>13007</v>
      </c>
      <c r="C869" s="92" t="s">
        <v>396</v>
      </c>
      <c r="D869" s="93">
        <v>2</v>
      </c>
    </row>
    <row r="870" spans="1:4" x14ac:dyDescent="0.2">
      <c r="A870" s="90">
        <v>768</v>
      </c>
      <c r="B870" s="91">
        <v>13008</v>
      </c>
      <c r="C870" s="92" t="s">
        <v>394</v>
      </c>
      <c r="D870" s="93">
        <v>2</v>
      </c>
    </row>
    <row r="871" spans="1:4" x14ac:dyDescent="0.2">
      <c r="A871" s="90">
        <v>768</v>
      </c>
      <c r="B871" s="91">
        <v>13009</v>
      </c>
      <c r="C871" s="92" t="s">
        <v>394</v>
      </c>
      <c r="D871" s="93">
        <v>1</v>
      </c>
    </row>
    <row r="872" spans="1:4" x14ac:dyDescent="0.2">
      <c r="A872" s="90">
        <v>769</v>
      </c>
      <c r="B872" s="91">
        <v>13010</v>
      </c>
      <c r="C872" s="92" t="s">
        <v>396</v>
      </c>
      <c r="D872" s="93">
        <v>2</v>
      </c>
    </row>
    <row r="873" spans="1:4" x14ac:dyDescent="0.2">
      <c r="A873" s="90">
        <v>770</v>
      </c>
      <c r="B873" s="91">
        <v>13001</v>
      </c>
      <c r="C873" s="92" t="s">
        <v>397</v>
      </c>
      <c r="D873" s="93">
        <v>2</v>
      </c>
    </row>
    <row r="874" spans="1:4" x14ac:dyDescent="0.2">
      <c r="A874" s="90">
        <v>775</v>
      </c>
      <c r="B874" s="91">
        <v>334</v>
      </c>
      <c r="C874" s="92" t="s">
        <v>398</v>
      </c>
      <c r="D874" s="93" t="s">
        <v>218</v>
      </c>
    </row>
    <row r="875" spans="1:4" x14ac:dyDescent="0.2">
      <c r="A875" s="90">
        <v>776</v>
      </c>
      <c r="B875" s="91">
        <v>335</v>
      </c>
      <c r="C875" s="92" t="s">
        <v>398</v>
      </c>
      <c r="D875" s="93" t="s">
        <v>218</v>
      </c>
    </row>
    <row r="876" spans="1:4" x14ac:dyDescent="0.2">
      <c r="A876" s="90">
        <v>781</v>
      </c>
      <c r="B876" s="91">
        <v>327</v>
      </c>
      <c r="C876" s="92" t="s">
        <v>394</v>
      </c>
      <c r="D876" s="93" t="s">
        <v>218</v>
      </c>
    </row>
    <row r="877" spans="1:4" x14ac:dyDescent="0.2">
      <c r="A877" s="90">
        <v>782</v>
      </c>
      <c r="B877" s="91">
        <v>13069</v>
      </c>
      <c r="C877" s="92" t="s">
        <v>394</v>
      </c>
      <c r="D877" s="93">
        <v>1</v>
      </c>
    </row>
    <row r="878" spans="1:4" x14ac:dyDescent="0.2">
      <c r="A878" s="90">
        <v>783</v>
      </c>
      <c r="B878" s="91">
        <v>13072</v>
      </c>
      <c r="C878" s="92" t="s">
        <v>394</v>
      </c>
      <c r="D878" s="93">
        <v>1</v>
      </c>
    </row>
    <row r="879" spans="1:4" x14ac:dyDescent="0.2">
      <c r="A879" s="90">
        <v>784</v>
      </c>
      <c r="B879" s="91">
        <v>13075</v>
      </c>
      <c r="C879" s="92" t="s">
        <v>394</v>
      </c>
      <c r="D879" s="93">
        <v>1</v>
      </c>
    </row>
    <row r="880" spans="1:4" x14ac:dyDescent="0.2">
      <c r="A880" s="90">
        <v>785</v>
      </c>
      <c r="B880" s="91">
        <v>13078</v>
      </c>
      <c r="C880" s="92" t="s">
        <v>394</v>
      </c>
      <c r="D880" s="93">
        <v>1</v>
      </c>
    </row>
    <row r="881" spans="1:4" x14ac:dyDescent="0.2">
      <c r="A881" s="90">
        <v>786</v>
      </c>
      <c r="B881" s="91">
        <v>13081</v>
      </c>
      <c r="C881" s="92" t="s">
        <v>394</v>
      </c>
      <c r="D881" s="93">
        <v>1</v>
      </c>
    </row>
    <row r="882" spans="1:4" x14ac:dyDescent="0.2">
      <c r="A882" s="90">
        <v>787</v>
      </c>
      <c r="B882" s="91">
        <v>13082</v>
      </c>
      <c r="C882" s="92" t="s">
        <v>399</v>
      </c>
      <c r="D882" s="93">
        <v>2</v>
      </c>
    </row>
    <row r="883" spans="1:4" x14ac:dyDescent="0.2">
      <c r="A883" s="90">
        <v>787</v>
      </c>
      <c r="B883" s="91">
        <v>13083</v>
      </c>
      <c r="C883" s="92" t="s">
        <v>399</v>
      </c>
      <c r="D883" s="93">
        <v>1</v>
      </c>
    </row>
    <row r="884" spans="1:4" x14ac:dyDescent="0.2">
      <c r="A884" s="90">
        <v>788</v>
      </c>
      <c r="B884" s="91">
        <v>13084</v>
      </c>
      <c r="C884" s="92" t="s">
        <v>400</v>
      </c>
      <c r="D884" s="93">
        <v>1</v>
      </c>
    </row>
    <row r="885" spans="1:4" x14ac:dyDescent="0.2">
      <c r="A885" s="90">
        <v>789</v>
      </c>
      <c r="B885" s="91">
        <v>13085</v>
      </c>
      <c r="C885" s="92" t="s">
        <v>401</v>
      </c>
      <c r="D885" s="93">
        <v>2</v>
      </c>
    </row>
    <row r="886" spans="1:4" x14ac:dyDescent="0.2">
      <c r="A886" s="90">
        <v>789</v>
      </c>
      <c r="B886" s="91">
        <v>13086</v>
      </c>
      <c r="C886" s="92" t="s">
        <v>401</v>
      </c>
      <c r="D886" s="93">
        <v>1</v>
      </c>
    </row>
    <row r="887" spans="1:4" x14ac:dyDescent="0.2">
      <c r="A887" s="90">
        <v>790</v>
      </c>
      <c r="B887" s="91">
        <v>13087</v>
      </c>
      <c r="C887" s="92" t="s">
        <v>402</v>
      </c>
      <c r="D887" s="93">
        <v>1</v>
      </c>
    </row>
    <row r="888" spans="1:4" x14ac:dyDescent="0.2">
      <c r="A888" s="90">
        <v>791</v>
      </c>
      <c r="B888" s="91">
        <v>13088</v>
      </c>
      <c r="C888" s="92" t="s">
        <v>403</v>
      </c>
      <c r="D888" s="93">
        <v>2</v>
      </c>
    </row>
    <row r="889" spans="1:4" x14ac:dyDescent="0.2">
      <c r="A889" s="90">
        <v>791</v>
      </c>
      <c r="B889" s="91">
        <v>13089</v>
      </c>
      <c r="C889" s="92" t="s">
        <v>403</v>
      </c>
      <c r="D889" s="93">
        <v>1</v>
      </c>
    </row>
    <row r="890" spans="1:4" x14ac:dyDescent="0.2">
      <c r="A890" s="90">
        <v>792</v>
      </c>
      <c r="B890" s="91">
        <v>13090</v>
      </c>
      <c r="C890" s="92" t="s">
        <v>404</v>
      </c>
      <c r="D890" s="93">
        <v>1</v>
      </c>
    </row>
    <row r="891" spans="1:4" x14ac:dyDescent="0.2">
      <c r="A891" s="90">
        <v>793</v>
      </c>
      <c r="B891" s="91">
        <v>13091</v>
      </c>
      <c r="C891" s="92" t="s">
        <v>394</v>
      </c>
      <c r="D891" s="93">
        <v>2</v>
      </c>
    </row>
    <row r="892" spans="1:4" x14ac:dyDescent="0.2">
      <c r="A892" s="90">
        <v>793</v>
      </c>
      <c r="B892" s="91">
        <v>13092</v>
      </c>
      <c r="C892" s="92" t="s">
        <v>394</v>
      </c>
      <c r="D892" s="93">
        <v>1</v>
      </c>
    </row>
    <row r="893" spans="1:4" x14ac:dyDescent="0.2">
      <c r="A893" s="90">
        <v>794</v>
      </c>
      <c r="B893" s="91">
        <v>13093</v>
      </c>
      <c r="C893" s="92" t="s">
        <v>395</v>
      </c>
      <c r="D893" s="93">
        <v>2</v>
      </c>
    </row>
    <row r="894" spans="1:4" x14ac:dyDescent="0.2">
      <c r="A894" s="90">
        <v>801</v>
      </c>
      <c r="B894" s="91">
        <v>306</v>
      </c>
      <c r="C894" s="92" t="s">
        <v>321</v>
      </c>
      <c r="D894" s="93">
        <v>1</v>
      </c>
    </row>
    <row r="895" spans="1:4" x14ac:dyDescent="0.2">
      <c r="A895" s="90">
        <v>802</v>
      </c>
      <c r="B895" s="91">
        <v>14005</v>
      </c>
      <c r="C895" s="92" t="s">
        <v>405</v>
      </c>
      <c r="D895" s="93">
        <v>2</v>
      </c>
    </row>
    <row r="896" spans="1:4" x14ac:dyDescent="0.2">
      <c r="A896" s="90">
        <v>802</v>
      </c>
      <c r="B896" s="91">
        <v>14006</v>
      </c>
      <c r="C896" s="92" t="s">
        <v>405</v>
      </c>
      <c r="D896" s="93">
        <v>1</v>
      </c>
    </row>
    <row r="897" spans="1:4" x14ac:dyDescent="0.2">
      <c r="A897" s="90">
        <v>803</v>
      </c>
      <c r="B897" s="91">
        <v>14007</v>
      </c>
      <c r="C897" s="92" t="s">
        <v>406</v>
      </c>
      <c r="D897" s="93" t="s">
        <v>218</v>
      </c>
    </row>
    <row r="898" spans="1:4" x14ac:dyDescent="0.2">
      <c r="A898" s="90">
        <v>804</v>
      </c>
      <c r="B898" s="91">
        <v>14008</v>
      </c>
      <c r="C898" s="92" t="s">
        <v>405</v>
      </c>
      <c r="D898" s="93">
        <v>2</v>
      </c>
    </row>
    <row r="899" spans="1:4" x14ac:dyDescent="0.2">
      <c r="A899" s="90">
        <v>804</v>
      </c>
      <c r="B899" s="91">
        <v>14009</v>
      </c>
      <c r="C899" s="92" t="s">
        <v>405</v>
      </c>
      <c r="D899" s="93">
        <v>1</v>
      </c>
    </row>
    <row r="900" spans="1:4" x14ac:dyDescent="0.2">
      <c r="A900" s="90">
        <v>805</v>
      </c>
      <c r="B900" s="91">
        <v>14010</v>
      </c>
      <c r="C900" s="92" t="s">
        <v>406</v>
      </c>
      <c r="D900" s="93" t="s">
        <v>218</v>
      </c>
    </row>
    <row r="901" spans="1:4" x14ac:dyDescent="0.2">
      <c r="A901" s="90">
        <v>806</v>
      </c>
      <c r="B901" s="91">
        <v>14011</v>
      </c>
      <c r="C901" s="92" t="s">
        <v>405</v>
      </c>
      <c r="D901" s="93">
        <v>2</v>
      </c>
    </row>
    <row r="902" spans="1:4" x14ac:dyDescent="0.2">
      <c r="A902" s="90">
        <v>806</v>
      </c>
      <c r="B902" s="91">
        <v>14012</v>
      </c>
      <c r="C902" s="92" t="s">
        <v>405</v>
      </c>
      <c r="D902" s="93">
        <v>1</v>
      </c>
    </row>
    <row r="903" spans="1:4" x14ac:dyDescent="0.2">
      <c r="A903" s="90">
        <v>807</v>
      </c>
      <c r="B903" s="91">
        <v>14013</v>
      </c>
      <c r="C903" s="92" t="s">
        <v>406</v>
      </c>
      <c r="D903" s="93" t="s">
        <v>218</v>
      </c>
    </row>
    <row r="904" spans="1:4" x14ac:dyDescent="0.2">
      <c r="A904" s="90">
        <v>808</v>
      </c>
      <c r="B904" s="91">
        <v>14017</v>
      </c>
      <c r="C904" s="92" t="s">
        <v>405</v>
      </c>
      <c r="D904" s="93">
        <v>2</v>
      </c>
    </row>
    <row r="905" spans="1:4" x14ac:dyDescent="0.2">
      <c r="A905" s="90">
        <v>808</v>
      </c>
      <c r="B905" s="91">
        <v>14018</v>
      </c>
      <c r="C905" s="92" t="s">
        <v>405</v>
      </c>
      <c r="D905" s="93">
        <v>1</v>
      </c>
    </row>
    <row r="906" spans="1:4" x14ac:dyDescent="0.2">
      <c r="A906" s="90">
        <v>809</v>
      </c>
      <c r="B906" s="91">
        <v>14019</v>
      </c>
      <c r="C906" s="92" t="s">
        <v>406</v>
      </c>
      <c r="D906" s="93" t="s">
        <v>218</v>
      </c>
    </row>
    <row r="907" spans="1:4" x14ac:dyDescent="0.2">
      <c r="A907" s="90">
        <v>810</v>
      </c>
      <c r="B907" s="91">
        <v>14020</v>
      </c>
      <c r="C907" s="92" t="s">
        <v>405</v>
      </c>
      <c r="D907" s="93">
        <v>2</v>
      </c>
    </row>
    <row r="908" spans="1:4" x14ac:dyDescent="0.2">
      <c r="A908" s="90">
        <v>810</v>
      </c>
      <c r="B908" s="91">
        <v>14021</v>
      </c>
      <c r="C908" s="92" t="s">
        <v>405</v>
      </c>
      <c r="D908" s="93">
        <v>1</v>
      </c>
    </row>
    <row r="909" spans="1:4" x14ac:dyDescent="0.2">
      <c r="A909" s="90">
        <v>811</v>
      </c>
      <c r="B909" s="91">
        <v>14022</v>
      </c>
      <c r="C909" s="92" t="s">
        <v>406</v>
      </c>
      <c r="D909" s="93" t="s">
        <v>218</v>
      </c>
    </row>
    <row r="910" spans="1:4" x14ac:dyDescent="0.2">
      <c r="A910" s="90">
        <v>812</v>
      </c>
      <c r="B910" s="91">
        <v>14023</v>
      </c>
      <c r="C910" s="92" t="s">
        <v>405</v>
      </c>
      <c r="D910" s="93">
        <v>2</v>
      </c>
    </row>
    <row r="911" spans="1:4" x14ac:dyDescent="0.2">
      <c r="A911" s="90">
        <v>812</v>
      </c>
      <c r="B911" s="91">
        <v>14024</v>
      </c>
      <c r="C911" s="92" t="s">
        <v>405</v>
      </c>
      <c r="D911" s="93">
        <v>1</v>
      </c>
    </row>
    <row r="912" spans="1:4" x14ac:dyDescent="0.2">
      <c r="A912" s="90">
        <v>813</v>
      </c>
      <c r="B912" s="91">
        <v>14025</v>
      </c>
      <c r="C912" s="92" t="s">
        <v>406</v>
      </c>
      <c r="D912" s="93" t="s">
        <v>218</v>
      </c>
    </row>
    <row r="913" spans="1:4" x14ac:dyDescent="0.2">
      <c r="A913" s="90">
        <v>814</v>
      </c>
      <c r="B913" s="91">
        <v>14029</v>
      </c>
      <c r="C913" s="92" t="s">
        <v>405</v>
      </c>
      <c r="D913" s="93">
        <v>2</v>
      </c>
    </row>
    <row r="914" spans="1:4" x14ac:dyDescent="0.2">
      <c r="A914" s="90">
        <v>814</v>
      </c>
      <c r="B914" s="91">
        <v>14030</v>
      </c>
      <c r="C914" s="92" t="s">
        <v>405</v>
      </c>
      <c r="D914" s="93">
        <v>1</v>
      </c>
    </row>
    <row r="915" spans="1:4" x14ac:dyDescent="0.2">
      <c r="A915" s="90">
        <v>815</v>
      </c>
      <c r="B915" s="91">
        <v>14031</v>
      </c>
      <c r="C915" s="92" t="s">
        <v>406</v>
      </c>
      <c r="D915" s="93" t="s">
        <v>218</v>
      </c>
    </row>
    <row r="916" spans="1:4" x14ac:dyDescent="0.2">
      <c r="A916" s="90">
        <v>816</v>
      </c>
      <c r="B916" s="91">
        <v>14032</v>
      </c>
      <c r="C916" s="92" t="s">
        <v>405</v>
      </c>
      <c r="D916" s="93">
        <v>2</v>
      </c>
    </row>
    <row r="917" spans="1:4" x14ac:dyDescent="0.2">
      <c r="A917" s="90">
        <v>816</v>
      </c>
      <c r="B917" s="91">
        <v>14033</v>
      </c>
      <c r="C917" s="92" t="s">
        <v>405</v>
      </c>
      <c r="D917" s="93">
        <v>1</v>
      </c>
    </row>
    <row r="918" spans="1:4" x14ac:dyDescent="0.2">
      <c r="A918" s="90">
        <v>817</v>
      </c>
      <c r="B918" s="91">
        <v>14034</v>
      </c>
      <c r="C918" s="92" t="s">
        <v>406</v>
      </c>
      <c r="D918" s="93" t="s">
        <v>218</v>
      </c>
    </row>
    <row r="919" spans="1:4" x14ac:dyDescent="0.2">
      <c r="A919" s="90">
        <v>818</v>
      </c>
      <c r="B919" s="91">
        <v>14035</v>
      </c>
      <c r="C919" s="92" t="s">
        <v>405</v>
      </c>
      <c r="D919" s="93">
        <v>2</v>
      </c>
    </row>
    <row r="920" spans="1:4" x14ac:dyDescent="0.2">
      <c r="A920" s="90">
        <v>818</v>
      </c>
      <c r="B920" s="91">
        <v>14036</v>
      </c>
      <c r="C920" s="92" t="s">
        <v>405</v>
      </c>
      <c r="D920" s="93">
        <v>1</v>
      </c>
    </row>
    <row r="921" spans="1:4" x14ac:dyDescent="0.2">
      <c r="A921" s="90">
        <v>819</v>
      </c>
      <c r="B921" s="91">
        <v>14037</v>
      </c>
      <c r="C921" s="92" t="s">
        <v>406</v>
      </c>
      <c r="D921" s="93" t="s">
        <v>218</v>
      </c>
    </row>
    <row r="922" spans="1:4" x14ac:dyDescent="0.2">
      <c r="A922" s="90">
        <v>820</v>
      </c>
      <c r="B922" s="91">
        <v>14042</v>
      </c>
      <c r="C922" s="92" t="s">
        <v>405</v>
      </c>
      <c r="D922" s="93">
        <v>2</v>
      </c>
    </row>
    <row r="923" spans="1:4" x14ac:dyDescent="0.2">
      <c r="A923" s="90">
        <v>820</v>
      </c>
      <c r="B923" s="91">
        <v>14043</v>
      </c>
      <c r="C923" s="92" t="s">
        <v>405</v>
      </c>
      <c r="D923" s="93">
        <v>1</v>
      </c>
    </row>
    <row r="924" spans="1:4" x14ac:dyDescent="0.2">
      <c r="A924" s="90">
        <v>821</v>
      </c>
      <c r="B924" s="91">
        <v>14044</v>
      </c>
      <c r="C924" s="92" t="s">
        <v>406</v>
      </c>
      <c r="D924" s="93" t="s">
        <v>218</v>
      </c>
    </row>
    <row r="925" spans="1:4" x14ac:dyDescent="0.2">
      <c r="A925" s="90">
        <v>822</v>
      </c>
      <c r="B925" s="91">
        <v>14045</v>
      </c>
      <c r="C925" s="92" t="s">
        <v>405</v>
      </c>
      <c r="D925" s="93">
        <v>2</v>
      </c>
    </row>
    <row r="926" spans="1:4" x14ac:dyDescent="0.2">
      <c r="A926" s="90">
        <v>822</v>
      </c>
      <c r="B926" s="91">
        <v>14046</v>
      </c>
      <c r="C926" s="92" t="s">
        <v>405</v>
      </c>
      <c r="D926" s="93">
        <v>1</v>
      </c>
    </row>
    <row r="927" spans="1:4" x14ac:dyDescent="0.2">
      <c r="A927" s="90">
        <v>823</v>
      </c>
      <c r="B927" s="91">
        <v>14047</v>
      </c>
      <c r="C927" s="92" t="s">
        <v>406</v>
      </c>
      <c r="D927" s="93" t="s">
        <v>218</v>
      </c>
    </row>
    <row r="928" spans="1:4" x14ac:dyDescent="0.2">
      <c r="A928" s="90">
        <v>824</v>
      </c>
      <c r="B928" s="91">
        <v>14048</v>
      </c>
      <c r="C928" s="92" t="s">
        <v>405</v>
      </c>
      <c r="D928" s="93">
        <v>2</v>
      </c>
    </row>
    <row r="929" spans="1:4" x14ac:dyDescent="0.2">
      <c r="A929" s="90">
        <v>824</v>
      </c>
      <c r="B929" s="91">
        <v>14049</v>
      </c>
      <c r="C929" s="92" t="s">
        <v>405</v>
      </c>
      <c r="D929" s="93">
        <v>1</v>
      </c>
    </row>
    <row r="930" spans="1:4" x14ac:dyDescent="0.2">
      <c r="A930" s="90">
        <v>825</v>
      </c>
      <c r="B930" s="91">
        <v>14050</v>
      </c>
      <c r="C930" s="92" t="s">
        <v>406</v>
      </c>
      <c r="D930" s="93" t="s">
        <v>218</v>
      </c>
    </row>
    <row r="931" spans="1:4" x14ac:dyDescent="0.2">
      <c r="A931" s="90">
        <v>826</v>
      </c>
      <c r="B931" s="91">
        <v>14069</v>
      </c>
      <c r="C931" s="92" t="s">
        <v>405</v>
      </c>
      <c r="D931" s="93">
        <v>2</v>
      </c>
    </row>
    <row r="932" spans="1:4" x14ac:dyDescent="0.2">
      <c r="A932" s="90">
        <v>826</v>
      </c>
      <c r="B932" s="91">
        <v>14070</v>
      </c>
      <c r="C932" s="92" t="s">
        <v>405</v>
      </c>
      <c r="D932" s="93">
        <v>1</v>
      </c>
    </row>
    <row r="933" spans="1:4" x14ac:dyDescent="0.2">
      <c r="A933" s="90">
        <v>827</v>
      </c>
      <c r="B933" s="91">
        <v>14071</v>
      </c>
      <c r="C933" s="92" t="s">
        <v>406</v>
      </c>
      <c r="D933" s="93" t="s">
        <v>218</v>
      </c>
    </row>
    <row r="934" spans="1:4" x14ac:dyDescent="0.2">
      <c r="A934" s="90">
        <v>828</v>
      </c>
      <c r="B934" s="91">
        <v>14072</v>
      </c>
      <c r="C934" s="92" t="s">
        <v>405</v>
      </c>
      <c r="D934" s="93">
        <v>2</v>
      </c>
    </row>
    <row r="935" spans="1:4" x14ac:dyDescent="0.2">
      <c r="A935" s="90">
        <v>828</v>
      </c>
      <c r="B935" s="91">
        <v>14073</v>
      </c>
      <c r="C935" s="92" t="s">
        <v>405</v>
      </c>
      <c r="D935" s="93">
        <v>1</v>
      </c>
    </row>
    <row r="936" spans="1:4" x14ac:dyDescent="0.2">
      <c r="A936" s="90">
        <v>829</v>
      </c>
      <c r="B936" s="91">
        <v>14074</v>
      </c>
      <c r="C936" s="92" t="s">
        <v>406</v>
      </c>
      <c r="D936" s="93" t="s">
        <v>218</v>
      </c>
    </row>
    <row r="937" spans="1:4" x14ac:dyDescent="0.2">
      <c r="A937" s="90">
        <v>830</v>
      </c>
      <c r="B937" s="91">
        <v>14075</v>
      </c>
      <c r="C937" s="92" t="s">
        <v>405</v>
      </c>
      <c r="D937" s="93">
        <v>2</v>
      </c>
    </row>
    <row r="938" spans="1:4" x14ac:dyDescent="0.2">
      <c r="A938" s="90">
        <v>830</v>
      </c>
      <c r="B938" s="91">
        <v>14076</v>
      </c>
      <c r="C938" s="92" t="s">
        <v>405</v>
      </c>
      <c r="D938" s="93">
        <v>1</v>
      </c>
    </row>
    <row r="939" spans="1:4" x14ac:dyDescent="0.2">
      <c r="A939" s="90">
        <v>831</v>
      </c>
      <c r="B939" s="91">
        <v>14077</v>
      </c>
      <c r="C939" s="92" t="s">
        <v>406</v>
      </c>
      <c r="D939" s="93" t="s">
        <v>218</v>
      </c>
    </row>
    <row r="940" spans="1:4" x14ac:dyDescent="0.2">
      <c r="A940" s="90">
        <v>832</v>
      </c>
      <c r="B940" s="91">
        <v>14085</v>
      </c>
      <c r="C940" s="92" t="s">
        <v>405</v>
      </c>
      <c r="D940" s="93">
        <v>2</v>
      </c>
    </row>
    <row r="941" spans="1:4" x14ac:dyDescent="0.2">
      <c r="A941" s="90">
        <v>832</v>
      </c>
      <c r="B941" s="91">
        <v>14086</v>
      </c>
      <c r="C941" s="92" t="s">
        <v>405</v>
      </c>
      <c r="D941" s="93">
        <v>1</v>
      </c>
    </row>
    <row r="942" spans="1:4" x14ac:dyDescent="0.2">
      <c r="A942" s="90">
        <v>833</v>
      </c>
      <c r="B942" s="91">
        <v>14087</v>
      </c>
      <c r="C942" s="92" t="s">
        <v>406</v>
      </c>
      <c r="D942" s="93" t="s">
        <v>218</v>
      </c>
    </row>
    <row r="943" spans="1:4" x14ac:dyDescent="0.2">
      <c r="A943" s="90">
        <v>834</v>
      </c>
      <c r="B943" s="91">
        <v>14088</v>
      </c>
      <c r="C943" s="92" t="s">
        <v>405</v>
      </c>
      <c r="D943" s="93">
        <v>2</v>
      </c>
    </row>
    <row r="944" spans="1:4" x14ac:dyDescent="0.2">
      <c r="A944" s="90">
        <v>834</v>
      </c>
      <c r="B944" s="91">
        <v>14089</v>
      </c>
      <c r="C944" s="92" t="s">
        <v>405</v>
      </c>
      <c r="D944" s="93">
        <v>1</v>
      </c>
    </row>
    <row r="945" spans="1:4" x14ac:dyDescent="0.2">
      <c r="A945" s="90">
        <v>835</v>
      </c>
      <c r="B945" s="91">
        <v>14090</v>
      </c>
      <c r="C945" s="92" t="s">
        <v>406</v>
      </c>
      <c r="D945" s="93" t="s">
        <v>218</v>
      </c>
    </row>
    <row r="946" spans="1:4" x14ac:dyDescent="0.2">
      <c r="A946" s="90">
        <v>836</v>
      </c>
      <c r="B946" s="91">
        <v>14091</v>
      </c>
      <c r="C946" s="92" t="s">
        <v>405</v>
      </c>
      <c r="D946" s="93">
        <v>2</v>
      </c>
    </row>
    <row r="947" spans="1:4" x14ac:dyDescent="0.2">
      <c r="A947" s="90">
        <v>836</v>
      </c>
      <c r="B947" s="91">
        <v>14092</v>
      </c>
      <c r="C947" s="92" t="s">
        <v>405</v>
      </c>
      <c r="D947" s="93">
        <v>1</v>
      </c>
    </row>
    <row r="948" spans="1:4" x14ac:dyDescent="0.2">
      <c r="A948" s="90">
        <v>837</v>
      </c>
      <c r="B948" s="91">
        <v>14093</v>
      </c>
      <c r="C948" s="92" t="s">
        <v>406</v>
      </c>
      <c r="D948" s="93" t="s">
        <v>218</v>
      </c>
    </row>
    <row r="949" spans="1:4" x14ac:dyDescent="0.2">
      <c r="A949" s="90">
        <v>838</v>
      </c>
      <c r="B949" s="91">
        <v>14094</v>
      </c>
      <c r="C949" s="92" t="s">
        <v>405</v>
      </c>
      <c r="D949" s="93">
        <v>2</v>
      </c>
    </row>
    <row r="950" spans="1:4" x14ac:dyDescent="0.2">
      <c r="A950" s="90">
        <v>838</v>
      </c>
      <c r="B950" s="91">
        <v>14095</v>
      </c>
      <c r="C950" s="92" t="s">
        <v>405</v>
      </c>
      <c r="D950" s="93">
        <v>1</v>
      </c>
    </row>
    <row r="951" spans="1:4" x14ac:dyDescent="0.2">
      <c r="A951" s="90">
        <v>839</v>
      </c>
      <c r="B951" s="91">
        <v>14096</v>
      </c>
      <c r="C951" s="92" t="s">
        <v>406</v>
      </c>
      <c r="D951" s="93" t="s">
        <v>218</v>
      </c>
    </row>
    <row r="952" spans="1:4" x14ac:dyDescent="0.2">
      <c r="A952" s="90">
        <v>840</v>
      </c>
      <c r="B952" s="91">
        <v>14110</v>
      </c>
      <c r="C952" s="92" t="s">
        <v>405</v>
      </c>
      <c r="D952" s="93">
        <v>2</v>
      </c>
    </row>
    <row r="953" spans="1:4" x14ac:dyDescent="0.2">
      <c r="A953" s="90">
        <v>840</v>
      </c>
      <c r="B953" s="91">
        <v>14111</v>
      </c>
      <c r="C953" s="92" t="s">
        <v>405</v>
      </c>
      <c r="D953" s="93">
        <v>1</v>
      </c>
    </row>
    <row r="954" spans="1:4" x14ac:dyDescent="0.2">
      <c r="A954" s="90">
        <v>841</v>
      </c>
      <c r="B954" s="91">
        <v>14112</v>
      </c>
      <c r="C954" s="92" t="s">
        <v>406</v>
      </c>
      <c r="D954" s="93" t="s">
        <v>218</v>
      </c>
    </row>
    <row r="955" spans="1:4" x14ac:dyDescent="0.2">
      <c r="A955" s="90">
        <v>842</v>
      </c>
      <c r="B955" s="91">
        <v>14113</v>
      </c>
      <c r="C955" s="92" t="s">
        <v>405</v>
      </c>
      <c r="D955" s="93">
        <v>2</v>
      </c>
    </row>
    <row r="956" spans="1:4" x14ac:dyDescent="0.2">
      <c r="A956" s="90">
        <v>842</v>
      </c>
      <c r="B956" s="91">
        <v>14114</v>
      </c>
      <c r="C956" s="92" t="s">
        <v>405</v>
      </c>
      <c r="D956" s="93">
        <v>1</v>
      </c>
    </row>
    <row r="957" spans="1:4" x14ac:dyDescent="0.2">
      <c r="A957" s="90">
        <v>843</v>
      </c>
      <c r="B957" s="91">
        <v>14115</v>
      </c>
      <c r="C957" s="92" t="s">
        <v>406</v>
      </c>
      <c r="D957" s="93" t="s">
        <v>218</v>
      </c>
    </row>
    <row r="958" spans="1:4" x14ac:dyDescent="0.2">
      <c r="A958" s="90">
        <v>844</v>
      </c>
      <c r="B958" s="91">
        <v>14116</v>
      </c>
      <c r="C958" s="92" t="s">
        <v>405</v>
      </c>
      <c r="D958" s="93">
        <v>2</v>
      </c>
    </row>
    <row r="959" spans="1:4" x14ac:dyDescent="0.2">
      <c r="A959" s="90">
        <v>844</v>
      </c>
      <c r="B959" s="91">
        <v>14117</v>
      </c>
      <c r="C959" s="92" t="s">
        <v>405</v>
      </c>
      <c r="D959" s="93">
        <v>1</v>
      </c>
    </row>
    <row r="960" spans="1:4" x14ac:dyDescent="0.2">
      <c r="A960" s="90">
        <v>845</v>
      </c>
      <c r="B960" s="91">
        <v>14118</v>
      </c>
      <c r="C960" s="92" t="s">
        <v>406</v>
      </c>
      <c r="D960" s="93" t="s">
        <v>218</v>
      </c>
    </row>
    <row r="961" spans="1:4" x14ac:dyDescent="0.2">
      <c r="A961" s="90">
        <v>846</v>
      </c>
      <c r="B961" s="91">
        <v>14138</v>
      </c>
      <c r="C961" s="92" t="s">
        <v>405</v>
      </c>
      <c r="D961" s="93">
        <v>2</v>
      </c>
    </row>
    <row r="962" spans="1:4" x14ac:dyDescent="0.2">
      <c r="A962" s="90">
        <v>846</v>
      </c>
      <c r="B962" s="91">
        <v>14139</v>
      </c>
      <c r="C962" s="92" t="s">
        <v>405</v>
      </c>
      <c r="D962" s="93">
        <v>1</v>
      </c>
    </row>
    <row r="963" spans="1:4" x14ac:dyDescent="0.2">
      <c r="A963" s="90">
        <v>847</v>
      </c>
      <c r="B963" s="91">
        <v>14140</v>
      </c>
      <c r="C963" s="92" t="s">
        <v>406</v>
      </c>
      <c r="D963" s="93" t="s">
        <v>218</v>
      </c>
    </row>
    <row r="964" spans="1:4" x14ac:dyDescent="0.2">
      <c r="A964" s="90">
        <v>848</v>
      </c>
      <c r="B964" s="91">
        <v>14141</v>
      </c>
      <c r="C964" s="92" t="s">
        <v>405</v>
      </c>
      <c r="D964" s="93">
        <v>2</v>
      </c>
    </row>
    <row r="965" spans="1:4" x14ac:dyDescent="0.2">
      <c r="A965" s="90">
        <v>848</v>
      </c>
      <c r="B965" s="91">
        <v>14142</v>
      </c>
      <c r="C965" s="92" t="s">
        <v>405</v>
      </c>
      <c r="D965" s="93">
        <v>1</v>
      </c>
    </row>
    <row r="966" spans="1:4" x14ac:dyDescent="0.2">
      <c r="A966" s="90">
        <v>849</v>
      </c>
      <c r="B966" s="91">
        <v>14143</v>
      </c>
      <c r="C966" s="92" t="s">
        <v>406</v>
      </c>
      <c r="D966" s="93" t="s">
        <v>218</v>
      </c>
    </row>
    <row r="967" spans="1:4" x14ac:dyDescent="0.2">
      <c r="A967" s="90">
        <v>850</v>
      </c>
      <c r="B967" s="91">
        <v>14014</v>
      </c>
      <c r="C967" s="92" t="s">
        <v>406</v>
      </c>
      <c r="D967" s="93" t="s">
        <v>218</v>
      </c>
    </row>
    <row r="968" spans="1:4" x14ac:dyDescent="0.2">
      <c r="A968" s="90">
        <v>851</v>
      </c>
      <c r="B968" s="91">
        <v>14038</v>
      </c>
      <c r="C968" s="92" t="s">
        <v>406</v>
      </c>
      <c r="D968" s="93" t="s">
        <v>218</v>
      </c>
    </row>
    <row r="969" spans="1:4" x14ac:dyDescent="0.2">
      <c r="A969" s="90">
        <v>852</v>
      </c>
      <c r="B969" s="91">
        <v>14001</v>
      </c>
      <c r="C969" s="92" t="s">
        <v>405</v>
      </c>
      <c r="D969" s="93">
        <v>2</v>
      </c>
    </row>
    <row r="970" spans="1:4" x14ac:dyDescent="0.2">
      <c r="A970" s="90">
        <v>852</v>
      </c>
      <c r="B970" s="91">
        <v>14002</v>
      </c>
      <c r="C970" s="92" t="s">
        <v>405</v>
      </c>
      <c r="D970" s="93">
        <v>1</v>
      </c>
    </row>
    <row r="971" spans="1:4" x14ac:dyDescent="0.2">
      <c r="A971" s="90">
        <v>853</v>
      </c>
      <c r="B971" s="91">
        <v>14081</v>
      </c>
      <c r="C971" s="92" t="s">
        <v>405</v>
      </c>
      <c r="D971" s="93">
        <v>2</v>
      </c>
    </row>
    <row r="972" spans="1:4" x14ac:dyDescent="0.2">
      <c r="A972" s="90">
        <v>853</v>
      </c>
      <c r="B972" s="91">
        <v>14082</v>
      </c>
      <c r="C972" s="92" t="s">
        <v>405</v>
      </c>
      <c r="D972" s="93">
        <v>1</v>
      </c>
    </row>
    <row r="973" spans="1:4" x14ac:dyDescent="0.2">
      <c r="A973" s="90">
        <v>854</v>
      </c>
      <c r="B973" s="91">
        <v>14083</v>
      </c>
      <c r="C973" s="92" t="s">
        <v>405</v>
      </c>
      <c r="D973" s="93">
        <v>2</v>
      </c>
    </row>
    <row r="974" spans="1:4" x14ac:dyDescent="0.2">
      <c r="A974" s="90">
        <v>854</v>
      </c>
      <c r="B974" s="91">
        <v>14084</v>
      </c>
      <c r="C974" s="92" t="s">
        <v>405</v>
      </c>
      <c r="D974" s="93">
        <v>1</v>
      </c>
    </row>
    <row r="975" spans="1:4" x14ac:dyDescent="0.2">
      <c r="A975" s="90">
        <v>855</v>
      </c>
      <c r="B975" s="91">
        <v>14103</v>
      </c>
      <c r="C975" s="92" t="s">
        <v>405</v>
      </c>
      <c r="D975" s="93">
        <v>2</v>
      </c>
    </row>
    <row r="976" spans="1:4" x14ac:dyDescent="0.2">
      <c r="A976" s="90">
        <v>855</v>
      </c>
      <c r="B976" s="91">
        <v>14104</v>
      </c>
      <c r="C976" s="92" t="s">
        <v>405</v>
      </c>
      <c r="D976" s="93">
        <v>1</v>
      </c>
    </row>
    <row r="977" spans="1:4" x14ac:dyDescent="0.2">
      <c r="A977" s="90">
        <v>856</v>
      </c>
      <c r="B977" s="91">
        <v>14105</v>
      </c>
      <c r="C977" s="92" t="s">
        <v>405</v>
      </c>
      <c r="D977" s="93">
        <v>2</v>
      </c>
    </row>
    <row r="978" spans="1:4" x14ac:dyDescent="0.2">
      <c r="A978" s="90">
        <v>856</v>
      </c>
      <c r="B978" s="91">
        <v>14106</v>
      </c>
      <c r="C978" s="92" t="s">
        <v>405</v>
      </c>
      <c r="D978" s="93">
        <v>1</v>
      </c>
    </row>
    <row r="979" spans="1:4" x14ac:dyDescent="0.2">
      <c r="A979" s="90">
        <v>857</v>
      </c>
      <c r="B979" s="91">
        <v>14015</v>
      </c>
      <c r="C979" s="92" t="s">
        <v>405</v>
      </c>
      <c r="D979" s="93">
        <v>2</v>
      </c>
    </row>
    <row r="980" spans="1:4" x14ac:dyDescent="0.2">
      <c r="A980" s="90">
        <v>857</v>
      </c>
      <c r="B980" s="91">
        <v>14016</v>
      </c>
      <c r="C980" s="92" t="s">
        <v>405</v>
      </c>
      <c r="D980" s="93">
        <v>1</v>
      </c>
    </row>
    <row r="981" spans="1:4" x14ac:dyDescent="0.2">
      <c r="A981" s="90">
        <v>858</v>
      </c>
      <c r="B981" s="91">
        <v>14039</v>
      </c>
      <c r="C981" s="92" t="s">
        <v>405</v>
      </c>
      <c r="D981" s="93">
        <v>2</v>
      </c>
    </row>
    <row r="982" spans="1:4" x14ac:dyDescent="0.2">
      <c r="A982" s="90">
        <v>858</v>
      </c>
      <c r="B982" s="91">
        <v>14040</v>
      </c>
      <c r="C982" s="92" t="s">
        <v>405</v>
      </c>
      <c r="D982" s="93">
        <v>1</v>
      </c>
    </row>
    <row r="983" spans="1:4" x14ac:dyDescent="0.2">
      <c r="A983" s="90">
        <v>859</v>
      </c>
      <c r="B983" s="91">
        <v>14003</v>
      </c>
      <c r="C983" s="92" t="s">
        <v>405</v>
      </c>
      <c r="D983" s="93">
        <v>2</v>
      </c>
    </row>
    <row r="984" spans="1:4" x14ac:dyDescent="0.2">
      <c r="A984" s="90">
        <v>859</v>
      </c>
      <c r="B984" s="91">
        <v>14004</v>
      </c>
      <c r="C984" s="92" t="s">
        <v>405</v>
      </c>
      <c r="D984" s="93">
        <v>1</v>
      </c>
    </row>
    <row r="985" spans="1:4" x14ac:dyDescent="0.2">
      <c r="A985" s="90">
        <v>860</v>
      </c>
      <c r="B985" s="91">
        <v>14026</v>
      </c>
      <c r="C985" s="92" t="s">
        <v>405</v>
      </c>
      <c r="D985" s="93">
        <v>2</v>
      </c>
    </row>
    <row r="986" spans="1:4" x14ac:dyDescent="0.2">
      <c r="A986" s="90">
        <v>860</v>
      </c>
      <c r="B986" s="91">
        <v>14027</v>
      </c>
      <c r="C986" s="92" t="s">
        <v>405</v>
      </c>
      <c r="D986" s="93">
        <v>1</v>
      </c>
    </row>
    <row r="987" spans="1:4" x14ac:dyDescent="0.2">
      <c r="A987" s="90">
        <v>861</v>
      </c>
      <c r="B987" s="91">
        <v>14051</v>
      </c>
      <c r="C987" s="92" t="s">
        <v>405</v>
      </c>
      <c r="D987" s="93">
        <v>2</v>
      </c>
    </row>
    <row r="988" spans="1:4" x14ac:dyDescent="0.2">
      <c r="A988" s="90">
        <v>861</v>
      </c>
      <c r="B988" s="91">
        <v>14052</v>
      </c>
      <c r="C988" s="92" t="s">
        <v>405</v>
      </c>
      <c r="D988" s="93">
        <v>1</v>
      </c>
    </row>
    <row r="989" spans="1:4" x14ac:dyDescent="0.2">
      <c r="A989" s="90">
        <v>862</v>
      </c>
      <c r="B989" s="91">
        <v>14107</v>
      </c>
      <c r="C989" s="92" t="s">
        <v>405</v>
      </c>
      <c r="D989" s="93">
        <v>2</v>
      </c>
    </row>
    <row r="990" spans="1:4" x14ac:dyDescent="0.2">
      <c r="A990" s="90">
        <v>862</v>
      </c>
      <c r="B990" s="91">
        <v>14108</v>
      </c>
      <c r="C990" s="92" t="s">
        <v>405</v>
      </c>
      <c r="D990" s="93">
        <v>1</v>
      </c>
    </row>
    <row r="991" spans="1:4" x14ac:dyDescent="0.2">
      <c r="A991" s="90">
        <v>863</v>
      </c>
      <c r="B991" s="91">
        <v>14054</v>
      </c>
      <c r="C991" s="92" t="s">
        <v>405</v>
      </c>
      <c r="D991" s="93">
        <v>2</v>
      </c>
    </row>
    <row r="992" spans="1:4" x14ac:dyDescent="0.2">
      <c r="A992" s="90">
        <v>863</v>
      </c>
      <c r="B992" s="91">
        <v>14055</v>
      </c>
      <c r="C992" s="92" t="s">
        <v>405</v>
      </c>
      <c r="D992" s="93">
        <v>1</v>
      </c>
    </row>
    <row r="993" spans="1:4" x14ac:dyDescent="0.2">
      <c r="A993" s="90">
        <v>864</v>
      </c>
      <c r="B993" s="91">
        <v>14121</v>
      </c>
      <c r="C993" s="92" t="s">
        <v>405</v>
      </c>
      <c r="D993" s="93">
        <v>2</v>
      </c>
    </row>
    <row r="994" spans="1:4" x14ac:dyDescent="0.2">
      <c r="A994" s="90">
        <v>864</v>
      </c>
      <c r="B994" s="91">
        <v>14122</v>
      </c>
      <c r="C994" s="92" t="s">
        <v>405</v>
      </c>
      <c r="D994" s="93">
        <v>1</v>
      </c>
    </row>
    <row r="995" spans="1:4" x14ac:dyDescent="0.2">
      <c r="A995" s="90">
        <v>865</v>
      </c>
      <c r="B995" s="91">
        <v>14057</v>
      </c>
      <c r="C995" s="92" t="s">
        <v>405</v>
      </c>
      <c r="D995" s="93">
        <v>2</v>
      </c>
    </row>
    <row r="996" spans="1:4" x14ac:dyDescent="0.2">
      <c r="A996" s="90">
        <v>865</v>
      </c>
      <c r="B996" s="91">
        <v>14058</v>
      </c>
      <c r="C996" s="92" t="s">
        <v>405</v>
      </c>
      <c r="D996" s="93">
        <v>1</v>
      </c>
    </row>
    <row r="997" spans="1:4" x14ac:dyDescent="0.2">
      <c r="A997" s="90">
        <v>866</v>
      </c>
      <c r="B997" s="91">
        <v>14059</v>
      </c>
      <c r="C997" s="92" t="s">
        <v>406</v>
      </c>
      <c r="D997" s="93" t="s">
        <v>218</v>
      </c>
    </row>
    <row r="998" spans="1:4" x14ac:dyDescent="0.2">
      <c r="A998" s="90">
        <v>867</v>
      </c>
      <c r="B998" s="91">
        <v>14060</v>
      </c>
      <c r="C998" s="92" t="s">
        <v>405</v>
      </c>
      <c r="D998" s="93">
        <v>2</v>
      </c>
    </row>
    <row r="999" spans="1:4" x14ac:dyDescent="0.2">
      <c r="A999" s="90">
        <v>867</v>
      </c>
      <c r="B999" s="91">
        <v>14061</v>
      </c>
      <c r="C999" s="92" t="s">
        <v>405</v>
      </c>
      <c r="D999" s="93">
        <v>1</v>
      </c>
    </row>
    <row r="1000" spans="1:4" x14ac:dyDescent="0.2">
      <c r="A1000" s="90">
        <v>868</v>
      </c>
      <c r="B1000" s="91">
        <v>14062</v>
      </c>
      <c r="C1000" s="92" t="s">
        <v>406</v>
      </c>
      <c r="D1000" s="93" t="s">
        <v>218</v>
      </c>
    </row>
    <row r="1001" spans="1:4" x14ac:dyDescent="0.2">
      <c r="A1001" s="90">
        <v>869</v>
      </c>
      <c r="B1001" s="91">
        <v>14063</v>
      </c>
      <c r="C1001" s="92" t="s">
        <v>405</v>
      </c>
      <c r="D1001" s="93">
        <v>2</v>
      </c>
    </row>
    <row r="1002" spans="1:4" x14ac:dyDescent="0.2">
      <c r="A1002" s="90">
        <v>869</v>
      </c>
      <c r="B1002" s="91">
        <v>14064</v>
      </c>
      <c r="C1002" s="92" t="s">
        <v>405</v>
      </c>
      <c r="D1002" s="93">
        <v>1</v>
      </c>
    </row>
    <row r="1003" spans="1:4" x14ac:dyDescent="0.2">
      <c r="A1003" s="90">
        <v>870</v>
      </c>
      <c r="B1003" s="91">
        <v>14065</v>
      </c>
      <c r="C1003" s="92" t="s">
        <v>406</v>
      </c>
      <c r="D1003" s="93" t="s">
        <v>218</v>
      </c>
    </row>
    <row r="1004" spans="1:4" x14ac:dyDescent="0.2">
      <c r="A1004" s="90">
        <v>871</v>
      </c>
      <c r="B1004" s="91">
        <v>14066</v>
      </c>
      <c r="C1004" s="92" t="s">
        <v>405</v>
      </c>
      <c r="D1004" s="93">
        <v>2</v>
      </c>
    </row>
    <row r="1005" spans="1:4" x14ac:dyDescent="0.2">
      <c r="A1005" s="90">
        <v>871</v>
      </c>
      <c r="B1005" s="91">
        <v>14067</v>
      </c>
      <c r="C1005" s="92" t="s">
        <v>405</v>
      </c>
      <c r="D1005" s="93">
        <v>1</v>
      </c>
    </row>
    <row r="1006" spans="1:4" x14ac:dyDescent="0.2">
      <c r="A1006" s="90">
        <v>872</v>
      </c>
      <c r="B1006" s="91">
        <v>14068</v>
      </c>
      <c r="C1006" s="92" t="s">
        <v>406</v>
      </c>
      <c r="D1006" s="93" t="s">
        <v>218</v>
      </c>
    </row>
    <row r="1007" spans="1:4" x14ac:dyDescent="0.2">
      <c r="A1007" s="90">
        <v>873</v>
      </c>
      <c r="B1007" s="91">
        <v>14078</v>
      </c>
      <c r="C1007" s="92" t="s">
        <v>405</v>
      </c>
      <c r="D1007" s="93">
        <v>2</v>
      </c>
    </row>
    <row r="1008" spans="1:4" x14ac:dyDescent="0.2">
      <c r="A1008" s="90">
        <v>873</v>
      </c>
      <c r="B1008" s="91">
        <v>14079</v>
      </c>
      <c r="C1008" s="92" t="s">
        <v>405</v>
      </c>
      <c r="D1008" s="93">
        <v>1</v>
      </c>
    </row>
    <row r="1009" spans="1:4" x14ac:dyDescent="0.2">
      <c r="A1009" s="90">
        <v>874</v>
      </c>
      <c r="B1009" s="91">
        <v>14080</v>
      </c>
      <c r="C1009" s="92" t="s">
        <v>406</v>
      </c>
      <c r="D1009" s="93" t="s">
        <v>218</v>
      </c>
    </row>
    <row r="1010" spans="1:4" x14ac:dyDescent="0.2">
      <c r="A1010" s="90">
        <v>875</v>
      </c>
      <c r="B1010" s="91">
        <v>14100</v>
      </c>
      <c r="C1010" s="92" t="s">
        <v>405</v>
      </c>
      <c r="D1010" s="93">
        <v>2</v>
      </c>
    </row>
    <row r="1011" spans="1:4" x14ac:dyDescent="0.2">
      <c r="A1011" s="90">
        <v>875</v>
      </c>
      <c r="B1011" s="91">
        <v>14101</v>
      </c>
      <c r="C1011" s="92" t="s">
        <v>405</v>
      </c>
      <c r="D1011" s="93">
        <v>1</v>
      </c>
    </row>
    <row r="1012" spans="1:4" x14ac:dyDescent="0.2">
      <c r="A1012" s="90">
        <v>876</v>
      </c>
      <c r="B1012" s="91">
        <v>14102</v>
      </c>
      <c r="C1012" s="92" t="s">
        <v>406</v>
      </c>
      <c r="D1012" s="93" t="s">
        <v>218</v>
      </c>
    </row>
    <row r="1013" spans="1:4" x14ac:dyDescent="0.2">
      <c r="A1013" s="90">
        <v>877</v>
      </c>
      <c r="B1013" s="91">
        <v>14123</v>
      </c>
      <c r="C1013" s="92" t="s">
        <v>405</v>
      </c>
      <c r="D1013" s="93">
        <v>2</v>
      </c>
    </row>
    <row r="1014" spans="1:4" x14ac:dyDescent="0.2">
      <c r="A1014" s="90">
        <v>877</v>
      </c>
      <c r="B1014" s="91">
        <v>14124</v>
      </c>
      <c r="C1014" s="92" t="s">
        <v>405</v>
      </c>
      <c r="D1014" s="93">
        <v>1</v>
      </c>
    </row>
    <row r="1015" spans="1:4" x14ac:dyDescent="0.2">
      <c r="A1015" s="90">
        <v>878</v>
      </c>
      <c r="B1015" s="91">
        <v>14125</v>
      </c>
      <c r="C1015" s="92" t="s">
        <v>406</v>
      </c>
      <c r="D1015" s="93" t="s">
        <v>218</v>
      </c>
    </row>
    <row r="1016" spans="1:4" x14ac:dyDescent="0.2">
      <c r="A1016" s="90">
        <v>879</v>
      </c>
      <c r="B1016" s="91">
        <v>14126</v>
      </c>
      <c r="C1016" s="92" t="s">
        <v>405</v>
      </c>
      <c r="D1016" s="93">
        <v>2</v>
      </c>
    </row>
    <row r="1017" spans="1:4" x14ac:dyDescent="0.2">
      <c r="A1017" s="90">
        <v>879</v>
      </c>
      <c r="B1017" s="91">
        <v>14127</v>
      </c>
      <c r="C1017" s="92" t="s">
        <v>405</v>
      </c>
      <c r="D1017" s="93">
        <v>1</v>
      </c>
    </row>
    <row r="1018" spans="1:4" x14ac:dyDescent="0.2">
      <c r="A1018" s="90">
        <v>880</v>
      </c>
      <c r="B1018" s="91">
        <v>14128</v>
      </c>
      <c r="C1018" s="92" t="s">
        <v>406</v>
      </c>
      <c r="D1018" s="93" t="s">
        <v>218</v>
      </c>
    </row>
    <row r="1019" spans="1:4" x14ac:dyDescent="0.2">
      <c r="A1019" s="90">
        <v>881</v>
      </c>
      <c r="B1019" s="91">
        <v>14129</v>
      </c>
      <c r="C1019" s="92" t="s">
        <v>405</v>
      </c>
      <c r="D1019" s="93">
        <v>2</v>
      </c>
    </row>
    <row r="1020" spans="1:4" x14ac:dyDescent="0.2">
      <c r="A1020" s="90">
        <v>881</v>
      </c>
      <c r="B1020" s="91">
        <v>14130</v>
      </c>
      <c r="C1020" s="92" t="s">
        <v>405</v>
      </c>
      <c r="D1020" s="93">
        <v>1</v>
      </c>
    </row>
    <row r="1021" spans="1:4" x14ac:dyDescent="0.2">
      <c r="A1021" s="90">
        <v>882</v>
      </c>
      <c r="B1021" s="91">
        <v>14131</v>
      </c>
      <c r="C1021" s="92" t="s">
        <v>406</v>
      </c>
      <c r="D1021" s="93" t="s">
        <v>218</v>
      </c>
    </row>
    <row r="1022" spans="1:4" x14ac:dyDescent="0.2">
      <c r="A1022" s="90">
        <v>883</v>
      </c>
      <c r="B1022" s="91">
        <v>14132</v>
      </c>
      <c r="C1022" s="92" t="s">
        <v>405</v>
      </c>
      <c r="D1022" s="93">
        <v>2</v>
      </c>
    </row>
    <row r="1023" spans="1:4" x14ac:dyDescent="0.2">
      <c r="A1023" s="90">
        <v>883</v>
      </c>
      <c r="B1023" s="91">
        <v>14133</v>
      </c>
      <c r="C1023" s="92" t="s">
        <v>405</v>
      </c>
      <c r="D1023" s="93">
        <v>1</v>
      </c>
    </row>
    <row r="1024" spans="1:4" x14ac:dyDescent="0.2">
      <c r="A1024" s="90">
        <v>884</v>
      </c>
      <c r="B1024" s="91">
        <v>14134</v>
      </c>
      <c r="C1024" s="92" t="s">
        <v>406</v>
      </c>
      <c r="D1024" s="93" t="s">
        <v>218</v>
      </c>
    </row>
    <row r="1025" spans="1:4" x14ac:dyDescent="0.2">
      <c r="A1025" s="90">
        <v>885</v>
      </c>
      <c r="B1025" s="91">
        <v>14135</v>
      </c>
      <c r="C1025" s="92" t="s">
        <v>405</v>
      </c>
      <c r="D1025" s="93">
        <v>2</v>
      </c>
    </row>
    <row r="1026" spans="1:4" x14ac:dyDescent="0.2">
      <c r="A1026" s="90">
        <v>885</v>
      </c>
      <c r="B1026" s="91">
        <v>14136</v>
      </c>
      <c r="C1026" s="92" t="s">
        <v>405</v>
      </c>
      <c r="D1026" s="93">
        <v>1</v>
      </c>
    </row>
    <row r="1027" spans="1:4" x14ac:dyDescent="0.2">
      <c r="A1027" s="90">
        <v>886</v>
      </c>
      <c r="B1027" s="91">
        <v>14137</v>
      </c>
      <c r="C1027" s="92" t="s">
        <v>406</v>
      </c>
      <c r="D1027" s="93" t="s">
        <v>218</v>
      </c>
    </row>
    <row r="1028" spans="1:4" x14ac:dyDescent="0.2">
      <c r="A1028" s="90">
        <v>887</v>
      </c>
      <c r="B1028" s="91">
        <v>14144</v>
      </c>
      <c r="C1028" s="92" t="s">
        <v>405</v>
      </c>
      <c r="D1028" s="93">
        <v>2</v>
      </c>
    </row>
    <row r="1029" spans="1:4" x14ac:dyDescent="0.2">
      <c r="A1029" s="90">
        <v>887</v>
      </c>
      <c r="B1029" s="91">
        <v>14145</v>
      </c>
      <c r="C1029" s="92" t="s">
        <v>405</v>
      </c>
      <c r="D1029" s="93">
        <v>1</v>
      </c>
    </row>
    <row r="1030" spans="1:4" x14ac:dyDescent="0.2">
      <c r="A1030" s="90">
        <v>888</v>
      </c>
      <c r="B1030" s="91">
        <v>14146</v>
      </c>
      <c r="C1030" s="92" t="s">
        <v>406</v>
      </c>
      <c r="D1030" s="93" t="s">
        <v>218</v>
      </c>
    </row>
    <row r="1031" spans="1:4" x14ac:dyDescent="0.2">
      <c r="A1031" s="90">
        <v>889</v>
      </c>
      <c r="B1031" s="91">
        <v>278</v>
      </c>
      <c r="C1031" s="92" t="s">
        <v>405</v>
      </c>
      <c r="D1031" s="93">
        <v>2</v>
      </c>
    </row>
    <row r="1032" spans="1:4" x14ac:dyDescent="0.2">
      <c r="A1032" s="90">
        <v>889</v>
      </c>
      <c r="B1032" s="91">
        <v>289</v>
      </c>
      <c r="C1032" s="92" t="s">
        <v>405</v>
      </c>
      <c r="D1032" s="93">
        <v>1</v>
      </c>
    </row>
    <row r="1033" spans="1:4" x14ac:dyDescent="0.2">
      <c r="A1033" s="90">
        <v>890</v>
      </c>
      <c r="B1033" s="91">
        <v>14028</v>
      </c>
      <c r="C1033" s="92" t="s">
        <v>406</v>
      </c>
      <c r="D1033" s="93" t="s">
        <v>218</v>
      </c>
    </row>
    <row r="1034" spans="1:4" x14ac:dyDescent="0.2">
      <c r="A1034" s="90">
        <v>891</v>
      </c>
      <c r="B1034" s="91">
        <v>14099</v>
      </c>
      <c r="C1034" s="92" t="s">
        <v>406</v>
      </c>
      <c r="D1034" s="93" t="s">
        <v>218</v>
      </c>
    </row>
    <row r="1035" spans="1:4" x14ac:dyDescent="0.2">
      <c r="A1035" s="90">
        <v>892</v>
      </c>
      <c r="B1035" s="91">
        <v>14119</v>
      </c>
      <c r="C1035" s="92" t="s">
        <v>406</v>
      </c>
      <c r="D1035" s="93" t="s">
        <v>218</v>
      </c>
    </row>
    <row r="1036" spans="1:4" x14ac:dyDescent="0.2">
      <c r="A1036" s="90">
        <v>893</v>
      </c>
      <c r="B1036" s="91">
        <v>14120</v>
      </c>
      <c r="C1036" s="92" t="s">
        <v>406</v>
      </c>
      <c r="D1036" s="93" t="s">
        <v>218</v>
      </c>
    </row>
    <row r="1037" spans="1:4" x14ac:dyDescent="0.2">
      <c r="A1037" s="90">
        <v>894</v>
      </c>
      <c r="B1037" s="91">
        <v>300</v>
      </c>
      <c r="C1037" s="92" t="s">
        <v>363</v>
      </c>
      <c r="D1037" s="93" t="s">
        <v>218</v>
      </c>
    </row>
    <row r="1038" spans="1:4" x14ac:dyDescent="0.2">
      <c r="A1038" s="90">
        <v>895</v>
      </c>
      <c r="B1038" s="91">
        <v>311</v>
      </c>
      <c r="C1038" s="92" t="s">
        <v>363</v>
      </c>
      <c r="D1038" s="93" t="s">
        <v>218</v>
      </c>
    </row>
    <row r="1039" spans="1:4" x14ac:dyDescent="0.2">
      <c r="A1039" s="90">
        <v>896</v>
      </c>
      <c r="B1039" s="91">
        <v>312</v>
      </c>
      <c r="C1039" s="92" t="s">
        <v>363</v>
      </c>
      <c r="D1039" s="93" t="s">
        <v>218</v>
      </c>
    </row>
    <row r="1040" spans="1:4" x14ac:dyDescent="0.2">
      <c r="A1040" s="90">
        <v>897</v>
      </c>
      <c r="B1040" s="91">
        <v>14097</v>
      </c>
      <c r="C1040" s="92" t="s">
        <v>406</v>
      </c>
      <c r="D1040" s="93" t="s">
        <v>218</v>
      </c>
    </row>
    <row r="1041" spans="1:4" x14ac:dyDescent="0.2">
      <c r="A1041" s="90">
        <v>898</v>
      </c>
      <c r="B1041" s="91">
        <v>14098</v>
      </c>
      <c r="C1041" s="92" t="s">
        <v>406</v>
      </c>
      <c r="D1041" s="93" t="s">
        <v>218</v>
      </c>
    </row>
    <row r="1042" spans="1:4" x14ac:dyDescent="0.2">
      <c r="A1042" s="90">
        <v>899</v>
      </c>
      <c r="B1042" s="91">
        <v>281</v>
      </c>
      <c r="C1042" s="92" t="s">
        <v>407</v>
      </c>
      <c r="D1042" s="93" t="s">
        <v>218</v>
      </c>
    </row>
    <row r="1043" spans="1:4" x14ac:dyDescent="0.2">
      <c r="A1043" s="90">
        <v>900</v>
      </c>
      <c r="B1043" s="91">
        <v>282</v>
      </c>
      <c r="C1043" s="92" t="s">
        <v>407</v>
      </c>
      <c r="D1043" s="93" t="s">
        <v>218</v>
      </c>
    </row>
    <row r="1044" spans="1:4" x14ac:dyDescent="0.2">
      <c r="A1044" s="90">
        <v>901</v>
      </c>
      <c r="B1044" s="91">
        <v>283</v>
      </c>
      <c r="C1044" s="92" t="s">
        <v>407</v>
      </c>
      <c r="D1044" s="93" t="s">
        <v>218</v>
      </c>
    </row>
    <row r="1045" spans="1:4" x14ac:dyDescent="0.2">
      <c r="A1045" s="90">
        <v>902</v>
      </c>
      <c r="B1045" s="91">
        <v>284</v>
      </c>
      <c r="C1045" s="92" t="s">
        <v>407</v>
      </c>
      <c r="D1045" s="93" t="s">
        <v>218</v>
      </c>
    </row>
    <row r="1046" spans="1:4" x14ac:dyDescent="0.2">
      <c r="A1046" s="90">
        <v>903</v>
      </c>
      <c r="B1046" s="91">
        <v>285</v>
      </c>
      <c r="C1046" s="92" t="s">
        <v>407</v>
      </c>
      <c r="D1046" s="93" t="s">
        <v>218</v>
      </c>
    </row>
    <row r="1047" spans="1:4" x14ac:dyDescent="0.2">
      <c r="A1047" s="90">
        <v>904</v>
      </c>
      <c r="B1047" s="91">
        <v>286</v>
      </c>
      <c r="C1047" s="92" t="s">
        <v>408</v>
      </c>
      <c r="D1047" s="93" t="s">
        <v>218</v>
      </c>
    </row>
    <row r="1048" spans="1:4" x14ac:dyDescent="0.2">
      <c r="A1048" s="90">
        <v>905</v>
      </c>
      <c r="B1048" s="91">
        <v>287</v>
      </c>
      <c r="C1048" s="92" t="s">
        <v>408</v>
      </c>
      <c r="D1048" s="93" t="s">
        <v>218</v>
      </c>
    </row>
    <row r="1049" spans="1:4" x14ac:dyDescent="0.2">
      <c r="A1049" s="90">
        <v>906</v>
      </c>
      <c r="B1049" s="91">
        <v>288</v>
      </c>
      <c r="C1049" s="92" t="s">
        <v>408</v>
      </c>
      <c r="D1049" s="93" t="s">
        <v>218</v>
      </c>
    </row>
    <row r="1050" spans="1:4" x14ac:dyDescent="0.2">
      <c r="A1050" s="90">
        <v>907</v>
      </c>
      <c r="B1050" s="91">
        <v>292</v>
      </c>
      <c r="C1050" s="92" t="s">
        <v>409</v>
      </c>
      <c r="D1050" s="93" t="s">
        <v>218</v>
      </c>
    </row>
    <row r="1051" spans="1:4" x14ac:dyDescent="0.2">
      <c r="A1051" s="90">
        <v>908</v>
      </c>
      <c r="B1051" s="91">
        <v>293</v>
      </c>
      <c r="C1051" s="92" t="s">
        <v>409</v>
      </c>
      <c r="D1051" s="93" t="s">
        <v>218</v>
      </c>
    </row>
    <row r="1052" spans="1:4" x14ac:dyDescent="0.2">
      <c r="A1052" s="90">
        <v>909</v>
      </c>
      <c r="B1052" s="91">
        <v>294</v>
      </c>
      <c r="C1052" s="92" t="s">
        <v>409</v>
      </c>
      <c r="D1052" s="93" t="s">
        <v>218</v>
      </c>
    </row>
    <row r="1053" spans="1:4" x14ac:dyDescent="0.2">
      <c r="A1053" s="90">
        <v>910</v>
      </c>
      <c r="B1053" s="91">
        <v>295</v>
      </c>
      <c r="C1053" s="92" t="s">
        <v>409</v>
      </c>
      <c r="D1053" s="93" t="s">
        <v>218</v>
      </c>
    </row>
    <row r="1054" spans="1:4" x14ac:dyDescent="0.2">
      <c r="A1054" s="90">
        <v>911</v>
      </c>
      <c r="B1054" s="91">
        <v>296</v>
      </c>
      <c r="C1054" s="92" t="s">
        <v>409</v>
      </c>
      <c r="D1054" s="93" t="s">
        <v>218</v>
      </c>
    </row>
    <row r="1055" spans="1:4" x14ac:dyDescent="0.2">
      <c r="A1055" s="90">
        <v>912</v>
      </c>
      <c r="B1055" s="91">
        <v>297</v>
      </c>
      <c r="C1055" s="92" t="s">
        <v>409</v>
      </c>
      <c r="D1055" s="93" t="s">
        <v>218</v>
      </c>
    </row>
    <row r="1056" spans="1:4" x14ac:dyDescent="0.2">
      <c r="A1056" s="90">
        <v>913</v>
      </c>
      <c r="B1056" s="91">
        <v>298</v>
      </c>
      <c r="C1056" s="92" t="s">
        <v>409</v>
      </c>
      <c r="D1056" s="93" t="s">
        <v>218</v>
      </c>
    </row>
    <row r="1057" spans="1:4" x14ac:dyDescent="0.2">
      <c r="A1057" s="90">
        <v>914</v>
      </c>
      <c r="B1057" s="91">
        <v>299</v>
      </c>
      <c r="C1057" s="92" t="s">
        <v>410</v>
      </c>
      <c r="D1057" s="93">
        <v>1</v>
      </c>
    </row>
    <row r="1058" spans="1:4" x14ac:dyDescent="0.2">
      <c r="A1058" s="90">
        <v>915</v>
      </c>
      <c r="B1058" s="91">
        <v>313</v>
      </c>
      <c r="C1058" s="92" t="s">
        <v>363</v>
      </c>
      <c r="D1058" s="93">
        <v>2</v>
      </c>
    </row>
    <row r="1059" spans="1:4" x14ac:dyDescent="0.2">
      <c r="A1059" s="90">
        <v>915</v>
      </c>
      <c r="B1059" s="91">
        <v>314</v>
      </c>
      <c r="C1059" s="92" t="s">
        <v>363</v>
      </c>
      <c r="D1059" s="93">
        <v>1</v>
      </c>
    </row>
    <row r="1060" spans="1:4" x14ac:dyDescent="0.2">
      <c r="A1060" s="90">
        <v>916</v>
      </c>
      <c r="B1060" s="91">
        <v>315</v>
      </c>
      <c r="C1060" s="92" t="s">
        <v>363</v>
      </c>
      <c r="D1060" s="93">
        <v>2</v>
      </c>
    </row>
    <row r="1061" spans="1:4" x14ac:dyDescent="0.2">
      <c r="A1061" s="90">
        <v>916</v>
      </c>
      <c r="B1061" s="91">
        <v>316</v>
      </c>
      <c r="C1061" s="92" t="s">
        <v>363</v>
      </c>
      <c r="D1061" s="93">
        <v>1</v>
      </c>
    </row>
    <row r="1062" spans="1:4" x14ac:dyDescent="0.2">
      <c r="A1062" s="90">
        <v>917</v>
      </c>
      <c r="B1062" s="91">
        <v>279</v>
      </c>
      <c r="C1062" s="92" t="s">
        <v>363</v>
      </c>
      <c r="D1062" s="93">
        <v>2</v>
      </c>
    </row>
    <row r="1063" spans="1:4" x14ac:dyDescent="0.2">
      <c r="A1063" s="90">
        <v>917</v>
      </c>
      <c r="B1063" s="91">
        <v>280</v>
      </c>
      <c r="C1063" s="92" t="s">
        <v>363</v>
      </c>
      <c r="D1063" s="93">
        <v>1</v>
      </c>
    </row>
    <row r="1064" spans="1:4" x14ac:dyDescent="0.2">
      <c r="A1064" s="90">
        <v>918</v>
      </c>
      <c r="B1064" s="91">
        <v>290</v>
      </c>
      <c r="C1064" s="92" t="s">
        <v>298</v>
      </c>
      <c r="D1064" s="93">
        <v>1</v>
      </c>
    </row>
    <row r="1065" spans="1:4" x14ac:dyDescent="0.2">
      <c r="A1065" s="90">
        <v>918</v>
      </c>
      <c r="B1065" s="91">
        <v>291</v>
      </c>
      <c r="C1065" s="92" t="s">
        <v>298</v>
      </c>
      <c r="D1065" s="93">
        <v>1</v>
      </c>
    </row>
    <row r="1066" spans="1:4" x14ac:dyDescent="0.2">
      <c r="A1066" s="90">
        <v>919</v>
      </c>
      <c r="B1066" s="91">
        <v>57</v>
      </c>
      <c r="C1066" s="92" t="s">
        <v>411</v>
      </c>
      <c r="D1066" s="93">
        <v>1</v>
      </c>
    </row>
    <row r="1067" spans="1:4" x14ac:dyDescent="0.2">
      <c r="A1067" s="90">
        <v>919</v>
      </c>
      <c r="B1067" s="91">
        <v>278</v>
      </c>
      <c r="C1067" s="92" t="s">
        <v>411</v>
      </c>
      <c r="D1067" s="93">
        <v>2</v>
      </c>
    </row>
    <row r="1068" spans="1:4" x14ac:dyDescent="0.2">
      <c r="A1068" s="90">
        <v>920</v>
      </c>
      <c r="B1068" s="91">
        <v>57</v>
      </c>
      <c r="C1068" s="92" t="s">
        <v>411</v>
      </c>
      <c r="D1068" s="93">
        <v>1</v>
      </c>
    </row>
    <row r="1069" spans="1:4" x14ac:dyDescent="0.2">
      <c r="A1069" s="90">
        <v>920</v>
      </c>
      <c r="B1069" s="91">
        <v>278</v>
      </c>
      <c r="C1069" s="92" t="s">
        <v>411</v>
      </c>
      <c r="D1069" s="93">
        <v>2</v>
      </c>
    </row>
    <row r="1070" spans="1:4" x14ac:dyDescent="0.2">
      <c r="A1070" s="90">
        <v>922</v>
      </c>
      <c r="B1070" s="91">
        <v>301</v>
      </c>
      <c r="C1070" s="92" t="s">
        <v>321</v>
      </c>
      <c r="D1070" s="93">
        <v>1</v>
      </c>
    </row>
    <row r="1071" spans="1:4" x14ac:dyDescent="0.2">
      <c r="A1071" s="90">
        <v>923</v>
      </c>
      <c r="B1071" s="91">
        <v>302</v>
      </c>
      <c r="C1071" s="92" t="s">
        <v>321</v>
      </c>
      <c r="D1071" s="93">
        <v>1</v>
      </c>
    </row>
    <row r="1072" spans="1:4" x14ac:dyDescent="0.2">
      <c r="A1072" s="90">
        <v>924</v>
      </c>
      <c r="B1072" s="91">
        <v>303</v>
      </c>
      <c r="C1072" s="92" t="s">
        <v>321</v>
      </c>
      <c r="D1072" s="93">
        <v>1</v>
      </c>
    </row>
    <row r="1073" spans="1:4" x14ac:dyDescent="0.2">
      <c r="A1073" s="90">
        <v>925</v>
      </c>
      <c r="B1073" s="91">
        <v>259</v>
      </c>
      <c r="C1073" s="92" t="s">
        <v>412</v>
      </c>
      <c r="D1073" s="93" t="s">
        <v>351</v>
      </c>
    </row>
    <row r="1074" spans="1:4" x14ac:dyDescent="0.2">
      <c r="A1074" s="90">
        <v>925</v>
      </c>
      <c r="B1074" s="91">
        <v>307</v>
      </c>
      <c r="C1074" s="92" t="s">
        <v>412</v>
      </c>
      <c r="D1074" s="93" t="s">
        <v>351</v>
      </c>
    </row>
    <row r="1075" spans="1:4" x14ac:dyDescent="0.2">
      <c r="A1075" s="90">
        <v>926</v>
      </c>
      <c r="B1075" s="91">
        <v>261</v>
      </c>
      <c r="C1075" s="92" t="s">
        <v>352</v>
      </c>
      <c r="D1075" s="93" t="s">
        <v>351</v>
      </c>
    </row>
    <row r="1076" spans="1:4" x14ac:dyDescent="0.2">
      <c r="A1076" s="90">
        <v>926</v>
      </c>
      <c r="B1076" s="91">
        <v>308</v>
      </c>
      <c r="C1076" s="92" t="s">
        <v>352</v>
      </c>
      <c r="D1076" s="93" t="s">
        <v>351</v>
      </c>
    </row>
    <row r="1077" spans="1:4" x14ac:dyDescent="0.2">
      <c r="A1077" s="90">
        <v>927</v>
      </c>
      <c r="B1077" s="91">
        <v>263</v>
      </c>
      <c r="C1077" s="92" t="s">
        <v>354</v>
      </c>
      <c r="D1077" s="93" t="s">
        <v>351</v>
      </c>
    </row>
    <row r="1078" spans="1:4" x14ac:dyDescent="0.2">
      <c r="A1078" s="90">
        <v>927</v>
      </c>
      <c r="B1078" s="91">
        <v>309</v>
      </c>
      <c r="C1078" s="92" t="s">
        <v>354</v>
      </c>
      <c r="D1078" s="93" t="s">
        <v>351</v>
      </c>
    </row>
    <row r="1079" spans="1:4" x14ac:dyDescent="0.2">
      <c r="A1079" s="90">
        <v>928</v>
      </c>
      <c r="B1079" s="91">
        <v>265</v>
      </c>
      <c r="C1079" s="92" t="s">
        <v>353</v>
      </c>
      <c r="D1079" s="93" t="s">
        <v>351</v>
      </c>
    </row>
    <row r="1080" spans="1:4" x14ac:dyDescent="0.2">
      <c r="A1080" s="90">
        <v>928</v>
      </c>
      <c r="B1080" s="91">
        <v>310</v>
      </c>
      <c r="C1080" s="92" t="s">
        <v>353</v>
      </c>
      <c r="D1080" s="93" t="s">
        <v>351</v>
      </c>
    </row>
    <row r="1081" spans="1:4" x14ac:dyDescent="0.2">
      <c r="A1081" s="90">
        <v>929</v>
      </c>
      <c r="B1081" s="91">
        <v>14041</v>
      </c>
      <c r="C1081" s="92" t="s">
        <v>407</v>
      </c>
      <c r="D1081" s="93" t="s">
        <v>218</v>
      </c>
    </row>
    <row r="1082" spans="1:4" x14ac:dyDescent="0.2">
      <c r="A1082" s="90">
        <v>930</v>
      </c>
      <c r="B1082" s="91">
        <v>14053</v>
      </c>
      <c r="C1082" s="92" t="s">
        <v>407</v>
      </c>
      <c r="D1082" s="93" t="s">
        <v>218</v>
      </c>
    </row>
    <row r="1083" spans="1:4" x14ac:dyDescent="0.2">
      <c r="A1083" s="90">
        <v>931</v>
      </c>
      <c r="B1083" s="91">
        <v>14056</v>
      </c>
      <c r="C1083" s="92" t="s">
        <v>407</v>
      </c>
      <c r="D1083" s="93" t="s">
        <v>218</v>
      </c>
    </row>
    <row r="1084" spans="1:4" x14ac:dyDescent="0.2">
      <c r="A1084" s="90">
        <v>932</v>
      </c>
      <c r="B1084" s="91">
        <v>191</v>
      </c>
      <c r="C1084" s="92" t="s">
        <v>413</v>
      </c>
      <c r="D1084" s="93">
        <v>2</v>
      </c>
    </row>
    <row r="1085" spans="1:4" x14ac:dyDescent="0.2">
      <c r="A1085" s="90">
        <v>932</v>
      </c>
      <c r="B1085" s="91">
        <v>353</v>
      </c>
      <c r="C1085" s="92" t="s">
        <v>413</v>
      </c>
      <c r="D1085" s="93">
        <v>1</v>
      </c>
    </row>
    <row r="1086" spans="1:4" x14ac:dyDescent="0.2">
      <c r="A1086" s="90">
        <v>932</v>
      </c>
      <c r="B1086" s="91">
        <v>354</v>
      </c>
      <c r="C1086" s="92" t="s">
        <v>413</v>
      </c>
      <c r="D1086" s="93">
        <v>1</v>
      </c>
    </row>
    <row r="1087" spans="1:4" x14ac:dyDescent="0.2">
      <c r="A1087" s="90">
        <v>932</v>
      </c>
      <c r="B1087" s="91">
        <v>355</v>
      </c>
      <c r="C1087" s="92" t="s">
        <v>413</v>
      </c>
      <c r="D1087" s="93">
        <v>1</v>
      </c>
    </row>
    <row r="1088" spans="1:4" x14ac:dyDescent="0.2">
      <c r="A1088" s="90">
        <v>933</v>
      </c>
      <c r="B1088" s="91">
        <v>14147</v>
      </c>
      <c r="C1088" s="92" t="s">
        <v>405</v>
      </c>
      <c r="D1088" s="93">
        <v>2</v>
      </c>
    </row>
    <row r="1089" spans="1:4" x14ac:dyDescent="0.2">
      <c r="A1089" s="90">
        <v>933</v>
      </c>
      <c r="B1089" s="91">
        <v>14148</v>
      </c>
      <c r="C1089" s="92" t="s">
        <v>405</v>
      </c>
      <c r="D1089" s="93">
        <v>1</v>
      </c>
    </row>
    <row r="1090" spans="1:4" x14ac:dyDescent="0.2">
      <c r="A1090" s="90">
        <v>934</v>
      </c>
      <c r="B1090" s="91">
        <v>14149</v>
      </c>
      <c r="C1090" s="92" t="s">
        <v>406</v>
      </c>
      <c r="D1090" s="93" t="s">
        <v>218</v>
      </c>
    </row>
    <row r="1091" spans="1:4" x14ac:dyDescent="0.2">
      <c r="A1091" s="90">
        <v>935</v>
      </c>
      <c r="B1091" s="91">
        <v>374</v>
      </c>
      <c r="C1091" s="92" t="s">
        <v>414</v>
      </c>
      <c r="D1091" s="93" t="s">
        <v>465</v>
      </c>
    </row>
    <row r="1092" spans="1:4" x14ac:dyDescent="0.2">
      <c r="A1092" s="90">
        <v>935</v>
      </c>
      <c r="B1092" s="91">
        <v>375</v>
      </c>
      <c r="C1092" s="92" t="s">
        <v>414</v>
      </c>
      <c r="D1092" s="93" t="s">
        <v>463</v>
      </c>
    </row>
    <row r="1093" spans="1:4" x14ac:dyDescent="0.2">
      <c r="A1093" s="90">
        <v>936</v>
      </c>
      <c r="B1093" s="91">
        <v>1422</v>
      </c>
      <c r="C1093" s="92" t="s">
        <v>414</v>
      </c>
      <c r="D1093" s="93">
        <v>1</v>
      </c>
    </row>
    <row r="1094" spans="1:4" x14ac:dyDescent="0.2">
      <c r="A1094" s="90">
        <v>936</v>
      </c>
      <c r="B1094" s="91">
        <v>1423</v>
      </c>
      <c r="C1094" s="92" t="s">
        <v>414</v>
      </c>
      <c r="D1094" s="93">
        <v>2</v>
      </c>
    </row>
    <row r="1095" spans="1:4" x14ac:dyDescent="0.2">
      <c r="A1095" s="90">
        <v>937</v>
      </c>
      <c r="B1095" s="91">
        <v>14150</v>
      </c>
      <c r="C1095" s="92" t="s">
        <v>414</v>
      </c>
      <c r="D1095" s="93">
        <v>2</v>
      </c>
    </row>
    <row r="1096" spans="1:4" x14ac:dyDescent="0.2">
      <c r="A1096" s="90">
        <v>937</v>
      </c>
      <c r="B1096" s="91">
        <v>14151</v>
      </c>
      <c r="C1096" s="92" t="s">
        <v>414</v>
      </c>
      <c r="D1096" s="93">
        <v>1</v>
      </c>
    </row>
    <row r="1097" spans="1:4" x14ac:dyDescent="0.2">
      <c r="A1097" s="90">
        <v>938</v>
      </c>
      <c r="B1097" s="91">
        <v>376</v>
      </c>
      <c r="C1097" s="92" t="s">
        <v>414</v>
      </c>
      <c r="D1097" s="93">
        <v>2</v>
      </c>
    </row>
    <row r="1098" spans="1:4" x14ac:dyDescent="0.2">
      <c r="A1098" s="90">
        <v>938</v>
      </c>
      <c r="B1098" s="91">
        <v>377</v>
      </c>
      <c r="C1098" s="92" t="s">
        <v>414</v>
      </c>
      <c r="D1098" s="93">
        <v>1</v>
      </c>
    </row>
    <row r="1099" spans="1:4" x14ac:dyDescent="0.2">
      <c r="A1099" s="90">
        <v>939</v>
      </c>
      <c r="B1099" s="91">
        <v>395</v>
      </c>
      <c r="C1099" s="92" t="s">
        <v>414</v>
      </c>
      <c r="D1099" s="93">
        <v>2</v>
      </c>
    </row>
    <row r="1100" spans="1:4" x14ac:dyDescent="0.2">
      <c r="A1100" s="90">
        <v>939</v>
      </c>
      <c r="B1100" s="91">
        <v>396</v>
      </c>
      <c r="C1100" s="92" t="s">
        <v>414</v>
      </c>
      <c r="D1100" s="93">
        <v>1</v>
      </c>
    </row>
    <row r="1101" spans="1:4" x14ac:dyDescent="0.2">
      <c r="A1101" s="90">
        <v>940</v>
      </c>
      <c r="B1101" s="91">
        <v>397</v>
      </c>
      <c r="C1101" s="92" t="s">
        <v>415</v>
      </c>
      <c r="D1101" s="93" t="s">
        <v>373</v>
      </c>
    </row>
    <row r="1102" spans="1:4" x14ac:dyDescent="0.2">
      <c r="A1102" s="90">
        <v>941</v>
      </c>
      <c r="B1102" s="91">
        <v>398</v>
      </c>
      <c r="C1102" s="92" t="s">
        <v>416</v>
      </c>
      <c r="D1102" s="93" t="s">
        <v>373</v>
      </c>
    </row>
    <row r="1103" spans="1:4" x14ac:dyDescent="0.2">
      <c r="A1103" s="90">
        <v>942</v>
      </c>
      <c r="B1103" s="91">
        <v>400</v>
      </c>
      <c r="C1103" s="92" t="s">
        <v>266</v>
      </c>
      <c r="D1103" s="93">
        <v>1</v>
      </c>
    </row>
    <row r="1104" spans="1:4" x14ac:dyDescent="0.2">
      <c r="A1104" s="90">
        <v>942</v>
      </c>
      <c r="B1104" s="91">
        <v>401</v>
      </c>
      <c r="C1104" s="92" t="s">
        <v>266</v>
      </c>
      <c r="D1104" s="93">
        <v>2</v>
      </c>
    </row>
    <row r="1105" spans="1:4" x14ac:dyDescent="0.2">
      <c r="A1105" s="90">
        <v>943</v>
      </c>
      <c r="B1105" s="91">
        <v>404</v>
      </c>
      <c r="C1105" s="92" t="s">
        <v>256</v>
      </c>
      <c r="D1105" s="93">
        <v>1</v>
      </c>
    </row>
    <row r="1106" spans="1:4" x14ac:dyDescent="0.2">
      <c r="A1106" s="90">
        <v>943</v>
      </c>
      <c r="B1106" s="91">
        <v>405</v>
      </c>
      <c r="C1106" s="92" t="s">
        <v>256</v>
      </c>
      <c r="D1106" s="93">
        <v>2</v>
      </c>
    </row>
    <row r="1107" spans="1:4" x14ac:dyDescent="0.2">
      <c r="A1107" s="90">
        <v>944</v>
      </c>
      <c r="B1107" s="91">
        <v>406</v>
      </c>
      <c r="C1107" s="92" t="s">
        <v>256</v>
      </c>
      <c r="D1107" s="93">
        <v>1</v>
      </c>
    </row>
    <row r="1108" spans="1:4" x14ac:dyDescent="0.2">
      <c r="A1108" s="90">
        <v>944</v>
      </c>
      <c r="B1108" s="91">
        <v>407</v>
      </c>
      <c r="C1108" s="92" t="s">
        <v>256</v>
      </c>
      <c r="D1108" s="93">
        <v>2</v>
      </c>
    </row>
    <row r="1109" spans="1:4" x14ac:dyDescent="0.2">
      <c r="A1109" s="90">
        <v>945</v>
      </c>
      <c r="B1109" s="91">
        <v>408</v>
      </c>
      <c r="C1109" s="92" t="s">
        <v>256</v>
      </c>
      <c r="D1109" s="93">
        <v>1</v>
      </c>
    </row>
    <row r="1110" spans="1:4" x14ac:dyDescent="0.2">
      <c r="A1110" s="90">
        <v>945</v>
      </c>
      <c r="B1110" s="91">
        <v>409</v>
      </c>
      <c r="C1110" s="92" t="s">
        <v>256</v>
      </c>
      <c r="D1110" s="93">
        <v>2</v>
      </c>
    </row>
    <row r="1111" spans="1:4" x14ac:dyDescent="0.2">
      <c r="A1111" s="90">
        <v>946</v>
      </c>
      <c r="B1111" s="91">
        <v>410</v>
      </c>
      <c r="C1111" s="92" t="s">
        <v>256</v>
      </c>
      <c r="D1111" s="93">
        <v>1</v>
      </c>
    </row>
    <row r="1112" spans="1:4" x14ac:dyDescent="0.2">
      <c r="A1112" s="90">
        <v>946</v>
      </c>
      <c r="B1112" s="91">
        <v>411</v>
      </c>
      <c r="C1112" s="92" t="s">
        <v>256</v>
      </c>
      <c r="D1112" s="93">
        <v>2</v>
      </c>
    </row>
    <row r="1113" spans="1:4" x14ac:dyDescent="0.2">
      <c r="A1113" s="90">
        <v>947</v>
      </c>
      <c r="B1113" s="91">
        <v>412</v>
      </c>
      <c r="C1113" s="92" t="s">
        <v>417</v>
      </c>
      <c r="D1113" s="93">
        <v>2</v>
      </c>
    </row>
    <row r="1114" spans="1:4" x14ac:dyDescent="0.2">
      <c r="A1114" s="90">
        <v>947</v>
      </c>
      <c r="B1114" s="91">
        <v>413</v>
      </c>
      <c r="C1114" s="92" t="s">
        <v>417</v>
      </c>
      <c r="D1114" s="93">
        <v>1</v>
      </c>
    </row>
    <row r="1115" spans="1:4" x14ac:dyDescent="0.2">
      <c r="A1115" s="90">
        <v>947</v>
      </c>
      <c r="B1115" s="91">
        <v>414</v>
      </c>
      <c r="C1115" s="92" t="s">
        <v>417</v>
      </c>
      <c r="D1115" s="93">
        <v>1</v>
      </c>
    </row>
    <row r="1116" spans="1:4" x14ac:dyDescent="0.2">
      <c r="A1116" s="90">
        <v>948</v>
      </c>
      <c r="B1116" s="91">
        <v>415</v>
      </c>
      <c r="C1116" s="92" t="s">
        <v>418</v>
      </c>
      <c r="D1116" s="93" t="s">
        <v>465</v>
      </c>
    </row>
    <row r="1117" spans="1:4" x14ac:dyDescent="0.2">
      <c r="A1117" s="90">
        <v>948</v>
      </c>
      <c r="B1117" s="91">
        <v>416</v>
      </c>
      <c r="C1117" s="92" t="s">
        <v>418</v>
      </c>
      <c r="D1117" s="93">
        <v>1</v>
      </c>
    </row>
    <row r="1118" spans="1:4" x14ac:dyDescent="0.2">
      <c r="A1118" s="90">
        <v>949</v>
      </c>
      <c r="B1118" s="91">
        <v>417</v>
      </c>
      <c r="C1118" s="92" t="s">
        <v>495</v>
      </c>
      <c r="D1118" s="93">
        <v>1</v>
      </c>
    </row>
    <row r="1119" spans="1:4" x14ac:dyDescent="0.2">
      <c r="A1119" s="90">
        <v>949</v>
      </c>
      <c r="B1119" s="91">
        <v>418</v>
      </c>
      <c r="C1119" s="92" t="s">
        <v>495</v>
      </c>
      <c r="D1119" s="93">
        <v>2</v>
      </c>
    </row>
    <row r="1120" spans="1:4" x14ac:dyDescent="0.2">
      <c r="A1120" s="90">
        <v>950</v>
      </c>
      <c r="B1120" s="91">
        <v>419</v>
      </c>
      <c r="C1120" s="92" t="s">
        <v>496</v>
      </c>
      <c r="D1120" s="93" t="s">
        <v>218</v>
      </c>
    </row>
    <row r="1121" spans="1:4" x14ac:dyDescent="0.2">
      <c r="A1121" s="90">
        <v>951</v>
      </c>
      <c r="B1121" s="91">
        <v>420</v>
      </c>
      <c r="C1121" s="92" t="s">
        <v>497</v>
      </c>
      <c r="D1121" s="93" t="s">
        <v>218</v>
      </c>
    </row>
    <row r="1122" spans="1:4" x14ac:dyDescent="0.2">
      <c r="A1122" s="90">
        <v>952</v>
      </c>
      <c r="B1122" s="91">
        <v>421</v>
      </c>
      <c r="C1122" s="92" t="s">
        <v>498</v>
      </c>
      <c r="D1122" s="93">
        <v>1</v>
      </c>
    </row>
    <row r="1123" spans="1:4" x14ac:dyDescent="0.2">
      <c r="A1123" s="90">
        <v>952</v>
      </c>
      <c r="B1123" s="91">
        <v>422</v>
      </c>
      <c r="C1123" s="92" t="s">
        <v>498</v>
      </c>
      <c r="D1123" s="93">
        <v>2</v>
      </c>
    </row>
    <row r="1124" spans="1:4" x14ac:dyDescent="0.2">
      <c r="A1124" s="90">
        <v>953</v>
      </c>
      <c r="B1124" s="91">
        <v>423</v>
      </c>
      <c r="C1124" s="92" t="s">
        <v>419</v>
      </c>
      <c r="D1124" s="93">
        <v>1</v>
      </c>
    </row>
    <row r="1125" spans="1:4" x14ac:dyDescent="0.2">
      <c r="A1125" s="90">
        <v>953</v>
      </c>
      <c r="B1125" s="91">
        <v>424</v>
      </c>
      <c r="C1125" s="92" t="s">
        <v>419</v>
      </c>
      <c r="D1125" s="93" t="s">
        <v>463</v>
      </c>
    </row>
    <row r="1126" spans="1:4" x14ac:dyDescent="0.2">
      <c r="A1126" s="90">
        <v>954</v>
      </c>
      <c r="B1126" s="91">
        <v>425</v>
      </c>
      <c r="C1126" s="92" t="s">
        <v>420</v>
      </c>
      <c r="D1126" s="93" t="s">
        <v>465</v>
      </c>
    </row>
    <row r="1127" spans="1:4" x14ac:dyDescent="0.2">
      <c r="A1127" s="90">
        <v>954</v>
      </c>
      <c r="B1127" s="91">
        <v>426</v>
      </c>
      <c r="C1127" s="92" t="s">
        <v>420</v>
      </c>
      <c r="D1127" s="93" t="s">
        <v>463</v>
      </c>
    </row>
    <row r="1128" spans="1:4" x14ac:dyDescent="0.2">
      <c r="A1128" s="90">
        <v>954</v>
      </c>
      <c r="B1128" s="91">
        <v>427</v>
      </c>
      <c r="C1128" s="92" t="s">
        <v>420</v>
      </c>
      <c r="D1128" s="93" t="s">
        <v>463</v>
      </c>
    </row>
    <row r="1129" spans="1:4" x14ac:dyDescent="0.2">
      <c r="A1129" s="90">
        <v>955</v>
      </c>
      <c r="B1129" s="91">
        <v>206</v>
      </c>
      <c r="C1129" s="92" t="s">
        <v>421</v>
      </c>
      <c r="D1129" s="93">
        <v>2</v>
      </c>
    </row>
    <row r="1130" spans="1:4" x14ac:dyDescent="0.2">
      <c r="A1130" s="90">
        <v>955</v>
      </c>
      <c r="B1130" s="91">
        <v>428</v>
      </c>
      <c r="C1130" s="92" t="s">
        <v>421</v>
      </c>
      <c r="D1130" s="93">
        <v>1</v>
      </c>
    </row>
    <row r="1131" spans="1:4" x14ac:dyDescent="0.2">
      <c r="A1131" s="90">
        <v>955</v>
      </c>
      <c r="B1131" s="91">
        <v>429</v>
      </c>
      <c r="C1131" s="92" t="s">
        <v>421</v>
      </c>
      <c r="D1131" s="93">
        <v>2</v>
      </c>
    </row>
    <row r="1132" spans="1:4" x14ac:dyDescent="0.2">
      <c r="A1132" s="90">
        <v>955</v>
      </c>
      <c r="B1132" s="91">
        <v>430</v>
      </c>
      <c r="C1132" s="92" t="s">
        <v>421</v>
      </c>
      <c r="D1132" s="93">
        <v>1</v>
      </c>
    </row>
    <row r="1133" spans="1:4" x14ac:dyDescent="0.2">
      <c r="A1133" s="90">
        <v>956</v>
      </c>
      <c r="B1133" s="91">
        <v>160</v>
      </c>
      <c r="C1133" s="92" t="s">
        <v>422</v>
      </c>
      <c r="D1133" s="93">
        <v>2</v>
      </c>
    </row>
    <row r="1134" spans="1:4" x14ac:dyDescent="0.2">
      <c r="A1134" s="90">
        <v>956</v>
      </c>
      <c r="B1134" s="91">
        <v>427</v>
      </c>
      <c r="C1134" s="92" t="s">
        <v>422</v>
      </c>
      <c r="D1134" s="93">
        <v>1</v>
      </c>
    </row>
    <row r="1135" spans="1:4" x14ac:dyDescent="0.2">
      <c r="A1135" s="90">
        <v>956</v>
      </c>
      <c r="B1135" s="91">
        <v>431</v>
      </c>
      <c r="C1135" s="92" t="s">
        <v>422</v>
      </c>
      <c r="D1135" s="93">
        <v>2</v>
      </c>
    </row>
    <row r="1136" spans="1:4" x14ac:dyDescent="0.2">
      <c r="A1136" s="90">
        <v>956</v>
      </c>
      <c r="B1136" s="91">
        <v>432</v>
      </c>
      <c r="C1136" s="92" t="s">
        <v>422</v>
      </c>
      <c r="D1136" s="93">
        <v>1</v>
      </c>
    </row>
    <row r="1137" spans="1:4" x14ac:dyDescent="0.2">
      <c r="A1137" s="90">
        <v>957</v>
      </c>
      <c r="B1137" s="91">
        <v>432</v>
      </c>
      <c r="C1137" s="92" t="s">
        <v>423</v>
      </c>
      <c r="D1137" s="93">
        <v>1</v>
      </c>
    </row>
    <row r="1138" spans="1:4" x14ac:dyDescent="0.2">
      <c r="A1138" s="90">
        <v>957</v>
      </c>
      <c r="B1138" s="91">
        <v>433</v>
      </c>
      <c r="C1138" s="92" t="s">
        <v>423</v>
      </c>
      <c r="D1138" s="93">
        <v>2</v>
      </c>
    </row>
    <row r="1139" spans="1:4" x14ac:dyDescent="0.2">
      <c r="A1139" s="90">
        <v>958</v>
      </c>
      <c r="B1139" s="91">
        <v>434</v>
      </c>
      <c r="C1139" s="92" t="s">
        <v>424</v>
      </c>
      <c r="D1139" s="93">
        <v>2</v>
      </c>
    </row>
    <row r="1140" spans="1:4" x14ac:dyDescent="0.2">
      <c r="A1140" s="90">
        <v>958</v>
      </c>
      <c r="B1140" s="91">
        <v>435</v>
      </c>
      <c r="C1140" s="92" t="s">
        <v>424</v>
      </c>
      <c r="D1140" s="93">
        <v>1</v>
      </c>
    </row>
    <row r="1141" spans="1:4" x14ac:dyDescent="0.2">
      <c r="A1141" s="90">
        <v>959</v>
      </c>
      <c r="B1141" s="91">
        <v>160</v>
      </c>
      <c r="C1141" s="92" t="s">
        <v>425</v>
      </c>
      <c r="D1141" s="93">
        <v>2</v>
      </c>
    </row>
    <row r="1142" spans="1:4" x14ac:dyDescent="0.2">
      <c r="A1142" s="90">
        <v>959</v>
      </c>
      <c r="B1142" s="91">
        <v>432</v>
      </c>
      <c r="C1142" s="92" t="s">
        <v>425</v>
      </c>
      <c r="D1142" s="93">
        <v>1</v>
      </c>
    </row>
    <row r="1143" spans="1:4" x14ac:dyDescent="0.2">
      <c r="A1143" s="90">
        <v>959</v>
      </c>
      <c r="B1143" s="91">
        <v>436</v>
      </c>
      <c r="C1143" s="92" t="s">
        <v>425</v>
      </c>
      <c r="D1143" s="93">
        <v>2</v>
      </c>
    </row>
    <row r="1144" spans="1:4" x14ac:dyDescent="0.2">
      <c r="A1144" s="90">
        <v>960</v>
      </c>
      <c r="B1144" s="91">
        <v>160</v>
      </c>
      <c r="C1144" s="92" t="s">
        <v>426</v>
      </c>
      <c r="D1144" s="93">
        <v>2</v>
      </c>
    </row>
    <row r="1145" spans="1:4" x14ac:dyDescent="0.2">
      <c r="A1145" s="90">
        <v>960</v>
      </c>
      <c r="B1145" s="91">
        <v>435</v>
      </c>
      <c r="C1145" s="92" t="s">
        <v>426</v>
      </c>
      <c r="D1145" s="93">
        <v>1</v>
      </c>
    </row>
    <row r="1146" spans="1:4" x14ac:dyDescent="0.2">
      <c r="A1146" s="90">
        <v>960</v>
      </c>
      <c r="B1146" s="91">
        <v>441</v>
      </c>
      <c r="C1146" s="92" t="s">
        <v>426</v>
      </c>
      <c r="D1146" s="93">
        <v>1</v>
      </c>
    </row>
    <row r="1147" spans="1:4" x14ac:dyDescent="0.2">
      <c r="A1147" s="90">
        <v>961</v>
      </c>
      <c r="B1147" s="91">
        <v>427</v>
      </c>
      <c r="C1147" s="92" t="s">
        <v>427</v>
      </c>
      <c r="D1147" s="93">
        <v>1</v>
      </c>
    </row>
    <row r="1148" spans="1:4" x14ac:dyDescent="0.2">
      <c r="A1148" s="90">
        <v>961</v>
      </c>
      <c r="B1148" s="91">
        <v>432</v>
      </c>
      <c r="C1148" s="92" t="s">
        <v>427</v>
      </c>
      <c r="D1148" s="93">
        <v>1</v>
      </c>
    </row>
    <row r="1149" spans="1:4" x14ac:dyDescent="0.2">
      <c r="A1149" s="90">
        <v>961</v>
      </c>
      <c r="B1149" s="91">
        <v>437</v>
      </c>
      <c r="C1149" s="92" t="s">
        <v>427</v>
      </c>
      <c r="D1149" s="93">
        <v>2</v>
      </c>
    </row>
    <row r="1150" spans="1:4" x14ac:dyDescent="0.2">
      <c r="A1150" s="90">
        <v>962</v>
      </c>
      <c r="B1150" s="91">
        <v>427</v>
      </c>
      <c r="C1150" s="92" t="s">
        <v>428</v>
      </c>
      <c r="D1150" s="93">
        <v>1</v>
      </c>
    </row>
    <row r="1151" spans="1:4" x14ac:dyDescent="0.2">
      <c r="A1151" s="90">
        <v>962</v>
      </c>
      <c r="B1151" s="91">
        <v>435</v>
      </c>
      <c r="C1151" s="92" t="s">
        <v>428</v>
      </c>
      <c r="D1151" s="93">
        <v>1</v>
      </c>
    </row>
    <row r="1152" spans="1:4" x14ac:dyDescent="0.2">
      <c r="A1152" s="90">
        <v>962</v>
      </c>
      <c r="B1152" s="91">
        <v>438</v>
      </c>
      <c r="C1152" s="92" t="s">
        <v>428</v>
      </c>
      <c r="D1152" s="93">
        <v>2</v>
      </c>
    </row>
    <row r="1153" spans="1:4" x14ac:dyDescent="0.2">
      <c r="A1153" s="90">
        <v>963</v>
      </c>
      <c r="B1153" s="91">
        <v>160</v>
      </c>
      <c r="C1153" s="92" t="s">
        <v>429</v>
      </c>
      <c r="D1153" s="93">
        <v>2</v>
      </c>
    </row>
    <row r="1154" spans="1:4" x14ac:dyDescent="0.2">
      <c r="A1154" s="90">
        <v>963</v>
      </c>
      <c r="B1154" s="91">
        <v>427</v>
      </c>
      <c r="C1154" s="92" t="s">
        <v>429</v>
      </c>
      <c r="D1154" s="93">
        <v>1</v>
      </c>
    </row>
    <row r="1155" spans="1:4" x14ac:dyDescent="0.2">
      <c r="A1155" s="90">
        <v>963</v>
      </c>
      <c r="B1155" s="91">
        <v>435</v>
      </c>
      <c r="C1155" s="92" t="s">
        <v>429</v>
      </c>
      <c r="D1155" s="93">
        <v>1</v>
      </c>
    </row>
    <row r="1156" spans="1:4" x14ac:dyDescent="0.2">
      <c r="A1156" s="90">
        <v>963</v>
      </c>
      <c r="B1156" s="91">
        <v>439</v>
      </c>
      <c r="C1156" s="92" t="s">
        <v>429</v>
      </c>
      <c r="D1156" s="93">
        <v>2</v>
      </c>
    </row>
    <row r="1157" spans="1:4" x14ac:dyDescent="0.2">
      <c r="A1157" s="90">
        <v>964</v>
      </c>
      <c r="B1157" s="91">
        <v>160</v>
      </c>
      <c r="C1157" s="92" t="s">
        <v>430</v>
      </c>
      <c r="D1157" s="93">
        <v>2</v>
      </c>
    </row>
    <row r="1158" spans="1:4" x14ac:dyDescent="0.2">
      <c r="A1158" s="90">
        <v>964</v>
      </c>
      <c r="B1158" s="91">
        <v>431</v>
      </c>
      <c r="C1158" s="92" t="s">
        <v>430</v>
      </c>
      <c r="D1158" s="93">
        <v>2</v>
      </c>
    </row>
    <row r="1159" spans="1:4" x14ac:dyDescent="0.2">
      <c r="A1159" s="90">
        <v>964</v>
      </c>
      <c r="B1159" s="91">
        <v>440</v>
      </c>
      <c r="C1159" s="92" t="s">
        <v>430</v>
      </c>
      <c r="D1159" s="93">
        <v>1</v>
      </c>
    </row>
    <row r="1160" spans="1:4" x14ac:dyDescent="0.2">
      <c r="A1160" s="90">
        <v>965</v>
      </c>
      <c r="B1160" s="91">
        <v>194</v>
      </c>
      <c r="C1160" s="92" t="s">
        <v>431</v>
      </c>
      <c r="D1160" s="93">
        <v>2</v>
      </c>
    </row>
    <row r="1161" spans="1:4" x14ac:dyDescent="0.2">
      <c r="A1161" s="90">
        <v>965</v>
      </c>
      <c r="B1161" s="91">
        <v>489</v>
      </c>
      <c r="C1161" s="92" t="s">
        <v>431</v>
      </c>
      <c r="D1161" s="93">
        <v>1</v>
      </c>
    </row>
    <row r="1162" spans="1:4" x14ac:dyDescent="0.2">
      <c r="A1162" s="90">
        <v>965</v>
      </c>
      <c r="B1162" s="91">
        <v>500</v>
      </c>
      <c r="C1162" s="92" t="s">
        <v>431</v>
      </c>
      <c r="D1162" s="93">
        <v>2</v>
      </c>
    </row>
    <row r="1163" spans="1:4" x14ac:dyDescent="0.2">
      <c r="A1163" s="90">
        <v>966</v>
      </c>
      <c r="B1163" s="91">
        <v>488</v>
      </c>
      <c r="C1163" s="92" t="s">
        <v>278</v>
      </c>
      <c r="D1163" s="93" t="s">
        <v>218</v>
      </c>
    </row>
    <row r="1164" spans="1:4" x14ac:dyDescent="0.2">
      <c r="A1164" s="90">
        <v>967</v>
      </c>
      <c r="B1164" s="91">
        <v>442</v>
      </c>
      <c r="C1164" s="92" t="s">
        <v>290</v>
      </c>
      <c r="D1164" s="93">
        <v>1</v>
      </c>
    </row>
    <row r="1165" spans="1:4" x14ac:dyDescent="0.2">
      <c r="A1165" s="90">
        <v>967</v>
      </c>
      <c r="B1165" s="91">
        <v>443</v>
      </c>
      <c r="C1165" s="92" t="s">
        <v>290</v>
      </c>
      <c r="D1165" s="93">
        <v>2</v>
      </c>
    </row>
    <row r="1166" spans="1:4" x14ac:dyDescent="0.2">
      <c r="A1166" s="90">
        <v>968</v>
      </c>
      <c r="B1166" s="91">
        <v>444</v>
      </c>
      <c r="C1166" s="92" t="s">
        <v>290</v>
      </c>
      <c r="D1166" s="93">
        <v>1</v>
      </c>
    </row>
    <row r="1167" spans="1:4" x14ac:dyDescent="0.2">
      <c r="A1167" s="90">
        <v>969</v>
      </c>
      <c r="B1167" s="91">
        <v>443</v>
      </c>
      <c r="C1167" s="92" t="s">
        <v>431</v>
      </c>
      <c r="D1167" s="93">
        <v>2</v>
      </c>
    </row>
    <row r="1168" spans="1:4" x14ac:dyDescent="0.2">
      <c r="A1168" s="90">
        <v>969</v>
      </c>
      <c r="B1168" s="91">
        <v>489</v>
      </c>
      <c r="C1168" s="92" t="s">
        <v>431</v>
      </c>
      <c r="D1168" s="93">
        <v>1</v>
      </c>
    </row>
    <row r="1169" spans="1:4" x14ac:dyDescent="0.2">
      <c r="A1169" s="90">
        <v>969</v>
      </c>
      <c r="B1169" s="91">
        <v>501</v>
      </c>
      <c r="C1169" s="92" t="s">
        <v>431</v>
      </c>
      <c r="D1169" s="93">
        <v>1</v>
      </c>
    </row>
    <row r="1170" spans="1:4" x14ac:dyDescent="0.2">
      <c r="A1170" s="90">
        <v>970</v>
      </c>
      <c r="B1170" s="91">
        <v>447</v>
      </c>
      <c r="C1170" s="92" t="s">
        <v>244</v>
      </c>
      <c r="D1170" s="93">
        <v>2</v>
      </c>
    </row>
    <row r="1171" spans="1:4" x14ac:dyDescent="0.2">
      <c r="A1171" s="90">
        <v>970</v>
      </c>
      <c r="B1171" s="91">
        <v>448</v>
      </c>
      <c r="C1171" s="92" t="s">
        <v>244</v>
      </c>
      <c r="D1171" s="93">
        <v>1</v>
      </c>
    </row>
    <row r="1172" spans="1:4" x14ac:dyDescent="0.2">
      <c r="A1172" s="90">
        <v>971</v>
      </c>
      <c r="B1172" s="91">
        <v>492</v>
      </c>
      <c r="C1172" s="92" t="s">
        <v>432</v>
      </c>
      <c r="D1172" s="93">
        <v>2</v>
      </c>
    </row>
    <row r="1173" spans="1:4" x14ac:dyDescent="0.2">
      <c r="A1173" s="90">
        <v>971</v>
      </c>
      <c r="B1173" s="91">
        <v>493</v>
      </c>
      <c r="C1173" s="92" t="s">
        <v>432</v>
      </c>
      <c r="D1173" s="93">
        <v>1</v>
      </c>
    </row>
    <row r="1174" spans="1:4" x14ac:dyDescent="0.2">
      <c r="A1174" s="90">
        <v>971</v>
      </c>
      <c r="B1174" s="91">
        <v>494</v>
      </c>
      <c r="C1174" s="92" t="s">
        <v>432</v>
      </c>
      <c r="D1174" s="93">
        <v>1</v>
      </c>
    </row>
    <row r="1175" spans="1:4" x14ac:dyDescent="0.2">
      <c r="A1175" s="90">
        <v>972</v>
      </c>
      <c r="B1175" s="91">
        <v>502</v>
      </c>
      <c r="C1175" s="92" t="s">
        <v>466</v>
      </c>
      <c r="D1175" s="93">
        <v>1</v>
      </c>
    </row>
    <row r="1176" spans="1:4" x14ac:dyDescent="0.2">
      <c r="A1176" s="90">
        <v>972</v>
      </c>
      <c r="B1176" s="91">
        <v>503</v>
      </c>
      <c r="C1176" s="92" t="s">
        <v>466</v>
      </c>
      <c r="D1176" s="93" t="s">
        <v>465</v>
      </c>
    </row>
    <row r="1177" spans="1:4" x14ac:dyDescent="0.2">
      <c r="A1177" s="90">
        <v>973</v>
      </c>
      <c r="B1177" s="91">
        <v>453</v>
      </c>
      <c r="C1177" s="92" t="s">
        <v>288</v>
      </c>
      <c r="D1177" s="93">
        <v>1</v>
      </c>
    </row>
    <row r="1178" spans="1:4" x14ac:dyDescent="0.2">
      <c r="A1178" s="90">
        <v>973</v>
      </c>
      <c r="B1178" s="91">
        <v>454</v>
      </c>
      <c r="C1178" s="92" t="s">
        <v>288</v>
      </c>
      <c r="D1178" s="93">
        <v>2</v>
      </c>
    </row>
    <row r="1179" spans="1:4" x14ac:dyDescent="0.2">
      <c r="A1179" s="90">
        <v>974</v>
      </c>
      <c r="B1179" s="91">
        <v>455</v>
      </c>
      <c r="C1179" s="92" t="s">
        <v>314</v>
      </c>
      <c r="D1179" s="93">
        <v>2</v>
      </c>
    </row>
    <row r="1180" spans="1:4" x14ac:dyDescent="0.2">
      <c r="A1180" s="90">
        <v>975</v>
      </c>
      <c r="B1180" s="91">
        <v>504</v>
      </c>
      <c r="C1180" s="92" t="s">
        <v>499</v>
      </c>
      <c r="D1180" s="93">
        <v>1</v>
      </c>
    </row>
    <row r="1181" spans="1:4" x14ac:dyDescent="0.2">
      <c r="A1181" s="90">
        <v>975</v>
      </c>
      <c r="B1181" s="91">
        <v>505</v>
      </c>
      <c r="C1181" s="92" t="s">
        <v>499</v>
      </c>
      <c r="D1181" s="93">
        <v>2</v>
      </c>
    </row>
    <row r="1182" spans="1:4" x14ac:dyDescent="0.2">
      <c r="A1182" s="90">
        <v>976</v>
      </c>
      <c r="B1182" s="91">
        <v>506</v>
      </c>
      <c r="C1182" s="92" t="s">
        <v>500</v>
      </c>
      <c r="D1182" s="93">
        <v>1</v>
      </c>
    </row>
    <row r="1183" spans="1:4" x14ac:dyDescent="0.2">
      <c r="A1183" s="90">
        <v>976</v>
      </c>
      <c r="B1183" s="91">
        <v>507</v>
      </c>
      <c r="C1183" s="92" t="s">
        <v>500</v>
      </c>
      <c r="D1183" s="93">
        <v>2</v>
      </c>
    </row>
    <row r="1184" spans="1:4" x14ac:dyDescent="0.2">
      <c r="A1184" s="90">
        <v>978</v>
      </c>
      <c r="B1184" s="91">
        <v>462</v>
      </c>
      <c r="C1184" s="92" t="s">
        <v>272</v>
      </c>
      <c r="D1184" s="93" t="s">
        <v>218</v>
      </c>
    </row>
    <row r="1185" spans="1:4" x14ac:dyDescent="0.2">
      <c r="A1185" s="90">
        <v>979</v>
      </c>
      <c r="B1185" s="91">
        <v>463</v>
      </c>
      <c r="C1185" s="92" t="s">
        <v>311</v>
      </c>
      <c r="D1185" s="93" t="s">
        <v>458</v>
      </c>
    </row>
    <row r="1186" spans="1:4" x14ac:dyDescent="0.2">
      <c r="A1186" s="90">
        <v>980</v>
      </c>
      <c r="B1186" s="91">
        <v>466</v>
      </c>
      <c r="C1186" s="92" t="s">
        <v>433</v>
      </c>
      <c r="D1186" s="93">
        <v>2</v>
      </c>
    </row>
    <row r="1187" spans="1:4" x14ac:dyDescent="0.2">
      <c r="A1187" s="90">
        <v>980</v>
      </c>
      <c r="B1187" s="91">
        <v>467</v>
      </c>
      <c r="C1187" s="92" t="s">
        <v>433</v>
      </c>
      <c r="D1187" s="93">
        <v>1</v>
      </c>
    </row>
    <row r="1188" spans="1:4" x14ac:dyDescent="0.2">
      <c r="A1188" s="90">
        <v>981</v>
      </c>
      <c r="B1188" s="91">
        <v>468</v>
      </c>
      <c r="C1188" s="92" t="s">
        <v>434</v>
      </c>
      <c r="D1188" s="93" t="s">
        <v>218</v>
      </c>
    </row>
    <row r="1189" spans="1:4" x14ac:dyDescent="0.2">
      <c r="A1189" s="90">
        <v>982</v>
      </c>
      <c r="B1189" s="91">
        <v>508</v>
      </c>
      <c r="C1189" s="92" t="s">
        <v>501</v>
      </c>
      <c r="D1189" s="93">
        <v>2</v>
      </c>
    </row>
    <row r="1190" spans="1:4" x14ac:dyDescent="0.2">
      <c r="A1190" s="90">
        <v>982</v>
      </c>
      <c r="B1190" s="91">
        <v>509</v>
      </c>
      <c r="C1190" s="92" t="s">
        <v>501</v>
      </c>
      <c r="D1190" s="93">
        <v>1</v>
      </c>
    </row>
    <row r="1191" spans="1:4" x14ac:dyDescent="0.2">
      <c r="A1191" s="90">
        <v>983</v>
      </c>
      <c r="B1191" s="91">
        <v>510</v>
      </c>
      <c r="C1191" s="92" t="s">
        <v>502</v>
      </c>
      <c r="D1191" s="93">
        <v>2</v>
      </c>
    </row>
    <row r="1192" spans="1:4" x14ac:dyDescent="0.2">
      <c r="A1192" s="90">
        <v>983</v>
      </c>
      <c r="B1192" s="91">
        <v>511</v>
      </c>
      <c r="C1192" s="92" t="s">
        <v>502</v>
      </c>
      <c r="D1192" s="93">
        <v>1</v>
      </c>
    </row>
    <row r="1193" spans="1:4" s="123" customFormat="1" x14ac:dyDescent="0.2">
      <c r="A1193" s="90">
        <v>984</v>
      </c>
      <c r="B1193" s="91">
        <v>512</v>
      </c>
      <c r="C1193" s="92" t="s">
        <v>554</v>
      </c>
      <c r="D1193" s="93">
        <v>1</v>
      </c>
    </row>
    <row r="1194" spans="1:4" s="123" customFormat="1" x14ac:dyDescent="0.2">
      <c r="A1194" s="90">
        <v>984</v>
      </c>
      <c r="B1194" s="91">
        <v>513</v>
      </c>
      <c r="C1194" s="92" t="s">
        <v>554</v>
      </c>
      <c r="D1194" s="93">
        <v>2</v>
      </c>
    </row>
    <row r="1195" spans="1:4" s="123" customFormat="1" x14ac:dyDescent="0.2">
      <c r="A1195" s="90">
        <v>985</v>
      </c>
      <c r="B1195" s="91">
        <v>514</v>
      </c>
      <c r="C1195" s="92" t="s">
        <v>555</v>
      </c>
      <c r="D1195" s="93">
        <v>1</v>
      </c>
    </row>
    <row r="1196" spans="1:4" s="123" customFormat="1" x14ac:dyDescent="0.2">
      <c r="A1196" s="90">
        <v>985</v>
      </c>
      <c r="B1196" s="91">
        <v>515</v>
      </c>
      <c r="C1196" s="92" t="s">
        <v>555</v>
      </c>
      <c r="D1196" s="93">
        <v>2</v>
      </c>
    </row>
    <row r="1197" spans="1:4" x14ac:dyDescent="0.2">
      <c r="A1197" s="90">
        <v>989</v>
      </c>
      <c r="B1197" s="91">
        <v>475</v>
      </c>
      <c r="C1197" s="92" t="s">
        <v>327</v>
      </c>
      <c r="D1197" s="93">
        <v>2</v>
      </c>
    </row>
    <row r="1198" spans="1:4" x14ac:dyDescent="0.2">
      <c r="A1198" s="90">
        <v>989</v>
      </c>
      <c r="B1198" s="91">
        <v>476</v>
      </c>
      <c r="C1198" s="92" t="s">
        <v>327</v>
      </c>
      <c r="D1198" s="93">
        <v>1</v>
      </c>
    </row>
    <row r="1199" spans="1:4" x14ac:dyDescent="0.2">
      <c r="A1199" s="90">
        <v>990</v>
      </c>
      <c r="B1199" s="91">
        <v>477</v>
      </c>
      <c r="C1199" s="92" t="s">
        <v>328</v>
      </c>
      <c r="D1199" s="93" t="s">
        <v>218</v>
      </c>
    </row>
    <row r="1200" spans="1:4" x14ac:dyDescent="0.2">
      <c r="A1200" s="90">
        <v>991</v>
      </c>
      <c r="B1200" s="91">
        <v>478</v>
      </c>
      <c r="C1200" s="92" t="s">
        <v>278</v>
      </c>
      <c r="D1200" s="93" t="s">
        <v>218</v>
      </c>
    </row>
    <row r="1201" spans="1:4" x14ac:dyDescent="0.2">
      <c r="A1201" s="90">
        <v>996</v>
      </c>
      <c r="B1201" s="91">
        <v>485</v>
      </c>
      <c r="C1201" s="92" t="s">
        <v>358</v>
      </c>
      <c r="D1201" s="93">
        <v>2</v>
      </c>
    </row>
    <row r="1202" spans="1:4" x14ac:dyDescent="0.2">
      <c r="A1202" s="90">
        <v>996</v>
      </c>
      <c r="B1202" s="91">
        <v>486</v>
      </c>
      <c r="C1202" s="92" t="s">
        <v>358</v>
      </c>
      <c r="D1202" s="93">
        <v>1</v>
      </c>
    </row>
    <row r="1203" spans="1:4" x14ac:dyDescent="0.2">
      <c r="A1203" s="90">
        <v>996</v>
      </c>
      <c r="B1203" s="91">
        <v>487</v>
      </c>
      <c r="C1203" s="92" t="s">
        <v>358</v>
      </c>
      <c r="D1203" s="93">
        <v>2</v>
      </c>
    </row>
    <row r="1204" spans="1:4" x14ac:dyDescent="0.2">
      <c r="A1204" s="90">
        <v>997</v>
      </c>
      <c r="B1204" s="91">
        <v>490</v>
      </c>
      <c r="C1204" s="92" t="s">
        <v>435</v>
      </c>
      <c r="D1204" s="93" t="s">
        <v>465</v>
      </c>
    </row>
    <row r="1205" spans="1:4" x14ac:dyDescent="0.2">
      <c r="A1205" s="90">
        <v>997</v>
      </c>
      <c r="B1205" s="91">
        <v>491</v>
      </c>
      <c r="C1205" s="92" t="s">
        <v>435</v>
      </c>
      <c r="D1205" s="93">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election activeCell="B1" sqref="B1"/>
    </sheetView>
  </sheetViews>
  <sheetFormatPr defaultRowHeight="12.75" x14ac:dyDescent="0.2"/>
  <cols>
    <col min="1" max="1" width="2.42578125" style="100" customWidth="1"/>
    <col min="2" max="2" width="33.7109375" style="100" customWidth="1"/>
    <col min="3" max="4" width="14.140625" style="100" customWidth="1"/>
    <col min="5" max="9" width="12.140625" style="100" customWidth="1"/>
    <col min="10" max="10" width="5.5703125" style="100" customWidth="1"/>
    <col min="11" max="11" width="5.28515625" style="100" customWidth="1"/>
    <col min="12" max="12" width="35.28515625" style="100" customWidth="1"/>
    <col min="13" max="20" width="11.7109375" style="100" customWidth="1"/>
    <col min="21" max="16384" width="9.140625" style="100"/>
  </cols>
  <sheetData>
    <row r="1" spans="1:156" x14ac:dyDescent="0.2">
      <c r="B1" s="85" t="s">
        <v>86</v>
      </c>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row>
    <row r="2" spans="1:156" s="102" customFormat="1" ht="21.75" customHeight="1" x14ac:dyDescent="0.2">
      <c r="B2" s="283" t="str">
        <f>Overview!B4&amp; " - Effective from "&amp;Overview!D4&amp;" - "&amp;Overview!E4</f>
        <v>London Power Networks - Effective from 1 April 2020 - Final</v>
      </c>
      <c r="C2" s="284"/>
      <c r="D2" s="284"/>
      <c r="E2" s="284"/>
      <c r="F2" s="284"/>
      <c r="G2" s="284"/>
      <c r="H2" s="284"/>
      <c r="I2" s="284"/>
      <c r="J2" s="284"/>
      <c r="K2" s="284"/>
      <c r="L2" s="284"/>
      <c r="M2" s="284"/>
      <c r="N2" s="284"/>
      <c r="O2" s="284"/>
      <c r="P2" s="284"/>
      <c r="Q2" s="284"/>
      <c r="R2" s="284"/>
      <c r="S2" s="284"/>
      <c r="T2" s="285"/>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row>
    <row r="3" spans="1:156" s="104" customFormat="1" ht="9" customHeight="1" x14ac:dyDescent="0.2">
      <c r="A3" s="103"/>
      <c r="B3" s="103"/>
      <c r="C3" s="103"/>
      <c r="D3" s="103"/>
      <c r="E3" s="103"/>
      <c r="F3" s="103"/>
      <c r="G3" s="103"/>
      <c r="H3" s="103"/>
      <c r="I3" s="103"/>
      <c r="J3" s="103"/>
      <c r="K3" s="103"/>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row>
    <row r="4" spans="1:156" ht="26.25" customHeight="1" x14ac:dyDescent="0.2">
      <c r="B4" s="289" t="s">
        <v>509</v>
      </c>
      <c r="C4" s="290"/>
      <c r="D4" s="290"/>
      <c r="E4" s="290"/>
      <c r="F4" s="290"/>
      <c r="G4" s="290"/>
      <c r="H4" s="290"/>
      <c r="I4" s="291"/>
      <c r="L4" s="289" t="s">
        <v>525</v>
      </c>
      <c r="M4" s="290"/>
      <c r="N4" s="290"/>
      <c r="O4" s="290"/>
      <c r="P4" s="290"/>
      <c r="Q4" s="290"/>
      <c r="R4" s="290"/>
      <c r="S4" s="290"/>
      <c r="T4" s="291"/>
    </row>
    <row r="5" spans="1:156" ht="18" customHeight="1" x14ac:dyDescent="0.2">
      <c r="B5" s="293" t="s">
        <v>546</v>
      </c>
      <c r="C5" s="293"/>
      <c r="D5" s="293"/>
      <c r="E5" s="293"/>
      <c r="F5" s="293"/>
      <c r="G5" s="293"/>
      <c r="H5" s="293"/>
      <c r="I5" s="293"/>
      <c r="L5" s="293" t="s">
        <v>548</v>
      </c>
      <c r="M5" s="293"/>
      <c r="N5" s="293"/>
      <c r="O5" s="293"/>
      <c r="P5" s="293"/>
      <c r="Q5" s="293"/>
      <c r="R5" s="293"/>
      <c r="S5" s="293"/>
      <c r="T5" s="293"/>
    </row>
    <row r="6" spans="1:156" s="105" customFormat="1" ht="27.75" customHeight="1" x14ac:dyDescent="0.2">
      <c r="B6" s="292" t="s">
        <v>552</v>
      </c>
      <c r="C6" s="292"/>
      <c r="D6" s="292"/>
      <c r="E6" s="292"/>
      <c r="F6" s="292"/>
      <c r="G6" s="292"/>
      <c r="H6" s="292"/>
      <c r="I6" s="292"/>
      <c r="L6" s="292" t="s">
        <v>553</v>
      </c>
      <c r="M6" s="292"/>
      <c r="N6" s="292"/>
      <c r="O6" s="292"/>
      <c r="P6" s="292"/>
      <c r="Q6" s="292"/>
      <c r="R6" s="292"/>
      <c r="S6" s="292"/>
      <c r="T6" s="292"/>
    </row>
    <row r="7" spans="1:156" ht="18" customHeight="1" x14ac:dyDescent="0.2">
      <c r="B7" s="293" t="s">
        <v>547</v>
      </c>
      <c r="C7" s="293"/>
      <c r="D7" s="293"/>
      <c r="E7" s="293"/>
      <c r="F7" s="293"/>
      <c r="G7" s="293"/>
      <c r="H7" s="293"/>
      <c r="I7" s="293"/>
      <c r="L7" s="293" t="s">
        <v>549</v>
      </c>
      <c r="M7" s="293"/>
      <c r="N7" s="293"/>
      <c r="O7" s="293"/>
      <c r="P7" s="293"/>
      <c r="Q7" s="293"/>
      <c r="R7" s="293"/>
      <c r="S7" s="293"/>
      <c r="T7" s="293"/>
    </row>
    <row r="8" spans="1:156" ht="8.25" customHeight="1" x14ac:dyDescent="0.2"/>
    <row r="9" spans="1:156" ht="72" customHeight="1" x14ac:dyDescent="0.2">
      <c r="B9" s="106" t="s">
        <v>550</v>
      </c>
      <c r="C9" s="107">
        <f>'Annex 1 LV and HV charges'!D11</f>
        <v>0</v>
      </c>
      <c r="D9" s="107">
        <f>'Annex 1 LV and HV charges'!E11</f>
        <v>0</v>
      </c>
      <c r="E9" s="107">
        <f>'Annex 1 LV and HV charges'!F11</f>
        <v>0</v>
      </c>
      <c r="F9" s="107">
        <f>'Annex 1 LV and HV charges'!G11</f>
        <v>0</v>
      </c>
      <c r="G9" s="107">
        <f>'Annex 1 LV and HV charges'!H11</f>
        <v>0</v>
      </c>
      <c r="H9" s="107">
        <f>'Annex 1 LV and HV charges'!I11</f>
        <v>0</v>
      </c>
      <c r="I9" s="107">
        <f>'Annex 1 LV and HV charges'!J11</f>
        <v>0</v>
      </c>
      <c r="L9" s="106" t="s">
        <v>551</v>
      </c>
      <c r="M9" s="126" t="str">
        <f>'Annex 2 EHV charges'!H10</f>
        <v>Import
Super Red
unit charge
(p/kWh)</v>
      </c>
      <c r="N9" s="126" t="str">
        <f>'Annex 2 EHV charges'!I10</f>
        <v>Import
fixed charge
(p/day)</v>
      </c>
      <c r="O9" s="126" t="str">
        <f>'Annex 2 EHV charges'!J10</f>
        <v>Import
capacity charge
(p/kVA/day)</v>
      </c>
      <c r="P9" s="126" t="str">
        <f>'Annex 2 EHV charges'!K10</f>
        <v>Import
exceeded capacity charge
(p/kVA/day)</v>
      </c>
      <c r="Q9" s="127" t="str">
        <f>'Annex 2 EHV charges'!L10</f>
        <v>Export
Super Red
unit charge
(p/kWh)</v>
      </c>
      <c r="R9" s="127" t="str">
        <f>'Annex 2 EHV charges'!M10</f>
        <v>Export
fixed charge
(p/day)</v>
      </c>
      <c r="S9" s="127" t="str">
        <f>'Annex 2 EHV charges'!N10</f>
        <v>Export
capacity charge
(p/kVA/day)</v>
      </c>
      <c r="T9" s="127" t="str">
        <f>'Annex 2 EHV charges'!O10</f>
        <v>Export
exceeded capacity charge
(p/kVA/day)</v>
      </c>
    </row>
    <row r="10" spans="1:156" ht="30" customHeight="1" x14ac:dyDescent="0.2">
      <c r="B10" s="94"/>
      <c r="C10" s="121" t="str">
        <f>IFERROR(VLOOKUP($B$10,'Annex 1 LV and HV charges'!$A:$K,4,FALSE),"")</f>
        <v/>
      </c>
      <c r="D10" s="122" t="str">
        <f>IFERROR(VLOOKUP($B$10,'Annex 1 LV and HV charges'!$A:$K,5,FALSE),"")</f>
        <v/>
      </c>
      <c r="E10" s="122" t="str">
        <f>IFERROR(VLOOKUP($B$10,'Annex 1 LV and HV charges'!$A:$K,6,FALSE),"")</f>
        <v/>
      </c>
      <c r="F10" s="96" t="str">
        <f>IFERROR(VLOOKUP($B$10,'Annex 1 LV and HV charges'!$A:$K,7,FALSE),"")</f>
        <v/>
      </c>
      <c r="G10" s="96" t="str">
        <f>IFERROR(VLOOKUP($B$10,'Annex 1 LV and HV charges'!$A:$K,8,FALSE),"")</f>
        <v/>
      </c>
      <c r="H10" s="96" t="str">
        <f>IFERROR(VLOOKUP($B$10,'Annex 1 LV and HV charges'!$A:$K,9,FALSE),"")</f>
        <v/>
      </c>
      <c r="I10" s="96" t="str">
        <f>IFERROR(VLOOKUP($B$10,'Annex 1 LV and HV charges'!$A:$K,10,FALSE),"")</f>
        <v/>
      </c>
      <c r="L10" s="94"/>
      <c r="M10" s="96" t="str">
        <f>IFERROR(VLOOKUP($L$10,'Annex 2 EHV charges'!$G:$O,2,FALSE),"")</f>
        <v/>
      </c>
      <c r="N10" s="96" t="str">
        <f>IFERROR(VLOOKUP($L$10,'Annex 2 EHV charges'!$G:$O,3,FALSE),"")</f>
        <v/>
      </c>
      <c r="O10" s="96" t="str">
        <f>IFERROR(VLOOKUP($L$10,'Annex 2 EHV charges'!$G:$O,4,FALSE),"")</f>
        <v/>
      </c>
      <c r="P10" s="96" t="str">
        <f>IFERROR(VLOOKUP($L$10,'Annex 2 EHV charges'!$G:$O,5,FALSE),"")</f>
        <v/>
      </c>
      <c r="Q10" s="109" t="str">
        <f>IFERROR(VLOOKUP($L$10,'Annex 2 EHV charges'!$G:$O,6,FALSE),"")</f>
        <v/>
      </c>
      <c r="R10" s="109" t="str">
        <f>IFERROR(VLOOKUP($L$10,'Annex 2 EHV charges'!$G:$O,7,FALSE),"")</f>
        <v/>
      </c>
      <c r="S10" s="109" t="str">
        <f>IFERROR(VLOOKUP($L$10,'Annex 2 EHV charges'!$G:$O,8,FALSE),"")</f>
        <v/>
      </c>
      <c r="T10" s="109" t="str">
        <f>IFERROR(VLOOKUP($L$10,'Annex 2 EHV charges'!$G:$O,9,FALSE),"")</f>
        <v/>
      </c>
    </row>
    <row r="11" spans="1:156" ht="7.5" customHeight="1" x14ac:dyDescent="0.2"/>
    <row r="12" spans="1:156" ht="88.5" customHeight="1" x14ac:dyDescent="0.2">
      <c r="B12" s="110" t="s">
        <v>512</v>
      </c>
      <c r="C12" s="107" t="s">
        <v>526</v>
      </c>
      <c r="D12" s="107" t="s">
        <v>527</v>
      </c>
      <c r="E12" s="107" t="s">
        <v>528</v>
      </c>
      <c r="F12" s="107" t="s">
        <v>513</v>
      </c>
      <c r="G12" s="107" t="s">
        <v>510</v>
      </c>
      <c r="H12" s="107" t="s">
        <v>678</v>
      </c>
      <c r="I12" s="107" t="s">
        <v>511</v>
      </c>
      <c r="L12" s="110" t="s">
        <v>512</v>
      </c>
      <c r="M12" s="107" t="s">
        <v>536</v>
      </c>
      <c r="N12" s="107" t="s">
        <v>513</v>
      </c>
      <c r="O12" s="107" t="s">
        <v>532</v>
      </c>
      <c r="P12" s="107" t="s">
        <v>678</v>
      </c>
      <c r="Q12" s="108" t="s">
        <v>534</v>
      </c>
      <c r="R12" s="108" t="s">
        <v>513</v>
      </c>
      <c r="S12" s="108" t="s">
        <v>533</v>
      </c>
      <c r="T12" s="108" t="s">
        <v>678</v>
      </c>
    </row>
    <row r="13" spans="1:156" ht="30" customHeight="1" x14ac:dyDescent="0.2">
      <c r="B13" s="111" t="s">
        <v>514</v>
      </c>
      <c r="C13" s="116"/>
      <c r="D13" s="116"/>
      <c r="E13" s="116"/>
      <c r="F13" s="116"/>
      <c r="G13" s="116"/>
      <c r="H13" s="116"/>
      <c r="I13" s="116"/>
      <c r="L13" s="111" t="s">
        <v>514</v>
      </c>
      <c r="M13" s="97"/>
      <c r="N13" s="97"/>
      <c r="O13" s="97"/>
      <c r="P13" s="97"/>
      <c r="Q13" s="98"/>
      <c r="R13" s="98">
        <f>N13</f>
        <v>0</v>
      </c>
      <c r="S13" s="98"/>
      <c r="T13" s="98"/>
    </row>
    <row r="14" spans="1:156" ht="30" customHeight="1" x14ac:dyDescent="0.2">
      <c r="B14" s="112" t="s">
        <v>516</v>
      </c>
      <c r="C14" s="95">
        <f t="shared" ref="C14:I14" si="0">C13</f>
        <v>0</v>
      </c>
      <c r="D14" s="95">
        <f t="shared" si="0"/>
        <v>0</v>
      </c>
      <c r="E14" s="95">
        <f t="shared" si="0"/>
        <v>0</v>
      </c>
      <c r="F14" s="95">
        <f t="shared" si="0"/>
        <v>0</v>
      </c>
      <c r="G14" s="95">
        <f t="shared" si="0"/>
        <v>0</v>
      </c>
      <c r="H14" s="95">
        <f t="shared" si="0"/>
        <v>0</v>
      </c>
      <c r="I14" s="95">
        <f t="shared" si="0"/>
        <v>0</v>
      </c>
      <c r="L14" s="112" t="s">
        <v>516</v>
      </c>
      <c r="M14" s="95">
        <f>M13</f>
        <v>0</v>
      </c>
      <c r="N14" s="95">
        <f t="shared" ref="N14:T14" si="1">N13</f>
        <v>0</v>
      </c>
      <c r="O14" s="95">
        <f t="shared" si="1"/>
        <v>0</v>
      </c>
      <c r="P14" s="95">
        <f t="shared" si="1"/>
        <v>0</v>
      </c>
      <c r="Q14" s="99">
        <f t="shared" si="1"/>
        <v>0</v>
      </c>
      <c r="R14" s="99">
        <f t="shared" si="1"/>
        <v>0</v>
      </c>
      <c r="S14" s="99">
        <f t="shared" si="1"/>
        <v>0</v>
      </c>
      <c r="T14" s="99">
        <f t="shared" si="1"/>
        <v>0</v>
      </c>
    </row>
    <row r="15" spans="1:156" ht="7.5" customHeight="1" x14ac:dyDescent="0.2"/>
    <row r="16" spans="1:156" ht="63.75" customHeight="1" x14ac:dyDescent="0.2">
      <c r="B16" s="110" t="s">
        <v>515</v>
      </c>
      <c r="C16" s="107" t="s">
        <v>529</v>
      </c>
      <c r="D16" s="107" t="s">
        <v>530</v>
      </c>
      <c r="E16" s="107" t="s">
        <v>531</v>
      </c>
      <c r="F16" s="107" t="s">
        <v>521</v>
      </c>
      <c r="G16" s="107" t="s">
        <v>520</v>
      </c>
      <c r="H16" s="107" t="s">
        <v>679</v>
      </c>
      <c r="I16" s="107" t="s">
        <v>519</v>
      </c>
      <c r="L16" s="110" t="s">
        <v>515</v>
      </c>
      <c r="M16" s="107" t="s">
        <v>537</v>
      </c>
      <c r="N16" s="107" t="s">
        <v>535</v>
      </c>
      <c r="O16" s="107" t="s">
        <v>540</v>
      </c>
      <c r="P16" s="107" t="s">
        <v>680</v>
      </c>
      <c r="Q16" s="108" t="s">
        <v>538</v>
      </c>
      <c r="R16" s="108" t="s">
        <v>539</v>
      </c>
      <c r="S16" s="108" t="s">
        <v>541</v>
      </c>
      <c r="T16" s="108" t="s">
        <v>681</v>
      </c>
    </row>
    <row r="17" spans="2:20" ht="30" customHeight="1" x14ac:dyDescent="0.2">
      <c r="B17" s="111" t="s">
        <v>517</v>
      </c>
      <c r="C17" s="117" t="str">
        <f>IFERROR(C10*C13/100,"")</f>
        <v/>
      </c>
      <c r="D17" s="117" t="str">
        <f t="shared" ref="D17:I17" si="2">IFERROR(D10*D13/100,"")</f>
        <v/>
      </c>
      <c r="E17" s="117" t="str">
        <f t="shared" si="2"/>
        <v/>
      </c>
      <c r="F17" s="117" t="str">
        <f t="shared" si="2"/>
        <v/>
      </c>
      <c r="G17" s="117" t="str">
        <f>IFERROR(G10*G13*F13/100,"")</f>
        <v/>
      </c>
      <c r="H17" s="117" t="str">
        <f>IFERROR(H10*H13*F13/100,"")</f>
        <v/>
      </c>
      <c r="I17" s="117" t="str">
        <f t="shared" si="2"/>
        <v/>
      </c>
      <c r="L17" s="113" t="s">
        <v>517</v>
      </c>
      <c r="M17" s="117" t="str">
        <f>IFERROR(M10*M13/100,"")</f>
        <v/>
      </c>
      <c r="N17" s="117" t="str">
        <f>IFERROR(N10*N13/100,"")</f>
        <v/>
      </c>
      <c r="O17" s="117" t="str">
        <f>IFERROR(O10*O13*N13/100,"")</f>
        <v/>
      </c>
      <c r="P17" s="117" t="str">
        <f>IFERROR(P10*P13*N13/100,"")</f>
        <v/>
      </c>
      <c r="Q17" s="118" t="str">
        <f>IFERROR(Q10*Q13/100,"")</f>
        <v/>
      </c>
      <c r="R17" s="118" t="str">
        <f>IFERROR(R10*R13/100,"")</f>
        <v/>
      </c>
      <c r="S17" s="118" t="str">
        <f>IFERROR(S10*S13*R13/100,"")</f>
        <v/>
      </c>
      <c r="T17" s="118" t="str">
        <f>IFERROR(T10*T13*R13/100,"")</f>
        <v/>
      </c>
    </row>
    <row r="18" spans="2:20" ht="30" customHeight="1" x14ac:dyDescent="0.2">
      <c r="B18" s="112" t="s">
        <v>518</v>
      </c>
      <c r="C18" s="119" t="str">
        <f>IFERROR(C10*C14/100,"")</f>
        <v/>
      </c>
      <c r="D18" s="119" t="str">
        <f t="shared" ref="D18:I18" si="3">IFERROR(D10*D14/100,"")</f>
        <v/>
      </c>
      <c r="E18" s="119" t="str">
        <f t="shared" si="3"/>
        <v/>
      </c>
      <c r="F18" s="119" t="str">
        <f t="shared" si="3"/>
        <v/>
      </c>
      <c r="G18" s="119" t="str">
        <f>IFERROR(G10*G14*F14/100,"")</f>
        <v/>
      </c>
      <c r="H18" s="119" t="str">
        <f>IFERROR(H10*H14*F14/100,"")</f>
        <v/>
      </c>
      <c r="I18" s="119" t="str">
        <f t="shared" si="3"/>
        <v/>
      </c>
      <c r="L18" s="114" t="s">
        <v>518</v>
      </c>
      <c r="M18" s="119" t="str">
        <f>IFERROR(M10*M14/100,"")</f>
        <v/>
      </c>
      <c r="N18" s="119" t="str">
        <f>IFERROR(N10*N14/100,"")</f>
        <v/>
      </c>
      <c r="O18" s="119" t="str">
        <f>IFERROR(O10*O14*N14/100,"")</f>
        <v/>
      </c>
      <c r="P18" s="119" t="str">
        <f>IFERROR(P10*P14*N14/100,"")</f>
        <v/>
      </c>
      <c r="Q18" s="120" t="str">
        <f>IFERROR(Q10*Q14/100,"")</f>
        <v/>
      </c>
      <c r="R18" s="120" t="str">
        <f>IFERROR(R10*R14/100,"")</f>
        <v/>
      </c>
      <c r="S18" s="120" t="str">
        <f>IFERROR(S10*S14*R14/100,"")</f>
        <v/>
      </c>
      <c r="T18" s="120" t="str">
        <f>IFERROR(T10*T14*R14/100,"")</f>
        <v/>
      </c>
    </row>
    <row r="19" spans="2:20" ht="7.5" customHeight="1" x14ac:dyDescent="0.2"/>
    <row r="20" spans="2:20" ht="39.75" customHeight="1" x14ac:dyDescent="0.2">
      <c r="C20" s="115" t="s">
        <v>522</v>
      </c>
      <c r="M20" s="107" t="s">
        <v>542</v>
      </c>
      <c r="N20" s="108" t="s">
        <v>543</v>
      </c>
    </row>
    <row r="21" spans="2:20" ht="30" customHeight="1" x14ac:dyDescent="0.2">
      <c r="B21" s="111" t="s">
        <v>517</v>
      </c>
      <c r="C21" s="117">
        <f>SUM(C17:I17)</f>
        <v>0</v>
      </c>
      <c r="L21" s="111" t="s">
        <v>517</v>
      </c>
      <c r="M21" s="117">
        <f>SUM(M17:P17)</f>
        <v>0</v>
      </c>
      <c r="N21" s="118">
        <f>SUM(Q17:T17)</f>
        <v>0</v>
      </c>
    </row>
    <row r="22" spans="2:20" ht="30" customHeight="1" x14ac:dyDescent="0.2">
      <c r="B22" s="112" t="s">
        <v>518</v>
      </c>
      <c r="C22" s="119">
        <f>SUM(C18:I18)</f>
        <v>0</v>
      </c>
      <c r="L22" s="112" t="s">
        <v>518</v>
      </c>
      <c r="M22" s="119">
        <f>SUM(M18:P18)</f>
        <v>0</v>
      </c>
      <c r="N22" s="120">
        <f>SUM(Q18:T18)</f>
        <v>0</v>
      </c>
    </row>
    <row r="24" spans="2:20" ht="30.75" customHeight="1" x14ac:dyDescent="0.2">
      <c r="B24" s="286" t="s">
        <v>544</v>
      </c>
      <c r="C24" s="287"/>
      <c r="D24" s="288"/>
      <c r="L24" s="286" t="s">
        <v>545</v>
      </c>
      <c r="M24" s="287"/>
      <c r="N24" s="288"/>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charges'!$G$12:$G$307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2018-12-17T14:16:25Z</cp:lastPrinted>
  <dcterms:created xsi:type="dcterms:W3CDTF">2009-11-12T11:38:00Z</dcterms:created>
  <dcterms:modified xsi:type="dcterms:W3CDTF">2020-06-10T09:19:32Z</dcterms:modified>
</cp:coreProperties>
</file>