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customXml/itemProps2.xml" ContentType="application/vnd.openxmlformats-officedocument.customXmlProperties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30" yWindow="6030" windowWidth="19200" windowHeight="7410" tabRatio="849"/>
  </bookViews>
  <sheets>
    <sheet name="TOC" sheetId="14" r:id="rId1"/>
    <sheet name="Inputs" sheetId="22" r:id="rId2"/>
    <sheet name="Customers|line length" sheetId="3" r:id="rId3"/>
    <sheet name="Quality of service" sheetId="8" r:id="rId4"/>
    <sheet name="Connections" sheetId="12" r:id="rId5"/>
    <sheet name="AONB" sheetId="16" r:id="rId6"/>
    <sheet name="Distribution losses" sheetId="10" r:id="rId7"/>
    <sheet name="Network investment" sheetId="21" r:id="rId8"/>
    <sheet name="Chapter 1" sheetId="1" r:id="rId9"/>
    <sheet name="Chapter 2" sheetId="26" r:id="rId10"/>
    <sheet name="Chapter 3" sheetId="17" r:id="rId11"/>
    <sheet name="Chapter 4" sheetId="23" r:id="rId12"/>
    <sheet name="Chapter 5" sheetId="5" r:id="rId13"/>
    <sheet name="Chapter 6" sheetId="6" r:id="rId14"/>
    <sheet name="Chapter 7" sheetId="24" r:id="rId15"/>
  </sheets>
  <definedNames>
    <definedName name="DNO_list" localSheetId="9">'Quality of service'!#REF!</definedName>
    <definedName name="DNO_list" localSheetId="11">'Quality of service'!#REF!</definedName>
    <definedName name="DNO_list" localSheetId="14">'Quality of service'!#REF!</definedName>
    <definedName name="DNO_list" localSheetId="7">'Network investment'!#REF!</definedName>
    <definedName name="DNO_list">Inputs!$B$11:$B$24</definedName>
    <definedName name="DNO_list_average">'Quality of service'!$B$7:$B$21</definedName>
    <definedName name="DNO_list_total">'Network investment'!$B$7:$B$21</definedName>
    <definedName name="_xlnm.Print_Area" localSheetId="9">'Chapter 2'!$A$1:$O$50</definedName>
    <definedName name="_xlnm.Print_Area" localSheetId="10">'Chapter 3'!$B$47:$J$76</definedName>
    <definedName name="_xlnm.Print_Area" localSheetId="11">'Chapter 4'!#REF!</definedName>
  </definedNames>
  <calcPr calcId="125725"/>
</workbook>
</file>

<file path=xl/calcChain.xml><?xml version="1.0" encoding="utf-8"?>
<calcChain xmlns="http://schemas.openxmlformats.org/spreadsheetml/2006/main">
  <c r="C48" i="16"/>
  <c r="G60"/>
  <c r="F60"/>
  <c r="E60"/>
  <c r="D60"/>
  <c r="C60"/>
  <c r="G59"/>
  <c r="F59"/>
  <c r="E59"/>
  <c r="D59"/>
  <c r="C59"/>
  <c r="G58"/>
  <c r="F58"/>
  <c r="E58"/>
  <c r="D58"/>
  <c r="C58"/>
  <c r="G57"/>
  <c r="F57"/>
  <c r="E57"/>
  <c r="D57"/>
  <c r="C57"/>
  <c r="G56"/>
  <c r="F56"/>
  <c r="E56"/>
  <c r="D56"/>
  <c r="C56"/>
  <c r="G55"/>
  <c r="F55"/>
  <c r="E55"/>
  <c r="D55"/>
  <c r="C55"/>
  <c r="G54"/>
  <c r="F54"/>
  <c r="E54"/>
  <c r="D54"/>
  <c r="C54"/>
  <c r="G53"/>
  <c r="F53"/>
  <c r="E53"/>
  <c r="D53"/>
  <c r="C53"/>
  <c r="G52"/>
  <c r="F52"/>
  <c r="E52"/>
  <c r="D52"/>
  <c r="C52"/>
  <c r="G51"/>
  <c r="F51"/>
  <c r="E51"/>
  <c r="D51"/>
  <c r="C51"/>
  <c r="G50"/>
  <c r="F50"/>
  <c r="E50"/>
  <c r="D50"/>
  <c r="C50"/>
  <c r="G49"/>
  <c r="F49"/>
  <c r="E49"/>
  <c r="D49"/>
  <c r="C49"/>
  <c r="G48"/>
  <c r="F48"/>
  <c r="E48"/>
  <c r="D48"/>
  <c r="G47"/>
  <c r="F47"/>
  <c r="D47"/>
  <c r="C47"/>
  <c r="E47"/>
  <c r="J141" i="21"/>
  <c r="K141"/>
  <c r="L141"/>
  <c r="M141"/>
  <c r="N141"/>
  <c r="J142"/>
  <c r="K142"/>
  <c r="L142"/>
  <c r="M142"/>
  <c r="N142"/>
  <c r="J143"/>
  <c r="K143"/>
  <c r="L143"/>
  <c r="M143"/>
  <c r="N143"/>
  <c r="J144"/>
  <c r="K144"/>
  <c r="L144"/>
  <c r="M144"/>
  <c r="N144"/>
  <c r="J145"/>
  <c r="K145"/>
  <c r="L145"/>
  <c r="M145"/>
  <c r="N145"/>
  <c r="J146"/>
  <c r="K146"/>
  <c r="L146"/>
  <c r="M146"/>
  <c r="N146"/>
  <c r="J147"/>
  <c r="K147"/>
  <c r="L147"/>
  <c r="M147"/>
  <c r="N147"/>
  <c r="J148"/>
  <c r="K148"/>
  <c r="L148"/>
  <c r="M148"/>
  <c r="N148"/>
  <c r="J149"/>
  <c r="K149"/>
  <c r="L149"/>
  <c r="M149"/>
  <c r="N149"/>
  <c r="J150"/>
  <c r="K150"/>
  <c r="L150"/>
  <c r="M150"/>
  <c r="N150"/>
  <c r="J151"/>
  <c r="K151"/>
  <c r="L151"/>
  <c r="M151"/>
  <c r="N151"/>
  <c r="J152"/>
  <c r="K152"/>
  <c r="L152"/>
  <c r="M152"/>
  <c r="N152"/>
  <c r="J153"/>
  <c r="K153"/>
  <c r="L153"/>
  <c r="M153"/>
  <c r="N153"/>
  <c r="J154"/>
  <c r="K154"/>
  <c r="L154"/>
  <c r="M154"/>
  <c r="N154"/>
  <c r="E90" i="12" l="1"/>
  <c r="F90"/>
  <c r="G90"/>
  <c r="Q586" i="8"/>
  <c r="P586"/>
  <c r="O586"/>
  <c r="N586"/>
  <c r="M586"/>
  <c r="L586"/>
  <c r="K586"/>
  <c r="J586"/>
  <c r="I586"/>
  <c r="H586"/>
  <c r="G586"/>
  <c r="F586"/>
  <c r="E586"/>
  <c r="D586"/>
  <c r="Q592"/>
  <c r="P592"/>
  <c r="O592"/>
  <c r="N592"/>
  <c r="M592"/>
  <c r="L592"/>
  <c r="K592"/>
  <c r="J592"/>
  <c r="I592"/>
  <c r="H592"/>
  <c r="G592"/>
  <c r="F592"/>
  <c r="E592"/>
  <c r="D592"/>
  <c r="C592"/>
  <c r="D195" i="3"/>
  <c r="D196"/>
  <c r="D197"/>
  <c r="D198"/>
  <c r="D199"/>
  <c r="D200"/>
  <c r="D201"/>
  <c r="D202"/>
  <c r="D203"/>
  <c r="D204"/>
  <c r="D205"/>
  <c r="D206"/>
  <c r="D207"/>
  <c r="D194"/>
  <c r="D172"/>
  <c r="D173"/>
  <c r="D174"/>
  <c r="D175"/>
  <c r="D176"/>
  <c r="D177"/>
  <c r="D178"/>
  <c r="D179"/>
  <c r="D180"/>
  <c r="D181"/>
  <c r="D182"/>
  <c r="D183"/>
  <c r="D184"/>
  <c r="D171"/>
  <c r="D149"/>
  <c r="D150"/>
  <c r="D151"/>
  <c r="D152"/>
  <c r="D153"/>
  <c r="D154"/>
  <c r="D155"/>
  <c r="D156"/>
  <c r="D157"/>
  <c r="D158"/>
  <c r="D159"/>
  <c r="D160"/>
  <c r="D161"/>
  <c r="D148"/>
  <c r="D126"/>
  <c r="D127"/>
  <c r="D128"/>
  <c r="D129"/>
  <c r="D130"/>
  <c r="D131"/>
  <c r="D132"/>
  <c r="D133"/>
  <c r="D134"/>
  <c r="D135"/>
  <c r="D136"/>
  <c r="D137"/>
  <c r="D138"/>
  <c r="D125"/>
  <c r="D103"/>
  <c r="D104"/>
  <c r="D105"/>
  <c r="D106"/>
  <c r="D107"/>
  <c r="D108"/>
  <c r="D109"/>
  <c r="D110"/>
  <c r="D111"/>
  <c r="D112"/>
  <c r="D113"/>
  <c r="D114"/>
  <c r="D115"/>
  <c r="D102"/>
  <c r="D80"/>
  <c r="D81"/>
  <c r="D82"/>
  <c r="D83"/>
  <c r="D84"/>
  <c r="D85"/>
  <c r="D86"/>
  <c r="D87"/>
  <c r="D88"/>
  <c r="D89"/>
  <c r="D90"/>
  <c r="D91"/>
  <c r="D92"/>
  <c r="D79"/>
  <c r="D57"/>
  <c r="D58"/>
  <c r="D59"/>
  <c r="D60"/>
  <c r="D61"/>
  <c r="D62"/>
  <c r="D63"/>
  <c r="D64"/>
  <c r="D65"/>
  <c r="D66"/>
  <c r="D67"/>
  <c r="D68"/>
  <c r="D69"/>
  <c r="D56"/>
  <c r="D48"/>
  <c r="D34"/>
  <c r="D35"/>
  <c r="D36"/>
  <c r="D37"/>
  <c r="D38"/>
  <c r="D39"/>
  <c r="D40"/>
  <c r="D41"/>
  <c r="D42"/>
  <c r="D43"/>
  <c r="D44"/>
  <c r="D45"/>
  <c r="D46"/>
  <c r="D33"/>
  <c r="K159" i="21" l="1"/>
  <c r="J123"/>
  <c r="K123"/>
  <c r="L123"/>
  <c r="M123"/>
  <c r="N123"/>
  <c r="J124"/>
  <c r="K124"/>
  <c r="L124"/>
  <c r="M124"/>
  <c r="N124"/>
  <c r="J125"/>
  <c r="K125"/>
  <c r="L125"/>
  <c r="M125"/>
  <c r="N125"/>
  <c r="J126"/>
  <c r="K126"/>
  <c r="L126"/>
  <c r="M126"/>
  <c r="N126"/>
  <c r="J127"/>
  <c r="K127"/>
  <c r="L127"/>
  <c r="M127"/>
  <c r="N127"/>
  <c r="J128"/>
  <c r="K128"/>
  <c r="L128"/>
  <c r="M128"/>
  <c r="N128"/>
  <c r="J129"/>
  <c r="K129"/>
  <c r="L129"/>
  <c r="M129"/>
  <c r="N129"/>
  <c r="J130"/>
  <c r="K130"/>
  <c r="L130"/>
  <c r="M130"/>
  <c r="N130"/>
  <c r="J131"/>
  <c r="K131"/>
  <c r="L131"/>
  <c r="M131"/>
  <c r="N131"/>
  <c r="J132"/>
  <c r="K132"/>
  <c r="L132"/>
  <c r="M132"/>
  <c r="N132"/>
  <c r="J133"/>
  <c r="K133"/>
  <c r="L133"/>
  <c r="M133"/>
  <c r="N133"/>
  <c r="J134"/>
  <c r="K134"/>
  <c r="L134"/>
  <c r="M134"/>
  <c r="N134"/>
  <c r="J135"/>
  <c r="K135"/>
  <c r="L135"/>
  <c r="M135"/>
  <c r="N135"/>
  <c r="D136"/>
  <c r="E136"/>
  <c r="F136"/>
  <c r="G136"/>
  <c r="H122"/>
  <c r="K85"/>
  <c r="L85"/>
  <c r="M85"/>
  <c r="N85"/>
  <c r="J86"/>
  <c r="K86"/>
  <c r="L86"/>
  <c r="M86"/>
  <c r="N86"/>
  <c r="K87"/>
  <c r="L87"/>
  <c r="M87"/>
  <c r="N87"/>
  <c r="J88"/>
  <c r="K88"/>
  <c r="L88"/>
  <c r="M88"/>
  <c r="N88"/>
  <c r="K89"/>
  <c r="L89"/>
  <c r="M89"/>
  <c r="N89"/>
  <c r="J90"/>
  <c r="K90"/>
  <c r="L90"/>
  <c r="M90"/>
  <c r="N90"/>
  <c r="K91"/>
  <c r="L91"/>
  <c r="M91"/>
  <c r="N91"/>
  <c r="J92"/>
  <c r="K92"/>
  <c r="L92"/>
  <c r="M92"/>
  <c r="N92"/>
  <c r="K93"/>
  <c r="L93"/>
  <c r="M93"/>
  <c r="N93"/>
  <c r="J94"/>
  <c r="K94"/>
  <c r="L94"/>
  <c r="M94"/>
  <c r="N94"/>
  <c r="K95"/>
  <c r="L95"/>
  <c r="M95"/>
  <c r="N95"/>
  <c r="J96"/>
  <c r="K96"/>
  <c r="L96"/>
  <c r="M96"/>
  <c r="N96"/>
  <c r="K97"/>
  <c r="L97"/>
  <c r="M97"/>
  <c r="N97"/>
  <c r="D98"/>
  <c r="E98"/>
  <c r="F98"/>
  <c r="G98"/>
  <c r="C98"/>
  <c r="L11" i="6"/>
  <c r="L12"/>
  <c r="L13"/>
  <c r="L14"/>
  <c r="L15"/>
  <c r="L16"/>
  <c r="L17"/>
  <c r="L18"/>
  <c r="L19"/>
  <c r="L20"/>
  <c r="L21"/>
  <c r="L22"/>
  <c r="L23"/>
  <c r="L10"/>
  <c r="L24"/>
  <c r="B32" i="10"/>
  <c r="B33"/>
  <c r="B34"/>
  <c r="B35"/>
  <c r="B36"/>
  <c r="B37"/>
  <c r="B38"/>
  <c r="B39"/>
  <c r="B40"/>
  <c r="B41"/>
  <c r="B42"/>
  <c r="B43"/>
  <c r="B44"/>
  <c r="B31"/>
  <c r="E27" i="1"/>
  <c r="F27" s="1"/>
  <c r="G27" s="1"/>
  <c r="H27" s="1"/>
  <c r="I27" s="1"/>
  <c r="J27" s="1"/>
  <c r="K27" s="1"/>
  <c r="L27" s="1"/>
  <c r="M27" s="1"/>
  <c r="N27" s="1"/>
  <c r="O27" s="1"/>
  <c r="P27" s="1"/>
  <c r="D27"/>
  <c r="O135" i="21" l="1"/>
  <c r="O133"/>
  <c r="O131"/>
  <c r="O129"/>
  <c r="O127"/>
  <c r="O125"/>
  <c r="O123"/>
  <c r="O134"/>
  <c r="O132"/>
  <c r="O130"/>
  <c r="O128"/>
  <c r="O126"/>
  <c r="O124"/>
  <c r="K122"/>
  <c r="M122"/>
  <c r="J122"/>
  <c r="L122"/>
  <c r="N122"/>
  <c r="H135"/>
  <c r="H133"/>
  <c r="H131"/>
  <c r="H129"/>
  <c r="H127"/>
  <c r="H125"/>
  <c r="H123"/>
  <c r="H97"/>
  <c r="H95"/>
  <c r="H93"/>
  <c r="H91"/>
  <c r="H89"/>
  <c r="H87"/>
  <c r="H85"/>
  <c r="H134"/>
  <c r="H132"/>
  <c r="H130"/>
  <c r="H128"/>
  <c r="H126"/>
  <c r="H124"/>
  <c r="H136" s="1"/>
  <c r="O96"/>
  <c r="O94"/>
  <c r="O92"/>
  <c r="O90"/>
  <c r="O88"/>
  <c r="O86"/>
  <c r="H84"/>
  <c r="H96"/>
  <c r="H94"/>
  <c r="H92"/>
  <c r="H90"/>
  <c r="H88"/>
  <c r="H86"/>
  <c r="C136"/>
  <c r="K84"/>
  <c r="M84"/>
  <c r="J85"/>
  <c r="J87"/>
  <c r="J89"/>
  <c r="J91"/>
  <c r="J93"/>
  <c r="J95"/>
  <c r="J97"/>
  <c r="J84"/>
  <c r="L84"/>
  <c r="N84"/>
  <c r="O122" l="1"/>
  <c r="N98"/>
  <c r="J98"/>
  <c r="O95"/>
  <c r="O91"/>
  <c r="O87"/>
  <c r="M98"/>
  <c r="L136"/>
  <c r="M136"/>
  <c r="L98"/>
  <c r="O97"/>
  <c r="O93"/>
  <c r="O89"/>
  <c r="O85"/>
  <c r="K98"/>
  <c r="N136"/>
  <c r="J136"/>
  <c r="K136"/>
  <c r="O84"/>
  <c r="H98"/>
  <c r="O28" i="22"/>
  <c r="N28"/>
  <c r="M28"/>
  <c r="L28"/>
  <c r="K28"/>
  <c r="J28"/>
  <c r="I28"/>
  <c r="H28"/>
  <c r="G28"/>
  <c r="F28"/>
  <c r="E28"/>
  <c r="D28"/>
  <c r="C28"/>
  <c r="B28"/>
  <c r="K24" i="6"/>
  <c r="L31"/>
  <c r="K46"/>
  <c r="K31"/>
  <c r="O98" i="21" l="1"/>
  <c r="O136"/>
  <c r="B161"/>
  <c r="B162"/>
  <c r="B163"/>
  <c r="B164"/>
  <c r="B165"/>
  <c r="B166"/>
  <c r="B167"/>
  <c r="B168"/>
  <c r="B169"/>
  <c r="B170"/>
  <c r="B171"/>
  <c r="B172"/>
  <c r="B173"/>
  <c r="B160"/>
  <c r="F22" i="23"/>
  <c r="F15"/>
  <c r="F24"/>
  <c r="F25"/>
  <c r="F26"/>
  <c r="F27"/>
  <c r="F16"/>
  <c r="F14"/>
  <c r="F21"/>
  <c r="F18"/>
  <c r="F20"/>
  <c r="F17"/>
  <c r="F19"/>
  <c r="K169" i="21" l="1"/>
  <c r="K162"/>
  <c r="K161"/>
  <c r="K172"/>
  <c r="K167"/>
  <c r="K165"/>
  <c r="K174"/>
  <c r="K173"/>
  <c r="K164"/>
  <c r="K163"/>
  <c r="K166"/>
  <c r="K170"/>
  <c r="K168"/>
  <c r="K160"/>
  <c r="K171"/>
  <c r="F7" i="16"/>
  <c r="E3" i="10"/>
  <c r="M61" i="16"/>
  <c r="L61"/>
  <c r="K61"/>
  <c r="J61"/>
  <c r="I61"/>
  <c r="N60"/>
  <c r="N59"/>
  <c r="N58"/>
  <c r="N57"/>
  <c r="N56"/>
  <c r="N55"/>
  <c r="N54"/>
  <c r="N53"/>
  <c r="N52"/>
  <c r="N51"/>
  <c r="N50"/>
  <c r="N49"/>
  <c r="N48"/>
  <c r="N47"/>
  <c r="N61" s="1"/>
  <c r="D46"/>
  <c r="E46" s="1"/>
  <c r="F46" s="1"/>
  <c r="G46" s="1"/>
  <c r="I46" s="1"/>
  <c r="J46" s="1"/>
  <c r="K46" s="1"/>
  <c r="L46" s="1"/>
  <c r="M46" s="1"/>
  <c r="H20"/>
  <c r="L45" i="6" s="1"/>
  <c r="H19" i="16"/>
  <c r="L44" i="6" s="1"/>
  <c r="H18" i="16"/>
  <c r="L43" i="6" s="1"/>
  <c r="H17" i="16"/>
  <c r="L42" i="6" s="1"/>
  <c r="H16" i="16"/>
  <c r="L41" i="6" s="1"/>
  <c r="H15" i="16"/>
  <c r="L40" i="6" s="1"/>
  <c r="H14" i="16"/>
  <c r="L39" i="6" s="1"/>
  <c r="N39" s="1"/>
  <c r="H13" i="16"/>
  <c r="L38" i="6" s="1"/>
  <c r="H12" i="16"/>
  <c r="L37" i="6" s="1"/>
  <c r="H11" i="16"/>
  <c r="L36" i="6" s="1"/>
  <c r="H10" i="16"/>
  <c r="L35" i="6" s="1"/>
  <c r="H9" i="16"/>
  <c r="L34" i="6" s="1"/>
  <c r="H8" i="16"/>
  <c r="L33" i="6" s="1"/>
  <c r="H7" i="16"/>
  <c r="L32" i="6" s="1"/>
  <c r="F8" i="16"/>
  <c r="F9"/>
  <c r="F10"/>
  <c r="F11"/>
  <c r="F12"/>
  <c r="F13"/>
  <c r="F14"/>
  <c r="F15"/>
  <c r="F16"/>
  <c r="F17"/>
  <c r="F18"/>
  <c r="F19"/>
  <c r="F20"/>
  <c r="B155" i="21" l="1"/>
  <c r="B136"/>
  <c r="B117"/>
  <c r="U143"/>
  <c r="U145"/>
  <c r="U147"/>
  <c r="U149"/>
  <c r="G155"/>
  <c r="U142"/>
  <c r="U144"/>
  <c r="U146"/>
  <c r="U148"/>
  <c r="U150"/>
  <c r="U151"/>
  <c r="U152"/>
  <c r="U153"/>
  <c r="U154"/>
  <c r="Q142"/>
  <c r="R142"/>
  <c r="T142"/>
  <c r="Q143"/>
  <c r="R143"/>
  <c r="T143"/>
  <c r="Q144"/>
  <c r="R144"/>
  <c r="T144"/>
  <c r="Q145"/>
  <c r="R145"/>
  <c r="T145"/>
  <c r="Q146"/>
  <c r="R146"/>
  <c r="T146"/>
  <c r="Q147"/>
  <c r="R147"/>
  <c r="T147"/>
  <c r="Q148"/>
  <c r="R148"/>
  <c r="T148"/>
  <c r="Q149"/>
  <c r="R149"/>
  <c r="T149"/>
  <c r="Q150"/>
  <c r="R150"/>
  <c r="T150"/>
  <c r="Q151"/>
  <c r="R151"/>
  <c r="T151"/>
  <c r="Q152"/>
  <c r="R152"/>
  <c r="T152"/>
  <c r="Q153"/>
  <c r="R153"/>
  <c r="T153"/>
  <c r="Q154"/>
  <c r="R154"/>
  <c r="T154"/>
  <c r="K103"/>
  <c r="R103" s="1"/>
  <c r="K104"/>
  <c r="R104" s="1"/>
  <c r="M104"/>
  <c r="T104" s="1"/>
  <c r="N104"/>
  <c r="U104" s="1"/>
  <c r="K105"/>
  <c r="R105" s="1"/>
  <c r="M105"/>
  <c r="T105" s="1"/>
  <c r="N105"/>
  <c r="U105" s="1"/>
  <c r="K106"/>
  <c r="R106" s="1"/>
  <c r="M106"/>
  <c r="T106" s="1"/>
  <c r="N106"/>
  <c r="U106" s="1"/>
  <c r="K107"/>
  <c r="R107" s="1"/>
  <c r="M107"/>
  <c r="T107" s="1"/>
  <c r="N107"/>
  <c r="U107" s="1"/>
  <c r="K108"/>
  <c r="R108" s="1"/>
  <c r="M108"/>
  <c r="T108" s="1"/>
  <c r="N108"/>
  <c r="U108" s="1"/>
  <c r="K109"/>
  <c r="R109" s="1"/>
  <c r="M109"/>
  <c r="T109" s="1"/>
  <c r="N109"/>
  <c r="U109" s="1"/>
  <c r="K110"/>
  <c r="R110" s="1"/>
  <c r="M110"/>
  <c r="T110" s="1"/>
  <c r="N110"/>
  <c r="U110" s="1"/>
  <c r="K111"/>
  <c r="R111" s="1"/>
  <c r="M111"/>
  <c r="T111" s="1"/>
  <c r="N111"/>
  <c r="U111" s="1"/>
  <c r="K112"/>
  <c r="R112" s="1"/>
  <c r="M112"/>
  <c r="T112" s="1"/>
  <c r="N112"/>
  <c r="U112" s="1"/>
  <c r="K113"/>
  <c r="R113" s="1"/>
  <c r="M113"/>
  <c r="T113" s="1"/>
  <c r="N113"/>
  <c r="U113" s="1"/>
  <c r="K114"/>
  <c r="R114" s="1"/>
  <c r="M114"/>
  <c r="T114" s="1"/>
  <c r="N114"/>
  <c r="U114" s="1"/>
  <c r="K115"/>
  <c r="R115" s="1"/>
  <c r="M115"/>
  <c r="T115" s="1"/>
  <c r="N115"/>
  <c r="U115" s="1"/>
  <c r="K116"/>
  <c r="R116" s="1"/>
  <c r="M116"/>
  <c r="T116" s="1"/>
  <c r="N116"/>
  <c r="U116" s="1"/>
  <c r="J104"/>
  <c r="Q104" s="1"/>
  <c r="J105"/>
  <c r="Q105" s="1"/>
  <c r="J106"/>
  <c r="Q106" s="1"/>
  <c r="J107"/>
  <c r="Q107" s="1"/>
  <c r="J108"/>
  <c r="Q108" s="1"/>
  <c r="J109"/>
  <c r="Q109" s="1"/>
  <c r="J110"/>
  <c r="Q110" s="1"/>
  <c r="J111"/>
  <c r="Q111" s="1"/>
  <c r="J112"/>
  <c r="Q112" s="1"/>
  <c r="J113"/>
  <c r="Q113" s="1"/>
  <c r="J114"/>
  <c r="Q114" s="1"/>
  <c r="J115"/>
  <c r="Q115" s="1"/>
  <c r="J116"/>
  <c r="Q116" s="1"/>
  <c r="X85"/>
  <c r="AG85" s="1"/>
  <c r="Y85"/>
  <c r="AH85" s="1"/>
  <c r="E9" s="1"/>
  <c r="Z85"/>
  <c r="AI85" s="1"/>
  <c r="F9" s="1"/>
  <c r="AA85"/>
  <c r="AJ85" s="1"/>
  <c r="AB85"/>
  <c r="AK85" s="1"/>
  <c r="X86"/>
  <c r="AG86" s="1"/>
  <c r="Y86"/>
  <c r="AH86" s="1"/>
  <c r="E11" s="1"/>
  <c r="Z86"/>
  <c r="AI86" s="1"/>
  <c r="F11" s="1"/>
  <c r="AA86"/>
  <c r="AJ86" s="1"/>
  <c r="AB86"/>
  <c r="AK86" s="1"/>
  <c r="X87"/>
  <c r="AG87" s="1"/>
  <c r="Y87"/>
  <c r="AH87" s="1"/>
  <c r="E7" s="1"/>
  <c r="Z87"/>
  <c r="AI87" s="1"/>
  <c r="F7" s="1"/>
  <c r="AA87"/>
  <c r="AJ87" s="1"/>
  <c r="AB87"/>
  <c r="AK87" s="1"/>
  <c r="X88"/>
  <c r="AG88" s="1"/>
  <c r="Y88"/>
  <c r="AH88" s="1"/>
  <c r="E8" s="1"/>
  <c r="Z88"/>
  <c r="AI88" s="1"/>
  <c r="F8" s="1"/>
  <c r="AA88"/>
  <c r="AJ88" s="1"/>
  <c r="AB88"/>
  <c r="AK88" s="1"/>
  <c r="X89"/>
  <c r="AG89" s="1"/>
  <c r="Y89"/>
  <c r="AH89" s="1"/>
  <c r="E20" s="1"/>
  <c r="Z89"/>
  <c r="AI89" s="1"/>
  <c r="F20" s="1"/>
  <c r="AA89"/>
  <c r="AJ89" s="1"/>
  <c r="AB89"/>
  <c r="AK89" s="1"/>
  <c r="X90"/>
  <c r="AG90" s="1"/>
  <c r="Y90"/>
  <c r="AH90" s="1"/>
  <c r="E21" s="1"/>
  <c r="Z90"/>
  <c r="AI90" s="1"/>
  <c r="F21" s="1"/>
  <c r="AA90"/>
  <c r="AJ90" s="1"/>
  <c r="AB90"/>
  <c r="AK90" s="1"/>
  <c r="X91"/>
  <c r="AG91" s="1"/>
  <c r="Y91"/>
  <c r="AH91" s="1"/>
  <c r="E18" s="1"/>
  <c r="Z91"/>
  <c r="AI91" s="1"/>
  <c r="F18" s="1"/>
  <c r="AA91"/>
  <c r="AJ91" s="1"/>
  <c r="AB91"/>
  <c r="AK91" s="1"/>
  <c r="X92"/>
  <c r="AG92" s="1"/>
  <c r="Y92"/>
  <c r="AH92" s="1"/>
  <c r="E19" s="1"/>
  <c r="Z92"/>
  <c r="AI92" s="1"/>
  <c r="F19" s="1"/>
  <c r="AA92"/>
  <c r="AJ92" s="1"/>
  <c r="AB92"/>
  <c r="AK92" s="1"/>
  <c r="X93"/>
  <c r="AG93" s="1"/>
  <c r="Y93"/>
  <c r="AH93" s="1"/>
  <c r="E17" s="1"/>
  <c r="Z93"/>
  <c r="AI93" s="1"/>
  <c r="F17" s="1"/>
  <c r="AA93"/>
  <c r="AJ93" s="1"/>
  <c r="AB93"/>
  <c r="AK93" s="1"/>
  <c r="X94"/>
  <c r="AG94" s="1"/>
  <c r="Y94"/>
  <c r="AH94" s="1"/>
  <c r="E13" s="1"/>
  <c r="Z94"/>
  <c r="AI94" s="1"/>
  <c r="F13" s="1"/>
  <c r="AA94"/>
  <c r="AJ94" s="1"/>
  <c r="AB94"/>
  <c r="AK94" s="1"/>
  <c r="X95"/>
  <c r="AG95" s="1"/>
  <c r="Y95"/>
  <c r="AH95" s="1"/>
  <c r="E14" s="1"/>
  <c r="Z95"/>
  <c r="AI95" s="1"/>
  <c r="F14" s="1"/>
  <c r="AA95"/>
  <c r="AJ95" s="1"/>
  <c r="AB95"/>
  <c r="AK95" s="1"/>
  <c r="X96"/>
  <c r="AG96" s="1"/>
  <c r="Y96"/>
  <c r="AH96" s="1"/>
  <c r="E15" s="1"/>
  <c r="Z96"/>
  <c r="AI96" s="1"/>
  <c r="F15" s="1"/>
  <c r="AA96"/>
  <c r="AJ96" s="1"/>
  <c r="AB96"/>
  <c r="AK96" s="1"/>
  <c r="X97"/>
  <c r="AG97" s="1"/>
  <c r="Y97"/>
  <c r="AH97" s="1"/>
  <c r="E16" s="1"/>
  <c r="Z97"/>
  <c r="AI97" s="1"/>
  <c r="F16" s="1"/>
  <c r="AA97"/>
  <c r="AJ97" s="1"/>
  <c r="AB97"/>
  <c r="AK97" s="1"/>
  <c r="Y84"/>
  <c r="AH84" s="1"/>
  <c r="Z84"/>
  <c r="AI84" s="1"/>
  <c r="AA84"/>
  <c r="AJ84" s="1"/>
  <c r="AB84"/>
  <c r="AK84" s="1"/>
  <c r="X84"/>
  <c r="AG84" s="1"/>
  <c r="S98"/>
  <c r="Y122"/>
  <c r="AH122" s="1"/>
  <c r="Z122"/>
  <c r="AI122" s="1"/>
  <c r="AA122"/>
  <c r="AJ122" s="1"/>
  <c r="AB122"/>
  <c r="AK122" s="1"/>
  <c r="Y123"/>
  <c r="AH123" s="1"/>
  <c r="E47" s="1"/>
  <c r="Z123"/>
  <c r="AI123" s="1"/>
  <c r="F47" s="1"/>
  <c r="AA123"/>
  <c r="AJ123" s="1"/>
  <c r="AB123"/>
  <c r="AK123" s="1"/>
  <c r="Y124"/>
  <c r="AH124" s="1"/>
  <c r="E49" s="1"/>
  <c r="Z124"/>
  <c r="AI124" s="1"/>
  <c r="F49" s="1"/>
  <c r="AA124"/>
  <c r="AJ124" s="1"/>
  <c r="AB124"/>
  <c r="AK124" s="1"/>
  <c r="Y125"/>
  <c r="AH125" s="1"/>
  <c r="E45" s="1"/>
  <c r="Z125"/>
  <c r="AI125" s="1"/>
  <c r="F45" s="1"/>
  <c r="AA125"/>
  <c r="AJ125" s="1"/>
  <c r="AB125"/>
  <c r="AK125" s="1"/>
  <c r="Y126"/>
  <c r="AH126" s="1"/>
  <c r="E46" s="1"/>
  <c r="Z126"/>
  <c r="AI126" s="1"/>
  <c r="F46" s="1"/>
  <c r="AA126"/>
  <c r="AJ126" s="1"/>
  <c r="AB126"/>
  <c r="AK126" s="1"/>
  <c r="Y127"/>
  <c r="AH127" s="1"/>
  <c r="E58" s="1"/>
  <c r="Z127"/>
  <c r="AI127" s="1"/>
  <c r="F58" s="1"/>
  <c r="AA127"/>
  <c r="AJ127" s="1"/>
  <c r="AB127"/>
  <c r="AK127" s="1"/>
  <c r="Y128"/>
  <c r="AH128" s="1"/>
  <c r="E59" s="1"/>
  <c r="Z128"/>
  <c r="AI128" s="1"/>
  <c r="F59" s="1"/>
  <c r="AA128"/>
  <c r="AJ128" s="1"/>
  <c r="AB128"/>
  <c r="AK128" s="1"/>
  <c r="Y129"/>
  <c r="AH129" s="1"/>
  <c r="E56" s="1"/>
  <c r="Z129"/>
  <c r="AI129" s="1"/>
  <c r="F56" s="1"/>
  <c r="AA129"/>
  <c r="AJ129" s="1"/>
  <c r="AB129"/>
  <c r="AK129" s="1"/>
  <c r="Y130"/>
  <c r="AH130" s="1"/>
  <c r="E57" s="1"/>
  <c r="Z130"/>
  <c r="AI130" s="1"/>
  <c r="F57" s="1"/>
  <c r="AA130"/>
  <c r="AJ130" s="1"/>
  <c r="AB130"/>
  <c r="AK130" s="1"/>
  <c r="Y131"/>
  <c r="AH131" s="1"/>
  <c r="E55" s="1"/>
  <c r="Z131"/>
  <c r="AI131" s="1"/>
  <c r="F55" s="1"/>
  <c r="AA131"/>
  <c r="AJ131" s="1"/>
  <c r="AB131"/>
  <c r="AK131" s="1"/>
  <c r="Y132"/>
  <c r="AH132" s="1"/>
  <c r="E51" s="1"/>
  <c r="Z132"/>
  <c r="AI132" s="1"/>
  <c r="F51" s="1"/>
  <c r="AA132"/>
  <c r="AJ132" s="1"/>
  <c r="AB132"/>
  <c r="AK132" s="1"/>
  <c r="Y133"/>
  <c r="AH133" s="1"/>
  <c r="E52" s="1"/>
  <c r="Z133"/>
  <c r="AI133" s="1"/>
  <c r="F52" s="1"/>
  <c r="AA133"/>
  <c r="AJ133" s="1"/>
  <c r="AB133"/>
  <c r="AK133" s="1"/>
  <c r="Y134"/>
  <c r="AH134" s="1"/>
  <c r="E53" s="1"/>
  <c r="Z134"/>
  <c r="AI134" s="1"/>
  <c r="F53" s="1"/>
  <c r="AA134"/>
  <c r="AJ134" s="1"/>
  <c r="AB134"/>
  <c r="AK134" s="1"/>
  <c r="Y135"/>
  <c r="AH135" s="1"/>
  <c r="E54" s="1"/>
  <c r="Z135"/>
  <c r="AI135" s="1"/>
  <c r="F54" s="1"/>
  <c r="AA135"/>
  <c r="AJ135" s="1"/>
  <c r="AB135"/>
  <c r="AK135" s="1"/>
  <c r="V124"/>
  <c r="V126"/>
  <c r="V128"/>
  <c r="V130"/>
  <c r="V132"/>
  <c r="V134"/>
  <c r="C90" i="24" l="1"/>
  <c r="G54" i="21"/>
  <c r="C89" i="24"/>
  <c r="G53" i="21"/>
  <c r="C88" i="24"/>
  <c r="G52" i="21"/>
  <c r="C87" i="24"/>
  <c r="G51" i="21"/>
  <c r="C86" i="24"/>
  <c r="G55" i="21"/>
  <c r="C85" i="24"/>
  <c r="G57" i="21"/>
  <c r="C84" i="24"/>
  <c r="G56" i="21"/>
  <c r="C83" i="24"/>
  <c r="G59" i="21"/>
  <c r="C82" i="24"/>
  <c r="G58" i="21"/>
  <c r="C81" i="24"/>
  <c r="G46" i="21"/>
  <c r="C80" i="24"/>
  <c r="G45" i="21"/>
  <c r="C79" i="24"/>
  <c r="G49" i="21"/>
  <c r="C78" i="24"/>
  <c r="G47" i="21"/>
  <c r="AJ136"/>
  <c r="C77" i="24"/>
  <c r="G48" i="21"/>
  <c r="AH136"/>
  <c r="E50" s="1"/>
  <c r="E48"/>
  <c r="D10"/>
  <c r="AG98"/>
  <c r="D12" s="1"/>
  <c r="AL84"/>
  <c r="G10"/>
  <c r="C97" i="24"/>
  <c r="AJ98" i="21"/>
  <c r="E10"/>
  <c r="AH98"/>
  <c r="E12" s="1"/>
  <c r="G16"/>
  <c r="C110" i="24"/>
  <c r="G109"/>
  <c r="H15" i="21"/>
  <c r="D15"/>
  <c r="AL96"/>
  <c r="G14"/>
  <c r="C108" i="24"/>
  <c r="G107"/>
  <c r="H13" i="21"/>
  <c r="D13"/>
  <c r="AL94"/>
  <c r="G17"/>
  <c r="C106" i="24"/>
  <c r="G105"/>
  <c r="H19" i="21"/>
  <c r="D19"/>
  <c r="AL92"/>
  <c r="G18"/>
  <c r="C104" i="24"/>
  <c r="G103"/>
  <c r="H21" i="21"/>
  <c r="D21"/>
  <c r="AL90"/>
  <c r="G20"/>
  <c r="C102" i="24"/>
  <c r="G101"/>
  <c r="H8" i="21"/>
  <c r="D8"/>
  <c r="AL88"/>
  <c r="G7"/>
  <c r="C100" i="24"/>
  <c r="G99"/>
  <c r="H11" i="21"/>
  <c r="D11"/>
  <c r="AL86"/>
  <c r="G9"/>
  <c r="C98" i="24"/>
  <c r="H33" i="21"/>
  <c r="AB116"/>
  <c r="H32"/>
  <c r="AB115"/>
  <c r="H31"/>
  <c r="AB114"/>
  <c r="H30"/>
  <c r="AB113"/>
  <c r="H34"/>
  <c r="AB112"/>
  <c r="H36"/>
  <c r="AB111"/>
  <c r="H35"/>
  <c r="AB110"/>
  <c r="H38"/>
  <c r="AB109"/>
  <c r="H37"/>
  <c r="AB108"/>
  <c r="H25"/>
  <c r="AB107"/>
  <c r="H24"/>
  <c r="AB106"/>
  <c r="H28"/>
  <c r="AB105"/>
  <c r="H26"/>
  <c r="AB104"/>
  <c r="E71"/>
  <c r="Y154"/>
  <c r="G70"/>
  <c r="AA153"/>
  <c r="E69"/>
  <c r="Y152"/>
  <c r="G68"/>
  <c r="AA151"/>
  <c r="E72"/>
  <c r="Y150"/>
  <c r="G74"/>
  <c r="AA149"/>
  <c r="E73"/>
  <c r="Y148"/>
  <c r="G76"/>
  <c r="AA147"/>
  <c r="E75"/>
  <c r="Y146"/>
  <c r="G63"/>
  <c r="AA145"/>
  <c r="E62"/>
  <c r="Y144"/>
  <c r="G66"/>
  <c r="AA143"/>
  <c r="E64"/>
  <c r="Y142"/>
  <c r="H71"/>
  <c r="AB154"/>
  <c r="H69"/>
  <c r="AB152"/>
  <c r="H72"/>
  <c r="AB150"/>
  <c r="H75"/>
  <c r="AB146"/>
  <c r="H64"/>
  <c r="AB142"/>
  <c r="H74"/>
  <c r="AB149"/>
  <c r="H63"/>
  <c r="AB145"/>
  <c r="X115"/>
  <c r="X113"/>
  <c r="X111"/>
  <c r="X109"/>
  <c r="X107"/>
  <c r="X105"/>
  <c r="H54"/>
  <c r="G90" i="24"/>
  <c r="G89"/>
  <c r="H53" i="21"/>
  <c r="H52"/>
  <c r="G88" i="24"/>
  <c r="G87"/>
  <c r="H51" i="21"/>
  <c r="H55"/>
  <c r="G86" i="24"/>
  <c r="G85"/>
  <c r="H57" i="21"/>
  <c r="H56"/>
  <c r="G84" i="24"/>
  <c r="G83"/>
  <c r="H59" i="21"/>
  <c r="H58"/>
  <c r="G82" i="24"/>
  <c r="G81"/>
  <c r="H46" i="21"/>
  <c r="H45"/>
  <c r="G80" i="24"/>
  <c r="G79"/>
  <c r="H49" i="21"/>
  <c r="H47"/>
  <c r="G78" i="24"/>
  <c r="AK136" i="21"/>
  <c r="H48"/>
  <c r="G77" i="24"/>
  <c r="AI136" i="21"/>
  <c r="F50" s="1"/>
  <c r="F48"/>
  <c r="G97" i="24"/>
  <c r="H10" i="21"/>
  <c r="AK98"/>
  <c r="F10"/>
  <c r="AI98"/>
  <c r="F12" s="1"/>
  <c r="G110" i="24"/>
  <c r="H16" i="21"/>
  <c r="D16"/>
  <c r="AL97"/>
  <c r="C109" i="24"/>
  <c r="G15" i="21"/>
  <c r="G108" i="24"/>
  <c r="H14" i="21"/>
  <c r="D14"/>
  <c r="AL95"/>
  <c r="C107" i="24"/>
  <c r="G13" i="21"/>
  <c r="G106" i="24"/>
  <c r="H17" i="21"/>
  <c r="D17"/>
  <c r="AL93"/>
  <c r="C105" i="24"/>
  <c r="G19" i="21"/>
  <c r="G104" i="24"/>
  <c r="H18" i="21"/>
  <c r="D18"/>
  <c r="AL91"/>
  <c r="C103" i="24"/>
  <c r="G21" i="21"/>
  <c r="G102" i="24"/>
  <c r="H20" i="21"/>
  <c r="D20"/>
  <c r="AL89"/>
  <c r="C101" i="24"/>
  <c r="G8" i="21"/>
  <c r="G100" i="24"/>
  <c r="H7" i="21"/>
  <c r="D7"/>
  <c r="AL87"/>
  <c r="C99" i="24"/>
  <c r="G11" i="21"/>
  <c r="G98" i="24"/>
  <c r="H9" i="21"/>
  <c r="D9"/>
  <c r="AL85"/>
  <c r="D33"/>
  <c r="X116"/>
  <c r="G33"/>
  <c r="AA116"/>
  <c r="E33"/>
  <c r="Y116"/>
  <c r="G32"/>
  <c r="AA115"/>
  <c r="E32"/>
  <c r="Y115"/>
  <c r="G31"/>
  <c r="AA114"/>
  <c r="E31"/>
  <c r="Y114"/>
  <c r="G30"/>
  <c r="AA113"/>
  <c r="E30"/>
  <c r="Y113"/>
  <c r="G34"/>
  <c r="AA112"/>
  <c r="E34"/>
  <c r="Y112"/>
  <c r="G36"/>
  <c r="AA111"/>
  <c r="E36"/>
  <c r="Y111"/>
  <c r="G35"/>
  <c r="AA110"/>
  <c r="E35"/>
  <c r="Y110"/>
  <c r="G38"/>
  <c r="AA109"/>
  <c r="E38"/>
  <c r="Y109"/>
  <c r="G37"/>
  <c r="AA108"/>
  <c r="E37"/>
  <c r="Y108"/>
  <c r="G25"/>
  <c r="AA107"/>
  <c r="E25"/>
  <c r="Y107"/>
  <c r="G24"/>
  <c r="AA106"/>
  <c r="E24"/>
  <c r="Y106"/>
  <c r="G28"/>
  <c r="AA105"/>
  <c r="E28"/>
  <c r="Y105"/>
  <c r="G26"/>
  <c r="AA104"/>
  <c r="E26"/>
  <c r="Y104"/>
  <c r="G71"/>
  <c r="AA154"/>
  <c r="E70"/>
  <c r="Y153"/>
  <c r="G69"/>
  <c r="AA152"/>
  <c r="E68"/>
  <c r="Y151"/>
  <c r="G72"/>
  <c r="AA150"/>
  <c r="E74"/>
  <c r="Y149"/>
  <c r="G73"/>
  <c r="AA148"/>
  <c r="E76"/>
  <c r="Y147"/>
  <c r="G75"/>
  <c r="AA146"/>
  <c r="E63"/>
  <c r="Y145"/>
  <c r="G62"/>
  <c r="AA144"/>
  <c r="E66"/>
  <c r="Y143"/>
  <c r="G64"/>
  <c r="AA142"/>
  <c r="H70"/>
  <c r="AB153"/>
  <c r="H68"/>
  <c r="AB151"/>
  <c r="H73"/>
  <c r="AB148"/>
  <c r="H62"/>
  <c r="AB144"/>
  <c r="H76"/>
  <c r="AB147"/>
  <c r="H66"/>
  <c r="AB143"/>
  <c r="X114"/>
  <c r="X112"/>
  <c r="X110"/>
  <c r="X108"/>
  <c r="X106"/>
  <c r="X104"/>
  <c r="Y103"/>
  <c r="AB98"/>
  <c r="Z98"/>
  <c r="F40" s="1"/>
  <c r="V135"/>
  <c r="V133"/>
  <c r="V131"/>
  <c r="V129"/>
  <c r="V127"/>
  <c r="V125"/>
  <c r="V123"/>
  <c r="H103"/>
  <c r="C155"/>
  <c r="E155"/>
  <c r="S136"/>
  <c r="U136"/>
  <c r="T136"/>
  <c r="R136"/>
  <c r="R98"/>
  <c r="D90" i="24"/>
  <c r="D89"/>
  <c r="D88"/>
  <c r="D86"/>
  <c r="D85"/>
  <c r="D84"/>
  <c r="D83"/>
  <c r="D82"/>
  <c r="D81"/>
  <c r="D80"/>
  <c r="D79"/>
  <c r="H90"/>
  <c r="H89"/>
  <c r="H88"/>
  <c r="H87"/>
  <c r="H86"/>
  <c r="H85"/>
  <c r="H84"/>
  <c r="H83"/>
  <c r="H82"/>
  <c r="H81"/>
  <c r="H80"/>
  <c r="H79"/>
  <c r="H78"/>
  <c r="D107"/>
  <c r="H106"/>
  <c r="D106"/>
  <c r="H105"/>
  <c r="D103"/>
  <c r="H102"/>
  <c r="D102"/>
  <c r="H101"/>
  <c r="D101"/>
  <c r="H100"/>
  <c r="D98"/>
  <c r="D87"/>
  <c r="D78"/>
  <c r="H110"/>
  <c r="D110"/>
  <c r="H109"/>
  <c r="D109"/>
  <c r="H108"/>
  <c r="D108"/>
  <c r="H107"/>
  <c r="D105"/>
  <c r="H104"/>
  <c r="D104"/>
  <c r="H103"/>
  <c r="D100"/>
  <c r="H99"/>
  <c r="D99"/>
  <c r="H98"/>
  <c r="F90"/>
  <c r="Q136" i="21"/>
  <c r="AC97"/>
  <c r="AC95"/>
  <c r="AC93"/>
  <c r="AC91"/>
  <c r="AC89"/>
  <c r="AC87"/>
  <c r="AC85"/>
  <c r="AC96"/>
  <c r="AC94"/>
  <c r="AC92"/>
  <c r="AC90"/>
  <c r="AC88"/>
  <c r="AC86"/>
  <c r="H116"/>
  <c r="H114"/>
  <c r="H112"/>
  <c r="H110"/>
  <c r="H108"/>
  <c r="H106"/>
  <c r="H104"/>
  <c r="H153"/>
  <c r="H151"/>
  <c r="H149"/>
  <c r="H147"/>
  <c r="H145"/>
  <c r="H143"/>
  <c r="H115"/>
  <c r="H113"/>
  <c r="H111"/>
  <c r="H109"/>
  <c r="H107"/>
  <c r="H105"/>
  <c r="H141"/>
  <c r="H154"/>
  <c r="H152"/>
  <c r="H150"/>
  <c r="H148"/>
  <c r="H146"/>
  <c r="H144"/>
  <c r="H142"/>
  <c r="U141"/>
  <c r="U155" s="1"/>
  <c r="C117"/>
  <c r="D31"/>
  <c r="D34"/>
  <c r="D35"/>
  <c r="D37"/>
  <c r="D24"/>
  <c r="D26"/>
  <c r="R117"/>
  <c r="Y117" s="1"/>
  <c r="E27"/>
  <c r="D32"/>
  <c r="D30"/>
  <c r="D36"/>
  <c r="D38"/>
  <c r="D25"/>
  <c r="D28"/>
  <c r="D155"/>
  <c r="K117"/>
  <c r="J103"/>
  <c r="Q103" s="1"/>
  <c r="X103" s="1"/>
  <c r="D117"/>
  <c r="T98"/>
  <c r="Q98"/>
  <c r="R141"/>
  <c r="Y141" s="1"/>
  <c r="G117"/>
  <c r="E117"/>
  <c r="U98"/>
  <c r="AA98"/>
  <c r="Y98"/>
  <c r="E40" s="1"/>
  <c r="F117"/>
  <c r="D70"/>
  <c r="D68"/>
  <c r="D74"/>
  <c r="D76"/>
  <c r="D63"/>
  <c r="D66"/>
  <c r="T141"/>
  <c r="AA141" s="1"/>
  <c r="M155"/>
  <c r="D71"/>
  <c r="D69"/>
  <c r="D72"/>
  <c r="D73"/>
  <c r="D75"/>
  <c r="D62"/>
  <c r="D64"/>
  <c r="R155"/>
  <c r="Y155" s="1"/>
  <c r="S154"/>
  <c r="Z154" s="1"/>
  <c r="S153"/>
  <c r="Z153" s="1"/>
  <c r="S152"/>
  <c r="S151"/>
  <c r="Z151" s="1"/>
  <c r="S150"/>
  <c r="Z150" s="1"/>
  <c r="S149"/>
  <c r="Z149" s="1"/>
  <c r="S148"/>
  <c r="S147"/>
  <c r="Z147" s="1"/>
  <c r="S146"/>
  <c r="Z146" s="1"/>
  <c r="S145"/>
  <c r="Z145" s="1"/>
  <c r="S144"/>
  <c r="S143"/>
  <c r="Z143" s="1"/>
  <c r="S142"/>
  <c r="Z142" s="1"/>
  <c r="M103"/>
  <c r="L115"/>
  <c r="O115" s="1"/>
  <c r="L113"/>
  <c r="O113" s="1"/>
  <c r="L111"/>
  <c r="O111" s="1"/>
  <c r="L109"/>
  <c r="O109" s="1"/>
  <c r="L107"/>
  <c r="O107" s="1"/>
  <c r="L105"/>
  <c r="O105" s="1"/>
  <c r="K155"/>
  <c r="F155"/>
  <c r="N103"/>
  <c r="L103"/>
  <c r="S103" s="1"/>
  <c r="Z103" s="1"/>
  <c r="L116"/>
  <c r="O116" s="1"/>
  <c r="L114"/>
  <c r="O114" s="1"/>
  <c r="L112"/>
  <c r="O112" s="1"/>
  <c r="L110"/>
  <c r="O110" s="1"/>
  <c r="L108"/>
  <c r="O108" s="1"/>
  <c r="L106"/>
  <c r="O106" s="1"/>
  <c r="L104"/>
  <c r="O104" s="1"/>
  <c r="J155"/>
  <c r="AB136"/>
  <c r="Z136"/>
  <c r="F78" s="1"/>
  <c r="AA136"/>
  <c r="Y136"/>
  <c r="X122"/>
  <c r="AG122" s="1"/>
  <c r="X134"/>
  <c r="X132"/>
  <c r="X130"/>
  <c r="X128"/>
  <c r="X126"/>
  <c r="X124"/>
  <c r="X135"/>
  <c r="X133"/>
  <c r="X131"/>
  <c r="X129"/>
  <c r="X127"/>
  <c r="X125"/>
  <c r="X123"/>
  <c r="AC122"/>
  <c r="X98"/>
  <c r="AC84"/>
  <c r="V122"/>
  <c r="V97"/>
  <c r="V95"/>
  <c r="V93"/>
  <c r="V91"/>
  <c r="V89"/>
  <c r="V87"/>
  <c r="V85"/>
  <c r="V84"/>
  <c r="V96"/>
  <c r="V94"/>
  <c r="V92"/>
  <c r="V90"/>
  <c r="V88"/>
  <c r="V86"/>
  <c r="E78" l="1"/>
  <c r="E65"/>
  <c r="AC127"/>
  <c r="AG127"/>
  <c r="AC131"/>
  <c r="AG131"/>
  <c r="AC126"/>
  <c r="AG126"/>
  <c r="AC130"/>
  <c r="AG130"/>
  <c r="AC134"/>
  <c r="AG134"/>
  <c r="H91" i="24"/>
  <c r="AB155" i="21"/>
  <c r="H77" i="24"/>
  <c r="AB141" i="21"/>
  <c r="K98" i="24"/>
  <c r="K100"/>
  <c r="K102"/>
  <c r="K104"/>
  <c r="K106"/>
  <c r="K108"/>
  <c r="K110"/>
  <c r="G111"/>
  <c r="H12" i="21"/>
  <c r="K99" i="24"/>
  <c r="K101"/>
  <c r="K103"/>
  <c r="K105"/>
  <c r="K107"/>
  <c r="K109"/>
  <c r="C111"/>
  <c r="G12" i="21"/>
  <c r="C91" i="24"/>
  <c r="G50" i="21"/>
  <c r="AC123"/>
  <c r="AG123"/>
  <c r="AC135"/>
  <c r="AG135"/>
  <c r="AC125"/>
  <c r="AG125"/>
  <c r="AC129"/>
  <c r="AG129"/>
  <c r="AC133"/>
  <c r="AG133"/>
  <c r="AC124"/>
  <c r="AG124"/>
  <c r="AC128"/>
  <c r="AG128"/>
  <c r="AC132"/>
  <c r="AG132"/>
  <c r="D48"/>
  <c r="AL122"/>
  <c r="N173" s="1"/>
  <c r="V144"/>
  <c r="AD125" s="1"/>
  <c r="Z144"/>
  <c r="V148"/>
  <c r="AD129" s="1"/>
  <c r="Z148"/>
  <c r="V152"/>
  <c r="AD133" s="1"/>
  <c r="Z152"/>
  <c r="G91" i="24"/>
  <c r="I91" s="1"/>
  <c r="H50" i="21"/>
  <c r="AL98"/>
  <c r="F160"/>
  <c r="K97" i="24"/>
  <c r="N155" i="21"/>
  <c r="V136"/>
  <c r="AC98"/>
  <c r="D40"/>
  <c r="H40"/>
  <c r="G40"/>
  <c r="V98"/>
  <c r="AE125"/>
  <c r="AE129"/>
  <c r="AE133"/>
  <c r="L80" i="24"/>
  <c r="L88"/>
  <c r="J98"/>
  <c r="I98"/>
  <c r="J99"/>
  <c r="I99"/>
  <c r="J103"/>
  <c r="I103"/>
  <c r="J104"/>
  <c r="I104"/>
  <c r="J107"/>
  <c r="I107"/>
  <c r="J108"/>
  <c r="I108"/>
  <c r="J109"/>
  <c r="I109"/>
  <c r="J110"/>
  <c r="I110"/>
  <c r="F78"/>
  <c r="E78"/>
  <c r="J100"/>
  <c r="I100"/>
  <c r="J101"/>
  <c r="I101"/>
  <c r="J102"/>
  <c r="I102"/>
  <c r="J105"/>
  <c r="I105"/>
  <c r="J106"/>
  <c r="I106"/>
  <c r="I79"/>
  <c r="I81"/>
  <c r="I83"/>
  <c r="I85"/>
  <c r="I87"/>
  <c r="I89"/>
  <c r="E80"/>
  <c r="E82"/>
  <c r="E84"/>
  <c r="E86"/>
  <c r="E88"/>
  <c r="E90"/>
  <c r="J77"/>
  <c r="I77"/>
  <c r="F99"/>
  <c r="E99"/>
  <c r="F100"/>
  <c r="E100"/>
  <c r="F104"/>
  <c r="E104"/>
  <c r="F105"/>
  <c r="E105"/>
  <c r="F108"/>
  <c r="E108"/>
  <c r="F109"/>
  <c r="E109"/>
  <c r="F110"/>
  <c r="E110"/>
  <c r="F87"/>
  <c r="E87"/>
  <c r="F98"/>
  <c r="E98"/>
  <c r="F101"/>
  <c r="E101"/>
  <c r="F102"/>
  <c r="E102"/>
  <c r="F103"/>
  <c r="E103"/>
  <c r="F106"/>
  <c r="E106"/>
  <c r="F107"/>
  <c r="E107"/>
  <c r="I78"/>
  <c r="I80"/>
  <c r="I82"/>
  <c r="I84"/>
  <c r="I86"/>
  <c r="I88"/>
  <c r="I90"/>
  <c r="E79"/>
  <c r="E81"/>
  <c r="E83"/>
  <c r="E85"/>
  <c r="E89"/>
  <c r="G78" i="21"/>
  <c r="H78"/>
  <c r="J78" i="24"/>
  <c r="J80"/>
  <c r="J82"/>
  <c r="J84"/>
  <c r="J86"/>
  <c r="J88"/>
  <c r="J90"/>
  <c r="F79"/>
  <c r="F81"/>
  <c r="F83"/>
  <c r="F85"/>
  <c r="F89"/>
  <c r="D77"/>
  <c r="J79"/>
  <c r="J81"/>
  <c r="J83"/>
  <c r="J85"/>
  <c r="J87"/>
  <c r="J89"/>
  <c r="F80"/>
  <c r="F82"/>
  <c r="F84"/>
  <c r="F86"/>
  <c r="F88"/>
  <c r="H155" i="21"/>
  <c r="H67"/>
  <c r="H79" s="1"/>
  <c r="F66"/>
  <c r="F63"/>
  <c r="F76"/>
  <c r="F74"/>
  <c r="F68"/>
  <c r="F70"/>
  <c r="Q141"/>
  <c r="X141" s="1"/>
  <c r="O141"/>
  <c r="E29"/>
  <c r="E41" s="1"/>
  <c r="H65"/>
  <c r="O143"/>
  <c r="O147"/>
  <c r="O151"/>
  <c r="O142"/>
  <c r="O146"/>
  <c r="O150"/>
  <c r="O154"/>
  <c r="F64"/>
  <c r="F62"/>
  <c r="F75"/>
  <c r="F73"/>
  <c r="F72"/>
  <c r="F69"/>
  <c r="F71"/>
  <c r="E67"/>
  <c r="E79" s="1"/>
  <c r="D27"/>
  <c r="H117"/>
  <c r="O145"/>
  <c r="O149"/>
  <c r="O153"/>
  <c r="O144"/>
  <c r="O148"/>
  <c r="O152"/>
  <c r="V142"/>
  <c r="V146"/>
  <c r="V150"/>
  <c r="V154"/>
  <c r="V143"/>
  <c r="V145"/>
  <c r="V147"/>
  <c r="V149"/>
  <c r="V151"/>
  <c r="V153"/>
  <c r="S106"/>
  <c r="Z106" s="1"/>
  <c r="S110"/>
  <c r="Z110" s="1"/>
  <c r="S114"/>
  <c r="Z114" s="1"/>
  <c r="F27"/>
  <c r="S107"/>
  <c r="Z107" s="1"/>
  <c r="S111"/>
  <c r="Z111" s="1"/>
  <c r="S115"/>
  <c r="Z115" s="1"/>
  <c r="S104"/>
  <c r="Z104" s="1"/>
  <c r="S108"/>
  <c r="Z108" s="1"/>
  <c r="S112"/>
  <c r="Z112" s="1"/>
  <c r="S116"/>
  <c r="Z116" s="1"/>
  <c r="N117"/>
  <c r="U103"/>
  <c r="AB103" s="1"/>
  <c r="S105"/>
  <c r="Z105" s="1"/>
  <c r="S109"/>
  <c r="Z109" s="1"/>
  <c r="S113"/>
  <c r="Z113" s="1"/>
  <c r="M117"/>
  <c r="T103"/>
  <c r="AA103" s="1"/>
  <c r="J117"/>
  <c r="L117"/>
  <c r="O103"/>
  <c r="S141"/>
  <c r="Z141" s="1"/>
  <c r="L155"/>
  <c r="O155" s="1"/>
  <c r="T155"/>
  <c r="G65"/>
  <c r="X136"/>
  <c r="L84" i="24" l="1"/>
  <c r="AG136" i="21"/>
  <c r="D50" s="1"/>
  <c r="D78" s="1"/>
  <c r="D91" i="24"/>
  <c r="AA155" i="21"/>
  <c r="K111" i="24"/>
  <c r="AL132" i="21"/>
  <c r="D51"/>
  <c r="X151"/>
  <c r="AL128"/>
  <c r="D59"/>
  <c r="X147"/>
  <c r="AL124"/>
  <c r="D49"/>
  <c r="X143"/>
  <c r="AL133"/>
  <c r="D52"/>
  <c r="X152"/>
  <c r="AL129"/>
  <c r="AC148" s="1"/>
  <c r="D56"/>
  <c r="X148"/>
  <c r="AL125"/>
  <c r="D45"/>
  <c r="X144"/>
  <c r="AL135"/>
  <c r="D54"/>
  <c r="X154"/>
  <c r="AL123"/>
  <c r="D47"/>
  <c r="X142"/>
  <c r="AC151"/>
  <c r="AC147"/>
  <c r="AC143"/>
  <c r="AC142"/>
  <c r="AC152"/>
  <c r="AC144"/>
  <c r="K77" i="24"/>
  <c r="AL134" i="21"/>
  <c r="AC153" s="1"/>
  <c r="D53"/>
  <c r="X153"/>
  <c r="AL130"/>
  <c r="AC149" s="1"/>
  <c r="D57"/>
  <c r="X149"/>
  <c r="AL126"/>
  <c r="AC145" s="1"/>
  <c r="D46"/>
  <c r="X145"/>
  <c r="AL131"/>
  <c r="D55"/>
  <c r="X150"/>
  <c r="AL127"/>
  <c r="AC146" s="1"/>
  <c r="D58"/>
  <c r="X146"/>
  <c r="AC154"/>
  <c r="AE132"/>
  <c r="AD132"/>
  <c r="AE128"/>
  <c r="AD128"/>
  <c r="AE124"/>
  <c r="AD124"/>
  <c r="AE131"/>
  <c r="AD131"/>
  <c r="AE123"/>
  <c r="AD123"/>
  <c r="AE134"/>
  <c r="AD134"/>
  <c r="AE130"/>
  <c r="AD130"/>
  <c r="AE126"/>
  <c r="AD126"/>
  <c r="AE135"/>
  <c r="AD135"/>
  <c r="AE127"/>
  <c r="AD127"/>
  <c r="L87" i="24"/>
  <c r="L83"/>
  <c r="L79"/>
  <c r="L86"/>
  <c r="L78"/>
  <c r="L89"/>
  <c r="L85"/>
  <c r="L81"/>
  <c r="L90"/>
  <c r="L82"/>
  <c r="J91"/>
  <c r="F91"/>
  <c r="E91"/>
  <c r="F77"/>
  <c r="E77"/>
  <c r="D97"/>
  <c r="H97"/>
  <c r="V112" i="21"/>
  <c r="V111"/>
  <c r="AC136"/>
  <c r="V109"/>
  <c r="F33"/>
  <c r="V116"/>
  <c r="V108"/>
  <c r="V115"/>
  <c r="V107"/>
  <c r="V114"/>
  <c r="V106"/>
  <c r="D65"/>
  <c r="Q155"/>
  <c r="X155" s="1"/>
  <c r="O117"/>
  <c r="G67"/>
  <c r="G79" s="1"/>
  <c r="V113"/>
  <c r="V105"/>
  <c r="V104"/>
  <c r="V110"/>
  <c r="T117"/>
  <c r="G27"/>
  <c r="F30"/>
  <c r="F38"/>
  <c r="F28"/>
  <c r="H27"/>
  <c r="U117"/>
  <c r="F34"/>
  <c r="F37"/>
  <c r="F26"/>
  <c r="F32"/>
  <c r="F36"/>
  <c r="F25"/>
  <c r="F31"/>
  <c r="F35"/>
  <c r="F24"/>
  <c r="S117"/>
  <c r="Z117" s="1"/>
  <c r="Q117"/>
  <c r="X117" s="1"/>
  <c r="V103"/>
  <c r="F65"/>
  <c r="S155"/>
  <c r="Z155" s="1"/>
  <c r="V141"/>
  <c r="AC141" s="1"/>
  <c r="L97" i="24" l="1"/>
  <c r="O173" i="21"/>
  <c r="P173" s="1"/>
  <c r="G160"/>
  <c r="AC103"/>
  <c r="H111" i="24"/>
  <c r="AB117" i="21"/>
  <c r="D111" i="24"/>
  <c r="AA117" i="21"/>
  <c r="L104" i="24"/>
  <c r="O163" i="21"/>
  <c r="AC110"/>
  <c r="L99" i="24"/>
  <c r="N99" s="1"/>
  <c r="AC105" i="21"/>
  <c r="O160"/>
  <c r="L100" i="24"/>
  <c r="O169" i="21"/>
  <c r="AC106"/>
  <c r="L101" i="24"/>
  <c r="N101" s="1"/>
  <c r="AC107" i="21"/>
  <c r="O168"/>
  <c r="L102" i="24"/>
  <c r="O164" i="21"/>
  <c r="AC108"/>
  <c r="L106" i="24"/>
  <c r="N106" s="1"/>
  <c r="O166" i="21"/>
  <c r="AC112"/>
  <c r="K86" i="24"/>
  <c r="N166" i="21"/>
  <c r="F169"/>
  <c r="K85" i="24"/>
  <c r="M85" s="1"/>
  <c r="N171" i="21"/>
  <c r="F168"/>
  <c r="K78" i="24"/>
  <c r="N161" i="21"/>
  <c r="F161"/>
  <c r="K80" i="24"/>
  <c r="N169" i="21"/>
  <c r="F163"/>
  <c r="K88" i="24"/>
  <c r="N174" i="21"/>
  <c r="F171"/>
  <c r="K83" i="24"/>
  <c r="M83" s="1"/>
  <c r="N170" i="21"/>
  <c r="F166"/>
  <c r="AC150"/>
  <c r="L98" i="24"/>
  <c r="N98" s="1"/>
  <c r="O161" i="21"/>
  <c r="AC104"/>
  <c r="L107" i="24"/>
  <c r="AC113" i="21"/>
  <c r="O172"/>
  <c r="L108" i="24"/>
  <c r="N108" s="1"/>
  <c r="O174" i="21"/>
  <c r="AC114"/>
  <c r="L109" i="24"/>
  <c r="AC115" i="21"/>
  <c r="O162"/>
  <c r="L110" i="24"/>
  <c r="N110" s="1"/>
  <c r="O165" i="21"/>
  <c r="AC116"/>
  <c r="L103" i="24"/>
  <c r="AC109" i="21"/>
  <c r="O170"/>
  <c r="P170" s="1"/>
  <c r="L105" i="24"/>
  <c r="N105" s="1"/>
  <c r="AC111" i="21"/>
  <c r="O171"/>
  <c r="P171" s="1"/>
  <c r="K82" i="24"/>
  <c r="N164" i="21"/>
  <c r="F165"/>
  <c r="K81" i="24"/>
  <c r="M81" s="1"/>
  <c r="N168" i="21"/>
  <c r="F164"/>
  <c r="K89" i="24"/>
  <c r="N162" i="21"/>
  <c r="F172"/>
  <c r="K90" i="24"/>
  <c r="M90" s="1"/>
  <c r="N165" i="21"/>
  <c r="F173"/>
  <c r="K84" i="24"/>
  <c r="N163" i="21"/>
  <c r="F167"/>
  <c r="K79" i="24"/>
  <c r="M79" s="1"/>
  <c r="N160" i="21"/>
  <c r="F162"/>
  <c r="K87" i="24"/>
  <c r="N172" i="21"/>
  <c r="F170"/>
  <c r="AL136"/>
  <c r="N103" i="24"/>
  <c r="M103"/>
  <c r="M105"/>
  <c r="M106"/>
  <c r="N97"/>
  <c r="M97"/>
  <c r="N104"/>
  <c r="M104"/>
  <c r="M98"/>
  <c r="M99"/>
  <c r="N107"/>
  <c r="M107"/>
  <c r="N100"/>
  <c r="M100"/>
  <c r="M108"/>
  <c r="M101"/>
  <c r="N109"/>
  <c r="M109"/>
  <c r="N102"/>
  <c r="M102"/>
  <c r="M110"/>
  <c r="AE122" i="21"/>
  <c r="AD122"/>
  <c r="L77" i="24"/>
  <c r="N90"/>
  <c r="N81"/>
  <c r="N89"/>
  <c r="M89"/>
  <c r="N78"/>
  <c r="M78"/>
  <c r="N83"/>
  <c r="N82"/>
  <c r="M82"/>
  <c r="N85"/>
  <c r="N86"/>
  <c r="M86"/>
  <c r="N79"/>
  <c r="N87"/>
  <c r="M87"/>
  <c r="J111"/>
  <c r="I111"/>
  <c r="F111"/>
  <c r="E111"/>
  <c r="J97"/>
  <c r="I97"/>
  <c r="F97"/>
  <c r="E97"/>
  <c r="H160" i="21"/>
  <c r="G167"/>
  <c r="H167" s="1"/>
  <c r="G161"/>
  <c r="H161" s="1"/>
  <c r="G162"/>
  <c r="G170"/>
  <c r="H170" s="1"/>
  <c r="G163"/>
  <c r="G171"/>
  <c r="H171" s="1"/>
  <c r="G164"/>
  <c r="G172"/>
  <c r="H172" s="1"/>
  <c r="G165"/>
  <c r="H165" s="1"/>
  <c r="G173"/>
  <c r="H173" s="1"/>
  <c r="G166"/>
  <c r="G168"/>
  <c r="H168" s="1"/>
  <c r="G169"/>
  <c r="H169" s="1"/>
  <c r="V117"/>
  <c r="F29"/>
  <c r="F41" s="1"/>
  <c r="H29"/>
  <c r="H41" s="1"/>
  <c r="G29"/>
  <c r="G41" s="1"/>
  <c r="V155"/>
  <c r="AC155" s="1"/>
  <c r="D67"/>
  <c r="D79" s="1"/>
  <c r="D29"/>
  <c r="D41" s="1"/>
  <c r="F67"/>
  <c r="F79" s="1"/>
  <c r="H166" l="1"/>
  <c r="H164"/>
  <c r="H163"/>
  <c r="H162"/>
  <c r="P174"/>
  <c r="P161"/>
  <c r="N84" i="24"/>
  <c r="M84"/>
  <c r="M88"/>
  <c r="N88"/>
  <c r="P165" i="21"/>
  <c r="P162"/>
  <c r="P172"/>
  <c r="P166"/>
  <c r="L111" i="24"/>
  <c r="N111" s="1"/>
  <c r="AC117" i="21"/>
  <c r="O167"/>
  <c r="K91" i="24"/>
  <c r="N167" i="21"/>
  <c r="F174"/>
  <c r="M80" i="24"/>
  <c r="N80"/>
  <c r="P164" i="21"/>
  <c r="P168"/>
  <c r="P169"/>
  <c r="P160"/>
  <c r="P163"/>
  <c r="M111" i="24"/>
  <c r="AE136" i="21"/>
  <c r="AD136"/>
  <c r="L91" i="24"/>
  <c r="N77"/>
  <c r="M77"/>
  <c r="G174" i="21"/>
  <c r="H174" s="1"/>
  <c r="D38" i="23"/>
  <c r="B37"/>
  <c r="B38"/>
  <c r="B39"/>
  <c r="B40"/>
  <c r="B41"/>
  <c r="B42"/>
  <c r="B43"/>
  <c r="B44"/>
  <c r="B45"/>
  <c r="B46"/>
  <c r="B47"/>
  <c r="B48"/>
  <c r="D37"/>
  <c r="P167" i="21" l="1"/>
  <c r="M91" i="24"/>
  <c r="N91"/>
  <c r="D121" i="8"/>
  <c r="E121"/>
  <c r="F121"/>
  <c r="C121"/>
  <c r="N105"/>
  <c r="AC374"/>
  <c r="H107"/>
  <c r="H106"/>
  <c r="H110"/>
  <c r="H108"/>
  <c r="H109"/>
  <c r="H114"/>
  <c r="H113"/>
  <c r="H112"/>
  <c r="H111"/>
  <c r="H115"/>
  <c r="H117"/>
  <c r="H121" s="1"/>
  <c r="H116"/>
  <c r="H119"/>
  <c r="H118"/>
  <c r="I114"/>
  <c r="I113"/>
  <c r="I112"/>
  <c r="I111"/>
  <c r="I115"/>
  <c r="I117"/>
  <c r="I116"/>
  <c r="I119"/>
  <c r="I107"/>
  <c r="I106"/>
  <c r="I110"/>
  <c r="I108"/>
  <c r="I109"/>
  <c r="I118"/>
  <c r="G114"/>
  <c r="G113"/>
  <c r="G112"/>
  <c r="G111"/>
  <c r="G115"/>
  <c r="G117"/>
  <c r="G116"/>
  <c r="G119"/>
  <c r="G118"/>
  <c r="G107"/>
  <c r="G106"/>
  <c r="G110"/>
  <c r="G108"/>
  <c r="G109"/>
  <c r="W373"/>
  <c r="J114"/>
  <c r="J113"/>
  <c r="J112"/>
  <c r="J111"/>
  <c r="J115"/>
  <c r="J117"/>
  <c r="J116"/>
  <c r="J119"/>
  <c r="J118"/>
  <c r="J107"/>
  <c r="J106"/>
  <c r="J110"/>
  <c r="J108"/>
  <c r="J109"/>
  <c r="G121" l="1"/>
  <c r="I121"/>
  <c r="J121"/>
  <c r="J122"/>
  <c r="I122"/>
  <c r="H122"/>
  <c r="G122"/>
  <c r="K109"/>
  <c r="E37" i="23"/>
  <c r="K110" i="8"/>
  <c r="C37" i="23"/>
  <c r="K107" i="8"/>
  <c r="C39" i="23"/>
  <c r="K119" i="8"/>
  <c r="C41" i="23"/>
  <c r="K117" i="8"/>
  <c r="K121" s="1"/>
  <c r="C43" i="23"/>
  <c r="K111" i="8"/>
  <c r="C45" i="23"/>
  <c r="K113" i="8"/>
  <c r="C47" i="23"/>
  <c r="K108" i="8"/>
  <c r="E38" i="23"/>
  <c r="K106" i="8"/>
  <c r="C38" i="23"/>
  <c r="K118" i="8"/>
  <c r="C40" i="23"/>
  <c r="K116" i="8"/>
  <c r="C42" i="23"/>
  <c r="K115" i="8"/>
  <c r="C44" i="23"/>
  <c r="K112" i="8"/>
  <c r="C46" i="23"/>
  <c r="K114" i="8"/>
  <c r="C48" i="23"/>
  <c r="AC373" i="8"/>
  <c r="Z373"/>
  <c r="W374"/>
  <c r="Q374"/>
  <c r="Z374"/>
  <c r="Q373"/>
  <c r="T374"/>
  <c r="T373"/>
  <c r="K122" l="1"/>
  <c r="C49" i="23"/>
  <c r="E49"/>
  <c r="N6" i="8"/>
  <c r="N44"/>
  <c r="N82"/>
  <c r="E65" i="26"/>
  <c r="E62"/>
  <c r="E61"/>
  <c r="E63"/>
  <c r="E71"/>
  <c r="E72"/>
  <c r="E73"/>
  <c r="E74"/>
  <c r="E70"/>
  <c r="E68"/>
  <c r="E69"/>
  <c r="E66"/>
  <c r="E67"/>
  <c r="E64"/>
  <c r="D65"/>
  <c r="D62"/>
  <c r="D61"/>
  <c r="D63"/>
  <c r="D71"/>
  <c r="D72"/>
  <c r="D73"/>
  <c r="D74"/>
  <c r="D70"/>
  <c r="D68"/>
  <c r="D69"/>
  <c r="D66"/>
  <c r="D67"/>
  <c r="D64"/>
  <c r="F12"/>
  <c r="F13"/>
  <c r="F14"/>
  <c r="F15"/>
  <c r="F16"/>
  <c r="F17"/>
  <c r="F18"/>
  <c r="F19"/>
  <c r="F20"/>
  <c r="F21"/>
  <c r="F22"/>
  <c r="F23"/>
  <c r="F24"/>
  <c r="F11"/>
  <c r="F37"/>
  <c r="F38"/>
  <c r="F39"/>
  <c r="F40"/>
  <c r="F41"/>
  <c r="F42"/>
  <c r="F43"/>
  <c r="F44"/>
  <c r="F45"/>
  <c r="F46"/>
  <c r="F47"/>
  <c r="F48"/>
  <c r="F49"/>
  <c r="F36"/>
  <c r="B37" l="1"/>
  <c r="B38"/>
  <c r="B39"/>
  <c r="B40"/>
  <c r="B41"/>
  <c r="B42"/>
  <c r="B43"/>
  <c r="B44"/>
  <c r="B45"/>
  <c r="B46"/>
  <c r="B47"/>
  <c r="B48"/>
  <c r="B49"/>
  <c r="B36"/>
  <c r="D16" i="5"/>
  <c r="B11" i="26" l="1"/>
  <c r="B61"/>
  <c r="B23"/>
  <c r="B73"/>
  <c r="B21"/>
  <c r="B71"/>
  <c r="B19"/>
  <c r="B69"/>
  <c r="B17"/>
  <c r="B67"/>
  <c r="B15"/>
  <c r="B65"/>
  <c r="B13"/>
  <c r="B63"/>
  <c r="B74"/>
  <c r="B24"/>
  <c r="B72"/>
  <c r="B22"/>
  <c r="B70"/>
  <c r="B20"/>
  <c r="B68"/>
  <c r="B18"/>
  <c r="B66"/>
  <c r="B16"/>
  <c r="B64"/>
  <c r="B14"/>
  <c r="B62"/>
  <c r="B12"/>
  <c r="C16" i="5"/>
  <c r="C18" s="1"/>
  <c r="D11" s="1"/>
  <c r="D13" l="1"/>
  <c r="D17" s="1"/>
  <c r="C21" s="1"/>
  <c r="D15"/>
  <c r="C13"/>
  <c r="C11"/>
  <c r="C15"/>
  <c r="C22" l="1"/>
  <c r="C23"/>
  <c r="C24" s="1"/>
  <c r="C17"/>
  <c r="G16"/>
  <c r="J16"/>
  <c r="H16"/>
  <c r="F16"/>
  <c r="E16"/>
  <c r="I16"/>
  <c r="I18" s="1"/>
  <c r="I13" s="1"/>
  <c r="G18" l="1"/>
  <c r="G11" s="1"/>
  <c r="E18"/>
  <c r="G15"/>
  <c r="J11"/>
  <c r="E11"/>
  <c r="I11"/>
  <c r="F23" s="1"/>
  <c r="G13"/>
  <c r="E15"/>
  <c r="I15"/>
  <c r="F13"/>
  <c r="J13"/>
  <c r="J15"/>
  <c r="E13"/>
  <c r="H15" l="1"/>
  <c r="H11"/>
  <c r="E23"/>
  <c r="D23"/>
  <c r="H13"/>
  <c r="G17"/>
  <c r="F15"/>
  <c r="F11"/>
  <c r="J17"/>
  <c r="F21" s="1"/>
  <c r="F22" s="1"/>
  <c r="F24" s="1"/>
  <c r="I17"/>
  <c r="E17"/>
  <c r="H17" l="1"/>
  <c r="E21" s="1"/>
  <c r="E22" s="1"/>
  <c r="E24" s="1"/>
  <c r="F17"/>
  <c r="D21" s="1"/>
  <c r="D22" s="1"/>
  <c r="D24" s="1"/>
  <c r="B78" i="24"/>
  <c r="B98" s="1"/>
  <c r="B79"/>
  <c r="B99" s="1"/>
  <c r="B80"/>
  <c r="B100" s="1"/>
  <c r="B81"/>
  <c r="B101" s="1"/>
  <c r="B82"/>
  <c r="B102" s="1"/>
  <c r="B83"/>
  <c r="B103" s="1"/>
  <c r="B84"/>
  <c r="B104" s="1"/>
  <c r="B85"/>
  <c r="B105" s="1"/>
  <c r="B86"/>
  <c r="B106" s="1"/>
  <c r="B87"/>
  <c r="B107" s="1"/>
  <c r="B88"/>
  <c r="B108" s="1"/>
  <c r="B89"/>
  <c r="B109" s="1"/>
  <c r="B90"/>
  <c r="B110" s="1"/>
  <c r="B91"/>
  <c r="B111" s="1"/>
  <c r="B77"/>
  <c r="B97" s="1"/>
  <c r="F71" i="26"/>
  <c r="G21" i="16" l="1"/>
  <c r="H21" l="1"/>
  <c r="L46" i="6" l="1"/>
  <c r="C36" i="26"/>
  <c r="H27" i="23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J8"/>
  <c r="H8"/>
  <c r="C97" i="8"/>
  <c r="C96"/>
  <c r="C95"/>
  <c r="C94"/>
  <c r="C93"/>
  <c r="C92"/>
  <c r="C91"/>
  <c r="C90"/>
  <c r="C89"/>
  <c r="C88"/>
  <c r="C87"/>
  <c r="C85"/>
  <c r="C86"/>
  <c r="C84"/>
  <c r="C83"/>
  <c r="AR164"/>
  <c r="AQ164"/>
  <c r="AP164"/>
  <c r="AO164"/>
  <c r="AN164"/>
  <c r="AM164"/>
  <c r="AL164"/>
  <c r="AK164"/>
  <c r="AJ164"/>
  <c r="AI164"/>
  <c r="AH164"/>
  <c r="AG164"/>
  <c r="AF164"/>
  <c r="AE164"/>
  <c r="AD164"/>
  <c r="E164"/>
  <c r="D164"/>
  <c r="C67" s="1"/>
  <c r="C164"/>
  <c r="C50" s="1"/>
  <c r="AR143"/>
  <c r="AQ143"/>
  <c r="AP143"/>
  <c r="AO143"/>
  <c r="AN143"/>
  <c r="AM143"/>
  <c r="AL143"/>
  <c r="AK143"/>
  <c r="AJ143"/>
  <c r="AI143"/>
  <c r="AH143"/>
  <c r="AG143"/>
  <c r="AF143"/>
  <c r="AE143"/>
  <c r="AD143"/>
  <c r="E143"/>
  <c r="D143"/>
  <c r="C29" s="1"/>
  <c r="C143"/>
  <c r="C12" s="1"/>
  <c r="E19" i="23" l="1"/>
  <c r="J14"/>
  <c r="B85" i="21"/>
  <c r="B86"/>
  <c r="B87"/>
  <c r="B88"/>
  <c r="B89"/>
  <c r="B90"/>
  <c r="B91"/>
  <c r="B92"/>
  <c r="B93"/>
  <c r="B94"/>
  <c r="B95"/>
  <c r="B96"/>
  <c r="B97"/>
  <c r="B84"/>
  <c r="F167" i="3"/>
  <c r="F144" s="1"/>
  <c r="F121" s="1"/>
  <c r="F98" s="1"/>
  <c r="F75" s="1"/>
  <c r="F52" s="1"/>
  <c r="F29" s="1"/>
  <c r="F6" s="1"/>
  <c r="H6" i="12"/>
  <c r="M6" s="1"/>
  <c r="R6" s="1"/>
  <c r="W6" s="1"/>
  <c r="AB6" s="1"/>
  <c r="AG6" s="1"/>
  <c r="AL6" s="1"/>
  <c r="AQ6" s="1"/>
  <c r="AV6" s="1"/>
  <c r="B136"/>
  <c r="B556" i="8"/>
  <c r="B533" s="1"/>
  <c r="B510" s="1"/>
  <c r="B487" s="1"/>
  <c r="B464" s="1"/>
  <c r="B441" s="1"/>
  <c r="B418" s="1"/>
  <c r="B395" s="1"/>
  <c r="AD387"/>
  <c r="AE387"/>
  <c r="AF387"/>
  <c r="D357"/>
  <c r="C336"/>
  <c r="C231"/>
  <c r="C210"/>
  <c r="C168"/>
  <c r="J126"/>
  <c r="K126"/>
  <c r="M126"/>
  <c r="N126"/>
  <c r="P126"/>
  <c r="Q126"/>
  <c r="S126"/>
  <c r="T126"/>
  <c r="V126"/>
  <c r="W126"/>
  <c r="Y126"/>
  <c r="Z126"/>
  <c r="AB126"/>
  <c r="AC126"/>
  <c r="AE126"/>
  <c r="AF126"/>
  <c r="AH126"/>
  <c r="AI126"/>
  <c r="AK126"/>
  <c r="AL126"/>
  <c r="AN126"/>
  <c r="AO126"/>
  <c r="AQ126"/>
  <c r="AR126"/>
  <c r="F126"/>
  <c r="F336" s="1"/>
  <c r="C413" i="10"/>
  <c r="C385"/>
  <c r="C357"/>
  <c r="C329"/>
  <c r="C301"/>
  <c r="C273"/>
  <c r="C245"/>
  <c r="C217"/>
  <c r="C189"/>
  <c r="C161"/>
  <c r="C133"/>
  <c r="C105"/>
  <c r="C77"/>
  <c r="D49"/>
  <c r="D413" s="1"/>
  <c r="D6" i="22"/>
  <c r="E6" s="1"/>
  <c r="F6" s="1"/>
  <c r="G6" s="1"/>
  <c r="H6" s="1"/>
  <c r="I6" s="1"/>
  <c r="J6" s="1"/>
  <c r="B154" i="21" l="1"/>
  <c r="B135"/>
  <c r="B116"/>
  <c r="B152"/>
  <c r="B133"/>
  <c r="B114"/>
  <c r="B150"/>
  <c r="B131"/>
  <c r="B112"/>
  <c r="B148"/>
  <c r="B129"/>
  <c r="B110"/>
  <c r="B146"/>
  <c r="B127"/>
  <c r="B108"/>
  <c r="B144"/>
  <c r="B125"/>
  <c r="B106"/>
  <c r="B142"/>
  <c r="B123"/>
  <c r="B104"/>
  <c r="B122"/>
  <c r="B141"/>
  <c r="B103"/>
  <c r="B153"/>
  <c r="B134"/>
  <c r="B115"/>
  <c r="B151"/>
  <c r="B132"/>
  <c r="B113"/>
  <c r="B149"/>
  <c r="B130"/>
  <c r="B111"/>
  <c r="B147"/>
  <c r="B128"/>
  <c r="B109"/>
  <c r="B145"/>
  <c r="B126"/>
  <c r="B107"/>
  <c r="B143"/>
  <c r="B124"/>
  <c r="B105"/>
  <c r="D133" i="10"/>
  <c r="E49"/>
  <c r="D77"/>
  <c r="D105"/>
  <c r="D161"/>
  <c r="D189"/>
  <c r="D217"/>
  <c r="D245"/>
  <c r="D273"/>
  <c r="D301"/>
  <c r="D329"/>
  <c r="D357"/>
  <c r="D385"/>
  <c r="AD388" i="8"/>
  <c r="F168"/>
  <c r="F210"/>
  <c r="F231"/>
  <c r="G357"/>
  <c r="I126"/>
  <c r="F21" i="16"/>
  <c r="D26"/>
  <c r="E26" s="1"/>
  <c r="F26" s="1"/>
  <c r="G26" s="1"/>
  <c r="I26" s="1"/>
  <c r="J26" s="1"/>
  <c r="K26" s="1"/>
  <c r="L26" s="1"/>
  <c r="M26" s="1"/>
  <c r="F49" i="10" l="1"/>
  <c r="E133"/>
  <c r="E273"/>
  <c r="E245"/>
  <c r="E217"/>
  <c r="E189"/>
  <c r="E77"/>
  <c r="E413"/>
  <c r="E385"/>
  <c r="E357"/>
  <c r="E329"/>
  <c r="E301"/>
  <c r="E161"/>
  <c r="E105"/>
  <c r="L126" i="8"/>
  <c r="J357"/>
  <c r="I231"/>
  <c r="I210"/>
  <c r="I168"/>
  <c r="I336"/>
  <c r="G49" i="10" l="1"/>
  <c r="F413"/>
  <c r="F385"/>
  <c r="F357"/>
  <c r="F329"/>
  <c r="F301"/>
  <c r="F273"/>
  <c r="F245"/>
  <c r="F217"/>
  <c r="F189"/>
  <c r="F161"/>
  <c r="F105"/>
  <c r="F77"/>
  <c r="F133"/>
  <c r="O126" i="8"/>
  <c r="C378" s="1"/>
  <c r="L336"/>
  <c r="M357"/>
  <c r="L231"/>
  <c r="L210"/>
  <c r="L168"/>
  <c r="H49" i="10" l="1"/>
  <c r="G133"/>
  <c r="G329"/>
  <c r="G301"/>
  <c r="G245"/>
  <c r="G189"/>
  <c r="G413"/>
  <c r="G385"/>
  <c r="G357"/>
  <c r="G273"/>
  <c r="G217"/>
  <c r="G161"/>
  <c r="G105"/>
  <c r="G77"/>
  <c r="R126" i="8"/>
  <c r="F378" s="1"/>
  <c r="P357"/>
  <c r="O231"/>
  <c r="O210"/>
  <c r="O168"/>
  <c r="O336"/>
  <c r="I49" i="10" l="1"/>
  <c r="H413"/>
  <c r="H385"/>
  <c r="H357"/>
  <c r="H329"/>
  <c r="H301"/>
  <c r="H273"/>
  <c r="H245"/>
  <c r="H217"/>
  <c r="H189"/>
  <c r="H161"/>
  <c r="H105"/>
  <c r="H77"/>
  <c r="H133"/>
  <c r="U126" i="8"/>
  <c r="I378" s="1"/>
  <c r="R336"/>
  <c r="S357"/>
  <c r="R231"/>
  <c r="R210"/>
  <c r="R168"/>
  <c r="J49" i="10" l="1"/>
  <c r="I133"/>
  <c r="I301"/>
  <c r="I245"/>
  <c r="I189"/>
  <c r="I413"/>
  <c r="I385"/>
  <c r="I357"/>
  <c r="I329"/>
  <c r="I273"/>
  <c r="I217"/>
  <c r="I161"/>
  <c r="I105"/>
  <c r="I77"/>
  <c r="X126" i="8"/>
  <c r="L378" s="1"/>
  <c r="V357"/>
  <c r="U231"/>
  <c r="U210"/>
  <c r="U168"/>
  <c r="U336"/>
  <c r="K49" i="10" l="1"/>
  <c r="J413"/>
  <c r="J385"/>
  <c r="J357"/>
  <c r="J329"/>
  <c r="J301"/>
  <c r="J273"/>
  <c r="J245"/>
  <c r="J217"/>
  <c r="J189"/>
  <c r="J161"/>
  <c r="J105"/>
  <c r="J77"/>
  <c r="J133"/>
  <c r="AA126" i="8"/>
  <c r="O378" s="1"/>
  <c r="X336"/>
  <c r="Y357"/>
  <c r="X231"/>
  <c r="X210"/>
  <c r="X168"/>
  <c r="L49" i="10" l="1"/>
  <c r="K133"/>
  <c r="K301"/>
  <c r="K245"/>
  <c r="K189"/>
  <c r="K413"/>
  <c r="K385"/>
  <c r="K357"/>
  <c r="K329"/>
  <c r="K273"/>
  <c r="K217"/>
  <c r="K161"/>
  <c r="K105"/>
  <c r="K77"/>
  <c r="AD126" i="8"/>
  <c r="R378" s="1"/>
  <c r="AB357"/>
  <c r="AA231"/>
  <c r="AA210"/>
  <c r="AA168"/>
  <c r="AA336"/>
  <c r="L413" i="10" l="1"/>
  <c r="L385"/>
  <c r="L357"/>
  <c r="L329"/>
  <c r="L301"/>
  <c r="L273"/>
  <c r="L245"/>
  <c r="L217"/>
  <c r="L189"/>
  <c r="L161"/>
  <c r="L105"/>
  <c r="L77"/>
  <c r="L133"/>
  <c r="AG126" i="8"/>
  <c r="U378" s="1"/>
  <c r="AD336"/>
  <c r="AE357"/>
  <c r="AD231"/>
  <c r="AD210"/>
  <c r="AD168"/>
  <c r="K44" i="21"/>
  <c r="K6"/>
  <c r="E6"/>
  <c r="F6" s="1"/>
  <c r="G6" s="1"/>
  <c r="H6" s="1"/>
  <c r="C71" i="8"/>
  <c r="B129"/>
  <c r="B234" s="1"/>
  <c r="B255" s="1"/>
  <c r="B276" s="1"/>
  <c r="B297" s="1"/>
  <c r="B318" s="1"/>
  <c r="B130"/>
  <c r="B235" s="1"/>
  <c r="B256" s="1"/>
  <c r="B277" s="1"/>
  <c r="B298" s="1"/>
  <c r="B319" s="1"/>
  <c r="B131"/>
  <c r="B236" s="1"/>
  <c r="B257" s="1"/>
  <c r="B278" s="1"/>
  <c r="B299" s="1"/>
  <c r="B320" s="1"/>
  <c r="B132"/>
  <c r="B237" s="1"/>
  <c r="B258" s="1"/>
  <c r="B279" s="1"/>
  <c r="B300" s="1"/>
  <c r="B321" s="1"/>
  <c r="B133"/>
  <c r="B238" s="1"/>
  <c r="B259" s="1"/>
  <c r="B280" s="1"/>
  <c r="B301" s="1"/>
  <c r="B322" s="1"/>
  <c r="B134"/>
  <c r="B239" s="1"/>
  <c r="B260" s="1"/>
  <c r="B281" s="1"/>
  <c r="B302" s="1"/>
  <c r="B323" s="1"/>
  <c r="B135"/>
  <c r="B240" s="1"/>
  <c r="B261" s="1"/>
  <c r="B282" s="1"/>
  <c r="B303" s="1"/>
  <c r="B324" s="1"/>
  <c r="B136"/>
  <c r="B241" s="1"/>
  <c r="B262" s="1"/>
  <c r="B283" s="1"/>
  <c r="B304" s="1"/>
  <c r="B325" s="1"/>
  <c r="B137"/>
  <c r="B242" s="1"/>
  <c r="B263" s="1"/>
  <c r="B284" s="1"/>
  <c r="B305" s="1"/>
  <c r="B326" s="1"/>
  <c r="B138"/>
  <c r="B243" s="1"/>
  <c r="B264" s="1"/>
  <c r="B285" s="1"/>
  <c r="B306" s="1"/>
  <c r="B327" s="1"/>
  <c r="B139"/>
  <c r="B244" s="1"/>
  <c r="B265" s="1"/>
  <c r="B286" s="1"/>
  <c r="B307" s="1"/>
  <c r="B328" s="1"/>
  <c r="B140"/>
  <c r="B245" s="1"/>
  <c r="B266" s="1"/>
  <c r="B287" s="1"/>
  <c r="B308" s="1"/>
  <c r="B329" s="1"/>
  <c r="B141"/>
  <c r="B246" s="1"/>
  <c r="B267" s="1"/>
  <c r="B288" s="1"/>
  <c r="B309" s="1"/>
  <c r="B330" s="1"/>
  <c r="B128"/>
  <c r="B233" s="1"/>
  <c r="B254" s="1"/>
  <c r="B275" s="1"/>
  <c r="B296" s="1"/>
  <c r="B317" s="1"/>
  <c r="I20" i="21" l="1"/>
  <c r="I9"/>
  <c r="I15"/>
  <c r="I21"/>
  <c r="I19"/>
  <c r="I27"/>
  <c r="I26"/>
  <c r="I28"/>
  <c r="I24"/>
  <c r="I36"/>
  <c r="I34"/>
  <c r="I30"/>
  <c r="I31"/>
  <c r="I32"/>
  <c r="I35"/>
  <c r="I33"/>
  <c r="I29"/>
  <c r="I41" s="1"/>
  <c r="I47"/>
  <c r="I45"/>
  <c r="I59"/>
  <c r="I57"/>
  <c r="I54"/>
  <c r="I50"/>
  <c r="I76"/>
  <c r="I74"/>
  <c r="I68"/>
  <c r="I53"/>
  <c r="I64"/>
  <c r="I70"/>
  <c r="I11"/>
  <c r="I10"/>
  <c r="I12"/>
  <c r="I48"/>
  <c r="I49"/>
  <c r="I46"/>
  <c r="I56"/>
  <c r="I55"/>
  <c r="I51"/>
  <c r="I52"/>
  <c r="I25"/>
  <c r="I38"/>
  <c r="I66"/>
  <c r="I63"/>
  <c r="I65"/>
  <c r="I71"/>
  <c r="I69"/>
  <c r="I73"/>
  <c r="I72"/>
  <c r="I62"/>
  <c r="I67"/>
  <c r="I79" s="1"/>
  <c r="I8"/>
  <c r="I17"/>
  <c r="I18"/>
  <c r="I14"/>
  <c r="I13"/>
  <c r="I58"/>
  <c r="I75"/>
  <c r="AJ126" i="8"/>
  <c r="X378" s="1"/>
  <c r="AH357"/>
  <c r="AG231"/>
  <c r="AG210"/>
  <c r="AG168"/>
  <c r="AG336"/>
  <c r="E44" i="21"/>
  <c r="F44" s="1"/>
  <c r="G44" s="1"/>
  <c r="H44" s="1"/>
  <c r="I7"/>
  <c r="B149" i="8"/>
  <c r="B161"/>
  <c r="B159"/>
  <c r="B157"/>
  <c r="B155"/>
  <c r="B153"/>
  <c r="B151"/>
  <c r="B170"/>
  <c r="B182"/>
  <c r="B180"/>
  <c r="B178"/>
  <c r="B176"/>
  <c r="B174"/>
  <c r="B172"/>
  <c r="B191"/>
  <c r="B203"/>
  <c r="B201"/>
  <c r="B199"/>
  <c r="B197"/>
  <c r="B195"/>
  <c r="B193"/>
  <c r="B212"/>
  <c r="B224"/>
  <c r="B222"/>
  <c r="B220"/>
  <c r="B218"/>
  <c r="B216"/>
  <c r="B214"/>
  <c r="B162"/>
  <c r="B160"/>
  <c r="B158"/>
  <c r="B156"/>
  <c r="B154"/>
  <c r="B152"/>
  <c r="B150"/>
  <c r="B183"/>
  <c r="B181"/>
  <c r="B179"/>
  <c r="B177"/>
  <c r="B175"/>
  <c r="B173"/>
  <c r="B171"/>
  <c r="B204"/>
  <c r="B202"/>
  <c r="B200"/>
  <c r="B198"/>
  <c r="B196"/>
  <c r="B194"/>
  <c r="B192"/>
  <c r="B225"/>
  <c r="B223"/>
  <c r="B221"/>
  <c r="B219"/>
  <c r="B217"/>
  <c r="B215"/>
  <c r="B213"/>
  <c r="I78" i="21" l="1"/>
  <c r="J78" s="1"/>
  <c r="I40"/>
  <c r="J40" s="1"/>
  <c r="I37"/>
  <c r="I16"/>
  <c r="AM126" i="8"/>
  <c r="AA378" s="1"/>
  <c r="AJ231"/>
  <c r="AJ210"/>
  <c r="AJ168"/>
  <c r="AP126" l="1"/>
  <c r="AD378" s="1"/>
  <c r="AM231"/>
  <c r="AM210"/>
  <c r="AM168"/>
  <c r="AP231" l="1"/>
  <c r="AP210"/>
  <c r="AP168"/>
  <c r="C64" l="1"/>
  <c r="C66"/>
  <c r="C62"/>
  <c r="C63"/>
  <c r="C75"/>
  <c r="C76"/>
  <c r="C73"/>
  <c r="C74"/>
  <c r="C72"/>
  <c r="C68"/>
  <c r="C69"/>
  <c r="C70"/>
  <c r="C47"/>
  <c r="C49"/>
  <c r="C45"/>
  <c r="C46"/>
  <c r="C58"/>
  <c r="C59"/>
  <c r="C56"/>
  <c r="C57"/>
  <c r="C55"/>
  <c r="C51"/>
  <c r="C52"/>
  <c r="C53"/>
  <c r="C54"/>
  <c r="C65"/>
  <c r="C48"/>
  <c r="B43"/>
  <c r="B5"/>
  <c r="C33"/>
  <c r="C32"/>
  <c r="C31"/>
  <c r="C30"/>
  <c r="C34"/>
  <c r="C36"/>
  <c r="C35"/>
  <c r="C38"/>
  <c r="C37"/>
  <c r="C25"/>
  <c r="C24"/>
  <c r="C28"/>
  <c r="C26"/>
  <c r="C27"/>
  <c r="C9"/>
  <c r="C11"/>
  <c r="C7"/>
  <c r="C8"/>
  <c r="C20"/>
  <c r="C21"/>
  <c r="C18"/>
  <c r="C19"/>
  <c r="C17"/>
  <c r="C13"/>
  <c r="C14"/>
  <c r="C15"/>
  <c r="C16"/>
  <c r="C10"/>
  <c r="C5"/>
  <c r="D5" s="1"/>
  <c r="B11" i="1"/>
  <c r="B12"/>
  <c r="B13"/>
  <c r="B14"/>
  <c r="B15"/>
  <c r="B16"/>
  <c r="B17"/>
  <c r="B18"/>
  <c r="B19"/>
  <c r="B20"/>
  <c r="B21"/>
  <c r="B22"/>
  <c r="B23"/>
  <c r="B10"/>
  <c r="B9" i="17"/>
  <c r="B10"/>
  <c r="B11"/>
  <c r="B12"/>
  <c r="B13"/>
  <c r="B14"/>
  <c r="B15"/>
  <c r="B16"/>
  <c r="B17"/>
  <c r="B18"/>
  <c r="B19"/>
  <c r="B20"/>
  <c r="B21"/>
  <c r="B8"/>
  <c r="B11" i="10"/>
  <c r="B12"/>
  <c r="K12" i="6" s="1"/>
  <c r="B13" i="10"/>
  <c r="K13" i="6" s="1"/>
  <c r="B14" i="10"/>
  <c r="K14" i="6" s="1"/>
  <c r="B15" i="10"/>
  <c r="K15" i="6" s="1"/>
  <c r="B16" i="10"/>
  <c r="K16" i="6" s="1"/>
  <c r="B17" i="10"/>
  <c r="K17" i="6" s="1"/>
  <c r="B18" i="10"/>
  <c r="K18" i="6" s="1"/>
  <c r="B19" i="10"/>
  <c r="K19" i="6" s="1"/>
  <c r="B20" i="10"/>
  <c r="K20" i="6" s="1"/>
  <c r="B21" i="10"/>
  <c r="K21" i="6" s="1"/>
  <c r="B22" i="10"/>
  <c r="K22" i="6" s="1"/>
  <c r="B23" i="10"/>
  <c r="K23" i="6" s="1"/>
  <c r="B10" i="10"/>
  <c r="B20" i="16"/>
  <c r="B19"/>
  <c r="B18"/>
  <c r="B17"/>
  <c r="B16"/>
  <c r="B15"/>
  <c r="B14"/>
  <c r="B13"/>
  <c r="B12"/>
  <c r="B11"/>
  <c r="B10"/>
  <c r="B9"/>
  <c r="B8"/>
  <c r="B7"/>
  <c r="B179" i="12"/>
  <c r="B180"/>
  <c r="B181"/>
  <c r="B182"/>
  <c r="B183"/>
  <c r="B153"/>
  <c r="B154"/>
  <c r="B155"/>
  <c r="B156"/>
  <c r="B157"/>
  <c r="B120"/>
  <c r="B119"/>
  <c r="B118"/>
  <c r="B117"/>
  <c r="B116"/>
  <c r="B89"/>
  <c r="B88"/>
  <c r="B87"/>
  <c r="B86"/>
  <c r="B85"/>
  <c r="B54"/>
  <c r="B55"/>
  <c r="B56"/>
  <c r="B57"/>
  <c r="B58"/>
  <c r="B9"/>
  <c r="B140" s="1"/>
  <c r="B10"/>
  <c r="B167" s="1"/>
  <c r="B11"/>
  <c r="B142" s="1"/>
  <c r="B12"/>
  <c r="B169" s="1"/>
  <c r="B13"/>
  <c r="B144" s="1"/>
  <c r="B14"/>
  <c r="B171" s="1"/>
  <c r="B15"/>
  <c r="B146" s="1"/>
  <c r="B16"/>
  <c r="B173" s="1"/>
  <c r="B17"/>
  <c r="B148" s="1"/>
  <c r="B18"/>
  <c r="B175" s="1"/>
  <c r="B19"/>
  <c r="B150" s="1"/>
  <c r="B20"/>
  <c r="B177" s="1"/>
  <c r="B21"/>
  <c r="B152" s="1"/>
  <c r="B8"/>
  <c r="B139" s="1"/>
  <c r="E580" i="8"/>
  <c r="E557" s="1"/>
  <c r="E534" s="1"/>
  <c r="E511" s="1"/>
  <c r="E488" s="1"/>
  <c r="E465" s="1"/>
  <c r="E442" s="1"/>
  <c r="E419" s="1"/>
  <c r="E396" s="1"/>
  <c r="F580"/>
  <c r="F557" s="1"/>
  <c r="F534" s="1"/>
  <c r="F511" s="1"/>
  <c r="F488" s="1"/>
  <c r="F465" s="1"/>
  <c r="F442" s="1"/>
  <c r="F419" s="1"/>
  <c r="F396" s="1"/>
  <c r="G580"/>
  <c r="G557" s="1"/>
  <c r="G534" s="1"/>
  <c r="G511" s="1"/>
  <c r="G488" s="1"/>
  <c r="G465" s="1"/>
  <c r="G442" s="1"/>
  <c r="G419" s="1"/>
  <c r="G396" s="1"/>
  <c r="H580"/>
  <c r="H557" s="1"/>
  <c r="H534" s="1"/>
  <c r="H511" s="1"/>
  <c r="H488" s="1"/>
  <c r="H465" s="1"/>
  <c r="H442" s="1"/>
  <c r="H419" s="1"/>
  <c r="H396" s="1"/>
  <c r="I580"/>
  <c r="I557" s="1"/>
  <c r="I534" s="1"/>
  <c r="I511" s="1"/>
  <c r="I488" s="1"/>
  <c r="I465" s="1"/>
  <c r="I442" s="1"/>
  <c r="I419" s="1"/>
  <c r="I396" s="1"/>
  <c r="J580"/>
  <c r="J557" s="1"/>
  <c r="J534" s="1"/>
  <c r="J511" s="1"/>
  <c r="J488" s="1"/>
  <c r="J465" s="1"/>
  <c r="J442" s="1"/>
  <c r="J419" s="1"/>
  <c r="J396" s="1"/>
  <c r="K580"/>
  <c r="K557" s="1"/>
  <c r="K534" s="1"/>
  <c r="K511" s="1"/>
  <c r="K488" s="1"/>
  <c r="K465" s="1"/>
  <c r="K442" s="1"/>
  <c r="K419" s="1"/>
  <c r="K396" s="1"/>
  <c r="L580"/>
  <c r="L557" s="1"/>
  <c r="L534" s="1"/>
  <c r="L511" s="1"/>
  <c r="L488" s="1"/>
  <c r="L465" s="1"/>
  <c r="L442" s="1"/>
  <c r="L419" s="1"/>
  <c r="L396" s="1"/>
  <c r="M580"/>
  <c r="M557" s="1"/>
  <c r="M534" s="1"/>
  <c r="M511" s="1"/>
  <c r="M488" s="1"/>
  <c r="M465" s="1"/>
  <c r="M442" s="1"/>
  <c r="M419" s="1"/>
  <c r="M396" s="1"/>
  <c r="N580"/>
  <c r="N557" s="1"/>
  <c r="N534" s="1"/>
  <c r="N511" s="1"/>
  <c r="N488" s="1"/>
  <c r="N465" s="1"/>
  <c r="N442" s="1"/>
  <c r="N419" s="1"/>
  <c r="N396" s="1"/>
  <c r="O580"/>
  <c r="O557" s="1"/>
  <c r="O534" s="1"/>
  <c r="O511" s="1"/>
  <c r="O488" s="1"/>
  <c r="O465" s="1"/>
  <c r="O442" s="1"/>
  <c r="O419" s="1"/>
  <c r="O396" s="1"/>
  <c r="P580"/>
  <c r="P557" s="1"/>
  <c r="P534" s="1"/>
  <c r="P511" s="1"/>
  <c r="P488" s="1"/>
  <c r="P465" s="1"/>
  <c r="P442" s="1"/>
  <c r="P419" s="1"/>
  <c r="P396" s="1"/>
  <c r="Q580"/>
  <c r="Q557" s="1"/>
  <c r="Q534" s="1"/>
  <c r="Q511" s="1"/>
  <c r="Q488" s="1"/>
  <c r="Q465" s="1"/>
  <c r="Q442" s="1"/>
  <c r="Q419" s="1"/>
  <c r="Q396" s="1"/>
  <c r="D580"/>
  <c r="D557" s="1"/>
  <c r="D534" s="1"/>
  <c r="D511" s="1"/>
  <c r="D488" s="1"/>
  <c r="D465" s="1"/>
  <c r="D442" s="1"/>
  <c r="D419" s="1"/>
  <c r="D396" s="1"/>
  <c r="B11" i="3"/>
  <c r="B34" s="1"/>
  <c r="B57" s="1"/>
  <c r="B80" s="1"/>
  <c r="B103" s="1"/>
  <c r="B126" s="1"/>
  <c r="B149" s="1"/>
  <c r="B172" s="1"/>
  <c r="B195" s="1"/>
  <c r="B12"/>
  <c r="B35" s="1"/>
  <c r="B58" s="1"/>
  <c r="B81" s="1"/>
  <c r="B104" s="1"/>
  <c r="B127" s="1"/>
  <c r="B150" s="1"/>
  <c r="B173" s="1"/>
  <c r="B196" s="1"/>
  <c r="B13"/>
  <c r="B36" s="1"/>
  <c r="B59" s="1"/>
  <c r="B82" s="1"/>
  <c r="B105" s="1"/>
  <c r="B128" s="1"/>
  <c r="B151" s="1"/>
  <c r="B174" s="1"/>
  <c r="B197" s="1"/>
  <c r="B14"/>
  <c r="B37" s="1"/>
  <c r="B60" s="1"/>
  <c r="B83" s="1"/>
  <c r="B106" s="1"/>
  <c r="B129" s="1"/>
  <c r="B152" s="1"/>
  <c r="B175" s="1"/>
  <c r="B198" s="1"/>
  <c r="B15"/>
  <c r="B38" s="1"/>
  <c r="B61" s="1"/>
  <c r="B84" s="1"/>
  <c r="B107" s="1"/>
  <c r="B130" s="1"/>
  <c r="B153" s="1"/>
  <c r="B176" s="1"/>
  <c r="B199" s="1"/>
  <c r="B16"/>
  <c r="B39" s="1"/>
  <c r="B62" s="1"/>
  <c r="B85" s="1"/>
  <c r="B108" s="1"/>
  <c r="B131" s="1"/>
  <c r="B154" s="1"/>
  <c r="B177" s="1"/>
  <c r="B200" s="1"/>
  <c r="B17"/>
  <c r="B40" s="1"/>
  <c r="B63" s="1"/>
  <c r="B86" s="1"/>
  <c r="B109" s="1"/>
  <c r="B132" s="1"/>
  <c r="B155" s="1"/>
  <c r="B178" s="1"/>
  <c r="B201" s="1"/>
  <c r="B18"/>
  <c r="B41" s="1"/>
  <c r="B64" s="1"/>
  <c r="B87" s="1"/>
  <c r="B110" s="1"/>
  <c r="B133" s="1"/>
  <c r="B156" s="1"/>
  <c r="B179" s="1"/>
  <c r="B202" s="1"/>
  <c r="B19"/>
  <c r="B42" s="1"/>
  <c r="B65" s="1"/>
  <c r="B88" s="1"/>
  <c r="B111" s="1"/>
  <c r="B134" s="1"/>
  <c r="B157" s="1"/>
  <c r="B180" s="1"/>
  <c r="B203" s="1"/>
  <c r="B20"/>
  <c r="B43" s="1"/>
  <c r="B66" s="1"/>
  <c r="B89" s="1"/>
  <c r="B112" s="1"/>
  <c r="B135" s="1"/>
  <c r="B158" s="1"/>
  <c r="B181" s="1"/>
  <c r="B204" s="1"/>
  <c r="B21"/>
  <c r="B44" s="1"/>
  <c r="B67" s="1"/>
  <c r="B90" s="1"/>
  <c r="B113" s="1"/>
  <c r="B136" s="1"/>
  <c r="B159" s="1"/>
  <c r="B182" s="1"/>
  <c r="B205" s="1"/>
  <c r="B22"/>
  <c r="B45" s="1"/>
  <c r="B68" s="1"/>
  <c r="B91" s="1"/>
  <c r="B114" s="1"/>
  <c r="B137" s="1"/>
  <c r="B160" s="1"/>
  <c r="B183" s="1"/>
  <c r="B206" s="1"/>
  <c r="B23"/>
  <c r="B46" s="1"/>
  <c r="B69" s="1"/>
  <c r="B92" s="1"/>
  <c r="B115" s="1"/>
  <c r="B138" s="1"/>
  <c r="B161" s="1"/>
  <c r="B184" s="1"/>
  <c r="B207" s="1"/>
  <c r="B10"/>
  <c r="B33" s="1"/>
  <c r="B56" s="1"/>
  <c r="B79" s="1"/>
  <c r="B102" s="1"/>
  <c r="B125" s="1"/>
  <c r="B148" s="1"/>
  <c r="B171" s="1"/>
  <c r="B194" s="1"/>
  <c r="AH353" i="8"/>
  <c r="AE353"/>
  <c r="C37" i="26"/>
  <c r="C38"/>
  <c r="C39"/>
  <c r="C40"/>
  <c r="C41"/>
  <c r="C42"/>
  <c r="C43"/>
  <c r="C44"/>
  <c r="C45"/>
  <c r="C46"/>
  <c r="C47"/>
  <c r="C48"/>
  <c r="C49"/>
  <c r="K86" i="8"/>
  <c r="F17" i="12"/>
  <c r="K17"/>
  <c r="F15"/>
  <c r="K15"/>
  <c r="K33" i="6" l="1"/>
  <c r="K35"/>
  <c r="K37"/>
  <c r="K39"/>
  <c r="K41"/>
  <c r="K43"/>
  <c r="K45"/>
  <c r="B77" i="10"/>
  <c r="K11" i="6"/>
  <c r="K32"/>
  <c r="K34"/>
  <c r="K36"/>
  <c r="K38"/>
  <c r="K40"/>
  <c r="K42"/>
  <c r="K44"/>
  <c r="B49" i="10"/>
  <c r="K10" i="6"/>
  <c r="K92" i="8"/>
  <c r="J27" i="23"/>
  <c r="E22"/>
  <c r="K90" i="8"/>
  <c r="J25" i="23"/>
  <c r="E23"/>
  <c r="K93" i="8"/>
  <c r="J23" i="23"/>
  <c r="E25"/>
  <c r="K94" i="8"/>
  <c r="J21" i="23"/>
  <c r="E27"/>
  <c r="K96" i="8"/>
  <c r="J19" i="23"/>
  <c r="E14"/>
  <c r="K83" i="8"/>
  <c r="J17" i="23"/>
  <c r="E18"/>
  <c r="K85" i="8"/>
  <c r="J15" i="23"/>
  <c r="E17"/>
  <c r="K91" i="8"/>
  <c r="J26" i="23"/>
  <c r="E15"/>
  <c r="K89" i="8"/>
  <c r="J24" i="23"/>
  <c r="E24"/>
  <c r="K95" i="8"/>
  <c r="J22" i="23"/>
  <c r="E26"/>
  <c r="K97" i="8"/>
  <c r="J20" i="23"/>
  <c r="E16"/>
  <c r="K84" i="8"/>
  <c r="J18" i="23"/>
  <c r="E21"/>
  <c r="K87" i="8"/>
  <c r="J16" i="23"/>
  <c r="E20"/>
  <c r="B42" i="1"/>
  <c r="B40"/>
  <c r="B38"/>
  <c r="B36"/>
  <c r="B34"/>
  <c r="B32"/>
  <c r="B30"/>
  <c r="B48"/>
  <c r="B50"/>
  <c r="B52"/>
  <c r="B54"/>
  <c r="B56"/>
  <c r="B58"/>
  <c r="B60"/>
  <c r="B66"/>
  <c r="B68"/>
  <c r="B70"/>
  <c r="B72"/>
  <c r="B74"/>
  <c r="B76"/>
  <c r="B78"/>
  <c r="B29"/>
  <c r="B41"/>
  <c r="B39"/>
  <c r="B37"/>
  <c r="B35"/>
  <c r="B33"/>
  <c r="B31"/>
  <c r="B47"/>
  <c r="B49"/>
  <c r="B51"/>
  <c r="B53"/>
  <c r="B55"/>
  <c r="B57"/>
  <c r="B59"/>
  <c r="B65"/>
  <c r="B67"/>
  <c r="B69"/>
  <c r="B71"/>
  <c r="B73"/>
  <c r="B75"/>
  <c r="B77"/>
  <c r="D44" i="8"/>
  <c r="E5"/>
  <c r="C44"/>
  <c r="AB353"/>
  <c r="K88" s="1"/>
  <c r="K99" s="1"/>
  <c r="B40" i="12"/>
  <c r="B53"/>
  <c r="B51"/>
  <c r="B49"/>
  <c r="B47"/>
  <c r="B45"/>
  <c r="B43"/>
  <c r="B41"/>
  <c r="B72"/>
  <c r="B74"/>
  <c r="B76"/>
  <c r="B78"/>
  <c r="B80"/>
  <c r="B82"/>
  <c r="B84"/>
  <c r="B102"/>
  <c r="B104"/>
  <c r="B106"/>
  <c r="B108"/>
  <c r="B110"/>
  <c r="B112"/>
  <c r="B114"/>
  <c r="B151"/>
  <c r="B149"/>
  <c r="B147"/>
  <c r="B145"/>
  <c r="B143"/>
  <c r="B141"/>
  <c r="B165"/>
  <c r="B178"/>
  <c r="B176"/>
  <c r="B174"/>
  <c r="B172"/>
  <c r="B170"/>
  <c r="B168"/>
  <c r="B166"/>
  <c r="B40" i="16"/>
  <c r="B60" s="1"/>
  <c r="B38"/>
  <c r="B58" s="1"/>
  <c r="B36"/>
  <c r="B56" s="1"/>
  <c r="B34"/>
  <c r="B54" s="1"/>
  <c r="B32"/>
  <c r="B52" s="1"/>
  <c r="B30"/>
  <c r="B50" s="1"/>
  <c r="B28"/>
  <c r="B48" s="1"/>
  <c r="B52" i="12"/>
  <c r="B50"/>
  <c r="B48"/>
  <c r="B46"/>
  <c r="B44"/>
  <c r="B42"/>
  <c r="B71"/>
  <c r="B73"/>
  <c r="B75"/>
  <c r="B77"/>
  <c r="B79"/>
  <c r="B81"/>
  <c r="B83"/>
  <c r="B103"/>
  <c r="B105"/>
  <c r="B107"/>
  <c r="B109"/>
  <c r="B111"/>
  <c r="B113"/>
  <c r="B115"/>
  <c r="B27" i="16"/>
  <c r="B47" s="1"/>
  <c r="B39"/>
  <c r="B59" s="1"/>
  <c r="B37"/>
  <c r="B57" s="1"/>
  <c r="B35"/>
  <c r="B55" s="1"/>
  <c r="B33"/>
  <c r="B53" s="1"/>
  <c r="B31"/>
  <c r="B51" s="1"/>
  <c r="B29"/>
  <c r="B49" s="1"/>
  <c r="E29" i="23" l="1"/>
  <c r="E13"/>
  <c r="I13" s="1"/>
  <c r="E44" i="8"/>
  <c r="F5"/>
  <c r="G5" l="1"/>
  <c r="F44"/>
  <c r="E91" i="12"/>
  <c r="Q56"/>
  <c r="E21" i="16"/>
  <c r="D21"/>
  <c r="C21"/>
  <c r="M110"/>
  <c r="L110"/>
  <c r="K110"/>
  <c r="J110"/>
  <c r="I110"/>
  <c r="G110"/>
  <c r="F110"/>
  <c r="E110"/>
  <c r="D110"/>
  <c r="C110"/>
  <c r="N108"/>
  <c r="N107"/>
  <c r="N106"/>
  <c r="N105"/>
  <c r="N102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2"/>
  <c r="H105"/>
  <c r="H106"/>
  <c r="H107"/>
  <c r="H108"/>
  <c r="H66"/>
  <c r="N116"/>
  <c r="N117"/>
  <c r="N118"/>
  <c r="N119"/>
  <c r="N120"/>
  <c r="N121"/>
  <c r="N122"/>
  <c r="N123"/>
  <c r="N124"/>
  <c r="N125"/>
  <c r="N126"/>
  <c r="N127"/>
  <c r="N128"/>
  <c r="N115"/>
  <c r="H116"/>
  <c r="H117"/>
  <c r="H118"/>
  <c r="H119"/>
  <c r="H120"/>
  <c r="H121"/>
  <c r="H122"/>
  <c r="H123"/>
  <c r="H124"/>
  <c r="H125"/>
  <c r="H126"/>
  <c r="H127"/>
  <c r="H128"/>
  <c r="H115"/>
  <c r="M130"/>
  <c r="L130"/>
  <c r="K130"/>
  <c r="J130"/>
  <c r="I130"/>
  <c r="G130"/>
  <c r="F130"/>
  <c r="E130"/>
  <c r="D130"/>
  <c r="C130"/>
  <c r="N114"/>
  <c r="H114"/>
  <c r="C114"/>
  <c r="N65"/>
  <c r="H65"/>
  <c r="C65"/>
  <c r="N28"/>
  <c r="N29"/>
  <c r="N30"/>
  <c r="N31"/>
  <c r="N32"/>
  <c r="N33"/>
  <c r="N34"/>
  <c r="N35"/>
  <c r="N36"/>
  <c r="N37"/>
  <c r="N38"/>
  <c r="N39"/>
  <c r="N40"/>
  <c r="N27"/>
  <c r="M41"/>
  <c r="L41"/>
  <c r="K41"/>
  <c r="J41"/>
  <c r="I41"/>
  <c r="H53"/>
  <c r="K13" s="1"/>
  <c r="H52"/>
  <c r="K12" s="1"/>
  <c r="M37" i="6" l="1"/>
  <c r="N37" s="1"/>
  <c r="I12" i="16"/>
  <c r="M38" i="6"/>
  <c r="N38" s="1"/>
  <c r="I13" i="16"/>
  <c r="N41"/>
  <c r="N110"/>
  <c r="H33"/>
  <c r="H5" i="8"/>
  <c r="G44"/>
  <c r="H130" i="16"/>
  <c r="N130"/>
  <c r="Q54" i="12"/>
  <c r="Q55"/>
  <c r="Q58"/>
  <c r="Q57"/>
  <c r="H32" i="16"/>
  <c r="H110"/>
  <c r="H60"/>
  <c r="K20" s="1"/>
  <c r="H59"/>
  <c r="K19" s="1"/>
  <c r="M44" i="6" l="1"/>
  <c r="N44" s="1"/>
  <c r="I19" i="16"/>
  <c r="M45" i="6"/>
  <c r="N45" s="1"/>
  <c r="I20" i="16"/>
  <c r="J12"/>
  <c r="J13"/>
  <c r="L12"/>
  <c r="N12"/>
  <c r="M12" s="1"/>
  <c r="I5" i="8"/>
  <c r="H44"/>
  <c r="H40" i="16"/>
  <c r="O12"/>
  <c r="H39"/>
  <c r="H58"/>
  <c r="K18" s="1"/>
  <c r="M43" i="6" l="1"/>
  <c r="N43" s="1"/>
  <c r="I18" i="16"/>
  <c r="J20"/>
  <c r="L13"/>
  <c r="N13"/>
  <c r="L19"/>
  <c r="L20"/>
  <c r="N20"/>
  <c r="O20" s="1"/>
  <c r="J5" i="8"/>
  <c r="I44"/>
  <c r="H38" i="16"/>
  <c r="M42" i="6" l="1"/>
  <c r="N42" s="1"/>
  <c r="I17" i="16"/>
  <c r="H57"/>
  <c r="K17" s="1"/>
  <c r="M20"/>
  <c r="N19"/>
  <c r="J19"/>
  <c r="O13"/>
  <c r="M13"/>
  <c r="J18"/>
  <c r="L18"/>
  <c r="K5" i="8"/>
  <c r="K44" s="1"/>
  <c r="J44"/>
  <c r="H37" i="16"/>
  <c r="H49"/>
  <c r="K9" s="1"/>
  <c r="M34" i="6" l="1"/>
  <c r="N34" s="1"/>
  <c r="I9" i="16"/>
  <c r="N18"/>
  <c r="O19"/>
  <c r="M19"/>
  <c r="L17"/>
  <c r="H29"/>
  <c r="H55"/>
  <c r="K15" s="1"/>
  <c r="H54" l="1"/>
  <c r="K14" s="1"/>
  <c r="H36"/>
  <c r="H56"/>
  <c r="K16" s="1"/>
  <c r="M39" i="6"/>
  <c r="I14" i="16"/>
  <c r="M40" i="6"/>
  <c r="N40" s="1"/>
  <c r="I15" i="16"/>
  <c r="M41" i="6"/>
  <c r="N41" s="1"/>
  <c r="I16" i="16"/>
  <c r="H34"/>
  <c r="M18"/>
  <c r="O18"/>
  <c r="N17"/>
  <c r="J17"/>
  <c r="J16"/>
  <c r="J9"/>
  <c r="L16"/>
  <c r="H35"/>
  <c r="J14" l="1"/>
  <c r="H47"/>
  <c r="H48"/>
  <c r="K8" s="1"/>
  <c r="M32" i="6"/>
  <c r="N32" s="1"/>
  <c r="I7" i="16"/>
  <c r="M33" i="6"/>
  <c r="N33" s="1"/>
  <c r="I8" i="16"/>
  <c r="L9"/>
  <c r="L14"/>
  <c r="N9"/>
  <c r="M9" s="1"/>
  <c r="N14"/>
  <c r="N16"/>
  <c r="O17"/>
  <c r="M17"/>
  <c r="J15"/>
  <c r="L15"/>
  <c r="H27"/>
  <c r="H28"/>
  <c r="E61"/>
  <c r="D61"/>
  <c r="H51" l="1"/>
  <c r="K11" s="1"/>
  <c r="G41"/>
  <c r="M36" i="6"/>
  <c r="N36" s="1"/>
  <c r="I11" i="16"/>
  <c r="K7"/>
  <c r="J7" s="1"/>
  <c r="F41"/>
  <c r="F61"/>
  <c r="O9"/>
  <c r="M16"/>
  <c r="O16"/>
  <c r="M14"/>
  <c r="O14"/>
  <c r="N15"/>
  <c r="M15" s="1"/>
  <c r="J8"/>
  <c r="L8"/>
  <c r="H31"/>
  <c r="D41"/>
  <c r="H30" l="1"/>
  <c r="L7"/>
  <c r="N7"/>
  <c r="O7" s="1"/>
  <c r="M35" i="6"/>
  <c r="N35" s="1"/>
  <c r="I10" i="16"/>
  <c r="G61"/>
  <c r="N8"/>
  <c r="M8" s="1"/>
  <c r="O15"/>
  <c r="J11"/>
  <c r="L11"/>
  <c r="N11"/>
  <c r="H41"/>
  <c r="C41"/>
  <c r="D114"/>
  <c r="D65"/>
  <c r="E41"/>
  <c r="O8" l="1"/>
  <c r="M46" i="6"/>
  <c r="N46" s="1"/>
  <c r="I21" i="16"/>
  <c r="H50"/>
  <c r="C61"/>
  <c r="O11"/>
  <c r="M11"/>
  <c r="M7"/>
  <c r="E114"/>
  <c r="E65"/>
  <c r="AR206" i="8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AR205"/>
  <c r="AO205"/>
  <c r="AL205"/>
  <c r="AI205"/>
  <c r="AF205"/>
  <c r="AC205"/>
  <c r="Z205"/>
  <c r="W205"/>
  <c r="T205"/>
  <c r="Q205"/>
  <c r="N205"/>
  <c r="K205"/>
  <c r="H205"/>
  <c r="C189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AR184"/>
  <c r="AO184"/>
  <c r="AL184"/>
  <c r="AI184"/>
  <c r="AF184"/>
  <c r="AC184"/>
  <c r="Z184"/>
  <c r="W184"/>
  <c r="T184"/>
  <c r="Q184"/>
  <c r="N184"/>
  <c r="K184"/>
  <c r="H184"/>
  <c r="AR248"/>
  <c r="AQ248"/>
  <c r="AP248"/>
  <c r="AO248"/>
  <c r="AN248"/>
  <c r="AM248"/>
  <c r="AL248"/>
  <c r="AK248"/>
  <c r="AJ248"/>
  <c r="AI248"/>
  <c r="AH248"/>
  <c r="AG248"/>
  <c r="AF248"/>
  <c r="AE248"/>
  <c r="AD248"/>
  <c r="AR247"/>
  <c r="AO247"/>
  <c r="AL247"/>
  <c r="AI247"/>
  <c r="AF247"/>
  <c r="AC248"/>
  <c r="AB248"/>
  <c r="AA248"/>
  <c r="Z247"/>
  <c r="Y248"/>
  <c r="X248"/>
  <c r="W248"/>
  <c r="V248"/>
  <c r="U248"/>
  <c r="T247"/>
  <c r="S248"/>
  <c r="R248"/>
  <c r="Q248"/>
  <c r="P248"/>
  <c r="O248"/>
  <c r="N247"/>
  <c r="M248"/>
  <c r="L248"/>
  <c r="K248"/>
  <c r="J248"/>
  <c r="I248"/>
  <c r="H247"/>
  <c r="G248"/>
  <c r="F248"/>
  <c r="AR227"/>
  <c r="AQ227"/>
  <c r="AP227"/>
  <c r="AO227"/>
  <c r="AN227"/>
  <c r="AM227"/>
  <c r="AL227"/>
  <c r="AK227"/>
  <c r="AJ227"/>
  <c r="AI227"/>
  <c r="AH227"/>
  <c r="AG227"/>
  <c r="AF227"/>
  <c r="AE227"/>
  <c r="AD227"/>
  <c r="AR226"/>
  <c r="AO226"/>
  <c r="AL226"/>
  <c r="AI226"/>
  <c r="AF226"/>
  <c r="AC227"/>
  <c r="AB227"/>
  <c r="AA227"/>
  <c r="Z226"/>
  <c r="Y227"/>
  <c r="X227"/>
  <c r="W227"/>
  <c r="V227"/>
  <c r="U227"/>
  <c r="T226"/>
  <c r="S227"/>
  <c r="R227"/>
  <c r="Q227"/>
  <c r="P227"/>
  <c r="O227"/>
  <c r="N226"/>
  <c r="M227"/>
  <c r="L227"/>
  <c r="K227"/>
  <c r="J227"/>
  <c r="I227"/>
  <c r="H226"/>
  <c r="G227"/>
  <c r="F227"/>
  <c r="K10" i="16" l="1"/>
  <c r="H61"/>
  <c r="I189" i="8"/>
  <c r="G10"/>
  <c r="C408"/>
  <c r="F114" i="16"/>
  <c r="F65"/>
  <c r="F189" i="8"/>
  <c r="K247"/>
  <c r="Q247"/>
  <c r="W247"/>
  <c r="AC247"/>
  <c r="H248"/>
  <c r="N248"/>
  <c r="T248"/>
  <c r="Z248"/>
  <c r="K226"/>
  <c r="Q226"/>
  <c r="W226"/>
  <c r="AC226"/>
  <c r="H227"/>
  <c r="N227"/>
  <c r="T227"/>
  <c r="Z227"/>
  <c r="L121" i="12"/>
  <c r="K121"/>
  <c r="J121"/>
  <c r="I121"/>
  <c r="H121"/>
  <c r="D121"/>
  <c r="C121"/>
  <c r="H90"/>
  <c r="I90"/>
  <c r="J90"/>
  <c r="K90"/>
  <c r="L90"/>
  <c r="H91"/>
  <c r="I91"/>
  <c r="J91"/>
  <c r="K91"/>
  <c r="L91"/>
  <c r="J10" i="16" l="1"/>
  <c r="K21"/>
  <c r="L21" s="1"/>
  <c r="N10"/>
  <c r="L10"/>
  <c r="F91" i="12"/>
  <c r="G114" i="16"/>
  <c r="G65"/>
  <c r="E92" i="12"/>
  <c r="L92"/>
  <c r="L93" s="1"/>
  <c r="L95" s="1"/>
  <c r="J92"/>
  <c r="J94" s="1"/>
  <c r="H92"/>
  <c r="H93" s="1"/>
  <c r="H95" s="1"/>
  <c r="K92"/>
  <c r="K94" s="1"/>
  <c r="I92"/>
  <c r="I94" s="1"/>
  <c r="M10" i="16" l="1"/>
  <c r="O10"/>
  <c r="J21"/>
  <c r="N21"/>
  <c r="L189" i="8"/>
  <c r="I114" i="16"/>
  <c r="I65"/>
  <c r="K93" i="12"/>
  <c r="K95" s="1"/>
  <c r="J93"/>
  <c r="J95" s="1"/>
  <c r="H94"/>
  <c r="L94"/>
  <c r="I93"/>
  <c r="I95" s="1"/>
  <c r="E93"/>
  <c r="E94"/>
  <c r="O21" i="16" l="1"/>
  <c r="M21"/>
  <c r="O189" i="8"/>
  <c r="J114" i="16"/>
  <c r="J65"/>
  <c r="E95" i="12"/>
  <c r="R189" i="8" l="1"/>
  <c r="K114" i="16"/>
  <c r="K65"/>
  <c r="U189" i="8" l="1"/>
  <c r="L114" i="16"/>
  <c r="L65"/>
  <c r="G91" i="12"/>
  <c r="G121"/>
  <c r="X189" i="8" l="1"/>
  <c r="M114" i="16"/>
  <c r="M65"/>
  <c r="AD189" i="8" l="1"/>
  <c r="AA189"/>
  <c r="G92" i="12"/>
  <c r="G94" s="1"/>
  <c r="AG189" i="8" l="1"/>
  <c r="G93" i="12"/>
  <c r="G95" s="1"/>
  <c r="C70"/>
  <c r="D70" s="1"/>
  <c r="E70" s="1"/>
  <c r="F70" s="1"/>
  <c r="G70" s="1"/>
  <c r="H70" s="1"/>
  <c r="I70" s="1"/>
  <c r="J70" s="1"/>
  <c r="K70" s="1"/>
  <c r="L70" s="1"/>
  <c r="D91"/>
  <c r="C91"/>
  <c r="D90"/>
  <c r="C90"/>
  <c r="F26"/>
  <c r="C120" s="1"/>
  <c r="F25"/>
  <c r="C119" s="1"/>
  <c r="F24"/>
  <c r="C118" s="1"/>
  <c r="F23"/>
  <c r="C117" s="1"/>
  <c r="F22"/>
  <c r="C116" s="1"/>
  <c r="F9"/>
  <c r="C103" s="1"/>
  <c r="F10"/>
  <c r="C104" s="1"/>
  <c r="F11"/>
  <c r="C105" s="1"/>
  <c r="F12"/>
  <c r="C106" s="1"/>
  <c r="F13"/>
  <c r="C107" s="1"/>
  <c r="F14"/>
  <c r="C108" s="1"/>
  <c r="C109"/>
  <c r="C110"/>
  <c r="F16"/>
  <c r="C111" s="1"/>
  <c r="F18"/>
  <c r="C112" s="1"/>
  <c r="F19"/>
  <c r="C113" s="1"/>
  <c r="F20"/>
  <c r="C114" s="1"/>
  <c r="F21"/>
  <c r="C115" s="1"/>
  <c r="F8"/>
  <c r="C102" s="1"/>
  <c r="E28"/>
  <c r="D28"/>
  <c r="C28"/>
  <c r="E27"/>
  <c r="D27"/>
  <c r="C27"/>
  <c r="J28"/>
  <c r="I28"/>
  <c r="H28"/>
  <c r="J27"/>
  <c r="I27"/>
  <c r="H27"/>
  <c r="AI28"/>
  <c r="AH28"/>
  <c r="AG28"/>
  <c r="AI27"/>
  <c r="AH27"/>
  <c r="AG27"/>
  <c r="AD28"/>
  <c r="AC28"/>
  <c r="AB28"/>
  <c r="AD27"/>
  <c r="AC27"/>
  <c r="AB27"/>
  <c r="AN28"/>
  <c r="AM28"/>
  <c r="AL28"/>
  <c r="AN27"/>
  <c r="AM27"/>
  <c r="AL27"/>
  <c r="AS28"/>
  <c r="AR28"/>
  <c r="AQ28"/>
  <c r="AS27"/>
  <c r="AR27"/>
  <c r="AQ27"/>
  <c r="AX28"/>
  <c r="AW28"/>
  <c r="AX27"/>
  <c r="AW27"/>
  <c r="AV28"/>
  <c r="AV27"/>
  <c r="AY22"/>
  <c r="L116" s="1"/>
  <c r="AY23"/>
  <c r="L117" s="1"/>
  <c r="AY24"/>
  <c r="L118" s="1"/>
  <c r="AY25"/>
  <c r="L119" s="1"/>
  <c r="AY26"/>
  <c r="L120" s="1"/>
  <c r="AT22"/>
  <c r="K116" s="1"/>
  <c r="AT23"/>
  <c r="K117" s="1"/>
  <c r="AT24"/>
  <c r="K118" s="1"/>
  <c r="AT25"/>
  <c r="K119" s="1"/>
  <c r="AT26"/>
  <c r="K120" s="1"/>
  <c r="AO22"/>
  <c r="J116" s="1"/>
  <c r="AO23"/>
  <c r="J117" s="1"/>
  <c r="AO24"/>
  <c r="J118" s="1"/>
  <c r="AO25"/>
  <c r="J119" s="1"/>
  <c r="AO26"/>
  <c r="J120" s="1"/>
  <c r="AJ22"/>
  <c r="I116" s="1"/>
  <c r="AJ23"/>
  <c r="I117" s="1"/>
  <c r="AJ24"/>
  <c r="I118" s="1"/>
  <c r="AJ25"/>
  <c r="I119" s="1"/>
  <c r="AJ26"/>
  <c r="I120" s="1"/>
  <c r="AE22"/>
  <c r="H116" s="1"/>
  <c r="AE23"/>
  <c r="H117" s="1"/>
  <c r="AE24"/>
  <c r="H118" s="1"/>
  <c r="AE25"/>
  <c r="H119" s="1"/>
  <c r="AE26"/>
  <c r="H120" s="1"/>
  <c r="K22"/>
  <c r="D116" s="1"/>
  <c r="K23"/>
  <c r="D117" s="1"/>
  <c r="K24"/>
  <c r="D118" s="1"/>
  <c r="K25"/>
  <c r="D119" s="1"/>
  <c r="K26"/>
  <c r="D120" s="1"/>
  <c r="V56"/>
  <c r="AZ58"/>
  <c r="AZ57"/>
  <c r="AZ56"/>
  <c r="AZ55"/>
  <c r="AZ54"/>
  <c r="AZ53"/>
  <c r="AZ52"/>
  <c r="AZ51"/>
  <c r="AZ50"/>
  <c r="AZ49"/>
  <c r="AZ48"/>
  <c r="AZ47"/>
  <c r="AZ46"/>
  <c r="AZ45"/>
  <c r="AZ44"/>
  <c r="AZ43"/>
  <c r="AZ42"/>
  <c r="AZ41"/>
  <c r="AZ40"/>
  <c r="AU58"/>
  <c r="AU57"/>
  <c r="AU56"/>
  <c r="AU55"/>
  <c r="AU54"/>
  <c r="AU53"/>
  <c r="AU52"/>
  <c r="AU51"/>
  <c r="AU50"/>
  <c r="AU49"/>
  <c r="AU48"/>
  <c r="AU47"/>
  <c r="AU46"/>
  <c r="AU45"/>
  <c r="AU44"/>
  <c r="AU43"/>
  <c r="AU42"/>
  <c r="AU41"/>
  <c r="AU40"/>
  <c r="AP58"/>
  <c r="AP57"/>
  <c r="AP56"/>
  <c r="AP55"/>
  <c r="AP54"/>
  <c r="AP53"/>
  <c r="AP52"/>
  <c r="AP51"/>
  <c r="AP50"/>
  <c r="AP49"/>
  <c r="AP48"/>
  <c r="AP47"/>
  <c r="AP46"/>
  <c r="AP45"/>
  <c r="AP44"/>
  <c r="AP43"/>
  <c r="AP42"/>
  <c r="AP41"/>
  <c r="AP40"/>
  <c r="AK58"/>
  <c r="AK57"/>
  <c r="AK56"/>
  <c r="AK55"/>
  <c r="AK54"/>
  <c r="AK53"/>
  <c r="AK52"/>
  <c r="AK51"/>
  <c r="AK50"/>
  <c r="AK49"/>
  <c r="AK48"/>
  <c r="AK47"/>
  <c r="AK46"/>
  <c r="AK45"/>
  <c r="AK44"/>
  <c r="AK43"/>
  <c r="AK42"/>
  <c r="AK41"/>
  <c r="AK40"/>
  <c r="AF58"/>
  <c r="AF57"/>
  <c r="AF56"/>
  <c r="AF55"/>
  <c r="AF54"/>
  <c r="AF53"/>
  <c r="AF52"/>
  <c r="AF51"/>
  <c r="AF50"/>
  <c r="AF49"/>
  <c r="AF48"/>
  <c r="AF47"/>
  <c r="AF46"/>
  <c r="AF45"/>
  <c r="AF44"/>
  <c r="AF43"/>
  <c r="AF42"/>
  <c r="AF41"/>
  <c r="AF40"/>
  <c r="AA58"/>
  <c r="AA57"/>
  <c r="AA56"/>
  <c r="AA55"/>
  <c r="AA54"/>
  <c r="AA53"/>
  <c r="AA52"/>
  <c r="AA51"/>
  <c r="AA50"/>
  <c r="AA49"/>
  <c r="AA48"/>
  <c r="AA47"/>
  <c r="AA46"/>
  <c r="AA45"/>
  <c r="AA44"/>
  <c r="AA43"/>
  <c r="AA42"/>
  <c r="AA41"/>
  <c r="AA40"/>
  <c r="G58"/>
  <c r="G57"/>
  <c r="G56"/>
  <c r="G55"/>
  <c r="G54"/>
  <c r="G53"/>
  <c r="G52"/>
  <c r="G51"/>
  <c r="G50"/>
  <c r="G49"/>
  <c r="G48"/>
  <c r="G15" s="1"/>
  <c r="G47"/>
  <c r="G17" s="1"/>
  <c r="G46"/>
  <c r="G45"/>
  <c r="G44"/>
  <c r="G43"/>
  <c r="G42"/>
  <c r="G41"/>
  <c r="G40"/>
  <c r="L58"/>
  <c r="L57"/>
  <c r="L56"/>
  <c r="L55"/>
  <c r="L54"/>
  <c r="L53"/>
  <c r="L52"/>
  <c r="L51"/>
  <c r="L50"/>
  <c r="L49"/>
  <c r="L48"/>
  <c r="L15" s="1"/>
  <c r="L47"/>
  <c r="L17" s="1"/>
  <c r="L46"/>
  <c r="L45"/>
  <c r="L44"/>
  <c r="L43"/>
  <c r="L42"/>
  <c r="L41"/>
  <c r="L61"/>
  <c r="L40"/>
  <c r="U60"/>
  <c r="T60"/>
  <c r="S60"/>
  <c r="R60"/>
  <c r="R59"/>
  <c r="AZ61"/>
  <c r="AY60"/>
  <c r="AX60"/>
  <c r="AW60"/>
  <c r="AV60"/>
  <c r="AY59"/>
  <c r="AX59"/>
  <c r="AW59"/>
  <c r="AV59"/>
  <c r="AU61"/>
  <c r="AT60"/>
  <c r="AS60"/>
  <c r="AR60"/>
  <c r="AQ60"/>
  <c r="AT59"/>
  <c r="AS59"/>
  <c r="AR59"/>
  <c r="AQ59"/>
  <c r="AP61"/>
  <c r="AO60"/>
  <c r="AN60"/>
  <c r="AM60"/>
  <c r="AL60"/>
  <c r="AO59"/>
  <c r="AN59"/>
  <c r="AM59"/>
  <c r="AL59"/>
  <c r="AK61"/>
  <c r="AJ60"/>
  <c r="AI60"/>
  <c r="AH60"/>
  <c r="AG60"/>
  <c r="AJ59"/>
  <c r="AI59"/>
  <c r="AH59"/>
  <c r="AG59"/>
  <c r="AF61"/>
  <c r="AE60"/>
  <c r="AD60"/>
  <c r="AC60"/>
  <c r="AB60"/>
  <c r="AE59"/>
  <c r="AD59"/>
  <c r="AC59"/>
  <c r="AB59"/>
  <c r="Z60"/>
  <c r="Y60"/>
  <c r="X60"/>
  <c r="W60"/>
  <c r="Z59"/>
  <c r="Y59"/>
  <c r="X59"/>
  <c r="W59"/>
  <c r="K60"/>
  <c r="J60"/>
  <c r="I60"/>
  <c r="H60"/>
  <c r="K59"/>
  <c r="J59"/>
  <c r="I59"/>
  <c r="H59"/>
  <c r="G61"/>
  <c r="F60"/>
  <c r="E60"/>
  <c r="D60"/>
  <c r="C60"/>
  <c r="F59"/>
  <c r="E59"/>
  <c r="D59"/>
  <c r="C59"/>
  <c r="C38"/>
  <c r="AO8"/>
  <c r="AT8"/>
  <c r="AY8"/>
  <c r="AO9"/>
  <c r="AT9"/>
  <c r="AY9"/>
  <c r="AO10"/>
  <c r="AT10"/>
  <c r="AY10"/>
  <c r="AO11"/>
  <c r="AT11"/>
  <c r="AY11"/>
  <c r="AO12"/>
  <c r="AT12"/>
  <c r="AY12"/>
  <c r="AO13"/>
  <c r="AT13"/>
  <c r="AY13"/>
  <c r="AO14"/>
  <c r="AT14"/>
  <c r="AY14"/>
  <c r="AO17"/>
  <c r="AT17"/>
  <c r="AY17"/>
  <c r="AO15"/>
  <c r="AT15"/>
  <c r="AY15"/>
  <c r="AO16"/>
  <c r="AT16"/>
  <c r="AY16"/>
  <c r="AO18"/>
  <c r="AT18"/>
  <c r="AY18"/>
  <c r="AO19"/>
  <c r="AT19"/>
  <c r="AY19"/>
  <c r="AO20"/>
  <c r="AT20"/>
  <c r="AY20"/>
  <c r="AO21"/>
  <c r="AT21"/>
  <c r="AY21"/>
  <c r="K8"/>
  <c r="AE8"/>
  <c r="AJ8"/>
  <c r="K9"/>
  <c r="AE9"/>
  <c r="AJ9"/>
  <c r="K10"/>
  <c r="AE10"/>
  <c r="AJ10"/>
  <c r="K11"/>
  <c r="AE11"/>
  <c r="AJ11"/>
  <c r="K12"/>
  <c r="AE12"/>
  <c r="AJ12"/>
  <c r="K13"/>
  <c r="AE13"/>
  <c r="AJ13"/>
  <c r="K14"/>
  <c r="AE14"/>
  <c r="AJ14"/>
  <c r="AE17"/>
  <c r="AJ17"/>
  <c r="AE15"/>
  <c r="AJ15"/>
  <c r="K16"/>
  <c r="AE16"/>
  <c r="AJ16"/>
  <c r="K18"/>
  <c r="AE18"/>
  <c r="AJ18"/>
  <c r="K19"/>
  <c r="AE19"/>
  <c r="AJ19"/>
  <c r="K20"/>
  <c r="AE20"/>
  <c r="AJ20"/>
  <c r="K21"/>
  <c r="AE21"/>
  <c r="AJ21"/>
  <c r="S59" l="1"/>
  <c r="S62" s="1"/>
  <c r="AA60"/>
  <c r="AF59"/>
  <c r="Q61"/>
  <c r="AK59"/>
  <c r="V61"/>
  <c r="G59"/>
  <c r="AA59"/>
  <c r="AK60"/>
  <c r="AP59"/>
  <c r="AU59"/>
  <c r="AA61"/>
  <c r="AZ59"/>
  <c r="C122"/>
  <c r="AU21"/>
  <c r="K115"/>
  <c r="AZ20"/>
  <c r="L114"/>
  <c r="AP20"/>
  <c r="J114"/>
  <c r="AU19"/>
  <c r="K113"/>
  <c r="AZ18"/>
  <c r="L112"/>
  <c r="AP18"/>
  <c r="J112"/>
  <c r="AU16"/>
  <c r="K111"/>
  <c r="AZ15"/>
  <c r="L110"/>
  <c r="AP15"/>
  <c r="J110"/>
  <c r="AU17"/>
  <c r="K109"/>
  <c r="AZ14"/>
  <c r="L108"/>
  <c r="AP14"/>
  <c r="J108"/>
  <c r="AU13"/>
  <c r="K107"/>
  <c r="AZ12"/>
  <c r="L106"/>
  <c r="AP12"/>
  <c r="J106"/>
  <c r="AU11"/>
  <c r="K105"/>
  <c r="AZ10"/>
  <c r="L104"/>
  <c r="AP10"/>
  <c r="J104"/>
  <c r="AU9"/>
  <c r="K103"/>
  <c r="AZ8"/>
  <c r="L102"/>
  <c r="AP8"/>
  <c r="J102"/>
  <c r="D92"/>
  <c r="D93" s="1"/>
  <c r="D95" s="1"/>
  <c r="D123"/>
  <c r="I123"/>
  <c r="K123"/>
  <c r="C123"/>
  <c r="AK21"/>
  <c r="I115"/>
  <c r="L21"/>
  <c r="D115"/>
  <c r="AF20"/>
  <c r="H114"/>
  <c r="AK19"/>
  <c r="I113"/>
  <c r="L19"/>
  <c r="D113"/>
  <c r="AF18"/>
  <c r="H112"/>
  <c r="AK16"/>
  <c r="I111"/>
  <c r="L16"/>
  <c r="D111"/>
  <c r="AF15"/>
  <c r="H110"/>
  <c r="AK17"/>
  <c r="I109"/>
  <c r="D109"/>
  <c r="AF14"/>
  <c r="H108"/>
  <c r="AK13"/>
  <c r="I107"/>
  <c r="L13"/>
  <c r="D107"/>
  <c r="AF12"/>
  <c r="H106"/>
  <c r="AK11"/>
  <c r="I105"/>
  <c r="L11"/>
  <c r="D105"/>
  <c r="AF10"/>
  <c r="H104"/>
  <c r="AK9"/>
  <c r="I103"/>
  <c r="L9"/>
  <c r="D103"/>
  <c r="AF8"/>
  <c r="H102"/>
  <c r="AF21"/>
  <c r="H115"/>
  <c r="AK20"/>
  <c r="I114"/>
  <c r="L20"/>
  <c r="D114"/>
  <c r="AF19"/>
  <c r="H113"/>
  <c r="AK18"/>
  <c r="I112"/>
  <c r="L18"/>
  <c r="D112"/>
  <c r="AF16"/>
  <c r="H111"/>
  <c r="AK15"/>
  <c r="I110"/>
  <c r="D110"/>
  <c r="AF17"/>
  <c r="H109"/>
  <c r="AK14"/>
  <c r="I108"/>
  <c r="L14"/>
  <c r="D108"/>
  <c r="AF13"/>
  <c r="H107"/>
  <c r="AK12"/>
  <c r="I106"/>
  <c r="L12"/>
  <c r="D106"/>
  <c r="AF11"/>
  <c r="H105"/>
  <c r="AK10"/>
  <c r="I104"/>
  <c r="L10"/>
  <c r="D104"/>
  <c r="AF9"/>
  <c r="H103"/>
  <c r="AK8"/>
  <c r="I102"/>
  <c r="L8"/>
  <c r="D102"/>
  <c r="AZ21"/>
  <c r="L115"/>
  <c r="AP21"/>
  <c r="J115"/>
  <c r="AU20"/>
  <c r="K114"/>
  <c r="AZ19"/>
  <c r="L113"/>
  <c r="AP19"/>
  <c r="J113"/>
  <c r="AU18"/>
  <c r="K112"/>
  <c r="AZ16"/>
  <c r="L111"/>
  <c r="AP16"/>
  <c r="J111"/>
  <c r="AU15"/>
  <c r="K110"/>
  <c r="AZ17"/>
  <c r="L109"/>
  <c r="AP17"/>
  <c r="J109"/>
  <c r="AU14"/>
  <c r="K108"/>
  <c r="AZ13"/>
  <c r="L107"/>
  <c r="AP13"/>
  <c r="J107"/>
  <c r="AU12"/>
  <c r="K106"/>
  <c r="AZ11"/>
  <c r="L105"/>
  <c r="AP11"/>
  <c r="J105"/>
  <c r="AU10"/>
  <c r="K104"/>
  <c r="AZ9"/>
  <c r="L103"/>
  <c r="AP9"/>
  <c r="J103"/>
  <c r="AU8"/>
  <c r="K102"/>
  <c r="C92"/>
  <c r="C93" s="1"/>
  <c r="C95" s="1"/>
  <c r="C101"/>
  <c r="D101" s="1"/>
  <c r="E101" s="1"/>
  <c r="F101" s="1"/>
  <c r="G101" s="1"/>
  <c r="H101" s="1"/>
  <c r="I101" s="1"/>
  <c r="J101" s="1"/>
  <c r="K101" s="1"/>
  <c r="L101" s="1"/>
  <c r="H123"/>
  <c r="J123"/>
  <c r="L123"/>
  <c r="F28"/>
  <c r="X27"/>
  <c r="M27"/>
  <c r="O27"/>
  <c r="W27"/>
  <c r="Y27"/>
  <c r="R27"/>
  <c r="N27"/>
  <c r="M59"/>
  <c r="AA62"/>
  <c r="X63" s="1"/>
  <c r="V40"/>
  <c r="V41"/>
  <c r="V42"/>
  <c r="V43"/>
  <c r="V44"/>
  <c r="V45"/>
  <c r="V46"/>
  <c r="V47"/>
  <c r="V48"/>
  <c r="V49"/>
  <c r="V50"/>
  <c r="V51"/>
  <c r="V52"/>
  <c r="V53"/>
  <c r="V54"/>
  <c r="V55"/>
  <c r="AF60"/>
  <c r="AF62" s="1"/>
  <c r="D62"/>
  <c r="F62"/>
  <c r="I62"/>
  <c r="K62"/>
  <c r="AR62"/>
  <c r="AT62"/>
  <c r="AW62"/>
  <c r="AY62"/>
  <c r="C62"/>
  <c r="E62"/>
  <c r="H62"/>
  <c r="J62"/>
  <c r="W62"/>
  <c r="W66" s="1"/>
  <c r="Y62"/>
  <c r="AC62"/>
  <c r="AE62"/>
  <c r="AH62"/>
  <c r="AJ62"/>
  <c r="AL62"/>
  <c r="AN62"/>
  <c r="AQ62"/>
  <c r="AS62"/>
  <c r="AV62"/>
  <c r="AX62"/>
  <c r="R62"/>
  <c r="AV30"/>
  <c r="AW30"/>
  <c r="AQ30"/>
  <c r="AS30"/>
  <c r="AL30"/>
  <c r="AN30"/>
  <c r="AB30"/>
  <c r="AD30"/>
  <c r="AG30"/>
  <c r="AI30"/>
  <c r="H30"/>
  <c r="J30"/>
  <c r="E30"/>
  <c r="AX30"/>
  <c r="D30"/>
  <c r="R28"/>
  <c r="AZ60"/>
  <c r="L25"/>
  <c r="L23"/>
  <c r="AF26"/>
  <c r="AF24"/>
  <c r="AF22"/>
  <c r="AK25"/>
  <c r="AK23"/>
  <c r="AP26"/>
  <c r="AP24"/>
  <c r="AP22"/>
  <c r="AU25"/>
  <c r="AU23"/>
  <c r="AZ26"/>
  <c r="AZ24"/>
  <c r="AZ22"/>
  <c r="I30"/>
  <c r="G20"/>
  <c r="G18"/>
  <c r="G14"/>
  <c r="G12"/>
  <c r="G10"/>
  <c r="G22"/>
  <c r="G24"/>
  <c r="G26"/>
  <c r="C30"/>
  <c r="X62"/>
  <c r="X66" s="1"/>
  <c r="Z62"/>
  <c r="AB62"/>
  <c r="L26"/>
  <c r="L24"/>
  <c r="L22"/>
  <c r="AF25"/>
  <c r="AF23"/>
  <c r="AK26"/>
  <c r="AK24"/>
  <c r="AK22"/>
  <c r="AP25"/>
  <c r="AP23"/>
  <c r="AU26"/>
  <c r="AU24"/>
  <c r="AU22"/>
  <c r="AZ25"/>
  <c r="AZ23"/>
  <c r="G21"/>
  <c r="G19"/>
  <c r="G16"/>
  <c r="G13"/>
  <c r="G11"/>
  <c r="G9"/>
  <c r="G23"/>
  <c r="G25"/>
  <c r="AD62"/>
  <c r="AM62"/>
  <c r="AM30"/>
  <c r="AC30"/>
  <c r="AH30"/>
  <c r="F27"/>
  <c r="G8"/>
  <c r="E121"/>
  <c r="AG62"/>
  <c r="AR30"/>
  <c r="AY27"/>
  <c r="AZ27" s="1"/>
  <c r="AO27"/>
  <c r="AP27" s="1"/>
  <c r="Y28"/>
  <c r="W28"/>
  <c r="N28"/>
  <c r="AI62"/>
  <c r="AE28"/>
  <c r="AO28"/>
  <c r="AY28"/>
  <c r="AE27"/>
  <c r="AJ27"/>
  <c r="AK27" s="1"/>
  <c r="K27"/>
  <c r="AT27"/>
  <c r="AU27" s="1"/>
  <c r="X28"/>
  <c r="O28"/>
  <c r="M28"/>
  <c r="K28"/>
  <c r="AJ28"/>
  <c r="AT28"/>
  <c r="AO62"/>
  <c r="AU60"/>
  <c r="F121"/>
  <c r="M60"/>
  <c r="L60"/>
  <c r="V57"/>
  <c r="V58"/>
  <c r="AV38"/>
  <c r="AL38"/>
  <c r="AB38"/>
  <c r="R38"/>
  <c r="H38"/>
  <c r="L59"/>
  <c r="AQ38"/>
  <c r="AG38"/>
  <c r="W38"/>
  <c r="M38"/>
  <c r="AP60"/>
  <c r="Q53"/>
  <c r="Q52"/>
  <c r="Q51"/>
  <c r="Q50"/>
  <c r="Q49"/>
  <c r="Q48"/>
  <c r="Q47"/>
  <c r="Q46"/>
  <c r="Q45"/>
  <c r="Q44"/>
  <c r="Q43"/>
  <c r="Q42"/>
  <c r="Q41"/>
  <c r="Q40"/>
  <c r="U59"/>
  <c r="T59"/>
  <c r="P60"/>
  <c r="N60"/>
  <c r="G60"/>
  <c r="O60"/>
  <c r="O59"/>
  <c r="N59"/>
  <c r="P59"/>
  <c r="E117"/>
  <c r="AA15"/>
  <c r="T27"/>
  <c r="AA16"/>
  <c r="Q25"/>
  <c r="E115"/>
  <c r="E113"/>
  <c r="Q26"/>
  <c r="Q24"/>
  <c r="S28"/>
  <c r="S27"/>
  <c r="T28"/>
  <c r="E116"/>
  <c r="AA17"/>
  <c r="G116"/>
  <c r="G102"/>
  <c r="AF28" l="1"/>
  <c r="C94"/>
  <c r="AZ62"/>
  <c r="AZ28"/>
  <c r="D122"/>
  <c r="D124" s="1"/>
  <c r="D126" s="1"/>
  <c r="D129" s="1"/>
  <c r="AJ189" i="8"/>
  <c r="I122" i="12"/>
  <c r="I124" s="1"/>
  <c r="I127" s="1"/>
  <c r="G62"/>
  <c r="AK62"/>
  <c r="AG65" s="1"/>
  <c r="M62"/>
  <c r="AU62"/>
  <c r="AT63" s="1"/>
  <c r="AK28"/>
  <c r="AF27"/>
  <c r="G27"/>
  <c r="AM189" i="8"/>
  <c r="AP189"/>
  <c r="V59" i="12"/>
  <c r="Q60"/>
  <c r="AP62"/>
  <c r="AO63" s="1"/>
  <c r="V60"/>
  <c r="R30"/>
  <c r="W30"/>
  <c r="K122"/>
  <c r="K124" s="1"/>
  <c r="F30"/>
  <c r="D32" s="1"/>
  <c r="Y66"/>
  <c r="D94"/>
  <c r="C124"/>
  <c r="C127" s="1"/>
  <c r="AD66"/>
  <c r="H122"/>
  <c r="H124" s="1"/>
  <c r="J122"/>
  <c r="J124" s="1"/>
  <c r="L122"/>
  <c r="L124" s="1"/>
  <c r="V9"/>
  <c r="F103"/>
  <c r="V8"/>
  <c r="F102"/>
  <c r="V11"/>
  <c r="F105"/>
  <c r="V17"/>
  <c r="F109"/>
  <c r="V19"/>
  <c r="F113"/>
  <c r="V22"/>
  <c r="F116"/>
  <c r="V26"/>
  <c r="F120"/>
  <c r="AA24"/>
  <c r="G118"/>
  <c r="V23"/>
  <c r="F117"/>
  <c r="AA23"/>
  <c r="G117"/>
  <c r="AA11"/>
  <c r="G105"/>
  <c r="AA19"/>
  <c r="G113"/>
  <c r="AA13"/>
  <c r="G107"/>
  <c r="Q11"/>
  <c r="E105"/>
  <c r="Q13"/>
  <c r="E107"/>
  <c r="Q17"/>
  <c r="E109"/>
  <c r="Q16"/>
  <c r="E111"/>
  <c r="E120"/>
  <c r="Q18"/>
  <c r="E112"/>
  <c r="Q20"/>
  <c r="E114"/>
  <c r="E119"/>
  <c r="V10"/>
  <c r="F104"/>
  <c r="V14"/>
  <c r="F108"/>
  <c r="V18"/>
  <c r="F112"/>
  <c r="AA12"/>
  <c r="G106"/>
  <c r="G110"/>
  <c r="AA20"/>
  <c r="G114"/>
  <c r="Q9"/>
  <c r="E103"/>
  <c r="V13"/>
  <c r="F107"/>
  <c r="V16"/>
  <c r="F111"/>
  <c r="V21"/>
  <c r="F115"/>
  <c r="V24"/>
  <c r="F118"/>
  <c r="AA26"/>
  <c r="G120"/>
  <c r="V25"/>
  <c r="F119"/>
  <c r="AA25"/>
  <c r="G119"/>
  <c r="G109"/>
  <c r="Q8"/>
  <c r="E102"/>
  <c r="AA21"/>
  <c r="G115"/>
  <c r="Q10"/>
  <c r="E104"/>
  <c r="Q12"/>
  <c r="E106"/>
  <c r="Q14"/>
  <c r="E108"/>
  <c r="Q15"/>
  <c r="E110"/>
  <c r="E118"/>
  <c r="AA9"/>
  <c r="G103"/>
  <c r="G111"/>
  <c r="V12"/>
  <c r="F106"/>
  <c r="V15"/>
  <c r="F110"/>
  <c r="V20"/>
  <c r="F114"/>
  <c r="AA10"/>
  <c r="G104"/>
  <c r="AA14"/>
  <c r="G108"/>
  <c r="AA18"/>
  <c r="G112"/>
  <c r="N30"/>
  <c r="Y30"/>
  <c r="AD65"/>
  <c r="AB65"/>
  <c r="AC65"/>
  <c r="Z66"/>
  <c r="Z65"/>
  <c r="AX65"/>
  <c r="AV65"/>
  <c r="AW65"/>
  <c r="AE66"/>
  <c r="AE65"/>
  <c r="AY66"/>
  <c r="AY65"/>
  <c r="AX66"/>
  <c r="E66"/>
  <c r="F66"/>
  <c r="W65"/>
  <c r="AW64"/>
  <c r="AV63"/>
  <c r="AZ65" s="1"/>
  <c r="AB64"/>
  <c r="AC63"/>
  <c r="X64"/>
  <c r="W63"/>
  <c r="X65"/>
  <c r="AX64"/>
  <c r="AY63"/>
  <c r="AE64"/>
  <c r="AD63"/>
  <c r="Y64"/>
  <c r="Z63"/>
  <c r="AB66"/>
  <c r="AF66" s="1"/>
  <c r="AV66"/>
  <c r="AZ66" s="1"/>
  <c r="AC66"/>
  <c r="C66"/>
  <c r="G66" s="1"/>
  <c r="AW66"/>
  <c r="D66"/>
  <c r="Y65"/>
  <c r="AY64"/>
  <c r="AX63"/>
  <c r="AD64"/>
  <c r="AE63"/>
  <c r="Z64"/>
  <c r="Y63"/>
  <c r="AV64"/>
  <c r="AW63"/>
  <c r="AC64"/>
  <c r="AB63"/>
  <c r="AF65" s="1"/>
  <c r="W64"/>
  <c r="D65"/>
  <c r="E65"/>
  <c r="C65"/>
  <c r="D64"/>
  <c r="D63"/>
  <c r="C64"/>
  <c r="C63"/>
  <c r="G65" s="1"/>
  <c r="F65"/>
  <c r="F64"/>
  <c r="F63"/>
  <c r="E64"/>
  <c r="E63"/>
  <c r="Z27"/>
  <c r="AA27" s="1"/>
  <c r="Q19"/>
  <c r="Q21"/>
  <c r="Q23"/>
  <c r="F92"/>
  <c r="F93" s="1"/>
  <c r="P62"/>
  <c r="U62"/>
  <c r="N62"/>
  <c r="T62"/>
  <c r="L62"/>
  <c r="AA22"/>
  <c r="Z28"/>
  <c r="O62"/>
  <c r="T30"/>
  <c r="X30"/>
  <c r="O30"/>
  <c r="M30"/>
  <c r="AU28"/>
  <c r="L28"/>
  <c r="G28"/>
  <c r="L27"/>
  <c r="AP28"/>
  <c r="P28"/>
  <c r="Q22"/>
  <c r="AA8"/>
  <c r="P27"/>
  <c r="AE30"/>
  <c r="AD34" s="1"/>
  <c r="K30"/>
  <c r="AY30"/>
  <c r="AX34" s="1"/>
  <c r="AT30"/>
  <c r="AJ30"/>
  <c r="AG34" s="1"/>
  <c r="AJ34" s="1"/>
  <c r="AK34" s="1"/>
  <c r="AO30"/>
  <c r="Q59"/>
  <c r="S30"/>
  <c r="U27"/>
  <c r="U28"/>
  <c r="I128" l="1"/>
  <c r="AR63"/>
  <c r="AJ64"/>
  <c r="AG64"/>
  <c r="E123"/>
  <c r="AA65"/>
  <c r="P30"/>
  <c r="M33" s="1"/>
  <c r="E122"/>
  <c r="AI65"/>
  <c r="AR66"/>
  <c r="AH66"/>
  <c r="AJ65"/>
  <c r="AG63"/>
  <c r="AK65" s="1"/>
  <c r="AI64"/>
  <c r="AQ65"/>
  <c r="AG66"/>
  <c r="AK66" s="1"/>
  <c r="AH65"/>
  <c r="AH64"/>
  <c r="AJ63"/>
  <c r="AS63"/>
  <c r="AI66"/>
  <c r="AI63"/>
  <c r="AS64"/>
  <c r="AH63"/>
  <c r="AQ63"/>
  <c r="AU65" s="1"/>
  <c r="AT65"/>
  <c r="AJ66"/>
  <c r="AQ64"/>
  <c r="AT64"/>
  <c r="AQ66"/>
  <c r="AU66" s="1"/>
  <c r="AR65"/>
  <c r="AS65"/>
  <c r="AR64"/>
  <c r="AS66"/>
  <c r="AT66"/>
  <c r="AL64"/>
  <c r="AN64"/>
  <c r="C32"/>
  <c r="V28"/>
  <c r="D33"/>
  <c r="Q62"/>
  <c r="N63" s="1"/>
  <c r="Q28"/>
  <c r="D34"/>
  <c r="D127"/>
  <c r="V62"/>
  <c r="R64" s="1"/>
  <c r="AO64"/>
  <c r="AL66"/>
  <c r="AP66" s="1"/>
  <c r="AM66"/>
  <c r="AO65"/>
  <c r="AL65"/>
  <c r="AM64"/>
  <c r="AN66"/>
  <c r="AA66"/>
  <c r="K126"/>
  <c r="K129" s="1"/>
  <c r="K127"/>
  <c r="Z30"/>
  <c r="Y32" s="1"/>
  <c r="AM63"/>
  <c r="AN63"/>
  <c r="AO66"/>
  <c r="AM65"/>
  <c r="AN65"/>
  <c r="AL63"/>
  <c r="AP65" s="1"/>
  <c r="C126"/>
  <c r="G30"/>
  <c r="E31"/>
  <c r="C33"/>
  <c r="G123"/>
  <c r="C31"/>
  <c r="D31"/>
  <c r="C34"/>
  <c r="E33"/>
  <c r="E34"/>
  <c r="E32"/>
  <c r="J128"/>
  <c r="H128"/>
  <c r="L128"/>
  <c r="D128"/>
  <c r="K128"/>
  <c r="C128"/>
  <c r="L127"/>
  <c r="J127"/>
  <c r="H127"/>
  <c r="I126"/>
  <c r="I129" s="1"/>
  <c r="G122"/>
  <c r="F123"/>
  <c r="F122"/>
  <c r="F94"/>
  <c r="F95" s="1"/>
  <c r="AP30"/>
  <c r="AN33"/>
  <c r="AL33"/>
  <c r="AM33"/>
  <c r="AL31"/>
  <c r="AO33" s="1"/>
  <c r="AP33" s="1"/>
  <c r="AM32"/>
  <c r="AM31"/>
  <c r="AN32"/>
  <c r="AN31"/>
  <c r="AL32"/>
  <c r="AU30"/>
  <c r="AS33"/>
  <c r="AQ33"/>
  <c r="AR33"/>
  <c r="AS31"/>
  <c r="AQ32"/>
  <c r="AQ31"/>
  <c r="AT33" s="1"/>
  <c r="AU33" s="1"/>
  <c r="AR32"/>
  <c r="AR31"/>
  <c r="AS32"/>
  <c r="J33"/>
  <c r="H33"/>
  <c r="I33"/>
  <c r="J31"/>
  <c r="H32"/>
  <c r="H31"/>
  <c r="K33" s="1"/>
  <c r="L33" s="1"/>
  <c r="I32"/>
  <c r="I31"/>
  <c r="J32"/>
  <c r="J65"/>
  <c r="H65"/>
  <c r="I65"/>
  <c r="H63"/>
  <c r="L65" s="1"/>
  <c r="H64"/>
  <c r="I63"/>
  <c r="I64"/>
  <c r="J63"/>
  <c r="J64"/>
  <c r="K63"/>
  <c r="K64"/>
  <c r="I66"/>
  <c r="H66"/>
  <c r="L66" s="1"/>
  <c r="AV34"/>
  <c r="AY34" s="1"/>
  <c r="AZ34" s="1"/>
  <c r="AL34"/>
  <c r="AO34" s="1"/>
  <c r="AP34" s="1"/>
  <c r="AC34"/>
  <c r="J66"/>
  <c r="AS34"/>
  <c r="J34"/>
  <c r="AM34"/>
  <c r="K65"/>
  <c r="AK30"/>
  <c r="AI33"/>
  <c r="AG33"/>
  <c r="AH33"/>
  <c r="AG31"/>
  <c r="AJ33" s="1"/>
  <c r="AK33" s="1"/>
  <c r="AH32"/>
  <c r="AH31"/>
  <c r="AI32"/>
  <c r="AI31"/>
  <c r="AG32"/>
  <c r="AZ30"/>
  <c r="AX33"/>
  <c r="AV33"/>
  <c r="AW33"/>
  <c r="AV31"/>
  <c r="AY33" s="1"/>
  <c r="AZ33" s="1"/>
  <c r="AW32"/>
  <c r="AV32"/>
  <c r="AX32"/>
  <c r="AW31"/>
  <c r="AX31"/>
  <c r="AF30"/>
  <c r="AD33"/>
  <c r="AB33"/>
  <c r="AC33"/>
  <c r="AD31"/>
  <c r="AB32"/>
  <c r="AB31"/>
  <c r="AE33" s="1"/>
  <c r="AF33" s="1"/>
  <c r="AC32"/>
  <c r="AC31"/>
  <c r="AD32"/>
  <c r="AQ34"/>
  <c r="AT34" s="1"/>
  <c r="AU34" s="1"/>
  <c r="AB34"/>
  <c r="AE34" s="1"/>
  <c r="AF34" s="1"/>
  <c r="H34"/>
  <c r="K34" s="1"/>
  <c r="L34" s="1"/>
  <c r="AR34"/>
  <c r="AW34"/>
  <c r="AN34"/>
  <c r="AI34"/>
  <c r="I34"/>
  <c r="AH34"/>
  <c r="K66"/>
  <c r="U30"/>
  <c r="S34" s="1"/>
  <c r="L30"/>
  <c r="Q27"/>
  <c r="V27"/>
  <c r="AA28"/>
  <c r="C129" l="1"/>
  <c r="F34"/>
  <c r="G34" s="1"/>
  <c r="F33"/>
  <c r="G33" s="1"/>
  <c r="E124"/>
  <c r="S63"/>
  <c r="T66"/>
  <c r="F124"/>
  <c r="F128" s="1"/>
  <c r="E128"/>
  <c r="M64"/>
  <c r="M63"/>
  <c r="W33"/>
  <c r="W32"/>
  <c r="N31"/>
  <c r="Y34"/>
  <c r="Y31"/>
  <c r="N32"/>
  <c r="M31"/>
  <c r="O34"/>
  <c r="U66"/>
  <c r="N64"/>
  <c r="U63"/>
  <c r="N66"/>
  <c r="P65"/>
  <c r="R63"/>
  <c r="W31"/>
  <c r="O32"/>
  <c r="Y33"/>
  <c r="M32"/>
  <c r="O33"/>
  <c r="O64"/>
  <c r="P64"/>
  <c r="S66"/>
  <c r="O66"/>
  <c r="O65"/>
  <c r="R66"/>
  <c r="T64"/>
  <c r="R65"/>
  <c r="V30"/>
  <c r="T63"/>
  <c r="P63"/>
  <c r="U65"/>
  <c r="N65"/>
  <c r="M65"/>
  <c r="M66"/>
  <c r="O63"/>
  <c r="P66"/>
  <c r="S65"/>
  <c r="S64"/>
  <c r="U64"/>
  <c r="T65"/>
  <c r="Q30"/>
  <c r="AA30"/>
  <c r="N34"/>
  <c r="X32"/>
  <c r="X31"/>
  <c r="M34"/>
  <c r="X33"/>
  <c r="W34"/>
  <c r="O31"/>
  <c r="X34"/>
  <c r="N33"/>
  <c r="G124"/>
  <c r="G126" s="1"/>
  <c r="H126"/>
  <c r="H129" s="1"/>
  <c r="J126"/>
  <c r="J129" s="1"/>
  <c r="L126"/>
  <c r="L129" s="1"/>
  <c r="E126"/>
  <c r="E127"/>
  <c r="R33"/>
  <c r="S33"/>
  <c r="T33"/>
  <c r="T32"/>
  <c r="T31"/>
  <c r="R34"/>
  <c r="R32"/>
  <c r="S32"/>
  <c r="R31"/>
  <c r="S31"/>
  <c r="T34"/>
  <c r="V66" l="1"/>
  <c r="Q66"/>
  <c r="Q65"/>
  <c r="V65"/>
  <c r="Z33"/>
  <c r="AA33" s="1"/>
  <c r="F127"/>
  <c r="F126"/>
  <c r="P33"/>
  <c r="Q33" s="1"/>
  <c r="Z34"/>
  <c r="AA34" s="1"/>
  <c r="P34"/>
  <c r="Q34" s="1"/>
  <c r="G127"/>
  <c r="E129"/>
  <c r="G128"/>
  <c r="U34"/>
  <c r="V34" s="1"/>
  <c r="U33"/>
  <c r="V33" s="1"/>
  <c r="Q383" i="8"/>
  <c r="C387"/>
  <c r="AC387"/>
  <c r="AB387"/>
  <c r="AA387"/>
  <c r="Z387"/>
  <c r="Y387"/>
  <c r="X387"/>
  <c r="W387"/>
  <c r="V387"/>
  <c r="U387"/>
  <c r="T387"/>
  <c r="S387"/>
  <c r="R387"/>
  <c r="Q387"/>
  <c r="P387"/>
  <c r="O387"/>
  <c r="N387"/>
  <c r="M387"/>
  <c r="L387"/>
  <c r="K387"/>
  <c r="J387"/>
  <c r="I387"/>
  <c r="H387"/>
  <c r="G387"/>
  <c r="F387"/>
  <c r="E387"/>
  <c r="D387"/>
  <c r="H86"/>
  <c r="I84"/>
  <c r="G86"/>
  <c r="F83"/>
  <c r="G129" i="12" l="1"/>
  <c r="F129"/>
  <c r="I388" i="8"/>
  <c r="O388"/>
  <c r="U388"/>
  <c r="C388"/>
  <c r="F388"/>
  <c r="L388"/>
  <c r="R388"/>
  <c r="AA388"/>
  <c r="X388"/>
  <c r="G85"/>
  <c r="G87"/>
  <c r="G83"/>
  <c r="G84"/>
  <c r="G96"/>
  <c r="G97"/>
  <c r="G94"/>
  <c r="G95"/>
  <c r="G93"/>
  <c r="G89"/>
  <c r="G90"/>
  <c r="G91"/>
  <c r="G92"/>
  <c r="F85"/>
  <c r="F87"/>
  <c r="F84"/>
  <c r="F96"/>
  <c r="F97"/>
  <c r="F94"/>
  <c r="F95"/>
  <c r="F93"/>
  <c r="F89"/>
  <c r="F90"/>
  <c r="F91"/>
  <c r="F92"/>
  <c r="F86"/>
  <c r="D84"/>
  <c r="E83"/>
  <c r="E85"/>
  <c r="E87"/>
  <c r="E84"/>
  <c r="E96"/>
  <c r="E97"/>
  <c r="E94"/>
  <c r="E95"/>
  <c r="E93"/>
  <c r="E89"/>
  <c r="E90"/>
  <c r="E91"/>
  <c r="E92"/>
  <c r="E86"/>
  <c r="D85"/>
  <c r="D87"/>
  <c r="D83"/>
  <c r="D96"/>
  <c r="D97"/>
  <c r="D94"/>
  <c r="D95"/>
  <c r="D93"/>
  <c r="D89"/>
  <c r="D90"/>
  <c r="D91"/>
  <c r="D92"/>
  <c r="D86"/>
  <c r="P353" l="1"/>
  <c r="E9" i="23" s="1"/>
  <c r="I9" s="1"/>
  <c r="M353" i="8"/>
  <c r="F88" s="1"/>
  <c r="F99" s="1"/>
  <c r="G353"/>
  <c r="D88" s="1"/>
  <c r="D99" s="1"/>
  <c r="J353"/>
  <c r="E88" s="1"/>
  <c r="E99" s="1"/>
  <c r="H85"/>
  <c r="H87"/>
  <c r="H83"/>
  <c r="H84"/>
  <c r="H96"/>
  <c r="H97"/>
  <c r="H94"/>
  <c r="H95"/>
  <c r="H93"/>
  <c r="H89"/>
  <c r="H90"/>
  <c r="H91"/>
  <c r="H92"/>
  <c r="I85"/>
  <c r="I87"/>
  <c r="I83"/>
  <c r="I96"/>
  <c r="I97"/>
  <c r="I94"/>
  <c r="I95"/>
  <c r="I93"/>
  <c r="I89"/>
  <c r="I90"/>
  <c r="I91"/>
  <c r="I92"/>
  <c r="I86"/>
  <c r="G88" l="1"/>
  <c r="G99" s="1"/>
  <c r="J92"/>
  <c r="C24" i="26"/>
  <c r="J90" i="8"/>
  <c r="C22" i="26"/>
  <c r="J93" i="8"/>
  <c r="C20" i="26"/>
  <c r="J94" i="8"/>
  <c r="C18" i="26"/>
  <c r="J96" i="8"/>
  <c r="C16" i="26"/>
  <c r="J83" i="8"/>
  <c r="C14" i="26"/>
  <c r="J85" i="8"/>
  <c r="C12" i="26"/>
  <c r="J86" i="8"/>
  <c r="C11" i="26"/>
  <c r="J91" i="8"/>
  <c r="C23" i="26"/>
  <c r="J89" i="8"/>
  <c r="C21" i="26"/>
  <c r="J95" i="8"/>
  <c r="C19" i="26"/>
  <c r="J97" i="8"/>
  <c r="C17" i="26"/>
  <c r="J84" i="8"/>
  <c r="C15" i="26"/>
  <c r="J87" i="8"/>
  <c r="C13" i="26"/>
  <c r="V353" i="8"/>
  <c r="E11" i="23" s="1"/>
  <c r="I11" s="1"/>
  <c r="X339" i="8"/>
  <c r="S353"/>
  <c r="E10" i="23" s="1"/>
  <c r="I10" s="1"/>
  <c r="U338" i="8"/>
  <c r="U351"/>
  <c r="U350"/>
  <c r="U349"/>
  <c r="U348"/>
  <c r="U347"/>
  <c r="U346"/>
  <c r="U345"/>
  <c r="U344"/>
  <c r="U343"/>
  <c r="U342"/>
  <c r="U341"/>
  <c r="U340"/>
  <c r="U339"/>
  <c r="R351"/>
  <c r="R350"/>
  <c r="R349"/>
  <c r="R348"/>
  <c r="R347"/>
  <c r="R346"/>
  <c r="R345"/>
  <c r="R344"/>
  <c r="R343"/>
  <c r="R342"/>
  <c r="R341"/>
  <c r="R340"/>
  <c r="R339"/>
  <c r="R338"/>
  <c r="O351"/>
  <c r="O350"/>
  <c r="O349"/>
  <c r="O348"/>
  <c r="O347"/>
  <c r="O346"/>
  <c r="O345"/>
  <c r="O344"/>
  <c r="O343"/>
  <c r="O342"/>
  <c r="O341"/>
  <c r="O340"/>
  <c r="O339"/>
  <c r="O338"/>
  <c r="L351"/>
  <c r="L350"/>
  <c r="L349"/>
  <c r="L348"/>
  <c r="L347"/>
  <c r="L346"/>
  <c r="L345"/>
  <c r="L344"/>
  <c r="L343"/>
  <c r="L342"/>
  <c r="L341"/>
  <c r="L340"/>
  <c r="L339"/>
  <c r="L338"/>
  <c r="I351"/>
  <c r="I350"/>
  <c r="I349"/>
  <c r="I348"/>
  <c r="I347"/>
  <c r="I346"/>
  <c r="I345"/>
  <c r="I344"/>
  <c r="I343"/>
  <c r="I342"/>
  <c r="I341"/>
  <c r="I340"/>
  <c r="I339"/>
  <c r="I338"/>
  <c r="F351"/>
  <c r="F350"/>
  <c r="F349"/>
  <c r="F348"/>
  <c r="F347"/>
  <c r="F346"/>
  <c r="F345"/>
  <c r="F344"/>
  <c r="F343"/>
  <c r="F342"/>
  <c r="F341"/>
  <c r="F340"/>
  <c r="F339"/>
  <c r="F338"/>
  <c r="C351"/>
  <c r="C350"/>
  <c r="C349"/>
  <c r="C348"/>
  <c r="C347"/>
  <c r="C346"/>
  <c r="C345"/>
  <c r="C344"/>
  <c r="C343"/>
  <c r="C342"/>
  <c r="C341"/>
  <c r="C340"/>
  <c r="C339"/>
  <c r="C338"/>
  <c r="AG351"/>
  <c r="AG350"/>
  <c r="AG349"/>
  <c r="AG348"/>
  <c r="AG347"/>
  <c r="AG346"/>
  <c r="AG345"/>
  <c r="AG344"/>
  <c r="AG343"/>
  <c r="AG342"/>
  <c r="AG341"/>
  <c r="AG340"/>
  <c r="AG339"/>
  <c r="AG338"/>
  <c r="AD351"/>
  <c r="AD350"/>
  <c r="AD349"/>
  <c r="AD348"/>
  <c r="AD347"/>
  <c r="AD346"/>
  <c r="AD345"/>
  <c r="AD344"/>
  <c r="AD343"/>
  <c r="AD342"/>
  <c r="AD341"/>
  <c r="AD340"/>
  <c r="AD339"/>
  <c r="AD338"/>
  <c r="AA351"/>
  <c r="B22" i="23" s="1"/>
  <c r="AA350" i="8"/>
  <c r="B15" i="23" s="1"/>
  <c r="AA349" i="8"/>
  <c r="B23" i="23" s="1"/>
  <c r="AA348" i="8"/>
  <c r="B24" i="23" s="1"/>
  <c r="AA347" i="8"/>
  <c r="B25" i="23" s="1"/>
  <c r="AA346" i="8"/>
  <c r="B26" i="23" s="1"/>
  <c r="AA345" i="8"/>
  <c r="B27" i="23" s="1"/>
  <c r="AA344" i="8"/>
  <c r="B16" i="23" s="1"/>
  <c r="AA343" i="8"/>
  <c r="B14" i="23" s="1"/>
  <c r="AA342" i="8"/>
  <c r="B21" i="23" s="1"/>
  <c r="AA341" i="8"/>
  <c r="B18" i="23" s="1"/>
  <c r="AA340" i="8"/>
  <c r="B20" i="23" s="1"/>
  <c r="AA339" i="8"/>
  <c r="B17" i="23" s="1"/>
  <c r="AA338" i="8"/>
  <c r="B19" i="23" s="1"/>
  <c r="AR163" i="8"/>
  <c r="AO163"/>
  <c r="AL163"/>
  <c r="AI163"/>
  <c r="AF163"/>
  <c r="AR142"/>
  <c r="AO142"/>
  <c r="AL142"/>
  <c r="AI142"/>
  <c r="AF142"/>
  <c r="G140" i="3"/>
  <c r="L140"/>
  <c r="M140"/>
  <c r="N140"/>
  <c r="Q140"/>
  <c r="H88" i="8" l="1"/>
  <c r="H99" s="1"/>
  <c r="I88"/>
  <c r="I99" s="1"/>
  <c r="K140" i="3"/>
  <c r="I140"/>
  <c r="S140"/>
  <c r="P140"/>
  <c r="F140"/>
  <c r="J140"/>
  <c r="H140"/>
  <c r="R140"/>
  <c r="O140"/>
  <c r="X350" i="8"/>
  <c r="X348"/>
  <c r="X346"/>
  <c r="X344"/>
  <c r="X342"/>
  <c r="X340"/>
  <c r="Y353"/>
  <c r="E12" i="23" s="1"/>
  <c r="I12" s="1"/>
  <c r="X351" i="8"/>
  <c r="X349"/>
  <c r="X347"/>
  <c r="X345"/>
  <c r="X343"/>
  <c r="X341"/>
  <c r="X338"/>
  <c r="E140" i="3"/>
  <c r="D30" i="1"/>
  <c r="D31"/>
  <c r="D32"/>
  <c r="D33"/>
  <c r="D34"/>
  <c r="D35"/>
  <c r="D36"/>
  <c r="D37"/>
  <c r="D38"/>
  <c r="D39"/>
  <c r="D40"/>
  <c r="D41"/>
  <c r="D42"/>
  <c r="D29"/>
  <c r="G209" i="3"/>
  <c r="L209"/>
  <c r="M209"/>
  <c r="N209"/>
  <c r="Q209"/>
  <c r="T209"/>
  <c r="C30" i="1"/>
  <c r="C31"/>
  <c r="C32"/>
  <c r="C33"/>
  <c r="C34"/>
  <c r="C35"/>
  <c r="C36"/>
  <c r="C37"/>
  <c r="C38"/>
  <c r="C39"/>
  <c r="C40"/>
  <c r="C41"/>
  <c r="C42"/>
  <c r="C29"/>
  <c r="G186" i="3"/>
  <c r="L186"/>
  <c r="M186"/>
  <c r="N186"/>
  <c r="Q186"/>
  <c r="T186"/>
  <c r="G163"/>
  <c r="L163"/>
  <c r="M163"/>
  <c r="N163"/>
  <c r="Q163"/>
  <c r="T163"/>
  <c r="J88" i="8" l="1"/>
  <c r="E186" i="3"/>
  <c r="F209"/>
  <c r="J209"/>
  <c r="H209"/>
  <c r="R209"/>
  <c r="O209"/>
  <c r="E42" i="1"/>
  <c r="E41"/>
  <c r="E40"/>
  <c r="E39"/>
  <c r="E38"/>
  <c r="E37"/>
  <c r="E36"/>
  <c r="E35"/>
  <c r="E34"/>
  <c r="E33"/>
  <c r="E32"/>
  <c r="E31"/>
  <c r="E30"/>
  <c r="E209" i="3"/>
  <c r="K209"/>
  <c r="I209"/>
  <c r="S209"/>
  <c r="P209"/>
  <c r="E29" i="1"/>
  <c r="E163" i="3"/>
  <c r="H163"/>
  <c r="K163"/>
  <c r="R163"/>
  <c r="I163"/>
  <c r="F163"/>
  <c r="J163"/>
  <c r="O163"/>
  <c r="S163"/>
  <c r="P163"/>
  <c r="F186"/>
  <c r="J186"/>
  <c r="H186"/>
  <c r="O186"/>
  <c r="R186"/>
  <c r="K186"/>
  <c r="I186"/>
  <c r="P186"/>
  <c r="S186"/>
  <c r="J99" i="8" l="1"/>
  <c r="L99"/>
  <c r="F81"/>
  <c r="D81"/>
  <c r="D20" l="1"/>
  <c r="D8"/>
  <c r="D7"/>
  <c r="D11"/>
  <c r="D9"/>
  <c r="D48"/>
  <c r="D65"/>
  <c r="E48"/>
  <c r="E65"/>
  <c r="F48"/>
  <c r="F65"/>
  <c r="G48"/>
  <c r="G65"/>
  <c r="H48"/>
  <c r="H65"/>
  <c r="I48"/>
  <c r="I65"/>
  <c r="J48"/>
  <c r="D47"/>
  <c r="D64"/>
  <c r="E47"/>
  <c r="E64"/>
  <c r="F47"/>
  <c r="F64"/>
  <c r="G47"/>
  <c r="G64"/>
  <c r="H47"/>
  <c r="H64"/>
  <c r="I47"/>
  <c r="I64"/>
  <c r="J47"/>
  <c r="D49"/>
  <c r="D66"/>
  <c r="E49"/>
  <c r="E66"/>
  <c r="F49"/>
  <c r="F66"/>
  <c r="G49"/>
  <c r="G66"/>
  <c r="H49"/>
  <c r="H66"/>
  <c r="I49"/>
  <c r="I66"/>
  <c r="J49"/>
  <c r="D45"/>
  <c r="D62"/>
  <c r="E45"/>
  <c r="E62"/>
  <c r="F45"/>
  <c r="F62"/>
  <c r="G45"/>
  <c r="G62"/>
  <c r="H45"/>
  <c r="H62"/>
  <c r="I45"/>
  <c r="I62"/>
  <c r="J45"/>
  <c r="D46"/>
  <c r="D63"/>
  <c r="E46"/>
  <c r="E63"/>
  <c r="F46"/>
  <c r="F63"/>
  <c r="G46"/>
  <c r="G63"/>
  <c r="H46"/>
  <c r="H63"/>
  <c r="I46"/>
  <c r="I63"/>
  <c r="J46"/>
  <c r="D58"/>
  <c r="D75"/>
  <c r="E58"/>
  <c r="E75"/>
  <c r="F58"/>
  <c r="F75"/>
  <c r="G58"/>
  <c r="G75"/>
  <c r="H58"/>
  <c r="H75"/>
  <c r="I58"/>
  <c r="I75"/>
  <c r="J58"/>
  <c r="D59"/>
  <c r="D76"/>
  <c r="E59"/>
  <c r="E76"/>
  <c r="F59"/>
  <c r="F76"/>
  <c r="G59"/>
  <c r="G76"/>
  <c r="H59"/>
  <c r="H76"/>
  <c r="I59"/>
  <c r="I76"/>
  <c r="J59"/>
  <c r="D57"/>
  <c r="D74"/>
  <c r="E57"/>
  <c r="E74"/>
  <c r="F57"/>
  <c r="F74"/>
  <c r="G57"/>
  <c r="G74"/>
  <c r="H57"/>
  <c r="H74"/>
  <c r="I57"/>
  <c r="I74"/>
  <c r="J57"/>
  <c r="D55"/>
  <c r="D72"/>
  <c r="E55"/>
  <c r="E72"/>
  <c r="F55"/>
  <c r="F72"/>
  <c r="G55"/>
  <c r="G72"/>
  <c r="H55"/>
  <c r="H72"/>
  <c r="I55"/>
  <c r="I72"/>
  <c r="J55"/>
  <c r="D51"/>
  <c r="D68"/>
  <c r="E51"/>
  <c r="E68"/>
  <c r="F51"/>
  <c r="F68"/>
  <c r="G51"/>
  <c r="G68"/>
  <c r="H51"/>
  <c r="H68"/>
  <c r="I51"/>
  <c r="I68"/>
  <c r="J51"/>
  <c r="D52"/>
  <c r="D69"/>
  <c r="E52"/>
  <c r="E69"/>
  <c r="F52"/>
  <c r="F69"/>
  <c r="G52"/>
  <c r="G69"/>
  <c r="H52"/>
  <c r="H69"/>
  <c r="I52"/>
  <c r="I69"/>
  <c r="J52"/>
  <c r="D53"/>
  <c r="D70"/>
  <c r="E53"/>
  <c r="E70"/>
  <c r="F53"/>
  <c r="F70"/>
  <c r="G53"/>
  <c r="G70"/>
  <c r="H53"/>
  <c r="H70"/>
  <c r="I53"/>
  <c r="I70"/>
  <c r="J53"/>
  <c r="D54"/>
  <c r="D71"/>
  <c r="E54"/>
  <c r="E71"/>
  <c r="F54"/>
  <c r="F71"/>
  <c r="G54"/>
  <c r="G71"/>
  <c r="H54"/>
  <c r="H71"/>
  <c r="I54"/>
  <c r="I71"/>
  <c r="J54"/>
  <c r="C147"/>
  <c r="H126"/>
  <c r="G126"/>
  <c r="D27"/>
  <c r="E27"/>
  <c r="F27"/>
  <c r="G27"/>
  <c r="H27"/>
  <c r="I27"/>
  <c r="D26"/>
  <c r="E9"/>
  <c r="E26"/>
  <c r="F9"/>
  <c r="F26"/>
  <c r="G9"/>
  <c r="G26"/>
  <c r="H9"/>
  <c r="H26"/>
  <c r="I9"/>
  <c r="I26"/>
  <c r="J9"/>
  <c r="D28"/>
  <c r="E11"/>
  <c r="E28"/>
  <c r="F11"/>
  <c r="F28"/>
  <c r="G11"/>
  <c r="G28"/>
  <c r="H11"/>
  <c r="H28"/>
  <c r="I11"/>
  <c r="I28"/>
  <c r="J11"/>
  <c r="D24"/>
  <c r="E7"/>
  <c r="E24"/>
  <c r="F7"/>
  <c r="F24"/>
  <c r="G7"/>
  <c r="G24"/>
  <c r="H7"/>
  <c r="H24"/>
  <c r="I7"/>
  <c r="I24"/>
  <c r="J7"/>
  <c r="D25"/>
  <c r="E8"/>
  <c r="E25"/>
  <c r="F8"/>
  <c r="F25"/>
  <c r="G8"/>
  <c r="G25"/>
  <c r="H8"/>
  <c r="H25"/>
  <c r="I8"/>
  <c r="I25"/>
  <c r="J8"/>
  <c r="D37"/>
  <c r="E20"/>
  <c r="E37"/>
  <c r="F20"/>
  <c r="F37"/>
  <c r="G20"/>
  <c r="G37"/>
  <c r="H20"/>
  <c r="H37"/>
  <c r="I20"/>
  <c r="I37"/>
  <c r="J20"/>
  <c r="D21"/>
  <c r="D38"/>
  <c r="E21"/>
  <c r="E38"/>
  <c r="F21"/>
  <c r="F38"/>
  <c r="G21"/>
  <c r="G38"/>
  <c r="H21"/>
  <c r="H38"/>
  <c r="I21"/>
  <c r="I38"/>
  <c r="J21"/>
  <c r="D19"/>
  <c r="D36"/>
  <c r="E19"/>
  <c r="E36"/>
  <c r="F19"/>
  <c r="F36"/>
  <c r="G19"/>
  <c r="G36"/>
  <c r="H19"/>
  <c r="H36"/>
  <c r="I19"/>
  <c r="I36"/>
  <c r="J19"/>
  <c r="D17"/>
  <c r="D34"/>
  <c r="E17"/>
  <c r="E34"/>
  <c r="F17"/>
  <c r="F34"/>
  <c r="G17"/>
  <c r="G34"/>
  <c r="H17"/>
  <c r="H34"/>
  <c r="I17"/>
  <c r="I34"/>
  <c r="J17"/>
  <c r="D13"/>
  <c r="D30"/>
  <c r="E13"/>
  <c r="E30"/>
  <c r="F13"/>
  <c r="F30"/>
  <c r="G13"/>
  <c r="G30"/>
  <c r="H13"/>
  <c r="H30"/>
  <c r="I13"/>
  <c r="I30"/>
  <c r="J13"/>
  <c r="D14"/>
  <c r="D31"/>
  <c r="E14"/>
  <c r="E31"/>
  <c r="F14"/>
  <c r="F31"/>
  <c r="G14"/>
  <c r="G31"/>
  <c r="H14"/>
  <c r="H31"/>
  <c r="I14"/>
  <c r="I31"/>
  <c r="J14"/>
  <c r="D15"/>
  <c r="D32"/>
  <c r="E15"/>
  <c r="E32"/>
  <c r="F15"/>
  <c r="F32"/>
  <c r="G15"/>
  <c r="G32"/>
  <c r="H15"/>
  <c r="H32"/>
  <c r="I15"/>
  <c r="I32"/>
  <c r="J15"/>
  <c r="D16"/>
  <c r="D33"/>
  <c r="E16"/>
  <c r="E33"/>
  <c r="F16"/>
  <c r="F33"/>
  <c r="G16"/>
  <c r="G33"/>
  <c r="H16"/>
  <c r="H33"/>
  <c r="I16"/>
  <c r="I33"/>
  <c r="J16"/>
  <c r="Q402"/>
  <c r="P402"/>
  <c r="O402"/>
  <c r="N402"/>
  <c r="M402"/>
  <c r="L402"/>
  <c r="K402"/>
  <c r="J402"/>
  <c r="I402"/>
  <c r="H402"/>
  <c r="G402"/>
  <c r="F402"/>
  <c r="E402"/>
  <c r="Q563"/>
  <c r="P563"/>
  <c r="O563"/>
  <c r="N563"/>
  <c r="M563"/>
  <c r="L563"/>
  <c r="K563"/>
  <c r="J563"/>
  <c r="I563"/>
  <c r="H563"/>
  <c r="G563"/>
  <c r="F563"/>
  <c r="E563"/>
  <c r="D563"/>
  <c r="Q540"/>
  <c r="O540"/>
  <c r="M540"/>
  <c r="K540"/>
  <c r="I540"/>
  <c r="H540"/>
  <c r="G540"/>
  <c r="F540"/>
  <c r="E540"/>
  <c r="D540"/>
  <c r="K517"/>
  <c r="I517"/>
  <c r="G517"/>
  <c r="E517"/>
  <c r="Q494"/>
  <c r="P494"/>
  <c r="O494"/>
  <c r="N494"/>
  <c r="M494"/>
  <c r="L494"/>
  <c r="K494"/>
  <c r="J494"/>
  <c r="I494"/>
  <c r="H494"/>
  <c r="G494"/>
  <c r="F494"/>
  <c r="E494"/>
  <c r="D494"/>
  <c r="I471"/>
  <c r="D431"/>
  <c r="E431"/>
  <c r="F431"/>
  <c r="G431"/>
  <c r="H431"/>
  <c r="I431"/>
  <c r="J431"/>
  <c r="K431"/>
  <c r="L431"/>
  <c r="M431"/>
  <c r="N431"/>
  <c r="O431"/>
  <c r="C399"/>
  <c r="AC163" l="1"/>
  <c r="D49" i="26"/>
  <c r="D48"/>
  <c r="D47"/>
  <c r="D46"/>
  <c r="D45"/>
  <c r="D44"/>
  <c r="D43"/>
  <c r="D42"/>
  <c r="D41"/>
  <c r="D39"/>
  <c r="D37"/>
  <c r="E48"/>
  <c r="E47"/>
  <c r="E46"/>
  <c r="E45"/>
  <c r="E44"/>
  <c r="E43"/>
  <c r="E42"/>
  <c r="E41"/>
  <c r="E40"/>
  <c r="E39"/>
  <c r="E38"/>
  <c r="E37"/>
  <c r="E36"/>
  <c r="J33" i="8"/>
  <c r="D24" i="26"/>
  <c r="J32" i="8"/>
  <c r="D23" i="26"/>
  <c r="J31" i="8"/>
  <c r="D22" i="26"/>
  <c r="J30" i="8"/>
  <c r="D21" i="26"/>
  <c r="J34" i="8"/>
  <c r="D20" i="26"/>
  <c r="J36" i="8"/>
  <c r="D19" i="26"/>
  <c r="J38" i="8"/>
  <c r="D17" i="26"/>
  <c r="J37" i="8"/>
  <c r="D16" i="26"/>
  <c r="J24" i="8"/>
  <c r="D14" i="26"/>
  <c r="J26" i="8"/>
  <c r="D12" i="26"/>
  <c r="K27" i="8"/>
  <c r="D36" i="26"/>
  <c r="J71" i="8"/>
  <c r="E24" i="26"/>
  <c r="J70" i="8"/>
  <c r="E23" i="26"/>
  <c r="J69" i="8"/>
  <c r="E22" i="26"/>
  <c r="J68" i="8"/>
  <c r="E21" i="26"/>
  <c r="J72" i="8"/>
  <c r="E20" i="26"/>
  <c r="J74" i="8"/>
  <c r="E19" i="26"/>
  <c r="J76" i="8"/>
  <c r="E17" i="26"/>
  <c r="J75" i="8"/>
  <c r="E16" i="26"/>
  <c r="J63" i="8"/>
  <c r="E15" i="26"/>
  <c r="J62" i="8"/>
  <c r="E14" i="26"/>
  <c r="J66" i="8"/>
  <c r="E13" i="26"/>
  <c r="J64" i="8"/>
  <c r="E12" i="26"/>
  <c r="J65" i="8"/>
  <c r="E11" i="26"/>
  <c r="D18"/>
  <c r="D40"/>
  <c r="D38"/>
  <c r="E18"/>
  <c r="J25" i="8"/>
  <c r="D15" i="26"/>
  <c r="J28" i="8"/>
  <c r="D13" i="26"/>
  <c r="J27" i="8"/>
  <c r="D11" i="26"/>
  <c r="K71" i="8"/>
  <c r="E49" i="26"/>
  <c r="Q471" i="8"/>
  <c r="J35"/>
  <c r="Y143"/>
  <c r="J29" s="1"/>
  <c r="J41" s="1"/>
  <c r="I18"/>
  <c r="U143"/>
  <c r="I12" s="1"/>
  <c r="I40" s="1"/>
  <c r="H35"/>
  <c r="S143"/>
  <c r="H29" s="1"/>
  <c r="H41" s="1"/>
  <c r="G18"/>
  <c r="O143"/>
  <c r="G12" s="1"/>
  <c r="G40" s="1"/>
  <c r="F35"/>
  <c r="M143"/>
  <c r="F29" s="1"/>
  <c r="F41" s="1"/>
  <c r="E18"/>
  <c r="I143"/>
  <c r="E12" s="1"/>
  <c r="E40" s="1"/>
  <c r="D35"/>
  <c r="G143"/>
  <c r="D29" s="1"/>
  <c r="D41" s="1"/>
  <c r="J73"/>
  <c r="Y164"/>
  <c r="J67" s="1"/>
  <c r="J79" s="1"/>
  <c r="I56"/>
  <c r="U164"/>
  <c r="I50" s="1"/>
  <c r="I78" s="1"/>
  <c r="H73"/>
  <c r="S164"/>
  <c r="H67" s="1"/>
  <c r="H79" s="1"/>
  <c r="G56"/>
  <c r="O164"/>
  <c r="G50" s="1"/>
  <c r="G78" s="1"/>
  <c r="F73"/>
  <c r="M164"/>
  <c r="F67" s="1"/>
  <c r="E56"/>
  <c r="I164"/>
  <c r="E50" s="1"/>
  <c r="E78" s="1"/>
  <c r="D73"/>
  <c r="G164"/>
  <c r="D67" s="1"/>
  <c r="D79" s="1"/>
  <c r="AC143"/>
  <c r="W143"/>
  <c r="Q143"/>
  <c r="K143"/>
  <c r="AC164"/>
  <c r="W164"/>
  <c r="Q164"/>
  <c r="K164"/>
  <c r="AA164"/>
  <c r="K50" s="1"/>
  <c r="K78" s="1"/>
  <c r="J18"/>
  <c r="X143"/>
  <c r="J12" s="1"/>
  <c r="J40" s="1"/>
  <c r="I35"/>
  <c r="V143"/>
  <c r="I29" s="1"/>
  <c r="I41" s="1"/>
  <c r="H18"/>
  <c r="R143"/>
  <c r="H12" s="1"/>
  <c r="H40" s="1"/>
  <c r="G35"/>
  <c r="P143"/>
  <c r="G29" s="1"/>
  <c r="F18"/>
  <c r="L143"/>
  <c r="F12" s="1"/>
  <c r="F40" s="1"/>
  <c r="E35"/>
  <c r="J143"/>
  <c r="E29" s="1"/>
  <c r="E41" s="1"/>
  <c r="D18"/>
  <c r="F143"/>
  <c r="D12" s="1"/>
  <c r="D40" s="1"/>
  <c r="J56"/>
  <c r="X164"/>
  <c r="J50" s="1"/>
  <c r="J78" s="1"/>
  <c r="I73"/>
  <c r="V164"/>
  <c r="I67" s="1"/>
  <c r="I79" s="1"/>
  <c r="H56"/>
  <c r="R164"/>
  <c r="H50" s="1"/>
  <c r="H78" s="1"/>
  <c r="G73"/>
  <c r="P164"/>
  <c r="G67" s="1"/>
  <c r="G79" s="1"/>
  <c r="F56"/>
  <c r="L164"/>
  <c r="F50" s="1"/>
  <c r="F78" s="1"/>
  <c r="E73"/>
  <c r="J164"/>
  <c r="E67" s="1"/>
  <c r="E79" s="1"/>
  <c r="D56"/>
  <c r="F164"/>
  <c r="D50" s="1"/>
  <c r="D78" s="1"/>
  <c r="AB143"/>
  <c r="K29" s="1"/>
  <c r="Z143"/>
  <c r="T143"/>
  <c r="N143"/>
  <c r="AA143"/>
  <c r="K12" s="1"/>
  <c r="AB164"/>
  <c r="K67" s="1"/>
  <c r="K79" s="1"/>
  <c r="Z164"/>
  <c r="T164"/>
  <c r="N164"/>
  <c r="H164"/>
  <c r="M471"/>
  <c r="E471"/>
  <c r="H21" i="17"/>
  <c r="K54" i="8"/>
  <c r="H20" i="17"/>
  <c r="K53" i="8"/>
  <c r="H19" i="17"/>
  <c r="K52" i="8"/>
  <c r="H18" i="17"/>
  <c r="K51" i="8"/>
  <c r="H17" i="17"/>
  <c r="K55" i="8"/>
  <c r="H16" i="17"/>
  <c r="K57" i="8"/>
  <c r="H15" i="17"/>
  <c r="K56" i="8"/>
  <c r="H14" i="17"/>
  <c r="K59" i="8"/>
  <c r="H13" i="17"/>
  <c r="K58" i="8"/>
  <c r="H12" i="17"/>
  <c r="K46" i="8"/>
  <c r="H11" i="17"/>
  <c r="K45" i="8"/>
  <c r="H10" i="17"/>
  <c r="K49" i="8"/>
  <c r="H9" i="17"/>
  <c r="K47" i="8"/>
  <c r="H8" i="17"/>
  <c r="K48" i="8"/>
  <c r="I21" i="17"/>
  <c r="J21" s="1"/>
  <c r="I20"/>
  <c r="K70" i="8"/>
  <c r="I19" i="17"/>
  <c r="K69" i="8"/>
  <c r="I18" i="17"/>
  <c r="K68" i="8"/>
  <c r="I17" i="17"/>
  <c r="K72" i="8"/>
  <c r="I16" i="17"/>
  <c r="K74" i="8"/>
  <c r="I15" i="17"/>
  <c r="K73" i="8"/>
  <c r="I14" i="17"/>
  <c r="K76" i="8"/>
  <c r="I13" i="17"/>
  <c r="K75" i="8"/>
  <c r="I12" i="17"/>
  <c r="K63" i="8"/>
  <c r="I11" i="17"/>
  <c r="K62" i="8"/>
  <c r="I10" i="17"/>
  <c r="K66" i="8"/>
  <c r="I9" i="17"/>
  <c r="K64" i="8"/>
  <c r="I8" i="17"/>
  <c r="K65" i="8"/>
  <c r="D21" i="17"/>
  <c r="K33" i="8"/>
  <c r="D20" i="17"/>
  <c r="K32" i="8"/>
  <c r="D19" i="17"/>
  <c r="K31" i="8"/>
  <c r="D18" i="17"/>
  <c r="K30" i="8"/>
  <c r="D17" i="17"/>
  <c r="K34" i="8"/>
  <c r="D16" i="17"/>
  <c r="K36" i="8"/>
  <c r="D15" i="17"/>
  <c r="K35" i="8"/>
  <c r="D14" i="17"/>
  <c r="K38" i="8"/>
  <c r="D13" i="17"/>
  <c r="K37" i="8"/>
  <c r="D11" i="17"/>
  <c r="K24" i="8"/>
  <c r="D9" i="17"/>
  <c r="K26" i="8"/>
  <c r="D12" i="17"/>
  <c r="K25" i="8"/>
  <c r="D10" i="17"/>
  <c r="K28" i="8"/>
  <c r="I10"/>
  <c r="F10"/>
  <c r="D10"/>
  <c r="J10"/>
  <c r="H10"/>
  <c r="E10"/>
  <c r="C12" i="17"/>
  <c r="K8" i="8"/>
  <c r="C10" i="17"/>
  <c r="E10" s="1"/>
  <c r="K11" i="8"/>
  <c r="C21" i="17"/>
  <c r="E21" s="1"/>
  <c r="K16" i="8"/>
  <c r="C20" i="17"/>
  <c r="E20" s="1"/>
  <c r="K15" i="8"/>
  <c r="C19" i="17"/>
  <c r="E19" s="1"/>
  <c r="K14" i="8"/>
  <c r="C18" i="17"/>
  <c r="E18" s="1"/>
  <c r="K13" i="8"/>
  <c r="C17" i="17"/>
  <c r="E17" s="1"/>
  <c r="K17" i="8"/>
  <c r="C16" i="17"/>
  <c r="E16" s="1"/>
  <c r="K19" i="8"/>
  <c r="C15" i="17"/>
  <c r="E15" s="1"/>
  <c r="K18" i="8"/>
  <c r="C14" i="17"/>
  <c r="E14" s="1"/>
  <c r="K21" i="8"/>
  <c r="C13" i="17"/>
  <c r="E13" s="1"/>
  <c r="K20" i="8"/>
  <c r="C11" i="17"/>
  <c r="E11" s="1"/>
  <c r="K7" i="8"/>
  <c r="C9" i="17"/>
  <c r="E9" s="1"/>
  <c r="K9" i="8"/>
  <c r="C8" i="17"/>
  <c r="K10" i="8"/>
  <c r="D8" i="17"/>
  <c r="E8" s="1"/>
  <c r="H143" i="8"/>
  <c r="E12" i="17"/>
  <c r="O471" i="8"/>
  <c r="K471"/>
  <c r="G471"/>
  <c r="R147"/>
  <c r="Z142"/>
  <c r="T142"/>
  <c r="N142"/>
  <c r="H142"/>
  <c r="W163"/>
  <c r="Q163"/>
  <c r="K163"/>
  <c r="AC142"/>
  <c r="W142"/>
  <c r="Q142"/>
  <c r="K142"/>
  <c r="Z163"/>
  <c r="T163"/>
  <c r="N163"/>
  <c r="H163"/>
  <c r="H448"/>
  <c r="J448"/>
  <c r="F448"/>
  <c r="L147"/>
  <c r="F147"/>
  <c r="O147"/>
  <c r="I147"/>
  <c r="C401"/>
  <c r="C400"/>
  <c r="C398"/>
  <c r="C585"/>
  <c r="D402"/>
  <c r="E408"/>
  <c r="G408"/>
  <c r="I408"/>
  <c r="K408"/>
  <c r="M408"/>
  <c r="O408"/>
  <c r="Q408"/>
  <c r="D408"/>
  <c r="F408"/>
  <c r="H408"/>
  <c r="J408"/>
  <c r="L408"/>
  <c r="N408"/>
  <c r="P408"/>
  <c r="C561"/>
  <c r="C562"/>
  <c r="C569"/>
  <c r="E569"/>
  <c r="G569"/>
  <c r="I569"/>
  <c r="K569"/>
  <c r="M569"/>
  <c r="O569"/>
  <c r="Q569"/>
  <c r="C421"/>
  <c r="C538"/>
  <c r="C539"/>
  <c r="C546"/>
  <c r="E546"/>
  <c r="G546"/>
  <c r="I546"/>
  <c r="K546"/>
  <c r="M546"/>
  <c r="O546"/>
  <c r="Q546"/>
  <c r="C584"/>
  <c r="C582"/>
  <c r="C516"/>
  <c r="C523"/>
  <c r="E523"/>
  <c r="G523"/>
  <c r="I523"/>
  <c r="K523"/>
  <c r="M523"/>
  <c r="O523"/>
  <c r="Q523"/>
  <c r="D569"/>
  <c r="F569"/>
  <c r="H569"/>
  <c r="J569"/>
  <c r="L569"/>
  <c r="N569"/>
  <c r="P569"/>
  <c r="C492"/>
  <c r="C493"/>
  <c r="C500"/>
  <c r="E500"/>
  <c r="G500"/>
  <c r="I500"/>
  <c r="K500"/>
  <c r="M500"/>
  <c r="O500"/>
  <c r="Q500"/>
  <c r="D517"/>
  <c r="F517"/>
  <c r="H517"/>
  <c r="J517"/>
  <c r="L517"/>
  <c r="N517"/>
  <c r="P517"/>
  <c r="J540"/>
  <c r="L540"/>
  <c r="N540"/>
  <c r="P540"/>
  <c r="D546"/>
  <c r="C583" s="1"/>
  <c r="F546"/>
  <c r="H546"/>
  <c r="J546"/>
  <c r="L546"/>
  <c r="N546"/>
  <c r="P546"/>
  <c r="C470"/>
  <c r="M517"/>
  <c r="O517"/>
  <c r="Q517"/>
  <c r="C515"/>
  <c r="D523"/>
  <c r="F523"/>
  <c r="H523"/>
  <c r="J523"/>
  <c r="L523"/>
  <c r="N523"/>
  <c r="P523"/>
  <c r="D500"/>
  <c r="C537" s="1"/>
  <c r="F500"/>
  <c r="H500"/>
  <c r="J500"/>
  <c r="L500"/>
  <c r="N500"/>
  <c r="P500"/>
  <c r="L448"/>
  <c r="N448"/>
  <c r="P448"/>
  <c r="C469"/>
  <c r="D477"/>
  <c r="F477"/>
  <c r="H477"/>
  <c r="J477"/>
  <c r="L477"/>
  <c r="N477"/>
  <c r="P477"/>
  <c r="O425"/>
  <c r="D471"/>
  <c r="F471"/>
  <c r="H471"/>
  <c r="J471"/>
  <c r="L471"/>
  <c r="N471"/>
  <c r="P471"/>
  <c r="C477"/>
  <c r="E477"/>
  <c r="G477"/>
  <c r="I477"/>
  <c r="K477"/>
  <c r="M477"/>
  <c r="O477"/>
  <c r="Q477"/>
  <c r="G425"/>
  <c r="K425"/>
  <c r="C422"/>
  <c r="P431"/>
  <c r="C447"/>
  <c r="C424"/>
  <c r="E448"/>
  <c r="G448"/>
  <c r="I448"/>
  <c r="K448"/>
  <c r="M448"/>
  <c r="O448"/>
  <c r="Q448"/>
  <c r="C446"/>
  <c r="D448"/>
  <c r="E454"/>
  <c r="G454"/>
  <c r="I454"/>
  <c r="K454"/>
  <c r="M454"/>
  <c r="O454"/>
  <c r="Q454"/>
  <c r="M425"/>
  <c r="I425"/>
  <c r="C423"/>
  <c r="P425"/>
  <c r="N425"/>
  <c r="L425"/>
  <c r="J425"/>
  <c r="H425"/>
  <c r="F425"/>
  <c r="C444" s="1"/>
  <c r="Q425"/>
  <c r="C431"/>
  <c r="E425"/>
  <c r="Q431"/>
  <c r="D425"/>
  <c r="G41" l="1"/>
  <c r="F79"/>
  <c r="K41"/>
  <c r="L41"/>
  <c r="L40"/>
  <c r="L79"/>
  <c r="L78"/>
  <c r="K40"/>
  <c r="J13" i="17"/>
  <c r="J19"/>
  <c r="J8"/>
  <c r="J17"/>
  <c r="J9"/>
  <c r="J10"/>
  <c r="J11"/>
  <c r="J12"/>
  <c r="J14"/>
  <c r="J15"/>
  <c r="J16"/>
  <c r="J18"/>
  <c r="J20"/>
  <c r="E23"/>
  <c r="E24"/>
  <c r="C402" i="8"/>
  <c r="C560"/>
  <c r="N454"/>
  <c r="J454"/>
  <c r="F454"/>
  <c r="C559"/>
  <c r="C536"/>
  <c r="C586"/>
  <c r="C425"/>
  <c r="J24" i="17" l="1"/>
  <c r="M40" i="8"/>
  <c r="M78"/>
  <c r="J23" i="17"/>
  <c r="U147" i="8"/>
  <c r="C563"/>
  <c r="C540"/>
  <c r="D454"/>
  <c r="H454"/>
  <c r="P454"/>
  <c r="L454"/>
  <c r="H9" i="10"/>
  <c r="M9" i="6" l="1"/>
  <c r="H30" i="10"/>
  <c r="X147" i="8"/>
  <c r="C454"/>
  <c r="AA147" l="1"/>
  <c r="AD147" l="1"/>
  <c r="AG147" l="1"/>
  <c r="B413" i="10"/>
  <c r="B385"/>
  <c r="B357"/>
  <c r="B329"/>
  <c r="B301"/>
  <c r="B273"/>
  <c r="B245"/>
  <c r="B217"/>
  <c r="B189"/>
  <c r="B161"/>
  <c r="B133"/>
  <c r="B105"/>
  <c r="L437"/>
  <c r="K437"/>
  <c r="J437"/>
  <c r="I437"/>
  <c r="H437"/>
  <c r="F437"/>
  <c r="D437"/>
  <c r="L422"/>
  <c r="K422"/>
  <c r="J422"/>
  <c r="I422"/>
  <c r="H422"/>
  <c r="F422"/>
  <c r="J78" i="1" s="1"/>
  <c r="D422" i="10"/>
  <c r="H78" i="1" s="1"/>
  <c r="L417" i="10"/>
  <c r="K417"/>
  <c r="J417"/>
  <c r="I417"/>
  <c r="H417"/>
  <c r="G417"/>
  <c r="E417"/>
  <c r="C417"/>
  <c r="L409"/>
  <c r="K409"/>
  <c r="J409"/>
  <c r="I409"/>
  <c r="H409"/>
  <c r="L394"/>
  <c r="K394"/>
  <c r="J394"/>
  <c r="I394"/>
  <c r="H394"/>
  <c r="L389"/>
  <c r="K389"/>
  <c r="J389"/>
  <c r="I389"/>
  <c r="H389"/>
  <c r="L381"/>
  <c r="K381"/>
  <c r="J381"/>
  <c r="I381"/>
  <c r="H381"/>
  <c r="L366"/>
  <c r="K366"/>
  <c r="J366"/>
  <c r="I366"/>
  <c r="H366"/>
  <c r="L361"/>
  <c r="K361"/>
  <c r="J361"/>
  <c r="I361"/>
  <c r="H361"/>
  <c r="L353"/>
  <c r="K353"/>
  <c r="J353"/>
  <c r="I353"/>
  <c r="H353"/>
  <c r="L338"/>
  <c r="K338"/>
  <c r="J338"/>
  <c r="I338"/>
  <c r="H338"/>
  <c r="L333"/>
  <c r="K333"/>
  <c r="J333"/>
  <c r="I333"/>
  <c r="H333"/>
  <c r="L325"/>
  <c r="K325"/>
  <c r="J325"/>
  <c r="I325"/>
  <c r="H325"/>
  <c r="L310"/>
  <c r="K310"/>
  <c r="J310"/>
  <c r="I310"/>
  <c r="H310"/>
  <c r="L305"/>
  <c r="K305"/>
  <c r="K312" s="1"/>
  <c r="J305"/>
  <c r="I305"/>
  <c r="I312" s="1"/>
  <c r="H305"/>
  <c r="F305"/>
  <c r="D305"/>
  <c r="L297"/>
  <c r="K297"/>
  <c r="J297"/>
  <c r="I297"/>
  <c r="H297"/>
  <c r="G297"/>
  <c r="E297"/>
  <c r="C297"/>
  <c r="L282"/>
  <c r="K282"/>
  <c r="J282"/>
  <c r="I282"/>
  <c r="H282"/>
  <c r="G282"/>
  <c r="K73" i="1" s="1"/>
  <c r="E282" i="10"/>
  <c r="I73" i="1" s="1"/>
  <c r="C282" i="10"/>
  <c r="L277"/>
  <c r="L284" s="1"/>
  <c r="K277"/>
  <c r="K284" s="1"/>
  <c r="J277"/>
  <c r="J284" s="1"/>
  <c r="I277"/>
  <c r="I284" s="1"/>
  <c r="H277"/>
  <c r="H284" s="1"/>
  <c r="F277"/>
  <c r="D277"/>
  <c r="L269"/>
  <c r="K269"/>
  <c r="J269"/>
  <c r="I269"/>
  <c r="H269"/>
  <c r="G269"/>
  <c r="E269"/>
  <c r="C269"/>
  <c r="L254"/>
  <c r="K254"/>
  <c r="J254"/>
  <c r="I254"/>
  <c r="H254"/>
  <c r="G254"/>
  <c r="K72" i="1" s="1"/>
  <c r="E254" i="10"/>
  <c r="I72" i="1" s="1"/>
  <c r="C254" i="10"/>
  <c r="L249"/>
  <c r="L256" s="1"/>
  <c r="K249"/>
  <c r="K256" s="1"/>
  <c r="J249"/>
  <c r="J256" s="1"/>
  <c r="I249"/>
  <c r="I256" s="1"/>
  <c r="H249"/>
  <c r="H256" s="1"/>
  <c r="F249"/>
  <c r="D249"/>
  <c r="L241"/>
  <c r="K241"/>
  <c r="J241"/>
  <c r="I241"/>
  <c r="H241"/>
  <c r="G241"/>
  <c r="E241"/>
  <c r="C241"/>
  <c r="L226"/>
  <c r="K226"/>
  <c r="J226"/>
  <c r="I226"/>
  <c r="H226"/>
  <c r="G226"/>
  <c r="K71" i="1" s="1"/>
  <c r="E226" i="10"/>
  <c r="I71" i="1" s="1"/>
  <c r="C226" i="10"/>
  <c r="L221"/>
  <c r="L228" s="1"/>
  <c r="K221"/>
  <c r="K228" s="1"/>
  <c r="J221"/>
  <c r="J228" s="1"/>
  <c r="I221"/>
  <c r="I228" s="1"/>
  <c r="H221"/>
  <c r="H228" s="1"/>
  <c r="F221"/>
  <c r="D221"/>
  <c r="L213"/>
  <c r="K213"/>
  <c r="J213"/>
  <c r="I213"/>
  <c r="H213"/>
  <c r="G213"/>
  <c r="E213"/>
  <c r="C213"/>
  <c r="L198"/>
  <c r="K198"/>
  <c r="J198"/>
  <c r="I198"/>
  <c r="H198"/>
  <c r="G198"/>
  <c r="K70" i="1" s="1"/>
  <c r="E198" i="10"/>
  <c r="I70" i="1" s="1"/>
  <c r="C198" i="10"/>
  <c r="L193"/>
  <c r="L200" s="1"/>
  <c r="K193"/>
  <c r="K200" s="1"/>
  <c r="J193"/>
  <c r="J200" s="1"/>
  <c r="I193"/>
  <c r="I200" s="1"/>
  <c r="H193"/>
  <c r="H200" s="1"/>
  <c r="F193"/>
  <c r="D193"/>
  <c r="L185"/>
  <c r="K185"/>
  <c r="J185"/>
  <c r="I185"/>
  <c r="H185"/>
  <c r="F185"/>
  <c r="D185"/>
  <c r="G185"/>
  <c r="E185"/>
  <c r="C185"/>
  <c r="L170"/>
  <c r="K170"/>
  <c r="J170"/>
  <c r="I170"/>
  <c r="H170"/>
  <c r="L165"/>
  <c r="L172" s="1"/>
  <c r="K165"/>
  <c r="J165"/>
  <c r="J172" s="1"/>
  <c r="I165"/>
  <c r="H165"/>
  <c r="H172" s="1"/>
  <c r="F165"/>
  <c r="D165"/>
  <c r="L157"/>
  <c r="K157"/>
  <c r="J157"/>
  <c r="I157"/>
  <c r="H157"/>
  <c r="G157"/>
  <c r="E157"/>
  <c r="C157"/>
  <c r="L142"/>
  <c r="K142"/>
  <c r="J142"/>
  <c r="I142"/>
  <c r="H142"/>
  <c r="G142"/>
  <c r="K68" i="1" s="1"/>
  <c r="E142" i="10"/>
  <c r="I68" i="1" s="1"/>
  <c r="C142" i="10"/>
  <c r="L137"/>
  <c r="L144" s="1"/>
  <c r="K137"/>
  <c r="K144" s="1"/>
  <c r="J137"/>
  <c r="J144" s="1"/>
  <c r="I137"/>
  <c r="I144" s="1"/>
  <c r="H137"/>
  <c r="H144" s="1"/>
  <c r="F137"/>
  <c r="D137"/>
  <c r="L129"/>
  <c r="K129"/>
  <c r="J129"/>
  <c r="I129"/>
  <c r="H129"/>
  <c r="G129"/>
  <c r="E129"/>
  <c r="C129"/>
  <c r="L114"/>
  <c r="K114"/>
  <c r="J114"/>
  <c r="I114"/>
  <c r="H114"/>
  <c r="G114"/>
  <c r="K67" i="1" s="1"/>
  <c r="E114" i="10"/>
  <c r="I67" i="1" s="1"/>
  <c r="C114" i="10"/>
  <c r="L109"/>
  <c r="L116" s="1"/>
  <c r="K109"/>
  <c r="K116" s="1"/>
  <c r="J109"/>
  <c r="J116" s="1"/>
  <c r="I109"/>
  <c r="I116" s="1"/>
  <c r="H109"/>
  <c r="H116" s="1"/>
  <c r="F109"/>
  <c r="D109"/>
  <c r="L101"/>
  <c r="K101"/>
  <c r="J101"/>
  <c r="I101"/>
  <c r="H101"/>
  <c r="G101"/>
  <c r="E101"/>
  <c r="C101"/>
  <c r="L86"/>
  <c r="K86"/>
  <c r="J86"/>
  <c r="I86"/>
  <c r="H86"/>
  <c r="G86"/>
  <c r="K66" i="1" s="1"/>
  <c r="C86" i="10"/>
  <c r="L81"/>
  <c r="L88" s="1"/>
  <c r="K81"/>
  <c r="K88" s="1"/>
  <c r="J81"/>
  <c r="J88" s="1"/>
  <c r="I81"/>
  <c r="I88" s="1"/>
  <c r="H81"/>
  <c r="H88" s="1"/>
  <c r="F81"/>
  <c r="D81"/>
  <c r="H53"/>
  <c r="J53"/>
  <c r="L53"/>
  <c r="I53"/>
  <c r="K53"/>
  <c r="H58"/>
  <c r="J58"/>
  <c r="L58"/>
  <c r="I58"/>
  <c r="K58"/>
  <c r="H73"/>
  <c r="J73"/>
  <c r="L73"/>
  <c r="I73"/>
  <c r="K73"/>
  <c r="F79" i="1"/>
  <c r="E79"/>
  <c r="D79"/>
  <c r="C79"/>
  <c r="C60"/>
  <c r="C57"/>
  <c r="C55"/>
  <c r="C53"/>
  <c r="C51"/>
  <c r="C49"/>
  <c r="F47"/>
  <c r="F49"/>
  <c r="F51"/>
  <c r="F53"/>
  <c r="F55"/>
  <c r="F57"/>
  <c r="F59"/>
  <c r="E47"/>
  <c r="E49"/>
  <c r="E51"/>
  <c r="E53"/>
  <c r="E55"/>
  <c r="E57"/>
  <c r="E59"/>
  <c r="C163" i="3"/>
  <c r="F30" i="1"/>
  <c r="F31"/>
  <c r="F32"/>
  <c r="F33"/>
  <c r="F34"/>
  <c r="F35"/>
  <c r="F36"/>
  <c r="F37"/>
  <c r="F38"/>
  <c r="F39"/>
  <c r="F40"/>
  <c r="F41"/>
  <c r="F42"/>
  <c r="F29"/>
  <c r="G30"/>
  <c r="G31"/>
  <c r="G32"/>
  <c r="G33"/>
  <c r="G34"/>
  <c r="G35"/>
  <c r="G36"/>
  <c r="G37"/>
  <c r="G38"/>
  <c r="G39"/>
  <c r="G40"/>
  <c r="G41"/>
  <c r="G42"/>
  <c r="G29"/>
  <c r="C186" i="3"/>
  <c r="D60" i="1"/>
  <c r="D59"/>
  <c r="D58"/>
  <c r="D57"/>
  <c r="D56"/>
  <c r="D55"/>
  <c r="D54"/>
  <c r="D53"/>
  <c r="D52"/>
  <c r="D51"/>
  <c r="D50"/>
  <c r="D49"/>
  <c r="D48"/>
  <c r="D47"/>
  <c r="E60"/>
  <c r="E58"/>
  <c r="E56"/>
  <c r="E54"/>
  <c r="E52"/>
  <c r="E50"/>
  <c r="E48"/>
  <c r="C140" i="3"/>
  <c r="F60" i="1"/>
  <c r="F58"/>
  <c r="F56"/>
  <c r="F54"/>
  <c r="F52"/>
  <c r="F50"/>
  <c r="F48"/>
  <c r="I368" i="10" l="1"/>
  <c r="K368"/>
  <c r="H89"/>
  <c r="H90"/>
  <c r="J89"/>
  <c r="J90"/>
  <c r="L89"/>
  <c r="L90"/>
  <c r="H117"/>
  <c r="H118"/>
  <c r="J117"/>
  <c r="J118"/>
  <c r="L117"/>
  <c r="L118"/>
  <c r="I145"/>
  <c r="I146"/>
  <c r="K145"/>
  <c r="K146"/>
  <c r="H173"/>
  <c r="H174"/>
  <c r="J173"/>
  <c r="J174"/>
  <c r="L173"/>
  <c r="L174"/>
  <c r="H201"/>
  <c r="H202"/>
  <c r="J201"/>
  <c r="J202"/>
  <c r="L201"/>
  <c r="L202"/>
  <c r="I229"/>
  <c r="I230"/>
  <c r="K229"/>
  <c r="K230"/>
  <c r="H257"/>
  <c r="H258"/>
  <c r="J257"/>
  <c r="J258"/>
  <c r="L257"/>
  <c r="L258"/>
  <c r="I285"/>
  <c r="I286"/>
  <c r="K285"/>
  <c r="K286"/>
  <c r="I89"/>
  <c r="I90"/>
  <c r="K89"/>
  <c r="K90"/>
  <c r="I117"/>
  <c r="I118"/>
  <c r="K117"/>
  <c r="K118"/>
  <c r="H145"/>
  <c r="H146"/>
  <c r="J145"/>
  <c r="J146"/>
  <c r="L145"/>
  <c r="L146"/>
  <c r="I201"/>
  <c r="I202"/>
  <c r="K201"/>
  <c r="K202"/>
  <c r="H229"/>
  <c r="H230"/>
  <c r="J229"/>
  <c r="J230"/>
  <c r="L229"/>
  <c r="L230"/>
  <c r="I257"/>
  <c r="I258"/>
  <c r="K257"/>
  <c r="K258"/>
  <c r="H285"/>
  <c r="H286"/>
  <c r="J285"/>
  <c r="J286"/>
  <c r="L285"/>
  <c r="L286"/>
  <c r="I313"/>
  <c r="I314"/>
  <c r="K313"/>
  <c r="K314"/>
  <c r="I369"/>
  <c r="I370"/>
  <c r="K369"/>
  <c r="K370"/>
  <c r="E86"/>
  <c r="I66" i="1" s="1"/>
  <c r="G67"/>
  <c r="G66"/>
  <c r="G68"/>
  <c r="G71"/>
  <c r="G73"/>
  <c r="G70"/>
  <c r="G72"/>
  <c r="H424" i="10"/>
  <c r="J424"/>
  <c r="L424"/>
  <c r="I340"/>
  <c r="K340"/>
  <c r="K42" i="1"/>
  <c r="K38"/>
  <c r="K29"/>
  <c r="K41"/>
  <c r="K39"/>
  <c r="K37"/>
  <c r="K35"/>
  <c r="K33"/>
  <c r="K31"/>
  <c r="K40"/>
  <c r="K36"/>
  <c r="K34"/>
  <c r="K32"/>
  <c r="K30"/>
  <c r="I396" i="10"/>
  <c r="K396"/>
  <c r="H29" i="1"/>
  <c r="H41"/>
  <c r="H39"/>
  <c r="H37"/>
  <c r="H35"/>
  <c r="H33"/>
  <c r="H31"/>
  <c r="H42"/>
  <c r="H40"/>
  <c r="H38"/>
  <c r="H36"/>
  <c r="H34"/>
  <c r="H32"/>
  <c r="H30"/>
  <c r="AJ147" i="8"/>
  <c r="T140" i="3"/>
  <c r="I29" i="1"/>
  <c r="I41"/>
  <c r="I39"/>
  <c r="I37"/>
  <c r="I35"/>
  <c r="I33"/>
  <c r="I31"/>
  <c r="I42"/>
  <c r="I40"/>
  <c r="I38"/>
  <c r="I36"/>
  <c r="I34"/>
  <c r="I32"/>
  <c r="I30"/>
  <c r="D61"/>
  <c r="D186" i="3"/>
  <c r="E61" i="1"/>
  <c r="C58"/>
  <c r="C56"/>
  <c r="C54"/>
  <c r="C52"/>
  <c r="C50"/>
  <c r="C48"/>
  <c r="E73" i="10"/>
  <c r="J42" i="1"/>
  <c r="J40"/>
  <c r="J38"/>
  <c r="J36"/>
  <c r="J34"/>
  <c r="J32"/>
  <c r="J30"/>
  <c r="J29"/>
  <c r="J41"/>
  <c r="J39"/>
  <c r="J37"/>
  <c r="J35"/>
  <c r="J33"/>
  <c r="J31"/>
  <c r="F61"/>
  <c r="C209" i="3"/>
  <c r="I9" i="10"/>
  <c r="I424"/>
  <c r="K424"/>
  <c r="G58"/>
  <c r="K65" i="1" s="1"/>
  <c r="J10" s="1"/>
  <c r="E58" i="10"/>
  <c r="I65" i="1" s="1"/>
  <c r="E53" i="10"/>
  <c r="E60" s="1"/>
  <c r="E62" s="1"/>
  <c r="J31" s="1"/>
  <c r="O10" i="6" s="1"/>
  <c r="F58" i="10"/>
  <c r="J65" i="1" s="1"/>
  <c r="D58" i="10"/>
  <c r="H65" i="1" s="1"/>
  <c r="H312" i="10"/>
  <c r="J312"/>
  <c r="L312"/>
  <c r="H340"/>
  <c r="J340"/>
  <c r="L340"/>
  <c r="H368"/>
  <c r="J368"/>
  <c r="L368"/>
  <c r="H396"/>
  <c r="J396"/>
  <c r="L396"/>
  <c r="G53"/>
  <c r="G73"/>
  <c r="C310"/>
  <c r="E310"/>
  <c r="I74" i="1" s="1"/>
  <c r="G310" i="10"/>
  <c r="K74" i="1" s="1"/>
  <c r="C325" i="10"/>
  <c r="E325"/>
  <c r="G325"/>
  <c r="D333"/>
  <c r="F333"/>
  <c r="C338"/>
  <c r="E338"/>
  <c r="I75" i="1" s="1"/>
  <c r="G338" i="10"/>
  <c r="K75" i="1" s="1"/>
  <c r="C353" i="10"/>
  <c r="E353"/>
  <c r="G353"/>
  <c r="D361"/>
  <c r="F361"/>
  <c r="C366"/>
  <c r="E366"/>
  <c r="I76" i="1" s="1"/>
  <c r="G366" i="10"/>
  <c r="K76" i="1" s="1"/>
  <c r="C381" i="10"/>
  <c r="E381"/>
  <c r="G381"/>
  <c r="D389"/>
  <c r="F389"/>
  <c r="C394"/>
  <c r="E394"/>
  <c r="I77" i="1" s="1"/>
  <c r="G394" i="10"/>
  <c r="K77" i="1" s="1"/>
  <c r="C409" i="10"/>
  <c r="E409"/>
  <c r="G409"/>
  <c r="C422"/>
  <c r="E422"/>
  <c r="G422"/>
  <c r="C437"/>
  <c r="E437"/>
  <c r="G437"/>
  <c r="C53"/>
  <c r="F53"/>
  <c r="F60" s="1"/>
  <c r="F62" s="1"/>
  <c r="K31" s="1"/>
  <c r="D53"/>
  <c r="C58"/>
  <c r="C73"/>
  <c r="D417"/>
  <c r="F73"/>
  <c r="D73"/>
  <c r="I172"/>
  <c r="K172"/>
  <c r="F417"/>
  <c r="C81"/>
  <c r="E81"/>
  <c r="G81"/>
  <c r="D86"/>
  <c r="H66" i="1" s="1"/>
  <c r="F86" i="10"/>
  <c r="J66" i="1" s="1"/>
  <c r="E11" s="1"/>
  <c r="D101" i="10"/>
  <c r="F101"/>
  <c r="C109"/>
  <c r="E109"/>
  <c r="G109"/>
  <c r="D114"/>
  <c r="E33" s="1"/>
  <c r="F114"/>
  <c r="D129"/>
  <c r="F129"/>
  <c r="C137"/>
  <c r="E137"/>
  <c r="G137"/>
  <c r="D142"/>
  <c r="H68" i="1" s="1"/>
  <c r="F142" i="10"/>
  <c r="D157"/>
  <c r="F157"/>
  <c r="C165"/>
  <c r="E165"/>
  <c r="G165"/>
  <c r="D170"/>
  <c r="H69" i="1" s="1"/>
  <c r="F170" i="10"/>
  <c r="J69" i="1" s="1"/>
  <c r="C170" i="10"/>
  <c r="E170"/>
  <c r="I69" i="1" s="1"/>
  <c r="G170" i="10"/>
  <c r="K69" i="1" s="1"/>
  <c r="J14" s="1"/>
  <c r="C193" i="10"/>
  <c r="E193"/>
  <c r="G193"/>
  <c r="D198"/>
  <c r="H70" i="1" s="1"/>
  <c r="F198" i="10"/>
  <c r="J70" i="1" s="1"/>
  <c r="E15" s="1"/>
  <c r="D213" i="10"/>
  <c r="F213"/>
  <c r="C221"/>
  <c r="E221"/>
  <c r="G221"/>
  <c r="D226"/>
  <c r="H71" i="1" s="1"/>
  <c r="F226" i="10"/>
  <c r="D241"/>
  <c r="F241"/>
  <c r="C249"/>
  <c r="E249"/>
  <c r="G249"/>
  <c r="D254"/>
  <c r="H72" i="1" s="1"/>
  <c r="F254" i="10"/>
  <c r="J72" i="1" s="1"/>
  <c r="E17" s="1"/>
  <c r="D269" i="10"/>
  <c r="F269"/>
  <c r="C277"/>
  <c r="E277"/>
  <c r="G277"/>
  <c r="D282"/>
  <c r="H73" i="1" s="1"/>
  <c r="F282" i="10"/>
  <c r="D297"/>
  <c r="F297"/>
  <c r="C305"/>
  <c r="E305"/>
  <c r="G305"/>
  <c r="D310"/>
  <c r="H74" i="1" s="1"/>
  <c r="F310" i="10"/>
  <c r="J74" i="1" s="1"/>
  <c r="E19" s="1"/>
  <c r="D325" i="10"/>
  <c r="F325"/>
  <c r="C333"/>
  <c r="E333"/>
  <c r="G333"/>
  <c r="D338"/>
  <c r="H75" i="1" s="1"/>
  <c r="F338" i="10"/>
  <c r="J75" i="1" s="1"/>
  <c r="E20" s="1"/>
  <c r="D353" i="10"/>
  <c r="F353"/>
  <c r="C361"/>
  <c r="E361"/>
  <c r="G361"/>
  <c r="D366"/>
  <c r="H76" i="1" s="1"/>
  <c r="F366" i="10"/>
  <c r="J76" i="1" s="1"/>
  <c r="E21" s="1"/>
  <c r="D381" i="10"/>
  <c r="F381"/>
  <c r="C389"/>
  <c r="E389"/>
  <c r="G389"/>
  <c r="D394"/>
  <c r="H77" i="1" s="1"/>
  <c r="F394" i="10"/>
  <c r="J77" i="1" s="1"/>
  <c r="E22" s="1"/>
  <c r="D409" i="10"/>
  <c r="F409"/>
  <c r="D88"/>
  <c r="F88"/>
  <c r="D144"/>
  <c r="D172"/>
  <c r="F172"/>
  <c r="D200"/>
  <c r="F200"/>
  <c r="D256"/>
  <c r="F256"/>
  <c r="D312"/>
  <c r="F312"/>
  <c r="I60"/>
  <c r="J60"/>
  <c r="K60"/>
  <c r="L60"/>
  <c r="H60"/>
  <c r="C43" i="1"/>
  <c r="C44" s="1"/>
  <c r="E43"/>
  <c r="E44" s="1"/>
  <c r="G43"/>
  <c r="I43"/>
  <c r="K43"/>
  <c r="D43"/>
  <c r="D44" s="1"/>
  <c r="F43"/>
  <c r="F44" s="1"/>
  <c r="H43"/>
  <c r="J43"/>
  <c r="H23"/>
  <c r="C22"/>
  <c r="H21"/>
  <c r="C20"/>
  <c r="H19"/>
  <c r="C18"/>
  <c r="H17"/>
  <c r="C16"/>
  <c r="H15"/>
  <c r="C14"/>
  <c r="H13"/>
  <c r="C12"/>
  <c r="H11"/>
  <c r="C23"/>
  <c r="H22"/>
  <c r="C21"/>
  <c r="H20"/>
  <c r="C19"/>
  <c r="H18"/>
  <c r="C17"/>
  <c r="H16"/>
  <c r="C15"/>
  <c r="H14"/>
  <c r="C13"/>
  <c r="H12"/>
  <c r="C11"/>
  <c r="C10"/>
  <c r="H10"/>
  <c r="C59"/>
  <c r="D62"/>
  <c r="D163" i="3"/>
  <c r="E62" i="1" s="1"/>
  <c r="D140" i="3"/>
  <c r="G60" i="1"/>
  <c r="G59"/>
  <c r="G58"/>
  <c r="G57"/>
  <c r="G56"/>
  <c r="G55"/>
  <c r="G54"/>
  <c r="G53"/>
  <c r="G52"/>
  <c r="G51"/>
  <c r="G50"/>
  <c r="G49"/>
  <c r="G48"/>
  <c r="G47"/>
  <c r="H60"/>
  <c r="H59"/>
  <c r="H58"/>
  <c r="H57"/>
  <c r="H56"/>
  <c r="H55"/>
  <c r="H54"/>
  <c r="H53"/>
  <c r="H52"/>
  <c r="H51"/>
  <c r="H50"/>
  <c r="H49"/>
  <c r="H48"/>
  <c r="H47"/>
  <c r="I60"/>
  <c r="I59"/>
  <c r="I58"/>
  <c r="I57"/>
  <c r="I56"/>
  <c r="I55"/>
  <c r="I54"/>
  <c r="I53"/>
  <c r="I52"/>
  <c r="I51"/>
  <c r="I50"/>
  <c r="I49"/>
  <c r="I48"/>
  <c r="I47"/>
  <c r="D11" i="3"/>
  <c r="K48" i="1" s="1"/>
  <c r="D12" i="3"/>
  <c r="K49" i="1" s="1"/>
  <c r="D13" i="3"/>
  <c r="K50" i="1" s="1"/>
  <c r="D14" i="3"/>
  <c r="K51" i="1" s="1"/>
  <c r="D15" i="3"/>
  <c r="K52" i="1" s="1"/>
  <c r="D16" i="3"/>
  <c r="K53" i="1" s="1"/>
  <c r="D17" i="3"/>
  <c r="K54" i="1" s="1"/>
  <c r="D18" i="3"/>
  <c r="K55" i="1" s="1"/>
  <c r="D19" i="3"/>
  <c r="K56" i="1" s="1"/>
  <c r="D20" i="3"/>
  <c r="K57" i="1" s="1"/>
  <c r="D21" i="3"/>
  <c r="K58" i="1" s="1"/>
  <c r="D22" i="3"/>
  <c r="K59" i="1" s="1"/>
  <c r="D23" i="3"/>
  <c r="K60" i="1" s="1"/>
  <c r="D10" i="3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T71"/>
  <c r="S71"/>
  <c r="R71"/>
  <c r="Q71"/>
  <c r="P71"/>
  <c r="O71"/>
  <c r="N71"/>
  <c r="M71"/>
  <c r="L71"/>
  <c r="K71"/>
  <c r="J71"/>
  <c r="I71"/>
  <c r="H71"/>
  <c r="G71"/>
  <c r="F71"/>
  <c r="E71"/>
  <c r="C71"/>
  <c r="T25"/>
  <c r="S25"/>
  <c r="R25"/>
  <c r="Q25"/>
  <c r="P25"/>
  <c r="O25"/>
  <c r="N25"/>
  <c r="M25"/>
  <c r="L25"/>
  <c r="K25"/>
  <c r="J25"/>
  <c r="I25"/>
  <c r="H25"/>
  <c r="G25"/>
  <c r="F25"/>
  <c r="E25"/>
  <c r="C25"/>
  <c r="J48" i="1"/>
  <c r="D11" s="1"/>
  <c r="J49"/>
  <c r="D12" s="1"/>
  <c r="J50"/>
  <c r="D13" s="1"/>
  <c r="J51"/>
  <c r="D14" s="1"/>
  <c r="J52"/>
  <c r="D15" s="1"/>
  <c r="J53"/>
  <c r="D16" s="1"/>
  <c r="J54"/>
  <c r="D17" s="1"/>
  <c r="J55"/>
  <c r="D18" s="1"/>
  <c r="J56"/>
  <c r="D19" s="1"/>
  <c r="J57"/>
  <c r="D20" s="1"/>
  <c r="J58"/>
  <c r="D21" s="1"/>
  <c r="J59"/>
  <c r="D22" s="1"/>
  <c r="J60"/>
  <c r="D23" s="1"/>
  <c r="J47"/>
  <c r="S48" i="3"/>
  <c r="R48"/>
  <c r="Q48"/>
  <c r="P48"/>
  <c r="O48"/>
  <c r="N48"/>
  <c r="M48"/>
  <c r="L48"/>
  <c r="K48"/>
  <c r="J48"/>
  <c r="I48"/>
  <c r="H48"/>
  <c r="G48"/>
  <c r="F48"/>
  <c r="E48"/>
  <c r="C48"/>
  <c r="T48"/>
  <c r="P10" i="6" l="1"/>
  <c r="G11" i="26"/>
  <c r="I23" i="1"/>
  <c r="I21"/>
  <c r="I19"/>
  <c r="I17"/>
  <c r="I15"/>
  <c r="I13"/>
  <c r="I11"/>
  <c r="I22"/>
  <c r="I20"/>
  <c r="I18"/>
  <c r="I16"/>
  <c r="I14"/>
  <c r="I12"/>
  <c r="I61" i="10"/>
  <c r="I62"/>
  <c r="L61"/>
  <c r="L62"/>
  <c r="J61"/>
  <c r="J62"/>
  <c r="I173"/>
  <c r="I174"/>
  <c r="J397"/>
  <c r="J398"/>
  <c r="L369"/>
  <c r="L370"/>
  <c r="H369"/>
  <c r="H370"/>
  <c r="J341"/>
  <c r="J342"/>
  <c r="L313"/>
  <c r="L314"/>
  <c r="H313"/>
  <c r="H314"/>
  <c r="K425"/>
  <c r="K426"/>
  <c r="K397"/>
  <c r="K398"/>
  <c r="K341"/>
  <c r="K342"/>
  <c r="L425"/>
  <c r="L426"/>
  <c r="H425"/>
  <c r="H426"/>
  <c r="H61"/>
  <c r="H62"/>
  <c r="K61"/>
  <c r="K62"/>
  <c r="K173"/>
  <c r="K174"/>
  <c r="L397"/>
  <c r="L398"/>
  <c r="H397"/>
  <c r="H398"/>
  <c r="J369"/>
  <c r="J370"/>
  <c r="L341"/>
  <c r="L342"/>
  <c r="H341"/>
  <c r="H342"/>
  <c r="J313"/>
  <c r="J314"/>
  <c r="I425"/>
  <c r="I426"/>
  <c r="I397"/>
  <c r="I398"/>
  <c r="I341"/>
  <c r="I342"/>
  <c r="J425"/>
  <c r="J426"/>
  <c r="F313"/>
  <c r="F314"/>
  <c r="K40" s="1"/>
  <c r="D313"/>
  <c r="D314"/>
  <c r="I40" s="1"/>
  <c r="N19" i="6" s="1"/>
  <c r="F257" i="10"/>
  <c r="F258"/>
  <c r="K38" s="1"/>
  <c r="D257"/>
  <c r="D258"/>
  <c r="I38" s="1"/>
  <c r="N17" i="6" s="1"/>
  <c r="F201" i="10"/>
  <c r="F202"/>
  <c r="K36" s="1"/>
  <c r="D201"/>
  <c r="D202"/>
  <c r="I36" s="1"/>
  <c r="N15" i="6" s="1"/>
  <c r="D173" i="10"/>
  <c r="D174"/>
  <c r="I35" s="1"/>
  <c r="N14" i="6" s="1"/>
  <c r="F173" i="10"/>
  <c r="F174"/>
  <c r="K35" s="1"/>
  <c r="D145"/>
  <c r="D146"/>
  <c r="I34" s="1"/>
  <c r="N13" i="6" s="1"/>
  <c r="D89" i="10"/>
  <c r="D90"/>
  <c r="I32" s="1"/>
  <c r="N11" i="6" s="1"/>
  <c r="F89" i="10"/>
  <c r="F90"/>
  <c r="K32" s="1"/>
  <c r="N9" i="6"/>
  <c r="I30" i="10"/>
  <c r="G69" i="1"/>
  <c r="E35" i="10"/>
  <c r="G65" i="1"/>
  <c r="E31" i="10"/>
  <c r="G77" i="1"/>
  <c r="E43" i="10"/>
  <c r="G76" i="1"/>
  <c r="E42" i="10"/>
  <c r="G75" i="1"/>
  <c r="E41" i="10"/>
  <c r="G74" i="1"/>
  <c r="E40" i="10"/>
  <c r="E44"/>
  <c r="E38"/>
  <c r="E36"/>
  <c r="E39"/>
  <c r="E37"/>
  <c r="E34"/>
  <c r="E32"/>
  <c r="G116"/>
  <c r="E116"/>
  <c r="G396"/>
  <c r="E368"/>
  <c r="G340"/>
  <c r="E312"/>
  <c r="G284"/>
  <c r="E256"/>
  <c r="G228"/>
  <c r="E200"/>
  <c r="G144"/>
  <c r="G88"/>
  <c r="D424"/>
  <c r="J17" i="1"/>
  <c r="J15"/>
  <c r="G368" i="10"/>
  <c r="G312"/>
  <c r="E284"/>
  <c r="G256"/>
  <c r="E228"/>
  <c r="G200"/>
  <c r="E144"/>
  <c r="E88"/>
  <c r="F424"/>
  <c r="E14" i="1"/>
  <c r="J22"/>
  <c r="J21"/>
  <c r="J20"/>
  <c r="J19"/>
  <c r="J11"/>
  <c r="C396" i="10"/>
  <c r="C398" s="1"/>
  <c r="H43" s="1"/>
  <c r="M22" i="6" s="1"/>
  <c r="E22" i="10"/>
  <c r="C340"/>
  <c r="E20"/>
  <c r="C284"/>
  <c r="C286" s="1"/>
  <c r="H39" s="1"/>
  <c r="M18" i="6" s="1"/>
  <c r="E18" i="10"/>
  <c r="C228"/>
  <c r="C230" s="1"/>
  <c r="H37" s="1"/>
  <c r="M16" i="6" s="1"/>
  <c r="E16" i="10"/>
  <c r="C144"/>
  <c r="C146" s="1"/>
  <c r="H34" s="1"/>
  <c r="M13" i="6" s="1"/>
  <c r="E13" i="10"/>
  <c r="C88"/>
  <c r="C90" s="1"/>
  <c r="H32" s="1"/>
  <c r="M11" i="6" s="1"/>
  <c r="E11" i="10"/>
  <c r="E61"/>
  <c r="E23"/>
  <c r="F61"/>
  <c r="C368"/>
  <c r="C370" s="1"/>
  <c r="H42" s="1"/>
  <c r="M21" i="6" s="1"/>
  <c r="E21" i="10"/>
  <c r="C312"/>
  <c r="C314" s="1"/>
  <c r="H40" s="1"/>
  <c r="M19" i="6" s="1"/>
  <c r="E19" i="10"/>
  <c r="C256"/>
  <c r="C258" s="1"/>
  <c r="H38" s="1"/>
  <c r="M17" i="6" s="1"/>
  <c r="E17" i="10"/>
  <c r="C200"/>
  <c r="C202" s="1"/>
  <c r="H36" s="1"/>
  <c r="M15" i="6" s="1"/>
  <c r="E15" i="10"/>
  <c r="C116"/>
  <c r="C118" s="1"/>
  <c r="H33" s="1"/>
  <c r="M12" i="6" s="1"/>
  <c r="E12" i="10"/>
  <c r="E14"/>
  <c r="D396"/>
  <c r="E10"/>
  <c r="D340"/>
  <c r="C445" i="8"/>
  <c r="C448" s="1"/>
  <c r="G60" i="10"/>
  <c r="G62" s="1"/>
  <c r="L31" s="1"/>
  <c r="D116"/>
  <c r="H67" i="1"/>
  <c r="H79" s="1"/>
  <c r="F116" i="10"/>
  <c r="J67" i="1"/>
  <c r="D368" i="10"/>
  <c r="C513" i="8"/>
  <c r="C514"/>
  <c r="AM147"/>
  <c r="AP147"/>
  <c r="C490"/>
  <c r="C491"/>
  <c r="D209" i="3"/>
  <c r="C47" i="1"/>
  <c r="G61"/>
  <c r="G62" s="1"/>
  <c r="C61"/>
  <c r="G424" i="10"/>
  <c r="K78" i="1"/>
  <c r="J23" s="1"/>
  <c r="E424" i="10"/>
  <c r="I78" i="1"/>
  <c r="E23" s="1"/>
  <c r="C424" i="10"/>
  <c r="C426" s="1"/>
  <c r="H44" s="1"/>
  <c r="M23" i="6" s="1"/>
  <c r="G78" i="1"/>
  <c r="G79" s="1"/>
  <c r="K19" i="10"/>
  <c r="I19"/>
  <c r="F284"/>
  <c r="J73" i="1"/>
  <c r="D284" i="10"/>
  <c r="K17"/>
  <c r="I17"/>
  <c r="F228"/>
  <c r="J71" i="1"/>
  <c r="D228" i="10"/>
  <c r="K15"/>
  <c r="I15"/>
  <c r="K14"/>
  <c r="I79" i="1"/>
  <c r="I14" i="10"/>
  <c r="K79" i="1"/>
  <c r="F144" i="10"/>
  <c r="J68" i="1"/>
  <c r="I13" i="10"/>
  <c r="I11"/>
  <c r="K11"/>
  <c r="K10"/>
  <c r="J10"/>
  <c r="E10" i="1"/>
  <c r="I61"/>
  <c r="J61"/>
  <c r="G44"/>
  <c r="K44"/>
  <c r="D25" i="3"/>
  <c r="K47" i="1"/>
  <c r="J44"/>
  <c r="D10"/>
  <c r="D71" i="3"/>
  <c r="I44" i="1"/>
  <c r="H44"/>
  <c r="H61"/>
  <c r="H62" s="1"/>
  <c r="F62"/>
  <c r="J9" i="10"/>
  <c r="C60"/>
  <c r="F396"/>
  <c r="F368"/>
  <c r="F340"/>
  <c r="D60"/>
  <c r="D62" s="1"/>
  <c r="I31" s="1"/>
  <c r="N10" i="6" s="1"/>
  <c r="C341" i="10"/>
  <c r="C369"/>
  <c r="F11"/>
  <c r="E396"/>
  <c r="E340"/>
  <c r="D23"/>
  <c r="G23" s="1"/>
  <c r="C313"/>
  <c r="F19"/>
  <c r="F18"/>
  <c r="C257"/>
  <c r="D17"/>
  <c r="G17" s="1"/>
  <c r="F17"/>
  <c r="C229"/>
  <c r="D16"/>
  <c r="G16" s="1"/>
  <c r="F16"/>
  <c r="C201"/>
  <c r="D15"/>
  <c r="G15" s="1"/>
  <c r="F15"/>
  <c r="C145"/>
  <c r="F13"/>
  <c r="D13"/>
  <c r="G13" s="1"/>
  <c r="C117"/>
  <c r="D12"/>
  <c r="G12" s="1"/>
  <c r="F12"/>
  <c r="C89"/>
  <c r="D11"/>
  <c r="G11" s="1"/>
  <c r="E172"/>
  <c r="G172"/>
  <c r="C172"/>
  <c r="C174" s="1"/>
  <c r="H35" s="1"/>
  <c r="M14" i="6" s="1"/>
  <c r="C62" i="1"/>
  <c r="C425" i="10" l="1"/>
  <c r="C397"/>
  <c r="H22" s="1"/>
  <c r="D19"/>
  <c r="G19" s="1"/>
  <c r="C285"/>
  <c r="Q10" i="6"/>
  <c r="G36" i="26"/>
  <c r="G12"/>
  <c r="P11" i="6"/>
  <c r="P14"/>
  <c r="G15" i="26"/>
  <c r="G16"/>
  <c r="P15" i="6"/>
  <c r="G18" i="26"/>
  <c r="P17" i="6"/>
  <c r="G20" i="26"/>
  <c r="P19" i="6"/>
  <c r="C342" i="10"/>
  <c r="H41" s="1"/>
  <c r="M20" i="6" s="1"/>
  <c r="D117" i="10"/>
  <c r="I12" s="1"/>
  <c r="D118"/>
  <c r="I33" s="1"/>
  <c r="N12" i="6" s="1"/>
  <c r="E117" i="10"/>
  <c r="J12" s="1"/>
  <c r="E118"/>
  <c r="J33" s="1"/>
  <c r="O12" i="6" s="1"/>
  <c r="F117" i="10"/>
  <c r="F118"/>
  <c r="K33" s="1"/>
  <c r="G117"/>
  <c r="L12" s="1"/>
  <c r="G118"/>
  <c r="L33" s="1"/>
  <c r="E425"/>
  <c r="J23" s="1"/>
  <c r="E426"/>
  <c r="J44" s="1"/>
  <c r="O23" i="6" s="1"/>
  <c r="G425" i="10"/>
  <c r="L23" s="1"/>
  <c r="G426"/>
  <c r="L44" s="1"/>
  <c r="F425"/>
  <c r="K23" s="1"/>
  <c r="F426"/>
  <c r="K44" s="1"/>
  <c r="D425"/>
  <c r="I23" s="1"/>
  <c r="D426"/>
  <c r="I44" s="1"/>
  <c r="N23" i="6" s="1"/>
  <c r="F397" i="10"/>
  <c r="K22" s="1"/>
  <c r="F398"/>
  <c r="K43" s="1"/>
  <c r="D397"/>
  <c r="I22" s="1"/>
  <c r="D398"/>
  <c r="I43" s="1"/>
  <c r="N22" i="6" s="1"/>
  <c r="G397" i="10"/>
  <c r="L22" s="1"/>
  <c r="G398"/>
  <c r="L43" s="1"/>
  <c r="E397"/>
  <c r="E398"/>
  <c r="J43" s="1"/>
  <c r="O22" i="6" s="1"/>
  <c r="D369" i="10"/>
  <c r="I21" s="1"/>
  <c r="D370"/>
  <c r="I42" s="1"/>
  <c r="N21" i="6" s="1"/>
  <c r="F369" i="10"/>
  <c r="F370"/>
  <c r="K42" s="1"/>
  <c r="G369"/>
  <c r="L21" s="1"/>
  <c r="G370"/>
  <c r="L42" s="1"/>
  <c r="E369"/>
  <c r="J21" s="1"/>
  <c r="E370"/>
  <c r="J42" s="1"/>
  <c r="O21" i="6" s="1"/>
  <c r="E341" i="10"/>
  <c r="J20" s="1"/>
  <c r="E342"/>
  <c r="J41" s="1"/>
  <c r="O20" i="6" s="1"/>
  <c r="F341" i="10"/>
  <c r="K20" s="1"/>
  <c r="F342"/>
  <c r="K41" s="1"/>
  <c r="G341"/>
  <c r="L20" s="1"/>
  <c r="G342"/>
  <c r="L41" s="1"/>
  <c r="D341"/>
  <c r="I20" s="1"/>
  <c r="D342"/>
  <c r="I41" s="1"/>
  <c r="N20" i="6" s="1"/>
  <c r="G313" i="10"/>
  <c r="L19" s="1"/>
  <c r="G314"/>
  <c r="L40" s="1"/>
  <c r="E313"/>
  <c r="J19" s="1"/>
  <c r="E314"/>
  <c r="J40" s="1"/>
  <c r="O19" i="6" s="1"/>
  <c r="D285" i="10"/>
  <c r="I18" s="1"/>
  <c r="D286"/>
  <c r="I39" s="1"/>
  <c r="N18" i="6" s="1"/>
  <c r="F285" i="10"/>
  <c r="F286"/>
  <c r="K39" s="1"/>
  <c r="G285"/>
  <c r="L18" s="1"/>
  <c r="G286"/>
  <c r="L39" s="1"/>
  <c r="E285"/>
  <c r="J18" s="1"/>
  <c r="E286"/>
  <c r="J39" s="1"/>
  <c r="O18" i="6" s="1"/>
  <c r="G257" i="10"/>
  <c r="L17" s="1"/>
  <c r="G258"/>
  <c r="L38" s="1"/>
  <c r="E257"/>
  <c r="J17" s="1"/>
  <c r="E258"/>
  <c r="J38" s="1"/>
  <c r="O17" i="6" s="1"/>
  <c r="G229" i="10"/>
  <c r="L16" s="1"/>
  <c r="G230"/>
  <c r="L37" s="1"/>
  <c r="D229"/>
  <c r="I16" s="1"/>
  <c r="D230"/>
  <c r="I37" s="1"/>
  <c r="F229"/>
  <c r="F230"/>
  <c r="K37" s="1"/>
  <c r="E229"/>
  <c r="J16" s="1"/>
  <c r="E230"/>
  <c r="J37" s="1"/>
  <c r="O16" i="6" s="1"/>
  <c r="G201" i="10"/>
  <c r="L15" s="1"/>
  <c r="G202"/>
  <c r="L36" s="1"/>
  <c r="L45" s="1"/>
  <c r="Q24" i="6" s="1"/>
  <c r="E201" i="10"/>
  <c r="J15" s="1"/>
  <c r="E202"/>
  <c r="J36" s="1"/>
  <c r="O15" i="6" s="1"/>
  <c r="G173" i="10"/>
  <c r="G174"/>
  <c r="L35" s="1"/>
  <c r="E173"/>
  <c r="E174"/>
  <c r="J35" s="1"/>
  <c r="O14" i="6" s="1"/>
  <c r="G145" i="10"/>
  <c r="L13" s="1"/>
  <c r="G146"/>
  <c r="L34" s="1"/>
  <c r="F145"/>
  <c r="F146"/>
  <c r="K34" s="1"/>
  <c r="E145"/>
  <c r="J13" s="1"/>
  <c r="E146"/>
  <c r="J34" s="1"/>
  <c r="O13" i="6" s="1"/>
  <c r="C62" i="10"/>
  <c r="H31" s="1"/>
  <c r="M10" i="6" s="1"/>
  <c r="C61" i="10"/>
  <c r="G89"/>
  <c r="L11" s="1"/>
  <c r="G90"/>
  <c r="L32" s="1"/>
  <c r="E89"/>
  <c r="J11" s="1"/>
  <c r="E90"/>
  <c r="J32" s="1"/>
  <c r="O9" i="6"/>
  <c r="J30" i="10"/>
  <c r="F33"/>
  <c r="D33"/>
  <c r="G33" s="1"/>
  <c r="R12" i="6" s="1"/>
  <c r="F35" i="10"/>
  <c r="D35"/>
  <c r="G35" s="1"/>
  <c r="R14" i="6" s="1"/>
  <c r="F36" i="10"/>
  <c r="D36"/>
  <c r="G36" s="1"/>
  <c r="R15" i="6" s="1"/>
  <c r="F38" i="10"/>
  <c r="D38"/>
  <c r="G38" s="1"/>
  <c r="R17" i="6" s="1"/>
  <c r="F40" i="10"/>
  <c r="D40"/>
  <c r="G40" s="1"/>
  <c r="R19" i="6" s="1"/>
  <c r="F42" i="10"/>
  <c r="D42"/>
  <c r="G42" s="1"/>
  <c r="R21" i="6" s="1"/>
  <c r="F31" i="10"/>
  <c r="D31"/>
  <c r="G31" s="1"/>
  <c r="R10" i="6" s="1"/>
  <c r="F23" i="10"/>
  <c r="F44"/>
  <c r="D44"/>
  <c r="G44" s="1"/>
  <c r="R23" i="6" s="1"/>
  <c r="F32" i="10"/>
  <c r="D32"/>
  <c r="G32" s="1"/>
  <c r="R11" i="6" s="1"/>
  <c r="F34" i="10"/>
  <c r="D34"/>
  <c r="G34" s="1"/>
  <c r="R13" i="6" s="1"/>
  <c r="F37" i="10"/>
  <c r="D37"/>
  <c r="G37" s="1"/>
  <c r="R16" i="6" s="1"/>
  <c r="F39" i="10"/>
  <c r="D39"/>
  <c r="G39" s="1"/>
  <c r="R18" i="6" s="1"/>
  <c r="F41" i="10"/>
  <c r="D41"/>
  <c r="G41" s="1"/>
  <c r="R20" i="6" s="1"/>
  <c r="F43" i="10"/>
  <c r="D43"/>
  <c r="G43" s="1"/>
  <c r="R22" i="6" s="1"/>
  <c r="E45" i="10"/>
  <c r="E18" i="1"/>
  <c r="J18"/>
  <c r="E13"/>
  <c r="J13"/>
  <c r="E16"/>
  <c r="J16"/>
  <c r="E12"/>
  <c r="J12"/>
  <c r="J24" s="1"/>
  <c r="E24" i="10"/>
  <c r="D61"/>
  <c r="G61"/>
  <c r="L10" s="1"/>
  <c r="D10"/>
  <c r="G10" s="1"/>
  <c r="I62" i="1"/>
  <c r="D18" i="10"/>
  <c r="G18" s="1"/>
  <c r="E24" i="1"/>
  <c r="J79"/>
  <c r="D22" i="10"/>
  <c r="G22" s="1"/>
  <c r="C517" i="8"/>
  <c r="C467"/>
  <c r="C494"/>
  <c r="C468"/>
  <c r="F21" i="10"/>
  <c r="K12"/>
  <c r="D21"/>
  <c r="G21" s="1"/>
  <c r="J62" i="1"/>
  <c r="J22" i="10"/>
  <c r="K21"/>
  <c r="H20"/>
  <c r="K18"/>
  <c r="K16"/>
  <c r="L14"/>
  <c r="J14"/>
  <c r="K13"/>
  <c r="I10"/>
  <c r="K61" i="1"/>
  <c r="K62" s="1"/>
  <c r="I10"/>
  <c r="H12" i="10"/>
  <c r="H19"/>
  <c r="H23"/>
  <c r="H21"/>
  <c r="H10"/>
  <c r="K9"/>
  <c r="H15"/>
  <c r="H17"/>
  <c r="H11"/>
  <c r="H13"/>
  <c r="H16"/>
  <c r="H18"/>
  <c r="F22"/>
  <c r="D20"/>
  <c r="G20" s="1"/>
  <c r="F20"/>
  <c r="C173"/>
  <c r="F14"/>
  <c r="D14"/>
  <c r="G14" s="1"/>
  <c r="D24" i="1"/>
  <c r="C24"/>
  <c r="H45" i="10" l="1"/>
  <c r="M24" i="6" s="1"/>
  <c r="J45" i="10"/>
  <c r="O24" i="6" s="1"/>
  <c r="O11"/>
  <c r="Q11"/>
  <c r="G37" i="26"/>
  <c r="G14"/>
  <c r="P13" i="6"/>
  <c r="Q13"/>
  <c r="G39" i="26"/>
  <c r="Q14" i="6"/>
  <c r="G40" i="26"/>
  <c r="Q15" i="6"/>
  <c r="G41" i="26"/>
  <c r="P16" i="6"/>
  <c r="G17" i="26"/>
  <c r="I45" i="10"/>
  <c r="N24" i="6" s="1"/>
  <c r="N16"/>
  <c r="Q16"/>
  <c r="G42" i="26"/>
  <c r="Q17" i="6"/>
  <c r="G43" i="26"/>
  <c r="Q18" i="6"/>
  <c r="G44" i="26"/>
  <c r="P18" i="6"/>
  <c r="G19" i="26"/>
  <c r="Q19" i="6"/>
  <c r="G45" i="26"/>
  <c r="Q12" i="6"/>
  <c r="G38" i="26"/>
  <c r="P12" i="6"/>
  <c r="G13" i="26"/>
  <c r="Q20" i="6"/>
  <c r="G46" i="26"/>
  <c r="P20" i="6"/>
  <c r="G21" i="26"/>
  <c r="Q21" i="6"/>
  <c r="G47" i="26"/>
  <c r="P21" i="6"/>
  <c r="G22" i="26"/>
  <c r="Q22" i="6"/>
  <c r="G48" i="26"/>
  <c r="P22" i="6"/>
  <c r="G23" i="26"/>
  <c r="P23" i="6"/>
  <c r="G24" i="26"/>
  <c r="Q23" i="6"/>
  <c r="G49" i="26"/>
  <c r="K45" i="10"/>
  <c r="P24" i="6" s="1"/>
  <c r="P9"/>
  <c r="K30" i="10"/>
  <c r="D45"/>
  <c r="G45" s="1"/>
  <c r="R24" i="6" s="1"/>
  <c r="F45" i="10"/>
  <c r="F10"/>
  <c r="I24"/>
  <c r="J24"/>
  <c r="F24"/>
  <c r="L24"/>
  <c r="K24"/>
  <c r="C471" i="8"/>
  <c r="D24" i="10"/>
  <c r="G24" s="1"/>
  <c r="H14"/>
  <c r="L9"/>
  <c r="I24" i="1"/>
  <c r="H24"/>
  <c r="Q9" i="6" l="1"/>
  <c r="L30" i="10"/>
  <c r="H24"/>
  <c r="F23" i="23"/>
  <c r="K16" i="5" l="1"/>
  <c r="L16"/>
  <c r="K18" l="1"/>
  <c r="L13" s="1"/>
  <c r="K13" l="1"/>
  <c r="K11"/>
  <c r="K15"/>
  <c r="L11"/>
  <c r="L15"/>
  <c r="K17" l="1"/>
  <c r="G23"/>
  <c r="L17"/>
  <c r="G21" s="1"/>
  <c r="G22" s="1"/>
  <c r="G24" s="1"/>
</calcChain>
</file>

<file path=xl/comments1.xml><?xml version="1.0" encoding="utf-8"?>
<comments xmlns="http://schemas.openxmlformats.org/spreadsheetml/2006/main">
  <authors>
    <author>Karl Hurley</author>
    <author>Ofgem</author>
    <author>phicks</author>
  </authors>
  <commentList>
    <comment ref="AA160" authorId="0">
      <text>
        <r>
          <rPr>
            <b/>
            <sz val="8"/>
            <color indexed="81"/>
            <rFont val="Tahoma"/>
            <family val="2"/>
          </rPr>
          <t>Karl Hurley:</t>
        </r>
        <r>
          <rPr>
            <sz val="8"/>
            <color indexed="81"/>
            <rFont val="Tahoma"/>
            <family val="2"/>
          </rPr>
          <t xml:space="preserve">
linking was to 08/09.</t>
        </r>
      </text>
    </comment>
    <comment ref="B335" authorId="1">
      <text>
        <r>
          <rPr>
            <b/>
            <sz val="8"/>
            <color indexed="81"/>
            <rFont val="Tahoma"/>
            <family val="2"/>
          </rPr>
          <t>Ofgem:</t>
        </r>
        <r>
          <rPr>
            <sz val="8"/>
            <color indexed="81"/>
            <rFont val="Tahoma"/>
            <family val="2"/>
          </rPr>
          <t xml:space="preserve">
Names not updated because of lookup formulas to reference cells.</t>
        </r>
      </text>
    </comment>
    <comment ref="B357" authorId="1">
      <text>
        <r>
          <rPr>
            <b/>
            <sz val="8"/>
            <color indexed="81"/>
            <rFont val="Tahoma"/>
            <family val="2"/>
          </rPr>
          <t>Ofgem:</t>
        </r>
        <r>
          <rPr>
            <sz val="8"/>
            <color indexed="81"/>
            <rFont val="Tahoma"/>
            <family val="2"/>
          </rPr>
          <t xml:space="preserve">
DNO names had to be amended to fit source data</t>
        </r>
      </text>
    </comment>
    <comment ref="AB357" authorId="2">
      <text>
        <r>
          <rPr>
            <b/>
            <sz val="9"/>
            <color indexed="81"/>
            <rFont val="Tahoma"/>
            <family val="2"/>
          </rPr>
          <t>Ofgem:</t>
        </r>
        <r>
          <rPr>
            <sz val="9"/>
            <color indexed="81"/>
            <rFont val="Tahoma"/>
            <family val="2"/>
          </rPr>
          <t xml:space="preserve">
In 2009-10 CN west and CN east are the only DNOs with redial systems.</t>
        </r>
      </text>
    </comment>
  </commentList>
</comments>
</file>

<file path=xl/comments2.xml><?xml version="1.0" encoding="utf-8"?>
<comments xmlns="http://schemas.openxmlformats.org/spreadsheetml/2006/main">
  <authors>
    <author>Ofgem</author>
  </authors>
  <commentList>
    <comment ref="B56" authorId="0">
      <text>
        <r>
          <rPr>
            <b/>
            <sz val="8"/>
            <color indexed="81"/>
            <rFont val="Tahoma"/>
            <family val="2"/>
          </rPr>
          <t>Ofgem:</t>
        </r>
        <r>
          <rPr>
            <sz val="8"/>
            <color indexed="81"/>
            <rFont val="Tahoma"/>
            <family val="2"/>
          </rPr>
          <t xml:space="preserve">
EDF IDNO did not provide any metered connections in 2007-08, 2008-09 or 2009-10. However, these values were not included in historical source workbooks.</t>
        </r>
      </text>
    </comment>
    <comment ref="B87" authorId="0">
      <text>
        <r>
          <rPr>
            <b/>
            <sz val="8"/>
            <color indexed="81"/>
            <rFont val="Tahoma"/>
            <family val="2"/>
          </rPr>
          <t>Ofgem:</t>
        </r>
        <r>
          <rPr>
            <sz val="8"/>
            <color indexed="81"/>
            <rFont val="Tahoma"/>
            <family val="2"/>
          </rPr>
          <t xml:space="preserve">
EDF IDNO did not provide any metered connections in 2007-08, 2008-09 or 2009-10. However, these values were not included in historical source workbooks.</t>
        </r>
      </text>
    </comment>
    <comment ref="B118" authorId="0">
      <text>
        <r>
          <rPr>
            <b/>
            <sz val="8"/>
            <color indexed="81"/>
            <rFont val="Tahoma"/>
            <family val="2"/>
          </rPr>
          <t>Ofgem:</t>
        </r>
        <r>
          <rPr>
            <sz val="8"/>
            <color indexed="81"/>
            <rFont val="Tahoma"/>
            <family val="2"/>
          </rPr>
          <t xml:space="preserve">
EDF IDNO did not provide any metered connections in 2007-08, 2008-09 or 2009-10. However, these values were not included in historical source workbooks.</t>
        </r>
      </text>
    </comment>
  </commentList>
</comments>
</file>

<file path=xl/sharedStrings.xml><?xml version="1.0" encoding="utf-8"?>
<sst xmlns="http://schemas.openxmlformats.org/spreadsheetml/2006/main" count="2475" uniqueCount="517">
  <si>
    <t>Customer numbers</t>
  </si>
  <si>
    <t>CE NEDL</t>
  </si>
  <si>
    <t>CE YEDL</t>
  </si>
  <si>
    <t>CN East</t>
  </si>
  <si>
    <t>CN West</t>
  </si>
  <si>
    <t>ENWL</t>
  </si>
  <si>
    <t>SSE Hydro</t>
  </si>
  <si>
    <t>SSE Southern</t>
  </si>
  <si>
    <t>SP Distribution</t>
  </si>
  <si>
    <t>SP Manweb</t>
  </si>
  <si>
    <t>LPN</t>
  </si>
  <si>
    <t>SEPN</t>
  </si>
  <si>
    <t>EPN</t>
  </si>
  <si>
    <t>WPD S Wales</t>
  </si>
  <si>
    <t>WPD S West</t>
  </si>
  <si>
    <t>Distribution system</t>
  </si>
  <si>
    <t>2008/09</t>
  </si>
  <si>
    <t>2009/10</t>
  </si>
  <si>
    <t>Total energy delivered (GWh)</t>
  </si>
  <si>
    <t>DNO</t>
  </si>
  <si>
    <t>Total</t>
  </si>
  <si>
    <t>Total Line length (km)</t>
  </si>
  <si>
    <t>Total No of Customers</t>
  </si>
  <si>
    <t>Length of circuit km</t>
  </si>
  <si>
    <t>132kV</t>
  </si>
  <si>
    <t>66kV</t>
  </si>
  <si>
    <t>33kV</t>
  </si>
  <si>
    <t>22kV</t>
  </si>
  <si>
    <t>HV</t>
  </si>
  <si>
    <t>LV</t>
  </si>
  <si>
    <t>Overhead</t>
  </si>
  <si>
    <t>Underground</t>
  </si>
  <si>
    <t>Submarine cables</t>
  </si>
  <si>
    <t>Consac Cables</t>
  </si>
  <si>
    <t>ENW</t>
  </si>
  <si>
    <t>EDFE LPN</t>
  </si>
  <si>
    <t>EDFE SPN</t>
  </si>
  <si>
    <t>EDFE EPN</t>
  </si>
  <si>
    <t>Great Britain</t>
  </si>
  <si>
    <t>The 132kV network in Scotland forms part of the Transmission system</t>
  </si>
  <si>
    <t>Customer Numbers</t>
  </si>
  <si>
    <t>Total Length of circuit km</t>
  </si>
  <si>
    <t>Distribution Network Operator Information</t>
  </si>
  <si>
    <t>Distribution losses</t>
  </si>
  <si>
    <t>Check</t>
  </si>
  <si>
    <t>Total line length (km)</t>
  </si>
  <si>
    <t>Chapter 1</t>
  </si>
  <si>
    <t>Distribution loss percentage</t>
  </si>
  <si>
    <t>Units Entering</t>
  </si>
  <si>
    <t>Metered Unit entering</t>
  </si>
  <si>
    <t>Units Exiting System</t>
  </si>
  <si>
    <t>Unmetered Units exiting system</t>
  </si>
  <si>
    <t>Metered Units exiting</t>
  </si>
  <si>
    <t>Units Distributed - voltage level</t>
  </si>
  <si>
    <t>EHV</t>
  </si>
  <si>
    <t>LV1</t>
  </si>
  <si>
    <t>LV2</t>
  </si>
  <si>
    <t>LV3</t>
  </si>
  <si>
    <t>Units exiting at shared unmetered points (SHE only)</t>
  </si>
  <si>
    <t xml:space="preserve">Notes: </t>
  </si>
  <si>
    <t>Total distribution losses (DPCR4)</t>
  </si>
  <si>
    <t>Unmetered Units entering system</t>
  </si>
  <si>
    <t>Average distribution losses (DPCR4)</t>
  </si>
  <si>
    <t>Average distribution loss percentage (DPCR4)</t>
  </si>
  <si>
    <t>The source file contains the five yers of the DPCR4 period</t>
  </si>
  <si>
    <t>Comparative metrics (GWh)</t>
  </si>
  <si>
    <t>GB average</t>
  </si>
  <si>
    <t>Target</t>
  </si>
  <si>
    <t>Performance</t>
  </si>
  <si>
    <t>Penalty/Reward</t>
  </si>
  <si>
    <t>Short interruptions</t>
  </si>
  <si>
    <t>Short interruptions by "causes" (including LV)</t>
  </si>
  <si>
    <t>Automatic operation and restored by automatic switching</t>
  </si>
  <si>
    <t>Automatic operation and restored by manual or remote switching</t>
  </si>
  <si>
    <t>Manual or remote operation</t>
  </si>
  <si>
    <t>Operation of switchgear on other connected systems</t>
  </si>
  <si>
    <t>Short interruptions per 100 connected customers</t>
  </si>
  <si>
    <t>check</t>
  </si>
  <si>
    <t>GB total</t>
  </si>
  <si>
    <t>Quality of telephone response</t>
  </si>
  <si>
    <t>Speed of telephone response</t>
  </si>
  <si>
    <t>Rank</t>
  </si>
  <si>
    <t>Score</t>
  </si>
  <si>
    <t>2010/11</t>
  </si>
  <si>
    <t>Hold system</t>
  </si>
  <si>
    <t>Redial system</t>
  </si>
  <si>
    <t>Telepghone system</t>
  </si>
  <si>
    <t>Redial system average</t>
  </si>
  <si>
    <t>Hold system average</t>
  </si>
  <si>
    <t>Quality of service</t>
  </si>
  <si>
    <t>Customer reward scheme</t>
  </si>
  <si>
    <t>corporate and social responsibility</t>
  </si>
  <si>
    <t>wider community strategies</t>
  </si>
  <si>
    <t>Measure total</t>
  </si>
  <si>
    <t>CE</t>
  </si>
  <si>
    <t>CN</t>
  </si>
  <si>
    <t>WPD</t>
  </si>
  <si>
    <t>SP</t>
  </si>
  <si>
    <t>SSE</t>
  </si>
  <si>
    <t>Chapter 2</t>
  </si>
  <si>
    <t>Connections</t>
  </si>
  <si>
    <t>Adopted from non-affilliate</t>
  </si>
  <si>
    <t>Adopted from affilliate</t>
  </si>
  <si>
    <t>Licensee</t>
  </si>
  <si>
    <t>EDF IDNO</t>
  </si>
  <si>
    <t>SSE out of area</t>
  </si>
  <si>
    <t xml:space="preserve">IPNL </t>
  </si>
  <si>
    <t xml:space="preserve">Energetics </t>
  </si>
  <si>
    <t xml:space="preserve">ENC </t>
  </si>
  <si>
    <t xml:space="preserve">ESP </t>
  </si>
  <si>
    <t>DNOs</t>
  </si>
  <si>
    <t>IDNOs</t>
  </si>
  <si>
    <t>DG</t>
  </si>
  <si>
    <t>Metered connections</t>
  </si>
  <si>
    <t>Total metered connections by voltage</t>
  </si>
  <si>
    <t>Unmetered connections</t>
  </si>
  <si>
    <t>DNOs % of total connections</t>
  </si>
  <si>
    <t>IDNOs % of total connections</t>
  </si>
  <si>
    <t>SSE out of area % of total connections</t>
  </si>
  <si>
    <t>% of GB total</t>
  </si>
  <si>
    <t>Total connections</t>
  </si>
  <si>
    <t>Average number of days</t>
  </si>
  <si>
    <t>Max number of days</t>
  </si>
  <si>
    <t xml:space="preserve">Connections </t>
  </si>
  <si>
    <t>Average and maximum timescales that licensees have provided S16 connection offers</t>
  </si>
  <si>
    <t>Customer service</t>
  </si>
  <si>
    <t xml:space="preserve">Customer interruptions per year (CIs) </t>
  </si>
  <si>
    <t xml:space="preserve">Customer minutes lost (CMLs) </t>
  </si>
  <si>
    <t xml:space="preserve">Quality of telephone response </t>
  </si>
  <si>
    <t xml:space="preserve">Speed of telephone response </t>
  </si>
  <si>
    <t xml:space="preserve">Customer reward scheme </t>
  </si>
  <si>
    <t xml:space="preserve">Worst served customer fund </t>
  </si>
  <si>
    <t xml:space="preserve">Broad measure </t>
  </si>
  <si>
    <t>Guaranteed standards</t>
  </si>
  <si>
    <t xml:space="preserve">Competition in connection </t>
  </si>
  <si>
    <t xml:space="preserve">Provision of connection offers </t>
  </si>
  <si>
    <t>Environment</t>
  </si>
  <si>
    <t>Low carbon networks fund</t>
  </si>
  <si>
    <t>Business carbon footprint</t>
  </si>
  <si>
    <t>Network losses incentive</t>
  </si>
  <si>
    <t>Network Investment</t>
  </si>
  <si>
    <t>Network outputs</t>
  </si>
  <si>
    <t>DNO actual spend compared to allowance</t>
  </si>
  <si>
    <t>DNO total expenditure compared to the previous year</t>
  </si>
  <si>
    <t>Network investment</t>
  </si>
  <si>
    <t xml:space="preserve">Currently being collected </t>
  </si>
  <si>
    <t xml:space="preserve">2013/14 </t>
  </si>
  <si>
    <t xml:space="preserve">2012/13 </t>
  </si>
  <si>
    <t>Currently being collected</t>
  </si>
  <si>
    <t xml:space="preserve">2010/11 </t>
  </si>
  <si>
    <t>2012/13</t>
  </si>
  <si>
    <t>Table of contents</t>
  </si>
  <si>
    <t>Collection of data</t>
  </si>
  <si>
    <t>Network characteristics</t>
  </si>
  <si>
    <t>DNO line length</t>
  </si>
  <si>
    <t>DNO customer numbers</t>
  </si>
  <si>
    <t>Customer numbers | line length</t>
  </si>
  <si>
    <t>from 2005/06</t>
  </si>
  <si>
    <t>from 2001/02</t>
  </si>
  <si>
    <t>Energy delivered</t>
  </si>
  <si>
    <t>Description</t>
  </si>
  <si>
    <t>Metered and unmetered connection by DNO and IDNO and voltage level</t>
  </si>
  <si>
    <t>Customer numbers by DNO and voltage level</t>
  </si>
  <si>
    <t>Line length by DNO and voltage level</t>
  </si>
  <si>
    <t>DNO and IDNO average and maximum timescales for providing conections against S16 requirements</t>
  </si>
  <si>
    <t>DNO performance against targets and resulting rewards or penalties</t>
  </si>
  <si>
    <t>DNO performance against targets</t>
  </si>
  <si>
    <t>from 2002/03</t>
  </si>
  <si>
    <t>from 2007/08</t>
  </si>
  <si>
    <t>from 2008/09</t>
  </si>
  <si>
    <t>Discretionary rewards allocated to DNOs</t>
  </si>
  <si>
    <t>Energy delivered by DNO and voltage level</t>
  </si>
  <si>
    <t>DNO payments made under guaranteed standards</t>
  </si>
  <si>
    <t>Unplanned customer interruptions</t>
  </si>
  <si>
    <t>Planned customer interruptions</t>
  </si>
  <si>
    <t>Planned customer minutes lost</t>
  </si>
  <si>
    <t>Unplanned customer minutes lost</t>
  </si>
  <si>
    <t>Customer interruptions</t>
  </si>
  <si>
    <t>Customer minutes lost</t>
  </si>
  <si>
    <t>Actual AONB expenditure by DNO in £m (2009/10)</t>
  </si>
  <si>
    <t>DPCR5 total</t>
  </si>
  <si>
    <t>DPCR4 total</t>
  </si>
  <si>
    <t>Arnside and Silverdale</t>
  </si>
  <si>
    <t>Blackdown Hills</t>
  </si>
  <si>
    <t>Cannock Chase</t>
  </si>
  <si>
    <t>Chichester Harbour</t>
  </si>
  <si>
    <t>Chilterns</t>
  </si>
  <si>
    <t>Cornwall</t>
  </si>
  <si>
    <t>Cotswolds</t>
  </si>
  <si>
    <t xml:space="preserve">Cranborne Chase and West Wiltshire Downs </t>
  </si>
  <si>
    <t>Dedham Vale</t>
  </si>
  <si>
    <t>Dorset</t>
  </si>
  <si>
    <t>East Devon</t>
  </si>
  <si>
    <t>Forest of Bowland</t>
  </si>
  <si>
    <t>Howardian Hills</t>
  </si>
  <si>
    <t>High Weald</t>
  </si>
  <si>
    <t>Isle of Wight</t>
  </si>
  <si>
    <t xml:space="preserve">Isles of Scilly </t>
  </si>
  <si>
    <t>Kent Downs</t>
  </si>
  <si>
    <t>Lincolnshire Wolds</t>
  </si>
  <si>
    <t>Malvern Hills</t>
  </si>
  <si>
    <t>Mendip Hills</t>
  </si>
  <si>
    <t xml:space="preserve">Norfolk Coast </t>
  </si>
  <si>
    <t>North Devon</t>
  </si>
  <si>
    <t>North Pennines</t>
  </si>
  <si>
    <t>North Wessex Downs</t>
  </si>
  <si>
    <t xml:space="preserve">Nidderdale </t>
  </si>
  <si>
    <t xml:space="preserve">Northumberland Coast </t>
  </si>
  <si>
    <t>Quantock Hills</t>
  </si>
  <si>
    <t>Shropshire Hills</t>
  </si>
  <si>
    <t>Solway Coast</t>
  </si>
  <si>
    <t>South Devon</t>
  </si>
  <si>
    <t>Suffolk Coast and Heaths</t>
  </si>
  <si>
    <t>Surrey Hills</t>
  </si>
  <si>
    <t>Tamar Valley</t>
  </si>
  <si>
    <t xml:space="preserve">England and Wales: </t>
  </si>
  <si>
    <t>Wye Valley AONB / Dyffryn Gwy AoHNE</t>
  </si>
  <si>
    <t>Wales:</t>
  </si>
  <si>
    <t>Bryniau Clwyd AoHNE / Clwydian Range AONB</t>
  </si>
  <si>
    <t>Gwyr AoHNE / Gower AONB</t>
  </si>
  <si>
    <t>Llyn AoHNE (Lleyn AONB)</t>
  </si>
  <si>
    <t>Ynys Mon AoHNE / Anglesey AONB</t>
  </si>
  <si>
    <t>England</t>
  </si>
  <si>
    <t>ANOBs</t>
  </si>
  <si>
    <t>Lake District</t>
  </si>
  <si>
    <t>Dartmoor</t>
  </si>
  <si>
    <t>North Yorkshire Moors</t>
  </si>
  <si>
    <t>Yorkshire Dales</t>
  </si>
  <si>
    <t>Peak District</t>
  </si>
  <si>
    <t>Northumberland</t>
  </si>
  <si>
    <t>Exmoor</t>
  </si>
  <si>
    <t>Snowdonia</t>
  </si>
  <si>
    <t>Broads Authority</t>
  </si>
  <si>
    <t>National Parks</t>
  </si>
  <si>
    <t>Cairngorms</t>
  </si>
  <si>
    <t>Loch Lomond</t>
  </si>
  <si>
    <t>New Forest</t>
  </si>
  <si>
    <t>Pembrokeshire Coast</t>
  </si>
  <si>
    <t>South Downs</t>
  </si>
  <si>
    <t>GB Total</t>
  </si>
  <si>
    <t>Target loss percentage</t>
  </si>
  <si>
    <t>Total km of overhead lines in national parks and AONB</t>
  </si>
  <si>
    <t>1.5 per cent of overhead lines in national parks and AONB</t>
  </si>
  <si>
    <t>Percentage of DPCR4 allowance spent</t>
  </si>
  <si>
    <r>
      <t xml:space="preserve">Percentage of DPCR4 allowance </t>
    </r>
    <r>
      <rPr>
        <b/>
        <sz val="9"/>
        <rFont val="CG Omega"/>
      </rPr>
      <t>not</t>
    </r>
    <r>
      <rPr>
        <sz val="9"/>
        <rFont val="CG Omega"/>
      </rPr>
      <t xml:space="preserve"> spent</t>
    </r>
  </si>
  <si>
    <t>Areas of Outstanding Natural Beauty and National Parks</t>
  </si>
  <si>
    <t>from 2005-06</t>
  </si>
  <si>
    <t>Distribution losses by DNO against DPRC4 targets</t>
  </si>
  <si>
    <t>DNO expenditure against DPCR4 allowance</t>
  </si>
  <si>
    <t>Notes:</t>
  </si>
  <si>
    <t>conditional statements added in cells G168:H168 and G174:H174  for "n/a" values and cells G176:J176 for "-" values</t>
  </si>
  <si>
    <t>Chapter 5</t>
  </si>
  <si>
    <t>Chapter 4</t>
  </si>
  <si>
    <t>Chapter 3</t>
  </si>
  <si>
    <t>2009/10 Target</t>
  </si>
  <si>
    <t>Performance Target</t>
  </si>
  <si>
    <t>DNO order and names</t>
  </si>
  <si>
    <t>UKPN LPN</t>
  </si>
  <si>
    <t>UKPN SEPN</t>
  </si>
  <si>
    <t>UKPN EPN</t>
  </si>
  <si>
    <t>UKPN</t>
  </si>
  <si>
    <t>CIs as % of target</t>
  </si>
  <si>
    <t>CMLs as a % of target</t>
  </si>
  <si>
    <t>Weighted CI (actual performance)</t>
  </si>
  <si>
    <t>Weighted CML (actual performance)</t>
  </si>
  <si>
    <t>Data availability</t>
  </si>
  <si>
    <t>Worksheet</t>
  </si>
  <si>
    <t>targets</t>
  </si>
  <si>
    <t>performance</t>
  </si>
  <si>
    <t>DNOs inside target</t>
  </si>
  <si>
    <t>DNOs outside target</t>
  </si>
  <si>
    <t>1 (2)</t>
  </si>
  <si>
    <t>2 (1)</t>
  </si>
  <si>
    <t>3 (3)</t>
  </si>
  <si>
    <t>4 (6)</t>
  </si>
  <si>
    <t>6 (8)</t>
  </si>
  <si>
    <t>10 (10)</t>
  </si>
  <si>
    <t>11 (11)</t>
  </si>
  <si>
    <t>14 (14)</t>
  </si>
  <si>
    <t>9 (7)</t>
  </si>
  <si>
    <t>12 (12)</t>
  </si>
  <si>
    <t>count if above average</t>
  </si>
  <si>
    <t>priority customer care initiatives</t>
  </si>
  <si>
    <t>7 (4)</t>
  </si>
  <si>
    <t>5 (5)</t>
  </si>
  <si>
    <t>8 (9)</t>
  </si>
  <si>
    <t>13 (13)</t>
  </si>
  <si>
    <t>2009-10 Scores</t>
  </si>
  <si>
    <t>Rank 2009-10 (2008-09)</t>
  </si>
  <si>
    <t>Allowance</t>
  </si>
  <si>
    <t>Actual</t>
  </si>
  <si>
    <t>% difference</t>
  </si>
  <si>
    <t>Capex allowance</t>
  </si>
  <si>
    <t>Actual capex</t>
  </si>
  <si>
    <t>Opex allowance</t>
  </si>
  <si>
    <t>Actual opex</t>
  </si>
  <si>
    <t>2001-02</t>
  </si>
  <si>
    <t>2005-06</t>
  </si>
  <si>
    <t>Max capex over 2005-10 for undergrounding £m (£2002-03)</t>
  </si>
  <si>
    <t>y/e 31 March</t>
  </si>
  <si>
    <t>Average of monthly RP indices (02/03 prices up to 2003/04)</t>
  </si>
  <si>
    <t>Inputs</t>
  </si>
  <si>
    <t>RPI</t>
  </si>
  <si>
    <t>2002-03</t>
  </si>
  <si>
    <t>Network investment and expenditure</t>
  </si>
  <si>
    <t>2008-09</t>
  </si>
  <si>
    <t>means</t>
  </si>
  <si>
    <t>reward line</t>
  </si>
  <si>
    <t>penalty line</t>
  </si>
  <si>
    <t>below line = performance that resulted in a penalty</t>
  </si>
  <si>
    <t>above line = performance that resulted in a reward</t>
  </si>
  <si>
    <t>min</t>
  </si>
  <si>
    <t>max</t>
  </si>
  <si>
    <t>Rank 2008/09</t>
  </si>
  <si>
    <t>Figure 3.1</t>
  </si>
  <si>
    <t>GB average target</t>
  </si>
  <si>
    <t>GB average performance</t>
  </si>
  <si>
    <t>GB average quality of telephone response performance score</t>
  </si>
  <si>
    <t>Percentage of 2009-10 allowance spent</t>
  </si>
  <si>
    <t>DPCR4 allowance spent (£2002-03)</t>
  </si>
  <si>
    <r>
      <t xml:space="preserve">DPCR4 allowance </t>
    </r>
    <r>
      <rPr>
        <b/>
        <sz val="9"/>
        <rFont val="CG Omega"/>
      </rPr>
      <t>not</t>
    </r>
    <r>
      <rPr>
        <sz val="9"/>
        <rFont val="CG Omega"/>
      </rPr>
      <t xml:space="preserve"> spent (£2002-03)</t>
    </r>
  </si>
  <si>
    <t>Chapter 6</t>
  </si>
  <si>
    <t>figure 5.1</t>
  </si>
  <si>
    <t>Ind. Mean 05-06</t>
  </si>
  <si>
    <t>Ind. Mean 06-07</t>
  </si>
  <si>
    <t>Ind. Mean 07-08</t>
  </si>
  <si>
    <t>Ind. Mean 08-09</t>
  </si>
  <si>
    <t>Ind. Mean 09-10</t>
  </si>
  <si>
    <t>Losses Incentive Adjustment (ILt)</t>
  </si>
  <si>
    <t>Incentive at £48/MWh</t>
  </si>
  <si>
    <t>2009-10</t>
  </si>
  <si>
    <t>DPCR4</t>
  </si>
  <si>
    <t>SL12</t>
  </si>
  <si>
    <t>SL15</t>
  </si>
  <si>
    <t>Chapter 7</t>
  </si>
  <si>
    <t>capex</t>
  </si>
  <si>
    <t>opex</t>
  </si>
  <si>
    <t>figure 7.1</t>
  </si>
  <si>
    <t>figure 7.2</t>
  </si>
  <si>
    <t>2006-07</t>
  </si>
  <si>
    <t>2007-08</t>
  </si>
  <si>
    <t>DNO 2005-06</t>
  </si>
  <si>
    <t>IDNO 2005-06</t>
  </si>
  <si>
    <t>table 5.1</t>
  </si>
  <si>
    <t>Figure 3.2</t>
  </si>
  <si>
    <t>Table 4.1</t>
  </si>
  <si>
    <t>Figure 4.1</t>
  </si>
  <si>
    <t>figure 6.2</t>
  </si>
  <si>
    <t>figure 6.1</t>
  </si>
  <si>
    <t>CMLs</t>
  </si>
  <si>
    <t>Telephony</t>
  </si>
  <si>
    <t>CIs</t>
  </si>
  <si>
    <t>losses</t>
  </si>
  <si>
    <t>connections</t>
  </si>
  <si>
    <t>red</t>
  </si>
  <si>
    <t>green</t>
  </si>
  <si>
    <t>amber</t>
  </si>
  <si>
    <t>`</t>
  </si>
  <si>
    <t>A</t>
  </si>
  <si>
    <t>B</t>
  </si>
  <si>
    <t>C</t>
  </si>
  <si>
    <t>D</t>
  </si>
  <si>
    <t>E</t>
  </si>
  <si>
    <t>Table 4.2</t>
  </si>
  <si>
    <t>Average</t>
  </si>
  <si>
    <t>response time (sec)</t>
  </si>
  <si>
    <t>Operating expenditure (£m 2007-08)</t>
  </si>
  <si>
    <t>Capital expenditure (£m 2007-08)</t>
  </si>
  <si>
    <t>Allowance opex</t>
  </si>
  <si>
    <t>£2002-03</t>
  </si>
  <si>
    <t>Actual opex (exc pensions)</t>
  </si>
  <si>
    <t xml:space="preserve">£m nominal </t>
  </si>
  <si>
    <t>£2007-08</t>
  </si>
  <si>
    <t>£m nominal</t>
  </si>
  <si>
    <t>Actual capex (exc pensions and AONBs)</t>
  </si>
  <si>
    <t>Allowance capex (exc pensions and AONBs)</t>
  </si>
  <si>
    <t>total</t>
  </si>
  <si>
    <t>Opex</t>
  </si>
  <si>
    <t>Capex</t>
  </si>
  <si>
    <t>Actual AONB expenditure by DNO in £m (2007-08)</t>
  </si>
  <si>
    <t>Max capex over 2005-10 for undergrounding £m (£2007-08)</t>
  </si>
  <si>
    <t>DNO expenditure by ANOB in £m (2007-08)</t>
  </si>
  <si>
    <t>DNO expenditure by National Park in £m (2007-08)</t>
  </si>
  <si>
    <t>DPCR4 allowance spent (£2007-08)</t>
  </si>
  <si>
    <r>
      <t xml:space="preserve">DPCR4 allowance </t>
    </r>
    <r>
      <rPr>
        <b/>
        <sz val="9"/>
        <rFont val="CG Omega"/>
      </rPr>
      <t>not</t>
    </r>
    <r>
      <rPr>
        <sz val="9"/>
        <rFont val="CG Omega"/>
      </rPr>
      <t xml:space="preserve"> spent (£2007-08)</t>
    </r>
  </si>
  <si>
    <t>Max capex over 2009-10 for undergrounding £m (£2002-03)</t>
  </si>
  <si>
    <t>Max capex over 2009-10 for undergrounding £m (£2007-08)</t>
  </si>
  <si>
    <t>£/MWh (£2004-05)</t>
  </si>
  <si>
    <t>£/MWh (£2007-08)</t>
  </si>
  <si>
    <t>incentive</t>
  </si>
  <si>
    <t>RORE</t>
  </si>
  <si>
    <t>blue</t>
  </si>
  <si>
    <t xml:space="preserve">red </t>
  </si>
  <si>
    <t>Total expenditure</t>
  </si>
  <si>
    <t>Totex allowance (£2007-08)</t>
  </si>
  <si>
    <t>Actual totex (£2007-08)</t>
  </si>
  <si>
    <t>Rewards/Penalties (£2007-08)</t>
  </si>
  <si>
    <t>figure 2.1</t>
  </si>
  <si>
    <t>difference</t>
  </si>
  <si>
    <t>figure 7.3</t>
  </si>
  <si>
    <t>figure 7.4</t>
  </si>
  <si>
    <t>figure 7.5</t>
  </si>
  <si>
    <t>figure 7.6</t>
  </si>
  <si>
    <t>table 2.1</t>
  </si>
  <si>
    <t>table 2.2</t>
  </si>
  <si>
    <t>table 2.3</t>
  </si>
  <si>
    <t xml:space="preserve"> </t>
  </si>
  <si>
    <t>figure 7.7</t>
  </si>
  <si>
    <t>allowance</t>
  </si>
  <si>
    <t>expenditure</t>
  </si>
  <si>
    <t>table 6.1</t>
  </si>
  <si>
    <t>table 6.2</t>
  </si>
  <si>
    <t>Capex spent (£m 2007-08)</t>
  </si>
  <si>
    <t>Percentage of allowance spent</t>
  </si>
  <si>
    <t>table 5.2</t>
  </si>
  <si>
    <t>DNO </t>
  </si>
  <si>
    <t>Table 5.2 was taken from page 26 the 2009-10 CIR report</t>
  </si>
  <si>
    <t>Central Networks</t>
  </si>
  <si>
    <t>-</t>
  </si>
  <si>
    <t>Electricity North West</t>
  </si>
  <si>
    <t>CE Electric</t>
  </si>
  <si>
    <t>Western Power Distribution</t>
  </si>
  <si>
    <t>UK Power Networks</t>
  </si>
  <si>
    <t>Scottish Power</t>
  </si>
  <si>
    <t>Scottish &amp; Southern Energy</t>
  </si>
  <si>
    <t>Table 4.3</t>
  </si>
  <si>
    <t>Figure 4.2</t>
  </si>
  <si>
    <t>Figure 3.4</t>
  </si>
  <si>
    <t>Figure 3.3</t>
  </si>
  <si>
    <t>DNOs initiatives for transitioning towards a low carbon economy</t>
  </si>
  <si>
    <t>DNOs individual carbon footprints</t>
  </si>
  <si>
    <t>Information about which DNOs are focused on improving the service for worse served customers</t>
  </si>
  <si>
    <t>Information about which DNOs have the best service across a broad measure of services</t>
  </si>
  <si>
    <t>DNOs delivery of DPCR5 outputs</t>
  </si>
  <si>
    <t xml:space="preserve">Year on year variations </t>
  </si>
  <si>
    <t>Shows whether DNOs are over or under spending against their allowances</t>
  </si>
  <si>
    <t>Shows the exatent of DNOs investment on each network</t>
  </si>
  <si>
    <t xml:space="preserve"> - </t>
  </si>
  <si>
    <t>AONB</t>
  </si>
  <si>
    <t>SL19</t>
  </si>
  <si>
    <t>Electricity Distribution Annual Report for 2008-09 and 2009-10</t>
  </si>
  <si>
    <t>DPCR4 RORE allowed</t>
  </si>
  <si>
    <t>DPCR4 RORE achieved allowing for opex, capex</t>
  </si>
  <si>
    <t>DPCR4 RORE achieved allowing for opex, capex, losses, QoS, volumes, tax, real interest</t>
  </si>
  <si>
    <t>Total energy distributed (exiting system) (DPCR4)</t>
  </si>
  <si>
    <t>Distribution loss percentage (entering system)</t>
  </si>
  <si>
    <t>Distribution loss percentage (exiting system)</t>
  </si>
  <si>
    <t>Distribution losses exiting the system</t>
  </si>
  <si>
    <t>Distribution losses entering the system</t>
  </si>
  <si>
    <t>Total energy distributed (entering system) (DPCR4)</t>
  </si>
  <si>
    <t>With Storms CI</t>
  </si>
  <si>
    <t>With Storms CML</t>
  </si>
  <si>
    <t>Without Storms CI</t>
  </si>
  <si>
    <t>Without Storms CML</t>
  </si>
  <si>
    <t>2003-04</t>
  </si>
  <si>
    <t>2004-05</t>
  </si>
  <si>
    <t>2010-11</t>
  </si>
  <si>
    <t>2011-12</t>
  </si>
  <si>
    <t>2013-14</t>
  </si>
  <si>
    <t>2014-15</t>
  </si>
  <si>
    <t xml:space="preserve">CN East </t>
  </si>
  <si>
    <t>ordered for figure 7.7</t>
  </si>
  <si>
    <t>ordered for figure 2.1</t>
  </si>
  <si>
    <t>Capex ESQCR allowances £2002-03</t>
  </si>
  <si>
    <t>Opex ESQCR allowances £2002-03</t>
  </si>
  <si>
    <t>Opex ESQCR allowances £2007-08</t>
  </si>
  <si>
    <t>Total opex allowances £2007-08</t>
  </si>
  <si>
    <t>Capex ESQCR allowances £2007-08</t>
  </si>
  <si>
    <t>Total capex allowances £2007-08</t>
  </si>
  <si>
    <t>Percentage of new and modified connections completed to DNO networks (RHS)</t>
  </si>
  <si>
    <t>Percentage of new and modified connections to IDNO networks (LHS)</t>
  </si>
  <si>
    <t>Percentage of new and modified connections completed by IDNOs and third parties (LHS)</t>
  </si>
  <si>
    <t>Figure not in report</t>
  </si>
  <si>
    <t xml:space="preserve">Average CIs per 100 customers - with and without storms </t>
  </si>
  <si>
    <t xml:space="preserve">Average CMLs per customer - with and without storms </t>
  </si>
  <si>
    <t>Average customer interruptions in Great Britain</t>
  </si>
  <si>
    <t>Average customer minutes lost in Great Britain</t>
  </si>
  <si>
    <t>DNO performance snapshot for 2008-09</t>
  </si>
  <si>
    <t>DNO performance snapshot for 2009-10</t>
  </si>
  <si>
    <t>Indicative return on regulated equity (RoRE) and totex in DPCR4</t>
  </si>
  <si>
    <t>DNO performance snapshot for DPCR4</t>
  </si>
  <si>
    <t>CIs - 2009-10 performance relative to 2009-10 targets</t>
  </si>
  <si>
    <t>CMLs - 2009-10 performance relative to 2009-10 targets</t>
  </si>
  <si>
    <t xml:space="preserve">2009-10 Quality of telephone response overall performance scores </t>
  </si>
  <si>
    <t>table 4.1 ordered for figure 4.1</t>
  </si>
  <si>
    <t>2009-10 average speed of telephone response (seconds)</t>
  </si>
  <si>
    <t>Average speed of telephone response (seconds)</t>
  </si>
  <si>
    <t>2009-10 customer service reward scheme</t>
  </si>
  <si>
    <t>Total number of new and modified metered electricity connections</t>
  </si>
  <si>
    <t>DPCR4 trends in Great Britain in the provision of new and modified metered electricity connections</t>
  </si>
  <si>
    <t>Average and maximum timescales within which Licensees have provided SLC 12 connection offers in 2009-10</t>
  </si>
  <si>
    <t>DNO network losses performance in 2009-10</t>
  </si>
  <si>
    <t>DNO network losses performance in DPCR4</t>
  </si>
  <si>
    <t>AONB and National Parks capital allowances in 2009-10</t>
  </si>
  <si>
    <t>AONB and National Parks capital allowances and expenditure in DPCR4 (£2007-08)</t>
  </si>
  <si>
    <t>capital expenditure in 2008-09 (£2007-08)</t>
  </si>
  <si>
    <t>operating expenditure in 2008-09 (£2007-08)</t>
  </si>
  <si>
    <t>capital expenditure in 2009-10 (£2007-08)</t>
  </si>
  <si>
    <t>operating expenditure in 2009-10 (£2007-08)</t>
  </si>
  <si>
    <t>capital expenditure in DPCR4 (£2007-08)</t>
  </si>
  <si>
    <t>operating expenditure in DPCR4 (£2007-08)</t>
  </si>
  <si>
    <t>Indicative RoRE achieved during DPCR4 compared allowance</t>
  </si>
  <si>
    <t>Undergrounding in Areas of Outstanding Natural Beauty and National Parks</t>
  </si>
  <si>
    <t>DNO order and names transposed</t>
  </si>
  <si>
    <t>Table not in report</t>
  </si>
  <si>
    <t>Connections by:</t>
  </si>
  <si>
    <t>Companies affiliated to the licensee</t>
  </si>
  <si>
    <t>Third Parties</t>
  </si>
  <si>
    <t>Industry Total</t>
  </si>
  <si>
    <t>DNO                            2006-07</t>
  </si>
  <si>
    <t>IDNO                               2006-07</t>
  </si>
  <si>
    <t xml:space="preserve">DNO                          2007-08 </t>
  </si>
  <si>
    <t>IDNO                       2007-08</t>
  </si>
  <si>
    <t>DNO 2008-09</t>
  </si>
  <si>
    <t>IDNO 2008-09</t>
  </si>
  <si>
    <t>DNO 2009-10</t>
  </si>
  <si>
    <t>IDNO 2009-10</t>
  </si>
</sst>
</file>

<file path=xl/styles.xml><?xml version="1.0" encoding="utf-8"?>
<styleSheet xmlns="http://schemas.openxmlformats.org/spreadsheetml/2006/main">
  <numFmts count="13">
    <numFmt numFmtId="8" formatCode="&quot;£&quot;#,##0.00;[Red]\-&quot;£&quot;#,##0.00"/>
    <numFmt numFmtId="42" formatCode="_-&quot;£&quot;* #,##0_-;\-&quot;£&quot;* #,##0_-;_-&quot;£&quot;* &quot;-&quot;_-;_-@_-"/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00"/>
    <numFmt numFmtId="167" formatCode="_-* #,##0.0_-;\-* #,##0.0_-;_-* &quot;-&quot;??_-;_-@_-"/>
    <numFmt numFmtId="168" formatCode="_-* #,##0.0_-;\-* #,##0.0_-;_-* &quot;-&quot;?_-;_-@_-"/>
    <numFmt numFmtId="169" formatCode="_-* #,##0.00_-;\-* #,##0.00_-;_-* &quot;-&quot;?_-;_-@_-"/>
    <numFmt numFmtId="170" formatCode="0.0%"/>
    <numFmt numFmtId="171" formatCode="#,##0.00000_);[Red]\(#,##0.00000\);\-"/>
    <numFmt numFmtId="172" formatCode="0.000000"/>
  </numFmts>
  <fonts count="40">
    <font>
      <sz val="10"/>
      <color theme="1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sz val="10"/>
      <name val="Verdana"/>
      <family val="2"/>
    </font>
    <font>
      <sz val="11"/>
      <name val="CG Omega"/>
    </font>
    <font>
      <sz val="9"/>
      <name val="CG Omega"/>
    </font>
    <font>
      <u/>
      <sz val="10"/>
      <color theme="10"/>
      <name val="Verdana"/>
      <family val="2"/>
    </font>
    <font>
      <sz val="8"/>
      <name val="CG Omega"/>
    </font>
    <font>
      <b/>
      <sz val="9"/>
      <name val="CG Omega"/>
    </font>
    <font>
      <b/>
      <sz val="11"/>
      <name val="CG Omega"/>
    </font>
    <font>
      <b/>
      <u/>
      <sz val="10"/>
      <color theme="10"/>
      <name val="Verdana"/>
      <family val="2"/>
    </font>
    <font>
      <b/>
      <sz val="10"/>
      <color rgb="FF000000"/>
      <name val="Verdana"/>
      <family val="2"/>
    </font>
    <font>
      <sz val="8"/>
      <color rgb="FF00B0F0"/>
      <name val="Tahoma"/>
      <family val="2"/>
    </font>
    <font>
      <sz val="10"/>
      <color theme="0" tint="-0.499984740745262"/>
      <name val="Verdana"/>
      <family val="2"/>
    </font>
    <font>
      <i/>
      <sz val="10"/>
      <color theme="0" tint="-0.499984740745262"/>
      <name val="Verdana"/>
      <family val="2"/>
    </font>
    <font>
      <b/>
      <i/>
      <sz val="10"/>
      <color theme="1"/>
      <name val="Verdana"/>
      <family val="2"/>
    </font>
    <font>
      <i/>
      <sz val="10"/>
      <name val="Verdana"/>
      <family val="2"/>
    </font>
    <font>
      <sz val="10"/>
      <name val="CG Omega"/>
    </font>
    <font>
      <b/>
      <sz val="10"/>
      <name val="CG Omega"/>
    </font>
    <font>
      <sz val="10"/>
      <color theme="0" tint="-0.34998626667073579"/>
      <name val="Verdana"/>
      <family val="2"/>
    </font>
    <font>
      <sz val="9"/>
      <color theme="0" tint="-0.34998626667073579"/>
      <name val="CG Omega"/>
    </font>
    <font>
      <sz val="10"/>
      <color theme="0" tint="-0.34998626667073579"/>
      <name val="CG Omega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0" tint="-0.499984740745262"/>
      <name val="CG Omega"/>
    </font>
    <font>
      <sz val="10"/>
      <color rgb="FF00B0F0"/>
      <name val="Verdana"/>
      <family val="2"/>
    </font>
    <font>
      <sz val="9"/>
      <name val="Calibri"/>
      <family val="2"/>
      <scheme val="minor"/>
    </font>
    <font>
      <sz val="11"/>
      <name val="Arial"/>
      <family val="2"/>
    </font>
    <font>
      <sz val="10"/>
      <name val="CG Omega"/>
      <family val="2"/>
    </font>
    <font>
      <sz val="10"/>
      <color theme="8"/>
      <name val="Verdana"/>
      <family val="2"/>
    </font>
    <font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9"/>
      <color rgb="FFFF0000"/>
      <name val="CG Omega"/>
    </font>
    <font>
      <sz val="10"/>
      <color rgb="FFFF0000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Verdana"/>
      <family val="2"/>
    </font>
    <font>
      <b/>
      <sz val="10"/>
      <color theme="8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D99795"/>
        <bgColor indexed="64"/>
      </patternFill>
    </fill>
  </fills>
  <borders count="9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0" fontId="28" fillId="0" borderId="0"/>
  </cellStyleXfs>
  <cellXfs count="813">
    <xf numFmtId="0" fontId="0" fillId="0" borderId="0" xfId="0"/>
    <xf numFmtId="0" fontId="1" fillId="0" borderId="0" xfId="0" applyFont="1" applyAlignment="1">
      <alignment vertical="top" wrapText="1"/>
    </xf>
    <xf numFmtId="0" fontId="2" fillId="0" borderId="0" xfId="0" applyFont="1"/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vertical="top" wrapText="1"/>
    </xf>
    <xf numFmtId="0" fontId="0" fillId="0" borderId="1" xfId="0" applyBorder="1"/>
    <xf numFmtId="164" fontId="1" fillId="0" borderId="0" xfId="1" applyNumberFormat="1" applyFont="1" applyAlignment="1">
      <alignment vertical="top" wrapText="1"/>
    </xf>
    <xf numFmtId="0" fontId="0" fillId="0" borderId="2" xfId="0" applyFont="1" applyFill="1" applyBorder="1" applyAlignment="1">
      <alignment vertical="top" wrapText="1"/>
    </xf>
    <xf numFmtId="164" fontId="0" fillId="0" borderId="2" xfId="0" applyNumberFormat="1" applyBorder="1"/>
    <xf numFmtId="0" fontId="0" fillId="0" borderId="2" xfId="0" applyBorder="1"/>
    <xf numFmtId="164" fontId="0" fillId="0" borderId="0" xfId="1" applyNumberFormat="1" applyFont="1"/>
    <xf numFmtId="164" fontId="0" fillId="0" borderId="2" xfId="1" applyNumberFormat="1" applyFont="1" applyBorder="1"/>
    <xf numFmtId="0" fontId="0" fillId="0" borderId="0" xfId="0" applyBorder="1"/>
    <xf numFmtId="164" fontId="0" fillId="0" borderId="0" xfId="1" applyNumberFormat="1" applyFont="1" applyBorder="1"/>
    <xf numFmtId="3" fontId="0" fillId="0" borderId="0" xfId="0" applyNumberFormat="1"/>
    <xf numFmtId="10" fontId="0" fillId="0" borderId="0" xfId="2" applyNumberFormat="1" applyFont="1"/>
    <xf numFmtId="0" fontId="6" fillId="0" borderId="8" xfId="3" applyFont="1" applyBorder="1" applyAlignment="1">
      <alignment horizontal="center"/>
    </xf>
    <xf numFmtId="0" fontId="6" fillId="0" borderId="8" xfId="3" applyFont="1" applyBorder="1" applyAlignment="1">
      <alignment horizontal="center" vertical="top" wrapText="1"/>
    </xf>
    <xf numFmtId="0" fontId="6" fillId="0" borderId="10" xfId="3" applyFont="1" applyBorder="1" applyAlignment="1">
      <alignment horizontal="center" vertical="top" wrapText="1"/>
    </xf>
    <xf numFmtId="0" fontId="6" fillId="0" borderId="7" xfId="3" applyFont="1" applyFill="1" applyBorder="1"/>
    <xf numFmtId="0" fontId="6" fillId="0" borderId="11" xfId="3" applyFont="1" applyFill="1" applyBorder="1"/>
    <xf numFmtId="0" fontId="5" fillId="0" borderId="0" xfId="3" applyBorder="1"/>
    <xf numFmtId="0" fontId="6" fillId="0" borderId="0" xfId="3" applyFont="1" applyFill="1" applyBorder="1" applyAlignment="1">
      <alignment horizontal="center" vertical="top" wrapText="1"/>
    </xf>
    <xf numFmtId="3" fontId="5" fillId="0" borderId="0" xfId="3" applyNumberFormat="1" applyBorder="1"/>
    <xf numFmtId="0" fontId="8" fillId="0" borderId="0" xfId="3" applyFont="1" applyFill="1" applyBorder="1"/>
    <xf numFmtId="0" fontId="8" fillId="0" borderId="0" xfId="3" applyFont="1" applyBorder="1"/>
    <xf numFmtId="0" fontId="9" fillId="0" borderId="15" xfId="3" applyFont="1" applyFill="1" applyBorder="1"/>
    <xf numFmtId="0" fontId="10" fillId="0" borderId="0" xfId="3" applyFont="1"/>
    <xf numFmtId="0" fontId="11" fillId="0" borderId="0" xfId="4" applyFont="1" applyAlignment="1" applyProtection="1"/>
    <xf numFmtId="0" fontId="13" fillId="0" borderId="0" xfId="0" applyFont="1"/>
    <xf numFmtId="164" fontId="6" fillId="0" borderId="8" xfId="1" applyNumberFormat="1" applyFont="1" applyFill="1" applyBorder="1"/>
    <xf numFmtId="164" fontId="6" fillId="0" borderId="12" xfId="1" applyNumberFormat="1" applyFont="1" applyFill="1" applyBorder="1"/>
    <xf numFmtId="164" fontId="6" fillId="0" borderId="13" xfId="1" applyNumberFormat="1" applyFont="1" applyFill="1" applyBorder="1"/>
    <xf numFmtId="164" fontId="6" fillId="0" borderId="14" xfId="1" applyNumberFormat="1" applyFont="1" applyFill="1" applyBorder="1"/>
    <xf numFmtId="164" fontId="6" fillId="0" borderId="16" xfId="1" applyNumberFormat="1" applyFont="1" applyFill="1" applyBorder="1"/>
    <xf numFmtId="164" fontId="6" fillId="0" borderId="17" xfId="1" applyNumberFormat="1" applyFont="1" applyFill="1" applyBorder="1"/>
    <xf numFmtId="0" fontId="7" fillId="0" borderId="0" xfId="4" applyAlignment="1" applyProtection="1"/>
    <xf numFmtId="164" fontId="6" fillId="0" borderId="10" xfId="1" applyNumberFormat="1" applyFont="1" applyFill="1" applyBorder="1"/>
    <xf numFmtId="0" fontId="14" fillId="0" borderId="0" xfId="0" applyFont="1"/>
    <xf numFmtId="0" fontId="14" fillId="0" borderId="0" xfId="0" applyFont="1" applyAlignment="1">
      <alignment vertical="top" wrapText="1"/>
    </xf>
    <xf numFmtId="0" fontId="15" fillId="0" borderId="0" xfId="0" applyFont="1"/>
    <xf numFmtId="0" fontId="15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164" fontId="2" fillId="0" borderId="0" xfId="1" applyNumberFormat="1" applyFont="1"/>
    <xf numFmtId="0" fontId="17" fillId="0" borderId="0" xfId="0" applyFont="1"/>
    <xf numFmtId="164" fontId="0" fillId="0" borderId="18" xfId="1" applyNumberFormat="1" applyFont="1" applyBorder="1"/>
    <xf numFmtId="164" fontId="2" fillId="0" borderId="18" xfId="1" applyNumberFormat="1" applyFont="1" applyBorder="1"/>
    <xf numFmtId="0" fontId="15" fillId="0" borderId="18" xfId="0" applyFont="1" applyBorder="1"/>
    <xf numFmtId="0" fontId="0" fillId="0" borderId="18" xfId="0" applyBorder="1"/>
    <xf numFmtId="0" fontId="15" fillId="0" borderId="19" xfId="0" applyFont="1" applyBorder="1"/>
    <xf numFmtId="0" fontId="14" fillId="0" borderId="18" xfId="0" applyFont="1" applyBorder="1"/>
    <xf numFmtId="0" fontId="0" fillId="0" borderId="8" xfId="0" applyBorder="1"/>
    <xf numFmtId="0" fontId="9" fillId="0" borderId="3" xfId="3" applyFont="1" applyFill="1" applyBorder="1" applyAlignment="1"/>
    <xf numFmtId="0" fontId="10" fillId="0" borderId="4" xfId="3" applyFont="1" applyBorder="1"/>
    <xf numFmtId="0" fontId="0" fillId="0" borderId="7" xfId="0" applyBorder="1"/>
    <xf numFmtId="0" fontId="0" fillId="0" borderId="10" xfId="0" applyBorder="1"/>
    <xf numFmtId="0" fontId="0" fillId="0" borderId="15" xfId="0" applyBorder="1"/>
    <xf numFmtId="0" fontId="10" fillId="0" borderId="22" xfId="3" applyFont="1" applyBorder="1"/>
    <xf numFmtId="0" fontId="10" fillId="0" borderId="27" xfId="3" applyFont="1" applyBorder="1"/>
    <xf numFmtId="0" fontId="3" fillId="0" borderId="7" xfId="0" applyFont="1" applyBorder="1"/>
    <xf numFmtId="0" fontId="0" fillId="0" borderId="7" xfId="0" applyFont="1" applyBorder="1"/>
    <xf numFmtId="10" fontId="0" fillId="0" borderId="8" xfId="2" applyNumberFormat="1" applyFont="1" applyBorder="1"/>
    <xf numFmtId="10" fontId="0" fillId="0" borderId="10" xfId="2" applyNumberFormat="1" applyFont="1" applyBorder="1"/>
    <xf numFmtId="2" fontId="0" fillId="0" borderId="8" xfId="0" applyNumberFormat="1" applyBorder="1"/>
    <xf numFmtId="2" fontId="0" fillId="0" borderId="10" xfId="0" applyNumberFormat="1" applyBorder="1"/>
    <xf numFmtId="2" fontId="0" fillId="0" borderId="8" xfId="2" applyNumberFormat="1" applyFont="1" applyBorder="1"/>
    <xf numFmtId="2" fontId="0" fillId="0" borderId="10" xfId="2" applyNumberFormat="1" applyFont="1" applyBorder="1"/>
    <xf numFmtId="2" fontId="0" fillId="0" borderId="16" xfId="0" applyNumberFormat="1" applyBorder="1"/>
    <xf numFmtId="2" fontId="0" fillId="0" borderId="17" xfId="0" applyNumberFormat="1" applyBorder="1"/>
    <xf numFmtId="0" fontId="0" fillId="0" borderId="31" xfId="0" applyBorder="1"/>
    <xf numFmtId="2" fontId="0" fillId="0" borderId="31" xfId="0" applyNumberFormat="1" applyBorder="1"/>
    <xf numFmtId="2" fontId="0" fillId="0" borderId="31" xfId="2" applyNumberFormat="1" applyFont="1" applyBorder="1"/>
    <xf numFmtId="2" fontId="0" fillId="0" borderId="32" xfId="0" applyNumberFormat="1" applyBorder="1"/>
    <xf numFmtId="0" fontId="10" fillId="0" borderId="33" xfId="3" applyFont="1" applyBorder="1"/>
    <xf numFmtId="0" fontId="0" fillId="0" borderId="34" xfId="0" applyBorder="1"/>
    <xf numFmtId="2" fontId="0" fillId="0" borderId="34" xfId="0" applyNumberFormat="1" applyBorder="1"/>
    <xf numFmtId="2" fontId="0" fillId="0" borderId="34" xfId="2" applyNumberFormat="1" applyFont="1" applyBorder="1"/>
    <xf numFmtId="2" fontId="0" fillId="0" borderId="35" xfId="0" applyNumberFormat="1" applyBorder="1"/>
    <xf numFmtId="2" fontId="0" fillId="0" borderId="0" xfId="0" applyNumberFormat="1" applyBorder="1"/>
    <xf numFmtId="10" fontId="0" fillId="0" borderId="34" xfId="2" applyNumberFormat="1" applyFont="1" applyBorder="1"/>
    <xf numFmtId="10" fontId="0" fillId="0" borderId="31" xfId="2" applyNumberFormat="1" applyFont="1" applyBorder="1"/>
    <xf numFmtId="2" fontId="6" fillId="0" borderId="8" xfId="3" applyNumberFormat="1" applyFont="1" applyFill="1" applyBorder="1"/>
    <xf numFmtId="2" fontId="6" fillId="0" borderId="16" xfId="3" applyNumberFormat="1" applyFont="1" applyFill="1" applyBorder="1"/>
    <xf numFmtId="0" fontId="6" fillId="0" borderId="7" xfId="3" applyFont="1" applyFill="1" applyBorder="1" applyAlignment="1">
      <alignment horizontal="center" vertical="top"/>
    </xf>
    <xf numFmtId="10" fontId="6" fillId="0" borderId="8" xfId="3" applyNumberFormat="1" applyFont="1" applyFill="1" applyBorder="1"/>
    <xf numFmtId="10" fontId="6" fillId="0" borderId="9" xfId="3" applyNumberFormat="1" applyFont="1" applyFill="1" applyBorder="1"/>
    <xf numFmtId="0" fontId="4" fillId="0" borderId="9" xfId="0" applyFont="1" applyBorder="1" applyAlignment="1">
      <alignment horizontal="center" vertical="top"/>
    </xf>
    <xf numFmtId="0" fontId="4" fillId="0" borderId="10" xfId="0" applyFont="1" applyBorder="1" applyAlignment="1">
      <alignment horizontal="center" vertical="top"/>
    </xf>
    <xf numFmtId="43" fontId="0" fillId="0" borderId="0" xfId="1" applyFont="1"/>
    <xf numFmtId="43" fontId="0" fillId="0" borderId="2" xfId="1" applyFont="1" applyBorder="1"/>
    <xf numFmtId="0" fontId="1" fillId="0" borderId="23" xfId="0" applyFont="1" applyBorder="1" applyAlignment="1">
      <alignment vertical="top" wrapText="1"/>
    </xf>
    <xf numFmtId="0" fontId="2" fillId="0" borderId="23" xfId="0" applyFont="1" applyBorder="1" applyAlignment="1">
      <alignment vertical="top" wrapText="1"/>
    </xf>
    <xf numFmtId="10" fontId="0" fillId="0" borderId="0" xfId="0" applyNumberFormat="1"/>
    <xf numFmtId="0" fontId="16" fillId="0" borderId="2" xfId="0" applyFont="1" applyBorder="1" applyAlignment="1">
      <alignment wrapText="1"/>
    </xf>
    <xf numFmtId="0" fontId="0" fillId="0" borderId="9" xfId="0" applyBorder="1"/>
    <xf numFmtId="0" fontId="16" fillId="0" borderId="1" xfId="0" applyFont="1" applyBorder="1" applyAlignment="1">
      <alignment wrapText="1"/>
    </xf>
    <xf numFmtId="0" fontId="0" fillId="0" borderId="21" xfId="0" applyBorder="1"/>
    <xf numFmtId="165" fontId="18" fillId="0" borderId="8" xfId="0" applyNumberFormat="1" applyFont="1" applyBorder="1" applyAlignment="1">
      <alignment horizontal="center"/>
    </xf>
    <xf numFmtId="1" fontId="18" fillId="0" borderId="10" xfId="0" applyNumberFormat="1" applyFont="1" applyBorder="1" applyAlignment="1">
      <alignment horizontal="center"/>
    </xf>
    <xf numFmtId="0" fontId="18" fillId="0" borderId="7" xfId="0" applyFont="1" applyBorder="1" applyAlignment="1">
      <alignment horizontal="left"/>
    </xf>
    <xf numFmtId="0" fontId="18" fillId="0" borderId="41" xfId="0" applyFont="1" applyBorder="1" applyAlignment="1">
      <alignment horizontal="left"/>
    </xf>
    <xf numFmtId="0" fontId="18" fillId="0" borderId="37" xfId="0" applyFont="1" applyFill="1" applyBorder="1" applyAlignment="1">
      <alignment horizontal="center" vertical="center" wrapText="1"/>
    </xf>
    <xf numFmtId="0" fontId="18" fillId="0" borderId="31" xfId="0" applyFont="1" applyBorder="1" applyAlignment="1">
      <alignment horizontal="left"/>
    </xf>
    <xf numFmtId="0" fontId="18" fillId="0" borderId="2" xfId="0" applyFont="1" applyBorder="1" applyAlignment="1">
      <alignment horizontal="left"/>
    </xf>
    <xf numFmtId="165" fontId="18" fillId="0" borderId="7" xfId="0" applyNumberFormat="1" applyFont="1" applyFill="1" applyBorder="1" applyAlignment="1">
      <alignment horizontal="center"/>
    </xf>
    <xf numFmtId="0" fontId="18" fillId="0" borderId="38" xfId="0" applyFont="1" applyFill="1" applyBorder="1" applyAlignment="1">
      <alignment horizontal="center" vertical="center" wrapText="1"/>
    </xf>
    <xf numFmtId="0" fontId="18" fillId="0" borderId="39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top"/>
    </xf>
    <xf numFmtId="42" fontId="18" fillId="0" borderId="41" xfId="0" applyNumberFormat="1" applyFont="1" applyBorder="1" applyAlignment="1">
      <alignment horizontal="left"/>
    </xf>
    <xf numFmtId="0" fontId="18" fillId="0" borderId="34" xfId="0" applyFont="1" applyBorder="1" applyAlignment="1">
      <alignment horizontal="right"/>
    </xf>
    <xf numFmtId="0" fontId="18" fillId="0" borderId="8" xfId="0" applyFont="1" applyBorder="1" applyAlignment="1">
      <alignment horizontal="right"/>
    </xf>
    <xf numFmtId="0" fontId="18" fillId="0" borderId="51" xfId="0" applyFont="1" applyFill="1" applyBorder="1" applyAlignment="1">
      <alignment horizontal="center" vertical="center" wrapText="1"/>
    </xf>
    <xf numFmtId="0" fontId="18" fillId="0" borderId="50" xfId="0" applyFont="1" applyFill="1" applyBorder="1" applyAlignment="1">
      <alignment horizontal="center" vertical="center" wrapText="1"/>
    </xf>
    <xf numFmtId="0" fontId="18" fillId="0" borderId="52" xfId="0" applyFont="1" applyFill="1" applyBorder="1" applyAlignment="1">
      <alignment horizontal="center" vertical="center" wrapText="1"/>
    </xf>
    <xf numFmtId="0" fontId="18" fillId="0" borderId="28" xfId="0" applyFont="1" applyBorder="1" applyAlignment="1">
      <alignment horizontal="left"/>
    </xf>
    <xf numFmtId="0" fontId="18" fillId="0" borderId="42" xfId="0" applyFont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18" fillId="0" borderId="46" xfId="0" applyFont="1" applyBorder="1" applyAlignment="1">
      <alignment horizontal="right"/>
    </xf>
    <xf numFmtId="0" fontId="18" fillId="0" borderId="26" xfId="0" applyFont="1" applyBorder="1" applyAlignment="1">
      <alignment horizontal="right"/>
    </xf>
    <xf numFmtId="42" fontId="18" fillId="0" borderId="42" xfId="0" applyNumberFormat="1" applyFont="1" applyBorder="1" applyAlignment="1">
      <alignment horizontal="left"/>
    </xf>
    <xf numFmtId="0" fontId="18" fillId="0" borderId="11" xfId="0" applyFont="1" applyBorder="1" applyAlignment="1">
      <alignment horizontal="left"/>
    </xf>
    <xf numFmtId="0" fontId="18" fillId="0" borderId="53" xfId="0" applyFont="1" applyBorder="1" applyAlignment="1">
      <alignment horizontal="left"/>
    </xf>
    <xf numFmtId="0" fontId="18" fillId="0" borderId="19" xfId="0" applyFont="1" applyBorder="1" applyAlignment="1">
      <alignment horizontal="left"/>
    </xf>
    <xf numFmtId="0" fontId="19" fillId="0" borderId="0" xfId="0" applyFont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165" fontId="19" fillId="0" borderId="0" xfId="0" applyNumberFormat="1" applyFont="1" applyBorder="1" applyAlignment="1">
      <alignment horizontal="center"/>
    </xf>
    <xf numFmtId="0" fontId="20" fillId="0" borderId="0" xfId="0" applyFont="1"/>
    <xf numFmtId="164" fontId="21" fillId="0" borderId="0" xfId="1" applyNumberFormat="1" applyFont="1" applyFill="1" applyBorder="1"/>
    <xf numFmtId="3" fontId="20" fillId="0" borderId="0" xfId="0" applyNumberFormat="1" applyFont="1"/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18" fillId="0" borderId="8" xfId="3" applyFont="1" applyFill="1" applyBorder="1"/>
    <xf numFmtId="0" fontId="18" fillId="0" borderId="10" xfId="3" applyFont="1" applyFill="1" applyBorder="1"/>
    <xf numFmtId="0" fontId="18" fillId="0" borderId="26" xfId="3" applyFont="1" applyFill="1" applyBorder="1"/>
    <xf numFmtId="0" fontId="18" fillId="0" borderId="40" xfId="3" applyFont="1" applyFill="1" applyBorder="1"/>
    <xf numFmtId="0" fontId="18" fillId="0" borderId="61" xfId="3" applyFont="1" applyFill="1" applyBorder="1" applyAlignment="1">
      <alignment horizontal="center"/>
    </xf>
    <xf numFmtId="0" fontId="18" fillId="0" borderId="60" xfId="3" applyFont="1" applyFill="1" applyBorder="1" applyAlignment="1">
      <alignment horizontal="center"/>
    </xf>
    <xf numFmtId="0" fontId="18" fillId="0" borderId="62" xfId="3" applyFont="1" applyFill="1" applyBorder="1" applyAlignment="1">
      <alignment horizontal="center"/>
    </xf>
    <xf numFmtId="0" fontId="18" fillId="0" borderId="42" xfId="3" applyFont="1" applyFill="1" applyBorder="1"/>
    <xf numFmtId="0" fontId="18" fillId="0" borderId="41" xfId="3" applyFont="1" applyFill="1" applyBorder="1"/>
    <xf numFmtId="0" fontId="18" fillId="0" borderId="59" xfId="3" applyFont="1" applyFill="1" applyBorder="1" applyAlignment="1">
      <alignment horizontal="center"/>
    </xf>
    <xf numFmtId="0" fontId="19" fillId="0" borderId="63" xfId="3" applyFont="1" applyFill="1" applyBorder="1" applyAlignment="1">
      <alignment vertical="center" wrapText="1"/>
    </xf>
    <xf numFmtId="0" fontId="18" fillId="0" borderId="57" xfId="3" applyFont="1" applyFill="1" applyBorder="1" applyAlignment="1">
      <alignment vertical="center" wrapText="1"/>
    </xf>
    <xf numFmtId="0" fontId="19" fillId="0" borderId="57" xfId="3" applyFont="1" applyFill="1" applyBorder="1" applyAlignment="1">
      <alignment vertical="center" wrapText="1"/>
    </xf>
    <xf numFmtId="1" fontId="18" fillId="0" borderId="8" xfId="3" applyNumberFormat="1" applyFont="1" applyFill="1" applyBorder="1"/>
    <xf numFmtId="3" fontId="18" fillId="0" borderId="41" xfId="3" applyNumberFormat="1" applyFont="1" applyFill="1" applyBorder="1"/>
    <xf numFmtId="3" fontId="18" fillId="0" borderId="8" xfId="3" applyNumberFormat="1" applyFont="1" applyFill="1" applyBorder="1"/>
    <xf numFmtId="3" fontId="18" fillId="0" borderId="10" xfId="3" applyNumberFormat="1" applyFont="1" applyFill="1" applyBorder="1"/>
    <xf numFmtId="1" fontId="18" fillId="0" borderId="10" xfId="3" applyNumberFormat="1" applyFont="1" applyFill="1" applyBorder="1"/>
    <xf numFmtId="0" fontId="10" fillId="0" borderId="0" xfId="3" applyFont="1" applyBorder="1"/>
    <xf numFmtId="0" fontId="6" fillId="0" borderId="8" xfId="3" applyFont="1" applyBorder="1" applyAlignment="1">
      <alignment horizontal="center"/>
    </xf>
    <xf numFmtId="0" fontId="0" fillId="0" borderId="0" xfId="0" applyFill="1"/>
    <xf numFmtId="0" fontId="22" fillId="0" borderId="0" xfId="3" applyFont="1" applyFill="1" applyBorder="1" applyAlignment="1">
      <alignment vertical="center"/>
    </xf>
    <xf numFmtId="0" fontId="22" fillId="0" borderId="0" xfId="3" applyFont="1" applyFill="1" applyBorder="1" applyAlignment="1">
      <alignment horizontal="center"/>
    </xf>
    <xf numFmtId="0" fontId="7" fillId="0" borderId="0" xfId="4" applyFill="1" applyBorder="1" applyAlignment="1" applyProtection="1">
      <alignment vertical="center"/>
    </xf>
    <xf numFmtId="0" fontId="7" fillId="0" borderId="0" xfId="4" applyFill="1" applyBorder="1" applyAlignment="1" applyProtection="1">
      <alignment horizontal="left"/>
    </xf>
    <xf numFmtId="2" fontId="0" fillId="0" borderId="26" xfId="0" applyNumberFormat="1" applyBorder="1"/>
    <xf numFmtId="0" fontId="0" fillId="0" borderId="26" xfId="0" applyBorder="1"/>
    <xf numFmtId="0" fontId="18" fillId="0" borderId="67" xfId="0" applyFont="1" applyFill="1" applyBorder="1" applyAlignment="1">
      <alignment horizontal="center" vertical="center" wrapText="1"/>
    </xf>
    <xf numFmtId="0" fontId="18" fillId="0" borderId="68" xfId="0" applyFont="1" applyFill="1" applyBorder="1" applyAlignment="1">
      <alignment horizontal="center" vertical="center" wrapText="1"/>
    </xf>
    <xf numFmtId="165" fontId="0" fillId="0" borderId="28" xfId="0" applyNumberFormat="1" applyBorder="1"/>
    <xf numFmtId="166" fontId="0" fillId="0" borderId="40" xfId="0" applyNumberFormat="1" applyBorder="1"/>
    <xf numFmtId="2" fontId="0" fillId="0" borderId="7" xfId="0" applyNumberFormat="1" applyBorder="1"/>
    <xf numFmtId="42" fontId="18" fillId="0" borderId="36" xfId="0" applyNumberFormat="1" applyFont="1" applyBorder="1" applyAlignment="1">
      <alignment horizontal="left"/>
    </xf>
    <xf numFmtId="42" fontId="18" fillId="0" borderId="31" xfId="0" applyNumberFormat="1" applyFont="1" applyBorder="1" applyAlignment="1">
      <alignment horizontal="left"/>
    </xf>
    <xf numFmtId="165" fontId="18" fillId="0" borderId="41" xfId="0" applyNumberFormat="1" applyFont="1" applyFill="1" applyBorder="1" applyAlignment="1">
      <alignment horizontal="center"/>
    </xf>
    <xf numFmtId="0" fontId="18" fillId="0" borderId="69" xfId="0" applyFont="1" applyFill="1" applyBorder="1" applyAlignment="1">
      <alignment horizontal="center" vertical="center" wrapText="1"/>
    </xf>
    <xf numFmtId="0" fontId="18" fillId="0" borderId="70" xfId="0" applyFont="1" applyFill="1" applyBorder="1" applyAlignment="1">
      <alignment horizontal="center" vertical="center" wrapText="1"/>
    </xf>
    <xf numFmtId="165" fontId="0" fillId="0" borderId="7" xfId="0" applyNumberFormat="1" applyBorder="1"/>
    <xf numFmtId="166" fontId="0" fillId="0" borderId="10" xfId="0" applyNumberFormat="1" applyBorder="1"/>
    <xf numFmtId="165" fontId="0" fillId="0" borderId="66" xfId="0" applyNumberFormat="1" applyBorder="1"/>
    <xf numFmtId="2" fontId="0" fillId="0" borderId="65" xfId="0" applyNumberFormat="1" applyBorder="1"/>
    <xf numFmtId="41" fontId="6" fillId="0" borderId="8" xfId="1" applyNumberFormat="1" applyFont="1" applyFill="1" applyBorder="1"/>
    <xf numFmtId="41" fontId="0" fillId="0" borderId="8" xfId="0" applyNumberFormat="1" applyBorder="1"/>
    <xf numFmtId="41" fontId="6" fillId="0" borderId="10" xfId="1" applyNumberFormat="1" applyFont="1" applyFill="1" applyBorder="1"/>
    <xf numFmtId="41" fontId="6" fillId="0" borderId="12" xfId="1" applyNumberFormat="1" applyFont="1" applyFill="1" applyBorder="1"/>
    <xf numFmtId="41" fontId="6" fillId="0" borderId="16" xfId="1" applyNumberFormat="1" applyFont="1" applyFill="1" applyBorder="1"/>
    <xf numFmtId="41" fontId="6" fillId="0" borderId="17" xfId="1" applyNumberFormat="1" applyFont="1" applyFill="1" applyBorder="1"/>
    <xf numFmtId="41" fontId="0" fillId="0" borderId="10" xfId="0" applyNumberFormat="1" applyBorder="1"/>
    <xf numFmtId="41" fontId="6" fillId="0" borderId="14" xfId="1" applyNumberFormat="1" applyFont="1" applyFill="1" applyBorder="1"/>
    <xf numFmtId="0" fontId="19" fillId="0" borderId="35" xfId="0" applyFont="1" applyFill="1" applyBorder="1" applyAlignment="1">
      <alignment horizontal="center"/>
    </xf>
    <xf numFmtId="0" fontId="19" fillId="0" borderId="15" xfId="0" applyFont="1" applyFill="1" applyBorder="1" applyAlignment="1">
      <alignment horizontal="center"/>
    </xf>
    <xf numFmtId="0" fontId="19" fillId="0" borderId="43" xfId="0" applyFont="1" applyFill="1" applyBorder="1" applyAlignment="1">
      <alignment horizontal="center"/>
    </xf>
    <xf numFmtId="0" fontId="19" fillId="0" borderId="49" xfId="0" applyFont="1" applyFill="1" applyBorder="1" applyAlignment="1">
      <alignment horizontal="center"/>
    </xf>
    <xf numFmtId="0" fontId="19" fillId="0" borderId="54" xfId="3" applyFont="1" applyFill="1" applyBorder="1" applyAlignment="1">
      <alignment horizontal="center"/>
    </xf>
    <xf numFmtId="8" fontId="19" fillId="0" borderId="55" xfId="0" applyNumberFormat="1" applyFont="1" applyBorder="1" applyAlignment="1">
      <alignment horizontal="right"/>
    </xf>
    <xf numFmtId="8" fontId="19" fillId="0" borderId="19" xfId="0" applyNumberFormat="1" applyFont="1" applyBorder="1" applyAlignment="1">
      <alignment horizontal="right"/>
    </xf>
    <xf numFmtId="8" fontId="19" fillId="0" borderId="31" xfId="0" applyNumberFormat="1" applyFont="1" applyBorder="1" applyAlignment="1">
      <alignment horizontal="right"/>
    </xf>
    <xf numFmtId="8" fontId="19" fillId="0" borderId="8" xfId="0" applyNumberFormat="1" applyFont="1" applyBorder="1" applyAlignment="1">
      <alignment horizontal="right"/>
    </xf>
    <xf numFmtId="2" fontId="19" fillId="0" borderId="15" xfId="0" applyNumberFormat="1" applyFont="1" applyFill="1" applyBorder="1" applyAlignment="1">
      <alignment horizontal="center"/>
    </xf>
    <xf numFmtId="2" fontId="19" fillId="0" borderId="43" xfId="0" applyNumberFormat="1" applyFont="1" applyFill="1" applyBorder="1" applyAlignment="1">
      <alignment horizontal="center"/>
    </xf>
    <xf numFmtId="2" fontId="19" fillId="0" borderId="32" xfId="0" applyNumberFormat="1" applyFont="1" applyFill="1" applyBorder="1" applyAlignment="1">
      <alignment horizontal="center"/>
    </xf>
    <xf numFmtId="2" fontId="19" fillId="0" borderId="16" xfId="0" applyNumberFormat="1" applyFont="1" applyFill="1" applyBorder="1" applyAlignment="1">
      <alignment horizontal="center"/>
    </xf>
    <xf numFmtId="2" fontId="19" fillId="0" borderId="17" xfId="0" applyNumberFormat="1" applyFont="1" applyFill="1" applyBorder="1" applyAlignment="1">
      <alignment horizontal="center"/>
    </xf>
    <xf numFmtId="0" fontId="6" fillId="0" borderId="57" xfId="3" applyFont="1" applyFill="1" applyBorder="1"/>
    <xf numFmtId="0" fontId="19" fillId="0" borderId="72" xfId="3" applyFont="1" applyFill="1" applyBorder="1" applyAlignment="1">
      <alignment horizontal="center"/>
    </xf>
    <xf numFmtId="0" fontId="19" fillId="0" borderId="64" xfId="0" applyFont="1" applyFill="1" applyBorder="1" applyAlignment="1">
      <alignment horizontal="center"/>
    </xf>
    <xf numFmtId="0" fontId="6" fillId="0" borderId="63" xfId="3" applyFont="1" applyFill="1" applyBorder="1"/>
    <xf numFmtId="0" fontId="0" fillId="0" borderId="40" xfId="0" applyBorder="1"/>
    <xf numFmtId="0" fontId="0" fillId="0" borderId="16" xfId="0" applyBorder="1"/>
    <xf numFmtId="0" fontId="0" fillId="0" borderId="17" xfId="0" applyBorder="1"/>
    <xf numFmtId="0" fontId="0" fillId="0" borderId="28" xfId="0" applyBorder="1"/>
    <xf numFmtId="2" fontId="0" fillId="0" borderId="15" xfId="0" applyNumberFormat="1" applyBorder="1"/>
    <xf numFmtId="0" fontId="0" fillId="0" borderId="28" xfId="0" applyFill="1" applyBorder="1"/>
    <xf numFmtId="164" fontId="2" fillId="0" borderId="0" xfId="1" applyNumberFormat="1" applyFont="1" applyBorder="1"/>
    <xf numFmtId="0" fontId="15" fillId="0" borderId="0" xfId="0" applyFont="1" applyBorder="1"/>
    <xf numFmtId="0" fontId="17" fillId="0" borderId="0" xfId="0" applyFont="1" applyBorder="1"/>
    <xf numFmtId="0" fontId="1" fillId="0" borderId="53" xfId="0" applyFont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7" fillId="0" borderId="23" xfId="0" applyFont="1" applyBorder="1" applyAlignment="1">
      <alignment vertical="top" wrapText="1"/>
    </xf>
    <xf numFmtId="0" fontId="7" fillId="0" borderId="0" xfId="4" applyNumberFormat="1" applyAlignment="1" applyProtection="1"/>
    <xf numFmtId="0" fontId="6" fillId="0" borderId="34" xfId="3" applyFont="1" applyFill="1" applyBorder="1"/>
    <xf numFmtId="0" fontId="0" fillId="0" borderId="38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42" xfId="0" applyBorder="1"/>
    <xf numFmtId="0" fontId="0" fillId="0" borderId="41" xfId="0" applyBorder="1"/>
    <xf numFmtId="0" fontId="0" fillId="0" borderId="43" xfId="0" applyBorder="1"/>
    <xf numFmtId="0" fontId="0" fillId="0" borderId="37" xfId="0" applyBorder="1" applyAlignment="1">
      <alignment horizontal="center" wrapText="1"/>
    </xf>
    <xf numFmtId="3" fontId="0" fillId="0" borderId="8" xfId="0" applyNumberFormat="1" applyBorder="1"/>
    <xf numFmtId="0" fontId="0" fillId="0" borderId="30" xfId="0" applyBorder="1"/>
    <xf numFmtId="3" fontId="0" fillId="0" borderId="7" xfId="0" applyNumberFormat="1" applyBorder="1"/>
    <xf numFmtId="3" fontId="0" fillId="0" borderId="31" xfId="0" applyNumberFormat="1" applyBorder="1"/>
    <xf numFmtId="3" fontId="0" fillId="0" borderId="26" xfId="0" applyNumberFormat="1" applyBorder="1"/>
    <xf numFmtId="3" fontId="0" fillId="0" borderId="36" xfId="0" applyNumberFormat="1" applyBorder="1"/>
    <xf numFmtId="3" fontId="0" fillId="0" borderId="21" xfId="0" applyNumberFormat="1" applyBorder="1"/>
    <xf numFmtId="3" fontId="0" fillId="0" borderId="28" xfId="0" applyNumberFormat="1" applyBorder="1"/>
    <xf numFmtId="0" fontId="6" fillId="0" borderId="54" xfId="3" applyFont="1" applyFill="1" applyBorder="1"/>
    <xf numFmtId="0" fontId="6" fillId="2" borderId="54" xfId="3" applyFont="1" applyFill="1" applyBorder="1"/>
    <xf numFmtId="0" fontId="0" fillId="2" borderId="7" xfId="0" applyFill="1" applyBorder="1"/>
    <xf numFmtId="0" fontId="0" fillId="2" borderId="8" xfId="0" applyFill="1" applyBorder="1"/>
    <xf numFmtId="3" fontId="0" fillId="0" borderId="15" xfId="0" applyNumberFormat="1" applyBorder="1"/>
    <xf numFmtId="0" fontId="0" fillId="0" borderId="0" xfId="0" applyBorder="1" applyAlignment="1">
      <alignment horizontal="center"/>
    </xf>
    <xf numFmtId="3" fontId="0" fillId="2" borderId="8" xfId="0" applyNumberFormat="1" applyFill="1" applyBorder="1"/>
    <xf numFmtId="0" fontId="0" fillId="2" borderId="10" xfId="0" applyFill="1" applyBorder="1"/>
    <xf numFmtId="3" fontId="0" fillId="0" borderId="16" xfId="0" applyNumberFormat="1" applyBorder="1"/>
    <xf numFmtId="0" fontId="6" fillId="2" borderId="34" xfId="3" applyFont="1" applyFill="1" applyBorder="1"/>
    <xf numFmtId="0" fontId="0" fillId="2" borderId="41" xfId="0" applyFill="1" applyBorder="1"/>
    <xf numFmtId="0" fontId="6" fillId="0" borderId="46" xfId="3" applyFont="1" applyFill="1" applyBorder="1"/>
    <xf numFmtId="0" fontId="0" fillId="0" borderId="39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2" borderId="9" xfId="0" applyFill="1" applyBorder="1"/>
    <xf numFmtId="3" fontId="0" fillId="2" borderId="7" xfId="0" applyNumberFormat="1" applyFill="1" applyBorder="1"/>
    <xf numFmtId="0" fontId="0" fillId="2" borderId="28" xfId="0" applyFill="1" applyBorder="1"/>
    <xf numFmtId="0" fontId="0" fillId="2" borderId="26" xfId="0" applyFill="1" applyBorder="1"/>
    <xf numFmtId="0" fontId="19" fillId="0" borderId="64" xfId="0" applyFont="1" applyFill="1" applyBorder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3" fontId="0" fillId="0" borderId="7" xfId="0" applyNumberFormat="1" applyFill="1" applyBorder="1"/>
    <xf numFmtId="3" fontId="0" fillId="0" borderId="8" xfId="0" applyNumberFormat="1" applyFill="1" applyBorder="1"/>
    <xf numFmtId="10" fontId="0" fillId="0" borderId="8" xfId="0" applyNumberFormat="1" applyBorder="1"/>
    <xf numFmtId="10" fontId="0" fillId="0" borderId="3" xfId="2" applyNumberFormat="1" applyFont="1" applyBorder="1"/>
    <xf numFmtId="10" fontId="0" fillId="0" borderId="4" xfId="2" applyNumberFormat="1" applyFont="1" applyBorder="1"/>
    <xf numFmtId="10" fontId="0" fillId="0" borderId="7" xfId="2" applyNumberFormat="1" applyFont="1" applyBorder="1"/>
    <xf numFmtId="10" fontId="0" fillId="0" borderId="15" xfId="2" applyNumberFormat="1" applyFont="1" applyBorder="1"/>
    <xf numFmtId="10" fontId="0" fillId="0" borderId="16" xfId="2" applyNumberFormat="1" applyFont="1" applyBorder="1"/>
    <xf numFmtId="10" fontId="0" fillId="0" borderId="16" xfId="0" applyNumberFormat="1" applyBorder="1"/>
    <xf numFmtId="41" fontId="0" fillId="0" borderId="28" xfId="0" applyNumberFormat="1" applyBorder="1"/>
    <xf numFmtId="41" fontId="0" fillId="0" borderId="26" xfId="0" applyNumberFormat="1" applyBorder="1"/>
    <xf numFmtId="41" fontId="0" fillId="0" borderId="7" xfId="0" applyNumberFormat="1" applyBorder="1"/>
    <xf numFmtId="41" fontId="0" fillId="2" borderId="7" xfId="0" applyNumberFormat="1" applyFill="1" applyBorder="1"/>
    <xf numFmtId="41" fontId="0" fillId="2" borderId="8" xfId="0" applyNumberFormat="1" applyFill="1" applyBorder="1"/>
    <xf numFmtId="41" fontId="0" fillId="0" borderId="15" xfId="0" applyNumberFormat="1" applyBorder="1"/>
    <xf numFmtId="41" fontId="0" fillId="0" borderId="16" xfId="0" applyNumberFormat="1" applyBorder="1"/>
    <xf numFmtId="10" fontId="0" fillId="0" borderId="4" xfId="0" applyNumberFormat="1" applyBorder="1"/>
    <xf numFmtId="10" fontId="0" fillId="0" borderId="10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0" fontId="19" fillId="0" borderId="71" xfId="0" applyNumberFormat="1" applyFont="1" applyFill="1" applyBorder="1" applyAlignment="1">
      <alignment horizontal="center" wrapText="1"/>
    </xf>
    <xf numFmtId="10" fontId="0" fillId="0" borderId="6" xfId="0" applyNumberFormat="1" applyBorder="1" applyAlignment="1">
      <alignment horizontal="center"/>
    </xf>
    <xf numFmtId="10" fontId="19" fillId="0" borderId="57" xfId="0" applyNumberFormat="1" applyFont="1" applyFill="1" applyBorder="1" applyAlignment="1">
      <alignment horizontal="center" wrapText="1"/>
    </xf>
    <xf numFmtId="0" fontId="0" fillId="0" borderId="79" xfId="0" applyBorder="1"/>
    <xf numFmtId="0" fontId="0" fillId="2" borderId="11" xfId="0" applyFill="1" applyBorder="1"/>
    <xf numFmtId="0" fontId="0" fillId="2" borderId="12" xfId="0" applyFill="1" applyBorder="1"/>
    <xf numFmtId="0" fontId="0" fillId="2" borderId="14" xfId="0" applyFill="1" applyBorder="1"/>
    <xf numFmtId="0" fontId="0" fillId="2" borderId="53" xfId="0" applyFill="1" applyBorder="1"/>
    <xf numFmtId="0" fontId="6" fillId="0" borderId="33" xfId="3" applyFont="1" applyFill="1" applyBorder="1"/>
    <xf numFmtId="0" fontId="19" fillId="0" borderId="44" xfId="0" applyFont="1" applyFill="1" applyBorder="1" applyAlignment="1">
      <alignment horizontal="center" wrapText="1"/>
    </xf>
    <xf numFmtId="0" fontId="19" fillId="0" borderId="34" xfId="0" applyFont="1" applyFill="1" applyBorder="1" applyAlignment="1">
      <alignment horizontal="center" wrapText="1"/>
    </xf>
    <xf numFmtId="0" fontId="19" fillId="0" borderId="35" xfId="0" applyFont="1" applyFill="1" applyBorder="1" applyAlignment="1">
      <alignment horizontal="center" wrapText="1"/>
    </xf>
    <xf numFmtId="41" fontId="0" fillId="0" borderId="42" xfId="0" applyNumberFormat="1" applyBorder="1"/>
    <xf numFmtId="41" fontId="0" fillId="0" borderId="41" xfId="0" applyNumberFormat="1" applyBorder="1"/>
    <xf numFmtId="41" fontId="0" fillId="2" borderId="41" xfId="0" applyNumberFormat="1" applyFill="1" applyBorder="1"/>
    <xf numFmtId="41" fontId="0" fillId="0" borderId="43" xfId="0" applyNumberFormat="1" applyBorder="1"/>
    <xf numFmtId="10" fontId="19" fillId="0" borderId="8" xfId="0" applyNumberFormat="1" applyFont="1" applyFill="1" applyBorder="1" applyAlignment="1">
      <alignment horizontal="center" wrapText="1"/>
    </xf>
    <xf numFmtId="10" fontId="0" fillId="0" borderId="9" xfId="0" applyNumberFormat="1" applyBorder="1"/>
    <xf numFmtId="10" fontId="0" fillId="0" borderId="10" xfId="0" applyNumberFormat="1" applyBorder="1"/>
    <xf numFmtId="10" fontId="0" fillId="0" borderId="79" xfId="0" applyNumberFormat="1" applyBorder="1"/>
    <xf numFmtId="10" fontId="0" fillId="0" borderId="6" xfId="0" applyNumberFormat="1" applyBorder="1"/>
    <xf numFmtId="10" fontId="0" fillId="0" borderId="41" xfId="0" applyNumberFormat="1" applyBorder="1"/>
    <xf numFmtId="10" fontId="25" fillId="0" borderId="64" xfId="0" applyNumberFormat="1" applyFont="1" applyFill="1" applyBorder="1" applyAlignment="1">
      <alignment horizontal="center" wrapText="1"/>
    </xf>
    <xf numFmtId="10" fontId="14" fillId="0" borderId="43" xfId="0" applyNumberFormat="1" applyFont="1" applyBorder="1" applyAlignment="1">
      <alignment horizontal="center"/>
    </xf>
    <xf numFmtId="10" fontId="14" fillId="0" borderId="16" xfId="0" applyNumberFormat="1" applyFont="1" applyBorder="1" applyAlignment="1">
      <alignment horizontal="center"/>
    </xf>
    <xf numFmtId="10" fontId="14" fillId="0" borderId="17" xfId="0" applyNumberFormat="1" applyFont="1" applyBorder="1" applyAlignment="1">
      <alignment horizontal="center"/>
    </xf>
    <xf numFmtId="0" fontId="14" fillId="0" borderId="39" xfId="0" applyFont="1" applyBorder="1" applyAlignment="1">
      <alignment horizontal="center"/>
    </xf>
    <xf numFmtId="41" fontId="14" fillId="0" borderId="40" xfId="0" applyNumberFormat="1" applyFont="1" applyBorder="1" applyAlignment="1">
      <alignment horizontal="center"/>
    </xf>
    <xf numFmtId="41" fontId="14" fillId="2" borderId="10" xfId="0" applyNumberFormat="1" applyFont="1" applyFill="1" applyBorder="1" applyAlignment="1">
      <alignment horizontal="center"/>
    </xf>
    <xf numFmtId="41" fontId="14" fillId="0" borderId="10" xfId="0" applyNumberFormat="1" applyFont="1" applyBorder="1" applyAlignment="1">
      <alignment horizontal="center"/>
    </xf>
    <xf numFmtId="41" fontId="14" fillId="0" borderId="17" xfId="0" applyNumberFormat="1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3" fontId="0" fillId="0" borderId="9" xfId="0" applyNumberFormat="1" applyBorder="1"/>
    <xf numFmtId="3" fontId="0" fillId="2" borderId="9" xfId="0" applyNumberFormat="1" applyFill="1" applyBorder="1"/>
    <xf numFmtId="3" fontId="0" fillId="2" borderId="31" xfId="0" applyNumberFormat="1" applyFill="1" applyBorder="1"/>
    <xf numFmtId="3" fontId="0" fillId="0" borderId="10" xfId="0" applyNumberFormat="1" applyFill="1" applyBorder="1"/>
    <xf numFmtId="3" fontId="0" fillId="2" borderId="10" xfId="0" applyNumberFormat="1" applyFill="1" applyBorder="1"/>
    <xf numFmtId="3" fontId="0" fillId="0" borderId="35" xfId="0" applyNumberFormat="1" applyBorder="1"/>
    <xf numFmtId="3" fontId="0" fillId="0" borderId="17" xfId="0" applyNumberFormat="1" applyBorder="1"/>
    <xf numFmtId="41" fontId="0" fillId="0" borderId="0" xfId="0" applyNumberFormat="1"/>
    <xf numFmtId="3" fontId="0" fillId="0" borderId="9" xfId="0" applyNumberFormat="1" applyFill="1" applyBorder="1"/>
    <xf numFmtId="10" fontId="25" fillId="0" borderId="78" xfId="0" applyNumberFormat="1" applyFont="1" applyFill="1" applyBorder="1" applyAlignment="1">
      <alignment horizontal="center" wrapText="1"/>
    </xf>
    <xf numFmtId="10" fontId="14" fillId="0" borderId="81" xfId="0" applyNumberFormat="1" applyFont="1" applyBorder="1" applyAlignment="1">
      <alignment horizontal="center"/>
    </xf>
    <xf numFmtId="10" fontId="14" fillId="0" borderId="82" xfId="0" applyNumberFormat="1" applyFont="1" applyBorder="1" applyAlignment="1">
      <alignment horizontal="center"/>
    </xf>
    <xf numFmtId="3" fontId="0" fillId="2" borderId="11" xfId="0" applyNumberFormat="1" applyFill="1" applyBorder="1"/>
    <xf numFmtId="3" fontId="0" fillId="2" borderId="12" xfId="0" applyNumberFormat="1" applyFill="1" applyBorder="1"/>
    <xf numFmtId="3" fontId="0" fillId="2" borderId="13" xfId="0" applyNumberFormat="1" applyFill="1" applyBorder="1"/>
    <xf numFmtId="3" fontId="0" fillId="2" borderId="55" xfId="0" applyNumberFormat="1" applyFill="1" applyBorder="1"/>
    <xf numFmtId="3" fontId="0" fillId="0" borderId="3" xfId="0" applyNumberFormat="1" applyFill="1" applyBorder="1"/>
    <xf numFmtId="3" fontId="0" fillId="0" borderId="4" xfId="0" applyNumberFormat="1" applyFill="1" applyBorder="1"/>
    <xf numFmtId="3" fontId="0" fillId="0" borderId="5" xfId="0" applyNumberFormat="1" applyFill="1" applyBorder="1"/>
    <xf numFmtId="3" fontId="0" fillId="0" borderId="47" xfId="0" applyNumberFormat="1" applyFill="1" applyBorder="1"/>
    <xf numFmtId="0" fontId="6" fillId="0" borderId="44" xfId="3" applyFont="1" applyFill="1" applyBorder="1"/>
    <xf numFmtId="3" fontId="0" fillId="0" borderId="6" xfId="0" applyNumberFormat="1" applyFill="1" applyBorder="1"/>
    <xf numFmtId="0" fontId="0" fillId="2" borderId="13" xfId="0" applyFill="1" applyBorder="1"/>
    <xf numFmtId="0" fontId="0" fillId="0" borderId="5" xfId="0" applyBorder="1"/>
    <xf numFmtId="41" fontId="0" fillId="2" borderId="11" xfId="0" applyNumberFormat="1" applyFill="1" applyBorder="1"/>
    <xf numFmtId="41" fontId="0" fillId="2" borderId="12" xfId="0" applyNumberFormat="1" applyFill="1" applyBorder="1"/>
    <xf numFmtId="41" fontId="14" fillId="2" borderId="14" xfId="0" applyNumberFormat="1" applyFont="1" applyFill="1" applyBorder="1" applyAlignment="1">
      <alignment horizontal="center"/>
    </xf>
    <xf numFmtId="41" fontId="0" fillId="2" borderId="53" xfId="0" applyNumberFormat="1" applyFill="1" applyBorder="1"/>
    <xf numFmtId="41" fontId="0" fillId="0" borderId="3" xfId="0" applyNumberFormat="1" applyFill="1" applyBorder="1"/>
    <xf numFmtId="41" fontId="0" fillId="0" borderId="4" xfId="0" applyNumberFormat="1" applyFill="1" applyBorder="1"/>
    <xf numFmtId="41" fontId="14" fillId="0" borderId="6" xfId="0" applyNumberFormat="1" applyFont="1" applyFill="1" applyBorder="1" applyAlignment="1">
      <alignment horizontal="center"/>
    </xf>
    <xf numFmtId="41" fontId="0" fillId="0" borderId="79" xfId="0" applyNumberFormat="1" applyFill="1" applyBorder="1"/>
    <xf numFmtId="3" fontId="0" fillId="0" borderId="30" xfId="0" applyNumberFormat="1" applyBorder="1"/>
    <xf numFmtId="10" fontId="0" fillId="0" borderId="5" xfId="0" applyNumberFormat="1" applyBorder="1"/>
    <xf numFmtId="10" fontId="14" fillId="0" borderId="30" xfId="0" applyNumberFormat="1" applyFont="1" applyBorder="1" applyAlignment="1">
      <alignment horizontal="center"/>
    </xf>
    <xf numFmtId="10" fontId="0" fillId="0" borderId="3" xfId="0" applyNumberFormat="1" applyBorder="1"/>
    <xf numFmtId="10" fontId="0" fillId="0" borderId="7" xfId="0" applyNumberFormat="1" applyBorder="1"/>
    <xf numFmtId="10" fontId="14" fillId="0" borderId="15" xfId="0" applyNumberFormat="1" applyFont="1" applyBorder="1" applyAlignment="1">
      <alignment horizontal="center"/>
    </xf>
    <xf numFmtId="10" fontId="14" fillId="0" borderId="83" xfId="0" applyNumberFormat="1" applyFont="1" applyBorder="1" applyAlignment="1">
      <alignment horizontal="center"/>
    </xf>
    <xf numFmtId="10" fontId="14" fillId="0" borderId="84" xfId="0" applyNumberFormat="1" applyFont="1" applyBorder="1" applyAlignment="1">
      <alignment horizontal="center"/>
    </xf>
    <xf numFmtId="0" fontId="18" fillId="0" borderId="77" xfId="0" applyFont="1" applyFill="1" applyBorder="1" applyAlignment="1">
      <alignment horizontal="center" vertical="center" wrapText="1"/>
    </xf>
    <xf numFmtId="0" fontId="2" fillId="0" borderId="75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85" xfId="0" applyFont="1" applyBorder="1" applyAlignment="1">
      <alignment horizontal="center"/>
    </xf>
    <xf numFmtId="0" fontId="2" fillId="0" borderId="76" xfId="0" applyFont="1" applyBorder="1" applyAlignment="1">
      <alignment horizontal="center"/>
    </xf>
    <xf numFmtId="3" fontId="0" fillId="0" borderId="8" xfId="0" applyNumberFormat="1" applyFill="1" applyBorder="1" applyAlignment="1">
      <alignment horizontal="center" wrapText="1"/>
    </xf>
    <xf numFmtId="10" fontId="19" fillId="0" borderId="8" xfId="0" applyNumberFormat="1" applyFont="1" applyFill="1" applyBorder="1" applyAlignment="1">
      <alignment horizontal="left" wrapText="1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7" fillId="0" borderId="0" xfId="4" applyAlignment="1" applyProtection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2" fillId="0" borderId="35" xfId="0" applyFont="1" applyBorder="1" applyAlignment="1">
      <alignment horizontal="center"/>
    </xf>
    <xf numFmtId="43" fontId="0" fillId="0" borderId="28" xfId="0" applyNumberFormat="1" applyBorder="1"/>
    <xf numFmtId="43" fontId="0" fillId="0" borderId="26" xfId="0" applyNumberFormat="1" applyBorder="1"/>
    <xf numFmtId="43" fontId="0" fillId="0" borderId="7" xfId="0" applyNumberFormat="1" applyBorder="1"/>
    <xf numFmtId="43" fontId="0" fillId="0" borderId="8" xfId="0" applyNumberFormat="1" applyBorder="1"/>
    <xf numFmtId="43" fontId="0" fillId="0" borderId="12" xfId="0" applyNumberFormat="1" applyBorder="1"/>
    <xf numFmtId="43" fontId="0" fillId="0" borderId="41" xfId="0" applyNumberFormat="1" applyBorder="1"/>
    <xf numFmtId="43" fontId="0" fillId="0" borderId="15" xfId="0" applyNumberFormat="1" applyBorder="1"/>
    <xf numFmtId="43" fontId="0" fillId="0" borderId="16" xfId="0" applyNumberFormat="1" applyBorder="1"/>
    <xf numFmtId="43" fontId="0" fillId="0" borderId="63" xfId="0" applyNumberFormat="1" applyBorder="1"/>
    <xf numFmtId="43" fontId="0" fillId="0" borderId="57" xfId="0" applyNumberFormat="1" applyBorder="1"/>
    <xf numFmtId="43" fontId="0" fillId="0" borderId="64" xfId="0" applyNumberFormat="1" applyBorder="1"/>
    <xf numFmtId="0" fontId="10" fillId="0" borderId="0" xfId="0" applyFont="1" applyBorder="1" applyAlignment="1" applyProtection="1">
      <alignment horizontal="left"/>
    </xf>
    <xf numFmtId="43" fontId="6" fillId="0" borderId="8" xfId="0" applyNumberFormat="1" applyFont="1" applyBorder="1" applyAlignment="1" applyProtection="1">
      <alignment horizontal="left"/>
    </xf>
    <xf numFmtId="43" fontId="6" fillId="0" borderId="64" xfId="0" applyNumberFormat="1" applyFont="1" applyBorder="1" applyAlignment="1" applyProtection="1">
      <alignment horizontal="left"/>
    </xf>
    <xf numFmtId="43" fontId="6" fillId="0" borderId="7" xfId="0" applyNumberFormat="1" applyFont="1" applyBorder="1" applyAlignment="1" applyProtection="1">
      <alignment horizontal="left"/>
    </xf>
    <xf numFmtId="43" fontId="6" fillId="0" borderId="10" xfId="0" applyNumberFormat="1" applyFont="1" applyBorder="1" applyAlignment="1" applyProtection="1">
      <alignment horizontal="left"/>
    </xf>
    <xf numFmtId="43" fontId="6" fillId="0" borderId="15" xfId="0" applyNumberFormat="1" applyFont="1" applyBorder="1" applyAlignment="1" applyProtection="1">
      <alignment horizontal="left"/>
    </xf>
    <xf numFmtId="43" fontId="6" fillId="0" borderId="16" xfId="0" applyNumberFormat="1" applyFont="1" applyBorder="1" applyAlignment="1" applyProtection="1">
      <alignment horizontal="left"/>
    </xf>
    <xf numFmtId="43" fontId="6" fillId="0" borderId="17" xfId="0" applyNumberFormat="1" applyFont="1" applyBorder="1" applyAlignment="1" applyProtection="1">
      <alignment horizontal="left"/>
    </xf>
    <xf numFmtId="0" fontId="6" fillId="0" borderId="57" xfId="0" applyFont="1" applyBorder="1" applyAlignment="1" applyProtection="1">
      <alignment horizontal="left"/>
    </xf>
    <xf numFmtId="0" fontId="9" fillId="0" borderId="64" xfId="0" applyFont="1" applyBorder="1" applyAlignment="1" applyProtection="1">
      <alignment horizontal="center"/>
    </xf>
    <xf numFmtId="0" fontId="6" fillId="0" borderId="63" xfId="0" applyFont="1" applyBorder="1" applyAlignment="1" applyProtection="1">
      <alignment horizontal="left"/>
    </xf>
    <xf numFmtId="43" fontId="6" fillId="0" borderId="26" xfId="0" applyNumberFormat="1" applyFont="1" applyBorder="1" applyAlignment="1" applyProtection="1">
      <alignment horizontal="left"/>
    </xf>
    <xf numFmtId="43" fontId="6" fillId="0" borderId="40" xfId="0" applyNumberFormat="1" applyFont="1" applyBorder="1" applyAlignment="1" applyProtection="1">
      <alignment horizontal="left"/>
    </xf>
    <xf numFmtId="43" fontId="6" fillId="0" borderId="63" xfId="0" applyNumberFormat="1" applyFont="1" applyBorder="1" applyAlignment="1" applyProtection="1">
      <alignment horizontal="left"/>
    </xf>
    <xf numFmtId="43" fontId="6" fillId="0" borderId="28" xfId="0" applyNumberFormat="1" applyFont="1" applyBorder="1" applyAlignment="1" applyProtection="1">
      <alignment horizontal="left"/>
    </xf>
    <xf numFmtId="0" fontId="6" fillId="0" borderId="59" xfId="0" applyFont="1" applyBorder="1" applyAlignment="1" applyProtection="1">
      <alignment horizontal="center"/>
    </xf>
    <xf numFmtId="0" fontId="6" fillId="0" borderId="61" xfId="0" applyFont="1" applyBorder="1" applyAlignment="1" applyProtection="1">
      <alignment horizontal="center"/>
    </xf>
    <xf numFmtId="0" fontId="6" fillId="0" borderId="60" xfId="0" applyFont="1" applyBorder="1" applyAlignment="1" applyProtection="1">
      <alignment horizontal="center"/>
    </xf>
    <xf numFmtId="0" fontId="6" fillId="0" borderId="75" xfId="0" applyFont="1" applyBorder="1" applyAlignment="1" applyProtection="1">
      <alignment horizontal="center"/>
    </xf>
    <xf numFmtId="0" fontId="0" fillId="0" borderId="59" xfId="0" applyBorder="1"/>
    <xf numFmtId="0" fontId="0" fillId="0" borderId="77" xfId="0" applyBorder="1" applyAlignment="1">
      <alignment horizontal="center"/>
    </xf>
    <xf numFmtId="0" fontId="0" fillId="0" borderId="34" xfId="0" applyBorder="1" applyAlignment="1">
      <alignment horizontal="justify" vertical="top" wrapText="1"/>
    </xf>
    <xf numFmtId="0" fontId="0" fillId="0" borderId="61" xfId="0" applyBorder="1"/>
    <xf numFmtId="0" fontId="0" fillId="0" borderId="85" xfId="0" applyBorder="1"/>
    <xf numFmtId="0" fontId="0" fillId="0" borderId="62" xfId="0" applyBorder="1"/>
    <xf numFmtId="0" fontId="0" fillId="0" borderId="75" xfId="0" applyBorder="1" applyAlignment="1">
      <alignment horizontal="center"/>
    </xf>
    <xf numFmtId="0" fontId="7" fillId="0" borderId="0" xfId="4" applyBorder="1" applyAlignment="1" applyProtection="1"/>
    <xf numFmtId="0" fontId="0" fillId="0" borderId="54" xfId="0" applyBorder="1" applyAlignment="1">
      <alignment horizontal="justify" vertical="top" wrapText="1"/>
    </xf>
    <xf numFmtId="43" fontId="7" fillId="0" borderId="7" xfId="4" applyNumberFormat="1" applyBorder="1" applyAlignment="1" applyProtection="1">
      <alignment horizontal="justify" vertical="top" wrapText="1"/>
    </xf>
    <xf numFmtId="43" fontId="0" fillId="0" borderId="9" xfId="0" applyNumberFormat="1" applyBorder="1"/>
    <xf numFmtId="43" fontId="7" fillId="0" borderId="11" xfId="4" applyNumberFormat="1" applyBorder="1" applyAlignment="1" applyProtection="1">
      <alignment horizontal="justify" vertical="top" wrapText="1"/>
    </xf>
    <xf numFmtId="43" fontId="0" fillId="0" borderId="13" xfId="0" applyNumberFormat="1" applyBorder="1"/>
    <xf numFmtId="43" fontId="0" fillId="0" borderId="53" xfId="0" applyNumberFormat="1" applyBorder="1"/>
    <xf numFmtId="43" fontId="0" fillId="0" borderId="30" xfId="0" applyNumberFormat="1" applyBorder="1"/>
    <xf numFmtId="43" fontId="0" fillId="0" borderId="43" xfId="0" applyNumberFormat="1" applyBorder="1"/>
    <xf numFmtId="43" fontId="0" fillId="0" borderId="21" xfId="0" applyNumberFormat="1" applyBorder="1"/>
    <xf numFmtId="43" fontId="0" fillId="0" borderId="42" xfId="0" applyNumberFormat="1" applyBorder="1"/>
    <xf numFmtId="43" fontId="0" fillId="0" borderId="11" xfId="0" applyNumberFormat="1" applyBorder="1"/>
    <xf numFmtId="43" fontId="0" fillId="0" borderId="72" xfId="0" applyNumberFormat="1" applyBorder="1"/>
    <xf numFmtId="2" fontId="21" fillId="0" borderId="0" xfId="3" applyNumberFormat="1" applyFont="1" applyFill="1" applyBorder="1"/>
    <xf numFmtId="10" fontId="21" fillId="0" borderId="0" xfId="2" applyNumberFormat="1" applyFont="1" applyFill="1" applyBorder="1"/>
    <xf numFmtId="0" fontId="21" fillId="0" borderId="0" xfId="3" applyFont="1" applyFill="1" applyBorder="1"/>
    <xf numFmtId="10" fontId="6" fillId="0" borderId="41" xfId="3" applyNumberFormat="1" applyFont="1" applyFill="1" applyBorder="1"/>
    <xf numFmtId="10" fontId="6" fillId="0" borderId="43" xfId="3" applyNumberFormat="1" applyFont="1" applyFill="1" applyBorder="1"/>
    <xf numFmtId="0" fontId="7" fillId="0" borderId="0" xfId="4" applyFill="1" applyBorder="1" applyAlignment="1" applyProtection="1"/>
    <xf numFmtId="0" fontId="9" fillId="0" borderId="35" xfId="0" applyFont="1" applyBorder="1" applyAlignment="1" applyProtection="1">
      <alignment horizontal="center"/>
    </xf>
    <xf numFmtId="0" fontId="6" fillId="0" borderId="77" xfId="0" applyFont="1" applyBorder="1" applyAlignment="1" applyProtection="1">
      <alignment horizontal="center"/>
    </xf>
    <xf numFmtId="0" fontId="6" fillId="0" borderId="46" xfId="0" applyFont="1" applyBorder="1" applyAlignment="1" applyProtection="1">
      <alignment horizontal="left"/>
    </xf>
    <xf numFmtId="164" fontId="6" fillId="0" borderId="28" xfId="0" applyNumberFormat="1" applyFont="1" applyBorder="1" applyAlignment="1" applyProtection="1">
      <alignment horizontal="left"/>
    </xf>
    <xf numFmtId="164" fontId="6" fillId="0" borderId="26" xfId="0" applyNumberFormat="1" applyFont="1" applyBorder="1" applyAlignment="1" applyProtection="1">
      <alignment horizontal="left"/>
    </xf>
    <xf numFmtId="164" fontId="6" fillId="0" borderId="7" xfId="0" applyNumberFormat="1" applyFont="1" applyBorder="1" applyAlignment="1" applyProtection="1">
      <alignment horizontal="left"/>
    </xf>
    <xf numFmtId="164" fontId="6" fillId="0" borderId="8" xfId="0" applyNumberFormat="1" applyFont="1" applyBorder="1" applyAlignment="1" applyProtection="1">
      <alignment horizontal="left"/>
    </xf>
    <xf numFmtId="164" fontId="6" fillId="0" borderId="15" xfId="0" applyNumberFormat="1" applyFont="1" applyBorder="1" applyAlignment="1" applyProtection="1">
      <alignment horizontal="left"/>
    </xf>
    <xf numFmtId="164" fontId="6" fillId="0" borderId="16" xfId="0" applyNumberFormat="1" applyFont="1" applyBorder="1" applyAlignment="1" applyProtection="1">
      <alignment horizontal="left"/>
    </xf>
    <xf numFmtId="167" fontId="6" fillId="0" borderId="21" xfId="0" applyNumberFormat="1" applyFont="1" applyBorder="1" applyAlignment="1" applyProtection="1">
      <alignment horizontal="left"/>
    </xf>
    <xf numFmtId="167" fontId="6" fillId="0" borderId="30" xfId="0" applyNumberFormat="1" applyFont="1" applyBorder="1" applyAlignment="1" applyProtection="1">
      <alignment horizontal="left"/>
    </xf>
    <xf numFmtId="0" fontId="6" fillId="0" borderId="59" xfId="0" applyFont="1" applyBorder="1" applyAlignment="1" applyProtection="1">
      <alignment horizontal="center" vertical="top"/>
    </xf>
    <xf numFmtId="0" fontId="6" fillId="0" borderId="75" xfId="0" applyFont="1" applyBorder="1" applyAlignment="1" applyProtection="1">
      <alignment horizontal="center" vertical="top" wrapText="1"/>
    </xf>
    <xf numFmtId="0" fontId="6" fillId="0" borderId="61" xfId="0" applyFont="1" applyBorder="1" applyAlignment="1" applyProtection="1">
      <alignment horizontal="center" vertical="top" wrapText="1"/>
    </xf>
    <xf numFmtId="0" fontId="6" fillId="0" borderId="85" xfId="0" applyFont="1" applyBorder="1" applyAlignment="1" applyProtection="1">
      <alignment horizontal="center" vertical="top" wrapText="1"/>
    </xf>
    <xf numFmtId="0" fontId="6" fillId="0" borderId="75" xfId="0" applyFont="1" applyFill="1" applyBorder="1" applyAlignment="1" applyProtection="1">
      <alignment horizontal="center" vertical="top" wrapText="1"/>
    </xf>
    <xf numFmtId="0" fontId="6" fillId="0" borderId="60" xfId="0" applyFont="1" applyFill="1" applyBorder="1" applyAlignment="1" applyProtection="1">
      <alignment horizontal="center" vertical="top" wrapText="1"/>
    </xf>
    <xf numFmtId="10" fontId="0" fillId="0" borderId="40" xfId="2" applyNumberFormat="1" applyFont="1" applyBorder="1"/>
    <xf numFmtId="10" fontId="0" fillId="0" borderId="17" xfId="2" applyNumberFormat="1" applyFont="1" applyBorder="1"/>
    <xf numFmtId="0" fontId="0" fillId="0" borderId="0" xfId="0" applyFont="1" applyAlignment="1">
      <alignment vertical="center"/>
    </xf>
    <xf numFmtId="10" fontId="22" fillId="0" borderId="0" xfId="0" applyNumberFormat="1" applyFont="1" applyFill="1" applyBorder="1" applyAlignment="1">
      <alignment horizontal="left" wrapText="1"/>
    </xf>
    <xf numFmtId="10" fontId="22" fillId="0" borderId="23" xfId="0" applyNumberFormat="1" applyFont="1" applyFill="1" applyBorder="1" applyAlignment="1">
      <alignment horizontal="left" wrapText="1"/>
    </xf>
    <xf numFmtId="0" fontId="20" fillId="0" borderId="0" xfId="0" applyFont="1" applyBorder="1"/>
    <xf numFmtId="0" fontId="5" fillId="0" borderId="0" xfId="3"/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7" fillId="0" borderId="0" xfId="4" applyFill="1" applyAlignment="1" applyProtection="1">
      <alignment vertical="center"/>
    </xf>
    <xf numFmtId="0" fontId="4" fillId="0" borderId="0" xfId="3" applyFont="1" applyAlignment="1">
      <alignment horizontal="center" wrapText="1"/>
    </xf>
    <xf numFmtId="0" fontId="4" fillId="0" borderId="0" xfId="3" applyFont="1"/>
    <xf numFmtId="0" fontId="4" fillId="0" borderId="0" xfId="3" applyFont="1" applyBorder="1"/>
    <xf numFmtId="2" fontId="4" fillId="0" borderId="0" xfId="3" applyNumberFormat="1" applyFont="1"/>
    <xf numFmtId="165" fontId="4" fillId="0" borderId="0" xfId="3" applyNumberFormat="1" applyFont="1" applyAlignment="1">
      <alignment horizontal="right"/>
    </xf>
    <xf numFmtId="0" fontId="4" fillId="0" borderId="1" xfId="3" applyFont="1" applyBorder="1" applyAlignment="1">
      <alignment horizontal="center" wrapText="1"/>
    </xf>
    <xf numFmtId="0" fontId="4" fillId="0" borderId="1" xfId="3" applyFont="1" applyFill="1" applyBorder="1" applyAlignment="1">
      <alignment horizontal="center" wrapText="1"/>
    </xf>
    <xf numFmtId="0" fontId="0" fillId="0" borderId="0" xfId="0" applyFont="1"/>
    <xf numFmtId="165" fontId="0" fillId="0" borderId="0" xfId="0" applyNumberFormat="1"/>
    <xf numFmtId="0" fontId="2" fillId="0" borderId="0" xfId="0" applyFont="1" applyBorder="1"/>
    <xf numFmtId="0" fontId="2" fillId="0" borderId="1" xfId="0" applyFont="1" applyBorder="1"/>
    <xf numFmtId="168" fontId="0" fillId="0" borderId="19" xfId="0" applyNumberFormat="1" applyBorder="1"/>
    <xf numFmtId="168" fontId="0" fillId="0" borderId="0" xfId="0" applyNumberFormat="1" applyBorder="1"/>
    <xf numFmtId="168" fontId="0" fillId="0" borderId="1" xfId="0" applyNumberFormat="1" applyBorder="1"/>
    <xf numFmtId="168" fontId="0" fillId="0" borderId="0" xfId="0" applyNumberFormat="1"/>
    <xf numFmtId="168" fontId="0" fillId="0" borderId="2" xfId="0" applyNumberFormat="1" applyBorder="1"/>
    <xf numFmtId="168" fontId="0" fillId="4" borderId="8" xfId="0" applyNumberFormat="1" applyFill="1" applyBorder="1"/>
    <xf numFmtId="0" fontId="0" fillId="3" borderId="0" xfId="0" applyFill="1" applyAlignment="1">
      <alignment horizontal="centerContinuous"/>
    </xf>
    <xf numFmtId="0" fontId="2" fillId="0" borderId="0" xfId="0" applyFont="1" applyFill="1"/>
    <xf numFmtId="0" fontId="2" fillId="0" borderId="0" xfId="0" applyFont="1" applyFill="1" applyBorder="1" applyAlignment="1">
      <alignment horizontal="center" vertical="center"/>
    </xf>
    <xf numFmtId="168" fontId="0" fillId="0" borderId="0" xfId="0" applyNumberFormat="1" applyFill="1" applyBorder="1"/>
    <xf numFmtId="0" fontId="2" fillId="0" borderId="0" xfId="0" applyFont="1" applyFill="1" applyBorder="1" applyAlignment="1">
      <alignment horizontal="left" vertical="center"/>
    </xf>
    <xf numFmtId="0" fontId="4" fillId="0" borderId="0" xfId="3" applyFont="1" applyAlignment="1">
      <alignment horizontal="right"/>
    </xf>
    <xf numFmtId="0" fontId="26" fillId="0" borderId="0" xfId="3" applyFont="1"/>
    <xf numFmtId="0" fontId="27" fillId="0" borderId="0" xfId="3" applyFont="1"/>
    <xf numFmtId="2" fontId="27" fillId="0" borderId="0" xfId="3" applyNumberFormat="1" applyFont="1" applyAlignment="1">
      <alignment horizontal="center"/>
    </xf>
    <xf numFmtId="0" fontId="27" fillId="0" borderId="0" xfId="3" applyFont="1" applyAlignment="1">
      <alignment horizontal="center"/>
    </xf>
    <xf numFmtId="0" fontId="27" fillId="0" borderId="0" xfId="3" applyFont="1" applyAlignment="1">
      <alignment horizontal="right"/>
    </xf>
    <xf numFmtId="0" fontId="0" fillId="0" borderId="0" xfId="0" applyFont="1" applyBorder="1"/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0" fillId="0" borderId="0" xfId="0" applyFill="1" applyBorder="1"/>
    <xf numFmtId="0" fontId="3" fillId="0" borderId="1" xfId="0" applyFont="1" applyBorder="1"/>
    <xf numFmtId="167" fontId="6" fillId="0" borderId="49" xfId="0" applyNumberFormat="1" applyFont="1" applyBorder="1" applyAlignment="1" applyProtection="1">
      <alignment horizontal="left"/>
    </xf>
    <xf numFmtId="0" fontId="0" fillId="0" borderId="0" xfId="0" applyFont="1" applyAlignment="1">
      <alignment vertical="top"/>
    </xf>
    <xf numFmtId="0" fontId="29" fillId="0" borderId="0" xfId="6" applyFont="1" applyBorder="1" applyProtection="1"/>
    <xf numFmtId="0" fontId="29" fillId="0" borderId="0" xfId="6" applyFont="1" applyProtection="1"/>
    <xf numFmtId="8" fontId="19" fillId="0" borderId="54" xfId="0" applyNumberFormat="1" applyFont="1" applyBorder="1" applyAlignment="1">
      <alignment horizontal="right"/>
    </xf>
    <xf numFmtId="0" fontId="4" fillId="0" borderId="0" xfId="3" applyFont="1" applyBorder="1" applyAlignment="1">
      <alignment horizontal="center"/>
    </xf>
    <xf numFmtId="1" fontId="4" fillId="0" borderId="0" xfId="3" applyNumberFormat="1" applyFont="1" applyBorder="1"/>
    <xf numFmtId="2" fontId="4" fillId="0" borderId="0" xfId="3" applyNumberFormat="1" applyFont="1" applyBorder="1"/>
    <xf numFmtId="2" fontId="4" fillId="0" borderId="0" xfId="3" applyNumberFormat="1" applyFont="1" applyFill="1" applyBorder="1"/>
    <xf numFmtId="0" fontId="27" fillId="0" borderId="1" xfId="3" applyFont="1" applyBorder="1" applyAlignment="1">
      <alignment horizontal="center" wrapText="1"/>
    </xf>
    <xf numFmtId="0" fontId="0" fillId="0" borderId="1" xfId="0" applyFont="1" applyBorder="1"/>
    <xf numFmtId="165" fontId="18" fillId="0" borderId="7" xfId="0" applyNumberFormat="1" applyFont="1" applyBorder="1" applyAlignment="1">
      <alignment horizontal="right"/>
    </xf>
    <xf numFmtId="165" fontId="18" fillId="0" borderId="41" xfId="0" applyNumberFormat="1" applyFont="1" applyBorder="1" applyAlignment="1">
      <alignment horizontal="right"/>
    </xf>
    <xf numFmtId="165" fontId="18" fillId="0" borderId="11" xfId="0" applyNumberFormat="1" applyFont="1" applyBorder="1" applyAlignment="1">
      <alignment horizontal="right"/>
    </xf>
    <xf numFmtId="165" fontId="18" fillId="0" borderId="53" xfId="0" applyNumberFormat="1" applyFont="1" applyBorder="1" applyAlignment="1">
      <alignment horizontal="right"/>
    </xf>
    <xf numFmtId="165" fontId="19" fillId="0" borderId="15" xfId="0" applyNumberFormat="1" applyFont="1" applyFill="1" applyBorder="1" applyAlignment="1">
      <alignment horizontal="right"/>
    </xf>
    <xf numFmtId="165" fontId="19" fillId="0" borderId="43" xfId="0" applyNumberFormat="1" applyFont="1" applyFill="1" applyBorder="1" applyAlignment="1">
      <alignment horizontal="right"/>
    </xf>
    <xf numFmtId="165" fontId="18" fillId="0" borderId="28" xfId="0" applyNumberFormat="1" applyFont="1" applyBorder="1" applyAlignment="1">
      <alignment horizontal="right"/>
    </xf>
    <xf numFmtId="165" fontId="18" fillId="0" borderId="42" xfId="0" applyNumberFormat="1" applyFont="1" applyBorder="1" applyAlignment="1">
      <alignment horizontal="right"/>
    </xf>
    <xf numFmtId="0" fontId="0" fillId="0" borderId="19" xfId="0" applyBorder="1"/>
    <xf numFmtId="43" fontId="0" fillId="0" borderId="0" xfId="0" applyNumberFormat="1" applyBorder="1"/>
    <xf numFmtId="43" fontId="0" fillId="0" borderId="0" xfId="0" applyNumberFormat="1"/>
    <xf numFmtId="43" fontId="0" fillId="0" borderId="1" xfId="0" applyNumberFormat="1" applyBorder="1"/>
    <xf numFmtId="169" fontId="0" fillId="4" borderId="8" xfId="0" applyNumberFormat="1" applyFill="1" applyBorder="1"/>
    <xf numFmtId="169" fontId="0" fillId="0" borderId="0" xfId="0" applyNumberFormat="1" applyFill="1" applyBorder="1"/>
    <xf numFmtId="168" fontId="0" fillId="0" borderId="0" xfId="0" applyNumberFormat="1" applyFill="1" applyBorder="1" applyAlignment="1">
      <alignment horizontal="right"/>
    </xf>
    <xf numFmtId="169" fontId="0" fillId="0" borderId="8" xfId="0" applyNumberFormat="1" applyFill="1" applyBorder="1"/>
    <xf numFmtId="0" fontId="0" fillId="0" borderId="9" xfId="0" applyFill="1" applyBorder="1"/>
    <xf numFmtId="0" fontId="0" fillId="0" borderId="41" xfId="0" applyFill="1" applyBorder="1" applyAlignment="1">
      <alignment horizontal="right"/>
    </xf>
    <xf numFmtId="0" fontId="0" fillId="0" borderId="41" xfId="0" applyBorder="1" applyAlignment="1">
      <alignment horizontal="right"/>
    </xf>
    <xf numFmtId="0" fontId="7" fillId="0" borderId="0" xfId="4" applyFill="1" applyAlignment="1" applyProtection="1"/>
    <xf numFmtId="167" fontId="6" fillId="0" borderId="65" xfId="0" applyNumberFormat="1" applyFont="1" applyBorder="1" applyAlignment="1" applyProtection="1">
      <alignment horizontal="left"/>
    </xf>
    <xf numFmtId="167" fontId="6" fillId="0" borderId="8" xfId="0" applyNumberFormat="1" applyFont="1" applyBorder="1" applyAlignment="1" applyProtection="1">
      <alignment horizontal="left"/>
    </xf>
    <xf numFmtId="167" fontId="6" fillId="0" borderId="26" xfId="0" applyNumberFormat="1" applyFont="1" applyBorder="1" applyAlignment="1" applyProtection="1">
      <alignment horizontal="left"/>
    </xf>
    <xf numFmtId="167" fontId="6" fillId="0" borderId="16" xfId="0" applyNumberFormat="1" applyFont="1" applyBorder="1" applyAlignment="1" applyProtection="1">
      <alignment horizontal="left"/>
    </xf>
    <xf numFmtId="0" fontId="30" fillId="0" borderId="0" xfId="0" applyFont="1"/>
    <xf numFmtId="167" fontId="6" fillId="0" borderId="87" xfId="0" applyNumberFormat="1" applyFont="1" applyBorder="1" applyAlignment="1" applyProtection="1">
      <alignment horizontal="left"/>
    </xf>
    <xf numFmtId="0" fontId="6" fillId="0" borderId="59" xfId="0" applyFont="1" applyFill="1" applyBorder="1" applyAlignment="1" applyProtection="1">
      <alignment horizontal="center" vertical="top" wrapText="1"/>
    </xf>
    <xf numFmtId="170" fontId="6" fillId="0" borderId="63" xfId="2" applyNumberFormat="1" applyFont="1" applyBorder="1" applyAlignment="1" applyProtection="1"/>
    <xf numFmtId="170" fontId="6" fillId="0" borderId="89" xfId="2" applyNumberFormat="1" applyFont="1" applyBorder="1" applyAlignment="1" applyProtection="1"/>
    <xf numFmtId="0" fontId="6" fillId="0" borderId="62" xfId="0" applyFont="1" applyFill="1" applyBorder="1" applyAlignment="1" applyProtection="1">
      <alignment horizontal="center" vertical="top" wrapText="1"/>
    </xf>
    <xf numFmtId="2" fontId="0" fillId="0" borderId="1" xfId="0" applyNumberFormat="1" applyBorder="1"/>
    <xf numFmtId="2" fontId="0" fillId="0" borderId="2" xfId="0" applyNumberFormat="1" applyBorder="1"/>
    <xf numFmtId="43" fontId="0" fillId="0" borderId="91" xfId="0" applyNumberFormat="1" applyBorder="1" applyAlignment="1">
      <alignment horizontal="right"/>
    </xf>
    <xf numFmtId="43" fontId="0" fillId="0" borderId="41" xfId="0" applyNumberFormat="1" applyBorder="1" applyAlignment="1">
      <alignment horizontal="right"/>
    </xf>
    <xf numFmtId="43" fontId="0" fillId="0" borderId="43" xfId="0" applyNumberFormat="1" applyBorder="1" applyAlignment="1">
      <alignment horizontal="right"/>
    </xf>
    <xf numFmtId="43" fontId="6" fillId="0" borderId="28" xfId="1" applyFont="1" applyBorder="1" applyAlignment="1" applyProtection="1"/>
    <xf numFmtId="43" fontId="6" fillId="0" borderId="90" xfId="1" applyFont="1" applyBorder="1" applyAlignment="1" applyProtection="1"/>
    <xf numFmtId="2" fontId="0" fillId="0" borderId="28" xfId="2" applyNumberFormat="1" applyFont="1" applyBorder="1"/>
    <xf numFmtId="2" fontId="0" fillId="0" borderId="90" xfId="2" applyNumberFormat="1" applyFont="1" applyBorder="1"/>
    <xf numFmtId="2" fontId="0" fillId="0" borderId="9" xfId="2" applyNumberFormat="1" applyFont="1" applyBorder="1"/>
    <xf numFmtId="0" fontId="0" fillId="5" borderId="8" xfId="0" applyFill="1" applyBorder="1"/>
    <xf numFmtId="0" fontId="0" fillId="6" borderId="8" xfId="0" applyFill="1" applyBorder="1"/>
    <xf numFmtId="0" fontId="0" fillId="7" borderId="8" xfId="0" applyFill="1" applyBorder="1"/>
    <xf numFmtId="0" fontId="0" fillId="0" borderId="0" xfId="0" applyAlignment="1">
      <alignment horizontal="center" wrapText="1"/>
    </xf>
    <xf numFmtId="0" fontId="3" fillId="0" borderId="0" xfId="0" applyFont="1"/>
    <xf numFmtId="167" fontId="0" fillId="0" borderId="8" xfId="0" applyNumberFormat="1" applyBorder="1"/>
    <xf numFmtId="0" fontId="2" fillId="0" borderId="8" xfId="0" applyFont="1" applyBorder="1" applyAlignment="1">
      <alignment wrapText="1"/>
    </xf>
    <xf numFmtId="0" fontId="6" fillId="2" borderId="57" xfId="3" applyFont="1" applyFill="1" applyBorder="1"/>
    <xf numFmtId="0" fontId="6" fillId="2" borderId="72" xfId="3" applyFont="1" applyFill="1" applyBorder="1"/>
    <xf numFmtId="0" fontId="6" fillId="0" borderId="71" xfId="3" applyFont="1" applyFill="1" applyBorder="1"/>
    <xf numFmtId="3" fontId="0" fillId="0" borderId="9" xfId="0" applyNumberFormat="1" applyBorder="1" applyAlignment="1">
      <alignment horizontal="centerContinuous"/>
    </xf>
    <xf numFmtId="3" fontId="0" fillId="0" borderId="41" xfId="0" applyNumberFormat="1" applyBorder="1" applyAlignment="1">
      <alignment horizontal="centerContinuous"/>
    </xf>
    <xf numFmtId="0" fontId="0" fillId="0" borderId="19" xfId="0" applyFon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12" xfId="0" applyNumberFormat="1" applyFont="1" applyBorder="1" applyAlignment="1">
      <alignment horizontal="center"/>
    </xf>
    <xf numFmtId="9" fontId="0" fillId="0" borderId="26" xfId="2" applyNumberFormat="1" applyFont="1" applyBorder="1" applyAlignment="1">
      <alignment horizontal="center"/>
    </xf>
    <xf numFmtId="9" fontId="0" fillId="0" borderId="26" xfId="2" applyFont="1" applyBorder="1" applyAlignment="1">
      <alignment horizontal="center"/>
    </xf>
    <xf numFmtId="0" fontId="2" fillId="0" borderId="8" xfId="0" applyFont="1" applyBorder="1" applyAlignment="1">
      <alignment horizontal="center" wrapText="1"/>
    </xf>
    <xf numFmtId="0" fontId="2" fillId="0" borderId="12" xfId="0" applyFont="1" applyBorder="1" applyAlignment="1">
      <alignment horizontal="left" vertical="center" wrapText="1"/>
    </xf>
    <xf numFmtId="0" fontId="2" fillId="0" borderId="26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10" fontId="0" fillId="0" borderId="0" xfId="0" applyNumberFormat="1" applyFont="1"/>
    <xf numFmtId="0" fontId="0" fillId="0" borderId="8" xfId="0" applyFont="1" applyBorder="1"/>
    <xf numFmtId="0" fontId="0" fillId="0" borderId="8" xfId="0" applyBorder="1" applyAlignment="1">
      <alignment horizontal="center"/>
    </xf>
    <xf numFmtId="2" fontId="0" fillId="0" borderId="8" xfId="0" applyNumberFormat="1" applyFont="1" applyBorder="1"/>
    <xf numFmtId="0" fontId="0" fillId="0" borderId="8" xfId="0" applyFont="1" applyBorder="1" applyAlignment="1">
      <alignment horizontal="right"/>
    </xf>
    <xf numFmtId="0" fontId="0" fillId="0" borderId="0" xfId="0" applyAlignment="1">
      <alignment horizontal="right"/>
    </xf>
    <xf numFmtId="2" fontId="0" fillId="0" borderId="8" xfId="0" applyNumberFormat="1" applyFont="1" applyBorder="1" applyAlignment="1">
      <alignment horizontal="right"/>
    </xf>
    <xf numFmtId="168" fontId="0" fillId="0" borderId="0" xfId="0" applyNumberFormat="1" applyFill="1"/>
    <xf numFmtId="0" fontId="2" fillId="3" borderId="8" xfId="0" applyFont="1" applyFill="1" applyBorder="1" applyAlignment="1">
      <alignment horizontal="center" vertical="center"/>
    </xf>
    <xf numFmtId="2" fontId="0" fillId="0" borderId="0" xfId="0" applyNumberFormat="1"/>
    <xf numFmtId="165" fontId="0" fillId="0" borderId="8" xfId="0" applyNumberFormat="1" applyBorder="1"/>
    <xf numFmtId="0" fontId="4" fillId="0" borderId="1" xfId="3" applyFont="1" applyBorder="1" applyAlignment="1">
      <alignment horizontal="centerContinuous"/>
    </xf>
    <xf numFmtId="0" fontId="4" fillId="0" borderId="1" xfId="3" applyFont="1" applyBorder="1" applyAlignment="1">
      <alignment horizontal="centerContinuous" wrapText="1"/>
    </xf>
    <xf numFmtId="172" fontId="0" fillId="0" borderId="0" xfId="0" applyNumberFormat="1"/>
    <xf numFmtId="1" fontId="0" fillId="0" borderId="0" xfId="0" applyNumberFormat="1"/>
    <xf numFmtId="0" fontId="3" fillId="0" borderId="1" xfId="0" applyFont="1" applyFill="1" applyBorder="1"/>
    <xf numFmtId="165" fontId="0" fillId="0" borderId="19" xfId="0" applyNumberFormat="1" applyBorder="1"/>
    <xf numFmtId="10" fontId="0" fillId="0" borderId="19" xfId="2" applyNumberFormat="1" applyFont="1" applyBorder="1"/>
    <xf numFmtId="165" fontId="0" fillId="0" borderId="0" xfId="0" applyNumberFormat="1" applyBorder="1"/>
    <xf numFmtId="10" fontId="0" fillId="0" borderId="0" xfId="2" applyNumberFormat="1" applyFont="1" applyBorder="1"/>
    <xf numFmtId="165" fontId="0" fillId="0" borderId="1" xfId="0" applyNumberFormat="1" applyBorder="1"/>
    <xf numFmtId="10" fontId="0" fillId="0" borderId="1" xfId="2" applyNumberFormat="1" applyFont="1" applyBorder="1"/>
    <xf numFmtId="167" fontId="0" fillId="0" borderId="26" xfId="0" applyNumberFormat="1" applyBorder="1"/>
    <xf numFmtId="167" fontId="6" fillId="0" borderId="92" xfId="0" applyNumberFormat="1" applyFont="1" applyBorder="1" applyAlignment="1" applyProtection="1">
      <alignment horizontal="left"/>
    </xf>
    <xf numFmtId="170" fontId="0" fillId="0" borderId="40" xfId="2" applyNumberFormat="1" applyFont="1" applyBorder="1"/>
    <xf numFmtId="170" fontId="0" fillId="0" borderId="88" xfId="2" applyNumberFormat="1" applyFont="1" applyBorder="1"/>
    <xf numFmtId="0" fontId="0" fillId="0" borderId="8" xfId="0" applyFill="1" applyBorder="1" applyAlignment="1">
      <alignment horizontal="center"/>
    </xf>
    <xf numFmtId="0" fontId="0" fillId="0" borderId="8" xfId="0" applyBorder="1" applyAlignment="1">
      <alignment horizontal="right"/>
    </xf>
    <xf numFmtId="43" fontId="6" fillId="0" borderId="46" xfId="0" applyNumberFormat="1" applyFont="1" applyBorder="1" applyAlignment="1" applyProtection="1">
      <alignment horizontal="left"/>
    </xf>
    <xf numFmtId="43" fontId="6" fillId="0" borderId="34" xfId="0" applyNumberFormat="1" applyFont="1" applyBorder="1" applyAlignment="1" applyProtection="1">
      <alignment horizontal="left"/>
    </xf>
    <xf numFmtId="43" fontId="6" fillId="0" borderId="65" xfId="0" applyNumberFormat="1" applyFont="1" applyBorder="1" applyAlignment="1" applyProtection="1">
      <alignment horizontal="left"/>
    </xf>
    <xf numFmtId="0" fontId="6" fillId="0" borderId="85" xfId="0" applyFont="1" applyBorder="1" applyAlignment="1" applyProtection="1">
      <alignment horizontal="center"/>
    </xf>
    <xf numFmtId="43" fontId="6" fillId="0" borderId="87" xfId="0" applyNumberFormat="1" applyFont="1" applyBorder="1" applyAlignment="1" applyProtection="1">
      <alignment horizontal="left"/>
    </xf>
    <xf numFmtId="43" fontId="6" fillId="0" borderId="9" xfId="0" applyNumberFormat="1" applyFont="1" applyBorder="1" applyAlignment="1" applyProtection="1">
      <alignment horizontal="left"/>
    </xf>
    <xf numFmtId="43" fontId="6" fillId="0" borderId="30" xfId="0" applyNumberFormat="1" applyFont="1" applyBorder="1" applyAlignment="1" applyProtection="1">
      <alignment horizontal="left"/>
    </xf>
    <xf numFmtId="43" fontId="6" fillId="0" borderId="57" xfId="0" applyNumberFormat="1" applyFont="1" applyBorder="1" applyAlignment="1" applyProtection="1">
      <alignment horizontal="left"/>
    </xf>
    <xf numFmtId="43" fontId="6" fillId="0" borderId="21" xfId="0" applyNumberFormat="1" applyFont="1" applyBorder="1" applyAlignment="1" applyProtection="1">
      <alignment horizontal="left"/>
    </xf>
    <xf numFmtId="2" fontId="0" fillId="0" borderId="40" xfId="0" applyNumberFormat="1" applyBorder="1"/>
    <xf numFmtId="172" fontId="4" fillId="0" borderId="0" xfId="3" applyNumberFormat="1" applyFont="1" applyBorder="1"/>
    <xf numFmtId="170" fontId="0" fillId="0" borderId="19" xfId="2" applyNumberFormat="1" applyFont="1" applyBorder="1"/>
    <xf numFmtId="170" fontId="0" fillId="0" borderId="0" xfId="2" applyNumberFormat="1" applyFont="1" applyBorder="1"/>
    <xf numFmtId="170" fontId="0" fillId="0" borderId="1" xfId="2" applyNumberFormat="1" applyFont="1" applyBorder="1"/>
    <xf numFmtId="170" fontId="0" fillId="0" borderId="8" xfId="2" applyNumberFormat="1" applyFont="1" applyBorder="1"/>
    <xf numFmtId="165" fontId="0" fillId="0" borderId="26" xfId="0" applyNumberFormat="1" applyBorder="1"/>
    <xf numFmtId="170" fontId="0" fillId="0" borderId="26" xfId="2" applyNumberFormat="1" applyFont="1" applyBorder="1"/>
    <xf numFmtId="168" fontId="0" fillId="0" borderId="8" xfId="0" applyNumberFormat="1" applyFill="1" applyBorder="1"/>
    <xf numFmtId="168" fontId="0" fillId="0" borderId="19" xfId="0" applyNumberFormat="1" applyFill="1" applyBorder="1"/>
    <xf numFmtId="168" fontId="0" fillId="0" borderId="1" xfId="0" applyNumberFormat="1" applyFill="1" applyBorder="1"/>
    <xf numFmtId="168" fontId="0" fillId="0" borderId="19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168" fontId="0" fillId="0" borderId="1" xfId="0" applyNumberFormat="1" applyBorder="1" applyAlignment="1">
      <alignment horizontal="right"/>
    </xf>
    <xf numFmtId="164" fontId="6" fillId="0" borderId="80" xfId="0" applyNumberFormat="1" applyFont="1" applyFill="1" applyBorder="1" applyAlignment="1" applyProtection="1">
      <alignment horizontal="left"/>
    </xf>
    <xf numFmtId="164" fontId="6" fillId="0" borderId="8" xfId="0" applyNumberFormat="1" applyFont="1" applyFill="1" applyBorder="1" applyAlignment="1" applyProtection="1">
      <alignment horizontal="left"/>
    </xf>
    <xf numFmtId="167" fontId="6" fillId="0" borderId="8" xfId="0" applyNumberFormat="1" applyFont="1" applyFill="1" applyBorder="1" applyAlignment="1" applyProtection="1">
      <alignment horizontal="left"/>
    </xf>
    <xf numFmtId="167" fontId="6" fillId="0" borderId="26" xfId="0" applyNumberFormat="1" applyFont="1" applyFill="1" applyBorder="1" applyAlignment="1" applyProtection="1">
      <alignment horizontal="left"/>
    </xf>
    <xf numFmtId="167" fontId="6" fillId="0" borderId="21" xfId="0" applyNumberFormat="1" applyFont="1" applyFill="1" applyBorder="1" applyAlignment="1" applyProtection="1">
      <alignment horizontal="left"/>
    </xf>
    <xf numFmtId="170" fontId="6" fillId="0" borderId="63" xfId="2" applyNumberFormat="1" applyFont="1" applyFill="1" applyBorder="1" applyAlignment="1" applyProtection="1"/>
    <xf numFmtId="43" fontId="6" fillId="0" borderId="28" xfId="1" applyFont="1" applyFill="1" applyBorder="1" applyAlignment="1" applyProtection="1"/>
    <xf numFmtId="2" fontId="0" fillId="0" borderId="2" xfId="0" applyNumberFormat="1" applyFill="1" applyBorder="1"/>
    <xf numFmtId="170" fontId="0" fillId="0" borderId="40" xfId="2" applyNumberFormat="1" applyFont="1" applyFill="1" applyBorder="1"/>
    <xf numFmtId="2" fontId="0" fillId="0" borderId="28" xfId="2" applyNumberFormat="1" applyFont="1" applyFill="1" applyBorder="1"/>
    <xf numFmtId="43" fontId="0" fillId="0" borderId="41" xfId="0" applyNumberFormat="1" applyFill="1" applyBorder="1" applyAlignment="1">
      <alignment horizontal="right"/>
    </xf>
    <xf numFmtId="10" fontId="0" fillId="0" borderId="10" xfId="2" applyNumberFormat="1" applyFont="1" applyFill="1" applyBorder="1" applyAlignment="1">
      <alignment horizontal="right"/>
    </xf>
    <xf numFmtId="0" fontId="0" fillId="0" borderId="8" xfId="0" applyBorder="1" applyAlignment="1">
      <alignment horizontal="center" wrapText="1"/>
    </xf>
    <xf numFmtId="0" fontId="32" fillId="0" borderId="8" xfId="0" applyFont="1" applyBorder="1" applyAlignment="1">
      <alignment horizontal="center" wrapText="1"/>
    </xf>
    <xf numFmtId="0" fontId="33" fillId="0" borderId="8" xfId="0" applyFont="1" applyBorder="1" applyAlignment="1">
      <alignment wrapText="1"/>
    </xf>
    <xf numFmtId="0" fontId="32" fillId="0" borderId="8" xfId="0" applyFont="1" applyBorder="1" applyAlignment="1">
      <alignment wrapText="1"/>
    </xf>
    <xf numFmtId="0" fontId="31" fillId="0" borderId="0" xfId="0" applyFont="1" applyFill="1" applyBorder="1" applyAlignment="1">
      <alignment wrapText="1"/>
    </xf>
    <xf numFmtId="0" fontId="31" fillId="0" borderId="0" xfId="0" applyFont="1" applyFill="1" applyBorder="1" applyAlignment="1">
      <alignment horizontal="right" wrapText="1"/>
    </xf>
    <xf numFmtId="3" fontId="31" fillId="0" borderId="0" xfId="0" applyNumberFormat="1" applyFont="1" applyFill="1" applyBorder="1" applyAlignment="1">
      <alignment horizontal="right" wrapText="1"/>
    </xf>
    <xf numFmtId="0" fontId="5" fillId="0" borderId="0" xfId="3" applyFill="1"/>
    <xf numFmtId="0" fontId="31" fillId="0" borderId="1" xfId="0" applyFont="1" applyFill="1" applyBorder="1" applyAlignment="1">
      <alignment wrapText="1"/>
    </xf>
    <xf numFmtId="0" fontId="31" fillId="0" borderId="1" xfId="0" applyFont="1" applyFill="1" applyBorder="1" applyAlignment="1">
      <alignment horizontal="right" wrapText="1"/>
    </xf>
    <xf numFmtId="3" fontId="31" fillId="0" borderId="1" xfId="0" applyNumberFormat="1" applyFont="1" applyFill="1" applyBorder="1" applyAlignment="1">
      <alignment horizontal="right" wrapText="1"/>
    </xf>
    <xf numFmtId="0" fontId="31" fillId="0" borderId="2" xfId="0" applyFont="1" applyFill="1" applyBorder="1" applyAlignment="1">
      <alignment horizontal="center" vertical="top" wrapText="1"/>
    </xf>
    <xf numFmtId="0" fontId="31" fillId="0" borderId="2" xfId="0" applyFont="1" applyFill="1" applyBorder="1" applyAlignment="1">
      <alignment wrapText="1"/>
    </xf>
    <xf numFmtId="0" fontId="31" fillId="0" borderId="2" xfId="0" applyFont="1" applyFill="1" applyBorder="1" applyAlignment="1">
      <alignment horizontal="right" wrapText="1"/>
    </xf>
    <xf numFmtId="3" fontId="31" fillId="0" borderId="2" xfId="0" applyNumberFormat="1" applyFont="1" applyFill="1" applyBorder="1" applyAlignment="1">
      <alignment horizontal="right" wrapText="1"/>
    </xf>
    <xf numFmtId="0" fontId="29" fillId="0" borderId="1" xfId="6" applyFont="1" applyBorder="1" applyProtection="1"/>
    <xf numFmtId="171" fontId="29" fillId="0" borderId="1" xfId="6" applyNumberFormat="1" applyFont="1" applyFill="1" applyBorder="1" applyProtection="1"/>
    <xf numFmtId="0" fontId="29" fillId="0" borderId="2" xfId="6" applyFont="1" applyBorder="1" applyProtection="1"/>
    <xf numFmtId="0" fontId="0" fillId="0" borderId="2" xfId="0" applyBorder="1" applyAlignment="1">
      <alignment vertical="top"/>
    </xf>
    <xf numFmtId="165" fontId="0" fillId="0" borderId="19" xfId="0" applyNumberFormat="1" applyFill="1" applyBorder="1"/>
    <xf numFmtId="165" fontId="0" fillId="0" borderId="0" xfId="0" applyNumberFormat="1" applyFill="1" applyBorder="1"/>
    <xf numFmtId="41" fontId="0" fillId="0" borderId="7" xfId="0" applyNumberFormat="1" applyFill="1" applyBorder="1"/>
    <xf numFmtId="41" fontId="0" fillId="0" borderId="8" xfId="0" applyNumberFormat="1" applyFill="1" applyBorder="1"/>
    <xf numFmtId="41" fontId="14" fillId="0" borderId="10" xfId="0" applyNumberFormat="1" applyFont="1" applyFill="1" applyBorder="1" applyAlignment="1">
      <alignment horizontal="center"/>
    </xf>
    <xf numFmtId="0" fontId="10" fillId="0" borderId="0" xfId="0" applyFont="1" applyFill="1" applyBorder="1" applyAlignment="1" applyProtection="1">
      <alignment horizontal="left"/>
    </xf>
    <xf numFmtId="0" fontId="0" fillId="0" borderId="77" xfId="0" applyFill="1" applyBorder="1" applyAlignment="1">
      <alignment horizontal="center"/>
    </xf>
    <xf numFmtId="0" fontId="3" fillId="0" borderId="46" xfId="0" applyFont="1" applyFill="1" applyBorder="1"/>
    <xf numFmtId="0" fontId="0" fillId="0" borderId="34" xfId="0" applyFill="1" applyBorder="1"/>
    <xf numFmtId="0" fontId="3" fillId="0" borderId="34" xfId="0" applyFont="1" applyFill="1" applyBorder="1"/>
    <xf numFmtId="0" fontId="0" fillId="0" borderId="54" xfId="0" applyFill="1" applyBorder="1"/>
    <xf numFmtId="0" fontId="2" fillId="0" borderId="35" xfId="0" applyFont="1" applyFill="1" applyBorder="1" applyAlignment="1">
      <alignment horizontal="center"/>
    </xf>
    <xf numFmtId="168" fontId="0" fillId="0" borderId="8" xfId="2" applyNumberFormat="1" applyFont="1" applyFill="1" applyBorder="1"/>
    <xf numFmtId="43" fontId="0" fillId="0" borderId="8" xfId="0" applyNumberFormat="1" applyFill="1" applyBorder="1"/>
    <xf numFmtId="0" fontId="2" fillId="0" borderId="0" xfId="0" applyFont="1" applyFill="1" applyAlignment="1">
      <alignment vertical="top"/>
    </xf>
    <xf numFmtId="170" fontId="0" fillId="4" borderId="8" xfId="2" applyNumberFormat="1" applyFont="1" applyFill="1" applyBorder="1"/>
    <xf numFmtId="170" fontId="0" fillId="4" borderId="8" xfId="2" applyNumberFormat="1" applyFont="1" applyFill="1" applyBorder="1" applyAlignment="1">
      <alignment horizontal="right"/>
    </xf>
    <xf numFmtId="170" fontId="0" fillId="0" borderId="0" xfId="2" applyNumberFormat="1" applyFont="1" applyAlignment="1">
      <alignment horizontal="right"/>
    </xf>
    <xf numFmtId="3" fontId="0" fillId="0" borderId="46" xfId="0" applyNumberFormat="1" applyBorder="1"/>
    <xf numFmtId="3" fontId="0" fillId="0" borderId="34" xfId="0" applyNumberFormat="1" applyBorder="1"/>
    <xf numFmtId="10" fontId="6" fillId="0" borderId="10" xfId="3" applyNumberFormat="1" applyFont="1" applyFill="1" applyBorder="1"/>
    <xf numFmtId="10" fontId="6" fillId="0" borderId="16" xfId="3" applyNumberFormat="1" applyFont="1" applyFill="1" applyBorder="1"/>
    <xf numFmtId="0" fontId="34" fillId="0" borderId="0" xfId="3" applyFont="1" applyFill="1" applyBorder="1"/>
    <xf numFmtId="10" fontId="6" fillId="0" borderId="17" xfId="3" applyNumberFormat="1" applyFont="1" applyFill="1" applyBorder="1"/>
    <xf numFmtId="10" fontId="6" fillId="0" borderId="30" xfId="3" applyNumberFormat="1" applyFont="1" applyFill="1" applyBorder="1"/>
    <xf numFmtId="0" fontId="4" fillId="0" borderId="34" xfId="0" applyFont="1" applyBorder="1" applyAlignment="1">
      <alignment horizontal="center" vertical="top"/>
    </xf>
    <xf numFmtId="10" fontId="6" fillId="0" borderId="7" xfId="3" applyNumberFormat="1" applyFont="1" applyFill="1" applyBorder="1"/>
    <xf numFmtId="10" fontId="6" fillId="0" borderId="15" xfId="3" applyNumberFormat="1" applyFont="1" applyFill="1" applyBorder="1"/>
    <xf numFmtId="0" fontId="19" fillId="0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18" fillId="0" borderId="0" xfId="0" applyFont="1" applyFill="1" applyBorder="1" applyAlignment="1">
      <alignment horizontal="center" vertical="center" wrapText="1"/>
    </xf>
    <xf numFmtId="166" fontId="0" fillId="0" borderId="0" xfId="0" applyNumberFormat="1" applyBorder="1"/>
    <xf numFmtId="0" fontId="18" fillId="0" borderId="0" xfId="0" applyFont="1" applyBorder="1" applyAlignment="1">
      <alignment horizontal="right"/>
    </xf>
    <xf numFmtId="42" fontId="18" fillId="0" borderId="0" xfId="0" applyNumberFormat="1" applyFont="1" applyBorder="1" applyAlignment="1">
      <alignment horizontal="left"/>
    </xf>
    <xf numFmtId="165" fontId="18" fillId="0" borderId="0" xfId="0" applyNumberFormat="1" applyFont="1" applyFill="1" applyBorder="1" applyAlignment="1">
      <alignment horizontal="center"/>
    </xf>
    <xf numFmtId="165" fontId="18" fillId="0" borderId="0" xfId="0" applyNumberFormat="1" applyFont="1" applyBorder="1" applyAlignment="1">
      <alignment horizontal="center"/>
    </xf>
    <xf numFmtId="1" fontId="18" fillId="0" borderId="0" xfId="0" applyNumberFormat="1" applyFont="1" applyBorder="1" applyAlignment="1">
      <alignment horizontal="center"/>
    </xf>
    <xf numFmtId="8" fontId="19" fillId="0" borderId="0" xfId="0" applyNumberFormat="1" applyFont="1" applyBorder="1" applyAlignment="1">
      <alignment horizontal="right"/>
    </xf>
    <xf numFmtId="2" fontId="19" fillId="0" borderId="0" xfId="0" applyNumberFormat="1" applyFont="1" applyFill="1" applyBorder="1" applyAlignment="1">
      <alignment horizontal="center"/>
    </xf>
    <xf numFmtId="0" fontId="18" fillId="0" borderId="8" xfId="0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left"/>
    </xf>
    <xf numFmtId="2" fontId="18" fillId="0" borderId="8" xfId="0" applyNumberFormat="1" applyFont="1" applyBorder="1" applyAlignment="1">
      <alignment horizontal="left"/>
    </xf>
    <xf numFmtId="2" fontId="18" fillId="0" borderId="8" xfId="0" applyNumberFormat="1" applyFont="1" applyBorder="1" applyAlignment="1">
      <alignment horizontal="center"/>
    </xf>
    <xf numFmtId="0" fontId="19" fillId="0" borderId="4" xfId="0" applyFont="1" applyFill="1" applyBorder="1" applyAlignment="1">
      <alignment vertical="center" wrapText="1"/>
    </xf>
    <xf numFmtId="0" fontId="19" fillId="0" borderId="4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6" xfId="0" applyFont="1" applyBorder="1" applyAlignment="1">
      <alignment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horizontal="left"/>
    </xf>
    <xf numFmtId="0" fontId="19" fillId="0" borderId="16" xfId="0" applyFont="1" applyFill="1" applyBorder="1" applyAlignment="1">
      <alignment horizontal="center"/>
    </xf>
    <xf numFmtId="0" fontId="19" fillId="0" borderId="17" xfId="0" applyFont="1" applyFill="1" applyBorder="1" applyAlignment="1">
      <alignment horizontal="center"/>
    </xf>
    <xf numFmtId="0" fontId="2" fillId="0" borderId="79" xfId="0" applyFont="1" applyBorder="1" applyAlignment="1">
      <alignment vertical="center" wrapText="1"/>
    </xf>
    <xf numFmtId="0" fontId="18" fillId="0" borderId="41" xfId="0" applyFont="1" applyFill="1" applyBorder="1" applyAlignment="1">
      <alignment horizontal="center" vertical="center" wrapText="1"/>
    </xf>
    <xf numFmtId="2" fontId="18" fillId="0" borderId="2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18" fillId="0" borderId="15" xfId="0" applyFont="1" applyFill="1" applyBorder="1" applyAlignment="1">
      <alignment horizontal="center" vertical="center" wrapText="1"/>
    </xf>
    <xf numFmtId="0" fontId="18" fillId="0" borderId="16" xfId="0" applyFont="1" applyFill="1" applyBorder="1" applyAlignment="1">
      <alignment horizontal="center" vertical="center" wrapText="1"/>
    </xf>
    <xf numFmtId="0" fontId="18" fillId="0" borderId="17" xfId="0" applyFont="1" applyFill="1" applyBorder="1" applyAlignment="1">
      <alignment horizontal="center" vertical="center" wrapText="1"/>
    </xf>
    <xf numFmtId="0" fontId="19" fillId="0" borderId="3" xfId="0" applyFont="1" applyFill="1" applyBorder="1" applyAlignment="1">
      <alignment vertical="center" wrapText="1"/>
    </xf>
    <xf numFmtId="0" fontId="2" fillId="0" borderId="6" xfId="0" applyFont="1" applyBorder="1"/>
    <xf numFmtId="2" fontId="18" fillId="0" borderId="3" xfId="0" applyNumberFormat="1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2" fontId="18" fillId="0" borderId="6" xfId="0" applyNumberFormat="1" applyFont="1" applyBorder="1" applyAlignment="1">
      <alignment horizontal="center"/>
    </xf>
    <xf numFmtId="2" fontId="18" fillId="0" borderId="7" xfId="0" applyNumberFormat="1" applyFont="1" applyBorder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28" xfId="0" applyNumberFormat="1" applyFont="1" applyBorder="1" applyAlignment="1">
      <alignment horizontal="center"/>
    </xf>
    <xf numFmtId="2" fontId="18" fillId="0" borderId="40" xfId="0" applyNumberFormat="1" applyFont="1" applyBorder="1" applyAlignment="1">
      <alignment horizontal="center"/>
    </xf>
    <xf numFmtId="0" fontId="18" fillId="0" borderId="26" xfId="0" applyFont="1" applyBorder="1" applyAlignment="1">
      <alignment horizontal="left"/>
    </xf>
    <xf numFmtId="0" fontId="18" fillId="0" borderId="40" xfId="0" applyFont="1" applyBorder="1" applyAlignment="1">
      <alignment horizontal="left"/>
    </xf>
    <xf numFmtId="0" fontId="2" fillId="0" borderId="3" xfId="0" applyFont="1" applyBorder="1" applyAlignment="1">
      <alignment vertical="center" wrapText="1"/>
    </xf>
    <xf numFmtId="2" fontId="18" fillId="0" borderId="7" xfId="0" applyNumberFormat="1" applyFont="1" applyBorder="1" applyAlignment="1">
      <alignment horizontal="left"/>
    </xf>
    <xf numFmtId="2" fontId="18" fillId="0" borderId="10" xfId="0" applyNumberFormat="1" applyFont="1" applyBorder="1" applyAlignment="1">
      <alignment horizontal="left"/>
    </xf>
    <xf numFmtId="2" fontId="0" fillId="0" borderId="8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5" fillId="0" borderId="0" xfId="3" applyNumberFormat="1"/>
    <xf numFmtId="0" fontId="12" fillId="0" borderId="0" xfId="0" applyFont="1" applyAlignment="1">
      <alignment horizontal="center" readingOrder="1"/>
    </xf>
    <xf numFmtId="0" fontId="12" fillId="0" borderId="0" xfId="0" applyFont="1" applyAlignment="1">
      <alignment horizontal="left" readingOrder="1"/>
    </xf>
    <xf numFmtId="10" fontId="20" fillId="0" borderId="0" xfId="0" applyNumberFormat="1" applyFont="1" applyFill="1"/>
    <xf numFmtId="0" fontId="35" fillId="0" borderId="0" xfId="0" applyFont="1"/>
    <xf numFmtId="170" fontId="0" fillId="0" borderId="0" xfId="0" applyNumberFormat="1"/>
    <xf numFmtId="170" fontId="18" fillId="0" borderId="68" xfId="0" applyNumberFormat="1" applyFont="1" applyFill="1" applyBorder="1" applyAlignment="1">
      <alignment horizontal="center" vertical="center" wrapText="1"/>
    </xf>
    <xf numFmtId="0" fontId="6" fillId="0" borderId="8" xfId="3" applyFont="1" applyBorder="1" applyAlignment="1">
      <alignment horizontal="center"/>
    </xf>
    <xf numFmtId="0" fontId="5" fillId="0" borderId="94" xfId="3" applyBorder="1"/>
    <xf numFmtId="0" fontId="5" fillId="0" borderId="95" xfId="3" applyBorder="1"/>
    <xf numFmtId="3" fontId="5" fillId="0" borderId="95" xfId="3" applyNumberFormat="1" applyBorder="1"/>
    <xf numFmtId="0" fontId="0" fillId="0" borderId="56" xfId="0" applyBorder="1"/>
    <xf numFmtId="164" fontId="0" fillId="0" borderId="0" xfId="1" applyNumberFormat="1" applyFont="1" applyFill="1" applyBorder="1"/>
    <xf numFmtId="164" fontId="2" fillId="0" borderId="0" xfId="1" applyNumberFormat="1" applyFont="1" applyFill="1"/>
    <xf numFmtId="3" fontId="0" fillId="0" borderId="2" xfId="0" applyNumberFormat="1" applyFill="1" applyBorder="1"/>
    <xf numFmtId="0" fontId="38" fillId="8" borderId="8" xfId="0" applyFont="1" applyFill="1" applyBorder="1" applyAlignment="1">
      <alignment horizontal="center" wrapText="1"/>
    </xf>
    <xf numFmtId="0" fontId="38" fillId="9" borderId="8" xfId="0" applyFont="1" applyFill="1" applyBorder="1" applyAlignment="1">
      <alignment horizontal="center" wrapText="1"/>
    </xf>
    <xf numFmtId="0" fontId="38" fillId="0" borderId="8" xfId="0" applyFont="1" applyBorder="1" applyAlignment="1">
      <alignment horizontal="center" wrapText="1"/>
    </xf>
    <xf numFmtId="2" fontId="0" fillId="0" borderId="8" xfId="0" applyNumberFormat="1" applyFill="1" applyBorder="1"/>
    <xf numFmtId="2" fontId="0" fillId="0" borderId="16" xfId="0" applyNumberFormat="1" applyFill="1" applyBorder="1"/>
    <xf numFmtId="0" fontId="4" fillId="0" borderId="2" xfId="3" applyFont="1" applyBorder="1"/>
    <xf numFmtId="2" fontId="4" fillId="0" borderId="2" xfId="3" applyNumberFormat="1" applyFont="1" applyBorder="1"/>
    <xf numFmtId="0" fontId="4" fillId="0" borderId="21" xfId="3" applyFont="1" applyBorder="1" applyAlignment="1">
      <alignment horizontal="centerContinuous"/>
    </xf>
    <xf numFmtId="0" fontId="4" fillId="0" borderId="18" xfId="3" applyFont="1" applyBorder="1"/>
    <xf numFmtId="2" fontId="4" fillId="0" borderId="9" xfId="3" applyNumberFormat="1" applyFont="1" applyBorder="1"/>
    <xf numFmtId="0" fontId="4" fillId="0" borderId="1" xfId="3" applyFont="1" applyBorder="1"/>
    <xf numFmtId="0" fontId="4" fillId="0" borderId="1" xfId="3" applyFont="1" applyBorder="1" applyAlignment="1">
      <alignment horizontal="center"/>
    </xf>
    <xf numFmtId="2" fontId="4" fillId="0" borderId="1" xfId="3" applyNumberFormat="1" applyFont="1" applyBorder="1"/>
    <xf numFmtId="172" fontId="4" fillId="0" borderId="1" xfId="3" applyNumberFormat="1" applyFont="1" applyBorder="1"/>
    <xf numFmtId="0" fontId="27" fillId="0" borderId="1" xfId="3" applyFont="1" applyBorder="1"/>
    <xf numFmtId="2" fontId="27" fillId="0" borderId="1" xfId="3" applyNumberFormat="1" applyFont="1" applyBorder="1" applyAlignment="1">
      <alignment horizontal="center"/>
    </xf>
    <xf numFmtId="0" fontId="39" fillId="0" borderId="0" xfId="0" applyFont="1"/>
    <xf numFmtId="164" fontId="6" fillId="0" borderId="41" xfId="1" applyNumberFormat="1" applyFont="1" applyFill="1" applyBorder="1"/>
    <xf numFmtId="164" fontId="6" fillId="0" borderId="53" xfId="1" applyNumberFormat="1" applyFont="1" applyFill="1" applyBorder="1"/>
    <xf numFmtId="164" fontId="6" fillId="0" borderId="43" xfId="1" applyNumberFormat="1" applyFont="1" applyFill="1" applyBorder="1"/>
    <xf numFmtId="3" fontId="22" fillId="0" borderId="0" xfId="3" applyNumberFormat="1" applyFont="1" applyFill="1" applyBorder="1"/>
    <xf numFmtId="3" fontId="20" fillId="0" borderId="0" xfId="0" applyNumberFormat="1" applyFont="1" applyBorder="1"/>
    <xf numFmtId="0" fontId="18" fillId="0" borderId="64" xfId="3" applyFont="1" applyFill="1" applyBorder="1" applyAlignment="1">
      <alignment vertical="center" wrapText="1"/>
    </xf>
    <xf numFmtId="1" fontId="18" fillId="0" borderId="16" xfId="3" applyNumberFormat="1" applyFont="1" applyFill="1" applyBorder="1"/>
    <xf numFmtId="1" fontId="18" fillId="0" borderId="32" xfId="3" applyNumberFormat="1" applyFont="1" applyFill="1" applyBorder="1"/>
    <xf numFmtId="0" fontId="0" fillId="0" borderId="7" xfId="0" applyFill="1" applyBorder="1"/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10" fontId="22" fillId="0" borderId="19" xfId="0" applyNumberFormat="1" applyFont="1" applyFill="1" applyBorder="1" applyAlignment="1">
      <alignment horizontal="left" wrapText="1"/>
    </xf>
    <xf numFmtId="0" fontId="20" fillId="0" borderId="19" xfId="0" applyFont="1" applyBorder="1"/>
    <xf numFmtId="0" fontId="6" fillId="0" borderId="3" xfId="3" applyFont="1" applyBorder="1" applyAlignment="1">
      <alignment horizontal="center" vertical="center"/>
    </xf>
    <xf numFmtId="0" fontId="6" fillId="0" borderId="7" xfId="3" applyFont="1" applyBorder="1" applyAlignment="1">
      <alignment horizontal="center" vertical="center"/>
    </xf>
    <xf numFmtId="0" fontId="6" fillId="0" borderId="4" xfId="3" applyFont="1" applyBorder="1" applyAlignment="1">
      <alignment horizontal="center" vertical="center" wrapText="1"/>
    </xf>
    <xf numFmtId="0" fontId="6" fillId="0" borderId="8" xfId="3" applyFont="1" applyBorder="1" applyAlignment="1">
      <alignment horizontal="center" vertical="center" wrapText="1"/>
    </xf>
    <xf numFmtId="0" fontId="6" fillId="0" borderId="79" xfId="3" applyFont="1" applyBorder="1" applyAlignment="1">
      <alignment horizontal="center" vertical="center" wrapText="1"/>
    </xf>
    <xf numFmtId="0" fontId="6" fillId="0" borderId="41" xfId="3" applyFont="1" applyBorder="1" applyAlignment="1">
      <alignment horizontal="center" vertical="center" wrapText="1"/>
    </xf>
    <xf numFmtId="0" fontId="5" fillId="0" borderId="4" xfId="3" applyBorder="1" applyAlignment="1">
      <alignment horizontal="center"/>
    </xf>
    <xf numFmtId="0" fontId="5" fillId="0" borderId="5" xfId="3" applyBorder="1" applyAlignment="1">
      <alignment horizontal="center"/>
    </xf>
    <xf numFmtId="0" fontId="5" fillId="0" borderId="6" xfId="3" applyBorder="1" applyAlignment="1">
      <alignment horizontal="center"/>
    </xf>
    <xf numFmtId="0" fontId="6" fillId="0" borderId="8" xfId="3" applyFont="1" applyBorder="1" applyAlignment="1">
      <alignment horizontal="center"/>
    </xf>
    <xf numFmtId="0" fontId="6" fillId="0" borderId="9" xfId="3" applyFont="1" applyBorder="1" applyAlignment="1">
      <alignment horizontal="center"/>
    </xf>
    <xf numFmtId="0" fontId="6" fillId="0" borderId="10" xfId="3" applyFont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9" fillId="0" borderId="44" xfId="0" applyFont="1" applyFill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18" fillId="0" borderId="44" xfId="0" applyFont="1" applyFill="1" applyBorder="1" applyAlignment="1">
      <alignment horizontal="center" vertical="center" wrapText="1"/>
    </xf>
    <xf numFmtId="0" fontId="18" fillId="0" borderId="45" xfId="0" applyFont="1" applyFill="1" applyBorder="1" applyAlignment="1">
      <alignment horizontal="center" vertical="center" wrapText="1"/>
    </xf>
    <xf numFmtId="0" fontId="19" fillId="0" borderId="48" xfId="0" applyFont="1" applyFill="1" applyBorder="1" applyAlignment="1">
      <alignment horizontal="center" vertical="center" wrapText="1"/>
    </xf>
    <xf numFmtId="0" fontId="18" fillId="0" borderId="71" xfId="0" applyFont="1" applyFill="1" applyBorder="1" applyAlignment="1">
      <alignment horizontal="center" vertical="center" wrapText="1"/>
    </xf>
    <xf numFmtId="0" fontId="18" fillId="0" borderId="58" xfId="0" applyFont="1" applyFill="1" applyBorder="1" applyAlignment="1">
      <alignment horizontal="center" vertical="center" wrapText="1"/>
    </xf>
    <xf numFmtId="0" fontId="18" fillId="0" borderId="73" xfId="0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19" fillId="0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18" fillId="0" borderId="33" xfId="0" applyFont="1" applyFill="1" applyBorder="1" applyAlignment="1">
      <alignment horizontal="center" vertical="center" wrapText="1"/>
    </xf>
    <xf numFmtId="0" fontId="18" fillId="0" borderId="86" xfId="0" applyFont="1" applyFill="1" applyBorder="1" applyAlignment="1">
      <alignment horizontal="center" vertical="center" wrapText="1"/>
    </xf>
    <xf numFmtId="0" fontId="2" fillId="0" borderId="48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9" xfId="0" applyFont="1" applyBorder="1" applyAlignment="1">
      <alignment horizontal="center"/>
    </xf>
    <xf numFmtId="0" fontId="18" fillId="0" borderId="74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/>
    </xf>
    <xf numFmtId="10" fontId="19" fillId="0" borderId="9" xfId="0" applyNumberFormat="1" applyFont="1" applyFill="1" applyBorder="1" applyAlignment="1">
      <alignment horizontal="center" wrapText="1"/>
    </xf>
    <xf numFmtId="10" fontId="19" fillId="0" borderId="41" xfId="0" applyNumberFormat="1" applyFont="1" applyFill="1" applyBorder="1" applyAlignment="1">
      <alignment horizontal="center" wrapText="1"/>
    </xf>
    <xf numFmtId="0" fontId="6" fillId="0" borderId="20" xfId="3" applyFont="1" applyFill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1" xfId="0" applyFont="1" applyBorder="1" applyAlignment="1">
      <alignment horizontal="center" vertical="top"/>
    </xf>
    <xf numFmtId="0" fontId="6" fillId="0" borderId="33" xfId="3" applyFont="1" applyFill="1" applyBorder="1" applyAlignment="1">
      <alignment horizontal="center" vertical="top" wrapText="1"/>
    </xf>
    <xf numFmtId="0" fontId="0" fillId="0" borderId="22" xfId="0" applyBorder="1" applyAlignment="1">
      <alignment horizontal="center" vertical="top" wrapText="1"/>
    </xf>
    <xf numFmtId="0" fontId="0" fillId="0" borderId="27" xfId="0" applyBorder="1" applyAlignment="1">
      <alignment horizontal="center" vertical="top" wrapText="1"/>
    </xf>
    <xf numFmtId="0" fontId="4" fillId="0" borderId="46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36" xfId="0" applyBorder="1" applyAlignment="1">
      <alignment horizontal="center" vertical="top" wrapText="1"/>
    </xf>
    <xf numFmtId="0" fontId="6" fillId="0" borderId="29" xfId="3" applyFont="1" applyFill="1" applyBorder="1" applyAlignment="1">
      <alignment horizontal="center" vertical="top" wrapText="1"/>
    </xf>
    <xf numFmtId="0" fontId="4" fillId="0" borderId="28" xfId="0" applyFont="1" applyBorder="1"/>
    <xf numFmtId="0" fontId="6" fillId="0" borderId="24" xfId="3" applyFont="1" applyFill="1" applyBorder="1" applyAlignment="1">
      <alignment horizontal="center" vertical="top" wrapText="1"/>
    </xf>
    <xf numFmtId="0" fontId="0" fillId="0" borderId="25" xfId="0" applyBorder="1" applyAlignment="1"/>
    <xf numFmtId="0" fontId="0" fillId="0" borderId="26" xfId="0" applyBorder="1" applyAlignment="1"/>
    <xf numFmtId="0" fontId="4" fillId="0" borderId="25" xfId="0" applyFont="1" applyBorder="1" applyAlignment="1">
      <alignment horizontal="center" vertical="top" wrapText="1"/>
    </xf>
    <xf numFmtId="0" fontId="4" fillId="0" borderId="26" xfId="0" applyFont="1" applyBorder="1" applyAlignment="1">
      <alignment horizontal="center" vertical="top"/>
    </xf>
    <xf numFmtId="0" fontId="6" fillId="0" borderId="93" xfId="3" applyFont="1" applyFill="1" applyBorder="1" applyAlignment="1">
      <alignment horizontal="center" vertical="top" wrapText="1"/>
    </xf>
    <xf numFmtId="0" fontId="4" fillId="0" borderId="69" xfId="0" applyFont="1" applyBorder="1" applyAlignment="1">
      <alignment horizontal="center" vertical="top" wrapText="1"/>
    </xf>
    <xf numFmtId="0" fontId="4" fillId="0" borderId="40" xfId="0" applyFont="1" applyBorder="1" applyAlignment="1">
      <alignment horizontal="center" vertical="top"/>
    </xf>
    <xf numFmtId="0" fontId="0" fillId="3" borderId="26" xfId="0" applyFill="1" applyBorder="1" applyAlignment="1">
      <alignment horizontal="center" vertical="center"/>
    </xf>
    <xf numFmtId="0" fontId="32" fillId="0" borderId="8" xfId="0" applyFont="1" applyBorder="1" applyAlignment="1">
      <alignment horizontal="center" wrapText="1"/>
    </xf>
  </cellXfs>
  <cellStyles count="7">
    <cellStyle name="Comma" xfId="1" builtinId="3"/>
    <cellStyle name="Comma 2" xfId="5"/>
    <cellStyle name="Hyperlink" xfId="4" builtinId="8"/>
    <cellStyle name="Normal" xfId="0" builtinId="0"/>
    <cellStyle name="Normal 2" xfId="3"/>
    <cellStyle name="Normal_RAV tables" xfId="6"/>
    <cellStyle name="Percent" xfId="2" builtinId="5"/>
  </cellStyles>
  <dxfs count="9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theme="5" tint="0.39994506668294322"/>
        </patternFill>
      </fill>
    </dxf>
    <dxf>
      <font>
        <condense val="0"/>
        <extend val="0"/>
        <color rgb="FF006100"/>
      </font>
      <fill>
        <patternFill>
          <bgColor theme="6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93366"/>
      <color rgb="FFFFFF99"/>
      <color rgb="FFA50021"/>
      <color rgb="FFCCFFFF"/>
      <color rgb="FF000080"/>
      <color rgb="FFFA7304"/>
      <color rgb="FFFF6600"/>
      <color rgb="FF63D366"/>
      <color rgb="FF87DD8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0"/>
          <c:order val="0"/>
          <c:tx>
            <c:strRef>
              <c:f>'Quality of service'!$C$40</c:f>
              <c:strCache>
                <c:ptCount val="1"/>
                <c:pt idx="0">
                  <c:v>GB average target</c:v>
                </c:pt>
              </c:strCache>
            </c:strRef>
          </c:tx>
          <c:marker>
            <c:symbol val="star"/>
            <c:size val="7"/>
          </c:marker>
          <c:cat>
            <c:strRef>
              <c:f>'Quality of service'!$D$5:$K$5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service'!$D$40:$K$40</c:f>
              <c:numCache>
                <c:formatCode>_-* #,##0.0_-;\-* #,##0.0_-;_-* "-"?_-;_-@_-</c:formatCode>
                <c:ptCount val="8"/>
                <c:pt idx="0">
                  <c:v>91.844285714285689</c:v>
                </c:pt>
                <c:pt idx="1">
                  <c:v>91.844285714285689</c:v>
                </c:pt>
                <c:pt idx="2">
                  <c:v>88.415714285714287</c:v>
                </c:pt>
                <c:pt idx="3">
                  <c:v>77.407142857142858</c:v>
                </c:pt>
                <c:pt idx="4">
                  <c:v>76.79285714285713</c:v>
                </c:pt>
                <c:pt idx="5">
                  <c:v>76.200000000000017</c:v>
                </c:pt>
                <c:pt idx="6">
                  <c:v>75.614285714285728</c:v>
                </c:pt>
                <c:pt idx="7">
                  <c:v>75.028571428571439</c:v>
                </c:pt>
              </c:numCache>
            </c:numRef>
          </c:val>
        </c:ser>
        <c:ser>
          <c:idx val="1"/>
          <c:order val="1"/>
          <c:tx>
            <c:strRef>
              <c:f>'Quality of service'!$C$41</c:f>
              <c:strCache>
                <c:ptCount val="1"/>
                <c:pt idx="0">
                  <c:v>GB average performance</c:v>
                </c:pt>
              </c:strCache>
            </c:strRef>
          </c:tx>
          <c:marker>
            <c:symbol val="star"/>
            <c:size val="7"/>
          </c:marker>
          <c:val>
            <c:numRef>
              <c:f>'Quality of service'!$D$41:$K$41</c:f>
              <c:numCache>
                <c:formatCode>_-* #,##0.0_-;\-* #,##0.0_-;_-* "-"?_-;_-@_-</c:formatCode>
                <c:ptCount val="8"/>
                <c:pt idx="0">
                  <c:v>77.913699083142646</c:v>
                </c:pt>
                <c:pt idx="1">
                  <c:v>76.815604929439431</c:v>
                </c:pt>
                <c:pt idx="2">
                  <c:v>73.015510256792339</c:v>
                </c:pt>
                <c:pt idx="3">
                  <c:v>67.664285714285725</c:v>
                </c:pt>
                <c:pt idx="4">
                  <c:v>74.635714285714286</c:v>
                </c:pt>
                <c:pt idx="5">
                  <c:v>69.600000000000009</c:v>
                </c:pt>
                <c:pt idx="6">
                  <c:v>65.428571428571416</c:v>
                </c:pt>
                <c:pt idx="7">
                  <c:v>63.1</c:v>
                </c:pt>
              </c:numCache>
            </c:numRef>
          </c:val>
        </c:ser>
        <c:marker val="1"/>
        <c:axId val="71276416"/>
        <c:axId val="71277952"/>
      </c:lineChart>
      <c:catAx>
        <c:axId val="71276416"/>
        <c:scaling>
          <c:orientation val="minMax"/>
        </c:scaling>
        <c:axPos val="b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71277952"/>
        <c:crosses val="autoZero"/>
        <c:auto val="1"/>
        <c:lblAlgn val="ctr"/>
        <c:lblOffset val="100"/>
      </c:catAx>
      <c:valAx>
        <c:axId val="71277952"/>
        <c:scaling>
          <c:orientation val="minMax"/>
          <c:min val="20"/>
        </c:scaling>
        <c:axPos val="l"/>
        <c:majorGridlines>
          <c:spPr>
            <a:ln>
              <a:prstDash val="sysDash"/>
            </a:ln>
          </c:spPr>
        </c:majorGridlines>
        <c:numFmt formatCode="_-* #,##0.0_-;\-* #,##0.0_-;_-* &quot;-&quot;?_-;_-@_-" sourceLinked="1"/>
        <c:tickLblPos val="nextTo"/>
        <c:crossAx val="71276416"/>
        <c:crosses val="autoZero"/>
        <c:crossBetween val="between"/>
      </c:valAx>
      <c:spPr>
        <a:noFill/>
        <a:ln>
          <a:noFill/>
        </a:ln>
      </c:spPr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0"/>
          <c:order val="0"/>
          <c:tx>
            <c:strRef>
              <c:f>'Quality of service'!$C$78</c:f>
              <c:strCache>
                <c:ptCount val="1"/>
                <c:pt idx="0">
                  <c:v>GB average target</c:v>
                </c:pt>
              </c:strCache>
            </c:strRef>
          </c:tx>
          <c:marker>
            <c:symbol val="star"/>
            <c:size val="7"/>
          </c:marker>
          <c:cat>
            <c:strRef>
              <c:f>'Quality of service'!$D$44:$K$44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service'!$D$78:$K$78</c:f>
              <c:numCache>
                <c:formatCode>_-* #,##0.0_-;\-* #,##0.0_-;_-* "-"?_-;_-@_-</c:formatCode>
                <c:ptCount val="8"/>
                <c:pt idx="0">
                  <c:v>96.098571428571418</c:v>
                </c:pt>
                <c:pt idx="1">
                  <c:v>96.098571428571418</c:v>
                </c:pt>
                <c:pt idx="2">
                  <c:v>90.96571428571427</c:v>
                </c:pt>
                <c:pt idx="3">
                  <c:v>71.885714285714286</c:v>
                </c:pt>
                <c:pt idx="4">
                  <c:v>70.05</c:v>
                </c:pt>
                <c:pt idx="5">
                  <c:v>68.221428571428575</c:v>
                </c:pt>
                <c:pt idx="6">
                  <c:v>66.414285714285725</c:v>
                </c:pt>
                <c:pt idx="7">
                  <c:v>64.585714285714275</c:v>
                </c:pt>
              </c:numCache>
            </c:numRef>
          </c:val>
        </c:ser>
        <c:ser>
          <c:idx val="1"/>
          <c:order val="1"/>
          <c:tx>
            <c:strRef>
              <c:f>'Quality of service'!$C$79</c:f>
              <c:strCache>
                <c:ptCount val="1"/>
                <c:pt idx="0">
                  <c:v>GB average performance</c:v>
                </c:pt>
              </c:strCache>
            </c:strRef>
          </c:tx>
          <c:marker>
            <c:symbol val="star"/>
            <c:size val="7"/>
          </c:marker>
          <c:cat>
            <c:strRef>
              <c:f>'Quality of service'!$D$44:$K$44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service'!$D$79:$K$79</c:f>
              <c:numCache>
                <c:formatCode>_-* #,##0.0_-;\-* #,##0.0_-;_-* "-"?_-;_-@_-</c:formatCode>
                <c:ptCount val="8"/>
                <c:pt idx="0">
                  <c:v>79.20947005125366</c:v>
                </c:pt>
                <c:pt idx="1">
                  <c:v>74.707336555962939</c:v>
                </c:pt>
                <c:pt idx="2">
                  <c:v>68.522073646432418</c:v>
                </c:pt>
                <c:pt idx="3">
                  <c:v>59.657142857142851</c:v>
                </c:pt>
                <c:pt idx="4">
                  <c:v>71.05714285714285</c:v>
                </c:pt>
                <c:pt idx="5">
                  <c:v>66.392857142857153</c:v>
                </c:pt>
                <c:pt idx="6">
                  <c:v>63.914285714285711</c:v>
                </c:pt>
                <c:pt idx="7">
                  <c:v>60.48571428571428</c:v>
                </c:pt>
              </c:numCache>
            </c:numRef>
          </c:val>
        </c:ser>
        <c:marker val="1"/>
        <c:axId val="71302528"/>
        <c:axId val="71308416"/>
      </c:lineChart>
      <c:catAx>
        <c:axId val="71302528"/>
        <c:scaling>
          <c:orientation val="minMax"/>
        </c:scaling>
        <c:axPos val="b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71308416"/>
        <c:crosses val="autoZero"/>
        <c:auto val="1"/>
        <c:lblAlgn val="ctr"/>
        <c:lblOffset val="100"/>
      </c:catAx>
      <c:valAx>
        <c:axId val="71308416"/>
        <c:scaling>
          <c:orientation val="minMax"/>
          <c:min val="20"/>
        </c:scaling>
        <c:axPos val="l"/>
        <c:majorGridlines>
          <c:spPr>
            <a:ln>
              <a:prstDash val="sysDash"/>
            </a:ln>
          </c:spPr>
        </c:majorGridlines>
        <c:numFmt formatCode="_-* #,##0.0_-;\-* #,##0.0_-;_-* &quot;-&quot;?_-;_-@_-" sourceLinked="1"/>
        <c:tickLblPos val="nextTo"/>
        <c:crossAx val="71302528"/>
        <c:crosses val="autoZero"/>
        <c:crossBetween val="between"/>
      </c:valAx>
      <c:spPr>
        <a:noFill/>
        <a:ln>
          <a:noFill/>
        </a:ln>
      </c:spPr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1"/>
          <c:order val="0"/>
          <c:tx>
            <c:strRef>
              <c:f>'Quality of service'!$C$99</c:f>
              <c:strCache>
                <c:ptCount val="1"/>
                <c:pt idx="0">
                  <c:v>GB average quality of telephone response performance score</c:v>
                </c:pt>
              </c:strCache>
            </c:strRef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'Quality of service'!$D$5:$K$5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service'!$D$99:$K$99</c:f>
              <c:numCache>
                <c:formatCode>_-* #,##0.00_-;\-* #,##0.00_-;_-* "-"?_-;_-@_-</c:formatCode>
                <c:ptCount val="8"/>
                <c:pt idx="0">
                  <c:v>4.32</c:v>
                </c:pt>
                <c:pt idx="1">
                  <c:v>4.4492857142857138</c:v>
                </c:pt>
                <c:pt idx="2">
                  <c:v>4.383571428571428</c:v>
                </c:pt>
                <c:pt idx="3">
                  <c:v>4.3451921131921845</c:v>
                </c:pt>
                <c:pt idx="4">
                  <c:v>4.3014285714285716</c:v>
                </c:pt>
                <c:pt idx="5">
                  <c:v>4.3271428571428565</c:v>
                </c:pt>
                <c:pt idx="6">
                  <c:v>4.3649999999999993</c:v>
                </c:pt>
                <c:pt idx="7">
                  <c:v>4.4585714285714291</c:v>
                </c:pt>
              </c:numCache>
            </c:numRef>
          </c:val>
        </c:ser>
        <c:axId val="71338240"/>
        <c:axId val="71356416"/>
      </c:barChart>
      <c:lineChart>
        <c:grouping val="standard"/>
        <c:ser>
          <c:idx val="0"/>
          <c:order val="1"/>
          <c:tx>
            <c:strRef>
              <c:f>'Quality of service'!$C$100</c:f>
              <c:strCache>
                <c:ptCount val="1"/>
                <c:pt idx="0">
                  <c:v>above line = performance that resulted in a reward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strRef>
              <c:f>'Quality of service'!$D$5:$K$5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service'!$D$100:$K$100</c:f>
              <c:numCache>
                <c:formatCode>_-* #,##0.00_-;\-* #,##0.00_-;_-* "-"?_-;_-@_-</c:formatCode>
                <c:ptCount val="8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</c:numCache>
            </c:numRef>
          </c:val>
        </c:ser>
        <c:ser>
          <c:idx val="2"/>
          <c:order val="2"/>
          <c:tx>
            <c:strRef>
              <c:f>'Quality of service'!$C$101</c:f>
              <c:strCache>
                <c:ptCount val="1"/>
                <c:pt idx="0">
                  <c:v>below line = performance that resulted in a penalty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'Quality of service'!$D$5:$K$5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service'!$D$101:$K$101</c:f>
              <c:numCache>
                <c:formatCode>_-* #,##0.00_-;\-* #,##0.00_-;_-* "-"?_-;_-@_-</c:formatCode>
                <c:ptCount val="8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</c:numCache>
            </c:numRef>
          </c:val>
        </c:ser>
        <c:marker val="1"/>
        <c:axId val="71338240"/>
        <c:axId val="71356416"/>
      </c:lineChart>
      <c:catAx>
        <c:axId val="71338240"/>
        <c:scaling>
          <c:orientation val="minMax"/>
        </c:scaling>
        <c:axPos val="b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71356416"/>
        <c:crosses val="autoZero"/>
        <c:auto val="1"/>
        <c:lblAlgn val="ctr"/>
        <c:lblOffset val="100"/>
      </c:catAx>
      <c:valAx>
        <c:axId val="71356416"/>
        <c:scaling>
          <c:orientation val="minMax"/>
          <c:max val="4.8"/>
          <c:min val="3.9"/>
        </c:scaling>
        <c:axPos val="l"/>
        <c:majorGridlines>
          <c:spPr>
            <a:ln>
              <a:prstDash val="sysDash"/>
            </a:ln>
          </c:spPr>
        </c:majorGridlines>
        <c:numFmt formatCode="_-* #,##0.00_-;\-* #,##0.00_-;_-* &quot;-&quot;?_-;_-@_-" sourceLinked="1"/>
        <c:tickLblPos val="nextTo"/>
        <c:crossAx val="71338240"/>
        <c:crosses val="autoZero"/>
        <c:crossBetween val="between"/>
        <c:majorUnit val="0.1"/>
      </c:valAx>
      <c:spPr>
        <a:noFill/>
        <a:ln>
          <a:noFill/>
        </a:ln>
      </c:spPr>
    </c:plotArea>
    <c:legend>
      <c:legendPos val="b"/>
    </c:legend>
    <c:plotVisOnly val="1"/>
    <c:dispBlanksAs val="gap"/>
  </c:chart>
  <c:spPr>
    <a:noFill/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3"/>
          <c:order val="0"/>
          <c:tx>
            <c:strRef>
              <c:f>'Quality of service'!$B$104</c:f>
              <c:strCache>
                <c:ptCount val="1"/>
                <c:pt idx="0">
                  <c:v>Speed of telephone response</c:v>
                </c:pt>
              </c:strCache>
            </c:strRef>
          </c:tx>
          <c:spPr>
            <a:ln w="25400">
              <a:solidFill>
                <a:srgbClr val="002060"/>
              </a:solidFill>
            </a:ln>
          </c:spPr>
          <c:marker>
            <c:symbol val="diamond"/>
            <c:size val="7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strRef>
              <c:f>'Quality of service'!$G$5:$K$5</c:f>
              <c:strCache>
                <c:ptCount val="5"/>
                <c:pt idx="0">
                  <c:v>2005-06</c:v>
                </c:pt>
                <c:pt idx="1">
                  <c:v>2006-07</c:v>
                </c:pt>
                <c:pt idx="2">
                  <c:v>2007-08</c:v>
                </c:pt>
                <c:pt idx="3">
                  <c:v>2008-09</c:v>
                </c:pt>
                <c:pt idx="4">
                  <c:v>2009-10</c:v>
                </c:pt>
              </c:strCache>
            </c:strRef>
          </c:cat>
          <c:val>
            <c:numRef>
              <c:f>'Quality of service'!$G$121:$K$121</c:f>
              <c:numCache>
                <c:formatCode>_-* #,##0.0_-;\-* #,##0.0_-;_-* "-"?_-;_-@_-</c:formatCode>
                <c:ptCount val="5"/>
                <c:pt idx="0">
                  <c:v>32.125833333333333</c:v>
                </c:pt>
                <c:pt idx="1">
                  <c:v>80.751666666666665</c:v>
                </c:pt>
                <c:pt idx="2">
                  <c:v>49.649166666666666</c:v>
                </c:pt>
                <c:pt idx="3">
                  <c:v>22.974999999999998</c:v>
                </c:pt>
                <c:pt idx="4">
                  <c:v>22.508333333333336</c:v>
                </c:pt>
              </c:numCache>
            </c:numRef>
          </c:val>
        </c:ser>
        <c:marker val="1"/>
        <c:axId val="71510656"/>
        <c:axId val="71521024"/>
      </c:lineChart>
      <c:catAx>
        <c:axId val="71510656"/>
        <c:scaling>
          <c:orientation val="minMax"/>
        </c:scaling>
        <c:axPos val="b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71521024"/>
        <c:crosses val="autoZero"/>
        <c:auto val="1"/>
        <c:lblAlgn val="ctr"/>
        <c:lblOffset val="100"/>
      </c:catAx>
      <c:valAx>
        <c:axId val="71521024"/>
        <c:scaling>
          <c:orientation val="minMax"/>
          <c:max val="100"/>
          <c:min val="0"/>
        </c:scaling>
        <c:axPos val="l"/>
        <c:majorGridlines>
          <c:spPr>
            <a:ln>
              <a:prstDash val="sysDash"/>
            </a:ln>
          </c:spPr>
        </c:majorGridlines>
        <c:numFmt formatCode="#,##0.0" sourceLinked="0"/>
        <c:tickLblPos val="nextTo"/>
        <c:crossAx val="71510656"/>
        <c:crosses val="autoZero"/>
        <c:crossBetween val="between"/>
        <c:majorUnit val="10"/>
      </c:valAx>
      <c:spPr>
        <a:noFill/>
        <a:ln>
          <a:noFill/>
        </a:ln>
      </c:spPr>
    </c:plotArea>
    <c:legend>
      <c:legendPos val="b"/>
    </c:legend>
    <c:plotVisOnly val="1"/>
    <c:dispBlanksAs val="gap"/>
  </c:chart>
  <c:spPr>
    <a:noFill/>
    <a:ln>
      <a:noFill/>
    </a:ln>
  </c:spPr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0"/>
          <c:order val="0"/>
          <c:tx>
            <c:strRef>
              <c:f>'Distribution losses'!$B$10</c:f>
              <c:strCache>
                <c:ptCount val="1"/>
                <c:pt idx="0">
                  <c:v>CN West</c:v>
                </c:pt>
              </c:strCache>
            </c:strRef>
          </c:tx>
          <c:marker>
            <c:symbol val="none"/>
          </c:marker>
          <c:cat>
            <c:multiLvlStrRef>
              <c:f>'Distribution losses'!$H$9:$L$9</c:f>
            </c:multiLvlStrRef>
          </c:cat>
          <c:val>
            <c:numRef>
              <c:f>'Distribution losses'!$H$10:$L$10</c:f>
            </c:numRef>
          </c:val>
        </c:ser>
        <c:ser>
          <c:idx val="1"/>
          <c:order val="1"/>
          <c:tx>
            <c:strRef>
              <c:f>'Distribution losses'!$B$11</c:f>
              <c:strCache>
                <c:ptCount val="1"/>
                <c:pt idx="0">
                  <c:v>CN East</c:v>
                </c:pt>
              </c:strCache>
            </c:strRef>
          </c:tx>
          <c:marker>
            <c:symbol val="none"/>
          </c:marker>
          <c:val>
            <c:numRef>
              <c:f>'Distribution losses'!$H$11:$L$11</c:f>
            </c:numRef>
          </c:val>
        </c:ser>
        <c:ser>
          <c:idx val="2"/>
          <c:order val="2"/>
          <c:tx>
            <c:strRef>
              <c:f>'Distribution losses'!$B$12</c:f>
              <c:strCache>
                <c:ptCount val="1"/>
                <c:pt idx="0">
                  <c:v>ENWL</c:v>
                </c:pt>
              </c:strCache>
            </c:strRef>
          </c:tx>
          <c:marker>
            <c:symbol val="none"/>
          </c:marker>
          <c:val>
            <c:numRef>
              <c:f>'Distribution losses'!$H$12:$L$12</c:f>
            </c:numRef>
          </c:val>
        </c:ser>
        <c:ser>
          <c:idx val="3"/>
          <c:order val="3"/>
          <c:tx>
            <c:strRef>
              <c:f>'Distribution losses'!$B$13</c:f>
              <c:strCache>
                <c:ptCount val="1"/>
                <c:pt idx="0">
                  <c:v>CE NEDL</c:v>
                </c:pt>
              </c:strCache>
            </c:strRef>
          </c:tx>
          <c:marker>
            <c:symbol val="none"/>
          </c:marker>
          <c:val>
            <c:numRef>
              <c:f>'Distribution losses'!$H$13:$L$13</c:f>
            </c:numRef>
          </c:val>
        </c:ser>
        <c:ser>
          <c:idx val="4"/>
          <c:order val="4"/>
          <c:tx>
            <c:strRef>
              <c:f>'Distribution losses'!$B$14</c:f>
              <c:strCache>
                <c:ptCount val="1"/>
                <c:pt idx="0">
                  <c:v>CE YEDL</c:v>
                </c:pt>
              </c:strCache>
            </c:strRef>
          </c:tx>
          <c:marker>
            <c:symbol val="none"/>
          </c:marker>
          <c:val>
            <c:numRef>
              <c:f>'Distribution losses'!$H$14:$L$14</c:f>
            </c:numRef>
          </c:val>
        </c:ser>
        <c:ser>
          <c:idx val="5"/>
          <c:order val="5"/>
          <c:tx>
            <c:strRef>
              <c:f>'Distribution losses'!$B$15</c:f>
              <c:strCache>
                <c:ptCount val="1"/>
                <c:pt idx="0">
                  <c:v>WPD S Wales</c:v>
                </c:pt>
              </c:strCache>
            </c:strRef>
          </c:tx>
          <c:marker>
            <c:symbol val="none"/>
          </c:marker>
          <c:val>
            <c:numRef>
              <c:f>'Distribution losses'!$H$16:$L$16</c:f>
            </c:numRef>
          </c:val>
        </c:ser>
        <c:ser>
          <c:idx val="14"/>
          <c:order val="6"/>
          <c:tx>
            <c:strRef>
              <c:f>'Distribution losses'!$B$16</c:f>
              <c:strCache>
                <c:ptCount val="1"/>
                <c:pt idx="0">
                  <c:v>WPD S West</c:v>
                </c:pt>
              </c:strCache>
            </c:strRef>
          </c:tx>
          <c:marker>
            <c:symbol val="none"/>
          </c:marker>
          <c:val>
            <c:numRef>
              <c:f>'Distribution losses'!$H$16:$L$16</c:f>
            </c:numRef>
          </c:val>
        </c:ser>
        <c:ser>
          <c:idx val="6"/>
          <c:order val="7"/>
          <c:tx>
            <c:strRef>
              <c:f>'Distribution losses'!$B$17</c:f>
              <c:strCache>
                <c:ptCount val="1"/>
                <c:pt idx="0">
                  <c:v>UKPN LPN</c:v>
                </c:pt>
              </c:strCache>
            </c:strRef>
          </c:tx>
          <c:marker>
            <c:symbol val="none"/>
          </c:marker>
          <c:val>
            <c:numRef>
              <c:f>'Distribution losses'!$H$17:$L$17</c:f>
            </c:numRef>
          </c:val>
        </c:ser>
        <c:ser>
          <c:idx val="7"/>
          <c:order val="8"/>
          <c:tx>
            <c:strRef>
              <c:f>'Distribution losses'!$B$18</c:f>
              <c:strCache>
                <c:ptCount val="1"/>
                <c:pt idx="0">
                  <c:v>UKPN SEPN</c:v>
                </c:pt>
              </c:strCache>
            </c:strRef>
          </c:tx>
          <c:marker>
            <c:symbol val="none"/>
          </c:marker>
          <c:val>
            <c:numRef>
              <c:f>'Distribution losses'!$H$18:$L$18</c:f>
            </c:numRef>
          </c:val>
        </c:ser>
        <c:ser>
          <c:idx val="8"/>
          <c:order val="9"/>
          <c:tx>
            <c:strRef>
              <c:f>'Distribution losses'!$B$19</c:f>
              <c:strCache>
                <c:ptCount val="1"/>
                <c:pt idx="0">
                  <c:v>UKPN EPN</c:v>
                </c:pt>
              </c:strCache>
            </c:strRef>
          </c:tx>
          <c:marker>
            <c:symbol val="none"/>
          </c:marker>
          <c:val>
            <c:numRef>
              <c:f>'Distribution losses'!$H$19:$L$19</c:f>
            </c:numRef>
          </c:val>
        </c:ser>
        <c:ser>
          <c:idx val="9"/>
          <c:order val="10"/>
          <c:tx>
            <c:strRef>
              <c:f>'Distribution losses'!$B$20</c:f>
              <c:strCache>
                <c:ptCount val="1"/>
                <c:pt idx="0">
                  <c:v>SP Distribution</c:v>
                </c:pt>
              </c:strCache>
            </c:strRef>
          </c:tx>
          <c:marker>
            <c:symbol val="none"/>
          </c:marker>
          <c:val>
            <c:numRef>
              <c:f>'Distribution losses'!$H$20:$L$20</c:f>
            </c:numRef>
          </c:val>
        </c:ser>
        <c:ser>
          <c:idx val="10"/>
          <c:order val="11"/>
          <c:tx>
            <c:strRef>
              <c:f>'Distribution losses'!$B$21</c:f>
              <c:strCache>
                <c:ptCount val="1"/>
                <c:pt idx="0">
                  <c:v>SP Manweb</c:v>
                </c:pt>
              </c:strCache>
            </c:strRef>
          </c:tx>
          <c:marker>
            <c:symbol val="none"/>
          </c:marker>
          <c:val>
            <c:numRef>
              <c:f>'Distribution losses'!$H$21:$L$21</c:f>
            </c:numRef>
          </c:val>
        </c:ser>
        <c:ser>
          <c:idx val="11"/>
          <c:order val="12"/>
          <c:tx>
            <c:strRef>
              <c:f>'Distribution losses'!$B$22</c:f>
              <c:strCache>
                <c:ptCount val="1"/>
                <c:pt idx="0">
                  <c:v>SSE Hydro</c:v>
                </c:pt>
              </c:strCache>
            </c:strRef>
          </c:tx>
          <c:marker>
            <c:symbol val="none"/>
          </c:marker>
          <c:val>
            <c:numRef>
              <c:f>'Distribution losses'!$H$23:$L$23</c:f>
            </c:numRef>
          </c:val>
        </c:ser>
        <c:ser>
          <c:idx val="12"/>
          <c:order val="13"/>
          <c:tx>
            <c:strRef>
              <c:f>'Distribution losses'!$B$23</c:f>
              <c:strCache>
                <c:ptCount val="1"/>
                <c:pt idx="0">
                  <c:v>SSE Southern</c:v>
                </c:pt>
              </c:strCache>
            </c:strRef>
          </c:tx>
          <c:marker>
            <c:symbol val="none"/>
          </c:marker>
          <c:val>
            <c:numRef>
              <c:f>'Distribution losses'!$H$23:$L$23</c:f>
            </c:numRef>
          </c:val>
        </c:ser>
        <c:ser>
          <c:idx val="13"/>
          <c:order val="14"/>
          <c:tx>
            <c:strRef>
              <c:f>'Distribution losses'!$B$24</c:f>
              <c:strCache>
                <c:ptCount val="1"/>
                <c:pt idx="0">
                  <c:v>GB average</c:v>
                </c:pt>
              </c:strCache>
            </c:strRef>
          </c:tx>
          <c:marker>
            <c:symbol val="none"/>
          </c:marker>
          <c:val>
            <c:numRef>
              <c:f>'Distribution losses'!$H$24:$L$24</c:f>
            </c:numRef>
          </c:val>
        </c:ser>
        <c:marker val="1"/>
        <c:axId val="72174976"/>
        <c:axId val="72193152"/>
      </c:lineChart>
      <c:catAx>
        <c:axId val="72174976"/>
        <c:scaling>
          <c:orientation val="minMax"/>
        </c:scaling>
        <c:axPos val="b"/>
        <c:tickLblPos val="nextTo"/>
        <c:crossAx val="72193152"/>
        <c:crosses val="autoZero"/>
        <c:auto val="1"/>
        <c:lblAlgn val="ctr"/>
        <c:lblOffset val="100"/>
      </c:catAx>
      <c:valAx>
        <c:axId val="72193152"/>
        <c:scaling>
          <c:orientation val="minMax"/>
          <c:min val="3.0000000000000002E-2"/>
        </c:scaling>
        <c:axPos val="l"/>
        <c:majorGridlines/>
        <c:numFmt formatCode="0.00%" sourceLinked="1"/>
        <c:tickLblPos val="nextTo"/>
        <c:crossAx val="7217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0"/>
          <c:order val="0"/>
          <c:tx>
            <c:strRef>
              <c:f>'Network investment'!$B$6</c:f>
              <c:strCache>
                <c:ptCount val="1"/>
                <c:pt idx="0">
                  <c:v>Opex allowance</c:v>
                </c:pt>
              </c:strCache>
            </c:strRef>
          </c:tx>
          <c:marker>
            <c:symbol val="star"/>
            <c:size val="7"/>
          </c:marker>
          <c:cat>
            <c:strRef>
              <c:f>'Network investment'!$D$6:$H$6</c:f>
              <c:strCache>
                <c:ptCount val="5"/>
                <c:pt idx="0">
                  <c:v>2005-06</c:v>
                </c:pt>
                <c:pt idx="1">
                  <c:v>2006-07</c:v>
                </c:pt>
                <c:pt idx="2">
                  <c:v>2007-08</c:v>
                </c:pt>
                <c:pt idx="3">
                  <c:v>2008-09</c:v>
                </c:pt>
                <c:pt idx="4">
                  <c:v>2009-10</c:v>
                </c:pt>
              </c:strCache>
            </c:strRef>
          </c:cat>
          <c:val>
            <c:numRef>
              <c:f>'Network investment'!$D$40:$H$40</c:f>
              <c:numCache>
                <c:formatCode>_-* #,##0.0_-;\-* #,##0.0_-;_-* "-"?_-;_-@_-</c:formatCode>
                <c:ptCount val="5"/>
                <c:pt idx="0">
                  <c:v>720.77687646816923</c:v>
                </c:pt>
                <c:pt idx="1">
                  <c:v>708.20382042283291</c:v>
                </c:pt>
                <c:pt idx="2">
                  <c:v>705.38369570238353</c:v>
                </c:pt>
                <c:pt idx="3">
                  <c:v>699.39093067142858</c:v>
                </c:pt>
                <c:pt idx="4">
                  <c:v>707.49878924272048</c:v>
                </c:pt>
              </c:numCache>
            </c:numRef>
          </c:val>
        </c:ser>
        <c:ser>
          <c:idx val="1"/>
          <c:order val="1"/>
          <c:tx>
            <c:strRef>
              <c:f>'Network investment'!$B$23</c:f>
              <c:strCache>
                <c:ptCount val="1"/>
                <c:pt idx="0">
                  <c:v>Actual opex</c:v>
                </c:pt>
              </c:strCache>
            </c:strRef>
          </c:tx>
          <c:marker>
            <c:symbol val="star"/>
            <c:size val="7"/>
          </c:marker>
          <c:cat>
            <c:strRef>
              <c:f>'Network investment'!$D$6:$H$6</c:f>
              <c:strCache>
                <c:ptCount val="5"/>
                <c:pt idx="0">
                  <c:v>2005-06</c:v>
                </c:pt>
                <c:pt idx="1">
                  <c:v>2006-07</c:v>
                </c:pt>
                <c:pt idx="2">
                  <c:v>2007-08</c:v>
                </c:pt>
                <c:pt idx="3">
                  <c:v>2008-09</c:v>
                </c:pt>
                <c:pt idx="4">
                  <c:v>2009-10</c:v>
                </c:pt>
              </c:strCache>
            </c:strRef>
          </c:cat>
          <c:val>
            <c:numRef>
              <c:f>'Network investment'!$D$41:$H$41</c:f>
              <c:numCache>
                <c:formatCode>_-* #,##0.0_-;\-* #,##0.0_-;_-* "-"?_-;_-@_-</c:formatCode>
                <c:ptCount val="5"/>
                <c:pt idx="0">
                  <c:v>730.39095591025034</c:v>
                </c:pt>
                <c:pt idx="1">
                  <c:v>751.41911067036983</c:v>
                </c:pt>
                <c:pt idx="2">
                  <c:v>768.19705866506661</c:v>
                </c:pt>
                <c:pt idx="3">
                  <c:v>813.79885185218552</c:v>
                </c:pt>
                <c:pt idx="4">
                  <c:v>799.25462191807185</c:v>
                </c:pt>
              </c:numCache>
            </c:numRef>
          </c:val>
        </c:ser>
        <c:marker val="1"/>
        <c:axId val="72419968"/>
        <c:axId val="72421760"/>
      </c:lineChart>
      <c:catAx>
        <c:axId val="72419968"/>
        <c:scaling>
          <c:orientation val="minMax"/>
        </c:scaling>
        <c:axPos val="b"/>
        <c:numFmt formatCode="General" sourceLinked="1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72421760"/>
        <c:crosses val="autoZero"/>
        <c:auto val="1"/>
        <c:lblAlgn val="ctr"/>
        <c:lblOffset val="100"/>
      </c:catAx>
      <c:valAx>
        <c:axId val="72421760"/>
        <c:scaling>
          <c:orientation val="minMax"/>
          <c:min val="0"/>
        </c:scaling>
        <c:axPos val="l"/>
        <c:majorGridlines>
          <c:spPr>
            <a:ln>
              <a:prstDash val="sysDash"/>
            </a:ln>
          </c:spPr>
        </c:majorGridlines>
        <c:numFmt formatCode="_-* #,##0.0_-;\-* #,##0.0_-;_-* &quot;-&quot;?_-;_-@_-" sourceLinked="1"/>
        <c:tickLblPos val="nextTo"/>
        <c:crossAx val="72419968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0"/>
          <c:order val="0"/>
          <c:tx>
            <c:strRef>
              <c:f>'Network investment'!$B$44</c:f>
              <c:strCache>
                <c:ptCount val="1"/>
                <c:pt idx="0">
                  <c:v>Capex allowance</c:v>
                </c:pt>
              </c:strCache>
            </c:strRef>
          </c:tx>
          <c:marker>
            <c:symbol val="star"/>
            <c:size val="7"/>
          </c:marker>
          <c:cat>
            <c:strRef>
              <c:f>'Network investment'!$D$44:$H$44</c:f>
              <c:strCache>
                <c:ptCount val="5"/>
                <c:pt idx="0">
                  <c:v>2005-06</c:v>
                </c:pt>
                <c:pt idx="1">
                  <c:v>2006-07</c:v>
                </c:pt>
                <c:pt idx="2">
                  <c:v>2007-08</c:v>
                </c:pt>
                <c:pt idx="3">
                  <c:v>2008-09</c:v>
                </c:pt>
                <c:pt idx="4">
                  <c:v>2009-10</c:v>
                </c:pt>
              </c:strCache>
            </c:strRef>
          </c:cat>
          <c:val>
            <c:numRef>
              <c:f>'Network investment'!$D$78:$H$78</c:f>
              <c:numCache>
                <c:formatCode>_-* #,##0.0_-;\-* #,##0.0_-;_-* "-"?_-;_-@_-</c:formatCode>
                <c:ptCount val="5"/>
                <c:pt idx="0">
                  <c:v>1516.1695528315599</c:v>
                </c:pt>
                <c:pt idx="1">
                  <c:v>1516.0520476348745</c:v>
                </c:pt>
                <c:pt idx="2">
                  <c:v>1521.9273074691439</c:v>
                </c:pt>
                <c:pt idx="3">
                  <c:v>1541.0806545288622</c:v>
                </c:pt>
                <c:pt idx="4">
                  <c:v>1549.4235234935245</c:v>
                </c:pt>
              </c:numCache>
            </c:numRef>
          </c:val>
        </c:ser>
        <c:ser>
          <c:idx val="1"/>
          <c:order val="1"/>
          <c:tx>
            <c:strRef>
              <c:f>'Network investment'!$B$61</c:f>
              <c:strCache>
                <c:ptCount val="1"/>
                <c:pt idx="0">
                  <c:v>Actual capex</c:v>
                </c:pt>
              </c:strCache>
            </c:strRef>
          </c:tx>
          <c:marker>
            <c:symbol val="star"/>
            <c:size val="7"/>
          </c:marker>
          <c:cat>
            <c:strRef>
              <c:f>'Network investment'!$D$44:$H$44</c:f>
              <c:strCache>
                <c:ptCount val="5"/>
                <c:pt idx="0">
                  <c:v>2005-06</c:v>
                </c:pt>
                <c:pt idx="1">
                  <c:v>2006-07</c:v>
                </c:pt>
                <c:pt idx="2">
                  <c:v>2007-08</c:v>
                </c:pt>
                <c:pt idx="3">
                  <c:v>2008-09</c:v>
                </c:pt>
                <c:pt idx="4">
                  <c:v>2009-10</c:v>
                </c:pt>
              </c:strCache>
            </c:strRef>
          </c:cat>
          <c:val>
            <c:numRef>
              <c:f>'Network investment'!$D$79:$H$79</c:f>
              <c:numCache>
                <c:formatCode>_-* #,##0.0_-;\-* #,##0.0_-;_-* "-"?_-;_-@_-</c:formatCode>
                <c:ptCount val="5"/>
                <c:pt idx="0">
                  <c:v>1202.132186602026</c:v>
                </c:pt>
                <c:pt idx="1">
                  <c:v>1271.9596596289778</c:v>
                </c:pt>
                <c:pt idx="2">
                  <c:v>1472.1</c:v>
                </c:pt>
                <c:pt idx="3">
                  <c:v>1616.9056036013974</c:v>
                </c:pt>
                <c:pt idx="4">
                  <c:v>1567.1905568043305</c:v>
                </c:pt>
              </c:numCache>
            </c:numRef>
          </c:val>
        </c:ser>
        <c:marker val="1"/>
        <c:axId val="72445952"/>
        <c:axId val="72447488"/>
      </c:lineChart>
      <c:catAx>
        <c:axId val="72445952"/>
        <c:scaling>
          <c:orientation val="minMax"/>
        </c:scaling>
        <c:axPos val="b"/>
        <c:numFmt formatCode="General" sourceLinked="1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72447488"/>
        <c:crosses val="autoZero"/>
        <c:auto val="1"/>
        <c:lblAlgn val="ctr"/>
        <c:lblOffset val="100"/>
      </c:catAx>
      <c:valAx>
        <c:axId val="72447488"/>
        <c:scaling>
          <c:orientation val="minMax"/>
          <c:min val="0"/>
        </c:scaling>
        <c:axPos val="l"/>
        <c:majorGridlines>
          <c:spPr>
            <a:ln>
              <a:prstDash val="sysDash"/>
            </a:ln>
          </c:spPr>
        </c:majorGridlines>
        <c:numFmt formatCode="_-* #,##0.0_-;\-* #,##0.0_-;_-* &quot;-&quot;?_-;_-@_-" sourceLinked="1"/>
        <c:tickLblPos val="nextTo"/>
        <c:crossAx val="72445952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6.6329416515243322E-2"/>
          <c:y val="3.7844214089809716E-2"/>
          <c:w val="0.90221759203176144"/>
          <c:h val="0.60952196002376202"/>
        </c:manualLayout>
      </c:layout>
      <c:barChart>
        <c:barDir val="col"/>
        <c:grouping val="clustered"/>
        <c:ser>
          <c:idx val="3"/>
          <c:order val="3"/>
          <c:tx>
            <c:v>Percentage of actual total expenditure compared to DPCR4 allowance</c:v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'Network investment'!$J$160:$J$174</c:f>
              <c:strCache>
                <c:ptCount val="15"/>
                <c:pt idx="0">
                  <c:v>ENWL</c:v>
                </c:pt>
                <c:pt idx="1">
                  <c:v>CN East </c:v>
                </c:pt>
                <c:pt idx="2">
                  <c:v>SSE Hydro</c:v>
                </c:pt>
                <c:pt idx="3">
                  <c:v>UKPN LPN</c:v>
                </c:pt>
                <c:pt idx="4">
                  <c:v>WPD S Wales</c:v>
                </c:pt>
                <c:pt idx="5">
                  <c:v>SSE Southern</c:v>
                </c:pt>
                <c:pt idx="6">
                  <c:v>UKPN EPN</c:v>
                </c:pt>
                <c:pt idx="7">
                  <c:v>GB average</c:v>
                </c:pt>
                <c:pt idx="8">
                  <c:v>CE YEDL</c:v>
                </c:pt>
                <c:pt idx="9">
                  <c:v>CE NEDL</c:v>
                </c:pt>
                <c:pt idx="10">
                  <c:v>WPD S West</c:v>
                </c:pt>
                <c:pt idx="11">
                  <c:v>UKPN SEPN</c:v>
                </c:pt>
                <c:pt idx="12">
                  <c:v>SP Distribution</c:v>
                </c:pt>
                <c:pt idx="13">
                  <c:v>CN West</c:v>
                </c:pt>
                <c:pt idx="14">
                  <c:v>SP Manweb</c:v>
                </c:pt>
              </c:strCache>
            </c:strRef>
          </c:cat>
          <c:val>
            <c:numRef>
              <c:f>'Network investment'!$P$160:$P$174</c:f>
              <c:numCache>
                <c:formatCode>0.00%</c:formatCode>
                <c:ptCount val="15"/>
                <c:pt idx="0">
                  <c:v>-0.13836460903233272</c:v>
                </c:pt>
                <c:pt idx="1">
                  <c:v>1.1366753801793639E-2</c:v>
                </c:pt>
                <c:pt idx="2">
                  <c:v>-6.1117258728708546E-2</c:v>
                </c:pt>
                <c:pt idx="3">
                  <c:v>-1.2567063553594493E-2</c:v>
                </c:pt>
                <c:pt idx="4">
                  <c:v>-4.0252260675629259E-2</c:v>
                </c:pt>
                <c:pt idx="5">
                  <c:v>-6.9830015315430538E-2</c:v>
                </c:pt>
                <c:pt idx="6">
                  <c:v>7.1821551606481293E-2</c:v>
                </c:pt>
                <c:pt idx="7">
                  <c:v>-1.7214392127197331E-2</c:v>
                </c:pt>
                <c:pt idx="8">
                  <c:v>-5.155404843551703E-3</c:v>
                </c:pt>
                <c:pt idx="9">
                  <c:v>-1.9118827268118976E-2</c:v>
                </c:pt>
                <c:pt idx="10">
                  <c:v>3.8557521344636747E-2</c:v>
                </c:pt>
                <c:pt idx="11">
                  <c:v>1.3743362831301287E-2</c:v>
                </c:pt>
                <c:pt idx="12">
                  <c:v>-0.10838560495912397</c:v>
                </c:pt>
                <c:pt idx="13">
                  <c:v>6.9814673679238215E-2</c:v>
                </c:pt>
                <c:pt idx="14">
                  <c:v>-5.7819703695030089E-2</c:v>
                </c:pt>
              </c:numCache>
            </c:numRef>
          </c:val>
        </c:ser>
        <c:axId val="72708480"/>
        <c:axId val="72710784"/>
      </c:barChart>
      <c:lineChart>
        <c:grouping val="standard"/>
        <c:ser>
          <c:idx val="2"/>
          <c:order val="0"/>
          <c:tx>
            <c:strRef>
              <c:f>'Network investment'!$M$159</c:f>
              <c:strCache>
                <c:ptCount val="1"/>
                <c:pt idx="0">
                  <c:v>DPCR4 RORE achieved allowing for opex, capex, losses, QoS, volumes, tax, real interest</c:v>
                </c:pt>
              </c:strCache>
            </c:strRef>
          </c:tx>
          <c:spPr>
            <a:ln w="25400"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strRef>
              <c:f>'Network investment'!$J$160:$J$174</c:f>
              <c:strCache>
                <c:ptCount val="15"/>
                <c:pt idx="0">
                  <c:v>ENWL</c:v>
                </c:pt>
                <c:pt idx="1">
                  <c:v>CN East </c:v>
                </c:pt>
                <c:pt idx="2">
                  <c:v>SSE Hydro</c:v>
                </c:pt>
                <c:pt idx="3">
                  <c:v>UKPN LPN</c:v>
                </c:pt>
                <c:pt idx="4">
                  <c:v>WPD S Wales</c:v>
                </c:pt>
                <c:pt idx="5">
                  <c:v>SSE Southern</c:v>
                </c:pt>
                <c:pt idx="6">
                  <c:v>UKPN EPN</c:v>
                </c:pt>
                <c:pt idx="7">
                  <c:v>GB average</c:v>
                </c:pt>
                <c:pt idx="8">
                  <c:v>CE YEDL</c:v>
                </c:pt>
                <c:pt idx="9">
                  <c:v>CE NEDL</c:v>
                </c:pt>
                <c:pt idx="10">
                  <c:v>WPD S West</c:v>
                </c:pt>
                <c:pt idx="11">
                  <c:v>UKPN SEPN</c:v>
                </c:pt>
                <c:pt idx="12">
                  <c:v>SP Distribution</c:v>
                </c:pt>
                <c:pt idx="13">
                  <c:v>CN West</c:v>
                </c:pt>
                <c:pt idx="14">
                  <c:v>SP Manweb</c:v>
                </c:pt>
              </c:strCache>
            </c:strRef>
          </c:cat>
          <c:val>
            <c:numRef>
              <c:f>'Network investment'!$M$160:$M$174</c:f>
              <c:numCache>
                <c:formatCode>0.00%</c:formatCode>
                <c:ptCount val="15"/>
                <c:pt idx="0">
                  <c:v>0.10083254791252363</c:v>
                </c:pt>
                <c:pt idx="1">
                  <c:v>0.10039271741140655</c:v>
                </c:pt>
                <c:pt idx="2">
                  <c:v>9.4694821484862954E-2</c:v>
                </c:pt>
                <c:pt idx="3">
                  <c:v>8.9502639515358459E-2</c:v>
                </c:pt>
                <c:pt idx="4">
                  <c:v>8.9493329036251179E-2</c:v>
                </c:pt>
                <c:pt idx="5">
                  <c:v>8.9106767965445449E-2</c:v>
                </c:pt>
                <c:pt idx="6">
                  <c:v>8.6624745779373999E-2</c:v>
                </c:pt>
                <c:pt idx="7">
                  <c:v>8.3146282828022167E-2</c:v>
                </c:pt>
                <c:pt idx="8">
                  <c:v>8.1739509222933507E-2</c:v>
                </c:pt>
                <c:pt idx="9">
                  <c:v>7.9497467994240761E-2</c:v>
                </c:pt>
                <c:pt idx="10">
                  <c:v>7.7126186725284748E-2</c:v>
                </c:pt>
                <c:pt idx="11">
                  <c:v>7.4382192572181954E-2</c:v>
                </c:pt>
                <c:pt idx="12">
                  <c:v>7.4186631300421663E-2</c:v>
                </c:pt>
                <c:pt idx="13">
                  <c:v>6.7311385500408827E-2</c:v>
                </c:pt>
                <c:pt idx="14">
                  <c:v>5.3271681935735241E-2</c:v>
                </c:pt>
              </c:numCache>
            </c:numRef>
          </c:val>
        </c:ser>
        <c:ser>
          <c:idx val="1"/>
          <c:order val="1"/>
          <c:tx>
            <c:strRef>
              <c:f>'Network investment'!$L$159</c:f>
              <c:strCache>
                <c:ptCount val="1"/>
                <c:pt idx="0">
                  <c:v>DPCR4 RORE achieved allowing for opex, capex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diamond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'Network investment'!$J$160:$J$174</c:f>
              <c:strCache>
                <c:ptCount val="15"/>
                <c:pt idx="0">
                  <c:v>ENWL</c:v>
                </c:pt>
                <c:pt idx="1">
                  <c:v>CN East </c:v>
                </c:pt>
                <c:pt idx="2">
                  <c:v>SSE Hydro</c:v>
                </c:pt>
                <c:pt idx="3">
                  <c:v>UKPN LPN</c:v>
                </c:pt>
                <c:pt idx="4">
                  <c:v>WPD S Wales</c:v>
                </c:pt>
                <c:pt idx="5">
                  <c:v>SSE Southern</c:v>
                </c:pt>
                <c:pt idx="6">
                  <c:v>UKPN EPN</c:v>
                </c:pt>
                <c:pt idx="7">
                  <c:v>GB average</c:v>
                </c:pt>
                <c:pt idx="8">
                  <c:v>CE YEDL</c:v>
                </c:pt>
                <c:pt idx="9">
                  <c:v>CE NEDL</c:v>
                </c:pt>
                <c:pt idx="10">
                  <c:v>WPD S West</c:v>
                </c:pt>
                <c:pt idx="11">
                  <c:v>UKPN SEPN</c:v>
                </c:pt>
                <c:pt idx="12">
                  <c:v>SP Distribution</c:v>
                </c:pt>
                <c:pt idx="13">
                  <c:v>CN West</c:v>
                </c:pt>
                <c:pt idx="14">
                  <c:v>SP Manweb</c:v>
                </c:pt>
              </c:strCache>
            </c:strRef>
          </c:cat>
          <c:val>
            <c:numRef>
              <c:f>'Network investment'!$L$160:$L$174</c:f>
              <c:numCache>
                <c:formatCode>0.00%</c:formatCode>
                <c:ptCount val="15"/>
                <c:pt idx="0">
                  <c:v>8.4483075505128721E-2</c:v>
                </c:pt>
                <c:pt idx="1">
                  <c:v>7.0794147093769799E-2</c:v>
                </c:pt>
                <c:pt idx="2">
                  <c:v>7.9507244227542753E-2</c:v>
                </c:pt>
                <c:pt idx="3">
                  <c:v>6.3658017812835421E-2</c:v>
                </c:pt>
                <c:pt idx="4">
                  <c:v>8.1114602229601804E-2</c:v>
                </c:pt>
                <c:pt idx="5">
                  <c:v>7.5382512484462733E-2</c:v>
                </c:pt>
                <c:pt idx="6">
                  <c:v>4.852213732903058E-2</c:v>
                </c:pt>
                <c:pt idx="7">
                  <c:v>6.77078575931572E-2</c:v>
                </c:pt>
                <c:pt idx="8">
                  <c:v>6.1688293210662271E-2</c:v>
                </c:pt>
                <c:pt idx="9">
                  <c:v>7.0366077681058667E-2</c:v>
                </c:pt>
                <c:pt idx="10">
                  <c:v>5.9139585795798574E-2</c:v>
                </c:pt>
                <c:pt idx="11">
                  <c:v>5.1432737095413184E-2</c:v>
                </c:pt>
                <c:pt idx="12">
                  <c:v>8.1935701271284328E-2</c:v>
                </c:pt>
                <c:pt idx="13">
                  <c:v>6.0154252965368887E-2</c:v>
                </c:pt>
                <c:pt idx="14">
                  <c:v>6.2690668760537235E-2</c:v>
                </c:pt>
              </c:numCache>
            </c:numRef>
          </c:val>
        </c:ser>
        <c:ser>
          <c:idx val="0"/>
          <c:order val="2"/>
          <c:tx>
            <c:strRef>
              <c:f>'Network investment'!$K$159</c:f>
              <c:strCache>
                <c:ptCount val="1"/>
                <c:pt idx="0">
                  <c:v>DPCR4 RORE allowed</c:v>
                </c:pt>
              </c:strCache>
            </c:strRef>
          </c:tx>
          <c:spPr>
            <a:ln w="25400"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'Network investment'!$J$160:$J$174</c:f>
              <c:strCache>
                <c:ptCount val="15"/>
                <c:pt idx="0">
                  <c:v>ENWL</c:v>
                </c:pt>
                <c:pt idx="1">
                  <c:v>CN East </c:v>
                </c:pt>
                <c:pt idx="2">
                  <c:v>SSE Hydro</c:v>
                </c:pt>
                <c:pt idx="3">
                  <c:v>UKPN LPN</c:v>
                </c:pt>
                <c:pt idx="4">
                  <c:v>WPD S Wales</c:v>
                </c:pt>
                <c:pt idx="5">
                  <c:v>SSE Southern</c:v>
                </c:pt>
                <c:pt idx="6">
                  <c:v>UKPN EPN</c:v>
                </c:pt>
                <c:pt idx="7">
                  <c:v>GB average</c:v>
                </c:pt>
                <c:pt idx="8">
                  <c:v>CE YEDL</c:v>
                </c:pt>
                <c:pt idx="9">
                  <c:v>CE NEDL</c:v>
                </c:pt>
                <c:pt idx="10">
                  <c:v>WPD S West</c:v>
                </c:pt>
                <c:pt idx="11">
                  <c:v>UKPN SEPN</c:v>
                </c:pt>
                <c:pt idx="12">
                  <c:v>SP Distribution</c:v>
                </c:pt>
                <c:pt idx="13">
                  <c:v>CN West</c:v>
                </c:pt>
                <c:pt idx="14">
                  <c:v>SP Manweb</c:v>
                </c:pt>
              </c:strCache>
            </c:strRef>
          </c:cat>
          <c:val>
            <c:numRef>
              <c:f>'Network investment'!$K$160:$K$174</c:f>
              <c:numCache>
                <c:formatCode>0.00%</c:formatCode>
                <c:ptCount val="15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7.4999999999999997E-2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7.4999999999999997E-2</c:v>
                </c:pt>
                <c:pt idx="13">
                  <c:v>7.4999999999999997E-2</c:v>
                </c:pt>
                <c:pt idx="14">
                  <c:v>7.4999999999999997E-2</c:v>
                </c:pt>
              </c:numCache>
            </c:numRef>
          </c:val>
        </c:ser>
        <c:marker val="1"/>
        <c:axId val="72708480"/>
        <c:axId val="72710784"/>
      </c:lineChart>
      <c:catAx>
        <c:axId val="727084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sz="1000" b="1"/>
                  <a:t>DNO</a:t>
                </a:r>
              </a:p>
            </c:rich>
          </c:tx>
          <c:layout>
            <c:manualLayout>
              <c:xMode val="edge"/>
              <c:yMode val="edge"/>
              <c:x val="8.4923301790223768E-2"/>
              <c:y val="0.7764455973582427"/>
            </c:manualLayout>
          </c:layout>
        </c:title>
        <c:numFmt formatCode="General" sourceLinked="1"/>
        <c:tickLblPos val="low"/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72710784"/>
        <c:crosses val="autoZero"/>
        <c:auto val="1"/>
        <c:lblAlgn val="ctr"/>
        <c:lblOffset val="100"/>
      </c:catAx>
      <c:valAx>
        <c:axId val="72710784"/>
        <c:scaling>
          <c:orientation val="minMax"/>
          <c:max val="0.15000000000000024"/>
          <c:min val="-0.15000000000000024"/>
        </c:scaling>
        <c:axPos val="l"/>
        <c:majorGridlines>
          <c:spPr>
            <a:ln>
              <a:prstDash val="sysDash"/>
            </a:ln>
          </c:spPr>
        </c:majorGridlines>
        <c:numFmt formatCode="0.0%" sourceLinked="0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708480"/>
        <c:crosses val="autoZero"/>
        <c:crossBetween val="between"/>
        <c:majorUnit val="2.5000000000000012E-2"/>
      </c:valAx>
      <c:spPr>
        <a:noFill/>
      </c:spPr>
    </c:plotArea>
    <c:legend>
      <c:legendPos val="r"/>
      <c:layout>
        <c:manualLayout>
          <c:xMode val="edge"/>
          <c:yMode val="edge"/>
          <c:x val="0"/>
          <c:y val="0.83880277081632759"/>
          <c:w val="0.99804987329544836"/>
          <c:h val="0.15915223028709757"/>
        </c:manualLayout>
      </c:layout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spPr>
    <a:noFill/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0008011224566832E-2"/>
          <c:y val="4.306220095693878E-2"/>
          <c:w val="0.58395542041224557"/>
          <c:h val="0.54318577402705048"/>
        </c:manualLayout>
      </c:layout>
      <c:barChart>
        <c:barDir val="col"/>
        <c:grouping val="clustered"/>
        <c:ser>
          <c:idx val="1"/>
          <c:order val="0"/>
          <c:tx>
            <c:v>CIs as a % of target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'Chapter 3'!$B$8:$B$21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3'!$E$8:$E$21</c:f>
              <c:numCache>
                <c:formatCode>0.0</c:formatCode>
                <c:ptCount val="14"/>
                <c:pt idx="0">
                  <c:v>104.07766990291263</c:v>
                </c:pt>
                <c:pt idx="1">
                  <c:v>81.127129750982959</c:v>
                </c:pt>
                <c:pt idx="2">
                  <c:v>88.616462346760073</c:v>
                </c:pt>
                <c:pt idx="3">
                  <c:v>83.624161073825505</c:v>
                </c:pt>
                <c:pt idx="4">
                  <c:v>104.3859649122807</c:v>
                </c:pt>
                <c:pt idx="5">
                  <c:v>58.572949946751862</c:v>
                </c:pt>
                <c:pt idx="6">
                  <c:v>58.343195266272183</c:v>
                </c:pt>
                <c:pt idx="7">
                  <c:v>78.453038674033138</c:v>
                </c:pt>
                <c:pt idx="8">
                  <c:v>97.212121212121218</c:v>
                </c:pt>
                <c:pt idx="9">
                  <c:v>103.91923990498813</c:v>
                </c:pt>
                <c:pt idx="10">
                  <c:v>85.03289473684211</c:v>
                </c:pt>
                <c:pt idx="11">
                  <c:v>83.297644539614552</c:v>
                </c:pt>
                <c:pt idx="12">
                  <c:v>81.981032665964165</c:v>
                </c:pt>
                <c:pt idx="13">
                  <c:v>70.022883295194504</c:v>
                </c:pt>
              </c:numCache>
            </c:numRef>
          </c:val>
        </c:ser>
        <c:axId val="71782784"/>
        <c:axId val="71784704"/>
      </c:barChart>
      <c:lineChart>
        <c:grouping val="standard"/>
        <c:ser>
          <c:idx val="0"/>
          <c:order val="1"/>
          <c:tx>
            <c:v>Above line = performing worse, below = performing better than target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'Chapter 3'!$B$8:$B$21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3'!$F$8:$F$21</c:f>
              <c:numCache>
                <c:formatCode>General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</c:numCache>
            </c:numRef>
          </c:val>
        </c:ser>
        <c:marker val="1"/>
        <c:axId val="71790592"/>
        <c:axId val="71792128"/>
      </c:lineChart>
      <c:catAx>
        <c:axId val="71782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GB" sz="1000">
                    <a:latin typeface="+mn-lt"/>
                  </a:rPr>
                  <a:t>DNO</a:t>
                </a:r>
              </a:p>
            </c:rich>
          </c:tx>
          <c:layout>
            <c:manualLayout>
              <c:xMode val="edge"/>
              <c:yMode val="edge"/>
              <c:x val="0.35975603654686883"/>
              <c:y val="0.9125888809353320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1784704"/>
        <c:crosses val="autoZero"/>
        <c:lblAlgn val="ctr"/>
        <c:lblOffset val="100"/>
        <c:tickLblSkip val="1"/>
        <c:tickMarkSkip val="1"/>
      </c:catAx>
      <c:valAx>
        <c:axId val="71784704"/>
        <c:scaling>
          <c:orientation val="minMax"/>
          <c:max val="160"/>
        </c:scaling>
        <c:axPos val="l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1782784"/>
        <c:crosses val="autoZero"/>
        <c:crossBetween val="between"/>
      </c:valAx>
      <c:catAx>
        <c:axId val="71790592"/>
        <c:scaling>
          <c:orientation val="minMax"/>
        </c:scaling>
        <c:delete val="1"/>
        <c:axPos val="b"/>
        <c:numFmt formatCode="General" sourceLinked="1"/>
        <c:tickLblPos val="none"/>
        <c:crossAx val="71792128"/>
        <c:crosses val="autoZero"/>
        <c:lblAlgn val="ctr"/>
        <c:lblOffset val="100"/>
      </c:catAx>
      <c:valAx>
        <c:axId val="71792128"/>
        <c:scaling>
          <c:orientation val="minMax"/>
        </c:scaling>
        <c:delete val="1"/>
        <c:axPos val="l"/>
        <c:numFmt formatCode="General" sourceLinked="1"/>
        <c:tickLblPos val="none"/>
        <c:crossAx val="71790592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r"/>
      <c:layout>
        <c:manualLayout>
          <c:xMode val="edge"/>
          <c:yMode val="edge"/>
          <c:x val="0.66848331142418904"/>
          <c:y val="0.12421843800625409"/>
          <c:w val="0.31707323271429338"/>
          <c:h val="0.40676072787552281"/>
        </c:manualLayout>
      </c:layout>
      <c:spPr>
        <a:noFill/>
        <a:ln w="3175">
          <a:noFill/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488" r="0.75000000000000488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9.2165870570526748E-2"/>
          <c:y val="3.3492822966507185E-2"/>
          <c:w val="0.56020780011194249"/>
          <c:h val="0.54244961006668935"/>
        </c:manualLayout>
      </c:layout>
      <c:barChart>
        <c:barDir val="col"/>
        <c:grouping val="clustered"/>
        <c:ser>
          <c:idx val="1"/>
          <c:order val="0"/>
          <c:tx>
            <c:v>CMLs as a % of target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'Chapter 3'!$B$8:$B$21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3'!$J$8:$J$21</c:f>
              <c:numCache>
                <c:formatCode>0.0</c:formatCode>
                <c:ptCount val="14"/>
                <c:pt idx="0">
                  <c:v>91.284403669724753</c:v>
                </c:pt>
                <c:pt idx="1">
                  <c:v>79.910044977511234</c:v>
                </c:pt>
                <c:pt idx="2">
                  <c:v>94.15094339622641</c:v>
                </c:pt>
                <c:pt idx="3">
                  <c:v>102.07715133531157</c:v>
                </c:pt>
                <c:pt idx="4">
                  <c:v>102.91734197730955</c:v>
                </c:pt>
                <c:pt idx="5">
                  <c:v>45.429362880886423</c:v>
                </c:pt>
                <c:pt idx="6">
                  <c:v>60.771704180064305</c:v>
                </c:pt>
                <c:pt idx="7">
                  <c:v>118.75</c:v>
                </c:pt>
                <c:pt idx="8">
                  <c:v>142.94670846394985</c:v>
                </c:pt>
                <c:pt idx="9">
                  <c:v>130.47337278106511</c:v>
                </c:pt>
                <c:pt idx="10">
                  <c:v>101.19047619047619</c:v>
                </c:pt>
                <c:pt idx="11">
                  <c:v>100.4524886877828</c:v>
                </c:pt>
                <c:pt idx="12">
                  <c:v>80.760869565217391</c:v>
                </c:pt>
                <c:pt idx="13">
                  <c:v>85.092348284960423</c:v>
                </c:pt>
              </c:numCache>
            </c:numRef>
          </c:val>
        </c:ser>
        <c:axId val="71817856"/>
        <c:axId val="73077504"/>
      </c:barChart>
      <c:lineChart>
        <c:grouping val="standard"/>
        <c:ser>
          <c:idx val="0"/>
          <c:order val="1"/>
          <c:tx>
            <c:v>above line = performing worse, below = performing better than target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'Chapter 3'!$B$8:$B$21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3'!$K$8:$K$21</c:f>
              <c:numCache>
                <c:formatCode>General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</c:numCache>
            </c:numRef>
          </c:val>
        </c:ser>
        <c:marker val="1"/>
        <c:axId val="73079040"/>
        <c:axId val="73089024"/>
      </c:lineChart>
      <c:catAx>
        <c:axId val="718178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GB" sz="1000">
                    <a:latin typeface="+mn-lt"/>
                  </a:rPr>
                  <a:t>DNO</a:t>
                </a:r>
              </a:p>
            </c:rich>
          </c:tx>
          <c:layout>
            <c:manualLayout>
              <c:xMode val="edge"/>
              <c:yMode val="edge"/>
              <c:x val="0.35631971535473467"/>
              <c:y val="0.90792687627333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077504"/>
        <c:crosses val="autoZero"/>
        <c:lblAlgn val="ctr"/>
        <c:lblOffset val="100"/>
        <c:tickLblSkip val="1"/>
        <c:tickMarkSkip val="1"/>
      </c:catAx>
      <c:valAx>
        <c:axId val="73077504"/>
        <c:scaling>
          <c:orientation val="minMax"/>
        </c:scaling>
        <c:axPos val="l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1817856"/>
        <c:crosses val="autoZero"/>
        <c:crossBetween val="between"/>
      </c:valAx>
      <c:catAx>
        <c:axId val="73079040"/>
        <c:scaling>
          <c:orientation val="minMax"/>
        </c:scaling>
        <c:delete val="1"/>
        <c:axPos val="b"/>
        <c:numFmt formatCode="General" sourceLinked="1"/>
        <c:tickLblPos val="none"/>
        <c:crossAx val="73089024"/>
        <c:crosses val="autoZero"/>
        <c:lblAlgn val="ctr"/>
        <c:lblOffset val="100"/>
      </c:catAx>
      <c:valAx>
        <c:axId val="73089024"/>
        <c:scaling>
          <c:orientation val="minMax"/>
        </c:scaling>
        <c:delete val="1"/>
        <c:axPos val="l"/>
        <c:numFmt formatCode="General" sourceLinked="1"/>
        <c:tickLblPos val="none"/>
        <c:crossAx val="73079040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r"/>
      <c:layout>
        <c:manualLayout>
          <c:xMode val="edge"/>
          <c:yMode val="edge"/>
          <c:x val="0.66921909661691192"/>
          <c:y val="9.3301812153864599E-2"/>
          <c:w val="0.32274683055922382"/>
          <c:h val="0.43858041668236736"/>
        </c:manualLayout>
      </c:layout>
      <c:spPr>
        <a:noFill/>
        <a:ln w="3175">
          <a:noFill/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511" r="0.7500000000000051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9.8737499584704791E-2"/>
          <c:y val="5.0925925925925923E-2"/>
          <c:w val="0.81638892760086401"/>
          <c:h val="0.64566684345804282"/>
        </c:manualLayout>
      </c:layout>
      <c:lineChart>
        <c:grouping val="standard"/>
        <c:ser>
          <c:idx val="1"/>
          <c:order val="0"/>
          <c:tx>
            <c:v>GB average target</c:v>
          </c:tx>
          <c:spPr>
            <a:ln w="25400">
              <a:solidFill>
                <a:srgbClr val="002060"/>
              </a:solidFill>
            </a:ln>
          </c:spPr>
          <c:marker>
            <c:symbol val="diamond"/>
            <c:size val="7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strRef>
              <c:f>'Quality of service'!$D$5:$K$5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service'!$D$12:$K$12</c:f>
              <c:numCache>
                <c:formatCode>_-* #,##0.0_-;\-* #,##0.0_-;_-* "-"?_-;_-@_-</c:formatCode>
                <c:ptCount val="8"/>
                <c:pt idx="0">
                  <c:v>91.844285714285689</c:v>
                </c:pt>
                <c:pt idx="1">
                  <c:v>91.844285714285689</c:v>
                </c:pt>
                <c:pt idx="2">
                  <c:v>88.415714285714287</c:v>
                </c:pt>
                <c:pt idx="3">
                  <c:v>77.407142857142858</c:v>
                </c:pt>
                <c:pt idx="4">
                  <c:v>76.79285714285713</c:v>
                </c:pt>
                <c:pt idx="5">
                  <c:v>76.200000000000017</c:v>
                </c:pt>
                <c:pt idx="6">
                  <c:v>75.614285714285728</c:v>
                </c:pt>
                <c:pt idx="7">
                  <c:v>75.028571428571439</c:v>
                </c:pt>
              </c:numCache>
            </c:numRef>
          </c:val>
        </c:ser>
        <c:ser>
          <c:idx val="0"/>
          <c:order val="1"/>
          <c:tx>
            <c:v>GB average performance</c:v>
          </c:tx>
          <c:spPr>
            <a:ln w="25400">
              <a:solidFill>
                <a:schemeClr val="accent2"/>
              </a:solidFill>
            </a:ln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rgbClr val="C0504D"/>
                </a:solidFill>
              </a:ln>
            </c:spPr>
          </c:marker>
          <c:cat>
            <c:strRef>
              <c:f>'Quality of service'!$D$5:$K$5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service'!$D$29:$K$29</c:f>
              <c:numCache>
                <c:formatCode>_-* #,##0.0_-;\-* #,##0.0_-;_-* "-"?_-;_-@_-</c:formatCode>
                <c:ptCount val="8"/>
                <c:pt idx="0">
                  <c:v>77.913699083142646</c:v>
                </c:pt>
                <c:pt idx="1">
                  <c:v>76.815604929439431</c:v>
                </c:pt>
                <c:pt idx="2">
                  <c:v>73.015510256792339</c:v>
                </c:pt>
                <c:pt idx="3">
                  <c:v>67.664285714285725</c:v>
                </c:pt>
                <c:pt idx="4">
                  <c:v>74.635714285714286</c:v>
                </c:pt>
                <c:pt idx="5">
                  <c:v>69.600000000000009</c:v>
                </c:pt>
                <c:pt idx="6">
                  <c:v>65.428571428571416</c:v>
                </c:pt>
                <c:pt idx="7">
                  <c:v>63.1</c:v>
                </c:pt>
              </c:numCache>
            </c:numRef>
          </c:val>
        </c:ser>
        <c:marker val="1"/>
        <c:axId val="73108864"/>
        <c:axId val="73127424"/>
      </c:lineChart>
      <c:catAx>
        <c:axId val="73108864"/>
        <c:scaling>
          <c:orientation val="minMax"/>
        </c:scaling>
        <c:axPos val="b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127424"/>
        <c:crosses val="autoZero"/>
        <c:auto val="1"/>
        <c:lblAlgn val="ctr"/>
        <c:lblOffset val="100"/>
      </c:catAx>
      <c:valAx>
        <c:axId val="73127424"/>
        <c:scaling>
          <c:orientation val="minMax"/>
          <c:max val="100"/>
          <c:min val="50"/>
        </c:scaling>
        <c:axPos val="l"/>
        <c:majorGridlines>
          <c:spPr>
            <a:ln>
              <a:prstDash val="sysDash"/>
            </a:ln>
          </c:spPr>
        </c:majorGridlines>
        <c:numFmt formatCode="_-* #,##0_-;\-* #,##0_-;_-* &quot;-&quot;_-;_-@_-" sourceLinked="0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108864"/>
        <c:crosses val="autoZero"/>
        <c:crossBetween val="between"/>
        <c:majorUnit val="10"/>
      </c:valAx>
      <c:spPr>
        <a:noFill/>
        <a:ln>
          <a:noFill/>
        </a:ln>
      </c:spPr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9.8737499584704833E-2"/>
          <c:y val="5.0925925925925923E-2"/>
          <c:w val="0.85399954706989656"/>
          <c:h val="0.68511563672342302"/>
        </c:manualLayout>
      </c:layout>
      <c:lineChart>
        <c:grouping val="standard"/>
        <c:ser>
          <c:idx val="1"/>
          <c:order val="0"/>
          <c:tx>
            <c:v>GB average target</c:v>
          </c:tx>
          <c:spPr>
            <a:ln w="25400">
              <a:solidFill>
                <a:srgbClr val="002060"/>
              </a:solidFill>
            </a:ln>
          </c:spPr>
          <c:marker>
            <c:symbol val="diamond"/>
            <c:size val="7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strRef>
              <c:f>'Quality of service'!$D$5:$K$5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service'!$D$12:$K$12</c:f>
              <c:numCache>
                <c:formatCode>_-* #,##0.0_-;\-* #,##0.0_-;_-* "-"?_-;_-@_-</c:formatCode>
                <c:ptCount val="8"/>
                <c:pt idx="0">
                  <c:v>91.844285714285689</c:v>
                </c:pt>
                <c:pt idx="1">
                  <c:v>91.844285714285689</c:v>
                </c:pt>
                <c:pt idx="2">
                  <c:v>88.415714285714287</c:v>
                </c:pt>
                <c:pt idx="3">
                  <c:v>77.407142857142858</c:v>
                </c:pt>
                <c:pt idx="4">
                  <c:v>76.79285714285713</c:v>
                </c:pt>
                <c:pt idx="5">
                  <c:v>76.200000000000017</c:v>
                </c:pt>
                <c:pt idx="6">
                  <c:v>75.614285714285728</c:v>
                </c:pt>
                <c:pt idx="7">
                  <c:v>75.028571428571439</c:v>
                </c:pt>
              </c:numCache>
            </c:numRef>
          </c:val>
        </c:ser>
        <c:ser>
          <c:idx val="0"/>
          <c:order val="1"/>
          <c:tx>
            <c:v>GB average performance</c:v>
          </c:tx>
          <c:spPr>
            <a:ln w="25400">
              <a:solidFill>
                <a:schemeClr val="accent2"/>
              </a:solidFill>
            </a:ln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rgbClr val="C0504D"/>
                </a:solidFill>
              </a:ln>
            </c:spPr>
          </c:marker>
          <c:cat>
            <c:strRef>
              <c:f>'Quality of service'!$D$5:$K$5</c:f>
              <c:strCache>
                <c:ptCount val="8"/>
                <c:pt idx="0">
                  <c:v>2002-03</c:v>
                </c:pt>
                <c:pt idx="1">
                  <c:v>2003-04</c:v>
                </c:pt>
                <c:pt idx="2">
                  <c:v>2004-05</c:v>
                </c:pt>
                <c:pt idx="3">
                  <c:v>2005-06</c:v>
                </c:pt>
                <c:pt idx="4">
                  <c:v>2006-07</c:v>
                </c:pt>
                <c:pt idx="5">
                  <c:v>2007-08</c:v>
                </c:pt>
                <c:pt idx="6">
                  <c:v>2008-09</c:v>
                </c:pt>
                <c:pt idx="7">
                  <c:v>2009-10</c:v>
                </c:pt>
              </c:strCache>
            </c:strRef>
          </c:cat>
          <c:val>
            <c:numRef>
              <c:f>'Quality of service'!$D$29:$K$29</c:f>
              <c:numCache>
                <c:formatCode>_-* #,##0.0_-;\-* #,##0.0_-;_-* "-"?_-;_-@_-</c:formatCode>
                <c:ptCount val="8"/>
                <c:pt idx="0">
                  <c:v>77.913699083142646</c:v>
                </c:pt>
                <c:pt idx="1">
                  <c:v>76.815604929439431</c:v>
                </c:pt>
                <c:pt idx="2">
                  <c:v>73.015510256792339</c:v>
                </c:pt>
                <c:pt idx="3">
                  <c:v>67.664285714285725</c:v>
                </c:pt>
                <c:pt idx="4">
                  <c:v>74.635714285714286</c:v>
                </c:pt>
                <c:pt idx="5">
                  <c:v>69.600000000000009</c:v>
                </c:pt>
                <c:pt idx="6">
                  <c:v>65.428571428571416</c:v>
                </c:pt>
                <c:pt idx="7">
                  <c:v>63.1</c:v>
                </c:pt>
              </c:numCache>
            </c:numRef>
          </c:val>
        </c:ser>
        <c:marker val="1"/>
        <c:axId val="73159808"/>
        <c:axId val="73161728"/>
      </c:lineChart>
      <c:catAx>
        <c:axId val="73159808"/>
        <c:scaling>
          <c:orientation val="minMax"/>
        </c:scaling>
        <c:axPos val="b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161728"/>
        <c:crosses val="autoZero"/>
        <c:auto val="1"/>
        <c:lblAlgn val="ctr"/>
        <c:lblOffset val="100"/>
      </c:catAx>
      <c:valAx>
        <c:axId val="73161728"/>
        <c:scaling>
          <c:orientation val="minMax"/>
          <c:min val="50"/>
        </c:scaling>
        <c:axPos val="l"/>
        <c:majorGridlines>
          <c:spPr>
            <a:ln>
              <a:prstDash val="sysDash"/>
            </a:ln>
          </c:spPr>
        </c:majorGridlines>
        <c:numFmt formatCode="_-* #,##0_-;\-* #,##0_-;_-* &quot;-&quot;_-;_-@_-" sourceLinked="0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159808"/>
        <c:crosses val="autoZero"/>
        <c:crossBetween val="between"/>
        <c:majorUnit val="10"/>
      </c:valAx>
      <c:spPr>
        <a:noFill/>
        <a:ln>
          <a:noFill/>
        </a:ln>
      </c:spPr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9.8737499584704833E-2"/>
          <c:y val="5.0925925925925923E-2"/>
          <c:w val="0.81638892760086401"/>
          <c:h val="0.64566684345804304"/>
        </c:manualLayout>
      </c:layout>
      <c:lineChart>
        <c:grouping val="standard"/>
        <c:ser>
          <c:idx val="1"/>
          <c:order val="0"/>
          <c:tx>
            <c:v>With storms</c:v>
          </c:tx>
          <c:spPr>
            <a:ln w="25400">
              <a:solidFill>
                <a:srgbClr val="002060"/>
              </a:solidFill>
            </a:ln>
          </c:spPr>
          <c:marker>
            <c:symbol val="diamond"/>
            <c:size val="7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strRef>
              <c:f>'Quality of service'!$C$5:$K$5</c:f>
              <c:strCache>
                <c:ptCount val="9"/>
                <c:pt idx="0">
                  <c:v>2001-02</c:v>
                </c:pt>
                <c:pt idx="1">
                  <c:v>2002-03</c:v>
                </c:pt>
                <c:pt idx="2">
                  <c:v>2003-04</c:v>
                </c:pt>
                <c:pt idx="3">
                  <c:v>2004-05</c:v>
                </c:pt>
                <c:pt idx="4">
                  <c:v>2005-06</c:v>
                </c:pt>
                <c:pt idx="5">
                  <c:v>2006-07</c:v>
                </c:pt>
                <c:pt idx="6">
                  <c:v>2007-08</c:v>
                </c:pt>
                <c:pt idx="7">
                  <c:v>2008-09</c:v>
                </c:pt>
                <c:pt idx="8">
                  <c:v>2009-10</c:v>
                </c:pt>
              </c:strCache>
            </c:strRef>
          </c:cat>
          <c:val>
            <c:numRef>
              <c:f>'Quality of service'!$C$269:$K$269</c:f>
              <c:numCache>
                <c:formatCode>0.00</c:formatCode>
                <c:ptCount val="9"/>
                <c:pt idx="0">
                  <c:v>87.398617861380586</c:v>
                </c:pt>
                <c:pt idx="1">
                  <c:v>86.245442007191471</c:v>
                </c:pt>
                <c:pt idx="2">
                  <c:v>82.568488337425322</c:v>
                </c:pt>
                <c:pt idx="3">
                  <c:v>78.370857973449461</c:v>
                </c:pt>
                <c:pt idx="4">
                  <c:v>74.442376704030224</c:v>
                </c:pt>
                <c:pt idx="5">
                  <c:v>88.018847142812533</c:v>
                </c:pt>
                <c:pt idx="6">
                  <c:v>76.807054739022561</c:v>
                </c:pt>
                <c:pt idx="7">
                  <c:v>72.859910179100353</c:v>
                </c:pt>
                <c:pt idx="8">
                  <c:v>71.819107201446656</c:v>
                </c:pt>
              </c:numCache>
            </c:numRef>
          </c:val>
        </c:ser>
        <c:ser>
          <c:idx val="0"/>
          <c:order val="1"/>
          <c:tx>
            <c:v>Without storms</c:v>
          </c:tx>
          <c:spPr>
            <a:ln w="25400">
              <a:solidFill>
                <a:schemeClr val="accent2"/>
              </a:solidFill>
            </a:ln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rgbClr val="C0504D"/>
                </a:solidFill>
              </a:ln>
            </c:spPr>
          </c:marker>
          <c:cat>
            <c:strRef>
              <c:f>'Quality of service'!$C$5:$K$5</c:f>
              <c:strCache>
                <c:ptCount val="9"/>
                <c:pt idx="0">
                  <c:v>2001-02</c:v>
                </c:pt>
                <c:pt idx="1">
                  <c:v>2002-03</c:v>
                </c:pt>
                <c:pt idx="2">
                  <c:v>2003-04</c:v>
                </c:pt>
                <c:pt idx="3">
                  <c:v>2004-05</c:v>
                </c:pt>
                <c:pt idx="4">
                  <c:v>2005-06</c:v>
                </c:pt>
                <c:pt idx="5">
                  <c:v>2006-07</c:v>
                </c:pt>
                <c:pt idx="6">
                  <c:v>2007-08</c:v>
                </c:pt>
                <c:pt idx="7">
                  <c:v>2008-09</c:v>
                </c:pt>
                <c:pt idx="8">
                  <c:v>2009-10</c:v>
                </c:pt>
              </c:strCache>
            </c:strRef>
          </c:cat>
          <c:val>
            <c:numRef>
              <c:f>'Quality of service'!$C$311:$K$311</c:f>
              <c:numCache>
                <c:formatCode>0.00</c:formatCode>
                <c:ptCount val="9"/>
                <c:pt idx="0">
                  <c:v>86.601227979701036</c:v>
                </c:pt>
                <c:pt idx="1">
                  <c:v>78.859147267810272</c:v>
                </c:pt>
                <c:pt idx="2">
                  <c:v>80.731773030798522</c:v>
                </c:pt>
                <c:pt idx="3">
                  <c:v>72.413566962565469</c:v>
                </c:pt>
                <c:pt idx="4">
                  <c:v>71.649895229091783</c:v>
                </c:pt>
                <c:pt idx="5">
                  <c:v>78.019678923429339</c:v>
                </c:pt>
                <c:pt idx="6">
                  <c:v>73.450868440407717</c:v>
                </c:pt>
                <c:pt idx="7">
                  <c:v>71.381133750956678</c:v>
                </c:pt>
                <c:pt idx="8">
                  <c:v>68.935431151161922</c:v>
                </c:pt>
              </c:numCache>
            </c:numRef>
          </c:val>
        </c:ser>
        <c:marker val="1"/>
        <c:axId val="73194112"/>
        <c:axId val="73270016"/>
      </c:lineChart>
      <c:catAx>
        <c:axId val="73194112"/>
        <c:scaling>
          <c:orientation val="minMax"/>
        </c:scaling>
        <c:axPos val="b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270016"/>
        <c:crosses val="autoZero"/>
        <c:auto val="1"/>
        <c:lblAlgn val="ctr"/>
        <c:lblOffset val="100"/>
      </c:catAx>
      <c:valAx>
        <c:axId val="73270016"/>
        <c:scaling>
          <c:orientation val="minMax"/>
          <c:min val="0"/>
        </c:scaling>
        <c:axPos val="l"/>
        <c:majorGridlines>
          <c:spPr>
            <a:ln>
              <a:prstDash val="sysDash"/>
            </a:ln>
          </c:spPr>
        </c:majorGridlines>
        <c:numFmt formatCode="0" sourceLinked="0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194112"/>
        <c:crosses val="autoZero"/>
        <c:crossBetween val="between"/>
        <c:majorUnit val="20"/>
      </c:valAx>
      <c:spPr>
        <a:noFill/>
        <a:ln>
          <a:noFill/>
        </a:ln>
      </c:spPr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9.8737499584704888E-2"/>
          <c:y val="5.0925925925925923E-2"/>
          <c:w val="0.85399954706989711"/>
          <c:h val="0.68511563672342324"/>
        </c:manualLayout>
      </c:layout>
      <c:lineChart>
        <c:grouping val="standard"/>
        <c:ser>
          <c:idx val="1"/>
          <c:order val="0"/>
          <c:tx>
            <c:v>With storms</c:v>
          </c:tx>
          <c:spPr>
            <a:ln w="25400">
              <a:solidFill>
                <a:srgbClr val="002060"/>
              </a:solidFill>
            </a:ln>
          </c:spPr>
          <c:marker>
            <c:symbol val="diamond"/>
            <c:size val="7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strRef>
              <c:f>'Quality of service'!$C$5:$K$5</c:f>
              <c:strCache>
                <c:ptCount val="9"/>
                <c:pt idx="0">
                  <c:v>2001-02</c:v>
                </c:pt>
                <c:pt idx="1">
                  <c:v>2002-03</c:v>
                </c:pt>
                <c:pt idx="2">
                  <c:v>2003-04</c:v>
                </c:pt>
                <c:pt idx="3">
                  <c:v>2004-05</c:v>
                </c:pt>
                <c:pt idx="4">
                  <c:v>2005-06</c:v>
                </c:pt>
                <c:pt idx="5">
                  <c:v>2006-07</c:v>
                </c:pt>
                <c:pt idx="6">
                  <c:v>2007-08</c:v>
                </c:pt>
                <c:pt idx="7">
                  <c:v>2008-09</c:v>
                </c:pt>
                <c:pt idx="8">
                  <c:v>2009-10</c:v>
                </c:pt>
              </c:strCache>
            </c:strRef>
          </c:cat>
          <c:val>
            <c:numRef>
              <c:f>'Quality of service'!$C$290:$K$290</c:f>
              <c:numCache>
                <c:formatCode>0.00</c:formatCode>
                <c:ptCount val="9"/>
                <c:pt idx="0">
                  <c:v>83.693219308673378</c:v>
                </c:pt>
                <c:pt idx="1">
                  <c:v>110.37755235888784</c:v>
                </c:pt>
                <c:pt idx="2">
                  <c:v>81.10918931908968</c:v>
                </c:pt>
                <c:pt idx="3">
                  <c:v>94.286514666059688</c:v>
                </c:pt>
                <c:pt idx="4">
                  <c:v>69.162392743734401</c:v>
                </c:pt>
                <c:pt idx="5">
                  <c:v>100.09619445691989</c:v>
                </c:pt>
                <c:pt idx="6">
                  <c:v>81.942613606099613</c:v>
                </c:pt>
                <c:pt idx="7">
                  <c:v>75.686162842187855</c:v>
                </c:pt>
                <c:pt idx="8">
                  <c:v>81.419454782124376</c:v>
                </c:pt>
              </c:numCache>
            </c:numRef>
          </c:val>
        </c:ser>
        <c:ser>
          <c:idx val="0"/>
          <c:order val="1"/>
          <c:tx>
            <c:v>Without storms</c:v>
          </c:tx>
          <c:spPr>
            <a:ln w="25400">
              <a:solidFill>
                <a:schemeClr val="accent2"/>
              </a:solidFill>
            </a:ln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rgbClr val="C0504D"/>
                </a:solidFill>
              </a:ln>
            </c:spPr>
          </c:marker>
          <c:cat>
            <c:strRef>
              <c:f>'Quality of service'!$C$5:$K$5</c:f>
              <c:strCache>
                <c:ptCount val="9"/>
                <c:pt idx="0">
                  <c:v>2001-02</c:v>
                </c:pt>
                <c:pt idx="1">
                  <c:v>2002-03</c:v>
                </c:pt>
                <c:pt idx="2">
                  <c:v>2003-04</c:v>
                </c:pt>
                <c:pt idx="3">
                  <c:v>2004-05</c:v>
                </c:pt>
                <c:pt idx="4">
                  <c:v>2005-06</c:v>
                </c:pt>
                <c:pt idx="5">
                  <c:v>2006-07</c:v>
                </c:pt>
                <c:pt idx="6">
                  <c:v>2007-08</c:v>
                </c:pt>
                <c:pt idx="7">
                  <c:v>2008-09</c:v>
                </c:pt>
                <c:pt idx="8">
                  <c:v>2009-10</c:v>
                </c:pt>
              </c:strCache>
            </c:strRef>
          </c:cat>
          <c:val>
            <c:numRef>
              <c:f>'Quality of service'!$C$332:$K$332</c:f>
              <c:numCache>
                <c:formatCode>0.00</c:formatCode>
                <c:ptCount val="9"/>
                <c:pt idx="0">
                  <c:v>81.655661286381672</c:v>
                </c:pt>
                <c:pt idx="1">
                  <c:v>81.284981143677058</c:v>
                </c:pt>
                <c:pt idx="2">
                  <c:v>76.589050551770256</c:v>
                </c:pt>
                <c:pt idx="3">
                  <c:v>68.642334354461113</c:v>
                </c:pt>
                <c:pt idx="4">
                  <c:v>65.552474037803606</c:v>
                </c:pt>
                <c:pt idx="5">
                  <c:v>78.030478053469295</c:v>
                </c:pt>
                <c:pt idx="6">
                  <c:v>74.2219905323756</c:v>
                </c:pt>
                <c:pt idx="7">
                  <c:v>73.429575155784264</c:v>
                </c:pt>
                <c:pt idx="8">
                  <c:v>70.019086796497064</c:v>
                </c:pt>
              </c:numCache>
            </c:numRef>
          </c:val>
        </c:ser>
        <c:marker val="1"/>
        <c:axId val="73294208"/>
        <c:axId val="73296128"/>
      </c:lineChart>
      <c:catAx>
        <c:axId val="73294208"/>
        <c:scaling>
          <c:orientation val="minMax"/>
        </c:scaling>
        <c:axPos val="b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296128"/>
        <c:crosses val="autoZero"/>
        <c:auto val="1"/>
        <c:lblAlgn val="ctr"/>
        <c:lblOffset val="100"/>
      </c:catAx>
      <c:valAx>
        <c:axId val="73296128"/>
        <c:scaling>
          <c:orientation val="minMax"/>
          <c:min val="0"/>
        </c:scaling>
        <c:axPos val="l"/>
        <c:majorGridlines>
          <c:spPr>
            <a:ln>
              <a:prstDash val="sysDash"/>
            </a:ln>
          </c:spPr>
        </c:majorGridlines>
        <c:numFmt formatCode="0" sourceLinked="0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294208"/>
        <c:crosses val="autoZero"/>
        <c:crossBetween val="between"/>
        <c:majorUnit val="20"/>
      </c:valAx>
      <c:spPr>
        <a:noFill/>
        <a:ln>
          <a:noFill/>
        </a:ln>
      </c:spPr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0872894333843901"/>
          <c:y val="3.3492822966507185E-2"/>
          <c:w val="0.84909106182052962"/>
          <c:h val="0.54578423524070163"/>
        </c:manualLayout>
      </c:layout>
      <c:barChart>
        <c:barDir val="col"/>
        <c:grouping val="stacked"/>
        <c:ser>
          <c:idx val="1"/>
          <c:order val="0"/>
          <c:tx>
            <c:v>2009-10 quality of telephone response overall performance scores 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chemeClr val="accent5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chemeClr val="accent5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chemeClr val="accent5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chemeClr val="accent5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chemeClr val="accent5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'Chapter 4'!$H$9:$H$27</c:f>
              <c:strCache>
                <c:ptCount val="19"/>
                <c:pt idx="0">
                  <c:v>Ind. Mean 05-06</c:v>
                </c:pt>
                <c:pt idx="1">
                  <c:v>Ind. Mean 06-07</c:v>
                </c:pt>
                <c:pt idx="2">
                  <c:v>Ind. Mean 07-08</c:v>
                </c:pt>
                <c:pt idx="3">
                  <c:v>Ind. Mean 08-09</c:v>
                </c:pt>
                <c:pt idx="4">
                  <c:v>Ind. Mean 09-10</c:v>
                </c:pt>
                <c:pt idx="5">
                  <c:v>CN West</c:v>
                </c:pt>
                <c:pt idx="6">
                  <c:v>CN East</c:v>
                </c:pt>
                <c:pt idx="7">
                  <c:v>ENWL</c:v>
                </c:pt>
                <c:pt idx="8">
                  <c:v>CE NEDL</c:v>
                </c:pt>
                <c:pt idx="9">
                  <c:v>CE YEDL</c:v>
                </c:pt>
                <c:pt idx="10">
                  <c:v>WPD S Wales</c:v>
                </c:pt>
                <c:pt idx="11">
                  <c:v>WPD S West</c:v>
                </c:pt>
                <c:pt idx="12">
                  <c:v>UKPN LPN</c:v>
                </c:pt>
                <c:pt idx="13">
                  <c:v>UKPN SEPN</c:v>
                </c:pt>
                <c:pt idx="14">
                  <c:v>UKPN EPN</c:v>
                </c:pt>
                <c:pt idx="15">
                  <c:v>SP Distribution</c:v>
                </c:pt>
                <c:pt idx="16">
                  <c:v>SP Manweb</c:v>
                </c:pt>
                <c:pt idx="17">
                  <c:v>SSE Hydro</c:v>
                </c:pt>
                <c:pt idx="18">
                  <c:v>SSE Southern</c:v>
                </c:pt>
              </c:strCache>
            </c:strRef>
          </c:cat>
          <c:val>
            <c:numRef>
              <c:f>'Chapter 4'!$J$9:$J$27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4.53</c:v>
                </c:pt>
                <c:pt idx="6">
                  <c:v>4.5599999999999996</c:v>
                </c:pt>
                <c:pt idx="7">
                  <c:v>4.53</c:v>
                </c:pt>
                <c:pt idx="8">
                  <c:v>4.5599999999999996</c:v>
                </c:pt>
                <c:pt idx="9">
                  <c:v>4.49</c:v>
                </c:pt>
                <c:pt idx="10">
                  <c:v>4.71</c:v>
                </c:pt>
                <c:pt idx="11">
                  <c:v>4.62</c:v>
                </c:pt>
                <c:pt idx="12">
                  <c:v>4.1100000000000003</c:v>
                </c:pt>
                <c:pt idx="13">
                  <c:v>4.18</c:v>
                </c:pt>
                <c:pt idx="14">
                  <c:v>4.22</c:v>
                </c:pt>
                <c:pt idx="15">
                  <c:v>4.33</c:v>
                </c:pt>
                <c:pt idx="16">
                  <c:v>4.47</c:v>
                </c:pt>
                <c:pt idx="17">
                  <c:v>4.63</c:v>
                </c:pt>
                <c:pt idx="18">
                  <c:v>4.4800000000000004</c:v>
                </c:pt>
              </c:numCache>
            </c:numRef>
          </c:val>
        </c:ser>
        <c:ser>
          <c:idx val="3"/>
          <c:order val="1"/>
          <c:tx>
            <c:v>Quality of telephone response overall mean performance scores</c:v>
          </c:tx>
          <c:spPr>
            <a:solidFill>
              <a:schemeClr val="accent5"/>
            </a:solidFill>
            <a:ln w="12700" cap="flat">
              <a:solidFill>
                <a:schemeClr val="tx1"/>
              </a:solidFill>
            </a:ln>
          </c:spPr>
          <c:cat>
            <c:strRef>
              <c:f>'Chapter 4'!$H$9:$H$27</c:f>
              <c:strCache>
                <c:ptCount val="19"/>
                <c:pt idx="0">
                  <c:v>Ind. Mean 05-06</c:v>
                </c:pt>
                <c:pt idx="1">
                  <c:v>Ind. Mean 06-07</c:v>
                </c:pt>
                <c:pt idx="2">
                  <c:v>Ind. Mean 07-08</c:v>
                </c:pt>
                <c:pt idx="3">
                  <c:v>Ind. Mean 08-09</c:v>
                </c:pt>
                <c:pt idx="4">
                  <c:v>Ind. Mean 09-10</c:v>
                </c:pt>
                <c:pt idx="5">
                  <c:v>CN West</c:v>
                </c:pt>
                <c:pt idx="6">
                  <c:v>CN East</c:v>
                </c:pt>
                <c:pt idx="7">
                  <c:v>ENWL</c:v>
                </c:pt>
                <c:pt idx="8">
                  <c:v>CE NEDL</c:v>
                </c:pt>
                <c:pt idx="9">
                  <c:v>CE YEDL</c:v>
                </c:pt>
                <c:pt idx="10">
                  <c:v>WPD S Wales</c:v>
                </c:pt>
                <c:pt idx="11">
                  <c:v>WPD S West</c:v>
                </c:pt>
                <c:pt idx="12">
                  <c:v>UKPN LPN</c:v>
                </c:pt>
                <c:pt idx="13">
                  <c:v>UKPN SEPN</c:v>
                </c:pt>
                <c:pt idx="14">
                  <c:v>UKPN EPN</c:v>
                </c:pt>
                <c:pt idx="15">
                  <c:v>SP Distribution</c:v>
                </c:pt>
                <c:pt idx="16">
                  <c:v>SP Manweb</c:v>
                </c:pt>
                <c:pt idx="17">
                  <c:v>SSE Hydro</c:v>
                </c:pt>
                <c:pt idx="18">
                  <c:v>SSE Southern</c:v>
                </c:pt>
              </c:strCache>
            </c:strRef>
          </c:cat>
          <c:val>
            <c:numRef>
              <c:f>'Chapter 4'!$I$9:$I$27</c:f>
              <c:numCache>
                <c:formatCode>0.00</c:formatCode>
                <c:ptCount val="19"/>
                <c:pt idx="0">
                  <c:v>4.3499999999999996</c:v>
                </c:pt>
                <c:pt idx="1">
                  <c:v>4.3</c:v>
                </c:pt>
                <c:pt idx="2">
                  <c:v>4.33</c:v>
                </c:pt>
                <c:pt idx="3">
                  <c:v>4.37</c:v>
                </c:pt>
                <c:pt idx="4">
                  <c:v>4.46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</c:ser>
        <c:gapWidth val="100"/>
        <c:overlap val="100"/>
        <c:axId val="73501312"/>
        <c:axId val="73515776"/>
      </c:barChart>
      <c:lineChart>
        <c:grouping val="standard"/>
        <c:ser>
          <c:idx val="0"/>
          <c:order val="2"/>
          <c:tx>
            <c:v>above line = performance that resulted in reward</c:v>
          </c:tx>
          <c:spPr>
            <a:ln w="25400"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'Chapter 4'!$H$9:$H$27</c:f>
              <c:strCache>
                <c:ptCount val="19"/>
                <c:pt idx="0">
                  <c:v>Ind. Mean 05-06</c:v>
                </c:pt>
                <c:pt idx="1">
                  <c:v>Ind. Mean 06-07</c:v>
                </c:pt>
                <c:pt idx="2">
                  <c:v>Ind. Mean 07-08</c:v>
                </c:pt>
                <c:pt idx="3">
                  <c:v>Ind. Mean 08-09</c:v>
                </c:pt>
                <c:pt idx="4">
                  <c:v>Ind. Mean 09-10</c:v>
                </c:pt>
                <c:pt idx="5">
                  <c:v>CN West</c:v>
                </c:pt>
                <c:pt idx="6">
                  <c:v>CN East</c:v>
                </c:pt>
                <c:pt idx="7">
                  <c:v>ENWL</c:v>
                </c:pt>
                <c:pt idx="8">
                  <c:v>CE NEDL</c:v>
                </c:pt>
                <c:pt idx="9">
                  <c:v>CE YEDL</c:v>
                </c:pt>
                <c:pt idx="10">
                  <c:v>WPD S Wales</c:v>
                </c:pt>
                <c:pt idx="11">
                  <c:v>WPD S West</c:v>
                </c:pt>
                <c:pt idx="12">
                  <c:v>UKPN LPN</c:v>
                </c:pt>
                <c:pt idx="13">
                  <c:v>UKPN SEPN</c:v>
                </c:pt>
                <c:pt idx="14">
                  <c:v>UKPN EPN</c:v>
                </c:pt>
                <c:pt idx="15">
                  <c:v>SP Distribution</c:v>
                </c:pt>
                <c:pt idx="16">
                  <c:v>SP Manweb</c:v>
                </c:pt>
                <c:pt idx="17">
                  <c:v>SSE Hydro</c:v>
                </c:pt>
                <c:pt idx="18">
                  <c:v>SSE Southern</c:v>
                </c:pt>
              </c:strCache>
            </c:strRef>
          </c:cat>
          <c:val>
            <c:numRef>
              <c:f>'Chapter 4'!$K$9:$K$27</c:f>
              <c:numCache>
                <c:formatCode>0.00</c:formatCode>
                <c:ptCount val="19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4.5</c:v>
                </c:pt>
                <c:pt idx="17">
                  <c:v>4.5</c:v>
                </c:pt>
                <c:pt idx="18">
                  <c:v>4.5</c:v>
                </c:pt>
              </c:numCache>
            </c:numRef>
          </c:val>
        </c:ser>
        <c:ser>
          <c:idx val="2"/>
          <c:order val="3"/>
          <c:tx>
            <c:v>below line = performance that resulted in penalty</c:v>
          </c:tx>
          <c:spPr>
            <a:ln w="25400">
              <a:solidFill>
                <a:srgbClr val="002060"/>
              </a:solidFill>
            </a:ln>
          </c:spPr>
          <c:marker>
            <c:symbol val="none"/>
          </c:marker>
          <c:cat>
            <c:strRef>
              <c:f>'Chapter 4'!$H$9:$H$27</c:f>
              <c:strCache>
                <c:ptCount val="19"/>
                <c:pt idx="0">
                  <c:v>Ind. Mean 05-06</c:v>
                </c:pt>
                <c:pt idx="1">
                  <c:v>Ind. Mean 06-07</c:v>
                </c:pt>
                <c:pt idx="2">
                  <c:v>Ind. Mean 07-08</c:v>
                </c:pt>
                <c:pt idx="3">
                  <c:v>Ind. Mean 08-09</c:v>
                </c:pt>
                <c:pt idx="4">
                  <c:v>Ind. Mean 09-10</c:v>
                </c:pt>
                <c:pt idx="5">
                  <c:v>CN West</c:v>
                </c:pt>
                <c:pt idx="6">
                  <c:v>CN East</c:v>
                </c:pt>
                <c:pt idx="7">
                  <c:v>ENWL</c:v>
                </c:pt>
                <c:pt idx="8">
                  <c:v>CE NEDL</c:v>
                </c:pt>
                <c:pt idx="9">
                  <c:v>CE YEDL</c:v>
                </c:pt>
                <c:pt idx="10">
                  <c:v>WPD S Wales</c:v>
                </c:pt>
                <c:pt idx="11">
                  <c:v>WPD S West</c:v>
                </c:pt>
                <c:pt idx="12">
                  <c:v>UKPN LPN</c:v>
                </c:pt>
                <c:pt idx="13">
                  <c:v>UKPN SEPN</c:v>
                </c:pt>
                <c:pt idx="14">
                  <c:v>UKPN EPN</c:v>
                </c:pt>
                <c:pt idx="15">
                  <c:v>SP Distribution</c:v>
                </c:pt>
                <c:pt idx="16">
                  <c:v>SP Manweb</c:v>
                </c:pt>
                <c:pt idx="17">
                  <c:v>SSE Hydro</c:v>
                </c:pt>
                <c:pt idx="18">
                  <c:v>SSE Southern</c:v>
                </c:pt>
              </c:strCache>
            </c:strRef>
          </c:cat>
          <c:val>
            <c:numRef>
              <c:f>'Chapter 4'!$L$9:$L$27</c:f>
              <c:numCache>
                <c:formatCode>0.00</c:formatCode>
                <c:ptCount val="19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2">
                  <c:v>4.0999999999999996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</c:numCache>
            </c:numRef>
          </c:val>
        </c:ser>
        <c:marker val="1"/>
        <c:axId val="73501312"/>
        <c:axId val="73515776"/>
      </c:lineChart>
      <c:catAx>
        <c:axId val="73501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b="1">
                    <a:latin typeface="+mn-lt"/>
                  </a:rPr>
                  <a:t>DNO</a:t>
                </a:r>
              </a:p>
            </c:rich>
          </c:tx>
          <c:layout>
            <c:manualLayout>
              <c:xMode val="edge"/>
              <c:yMode val="edge"/>
              <c:x val="0.41361137215901528"/>
              <c:y val="0.74232827118158673"/>
            </c:manualLayout>
          </c:layout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515776"/>
        <c:crosses val="autoZero"/>
        <c:lblAlgn val="ctr"/>
        <c:lblOffset val="100"/>
        <c:tickLblSkip val="1"/>
        <c:tickMarkSkip val="1"/>
      </c:catAx>
      <c:valAx>
        <c:axId val="73515776"/>
        <c:scaling>
          <c:orientation val="minMax"/>
          <c:min val="3.7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GB" sz="1000">
                    <a:latin typeface="+mn-lt"/>
                  </a:rPr>
                  <a:t>Performance scores (out of five)</a:t>
                </a:r>
              </a:p>
            </c:rich>
          </c:tx>
          <c:layout>
            <c:manualLayout>
              <c:xMode val="edge"/>
              <c:yMode val="edge"/>
              <c:x val="1.1026805254059835E-2"/>
              <c:y val="2.9265181749541583E-2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73501312"/>
        <c:crosses val="autoZero"/>
        <c:crossBetween val="between"/>
        <c:majorUnit val="0.1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0.13909479567121671"/>
          <c:y val="0.82185702507975578"/>
          <c:w val="0.77083307188284789"/>
          <c:h val="0.15345010932813974"/>
        </c:manualLayout>
      </c:layout>
      <c:spPr>
        <a:noFill/>
        <a:ln w="3175">
          <a:noFill/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577" r="0.75000000000000577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0"/>
          <c:order val="0"/>
          <c:tx>
            <c:v>GB average speed of telephone response (seconds)</c:v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strRef>
              <c:f>'Quality of service'!$G$44:$K$44</c:f>
              <c:strCache>
                <c:ptCount val="5"/>
                <c:pt idx="0">
                  <c:v>2005-06</c:v>
                </c:pt>
                <c:pt idx="1">
                  <c:v>2006-07</c:v>
                </c:pt>
                <c:pt idx="2">
                  <c:v>2007-08</c:v>
                </c:pt>
                <c:pt idx="3">
                  <c:v>2008-09</c:v>
                </c:pt>
                <c:pt idx="4">
                  <c:v>2009-10</c:v>
                </c:pt>
              </c:strCache>
            </c:strRef>
          </c:cat>
          <c:val>
            <c:numRef>
              <c:f>'Quality of service'!$G$122:$K$122</c:f>
              <c:numCache>
                <c:formatCode>_-* #,##0.0_-;\-* #,##0.0_-;_-* "-"?_-;_-@_-</c:formatCode>
                <c:ptCount val="5"/>
                <c:pt idx="0">
                  <c:v>30.977980098497344</c:v>
                </c:pt>
                <c:pt idx="1">
                  <c:v>43.430277473381842</c:v>
                </c:pt>
                <c:pt idx="2">
                  <c:v>34.289556995218938</c:v>
                </c:pt>
                <c:pt idx="3">
                  <c:v>27.899912939973657</c:v>
                </c:pt>
                <c:pt idx="4">
                  <c:v>25.536242853824131</c:v>
                </c:pt>
              </c:numCache>
            </c:numRef>
          </c:val>
        </c:ser>
        <c:marker val="1"/>
        <c:axId val="73469952"/>
        <c:axId val="73471872"/>
      </c:lineChart>
      <c:catAx>
        <c:axId val="73469952"/>
        <c:scaling>
          <c:orientation val="minMax"/>
        </c:scaling>
        <c:axPos val="b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73471872"/>
        <c:crosses val="autoZero"/>
        <c:auto val="1"/>
        <c:lblAlgn val="ctr"/>
        <c:lblOffset val="100"/>
      </c:catAx>
      <c:valAx>
        <c:axId val="73471872"/>
        <c:scaling>
          <c:orientation val="minMax"/>
          <c:min val="20"/>
        </c:scaling>
        <c:axPos val="l"/>
        <c:majorGridlines>
          <c:spPr>
            <a:ln>
              <a:prstDash val="sysDash"/>
            </a:ln>
          </c:spPr>
        </c:majorGridlines>
        <c:numFmt formatCode="_-* #,##0.0_-;\-* #,##0.0_-;_-* &quot;-&quot;?_-;_-@_-" sourceLinked="1"/>
        <c:tickLblPos val="nextTo"/>
        <c:crossAx val="73469952"/>
        <c:crosses val="autoZero"/>
        <c:crossBetween val="between"/>
      </c:valAx>
      <c:spPr>
        <a:noFill/>
        <a:ln>
          <a:noFill/>
        </a:ln>
      </c:spPr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9.8737499584704763E-2"/>
          <c:y val="5.0925925925925923E-2"/>
          <c:w val="0.55609641186156078"/>
          <c:h val="0.80628864100320796"/>
        </c:manualLayout>
      </c:layout>
      <c:lineChart>
        <c:grouping val="standard"/>
        <c:ser>
          <c:idx val="1"/>
          <c:order val="0"/>
          <c:tx>
            <c:strRef>
              <c:f>'Chapter 5'!$B$22</c:f>
              <c:strCache>
                <c:ptCount val="1"/>
                <c:pt idx="0">
                  <c:v>Percentage of new and modified connections completed by IDNOs and third parties (LHS)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strRef>
              <c:f>'Chapter 5'!$C$20:$G$20</c:f>
              <c:strCache>
                <c:ptCount val="5"/>
                <c:pt idx="0">
                  <c:v>2005-06</c:v>
                </c:pt>
                <c:pt idx="1">
                  <c:v>2006-07</c:v>
                </c:pt>
                <c:pt idx="2">
                  <c:v>2007-08</c:v>
                </c:pt>
                <c:pt idx="3">
                  <c:v>2008-09</c:v>
                </c:pt>
                <c:pt idx="4">
                  <c:v>2009-10</c:v>
                </c:pt>
              </c:strCache>
            </c:strRef>
          </c:cat>
          <c:val>
            <c:numRef>
              <c:f>'Chapter 5'!$C$22:$G$22</c:f>
              <c:numCache>
                <c:formatCode>0.00%</c:formatCode>
                <c:ptCount val="5"/>
                <c:pt idx="0">
                  <c:v>4.6441975262992478E-2</c:v>
                </c:pt>
                <c:pt idx="1">
                  <c:v>5.6704787532234555E-2</c:v>
                </c:pt>
                <c:pt idx="2">
                  <c:v>7.2007190075803265E-2</c:v>
                </c:pt>
                <c:pt idx="3">
                  <c:v>9.9099237935259168E-2</c:v>
                </c:pt>
                <c:pt idx="4">
                  <c:v>0.12606040040719374</c:v>
                </c:pt>
              </c:numCache>
            </c:numRef>
          </c:val>
        </c:ser>
        <c:ser>
          <c:idx val="0"/>
          <c:order val="1"/>
          <c:tx>
            <c:strRef>
              <c:f>'Chapter 5'!$B$21</c:f>
              <c:strCache>
                <c:ptCount val="1"/>
                <c:pt idx="0">
                  <c:v>Percentage of new and modified connections to IDNO networks (LHS)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strRef>
              <c:f>'Chapter 5'!$C$20:$G$20</c:f>
              <c:strCache>
                <c:ptCount val="5"/>
                <c:pt idx="0">
                  <c:v>2005-06</c:v>
                </c:pt>
                <c:pt idx="1">
                  <c:v>2006-07</c:v>
                </c:pt>
                <c:pt idx="2">
                  <c:v>2007-08</c:v>
                </c:pt>
                <c:pt idx="3">
                  <c:v>2008-09</c:v>
                </c:pt>
                <c:pt idx="4">
                  <c:v>2009-10</c:v>
                </c:pt>
              </c:strCache>
            </c:strRef>
          </c:cat>
          <c:val>
            <c:numRef>
              <c:f>'Chapter 5'!$C$21:$G$21</c:f>
              <c:numCache>
                <c:formatCode>0.00%</c:formatCode>
                <c:ptCount val="5"/>
                <c:pt idx="0">
                  <c:v>5.0595623262893871E-3</c:v>
                </c:pt>
                <c:pt idx="1">
                  <c:v>1.6107934372313788E-2</c:v>
                </c:pt>
                <c:pt idx="2">
                  <c:v>3.0297654947316136E-2</c:v>
                </c:pt>
                <c:pt idx="3">
                  <c:v>4.9356983795529323E-2</c:v>
                </c:pt>
                <c:pt idx="4">
                  <c:v>9.4115838140481842E-2</c:v>
                </c:pt>
              </c:numCache>
            </c:numRef>
          </c:val>
        </c:ser>
        <c:marker val="1"/>
        <c:axId val="73396224"/>
        <c:axId val="73398144"/>
      </c:lineChart>
      <c:lineChart>
        <c:grouping val="standard"/>
        <c:ser>
          <c:idx val="2"/>
          <c:order val="2"/>
          <c:tx>
            <c:strRef>
              <c:f>'Chapter 5'!$B$23</c:f>
              <c:strCache>
                <c:ptCount val="1"/>
                <c:pt idx="0">
                  <c:v>Percentage of new and modified connections completed to DNO networks (RHS)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diamond"/>
            <c:size val="5"/>
            <c:spPr>
              <a:ln>
                <a:solidFill>
                  <a:srgbClr val="9BBB59"/>
                </a:solidFill>
              </a:ln>
            </c:spPr>
          </c:marker>
          <c:cat>
            <c:strRef>
              <c:f>'Chapter 5'!$C$20:$G$20</c:f>
              <c:strCache>
                <c:ptCount val="5"/>
                <c:pt idx="0">
                  <c:v>2005-06</c:v>
                </c:pt>
                <c:pt idx="1">
                  <c:v>2006-07</c:v>
                </c:pt>
                <c:pt idx="2">
                  <c:v>2007-08</c:v>
                </c:pt>
                <c:pt idx="3">
                  <c:v>2008-09</c:v>
                </c:pt>
                <c:pt idx="4">
                  <c:v>2009-10</c:v>
                </c:pt>
              </c:strCache>
            </c:strRef>
          </c:cat>
          <c:val>
            <c:numRef>
              <c:f>'Chapter 5'!$C$23:$G$23</c:f>
              <c:numCache>
                <c:formatCode>0.00%</c:formatCode>
                <c:ptCount val="5"/>
                <c:pt idx="0">
                  <c:v>0.95355802473700746</c:v>
                </c:pt>
                <c:pt idx="1">
                  <c:v>0.94329521246776549</c:v>
                </c:pt>
                <c:pt idx="2">
                  <c:v>0.92799280992419675</c:v>
                </c:pt>
                <c:pt idx="3">
                  <c:v>0.90090076206474079</c:v>
                </c:pt>
                <c:pt idx="4">
                  <c:v>0.87393959959280632</c:v>
                </c:pt>
              </c:numCache>
            </c:numRef>
          </c:val>
        </c:ser>
        <c:marker val="1"/>
        <c:axId val="73729152"/>
        <c:axId val="73399680"/>
      </c:lineChart>
      <c:catAx>
        <c:axId val="73396224"/>
        <c:scaling>
          <c:orientation val="minMax"/>
        </c:scaling>
        <c:axPos val="b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398144"/>
        <c:crosses val="autoZero"/>
        <c:auto val="1"/>
        <c:lblAlgn val="ctr"/>
        <c:lblOffset val="100"/>
      </c:catAx>
      <c:valAx>
        <c:axId val="73398144"/>
        <c:scaling>
          <c:orientation val="minMax"/>
          <c:max val="0.30000000000000032"/>
          <c:min val="0"/>
        </c:scaling>
        <c:axPos val="l"/>
        <c:majorGridlines>
          <c:spPr>
            <a:ln>
              <a:prstDash val="sysDash"/>
            </a:ln>
          </c:spPr>
        </c:majorGridlines>
        <c:numFmt formatCode="0%" sourceLinked="0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396224"/>
        <c:crosses val="autoZero"/>
        <c:crossBetween val="between"/>
        <c:majorUnit val="0.05"/>
      </c:valAx>
      <c:valAx>
        <c:axId val="73399680"/>
        <c:scaling>
          <c:orientation val="minMax"/>
          <c:max val="1"/>
          <c:min val="0.70000000000000062"/>
        </c:scaling>
        <c:axPos val="r"/>
        <c:numFmt formatCode="0%" sourceLinked="0"/>
        <c:tickLblPos val="nextTo"/>
        <c:crossAx val="73729152"/>
        <c:crosses val="max"/>
        <c:crossBetween val="between"/>
        <c:majorUnit val="0.05"/>
      </c:valAx>
      <c:catAx>
        <c:axId val="73729152"/>
        <c:scaling>
          <c:orientation val="minMax"/>
        </c:scaling>
        <c:delete val="1"/>
        <c:axPos val="b"/>
        <c:tickLblPos val="none"/>
        <c:crossAx val="73399680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74750248610228054"/>
          <c:y val="0"/>
          <c:w val="0.25249751389771935"/>
          <c:h val="0.96664770372602971"/>
        </c:manualLayout>
      </c:layout>
    </c:legend>
    <c:plotVisOnly val="1"/>
  </c:chart>
  <c:spPr>
    <a:noFill/>
    <a:ln>
      <a:noFill/>
    </a:ln>
  </c:spPr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0.12998727674284621"/>
          <c:y val="3.0197782418117252E-2"/>
          <c:w val="0.8224581015675797"/>
          <c:h val="0.59242060893010151"/>
        </c:manualLayout>
      </c:layout>
      <c:barChart>
        <c:barDir val="col"/>
        <c:grouping val="stacked"/>
        <c:ser>
          <c:idx val="3"/>
          <c:order val="1"/>
          <c:tx>
            <c:v>DPCR4 AONB allowance spent</c:v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AONB!$B$7:$B$20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AONB!$K$7:$K$20</c:f>
              <c:numCache>
                <c:formatCode>0.00</c:formatCode>
                <c:ptCount val="14"/>
                <c:pt idx="0">
                  <c:v>0.69173196044432128</c:v>
                </c:pt>
                <c:pt idx="1">
                  <c:v>0.30138626573784089</c:v>
                </c:pt>
                <c:pt idx="2">
                  <c:v>2.3966758965368644</c:v>
                </c:pt>
                <c:pt idx="3">
                  <c:v>2.337244437029081</c:v>
                </c:pt>
                <c:pt idx="4">
                  <c:v>0.76705371242595333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4.3386264893747022</c:v>
                </c:pt>
                <c:pt idx="9">
                  <c:v>1.6082904990722142</c:v>
                </c:pt>
                <c:pt idx="10">
                  <c:v>0.18452283301355368</c:v>
                </c:pt>
                <c:pt idx="11">
                  <c:v>3.7272895981709637</c:v>
                </c:pt>
                <c:pt idx="12">
                  <c:v>3.1130851324069506</c:v>
                </c:pt>
                <c:pt idx="13">
                  <c:v>3.8502212867773906</c:v>
                </c:pt>
              </c:numCache>
            </c:numRef>
          </c:val>
        </c:ser>
        <c:ser>
          <c:idx val="2"/>
          <c:order val="2"/>
          <c:tx>
            <c:v>DPCR4 AONB allowance</c:v>
          </c:tx>
          <c:spPr>
            <a:solidFill>
              <a:schemeClr val="accent5"/>
            </a:solidFill>
            <a:ln>
              <a:solidFill>
                <a:schemeClr val="tx1"/>
              </a:solidFill>
            </a:ln>
          </c:spPr>
          <c:cat>
            <c:strRef>
              <c:f>AONB!$B$7:$B$20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AONB!$N$7:$N$20</c:f>
              <c:numCache>
                <c:formatCode>_-* #,##0.00_-;\-* #,##0.00_-;_-* "-"??_-;_-@_-</c:formatCode>
                <c:ptCount val="14"/>
                <c:pt idx="0">
                  <c:v>6.7110954307351154</c:v>
                </c:pt>
                <c:pt idx="1">
                  <c:v>2.0487176679699166</c:v>
                </c:pt>
                <c:pt idx="2">
                  <c:v>3.4785839377325294</c:v>
                </c:pt>
                <c:pt idx="3">
                  <c:v>4.1255413806672525</c:v>
                </c:pt>
                <c:pt idx="4">
                  <c:v>0.52550345111331342</c:v>
                </c:pt>
                <c:pt idx="5">
                  <c:v>15.980706749212752</c:v>
                </c:pt>
                <c:pt idx="6">
                  <c:v>5.7577546375840072</c:v>
                </c:pt>
                <c:pt idx="7">
                  <c:v>0</c:v>
                </c:pt>
                <c:pt idx="8">
                  <c:v>4.709273655400164</c:v>
                </c:pt>
                <c:pt idx="9">
                  <c:v>1.7993602048040345</c:v>
                </c:pt>
                <c:pt idx="10">
                  <c:v>0.75551874046954948</c:v>
                </c:pt>
                <c:pt idx="11">
                  <c:v>2.6179910228399819</c:v>
                </c:pt>
                <c:pt idx="12">
                  <c:v>2.4096591118062798</c:v>
                </c:pt>
                <c:pt idx="13">
                  <c:v>0.9674917773235121</c:v>
                </c:pt>
              </c:numCache>
            </c:numRef>
          </c:val>
        </c:ser>
        <c:overlap val="100"/>
        <c:axId val="73940992"/>
        <c:axId val="73942912"/>
      </c:barChart>
      <c:lineChart>
        <c:grouping val="standard"/>
        <c:ser>
          <c:idx val="0"/>
          <c:order val="0"/>
          <c:tx>
            <c:v>Percentage of DPCR4 AONB allowance spent</c:v>
          </c:tx>
          <c:spPr>
            <a:ln w="25400">
              <a:solidFill>
                <a:srgbClr val="000080"/>
              </a:solidFill>
            </a:ln>
          </c:spPr>
          <c:marker>
            <c:symbol val="none"/>
          </c:marker>
          <c:cat>
            <c:strRef>
              <c:f>AONB!$B$7:$B$20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AONB!$L$7:$L$20</c:f>
              <c:numCache>
                <c:formatCode>0.0%</c:formatCode>
                <c:ptCount val="14"/>
                <c:pt idx="0">
                  <c:v>9.3441589799666103E-2</c:v>
                </c:pt>
                <c:pt idx="1">
                  <c:v>0.1282438029293215</c:v>
                </c:pt>
                <c:pt idx="2">
                  <c:v>0.40792679203010912</c:v>
                </c:pt>
                <c:pt idx="3">
                  <c:v>0.36164658754886514</c:v>
                </c:pt>
                <c:pt idx="4">
                  <c:v>0.59343890859388748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0.47951750350386496</c:v>
                </c:pt>
                <c:pt idx="9">
                  <c:v>0.47196459931845774</c:v>
                </c:pt>
                <c:pt idx="10">
                  <c:v>0.19629220474776204</c:v>
                </c:pt>
                <c:pt idx="11">
                  <c:v>0.5874113094114225</c:v>
                </c:pt>
                <c:pt idx="12">
                  <c:v>0.56368446459726296</c:v>
                </c:pt>
                <c:pt idx="13">
                  <c:v>0.79918028233504423</c:v>
                </c:pt>
              </c:numCache>
            </c:numRef>
          </c:val>
        </c:ser>
        <c:marker val="1"/>
        <c:axId val="73954432"/>
        <c:axId val="73944448"/>
      </c:lineChart>
      <c:catAx>
        <c:axId val="73940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DNO</a:t>
                </a:r>
              </a:p>
            </c:rich>
          </c:tx>
          <c:layout>
            <c:manualLayout>
              <c:xMode val="edge"/>
              <c:yMode val="edge"/>
              <c:x val="0.28303890052734232"/>
              <c:y val="0.82143597352278463"/>
            </c:manualLayout>
          </c:layout>
        </c:title>
        <c:tickLblPos val="nextTo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73942912"/>
        <c:crosses val="autoZero"/>
        <c:auto val="1"/>
        <c:lblAlgn val="ctr"/>
        <c:lblOffset val="100"/>
      </c:catAx>
      <c:valAx>
        <c:axId val="73942912"/>
        <c:scaling>
          <c:orientation val="minMax"/>
          <c:max val="20"/>
          <c:min val="0"/>
        </c:scaling>
        <c:axPos val="l"/>
        <c:majorGridlines>
          <c:spPr>
            <a:ln>
              <a:prstDash val="sysDash"/>
            </a:ln>
          </c:spPr>
        </c:majorGridlines>
        <c:numFmt formatCode="_-&quot;£&quot;* #,##0.0_-;\-&quot;£&quot;* #,##0.0_-;_-&quot;£&quot;* &quot;-&quot;?_-;_-@_-" sourceLinked="0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940992"/>
        <c:crosses val="autoZero"/>
        <c:crossBetween val="between"/>
        <c:majorUnit val="2"/>
      </c:valAx>
      <c:valAx>
        <c:axId val="73944448"/>
        <c:scaling>
          <c:orientation val="minMax"/>
          <c:max val="1"/>
        </c:scaling>
        <c:axPos val="r"/>
        <c:numFmt formatCode="0%" sourceLinked="0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3954432"/>
        <c:crosses val="max"/>
        <c:crossBetween val="between"/>
      </c:valAx>
      <c:catAx>
        <c:axId val="73954432"/>
        <c:scaling>
          <c:orientation val="minMax"/>
        </c:scaling>
        <c:delete val="1"/>
        <c:axPos val="b"/>
        <c:tickLblPos val="none"/>
        <c:crossAx val="73944448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2.0483637939752952E-2"/>
          <c:y val="0.88403713278339902"/>
          <c:w val="0.9581996315827529"/>
          <c:h val="0.11596286721660112"/>
        </c:manualLayout>
      </c:layout>
    </c:legend>
    <c:plotVisOnly val="1"/>
    <c:dispBlanksAs val="gap"/>
  </c:chart>
  <c:spPr>
    <a:noFill/>
    <a:ln>
      <a:noFill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barChart>
        <c:barDir val="col"/>
        <c:grouping val="clustered"/>
        <c:ser>
          <c:idx val="1"/>
          <c:order val="1"/>
          <c:tx>
            <c:v>DNO performance in 2009-10</c:v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'Chapter 6'!$K$10:$K$24</c:f>
              <c:strCache>
                <c:ptCount val="15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  <c:pt idx="14">
                  <c:v>GB average</c:v>
                </c:pt>
              </c:strCache>
            </c:strRef>
          </c:cat>
          <c:val>
            <c:numRef>
              <c:f>'Chapter 6'!$Q$10:$Q$24</c:f>
              <c:numCache>
                <c:formatCode>0.00%</c:formatCode>
                <c:ptCount val="15"/>
                <c:pt idx="0">
                  <c:v>5.5224766655701717E-2</c:v>
                </c:pt>
                <c:pt idx="1">
                  <c:v>4.6428339010747784E-2</c:v>
                </c:pt>
                <c:pt idx="2">
                  <c:v>6.9256455392390504E-2</c:v>
                </c:pt>
                <c:pt idx="3">
                  <c:v>6.6904644742336483E-2</c:v>
                </c:pt>
                <c:pt idx="4">
                  <c:v>7.5731382031148486E-2</c:v>
                </c:pt>
                <c:pt idx="5">
                  <c:v>5.3007605400790601E-2</c:v>
                </c:pt>
                <c:pt idx="6">
                  <c:v>6.653990847380592E-2</c:v>
                </c:pt>
                <c:pt idx="7">
                  <c:v>5.5179464812217589E-2</c:v>
                </c:pt>
                <c:pt idx="8">
                  <c:v>5.1616248430745561E-2</c:v>
                </c:pt>
                <c:pt idx="9">
                  <c:v>6.3556972888750118E-2</c:v>
                </c:pt>
                <c:pt idx="10">
                  <c:v>6.1526564719314954E-2</c:v>
                </c:pt>
                <c:pt idx="11">
                  <c:v>6.3725407699419243E-2</c:v>
                </c:pt>
                <c:pt idx="12">
                  <c:v>8.2950014949029635E-2</c:v>
                </c:pt>
                <c:pt idx="13">
                  <c:v>6.233186863169194E-2</c:v>
                </c:pt>
                <c:pt idx="14">
                  <c:v>6.29811443986453E-2</c:v>
                </c:pt>
              </c:numCache>
            </c:numRef>
          </c:val>
        </c:ser>
        <c:axId val="73975296"/>
        <c:axId val="73976832"/>
      </c:barChart>
      <c:lineChart>
        <c:grouping val="standard"/>
        <c:ser>
          <c:idx val="0"/>
          <c:order val="0"/>
          <c:tx>
            <c:v>DNO target losses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'Chapter 6'!$K$10:$K$24</c:f>
              <c:strCache>
                <c:ptCount val="15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  <c:pt idx="14">
                  <c:v>GB average</c:v>
                </c:pt>
              </c:strCache>
            </c:strRef>
          </c:cat>
          <c:val>
            <c:numRef>
              <c:f>'Chapter 6'!$L$10:$L$24</c:f>
              <c:numCache>
                <c:formatCode>0.00%</c:formatCode>
                <c:ptCount val="15"/>
                <c:pt idx="0">
                  <c:v>4.9599999999999998E-2</c:v>
                </c:pt>
                <c:pt idx="1">
                  <c:v>5.6899999999999992E-2</c:v>
                </c:pt>
                <c:pt idx="2">
                  <c:v>5.5600000000000004E-2</c:v>
                </c:pt>
                <c:pt idx="3">
                  <c:v>5.2000000000000005E-2</c:v>
                </c:pt>
                <c:pt idx="4">
                  <c:v>5.8999999999999997E-2</c:v>
                </c:pt>
                <c:pt idx="5">
                  <c:v>4.9399999999999999E-2</c:v>
                </c:pt>
                <c:pt idx="6">
                  <c:v>6.9599999999999995E-2</c:v>
                </c:pt>
                <c:pt idx="7">
                  <c:v>6.54E-2</c:v>
                </c:pt>
                <c:pt idx="8">
                  <c:v>6.54E-2</c:v>
                </c:pt>
                <c:pt idx="9">
                  <c:v>6.3200000000000006E-2</c:v>
                </c:pt>
                <c:pt idx="10">
                  <c:v>5.1860000000000003E-2</c:v>
                </c:pt>
                <c:pt idx="11">
                  <c:v>5.4259999999999996E-2</c:v>
                </c:pt>
                <c:pt idx="12">
                  <c:v>8.7300000000000003E-2</c:v>
                </c:pt>
                <c:pt idx="13">
                  <c:v>6.6799999999999998E-2</c:v>
                </c:pt>
                <c:pt idx="14">
                  <c:v>6.045142857142858E-2</c:v>
                </c:pt>
              </c:numCache>
            </c:numRef>
          </c:val>
        </c:ser>
        <c:marker val="1"/>
        <c:axId val="73975296"/>
        <c:axId val="73976832"/>
      </c:lineChart>
      <c:catAx>
        <c:axId val="73975296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3976832"/>
        <c:crosses val="autoZero"/>
        <c:auto val="1"/>
        <c:lblAlgn val="ctr"/>
        <c:lblOffset val="100"/>
      </c:catAx>
      <c:valAx>
        <c:axId val="73976832"/>
        <c:scaling>
          <c:orientation val="minMax"/>
          <c:max val="9.0000000000000024E-2"/>
          <c:min val="4.0000000000000022E-2"/>
        </c:scaling>
        <c:axPos val="l"/>
        <c:majorGridlines>
          <c:spPr>
            <a:ln>
              <a:prstDash val="sysDash"/>
            </a:ln>
          </c:spPr>
        </c:majorGridlines>
        <c:numFmt formatCode="0.00%" sourceLinked="1"/>
        <c:tickLblPos val="nextTo"/>
        <c:crossAx val="73975296"/>
        <c:crosses val="autoZero"/>
        <c:crossBetween val="between"/>
      </c:valAx>
      <c:spPr>
        <a:noFill/>
        <a:ln>
          <a:noFill/>
        </a:ln>
      </c:spPr>
    </c:plotArea>
    <c:legend>
      <c:legendPos val="b"/>
      <c:layout/>
    </c:legend>
    <c:plotVisOnly val="1"/>
    <c:dispBlanksAs val="gap"/>
  </c:chart>
  <c:spPr>
    <a:noFill/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6.6329416515243322E-2"/>
          <c:y val="3.7844214089809716E-2"/>
          <c:w val="0.90221759203176144"/>
          <c:h val="0.60952196002376202"/>
        </c:manualLayout>
      </c:layout>
      <c:lineChart>
        <c:grouping val="standard"/>
        <c:ser>
          <c:idx val="2"/>
          <c:order val="0"/>
          <c:tx>
            <c:strRef>
              <c:f>'Network investment'!$M$159</c:f>
              <c:strCache>
                <c:ptCount val="1"/>
                <c:pt idx="0">
                  <c:v>DPCR4 RORE achieved allowing for opex, capex, losses, QoS, volumes, tax, real interest</c:v>
                </c:pt>
              </c:strCache>
            </c:strRef>
          </c:tx>
          <c:spPr>
            <a:ln w="25400"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strRef>
              <c:f>'Network investment'!$J$160:$J$174</c:f>
              <c:strCache>
                <c:ptCount val="15"/>
                <c:pt idx="0">
                  <c:v>ENWL</c:v>
                </c:pt>
                <c:pt idx="1">
                  <c:v>CN East </c:v>
                </c:pt>
                <c:pt idx="2">
                  <c:v>SSE Hydro</c:v>
                </c:pt>
                <c:pt idx="3">
                  <c:v>UKPN LPN</c:v>
                </c:pt>
                <c:pt idx="4">
                  <c:v>WPD S Wales</c:v>
                </c:pt>
                <c:pt idx="5">
                  <c:v>SSE Southern</c:v>
                </c:pt>
                <c:pt idx="6">
                  <c:v>UKPN EPN</c:v>
                </c:pt>
                <c:pt idx="7">
                  <c:v>GB average</c:v>
                </c:pt>
                <c:pt idx="8">
                  <c:v>CE YEDL</c:v>
                </c:pt>
                <c:pt idx="9">
                  <c:v>CE NEDL</c:v>
                </c:pt>
                <c:pt idx="10">
                  <c:v>WPD S West</c:v>
                </c:pt>
                <c:pt idx="11">
                  <c:v>UKPN SEPN</c:v>
                </c:pt>
                <c:pt idx="12">
                  <c:v>SP Distribution</c:v>
                </c:pt>
                <c:pt idx="13">
                  <c:v>CN West</c:v>
                </c:pt>
                <c:pt idx="14">
                  <c:v>SP Manweb</c:v>
                </c:pt>
              </c:strCache>
            </c:strRef>
          </c:cat>
          <c:val>
            <c:numRef>
              <c:f>'Network investment'!$M$160:$M$174</c:f>
              <c:numCache>
                <c:formatCode>0.00%</c:formatCode>
                <c:ptCount val="15"/>
                <c:pt idx="0">
                  <c:v>0.10083254791252363</c:v>
                </c:pt>
                <c:pt idx="1">
                  <c:v>0.10039271741140655</c:v>
                </c:pt>
                <c:pt idx="2">
                  <c:v>9.4694821484862954E-2</c:v>
                </c:pt>
                <c:pt idx="3">
                  <c:v>8.9502639515358459E-2</c:v>
                </c:pt>
                <c:pt idx="4">
                  <c:v>8.9493329036251179E-2</c:v>
                </c:pt>
                <c:pt idx="5">
                  <c:v>8.9106767965445449E-2</c:v>
                </c:pt>
                <c:pt idx="6">
                  <c:v>8.6624745779373999E-2</c:v>
                </c:pt>
                <c:pt idx="7">
                  <c:v>8.3146282828022167E-2</c:v>
                </c:pt>
                <c:pt idx="8">
                  <c:v>8.1739509222933507E-2</c:v>
                </c:pt>
                <c:pt idx="9">
                  <c:v>7.9497467994240761E-2</c:v>
                </c:pt>
                <c:pt idx="10">
                  <c:v>7.7126186725284748E-2</c:v>
                </c:pt>
                <c:pt idx="11">
                  <c:v>7.4382192572181954E-2</c:v>
                </c:pt>
                <c:pt idx="12">
                  <c:v>7.4186631300421663E-2</c:v>
                </c:pt>
                <c:pt idx="13">
                  <c:v>6.7311385500408827E-2</c:v>
                </c:pt>
                <c:pt idx="14">
                  <c:v>5.3271681935735241E-2</c:v>
                </c:pt>
              </c:numCache>
            </c:numRef>
          </c:val>
        </c:ser>
        <c:ser>
          <c:idx val="1"/>
          <c:order val="1"/>
          <c:tx>
            <c:strRef>
              <c:f>'Network investment'!$L$159</c:f>
              <c:strCache>
                <c:ptCount val="1"/>
                <c:pt idx="0">
                  <c:v>DPCR4 RORE achieved allowing for opex, capex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diamond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'Network investment'!$J$160:$J$174</c:f>
              <c:strCache>
                <c:ptCount val="15"/>
                <c:pt idx="0">
                  <c:v>ENWL</c:v>
                </c:pt>
                <c:pt idx="1">
                  <c:v>CN East </c:v>
                </c:pt>
                <c:pt idx="2">
                  <c:v>SSE Hydro</c:v>
                </c:pt>
                <c:pt idx="3">
                  <c:v>UKPN LPN</c:v>
                </c:pt>
                <c:pt idx="4">
                  <c:v>WPD S Wales</c:v>
                </c:pt>
                <c:pt idx="5">
                  <c:v>SSE Southern</c:v>
                </c:pt>
                <c:pt idx="6">
                  <c:v>UKPN EPN</c:v>
                </c:pt>
                <c:pt idx="7">
                  <c:v>GB average</c:v>
                </c:pt>
                <c:pt idx="8">
                  <c:v>CE YEDL</c:v>
                </c:pt>
                <c:pt idx="9">
                  <c:v>CE NEDL</c:v>
                </c:pt>
                <c:pt idx="10">
                  <c:v>WPD S West</c:v>
                </c:pt>
                <c:pt idx="11">
                  <c:v>UKPN SEPN</c:v>
                </c:pt>
                <c:pt idx="12">
                  <c:v>SP Distribution</c:v>
                </c:pt>
                <c:pt idx="13">
                  <c:v>CN West</c:v>
                </c:pt>
                <c:pt idx="14">
                  <c:v>SP Manweb</c:v>
                </c:pt>
              </c:strCache>
            </c:strRef>
          </c:cat>
          <c:val>
            <c:numRef>
              <c:f>'Network investment'!$L$160:$L$174</c:f>
              <c:numCache>
                <c:formatCode>0.00%</c:formatCode>
                <c:ptCount val="15"/>
                <c:pt idx="0">
                  <c:v>8.4483075505128721E-2</c:v>
                </c:pt>
                <c:pt idx="1">
                  <c:v>7.0794147093769799E-2</c:v>
                </c:pt>
                <c:pt idx="2">
                  <c:v>7.9507244227542753E-2</c:v>
                </c:pt>
                <c:pt idx="3">
                  <c:v>6.3658017812835421E-2</c:v>
                </c:pt>
                <c:pt idx="4">
                  <c:v>8.1114602229601804E-2</c:v>
                </c:pt>
                <c:pt idx="5">
                  <c:v>7.5382512484462733E-2</c:v>
                </c:pt>
                <c:pt idx="6">
                  <c:v>4.852213732903058E-2</c:v>
                </c:pt>
                <c:pt idx="7">
                  <c:v>6.77078575931572E-2</c:v>
                </c:pt>
                <c:pt idx="8">
                  <c:v>6.1688293210662271E-2</c:v>
                </c:pt>
                <c:pt idx="9">
                  <c:v>7.0366077681058667E-2</c:v>
                </c:pt>
                <c:pt idx="10">
                  <c:v>5.9139585795798574E-2</c:v>
                </c:pt>
                <c:pt idx="11">
                  <c:v>5.1432737095413184E-2</c:v>
                </c:pt>
                <c:pt idx="12">
                  <c:v>8.1935701271284328E-2</c:v>
                </c:pt>
                <c:pt idx="13">
                  <c:v>6.0154252965368887E-2</c:v>
                </c:pt>
                <c:pt idx="14">
                  <c:v>6.2690668760537235E-2</c:v>
                </c:pt>
              </c:numCache>
            </c:numRef>
          </c:val>
        </c:ser>
        <c:ser>
          <c:idx val="0"/>
          <c:order val="2"/>
          <c:tx>
            <c:strRef>
              <c:f>'Network investment'!$C$159</c:f>
              <c:strCache>
                <c:ptCount val="1"/>
                <c:pt idx="0">
                  <c:v>DPCR4 RORE allowed</c:v>
                </c:pt>
              </c:strCache>
            </c:strRef>
          </c:tx>
          <c:spPr>
            <a:ln w="25400"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'Network investment'!$J$160:$J$174</c:f>
              <c:strCache>
                <c:ptCount val="15"/>
                <c:pt idx="0">
                  <c:v>ENWL</c:v>
                </c:pt>
                <c:pt idx="1">
                  <c:v>CN East </c:v>
                </c:pt>
                <c:pt idx="2">
                  <c:v>SSE Hydro</c:v>
                </c:pt>
                <c:pt idx="3">
                  <c:v>UKPN LPN</c:v>
                </c:pt>
                <c:pt idx="4">
                  <c:v>WPD S Wales</c:v>
                </c:pt>
                <c:pt idx="5">
                  <c:v>SSE Southern</c:v>
                </c:pt>
                <c:pt idx="6">
                  <c:v>UKPN EPN</c:v>
                </c:pt>
                <c:pt idx="7">
                  <c:v>GB average</c:v>
                </c:pt>
                <c:pt idx="8">
                  <c:v>CE YEDL</c:v>
                </c:pt>
                <c:pt idx="9">
                  <c:v>CE NEDL</c:v>
                </c:pt>
                <c:pt idx="10">
                  <c:v>WPD S West</c:v>
                </c:pt>
                <c:pt idx="11">
                  <c:v>UKPN SEPN</c:v>
                </c:pt>
                <c:pt idx="12">
                  <c:v>SP Distribution</c:v>
                </c:pt>
                <c:pt idx="13">
                  <c:v>CN West</c:v>
                </c:pt>
                <c:pt idx="14">
                  <c:v>SP Manweb</c:v>
                </c:pt>
              </c:strCache>
            </c:strRef>
          </c:cat>
          <c:val>
            <c:numRef>
              <c:f>'Network investment'!$C$160:$C$174</c:f>
              <c:numCache>
                <c:formatCode>0.00%</c:formatCode>
                <c:ptCount val="15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7.4999999999999997E-2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7.4999999999999997E-2</c:v>
                </c:pt>
                <c:pt idx="13">
                  <c:v>7.4999999999999997E-2</c:v>
                </c:pt>
                <c:pt idx="14">
                  <c:v>7.4999999999999997E-2</c:v>
                </c:pt>
              </c:numCache>
            </c:numRef>
          </c:val>
        </c:ser>
        <c:marker val="1"/>
        <c:axId val="74002816"/>
        <c:axId val="74004736"/>
      </c:lineChart>
      <c:catAx>
        <c:axId val="740028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US" sz="1000" b="1"/>
                  <a:t>DNO</a:t>
                </a:r>
              </a:p>
            </c:rich>
          </c:tx>
          <c:layout>
            <c:manualLayout>
              <c:xMode val="edge"/>
              <c:yMode val="edge"/>
              <c:x val="8.4923301790223768E-2"/>
              <c:y val="0.7764455973582427"/>
            </c:manualLayout>
          </c:layout>
        </c:title>
        <c:numFmt formatCode="General" sourceLinked="1"/>
        <c:tickLblPos val="low"/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74004736"/>
        <c:crosses val="autoZero"/>
        <c:auto val="1"/>
        <c:lblAlgn val="ctr"/>
        <c:lblOffset val="100"/>
      </c:catAx>
      <c:valAx>
        <c:axId val="74004736"/>
        <c:scaling>
          <c:orientation val="minMax"/>
          <c:max val="0.15000000000000024"/>
          <c:min val="0"/>
        </c:scaling>
        <c:axPos val="l"/>
        <c:majorGridlines>
          <c:spPr>
            <a:ln>
              <a:prstDash val="sysDash"/>
            </a:ln>
          </c:spPr>
        </c:majorGridlines>
        <c:numFmt formatCode="0.0%" sourceLinked="0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4002816"/>
        <c:crosses val="autoZero"/>
        <c:crossBetween val="between"/>
        <c:majorUnit val="3.0000000000000002E-2"/>
      </c:valAx>
      <c:spPr>
        <a:noFill/>
      </c:spPr>
    </c:plotArea>
    <c:legend>
      <c:legendPos val="r"/>
      <c:layout>
        <c:manualLayout>
          <c:xMode val="edge"/>
          <c:yMode val="edge"/>
          <c:x val="0"/>
          <c:y val="0.83880277081632759"/>
          <c:w val="0.99804987329544836"/>
          <c:h val="0.15915223028709757"/>
        </c:manualLayout>
      </c:layout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spPr>
    <a:noFill/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7.6088380307601733E-2"/>
          <c:y val="5.0237645633662308E-2"/>
          <c:w val="0.9017054235043106"/>
          <c:h val="0.55346192020115137"/>
        </c:manualLayout>
      </c:layout>
      <c:barChart>
        <c:barDir val="col"/>
        <c:grouping val="stacked"/>
        <c:ser>
          <c:idx val="1"/>
          <c:order val="0"/>
          <c:tx>
            <c:v>Difference in 2008-09</c:v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7'!$E$77:$E$90</c:f>
              <c:numCache>
                <c:formatCode>_-* #,##0.0_-;\-* #,##0.0_-;_-* "-"??_-;_-@_-</c:formatCode>
                <c:ptCount val="14"/>
                <c:pt idx="0">
                  <c:v>21.618939462523429</c:v>
                </c:pt>
                <c:pt idx="1">
                  <c:v>33.635173317046025</c:v>
                </c:pt>
                <c:pt idx="2">
                  <c:v>-12.244958927045957</c:v>
                </c:pt>
                <c:pt idx="3">
                  <c:v>5.1679078554969209</c:v>
                </c:pt>
                <c:pt idx="4">
                  <c:v>4.249596750182917</c:v>
                </c:pt>
                <c:pt idx="5">
                  <c:v>-1.303240244936724</c:v>
                </c:pt>
                <c:pt idx="6">
                  <c:v>-2.0514282903150587</c:v>
                </c:pt>
                <c:pt idx="7">
                  <c:v>-6.991652453795794</c:v>
                </c:pt>
                <c:pt idx="8">
                  <c:v>5.1223699572687877</c:v>
                </c:pt>
                <c:pt idx="9">
                  <c:v>27.575383756464163</c:v>
                </c:pt>
                <c:pt idx="10">
                  <c:v>-5.2860872277531286</c:v>
                </c:pt>
                <c:pt idx="11">
                  <c:v>-3.4176022749631443</c:v>
                </c:pt>
                <c:pt idx="12">
                  <c:v>3.2634693706293092</c:v>
                </c:pt>
                <c:pt idx="13">
                  <c:v>6.487078021733538</c:v>
                </c:pt>
              </c:numCache>
            </c:numRef>
          </c:val>
        </c:ser>
        <c:overlap val="100"/>
        <c:axId val="74030464"/>
        <c:axId val="74032640"/>
      </c:barChart>
      <c:lineChart>
        <c:grouping val="standard"/>
        <c:ser>
          <c:idx val="0"/>
          <c:order val="1"/>
          <c:tx>
            <c:v>Percentage difference in 2008-09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7'!$F$77:$F$90</c:f>
              <c:numCache>
                <c:formatCode>0.0%</c:formatCode>
                <c:ptCount val="14"/>
                <c:pt idx="0">
                  <c:v>0.16619949152666513</c:v>
                </c:pt>
                <c:pt idx="1">
                  <c:v>0.26164911740118435</c:v>
                </c:pt>
                <c:pt idx="2">
                  <c:v>-9.508011641446612E-2</c:v>
                </c:pt>
                <c:pt idx="3">
                  <c:v>7.0594300795430831E-2</c:v>
                </c:pt>
                <c:pt idx="4">
                  <c:v>4.3572507676117311E-2</c:v>
                </c:pt>
                <c:pt idx="5">
                  <c:v>-2.4923406338733689E-2</c:v>
                </c:pt>
                <c:pt idx="6">
                  <c:v>-2.5787580572407043E-2</c:v>
                </c:pt>
                <c:pt idx="7">
                  <c:v>-6.0345632444790298E-2</c:v>
                </c:pt>
                <c:pt idx="8">
                  <c:v>4.0626943107770597E-2</c:v>
                </c:pt>
                <c:pt idx="9">
                  <c:v>0.14881023344016131</c:v>
                </c:pt>
                <c:pt idx="10">
                  <c:v>-5.176753372409304E-2</c:v>
                </c:pt>
                <c:pt idx="11">
                  <c:v>-2.8911223137575659E-2</c:v>
                </c:pt>
                <c:pt idx="12">
                  <c:v>5.7500991906870969E-2</c:v>
                </c:pt>
                <c:pt idx="13">
                  <c:v>4.4200747012661967E-2</c:v>
                </c:pt>
              </c:numCache>
            </c:numRef>
          </c:val>
        </c:ser>
        <c:marker val="1"/>
        <c:axId val="74044160"/>
        <c:axId val="74034176"/>
      </c:lineChart>
      <c:catAx>
        <c:axId val="74030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DNO</a:t>
                </a:r>
              </a:p>
            </c:rich>
          </c:tx>
          <c:layout>
            <c:manualLayout>
              <c:xMode val="edge"/>
              <c:yMode val="edge"/>
              <c:x val="0.26586937412504752"/>
              <c:y val="0.82414411433864965"/>
            </c:manualLayout>
          </c:layout>
        </c:title>
        <c:majorTickMark val="cross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74032640"/>
        <c:crosses val="autoZero"/>
        <c:auto val="1"/>
        <c:lblAlgn val="ctr"/>
        <c:lblOffset val="100"/>
      </c:catAx>
      <c:valAx>
        <c:axId val="74032640"/>
        <c:scaling>
          <c:orientation val="minMax"/>
          <c:max val="50"/>
          <c:min val="-50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sysDash"/>
            </a:ln>
          </c:spPr>
        </c:majorGridlines>
        <c:numFmt formatCode="#,##0.0" sourceLinked="0"/>
        <c:tickLblPos val="nextTo"/>
        <c:crossAx val="74030464"/>
        <c:crosses val="autoZero"/>
        <c:crossBetween val="between"/>
        <c:majorUnit val="10"/>
      </c:valAx>
      <c:valAx>
        <c:axId val="74034176"/>
        <c:scaling>
          <c:orientation val="minMax"/>
          <c:max val="0.30000000000000032"/>
          <c:min val="-0.30000000000000032"/>
        </c:scaling>
        <c:axPos val="r"/>
        <c:numFmt formatCode="0%" sourceLinked="0"/>
        <c:tickLblPos val="nextTo"/>
        <c:crossAx val="74044160"/>
        <c:crosses val="max"/>
        <c:crossBetween val="between"/>
        <c:majorUnit val="6.0000000000000032E-2"/>
      </c:valAx>
      <c:catAx>
        <c:axId val="74044160"/>
        <c:scaling>
          <c:orientation val="minMax"/>
        </c:scaling>
        <c:delete val="1"/>
        <c:axPos val="b"/>
        <c:tickLblPos val="none"/>
        <c:crossAx val="74034176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15910218546958071"/>
          <c:y val="0.91561801098392115"/>
          <c:w val="0.78933213471680519"/>
          <c:h val="7.5543874249793183E-2"/>
        </c:manualLayout>
      </c:layout>
    </c:legend>
    <c:plotVisOnly val="1"/>
    <c:dispBlanksAs val="gap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7.6088380307601733E-2"/>
          <c:y val="5.0237645633662308E-2"/>
          <c:w val="0.90170542350431082"/>
          <c:h val="0.55346192020115137"/>
        </c:manualLayout>
      </c:layout>
      <c:barChart>
        <c:barDir val="col"/>
        <c:grouping val="stacked"/>
        <c:ser>
          <c:idx val="1"/>
          <c:order val="0"/>
          <c:tx>
            <c:v>Difference in 2009-10</c:v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7'!$I$77:$I$90</c:f>
              <c:numCache>
                <c:formatCode>_-* #,##0.0_-;\-* #,##0.0_-;_-* "-"??_-;_-@_-</c:formatCode>
                <c:ptCount val="14"/>
                <c:pt idx="0">
                  <c:v>10.119018172371057</c:v>
                </c:pt>
                <c:pt idx="1">
                  <c:v>0.96485486410023213</c:v>
                </c:pt>
                <c:pt idx="2">
                  <c:v>-25.645734229640951</c:v>
                </c:pt>
                <c:pt idx="3">
                  <c:v>-1.8273692680451319</c:v>
                </c:pt>
                <c:pt idx="4">
                  <c:v>9.658680793668097</c:v>
                </c:pt>
                <c:pt idx="5">
                  <c:v>-2.2198928378632417</c:v>
                </c:pt>
                <c:pt idx="6">
                  <c:v>-4.0022939731507989</c:v>
                </c:pt>
                <c:pt idx="7">
                  <c:v>-12.880935159768825</c:v>
                </c:pt>
                <c:pt idx="8">
                  <c:v>28.23615289248778</c:v>
                </c:pt>
                <c:pt idx="9">
                  <c:v>45.865506014527142</c:v>
                </c:pt>
                <c:pt idx="10">
                  <c:v>-22.355541342859567</c:v>
                </c:pt>
                <c:pt idx="11">
                  <c:v>-32.474891172364394</c:v>
                </c:pt>
                <c:pt idx="12">
                  <c:v>9.9920664655997484</c:v>
                </c:pt>
                <c:pt idx="13">
                  <c:v>14.337412091744966</c:v>
                </c:pt>
              </c:numCache>
            </c:numRef>
          </c:val>
        </c:ser>
        <c:overlap val="100"/>
        <c:axId val="74135424"/>
        <c:axId val="74145792"/>
      </c:barChart>
      <c:lineChart>
        <c:grouping val="standard"/>
        <c:ser>
          <c:idx val="0"/>
          <c:order val="1"/>
          <c:tx>
            <c:v>Percentage difference in 2009-10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7'!$J$77:$J$90</c:f>
              <c:numCache>
                <c:formatCode>0.0%</c:formatCode>
                <c:ptCount val="14"/>
                <c:pt idx="0">
                  <c:v>7.6888834781434268E-2</c:v>
                </c:pt>
                <c:pt idx="1">
                  <c:v>7.4646978200816339E-3</c:v>
                </c:pt>
                <c:pt idx="2">
                  <c:v>-0.20246003270913071</c:v>
                </c:pt>
                <c:pt idx="3">
                  <c:v>-2.4299048568594772E-2</c:v>
                </c:pt>
                <c:pt idx="4">
                  <c:v>9.5690225021922037E-2</c:v>
                </c:pt>
                <c:pt idx="5">
                  <c:v>-4.1981932156240465E-2</c:v>
                </c:pt>
                <c:pt idx="6">
                  <c:v>-4.8797378175755024E-2</c:v>
                </c:pt>
                <c:pt idx="7">
                  <c:v>-0.11128947401171752</c:v>
                </c:pt>
                <c:pt idx="8">
                  <c:v>0.22229144916476296</c:v>
                </c:pt>
                <c:pt idx="9">
                  <c:v>0.24988954480329406</c:v>
                </c:pt>
                <c:pt idx="10">
                  <c:v>-0.2189315443587091</c:v>
                </c:pt>
                <c:pt idx="11">
                  <c:v>-0.27201754871259687</c:v>
                </c:pt>
                <c:pt idx="12">
                  <c:v>0.17678815526030323</c:v>
                </c:pt>
                <c:pt idx="13">
                  <c:v>9.784693830293012E-2</c:v>
                </c:pt>
              </c:numCache>
            </c:numRef>
          </c:val>
        </c:ser>
        <c:marker val="1"/>
        <c:axId val="74148864"/>
        <c:axId val="74147328"/>
      </c:lineChart>
      <c:catAx>
        <c:axId val="74135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DNO</a:t>
                </a:r>
              </a:p>
            </c:rich>
          </c:tx>
          <c:layout>
            <c:manualLayout>
              <c:xMode val="edge"/>
              <c:yMode val="edge"/>
              <c:x val="0.26586937412504763"/>
              <c:y val="0.82414411433864965"/>
            </c:manualLayout>
          </c:layout>
        </c:title>
        <c:majorTickMark val="cross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74145792"/>
        <c:crosses val="autoZero"/>
        <c:auto val="1"/>
        <c:lblAlgn val="ctr"/>
        <c:lblOffset val="100"/>
      </c:catAx>
      <c:valAx>
        <c:axId val="74145792"/>
        <c:scaling>
          <c:orientation val="minMax"/>
          <c:max val="50"/>
          <c:min val="-50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sysDash"/>
            </a:ln>
          </c:spPr>
        </c:majorGridlines>
        <c:numFmt formatCode="#,##0.0" sourceLinked="0"/>
        <c:tickLblPos val="nextTo"/>
        <c:crossAx val="74135424"/>
        <c:crosses val="autoZero"/>
        <c:crossBetween val="between"/>
        <c:majorUnit val="10"/>
      </c:valAx>
      <c:valAx>
        <c:axId val="74147328"/>
        <c:scaling>
          <c:orientation val="minMax"/>
          <c:max val="0.30000000000000032"/>
          <c:min val="-0.30000000000000032"/>
        </c:scaling>
        <c:axPos val="r"/>
        <c:numFmt formatCode="0.0%" sourceLinked="0"/>
        <c:tickLblPos val="nextTo"/>
        <c:crossAx val="74148864"/>
        <c:crosses val="max"/>
        <c:crossBetween val="between"/>
        <c:majorUnit val="6.0000000000000032E-2"/>
      </c:valAx>
      <c:catAx>
        <c:axId val="74148864"/>
        <c:scaling>
          <c:orientation val="minMax"/>
        </c:scaling>
        <c:delete val="1"/>
        <c:axPos val="b"/>
        <c:tickLblPos val="none"/>
        <c:crossAx val="74147328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15910218546958071"/>
          <c:y val="0.91561801098392115"/>
          <c:w val="0.78933213471680497"/>
          <c:h val="7.5543874249793183E-2"/>
        </c:manualLayout>
      </c:layout>
    </c:legend>
    <c:plotVisOnly val="1"/>
    <c:dispBlanksAs val="gap"/>
  </c:chart>
  <c:spPr>
    <a:noFill/>
    <a:ln>
      <a:noFill/>
    </a:ln>
  </c:sp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7.6088380307601733E-2"/>
          <c:y val="5.0237645633662308E-2"/>
          <c:w val="0.90170542350431082"/>
          <c:h val="0.55346192020115137"/>
        </c:manualLayout>
      </c:layout>
      <c:barChart>
        <c:barDir val="col"/>
        <c:grouping val="stacked"/>
        <c:ser>
          <c:idx val="1"/>
          <c:order val="0"/>
          <c:tx>
            <c:v>Difference in 2008-09</c:v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7'!$E$97:$E$110</c:f>
              <c:numCache>
                <c:formatCode>_-* #,##0.0_-;\-* #,##0.0_-;_-* "-"??_-;_-@_-</c:formatCode>
                <c:ptCount val="14"/>
                <c:pt idx="0">
                  <c:v>9.1705273218968912</c:v>
                </c:pt>
                <c:pt idx="1">
                  <c:v>3.2876412866013069</c:v>
                </c:pt>
                <c:pt idx="2">
                  <c:v>2.1420964501225654</c:v>
                </c:pt>
                <c:pt idx="3">
                  <c:v>2.6875415813786105</c:v>
                </c:pt>
                <c:pt idx="4">
                  <c:v>8.3558699451578988</c:v>
                </c:pt>
                <c:pt idx="5">
                  <c:v>-3.0931340408555528</c:v>
                </c:pt>
                <c:pt idx="6">
                  <c:v>7.1363150049549517E-2</c:v>
                </c:pt>
                <c:pt idx="7">
                  <c:v>20.047423295734809</c:v>
                </c:pt>
                <c:pt idx="8">
                  <c:v>28.218280602660634</c:v>
                </c:pt>
                <c:pt idx="9">
                  <c:v>34.843921151181547</c:v>
                </c:pt>
                <c:pt idx="10">
                  <c:v>-5.6489908651898517</c:v>
                </c:pt>
                <c:pt idx="11">
                  <c:v>4.0722762051814527</c:v>
                </c:pt>
                <c:pt idx="12">
                  <c:v>1.2274862276359713</c:v>
                </c:pt>
                <c:pt idx="13">
                  <c:v>9.0256188692011676</c:v>
                </c:pt>
              </c:numCache>
            </c:numRef>
          </c:val>
        </c:ser>
        <c:overlap val="100"/>
        <c:axId val="74064256"/>
        <c:axId val="74066176"/>
      </c:barChart>
      <c:lineChart>
        <c:grouping val="standard"/>
        <c:ser>
          <c:idx val="0"/>
          <c:order val="1"/>
          <c:tx>
            <c:v>Percentage difference in 2008-09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7'!$F$97:$F$110</c:f>
              <c:numCache>
                <c:formatCode>0.0%</c:formatCode>
                <c:ptCount val="14"/>
                <c:pt idx="0">
                  <c:v>0.16259081123965013</c:v>
                </c:pt>
                <c:pt idx="1">
                  <c:v>5.5734439097397503E-2</c:v>
                </c:pt>
                <c:pt idx="2">
                  <c:v>3.9544038686994076E-2</c:v>
                </c:pt>
                <c:pt idx="3">
                  <c:v>6.591263043568607E-2</c:v>
                </c:pt>
                <c:pt idx="4">
                  <c:v>0.15908420972963966</c:v>
                </c:pt>
                <c:pt idx="5">
                  <c:v>-8.803806294818417E-2</c:v>
                </c:pt>
                <c:pt idx="6">
                  <c:v>1.5652554069591762E-3</c:v>
                </c:pt>
                <c:pt idx="7">
                  <c:v>0.43522658913064682</c:v>
                </c:pt>
                <c:pt idx="8">
                  <c:v>0.60036239669921043</c:v>
                </c:pt>
                <c:pt idx="9">
                  <c:v>0.47444943214858859</c:v>
                </c:pt>
                <c:pt idx="10">
                  <c:v>-0.1136510444685962</c:v>
                </c:pt>
                <c:pt idx="11">
                  <c:v>9.2170577368497764E-2</c:v>
                </c:pt>
                <c:pt idx="12">
                  <c:v>3.6912470998236246E-2</c:v>
                </c:pt>
                <c:pt idx="13">
                  <c:v>0.14519920701152933</c:v>
                </c:pt>
              </c:numCache>
            </c:numRef>
          </c:val>
        </c:ser>
        <c:marker val="1"/>
        <c:axId val="74073600"/>
        <c:axId val="74072064"/>
      </c:lineChart>
      <c:catAx>
        <c:axId val="74064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DNO</a:t>
                </a:r>
              </a:p>
            </c:rich>
          </c:tx>
          <c:layout>
            <c:manualLayout>
              <c:xMode val="edge"/>
              <c:yMode val="edge"/>
              <c:x val="0.26586937412504763"/>
              <c:y val="0.82414411433864965"/>
            </c:manualLayout>
          </c:layout>
        </c:title>
        <c:majorTickMark val="cross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74066176"/>
        <c:crosses val="autoZero"/>
        <c:auto val="1"/>
        <c:lblAlgn val="ctr"/>
        <c:lblOffset val="100"/>
      </c:catAx>
      <c:valAx>
        <c:axId val="74066176"/>
        <c:scaling>
          <c:orientation val="minMax"/>
          <c:max val="40"/>
          <c:min val="-15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sysDash"/>
            </a:ln>
          </c:spPr>
        </c:majorGridlines>
        <c:numFmt formatCode="#,##0.0" sourceLinked="0"/>
        <c:tickLblPos val="nextTo"/>
        <c:crossAx val="74064256"/>
        <c:crosses val="autoZero"/>
        <c:crossBetween val="between"/>
        <c:majorUnit val="5"/>
      </c:valAx>
      <c:valAx>
        <c:axId val="74072064"/>
        <c:scaling>
          <c:orientation val="minMax"/>
          <c:max val="0.8"/>
          <c:min val="-0.30000000000000032"/>
        </c:scaling>
        <c:axPos val="r"/>
        <c:numFmt formatCode="0%" sourceLinked="0"/>
        <c:tickLblPos val="nextTo"/>
        <c:crossAx val="74073600"/>
        <c:crosses val="max"/>
        <c:crossBetween val="between"/>
        <c:majorUnit val="0.1"/>
      </c:valAx>
      <c:catAx>
        <c:axId val="74073600"/>
        <c:scaling>
          <c:orientation val="minMax"/>
        </c:scaling>
        <c:delete val="1"/>
        <c:axPos val="b"/>
        <c:tickLblPos val="none"/>
        <c:crossAx val="74072064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15910218546958071"/>
          <c:y val="0.91561801098392115"/>
          <c:w val="0.78933213471680497"/>
          <c:h val="7.5543874249793183E-2"/>
        </c:manualLayout>
      </c:layout>
    </c:legend>
    <c:plotVisOnly val="1"/>
    <c:dispBlanksAs val="gap"/>
  </c:chart>
  <c:spPr>
    <a:noFill/>
    <a:ln>
      <a:noFill/>
    </a:ln>
  </c:sp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7.6088380307601733E-2"/>
          <c:y val="5.0237645633662308E-2"/>
          <c:w val="0.90170542350431104"/>
          <c:h val="0.55346192020115137"/>
        </c:manualLayout>
      </c:layout>
      <c:barChart>
        <c:barDir val="col"/>
        <c:grouping val="stacked"/>
        <c:ser>
          <c:idx val="1"/>
          <c:order val="0"/>
          <c:tx>
            <c:v>Difference in 2009-10</c:v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7'!$I$97:$I$110</c:f>
              <c:numCache>
                <c:formatCode>_-* #,##0.0_-;\-* #,##0.0_-;_-* "-"??_-;_-@_-</c:formatCode>
                <c:ptCount val="14"/>
                <c:pt idx="0">
                  <c:v>10.310517652866636</c:v>
                </c:pt>
                <c:pt idx="1">
                  <c:v>0.34038787826165873</c:v>
                </c:pt>
                <c:pt idx="2">
                  <c:v>7.5362577898684862</c:v>
                </c:pt>
                <c:pt idx="3">
                  <c:v>-4.0497334689182907</c:v>
                </c:pt>
                <c:pt idx="4">
                  <c:v>-1.4224540292258396</c:v>
                </c:pt>
                <c:pt idx="5">
                  <c:v>1.0970912545812794</c:v>
                </c:pt>
                <c:pt idx="6">
                  <c:v>8.5396481226242642</c:v>
                </c:pt>
                <c:pt idx="7">
                  <c:v>18.675847460884846</c:v>
                </c:pt>
                <c:pt idx="8">
                  <c:v>18.765171921553225</c:v>
                </c:pt>
                <c:pt idx="9">
                  <c:v>34.905951287248243</c:v>
                </c:pt>
                <c:pt idx="10">
                  <c:v>-10.607567056736528</c:v>
                </c:pt>
                <c:pt idx="11">
                  <c:v>0.87887651492327024</c:v>
                </c:pt>
                <c:pt idx="12">
                  <c:v>-0.46887254871844419</c:v>
                </c:pt>
                <c:pt idx="13">
                  <c:v>7.2547098961385075</c:v>
                </c:pt>
              </c:numCache>
            </c:numRef>
          </c:val>
        </c:ser>
        <c:overlap val="100"/>
        <c:axId val="74091136"/>
        <c:axId val="74105600"/>
      </c:barChart>
      <c:lineChart>
        <c:grouping val="standard"/>
        <c:ser>
          <c:idx val="0"/>
          <c:order val="1"/>
          <c:tx>
            <c:v>Percentage difference in 2009-10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7'!$J$97:$J$110</c:f>
              <c:numCache>
                <c:formatCode>0.0%</c:formatCode>
                <c:ptCount val="14"/>
                <c:pt idx="0">
                  <c:v>0.1835673759216303</c:v>
                </c:pt>
                <c:pt idx="1">
                  <c:v>5.8051903731788368E-3</c:v>
                </c:pt>
                <c:pt idx="2">
                  <c:v>0.14642814529698156</c:v>
                </c:pt>
                <c:pt idx="3">
                  <c:v>-0.10106830645368559</c:v>
                </c:pt>
                <c:pt idx="4">
                  <c:v>-2.6960927280059055E-2</c:v>
                </c:pt>
                <c:pt idx="5">
                  <c:v>3.1649267524035629E-2</c:v>
                </c:pt>
                <c:pt idx="6">
                  <c:v>0.19641795181997046</c:v>
                </c:pt>
                <c:pt idx="7">
                  <c:v>0.41175221075206236</c:v>
                </c:pt>
                <c:pt idx="8">
                  <c:v>0.39528843541057856</c:v>
                </c:pt>
                <c:pt idx="9">
                  <c:v>0.44940815097932019</c:v>
                </c:pt>
                <c:pt idx="10">
                  <c:v>-0.21596453090609202</c:v>
                </c:pt>
                <c:pt idx="11">
                  <c:v>1.9427193069340376E-2</c:v>
                </c:pt>
                <c:pt idx="12">
                  <c:v>-1.2789192928475024E-2</c:v>
                </c:pt>
                <c:pt idx="13">
                  <c:v>0.10553757491148286</c:v>
                </c:pt>
              </c:numCache>
            </c:numRef>
          </c:val>
        </c:ser>
        <c:marker val="1"/>
        <c:axId val="74113024"/>
        <c:axId val="74107136"/>
      </c:lineChart>
      <c:catAx>
        <c:axId val="74091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DNO</a:t>
                </a:r>
              </a:p>
            </c:rich>
          </c:tx>
          <c:layout>
            <c:manualLayout>
              <c:xMode val="edge"/>
              <c:yMode val="edge"/>
              <c:x val="0.26586937412504785"/>
              <c:y val="0.82414411433864965"/>
            </c:manualLayout>
          </c:layout>
        </c:title>
        <c:majorTickMark val="cross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74105600"/>
        <c:crosses val="autoZero"/>
        <c:auto val="1"/>
        <c:lblAlgn val="ctr"/>
        <c:lblOffset val="100"/>
      </c:catAx>
      <c:valAx>
        <c:axId val="74105600"/>
        <c:scaling>
          <c:orientation val="minMax"/>
          <c:max val="40"/>
          <c:min val="-15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sysDash"/>
            </a:ln>
          </c:spPr>
        </c:majorGridlines>
        <c:numFmt formatCode="#,##0.0" sourceLinked="0"/>
        <c:tickLblPos val="nextTo"/>
        <c:crossAx val="74091136"/>
        <c:crosses val="autoZero"/>
        <c:crossBetween val="between"/>
        <c:majorUnit val="5"/>
      </c:valAx>
      <c:valAx>
        <c:axId val="74107136"/>
        <c:scaling>
          <c:orientation val="minMax"/>
          <c:max val="0.8"/>
          <c:min val="-0.30000000000000032"/>
        </c:scaling>
        <c:axPos val="r"/>
        <c:numFmt formatCode="0%" sourceLinked="0"/>
        <c:tickLblPos val="nextTo"/>
        <c:crossAx val="74113024"/>
        <c:crosses val="max"/>
        <c:crossBetween val="between"/>
        <c:majorUnit val="0.1"/>
      </c:valAx>
      <c:catAx>
        <c:axId val="74113024"/>
        <c:scaling>
          <c:orientation val="minMax"/>
        </c:scaling>
        <c:delete val="1"/>
        <c:axPos val="b"/>
        <c:tickLblPos val="none"/>
        <c:crossAx val="74107136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15910218546958071"/>
          <c:y val="0.91561801098392115"/>
          <c:w val="0.78933213471680475"/>
          <c:h val="7.5543874249793183E-2"/>
        </c:manualLayout>
      </c:layout>
    </c:legend>
    <c:plotVisOnly val="1"/>
    <c:dispBlanksAs val="gap"/>
  </c:chart>
  <c:spPr>
    <a:noFill/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7.6088380307601733E-2"/>
          <c:y val="5.0237645633662308E-2"/>
          <c:w val="0.90170542350431104"/>
          <c:h val="0.55346192020115137"/>
        </c:manualLayout>
      </c:layout>
      <c:barChart>
        <c:barDir val="col"/>
        <c:grouping val="stacked"/>
        <c:ser>
          <c:idx val="1"/>
          <c:order val="0"/>
          <c:tx>
            <c:v>Difference in DPCR4</c:v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'Network investment'!$AD$122:$AD$135</c:f>
              <c:numCache>
                <c:formatCode>0.0</c:formatCode>
                <c:ptCount val="14"/>
                <c:pt idx="0">
                  <c:v>34.648637941392735</c:v>
                </c:pt>
                <c:pt idx="1">
                  <c:v>6.7086170169575325</c:v>
                </c:pt>
                <c:pt idx="2">
                  <c:v>-103.66776662280233</c:v>
                </c:pt>
                <c:pt idx="3">
                  <c:v>-1.4145755791522561</c:v>
                </c:pt>
                <c:pt idx="4">
                  <c:v>-5.3268124223268387</c:v>
                </c:pt>
                <c:pt idx="5">
                  <c:v>-4.4610532769554538</c:v>
                </c:pt>
                <c:pt idx="6">
                  <c:v>-0.21403264313147474</c:v>
                </c:pt>
                <c:pt idx="7">
                  <c:v>-66.482239916431467</c:v>
                </c:pt>
                <c:pt idx="8">
                  <c:v>-56.357246932645808</c:v>
                </c:pt>
                <c:pt idx="9">
                  <c:v>-22.80968797856292</c:v>
                </c:pt>
                <c:pt idx="10">
                  <c:v>-38.149587046239503</c:v>
                </c:pt>
                <c:pt idx="11">
                  <c:v>-22.554977626219738</c:v>
                </c:pt>
                <c:pt idx="12">
                  <c:v>-16.960093802364781</c:v>
                </c:pt>
                <c:pt idx="13">
                  <c:v>-99.114032567251002</c:v>
                </c:pt>
              </c:numCache>
            </c:numRef>
          </c:val>
        </c:ser>
        <c:overlap val="100"/>
        <c:axId val="74212480"/>
        <c:axId val="74214400"/>
      </c:barChart>
      <c:lineChart>
        <c:grouping val="standard"/>
        <c:ser>
          <c:idx val="0"/>
          <c:order val="1"/>
          <c:tx>
            <c:v>Percentage difference in DPCR4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'Network investment'!$AE$122:$AE$135</c:f>
              <c:numCache>
                <c:formatCode>0.0%</c:formatCode>
                <c:ptCount val="14"/>
                <c:pt idx="0">
                  <c:v>5.3273529147288112E-2</c:v>
                </c:pt>
                <c:pt idx="1">
                  <c:v>1.0425874341169372E-2</c:v>
                </c:pt>
                <c:pt idx="2">
                  <c:v>-0.16820588102125433</c:v>
                </c:pt>
                <c:pt idx="3">
                  <c:v>-3.8572280279228766E-3</c:v>
                </c:pt>
                <c:pt idx="4">
                  <c:v>-1.0873727243593367E-2</c:v>
                </c:pt>
                <c:pt idx="5">
                  <c:v>-1.7225377403515707E-2</c:v>
                </c:pt>
                <c:pt idx="6">
                  <c:v>-5.6149008973671588E-4</c:v>
                </c:pt>
                <c:pt idx="7">
                  <c:v>-0.11450744268177371</c:v>
                </c:pt>
                <c:pt idx="8">
                  <c:v>-9.0905028833475066E-2</c:v>
                </c:pt>
                <c:pt idx="9">
                  <c:v>-2.5295337355320191E-2</c:v>
                </c:pt>
                <c:pt idx="10">
                  <c:v>-7.8458911952299926E-2</c:v>
                </c:pt>
                <c:pt idx="11">
                  <c:v>-4.3144249731217221E-2</c:v>
                </c:pt>
                <c:pt idx="12">
                  <c:v>-6.1184756395548212E-2</c:v>
                </c:pt>
                <c:pt idx="13">
                  <c:v>-0.13558694365197299</c:v>
                </c:pt>
              </c:numCache>
            </c:numRef>
          </c:val>
        </c:ser>
        <c:marker val="1"/>
        <c:axId val="74225920"/>
        <c:axId val="74224384"/>
      </c:lineChart>
      <c:catAx>
        <c:axId val="742124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DNO</a:t>
                </a:r>
              </a:p>
            </c:rich>
          </c:tx>
          <c:layout>
            <c:manualLayout>
              <c:xMode val="edge"/>
              <c:yMode val="edge"/>
              <c:x val="0.26586937412504785"/>
              <c:y val="0.82414411433864965"/>
            </c:manualLayout>
          </c:layout>
        </c:title>
        <c:majorTickMark val="cross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74214400"/>
        <c:crosses val="autoZero"/>
        <c:auto val="1"/>
        <c:lblAlgn val="ctr"/>
        <c:lblOffset val="100"/>
      </c:catAx>
      <c:valAx>
        <c:axId val="74214400"/>
        <c:scaling>
          <c:orientation val="minMax"/>
          <c:max val="50"/>
          <c:min val="-125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sysDash"/>
            </a:ln>
          </c:spPr>
        </c:majorGridlines>
        <c:numFmt formatCode="#,##0.0" sourceLinked="0"/>
        <c:tickLblPos val="nextTo"/>
        <c:crossAx val="74212480"/>
        <c:crosses val="autoZero"/>
        <c:crossBetween val="between"/>
        <c:majorUnit val="25"/>
      </c:valAx>
      <c:valAx>
        <c:axId val="74224384"/>
        <c:scaling>
          <c:orientation val="minMax"/>
          <c:max val="0.1"/>
          <c:min val="-0.25"/>
        </c:scaling>
        <c:axPos val="r"/>
        <c:numFmt formatCode="0.0%" sourceLinked="0"/>
        <c:tickLblPos val="nextTo"/>
        <c:crossAx val="74225920"/>
        <c:crosses val="max"/>
        <c:crossBetween val="between"/>
        <c:majorUnit val="0.05"/>
      </c:valAx>
      <c:catAx>
        <c:axId val="74225920"/>
        <c:scaling>
          <c:orientation val="minMax"/>
        </c:scaling>
        <c:delete val="1"/>
        <c:axPos val="b"/>
        <c:tickLblPos val="none"/>
        <c:crossAx val="74224384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15910218546958071"/>
          <c:y val="0.91561801098392115"/>
          <c:w val="0.78933213471680475"/>
          <c:h val="7.5543874249793183E-2"/>
        </c:manualLayout>
      </c:layout>
    </c:legend>
    <c:plotVisOnly val="1"/>
    <c:dispBlanksAs val="gap"/>
  </c:chart>
  <c:spPr>
    <a:noFill/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7.6088380307601733E-2"/>
          <c:y val="5.0237645633662308E-2"/>
          <c:w val="0.90170542350431127"/>
          <c:h val="0.55346192020115137"/>
        </c:manualLayout>
      </c:layout>
      <c:barChart>
        <c:barDir val="col"/>
        <c:grouping val="stacked"/>
        <c:ser>
          <c:idx val="1"/>
          <c:order val="0"/>
          <c:tx>
            <c:v>Difference in DPCR4</c:v>
          </c:tx>
          <c:spPr>
            <a:solidFill>
              <a:srgbClr val="993366"/>
            </a:solidFill>
            <a:ln>
              <a:solidFill>
                <a:schemeClr val="tx1"/>
              </a:solidFill>
            </a:ln>
          </c:spP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7'!$M$97:$M$110</c:f>
              <c:numCache>
                <c:formatCode>0.0</c:formatCode>
                <c:ptCount val="14"/>
                <c:pt idx="0">
                  <c:v>33.786430281987123</c:v>
                </c:pt>
                <c:pt idx="1">
                  <c:v>6.0543316143964034</c:v>
                </c:pt>
                <c:pt idx="2">
                  <c:v>-11.940935144079447</c:v>
                </c:pt>
                <c:pt idx="3">
                  <c:v>-7.1484325428579609</c:v>
                </c:pt>
                <c:pt idx="4">
                  <c:v>4.692064862707241</c:v>
                </c:pt>
                <c:pt idx="5">
                  <c:v>-11.917108441152152</c:v>
                </c:pt>
                <c:pt idx="6">
                  <c:v>28.902585906145333</c:v>
                </c:pt>
                <c:pt idx="7">
                  <c:v>56.247264968020232</c:v>
                </c:pt>
                <c:pt idx="8">
                  <c:v>75.066408750376297</c:v>
                </c:pt>
                <c:pt idx="9">
                  <c:v>124.41125580375723</c:v>
                </c:pt>
                <c:pt idx="10">
                  <c:v>-21.401669690208109</c:v>
                </c:pt>
                <c:pt idx="11">
                  <c:v>23.536500508125243</c:v>
                </c:pt>
                <c:pt idx="12">
                  <c:v>-5.8112834058975693</c:v>
                </c:pt>
                <c:pt idx="13">
                  <c:v>27.329073037089927</c:v>
                </c:pt>
              </c:numCache>
            </c:numRef>
          </c:val>
        </c:ser>
        <c:overlap val="100"/>
        <c:axId val="74329472"/>
        <c:axId val="74335744"/>
      </c:barChart>
      <c:lineChart>
        <c:grouping val="standard"/>
        <c:ser>
          <c:idx val="0"/>
          <c:order val="1"/>
          <c:tx>
            <c:v>Percentage difference in DPCR4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'Chapter 7'!$B$77:$B$90</c:f>
              <c:strCache>
                <c:ptCount val="14"/>
                <c:pt idx="0">
                  <c:v>CN West</c:v>
                </c:pt>
                <c:pt idx="1">
                  <c:v>CN East</c:v>
                </c:pt>
                <c:pt idx="2">
                  <c:v>ENWL</c:v>
                </c:pt>
                <c:pt idx="3">
                  <c:v>CE NEDL</c:v>
                </c:pt>
                <c:pt idx="4">
                  <c:v>CE YEDL</c:v>
                </c:pt>
                <c:pt idx="5">
                  <c:v>WPD S Wales</c:v>
                </c:pt>
                <c:pt idx="6">
                  <c:v>WPD S West</c:v>
                </c:pt>
                <c:pt idx="7">
                  <c:v>UKPN LPN</c:v>
                </c:pt>
                <c:pt idx="8">
                  <c:v>UKPN SEPN</c:v>
                </c:pt>
                <c:pt idx="9">
                  <c:v>UKPN EPN</c:v>
                </c:pt>
                <c:pt idx="10">
                  <c:v>SP Distribution</c:v>
                </c:pt>
                <c:pt idx="11">
                  <c:v>SP Manweb</c:v>
                </c:pt>
                <c:pt idx="12">
                  <c:v>SSE Hydro</c:v>
                </c:pt>
                <c:pt idx="13">
                  <c:v>SSE Southern</c:v>
                </c:pt>
              </c:strCache>
            </c:strRef>
          </c:cat>
          <c:val>
            <c:numRef>
              <c:f>'Chapter 7'!$N$97:$N$110</c:f>
              <c:numCache>
                <c:formatCode>0.0%</c:formatCode>
                <c:ptCount val="14"/>
                <c:pt idx="0">
                  <c:v>0.11861855232046126</c:v>
                </c:pt>
                <c:pt idx="1">
                  <c:v>2.0071658648310509E-2</c:v>
                </c:pt>
                <c:pt idx="2">
                  <c:v>-4.391550802474109E-2</c:v>
                </c:pt>
                <c:pt idx="3">
                  <c:v>-3.4408955436265543E-2</c:v>
                </c:pt>
                <c:pt idx="4">
                  <c:v>1.7498116081143378E-2</c:v>
                </c:pt>
                <c:pt idx="5">
                  <c:v>-6.6678313009074563E-2</c:v>
                </c:pt>
                <c:pt idx="6">
                  <c:v>0.13302789401903437</c:v>
                </c:pt>
                <c:pt idx="7">
                  <c:v>0.24054218934707561</c:v>
                </c:pt>
                <c:pt idx="8">
                  <c:v>0.31454199870898569</c:v>
                </c:pt>
                <c:pt idx="9">
                  <c:v>0.3323202673848169</c:v>
                </c:pt>
                <c:pt idx="10">
                  <c:v>-8.5029791994262305E-2</c:v>
                </c:pt>
                <c:pt idx="11">
                  <c:v>0.10586775045104546</c:v>
                </c:pt>
                <c:pt idx="12">
                  <c:v>-3.3943406889677452E-2</c:v>
                </c:pt>
                <c:pt idx="13">
                  <c:v>8.5695493515525412E-2</c:v>
                </c:pt>
              </c:numCache>
            </c:numRef>
          </c:val>
        </c:ser>
        <c:marker val="1"/>
        <c:axId val="74343168"/>
        <c:axId val="74337280"/>
      </c:lineChart>
      <c:catAx>
        <c:axId val="74329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DNO</a:t>
                </a:r>
              </a:p>
            </c:rich>
          </c:tx>
          <c:layout>
            <c:manualLayout>
              <c:xMode val="edge"/>
              <c:yMode val="edge"/>
              <c:x val="0.26586937412504796"/>
              <c:y val="0.82414411433864965"/>
            </c:manualLayout>
          </c:layout>
        </c:title>
        <c:majorTickMark val="cross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74335744"/>
        <c:crosses val="autoZero"/>
        <c:auto val="1"/>
        <c:lblAlgn val="ctr"/>
        <c:lblOffset val="100"/>
      </c:catAx>
      <c:valAx>
        <c:axId val="74335744"/>
        <c:scaling>
          <c:orientation val="minMax"/>
          <c:max val="150"/>
          <c:min val="-50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sysDash"/>
            </a:ln>
          </c:spPr>
        </c:majorGridlines>
        <c:numFmt formatCode="#,##0.0" sourceLinked="0"/>
        <c:tickLblPos val="nextTo"/>
        <c:crossAx val="74329472"/>
        <c:crosses val="autoZero"/>
        <c:crossBetween val="between"/>
        <c:majorUnit val="25"/>
      </c:valAx>
      <c:valAx>
        <c:axId val="74337280"/>
        <c:scaling>
          <c:orientation val="minMax"/>
          <c:max val="0.36000000000000032"/>
          <c:min val="-0.12000000000000002"/>
        </c:scaling>
        <c:axPos val="r"/>
        <c:numFmt formatCode="0.0%" sourceLinked="0"/>
        <c:tickLblPos val="nextTo"/>
        <c:crossAx val="74343168"/>
        <c:crosses val="max"/>
        <c:crossBetween val="between"/>
        <c:majorUnit val="6.0000000000000032E-2"/>
      </c:valAx>
      <c:catAx>
        <c:axId val="74343168"/>
        <c:scaling>
          <c:orientation val="minMax"/>
        </c:scaling>
        <c:delete val="1"/>
        <c:axPos val="b"/>
        <c:tickLblPos val="none"/>
        <c:crossAx val="74337280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15910218546958071"/>
          <c:y val="0.91561801098392115"/>
          <c:w val="0.78933213471680441"/>
          <c:h val="7.5543874249793183E-2"/>
        </c:manualLayout>
      </c:layout>
    </c:legend>
    <c:plotVisOnly val="1"/>
    <c:dispBlanksAs val="gap"/>
  </c:chart>
  <c:spPr>
    <a:noFill/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193222</xdr:colOff>
      <xdr:row>6</xdr:row>
      <xdr:rowOff>141518</xdr:rowOff>
    </xdr:from>
    <xdr:to>
      <xdr:col>16</xdr:col>
      <xdr:colOff>179614</xdr:colOff>
      <xdr:row>22</xdr:row>
      <xdr:rowOff>141515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231322</xdr:colOff>
      <xdr:row>44</xdr:row>
      <xdr:rowOff>108857</xdr:rowOff>
    </xdr:from>
    <xdr:to>
      <xdr:col>16</xdr:col>
      <xdr:colOff>217714</xdr:colOff>
      <xdr:row>60</xdr:row>
      <xdr:rowOff>68036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146956</xdr:colOff>
      <xdr:row>82</xdr:row>
      <xdr:rowOff>51707</xdr:rowOff>
    </xdr:from>
    <xdr:to>
      <xdr:col>18</xdr:col>
      <xdr:colOff>133349</xdr:colOff>
      <xdr:row>102</xdr:row>
      <xdr:rowOff>100690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283028</xdr:colOff>
      <xdr:row>106</xdr:row>
      <xdr:rowOff>10886</xdr:rowOff>
    </xdr:from>
    <xdr:to>
      <xdr:col>18</xdr:col>
      <xdr:colOff>269420</xdr:colOff>
      <xdr:row>124</xdr:row>
      <xdr:rowOff>59869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647700</xdr:colOff>
      <xdr:row>0</xdr:row>
      <xdr:rowOff>114300</xdr:rowOff>
    </xdr:from>
    <xdr:to>
      <xdr:col>22</xdr:col>
      <xdr:colOff>165100</xdr:colOff>
      <xdr:row>23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27215</xdr:colOff>
      <xdr:row>6</xdr:row>
      <xdr:rowOff>108858</xdr:rowOff>
    </xdr:from>
    <xdr:to>
      <xdr:col>14</xdr:col>
      <xdr:colOff>925285</xdr:colOff>
      <xdr:row>24</xdr:row>
      <xdr:rowOff>95251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40822</xdr:colOff>
      <xdr:row>44</xdr:row>
      <xdr:rowOff>95250</xdr:rowOff>
    </xdr:from>
    <xdr:to>
      <xdr:col>14</xdr:col>
      <xdr:colOff>938892</xdr:colOff>
      <xdr:row>62</xdr:row>
      <xdr:rowOff>81643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5930900" y="1168400"/>
    <xdr:ext cx="7824107" cy="470807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26</xdr:row>
      <xdr:rowOff>114300</xdr:rowOff>
    </xdr:from>
    <xdr:to>
      <xdr:col>6</xdr:col>
      <xdr:colOff>927100</xdr:colOff>
      <xdr:row>41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101600</xdr:colOff>
      <xdr:row>26</xdr:row>
      <xdr:rowOff>114300</xdr:rowOff>
    </xdr:from>
    <xdr:to>
      <xdr:col>12</xdr:col>
      <xdr:colOff>838200</xdr:colOff>
      <xdr:row>41</xdr:row>
      <xdr:rowOff>101600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63</xdr:row>
      <xdr:rowOff>101600</xdr:rowOff>
    </xdr:from>
    <xdr:to>
      <xdr:col>7</xdr:col>
      <xdr:colOff>25400</xdr:colOff>
      <xdr:row>77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330200</xdr:colOff>
      <xdr:row>64</xdr:row>
      <xdr:rowOff>12700</xdr:rowOff>
    </xdr:from>
    <xdr:to>
      <xdr:col>13</xdr:col>
      <xdr:colOff>279400</xdr:colOff>
      <xdr:row>77</xdr:row>
      <xdr:rowOff>127000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50800</xdr:colOff>
      <xdr:row>45</xdr:row>
      <xdr:rowOff>25400</xdr:rowOff>
    </xdr:from>
    <xdr:to>
      <xdr:col>7</xdr:col>
      <xdr:colOff>0</xdr:colOff>
      <xdr:row>58</xdr:row>
      <xdr:rowOff>165100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63500</xdr:colOff>
      <xdr:row>45</xdr:row>
      <xdr:rowOff>25400</xdr:rowOff>
    </xdr:from>
    <xdr:to>
      <xdr:col>13</xdr:col>
      <xdr:colOff>12700</xdr:colOff>
      <xdr:row>58</xdr:row>
      <xdr:rowOff>139700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663576</xdr:colOff>
      <xdr:row>29</xdr:row>
      <xdr:rowOff>107951</xdr:rowOff>
    </xdr:from>
    <xdr:to>
      <xdr:col>13</xdr:col>
      <xdr:colOff>228600</xdr:colOff>
      <xdr:row>51</xdr:row>
      <xdr:rowOff>292101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12700</xdr:colOff>
      <xdr:row>7</xdr:row>
      <xdr:rowOff>355600</xdr:rowOff>
    </xdr:from>
    <xdr:to>
      <xdr:col>19</xdr:col>
      <xdr:colOff>178253</xdr:colOff>
      <xdr:row>21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88900</xdr:colOff>
      <xdr:row>7</xdr:row>
      <xdr:rowOff>101600</xdr:rowOff>
    </xdr:from>
    <xdr:to>
      <xdr:col>22</xdr:col>
      <xdr:colOff>50800</xdr:colOff>
      <xdr:row>20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</xdr:colOff>
      <xdr:row>30</xdr:row>
      <xdr:rowOff>33618</xdr:rowOff>
    </xdr:from>
    <xdr:to>
      <xdr:col>9</xdr:col>
      <xdr:colOff>118035</xdr:colOff>
      <xdr:row>47</xdr:row>
      <xdr:rowOff>23905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108857</xdr:colOff>
      <xdr:row>7</xdr:row>
      <xdr:rowOff>136071</xdr:rowOff>
    </xdr:from>
    <xdr:to>
      <xdr:col>9</xdr:col>
      <xdr:colOff>40821</xdr:colOff>
      <xdr:row>24</xdr:row>
      <xdr:rowOff>108857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9838766" y="12257635"/>
    <xdr:ext cx="7856924" cy="4708071"/>
    <xdr:graphicFrame macro="">
      <xdr:nvGraphicFramePr>
        <xdr:cNvPr id="5" name="Chart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1</xdr:col>
      <xdr:colOff>421821</xdr:colOff>
      <xdr:row>6</xdr:row>
      <xdr:rowOff>134469</xdr:rowOff>
    </xdr:from>
    <xdr:to>
      <xdr:col>9</xdr:col>
      <xdr:colOff>190500</xdr:colOff>
      <xdr:row>26</xdr:row>
      <xdr:rowOff>36817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381000</xdr:colOff>
      <xdr:row>30</xdr:row>
      <xdr:rowOff>22412</xdr:rowOff>
    </xdr:from>
    <xdr:to>
      <xdr:col>9</xdr:col>
      <xdr:colOff>149679</xdr:colOff>
      <xdr:row>49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7</xdr:row>
      <xdr:rowOff>0</xdr:rowOff>
    </xdr:from>
    <xdr:to>
      <xdr:col>18</xdr:col>
      <xdr:colOff>452237</xdr:colOff>
      <xdr:row>26</xdr:row>
      <xdr:rowOff>59230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29</xdr:row>
      <xdr:rowOff>0</xdr:rowOff>
    </xdr:from>
    <xdr:to>
      <xdr:col>18</xdr:col>
      <xdr:colOff>452237</xdr:colOff>
      <xdr:row>48</xdr:row>
      <xdr:rowOff>59231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470647</xdr:colOff>
      <xdr:row>51</xdr:row>
      <xdr:rowOff>100852</xdr:rowOff>
    </xdr:from>
    <xdr:to>
      <xdr:col>9</xdr:col>
      <xdr:colOff>239326</xdr:colOff>
      <xdr:row>71</xdr:row>
      <xdr:rowOff>3201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179294</xdr:colOff>
      <xdr:row>51</xdr:row>
      <xdr:rowOff>0</xdr:rowOff>
    </xdr:from>
    <xdr:to>
      <xdr:col>18</xdr:col>
      <xdr:colOff>631531</xdr:colOff>
      <xdr:row>70</xdr:row>
      <xdr:rowOff>59231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9"/>
  </sheetPr>
  <dimension ref="A1:F57"/>
  <sheetViews>
    <sheetView tabSelected="1" zoomScale="75" zoomScaleNormal="75" workbookViewId="0">
      <selection activeCell="A2" sqref="A2"/>
    </sheetView>
  </sheetViews>
  <sheetFormatPr defaultRowHeight="12.75"/>
  <cols>
    <col min="1" max="1" width="1.625" style="351" customWidth="1"/>
    <col min="2" max="2" width="42.875" style="351" customWidth="1"/>
    <col min="3" max="3" width="20.125" style="351" customWidth="1"/>
    <col min="4" max="4" width="33.125" style="130" customWidth="1"/>
    <col min="5" max="5" width="16.25" style="351" bestFit="1" customWidth="1"/>
    <col min="6" max="6" width="27.25" style="351" bestFit="1" customWidth="1"/>
    <col min="7" max="16384" width="9" style="351"/>
  </cols>
  <sheetData>
    <row r="1" spans="1:6">
      <c r="A1" s="354" t="s">
        <v>151</v>
      </c>
    </row>
    <row r="5" spans="1:6" s="350" customFormat="1">
      <c r="C5" s="350" t="s">
        <v>152</v>
      </c>
      <c r="D5" s="353" t="s">
        <v>160</v>
      </c>
      <c r="E5" s="350" t="s">
        <v>265</v>
      </c>
      <c r="F5" s="350" t="s">
        <v>266</v>
      </c>
    </row>
    <row r="6" spans="1:6">
      <c r="B6" s="354" t="s">
        <v>153</v>
      </c>
    </row>
    <row r="7" spans="1:6" ht="12.75" customHeight="1">
      <c r="B7" s="351" t="s">
        <v>155</v>
      </c>
      <c r="C7" s="351" t="s">
        <v>145</v>
      </c>
      <c r="D7" s="130" t="s">
        <v>162</v>
      </c>
      <c r="E7" s="351" t="s">
        <v>158</v>
      </c>
      <c r="F7" s="352" t="s">
        <v>156</v>
      </c>
    </row>
    <row r="8" spans="1:6">
      <c r="B8" s="351" t="s">
        <v>154</v>
      </c>
      <c r="C8" s="351" t="s">
        <v>145</v>
      </c>
      <c r="D8" s="130" t="s">
        <v>163</v>
      </c>
      <c r="E8" s="351" t="s">
        <v>158</v>
      </c>
      <c r="F8" s="352" t="s">
        <v>156</v>
      </c>
    </row>
    <row r="9" spans="1:6" ht="12.75" customHeight="1">
      <c r="B9" s="351" t="s">
        <v>159</v>
      </c>
      <c r="C9" s="351" t="s">
        <v>145</v>
      </c>
      <c r="D9" s="130" t="s">
        <v>171</v>
      </c>
      <c r="E9" s="351" t="s">
        <v>157</v>
      </c>
      <c r="F9" s="352" t="s">
        <v>43</v>
      </c>
    </row>
    <row r="11" spans="1:6">
      <c r="B11" s="354" t="s">
        <v>125</v>
      </c>
    </row>
    <row r="12" spans="1:6" ht="25.5">
      <c r="B12" s="351" t="s">
        <v>126</v>
      </c>
      <c r="C12" s="351" t="s">
        <v>145</v>
      </c>
      <c r="D12" s="130" t="s">
        <v>165</v>
      </c>
      <c r="E12" s="351" t="s">
        <v>167</v>
      </c>
      <c r="F12" s="352" t="s">
        <v>89</v>
      </c>
    </row>
    <row r="13" spans="1:6" ht="25.5">
      <c r="B13" s="351" t="s">
        <v>127</v>
      </c>
      <c r="C13" s="351" t="s">
        <v>145</v>
      </c>
      <c r="D13" s="130" t="s">
        <v>165</v>
      </c>
      <c r="E13" s="351" t="s">
        <v>167</v>
      </c>
      <c r="F13" s="352" t="s">
        <v>89</v>
      </c>
    </row>
    <row r="14" spans="1:6">
      <c r="B14" s="351" t="s">
        <v>128</v>
      </c>
      <c r="C14" s="351" t="s">
        <v>145</v>
      </c>
      <c r="D14" s="130" t="s">
        <v>166</v>
      </c>
      <c r="E14" s="351" t="s">
        <v>167</v>
      </c>
      <c r="F14" s="352" t="s">
        <v>89</v>
      </c>
    </row>
    <row r="15" spans="1:6">
      <c r="B15" s="351" t="s">
        <v>129</v>
      </c>
      <c r="C15" s="351" t="s">
        <v>145</v>
      </c>
      <c r="D15" s="130" t="s">
        <v>166</v>
      </c>
      <c r="E15" s="351" t="s">
        <v>157</v>
      </c>
      <c r="F15" s="352" t="s">
        <v>89</v>
      </c>
    </row>
    <row r="16" spans="1:6" ht="12.75" customHeight="1">
      <c r="B16" s="351" t="s">
        <v>130</v>
      </c>
      <c r="C16" s="351" t="s">
        <v>145</v>
      </c>
      <c r="D16" s="130" t="s">
        <v>170</v>
      </c>
      <c r="E16" s="351" t="s">
        <v>157</v>
      </c>
      <c r="F16" s="352" t="s">
        <v>89</v>
      </c>
    </row>
    <row r="17" spans="2:6" ht="38.25">
      <c r="B17" s="351" t="s">
        <v>131</v>
      </c>
      <c r="C17" s="439" t="s">
        <v>146</v>
      </c>
      <c r="D17" s="440" t="s">
        <v>431</v>
      </c>
      <c r="E17" s="439" t="s">
        <v>437</v>
      </c>
      <c r="F17" s="439" t="s">
        <v>437</v>
      </c>
    </row>
    <row r="18" spans="2:6" ht="38.25">
      <c r="B18" s="351" t="s">
        <v>132</v>
      </c>
      <c r="C18" s="439" t="s">
        <v>147</v>
      </c>
      <c r="D18" s="440" t="s">
        <v>432</v>
      </c>
      <c r="E18" s="439" t="s">
        <v>437</v>
      </c>
      <c r="F18" s="439" t="s">
        <v>437</v>
      </c>
    </row>
    <row r="19" spans="2:6" ht="25.5">
      <c r="B19" s="351" t="s">
        <v>133</v>
      </c>
      <c r="C19" s="439" t="s">
        <v>148</v>
      </c>
      <c r="D19" s="440" t="s">
        <v>172</v>
      </c>
      <c r="E19" s="439" t="s">
        <v>437</v>
      </c>
      <c r="F19" s="439" t="s">
        <v>437</v>
      </c>
    </row>
    <row r="20" spans="2:6">
      <c r="B20" s="432"/>
      <c r="E20" s="130"/>
    </row>
    <row r="21" spans="2:6">
      <c r="B21" s="354" t="s">
        <v>123</v>
      </c>
    </row>
    <row r="22" spans="2:6" ht="25.5">
      <c r="B22" s="351" t="s">
        <v>134</v>
      </c>
      <c r="C22" s="351" t="s">
        <v>145</v>
      </c>
      <c r="D22" s="130" t="s">
        <v>161</v>
      </c>
      <c r="E22" s="351" t="s">
        <v>168</v>
      </c>
      <c r="F22" s="352" t="s">
        <v>100</v>
      </c>
    </row>
    <row r="23" spans="2:6" ht="38.25">
      <c r="B23" s="351" t="s">
        <v>135</v>
      </c>
      <c r="C23" s="351" t="s">
        <v>149</v>
      </c>
      <c r="D23" s="130" t="s">
        <v>164</v>
      </c>
      <c r="E23" s="351" t="s">
        <v>169</v>
      </c>
      <c r="F23" s="352" t="s">
        <v>100</v>
      </c>
    </row>
    <row r="24" spans="2:6">
      <c r="B24" s="351" t="s">
        <v>133</v>
      </c>
      <c r="C24" s="351" t="s">
        <v>83</v>
      </c>
      <c r="D24" s="440"/>
      <c r="E24" s="439"/>
      <c r="F24" s="439"/>
    </row>
    <row r="26" spans="2:6">
      <c r="B26" s="354" t="s">
        <v>136</v>
      </c>
      <c r="D26" s="440"/>
      <c r="E26" s="439"/>
      <c r="F26" s="439"/>
    </row>
    <row r="27" spans="2:6" ht="12.75" customHeight="1">
      <c r="B27" s="351" t="s">
        <v>245</v>
      </c>
      <c r="C27" s="351" t="s">
        <v>148</v>
      </c>
      <c r="D27" s="440" t="s">
        <v>248</v>
      </c>
      <c r="E27" s="439" t="s">
        <v>246</v>
      </c>
      <c r="F27" s="441" t="s">
        <v>438</v>
      </c>
    </row>
    <row r="28" spans="2:6" ht="25.5">
      <c r="B28" s="351" t="s">
        <v>137</v>
      </c>
      <c r="C28" s="351" t="s">
        <v>83</v>
      </c>
      <c r="D28" s="440" t="s">
        <v>429</v>
      </c>
      <c r="E28" s="439" t="s">
        <v>437</v>
      </c>
      <c r="F28" s="439" t="s">
        <v>437</v>
      </c>
    </row>
    <row r="29" spans="2:6">
      <c r="B29" s="351" t="s">
        <v>138</v>
      </c>
      <c r="C29" s="351" t="s">
        <v>83</v>
      </c>
      <c r="D29" s="440" t="s">
        <v>430</v>
      </c>
      <c r="E29" s="439" t="s">
        <v>437</v>
      </c>
      <c r="F29" s="439" t="s">
        <v>437</v>
      </c>
    </row>
    <row r="30" spans="2:6" ht="25.5">
      <c r="B30" s="351" t="s">
        <v>139</v>
      </c>
      <c r="C30" s="351" t="s">
        <v>148</v>
      </c>
      <c r="D30" s="440" t="s">
        <v>247</v>
      </c>
      <c r="E30" s="439" t="s">
        <v>246</v>
      </c>
      <c r="F30" s="441" t="s">
        <v>43</v>
      </c>
    </row>
    <row r="31" spans="2:6">
      <c r="B31" s="432"/>
      <c r="D31" s="440"/>
      <c r="E31" s="439"/>
      <c r="F31" s="441"/>
    </row>
    <row r="32" spans="2:6">
      <c r="B32" s="354" t="s">
        <v>140</v>
      </c>
      <c r="D32" s="440"/>
      <c r="E32" s="439"/>
      <c r="F32" s="439"/>
    </row>
    <row r="33" spans="2:6" ht="25.5" customHeight="1">
      <c r="B33" s="351" t="s">
        <v>142</v>
      </c>
      <c r="C33" s="439" t="s">
        <v>148</v>
      </c>
      <c r="D33" s="130" t="s">
        <v>435</v>
      </c>
      <c r="E33" s="439" t="s">
        <v>246</v>
      </c>
      <c r="F33" s="441" t="s">
        <v>144</v>
      </c>
    </row>
    <row r="34" spans="2:6">
      <c r="B34" s="351" t="s">
        <v>143</v>
      </c>
      <c r="C34" s="351" t="s">
        <v>148</v>
      </c>
      <c r="D34" s="440" t="s">
        <v>434</v>
      </c>
      <c r="E34" s="439" t="s">
        <v>246</v>
      </c>
      <c r="F34" s="441" t="s">
        <v>144</v>
      </c>
    </row>
    <row r="35" spans="2:6" ht="25.5">
      <c r="B35" s="351" t="s">
        <v>144</v>
      </c>
      <c r="C35" s="351" t="s">
        <v>148</v>
      </c>
      <c r="D35" s="130" t="s">
        <v>436</v>
      </c>
      <c r="E35" s="439" t="s">
        <v>246</v>
      </c>
      <c r="F35" s="441" t="s">
        <v>144</v>
      </c>
    </row>
    <row r="36" spans="2:6">
      <c r="B36" s="351" t="s">
        <v>141</v>
      </c>
      <c r="C36" s="439" t="s">
        <v>150</v>
      </c>
      <c r="D36" s="439" t="s">
        <v>433</v>
      </c>
      <c r="E36" s="351" t="s">
        <v>437</v>
      </c>
      <c r="F36" s="351" t="s">
        <v>437</v>
      </c>
    </row>
    <row r="39" spans="2:6">
      <c r="D39" s="351"/>
    </row>
    <row r="40" spans="2:6">
      <c r="D40" s="351"/>
    </row>
    <row r="41" spans="2:6">
      <c r="D41" s="351"/>
    </row>
    <row r="42" spans="2:6">
      <c r="D42" s="351"/>
    </row>
    <row r="43" spans="2:6">
      <c r="D43" s="351"/>
    </row>
    <row r="44" spans="2:6">
      <c r="D44" s="351"/>
    </row>
    <row r="45" spans="2:6">
      <c r="D45" s="351"/>
    </row>
    <row r="46" spans="2:6">
      <c r="D46" s="351"/>
    </row>
    <row r="47" spans="2:6">
      <c r="D47" s="351"/>
    </row>
    <row r="48" spans="2:6">
      <c r="D48" s="351"/>
    </row>
    <row r="49" spans="4:4">
      <c r="D49" s="351"/>
    </row>
    <row r="50" spans="4:4">
      <c r="D50" s="351"/>
    </row>
    <row r="51" spans="4:4">
      <c r="D51" s="351"/>
    </row>
    <row r="52" spans="4:4">
      <c r="D52" s="351"/>
    </row>
    <row r="53" spans="4:4">
      <c r="D53" s="351"/>
    </row>
    <row r="54" spans="4:4">
      <c r="D54" s="351"/>
    </row>
    <row r="55" spans="4:4">
      <c r="D55" s="351"/>
    </row>
    <row r="56" spans="4:4">
      <c r="D56" s="351"/>
    </row>
    <row r="57" spans="4:4">
      <c r="D57" s="351"/>
    </row>
  </sheetData>
  <hyperlinks>
    <hyperlink ref="F23" location="Connections!A132" display="Connections"/>
    <hyperlink ref="F22" location="Connections!A5" display="Connections"/>
    <hyperlink ref="F12" location="'Quality of service'!A5" display="Quality of service"/>
    <hyperlink ref="F16" location="TOC!A307" display="Quality of service"/>
    <hyperlink ref="F15" location="'Quality of service'!A104" display="Quality of service"/>
    <hyperlink ref="F14" location="'Quality of service'!A81" display="Quality of service"/>
    <hyperlink ref="F13" location="'Quality of service'!A43" display="Quality of service"/>
    <hyperlink ref="F9" location="'Distribution losses'!A1" display="Distribution losses"/>
    <hyperlink ref="F7" location="'Customers|line length'!A1" display="Customer numbers | line length"/>
    <hyperlink ref="F8" location="'Customers|line length'!A1" display="Customer numbers | line length"/>
    <hyperlink ref="F30" location="'Distribution losses'!A1" display="Distribution losses"/>
    <hyperlink ref="F27" location="AONB!A1" display="AONB"/>
    <hyperlink ref="F33" location="'Network investment'!A81" display="Network investment"/>
    <hyperlink ref="F34:F35" location="'Network investment'!A1" display="Network investment"/>
    <hyperlink ref="F34" location="'Network investment'!A81" display="Network investment"/>
    <hyperlink ref="F35" location="'Network investment'!A81" display="Network investment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9"/>
  </sheetPr>
  <dimension ref="A1:Q28"/>
  <sheetViews>
    <sheetView zoomScale="75" zoomScaleNormal="75" workbookViewId="0">
      <selection activeCell="A2" sqref="A2"/>
    </sheetView>
  </sheetViews>
  <sheetFormatPr defaultRowHeight="12.75"/>
  <cols>
    <col min="1" max="1" width="1.625" style="449" customWidth="1"/>
    <col min="2" max="2" width="44.75" style="449" bestFit="1" customWidth="1"/>
    <col min="3" max="16384" width="9" style="449"/>
  </cols>
  <sheetData>
    <row r="1" spans="1:17">
      <c r="A1" s="2" t="s">
        <v>301</v>
      </c>
    </row>
    <row r="5" spans="1:17">
      <c r="B5" s="108" t="s">
        <v>302</v>
      </c>
      <c r="C5" s="476"/>
      <c r="D5" s="476"/>
      <c r="E5" s="476"/>
      <c r="F5" s="476"/>
      <c r="G5" s="476"/>
      <c r="H5" s="476"/>
      <c r="I5" s="476"/>
      <c r="J5" s="476"/>
      <c r="K5" s="476"/>
    </row>
    <row r="6" spans="1:17">
      <c r="B6" s="627" t="s">
        <v>299</v>
      </c>
      <c r="C6" s="628" t="s">
        <v>303</v>
      </c>
      <c r="D6" s="628" t="str">
        <f>CONCATENATE(LEFT(C6, 4)+1 &amp;"-" &amp;IF(C6&gt;"2007-08",,"0") &amp;RIGHT(C6,2)+1)</f>
        <v>2003-04</v>
      </c>
      <c r="E6" s="628" t="str">
        <f t="shared" ref="E6:J6" si="0">CONCATENATE(LEFT(D6, 4)+1 &amp;"-" &amp;IF(D6&gt;"2007-08",,"0") &amp;RIGHT(D6,2)+1)</f>
        <v>2004-05</v>
      </c>
      <c r="F6" s="628" t="str">
        <f t="shared" si="0"/>
        <v>2005-06</v>
      </c>
      <c r="G6" s="628" t="str">
        <f t="shared" si="0"/>
        <v>2006-07</v>
      </c>
      <c r="H6" s="628" t="str">
        <f t="shared" si="0"/>
        <v>2007-08</v>
      </c>
      <c r="I6" s="628" t="str">
        <f t="shared" si="0"/>
        <v>2008-09</v>
      </c>
      <c r="J6" s="628" t="str">
        <f t="shared" si="0"/>
        <v>2009-10</v>
      </c>
      <c r="K6" s="476"/>
    </row>
    <row r="7" spans="1:17">
      <c r="B7" s="625" t="s">
        <v>300</v>
      </c>
      <c r="C7" s="626">
        <v>177.517</v>
      </c>
      <c r="D7" s="626">
        <v>182.47499999999999</v>
      </c>
      <c r="E7" s="626">
        <v>188.15</v>
      </c>
      <c r="F7" s="626">
        <v>193.10830000000001</v>
      </c>
      <c r="G7" s="626">
        <v>200.3167</v>
      </c>
      <c r="H7" s="626">
        <v>208.5917</v>
      </c>
      <c r="I7" s="626">
        <v>214.7833</v>
      </c>
      <c r="J7" s="626">
        <v>215.767</v>
      </c>
      <c r="K7" s="478"/>
    </row>
    <row r="8" spans="1:17">
      <c r="B8" s="477"/>
      <c r="C8" s="477"/>
      <c r="D8" s="477"/>
      <c r="E8" s="477"/>
      <c r="F8" s="477"/>
      <c r="G8" s="477"/>
      <c r="H8" s="477"/>
      <c r="I8" s="477"/>
      <c r="J8" s="477"/>
      <c r="K8" s="478"/>
    </row>
    <row r="10" spans="1:17">
      <c r="B10" s="354" t="s">
        <v>256</v>
      </c>
      <c r="C10" s="351"/>
      <c r="D10" s="130"/>
      <c r="E10" s="351"/>
      <c r="F10" s="351"/>
      <c r="G10" s="351"/>
      <c r="H10" s="351"/>
      <c r="I10" s="351"/>
      <c r="J10" s="351"/>
      <c r="K10" s="351"/>
      <c r="L10" s="351"/>
      <c r="M10" s="351"/>
      <c r="N10" s="351"/>
      <c r="O10" s="351"/>
      <c r="P10" s="351"/>
      <c r="Q10" s="351"/>
    </row>
    <row r="11" spans="1:17">
      <c r="B11" s="437" t="s">
        <v>4</v>
      </c>
      <c r="C11" s="351"/>
      <c r="D11" s="130"/>
      <c r="E11" s="351"/>
      <c r="F11" s="351"/>
      <c r="G11" s="351"/>
      <c r="H11" s="351"/>
      <c r="I11" s="351"/>
      <c r="J11" s="351"/>
      <c r="K11" s="351"/>
      <c r="L11" s="351"/>
      <c r="M11" s="351"/>
      <c r="N11" s="351"/>
      <c r="O11" s="351"/>
      <c r="P11" s="351"/>
      <c r="Q11" s="351"/>
    </row>
    <row r="12" spans="1:17">
      <c r="B12" s="437" t="s">
        <v>3</v>
      </c>
      <c r="C12" s="351"/>
      <c r="D12" s="130"/>
      <c r="E12" s="351"/>
      <c r="F12" s="351"/>
      <c r="G12" s="351"/>
      <c r="H12" s="351"/>
      <c r="I12" s="351"/>
      <c r="J12" s="351"/>
      <c r="K12" s="351"/>
      <c r="L12" s="351"/>
      <c r="M12" s="351"/>
      <c r="N12" s="351"/>
      <c r="O12" s="351"/>
      <c r="P12" s="351"/>
      <c r="Q12" s="351"/>
    </row>
    <row r="13" spans="1:17">
      <c r="B13" s="437" t="s">
        <v>5</v>
      </c>
      <c r="C13" s="351"/>
      <c r="D13" s="130"/>
      <c r="E13" s="351"/>
      <c r="F13" s="351"/>
      <c r="G13" s="351"/>
      <c r="H13" s="351"/>
      <c r="I13" s="351"/>
      <c r="J13" s="351"/>
      <c r="K13" s="351"/>
      <c r="L13" s="351"/>
      <c r="M13" s="351"/>
      <c r="N13" s="351"/>
      <c r="O13" s="351"/>
      <c r="P13" s="351"/>
      <c r="Q13" s="351"/>
    </row>
    <row r="14" spans="1:17">
      <c r="B14" s="437" t="s">
        <v>1</v>
      </c>
      <c r="C14" s="351"/>
      <c r="D14" s="130"/>
      <c r="E14" s="351"/>
      <c r="F14" s="351"/>
      <c r="G14" s="351"/>
      <c r="H14" s="351"/>
      <c r="I14" s="351"/>
      <c r="J14" s="351"/>
      <c r="K14" s="351"/>
      <c r="L14" s="351"/>
      <c r="M14" s="351"/>
      <c r="N14" s="351"/>
      <c r="O14" s="351"/>
      <c r="P14" s="351"/>
      <c r="Q14" s="351"/>
    </row>
    <row r="15" spans="1:17">
      <c r="B15" s="437" t="s">
        <v>2</v>
      </c>
      <c r="C15" s="351"/>
      <c r="D15" s="130"/>
      <c r="E15" s="351"/>
      <c r="F15" s="351"/>
      <c r="G15" s="351"/>
      <c r="H15" s="351"/>
      <c r="I15" s="351"/>
      <c r="J15" s="351"/>
      <c r="K15" s="351"/>
      <c r="L15" s="351"/>
      <c r="M15" s="351"/>
      <c r="N15" s="351"/>
      <c r="O15" s="351"/>
      <c r="P15" s="351"/>
      <c r="Q15" s="351"/>
    </row>
    <row r="16" spans="1:17">
      <c r="B16" s="437" t="s">
        <v>13</v>
      </c>
      <c r="C16" s="351"/>
      <c r="D16" s="130"/>
      <c r="E16" s="130"/>
      <c r="F16" s="351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</row>
    <row r="17" spans="2:17">
      <c r="B17" s="437" t="s">
        <v>14</v>
      </c>
      <c r="C17" s="351"/>
      <c r="D17" s="130"/>
      <c r="E17" s="351"/>
      <c r="F17" s="351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</row>
    <row r="18" spans="2:17">
      <c r="B18" s="437" t="s">
        <v>257</v>
      </c>
      <c r="C18" s="351"/>
      <c r="D18" s="130"/>
      <c r="E18" s="351"/>
      <c r="F18" s="351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</row>
    <row r="19" spans="2:17">
      <c r="B19" s="437" t="s">
        <v>258</v>
      </c>
      <c r="C19" s="351"/>
      <c r="D19" s="130"/>
      <c r="E19" s="351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1"/>
      <c r="Q19" s="351"/>
    </row>
    <row r="20" spans="2:17">
      <c r="B20" s="437" t="s">
        <v>259</v>
      </c>
      <c r="C20" s="351"/>
      <c r="D20" s="130"/>
      <c r="E20" s="351"/>
      <c r="F20" s="351"/>
      <c r="G20" s="351"/>
      <c r="H20" s="351"/>
      <c r="I20" s="351"/>
      <c r="J20" s="351"/>
      <c r="K20" s="351"/>
      <c r="L20" s="351"/>
      <c r="M20" s="351"/>
      <c r="N20" s="351"/>
      <c r="O20" s="351"/>
      <c r="P20" s="351"/>
      <c r="Q20" s="351"/>
    </row>
    <row r="21" spans="2:17">
      <c r="B21" s="437" t="s">
        <v>8</v>
      </c>
      <c r="C21" s="351"/>
      <c r="D21" s="130"/>
      <c r="E21" s="351"/>
      <c r="F21" s="351"/>
      <c r="G21" s="351"/>
      <c r="H21" s="351"/>
      <c r="I21" s="351"/>
      <c r="J21" s="351"/>
      <c r="K21" s="351"/>
      <c r="L21" s="351"/>
      <c r="M21" s="351"/>
      <c r="N21" s="351"/>
      <c r="O21" s="351"/>
      <c r="P21" s="351"/>
      <c r="Q21" s="351"/>
    </row>
    <row r="22" spans="2:17">
      <c r="B22" s="437" t="s">
        <v>9</v>
      </c>
      <c r="C22" s="351"/>
      <c r="D22" s="130"/>
      <c r="E22" s="351"/>
      <c r="F22" s="351"/>
      <c r="G22" s="351"/>
      <c r="H22" s="351"/>
      <c r="I22" s="351"/>
      <c r="J22" s="351"/>
      <c r="K22" s="351"/>
      <c r="L22" s="351"/>
      <c r="M22" s="351"/>
      <c r="N22" s="351"/>
      <c r="O22" s="351"/>
      <c r="P22" s="351"/>
      <c r="Q22" s="351"/>
    </row>
    <row r="23" spans="2:17">
      <c r="B23" s="437" t="s">
        <v>6</v>
      </c>
      <c r="C23" s="351"/>
      <c r="D23" s="130"/>
      <c r="E23" s="351"/>
      <c r="F23" s="351"/>
      <c r="G23" s="351"/>
      <c r="H23" s="351"/>
      <c r="I23" s="351"/>
      <c r="J23" s="351"/>
      <c r="K23" s="351"/>
      <c r="L23" s="351"/>
      <c r="M23" s="351"/>
      <c r="N23" s="351"/>
      <c r="O23" s="351"/>
      <c r="P23" s="351"/>
      <c r="Q23" s="351"/>
    </row>
    <row r="24" spans="2:17">
      <c r="B24" s="437" t="s">
        <v>7</v>
      </c>
      <c r="C24" s="351"/>
      <c r="D24" s="130"/>
      <c r="E24" s="351"/>
      <c r="F24" s="351"/>
      <c r="G24" s="351"/>
      <c r="H24" s="351"/>
      <c r="I24" s="351"/>
      <c r="J24" s="351"/>
      <c r="K24" s="351"/>
      <c r="L24" s="351"/>
      <c r="M24" s="351"/>
      <c r="N24" s="351"/>
      <c r="O24" s="351"/>
      <c r="P24" s="351"/>
      <c r="Q24" s="351"/>
    </row>
    <row r="25" spans="2:17">
      <c r="B25" s="437" t="s">
        <v>20</v>
      </c>
      <c r="C25" s="351"/>
      <c r="D25" s="130"/>
      <c r="E25" s="351"/>
      <c r="F25" s="351"/>
      <c r="G25" s="351"/>
      <c r="H25" s="351"/>
      <c r="I25" s="351"/>
      <c r="J25" s="351"/>
      <c r="K25" s="351"/>
      <c r="L25" s="351"/>
      <c r="M25" s="351"/>
      <c r="N25" s="351"/>
      <c r="O25" s="351"/>
      <c r="P25" s="351"/>
      <c r="Q25" s="351"/>
    </row>
    <row r="26" spans="2:17">
      <c r="B26" s="439"/>
      <c r="C26" s="351"/>
      <c r="D26" s="130"/>
      <c r="E26" s="351"/>
      <c r="F26" s="351"/>
      <c r="G26" s="351"/>
      <c r="H26" s="351"/>
      <c r="I26" s="351"/>
      <c r="J26" s="351"/>
      <c r="K26" s="351"/>
      <c r="L26" s="351"/>
      <c r="M26" s="351"/>
      <c r="N26" s="351"/>
      <c r="O26" s="351"/>
      <c r="P26" s="351"/>
      <c r="Q26" s="351"/>
    </row>
    <row r="27" spans="2:17">
      <c r="B27" s="710" t="s">
        <v>503</v>
      </c>
      <c r="C27" s="351"/>
      <c r="D27" s="130"/>
      <c r="E27" s="351"/>
      <c r="F27" s="351"/>
      <c r="G27" s="351"/>
      <c r="H27" s="351"/>
      <c r="I27" s="351"/>
      <c r="J27" s="351"/>
      <c r="K27" s="351"/>
      <c r="L27" s="351"/>
      <c r="M27" s="351"/>
      <c r="N27" s="351"/>
      <c r="O27" s="351"/>
      <c r="P27" s="351"/>
      <c r="Q27" s="351"/>
    </row>
    <row r="28" spans="2:17">
      <c r="B28" s="438" t="str">
        <f>B11</f>
        <v>CN West</v>
      </c>
      <c r="C28" s="438" t="str">
        <f>B12</f>
        <v>CN East</v>
      </c>
      <c r="D28" s="438" t="str">
        <f>B13</f>
        <v>ENWL</v>
      </c>
      <c r="E28" s="438" t="str">
        <f>B14</f>
        <v>CE NEDL</v>
      </c>
      <c r="F28" s="438" t="str">
        <f>B15</f>
        <v>CE YEDL</v>
      </c>
      <c r="G28" s="438" t="str">
        <f>B16</f>
        <v>WPD S Wales</v>
      </c>
      <c r="H28" s="438" t="str">
        <f>B17</f>
        <v>WPD S West</v>
      </c>
      <c r="I28" s="438" t="str">
        <f>B18</f>
        <v>UKPN LPN</v>
      </c>
      <c r="J28" s="438" t="str">
        <f>B19</f>
        <v>UKPN SEPN</v>
      </c>
      <c r="K28" s="438" t="str">
        <f>B20</f>
        <v>UKPN EPN</v>
      </c>
      <c r="L28" s="438" t="str">
        <f>B21</f>
        <v>SP Distribution</v>
      </c>
      <c r="M28" s="438" t="str">
        <f>B22</f>
        <v>SP Manweb</v>
      </c>
      <c r="N28" s="438" t="str">
        <f>B23</f>
        <v>SSE Hydro</v>
      </c>
      <c r="O28" s="438" t="str">
        <f>B24</f>
        <v>SSE Southern</v>
      </c>
      <c r="P28" s="351"/>
      <c r="Q28" s="35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tabColor theme="5"/>
  </sheetPr>
  <dimension ref="A1:U211"/>
  <sheetViews>
    <sheetView zoomScale="75" zoomScaleNormal="75" workbookViewId="0">
      <pane ySplit="5" topLeftCell="A6" activePane="bottomLeft" state="frozen"/>
      <selection pane="bottomLeft" activeCell="A2" sqref="A2"/>
    </sheetView>
  </sheetViews>
  <sheetFormatPr defaultRowHeight="12.75"/>
  <cols>
    <col min="1" max="1" width="1.625" customWidth="1"/>
    <col min="2" max="2" width="11.625" customWidth="1"/>
    <col min="3" max="20" width="10.625" customWidth="1"/>
  </cols>
  <sheetData>
    <row r="1" spans="1:20">
      <c r="A1" s="2" t="s">
        <v>40</v>
      </c>
    </row>
    <row r="2" spans="1:20">
      <c r="A2" s="2"/>
    </row>
    <row r="6" spans="1:20" ht="15.75" thickBot="1">
      <c r="B6" s="28" t="s">
        <v>42</v>
      </c>
      <c r="C6" s="28"/>
      <c r="D6" s="28"/>
      <c r="E6" s="28"/>
      <c r="F6" s="28" t="str">
        <f>CONCATENATE(LEFT(F29, 4)+1 &amp;"-" &amp;IF(F29&gt;"2007-08",,"0") &amp;RIGHT(F29,2)+1)</f>
        <v>2009-10</v>
      </c>
      <c r="K6" s="28"/>
      <c r="L6" s="28"/>
      <c r="M6" s="28"/>
      <c r="N6" s="28"/>
      <c r="O6" s="28"/>
      <c r="P6" s="28"/>
      <c r="Q6" s="28"/>
      <c r="R6" s="28"/>
      <c r="S6" s="28"/>
      <c r="T6" s="2"/>
    </row>
    <row r="7" spans="1:20" ht="14.25">
      <c r="B7" s="752" t="s">
        <v>19</v>
      </c>
      <c r="C7" s="754" t="s">
        <v>22</v>
      </c>
      <c r="D7" s="754" t="s">
        <v>41</v>
      </c>
      <c r="E7" s="758" t="s">
        <v>23</v>
      </c>
      <c r="F7" s="758"/>
      <c r="G7" s="758"/>
      <c r="H7" s="758"/>
      <c r="I7" s="758"/>
      <c r="J7" s="758"/>
      <c r="K7" s="758"/>
      <c r="L7" s="758"/>
      <c r="M7" s="758"/>
      <c r="N7" s="758"/>
      <c r="O7" s="758"/>
      <c r="P7" s="758"/>
      <c r="Q7" s="758"/>
      <c r="R7" s="758"/>
      <c r="S7" s="759"/>
      <c r="T7" s="760"/>
    </row>
    <row r="8" spans="1:20">
      <c r="B8" s="753"/>
      <c r="C8" s="755"/>
      <c r="D8" s="755"/>
      <c r="E8" s="761" t="s">
        <v>24</v>
      </c>
      <c r="F8" s="761"/>
      <c r="G8" s="17"/>
      <c r="H8" s="761" t="s">
        <v>25</v>
      </c>
      <c r="I8" s="761"/>
      <c r="J8" s="761" t="s">
        <v>26</v>
      </c>
      <c r="K8" s="761"/>
      <c r="L8" s="17"/>
      <c r="M8" s="761" t="s">
        <v>27</v>
      </c>
      <c r="N8" s="761"/>
      <c r="O8" s="761" t="s">
        <v>28</v>
      </c>
      <c r="P8" s="761"/>
      <c r="Q8" s="17"/>
      <c r="R8" s="761" t="s">
        <v>29</v>
      </c>
      <c r="S8" s="762"/>
      <c r="T8" s="763"/>
    </row>
    <row r="9" spans="1:20" ht="24">
      <c r="B9" s="753"/>
      <c r="C9" s="755"/>
      <c r="D9" s="755"/>
      <c r="E9" s="18" t="s">
        <v>30</v>
      </c>
      <c r="F9" s="18" t="s">
        <v>31</v>
      </c>
      <c r="G9" s="18" t="s">
        <v>32</v>
      </c>
      <c r="H9" s="18" t="s">
        <v>30</v>
      </c>
      <c r="I9" s="18" t="s">
        <v>31</v>
      </c>
      <c r="J9" s="18" t="s">
        <v>30</v>
      </c>
      <c r="K9" s="18" t="s">
        <v>31</v>
      </c>
      <c r="L9" s="18" t="s">
        <v>32</v>
      </c>
      <c r="M9" s="18" t="s">
        <v>30</v>
      </c>
      <c r="N9" s="18" t="s">
        <v>31</v>
      </c>
      <c r="O9" s="18" t="s">
        <v>30</v>
      </c>
      <c r="P9" s="18" t="s">
        <v>31</v>
      </c>
      <c r="Q9" s="18" t="s">
        <v>32</v>
      </c>
      <c r="R9" s="18" t="s">
        <v>30</v>
      </c>
      <c r="S9" s="18" t="s">
        <v>31</v>
      </c>
      <c r="T9" s="19" t="s">
        <v>33</v>
      </c>
    </row>
    <row r="10" spans="1:20">
      <c r="B10" s="20" t="str">
        <f>Inputs!B11</f>
        <v>CN West</v>
      </c>
      <c r="C10" s="31">
        <v>2441615</v>
      </c>
      <c r="D10" s="31">
        <f>SUM(E10:T10)</f>
        <v>63274</v>
      </c>
      <c r="E10" s="31">
        <v>1360</v>
      </c>
      <c r="F10" s="31">
        <v>325</v>
      </c>
      <c r="G10" s="31">
        <v>0</v>
      </c>
      <c r="H10" s="31">
        <v>761</v>
      </c>
      <c r="I10" s="31">
        <v>26</v>
      </c>
      <c r="J10" s="31">
        <v>1022</v>
      </c>
      <c r="K10" s="31">
        <v>410</v>
      </c>
      <c r="L10" s="31">
        <v>0</v>
      </c>
      <c r="M10" s="31">
        <v>0</v>
      </c>
      <c r="N10" s="31">
        <v>0</v>
      </c>
      <c r="O10" s="31">
        <v>14985</v>
      </c>
      <c r="P10" s="31">
        <v>12332</v>
      </c>
      <c r="Q10" s="31">
        <v>0</v>
      </c>
      <c r="R10" s="31">
        <v>6055</v>
      </c>
      <c r="S10" s="31">
        <v>22135</v>
      </c>
      <c r="T10" s="38">
        <v>3863</v>
      </c>
    </row>
    <row r="11" spans="1:20">
      <c r="B11" s="20" t="str">
        <f>Inputs!B12</f>
        <v>CN East</v>
      </c>
      <c r="C11" s="31">
        <v>2597659</v>
      </c>
      <c r="D11" s="31">
        <f t="shared" ref="D11:D23" si="0">SUM(E11:T11)</f>
        <v>71566</v>
      </c>
      <c r="E11" s="31">
        <v>2383</v>
      </c>
      <c r="F11" s="31">
        <v>216</v>
      </c>
      <c r="G11" s="31">
        <v>0</v>
      </c>
      <c r="H11" s="31">
        <v>0</v>
      </c>
      <c r="I11" s="31">
        <v>0</v>
      </c>
      <c r="J11" s="31">
        <v>2603</v>
      </c>
      <c r="K11" s="31">
        <v>1823</v>
      </c>
      <c r="L11" s="31">
        <v>0</v>
      </c>
      <c r="M11" s="31">
        <v>0</v>
      </c>
      <c r="N11" s="31">
        <v>0</v>
      </c>
      <c r="O11" s="31">
        <v>12484</v>
      </c>
      <c r="P11" s="31">
        <v>13644</v>
      </c>
      <c r="Q11" s="31">
        <v>0</v>
      </c>
      <c r="R11" s="31">
        <v>4841</v>
      </c>
      <c r="S11" s="31">
        <v>33561</v>
      </c>
      <c r="T11" s="38">
        <v>11</v>
      </c>
    </row>
    <row r="12" spans="1:20">
      <c r="B12" s="20" t="str">
        <f>Inputs!B13</f>
        <v>ENWL</v>
      </c>
      <c r="C12" s="31">
        <v>2357463</v>
      </c>
      <c r="D12" s="31">
        <f t="shared" si="0"/>
        <v>56923</v>
      </c>
      <c r="E12" s="31">
        <v>1584</v>
      </c>
      <c r="F12" s="31">
        <v>353</v>
      </c>
      <c r="G12" s="31">
        <v>0</v>
      </c>
      <c r="H12" s="31">
        <v>0</v>
      </c>
      <c r="I12" s="31">
        <v>0</v>
      </c>
      <c r="J12" s="31">
        <v>1357.9999999999998</v>
      </c>
      <c r="K12" s="31">
        <v>2214.9999999999995</v>
      </c>
      <c r="L12" s="31">
        <v>0</v>
      </c>
      <c r="M12" s="31">
        <v>0</v>
      </c>
      <c r="N12" s="31">
        <v>0</v>
      </c>
      <c r="O12" s="31">
        <v>7790.9999999999991</v>
      </c>
      <c r="P12" s="31">
        <v>12926.999999999998</v>
      </c>
      <c r="Q12" s="31">
        <v>22</v>
      </c>
      <c r="R12" s="31">
        <v>2255.9999999999995</v>
      </c>
      <c r="S12" s="31">
        <v>23786</v>
      </c>
      <c r="T12" s="38">
        <v>4631</v>
      </c>
    </row>
    <row r="13" spans="1:20">
      <c r="B13" s="20" t="str">
        <f>Inputs!B14</f>
        <v>CE NEDL</v>
      </c>
      <c r="C13" s="31">
        <v>1572232</v>
      </c>
      <c r="D13" s="31">
        <f t="shared" si="0"/>
        <v>39970.426999999989</v>
      </c>
      <c r="E13" s="31">
        <v>613.50000000000023</v>
      </c>
      <c r="F13" s="31">
        <v>90.43</v>
      </c>
      <c r="G13" s="31">
        <v>0</v>
      </c>
      <c r="H13" s="31">
        <v>1006.2</v>
      </c>
      <c r="I13" s="31">
        <v>413.39700000000005</v>
      </c>
      <c r="J13" s="31">
        <v>330</v>
      </c>
      <c r="K13" s="31">
        <v>474.20000000000016</v>
      </c>
      <c r="L13" s="31">
        <v>0</v>
      </c>
      <c r="M13" s="31">
        <v>0</v>
      </c>
      <c r="N13" s="31">
        <v>0</v>
      </c>
      <c r="O13" s="31">
        <v>10372.999999999996</v>
      </c>
      <c r="P13" s="31">
        <v>8179.9999999999982</v>
      </c>
      <c r="Q13" s="31">
        <v>0</v>
      </c>
      <c r="R13" s="31">
        <v>2561.3000000000002</v>
      </c>
      <c r="S13" s="31">
        <v>13731.699999999997</v>
      </c>
      <c r="T13" s="38">
        <v>2196.6999999999998</v>
      </c>
    </row>
    <row r="14" spans="1:20">
      <c r="B14" s="20" t="str">
        <f>Inputs!B15</f>
        <v>CE YEDL</v>
      </c>
      <c r="C14" s="31">
        <v>2254618</v>
      </c>
      <c r="D14" s="31">
        <f t="shared" si="0"/>
        <v>52778.689155296554</v>
      </c>
      <c r="E14" s="31">
        <v>1063.9245100000001</v>
      </c>
      <c r="F14" s="31">
        <v>202.38511000000008</v>
      </c>
      <c r="G14" s="31">
        <v>0</v>
      </c>
      <c r="H14" s="31">
        <v>843.04884000000015</v>
      </c>
      <c r="I14" s="31">
        <v>102.40901000000001</v>
      </c>
      <c r="J14" s="31">
        <v>1248.3077799999999</v>
      </c>
      <c r="K14" s="31">
        <v>1384.1694452965542</v>
      </c>
      <c r="L14" s="31">
        <v>0</v>
      </c>
      <c r="M14" s="31">
        <v>0</v>
      </c>
      <c r="N14" s="31">
        <v>0</v>
      </c>
      <c r="O14" s="31">
        <v>8634.0600099999938</v>
      </c>
      <c r="P14" s="31">
        <v>10893.974240000003</v>
      </c>
      <c r="Q14" s="31">
        <v>0</v>
      </c>
      <c r="R14" s="31">
        <v>1700.0574600000004</v>
      </c>
      <c r="S14" s="31">
        <v>26706.352749999998</v>
      </c>
      <c r="T14" s="38">
        <v>0</v>
      </c>
    </row>
    <row r="15" spans="1:20">
      <c r="B15" s="20" t="str">
        <f>Inputs!B16</f>
        <v>WPD S Wales</v>
      </c>
      <c r="C15" s="31">
        <v>1094220</v>
      </c>
      <c r="D15" s="31">
        <f t="shared" si="0"/>
        <v>35058.044000000002</v>
      </c>
      <c r="E15" s="31">
        <v>1190</v>
      </c>
      <c r="F15" s="31">
        <v>93.14</v>
      </c>
      <c r="G15" s="31">
        <v>0</v>
      </c>
      <c r="H15" s="31">
        <v>350</v>
      </c>
      <c r="I15" s="31">
        <v>8.44</v>
      </c>
      <c r="J15" s="31">
        <v>1228</v>
      </c>
      <c r="K15" s="31">
        <v>396.964</v>
      </c>
      <c r="L15" s="31">
        <v>1.3</v>
      </c>
      <c r="M15" s="31">
        <v>0</v>
      </c>
      <c r="N15" s="31">
        <v>0</v>
      </c>
      <c r="O15" s="31">
        <v>12188</v>
      </c>
      <c r="P15" s="31">
        <v>5472</v>
      </c>
      <c r="Q15" s="31">
        <v>5</v>
      </c>
      <c r="R15" s="31">
        <v>3188</v>
      </c>
      <c r="S15" s="31">
        <v>10937.2</v>
      </c>
      <c r="T15" s="38">
        <v>0</v>
      </c>
    </row>
    <row r="16" spans="1:20">
      <c r="B16" s="20" t="str">
        <f>Inputs!B17</f>
        <v>WPD S West</v>
      </c>
      <c r="C16" s="31">
        <v>1532913</v>
      </c>
      <c r="D16" s="31">
        <f t="shared" si="0"/>
        <v>50019.147000000004</v>
      </c>
      <c r="E16" s="31">
        <v>1432</v>
      </c>
      <c r="F16" s="31">
        <v>73.240000000000009</v>
      </c>
      <c r="G16" s="31">
        <v>0</v>
      </c>
      <c r="H16" s="31">
        <v>0</v>
      </c>
      <c r="I16" s="31">
        <v>0</v>
      </c>
      <c r="J16" s="31">
        <v>2914</v>
      </c>
      <c r="K16" s="31">
        <v>879.68499999999995</v>
      </c>
      <c r="L16" s="31">
        <v>66</v>
      </c>
      <c r="M16" s="31">
        <v>0</v>
      </c>
      <c r="N16" s="31">
        <v>0</v>
      </c>
      <c r="O16" s="31">
        <v>16561</v>
      </c>
      <c r="P16" s="31">
        <v>6632.5</v>
      </c>
      <c r="Q16" s="31">
        <v>20</v>
      </c>
      <c r="R16" s="31">
        <v>7407</v>
      </c>
      <c r="S16" s="31">
        <v>11254.5</v>
      </c>
      <c r="T16" s="38">
        <v>2779.2220000000002</v>
      </c>
    </row>
    <row r="17" spans="2:21">
      <c r="B17" s="20" t="str">
        <f>Inputs!B18</f>
        <v>UKPN LPN</v>
      </c>
      <c r="C17" s="31">
        <v>2241478</v>
      </c>
      <c r="D17" s="31">
        <f t="shared" si="0"/>
        <v>36326</v>
      </c>
      <c r="E17" s="31">
        <v>14</v>
      </c>
      <c r="F17" s="31">
        <v>476</v>
      </c>
      <c r="G17" s="31">
        <v>0</v>
      </c>
      <c r="H17" s="31">
        <v>15</v>
      </c>
      <c r="I17" s="31">
        <v>428</v>
      </c>
      <c r="J17" s="31">
        <v>0</v>
      </c>
      <c r="K17" s="31">
        <v>841</v>
      </c>
      <c r="L17" s="31">
        <v>0</v>
      </c>
      <c r="M17" s="31">
        <v>0</v>
      </c>
      <c r="N17" s="31">
        <v>0</v>
      </c>
      <c r="O17" s="31">
        <v>0</v>
      </c>
      <c r="P17" s="31">
        <v>11996</v>
      </c>
      <c r="Q17" s="31">
        <v>0</v>
      </c>
      <c r="R17" s="31">
        <v>0</v>
      </c>
      <c r="S17" s="31">
        <v>22555</v>
      </c>
      <c r="T17" s="38">
        <v>1</v>
      </c>
    </row>
    <row r="18" spans="2:21">
      <c r="B18" s="20" t="str">
        <f>Inputs!B19</f>
        <v>UKPN SEPN</v>
      </c>
      <c r="C18" s="31">
        <v>2242957</v>
      </c>
      <c r="D18" s="31">
        <f t="shared" si="0"/>
        <v>52193</v>
      </c>
      <c r="E18" s="31">
        <v>1161</v>
      </c>
      <c r="F18" s="31">
        <v>378</v>
      </c>
      <c r="G18" s="31">
        <v>0</v>
      </c>
      <c r="H18" s="31">
        <v>0</v>
      </c>
      <c r="I18" s="31">
        <v>0</v>
      </c>
      <c r="J18" s="31">
        <v>1304</v>
      </c>
      <c r="K18" s="31">
        <v>1320</v>
      </c>
      <c r="L18" s="31">
        <v>0</v>
      </c>
      <c r="M18" s="31">
        <v>0</v>
      </c>
      <c r="N18" s="31">
        <v>0</v>
      </c>
      <c r="O18" s="31">
        <v>5600</v>
      </c>
      <c r="P18" s="31">
        <v>11852</v>
      </c>
      <c r="Q18" s="31">
        <v>0</v>
      </c>
      <c r="R18" s="31">
        <v>4562</v>
      </c>
      <c r="S18" s="31">
        <v>26004</v>
      </c>
      <c r="T18" s="38">
        <v>12</v>
      </c>
    </row>
    <row r="19" spans="2:21">
      <c r="B19" s="20" t="str">
        <f>Inputs!B20</f>
        <v>UKPN EPN</v>
      </c>
      <c r="C19" s="31">
        <v>3507431</v>
      </c>
      <c r="D19" s="31">
        <f t="shared" si="0"/>
        <v>95816</v>
      </c>
      <c r="E19" s="31">
        <v>2538</v>
      </c>
      <c r="F19" s="31">
        <v>250</v>
      </c>
      <c r="G19" s="31">
        <v>0</v>
      </c>
      <c r="H19" s="31">
        <v>0</v>
      </c>
      <c r="I19" s="31">
        <v>0</v>
      </c>
      <c r="J19" s="31">
        <v>3465</v>
      </c>
      <c r="K19" s="31">
        <v>2344</v>
      </c>
      <c r="L19" s="31">
        <v>0</v>
      </c>
      <c r="M19" s="31">
        <v>0</v>
      </c>
      <c r="N19" s="31">
        <v>0</v>
      </c>
      <c r="O19" s="31">
        <v>19238</v>
      </c>
      <c r="P19" s="31">
        <v>19257</v>
      </c>
      <c r="Q19" s="31">
        <v>0</v>
      </c>
      <c r="R19" s="31">
        <v>9285</v>
      </c>
      <c r="S19" s="31">
        <v>39436</v>
      </c>
      <c r="T19" s="38">
        <v>3</v>
      </c>
    </row>
    <row r="20" spans="2:21">
      <c r="B20" s="20" t="str">
        <f>Inputs!B21</f>
        <v>SP Distribution</v>
      </c>
      <c r="C20" s="31">
        <v>1991924</v>
      </c>
      <c r="D20" s="31">
        <f t="shared" si="0"/>
        <v>63762.100000000006</v>
      </c>
      <c r="E20" s="31">
        <v>0</v>
      </c>
      <c r="F20" s="31">
        <v>0</v>
      </c>
      <c r="G20" s="31">
        <v>0</v>
      </c>
      <c r="H20" s="31">
        <v>0</v>
      </c>
      <c r="I20" s="31">
        <v>0</v>
      </c>
      <c r="J20" s="31">
        <v>2731.7</v>
      </c>
      <c r="K20" s="31">
        <v>3120.7</v>
      </c>
      <c r="L20" s="31">
        <v>0</v>
      </c>
      <c r="M20" s="31">
        <v>0</v>
      </c>
      <c r="N20" s="31">
        <v>0</v>
      </c>
      <c r="O20" s="31">
        <v>14122.1</v>
      </c>
      <c r="P20" s="31">
        <v>12560.5</v>
      </c>
      <c r="Q20" s="31">
        <v>3</v>
      </c>
      <c r="R20" s="31">
        <v>4401.8999999999996</v>
      </c>
      <c r="S20" s="31">
        <v>26766.2</v>
      </c>
      <c r="T20" s="38">
        <v>56</v>
      </c>
    </row>
    <row r="21" spans="2:21">
      <c r="B21" s="20" t="str">
        <f>Inputs!B22</f>
        <v>SP Manweb</v>
      </c>
      <c r="C21" s="31">
        <v>1483801</v>
      </c>
      <c r="D21" s="31">
        <f t="shared" si="0"/>
        <v>49410.5</v>
      </c>
      <c r="E21" s="31">
        <v>1223.2</v>
      </c>
      <c r="F21" s="31">
        <v>230</v>
      </c>
      <c r="G21" s="31">
        <v>0</v>
      </c>
      <c r="H21" s="31">
        <v>0</v>
      </c>
      <c r="I21" s="31">
        <v>0</v>
      </c>
      <c r="J21" s="31">
        <v>1976.6</v>
      </c>
      <c r="K21" s="31">
        <v>1710.3</v>
      </c>
      <c r="L21" s="31">
        <v>4</v>
      </c>
      <c r="M21" s="31">
        <v>0</v>
      </c>
      <c r="N21" s="31">
        <v>0</v>
      </c>
      <c r="O21" s="31">
        <v>12640.7</v>
      </c>
      <c r="P21" s="31">
        <v>7166.7</v>
      </c>
      <c r="Q21" s="31">
        <v>5</v>
      </c>
      <c r="R21" s="31">
        <v>5642.8</v>
      </c>
      <c r="S21" s="31">
        <v>18806.2</v>
      </c>
      <c r="T21" s="38">
        <v>5</v>
      </c>
    </row>
    <row r="22" spans="2:21">
      <c r="B22" s="20" t="str">
        <f>Inputs!B23</f>
        <v>SSE Hydro</v>
      </c>
      <c r="C22" s="31">
        <v>734947</v>
      </c>
      <c r="D22" s="31">
        <f t="shared" si="0"/>
        <v>46750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5416</v>
      </c>
      <c r="K22" s="31">
        <v>916</v>
      </c>
      <c r="L22" s="31">
        <v>303</v>
      </c>
      <c r="M22" s="31">
        <v>0</v>
      </c>
      <c r="N22" s="31">
        <v>0</v>
      </c>
      <c r="O22" s="31">
        <v>21727</v>
      </c>
      <c r="P22" s="31">
        <v>4721</v>
      </c>
      <c r="Q22" s="31">
        <v>147</v>
      </c>
      <c r="R22" s="31">
        <v>4150</v>
      </c>
      <c r="S22" s="31">
        <v>9370</v>
      </c>
      <c r="T22" s="38">
        <v>0</v>
      </c>
    </row>
    <row r="23" spans="2:21">
      <c r="B23" s="20" t="str">
        <f>Inputs!B24</f>
        <v>SSE Southern</v>
      </c>
      <c r="C23" s="31">
        <v>2919504</v>
      </c>
      <c r="D23" s="31">
        <f t="shared" si="0"/>
        <v>75918</v>
      </c>
      <c r="E23" s="31">
        <v>1914</v>
      </c>
      <c r="F23" s="31">
        <v>487</v>
      </c>
      <c r="G23" s="31">
        <v>12</v>
      </c>
      <c r="H23" s="31">
        <v>6</v>
      </c>
      <c r="I23" s="31">
        <v>189</v>
      </c>
      <c r="J23" s="31">
        <v>3516</v>
      </c>
      <c r="K23" s="31">
        <v>2216</v>
      </c>
      <c r="L23" s="31">
        <v>14</v>
      </c>
      <c r="M23" s="31">
        <v>0</v>
      </c>
      <c r="N23" s="31">
        <v>0</v>
      </c>
      <c r="O23" s="31">
        <v>13100</v>
      </c>
      <c r="P23" s="31">
        <v>16582</v>
      </c>
      <c r="Q23" s="31">
        <v>1</v>
      </c>
      <c r="R23" s="31">
        <v>8879</v>
      </c>
      <c r="S23" s="31">
        <v>23935</v>
      </c>
      <c r="T23" s="38">
        <v>5067</v>
      </c>
    </row>
    <row r="24" spans="2:21">
      <c r="B24" s="21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3"/>
      <c r="T24" s="34"/>
    </row>
    <row r="25" spans="2:21" ht="13.5" thickBot="1">
      <c r="B25" s="27" t="s">
        <v>38</v>
      </c>
      <c r="C25" s="35">
        <f>SUM(C10:C23)</f>
        <v>28972762</v>
      </c>
      <c r="D25" s="35">
        <f>SUM(D10:D23)</f>
        <v>789764.90715529653</v>
      </c>
      <c r="E25" s="35">
        <f t="shared" ref="E25:S25" si="1">SUM(E10:E23)</f>
        <v>16476.624510000001</v>
      </c>
      <c r="F25" s="35">
        <f t="shared" si="1"/>
        <v>3174.1951100000006</v>
      </c>
      <c r="G25" s="35">
        <f t="shared" si="1"/>
        <v>12</v>
      </c>
      <c r="H25" s="35">
        <f t="shared" si="1"/>
        <v>2981.2488400000002</v>
      </c>
      <c r="I25" s="35">
        <f t="shared" si="1"/>
        <v>1167.2460100000001</v>
      </c>
      <c r="J25" s="35">
        <f t="shared" si="1"/>
        <v>29112.607779999998</v>
      </c>
      <c r="K25" s="35">
        <f t="shared" si="1"/>
        <v>20051.018445296551</v>
      </c>
      <c r="L25" s="35">
        <f t="shared" si="1"/>
        <v>388.3</v>
      </c>
      <c r="M25" s="35">
        <f t="shared" si="1"/>
        <v>0</v>
      </c>
      <c r="N25" s="35">
        <f t="shared" si="1"/>
        <v>0</v>
      </c>
      <c r="O25" s="35">
        <f t="shared" si="1"/>
        <v>169443.86001</v>
      </c>
      <c r="P25" s="35">
        <f t="shared" si="1"/>
        <v>154216.67424000002</v>
      </c>
      <c r="Q25" s="35">
        <f t="shared" si="1"/>
        <v>203</v>
      </c>
      <c r="R25" s="35">
        <f t="shared" si="1"/>
        <v>64929.057460000004</v>
      </c>
      <c r="S25" s="35">
        <f t="shared" si="1"/>
        <v>308984.15275000001</v>
      </c>
      <c r="T25" s="36">
        <f>SUM(T10:T23)</f>
        <v>18624.921999999999</v>
      </c>
    </row>
    <row r="26" spans="2:21" ht="14.25">
      <c r="B26" s="25" t="s">
        <v>59</v>
      </c>
      <c r="C26" s="26" t="s">
        <v>39</v>
      </c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4"/>
    </row>
    <row r="27" spans="2:21">
      <c r="B27" s="25"/>
      <c r="C27" s="37"/>
    </row>
    <row r="29" spans="2:21" s="2" customFormat="1" ht="15.75" thickBot="1">
      <c r="B29" s="28" t="s">
        <v>42</v>
      </c>
      <c r="C29" s="28"/>
      <c r="D29" s="28"/>
      <c r="E29" s="28"/>
      <c r="F29" s="28" t="str">
        <f>CONCATENATE(LEFT(F52, 4)+1 &amp;"-" &amp;IF(F52&gt;"2007-08",,"0") &amp;RIGHT(F52,2)+1)</f>
        <v>2008-09</v>
      </c>
      <c r="K29" s="28"/>
      <c r="L29" s="28"/>
      <c r="M29" s="28"/>
      <c r="N29" s="28"/>
      <c r="O29" s="28"/>
      <c r="P29" s="28"/>
      <c r="Q29" s="28"/>
      <c r="R29" s="28"/>
      <c r="S29" s="28"/>
    </row>
    <row r="30" spans="2:21" ht="14.25">
      <c r="B30" s="752" t="s">
        <v>19</v>
      </c>
      <c r="C30" s="754" t="s">
        <v>22</v>
      </c>
      <c r="D30" s="754" t="s">
        <v>41</v>
      </c>
      <c r="E30" s="758" t="s">
        <v>23</v>
      </c>
      <c r="F30" s="758"/>
      <c r="G30" s="758"/>
      <c r="H30" s="758"/>
      <c r="I30" s="758"/>
      <c r="J30" s="758"/>
      <c r="K30" s="758"/>
      <c r="L30" s="758"/>
      <c r="M30" s="758"/>
      <c r="N30" s="758"/>
      <c r="O30" s="758"/>
      <c r="P30" s="758"/>
      <c r="Q30" s="758"/>
      <c r="R30" s="758"/>
      <c r="S30" s="759"/>
      <c r="T30" s="760"/>
    </row>
    <row r="31" spans="2:21">
      <c r="B31" s="753"/>
      <c r="C31" s="755"/>
      <c r="D31" s="755"/>
      <c r="E31" s="761" t="s">
        <v>24</v>
      </c>
      <c r="F31" s="761"/>
      <c r="G31" s="17"/>
      <c r="H31" s="761" t="s">
        <v>25</v>
      </c>
      <c r="I31" s="761"/>
      <c r="J31" s="761" t="s">
        <v>26</v>
      </c>
      <c r="K31" s="761"/>
      <c r="L31" s="17"/>
      <c r="M31" s="761" t="s">
        <v>27</v>
      </c>
      <c r="N31" s="761"/>
      <c r="O31" s="761" t="s">
        <v>28</v>
      </c>
      <c r="P31" s="761"/>
      <c r="Q31" s="17"/>
      <c r="R31" s="761" t="s">
        <v>29</v>
      </c>
      <c r="S31" s="762"/>
      <c r="T31" s="763"/>
    </row>
    <row r="32" spans="2:21" ht="24">
      <c r="B32" s="753"/>
      <c r="C32" s="755"/>
      <c r="D32" s="755"/>
      <c r="E32" s="18" t="s">
        <v>30</v>
      </c>
      <c r="F32" s="18" t="s">
        <v>31</v>
      </c>
      <c r="G32" s="18" t="s">
        <v>32</v>
      </c>
      <c r="H32" s="18" t="s">
        <v>30</v>
      </c>
      <c r="I32" s="18" t="s">
        <v>31</v>
      </c>
      <c r="J32" s="18" t="s">
        <v>30</v>
      </c>
      <c r="K32" s="18" t="s">
        <v>31</v>
      </c>
      <c r="L32" s="18" t="s">
        <v>32</v>
      </c>
      <c r="M32" s="18" t="s">
        <v>30</v>
      </c>
      <c r="N32" s="18" t="s">
        <v>31</v>
      </c>
      <c r="O32" s="18" t="s">
        <v>30</v>
      </c>
      <c r="P32" s="18" t="s">
        <v>31</v>
      </c>
      <c r="Q32" s="18" t="s">
        <v>32</v>
      </c>
      <c r="R32" s="18" t="s">
        <v>30</v>
      </c>
      <c r="S32" s="18" t="s">
        <v>31</v>
      </c>
      <c r="T32" s="19" t="s">
        <v>33</v>
      </c>
      <c r="U32" s="23"/>
    </row>
    <row r="33" spans="2:21">
      <c r="B33" s="20" t="str">
        <f>B10</f>
        <v>CN West</v>
      </c>
      <c r="C33" s="31">
        <v>2435566</v>
      </c>
      <c r="D33" s="31">
        <f>SUM(E33:T33)</f>
        <v>62139.9</v>
      </c>
      <c r="E33" s="31">
        <v>1367</v>
      </c>
      <c r="F33" s="31">
        <v>327</v>
      </c>
      <c r="G33" s="31">
        <v>0</v>
      </c>
      <c r="H33" s="31">
        <v>789</v>
      </c>
      <c r="I33" s="31">
        <v>26</v>
      </c>
      <c r="J33" s="31">
        <v>1021</v>
      </c>
      <c r="K33" s="31">
        <v>364</v>
      </c>
      <c r="L33" s="31">
        <v>0</v>
      </c>
      <c r="M33" s="31">
        <v>0</v>
      </c>
      <c r="N33" s="31">
        <v>0</v>
      </c>
      <c r="O33" s="31">
        <v>14536</v>
      </c>
      <c r="P33" s="31">
        <v>12096</v>
      </c>
      <c r="Q33" s="31">
        <v>0</v>
      </c>
      <c r="R33" s="31">
        <v>6119</v>
      </c>
      <c r="S33" s="31">
        <v>21531.9</v>
      </c>
      <c r="T33" s="38">
        <v>3963</v>
      </c>
      <c r="U33" s="15"/>
    </row>
    <row r="34" spans="2:21">
      <c r="B34" s="20" t="str">
        <f t="shared" ref="B34:B46" si="2">B11</f>
        <v>CN East</v>
      </c>
      <c r="C34" s="31">
        <v>2591542</v>
      </c>
      <c r="D34" s="31">
        <f t="shared" ref="D34:D46" si="3">SUM(E34:T34)</f>
        <v>71387</v>
      </c>
      <c r="E34" s="31">
        <v>2384</v>
      </c>
      <c r="F34" s="31">
        <v>207</v>
      </c>
      <c r="G34" s="31">
        <v>0</v>
      </c>
      <c r="H34" s="31">
        <v>0</v>
      </c>
      <c r="I34" s="31">
        <v>0</v>
      </c>
      <c r="J34" s="31">
        <v>2624</v>
      </c>
      <c r="K34" s="31">
        <v>1769</v>
      </c>
      <c r="L34" s="31">
        <v>0</v>
      </c>
      <c r="M34" s="31">
        <v>0</v>
      </c>
      <c r="N34" s="31">
        <v>0</v>
      </c>
      <c r="O34" s="31">
        <v>12547</v>
      </c>
      <c r="P34" s="31">
        <v>13503</v>
      </c>
      <c r="Q34" s="31">
        <v>0</v>
      </c>
      <c r="R34" s="31">
        <v>5007</v>
      </c>
      <c r="S34" s="31">
        <v>33335</v>
      </c>
      <c r="T34" s="38">
        <v>11</v>
      </c>
      <c r="U34" s="15"/>
    </row>
    <row r="35" spans="2:21">
      <c r="B35" s="20" t="str">
        <f t="shared" si="2"/>
        <v>ENWL</v>
      </c>
      <c r="C35" s="31">
        <v>2356612</v>
      </c>
      <c r="D35" s="31">
        <f t="shared" si="3"/>
        <v>56832</v>
      </c>
      <c r="E35" s="31">
        <v>1582</v>
      </c>
      <c r="F35" s="31">
        <v>356</v>
      </c>
      <c r="G35" s="31">
        <v>0</v>
      </c>
      <c r="H35" s="31">
        <v>0</v>
      </c>
      <c r="I35" s="31">
        <v>0</v>
      </c>
      <c r="J35" s="31">
        <v>1363</v>
      </c>
      <c r="K35" s="31">
        <v>2208</v>
      </c>
      <c r="L35" s="31">
        <v>0</v>
      </c>
      <c r="M35" s="31">
        <v>0</v>
      </c>
      <c r="N35" s="31">
        <v>0</v>
      </c>
      <c r="O35" s="31">
        <v>7810</v>
      </c>
      <c r="P35" s="31">
        <v>12813</v>
      </c>
      <c r="Q35" s="31">
        <v>22</v>
      </c>
      <c r="R35" s="31">
        <v>2284</v>
      </c>
      <c r="S35" s="31">
        <v>23745</v>
      </c>
      <c r="T35" s="38">
        <v>4649</v>
      </c>
      <c r="U35" s="15"/>
    </row>
    <row r="36" spans="2:21">
      <c r="B36" s="20" t="str">
        <f t="shared" si="2"/>
        <v>CE NEDL</v>
      </c>
      <c r="C36" s="31">
        <v>1568612</v>
      </c>
      <c r="D36" s="31">
        <f t="shared" si="3"/>
        <v>39900.403086638478</v>
      </c>
      <c r="E36" s="31">
        <v>606.01499999999999</v>
      </c>
      <c r="F36" s="31">
        <v>90.119000000000014</v>
      </c>
      <c r="G36" s="31">
        <v>0</v>
      </c>
      <c r="H36" s="31">
        <v>1008.816</v>
      </c>
      <c r="I36" s="31">
        <v>449.14799999999997</v>
      </c>
      <c r="J36" s="31">
        <v>356.24699999999996</v>
      </c>
      <c r="K36" s="31">
        <v>487.89800000000002</v>
      </c>
      <c r="L36" s="31">
        <v>0</v>
      </c>
      <c r="M36" s="31">
        <v>5095.3999999999996</v>
      </c>
      <c r="N36" s="31">
        <v>1484.9877667802757</v>
      </c>
      <c r="O36" s="31">
        <v>5261.866</v>
      </c>
      <c r="P36" s="31">
        <v>6614.1622332197248</v>
      </c>
      <c r="Q36" s="31">
        <v>0</v>
      </c>
      <c r="R36" s="31">
        <v>2587.1377522781413</v>
      </c>
      <c r="S36" s="31">
        <v>13638.029545209192</v>
      </c>
      <c r="T36" s="38">
        <v>2220.5767891511409</v>
      </c>
      <c r="U36" s="15"/>
    </row>
    <row r="37" spans="2:21">
      <c r="B37" s="20" t="str">
        <f t="shared" si="2"/>
        <v>CE YEDL</v>
      </c>
      <c r="C37" s="31">
        <v>2247727</v>
      </c>
      <c r="D37" s="31">
        <f t="shared" si="3"/>
        <v>52549.063190000001</v>
      </c>
      <c r="E37" s="31">
        <v>1063.6791999999998</v>
      </c>
      <c r="F37" s="31">
        <v>203.31108999999998</v>
      </c>
      <c r="G37" s="31">
        <v>0</v>
      </c>
      <c r="H37" s="31">
        <v>845.5310199999999</v>
      </c>
      <c r="I37" s="31">
        <v>104.78142333333332</v>
      </c>
      <c r="J37" s="31">
        <v>1251.0479699999999</v>
      </c>
      <c r="K37" s="31">
        <v>1373.4896666666666</v>
      </c>
      <c r="L37" s="31">
        <v>0</v>
      </c>
      <c r="M37" s="31">
        <v>0</v>
      </c>
      <c r="N37" s="31">
        <v>0</v>
      </c>
      <c r="O37" s="31">
        <v>8672.3473700000013</v>
      </c>
      <c r="P37" s="31">
        <v>10740.46221</v>
      </c>
      <c r="Q37" s="31">
        <v>0</v>
      </c>
      <c r="R37" s="31">
        <v>1743.9975199999997</v>
      </c>
      <c r="S37" s="31">
        <v>26550.415719999997</v>
      </c>
      <c r="T37" s="38">
        <v>0</v>
      </c>
      <c r="U37" s="15"/>
    </row>
    <row r="38" spans="2:21">
      <c r="B38" s="20" t="str">
        <f t="shared" si="2"/>
        <v>WPD S Wales</v>
      </c>
      <c r="C38" s="31">
        <v>1088889</v>
      </c>
      <c r="D38" s="31">
        <f t="shared" si="3"/>
        <v>34944.716697975724</v>
      </c>
      <c r="E38" s="31">
        <v>1180</v>
      </c>
      <c r="F38" s="31">
        <v>93.039999999999992</v>
      </c>
      <c r="G38" s="31">
        <v>0</v>
      </c>
      <c r="H38" s="31">
        <v>350</v>
      </c>
      <c r="I38" s="31">
        <v>8.44</v>
      </c>
      <c r="J38" s="31">
        <v>1229</v>
      </c>
      <c r="K38" s="31">
        <v>394.76400000000001</v>
      </c>
      <c r="L38" s="31">
        <v>1.3</v>
      </c>
      <c r="M38" s="31">
        <v>0</v>
      </c>
      <c r="N38" s="31">
        <v>0</v>
      </c>
      <c r="O38" s="31">
        <v>12202</v>
      </c>
      <c r="P38" s="31">
        <v>5438.5</v>
      </c>
      <c r="Q38" s="31">
        <v>5</v>
      </c>
      <c r="R38" s="31">
        <v>3184</v>
      </c>
      <c r="S38" s="31">
        <v>10858.672697975722</v>
      </c>
      <c r="T38" s="38">
        <v>0</v>
      </c>
      <c r="U38" s="15"/>
    </row>
    <row r="39" spans="2:21">
      <c r="B39" s="20" t="str">
        <f t="shared" si="2"/>
        <v>WPD S West</v>
      </c>
      <c r="C39" s="31">
        <v>1520440</v>
      </c>
      <c r="D39" s="31">
        <f t="shared" si="3"/>
        <v>49841.116999999998</v>
      </c>
      <c r="E39" s="31">
        <v>1432.1</v>
      </c>
      <c r="F39" s="31">
        <v>73.13</v>
      </c>
      <c r="G39" s="31">
        <v>0</v>
      </c>
      <c r="H39" s="31">
        <v>0</v>
      </c>
      <c r="I39" s="31">
        <v>0</v>
      </c>
      <c r="J39" s="31">
        <v>2911</v>
      </c>
      <c r="K39" s="31">
        <v>858.50500000000011</v>
      </c>
      <c r="L39" s="31">
        <v>66</v>
      </c>
      <c r="M39" s="31">
        <v>0</v>
      </c>
      <c r="N39" s="31">
        <v>0</v>
      </c>
      <c r="O39" s="31">
        <v>16570</v>
      </c>
      <c r="P39" s="31">
        <v>6576.7599999999984</v>
      </c>
      <c r="Q39" s="31">
        <v>20.000000000000004</v>
      </c>
      <c r="R39" s="31">
        <v>7427</v>
      </c>
      <c r="S39" s="31">
        <v>11121.8</v>
      </c>
      <c r="T39" s="38">
        <v>2784.8220000000001</v>
      </c>
      <c r="U39" s="15"/>
    </row>
    <row r="40" spans="2:21">
      <c r="B40" s="20" t="str">
        <f t="shared" si="2"/>
        <v>UKPN LPN</v>
      </c>
      <c r="C40" s="31">
        <v>2223548</v>
      </c>
      <c r="D40" s="31">
        <f t="shared" si="3"/>
        <v>36134</v>
      </c>
      <c r="E40" s="31">
        <v>15</v>
      </c>
      <c r="F40" s="31">
        <v>469</v>
      </c>
      <c r="G40" s="31">
        <v>0</v>
      </c>
      <c r="H40" s="31">
        <v>15</v>
      </c>
      <c r="I40" s="31">
        <v>428</v>
      </c>
      <c r="J40" s="31">
        <v>0</v>
      </c>
      <c r="K40" s="31">
        <v>841</v>
      </c>
      <c r="L40" s="31">
        <v>0</v>
      </c>
      <c r="M40" s="31">
        <v>0</v>
      </c>
      <c r="N40" s="31">
        <v>1</v>
      </c>
      <c r="O40" s="31">
        <v>0</v>
      </c>
      <c r="P40" s="31">
        <v>11901</v>
      </c>
      <c r="Q40" s="31">
        <v>0</v>
      </c>
      <c r="R40" s="31">
        <v>0</v>
      </c>
      <c r="S40" s="31">
        <v>22463</v>
      </c>
      <c r="T40" s="38">
        <v>1</v>
      </c>
      <c r="U40" s="15"/>
    </row>
    <row r="41" spans="2:21">
      <c r="B41" s="20" t="str">
        <f t="shared" si="2"/>
        <v>UKPN SEPN</v>
      </c>
      <c r="C41" s="31">
        <v>2229279</v>
      </c>
      <c r="D41" s="31">
        <f t="shared" si="3"/>
        <v>51922</v>
      </c>
      <c r="E41" s="31">
        <v>1161</v>
      </c>
      <c r="F41" s="31">
        <v>353</v>
      </c>
      <c r="G41" s="31">
        <v>0</v>
      </c>
      <c r="H41" s="31">
        <v>0</v>
      </c>
      <c r="I41" s="31">
        <v>0</v>
      </c>
      <c r="J41" s="31">
        <v>1313</v>
      </c>
      <c r="K41" s="31">
        <v>1320</v>
      </c>
      <c r="L41" s="31">
        <v>0</v>
      </c>
      <c r="M41" s="31">
        <v>0</v>
      </c>
      <c r="N41" s="31">
        <v>0</v>
      </c>
      <c r="O41" s="31">
        <v>5662</v>
      </c>
      <c r="P41" s="31">
        <v>11748</v>
      </c>
      <c r="Q41" s="31">
        <v>0</v>
      </c>
      <c r="R41" s="31">
        <v>4460</v>
      </c>
      <c r="S41" s="31">
        <v>25893</v>
      </c>
      <c r="T41" s="38">
        <v>12</v>
      </c>
      <c r="U41" s="15"/>
    </row>
    <row r="42" spans="2:21">
      <c r="B42" s="20" t="str">
        <f t="shared" si="2"/>
        <v>UKPN EPN</v>
      </c>
      <c r="C42" s="31">
        <v>3496181</v>
      </c>
      <c r="D42" s="31">
        <f t="shared" si="3"/>
        <v>95157.4</v>
      </c>
      <c r="E42" s="31">
        <v>2545</v>
      </c>
      <c r="F42" s="31">
        <v>242</v>
      </c>
      <c r="G42" s="31">
        <v>0</v>
      </c>
      <c r="H42" s="31">
        <v>0</v>
      </c>
      <c r="I42" s="31">
        <v>0</v>
      </c>
      <c r="J42" s="31">
        <v>3478.5</v>
      </c>
      <c r="K42" s="31">
        <v>2302.3000000000002</v>
      </c>
      <c r="L42" s="31">
        <v>0</v>
      </c>
      <c r="M42" s="31">
        <v>0</v>
      </c>
      <c r="N42" s="31">
        <v>0</v>
      </c>
      <c r="O42" s="31">
        <v>19220</v>
      </c>
      <c r="P42" s="31">
        <v>18999</v>
      </c>
      <c r="Q42" s="31">
        <v>0</v>
      </c>
      <c r="R42" s="31">
        <v>9299</v>
      </c>
      <c r="S42" s="31">
        <v>39068.6</v>
      </c>
      <c r="T42" s="38">
        <v>3</v>
      </c>
      <c r="U42" s="15"/>
    </row>
    <row r="43" spans="2:21">
      <c r="B43" s="20" t="str">
        <f t="shared" si="2"/>
        <v>SP Distribution</v>
      </c>
      <c r="C43" s="31">
        <v>1991331</v>
      </c>
      <c r="D43" s="31">
        <f t="shared" si="3"/>
        <v>63152</v>
      </c>
      <c r="E43" s="31">
        <v>0</v>
      </c>
      <c r="F43" s="31">
        <v>0</v>
      </c>
      <c r="G43" s="31">
        <v>0</v>
      </c>
      <c r="H43" s="31">
        <v>0</v>
      </c>
      <c r="I43" s="31">
        <v>0</v>
      </c>
      <c r="J43" s="31">
        <v>2687</v>
      </c>
      <c r="K43" s="31">
        <v>2996</v>
      </c>
      <c r="L43" s="31">
        <v>0</v>
      </c>
      <c r="M43" s="31">
        <v>0</v>
      </c>
      <c r="N43" s="31">
        <v>0</v>
      </c>
      <c r="O43" s="31">
        <v>14073</v>
      </c>
      <c r="P43" s="31">
        <v>12402</v>
      </c>
      <c r="Q43" s="31">
        <v>3</v>
      </c>
      <c r="R43" s="31">
        <v>4398</v>
      </c>
      <c r="S43" s="31">
        <v>26537</v>
      </c>
      <c r="T43" s="38">
        <v>56</v>
      </c>
      <c r="U43" s="15"/>
    </row>
    <row r="44" spans="2:21">
      <c r="B44" s="20" t="str">
        <f t="shared" si="2"/>
        <v>SP Manweb</v>
      </c>
      <c r="C44" s="31">
        <v>1482550</v>
      </c>
      <c r="D44" s="31">
        <f t="shared" si="3"/>
        <v>49040.286</v>
      </c>
      <c r="E44" s="31">
        <v>1224.2860000000005</v>
      </c>
      <c r="F44" s="31">
        <v>230</v>
      </c>
      <c r="G44" s="31">
        <v>0</v>
      </c>
      <c r="H44" s="31">
        <v>0</v>
      </c>
      <c r="I44" s="31">
        <v>0</v>
      </c>
      <c r="J44" s="31">
        <v>1976</v>
      </c>
      <c r="K44" s="31">
        <v>1684</v>
      </c>
      <c r="L44" s="31">
        <v>0</v>
      </c>
      <c r="M44" s="31">
        <v>0</v>
      </c>
      <c r="N44" s="31">
        <v>0</v>
      </c>
      <c r="O44" s="31">
        <v>12636</v>
      </c>
      <c r="P44" s="31">
        <v>7121</v>
      </c>
      <c r="Q44" s="31">
        <v>5</v>
      </c>
      <c r="R44" s="31">
        <v>5600</v>
      </c>
      <c r="S44" s="31">
        <v>18559</v>
      </c>
      <c r="T44" s="38">
        <v>5</v>
      </c>
      <c r="U44" s="15"/>
    </row>
    <row r="45" spans="2:21">
      <c r="B45" s="20" t="str">
        <f t="shared" si="2"/>
        <v>SSE Hydro</v>
      </c>
      <c r="C45" s="31">
        <v>729290</v>
      </c>
      <c r="D45" s="31">
        <f t="shared" si="3"/>
        <v>46615</v>
      </c>
      <c r="E45" s="31">
        <v>0</v>
      </c>
      <c r="F45" s="31">
        <v>0</v>
      </c>
      <c r="G45" s="31">
        <v>0</v>
      </c>
      <c r="H45" s="31">
        <v>0</v>
      </c>
      <c r="I45" s="31">
        <v>0</v>
      </c>
      <c r="J45" s="31">
        <v>5405</v>
      </c>
      <c r="K45" s="31">
        <v>879</v>
      </c>
      <c r="L45" s="31">
        <v>303</v>
      </c>
      <c r="M45" s="31">
        <v>0</v>
      </c>
      <c r="N45" s="31">
        <v>0</v>
      </c>
      <c r="O45" s="31">
        <v>21723</v>
      </c>
      <c r="P45" s="31">
        <v>4670</v>
      </c>
      <c r="Q45" s="31">
        <v>147</v>
      </c>
      <c r="R45" s="31">
        <v>4153</v>
      </c>
      <c r="S45" s="31">
        <v>9335</v>
      </c>
      <c r="T45" s="38">
        <v>0</v>
      </c>
      <c r="U45" s="15"/>
    </row>
    <row r="46" spans="2:21">
      <c r="B46" s="20" t="str">
        <f t="shared" si="2"/>
        <v>SSE Southern</v>
      </c>
      <c r="C46" s="31">
        <v>2905434</v>
      </c>
      <c r="D46" s="31">
        <f t="shared" si="3"/>
        <v>75658</v>
      </c>
      <c r="E46" s="31">
        <v>1914</v>
      </c>
      <c r="F46" s="31">
        <v>470</v>
      </c>
      <c r="G46" s="31">
        <v>12</v>
      </c>
      <c r="H46" s="31">
        <v>6</v>
      </c>
      <c r="I46" s="31">
        <v>189</v>
      </c>
      <c r="J46" s="31">
        <v>3516</v>
      </c>
      <c r="K46" s="31">
        <v>2194</v>
      </c>
      <c r="L46" s="31">
        <v>14</v>
      </c>
      <c r="M46" s="31">
        <v>0</v>
      </c>
      <c r="N46" s="31">
        <v>0</v>
      </c>
      <c r="O46" s="31">
        <v>13110</v>
      </c>
      <c r="P46" s="31">
        <v>16376</v>
      </c>
      <c r="Q46" s="31">
        <v>1</v>
      </c>
      <c r="R46" s="31">
        <v>8883</v>
      </c>
      <c r="S46" s="31">
        <v>23842</v>
      </c>
      <c r="T46" s="38">
        <v>5131</v>
      </c>
      <c r="U46" s="15"/>
    </row>
    <row r="47" spans="2:21">
      <c r="B47" s="21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3"/>
      <c r="T47" s="34"/>
    </row>
    <row r="48" spans="2:21" ht="13.5" thickBot="1">
      <c r="B48" s="27" t="s">
        <v>38</v>
      </c>
      <c r="C48" s="35">
        <f>SUM(C33:C46)</f>
        <v>28867001</v>
      </c>
      <c r="D48" s="35">
        <f>SUM(D33:D46)</f>
        <v>785272.88597461418</v>
      </c>
      <c r="E48" s="35">
        <f t="shared" ref="E48:S48" si="4">SUM(E33:E46)</f>
        <v>16474.0802</v>
      </c>
      <c r="F48" s="35">
        <f t="shared" si="4"/>
        <v>3113.6000899999999</v>
      </c>
      <c r="G48" s="35">
        <f t="shared" si="4"/>
        <v>12</v>
      </c>
      <c r="H48" s="35">
        <f t="shared" si="4"/>
        <v>3014.3470200000002</v>
      </c>
      <c r="I48" s="35">
        <f t="shared" si="4"/>
        <v>1205.3694233333333</v>
      </c>
      <c r="J48" s="35">
        <f t="shared" si="4"/>
        <v>29130.794969999999</v>
      </c>
      <c r="K48" s="35">
        <f t="shared" si="4"/>
        <v>19671.956666666665</v>
      </c>
      <c r="L48" s="35">
        <f t="shared" si="4"/>
        <v>384.3</v>
      </c>
      <c r="M48" s="35">
        <f t="shared" si="4"/>
        <v>5095.3999999999996</v>
      </c>
      <c r="N48" s="35">
        <f t="shared" si="4"/>
        <v>1485.9877667802757</v>
      </c>
      <c r="O48" s="35">
        <f t="shared" si="4"/>
        <v>164023.21337000001</v>
      </c>
      <c r="P48" s="35">
        <f t="shared" si="4"/>
        <v>150998.88444321972</v>
      </c>
      <c r="Q48" s="35">
        <f t="shared" si="4"/>
        <v>203</v>
      </c>
      <c r="R48" s="35">
        <f t="shared" si="4"/>
        <v>65145.135272278145</v>
      </c>
      <c r="S48" s="35">
        <f t="shared" si="4"/>
        <v>306478.41796318488</v>
      </c>
      <c r="T48" s="36">
        <f>SUM(T33:T46)</f>
        <v>18836.398789151142</v>
      </c>
      <c r="U48" s="15"/>
    </row>
    <row r="49" spans="2:20" ht="14.25">
      <c r="B49" s="25" t="s">
        <v>59</v>
      </c>
      <c r="C49" s="26" t="s">
        <v>39</v>
      </c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4"/>
    </row>
    <row r="50" spans="2:20">
      <c r="B50" s="25"/>
      <c r="C50" s="37"/>
    </row>
    <row r="51" spans="2:20">
      <c r="C51" s="37"/>
      <c r="S51" s="15"/>
    </row>
    <row r="52" spans="2:20" s="2" customFormat="1" ht="15.75" thickBot="1">
      <c r="B52" s="28" t="s">
        <v>42</v>
      </c>
      <c r="C52" s="28"/>
      <c r="D52" s="28"/>
      <c r="E52" s="28"/>
      <c r="F52" s="28" t="str">
        <f>CONCATENATE(LEFT(F75, 4)+1 &amp;"-" &amp;IF(F75&gt;"2007-08",,"0") &amp;RIGHT(F75,2)+1)</f>
        <v>2007-08</v>
      </c>
      <c r="G52" s="29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</row>
    <row r="53" spans="2:20" ht="14.25">
      <c r="B53" s="752" t="s">
        <v>19</v>
      </c>
      <c r="C53" s="754" t="s">
        <v>22</v>
      </c>
      <c r="D53" s="754" t="s">
        <v>41</v>
      </c>
      <c r="E53" s="758" t="s">
        <v>23</v>
      </c>
      <c r="F53" s="758"/>
      <c r="G53" s="758"/>
      <c r="H53" s="758"/>
      <c r="I53" s="758"/>
      <c r="J53" s="758"/>
      <c r="K53" s="758"/>
      <c r="L53" s="758"/>
      <c r="M53" s="758"/>
      <c r="N53" s="758"/>
      <c r="O53" s="758"/>
      <c r="P53" s="758"/>
      <c r="Q53" s="758"/>
      <c r="R53" s="758"/>
      <c r="S53" s="759"/>
      <c r="T53" s="760"/>
    </row>
    <row r="54" spans="2:20">
      <c r="B54" s="753"/>
      <c r="C54" s="755"/>
      <c r="D54" s="755"/>
      <c r="E54" s="761" t="s">
        <v>24</v>
      </c>
      <c r="F54" s="761"/>
      <c r="G54" s="17"/>
      <c r="H54" s="761" t="s">
        <v>25</v>
      </c>
      <c r="I54" s="761"/>
      <c r="J54" s="761" t="s">
        <v>26</v>
      </c>
      <c r="K54" s="761"/>
      <c r="L54" s="17"/>
      <c r="M54" s="761" t="s">
        <v>27</v>
      </c>
      <c r="N54" s="761"/>
      <c r="O54" s="761" t="s">
        <v>28</v>
      </c>
      <c r="P54" s="761"/>
      <c r="Q54" s="17"/>
      <c r="R54" s="761" t="s">
        <v>29</v>
      </c>
      <c r="S54" s="762"/>
      <c r="T54" s="763"/>
    </row>
    <row r="55" spans="2:20" ht="24">
      <c r="B55" s="753"/>
      <c r="C55" s="755"/>
      <c r="D55" s="755"/>
      <c r="E55" s="18" t="s">
        <v>30</v>
      </c>
      <c r="F55" s="18" t="s">
        <v>31</v>
      </c>
      <c r="G55" s="18" t="s">
        <v>32</v>
      </c>
      <c r="H55" s="18" t="s">
        <v>30</v>
      </c>
      <c r="I55" s="18" t="s">
        <v>31</v>
      </c>
      <c r="J55" s="18" t="s">
        <v>30</v>
      </c>
      <c r="K55" s="18" t="s">
        <v>31</v>
      </c>
      <c r="L55" s="18" t="s">
        <v>32</v>
      </c>
      <c r="M55" s="18" t="s">
        <v>30</v>
      </c>
      <c r="N55" s="18" t="s">
        <v>31</v>
      </c>
      <c r="O55" s="18" t="s">
        <v>30</v>
      </c>
      <c r="P55" s="18" t="s">
        <v>31</v>
      </c>
      <c r="Q55" s="18" t="s">
        <v>32</v>
      </c>
      <c r="R55" s="18" t="s">
        <v>30</v>
      </c>
      <c r="S55" s="18" t="s">
        <v>31</v>
      </c>
      <c r="T55" s="19" t="s">
        <v>33</v>
      </c>
    </row>
    <row r="56" spans="2:20">
      <c r="B56" s="20" t="str">
        <f>B33</f>
        <v>CN West</v>
      </c>
      <c r="C56" s="31">
        <v>2433482</v>
      </c>
      <c r="D56" s="31">
        <f>SUM(E56:T56)</f>
        <v>61964</v>
      </c>
      <c r="E56" s="31">
        <v>1368</v>
      </c>
      <c r="F56" s="31">
        <v>303</v>
      </c>
      <c r="G56" s="31">
        <v>0</v>
      </c>
      <c r="H56" s="31">
        <v>793</v>
      </c>
      <c r="I56" s="31">
        <v>16</v>
      </c>
      <c r="J56" s="31">
        <v>1037</v>
      </c>
      <c r="K56" s="31">
        <v>364</v>
      </c>
      <c r="L56" s="31">
        <v>0</v>
      </c>
      <c r="M56" s="31">
        <v>0</v>
      </c>
      <c r="N56" s="31">
        <v>0</v>
      </c>
      <c r="O56" s="31">
        <v>14538</v>
      </c>
      <c r="P56" s="31">
        <v>12085</v>
      </c>
      <c r="Q56" s="31">
        <v>0</v>
      </c>
      <c r="R56" s="31">
        <v>6120</v>
      </c>
      <c r="S56" s="31">
        <v>21346</v>
      </c>
      <c r="T56" s="38">
        <v>3994</v>
      </c>
    </row>
    <row r="57" spans="2:20">
      <c r="B57" s="20" t="str">
        <f t="shared" ref="B57:B69" si="5">B34</f>
        <v>CN East</v>
      </c>
      <c r="C57" s="31">
        <v>2576436</v>
      </c>
      <c r="D57" s="31">
        <f t="shared" ref="D57:D69" si="6">SUM(E57:T57)</f>
        <v>70948</v>
      </c>
      <c r="E57" s="31">
        <v>2384</v>
      </c>
      <c r="F57" s="31">
        <v>199</v>
      </c>
      <c r="G57" s="31">
        <v>0</v>
      </c>
      <c r="H57" s="31">
        <v>0</v>
      </c>
      <c r="I57" s="31">
        <v>0</v>
      </c>
      <c r="J57" s="31">
        <v>2702</v>
      </c>
      <c r="K57" s="31">
        <v>1721</v>
      </c>
      <c r="L57" s="31">
        <v>0</v>
      </c>
      <c r="M57" s="31">
        <v>0</v>
      </c>
      <c r="N57" s="31">
        <v>0</v>
      </c>
      <c r="O57" s="31">
        <v>12593</v>
      </c>
      <c r="P57" s="31">
        <v>13288</v>
      </c>
      <c r="Q57" s="31">
        <v>0</v>
      </c>
      <c r="R57" s="31">
        <v>5071</v>
      </c>
      <c r="S57" s="31">
        <v>32979</v>
      </c>
      <c r="T57" s="38">
        <v>11</v>
      </c>
    </row>
    <row r="58" spans="2:20">
      <c r="B58" s="20" t="str">
        <f t="shared" si="5"/>
        <v>ENWL</v>
      </c>
      <c r="C58" s="31">
        <v>2342770</v>
      </c>
      <c r="D58" s="31">
        <f t="shared" si="6"/>
        <v>56519.635000000009</v>
      </c>
      <c r="E58" s="31">
        <v>1531.6600000000008</v>
      </c>
      <c r="F58" s="31">
        <v>351.00000000000006</v>
      </c>
      <c r="G58" s="31">
        <v>0</v>
      </c>
      <c r="H58" s="31">
        <v>0</v>
      </c>
      <c r="I58" s="31">
        <v>0</v>
      </c>
      <c r="J58" s="31">
        <v>1379.9750000000004</v>
      </c>
      <c r="K58" s="31">
        <v>2199.0000000000005</v>
      </c>
      <c r="L58" s="31">
        <v>0</v>
      </c>
      <c r="M58" s="31">
        <v>0</v>
      </c>
      <c r="N58" s="31">
        <v>0</v>
      </c>
      <c r="O58" s="31">
        <v>7832.0000000000045</v>
      </c>
      <c r="P58" s="31">
        <v>12681.000000000005</v>
      </c>
      <c r="Q58" s="31">
        <v>22</v>
      </c>
      <c r="R58" s="31">
        <v>2309.0000000000005</v>
      </c>
      <c r="S58" s="31">
        <v>23544</v>
      </c>
      <c r="T58" s="38">
        <v>4670</v>
      </c>
    </row>
    <row r="59" spans="2:20">
      <c r="B59" s="20" t="str">
        <f t="shared" si="5"/>
        <v>CE NEDL</v>
      </c>
      <c r="C59" s="31">
        <v>1558187</v>
      </c>
      <c r="D59" s="31">
        <f t="shared" si="6"/>
        <v>39530.400000000001</v>
      </c>
      <c r="E59" s="31">
        <v>606.10000000000014</v>
      </c>
      <c r="F59" s="31">
        <v>89.2</v>
      </c>
      <c r="G59" s="31">
        <v>0</v>
      </c>
      <c r="H59" s="31">
        <v>1006.4999999999999</v>
      </c>
      <c r="I59" s="31">
        <v>444.1</v>
      </c>
      <c r="J59" s="31">
        <v>352.7000000000001</v>
      </c>
      <c r="K59" s="31">
        <v>478.9</v>
      </c>
      <c r="L59" s="31">
        <v>0</v>
      </c>
      <c r="M59" s="31">
        <v>0</v>
      </c>
      <c r="N59" s="31">
        <v>0</v>
      </c>
      <c r="O59" s="31">
        <v>10355.799999999997</v>
      </c>
      <c r="P59" s="31">
        <v>7951.8000000000011</v>
      </c>
      <c r="Q59" s="31">
        <v>0</v>
      </c>
      <c r="R59" s="31">
        <v>2591.0000000000005</v>
      </c>
      <c r="S59" s="31">
        <v>13432.399999999998</v>
      </c>
      <c r="T59" s="38">
        <v>2221.9</v>
      </c>
    </row>
    <row r="60" spans="2:20">
      <c r="B60" s="20" t="str">
        <f t="shared" si="5"/>
        <v>CE YEDL</v>
      </c>
      <c r="C60" s="31">
        <v>2234349</v>
      </c>
      <c r="D60" s="31">
        <f t="shared" si="6"/>
        <v>52140.6</v>
      </c>
      <c r="E60" s="31">
        <v>1063.7</v>
      </c>
      <c r="F60" s="31">
        <v>202.90000000000009</v>
      </c>
      <c r="G60" s="31">
        <v>0</v>
      </c>
      <c r="H60" s="31">
        <v>846.2</v>
      </c>
      <c r="I60" s="31">
        <v>87.5</v>
      </c>
      <c r="J60" s="31">
        <v>1254.8999999999999</v>
      </c>
      <c r="K60" s="31">
        <v>1331.4</v>
      </c>
      <c r="L60" s="31">
        <v>0</v>
      </c>
      <c r="M60" s="31">
        <v>0</v>
      </c>
      <c r="N60" s="31">
        <v>0</v>
      </c>
      <c r="O60" s="31">
        <v>8672.6</v>
      </c>
      <c r="P60" s="31">
        <v>10629.499999999998</v>
      </c>
      <c r="Q60" s="31">
        <v>0</v>
      </c>
      <c r="R60" s="31">
        <v>1748.2</v>
      </c>
      <c r="S60" s="31">
        <v>26303.7</v>
      </c>
      <c r="T60" s="38">
        <v>0</v>
      </c>
    </row>
    <row r="61" spans="2:20">
      <c r="B61" s="20" t="str">
        <f t="shared" si="5"/>
        <v>WPD S Wales</v>
      </c>
      <c r="C61" s="31">
        <v>1079585</v>
      </c>
      <c r="D61" s="31">
        <f t="shared" si="6"/>
        <v>34756.953999999998</v>
      </c>
      <c r="E61" s="31">
        <v>1180</v>
      </c>
      <c r="F61" s="31">
        <v>93.4</v>
      </c>
      <c r="G61" s="31">
        <v>0</v>
      </c>
      <c r="H61" s="31">
        <v>357</v>
      </c>
      <c r="I61" s="31">
        <v>9</v>
      </c>
      <c r="J61" s="31">
        <v>1227</v>
      </c>
      <c r="K61" s="31">
        <v>386.964</v>
      </c>
      <c r="L61" s="31">
        <v>1.3</v>
      </c>
      <c r="M61" s="31">
        <v>0</v>
      </c>
      <c r="N61" s="31">
        <v>0</v>
      </c>
      <c r="O61" s="31">
        <v>12207</v>
      </c>
      <c r="P61" s="31">
        <v>5361.7</v>
      </c>
      <c r="Q61" s="31">
        <v>5</v>
      </c>
      <c r="R61" s="31">
        <v>3193</v>
      </c>
      <c r="S61" s="31">
        <v>10735.59</v>
      </c>
      <c r="T61" s="38">
        <v>0</v>
      </c>
    </row>
    <row r="62" spans="2:20">
      <c r="B62" s="20" t="str">
        <f t="shared" si="5"/>
        <v>WPD S West</v>
      </c>
      <c r="C62" s="31">
        <v>1504598</v>
      </c>
      <c r="D62" s="31">
        <f t="shared" si="6"/>
        <v>49612.456999999995</v>
      </c>
      <c r="E62" s="31">
        <v>1442.1</v>
      </c>
      <c r="F62" s="31">
        <v>75.429999999999978</v>
      </c>
      <c r="G62" s="31">
        <v>0</v>
      </c>
      <c r="H62" s="31">
        <v>0</v>
      </c>
      <c r="I62" s="31">
        <v>0</v>
      </c>
      <c r="J62" s="31">
        <v>2900</v>
      </c>
      <c r="K62" s="31">
        <v>844.30500000000006</v>
      </c>
      <c r="L62" s="31">
        <v>66</v>
      </c>
      <c r="M62" s="31">
        <v>0</v>
      </c>
      <c r="N62" s="31">
        <v>0</v>
      </c>
      <c r="O62" s="31">
        <v>16591</v>
      </c>
      <c r="P62" s="31">
        <v>6465.2999999999984</v>
      </c>
      <c r="Q62" s="31">
        <v>20.000000000000004</v>
      </c>
      <c r="R62" s="31">
        <v>7460</v>
      </c>
      <c r="S62" s="31">
        <v>10960.5</v>
      </c>
      <c r="T62" s="38">
        <v>2787.8220000000001</v>
      </c>
    </row>
    <row r="63" spans="2:20">
      <c r="B63" s="20" t="str">
        <f t="shared" si="5"/>
        <v>UKPN LPN</v>
      </c>
      <c r="C63" s="31">
        <v>2206090</v>
      </c>
      <c r="D63" s="31">
        <f t="shared" si="6"/>
        <v>35920</v>
      </c>
      <c r="E63" s="31">
        <v>30</v>
      </c>
      <c r="F63" s="31">
        <v>469</v>
      </c>
      <c r="G63" s="31">
        <v>0</v>
      </c>
      <c r="H63" s="31">
        <v>15</v>
      </c>
      <c r="I63" s="31">
        <v>428</v>
      </c>
      <c r="J63" s="31">
        <v>0</v>
      </c>
      <c r="K63" s="31">
        <v>841</v>
      </c>
      <c r="L63" s="31">
        <v>0</v>
      </c>
      <c r="M63" s="31">
        <v>0</v>
      </c>
      <c r="N63" s="31">
        <v>0</v>
      </c>
      <c r="O63" s="31">
        <v>0</v>
      </c>
      <c r="P63" s="31">
        <v>11802</v>
      </c>
      <c r="Q63" s="31">
        <v>0</v>
      </c>
      <c r="R63" s="31">
        <v>0</v>
      </c>
      <c r="S63" s="31">
        <v>22334</v>
      </c>
      <c r="T63" s="38">
        <v>1</v>
      </c>
    </row>
    <row r="64" spans="2:20">
      <c r="B64" s="20" t="str">
        <f t="shared" si="5"/>
        <v>UKPN SEPN</v>
      </c>
      <c r="C64" s="31">
        <v>2214187</v>
      </c>
      <c r="D64" s="31">
        <f t="shared" si="6"/>
        <v>51815</v>
      </c>
      <c r="E64" s="31">
        <v>1161</v>
      </c>
      <c r="F64" s="31">
        <v>340</v>
      </c>
      <c r="G64" s="31">
        <v>0</v>
      </c>
      <c r="H64" s="31">
        <v>0</v>
      </c>
      <c r="I64" s="31">
        <v>0</v>
      </c>
      <c r="J64" s="31">
        <v>1313</v>
      </c>
      <c r="K64" s="31">
        <v>1320</v>
      </c>
      <c r="L64" s="31">
        <v>0</v>
      </c>
      <c r="M64" s="31">
        <v>0</v>
      </c>
      <c r="N64" s="31">
        <v>0</v>
      </c>
      <c r="O64" s="31">
        <v>5698</v>
      </c>
      <c r="P64" s="31">
        <v>11629</v>
      </c>
      <c r="Q64" s="31">
        <v>0</v>
      </c>
      <c r="R64" s="31">
        <v>4591</v>
      </c>
      <c r="S64" s="31">
        <v>25751</v>
      </c>
      <c r="T64" s="38">
        <v>12</v>
      </c>
    </row>
    <row r="65" spans="2:20">
      <c r="B65" s="20" t="str">
        <f t="shared" si="5"/>
        <v>UKPN EPN</v>
      </c>
      <c r="C65" s="31">
        <v>3469255</v>
      </c>
      <c r="D65" s="31">
        <f t="shared" si="6"/>
        <v>94438.8</v>
      </c>
      <c r="E65" s="31">
        <v>2545</v>
      </c>
      <c r="F65" s="31">
        <v>242</v>
      </c>
      <c r="G65" s="31">
        <v>0</v>
      </c>
      <c r="H65" s="31">
        <v>0</v>
      </c>
      <c r="I65" s="31">
        <v>0</v>
      </c>
      <c r="J65" s="31">
        <v>3478.5</v>
      </c>
      <c r="K65" s="31">
        <v>2298.3000000000002</v>
      </c>
      <c r="L65" s="31">
        <v>0</v>
      </c>
      <c r="M65" s="31">
        <v>0</v>
      </c>
      <c r="N65" s="31">
        <v>0</v>
      </c>
      <c r="O65" s="31">
        <v>19203</v>
      </c>
      <c r="P65" s="31">
        <v>18720</v>
      </c>
      <c r="Q65" s="31">
        <v>0</v>
      </c>
      <c r="R65" s="31">
        <v>9356</v>
      </c>
      <c r="S65" s="31">
        <v>38593</v>
      </c>
      <c r="T65" s="38">
        <v>3</v>
      </c>
    </row>
    <row r="66" spans="2:20">
      <c r="B66" s="20" t="str">
        <f t="shared" si="5"/>
        <v>SP Distribution</v>
      </c>
      <c r="C66" s="31">
        <v>1982108</v>
      </c>
      <c r="D66" s="31">
        <f t="shared" si="6"/>
        <v>62363</v>
      </c>
      <c r="E66" s="31">
        <v>0</v>
      </c>
      <c r="F66" s="31">
        <v>0</v>
      </c>
      <c r="G66" s="31">
        <v>0</v>
      </c>
      <c r="H66" s="31">
        <v>0</v>
      </c>
      <c r="I66" s="31">
        <v>0</v>
      </c>
      <c r="J66" s="31">
        <v>2687</v>
      </c>
      <c r="K66" s="31">
        <v>2916</v>
      </c>
      <c r="L66" s="31">
        <v>0</v>
      </c>
      <c r="M66" s="31">
        <v>0</v>
      </c>
      <c r="N66" s="31">
        <v>0</v>
      </c>
      <c r="O66" s="31">
        <v>14031</v>
      </c>
      <c r="P66" s="31">
        <v>12316</v>
      </c>
      <c r="Q66" s="31">
        <v>3</v>
      </c>
      <c r="R66" s="31">
        <v>4400</v>
      </c>
      <c r="S66" s="31">
        <v>25954</v>
      </c>
      <c r="T66" s="38">
        <v>56</v>
      </c>
    </row>
    <row r="67" spans="2:20">
      <c r="B67" s="20" t="str">
        <f t="shared" si="5"/>
        <v>SP Manweb</v>
      </c>
      <c r="C67" s="31">
        <v>1473411</v>
      </c>
      <c r="D67" s="31">
        <f t="shared" si="6"/>
        <v>48562.286</v>
      </c>
      <c r="E67" s="31">
        <v>1223.2860000000005</v>
      </c>
      <c r="F67" s="31">
        <v>225</v>
      </c>
      <c r="G67" s="31">
        <v>0</v>
      </c>
      <c r="H67" s="31">
        <v>0</v>
      </c>
      <c r="I67" s="31">
        <v>0</v>
      </c>
      <c r="J67" s="31">
        <v>1976</v>
      </c>
      <c r="K67" s="31">
        <v>1672</v>
      </c>
      <c r="L67" s="31">
        <v>4</v>
      </c>
      <c r="M67" s="31">
        <v>0</v>
      </c>
      <c r="N67" s="31">
        <v>0</v>
      </c>
      <c r="O67" s="31">
        <v>12613</v>
      </c>
      <c r="P67" s="31">
        <v>6952</v>
      </c>
      <c r="Q67" s="31">
        <v>5</v>
      </c>
      <c r="R67" s="31">
        <v>5628</v>
      </c>
      <c r="S67" s="31">
        <v>18259</v>
      </c>
      <c r="T67" s="38">
        <v>5</v>
      </c>
    </row>
    <row r="68" spans="2:20">
      <c r="B68" s="20" t="str">
        <f t="shared" si="5"/>
        <v>SSE Hydro</v>
      </c>
      <c r="C68" s="31">
        <v>721019</v>
      </c>
      <c r="D68" s="31">
        <f t="shared" si="6"/>
        <v>46461</v>
      </c>
      <c r="E68" s="31">
        <v>0</v>
      </c>
      <c r="F68" s="31">
        <v>0</v>
      </c>
      <c r="G68" s="31">
        <v>0</v>
      </c>
      <c r="H68" s="31">
        <v>0</v>
      </c>
      <c r="I68" s="31">
        <v>0</v>
      </c>
      <c r="J68" s="31">
        <v>5397</v>
      </c>
      <c r="K68" s="31">
        <v>871</v>
      </c>
      <c r="L68" s="31">
        <v>303</v>
      </c>
      <c r="M68" s="31">
        <v>0</v>
      </c>
      <c r="N68" s="31">
        <v>0</v>
      </c>
      <c r="O68" s="31">
        <v>21726</v>
      </c>
      <c r="P68" s="31">
        <v>4652</v>
      </c>
      <c r="Q68" s="31">
        <v>147</v>
      </c>
      <c r="R68" s="31">
        <v>4125</v>
      </c>
      <c r="S68" s="31">
        <v>9240</v>
      </c>
      <c r="T68" s="38">
        <v>0</v>
      </c>
    </row>
    <row r="69" spans="2:20">
      <c r="B69" s="20" t="str">
        <f t="shared" si="5"/>
        <v>SSE Southern</v>
      </c>
      <c r="C69" s="31">
        <v>2876427</v>
      </c>
      <c r="D69" s="31">
        <f t="shared" si="6"/>
        <v>75450</v>
      </c>
      <c r="E69" s="31">
        <v>1914</v>
      </c>
      <c r="F69" s="31">
        <v>437</v>
      </c>
      <c r="G69" s="31">
        <v>12</v>
      </c>
      <c r="H69" s="31">
        <v>6</v>
      </c>
      <c r="I69" s="31">
        <v>189</v>
      </c>
      <c r="J69" s="31">
        <v>3514</v>
      </c>
      <c r="K69" s="31">
        <v>2167</v>
      </c>
      <c r="L69" s="31">
        <v>14</v>
      </c>
      <c r="M69" s="31">
        <v>0</v>
      </c>
      <c r="N69" s="31">
        <v>0</v>
      </c>
      <c r="O69" s="31">
        <v>13154</v>
      </c>
      <c r="P69" s="31">
        <v>16217</v>
      </c>
      <c r="Q69" s="31">
        <v>1</v>
      </c>
      <c r="R69" s="31">
        <v>8868</v>
      </c>
      <c r="S69" s="31">
        <v>23748</v>
      </c>
      <c r="T69" s="38">
        <v>5209</v>
      </c>
    </row>
    <row r="70" spans="2:20">
      <c r="B70" s="21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3"/>
      <c r="T70" s="34"/>
    </row>
    <row r="71" spans="2:20" ht="13.5" thickBot="1">
      <c r="B71" s="27" t="s">
        <v>38</v>
      </c>
      <c r="C71" s="35">
        <f>SUM(C56:C69)</f>
        <v>28671904</v>
      </c>
      <c r="D71" s="35">
        <f>SUM(D56:D69)</f>
        <v>780482.13199999998</v>
      </c>
      <c r="E71" s="35">
        <f t="shared" ref="E71:S71" si="7">SUM(E56:E69)</f>
        <v>16448.846000000001</v>
      </c>
      <c r="F71" s="35">
        <f t="shared" si="7"/>
        <v>3026.9300000000003</v>
      </c>
      <c r="G71" s="35">
        <f t="shared" si="7"/>
        <v>12</v>
      </c>
      <c r="H71" s="35">
        <f t="shared" si="7"/>
        <v>3023.7</v>
      </c>
      <c r="I71" s="35">
        <f t="shared" si="7"/>
        <v>1173.5999999999999</v>
      </c>
      <c r="J71" s="35">
        <f t="shared" si="7"/>
        <v>29219.075000000001</v>
      </c>
      <c r="K71" s="35">
        <f t="shared" si="7"/>
        <v>19410.868999999999</v>
      </c>
      <c r="L71" s="35">
        <f t="shared" si="7"/>
        <v>388.3</v>
      </c>
      <c r="M71" s="35">
        <f t="shared" si="7"/>
        <v>0</v>
      </c>
      <c r="N71" s="35">
        <f t="shared" si="7"/>
        <v>0</v>
      </c>
      <c r="O71" s="35">
        <f t="shared" si="7"/>
        <v>169214.4</v>
      </c>
      <c r="P71" s="35">
        <f t="shared" si="7"/>
        <v>150750.29999999999</v>
      </c>
      <c r="Q71" s="35">
        <f t="shared" si="7"/>
        <v>203</v>
      </c>
      <c r="R71" s="35">
        <f t="shared" si="7"/>
        <v>65460.2</v>
      </c>
      <c r="S71" s="35">
        <f t="shared" si="7"/>
        <v>303180.19</v>
      </c>
      <c r="T71" s="36">
        <f>SUM(T56:T69)</f>
        <v>18970.722000000002</v>
      </c>
    </row>
    <row r="72" spans="2:20" ht="14.25">
      <c r="B72" s="25" t="s">
        <v>59</v>
      </c>
      <c r="C72" s="26" t="s">
        <v>39</v>
      </c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4"/>
    </row>
    <row r="73" spans="2:20">
      <c r="B73" s="25"/>
      <c r="C73" s="37"/>
    </row>
    <row r="74" spans="2:20" ht="15">
      <c r="F74" s="28"/>
    </row>
    <row r="75" spans="2:20" s="2" customFormat="1" ht="15.75" thickBot="1">
      <c r="B75" s="28" t="s">
        <v>42</v>
      </c>
      <c r="C75" s="28"/>
      <c r="D75" s="28"/>
      <c r="E75" s="28"/>
      <c r="F75" s="28" t="str">
        <f>CONCATENATE(LEFT(F98, 4)+1 &amp;"-" &amp;IF(F98&gt;"2007-08",,"0") &amp;RIGHT(F98,2)+1)</f>
        <v>2006-07</v>
      </c>
      <c r="G75" s="29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</row>
    <row r="76" spans="2:20" ht="14.25">
      <c r="B76" s="752" t="s">
        <v>19</v>
      </c>
      <c r="C76" s="754" t="s">
        <v>22</v>
      </c>
      <c r="D76" s="754" t="s">
        <v>41</v>
      </c>
      <c r="E76" s="758" t="s">
        <v>23</v>
      </c>
      <c r="F76" s="758"/>
      <c r="G76" s="758"/>
      <c r="H76" s="758"/>
      <c r="I76" s="758"/>
      <c r="J76" s="758"/>
      <c r="K76" s="758"/>
      <c r="L76" s="758"/>
      <c r="M76" s="758"/>
      <c r="N76" s="758"/>
      <c r="O76" s="758"/>
      <c r="P76" s="758"/>
      <c r="Q76" s="758"/>
      <c r="R76" s="758"/>
      <c r="S76" s="759"/>
      <c r="T76" s="760"/>
    </row>
    <row r="77" spans="2:20">
      <c r="B77" s="753"/>
      <c r="C77" s="755"/>
      <c r="D77" s="755"/>
      <c r="E77" s="761" t="s">
        <v>24</v>
      </c>
      <c r="F77" s="761"/>
      <c r="G77" s="17"/>
      <c r="H77" s="761" t="s">
        <v>25</v>
      </c>
      <c r="I77" s="761"/>
      <c r="J77" s="761" t="s">
        <v>26</v>
      </c>
      <c r="K77" s="761"/>
      <c r="L77" s="17"/>
      <c r="M77" s="761" t="s">
        <v>27</v>
      </c>
      <c r="N77" s="761"/>
      <c r="O77" s="761" t="s">
        <v>28</v>
      </c>
      <c r="P77" s="761"/>
      <c r="Q77" s="17"/>
      <c r="R77" s="761" t="s">
        <v>29</v>
      </c>
      <c r="S77" s="762"/>
      <c r="T77" s="763"/>
    </row>
    <row r="78" spans="2:20" ht="24">
      <c r="B78" s="753"/>
      <c r="C78" s="755"/>
      <c r="D78" s="755"/>
      <c r="E78" s="18" t="s">
        <v>30</v>
      </c>
      <c r="F78" s="18" t="s">
        <v>31</v>
      </c>
      <c r="G78" s="18" t="s">
        <v>32</v>
      </c>
      <c r="H78" s="18" t="s">
        <v>30</v>
      </c>
      <c r="I78" s="18" t="s">
        <v>31</v>
      </c>
      <c r="J78" s="18" t="s">
        <v>30</v>
      </c>
      <c r="K78" s="18" t="s">
        <v>31</v>
      </c>
      <c r="L78" s="18" t="s">
        <v>32</v>
      </c>
      <c r="M78" s="18" t="s">
        <v>30</v>
      </c>
      <c r="N78" s="18" t="s">
        <v>31</v>
      </c>
      <c r="O78" s="18" t="s">
        <v>30</v>
      </c>
      <c r="P78" s="18" t="s">
        <v>31</v>
      </c>
      <c r="Q78" s="18" t="s">
        <v>32</v>
      </c>
      <c r="R78" s="18" t="s">
        <v>30</v>
      </c>
      <c r="S78" s="18" t="s">
        <v>31</v>
      </c>
      <c r="T78" s="19" t="s">
        <v>33</v>
      </c>
    </row>
    <row r="79" spans="2:20">
      <c r="B79" s="20" t="str">
        <f>B56</f>
        <v>CN West</v>
      </c>
      <c r="C79" s="31">
        <v>2422495</v>
      </c>
      <c r="D79" s="31">
        <f>SUM(E79:T79)</f>
        <v>61671</v>
      </c>
      <c r="E79" s="31">
        <v>1392</v>
      </c>
      <c r="F79" s="31">
        <v>308</v>
      </c>
      <c r="G79" s="31">
        <v>0</v>
      </c>
      <c r="H79" s="31">
        <v>793</v>
      </c>
      <c r="I79" s="31">
        <v>16</v>
      </c>
      <c r="J79" s="31">
        <v>1035</v>
      </c>
      <c r="K79" s="31">
        <v>352</v>
      </c>
      <c r="L79" s="31">
        <v>0</v>
      </c>
      <c r="M79" s="31">
        <v>0</v>
      </c>
      <c r="N79" s="31">
        <v>9</v>
      </c>
      <c r="O79" s="31">
        <v>14580</v>
      </c>
      <c r="P79" s="31">
        <v>11958</v>
      </c>
      <c r="Q79" s="31">
        <v>0</v>
      </c>
      <c r="R79" s="31">
        <v>6164</v>
      </c>
      <c r="S79" s="31">
        <v>21033</v>
      </c>
      <c r="T79" s="38">
        <v>4031</v>
      </c>
    </row>
    <row r="80" spans="2:20">
      <c r="B80" s="20" t="str">
        <f t="shared" ref="B80:B92" si="8">B57</f>
        <v>CN East</v>
      </c>
      <c r="C80" s="31">
        <v>2551645</v>
      </c>
      <c r="D80" s="31">
        <f t="shared" ref="D80:D92" si="9">SUM(E80:T80)</f>
        <v>70444</v>
      </c>
      <c r="E80" s="31">
        <v>2384</v>
      </c>
      <c r="F80" s="31">
        <v>199</v>
      </c>
      <c r="G80" s="31">
        <v>0</v>
      </c>
      <c r="H80" s="31">
        <v>0</v>
      </c>
      <c r="I80" s="31">
        <v>0</v>
      </c>
      <c r="J80" s="31">
        <v>2732</v>
      </c>
      <c r="K80" s="31">
        <v>1674</v>
      </c>
      <c r="L80" s="31">
        <v>0</v>
      </c>
      <c r="M80" s="31">
        <v>11</v>
      </c>
      <c r="N80" s="31">
        <v>5</v>
      </c>
      <c r="O80" s="31">
        <v>12639</v>
      </c>
      <c r="P80" s="31">
        <v>13093</v>
      </c>
      <c r="Q80" s="31">
        <v>0</v>
      </c>
      <c r="R80" s="31">
        <v>5039</v>
      </c>
      <c r="S80" s="31">
        <v>32657</v>
      </c>
      <c r="T80" s="38">
        <v>11</v>
      </c>
    </row>
    <row r="81" spans="2:20">
      <c r="B81" s="20" t="str">
        <f t="shared" si="8"/>
        <v>ENWL</v>
      </c>
      <c r="C81" s="31">
        <v>2326264</v>
      </c>
      <c r="D81" s="31">
        <f t="shared" si="9"/>
        <v>56277.4</v>
      </c>
      <c r="E81" s="31">
        <v>1575</v>
      </c>
      <c r="F81" s="31">
        <v>331</v>
      </c>
      <c r="G81" s="31">
        <v>0</v>
      </c>
      <c r="H81" s="31">
        <v>0</v>
      </c>
      <c r="I81" s="31">
        <v>0</v>
      </c>
      <c r="J81" s="31">
        <v>1372</v>
      </c>
      <c r="K81" s="31">
        <v>2180</v>
      </c>
      <c r="L81" s="31">
        <v>0</v>
      </c>
      <c r="M81" s="31">
        <v>1.4</v>
      </c>
      <c r="N81" s="31">
        <v>13</v>
      </c>
      <c r="O81" s="31">
        <v>7851</v>
      </c>
      <c r="P81" s="31">
        <v>12554</v>
      </c>
      <c r="Q81" s="31">
        <v>23</v>
      </c>
      <c r="R81" s="31">
        <v>2329</v>
      </c>
      <c r="S81" s="31">
        <v>23359</v>
      </c>
      <c r="T81" s="38">
        <v>4689</v>
      </c>
    </row>
    <row r="82" spans="2:20">
      <c r="B82" s="20" t="str">
        <f t="shared" si="8"/>
        <v>CE NEDL</v>
      </c>
      <c r="C82" s="31">
        <v>1550686</v>
      </c>
      <c r="D82" s="31">
        <f t="shared" si="9"/>
        <v>39177.909</v>
      </c>
      <c r="E82" s="31">
        <v>608.04999999999995</v>
      </c>
      <c r="F82" s="31">
        <v>84.698000000000008</v>
      </c>
      <c r="G82" s="31">
        <v>0</v>
      </c>
      <c r="H82" s="31">
        <v>1004.506</v>
      </c>
      <c r="I82" s="31">
        <v>430.70899999999995</v>
      </c>
      <c r="J82" s="31">
        <v>352.84500000000003</v>
      </c>
      <c r="K82" s="31">
        <v>477.60099999999994</v>
      </c>
      <c r="L82" s="31">
        <v>0</v>
      </c>
      <c r="M82" s="31">
        <v>0</v>
      </c>
      <c r="N82" s="31">
        <v>0</v>
      </c>
      <c r="O82" s="31">
        <v>10326.200000000001</v>
      </c>
      <c r="P82" s="31">
        <v>7825</v>
      </c>
      <c r="Q82" s="31">
        <v>0</v>
      </c>
      <c r="R82" s="31">
        <v>2607.1</v>
      </c>
      <c r="S82" s="31">
        <v>13222.3</v>
      </c>
      <c r="T82" s="38">
        <v>2238.9</v>
      </c>
    </row>
    <row r="83" spans="2:20">
      <c r="B83" s="20" t="str">
        <f t="shared" si="8"/>
        <v>CE YEDL</v>
      </c>
      <c r="C83" s="31">
        <v>2230612</v>
      </c>
      <c r="D83" s="31">
        <f t="shared" si="9"/>
        <v>51832.352479999987</v>
      </c>
      <c r="E83" s="31">
        <v>1056.8272399999994</v>
      </c>
      <c r="F83" s="31">
        <v>205.05753333333337</v>
      </c>
      <c r="G83" s="31">
        <v>0</v>
      </c>
      <c r="H83" s="31">
        <v>848.9484799999999</v>
      </c>
      <c r="I83" s="31">
        <v>88.711430000000007</v>
      </c>
      <c r="J83" s="31">
        <v>1260.4847099999997</v>
      </c>
      <c r="K83" s="31">
        <v>1337.9005566666665</v>
      </c>
      <c r="L83" s="31">
        <v>0</v>
      </c>
      <c r="M83" s="31">
        <v>0</v>
      </c>
      <c r="N83" s="31">
        <v>0</v>
      </c>
      <c r="O83" s="31">
        <v>8713.2112599999928</v>
      </c>
      <c r="P83" s="31">
        <v>10501.097730000001</v>
      </c>
      <c r="Q83" s="31">
        <v>0</v>
      </c>
      <c r="R83" s="31">
        <v>1776.8044300000008</v>
      </c>
      <c r="S83" s="31">
        <v>26043.309109999995</v>
      </c>
      <c r="T83" s="38">
        <v>0</v>
      </c>
    </row>
    <row r="84" spans="2:20">
      <c r="B84" s="20" t="str">
        <f t="shared" si="8"/>
        <v>WPD S Wales</v>
      </c>
      <c r="C84" s="31">
        <v>1070179</v>
      </c>
      <c r="D84" s="31">
        <f t="shared" si="9"/>
        <v>34659.953999999998</v>
      </c>
      <c r="E84" s="31">
        <v>1251</v>
      </c>
      <c r="F84" s="31">
        <v>93.4</v>
      </c>
      <c r="G84" s="31">
        <v>0</v>
      </c>
      <c r="H84" s="31">
        <v>357</v>
      </c>
      <c r="I84" s="31">
        <v>9</v>
      </c>
      <c r="J84" s="31">
        <v>1231</v>
      </c>
      <c r="K84" s="31">
        <v>386.26400000000001</v>
      </c>
      <c r="L84" s="31">
        <v>1.3</v>
      </c>
      <c r="M84" s="31">
        <v>0</v>
      </c>
      <c r="N84" s="31">
        <v>0</v>
      </c>
      <c r="O84" s="31">
        <v>12222</v>
      </c>
      <c r="P84" s="31">
        <v>5294.8</v>
      </c>
      <c r="Q84" s="31">
        <v>5</v>
      </c>
      <c r="R84" s="31">
        <v>3205</v>
      </c>
      <c r="S84" s="31">
        <v>10604.19</v>
      </c>
      <c r="T84" s="38">
        <v>0</v>
      </c>
    </row>
    <row r="85" spans="2:20">
      <c r="B85" s="20" t="str">
        <f t="shared" si="8"/>
        <v>WPD S West</v>
      </c>
      <c r="C85" s="31">
        <v>1488592</v>
      </c>
      <c r="D85" s="31">
        <f t="shared" si="9"/>
        <v>49429.220000000008</v>
      </c>
      <c r="E85" s="31">
        <v>1434.1</v>
      </c>
      <c r="F85" s="31">
        <v>72</v>
      </c>
      <c r="G85" s="31">
        <v>0</v>
      </c>
      <c r="H85" s="31">
        <v>0</v>
      </c>
      <c r="I85" s="31">
        <v>0</v>
      </c>
      <c r="J85" s="31">
        <v>2887</v>
      </c>
      <c r="K85" s="31">
        <v>838.3</v>
      </c>
      <c r="L85" s="31">
        <v>66</v>
      </c>
      <c r="M85" s="31">
        <v>0</v>
      </c>
      <c r="N85" s="31">
        <v>0</v>
      </c>
      <c r="O85" s="31">
        <v>16616</v>
      </c>
      <c r="P85" s="31">
        <v>6361.89</v>
      </c>
      <c r="Q85" s="31">
        <v>20</v>
      </c>
      <c r="R85" s="31">
        <v>7526</v>
      </c>
      <c r="S85" s="31">
        <v>10795.7</v>
      </c>
      <c r="T85" s="38">
        <v>2812.23</v>
      </c>
    </row>
    <row r="86" spans="2:20">
      <c r="B86" s="20" t="str">
        <f t="shared" si="8"/>
        <v>UKPN LPN</v>
      </c>
      <c r="C86" s="31">
        <v>2241291</v>
      </c>
      <c r="D86" s="31">
        <f t="shared" si="9"/>
        <v>35600</v>
      </c>
      <c r="E86" s="31">
        <v>30</v>
      </c>
      <c r="F86" s="31">
        <v>469</v>
      </c>
      <c r="G86" s="31">
        <v>0</v>
      </c>
      <c r="H86" s="31">
        <v>15</v>
      </c>
      <c r="I86" s="31">
        <v>428</v>
      </c>
      <c r="J86" s="31">
        <v>0</v>
      </c>
      <c r="K86" s="31">
        <v>638</v>
      </c>
      <c r="L86" s="31">
        <v>0</v>
      </c>
      <c r="M86" s="31">
        <v>0</v>
      </c>
      <c r="N86" s="31">
        <v>203</v>
      </c>
      <c r="O86" s="31">
        <v>0</v>
      </c>
      <c r="P86" s="31">
        <v>11748</v>
      </c>
      <c r="Q86" s="31">
        <v>0</v>
      </c>
      <c r="R86" s="31">
        <v>0</v>
      </c>
      <c r="S86" s="31">
        <v>22069</v>
      </c>
      <c r="T86" s="38">
        <v>0</v>
      </c>
    </row>
    <row r="87" spans="2:20">
      <c r="B87" s="20" t="str">
        <f t="shared" si="8"/>
        <v>UKPN SEPN</v>
      </c>
      <c r="C87" s="31">
        <v>2230146</v>
      </c>
      <c r="D87" s="31">
        <f t="shared" si="9"/>
        <v>51849</v>
      </c>
      <c r="E87" s="31">
        <v>1161</v>
      </c>
      <c r="F87" s="31">
        <v>340</v>
      </c>
      <c r="G87" s="31">
        <v>0</v>
      </c>
      <c r="H87" s="31">
        <v>0</v>
      </c>
      <c r="I87" s="31">
        <v>0</v>
      </c>
      <c r="J87" s="31">
        <v>1313</v>
      </c>
      <c r="K87" s="31">
        <v>1320</v>
      </c>
      <c r="L87" s="31">
        <v>0</v>
      </c>
      <c r="M87" s="31">
        <v>0</v>
      </c>
      <c r="N87" s="31">
        <v>0</v>
      </c>
      <c r="O87" s="31">
        <v>5745</v>
      </c>
      <c r="P87" s="31">
        <v>11568</v>
      </c>
      <c r="Q87" s="31">
        <v>0</v>
      </c>
      <c r="R87" s="31">
        <v>4657</v>
      </c>
      <c r="S87" s="31">
        <v>25734</v>
      </c>
      <c r="T87" s="38">
        <v>11</v>
      </c>
    </row>
    <row r="88" spans="2:20">
      <c r="B88" s="20" t="str">
        <f t="shared" si="8"/>
        <v>UKPN EPN</v>
      </c>
      <c r="C88" s="31">
        <v>3466502</v>
      </c>
      <c r="D88" s="31">
        <f t="shared" si="9"/>
        <v>93946.5</v>
      </c>
      <c r="E88" s="31">
        <v>2545</v>
      </c>
      <c r="F88" s="31">
        <v>242</v>
      </c>
      <c r="G88" s="31">
        <v>0</v>
      </c>
      <c r="H88" s="31">
        <v>0</v>
      </c>
      <c r="I88" s="31">
        <v>0</v>
      </c>
      <c r="J88" s="31">
        <v>3478.5</v>
      </c>
      <c r="K88" s="31">
        <v>2289</v>
      </c>
      <c r="L88" s="31">
        <v>0</v>
      </c>
      <c r="M88" s="31">
        <v>0</v>
      </c>
      <c r="N88" s="31">
        <v>0</v>
      </c>
      <c r="O88" s="31">
        <v>19197</v>
      </c>
      <c r="P88" s="31">
        <v>18559</v>
      </c>
      <c r="Q88" s="31">
        <v>0</v>
      </c>
      <c r="R88" s="31">
        <v>9377</v>
      </c>
      <c r="S88" s="31">
        <v>38259</v>
      </c>
      <c r="T88" s="38">
        <v>0</v>
      </c>
    </row>
    <row r="89" spans="2:20">
      <c r="B89" s="20" t="str">
        <f t="shared" si="8"/>
        <v>SP Distribution</v>
      </c>
      <c r="C89" s="31">
        <v>1967920</v>
      </c>
      <c r="D89" s="31">
        <f t="shared" si="9"/>
        <v>61707</v>
      </c>
      <c r="E89" s="31">
        <v>0</v>
      </c>
      <c r="F89" s="31">
        <v>0</v>
      </c>
      <c r="G89" s="31">
        <v>0</v>
      </c>
      <c r="H89" s="31">
        <v>0</v>
      </c>
      <c r="I89" s="31">
        <v>0</v>
      </c>
      <c r="J89" s="31">
        <v>2679</v>
      </c>
      <c r="K89" s="31">
        <v>2873</v>
      </c>
      <c r="L89" s="31">
        <v>0</v>
      </c>
      <c r="M89" s="31">
        <v>0</v>
      </c>
      <c r="N89" s="31">
        <v>0</v>
      </c>
      <c r="O89" s="31">
        <v>14042</v>
      </c>
      <c r="P89" s="31">
        <v>12134</v>
      </c>
      <c r="Q89" s="31">
        <v>3</v>
      </c>
      <c r="R89" s="31">
        <v>4422</v>
      </c>
      <c r="S89" s="31">
        <v>25498</v>
      </c>
      <c r="T89" s="38">
        <v>56</v>
      </c>
    </row>
    <row r="90" spans="2:20">
      <c r="B90" s="20" t="str">
        <f t="shared" si="8"/>
        <v>SP Manweb</v>
      </c>
      <c r="C90" s="31">
        <v>1464592</v>
      </c>
      <c r="D90" s="31">
        <f t="shared" si="9"/>
        <v>48336</v>
      </c>
      <c r="E90" s="31">
        <v>1321</v>
      </c>
      <c r="F90" s="31">
        <v>222</v>
      </c>
      <c r="G90" s="31">
        <v>0</v>
      </c>
      <c r="H90" s="31">
        <v>0</v>
      </c>
      <c r="I90" s="31">
        <v>0</v>
      </c>
      <c r="J90" s="31">
        <v>1985</v>
      </c>
      <c r="K90" s="31">
        <v>1662</v>
      </c>
      <c r="L90" s="31">
        <v>4</v>
      </c>
      <c r="M90" s="31">
        <v>0</v>
      </c>
      <c r="N90" s="31">
        <v>0</v>
      </c>
      <c r="O90" s="31">
        <v>12617</v>
      </c>
      <c r="P90" s="31">
        <v>6943</v>
      </c>
      <c r="Q90" s="31">
        <v>5</v>
      </c>
      <c r="R90" s="31">
        <v>5611</v>
      </c>
      <c r="S90" s="31">
        <v>17961</v>
      </c>
      <c r="T90" s="38">
        <v>5</v>
      </c>
    </row>
    <row r="91" spans="2:20">
      <c r="B91" s="20" t="str">
        <f t="shared" si="8"/>
        <v>SSE Hydro</v>
      </c>
      <c r="C91" s="31">
        <v>709201</v>
      </c>
      <c r="D91" s="31">
        <f t="shared" si="9"/>
        <v>46221</v>
      </c>
      <c r="E91" s="31">
        <v>0</v>
      </c>
      <c r="F91" s="31">
        <v>0</v>
      </c>
      <c r="G91" s="31">
        <v>0</v>
      </c>
      <c r="H91" s="31">
        <v>0</v>
      </c>
      <c r="I91" s="31">
        <v>0</v>
      </c>
      <c r="J91" s="31">
        <v>5397</v>
      </c>
      <c r="K91" s="31">
        <v>838</v>
      </c>
      <c r="L91" s="31">
        <v>303</v>
      </c>
      <c r="M91" s="31">
        <v>0</v>
      </c>
      <c r="N91" s="31">
        <v>0</v>
      </c>
      <c r="O91" s="31">
        <v>21718</v>
      </c>
      <c r="P91" s="31">
        <v>4559</v>
      </c>
      <c r="Q91" s="31">
        <v>147</v>
      </c>
      <c r="R91" s="31">
        <v>4154</v>
      </c>
      <c r="S91" s="31">
        <v>9105</v>
      </c>
      <c r="T91" s="38">
        <v>0</v>
      </c>
    </row>
    <row r="92" spans="2:20">
      <c r="B92" s="20" t="str">
        <f t="shared" si="8"/>
        <v>SSE Southern</v>
      </c>
      <c r="C92" s="31">
        <v>2842719</v>
      </c>
      <c r="D92" s="31">
        <f t="shared" si="9"/>
        <v>74832</v>
      </c>
      <c r="E92" s="31">
        <v>1918</v>
      </c>
      <c r="F92" s="31">
        <v>437</v>
      </c>
      <c r="G92" s="31">
        <v>12</v>
      </c>
      <c r="H92" s="31">
        <v>6</v>
      </c>
      <c r="I92" s="31">
        <v>189</v>
      </c>
      <c r="J92" s="31">
        <v>3515</v>
      </c>
      <c r="K92" s="31">
        <v>1827</v>
      </c>
      <c r="L92" s="31">
        <v>14</v>
      </c>
      <c r="M92" s="31">
        <v>0</v>
      </c>
      <c r="N92" s="31">
        <v>339</v>
      </c>
      <c r="O92" s="31">
        <v>13201</v>
      </c>
      <c r="P92" s="31">
        <v>15859</v>
      </c>
      <c r="Q92" s="31">
        <v>1</v>
      </c>
      <c r="R92" s="31">
        <v>8885</v>
      </c>
      <c r="S92" s="31">
        <v>23385</v>
      </c>
      <c r="T92" s="38">
        <v>5244</v>
      </c>
    </row>
    <row r="93" spans="2:20">
      <c r="B93" s="21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3"/>
      <c r="T93" s="34"/>
    </row>
    <row r="94" spans="2:20" ht="13.5" thickBot="1">
      <c r="B94" s="27" t="s">
        <v>38</v>
      </c>
      <c r="C94" s="35">
        <f>SUM(C79:C92)</f>
        <v>28562844</v>
      </c>
      <c r="D94" s="35">
        <f>SUM(D79:D92)</f>
        <v>775983.33548000013</v>
      </c>
      <c r="E94" s="35">
        <f t="shared" ref="E94:S94" si="10">SUM(E79:E92)</f>
        <v>16675.97724</v>
      </c>
      <c r="F94" s="35">
        <f t="shared" si="10"/>
        <v>3003.1555333333336</v>
      </c>
      <c r="G94" s="35">
        <f t="shared" si="10"/>
        <v>12</v>
      </c>
      <c r="H94" s="35">
        <f t="shared" si="10"/>
        <v>3024.4544799999999</v>
      </c>
      <c r="I94" s="35">
        <f t="shared" si="10"/>
        <v>1161.4204299999999</v>
      </c>
      <c r="J94" s="35">
        <f t="shared" si="10"/>
        <v>29237.829709999998</v>
      </c>
      <c r="K94" s="35">
        <f t="shared" si="10"/>
        <v>18693.065556666668</v>
      </c>
      <c r="L94" s="35">
        <f t="shared" si="10"/>
        <v>388.3</v>
      </c>
      <c r="M94" s="35">
        <f t="shared" si="10"/>
        <v>12.4</v>
      </c>
      <c r="N94" s="35">
        <f t="shared" si="10"/>
        <v>569</v>
      </c>
      <c r="O94" s="35">
        <f t="shared" si="10"/>
        <v>169467.41125999999</v>
      </c>
      <c r="P94" s="35">
        <f t="shared" si="10"/>
        <v>148957.78773000001</v>
      </c>
      <c r="Q94" s="35">
        <f t="shared" si="10"/>
        <v>204</v>
      </c>
      <c r="R94" s="35">
        <f t="shared" si="10"/>
        <v>65752.904429999995</v>
      </c>
      <c r="S94" s="35">
        <f t="shared" si="10"/>
        <v>299725.49910999998</v>
      </c>
      <c r="T94" s="36">
        <f>SUM(T79:T92)</f>
        <v>19098.129999999997</v>
      </c>
    </row>
    <row r="95" spans="2:20" ht="14.25">
      <c r="B95" s="25" t="s">
        <v>59</v>
      </c>
      <c r="C95" s="26" t="s">
        <v>39</v>
      </c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4"/>
    </row>
    <row r="96" spans="2:20">
      <c r="B96" s="25"/>
      <c r="C96" s="37"/>
    </row>
    <row r="98" spans="2:20" s="2" customFormat="1" ht="15.75" thickBot="1">
      <c r="B98" s="28" t="s">
        <v>42</v>
      </c>
      <c r="C98" s="28"/>
      <c r="D98" s="28"/>
      <c r="E98" s="28"/>
      <c r="F98" s="28" t="str">
        <f>CONCATENATE(LEFT(F121, 4)+1 &amp;"-" &amp;IF(F121&gt;"2007-08",,"0") &amp;RIGHT(F121,2)+1)</f>
        <v>2005-06</v>
      </c>
      <c r="G98" s="29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</row>
    <row r="99" spans="2:20" ht="14.25">
      <c r="B99" s="752" t="s">
        <v>19</v>
      </c>
      <c r="C99" s="754" t="s">
        <v>22</v>
      </c>
      <c r="D99" s="756" t="s">
        <v>41</v>
      </c>
      <c r="E99" s="758" t="s">
        <v>23</v>
      </c>
      <c r="F99" s="758"/>
      <c r="G99" s="758"/>
      <c r="H99" s="758"/>
      <c r="I99" s="758"/>
      <c r="J99" s="758"/>
      <c r="K99" s="758"/>
      <c r="L99" s="758"/>
      <c r="M99" s="758"/>
      <c r="N99" s="758"/>
      <c r="O99" s="758"/>
      <c r="P99" s="758"/>
      <c r="Q99" s="758"/>
      <c r="R99" s="758"/>
      <c r="S99" s="759"/>
      <c r="T99" s="760"/>
    </row>
    <row r="100" spans="2:20">
      <c r="B100" s="753"/>
      <c r="C100" s="755"/>
      <c r="D100" s="757"/>
      <c r="E100" s="761" t="s">
        <v>24</v>
      </c>
      <c r="F100" s="761"/>
      <c r="G100" s="713"/>
      <c r="H100" s="761" t="s">
        <v>25</v>
      </c>
      <c r="I100" s="761"/>
      <c r="J100" s="761" t="s">
        <v>26</v>
      </c>
      <c r="K100" s="761"/>
      <c r="L100" s="713"/>
      <c r="M100" s="761" t="s">
        <v>27</v>
      </c>
      <c r="N100" s="761"/>
      <c r="O100" s="761" t="s">
        <v>28</v>
      </c>
      <c r="P100" s="761"/>
      <c r="Q100" s="713"/>
      <c r="R100" s="761" t="s">
        <v>29</v>
      </c>
      <c r="S100" s="762"/>
      <c r="T100" s="763"/>
    </row>
    <row r="101" spans="2:20" ht="24">
      <c r="B101" s="753"/>
      <c r="C101" s="755"/>
      <c r="D101" s="757"/>
      <c r="E101" s="18" t="s">
        <v>30</v>
      </c>
      <c r="F101" s="18" t="s">
        <v>31</v>
      </c>
      <c r="G101" s="18" t="s">
        <v>32</v>
      </c>
      <c r="H101" s="18" t="s">
        <v>30</v>
      </c>
      <c r="I101" s="18" t="s">
        <v>31</v>
      </c>
      <c r="J101" s="18" t="s">
        <v>30</v>
      </c>
      <c r="K101" s="18" t="s">
        <v>31</v>
      </c>
      <c r="L101" s="18" t="s">
        <v>32</v>
      </c>
      <c r="M101" s="18" t="s">
        <v>30</v>
      </c>
      <c r="N101" s="18" t="s">
        <v>31</v>
      </c>
      <c r="O101" s="18" t="s">
        <v>30</v>
      </c>
      <c r="P101" s="18" t="s">
        <v>31</v>
      </c>
      <c r="Q101" s="18" t="s">
        <v>32</v>
      </c>
      <c r="R101" s="18" t="s">
        <v>30</v>
      </c>
      <c r="S101" s="18" t="s">
        <v>31</v>
      </c>
      <c r="T101" s="19" t="s">
        <v>33</v>
      </c>
    </row>
    <row r="102" spans="2:20">
      <c r="B102" s="20" t="str">
        <f>B79</f>
        <v>CN West</v>
      </c>
      <c r="C102" s="31">
        <v>2390474</v>
      </c>
      <c r="D102" s="738">
        <f>SUM(E102:T102)</f>
        <v>61300.695</v>
      </c>
      <c r="E102" s="31">
        <v>1391.68</v>
      </c>
      <c r="F102" s="31">
        <v>306.95999999999998</v>
      </c>
      <c r="G102" s="31">
        <v>0</v>
      </c>
      <c r="H102" s="31">
        <v>800.55</v>
      </c>
      <c r="I102" s="31">
        <v>16.459</v>
      </c>
      <c r="J102" s="31">
        <v>1037.0920000000001</v>
      </c>
      <c r="K102" s="31">
        <v>351.81200000000001</v>
      </c>
      <c r="L102" s="31">
        <v>0</v>
      </c>
      <c r="M102" s="31">
        <v>0</v>
      </c>
      <c r="N102" s="31">
        <v>0</v>
      </c>
      <c r="O102" s="31">
        <v>14604.92</v>
      </c>
      <c r="P102" s="31">
        <v>11821.540999999999</v>
      </c>
      <c r="Q102" s="31">
        <v>0</v>
      </c>
      <c r="R102" s="31">
        <v>6186.7789999999995</v>
      </c>
      <c r="S102" s="31">
        <v>20727.86</v>
      </c>
      <c r="T102" s="38">
        <v>4055.0419999999999</v>
      </c>
    </row>
    <row r="103" spans="2:20">
      <c r="B103" s="20" t="str">
        <f t="shared" ref="B103:B115" si="11">B80</f>
        <v>CN East</v>
      </c>
      <c r="C103" s="31">
        <v>2519256</v>
      </c>
      <c r="D103" s="738">
        <f t="shared" ref="D103:D115" si="12">SUM(E103:T103)</f>
        <v>69826.908224919011</v>
      </c>
      <c r="E103" s="31">
        <v>2382.4340740000002</v>
      </c>
      <c r="F103" s="31">
        <v>198.39475800000002</v>
      </c>
      <c r="G103" s="31">
        <v>0</v>
      </c>
      <c r="H103" s="31">
        <v>0</v>
      </c>
      <c r="I103" s="31">
        <v>0</v>
      </c>
      <c r="J103" s="31">
        <v>2739.5663079190003</v>
      </c>
      <c r="K103" s="31">
        <v>1574.4484780000003</v>
      </c>
      <c r="L103" s="31">
        <v>0</v>
      </c>
      <c r="M103" s="31">
        <v>0</v>
      </c>
      <c r="N103" s="31">
        <v>0</v>
      </c>
      <c r="O103" s="31">
        <v>12606.055193</v>
      </c>
      <c r="P103" s="31">
        <v>12909.839560000002</v>
      </c>
      <c r="Q103" s="31">
        <v>0</v>
      </c>
      <c r="R103" s="31">
        <v>5101.1294889999999</v>
      </c>
      <c r="S103" s="31">
        <v>32303.677777000001</v>
      </c>
      <c r="T103" s="38">
        <v>11.362588000000001</v>
      </c>
    </row>
    <row r="104" spans="2:20">
      <c r="B104" s="20" t="str">
        <f t="shared" si="11"/>
        <v>ENWL</v>
      </c>
      <c r="C104" s="31">
        <v>2306432</v>
      </c>
      <c r="D104" s="738">
        <f t="shared" si="12"/>
        <v>55933.427000000003</v>
      </c>
      <c r="E104" s="31">
        <v>1403.62</v>
      </c>
      <c r="F104" s="31">
        <v>337</v>
      </c>
      <c r="G104" s="31">
        <v>0</v>
      </c>
      <c r="H104" s="31">
        <v>0</v>
      </c>
      <c r="I104" s="31">
        <v>0</v>
      </c>
      <c r="J104" s="31">
        <v>1353.5</v>
      </c>
      <c r="K104" s="31">
        <v>2171</v>
      </c>
      <c r="L104" s="31">
        <v>0</v>
      </c>
      <c r="M104" s="31">
        <v>1.3</v>
      </c>
      <c r="N104" s="31">
        <v>11.1</v>
      </c>
      <c r="O104" s="31">
        <v>7890</v>
      </c>
      <c r="P104" s="31">
        <v>12478</v>
      </c>
      <c r="Q104" s="31">
        <v>8</v>
      </c>
      <c r="R104" s="31">
        <v>2355.39</v>
      </c>
      <c r="S104" s="31">
        <v>23214.781000000003</v>
      </c>
      <c r="T104" s="38">
        <v>4709.7359999999999</v>
      </c>
    </row>
    <row r="105" spans="2:20">
      <c r="B105" s="20" t="str">
        <f t="shared" si="11"/>
        <v>CE NEDL</v>
      </c>
      <c r="C105" s="31">
        <v>1538904</v>
      </c>
      <c r="D105" s="738">
        <f t="shared" si="12"/>
        <v>39429.699999999997</v>
      </c>
      <c r="E105" s="31">
        <v>610.9</v>
      </c>
      <c r="F105" s="31">
        <v>77.900000000000006</v>
      </c>
      <c r="G105" s="31">
        <v>0</v>
      </c>
      <c r="H105" s="31">
        <v>1006.2</v>
      </c>
      <c r="I105" s="31">
        <v>428</v>
      </c>
      <c r="J105" s="31">
        <v>352.8</v>
      </c>
      <c r="K105" s="31">
        <v>476.9</v>
      </c>
      <c r="L105" s="31">
        <v>0</v>
      </c>
      <c r="M105" s="31">
        <v>0</v>
      </c>
      <c r="N105" s="31">
        <v>0</v>
      </c>
      <c r="O105" s="31">
        <v>10325</v>
      </c>
      <c r="P105" s="31">
        <v>7759</v>
      </c>
      <c r="Q105" s="31">
        <v>0</v>
      </c>
      <c r="R105" s="31">
        <v>3118</v>
      </c>
      <c r="S105" s="31">
        <v>13029</v>
      </c>
      <c r="T105" s="38">
        <v>2246</v>
      </c>
    </row>
    <row r="106" spans="2:20">
      <c r="B106" s="20" t="str">
        <f t="shared" si="11"/>
        <v>CE YEDL</v>
      </c>
      <c r="C106" s="31">
        <v>2210799</v>
      </c>
      <c r="D106" s="738">
        <f t="shared" si="12"/>
        <v>51466.60153333332</v>
      </c>
      <c r="E106" s="31">
        <v>1057.7224899999994</v>
      </c>
      <c r="F106" s="31">
        <v>201.86377333333343</v>
      </c>
      <c r="G106" s="31">
        <v>0</v>
      </c>
      <c r="H106" s="31">
        <v>850.55038999999977</v>
      </c>
      <c r="I106" s="31">
        <v>88.418383333333352</v>
      </c>
      <c r="J106" s="31">
        <v>1265.2235800000001</v>
      </c>
      <c r="K106" s="31">
        <v>1319.5225466666666</v>
      </c>
      <c r="L106" s="31">
        <v>0</v>
      </c>
      <c r="M106" s="31">
        <v>0</v>
      </c>
      <c r="N106" s="31">
        <v>0</v>
      </c>
      <c r="O106" s="31">
        <v>8733.4604799999834</v>
      </c>
      <c r="P106" s="31">
        <v>10354.167630000004</v>
      </c>
      <c r="Q106" s="31">
        <v>0</v>
      </c>
      <c r="R106" s="31">
        <v>1802.3361200000004</v>
      </c>
      <c r="S106" s="31">
        <v>25793.336139999999</v>
      </c>
      <c r="T106" s="38">
        <v>0</v>
      </c>
    </row>
    <row r="107" spans="2:20">
      <c r="B107" s="20" t="str">
        <f t="shared" si="11"/>
        <v>WPD S Wales</v>
      </c>
      <c r="C107" s="31">
        <v>1092326</v>
      </c>
      <c r="D107" s="738">
        <f t="shared" si="12"/>
        <v>34468</v>
      </c>
      <c r="E107" s="31">
        <v>1251</v>
      </c>
      <c r="F107" s="31">
        <v>93</v>
      </c>
      <c r="G107" s="31">
        <v>0</v>
      </c>
      <c r="H107" s="31">
        <v>355</v>
      </c>
      <c r="I107" s="31">
        <v>3</v>
      </c>
      <c r="J107" s="31">
        <v>1237</v>
      </c>
      <c r="K107" s="31">
        <v>373</v>
      </c>
      <c r="L107" s="31">
        <v>1</v>
      </c>
      <c r="M107" s="31">
        <v>0</v>
      </c>
      <c r="N107" s="31">
        <v>0</v>
      </c>
      <c r="O107" s="31">
        <v>12234</v>
      </c>
      <c r="P107" s="31">
        <v>5240</v>
      </c>
      <c r="Q107" s="31">
        <v>5</v>
      </c>
      <c r="R107" s="31">
        <v>3214</v>
      </c>
      <c r="S107" s="31">
        <v>10462</v>
      </c>
      <c r="T107" s="38">
        <v>0</v>
      </c>
    </row>
    <row r="108" spans="2:20">
      <c r="B108" s="20" t="str">
        <f t="shared" si="11"/>
        <v>WPD S West</v>
      </c>
      <c r="C108" s="31">
        <v>1501406</v>
      </c>
      <c r="D108" s="738">
        <f t="shared" si="12"/>
        <v>49115</v>
      </c>
      <c r="E108" s="31">
        <v>1405</v>
      </c>
      <c r="F108" s="31">
        <v>69</v>
      </c>
      <c r="G108" s="31">
        <v>0</v>
      </c>
      <c r="H108" s="31">
        <v>0</v>
      </c>
      <c r="I108" s="31">
        <v>0</v>
      </c>
      <c r="J108" s="31">
        <v>2893</v>
      </c>
      <c r="K108" s="31">
        <v>826</v>
      </c>
      <c r="L108" s="31">
        <v>66</v>
      </c>
      <c r="M108" s="31">
        <v>0</v>
      </c>
      <c r="N108" s="31">
        <v>0</v>
      </c>
      <c r="O108" s="31">
        <v>16619</v>
      </c>
      <c r="P108" s="31">
        <v>6280</v>
      </c>
      <c r="Q108" s="31">
        <v>20</v>
      </c>
      <c r="R108" s="31">
        <v>7568</v>
      </c>
      <c r="S108" s="31">
        <v>10554</v>
      </c>
      <c r="T108" s="38">
        <v>2815</v>
      </c>
    </row>
    <row r="109" spans="2:20">
      <c r="B109" s="20" t="str">
        <f t="shared" si="11"/>
        <v>UKPN LPN</v>
      </c>
      <c r="C109" s="31">
        <v>2193057</v>
      </c>
      <c r="D109" s="738">
        <f t="shared" si="12"/>
        <v>35479</v>
      </c>
      <c r="E109" s="31">
        <v>30</v>
      </c>
      <c r="F109" s="31">
        <v>479</v>
      </c>
      <c r="G109" s="31">
        <v>0</v>
      </c>
      <c r="H109" s="31">
        <v>17</v>
      </c>
      <c r="I109" s="31">
        <v>426</v>
      </c>
      <c r="J109" s="31">
        <v>0</v>
      </c>
      <c r="K109" s="31">
        <v>637</v>
      </c>
      <c r="L109" s="31">
        <v>0</v>
      </c>
      <c r="M109" s="31">
        <v>0</v>
      </c>
      <c r="N109" s="31">
        <v>215</v>
      </c>
      <c r="O109" s="31">
        <v>0</v>
      </c>
      <c r="P109" s="31">
        <v>11688</v>
      </c>
      <c r="Q109" s="31">
        <v>0</v>
      </c>
      <c r="R109" s="31">
        <v>0</v>
      </c>
      <c r="S109" s="31">
        <v>21987</v>
      </c>
      <c r="T109" s="38">
        <v>0</v>
      </c>
    </row>
    <row r="110" spans="2:20">
      <c r="B110" s="20" t="str">
        <f t="shared" si="11"/>
        <v>UKPN SEPN</v>
      </c>
      <c r="C110" s="31">
        <v>2209828</v>
      </c>
      <c r="D110" s="738">
        <f t="shared" si="12"/>
        <v>50305.279999999999</v>
      </c>
      <c r="E110" s="31">
        <v>1179</v>
      </c>
      <c r="F110" s="31">
        <v>335</v>
      </c>
      <c r="G110" s="31">
        <v>0</v>
      </c>
      <c r="H110" s="31">
        <v>0</v>
      </c>
      <c r="I110" s="31">
        <v>0</v>
      </c>
      <c r="J110" s="31">
        <v>1314</v>
      </c>
      <c r="K110" s="31">
        <v>1307</v>
      </c>
      <c r="L110" s="31">
        <v>0</v>
      </c>
      <c r="M110" s="31">
        <v>0</v>
      </c>
      <c r="N110" s="31">
        <v>0</v>
      </c>
      <c r="O110" s="31">
        <v>5575</v>
      </c>
      <c r="P110" s="31">
        <v>11353</v>
      </c>
      <c r="Q110" s="31">
        <v>0</v>
      </c>
      <c r="R110" s="31">
        <v>4646</v>
      </c>
      <c r="S110" s="31">
        <v>24585</v>
      </c>
      <c r="T110" s="38">
        <v>11.28</v>
      </c>
    </row>
    <row r="111" spans="2:20">
      <c r="B111" s="20" t="str">
        <f t="shared" si="11"/>
        <v>UKPN EPN</v>
      </c>
      <c r="C111" s="31">
        <v>3437289</v>
      </c>
      <c r="D111" s="738">
        <f t="shared" si="12"/>
        <v>93567</v>
      </c>
      <c r="E111" s="31">
        <v>2524</v>
      </c>
      <c r="F111" s="31">
        <v>237</v>
      </c>
      <c r="G111" s="31">
        <v>0</v>
      </c>
      <c r="H111" s="31">
        <v>0</v>
      </c>
      <c r="I111" s="31">
        <v>0</v>
      </c>
      <c r="J111" s="31">
        <v>3487</v>
      </c>
      <c r="K111" s="31">
        <v>2280</v>
      </c>
      <c r="L111" s="31">
        <v>0</v>
      </c>
      <c r="M111" s="31">
        <v>0</v>
      </c>
      <c r="N111" s="31">
        <v>0</v>
      </c>
      <c r="O111" s="31">
        <v>19239</v>
      </c>
      <c r="P111" s="31">
        <v>18369</v>
      </c>
      <c r="Q111" s="31">
        <v>0</v>
      </c>
      <c r="R111" s="31">
        <v>9385</v>
      </c>
      <c r="S111" s="31">
        <v>38046</v>
      </c>
      <c r="T111" s="38">
        <v>0</v>
      </c>
    </row>
    <row r="112" spans="2:20">
      <c r="B112" s="20" t="str">
        <f t="shared" si="11"/>
        <v>SP Distribution</v>
      </c>
      <c r="C112" s="31">
        <v>2013009</v>
      </c>
      <c r="D112" s="738">
        <f t="shared" si="12"/>
        <v>60886.844000000005</v>
      </c>
      <c r="E112" s="31">
        <v>0</v>
      </c>
      <c r="F112" s="31">
        <v>0</v>
      </c>
      <c r="G112" s="31">
        <v>0</v>
      </c>
      <c r="H112" s="31">
        <v>0</v>
      </c>
      <c r="I112" s="31">
        <v>0</v>
      </c>
      <c r="J112" s="31">
        <v>2659.6</v>
      </c>
      <c r="K112" s="31">
        <v>2788.3389999999999</v>
      </c>
      <c r="L112" s="31">
        <v>0</v>
      </c>
      <c r="M112" s="31">
        <v>53</v>
      </c>
      <c r="N112" s="31">
        <v>7</v>
      </c>
      <c r="O112" s="31">
        <v>14054.306</v>
      </c>
      <c r="P112" s="31">
        <v>11875.62</v>
      </c>
      <c r="Q112" s="31">
        <v>3.31</v>
      </c>
      <c r="R112" s="31">
        <v>4439.6689999999999</v>
      </c>
      <c r="S112" s="31">
        <v>24950</v>
      </c>
      <c r="T112" s="38">
        <v>56</v>
      </c>
    </row>
    <row r="113" spans="2:20">
      <c r="B113" s="20" t="str">
        <f t="shared" si="11"/>
        <v>SP Manweb</v>
      </c>
      <c r="C113" s="31">
        <v>1500704</v>
      </c>
      <c r="D113" s="738">
        <f t="shared" si="12"/>
        <v>47743.350000000006</v>
      </c>
      <c r="E113" s="31">
        <v>1310.95</v>
      </c>
      <c r="F113" s="31">
        <v>218.85</v>
      </c>
      <c r="G113" s="31">
        <v>0</v>
      </c>
      <c r="H113" s="31">
        <v>0</v>
      </c>
      <c r="I113" s="31">
        <v>0</v>
      </c>
      <c r="J113" s="31">
        <v>1980.33</v>
      </c>
      <c r="K113" s="31">
        <v>1648</v>
      </c>
      <c r="L113" s="31">
        <v>2</v>
      </c>
      <c r="M113" s="31">
        <v>0</v>
      </c>
      <c r="N113" s="31">
        <v>0</v>
      </c>
      <c r="O113" s="31">
        <v>12593.389000000001</v>
      </c>
      <c r="P113" s="31">
        <v>6730.6210000000001</v>
      </c>
      <c r="Q113" s="31">
        <v>2</v>
      </c>
      <c r="R113" s="31">
        <v>5633.76</v>
      </c>
      <c r="S113" s="31">
        <v>17618.45</v>
      </c>
      <c r="T113" s="38">
        <v>5</v>
      </c>
    </row>
    <row r="114" spans="2:20">
      <c r="B114" s="20" t="str">
        <f t="shared" si="11"/>
        <v>SSE Hydro</v>
      </c>
      <c r="C114" s="31">
        <v>700930</v>
      </c>
      <c r="D114" s="738">
        <f t="shared" si="12"/>
        <v>45294</v>
      </c>
      <c r="E114" s="31">
        <v>0</v>
      </c>
      <c r="F114" s="31">
        <v>0</v>
      </c>
      <c r="G114" s="31">
        <v>0</v>
      </c>
      <c r="H114" s="31">
        <v>0</v>
      </c>
      <c r="I114" s="31">
        <v>0</v>
      </c>
      <c r="J114" s="31">
        <v>5360</v>
      </c>
      <c r="K114" s="31">
        <v>505</v>
      </c>
      <c r="L114" s="31">
        <v>243</v>
      </c>
      <c r="M114" s="31">
        <v>0</v>
      </c>
      <c r="N114" s="31">
        <v>0</v>
      </c>
      <c r="O114" s="31">
        <v>21630</v>
      </c>
      <c r="P114" s="31">
        <v>4353</v>
      </c>
      <c r="Q114" s="31">
        <v>112</v>
      </c>
      <c r="R114" s="31">
        <v>4199</v>
      </c>
      <c r="S114" s="31">
        <v>8892</v>
      </c>
      <c r="T114" s="38">
        <v>0</v>
      </c>
    </row>
    <row r="115" spans="2:20">
      <c r="B115" s="20" t="str">
        <f t="shared" si="11"/>
        <v>SSE Southern</v>
      </c>
      <c r="C115" s="31">
        <v>2812752</v>
      </c>
      <c r="D115" s="738">
        <f t="shared" si="12"/>
        <v>77179.72</v>
      </c>
      <c r="E115" s="31">
        <v>1920.28</v>
      </c>
      <c r="F115" s="31">
        <v>425</v>
      </c>
      <c r="G115" s="31">
        <v>18.28</v>
      </c>
      <c r="H115" s="31">
        <v>5.95</v>
      </c>
      <c r="I115" s="31">
        <v>187</v>
      </c>
      <c r="J115" s="31">
        <v>3501.28</v>
      </c>
      <c r="K115" s="31">
        <v>1874</v>
      </c>
      <c r="L115" s="31">
        <v>0</v>
      </c>
      <c r="M115" s="31">
        <v>6.55</v>
      </c>
      <c r="N115" s="31">
        <v>334</v>
      </c>
      <c r="O115" s="31">
        <v>13272.08</v>
      </c>
      <c r="P115" s="31">
        <v>15607</v>
      </c>
      <c r="Q115" s="31">
        <v>0</v>
      </c>
      <c r="R115" s="31">
        <v>8907.73</v>
      </c>
      <c r="S115" s="31">
        <v>25496.52</v>
      </c>
      <c r="T115" s="38">
        <v>5624.05</v>
      </c>
    </row>
    <row r="116" spans="2:20">
      <c r="B116" s="21"/>
      <c r="C116" s="32"/>
      <c r="D116" s="739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3"/>
      <c r="T116" s="34"/>
    </row>
    <row r="117" spans="2:20" ht="13.5" thickBot="1">
      <c r="B117" s="27" t="s">
        <v>38</v>
      </c>
      <c r="C117" s="35">
        <f>SUM(C102:C115)</f>
        <v>28427166</v>
      </c>
      <c r="D117" s="740">
        <f>SUM(D102:D115)</f>
        <v>771995.52575825225</v>
      </c>
      <c r="E117" s="35">
        <f t="shared" ref="E117:S117" si="13">SUM(E102:E115)</f>
        <v>16466.586563999997</v>
      </c>
      <c r="F117" s="35">
        <f t="shared" si="13"/>
        <v>2978.9685313333334</v>
      </c>
      <c r="G117" s="35">
        <f t="shared" si="13"/>
        <v>18.28</v>
      </c>
      <c r="H117" s="35">
        <f t="shared" si="13"/>
        <v>3035.2503899999997</v>
      </c>
      <c r="I117" s="35">
        <f t="shared" si="13"/>
        <v>1148.8773833333335</v>
      </c>
      <c r="J117" s="35">
        <f t="shared" si="13"/>
        <v>29180.391887918995</v>
      </c>
      <c r="K117" s="35">
        <f t="shared" si="13"/>
        <v>18132.022024666665</v>
      </c>
      <c r="L117" s="35">
        <f t="shared" si="13"/>
        <v>312</v>
      </c>
      <c r="M117" s="35">
        <f t="shared" si="13"/>
        <v>60.849999999999994</v>
      </c>
      <c r="N117" s="35">
        <f t="shared" si="13"/>
        <v>567.1</v>
      </c>
      <c r="O117" s="35">
        <f t="shared" si="13"/>
        <v>169376.21067299997</v>
      </c>
      <c r="P117" s="35">
        <f t="shared" si="13"/>
        <v>146818.78918999998</v>
      </c>
      <c r="Q117" s="35">
        <f t="shared" si="13"/>
        <v>150.31</v>
      </c>
      <c r="R117" s="35">
        <f t="shared" si="13"/>
        <v>66556.793609</v>
      </c>
      <c r="S117" s="35">
        <f t="shared" si="13"/>
        <v>297659.62491700001</v>
      </c>
      <c r="T117" s="36">
        <f>SUM(T102:T115)</f>
        <v>19533.470588</v>
      </c>
    </row>
    <row r="118" spans="2:20" ht="15" thickBot="1">
      <c r="B118" s="25" t="s">
        <v>59</v>
      </c>
      <c r="C118" s="26" t="s">
        <v>39</v>
      </c>
      <c r="D118" s="714"/>
      <c r="E118" s="715"/>
      <c r="F118" s="715"/>
      <c r="G118" s="715"/>
      <c r="H118" s="715"/>
      <c r="I118" s="715"/>
      <c r="J118" s="715"/>
      <c r="K118" s="715"/>
      <c r="L118" s="715"/>
      <c r="M118" s="715"/>
      <c r="N118" s="715"/>
      <c r="O118" s="715"/>
      <c r="P118" s="715"/>
      <c r="Q118" s="715"/>
      <c r="R118" s="715"/>
      <c r="S118" s="716"/>
      <c r="T118" s="717"/>
    </row>
    <row r="119" spans="2:20">
      <c r="B119" s="25"/>
      <c r="C119" s="37"/>
    </row>
    <row r="121" spans="2:20" s="2" customFormat="1" ht="15.75" thickBot="1">
      <c r="B121" s="28" t="s">
        <v>42</v>
      </c>
      <c r="C121" s="28"/>
      <c r="D121" s="28"/>
      <c r="E121" s="28"/>
      <c r="F121" s="28" t="str">
        <f>CONCATENATE(LEFT(F144, 4)+1 &amp;"-" &amp;IF(F144&gt;"2007-08",,"0") &amp;RIGHT(F144,2)+1)</f>
        <v>2004-05</v>
      </c>
      <c r="G121" s="29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</row>
    <row r="122" spans="2:20" ht="14.25">
      <c r="B122" s="752" t="s">
        <v>19</v>
      </c>
      <c r="C122" s="754" t="s">
        <v>22</v>
      </c>
      <c r="D122" s="754" t="s">
        <v>41</v>
      </c>
      <c r="E122" s="758" t="s">
        <v>23</v>
      </c>
      <c r="F122" s="758"/>
      <c r="G122" s="758"/>
      <c r="H122" s="758"/>
      <c r="I122" s="758"/>
      <c r="J122" s="758"/>
      <c r="K122" s="758"/>
      <c r="L122" s="758"/>
      <c r="M122" s="758"/>
      <c r="N122" s="758"/>
      <c r="O122" s="758"/>
      <c r="P122" s="758"/>
      <c r="Q122" s="758"/>
      <c r="R122" s="758"/>
      <c r="S122" s="759"/>
      <c r="T122" s="760"/>
    </row>
    <row r="123" spans="2:20">
      <c r="B123" s="753"/>
      <c r="C123" s="755"/>
      <c r="D123" s="755"/>
      <c r="E123" s="761" t="s">
        <v>24</v>
      </c>
      <c r="F123" s="761"/>
      <c r="G123" s="151"/>
      <c r="H123" s="761" t="s">
        <v>25</v>
      </c>
      <c r="I123" s="761"/>
      <c r="J123" s="761" t="s">
        <v>26</v>
      </c>
      <c r="K123" s="761"/>
      <c r="L123" s="151"/>
      <c r="M123" s="761" t="s">
        <v>27</v>
      </c>
      <c r="N123" s="761"/>
      <c r="O123" s="761" t="s">
        <v>28</v>
      </c>
      <c r="P123" s="761"/>
      <c r="Q123" s="151"/>
      <c r="R123" s="761" t="s">
        <v>29</v>
      </c>
      <c r="S123" s="762"/>
      <c r="T123" s="763"/>
    </row>
    <row r="124" spans="2:20" ht="24">
      <c r="B124" s="753"/>
      <c r="C124" s="755"/>
      <c r="D124" s="755"/>
      <c r="E124" s="18" t="s">
        <v>30</v>
      </c>
      <c r="F124" s="18" t="s">
        <v>31</v>
      </c>
      <c r="G124" s="18" t="s">
        <v>32</v>
      </c>
      <c r="H124" s="18" t="s">
        <v>30</v>
      </c>
      <c r="I124" s="18" t="s">
        <v>31</v>
      </c>
      <c r="J124" s="18" t="s">
        <v>30</v>
      </c>
      <c r="K124" s="18" t="s">
        <v>31</v>
      </c>
      <c r="L124" s="18" t="s">
        <v>32</v>
      </c>
      <c r="M124" s="18" t="s">
        <v>30</v>
      </c>
      <c r="N124" s="18" t="s">
        <v>31</v>
      </c>
      <c r="O124" s="18" t="s">
        <v>30</v>
      </c>
      <c r="P124" s="18" t="s">
        <v>31</v>
      </c>
      <c r="Q124" s="18" t="s">
        <v>32</v>
      </c>
      <c r="R124" s="18" t="s">
        <v>30</v>
      </c>
      <c r="S124" s="18" t="s">
        <v>31</v>
      </c>
      <c r="T124" s="19" t="s">
        <v>33</v>
      </c>
    </row>
    <row r="125" spans="2:20">
      <c r="B125" s="20" t="str">
        <f>B102</f>
        <v>CN West</v>
      </c>
      <c r="C125" s="31">
        <v>2364562</v>
      </c>
      <c r="D125" s="31">
        <f>SUM(E125:T125)</f>
        <v>60953</v>
      </c>
      <c r="E125" s="173">
        <v>1393</v>
      </c>
      <c r="F125" s="173">
        <v>304</v>
      </c>
      <c r="G125" s="174">
        <v>0</v>
      </c>
      <c r="H125" s="173">
        <v>801</v>
      </c>
      <c r="I125" s="173">
        <v>16</v>
      </c>
      <c r="J125" s="173">
        <v>1041</v>
      </c>
      <c r="K125" s="173">
        <v>363</v>
      </c>
      <c r="L125" s="174">
        <v>0</v>
      </c>
      <c r="M125" s="174">
        <v>0</v>
      </c>
      <c r="N125" s="174">
        <v>0</v>
      </c>
      <c r="O125" s="173">
        <v>14632</v>
      </c>
      <c r="P125" s="173">
        <v>11693</v>
      </c>
      <c r="Q125" s="174">
        <v>0</v>
      </c>
      <c r="R125" s="173">
        <v>6215</v>
      </c>
      <c r="S125" s="173">
        <v>24495</v>
      </c>
      <c r="T125" s="175">
        <v>0</v>
      </c>
    </row>
    <row r="126" spans="2:20">
      <c r="B126" s="20" t="str">
        <f t="shared" ref="B126:B138" si="14">B103</f>
        <v>CN East</v>
      </c>
      <c r="C126" s="31">
        <v>2502085</v>
      </c>
      <c r="D126" s="31">
        <f t="shared" ref="D126:D138" si="15">SUM(E126:T126)</f>
        <v>69488</v>
      </c>
      <c r="E126" s="173">
        <v>2448</v>
      </c>
      <c r="F126" s="173">
        <v>196</v>
      </c>
      <c r="G126" s="174">
        <v>0</v>
      </c>
      <c r="H126" s="173">
        <v>0</v>
      </c>
      <c r="I126" s="173">
        <v>0</v>
      </c>
      <c r="J126" s="173">
        <v>2777</v>
      </c>
      <c r="K126" s="173">
        <v>1509</v>
      </c>
      <c r="L126" s="174">
        <v>0</v>
      </c>
      <c r="M126" s="174">
        <v>0</v>
      </c>
      <c r="N126" s="174">
        <v>0</v>
      </c>
      <c r="O126" s="173">
        <v>12812</v>
      </c>
      <c r="P126" s="173">
        <v>12701</v>
      </c>
      <c r="Q126" s="174">
        <v>0</v>
      </c>
      <c r="R126" s="173">
        <v>5168</v>
      </c>
      <c r="S126" s="173">
        <v>31877</v>
      </c>
      <c r="T126" s="175">
        <v>0</v>
      </c>
    </row>
    <row r="127" spans="2:20">
      <c r="B127" s="20" t="str">
        <f t="shared" si="14"/>
        <v>ENWL</v>
      </c>
      <c r="C127" s="31">
        <v>2297496</v>
      </c>
      <c r="D127" s="31">
        <f t="shared" si="15"/>
        <v>58984</v>
      </c>
      <c r="E127" s="173">
        <v>1327</v>
      </c>
      <c r="F127" s="173">
        <v>231</v>
      </c>
      <c r="G127" s="174">
        <v>0</v>
      </c>
      <c r="H127" s="173">
        <v>0</v>
      </c>
      <c r="I127" s="173">
        <v>0</v>
      </c>
      <c r="J127" s="173">
        <v>1434</v>
      </c>
      <c r="K127" s="173">
        <v>1780</v>
      </c>
      <c r="L127" s="174">
        <v>0</v>
      </c>
      <c r="M127" s="174">
        <v>0</v>
      </c>
      <c r="N127" s="174">
        <v>0</v>
      </c>
      <c r="O127" s="173">
        <v>7975</v>
      </c>
      <c r="P127" s="173">
        <v>11687</v>
      </c>
      <c r="Q127" s="174">
        <v>0</v>
      </c>
      <c r="R127" s="173">
        <v>2919</v>
      </c>
      <c r="S127" s="173">
        <v>31631</v>
      </c>
      <c r="T127" s="175">
        <v>0</v>
      </c>
    </row>
    <row r="128" spans="2:20">
      <c r="B128" s="20" t="str">
        <f t="shared" si="14"/>
        <v>CE NEDL</v>
      </c>
      <c r="C128" s="31">
        <v>1528624</v>
      </c>
      <c r="D128" s="31">
        <f t="shared" si="15"/>
        <v>40699.913</v>
      </c>
      <c r="E128" s="173">
        <v>602.57899999999995</v>
      </c>
      <c r="F128" s="173">
        <v>73.346000000000004</v>
      </c>
      <c r="G128" s="174">
        <v>0</v>
      </c>
      <c r="H128" s="173">
        <v>1012.394</v>
      </c>
      <c r="I128" s="173">
        <v>447.30099999999999</v>
      </c>
      <c r="J128" s="173">
        <v>360.12</v>
      </c>
      <c r="K128" s="173">
        <v>394.31</v>
      </c>
      <c r="L128" s="174">
        <v>0</v>
      </c>
      <c r="M128" s="174">
        <v>0</v>
      </c>
      <c r="N128" s="174">
        <v>0</v>
      </c>
      <c r="O128" s="173">
        <v>10199.540000000001</v>
      </c>
      <c r="P128" s="173">
        <v>7565.9780000000001</v>
      </c>
      <c r="Q128" s="174">
        <v>0</v>
      </c>
      <c r="R128" s="173">
        <v>3076.415</v>
      </c>
      <c r="S128" s="173">
        <v>16967.93</v>
      </c>
      <c r="T128" s="175">
        <v>0</v>
      </c>
    </row>
    <row r="129" spans="2:20">
      <c r="B129" s="20" t="str">
        <f t="shared" si="14"/>
        <v>CE YEDL</v>
      </c>
      <c r="C129" s="31">
        <v>2192210</v>
      </c>
      <c r="D129" s="31">
        <f t="shared" si="15"/>
        <v>51414.567999999999</v>
      </c>
      <c r="E129" s="173">
        <v>1064.414</v>
      </c>
      <c r="F129" s="173">
        <v>400.49900000000002</v>
      </c>
      <c r="G129" s="174">
        <v>0</v>
      </c>
      <c r="H129" s="173">
        <v>865.61699999999996</v>
      </c>
      <c r="I129" s="173">
        <v>201.875</v>
      </c>
      <c r="J129" s="173">
        <v>1272.1780000000001</v>
      </c>
      <c r="K129" s="173">
        <v>2011.4290000000001</v>
      </c>
      <c r="L129" s="174">
        <v>0</v>
      </c>
      <c r="M129" s="174">
        <v>0</v>
      </c>
      <c r="N129" s="174">
        <v>0</v>
      </c>
      <c r="O129" s="173">
        <v>8829.17</v>
      </c>
      <c r="P129" s="173">
        <v>10001.147000000001</v>
      </c>
      <c r="Q129" s="174">
        <v>0</v>
      </c>
      <c r="R129" s="173">
        <v>1841.3810000000001</v>
      </c>
      <c r="S129" s="173">
        <v>24926.858</v>
      </c>
      <c r="T129" s="175">
        <v>0</v>
      </c>
    </row>
    <row r="130" spans="2:20">
      <c r="B130" s="20" t="str">
        <f t="shared" si="14"/>
        <v>WPD S Wales</v>
      </c>
      <c r="C130" s="31">
        <v>1083220</v>
      </c>
      <c r="D130" s="31">
        <f t="shared" si="15"/>
        <v>34085.1</v>
      </c>
      <c r="E130" s="173">
        <v>1251</v>
      </c>
      <c r="F130" s="173">
        <v>93</v>
      </c>
      <c r="G130" s="174">
        <v>0</v>
      </c>
      <c r="H130" s="173">
        <v>354.8</v>
      </c>
      <c r="I130" s="173">
        <v>2.8</v>
      </c>
      <c r="J130" s="173">
        <v>1229.3</v>
      </c>
      <c r="K130" s="173">
        <v>371.7</v>
      </c>
      <c r="L130" s="174">
        <v>0</v>
      </c>
      <c r="M130" s="174">
        <v>0</v>
      </c>
      <c r="N130" s="174">
        <v>0</v>
      </c>
      <c r="O130" s="173">
        <v>12245.9</v>
      </c>
      <c r="P130" s="173">
        <v>5119.7</v>
      </c>
      <c r="Q130" s="174">
        <v>0</v>
      </c>
      <c r="R130" s="173">
        <v>3219.6</v>
      </c>
      <c r="S130" s="173">
        <v>10197.299999999999</v>
      </c>
      <c r="T130" s="175">
        <v>0</v>
      </c>
    </row>
    <row r="131" spans="2:20">
      <c r="B131" s="20" t="str">
        <f t="shared" si="14"/>
        <v>WPD S West</v>
      </c>
      <c r="C131" s="31">
        <v>1485141</v>
      </c>
      <c r="D131" s="31">
        <f t="shared" si="15"/>
        <v>48556.900000000009</v>
      </c>
      <c r="E131" s="173">
        <v>1405.5</v>
      </c>
      <c r="F131" s="173">
        <v>69.400000000000006</v>
      </c>
      <c r="G131" s="174">
        <v>0</v>
      </c>
      <c r="H131" s="173">
        <v>0</v>
      </c>
      <c r="I131" s="173">
        <v>0</v>
      </c>
      <c r="J131" s="173">
        <v>2907.4</v>
      </c>
      <c r="K131" s="173">
        <v>859.1</v>
      </c>
      <c r="L131" s="174">
        <v>0</v>
      </c>
      <c r="M131" s="174">
        <v>0</v>
      </c>
      <c r="N131" s="174">
        <v>0</v>
      </c>
      <c r="O131" s="173">
        <v>16627.900000000001</v>
      </c>
      <c r="P131" s="173">
        <v>6137.5</v>
      </c>
      <c r="Q131" s="174">
        <v>0</v>
      </c>
      <c r="R131" s="173">
        <v>7646.4</v>
      </c>
      <c r="S131" s="173">
        <v>12903.7</v>
      </c>
      <c r="T131" s="175">
        <v>0</v>
      </c>
    </row>
    <row r="132" spans="2:20">
      <c r="B132" s="20" t="str">
        <f t="shared" si="14"/>
        <v>UKPN LPN</v>
      </c>
      <c r="C132" s="31">
        <v>2247653</v>
      </c>
      <c r="D132" s="31">
        <f t="shared" si="15"/>
        <v>34598</v>
      </c>
      <c r="E132" s="173">
        <v>30</v>
      </c>
      <c r="F132" s="173">
        <v>475</v>
      </c>
      <c r="G132" s="174">
        <v>0</v>
      </c>
      <c r="H132" s="173">
        <v>17</v>
      </c>
      <c r="I132" s="173">
        <v>426</v>
      </c>
      <c r="J132" s="173">
        <v>0</v>
      </c>
      <c r="K132" s="173">
        <v>637</v>
      </c>
      <c r="L132" s="174">
        <v>0</v>
      </c>
      <c r="M132" s="174">
        <v>0</v>
      </c>
      <c r="N132" s="174">
        <v>0</v>
      </c>
      <c r="O132" s="173">
        <v>1</v>
      </c>
      <c r="P132" s="173">
        <v>11505</v>
      </c>
      <c r="Q132" s="174">
        <v>0</v>
      </c>
      <c r="R132" s="173">
        <v>0</v>
      </c>
      <c r="S132" s="173">
        <v>21507</v>
      </c>
      <c r="T132" s="175">
        <v>0</v>
      </c>
    </row>
    <row r="133" spans="2:20">
      <c r="B133" s="20" t="str">
        <f t="shared" si="14"/>
        <v>UKPN SEPN</v>
      </c>
      <c r="C133" s="31">
        <v>2187084</v>
      </c>
      <c r="D133" s="31">
        <f t="shared" si="15"/>
        <v>50095</v>
      </c>
      <c r="E133" s="173">
        <v>1178</v>
      </c>
      <c r="F133" s="173">
        <v>335</v>
      </c>
      <c r="G133" s="174">
        <v>0</v>
      </c>
      <c r="H133" s="173">
        <v>0</v>
      </c>
      <c r="I133" s="173">
        <v>0</v>
      </c>
      <c r="J133" s="173">
        <v>1299</v>
      </c>
      <c r="K133" s="173">
        <v>1331</v>
      </c>
      <c r="L133" s="174">
        <v>0</v>
      </c>
      <c r="M133" s="174">
        <v>0</v>
      </c>
      <c r="N133" s="174">
        <v>0</v>
      </c>
      <c r="O133" s="173">
        <v>5773</v>
      </c>
      <c r="P133" s="173">
        <v>11278</v>
      </c>
      <c r="Q133" s="174">
        <v>0</v>
      </c>
      <c r="R133" s="173">
        <v>4621</v>
      </c>
      <c r="S133" s="173">
        <v>24280</v>
      </c>
      <c r="T133" s="175">
        <v>0</v>
      </c>
    </row>
    <row r="134" spans="2:20">
      <c r="B134" s="20" t="str">
        <f t="shared" si="14"/>
        <v>UKPN EPN</v>
      </c>
      <c r="C134" s="31">
        <v>3464100</v>
      </c>
      <c r="D134" s="31">
        <f t="shared" si="15"/>
        <v>92845</v>
      </c>
      <c r="E134" s="173">
        <v>2521</v>
      </c>
      <c r="F134" s="173">
        <v>235</v>
      </c>
      <c r="G134" s="174">
        <v>0</v>
      </c>
      <c r="H134" s="173">
        <v>0</v>
      </c>
      <c r="I134" s="173">
        <v>0</v>
      </c>
      <c r="J134" s="173">
        <v>3468</v>
      </c>
      <c r="K134" s="173">
        <v>2239</v>
      </c>
      <c r="L134" s="174">
        <v>0</v>
      </c>
      <c r="M134" s="174">
        <v>0</v>
      </c>
      <c r="N134" s="174">
        <v>0</v>
      </c>
      <c r="O134" s="173">
        <v>19251</v>
      </c>
      <c r="P134" s="173">
        <v>18097</v>
      </c>
      <c r="Q134" s="174">
        <v>0</v>
      </c>
      <c r="R134" s="173">
        <v>9409</v>
      </c>
      <c r="S134" s="173">
        <v>37625</v>
      </c>
      <c r="T134" s="175">
        <v>0</v>
      </c>
    </row>
    <row r="135" spans="2:20">
      <c r="B135" s="20" t="str">
        <f t="shared" si="14"/>
        <v>SP Distribution</v>
      </c>
      <c r="C135" s="31">
        <v>1988756</v>
      </c>
      <c r="D135" s="31">
        <f t="shared" si="15"/>
        <v>59673</v>
      </c>
      <c r="E135" s="173">
        <v>0</v>
      </c>
      <c r="F135" s="173">
        <v>0</v>
      </c>
      <c r="G135" s="174">
        <v>0</v>
      </c>
      <c r="H135" s="173">
        <v>0</v>
      </c>
      <c r="I135" s="173">
        <v>0</v>
      </c>
      <c r="J135" s="173">
        <v>2677</v>
      </c>
      <c r="K135" s="173">
        <v>2723</v>
      </c>
      <c r="L135" s="174">
        <v>0</v>
      </c>
      <c r="M135" s="174">
        <v>0</v>
      </c>
      <c r="N135" s="174">
        <v>0</v>
      </c>
      <c r="O135" s="173">
        <v>13977</v>
      </c>
      <c r="P135" s="173">
        <v>11642</v>
      </c>
      <c r="Q135" s="174">
        <v>0</v>
      </c>
      <c r="R135" s="173">
        <v>4544</v>
      </c>
      <c r="S135" s="173">
        <v>24110</v>
      </c>
      <c r="T135" s="175">
        <v>0</v>
      </c>
    </row>
    <row r="136" spans="2:20">
      <c r="B136" s="20" t="str">
        <f t="shared" si="14"/>
        <v>SP Manweb</v>
      </c>
      <c r="C136" s="31">
        <v>1484250</v>
      </c>
      <c r="D136" s="31">
        <f t="shared" si="15"/>
        <v>47649</v>
      </c>
      <c r="E136" s="173">
        <v>1299</v>
      </c>
      <c r="F136" s="173">
        <v>213</v>
      </c>
      <c r="G136" s="174">
        <v>0</v>
      </c>
      <c r="H136" s="173">
        <v>0</v>
      </c>
      <c r="I136" s="173">
        <v>0</v>
      </c>
      <c r="J136" s="173">
        <v>1935</v>
      </c>
      <c r="K136" s="173">
        <v>1625</v>
      </c>
      <c r="L136" s="174">
        <v>0</v>
      </c>
      <c r="M136" s="174">
        <v>0</v>
      </c>
      <c r="N136" s="174">
        <v>0</v>
      </c>
      <c r="O136" s="173">
        <v>12586</v>
      </c>
      <c r="P136" s="173">
        <v>6621</v>
      </c>
      <c r="Q136" s="174">
        <v>0</v>
      </c>
      <c r="R136" s="173">
        <v>5643</v>
      </c>
      <c r="S136" s="173">
        <v>17727</v>
      </c>
      <c r="T136" s="175">
        <v>0</v>
      </c>
    </row>
    <row r="137" spans="2:20">
      <c r="B137" s="20" t="str">
        <f t="shared" si="14"/>
        <v>SSE Hydro</v>
      </c>
      <c r="C137" s="31">
        <v>692495</v>
      </c>
      <c r="D137" s="31">
        <f t="shared" si="15"/>
        <v>44685</v>
      </c>
      <c r="E137" s="173">
        <v>0</v>
      </c>
      <c r="F137" s="173">
        <v>0</v>
      </c>
      <c r="G137" s="174">
        <v>0</v>
      </c>
      <c r="H137" s="173">
        <v>0</v>
      </c>
      <c r="I137" s="173">
        <v>0</v>
      </c>
      <c r="J137" s="173">
        <v>5315</v>
      </c>
      <c r="K137" s="173">
        <v>766</v>
      </c>
      <c r="L137" s="174">
        <v>0</v>
      </c>
      <c r="M137" s="174">
        <v>0</v>
      </c>
      <c r="N137" s="174">
        <v>0</v>
      </c>
      <c r="O137" s="173">
        <v>21600</v>
      </c>
      <c r="P137" s="173">
        <v>4363</v>
      </c>
      <c r="Q137" s="174">
        <v>0</v>
      </c>
      <c r="R137" s="173">
        <v>4252</v>
      </c>
      <c r="S137" s="173">
        <v>8389</v>
      </c>
      <c r="T137" s="175">
        <v>0</v>
      </c>
    </row>
    <row r="138" spans="2:20">
      <c r="B138" s="20" t="str">
        <f t="shared" si="14"/>
        <v>SSE Southern</v>
      </c>
      <c r="C138" s="31">
        <v>2785018</v>
      </c>
      <c r="D138" s="31">
        <f t="shared" si="15"/>
        <v>76146</v>
      </c>
      <c r="E138" s="173">
        <v>1868</v>
      </c>
      <c r="F138" s="173">
        <v>423</v>
      </c>
      <c r="G138" s="174">
        <v>0</v>
      </c>
      <c r="H138" s="173">
        <v>6</v>
      </c>
      <c r="I138" s="173">
        <v>188</v>
      </c>
      <c r="J138" s="173">
        <v>3487</v>
      </c>
      <c r="K138" s="173">
        <v>2088</v>
      </c>
      <c r="L138" s="174">
        <v>0</v>
      </c>
      <c r="M138" s="174">
        <v>0</v>
      </c>
      <c r="N138" s="174">
        <v>0</v>
      </c>
      <c r="O138" s="173">
        <v>13370</v>
      </c>
      <c r="P138" s="173">
        <v>15194</v>
      </c>
      <c r="Q138" s="174">
        <v>0</v>
      </c>
      <c r="R138" s="173">
        <v>8947</v>
      </c>
      <c r="S138" s="173">
        <v>30575</v>
      </c>
      <c r="T138" s="175">
        <v>0</v>
      </c>
    </row>
    <row r="139" spans="2:20">
      <c r="B139" s="21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1"/>
      <c r="R139" s="32"/>
      <c r="S139" s="33"/>
      <c r="T139" s="34"/>
    </row>
    <row r="140" spans="2:20" ht="13.5" thickBot="1">
      <c r="B140" s="27" t="s">
        <v>38</v>
      </c>
      <c r="C140" s="35">
        <f>SUM(C125:C138)</f>
        <v>28302694</v>
      </c>
      <c r="D140" s="35">
        <f>SUM(D125:D138)</f>
        <v>769872.48100000003</v>
      </c>
      <c r="E140" s="35">
        <f t="shared" ref="E140:T140" si="16">SUM(E125:E138)</f>
        <v>16387.492999999999</v>
      </c>
      <c r="F140" s="35">
        <f t="shared" si="16"/>
        <v>3048.2449999999999</v>
      </c>
      <c r="G140" s="35">
        <f t="shared" si="16"/>
        <v>0</v>
      </c>
      <c r="H140" s="35">
        <f t="shared" si="16"/>
        <v>3056.8110000000001</v>
      </c>
      <c r="I140" s="35">
        <f t="shared" si="16"/>
        <v>1281.9759999999999</v>
      </c>
      <c r="J140" s="35">
        <f t="shared" si="16"/>
        <v>29201.998</v>
      </c>
      <c r="K140" s="35">
        <f t="shared" si="16"/>
        <v>18697.539000000001</v>
      </c>
      <c r="L140" s="35">
        <f t="shared" si="16"/>
        <v>0</v>
      </c>
      <c r="M140" s="35">
        <f t="shared" si="16"/>
        <v>0</v>
      </c>
      <c r="N140" s="35">
        <f t="shared" si="16"/>
        <v>0</v>
      </c>
      <c r="O140" s="35">
        <f t="shared" si="16"/>
        <v>169879.51</v>
      </c>
      <c r="P140" s="35">
        <f t="shared" si="16"/>
        <v>143605.32500000001</v>
      </c>
      <c r="Q140" s="35">
        <f t="shared" si="16"/>
        <v>0</v>
      </c>
      <c r="R140" s="35">
        <f t="shared" si="16"/>
        <v>67501.796000000002</v>
      </c>
      <c r="S140" s="35">
        <f t="shared" si="16"/>
        <v>317211.788</v>
      </c>
      <c r="T140" s="36">
        <f t="shared" si="16"/>
        <v>0</v>
      </c>
    </row>
    <row r="141" spans="2:20" ht="14.25">
      <c r="B141" s="25" t="s">
        <v>59</v>
      </c>
      <c r="C141" s="26" t="s">
        <v>39</v>
      </c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4"/>
    </row>
    <row r="142" spans="2:20">
      <c r="B142" s="25"/>
      <c r="C142" s="37"/>
    </row>
    <row r="144" spans="2:20" s="2" customFormat="1" ht="15.75" thickBot="1">
      <c r="B144" s="28" t="s">
        <v>42</v>
      </c>
      <c r="C144" s="28"/>
      <c r="D144" s="28"/>
      <c r="E144" s="28"/>
      <c r="F144" s="28" t="str">
        <f>CONCATENATE(LEFT(F167, 4)+1 &amp;"-" &amp;IF(F167&gt;"2007-08",,"0") &amp;RIGHT(F167,2)+1)</f>
        <v>2003-04</v>
      </c>
      <c r="G144" s="29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</row>
    <row r="145" spans="2:20" ht="14.25">
      <c r="B145" s="752" t="s">
        <v>19</v>
      </c>
      <c r="C145" s="754" t="s">
        <v>22</v>
      </c>
      <c r="D145" s="754" t="s">
        <v>41</v>
      </c>
      <c r="E145" s="758" t="s">
        <v>23</v>
      </c>
      <c r="F145" s="758"/>
      <c r="G145" s="758"/>
      <c r="H145" s="758"/>
      <c r="I145" s="758"/>
      <c r="J145" s="758"/>
      <c r="K145" s="758"/>
      <c r="L145" s="758"/>
      <c r="M145" s="758"/>
      <c r="N145" s="758"/>
      <c r="O145" s="758"/>
      <c r="P145" s="758"/>
      <c r="Q145" s="758"/>
      <c r="R145" s="758"/>
      <c r="S145" s="759"/>
      <c r="T145" s="760"/>
    </row>
    <row r="146" spans="2:20">
      <c r="B146" s="753"/>
      <c r="C146" s="755"/>
      <c r="D146" s="755"/>
      <c r="E146" s="761" t="s">
        <v>24</v>
      </c>
      <c r="F146" s="761"/>
      <c r="G146" s="151"/>
      <c r="H146" s="761" t="s">
        <v>25</v>
      </c>
      <c r="I146" s="761"/>
      <c r="J146" s="761" t="s">
        <v>26</v>
      </c>
      <c r="K146" s="761"/>
      <c r="L146" s="151"/>
      <c r="M146" s="761" t="s">
        <v>27</v>
      </c>
      <c r="N146" s="761"/>
      <c r="O146" s="761" t="s">
        <v>28</v>
      </c>
      <c r="P146" s="761"/>
      <c r="Q146" s="151"/>
      <c r="R146" s="761" t="s">
        <v>29</v>
      </c>
      <c r="S146" s="762"/>
      <c r="T146" s="763"/>
    </row>
    <row r="147" spans="2:20" ht="24">
      <c r="B147" s="753"/>
      <c r="C147" s="755"/>
      <c r="D147" s="755"/>
      <c r="E147" s="18" t="s">
        <v>30</v>
      </c>
      <c r="F147" s="18" t="s">
        <v>31</v>
      </c>
      <c r="G147" s="18" t="s">
        <v>32</v>
      </c>
      <c r="H147" s="18" t="s">
        <v>30</v>
      </c>
      <c r="I147" s="18" t="s">
        <v>31</v>
      </c>
      <c r="J147" s="18" t="s">
        <v>30</v>
      </c>
      <c r="K147" s="18" t="s">
        <v>31</v>
      </c>
      <c r="L147" s="18" t="s">
        <v>32</v>
      </c>
      <c r="M147" s="18" t="s">
        <v>30</v>
      </c>
      <c r="N147" s="18" t="s">
        <v>31</v>
      </c>
      <c r="O147" s="18" t="s">
        <v>30</v>
      </c>
      <c r="P147" s="18" t="s">
        <v>31</v>
      </c>
      <c r="Q147" s="18" t="s">
        <v>32</v>
      </c>
      <c r="R147" s="18" t="s">
        <v>30</v>
      </c>
      <c r="S147" s="18" t="s">
        <v>31</v>
      </c>
      <c r="T147" s="19" t="s">
        <v>33</v>
      </c>
    </row>
    <row r="148" spans="2:20">
      <c r="B148" s="20" t="str">
        <f>B125</f>
        <v>CN West</v>
      </c>
      <c r="C148" s="31">
        <v>2323792</v>
      </c>
      <c r="D148" s="31">
        <f>SUM(E148:T148)</f>
        <v>60573.03</v>
      </c>
      <c r="E148" s="173">
        <v>1396</v>
      </c>
      <c r="F148" s="173">
        <v>3.03</v>
      </c>
      <c r="G148" s="174">
        <v>0</v>
      </c>
      <c r="H148" s="173">
        <v>801</v>
      </c>
      <c r="I148" s="173">
        <v>16</v>
      </c>
      <c r="J148" s="173">
        <v>1041</v>
      </c>
      <c r="K148" s="173">
        <v>380</v>
      </c>
      <c r="L148" s="174">
        <v>0</v>
      </c>
      <c r="M148" s="174">
        <v>0</v>
      </c>
      <c r="N148" s="174">
        <v>0</v>
      </c>
      <c r="O148" s="173">
        <v>14684</v>
      </c>
      <c r="P148" s="173">
        <v>11652</v>
      </c>
      <c r="Q148" s="174">
        <v>0</v>
      </c>
      <c r="R148" s="173">
        <v>6230</v>
      </c>
      <c r="S148" s="173">
        <v>24370</v>
      </c>
      <c r="T148" s="179">
        <v>0</v>
      </c>
    </row>
    <row r="149" spans="2:20">
      <c r="B149" s="20" t="str">
        <f t="shared" ref="B149:B161" si="17">B126</f>
        <v>CN East</v>
      </c>
      <c r="C149" s="31">
        <v>2471437</v>
      </c>
      <c r="D149" s="31">
        <f t="shared" ref="D149:D161" si="18">SUM(E149:T149)</f>
        <v>68853.83</v>
      </c>
      <c r="E149" s="173">
        <v>2448</v>
      </c>
      <c r="F149" s="173">
        <v>1.83</v>
      </c>
      <c r="G149" s="174">
        <v>0</v>
      </c>
      <c r="H149" s="173">
        <v>0</v>
      </c>
      <c r="I149" s="173">
        <v>0</v>
      </c>
      <c r="J149" s="173">
        <v>2799</v>
      </c>
      <c r="K149" s="173">
        <v>1466</v>
      </c>
      <c r="L149" s="174">
        <v>0</v>
      </c>
      <c r="M149" s="174">
        <v>0</v>
      </c>
      <c r="N149" s="174">
        <v>0</v>
      </c>
      <c r="O149" s="173">
        <v>12835</v>
      </c>
      <c r="P149" s="173">
        <v>12534</v>
      </c>
      <c r="Q149" s="174">
        <v>0</v>
      </c>
      <c r="R149" s="173">
        <v>5221</v>
      </c>
      <c r="S149" s="173">
        <v>31549</v>
      </c>
      <c r="T149" s="179">
        <v>0</v>
      </c>
    </row>
    <row r="150" spans="2:20">
      <c r="B150" s="20" t="str">
        <f t="shared" si="17"/>
        <v>ENWL</v>
      </c>
      <c r="C150" s="31">
        <v>2279297</v>
      </c>
      <c r="D150" s="31">
        <f t="shared" si="18"/>
        <v>58689</v>
      </c>
      <c r="E150" s="173">
        <v>1330</v>
      </c>
      <c r="F150" s="173">
        <v>231</v>
      </c>
      <c r="G150" s="174">
        <v>0</v>
      </c>
      <c r="H150" s="173">
        <v>0</v>
      </c>
      <c r="I150" s="173">
        <v>0</v>
      </c>
      <c r="J150" s="173">
        <v>1429</v>
      </c>
      <c r="K150" s="173">
        <v>1786</v>
      </c>
      <c r="L150" s="174">
        <v>0</v>
      </c>
      <c r="M150" s="174">
        <v>0</v>
      </c>
      <c r="N150" s="174">
        <v>0</v>
      </c>
      <c r="O150" s="173">
        <v>8019</v>
      </c>
      <c r="P150" s="173">
        <v>11529</v>
      </c>
      <c r="Q150" s="174">
        <v>0</v>
      </c>
      <c r="R150" s="173">
        <v>2931</v>
      </c>
      <c r="S150" s="173">
        <v>31434</v>
      </c>
      <c r="T150" s="179">
        <v>0</v>
      </c>
    </row>
    <row r="151" spans="2:20">
      <c r="B151" s="20" t="str">
        <f t="shared" si="17"/>
        <v>CE NEDL</v>
      </c>
      <c r="C151" s="31">
        <v>1518745</v>
      </c>
      <c r="D151" s="31">
        <f t="shared" si="18"/>
        <v>40117.072800000344</v>
      </c>
      <c r="E151" s="173">
        <v>602.57990000000018</v>
      </c>
      <c r="F151" s="173">
        <v>73.345899999999986</v>
      </c>
      <c r="G151" s="174">
        <v>0</v>
      </c>
      <c r="H151" s="173">
        <v>1011.9473999999999</v>
      </c>
      <c r="I151" s="173">
        <v>439.11110000000002</v>
      </c>
      <c r="J151" s="173">
        <v>356.1225</v>
      </c>
      <c r="K151" s="173">
        <v>383.66039999999992</v>
      </c>
      <c r="L151" s="174">
        <v>0</v>
      </c>
      <c r="M151" s="174">
        <v>0</v>
      </c>
      <c r="N151" s="174">
        <v>0</v>
      </c>
      <c r="O151" s="173">
        <v>10181.548400000009</v>
      </c>
      <c r="P151" s="173">
        <v>7498.1660999999949</v>
      </c>
      <c r="Q151" s="174">
        <v>0</v>
      </c>
      <c r="R151" s="173">
        <v>2965.0431999999923</v>
      </c>
      <c r="S151" s="173">
        <v>16605.547900000347</v>
      </c>
      <c r="T151" s="179">
        <v>0</v>
      </c>
    </row>
    <row r="152" spans="2:20">
      <c r="B152" s="20" t="str">
        <f t="shared" si="17"/>
        <v>CE YEDL</v>
      </c>
      <c r="C152" s="31">
        <v>2171755</v>
      </c>
      <c r="D152" s="31">
        <f t="shared" si="18"/>
        <v>51362</v>
      </c>
      <c r="E152" s="173">
        <v>1062</v>
      </c>
      <c r="F152" s="173">
        <v>402</v>
      </c>
      <c r="G152" s="174">
        <v>0</v>
      </c>
      <c r="H152" s="173">
        <v>877</v>
      </c>
      <c r="I152" s="173">
        <v>179</v>
      </c>
      <c r="J152" s="173">
        <v>1279</v>
      </c>
      <c r="K152" s="173">
        <v>1977</v>
      </c>
      <c r="L152" s="174">
        <v>0</v>
      </c>
      <c r="M152" s="174">
        <v>0</v>
      </c>
      <c r="N152" s="174">
        <v>0</v>
      </c>
      <c r="O152" s="173">
        <v>8789</v>
      </c>
      <c r="P152" s="173">
        <v>10100</v>
      </c>
      <c r="Q152" s="174">
        <v>0</v>
      </c>
      <c r="R152" s="173">
        <v>1845</v>
      </c>
      <c r="S152" s="173">
        <v>24852</v>
      </c>
      <c r="T152" s="179">
        <v>0</v>
      </c>
    </row>
    <row r="153" spans="2:20">
      <c r="B153" s="20" t="str">
        <f t="shared" si="17"/>
        <v>WPD S Wales</v>
      </c>
      <c r="C153" s="31">
        <v>1076287</v>
      </c>
      <c r="D153" s="31">
        <f t="shared" si="18"/>
        <v>33743.1</v>
      </c>
      <c r="E153" s="173">
        <v>1158</v>
      </c>
      <c r="F153" s="173">
        <v>89.9</v>
      </c>
      <c r="G153" s="174">
        <v>0</v>
      </c>
      <c r="H153" s="173">
        <v>354.1</v>
      </c>
      <c r="I153" s="173">
        <v>2.8</v>
      </c>
      <c r="J153" s="173">
        <v>1263.8</v>
      </c>
      <c r="K153" s="173">
        <v>352.1</v>
      </c>
      <c r="L153" s="174">
        <v>0</v>
      </c>
      <c r="M153" s="174">
        <v>0</v>
      </c>
      <c r="N153" s="174">
        <v>0</v>
      </c>
      <c r="O153" s="173">
        <v>12239.5</v>
      </c>
      <c r="P153" s="173">
        <v>5044.8999999999996</v>
      </c>
      <c r="Q153" s="174">
        <v>0</v>
      </c>
      <c r="R153" s="173">
        <v>3225.8</v>
      </c>
      <c r="S153" s="173">
        <v>10012.200000000001</v>
      </c>
      <c r="T153" s="179">
        <v>0</v>
      </c>
    </row>
    <row r="154" spans="2:20">
      <c r="B154" s="20" t="str">
        <f t="shared" si="17"/>
        <v>WPD S West</v>
      </c>
      <c r="C154" s="31">
        <v>1466838</v>
      </c>
      <c r="D154" s="31">
        <f t="shared" si="18"/>
        <v>48377.3</v>
      </c>
      <c r="E154" s="173">
        <v>1376.6</v>
      </c>
      <c r="F154" s="173">
        <v>72.2</v>
      </c>
      <c r="G154" s="174">
        <v>0</v>
      </c>
      <c r="H154" s="173">
        <v>0</v>
      </c>
      <c r="I154" s="173">
        <v>0</v>
      </c>
      <c r="J154" s="173">
        <v>2851</v>
      </c>
      <c r="K154" s="173">
        <v>992.1</v>
      </c>
      <c r="L154" s="174">
        <v>0</v>
      </c>
      <c r="M154" s="174">
        <v>0</v>
      </c>
      <c r="N154" s="174">
        <v>0</v>
      </c>
      <c r="O154" s="173">
        <v>16642.8</v>
      </c>
      <c r="P154" s="173">
        <v>6087.7</v>
      </c>
      <c r="Q154" s="174">
        <v>0</v>
      </c>
      <c r="R154" s="173">
        <v>7683.8</v>
      </c>
      <c r="S154" s="173">
        <v>12671.1</v>
      </c>
      <c r="T154" s="179">
        <v>0</v>
      </c>
    </row>
    <row r="155" spans="2:20">
      <c r="B155" s="20" t="str">
        <f t="shared" si="17"/>
        <v>UKPN LPN</v>
      </c>
      <c r="C155" s="31">
        <v>2255232</v>
      </c>
      <c r="D155" s="31">
        <f t="shared" si="18"/>
        <v>31026</v>
      </c>
      <c r="E155" s="173">
        <v>30</v>
      </c>
      <c r="F155" s="173">
        <v>472</v>
      </c>
      <c r="G155" s="174">
        <v>0</v>
      </c>
      <c r="H155" s="173">
        <v>17</v>
      </c>
      <c r="I155" s="173">
        <v>426</v>
      </c>
      <c r="J155" s="173">
        <v>0</v>
      </c>
      <c r="K155" s="173">
        <v>637</v>
      </c>
      <c r="L155" s="174">
        <v>0</v>
      </c>
      <c r="M155" s="174">
        <v>0</v>
      </c>
      <c r="N155" s="174">
        <v>0</v>
      </c>
      <c r="O155" s="173">
        <v>1</v>
      </c>
      <c r="P155" s="173">
        <v>9471</v>
      </c>
      <c r="Q155" s="174">
        <v>0</v>
      </c>
      <c r="R155" s="173">
        <v>0</v>
      </c>
      <c r="S155" s="173">
        <v>19972</v>
      </c>
      <c r="T155" s="179">
        <v>0</v>
      </c>
    </row>
    <row r="156" spans="2:20">
      <c r="B156" s="20" t="str">
        <f t="shared" si="17"/>
        <v>UKPN SEPN</v>
      </c>
      <c r="C156" s="31">
        <v>2168321</v>
      </c>
      <c r="D156" s="31">
        <f t="shared" si="18"/>
        <v>49938</v>
      </c>
      <c r="E156" s="173">
        <v>1178</v>
      </c>
      <c r="F156" s="173">
        <v>335</v>
      </c>
      <c r="G156" s="174">
        <v>0</v>
      </c>
      <c r="H156" s="173">
        <v>0</v>
      </c>
      <c r="I156" s="173">
        <v>0</v>
      </c>
      <c r="J156" s="173">
        <v>1298</v>
      </c>
      <c r="K156" s="173">
        <v>1312</v>
      </c>
      <c r="L156" s="174">
        <v>0</v>
      </c>
      <c r="M156" s="174">
        <v>0</v>
      </c>
      <c r="N156" s="174">
        <v>0</v>
      </c>
      <c r="O156" s="173">
        <v>5786</v>
      </c>
      <c r="P156" s="173">
        <v>11243</v>
      </c>
      <c r="Q156" s="174">
        <v>0</v>
      </c>
      <c r="R156" s="173">
        <v>4628</v>
      </c>
      <c r="S156" s="173">
        <v>24158</v>
      </c>
      <c r="T156" s="179">
        <v>0</v>
      </c>
    </row>
    <row r="157" spans="2:20">
      <c r="B157" s="20" t="str">
        <f t="shared" si="17"/>
        <v>UKPN EPN</v>
      </c>
      <c r="C157" s="31">
        <v>3415372</v>
      </c>
      <c r="D157" s="31">
        <f t="shared" si="18"/>
        <v>91937.33</v>
      </c>
      <c r="E157" s="173">
        <v>2539</v>
      </c>
      <c r="F157" s="173">
        <v>2.33</v>
      </c>
      <c r="G157" s="174">
        <v>0</v>
      </c>
      <c r="H157" s="173">
        <v>0</v>
      </c>
      <c r="I157" s="173">
        <v>0</v>
      </c>
      <c r="J157" s="173">
        <v>3497</v>
      </c>
      <c r="K157" s="173">
        <v>2186</v>
      </c>
      <c r="L157" s="174">
        <v>0</v>
      </c>
      <c r="M157" s="174">
        <v>0</v>
      </c>
      <c r="N157" s="174">
        <v>0</v>
      </c>
      <c r="O157" s="173">
        <v>19266</v>
      </c>
      <c r="P157" s="173">
        <v>17827</v>
      </c>
      <c r="Q157" s="174">
        <v>0</v>
      </c>
      <c r="R157" s="173">
        <v>9442</v>
      </c>
      <c r="S157" s="173">
        <v>37178</v>
      </c>
      <c r="T157" s="179">
        <v>0</v>
      </c>
    </row>
    <row r="158" spans="2:20">
      <c r="B158" s="20" t="str">
        <f t="shared" si="17"/>
        <v>SP Distribution</v>
      </c>
      <c r="C158" s="31">
        <v>1962975</v>
      </c>
      <c r="D158" s="31">
        <f t="shared" si="18"/>
        <v>65597</v>
      </c>
      <c r="E158" s="173">
        <v>0</v>
      </c>
      <c r="F158" s="173">
        <v>0</v>
      </c>
      <c r="G158" s="174">
        <v>0</v>
      </c>
      <c r="H158" s="173">
        <v>0</v>
      </c>
      <c r="I158" s="173">
        <v>0</v>
      </c>
      <c r="J158" s="173">
        <v>2963</v>
      </c>
      <c r="K158" s="173">
        <v>1838</v>
      </c>
      <c r="L158" s="174">
        <v>0</v>
      </c>
      <c r="M158" s="174">
        <v>0</v>
      </c>
      <c r="N158" s="174">
        <v>0</v>
      </c>
      <c r="O158" s="173">
        <v>16953</v>
      </c>
      <c r="P158" s="173">
        <v>15189</v>
      </c>
      <c r="Q158" s="174">
        <v>0</v>
      </c>
      <c r="R158" s="173">
        <v>4544</v>
      </c>
      <c r="S158" s="173">
        <v>24110</v>
      </c>
      <c r="T158" s="179">
        <v>0</v>
      </c>
    </row>
    <row r="159" spans="2:20">
      <c r="B159" s="20" t="str">
        <f t="shared" si="17"/>
        <v>SP Manweb</v>
      </c>
      <c r="C159" s="31">
        <v>1468457</v>
      </c>
      <c r="D159" s="31">
        <f t="shared" si="18"/>
        <v>47274</v>
      </c>
      <c r="E159" s="173">
        <v>1299</v>
      </c>
      <c r="F159" s="173">
        <v>213</v>
      </c>
      <c r="G159" s="174">
        <v>0</v>
      </c>
      <c r="H159" s="173">
        <v>0</v>
      </c>
      <c r="I159" s="173">
        <v>0</v>
      </c>
      <c r="J159" s="173">
        <v>1943</v>
      </c>
      <c r="K159" s="173">
        <v>1601</v>
      </c>
      <c r="L159" s="174">
        <v>0</v>
      </c>
      <c r="M159" s="174">
        <v>0</v>
      </c>
      <c r="N159" s="174">
        <v>0</v>
      </c>
      <c r="O159" s="173">
        <v>12605</v>
      </c>
      <c r="P159" s="173">
        <v>6546</v>
      </c>
      <c r="Q159" s="174">
        <v>0</v>
      </c>
      <c r="R159" s="173">
        <v>5657</v>
      </c>
      <c r="S159" s="173">
        <v>17410</v>
      </c>
      <c r="T159" s="179">
        <v>0</v>
      </c>
    </row>
    <row r="160" spans="2:20">
      <c r="B160" s="20" t="str">
        <f t="shared" si="17"/>
        <v>SSE Hydro</v>
      </c>
      <c r="C160" s="31">
        <v>684124</v>
      </c>
      <c r="D160" s="31">
        <f t="shared" si="18"/>
        <v>44437</v>
      </c>
      <c r="E160" s="173">
        <v>0</v>
      </c>
      <c r="F160" s="173">
        <v>0</v>
      </c>
      <c r="G160" s="174">
        <v>0</v>
      </c>
      <c r="H160" s="173">
        <v>0</v>
      </c>
      <c r="I160" s="173">
        <v>0</v>
      </c>
      <c r="J160" s="173">
        <v>5337</v>
      </c>
      <c r="K160" s="173">
        <v>754</v>
      </c>
      <c r="L160" s="174">
        <v>0</v>
      </c>
      <c r="M160" s="174">
        <v>0</v>
      </c>
      <c r="N160" s="174">
        <v>0</v>
      </c>
      <c r="O160" s="173">
        <v>21553</v>
      </c>
      <c r="P160" s="173">
        <v>4275</v>
      </c>
      <c r="Q160" s="174">
        <v>0</v>
      </c>
      <c r="R160" s="173">
        <v>4296</v>
      </c>
      <c r="S160" s="173">
        <v>8222</v>
      </c>
      <c r="T160" s="179">
        <v>0</v>
      </c>
    </row>
    <row r="161" spans="2:20">
      <c r="B161" s="20" t="str">
        <f t="shared" si="17"/>
        <v>SSE Southern</v>
      </c>
      <c r="C161" s="31">
        <v>2760987</v>
      </c>
      <c r="D161" s="31">
        <f t="shared" si="18"/>
        <v>75491</v>
      </c>
      <c r="E161" s="173">
        <v>1868</v>
      </c>
      <c r="F161" s="173">
        <v>402</v>
      </c>
      <c r="G161" s="174">
        <v>0</v>
      </c>
      <c r="H161" s="173">
        <v>6</v>
      </c>
      <c r="I161" s="173">
        <v>188</v>
      </c>
      <c r="J161" s="173">
        <v>3489</v>
      </c>
      <c r="K161" s="173">
        <v>2000</v>
      </c>
      <c r="L161" s="174">
        <v>0</v>
      </c>
      <c r="M161" s="174">
        <v>0</v>
      </c>
      <c r="N161" s="174">
        <v>0</v>
      </c>
      <c r="O161" s="173">
        <v>13413</v>
      </c>
      <c r="P161" s="173">
        <v>14960</v>
      </c>
      <c r="Q161" s="174">
        <v>0</v>
      </c>
      <c r="R161" s="173">
        <v>8967</v>
      </c>
      <c r="S161" s="173">
        <v>30198</v>
      </c>
      <c r="T161" s="179">
        <v>0</v>
      </c>
    </row>
    <row r="162" spans="2:20">
      <c r="B162" s="21"/>
      <c r="C162" s="13"/>
      <c r="D162" s="32"/>
      <c r="E162" s="176"/>
      <c r="F162" s="173"/>
      <c r="G162" s="173"/>
      <c r="H162" s="173"/>
      <c r="I162" s="173"/>
      <c r="J162" s="173"/>
      <c r="K162" s="173"/>
      <c r="L162" s="173"/>
      <c r="M162" s="173"/>
      <c r="N162" s="173"/>
      <c r="O162" s="173"/>
      <c r="P162" s="173"/>
      <c r="Q162" s="173"/>
      <c r="R162" s="173"/>
      <c r="S162" s="173"/>
      <c r="T162" s="175"/>
    </row>
    <row r="163" spans="2:20" ht="13.5" thickBot="1">
      <c r="B163" s="27" t="s">
        <v>38</v>
      </c>
      <c r="C163" s="35">
        <f>SUM(C148:C161)</f>
        <v>28023619</v>
      </c>
      <c r="D163" s="35">
        <f>SUM(D148:D161)</f>
        <v>767415.66280000028</v>
      </c>
      <c r="E163" s="177">
        <f t="shared" ref="E163:T163" si="19">SUM(E148:E161)</f>
        <v>16287.179900000001</v>
      </c>
      <c r="F163" s="177">
        <f t="shared" si="19"/>
        <v>2297.6358999999998</v>
      </c>
      <c r="G163" s="177">
        <f t="shared" si="19"/>
        <v>0</v>
      </c>
      <c r="H163" s="177">
        <f t="shared" si="19"/>
        <v>3067.0473999999999</v>
      </c>
      <c r="I163" s="177">
        <f t="shared" si="19"/>
        <v>1250.9111</v>
      </c>
      <c r="J163" s="177">
        <f t="shared" si="19"/>
        <v>29545.922500000001</v>
      </c>
      <c r="K163" s="177">
        <f t="shared" si="19"/>
        <v>17664.860400000001</v>
      </c>
      <c r="L163" s="177">
        <f t="shared" si="19"/>
        <v>0</v>
      </c>
      <c r="M163" s="177">
        <f t="shared" si="19"/>
        <v>0</v>
      </c>
      <c r="N163" s="177">
        <f t="shared" si="19"/>
        <v>0</v>
      </c>
      <c r="O163" s="177">
        <f t="shared" si="19"/>
        <v>172967.84840000002</v>
      </c>
      <c r="P163" s="177">
        <f t="shared" si="19"/>
        <v>143956.76610000001</v>
      </c>
      <c r="Q163" s="177">
        <f t="shared" si="19"/>
        <v>0</v>
      </c>
      <c r="R163" s="177">
        <f t="shared" si="19"/>
        <v>67635.643199999991</v>
      </c>
      <c r="S163" s="177">
        <f t="shared" si="19"/>
        <v>312741.8479000004</v>
      </c>
      <c r="T163" s="178">
        <f t="shared" si="19"/>
        <v>0</v>
      </c>
    </row>
    <row r="164" spans="2:20" ht="14.25">
      <c r="B164" s="25" t="s">
        <v>59</v>
      </c>
      <c r="C164" s="26" t="s">
        <v>39</v>
      </c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4"/>
    </row>
    <row r="165" spans="2:20">
      <c r="B165" s="25"/>
      <c r="C165" s="156"/>
    </row>
    <row r="167" spans="2:20" s="2" customFormat="1" ht="15.75" thickBot="1">
      <c r="B167" s="28" t="s">
        <v>42</v>
      </c>
      <c r="C167" s="28"/>
      <c r="D167" s="28"/>
      <c r="E167" s="28"/>
      <c r="F167" s="28" t="str">
        <f>CONCATENATE(LEFT(F190, 4)+1 &amp;"-" &amp;IF(F190&gt;"2007-08",,"0") &amp;RIGHT(F190,2)+1)</f>
        <v>2002-03</v>
      </c>
      <c r="G167" s="29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</row>
    <row r="168" spans="2:20" ht="14.25">
      <c r="B168" s="752" t="s">
        <v>19</v>
      </c>
      <c r="C168" s="754" t="s">
        <v>22</v>
      </c>
      <c r="D168" s="754" t="s">
        <v>41</v>
      </c>
      <c r="E168" s="758" t="s">
        <v>23</v>
      </c>
      <c r="F168" s="758"/>
      <c r="G168" s="758"/>
      <c r="H168" s="758"/>
      <c r="I168" s="758"/>
      <c r="J168" s="758"/>
      <c r="K168" s="758"/>
      <c r="L168" s="758"/>
      <c r="M168" s="758"/>
      <c r="N168" s="758"/>
      <c r="O168" s="758"/>
      <c r="P168" s="758"/>
      <c r="Q168" s="758"/>
      <c r="R168" s="758"/>
      <c r="S168" s="759"/>
      <c r="T168" s="760"/>
    </row>
    <row r="169" spans="2:20">
      <c r="B169" s="753"/>
      <c r="C169" s="755"/>
      <c r="D169" s="755"/>
      <c r="E169" s="761" t="s">
        <v>24</v>
      </c>
      <c r="F169" s="761"/>
      <c r="G169" s="151"/>
      <c r="H169" s="761" t="s">
        <v>25</v>
      </c>
      <c r="I169" s="761"/>
      <c r="J169" s="761" t="s">
        <v>26</v>
      </c>
      <c r="K169" s="761"/>
      <c r="L169" s="151"/>
      <c r="M169" s="761" t="s">
        <v>27</v>
      </c>
      <c r="N169" s="761"/>
      <c r="O169" s="761" t="s">
        <v>28</v>
      </c>
      <c r="P169" s="761"/>
      <c r="Q169" s="151"/>
      <c r="R169" s="761" t="s">
        <v>29</v>
      </c>
      <c r="S169" s="762"/>
      <c r="T169" s="763"/>
    </row>
    <row r="170" spans="2:20" ht="24">
      <c r="B170" s="753"/>
      <c r="C170" s="755"/>
      <c r="D170" s="755"/>
      <c r="E170" s="18" t="s">
        <v>30</v>
      </c>
      <c r="F170" s="18" t="s">
        <v>31</v>
      </c>
      <c r="G170" s="18" t="s">
        <v>32</v>
      </c>
      <c r="H170" s="18" t="s">
        <v>30</v>
      </c>
      <c r="I170" s="18" t="s">
        <v>31</v>
      </c>
      <c r="J170" s="18" t="s">
        <v>30</v>
      </c>
      <c r="K170" s="18" t="s">
        <v>31</v>
      </c>
      <c r="L170" s="18" t="s">
        <v>32</v>
      </c>
      <c r="M170" s="18" t="s">
        <v>30</v>
      </c>
      <c r="N170" s="18" t="s">
        <v>31</v>
      </c>
      <c r="O170" s="18" t="s">
        <v>30</v>
      </c>
      <c r="P170" s="18" t="s">
        <v>31</v>
      </c>
      <c r="Q170" s="18" t="s">
        <v>32</v>
      </c>
      <c r="R170" s="18" t="s">
        <v>30</v>
      </c>
      <c r="S170" s="18" t="s">
        <v>31</v>
      </c>
      <c r="T170" s="19" t="s">
        <v>33</v>
      </c>
    </row>
    <row r="171" spans="2:20">
      <c r="B171" s="20" t="str">
        <f>B148</f>
        <v>CN West</v>
      </c>
      <c r="C171" s="31">
        <v>2307275</v>
      </c>
      <c r="D171" s="31">
        <f>SUM(E171:T171)</f>
        <v>60250</v>
      </c>
      <c r="E171" s="31">
        <v>1339</v>
      </c>
      <c r="F171" s="31">
        <v>303</v>
      </c>
      <c r="G171" s="174">
        <v>0</v>
      </c>
      <c r="H171" s="31">
        <v>775</v>
      </c>
      <c r="I171" s="31">
        <v>18</v>
      </c>
      <c r="J171" s="31">
        <v>1018</v>
      </c>
      <c r="K171" s="31">
        <v>386</v>
      </c>
      <c r="L171" s="174">
        <v>0</v>
      </c>
      <c r="M171" s="174">
        <v>0</v>
      </c>
      <c r="N171" s="174">
        <v>0</v>
      </c>
      <c r="O171" s="31">
        <v>14761</v>
      </c>
      <c r="P171" s="31">
        <v>11459</v>
      </c>
      <c r="Q171" s="174">
        <v>0</v>
      </c>
      <c r="R171" s="31">
        <v>6303</v>
      </c>
      <c r="S171" s="31">
        <v>23888</v>
      </c>
      <c r="T171" s="179">
        <v>0</v>
      </c>
    </row>
    <row r="172" spans="2:20">
      <c r="B172" s="20" t="str">
        <f t="shared" ref="B172:B184" si="20">B149</f>
        <v>CN East</v>
      </c>
      <c r="C172" s="31">
        <v>2445398</v>
      </c>
      <c r="D172" s="31">
        <f t="shared" ref="D172:D184" si="21">SUM(E172:T172)</f>
        <v>68684</v>
      </c>
      <c r="E172" s="31">
        <v>2459</v>
      </c>
      <c r="F172" s="31">
        <v>206</v>
      </c>
      <c r="G172" s="174">
        <v>0</v>
      </c>
      <c r="H172" s="31">
        <v>0</v>
      </c>
      <c r="I172" s="31">
        <v>0</v>
      </c>
      <c r="J172" s="31">
        <v>2827</v>
      </c>
      <c r="K172" s="31">
        <v>1441</v>
      </c>
      <c r="L172" s="174">
        <v>0</v>
      </c>
      <c r="M172" s="174">
        <v>0</v>
      </c>
      <c r="N172" s="174">
        <v>0</v>
      </c>
      <c r="O172" s="31">
        <v>12863</v>
      </c>
      <c r="P172" s="31">
        <v>12380</v>
      </c>
      <c r="Q172" s="174">
        <v>0</v>
      </c>
      <c r="R172" s="31">
        <v>5255</v>
      </c>
      <c r="S172" s="31">
        <v>31253</v>
      </c>
      <c r="T172" s="179">
        <v>0</v>
      </c>
    </row>
    <row r="173" spans="2:20">
      <c r="B173" s="20" t="str">
        <f t="shared" si="20"/>
        <v>ENWL</v>
      </c>
      <c r="C173" s="31">
        <v>2281769</v>
      </c>
      <c r="D173" s="31">
        <f t="shared" si="21"/>
        <v>58310</v>
      </c>
      <c r="E173" s="31">
        <v>1333</v>
      </c>
      <c r="F173" s="31">
        <v>249</v>
      </c>
      <c r="G173" s="174">
        <v>0</v>
      </c>
      <c r="H173" s="31">
        <v>0</v>
      </c>
      <c r="I173" s="31">
        <v>0</v>
      </c>
      <c r="J173" s="31">
        <v>1388</v>
      </c>
      <c r="K173" s="31">
        <v>1730</v>
      </c>
      <c r="L173" s="174">
        <v>0</v>
      </c>
      <c r="M173" s="174">
        <v>0</v>
      </c>
      <c r="N173" s="174">
        <v>0</v>
      </c>
      <c r="O173" s="31">
        <v>7967</v>
      </c>
      <c r="P173" s="31">
        <v>11438</v>
      </c>
      <c r="Q173" s="174">
        <v>0</v>
      </c>
      <c r="R173" s="31">
        <v>3000</v>
      </c>
      <c r="S173" s="31">
        <v>31205</v>
      </c>
      <c r="T173" s="179">
        <v>0</v>
      </c>
    </row>
    <row r="174" spans="2:20">
      <c r="B174" s="20" t="str">
        <f t="shared" si="20"/>
        <v>CE NEDL</v>
      </c>
      <c r="C174" s="31">
        <v>1512029</v>
      </c>
      <c r="D174" s="31">
        <f t="shared" si="21"/>
        <v>39877</v>
      </c>
      <c r="E174" s="31">
        <v>603</v>
      </c>
      <c r="F174" s="31">
        <v>73</v>
      </c>
      <c r="G174" s="174">
        <v>0</v>
      </c>
      <c r="H174" s="31">
        <v>1017</v>
      </c>
      <c r="I174" s="31">
        <v>438</v>
      </c>
      <c r="J174" s="31">
        <v>355</v>
      </c>
      <c r="K174" s="31">
        <v>416</v>
      </c>
      <c r="L174" s="174">
        <v>0</v>
      </c>
      <c r="M174" s="174">
        <v>0</v>
      </c>
      <c r="N174" s="174">
        <v>0</v>
      </c>
      <c r="O174" s="31">
        <v>10180</v>
      </c>
      <c r="P174" s="31">
        <v>7432</v>
      </c>
      <c r="Q174" s="174">
        <v>0</v>
      </c>
      <c r="R174" s="31">
        <v>2955</v>
      </c>
      <c r="S174" s="31">
        <v>16408</v>
      </c>
      <c r="T174" s="179">
        <v>0</v>
      </c>
    </row>
    <row r="175" spans="2:20">
      <c r="B175" s="20" t="str">
        <f t="shared" si="20"/>
        <v>CE YEDL</v>
      </c>
      <c r="C175" s="31">
        <v>2156135</v>
      </c>
      <c r="D175" s="31">
        <f t="shared" si="21"/>
        <v>60219</v>
      </c>
      <c r="E175" s="31">
        <v>1062</v>
      </c>
      <c r="F175" s="31">
        <v>395</v>
      </c>
      <c r="G175" s="174">
        <v>0</v>
      </c>
      <c r="H175" s="31">
        <v>879</v>
      </c>
      <c r="I175" s="31">
        <v>136</v>
      </c>
      <c r="J175" s="31">
        <v>1284</v>
      </c>
      <c r="K175" s="31">
        <v>1859</v>
      </c>
      <c r="L175" s="174">
        <v>0</v>
      </c>
      <c r="M175" s="174">
        <v>0</v>
      </c>
      <c r="N175" s="174">
        <v>0</v>
      </c>
      <c r="O175" s="31">
        <v>8822</v>
      </c>
      <c r="P175" s="31">
        <v>9942</v>
      </c>
      <c r="Q175" s="174">
        <v>0</v>
      </c>
      <c r="R175" s="31">
        <v>1865</v>
      </c>
      <c r="S175" s="31">
        <v>33975</v>
      </c>
      <c r="T175" s="179">
        <v>0</v>
      </c>
    </row>
    <row r="176" spans="2:20">
      <c r="B176" s="20" t="str">
        <f t="shared" si="20"/>
        <v>WPD S Wales</v>
      </c>
      <c r="C176" s="31">
        <v>1065530</v>
      </c>
      <c r="D176" s="31">
        <f t="shared" si="21"/>
        <v>33546.5</v>
      </c>
      <c r="E176" s="31">
        <v>1154</v>
      </c>
      <c r="F176" s="31">
        <v>87</v>
      </c>
      <c r="G176" s="174">
        <v>0</v>
      </c>
      <c r="H176" s="31">
        <v>354.2</v>
      </c>
      <c r="I176" s="31">
        <v>2.8</v>
      </c>
      <c r="J176" s="31">
        <v>1280</v>
      </c>
      <c r="K176" s="31">
        <v>358.9</v>
      </c>
      <c r="L176" s="174">
        <v>0</v>
      </c>
      <c r="M176" s="174">
        <v>0</v>
      </c>
      <c r="N176" s="174">
        <v>0</v>
      </c>
      <c r="O176" s="31">
        <v>12237</v>
      </c>
      <c r="P176" s="31">
        <v>5027.8</v>
      </c>
      <c r="Q176" s="174">
        <v>0</v>
      </c>
      <c r="R176" s="31">
        <v>3205</v>
      </c>
      <c r="S176" s="31">
        <v>9839.7999999999993</v>
      </c>
      <c r="T176" s="179">
        <v>0</v>
      </c>
    </row>
    <row r="177" spans="2:20">
      <c r="B177" s="20" t="str">
        <f t="shared" si="20"/>
        <v>WPD S West</v>
      </c>
      <c r="C177" s="31">
        <v>1446280</v>
      </c>
      <c r="D177" s="31">
        <f t="shared" si="21"/>
        <v>48065.900000000009</v>
      </c>
      <c r="E177" s="31">
        <v>1377</v>
      </c>
      <c r="F177" s="31">
        <v>70</v>
      </c>
      <c r="G177" s="174">
        <v>0</v>
      </c>
      <c r="H177" s="31">
        <v>0</v>
      </c>
      <c r="I177" s="31">
        <v>0</v>
      </c>
      <c r="J177" s="31">
        <v>2826</v>
      </c>
      <c r="K177" s="31">
        <v>867.7</v>
      </c>
      <c r="L177" s="174">
        <v>0</v>
      </c>
      <c r="M177" s="174">
        <v>0</v>
      </c>
      <c r="N177" s="174">
        <v>0</v>
      </c>
      <c r="O177" s="31">
        <v>16816.900000000001</v>
      </c>
      <c r="P177" s="31">
        <v>6093.1</v>
      </c>
      <c r="Q177" s="174">
        <v>0</v>
      </c>
      <c r="R177" s="31">
        <v>7743</v>
      </c>
      <c r="S177" s="31">
        <v>12272.2</v>
      </c>
      <c r="T177" s="179">
        <v>0</v>
      </c>
    </row>
    <row r="178" spans="2:20">
      <c r="B178" s="20" t="str">
        <f t="shared" si="20"/>
        <v>UKPN LPN</v>
      </c>
      <c r="C178" s="31">
        <v>2232604</v>
      </c>
      <c r="D178" s="31">
        <f t="shared" si="21"/>
        <v>30659</v>
      </c>
      <c r="E178" s="31">
        <v>30</v>
      </c>
      <c r="F178" s="31">
        <v>469</v>
      </c>
      <c r="G178" s="174">
        <v>0</v>
      </c>
      <c r="H178" s="31">
        <v>17</v>
      </c>
      <c r="I178" s="31">
        <v>445</v>
      </c>
      <c r="J178" s="31">
        <v>0</v>
      </c>
      <c r="K178" s="31">
        <v>637</v>
      </c>
      <c r="L178" s="174">
        <v>0</v>
      </c>
      <c r="M178" s="174">
        <v>0</v>
      </c>
      <c r="N178" s="174">
        <v>0</v>
      </c>
      <c r="O178" s="31">
        <v>1</v>
      </c>
      <c r="P178" s="31">
        <v>9288</v>
      </c>
      <c r="Q178" s="174">
        <v>0</v>
      </c>
      <c r="R178" s="31">
        <v>0</v>
      </c>
      <c r="S178" s="31">
        <v>19772</v>
      </c>
      <c r="T178" s="179">
        <v>0</v>
      </c>
    </row>
    <row r="179" spans="2:20">
      <c r="B179" s="20" t="str">
        <f t="shared" si="20"/>
        <v>UKPN SEPN</v>
      </c>
      <c r="C179" s="31">
        <v>2145958</v>
      </c>
      <c r="D179" s="31">
        <f t="shared" si="21"/>
        <v>49394</v>
      </c>
      <c r="E179" s="31">
        <v>1179</v>
      </c>
      <c r="F179" s="31">
        <v>333</v>
      </c>
      <c r="G179" s="174">
        <v>0</v>
      </c>
      <c r="H179" s="31">
        <v>0</v>
      </c>
      <c r="I179" s="31">
        <v>0</v>
      </c>
      <c r="J179" s="31">
        <v>1313</v>
      </c>
      <c r="K179" s="31">
        <v>1276</v>
      </c>
      <c r="L179" s="174">
        <v>0</v>
      </c>
      <c r="M179" s="174">
        <v>0</v>
      </c>
      <c r="N179" s="174">
        <v>0</v>
      </c>
      <c r="O179" s="31">
        <v>5792</v>
      </c>
      <c r="P179" s="31">
        <v>11124</v>
      </c>
      <c r="Q179" s="174">
        <v>0</v>
      </c>
      <c r="R179" s="31">
        <v>4632</v>
      </c>
      <c r="S179" s="31">
        <v>23745</v>
      </c>
      <c r="T179" s="179">
        <v>0</v>
      </c>
    </row>
    <row r="180" spans="2:20">
      <c r="B180" s="20" t="str">
        <f t="shared" si="20"/>
        <v>UKPN EPN</v>
      </c>
      <c r="C180" s="31">
        <v>3386938</v>
      </c>
      <c r="D180" s="31">
        <f t="shared" si="21"/>
        <v>92121</v>
      </c>
      <c r="E180" s="31">
        <v>2355</v>
      </c>
      <c r="F180" s="31">
        <v>231</v>
      </c>
      <c r="G180" s="174">
        <v>0</v>
      </c>
      <c r="H180" s="31">
        <v>0</v>
      </c>
      <c r="I180" s="31">
        <v>0</v>
      </c>
      <c r="J180" s="31">
        <v>3875</v>
      </c>
      <c r="K180" s="31">
        <v>2590</v>
      </c>
      <c r="L180" s="174">
        <v>0</v>
      </c>
      <c r="M180" s="174">
        <v>0</v>
      </c>
      <c r="N180" s="174">
        <v>0</v>
      </c>
      <c r="O180" s="31">
        <v>19276</v>
      </c>
      <c r="P180" s="31">
        <v>17553</v>
      </c>
      <c r="Q180" s="174">
        <v>0</v>
      </c>
      <c r="R180" s="31">
        <v>9457</v>
      </c>
      <c r="S180" s="31">
        <v>36784</v>
      </c>
      <c r="T180" s="179">
        <v>0</v>
      </c>
    </row>
    <row r="181" spans="2:20">
      <c r="B181" s="20" t="str">
        <f t="shared" si="20"/>
        <v>SP Distribution</v>
      </c>
      <c r="C181" s="31">
        <v>1933862</v>
      </c>
      <c r="D181" s="31">
        <f t="shared" si="21"/>
        <v>65597</v>
      </c>
      <c r="E181" s="31" t="s">
        <v>418</v>
      </c>
      <c r="F181" s="31" t="s">
        <v>418</v>
      </c>
      <c r="G181" s="174">
        <v>0</v>
      </c>
      <c r="H181" s="31">
        <v>0</v>
      </c>
      <c r="I181" s="31">
        <v>0</v>
      </c>
      <c r="J181" s="31">
        <v>2963</v>
      </c>
      <c r="K181" s="31">
        <v>1838</v>
      </c>
      <c r="L181" s="174">
        <v>0</v>
      </c>
      <c r="M181" s="174">
        <v>0</v>
      </c>
      <c r="N181" s="174">
        <v>0</v>
      </c>
      <c r="O181" s="31">
        <v>16953</v>
      </c>
      <c r="P181" s="31">
        <v>15189</v>
      </c>
      <c r="Q181" s="174">
        <v>0</v>
      </c>
      <c r="R181" s="31">
        <v>4544</v>
      </c>
      <c r="S181" s="31">
        <v>24110</v>
      </c>
      <c r="T181" s="179">
        <v>0</v>
      </c>
    </row>
    <row r="182" spans="2:20">
      <c r="B182" s="20" t="str">
        <f t="shared" si="20"/>
        <v>SP Manweb</v>
      </c>
      <c r="C182" s="31">
        <v>1452557</v>
      </c>
      <c r="D182" s="31">
        <f t="shared" si="21"/>
        <v>46986</v>
      </c>
      <c r="E182" s="31">
        <v>1299</v>
      </c>
      <c r="F182" s="31">
        <v>213</v>
      </c>
      <c r="G182" s="174">
        <v>0</v>
      </c>
      <c r="H182" s="31">
        <v>0</v>
      </c>
      <c r="I182" s="31">
        <v>0</v>
      </c>
      <c r="J182" s="31">
        <v>1940</v>
      </c>
      <c r="K182" s="31">
        <v>1580</v>
      </c>
      <c r="L182" s="174">
        <v>0</v>
      </c>
      <c r="M182" s="174">
        <v>0</v>
      </c>
      <c r="N182" s="174">
        <v>0</v>
      </c>
      <c r="O182" s="31">
        <v>12623</v>
      </c>
      <c r="P182" s="31">
        <v>6494</v>
      </c>
      <c r="Q182" s="174">
        <v>0</v>
      </c>
      <c r="R182" s="31">
        <v>5675</v>
      </c>
      <c r="S182" s="31">
        <v>17162</v>
      </c>
      <c r="T182" s="179">
        <v>0</v>
      </c>
    </row>
    <row r="183" spans="2:20">
      <c r="B183" s="20" t="str">
        <f t="shared" si="20"/>
        <v>SSE Hydro</v>
      </c>
      <c r="C183" s="31">
        <v>676005</v>
      </c>
      <c r="D183" s="31">
        <f t="shared" si="21"/>
        <v>46292.107520000005</v>
      </c>
      <c r="E183" s="31" t="s">
        <v>418</v>
      </c>
      <c r="F183" s="31" t="s">
        <v>418</v>
      </c>
      <c r="G183" s="174">
        <v>0</v>
      </c>
      <c r="H183" s="31">
        <v>0</v>
      </c>
      <c r="I183" s="31">
        <v>0</v>
      </c>
      <c r="J183" s="31">
        <v>5254.67191</v>
      </c>
      <c r="K183" s="31">
        <v>627.84403999999995</v>
      </c>
      <c r="L183" s="174">
        <v>0</v>
      </c>
      <c r="M183" s="174">
        <v>0</v>
      </c>
      <c r="N183" s="174">
        <v>0</v>
      </c>
      <c r="O183" s="31">
        <v>21581.917000000001</v>
      </c>
      <c r="P183" s="31">
        <v>4248.5510000000004</v>
      </c>
      <c r="Q183" s="174">
        <v>0</v>
      </c>
      <c r="R183" s="31">
        <v>4313.9794499999998</v>
      </c>
      <c r="S183" s="31">
        <v>10265.144120000001</v>
      </c>
      <c r="T183" s="179">
        <v>0</v>
      </c>
    </row>
    <row r="184" spans="2:20">
      <c r="B184" s="20" t="str">
        <f t="shared" si="20"/>
        <v>SSE Southern</v>
      </c>
      <c r="C184" s="31">
        <v>2725534</v>
      </c>
      <c r="D184" s="31">
        <f t="shared" si="21"/>
        <v>74780</v>
      </c>
      <c r="E184" s="31">
        <v>1903</v>
      </c>
      <c r="F184" s="31">
        <v>398</v>
      </c>
      <c r="G184" s="174">
        <v>0</v>
      </c>
      <c r="H184" s="31">
        <v>6</v>
      </c>
      <c r="I184" s="31">
        <v>162</v>
      </c>
      <c r="J184" s="31">
        <v>3474</v>
      </c>
      <c r="K184" s="31">
        <v>1856</v>
      </c>
      <c r="L184" s="174">
        <v>0</v>
      </c>
      <c r="M184" s="174">
        <v>0</v>
      </c>
      <c r="N184" s="174">
        <v>0</v>
      </c>
      <c r="O184" s="31">
        <v>13457</v>
      </c>
      <c r="P184" s="31">
        <v>14697</v>
      </c>
      <c r="Q184" s="174">
        <v>0</v>
      </c>
      <c r="R184" s="31">
        <v>8986</v>
      </c>
      <c r="S184" s="31">
        <v>29841</v>
      </c>
      <c r="T184" s="179">
        <v>0</v>
      </c>
    </row>
    <row r="185" spans="2:20">
      <c r="B185" s="2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4"/>
    </row>
    <row r="186" spans="2:20" ht="13.5" thickBot="1">
      <c r="B186" s="27" t="s">
        <v>38</v>
      </c>
      <c r="C186" s="35">
        <f>SUM(C171:C184)</f>
        <v>27767874</v>
      </c>
      <c r="D186" s="35">
        <f t="shared" ref="D186:T186" si="22">SUM(D171:D184)</f>
        <v>774781.50751999998</v>
      </c>
      <c r="E186" s="35">
        <f t="shared" si="22"/>
        <v>16093</v>
      </c>
      <c r="F186" s="35">
        <f t="shared" si="22"/>
        <v>3027</v>
      </c>
      <c r="G186" s="35">
        <f t="shared" si="22"/>
        <v>0</v>
      </c>
      <c r="H186" s="35">
        <f t="shared" si="22"/>
        <v>3048.2</v>
      </c>
      <c r="I186" s="35">
        <f t="shared" si="22"/>
        <v>1201.8</v>
      </c>
      <c r="J186" s="35">
        <f t="shared" si="22"/>
        <v>29797.671910000001</v>
      </c>
      <c r="K186" s="35">
        <f t="shared" si="22"/>
        <v>17463.444039999998</v>
      </c>
      <c r="L186" s="35">
        <f t="shared" si="22"/>
        <v>0</v>
      </c>
      <c r="M186" s="35">
        <f t="shared" si="22"/>
        <v>0</v>
      </c>
      <c r="N186" s="35">
        <f t="shared" si="22"/>
        <v>0</v>
      </c>
      <c r="O186" s="35">
        <f t="shared" si="22"/>
        <v>173330.81699999998</v>
      </c>
      <c r="P186" s="35">
        <f t="shared" si="22"/>
        <v>142365.451</v>
      </c>
      <c r="Q186" s="35">
        <f t="shared" si="22"/>
        <v>0</v>
      </c>
      <c r="R186" s="35">
        <f t="shared" si="22"/>
        <v>67933.979449999999</v>
      </c>
      <c r="S186" s="35">
        <f t="shared" si="22"/>
        <v>320520.14412000001</v>
      </c>
      <c r="T186" s="36">
        <f t="shared" si="22"/>
        <v>0</v>
      </c>
    </row>
    <row r="187" spans="2:20" ht="14.25">
      <c r="B187" s="25" t="s">
        <v>59</v>
      </c>
      <c r="C187" s="26" t="s">
        <v>39</v>
      </c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4"/>
    </row>
    <row r="188" spans="2:20">
      <c r="B188" s="25"/>
      <c r="C188" s="156"/>
    </row>
    <row r="190" spans="2:20" s="2" customFormat="1" ht="15.75" thickBot="1">
      <c r="B190" s="28" t="s">
        <v>42</v>
      </c>
      <c r="C190" s="28"/>
      <c r="D190" s="28"/>
      <c r="E190" s="28"/>
      <c r="F190" s="28" t="s">
        <v>296</v>
      </c>
      <c r="G190" s="29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</row>
    <row r="191" spans="2:20" ht="14.25">
      <c r="B191" s="752" t="s">
        <v>19</v>
      </c>
      <c r="C191" s="754" t="s">
        <v>22</v>
      </c>
      <c r="D191" s="754" t="s">
        <v>41</v>
      </c>
      <c r="E191" s="758" t="s">
        <v>23</v>
      </c>
      <c r="F191" s="758"/>
      <c r="G191" s="758"/>
      <c r="H191" s="758"/>
      <c r="I191" s="758"/>
      <c r="J191" s="758"/>
      <c r="K191" s="758"/>
      <c r="L191" s="758"/>
      <c r="M191" s="758"/>
      <c r="N191" s="758"/>
      <c r="O191" s="758"/>
      <c r="P191" s="758"/>
      <c r="Q191" s="758"/>
      <c r="R191" s="758"/>
      <c r="S191" s="759"/>
      <c r="T191" s="760"/>
    </row>
    <row r="192" spans="2:20">
      <c r="B192" s="753"/>
      <c r="C192" s="755"/>
      <c r="D192" s="755"/>
      <c r="E192" s="761" t="s">
        <v>24</v>
      </c>
      <c r="F192" s="761"/>
      <c r="G192" s="151"/>
      <c r="H192" s="761" t="s">
        <v>25</v>
      </c>
      <c r="I192" s="761"/>
      <c r="J192" s="761" t="s">
        <v>26</v>
      </c>
      <c r="K192" s="761"/>
      <c r="L192" s="151"/>
      <c r="M192" s="761" t="s">
        <v>27</v>
      </c>
      <c r="N192" s="761"/>
      <c r="O192" s="761" t="s">
        <v>28</v>
      </c>
      <c r="P192" s="761"/>
      <c r="Q192" s="151"/>
      <c r="R192" s="761" t="s">
        <v>29</v>
      </c>
      <c r="S192" s="762"/>
      <c r="T192" s="763"/>
    </row>
    <row r="193" spans="2:20" ht="24">
      <c r="B193" s="753"/>
      <c r="C193" s="755"/>
      <c r="D193" s="755"/>
      <c r="E193" s="18" t="s">
        <v>30</v>
      </c>
      <c r="F193" s="18" t="s">
        <v>31</v>
      </c>
      <c r="G193" s="18" t="s">
        <v>32</v>
      </c>
      <c r="H193" s="18" t="s">
        <v>30</v>
      </c>
      <c r="I193" s="18" t="s">
        <v>31</v>
      </c>
      <c r="J193" s="18" t="s">
        <v>30</v>
      </c>
      <c r="K193" s="18" t="s">
        <v>31</v>
      </c>
      <c r="L193" s="18" t="s">
        <v>32</v>
      </c>
      <c r="M193" s="18" t="s">
        <v>30</v>
      </c>
      <c r="N193" s="18" t="s">
        <v>31</v>
      </c>
      <c r="O193" s="18" t="s">
        <v>30</v>
      </c>
      <c r="P193" s="18" t="s">
        <v>31</v>
      </c>
      <c r="Q193" s="18" t="s">
        <v>32</v>
      </c>
      <c r="R193" s="18" t="s">
        <v>30</v>
      </c>
      <c r="S193" s="18" t="s">
        <v>31</v>
      </c>
      <c r="T193" s="19" t="s">
        <v>33</v>
      </c>
    </row>
    <row r="194" spans="2:20">
      <c r="B194" s="20" t="str">
        <f>B171</f>
        <v>CN West</v>
      </c>
      <c r="C194" s="31">
        <v>2299379</v>
      </c>
      <c r="D194" s="173">
        <f>SUM(E194:T194)</f>
        <v>60492</v>
      </c>
      <c r="E194" s="173">
        <v>1405</v>
      </c>
      <c r="F194" s="173">
        <v>298</v>
      </c>
      <c r="G194" s="174">
        <v>0</v>
      </c>
      <c r="H194" s="173">
        <v>809</v>
      </c>
      <c r="I194" s="173">
        <v>18</v>
      </c>
      <c r="J194" s="173">
        <v>1045</v>
      </c>
      <c r="K194" s="173">
        <v>376</v>
      </c>
      <c r="L194" s="174">
        <v>0</v>
      </c>
      <c r="M194" s="174">
        <v>0</v>
      </c>
      <c r="N194" s="174">
        <v>0</v>
      </c>
      <c r="O194" s="173">
        <v>14723</v>
      </c>
      <c r="P194" s="173">
        <v>11598</v>
      </c>
      <c r="Q194" s="174">
        <v>0</v>
      </c>
      <c r="R194" s="173">
        <v>6301</v>
      </c>
      <c r="S194" s="173">
        <v>23919</v>
      </c>
      <c r="T194" s="179">
        <v>0</v>
      </c>
    </row>
    <row r="195" spans="2:20">
      <c r="B195" s="20" t="str">
        <f t="shared" ref="B195:B207" si="23">B172</f>
        <v>CN East</v>
      </c>
      <c r="C195" s="31">
        <v>2421506</v>
      </c>
      <c r="D195" s="173">
        <f t="shared" ref="D195:D207" si="24">SUM(E195:T195)</f>
        <v>68002</v>
      </c>
      <c r="E195" s="173">
        <v>2158</v>
      </c>
      <c r="F195" s="173">
        <v>193</v>
      </c>
      <c r="G195" s="174">
        <v>0</v>
      </c>
      <c r="H195" s="173">
        <v>10</v>
      </c>
      <c r="I195" s="173">
        <v>10</v>
      </c>
      <c r="J195" s="173">
        <v>2864</v>
      </c>
      <c r="K195" s="173">
        <v>1429</v>
      </c>
      <c r="L195" s="174">
        <v>0</v>
      </c>
      <c r="M195" s="174">
        <v>0</v>
      </c>
      <c r="N195" s="174">
        <v>0</v>
      </c>
      <c r="O195" s="173">
        <v>12906</v>
      </c>
      <c r="P195" s="173">
        <v>12205</v>
      </c>
      <c r="Q195" s="174">
        <v>0</v>
      </c>
      <c r="R195" s="173">
        <v>5325</v>
      </c>
      <c r="S195" s="173">
        <v>30902</v>
      </c>
      <c r="T195" s="179">
        <v>0</v>
      </c>
    </row>
    <row r="196" spans="2:20">
      <c r="B196" s="20" t="str">
        <f t="shared" si="23"/>
        <v>ENWL</v>
      </c>
      <c r="C196" s="31">
        <v>2269503</v>
      </c>
      <c r="D196" s="173">
        <f t="shared" si="24"/>
        <v>58031</v>
      </c>
      <c r="E196" s="173">
        <v>1332</v>
      </c>
      <c r="F196" s="173">
        <v>249</v>
      </c>
      <c r="G196" s="174">
        <v>0</v>
      </c>
      <c r="H196" s="173">
        <v>0</v>
      </c>
      <c r="I196" s="173">
        <v>0</v>
      </c>
      <c r="J196" s="173">
        <v>1389</v>
      </c>
      <c r="K196" s="173">
        <v>1785</v>
      </c>
      <c r="L196" s="174">
        <v>0</v>
      </c>
      <c r="M196" s="174">
        <v>0</v>
      </c>
      <c r="N196" s="174">
        <v>0</v>
      </c>
      <c r="O196" s="173">
        <v>7994</v>
      </c>
      <c r="P196" s="173">
        <v>11266</v>
      </c>
      <c r="Q196" s="174">
        <v>0</v>
      </c>
      <c r="R196" s="173">
        <v>3032</v>
      </c>
      <c r="S196" s="173">
        <v>30984</v>
      </c>
      <c r="T196" s="179">
        <v>0</v>
      </c>
    </row>
    <row r="197" spans="2:20">
      <c r="B197" s="20" t="str">
        <f t="shared" si="23"/>
        <v>CE NEDL</v>
      </c>
      <c r="C197" s="31">
        <v>1510799</v>
      </c>
      <c r="D197" s="173">
        <f t="shared" si="24"/>
        <v>39610</v>
      </c>
      <c r="E197" s="173">
        <v>604</v>
      </c>
      <c r="F197" s="173">
        <v>73</v>
      </c>
      <c r="G197" s="174">
        <v>0</v>
      </c>
      <c r="H197" s="173">
        <v>1023</v>
      </c>
      <c r="I197" s="173">
        <v>437</v>
      </c>
      <c r="J197" s="173">
        <v>355</v>
      </c>
      <c r="K197" s="173">
        <v>417</v>
      </c>
      <c r="L197" s="174">
        <v>0</v>
      </c>
      <c r="M197" s="174">
        <v>0</v>
      </c>
      <c r="N197" s="174">
        <v>0</v>
      </c>
      <c r="O197" s="173">
        <v>10085</v>
      </c>
      <c r="P197" s="173">
        <v>7427</v>
      </c>
      <c r="Q197" s="174">
        <v>0</v>
      </c>
      <c r="R197" s="173">
        <v>2956</v>
      </c>
      <c r="S197" s="173">
        <v>16233</v>
      </c>
      <c r="T197" s="179">
        <v>0</v>
      </c>
    </row>
    <row r="198" spans="2:20">
      <c r="B198" s="20" t="str">
        <f t="shared" si="23"/>
        <v>CE YEDL</v>
      </c>
      <c r="C198" s="31">
        <v>2142733</v>
      </c>
      <c r="D198" s="173">
        <f t="shared" si="24"/>
        <v>56185</v>
      </c>
      <c r="E198" s="173">
        <v>1222</v>
      </c>
      <c r="F198" s="173">
        <v>196</v>
      </c>
      <c r="G198" s="174">
        <v>0</v>
      </c>
      <c r="H198" s="173">
        <v>941</v>
      </c>
      <c r="I198" s="173">
        <v>58</v>
      </c>
      <c r="J198" s="173">
        <v>1294</v>
      </c>
      <c r="K198" s="173">
        <v>1366</v>
      </c>
      <c r="L198" s="174">
        <v>0</v>
      </c>
      <c r="M198" s="174">
        <v>0</v>
      </c>
      <c r="N198" s="174">
        <v>0</v>
      </c>
      <c r="O198" s="173">
        <v>9797</v>
      </c>
      <c r="P198" s="173">
        <v>10805</v>
      </c>
      <c r="Q198" s="174">
        <v>0</v>
      </c>
      <c r="R198" s="173">
        <v>2523</v>
      </c>
      <c r="S198" s="173">
        <v>27983</v>
      </c>
      <c r="T198" s="179">
        <v>0</v>
      </c>
    </row>
    <row r="199" spans="2:20">
      <c r="B199" s="20" t="str">
        <f t="shared" si="23"/>
        <v>WPD S Wales</v>
      </c>
      <c r="C199" s="31">
        <v>1041325</v>
      </c>
      <c r="D199" s="173">
        <f t="shared" si="24"/>
        <v>33021</v>
      </c>
      <c r="E199" s="173">
        <v>1165</v>
      </c>
      <c r="F199" s="173">
        <v>71</v>
      </c>
      <c r="G199" s="174">
        <v>0</v>
      </c>
      <c r="H199" s="173">
        <v>355</v>
      </c>
      <c r="I199" s="173">
        <v>15</v>
      </c>
      <c r="J199" s="173">
        <v>1465</v>
      </c>
      <c r="K199" s="173">
        <v>380</v>
      </c>
      <c r="L199" s="174">
        <v>0</v>
      </c>
      <c r="M199" s="174">
        <v>0</v>
      </c>
      <c r="N199" s="174">
        <v>0</v>
      </c>
      <c r="O199" s="173">
        <v>12315</v>
      </c>
      <c r="P199" s="173">
        <v>4970</v>
      </c>
      <c r="Q199" s="174">
        <v>0</v>
      </c>
      <c r="R199" s="173">
        <v>3165</v>
      </c>
      <c r="S199" s="173">
        <v>9120</v>
      </c>
      <c r="T199" s="179">
        <v>0</v>
      </c>
    </row>
    <row r="200" spans="2:20">
      <c r="B200" s="20" t="str">
        <f t="shared" si="23"/>
        <v>WPD S West</v>
      </c>
      <c r="C200" s="31">
        <v>1356895</v>
      </c>
      <c r="D200" s="173">
        <f t="shared" si="24"/>
        <v>48795</v>
      </c>
      <c r="E200" s="173">
        <v>1372</v>
      </c>
      <c r="F200" s="173">
        <v>58</v>
      </c>
      <c r="G200" s="174">
        <v>0</v>
      </c>
      <c r="H200" s="173">
        <v>0</v>
      </c>
      <c r="I200" s="173">
        <v>0</v>
      </c>
      <c r="J200" s="173">
        <v>2842</v>
      </c>
      <c r="K200" s="173">
        <v>1030</v>
      </c>
      <c r="L200" s="174">
        <v>0</v>
      </c>
      <c r="M200" s="174">
        <v>0</v>
      </c>
      <c r="N200" s="174">
        <v>0</v>
      </c>
      <c r="O200" s="173">
        <v>17430</v>
      </c>
      <c r="P200" s="173">
        <v>6444</v>
      </c>
      <c r="Q200" s="174">
        <v>0</v>
      </c>
      <c r="R200" s="173">
        <v>7793</v>
      </c>
      <c r="S200" s="173">
        <v>11826</v>
      </c>
      <c r="T200" s="179">
        <v>0</v>
      </c>
    </row>
    <row r="201" spans="2:20">
      <c r="B201" s="20" t="str">
        <f t="shared" si="23"/>
        <v>UKPN LPN</v>
      </c>
      <c r="C201" s="31">
        <v>2083617</v>
      </c>
      <c r="D201" s="173">
        <f t="shared" si="24"/>
        <v>30438</v>
      </c>
      <c r="E201" s="173">
        <v>28</v>
      </c>
      <c r="F201" s="173">
        <v>470</v>
      </c>
      <c r="G201" s="174">
        <v>0</v>
      </c>
      <c r="H201" s="173">
        <v>12</v>
      </c>
      <c r="I201" s="173">
        <v>445</v>
      </c>
      <c r="J201" s="173">
        <v>0</v>
      </c>
      <c r="K201" s="173">
        <v>638</v>
      </c>
      <c r="L201" s="174">
        <v>0</v>
      </c>
      <c r="M201" s="174">
        <v>0</v>
      </c>
      <c r="N201" s="174">
        <v>0</v>
      </c>
      <c r="O201" s="173">
        <v>1</v>
      </c>
      <c r="P201" s="173">
        <v>9072</v>
      </c>
      <c r="Q201" s="174">
        <v>0</v>
      </c>
      <c r="R201" s="173">
        <v>0</v>
      </c>
      <c r="S201" s="173">
        <v>19772</v>
      </c>
      <c r="T201" s="179">
        <v>0</v>
      </c>
    </row>
    <row r="202" spans="2:20">
      <c r="B202" s="20" t="str">
        <f t="shared" si="23"/>
        <v>UKPN SEPN</v>
      </c>
      <c r="C202" s="31">
        <v>2112108</v>
      </c>
      <c r="D202" s="173">
        <f t="shared" si="24"/>
        <v>45365</v>
      </c>
      <c r="E202" s="173">
        <v>1179</v>
      </c>
      <c r="F202" s="173">
        <v>333</v>
      </c>
      <c r="G202" s="174">
        <v>0</v>
      </c>
      <c r="H202" s="173">
        <v>0</v>
      </c>
      <c r="I202" s="173">
        <v>0</v>
      </c>
      <c r="J202" s="173">
        <v>1314</v>
      </c>
      <c r="K202" s="173">
        <v>1266</v>
      </c>
      <c r="L202" s="174">
        <v>0</v>
      </c>
      <c r="M202" s="174">
        <v>0</v>
      </c>
      <c r="N202" s="174">
        <v>0</v>
      </c>
      <c r="O202" s="173">
        <v>5593</v>
      </c>
      <c r="P202" s="173">
        <v>11035</v>
      </c>
      <c r="Q202" s="174">
        <v>0</v>
      </c>
      <c r="R202" s="173">
        <v>4149</v>
      </c>
      <c r="S202" s="173">
        <v>20496</v>
      </c>
      <c r="T202" s="179">
        <v>0</v>
      </c>
    </row>
    <row r="203" spans="2:20">
      <c r="B203" s="20" t="str">
        <f t="shared" si="23"/>
        <v>UKPN EPN</v>
      </c>
      <c r="C203" s="31">
        <v>3381566</v>
      </c>
      <c r="D203" s="173">
        <f t="shared" si="24"/>
        <v>91292</v>
      </c>
      <c r="E203" s="173">
        <v>2356</v>
      </c>
      <c r="F203" s="173">
        <v>231</v>
      </c>
      <c r="G203" s="174">
        <v>0</v>
      </c>
      <c r="H203" s="173">
        <v>0</v>
      </c>
      <c r="I203" s="173">
        <v>0</v>
      </c>
      <c r="J203" s="173">
        <v>3875</v>
      </c>
      <c r="K203" s="173">
        <v>2534</v>
      </c>
      <c r="L203" s="174">
        <v>0</v>
      </c>
      <c r="M203" s="174">
        <v>0</v>
      </c>
      <c r="N203" s="174">
        <v>0</v>
      </c>
      <c r="O203" s="173">
        <v>19297</v>
      </c>
      <c r="P203" s="173">
        <v>17223</v>
      </c>
      <c r="Q203" s="174">
        <v>0</v>
      </c>
      <c r="R203" s="173">
        <v>9474</v>
      </c>
      <c r="S203" s="173">
        <v>36302</v>
      </c>
      <c r="T203" s="179">
        <v>0</v>
      </c>
    </row>
    <row r="204" spans="2:20">
      <c r="B204" s="20" t="str">
        <f t="shared" si="23"/>
        <v>SP Distribution</v>
      </c>
      <c r="C204" s="31">
        <v>1906498</v>
      </c>
      <c r="D204" s="173">
        <f t="shared" si="24"/>
        <v>65597</v>
      </c>
      <c r="E204" s="173" t="s">
        <v>418</v>
      </c>
      <c r="F204" s="173" t="s">
        <v>418</v>
      </c>
      <c r="G204" s="174">
        <v>0</v>
      </c>
      <c r="H204" s="173">
        <v>0</v>
      </c>
      <c r="I204" s="173">
        <v>0</v>
      </c>
      <c r="J204" s="173">
        <v>2963</v>
      </c>
      <c r="K204" s="173">
        <v>1838</v>
      </c>
      <c r="L204" s="174">
        <v>0</v>
      </c>
      <c r="M204" s="174">
        <v>0</v>
      </c>
      <c r="N204" s="174">
        <v>0</v>
      </c>
      <c r="O204" s="173">
        <v>16953</v>
      </c>
      <c r="P204" s="173">
        <v>15189</v>
      </c>
      <c r="Q204" s="174">
        <v>0</v>
      </c>
      <c r="R204" s="173">
        <v>4544</v>
      </c>
      <c r="S204" s="173">
        <v>24110</v>
      </c>
      <c r="T204" s="179">
        <v>0</v>
      </c>
    </row>
    <row r="205" spans="2:20">
      <c r="B205" s="20" t="str">
        <f t="shared" si="23"/>
        <v>SP Manweb</v>
      </c>
      <c r="C205" s="31">
        <v>1433917</v>
      </c>
      <c r="D205" s="173">
        <f t="shared" si="24"/>
        <v>45872</v>
      </c>
      <c r="E205" s="173">
        <v>1299</v>
      </c>
      <c r="F205" s="173">
        <v>213</v>
      </c>
      <c r="G205" s="174">
        <v>0</v>
      </c>
      <c r="H205" s="173">
        <v>0</v>
      </c>
      <c r="I205" s="173">
        <v>0</v>
      </c>
      <c r="J205" s="173">
        <v>2006</v>
      </c>
      <c r="K205" s="173">
        <v>1528</v>
      </c>
      <c r="L205" s="174">
        <v>0</v>
      </c>
      <c r="M205" s="174">
        <v>0</v>
      </c>
      <c r="N205" s="174">
        <v>0</v>
      </c>
      <c r="O205" s="173">
        <v>13053</v>
      </c>
      <c r="P205" s="173">
        <v>6398</v>
      </c>
      <c r="Q205" s="174">
        <v>0</v>
      </c>
      <c r="R205" s="173">
        <v>5310</v>
      </c>
      <c r="S205" s="173">
        <v>16065</v>
      </c>
      <c r="T205" s="179">
        <v>0</v>
      </c>
    </row>
    <row r="206" spans="2:20">
      <c r="B206" s="20" t="str">
        <f t="shared" si="23"/>
        <v>SSE Hydro</v>
      </c>
      <c r="C206" s="31">
        <v>673138</v>
      </c>
      <c r="D206" s="173">
        <f t="shared" si="24"/>
        <v>45004</v>
      </c>
      <c r="E206" s="173" t="s">
        <v>418</v>
      </c>
      <c r="F206" s="173" t="s">
        <v>418</v>
      </c>
      <c r="G206" s="174">
        <v>0</v>
      </c>
      <c r="H206" s="173">
        <v>0</v>
      </c>
      <c r="I206" s="173">
        <v>0</v>
      </c>
      <c r="J206" s="173">
        <v>5325</v>
      </c>
      <c r="K206" s="173">
        <v>649</v>
      </c>
      <c r="L206" s="174">
        <v>0</v>
      </c>
      <c r="M206" s="174">
        <v>0</v>
      </c>
      <c r="N206" s="174">
        <v>0</v>
      </c>
      <c r="O206" s="173">
        <v>21103</v>
      </c>
      <c r="P206" s="173">
        <v>4766</v>
      </c>
      <c r="Q206" s="174">
        <v>0</v>
      </c>
      <c r="R206" s="173">
        <v>4244</v>
      </c>
      <c r="S206" s="173">
        <v>8917</v>
      </c>
      <c r="T206" s="179">
        <v>0</v>
      </c>
    </row>
    <row r="207" spans="2:20">
      <c r="B207" s="20" t="str">
        <f t="shared" si="23"/>
        <v>SSE Southern</v>
      </c>
      <c r="C207" s="31">
        <v>2706336</v>
      </c>
      <c r="D207" s="173">
        <f t="shared" si="24"/>
        <v>73804</v>
      </c>
      <c r="E207" s="173">
        <v>1920</v>
      </c>
      <c r="F207" s="173">
        <v>394</v>
      </c>
      <c r="G207" s="174">
        <v>0</v>
      </c>
      <c r="H207" s="173">
        <v>6</v>
      </c>
      <c r="I207" s="173">
        <v>163</v>
      </c>
      <c r="J207" s="173">
        <v>3459</v>
      </c>
      <c r="K207" s="173">
        <v>1795</v>
      </c>
      <c r="L207" s="174">
        <v>0</v>
      </c>
      <c r="M207" s="174">
        <v>0</v>
      </c>
      <c r="N207" s="174">
        <v>0</v>
      </c>
      <c r="O207" s="173">
        <v>13398</v>
      </c>
      <c r="P207" s="173">
        <v>14333</v>
      </c>
      <c r="Q207" s="174">
        <v>0</v>
      </c>
      <c r="R207" s="173">
        <v>8929</v>
      </c>
      <c r="S207" s="173">
        <v>29407</v>
      </c>
      <c r="T207" s="179">
        <v>0</v>
      </c>
    </row>
    <row r="208" spans="2:20">
      <c r="B208" s="21"/>
      <c r="C208" s="32"/>
      <c r="D208" s="176"/>
      <c r="E208" s="176"/>
      <c r="F208" s="176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80"/>
    </row>
    <row r="209" spans="2:20" ht="13.5" thickBot="1">
      <c r="B209" s="27" t="s">
        <v>38</v>
      </c>
      <c r="C209" s="35">
        <f>SUM(C194:C207)</f>
        <v>27339320</v>
      </c>
      <c r="D209" s="177">
        <f t="shared" ref="D209:T209" si="25">SUM(D194:D207)</f>
        <v>761508</v>
      </c>
      <c r="E209" s="177">
        <f t="shared" si="25"/>
        <v>16040</v>
      </c>
      <c r="F209" s="177">
        <f t="shared" si="25"/>
        <v>2779</v>
      </c>
      <c r="G209" s="177">
        <f t="shared" si="25"/>
        <v>0</v>
      </c>
      <c r="H209" s="177">
        <f t="shared" si="25"/>
        <v>3156</v>
      </c>
      <c r="I209" s="177">
        <f t="shared" si="25"/>
        <v>1146</v>
      </c>
      <c r="J209" s="177">
        <f t="shared" si="25"/>
        <v>30196</v>
      </c>
      <c r="K209" s="177">
        <f t="shared" si="25"/>
        <v>17031</v>
      </c>
      <c r="L209" s="177">
        <f t="shared" si="25"/>
        <v>0</v>
      </c>
      <c r="M209" s="177">
        <f t="shared" si="25"/>
        <v>0</v>
      </c>
      <c r="N209" s="177">
        <f t="shared" si="25"/>
        <v>0</v>
      </c>
      <c r="O209" s="177">
        <f t="shared" si="25"/>
        <v>174648</v>
      </c>
      <c r="P209" s="177">
        <f t="shared" si="25"/>
        <v>142731</v>
      </c>
      <c r="Q209" s="177">
        <f t="shared" si="25"/>
        <v>0</v>
      </c>
      <c r="R209" s="177">
        <f t="shared" si="25"/>
        <v>67745</v>
      </c>
      <c r="S209" s="177">
        <f t="shared" si="25"/>
        <v>306036</v>
      </c>
      <c r="T209" s="178">
        <f t="shared" si="25"/>
        <v>0</v>
      </c>
    </row>
    <row r="210" spans="2:20" ht="14.25">
      <c r="B210" s="25" t="s">
        <v>59</v>
      </c>
      <c r="C210" s="26" t="s">
        <v>39</v>
      </c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4"/>
    </row>
    <row r="211" spans="2:20">
      <c r="B211" s="25"/>
      <c r="C211" s="156"/>
    </row>
  </sheetData>
  <mergeCells count="90">
    <mergeCell ref="B191:B193"/>
    <mergeCell ref="C191:C193"/>
    <mergeCell ref="D191:D193"/>
    <mergeCell ref="E191:T191"/>
    <mergeCell ref="E192:F192"/>
    <mergeCell ref="H192:I192"/>
    <mergeCell ref="J192:K192"/>
    <mergeCell ref="M192:N192"/>
    <mergeCell ref="O192:P192"/>
    <mergeCell ref="R192:T192"/>
    <mergeCell ref="B168:B170"/>
    <mergeCell ref="C168:C170"/>
    <mergeCell ref="D168:D170"/>
    <mergeCell ref="E168:T168"/>
    <mergeCell ref="E169:F169"/>
    <mergeCell ref="H169:I169"/>
    <mergeCell ref="J169:K169"/>
    <mergeCell ref="M169:N169"/>
    <mergeCell ref="O169:P169"/>
    <mergeCell ref="R169:T169"/>
    <mergeCell ref="B145:B147"/>
    <mergeCell ref="C145:C147"/>
    <mergeCell ref="D145:D147"/>
    <mergeCell ref="E145:T145"/>
    <mergeCell ref="E146:F146"/>
    <mergeCell ref="H146:I146"/>
    <mergeCell ref="J146:K146"/>
    <mergeCell ref="M146:N146"/>
    <mergeCell ref="O146:P146"/>
    <mergeCell ref="R146:T146"/>
    <mergeCell ref="B122:B124"/>
    <mergeCell ref="C122:C124"/>
    <mergeCell ref="D122:D124"/>
    <mergeCell ref="E122:T122"/>
    <mergeCell ref="E123:F123"/>
    <mergeCell ref="H123:I123"/>
    <mergeCell ref="J123:K123"/>
    <mergeCell ref="M123:N123"/>
    <mergeCell ref="O123:P123"/>
    <mergeCell ref="R123:T123"/>
    <mergeCell ref="B30:B32"/>
    <mergeCell ref="C30:C32"/>
    <mergeCell ref="E30:T30"/>
    <mergeCell ref="E31:F31"/>
    <mergeCell ref="H31:I31"/>
    <mergeCell ref="J31:K31"/>
    <mergeCell ref="M31:N31"/>
    <mergeCell ref="O31:P31"/>
    <mergeCell ref="R31:T31"/>
    <mergeCell ref="D30:D32"/>
    <mergeCell ref="B7:B9"/>
    <mergeCell ref="C7:C9"/>
    <mergeCell ref="D7:D9"/>
    <mergeCell ref="E7:T7"/>
    <mergeCell ref="E8:F8"/>
    <mergeCell ref="H8:I8"/>
    <mergeCell ref="J8:K8"/>
    <mergeCell ref="M8:N8"/>
    <mergeCell ref="O8:P8"/>
    <mergeCell ref="R8:T8"/>
    <mergeCell ref="B53:B55"/>
    <mergeCell ref="C53:C55"/>
    <mergeCell ref="D53:D55"/>
    <mergeCell ref="E53:T53"/>
    <mergeCell ref="E54:F54"/>
    <mergeCell ref="H54:I54"/>
    <mergeCell ref="J54:K54"/>
    <mergeCell ref="M54:N54"/>
    <mergeCell ref="O54:P54"/>
    <mergeCell ref="R54:T54"/>
    <mergeCell ref="B76:B78"/>
    <mergeCell ref="C76:C78"/>
    <mergeCell ref="D76:D78"/>
    <mergeCell ref="E76:T76"/>
    <mergeCell ref="E77:F77"/>
    <mergeCell ref="H77:I77"/>
    <mergeCell ref="J77:K77"/>
    <mergeCell ref="M77:N77"/>
    <mergeCell ref="O77:P77"/>
    <mergeCell ref="R77:T77"/>
    <mergeCell ref="B99:B101"/>
    <mergeCell ref="C99:C101"/>
    <mergeCell ref="D99:D101"/>
    <mergeCell ref="E99:T99"/>
    <mergeCell ref="E100:F100"/>
    <mergeCell ref="H100:I100"/>
    <mergeCell ref="J100:K100"/>
    <mergeCell ref="M100:N100"/>
    <mergeCell ref="O100:P100"/>
    <mergeCell ref="R100:T10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>
    <tabColor theme="5"/>
  </sheetPr>
  <dimension ref="A1:AR633"/>
  <sheetViews>
    <sheetView zoomScale="75" zoomScaleNormal="75" workbookViewId="0">
      <pane xSplit="2" topLeftCell="C1" activePane="topRight" state="frozen"/>
      <selection activeCell="A73" sqref="A73"/>
      <selection pane="topRight" activeCell="A2" sqref="A2"/>
    </sheetView>
  </sheetViews>
  <sheetFormatPr defaultRowHeight="12.75" outlineLevelRow="2"/>
  <cols>
    <col min="1" max="1" width="1.625" customWidth="1"/>
    <col min="2" max="2" width="31.875" customWidth="1"/>
    <col min="3" max="44" width="12.625" customWidth="1"/>
  </cols>
  <sheetData>
    <row r="1" spans="1:15">
      <c r="A1" s="2" t="s">
        <v>89</v>
      </c>
    </row>
    <row r="2" spans="1:15">
      <c r="A2" s="2"/>
    </row>
    <row r="3" spans="1:15">
      <c r="A3" s="2"/>
    </row>
    <row r="5" spans="1:15">
      <c r="B5" s="108" t="str">
        <f>B125</f>
        <v>Customer interruptions</v>
      </c>
      <c r="C5" t="str">
        <f>C126</f>
        <v>2001-02</v>
      </c>
      <c r="D5" t="str">
        <f>CONCATENATE(LEFT(C5, 4)+1 &amp;"-" &amp;IF(C5&gt;"2007-08",,"0") &amp;RIGHT(C5,2)+1)</f>
        <v>2002-03</v>
      </c>
      <c r="E5" t="str">
        <f t="shared" ref="E5:K5" si="0">CONCATENATE(LEFT(D5, 4)+1 &amp;"-" &amp;IF(D5&gt;"2007-08",,"0") &amp;RIGHT(D5,2)+1)</f>
        <v>2003-04</v>
      </c>
      <c r="F5" t="str">
        <f t="shared" si="0"/>
        <v>2004-05</v>
      </c>
      <c r="G5" t="str">
        <f t="shared" si="0"/>
        <v>2005-06</v>
      </c>
      <c r="H5" t="str">
        <f t="shared" si="0"/>
        <v>2006-07</v>
      </c>
      <c r="I5" t="str">
        <f t="shared" si="0"/>
        <v>2007-08</v>
      </c>
      <c r="J5" t="str">
        <f t="shared" si="0"/>
        <v>2008-09</v>
      </c>
      <c r="K5" t="str">
        <f t="shared" si="0"/>
        <v>2009-10</v>
      </c>
    </row>
    <row r="6" spans="1:15" outlineLevel="1">
      <c r="B6" s="452" t="s">
        <v>267</v>
      </c>
      <c r="N6" s="471" t="str">
        <f>B40</f>
        <v>GB average</v>
      </c>
      <c r="O6" s="472"/>
    </row>
    <row r="7" spans="1:15" outlineLevel="1">
      <c r="B7" s="13" t="s">
        <v>1</v>
      </c>
      <c r="C7" s="453">
        <f>C131</f>
        <v>0</v>
      </c>
      <c r="D7" s="453">
        <f>F131</f>
        <v>89.7</v>
      </c>
      <c r="E7" s="453">
        <f>I131</f>
        <v>89.7</v>
      </c>
      <c r="F7" s="453">
        <f>L131</f>
        <v>89.7</v>
      </c>
      <c r="G7" s="453">
        <f>O131</f>
        <v>74.5</v>
      </c>
      <c r="H7" s="453">
        <f>R131</f>
        <v>74.5</v>
      </c>
      <c r="I7" s="453">
        <f>U131</f>
        <v>74.5</v>
      </c>
      <c r="J7" s="453">
        <f>X131</f>
        <v>74.5</v>
      </c>
      <c r="K7" s="453">
        <f>AA131</f>
        <v>74.5</v>
      </c>
    </row>
    <row r="8" spans="1:15" outlineLevel="1">
      <c r="B8" s="13" t="s">
        <v>2</v>
      </c>
      <c r="C8" s="454">
        <f>C132</f>
        <v>0</v>
      </c>
      <c r="D8" s="454">
        <f>F132</f>
        <v>84.82</v>
      </c>
      <c r="E8" s="454">
        <f>I132</f>
        <v>84.82</v>
      </c>
      <c r="F8" s="454">
        <f>L132</f>
        <v>84.82</v>
      </c>
      <c r="G8" s="454">
        <f>O132</f>
        <v>68.7</v>
      </c>
      <c r="H8" s="454">
        <f>R132</f>
        <v>68.599999999999994</v>
      </c>
      <c r="I8" s="454">
        <f>U132</f>
        <v>68.5</v>
      </c>
      <c r="J8" s="454">
        <f>X132</f>
        <v>68.5</v>
      </c>
      <c r="K8" s="454">
        <f>AA132</f>
        <v>68.400000000000006</v>
      </c>
    </row>
    <row r="9" spans="1:15" outlineLevel="1">
      <c r="B9" s="13" t="s">
        <v>3</v>
      </c>
      <c r="C9" s="454">
        <f>C129</f>
        <v>0</v>
      </c>
      <c r="D9" s="454">
        <f>F129</f>
        <v>81.3</v>
      </c>
      <c r="E9" s="454">
        <f>I129</f>
        <v>81.3</v>
      </c>
      <c r="F9" s="454">
        <f>L129</f>
        <v>81.3</v>
      </c>
      <c r="G9" s="454">
        <f>O129</f>
        <v>77.900000000000006</v>
      </c>
      <c r="H9" s="454">
        <f>R129</f>
        <v>77.5</v>
      </c>
      <c r="I9" s="454">
        <f>U129</f>
        <v>77.099999999999994</v>
      </c>
      <c r="J9" s="454">
        <f>X129</f>
        <v>76.7</v>
      </c>
      <c r="K9" s="454">
        <f>AA129</f>
        <v>76.3</v>
      </c>
    </row>
    <row r="10" spans="1:15" outlineLevel="1">
      <c r="B10" s="13" t="s">
        <v>4</v>
      </c>
      <c r="C10" s="454">
        <f>C128</f>
        <v>0</v>
      </c>
      <c r="D10" s="454">
        <f>F128</f>
        <v>131</v>
      </c>
      <c r="E10" s="454">
        <f>I128</f>
        <v>131</v>
      </c>
      <c r="F10" s="454">
        <f>L128</f>
        <v>131</v>
      </c>
      <c r="G10" s="454">
        <f>O128</f>
        <v>109.4</v>
      </c>
      <c r="H10" s="454">
        <f>R128</f>
        <v>107.8</v>
      </c>
      <c r="I10" s="454">
        <f>U128</f>
        <v>106.2</v>
      </c>
      <c r="J10" s="454">
        <f>X128</f>
        <v>104.6</v>
      </c>
      <c r="K10" s="454">
        <f>AA128</f>
        <v>103</v>
      </c>
      <c r="L10" s="450"/>
    </row>
    <row r="11" spans="1:15" outlineLevel="1">
      <c r="B11" s="13" t="s">
        <v>5</v>
      </c>
      <c r="C11" s="454">
        <f>C130</f>
        <v>0</v>
      </c>
      <c r="D11" s="454">
        <f>F130</f>
        <v>56.45</v>
      </c>
      <c r="E11" s="454">
        <f>I130</f>
        <v>56.45</v>
      </c>
      <c r="F11" s="454">
        <f>L130</f>
        <v>54.8</v>
      </c>
      <c r="G11" s="454">
        <f>O130</f>
        <v>57.2</v>
      </c>
      <c r="H11" s="454">
        <f>R130</f>
        <v>57.1</v>
      </c>
      <c r="I11" s="454">
        <f>U130</f>
        <v>57.1</v>
      </c>
      <c r="J11" s="454">
        <f>X130</f>
        <v>57.1</v>
      </c>
      <c r="K11" s="454">
        <f>AA130</f>
        <v>57.1</v>
      </c>
    </row>
    <row r="12" spans="1:15" outlineLevel="1">
      <c r="B12" s="473" t="s">
        <v>66</v>
      </c>
      <c r="C12" s="454">
        <f>C143</f>
        <v>0</v>
      </c>
      <c r="D12" s="454">
        <f>F143</f>
        <v>91.844285714285689</v>
      </c>
      <c r="E12" s="454">
        <f>I143</f>
        <v>91.844285714285689</v>
      </c>
      <c r="F12" s="454">
        <f>L143</f>
        <v>88.415714285714287</v>
      </c>
      <c r="G12" s="454">
        <f>O143</f>
        <v>77.407142857142858</v>
      </c>
      <c r="H12" s="454">
        <f>R143</f>
        <v>76.79285714285713</v>
      </c>
      <c r="I12" s="454">
        <f>U143</f>
        <v>76.200000000000017</v>
      </c>
      <c r="J12" s="454">
        <f>X143</f>
        <v>75.614285714285728</v>
      </c>
      <c r="K12" s="454">
        <f>AA143</f>
        <v>75.028571428571439</v>
      </c>
    </row>
    <row r="13" spans="1:15" outlineLevel="1">
      <c r="B13" s="13" t="s">
        <v>8</v>
      </c>
      <c r="C13" s="454">
        <f>C138</f>
        <v>0</v>
      </c>
      <c r="D13" s="454">
        <f>F138</f>
        <v>66.400000000000006</v>
      </c>
      <c r="E13" s="454">
        <f>I138</f>
        <v>66.400000000000006</v>
      </c>
      <c r="F13" s="454">
        <f>L138</f>
        <v>66.400000000000006</v>
      </c>
      <c r="G13" s="454">
        <f>O138</f>
        <v>60.9</v>
      </c>
      <c r="H13" s="454">
        <f>R138</f>
        <v>60.8</v>
      </c>
      <c r="I13" s="454">
        <f>U138</f>
        <v>60.8</v>
      </c>
      <c r="J13" s="454">
        <f>X138</f>
        <v>60.8</v>
      </c>
      <c r="K13" s="454">
        <f>AA138</f>
        <v>60.8</v>
      </c>
    </row>
    <row r="14" spans="1:15" outlineLevel="1">
      <c r="B14" s="13" t="s">
        <v>9</v>
      </c>
      <c r="C14" s="454">
        <f>C139</f>
        <v>0</v>
      </c>
      <c r="D14" s="454">
        <f>F139</f>
        <v>47.2</v>
      </c>
      <c r="E14" s="454">
        <f>I139</f>
        <v>47.2</v>
      </c>
      <c r="F14" s="454">
        <f>L139</f>
        <v>47.2</v>
      </c>
      <c r="G14" s="454">
        <f>O139</f>
        <v>46.7</v>
      </c>
      <c r="H14" s="454">
        <f>R139</f>
        <v>46.7</v>
      </c>
      <c r="I14" s="454">
        <f>U139</f>
        <v>46.7</v>
      </c>
      <c r="J14" s="454">
        <f>X139</f>
        <v>46.7</v>
      </c>
      <c r="K14" s="454">
        <f>AA139</f>
        <v>46.7</v>
      </c>
    </row>
    <row r="15" spans="1:15" s="13" customFormat="1" outlineLevel="1">
      <c r="B15" s="13" t="s">
        <v>6</v>
      </c>
      <c r="C15" s="454">
        <f>C140</f>
        <v>0</v>
      </c>
      <c r="D15" s="454">
        <f>F140</f>
        <v>135.1</v>
      </c>
      <c r="E15" s="454">
        <f>I140</f>
        <v>135.1</v>
      </c>
      <c r="F15" s="454">
        <f>L140</f>
        <v>135.1</v>
      </c>
      <c r="G15" s="454">
        <f>O140</f>
        <v>96.2</v>
      </c>
      <c r="H15" s="454">
        <f>R140</f>
        <v>95.8</v>
      </c>
      <c r="I15" s="454">
        <f>U140</f>
        <v>95.5</v>
      </c>
      <c r="J15" s="454">
        <f>X140</f>
        <v>95.2</v>
      </c>
      <c r="K15" s="454">
        <f>AA140</f>
        <v>94.9</v>
      </c>
    </row>
    <row r="16" spans="1:15" s="13" customFormat="1" outlineLevel="1">
      <c r="B16" s="13" t="s">
        <v>7</v>
      </c>
      <c r="C16" s="454">
        <f>C141</f>
        <v>0</v>
      </c>
      <c r="D16" s="454">
        <f>F141</f>
        <v>99.75</v>
      </c>
      <c r="E16" s="454">
        <f>I141</f>
        <v>99.75</v>
      </c>
      <c r="F16" s="454">
        <f>L141</f>
        <v>93.56</v>
      </c>
      <c r="G16" s="454">
        <f>O141</f>
        <v>91</v>
      </c>
      <c r="H16" s="454">
        <f>R141</f>
        <v>90.1</v>
      </c>
      <c r="I16" s="454">
        <f>U141</f>
        <v>89.2</v>
      </c>
      <c r="J16" s="454">
        <f>X141</f>
        <v>88.3</v>
      </c>
      <c r="K16" s="454">
        <f>AA141</f>
        <v>87.4</v>
      </c>
    </row>
    <row r="17" spans="2:14" outlineLevel="1">
      <c r="B17" s="13" t="s">
        <v>259</v>
      </c>
      <c r="C17" s="454">
        <f>C137</f>
        <v>0</v>
      </c>
      <c r="D17" s="454">
        <f>F137</f>
        <v>102.02</v>
      </c>
      <c r="E17" s="454">
        <f>I137</f>
        <v>102.02</v>
      </c>
      <c r="F17" s="454">
        <f>L137</f>
        <v>92.02</v>
      </c>
      <c r="G17" s="454">
        <f>O137</f>
        <v>90.3</v>
      </c>
      <c r="H17" s="454">
        <f>R137</f>
        <v>88.8</v>
      </c>
      <c r="I17" s="454">
        <f>U137</f>
        <v>87.2</v>
      </c>
      <c r="J17" s="454">
        <f>X137</f>
        <v>85.7</v>
      </c>
      <c r="K17" s="454">
        <f>AA137</f>
        <v>84.2</v>
      </c>
    </row>
    <row r="18" spans="2:14" outlineLevel="1">
      <c r="B18" s="13" t="s">
        <v>257</v>
      </c>
      <c r="C18" s="454">
        <f>C135</f>
        <v>0</v>
      </c>
      <c r="D18" s="454">
        <f>F135</f>
        <v>38.619999999999997</v>
      </c>
      <c r="E18" s="454">
        <f>I135</f>
        <v>38.619999999999997</v>
      </c>
      <c r="F18" s="454">
        <f>L135</f>
        <v>31.82</v>
      </c>
      <c r="G18" s="454">
        <f>O135</f>
        <v>36.200000000000003</v>
      </c>
      <c r="H18" s="454">
        <f>R135</f>
        <v>36.200000000000003</v>
      </c>
      <c r="I18" s="454">
        <f>U135</f>
        <v>36.200000000000003</v>
      </c>
      <c r="J18" s="454">
        <f>X135</f>
        <v>36.200000000000003</v>
      </c>
      <c r="K18" s="454">
        <f>AA135</f>
        <v>36.200000000000003</v>
      </c>
    </row>
    <row r="19" spans="2:14" outlineLevel="1">
      <c r="B19" s="13" t="s">
        <v>258</v>
      </c>
      <c r="C19" s="454">
        <f>C136</f>
        <v>0</v>
      </c>
      <c r="D19" s="454">
        <f>F136</f>
        <v>96.8</v>
      </c>
      <c r="E19" s="454">
        <f>I136</f>
        <v>96.8</v>
      </c>
      <c r="F19" s="454">
        <f>L136</f>
        <v>96.8</v>
      </c>
      <c r="G19" s="454">
        <f>O136</f>
        <v>90.5</v>
      </c>
      <c r="H19" s="454">
        <f>R136</f>
        <v>88.5</v>
      </c>
      <c r="I19" s="454">
        <f>U136</f>
        <v>86.5</v>
      </c>
      <c r="J19" s="454">
        <f>X136</f>
        <v>84.5</v>
      </c>
      <c r="K19" s="454">
        <f>AA136</f>
        <v>82.5</v>
      </c>
    </row>
    <row r="20" spans="2:14" outlineLevel="1">
      <c r="B20" s="13" t="s">
        <v>13</v>
      </c>
      <c r="C20" s="454">
        <f>C133</f>
        <v>0</v>
      </c>
      <c r="D20" s="454">
        <f>F133</f>
        <v>152.80000000000001</v>
      </c>
      <c r="E20" s="454">
        <f>I133</f>
        <v>152.80000000000001</v>
      </c>
      <c r="F20" s="454">
        <f>L133</f>
        <v>152.80000000000001</v>
      </c>
      <c r="G20" s="454">
        <f>O133</f>
        <v>99.7</v>
      </c>
      <c r="H20" s="454">
        <f>R133</f>
        <v>98.2</v>
      </c>
      <c r="I20" s="454">
        <f>U133</f>
        <v>96.8</v>
      </c>
      <c r="J20" s="454">
        <f>X133</f>
        <v>95.3</v>
      </c>
      <c r="K20" s="454">
        <f>AA133</f>
        <v>93.9</v>
      </c>
    </row>
    <row r="21" spans="2:14" outlineLevel="1">
      <c r="B21" s="6" t="s">
        <v>14</v>
      </c>
      <c r="C21" s="455">
        <f>C134</f>
        <v>0</v>
      </c>
      <c r="D21" s="455">
        <f>F134</f>
        <v>103.86</v>
      </c>
      <c r="E21" s="455">
        <f>I134</f>
        <v>103.86</v>
      </c>
      <c r="F21" s="455">
        <f>L134</f>
        <v>80.5</v>
      </c>
      <c r="G21" s="455">
        <f>O134</f>
        <v>84.5</v>
      </c>
      <c r="H21" s="455">
        <f>R134</f>
        <v>84.5</v>
      </c>
      <c r="I21" s="455">
        <f>U134</f>
        <v>84.5</v>
      </c>
      <c r="J21" s="455">
        <f>X134</f>
        <v>84.5</v>
      </c>
      <c r="K21" s="455">
        <f>AA134</f>
        <v>84.5</v>
      </c>
    </row>
    <row r="22" spans="2:14" outlineLevel="1"/>
    <row r="23" spans="2:14" s="13" customFormat="1" outlineLevel="1">
      <c r="B23" s="452" t="s">
        <v>268</v>
      </c>
      <c r="C23" s="455"/>
      <c r="D23" s="455"/>
      <c r="E23" s="455"/>
      <c r="F23" s="455"/>
      <c r="G23" s="455"/>
      <c r="H23" s="455"/>
      <c r="I23" s="455"/>
      <c r="J23" s="455"/>
      <c r="K23" s="455"/>
    </row>
    <row r="24" spans="2:14" outlineLevel="1">
      <c r="B24" s="13" t="s">
        <v>1</v>
      </c>
      <c r="C24" s="454">
        <f>D131</f>
        <v>0</v>
      </c>
      <c r="D24" s="454">
        <f>G131</f>
        <v>79.037637505629846</v>
      </c>
      <c r="E24" s="454">
        <f>J131</f>
        <v>67.495401499264176</v>
      </c>
      <c r="F24" s="454">
        <f>M131</f>
        <v>71.981307528862558</v>
      </c>
      <c r="G24" s="454">
        <f>P131</f>
        <v>65.7</v>
      </c>
      <c r="H24" s="454">
        <f>S131</f>
        <v>74</v>
      </c>
      <c r="I24" s="454">
        <f>V131</f>
        <v>66.3</v>
      </c>
      <c r="J24" s="454">
        <f>Y131</f>
        <v>64.2</v>
      </c>
      <c r="K24" s="454">
        <f>AB131</f>
        <v>62.3</v>
      </c>
      <c r="L24" s="747">
        <v>5</v>
      </c>
      <c r="M24" s="747" t="s">
        <v>355</v>
      </c>
      <c r="N24" s="552"/>
    </row>
    <row r="25" spans="2:14" outlineLevel="1">
      <c r="B25" s="13" t="s">
        <v>2</v>
      </c>
      <c r="C25" s="454">
        <f>D132</f>
        <v>0</v>
      </c>
      <c r="D25" s="454">
        <f>G132</f>
        <v>63.614198554357685</v>
      </c>
      <c r="E25" s="454">
        <f>J132</f>
        <v>66.985732736887897</v>
      </c>
      <c r="F25" s="454">
        <f>M132</f>
        <v>68.734354737912895</v>
      </c>
      <c r="G25" s="454">
        <f>P132</f>
        <v>67.2</v>
      </c>
      <c r="H25" s="454">
        <f>S132</f>
        <v>84.8</v>
      </c>
      <c r="I25" s="454">
        <f>V132</f>
        <v>75.7</v>
      </c>
      <c r="J25" s="454">
        <f>Y132</f>
        <v>76.400000000000006</v>
      </c>
      <c r="K25" s="454">
        <f>AB132</f>
        <v>71.400000000000006</v>
      </c>
      <c r="L25" s="747">
        <v>1</v>
      </c>
      <c r="M25" s="747" t="s">
        <v>354</v>
      </c>
      <c r="N25" s="552"/>
    </row>
    <row r="26" spans="2:14" outlineLevel="1">
      <c r="B26" s="13" t="s">
        <v>3</v>
      </c>
      <c r="C26" s="454">
        <f>D129</f>
        <v>0</v>
      </c>
      <c r="D26" s="454">
        <f>G129</f>
        <v>75.970065980261694</v>
      </c>
      <c r="E26" s="454">
        <f>J129</f>
        <v>85.317808820074703</v>
      </c>
      <c r="F26" s="454">
        <f>M129</f>
        <v>73.802614299674062</v>
      </c>
      <c r="G26" s="454">
        <f>P129</f>
        <v>71</v>
      </c>
      <c r="H26" s="454">
        <f>S129</f>
        <v>83.8</v>
      </c>
      <c r="I26" s="454">
        <f>V129</f>
        <v>79.400000000000006</v>
      </c>
      <c r="J26" s="454">
        <f>Y129</f>
        <v>68.5</v>
      </c>
      <c r="K26" s="454">
        <f>AB129</f>
        <v>61.9</v>
      </c>
      <c r="L26" s="747">
        <v>3</v>
      </c>
      <c r="M26" s="747" t="s">
        <v>356</v>
      </c>
      <c r="N26" s="552"/>
    </row>
    <row r="27" spans="2:14" outlineLevel="1">
      <c r="B27" s="13" t="s">
        <v>4</v>
      </c>
      <c r="C27" s="454">
        <f>D128</f>
        <v>0</v>
      </c>
      <c r="D27" s="454">
        <f>G128</f>
        <v>103.33926395856584</v>
      </c>
      <c r="E27" s="454">
        <f>J128</f>
        <v>116.01061898827433</v>
      </c>
      <c r="F27" s="454">
        <f>M128</f>
        <v>108.69687668160105</v>
      </c>
      <c r="G27" s="454">
        <f>P128</f>
        <v>107.8</v>
      </c>
      <c r="H27" s="454">
        <f>S128</f>
        <v>119.3</v>
      </c>
      <c r="I27" s="454">
        <f>V128</f>
        <v>116.9</v>
      </c>
      <c r="J27" s="454">
        <f>Y128</f>
        <v>92.8</v>
      </c>
      <c r="K27" s="454">
        <f>AB128</f>
        <v>107.2</v>
      </c>
      <c r="L27" s="747">
        <v>2</v>
      </c>
      <c r="M27" s="747" t="s">
        <v>354</v>
      </c>
      <c r="N27" s="552"/>
    </row>
    <row r="28" spans="2:14" outlineLevel="1">
      <c r="B28" s="13" t="s">
        <v>5</v>
      </c>
      <c r="C28" s="454">
        <f>D130</f>
        <v>0</v>
      </c>
      <c r="D28" s="454">
        <f>G130</f>
        <v>66.481444878951365</v>
      </c>
      <c r="E28" s="454">
        <f>J130</f>
        <v>50.973172868652043</v>
      </c>
      <c r="F28" s="454">
        <f>M130</f>
        <v>47.008235261345391</v>
      </c>
      <c r="G28" s="454">
        <f>P130</f>
        <v>49.8</v>
      </c>
      <c r="H28" s="454">
        <f>S130</f>
        <v>54.4</v>
      </c>
      <c r="I28" s="454">
        <f>V130</f>
        <v>50.7</v>
      </c>
      <c r="J28" s="454">
        <f>Y130</f>
        <v>48.3</v>
      </c>
      <c r="K28" s="454">
        <f>AB130</f>
        <v>50.6</v>
      </c>
      <c r="L28" s="747">
        <v>5</v>
      </c>
      <c r="M28" s="747" t="s">
        <v>355</v>
      </c>
      <c r="N28" s="552"/>
    </row>
    <row r="29" spans="2:14" outlineLevel="1">
      <c r="B29" s="473" t="s">
        <v>66</v>
      </c>
      <c r="C29" s="456">
        <f>D143</f>
        <v>0</v>
      </c>
      <c r="D29" s="456">
        <f>G143</f>
        <v>77.913699083142646</v>
      </c>
      <c r="E29" s="456">
        <f>J143</f>
        <v>76.815604929439431</v>
      </c>
      <c r="F29" s="456">
        <f>M143</f>
        <v>73.015510256792339</v>
      </c>
      <c r="G29" s="456">
        <f>P143</f>
        <v>67.664285714285725</v>
      </c>
      <c r="H29" s="456">
        <f>S143</f>
        <v>74.635714285714286</v>
      </c>
      <c r="I29" s="456">
        <f>V143</f>
        <v>69.600000000000009</v>
      </c>
      <c r="J29" s="456">
        <f>Y143</f>
        <v>65.428571428571416</v>
      </c>
      <c r="K29" s="456">
        <f>AB143</f>
        <v>63.1</v>
      </c>
      <c r="L29" s="747">
        <v>5</v>
      </c>
      <c r="M29" s="747" t="s">
        <v>355</v>
      </c>
      <c r="N29" s="552"/>
    </row>
    <row r="30" spans="2:14" outlineLevel="1">
      <c r="B30" s="13" t="s">
        <v>8</v>
      </c>
      <c r="C30" s="454">
        <f>D138</f>
        <v>0</v>
      </c>
      <c r="D30" s="454">
        <f>G138</f>
        <v>64.986281337551503</v>
      </c>
      <c r="E30" s="454">
        <f>J138</f>
        <v>61.594380442950111</v>
      </c>
      <c r="F30" s="454">
        <f>M138</f>
        <v>64.907579532129631</v>
      </c>
      <c r="G30" s="454">
        <f>P138</f>
        <v>57.6</v>
      </c>
      <c r="H30" s="454">
        <f>S138</f>
        <v>64.900000000000006</v>
      </c>
      <c r="I30" s="454">
        <f>V138</f>
        <v>58.6</v>
      </c>
      <c r="J30" s="454">
        <f>Y138</f>
        <v>55.7</v>
      </c>
      <c r="K30" s="454">
        <f>AB138</f>
        <v>51.7</v>
      </c>
      <c r="L30" s="747">
        <v>4</v>
      </c>
      <c r="M30" s="747" t="s">
        <v>356</v>
      </c>
      <c r="N30" s="552"/>
    </row>
    <row r="31" spans="2:14" outlineLevel="1">
      <c r="B31" s="13" t="s">
        <v>9</v>
      </c>
      <c r="C31" s="456">
        <f>D139</f>
        <v>0</v>
      </c>
      <c r="D31" s="456">
        <f>G139</f>
        <v>42.548030178092851</v>
      </c>
      <c r="E31" s="456">
        <f>J139</f>
        <v>50.973053586179233</v>
      </c>
      <c r="F31" s="456">
        <f>M139</f>
        <v>48.067737914771755</v>
      </c>
      <c r="G31" s="456">
        <f>P139</f>
        <v>42.7</v>
      </c>
      <c r="H31" s="456">
        <f>S139</f>
        <v>46.1</v>
      </c>
      <c r="I31" s="456">
        <f>V139</f>
        <v>43.1</v>
      </c>
      <c r="J31" s="456">
        <f>Y139</f>
        <v>49.3</v>
      </c>
      <c r="K31" s="456">
        <f>AB139</f>
        <v>38.9</v>
      </c>
      <c r="L31" s="747">
        <v>4</v>
      </c>
      <c r="M31" s="747" t="s">
        <v>356</v>
      </c>
      <c r="N31" s="552"/>
    </row>
    <row r="32" spans="2:14" outlineLevel="1">
      <c r="B32" s="13" t="s">
        <v>6</v>
      </c>
      <c r="C32" s="456">
        <f>D140</f>
        <v>0</v>
      </c>
      <c r="D32" s="456">
        <f>G140</f>
        <v>94.560099407548762</v>
      </c>
      <c r="E32" s="456">
        <f>J140</f>
        <v>89.070056422519883</v>
      </c>
      <c r="F32" s="456">
        <f>M140</f>
        <v>85.909955450941865</v>
      </c>
      <c r="G32" s="456">
        <f>P140</f>
        <v>77.900000000000006</v>
      </c>
      <c r="H32" s="456">
        <f>S140</f>
        <v>78.599999999999994</v>
      </c>
      <c r="I32" s="456">
        <f>V140</f>
        <v>69.2</v>
      </c>
      <c r="J32" s="456">
        <f>Y140</f>
        <v>75.8</v>
      </c>
      <c r="K32" s="456">
        <f>AB140</f>
        <v>77.8</v>
      </c>
      <c r="L32" s="747">
        <v>5</v>
      </c>
      <c r="M32" s="747" t="s">
        <v>355</v>
      </c>
      <c r="N32" s="552"/>
    </row>
    <row r="33" spans="2:19" outlineLevel="1">
      <c r="B33" s="13" t="s">
        <v>7</v>
      </c>
      <c r="C33" s="456">
        <f>D141</f>
        <v>0</v>
      </c>
      <c r="D33" s="456">
        <f>G141</f>
        <v>93.231883300666937</v>
      </c>
      <c r="E33" s="456">
        <f>J141</f>
        <v>88.010990272681482</v>
      </c>
      <c r="F33" s="456">
        <f>M141</f>
        <v>89.739548598967758</v>
      </c>
      <c r="G33" s="456">
        <f>P141</f>
        <v>78.2</v>
      </c>
      <c r="H33" s="456">
        <f>S141</f>
        <v>75.3</v>
      </c>
      <c r="I33" s="456">
        <f>V141</f>
        <v>65.7</v>
      </c>
      <c r="J33" s="456">
        <f>Y141</f>
        <v>64.3</v>
      </c>
      <c r="K33" s="456">
        <f>AB141</f>
        <v>61.2</v>
      </c>
      <c r="L33" s="747">
        <v>5</v>
      </c>
      <c r="M33" s="747" t="s">
        <v>355</v>
      </c>
      <c r="N33" s="552"/>
    </row>
    <row r="34" spans="2:19" outlineLevel="1">
      <c r="B34" s="13" t="s">
        <v>259</v>
      </c>
      <c r="C34" s="454">
        <f>D137</f>
        <v>0</v>
      </c>
      <c r="D34" s="454">
        <f>G137</f>
        <v>89.400200452444068</v>
      </c>
      <c r="E34" s="454">
        <f>J137</f>
        <v>90.678233996179642</v>
      </c>
      <c r="F34" s="454">
        <f>M137</f>
        <v>70.753914147974939</v>
      </c>
      <c r="G34" s="454">
        <f>P137</f>
        <v>66.2</v>
      </c>
      <c r="H34" s="454">
        <f>S137</f>
        <v>77.2</v>
      </c>
      <c r="I34" s="454">
        <f>V137</f>
        <v>73.099999999999994</v>
      </c>
      <c r="J34" s="454">
        <f>Y137</f>
        <v>84.8</v>
      </c>
      <c r="K34" s="454">
        <f>AB137</f>
        <v>87.5</v>
      </c>
      <c r="L34" s="747">
        <v>4</v>
      </c>
      <c r="M34" s="747" t="s">
        <v>356</v>
      </c>
      <c r="N34" s="552"/>
    </row>
    <row r="35" spans="2:19" outlineLevel="1">
      <c r="B35" s="13" t="s">
        <v>257</v>
      </c>
      <c r="C35" s="454">
        <f>D135</f>
        <v>0</v>
      </c>
      <c r="D35" s="454">
        <f>G135</f>
        <v>36.435794256392988</v>
      </c>
      <c r="E35" s="454">
        <f>J135</f>
        <v>35.25158387252398</v>
      </c>
      <c r="F35" s="454">
        <f>M135</f>
        <v>33.411445552316124</v>
      </c>
      <c r="G35" s="454">
        <f>P135</f>
        <v>32</v>
      </c>
      <c r="H35" s="454">
        <f>S135</f>
        <v>36.9</v>
      </c>
      <c r="I35" s="454">
        <f>V135</f>
        <v>31.5</v>
      </c>
      <c r="J35" s="454">
        <f>Y135</f>
        <v>28.7</v>
      </c>
      <c r="K35" s="454">
        <f>AB135</f>
        <v>28.4</v>
      </c>
      <c r="L35" s="747">
        <v>4</v>
      </c>
      <c r="M35" s="747" t="s">
        <v>356</v>
      </c>
      <c r="N35" s="552"/>
    </row>
    <row r="36" spans="2:19" outlineLevel="1">
      <c r="B36" s="13" t="s">
        <v>258</v>
      </c>
      <c r="C36" s="454">
        <f>D136</f>
        <v>0</v>
      </c>
      <c r="D36" s="454">
        <f>G136</f>
        <v>90.421833257749213</v>
      </c>
      <c r="E36" s="454">
        <f>J136</f>
        <v>97.773484645492971</v>
      </c>
      <c r="F36" s="454">
        <f>M136</f>
        <v>82.565043116771037</v>
      </c>
      <c r="G36" s="454">
        <f>P136</f>
        <v>77.8</v>
      </c>
      <c r="H36" s="454">
        <f>S136</f>
        <v>85.9</v>
      </c>
      <c r="I36" s="454">
        <f>V136</f>
        <v>90.1</v>
      </c>
      <c r="J36" s="454">
        <f>Y136</f>
        <v>82.7</v>
      </c>
      <c r="K36" s="454">
        <f>AB136</f>
        <v>80.2</v>
      </c>
      <c r="L36" s="747">
        <v>4</v>
      </c>
      <c r="M36" s="747" t="s">
        <v>356</v>
      </c>
      <c r="N36" s="552"/>
    </row>
    <row r="37" spans="2:19" outlineLevel="1">
      <c r="B37" s="13" t="s">
        <v>13</v>
      </c>
      <c r="C37" s="454">
        <f>D133</f>
        <v>0</v>
      </c>
      <c r="D37" s="454">
        <f>G133</f>
        <v>105.29573442324475</v>
      </c>
      <c r="E37" s="454">
        <f>J133</f>
        <v>101.06096236412776</v>
      </c>
      <c r="F37" s="454">
        <f>M133</f>
        <v>102.40855966470339</v>
      </c>
      <c r="G37" s="454">
        <f>P133</f>
        <v>81.3</v>
      </c>
      <c r="H37" s="454">
        <f>S133</f>
        <v>83.4</v>
      </c>
      <c r="I37" s="454">
        <f>V133</f>
        <v>77.7</v>
      </c>
      <c r="J37" s="454">
        <f>Y133</f>
        <v>66.099999999999994</v>
      </c>
      <c r="K37" s="454">
        <f>AB133</f>
        <v>55</v>
      </c>
      <c r="L37" s="747">
        <v>5</v>
      </c>
      <c r="M37" s="747" t="s">
        <v>355</v>
      </c>
      <c r="N37" s="552"/>
    </row>
    <row r="38" spans="2:19" outlineLevel="1">
      <c r="B38" s="13" t="s">
        <v>14</v>
      </c>
      <c r="C38" s="454">
        <f>D134</f>
        <v>0</v>
      </c>
      <c r="D38" s="454">
        <f>G134</f>
        <v>85.469319672539214</v>
      </c>
      <c r="E38" s="454">
        <f>J134</f>
        <v>74.222988496343831</v>
      </c>
      <c r="F38" s="454">
        <f>M134</f>
        <v>74.229971107120477</v>
      </c>
      <c r="G38" s="454">
        <f>P134</f>
        <v>72.099999999999994</v>
      </c>
      <c r="H38" s="454">
        <f>S134</f>
        <v>80.3</v>
      </c>
      <c r="I38" s="454">
        <f>V134</f>
        <v>76.400000000000006</v>
      </c>
      <c r="J38" s="454">
        <f>Y134</f>
        <v>58.4</v>
      </c>
      <c r="K38" s="454">
        <f>AB134</f>
        <v>49.3</v>
      </c>
      <c r="L38" s="747">
        <v>5</v>
      </c>
      <c r="M38" s="747" t="s">
        <v>355</v>
      </c>
      <c r="N38" s="552"/>
    </row>
    <row r="39" spans="2:19" outlineLevel="1">
      <c r="B39" s="10"/>
      <c r="C39" s="457"/>
      <c r="D39" s="457"/>
      <c r="E39" s="457"/>
      <c r="F39" s="457"/>
      <c r="G39" s="457"/>
      <c r="H39" s="457"/>
      <c r="I39" s="457"/>
      <c r="J39" s="457"/>
      <c r="K39" s="457"/>
    </row>
    <row r="40" spans="2:19" outlineLevel="1">
      <c r="B40" s="764" t="s">
        <v>66</v>
      </c>
      <c r="C40" s="458" t="s">
        <v>315</v>
      </c>
      <c r="D40" s="458">
        <f t="shared" ref="D40:K40" si="1">LOOKUP($B$40,DNO_list_average,D7:D21)</f>
        <v>91.844285714285689</v>
      </c>
      <c r="E40" s="458">
        <f t="shared" si="1"/>
        <v>91.844285714285689</v>
      </c>
      <c r="F40" s="458">
        <f t="shared" si="1"/>
        <v>88.415714285714287</v>
      </c>
      <c r="G40" s="458">
        <f t="shared" si="1"/>
        <v>77.407142857142858</v>
      </c>
      <c r="H40" s="458">
        <f t="shared" si="1"/>
        <v>76.79285714285713</v>
      </c>
      <c r="I40" s="458">
        <f t="shared" si="1"/>
        <v>76.200000000000017</v>
      </c>
      <c r="J40" s="458">
        <f t="shared" si="1"/>
        <v>75.614285714285728</v>
      </c>
      <c r="K40" s="458">
        <f t="shared" si="1"/>
        <v>75.028571428571439</v>
      </c>
      <c r="L40" s="641">
        <f>AVERAGE(G7:K11,G13:K21)</f>
        <v>76.208571428571389</v>
      </c>
      <c r="M40" s="645">
        <f>(L41/L40)-1</f>
        <v>-0.10658718554343316</v>
      </c>
    </row>
    <row r="41" spans="2:19" outlineLevel="1">
      <c r="B41" s="765"/>
      <c r="C41" s="458" t="s">
        <v>316</v>
      </c>
      <c r="D41" s="458">
        <f t="shared" ref="D41:K41" si="2">LOOKUP($B$40,DNO_list_average,D24:D38)</f>
        <v>77.913699083142646</v>
      </c>
      <c r="E41" s="458">
        <f t="shared" si="2"/>
        <v>76.815604929439431</v>
      </c>
      <c r="F41" s="458">
        <f t="shared" si="2"/>
        <v>73.015510256792339</v>
      </c>
      <c r="G41" s="458">
        <f t="shared" si="2"/>
        <v>67.664285714285725</v>
      </c>
      <c r="H41" s="458">
        <f t="shared" si="2"/>
        <v>74.635714285714286</v>
      </c>
      <c r="I41" s="458">
        <f t="shared" si="2"/>
        <v>69.600000000000009</v>
      </c>
      <c r="J41" s="458">
        <f t="shared" si="2"/>
        <v>65.428571428571416</v>
      </c>
      <c r="K41" s="458">
        <f t="shared" si="2"/>
        <v>63.1</v>
      </c>
      <c r="L41" s="641">
        <f>AVERAGE(G24:K28,G30:K38)</f>
        <v>68.085714285714275</v>
      </c>
      <c r="M41" s="646"/>
    </row>
    <row r="42" spans="2:19">
      <c r="B42" s="461"/>
      <c r="C42" s="462"/>
      <c r="D42" s="462"/>
      <c r="E42" s="462"/>
      <c r="F42" s="462"/>
      <c r="G42" s="462"/>
      <c r="H42" s="462"/>
      <c r="I42" s="462"/>
      <c r="J42" s="462"/>
      <c r="K42" s="462"/>
      <c r="L42" s="152"/>
    </row>
    <row r="43" spans="2:19">
      <c r="B43" s="463" t="str">
        <f>B146</f>
        <v>Customer minutes lost</v>
      </c>
      <c r="C43" s="462"/>
      <c r="D43" s="462"/>
      <c r="E43" s="462"/>
      <c r="F43" s="462"/>
      <c r="G43" s="462"/>
      <c r="H43" s="462"/>
      <c r="I43" s="462"/>
      <c r="J43" s="462"/>
      <c r="K43" s="462"/>
      <c r="L43" s="152"/>
      <c r="S43" t="s">
        <v>357</v>
      </c>
    </row>
    <row r="44" spans="2:19" outlineLevel="1">
      <c r="B44" s="452" t="s">
        <v>267</v>
      </c>
      <c r="C44" s="6" t="str">
        <f t="shared" ref="C44:K44" si="3">C5</f>
        <v>2001-02</v>
      </c>
      <c r="D44" s="6" t="str">
        <f t="shared" si="3"/>
        <v>2002-03</v>
      </c>
      <c r="E44" s="6" t="str">
        <f t="shared" si="3"/>
        <v>2003-04</v>
      </c>
      <c r="F44" s="6" t="str">
        <f t="shared" si="3"/>
        <v>2004-05</v>
      </c>
      <c r="G44" s="6" t="str">
        <f t="shared" si="3"/>
        <v>2005-06</v>
      </c>
      <c r="H44" s="6" t="str">
        <f t="shared" si="3"/>
        <v>2006-07</v>
      </c>
      <c r="I44" s="6" t="str">
        <f t="shared" si="3"/>
        <v>2007-08</v>
      </c>
      <c r="J44" s="6" t="str">
        <f t="shared" si="3"/>
        <v>2008-09</v>
      </c>
      <c r="K44" s="6" t="str">
        <f t="shared" si="3"/>
        <v>2009-10</v>
      </c>
      <c r="L44" s="152"/>
      <c r="N44" s="471" t="str">
        <f>B78</f>
        <v>GB average</v>
      </c>
      <c r="O44" s="459"/>
    </row>
    <row r="45" spans="2:19" outlineLevel="1">
      <c r="B45" s="13" t="s">
        <v>1</v>
      </c>
      <c r="C45" s="454">
        <f>C152</f>
        <v>0</v>
      </c>
      <c r="D45" s="454">
        <f>F152</f>
        <v>96.54</v>
      </c>
      <c r="E45" s="454">
        <f>I152</f>
        <v>96.54</v>
      </c>
      <c r="F45" s="454">
        <f>L152</f>
        <v>96.54</v>
      </c>
      <c r="G45" s="454">
        <f>O152</f>
        <v>71.400000000000006</v>
      </c>
      <c r="H45" s="454">
        <f>R152</f>
        <v>70.400000000000006</v>
      </c>
      <c r="I45" s="454">
        <f>U152</f>
        <v>69.400000000000006</v>
      </c>
      <c r="J45" s="454">
        <f>X152</f>
        <v>68.400000000000006</v>
      </c>
      <c r="K45" s="454">
        <f>AA152</f>
        <v>67.400000000000006</v>
      </c>
      <c r="L45" s="152"/>
    </row>
    <row r="46" spans="2:19" outlineLevel="1">
      <c r="B46" s="13" t="s">
        <v>2</v>
      </c>
      <c r="C46" s="454">
        <f>C153</f>
        <v>0</v>
      </c>
      <c r="D46" s="454">
        <f>F153</f>
        <v>74.430000000000007</v>
      </c>
      <c r="E46" s="454">
        <f>I153</f>
        <v>74.430000000000007</v>
      </c>
      <c r="F46" s="454">
        <f>L153</f>
        <v>66.69</v>
      </c>
      <c r="G46" s="454">
        <f>O153</f>
        <v>68.5</v>
      </c>
      <c r="H46" s="454">
        <f>R153</f>
        <v>66.8</v>
      </c>
      <c r="I46" s="454">
        <f>U153</f>
        <v>65.099999999999994</v>
      </c>
      <c r="J46" s="454">
        <f>X153</f>
        <v>63.4</v>
      </c>
      <c r="K46" s="454">
        <f>AA153</f>
        <v>61.7</v>
      </c>
      <c r="L46" s="152"/>
    </row>
    <row r="47" spans="2:19" s="13" customFormat="1" outlineLevel="1">
      <c r="B47" s="13" t="s">
        <v>3</v>
      </c>
      <c r="C47" s="454">
        <f>C150</f>
        <v>0</v>
      </c>
      <c r="D47" s="454">
        <f>F150</f>
        <v>92.73</v>
      </c>
      <c r="E47" s="454">
        <f>I150</f>
        <v>92.73</v>
      </c>
      <c r="F47" s="454">
        <f>L150</f>
        <v>71</v>
      </c>
      <c r="G47" s="454">
        <f>O150</f>
        <v>80.099999999999994</v>
      </c>
      <c r="H47" s="454">
        <f>R150</f>
        <v>76.7</v>
      </c>
      <c r="I47" s="454">
        <f>U150</f>
        <v>73.400000000000006</v>
      </c>
      <c r="J47" s="454">
        <f>X150</f>
        <v>70</v>
      </c>
      <c r="K47" s="454">
        <f>AA150</f>
        <v>66.7</v>
      </c>
      <c r="L47" s="473"/>
    </row>
    <row r="48" spans="2:19" s="13" customFormat="1" outlineLevel="1">
      <c r="B48" s="13" t="s">
        <v>4</v>
      </c>
      <c r="C48" s="454">
        <f>C149</f>
        <v>0</v>
      </c>
      <c r="D48" s="454">
        <f>F149</f>
        <v>125.87</v>
      </c>
      <c r="E48" s="454">
        <f>I149</f>
        <v>125.87</v>
      </c>
      <c r="F48" s="454">
        <f>L149</f>
        <v>116.9</v>
      </c>
      <c r="G48" s="454">
        <f>O149</f>
        <v>102.3</v>
      </c>
      <c r="H48" s="454">
        <f>R149</f>
        <v>98.5</v>
      </c>
      <c r="I48" s="454">
        <f>U149</f>
        <v>94.7</v>
      </c>
      <c r="J48" s="454">
        <f>X149</f>
        <v>91</v>
      </c>
      <c r="K48" s="454">
        <f>AA149</f>
        <v>87.2</v>
      </c>
      <c r="L48" s="473"/>
    </row>
    <row r="49" spans="2:14" outlineLevel="1">
      <c r="B49" s="13" t="s">
        <v>5</v>
      </c>
      <c r="C49" s="454">
        <f t="shared" ref="C49" si="4">C151</f>
        <v>0</v>
      </c>
      <c r="D49" s="454">
        <f t="shared" ref="D49" si="5">F151</f>
        <v>68.2</v>
      </c>
      <c r="E49" s="454">
        <f t="shared" ref="E49" si="6">I151</f>
        <v>68.2</v>
      </c>
      <c r="F49" s="454">
        <f t="shared" ref="F49" si="7">L151</f>
        <v>68.2</v>
      </c>
      <c r="G49" s="454">
        <f t="shared" ref="G49" si="8">O151</f>
        <v>59.8</v>
      </c>
      <c r="H49" s="454">
        <f t="shared" ref="H49" si="9">R151</f>
        <v>58.1</v>
      </c>
      <c r="I49" s="454">
        <f t="shared" ref="I49" si="10">U151</f>
        <v>56.4</v>
      </c>
      <c r="J49" s="454">
        <f t="shared" ref="J49" si="11">X151</f>
        <v>54.7</v>
      </c>
      <c r="K49" s="454">
        <f t="shared" ref="K49" si="12">AA151</f>
        <v>53</v>
      </c>
      <c r="L49" s="152"/>
    </row>
    <row r="50" spans="2:14" outlineLevel="1">
      <c r="B50" s="473" t="s">
        <v>66</v>
      </c>
      <c r="C50" s="454">
        <f>C164</f>
        <v>0</v>
      </c>
      <c r="D50" s="454">
        <f>F164</f>
        <v>96.098571428571418</v>
      </c>
      <c r="E50" s="454">
        <f>I164</f>
        <v>96.098571428571418</v>
      </c>
      <c r="F50" s="454">
        <f>L164</f>
        <v>90.96571428571427</v>
      </c>
      <c r="G50" s="454">
        <f>O164</f>
        <v>71.885714285714286</v>
      </c>
      <c r="H50" s="454">
        <f>R164</f>
        <v>70.05</v>
      </c>
      <c r="I50" s="454">
        <f>U164</f>
        <v>68.221428571428575</v>
      </c>
      <c r="J50" s="454">
        <f>X164</f>
        <v>66.414285714285725</v>
      </c>
      <c r="K50" s="454">
        <f>AA164</f>
        <v>64.585714285714275</v>
      </c>
      <c r="L50" s="152"/>
    </row>
    <row r="51" spans="2:14" outlineLevel="1">
      <c r="B51" s="13" t="s">
        <v>8</v>
      </c>
      <c r="C51" s="454">
        <f>C159</f>
        <v>0</v>
      </c>
      <c r="D51" s="454">
        <f>F159</f>
        <v>87.7</v>
      </c>
      <c r="E51" s="454">
        <f>I159</f>
        <v>87.7</v>
      </c>
      <c r="F51" s="454">
        <f>L159</f>
        <v>87.7</v>
      </c>
      <c r="G51" s="454">
        <f>O159</f>
        <v>64.900000000000006</v>
      </c>
      <c r="H51" s="454">
        <f>R159</f>
        <v>61.2</v>
      </c>
      <c r="I51" s="454">
        <f>U159</f>
        <v>57.6</v>
      </c>
      <c r="J51" s="454">
        <f>X159</f>
        <v>54</v>
      </c>
      <c r="K51" s="454">
        <f>AA159</f>
        <v>50.4</v>
      </c>
      <c r="L51" s="152"/>
    </row>
    <row r="52" spans="2:14" outlineLevel="1">
      <c r="B52" s="13" t="s">
        <v>9</v>
      </c>
      <c r="C52" s="454">
        <f>C160</f>
        <v>0</v>
      </c>
      <c r="D52" s="454">
        <f>F160</f>
        <v>65.8</v>
      </c>
      <c r="E52" s="454">
        <f>I160</f>
        <v>65.8</v>
      </c>
      <c r="F52" s="454">
        <f>L160</f>
        <v>65.8</v>
      </c>
      <c r="G52" s="454">
        <f>O160</f>
        <v>51.8</v>
      </c>
      <c r="H52" s="454">
        <f>R160</f>
        <v>49.9</v>
      </c>
      <c r="I52" s="454">
        <f>U160</f>
        <v>48</v>
      </c>
      <c r="J52" s="454">
        <f>X160</f>
        <v>46.1</v>
      </c>
      <c r="K52" s="454">
        <f>AA160</f>
        <v>44.2</v>
      </c>
      <c r="L52" s="152"/>
    </row>
    <row r="53" spans="2:14" s="13" customFormat="1" outlineLevel="1">
      <c r="B53" s="13" t="s">
        <v>6</v>
      </c>
      <c r="C53" s="454">
        <f>C161</f>
        <v>0</v>
      </c>
      <c r="D53" s="454">
        <f>F161</f>
        <v>195.8</v>
      </c>
      <c r="E53" s="454">
        <f>I161</f>
        <v>195.8</v>
      </c>
      <c r="F53" s="454">
        <f>L161</f>
        <v>195.8</v>
      </c>
      <c r="G53" s="454">
        <f>O161</f>
        <v>95.9</v>
      </c>
      <c r="H53" s="454">
        <f>R161</f>
        <v>94.9</v>
      </c>
      <c r="I53" s="454">
        <f>U161</f>
        <v>93.9</v>
      </c>
      <c r="J53" s="454">
        <f>X161</f>
        <v>93</v>
      </c>
      <c r="K53" s="454">
        <f>AA161</f>
        <v>92</v>
      </c>
      <c r="L53" s="473"/>
    </row>
    <row r="54" spans="2:14" outlineLevel="1">
      <c r="B54" s="13" t="s">
        <v>7</v>
      </c>
      <c r="C54" s="454">
        <f>C162</f>
        <v>0</v>
      </c>
      <c r="D54" s="454">
        <f>F162</f>
        <v>100.58</v>
      </c>
      <c r="E54" s="454">
        <f>I162</f>
        <v>100.58</v>
      </c>
      <c r="F54" s="454">
        <f>L162</f>
        <v>100.58</v>
      </c>
      <c r="G54" s="454">
        <f>O162</f>
        <v>82</v>
      </c>
      <c r="H54" s="454">
        <f>R162</f>
        <v>80.5</v>
      </c>
      <c r="I54" s="454">
        <f>U162</f>
        <v>78.900000000000006</v>
      </c>
      <c r="J54" s="454">
        <f>X162</f>
        <v>77.400000000000006</v>
      </c>
      <c r="K54" s="454">
        <f>AA162</f>
        <v>75.8</v>
      </c>
      <c r="L54" s="152"/>
    </row>
    <row r="55" spans="2:14" outlineLevel="1">
      <c r="B55" s="13" t="s">
        <v>259</v>
      </c>
      <c r="C55" s="454">
        <f>C158</f>
        <v>0</v>
      </c>
      <c r="D55" s="454">
        <f>F158</f>
        <v>82.31</v>
      </c>
      <c r="E55" s="454">
        <f>I158</f>
        <v>82.31</v>
      </c>
      <c r="F55" s="454">
        <f>L158</f>
        <v>82.31</v>
      </c>
      <c r="G55" s="454">
        <f>O158</f>
        <v>73.7</v>
      </c>
      <c r="H55" s="454">
        <f>R158</f>
        <v>72.2</v>
      </c>
      <c r="I55" s="454">
        <f>U158</f>
        <v>70.599999999999994</v>
      </c>
      <c r="J55" s="454">
        <f>X158</f>
        <v>69.099999999999994</v>
      </c>
      <c r="K55" s="454">
        <f>AA158</f>
        <v>67.599999999999994</v>
      </c>
      <c r="L55" s="152"/>
    </row>
    <row r="56" spans="2:14" s="13" customFormat="1" outlineLevel="1">
      <c r="B56" s="13" t="s">
        <v>257</v>
      </c>
      <c r="C56" s="454">
        <f>C156</f>
        <v>0</v>
      </c>
      <c r="D56" s="454">
        <f>F156</f>
        <v>45.03</v>
      </c>
      <c r="E56" s="454">
        <f>I156</f>
        <v>45.03</v>
      </c>
      <c r="F56" s="454">
        <f>L156</f>
        <v>45.03</v>
      </c>
      <c r="G56" s="454">
        <f>O156</f>
        <v>40.200000000000003</v>
      </c>
      <c r="H56" s="454">
        <f>R156</f>
        <v>40.1</v>
      </c>
      <c r="I56" s="454">
        <f>U156</f>
        <v>40.1</v>
      </c>
      <c r="J56" s="454">
        <f>X156</f>
        <v>40.1</v>
      </c>
      <c r="K56" s="454">
        <f>AA156</f>
        <v>40</v>
      </c>
      <c r="L56" s="473"/>
    </row>
    <row r="57" spans="2:14" s="13" customFormat="1" outlineLevel="1">
      <c r="B57" s="13" t="s">
        <v>258</v>
      </c>
      <c r="C57" s="454">
        <f>C157</f>
        <v>0</v>
      </c>
      <c r="D57" s="454">
        <f>F157</f>
        <v>96.65</v>
      </c>
      <c r="E57" s="454">
        <f>I157</f>
        <v>96.65</v>
      </c>
      <c r="F57" s="454">
        <f>L157</f>
        <v>85.17</v>
      </c>
      <c r="G57" s="454">
        <f>O157</f>
        <v>81.400000000000006</v>
      </c>
      <c r="H57" s="454">
        <f>R157</f>
        <v>77</v>
      </c>
      <c r="I57" s="454">
        <f>U157</f>
        <v>72.599999999999994</v>
      </c>
      <c r="J57" s="454">
        <f>X157</f>
        <v>68.2</v>
      </c>
      <c r="K57" s="454">
        <f>AA157</f>
        <v>63.8</v>
      </c>
      <c r="L57" s="473"/>
    </row>
    <row r="58" spans="2:14" outlineLevel="1">
      <c r="B58" s="13" t="s">
        <v>13</v>
      </c>
      <c r="C58" s="454">
        <f>C154</f>
        <v>0</v>
      </c>
      <c r="D58" s="454">
        <f>F154</f>
        <v>129.19999999999999</v>
      </c>
      <c r="E58" s="454">
        <f>I154</f>
        <v>129.19999999999999</v>
      </c>
      <c r="F58" s="454">
        <f>L154</f>
        <v>129.19999999999999</v>
      </c>
      <c r="G58" s="454">
        <f>O154</f>
        <v>72.2</v>
      </c>
      <c r="H58" s="454">
        <f>R154</f>
        <v>72.2</v>
      </c>
      <c r="I58" s="454">
        <f>U154</f>
        <v>72.2</v>
      </c>
      <c r="J58" s="454">
        <f>X154</f>
        <v>72.2</v>
      </c>
      <c r="K58" s="454">
        <f>AA154</f>
        <v>72.2</v>
      </c>
      <c r="L58" s="152"/>
    </row>
    <row r="59" spans="2:14" outlineLevel="1">
      <c r="B59" s="6" t="s">
        <v>14</v>
      </c>
      <c r="C59" s="455">
        <f>C155</f>
        <v>0</v>
      </c>
      <c r="D59" s="455">
        <f>F155</f>
        <v>84.54</v>
      </c>
      <c r="E59" s="455">
        <f>I155</f>
        <v>84.54</v>
      </c>
      <c r="F59" s="455">
        <f>L155</f>
        <v>62.6</v>
      </c>
      <c r="G59" s="455">
        <f>O155</f>
        <v>62.2</v>
      </c>
      <c r="H59" s="455">
        <f>R155</f>
        <v>62.2</v>
      </c>
      <c r="I59" s="455">
        <f>U155</f>
        <v>62.2</v>
      </c>
      <c r="J59" s="455">
        <f>X155</f>
        <v>62.2</v>
      </c>
      <c r="K59" s="455">
        <f>AA155</f>
        <v>62.2</v>
      </c>
      <c r="L59" s="152"/>
    </row>
    <row r="60" spans="2:14" outlineLevel="1">
      <c r="B60" s="13"/>
      <c r="C60" s="454"/>
      <c r="D60" s="454"/>
      <c r="E60" s="454"/>
      <c r="F60" s="454"/>
      <c r="G60" s="454"/>
      <c r="H60" s="454"/>
      <c r="I60" s="454"/>
      <c r="J60" s="454"/>
      <c r="K60" s="454"/>
      <c r="L60" s="152"/>
    </row>
    <row r="61" spans="2:14" outlineLevel="1">
      <c r="B61" s="452" t="s">
        <v>268</v>
      </c>
      <c r="C61" s="455"/>
      <c r="D61" s="455"/>
      <c r="E61" s="455"/>
      <c r="F61" s="455"/>
      <c r="G61" s="455"/>
      <c r="H61" s="455"/>
      <c r="I61" s="455"/>
      <c r="J61" s="455"/>
      <c r="K61" s="455"/>
      <c r="L61" s="152"/>
    </row>
    <row r="62" spans="2:14" outlineLevel="1">
      <c r="B62" s="13" t="s">
        <v>1</v>
      </c>
      <c r="C62" s="454">
        <f>D152</f>
        <v>0</v>
      </c>
      <c r="D62" s="454">
        <f>G152</f>
        <v>72.890849447993389</v>
      </c>
      <c r="E62" s="454">
        <f>J152</f>
        <v>71.192114212721677</v>
      </c>
      <c r="F62" s="454">
        <f>M152</f>
        <v>79.46110829085508</v>
      </c>
      <c r="G62" s="454">
        <f>P152</f>
        <v>64.099999999999994</v>
      </c>
      <c r="H62" s="454">
        <f>S152</f>
        <v>78.2</v>
      </c>
      <c r="I62" s="454">
        <f>V152</f>
        <v>70.5</v>
      </c>
      <c r="J62" s="454">
        <f>Y152</f>
        <v>76.3</v>
      </c>
      <c r="K62" s="454">
        <f>AB152</f>
        <v>68.8</v>
      </c>
      <c r="L62" s="747">
        <v>1</v>
      </c>
      <c r="M62" s="747" t="s">
        <v>354</v>
      </c>
      <c r="N62" s="552"/>
    </row>
    <row r="63" spans="2:14" outlineLevel="1">
      <c r="B63" s="13" t="s">
        <v>2</v>
      </c>
      <c r="C63" s="454">
        <f>D153</f>
        <v>0</v>
      </c>
      <c r="D63" s="454">
        <f>G153</f>
        <v>68.325299436259812</v>
      </c>
      <c r="E63" s="454">
        <f>J153</f>
        <v>73.875387877546046</v>
      </c>
      <c r="F63" s="454">
        <f>M153</f>
        <v>71.409222163935013</v>
      </c>
      <c r="G63" s="454">
        <f>P153</f>
        <v>67.599999999999994</v>
      </c>
      <c r="H63" s="454">
        <f>S153</f>
        <v>81.7</v>
      </c>
      <c r="I63" s="454">
        <f>V153</f>
        <v>75</v>
      </c>
      <c r="J63" s="454">
        <f>Y153</f>
        <v>73</v>
      </c>
      <c r="K63" s="454">
        <f>AB153</f>
        <v>63.5</v>
      </c>
      <c r="L63" s="747">
        <v>1</v>
      </c>
      <c r="M63" s="747" t="s">
        <v>354</v>
      </c>
      <c r="N63" s="552"/>
    </row>
    <row r="64" spans="2:14" outlineLevel="1">
      <c r="B64" s="13" t="s">
        <v>3</v>
      </c>
      <c r="C64" s="454">
        <f>D150</f>
        <v>0</v>
      </c>
      <c r="D64" s="454">
        <f>G150</f>
        <v>83.086815731083377</v>
      </c>
      <c r="E64" s="454">
        <f>J150</f>
        <v>89.50045608283763</v>
      </c>
      <c r="F64" s="454">
        <f>M150</f>
        <v>73.671987262622991</v>
      </c>
      <c r="G64" s="454">
        <f>P150</f>
        <v>62.9</v>
      </c>
      <c r="H64" s="454">
        <f>S150</f>
        <v>80.8</v>
      </c>
      <c r="I64" s="454">
        <f>V150</f>
        <v>70.400000000000006</v>
      </c>
      <c r="J64" s="454">
        <f>Y150</f>
        <v>58.4</v>
      </c>
      <c r="K64" s="454">
        <f>AB150</f>
        <v>53.3</v>
      </c>
      <c r="L64" s="747">
        <v>4</v>
      </c>
      <c r="M64" s="747" t="s">
        <v>356</v>
      </c>
      <c r="N64" s="552"/>
    </row>
    <row r="65" spans="2:14" outlineLevel="1">
      <c r="B65" s="13" t="s">
        <v>4</v>
      </c>
      <c r="C65" s="454">
        <f>D149</f>
        <v>0</v>
      </c>
      <c r="D65" s="454">
        <f>G149</f>
        <v>137.93897543639136</v>
      </c>
      <c r="E65" s="454">
        <f>J149</f>
        <v>107.08952573207928</v>
      </c>
      <c r="F65" s="454">
        <f>M149</f>
        <v>89.61346783040581</v>
      </c>
      <c r="G65" s="454">
        <f>P149</f>
        <v>83.6</v>
      </c>
      <c r="H65" s="454">
        <f>S149</f>
        <v>110.7</v>
      </c>
      <c r="I65" s="454">
        <f>V149</f>
        <v>101.5</v>
      </c>
      <c r="J65" s="454">
        <f>Y149</f>
        <v>79.3</v>
      </c>
      <c r="K65" s="454">
        <f>AB149</f>
        <v>79.599999999999994</v>
      </c>
      <c r="L65" s="747">
        <v>3</v>
      </c>
      <c r="M65" s="747" t="s">
        <v>356</v>
      </c>
      <c r="N65" s="552"/>
    </row>
    <row r="66" spans="2:14" outlineLevel="1">
      <c r="B66" s="13" t="s">
        <v>5</v>
      </c>
      <c r="C66" s="454">
        <f>D151</f>
        <v>0</v>
      </c>
      <c r="D66" s="454">
        <f>G151</f>
        <v>67.705202673890298</v>
      </c>
      <c r="E66" s="454">
        <f>J151</f>
        <v>59.29881340606336</v>
      </c>
      <c r="F66" s="454">
        <f>M151</f>
        <v>51.518851079610137</v>
      </c>
      <c r="G66" s="454">
        <f>P151</f>
        <v>47.5</v>
      </c>
      <c r="H66" s="454">
        <f>S151</f>
        <v>57.7</v>
      </c>
      <c r="I66" s="454">
        <f>V151</f>
        <v>48.1</v>
      </c>
      <c r="J66" s="454">
        <f>Y151</f>
        <v>50.8</v>
      </c>
      <c r="K66" s="454">
        <f>AB151</f>
        <v>49.9</v>
      </c>
      <c r="L66" s="747">
        <v>5</v>
      </c>
      <c r="M66" s="747" t="s">
        <v>355</v>
      </c>
      <c r="N66" s="552"/>
    </row>
    <row r="67" spans="2:14" outlineLevel="1">
      <c r="B67" s="473" t="s">
        <v>66</v>
      </c>
      <c r="C67" s="454">
        <f>D164</f>
        <v>0</v>
      </c>
      <c r="D67" s="454">
        <f>G164</f>
        <v>79.20947005125366</v>
      </c>
      <c r="E67" s="454">
        <f>J164</f>
        <v>74.707336555962939</v>
      </c>
      <c r="F67" s="454">
        <f>M164</f>
        <v>68.522073646432418</v>
      </c>
      <c r="G67" s="454">
        <f>P164</f>
        <v>59.657142857142851</v>
      </c>
      <c r="H67" s="454">
        <f>S164</f>
        <v>71.05714285714285</v>
      </c>
      <c r="I67" s="454">
        <f>V164</f>
        <v>66.392857142857153</v>
      </c>
      <c r="J67" s="454">
        <f>Y164</f>
        <v>63.914285714285711</v>
      </c>
      <c r="K67" s="454">
        <f>AB164</f>
        <v>60.48571428571428</v>
      </c>
      <c r="L67" s="747">
        <v>4</v>
      </c>
      <c r="M67" s="747" t="s">
        <v>356</v>
      </c>
      <c r="N67" s="552"/>
    </row>
    <row r="68" spans="2:14" outlineLevel="1">
      <c r="B68" s="13" t="s">
        <v>8</v>
      </c>
      <c r="C68" s="454">
        <f>D159</f>
        <v>0</v>
      </c>
      <c r="D68" s="454">
        <f>G159</f>
        <v>74.131652206827582</v>
      </c>
      <c r="E68" s="454">
        <f>J159</f>
        <v>76.404020046103497</v>
      </c>
      <c r="F68" s="454">
        <f>M159</f>
        <v>74.889789516662702</v>
      </c>
      <c r="G68" s="454">
        <f>P159</f>
        <v>66.599999999999994</v>
      </c>
      <c r="H68" s="454">
        <f>S159</f>
        <v>77.5</v>
      </c>
      <c r="I68" s="454">
        <f>V159</f>
        <v>60.6</v>
      </c>
      <c r="J68" s="454">
        <f>Y159</f>
        <v>48.5</v>
      </c>
      <c r="K68" s="454">
        <f>AB159</f>
        <v>51</v>
      </c>
      <c r="L68" s="747">
        <v>1</v>
      </c>
      <c r="M68" s="747" t="s">
        <v>354</v>
      </c>
      <c r="N68" s="552"/>
    </row>
    <row r="69" spans="2:14" outlineLevel="1">
      <c r="B69" s="13" t="s">
        <v>9</v>
      </c>
      <c r="C69" s="454">
        <f>D160</f>
        <v>0</v>
      </c>
      <c r="D69" s="454">
        <f>G160</f>
        <v>56.387049258652141</v>
      </c>
      <c r="E69" s="454">
        <f>J160</f>
        <v>64.30807344716257</v>
      </c>
      <c r="F69" s="454">
        <f>M160</f>
        <v>65.211669530065706</v>
      </c>
      <c r="G69" s="454">
        <f>P160</f>
        <v>57.4</v>
      </c>
      <c r="H69" s="454">
        <f>S160</f>
        <v>62.7</v>
      </c>
      <c r="I69" s="454">
        <f>V160</f>
        <v>54.7</v>
      </c>
      <c r="J69" s="454">
        <f>Y160</f>
        <v>54.8</v>
      </c>
      <c r="K69" s="454">
        <f>AB160</f>
        <v>44.4</v>
      </c>
      <c r="L69" s="747">
        <v>1</v>
      </c>
      <c r="M69" s="747" t="s">
        <v>354</v>
      </c>
      <c r="N69" s="552"/>
    </row>
    <row r="70" spans="2:14" s="13" customFormat="1" outlineLevel="1">
      <c r="B70" s="13" t="s">
        <v>6</v>
      </c>
      <c r="C70" s="454">
        <f>D161</f>
        <v>0</v>
      </c>
      <c r="D70" s="454">
        <f>G161</f>
        <v>87.215175183615514</v>
      </c>
      <c r="E70" s="454">
        <f>J161</f>
        <v>84.143600409672345</v>
      </c>
      <c r="F70" s="454">
        <f>M161</f>
        <v>81.948953051405979</v>
      </c>
      <c r="G70" s="454">
        <f>P161</f>
        <v>64.400000000000006</v>
      </c>
      <c r="H70" s="454">
        <f>S161</f>
        <v>76.8</v>
      </c>
      <c r="I70" s="454">
        <f>V161</f>
        <v>71.599999999999994</v>
      </c>
      <c r="J70" s="454">
        <f>Y161</f>
        <v>75.099999999999994</v>
      </c>
      <c r="K70" s="454">
        <f>AB161</f>
        <v>74.3</v>
      </c>
      <c r="L70" s="747">
        <v>5</v>
      </c>
      <c r="M70" s="748" t="s">
        <v>355</v>
      </c>
      <c r="N70" s="552"/>
    </row>
    <row r="71" spans="2:14" s="13" customFormat="1" outlineLevel="1">
      <c r="B71" s="13" t="s">
        <v>7</v>
      </c>
      <c r="C71" s="454">
        <f>D162</f>
        <v>0</v>
      </c>
      <c r="D71" s="454">
        <f>G162</f>
        <v>82.996311614531322</v>
      </c>
      <c r="E71" s="454">
        <f>J162</f>
        <v>81.046455843508127</v>
      </c>
      <c r="F71" s="454">
        <f>M162</f>
        <v>77.535145551423227</v>
      </c>
      <c r="G71" s="454">
        <f>P162</f>
        <v>71.3</v>
      </c>
      <c r="H71" s="454">
        <f>S162</f>
        <v>70.900000000000006</v>
      </c>
      <c r="I71" s="454">
        <f>V162</f>
        <v>66.2</v>
      </c>
      <c r="J71" s="454">
        <f>Y162</f>
        <v>65.599999999999994</v>
      </c>
      <c r="K71" s="454">
        <f>AB162</f>
        <v>64.5</v>
      </c>
      <c r="L71" s="747">
        <v>5</v>
      </c>
      <c r="M71" s="748" t="s">
        <v>355</v>
      </c>
      <c r="N71" s="552"/>
    </row>
    <row r="72" spans="2:14" outlineLevel="1">
      <c r="B72" s="13" t="s">
        <v>259</v>
      </c>
      <c r="C72" s="454">
        <f>D158</f>
        <v>0</v>
      </c>
      <c r="D72" s="454">
        <f>G158</f>
        <v>101.62151397515989</v>
      </c>
      <c r="E72" s="454">
        <f>J158</f>
        <v>76.513936426251661</v>
      </c>
      <c r="F72" s="454">
        <f>M158</f>
        <v>65.494587309835154</v>
      </c>
      <c r="G72" s="454">
        <f>P158</f>
        <v>57.2</v>
      </c>
      <c r="H72" s="454">
        <f>S158</f>
        <v>68.400000000000006</v>
      </c>
      <c r="I72" s="454">
        <f>V158</f>
        <v>73.8</v>
      </c>
      <c r="J72" s="454">
        <f>Y158</f>
        <v>88.3</v>
      </c>
      <c r="K72" s="454">
        <f>AB158</f>
        <v>88.2</v>
      </c>
      <c r="L72" s="747">
        <v>2</v>
      </c>
      <c r="M72" s="749" t="s">
        <v>356</v>
      </c>
      <c r="N72" s="552"/>
    </row>
    <row r="73" spans="2:14" outlineLevel="1">
      <c r="B73" s="13" t="s">
        <v>257</v>
      </c>
      <c r="C73" s="454">
        <f>D156</f>
        <v>0</v>
      </c>
      <c r="D73" s="454">
        <f>G156</f>
        <v>43.167843468882076</v>
      </c>
      <c r="E73" s="454">
        <f>J156</f>
        <v>39.487535473068853</v>
      </c>
      <c r="F73" s="454">
        <f>M156</f>
        <v>37.862795306926827</v>
      </c>
      <c r="G73" s="454">
        <f>P156</f>
        <v>34.4</v>
      </c>
      <c r="H73" s="454">
        <f>S156</f>
        <v>43</v>
      </c>
      <c r="I73" s="454">
        <f>V156</f>
        <v>42.6</v>
      </c>
      <c r="J73" s="454">
        <f>Y156</f>
        <v>44.2</v>
      </c>
      <c r="K73" s="454">
        <f>AB156</f>
        <v>47.5</v>
      </c>
      <c r="L73" s="747">
        <v>1</v>
      </c>
      <c r="M73" s="747" t="s">
        <v>354</v>
      </c>
      <c r="N73" s="552"/>
    </row>
    <row r="74" spans="2:14" outlineLevel="1">
      <c r="B74" s="13" t="s">
        <v>258</v>
      </c>
      <c r="C74" s="454">
        <f>D157</f>
        <v>0</v>
      </c>
      <c r="D74" s="454">
        <f>G157</f>
        <v>81.245245284999854</v>
      </c>
      <c r="E74" s="454">
        <f>J157</f>
        <v>90.037524425580912</v>
      </c>
      <c r="F74" s="454">
        <f>M157</f>
        <v>84.017042162075143</v>
      </c>
      <c r="G74" s="454">
        <f>P157</f>
        <v>72.5</v>
      </c>
      <c r="H74" s="454">
        <f>S157</f>
        <v>88.7</v>
      </c>
      <c r="I74" s="454">
        <f>V157</f>
        <v>102.6</v>
      </c>
      <c r="J74" s="454">
        <f>Y157</f>
        <v>99.8</v>
      </c>
      <c r="K74" s="454">
        <f>AB157</f>
        <v>91.2</v>
      </c>
      <c r="L74" s="747">
        <v>1</v>
      </c>
      <c r="M74" s="747" t="s">
        <v>354</v>
      </c>
      <c r="N74" s="552"/>
    </row>
    <row r="75" spans="2:14" outlineLevel="1">
      <c r="B75" s="13" t="s">
        <v>13</v>
      </c>
      <c r="C75" s="454">
        <f>D154</f>
        <v>0</v>
      </c>
      <c r="D75" s="454">
        <f>G154</f>
        <v>87.649505035052968</v>
      </c>
      <c r="E75" s="454">
        <f>J154</f>
        <v>76.420249059962629</v>
      </c>
      <c r="F75" s="454">
        <f>M154</f>
        <v>56.552292424438257</v>
      </c>
      <c r="G75" s="454">
        <f>P154</f>
        <v>42.2</v>
      </c>
      <c r="H75" s="454">
        <f>S154</f>
        <v>47.6</v>
      </c>
      <c r="I75" s="454">
        <f>V154</f>
        <v>41.9</v>
      </c>
      <c r="J75" s="454">
        <f>Y154</f>
        <v>36.799999999999997</v>
      </c>
      <c r="K75" s="454">
        <f>AB154</f>
        <v>32.799999999999997</v>
      </c>
      <c r="L75" s="747">
        <v>5</v>
      </c>
      <c r="M75" s="748" t="s">
        <v>355</v>
      </c>
      <c r="N75" s="552"/>
    </row>
    <row r="76" spans="2:14" outlineLevel="1">
      <c r="B76" s="6" t="s">
        <v>14</v>
      </c>
      <c r="C76" s="455">
        <f>D155</f>
        <v>0</v>
      </c>
      <c r="D76" s="455">
        <f>G155</f>
        <v>64.571141964211648</v>
      </c>
      <c r="E76" s="455">
        <f>J155</f>
        <v>56.58501934092245</v>
      </c>
      <c r="F76" s="455">
        <f>M155</f>
        <v>50.122119569791685</v>
      </c>
      <c r="G76" s="455">
        <f>P155</f>
        <v>43.5</v>
      </c>
      <c r="H76" s="455">
        <f>S155</f>
        <v>50.1</v>
      </c>
      <c r="I76" s="455">
        <f>V155</f>
        <v>50</v>
      </c>
      <c r="J76" s="455">
        <f>Y155</f>
        <v>43.9</v>
      </c>
      <c r="K76" s="455">
        <f>AB155</f>
        <v>37.799999999999997</v>
      </c>
      <c r="L76" s="747">
        <v>5</v>
      </c>
      <c r="M76" s="748" t="s">
        <v>355</v>
      </c>
      <c r="N76" s="552"/>
    </row>
    <row r="77" spans="2:14" outlineLevel="1">
      <c r="B77" s="461"/>
      <c r="C77" s="462"/>
      <c r="D77" s="462"/>
      <c r="E77" s="462"/>
      <c r="F77" s="462"/>
      <c r="G77" s="462"/>
      <c r="H77" s="462"/>
      <c r="I77" s="462"/>
      <c r="J77" s="462"/>
      <c r="K77" s="462"/>
      <c r="L77" s="554"/>
    </row>
    <row r="78" spans="2:14" outlineLevel="1">
      <c r="B78" s="764" t="s">
        <v>66</v>
      </c>
      <c r="C78" s="458" t="s">
        <v>315</v>
      </c>
      <c r="D78" s="458">
        <f t="shared" ref="D78:K78" si="13">LOOKUP($B$78,DNO_list_average,D45:D59)</f>
        <v>96.098571428571418</v>
      </c>
      <c r="E78" s="458">
        <f t="shared" si="13"/>
        <v>96.098571428571418</v>
      </c>
      <c r="F78" s="458">
        <f t="shared" si="13"/>
        <v>90.96571428571427</v>
      </c>
      <c r="G78" s="458">
        <f t="shared" si="13"/>
        <v>71.885714285714286</v>
      </c>
      <c r="H78" s="458">
        <f t="shared" si="13"/>
        <v>70.05</v>
      </c>
      <c r="I78" s="458">
        <f t="shared" si="13"/>
        <v>68.221428571428575</v>
      </c>
      <c r="J78" s="458">
        <f t="shared" si="13"/>
        <v>66.414285714285725</v>
      </c>
      <c r="K78" s="458">
        <f t="shared" si="13"/>
        <v>64.585714285714275</v>
      </c>
      <c r="L78" s="641">
        <f>AVERAGE(G45:K49,G51:K59)</f>
        <v>68.231428571428538</v>
      </c>
      <c r="M78" s="645">
        <f>(L79/L78)-1</f>
        <v>-5.7598090532221757E-2</v>
      </c>
      <c r="N78" s="552"/>
    </row>
    <row r="79" spans="2:14" s="152" customFormat="1" outlineLevel="1">
      <c r="B79" s="766"/>
      <c r="C79" s="458" t="s">
        <v>316</v>
      </c>
      <c r="D79" s="458">
        <f t="shared" ref="D79:K79" si="14">LOOKUP($B$78,DNO_list_average,D62:D76)</f>
        <v>79.20947005125366</v>
      </c>
      <c r="E79" s="458">
        <f t="shared" si="14"/>
        <v>74.707336555962939</v>
      </c>
      <c r="F79" s="458">
        <f t="shared" si="14"/>
        <v>68.522073646432418</v>
      </c>
      <c r="G79" s="458">
        <f t="shared" si="14"/>
        <v>59.657142857142851</v>
      </c>
      <c r="H79" s="458">
        <f t="shared" si="14"/>
        <v>71.05714285714285</v>
      </c>
      <c r="I79" s="458">
        <f t="shared" si="14"/>
        <v>66.392857142857153</v>
      </c>
      <c r="J79" s="458">
        <f t="shared" si="14"/>
        <v>63.914285714285711</v>
      </c>
      <c r="K79" s="458">
        <f t="shared" si="14"/>
        <v>60.48571428571428</v>
      </c>
      <c r="L79" s="641">
        <f>AVERAGE(G62:K66,G68:K76)</f>
        <v>64.301428571428573</v>
      </c>
      <c r="M79" s="646"/>
    </row>
    <row r="80" spans="2:14" s="473" customFormat="1">
      <c r="B80" s="462"/>
      <c r="C80" s="462"/>
      <c r="D80" s="462"/>
      <c r="E80" s="462"/>
      <c r="F80" s="462"/>
      <c r="G80" s="462"/>
      <c r="H80" s="462"/>
      <c r="I80" s="462"/>
      <c r="J80" s="462"/>
    </row>
    <row r="81" spans="2:15" s="473" customFormat="1">
      <c r="B81" s="451" t="s">
        <v>79</v>
      </c>
      <c r="C81" s="500" t="s">
        <v>311</v>
      </c>
      <c r="D81" s="499">
        <f>MIN(D83:K97)</f>
        <v>3.95</v>
      </c>
      <c r="E81" s="500" t="s">
        <v>312</v>
      </c>
      <c r="F81" s="499">
        <f>MAX(D83:K97)</f>
        <v>4.71</v>
      </c>
      <c r="G81" s="462"/>
      <c r="H81" s="462"/>
      <c r="I81" s="462"/>
      <c r="J81" s="462"/>
    </row>
    <row r="82" spans="2:15" outlineLevel="1">
      <c r="B82" s="452" t="s">
        <v>268</v>
      </c>
      <c r="C82" s="455"/>
      <c r="D82" s="455"/>
      <c r="E82" s="455"/>
      <c r="F82" s="455"/>
      <c r="G82" s="455"/>
      <c r="H82" s="455"/>
      <c r="I82" s="455"/>
      <c r="J82" s="455"/>
      <c r="K82" s="455"/>
      <c r="L82" s="152"/>
      <c r="N82" s="471" t="str">
        <f>B99</f>
        <v>GB average</v>
      </c>
      <c r="O82" s="459"/>
    </row>
    <row r="83" spans="2:15" outlineLevel="1">
      <c r="B83" s="13" t="s">
        <v>1</v>
      </c>
      <c r="C83" s="495">
        <f>D341</f>
        <v>0</v>
      </c>
      <c r="D83" s="495">
        <f>G341</f>
        <v>4.51</v>
      </c>
      <c r="E83" s="495">
        <f>J341</f>
        <v>4.55</v>
      </c>
      <c r="F83" s="495">
        <f>M341</f>
        <v>4.4400000000000004</v>
      </c>
      <c r="G83" s="495">
        <f>P341</f>
        <v>4.4333436942400919</v>
      </c>
      <c r="H83" s="495">
        <f>S341</f>
        <v>4.4400000000000004</v>
      </c>
      <c r="I83" s="495">
        <f>V341</f>
        <v>4.43</v>
      </c>
      <c r="J83" s="495">
        <f>Y341</f>
        <v>4.46</v>
      </c>
      <c r="K83" s="495">
        <f>AB341</f>
        <v>4.5599999999999996</v>
      </c>
      <c r="L83" s="454"/>
      <c r="M83" s="454"/>
    </row>
    <row r="84" spans="2:15" outlineLevel="1">
      <c r="B84" s="13" t="s">
        <v>2</v>
      </c>
      <c r="C84" s="495">
        <f>D342</f>
        <v>0</v>
      </c>
      <c r="D84" s="495">
        <f>G342</f>
        <v>4.4000000000000004</v>
      </c>
      <c r="E84" s="495">
        <f>J342</f>
        <v>4.47</v>
      </c>
      <c r="F84" s="495">
        <f>M342</f>
        <v>4.3899999999999997</v>
      </c>
      <c r="G84" s="495">
        <f>P342</f>
        <v>4.329456643857835</v>
      </c>
      <c r="H84" s="495">
        <f>S342</f>
        <v>4.38</v>
      </c>
      <c r="I84" s="495">
        <f>V342</f>
        <v>4.34</v>
      </c>
      <c r="J84" s="495">
        <f>Y342</f>
        <v>4.41</v>
      </c>
      <c r="K84" s="495">
        <f>AB342</f>
        <v>4.49</v>
      </c>
      <c r="L84" s="454"/>
      <c r="M84" s="454"/>
    </row>
    <row r="85" spans="2:15" outlineLevel="1">
      <c r="B85" s="13" t="s">
        <v>3</v>
      </c>
      <c r="C85" s="495">
        <f>D339</f>
        <v>0</v>
      </c>
      <c r="D85" s="495">
        <f>G339</f>
        <v>4.3499999999999996</v>
      </c>
      <c r="E85" s="495">
        <f>J339</f>
        <v>4.49</v>
      </c>
      <c r="F85" s="495">
        <f>M339</f>
        <v>4.3899999999999997</v>
      </c>
      <c r="G85" s="495">
        <f>P339</f>
        <v>4.359785468896944</v>
      </c>
      <c r="H85" s="495">
        <f>S339</f>
        <v>4.37</v>
      </c>
      <c r="I85" s="495">
        <f>V339</f>
        <v>4.4000000000000004</v>
      </c>
      <c r="J85" s="495">
        <f>Y339</f>
        <v>4.43</v>
      </c>
      <c r="K85" s="495">
        <f>AB339</f>
        <v>4.5599999999999996</v>
      </c>
      <c r="L85" s="454"/>
      <c r="M85" s="454"/>
    </row>
    <row r="86" spans="2:15" outlineLevel="1">
      <c r="B86" s="13" t="s">
        <v>4</v>
      </c>
      <c r="C86" s="495">
        <f>D338</f>
        <v>0</v>
      </c>
      <c r="D86" s="495">
        <f>G338</f>
        <v>4.24</v>
      </c>
      <c r="E86" s="495">
        <f>J338</f>
        <v>4.43</v>
      </c>
      <c r="F86" s="495">
        <f>M338</f>
        <v>4.34</v>
      </c>
      <c r="G86" s="495">
        <f>P338</f>
        <v>4.377641885316149</v>
      </c>
      <c r="H86" s="495">
        <f>S338</f>
        <v>4.33</v>
      </c>
      <c r="I86" s="495">
        <f>V338</f>
        <v>4.37</v>
      </c>
      <c r="J86" s="495">
        <f>Y338</f>
        <v>4.41</v>
      </c>
      <c r="K86" s="495">
        <f>AB338</f>
        <v>4.53</v>
      </c>
      <c r="L86" s="454"/>
      <c r="M86" s="454"/>
    </row>
    <row r="87" spans="2:15" outlineLevel="1">
      <c r="B87" s="13" t="s">
        <v>5</v>
      </c>
      <c r="C87" s="496">
        <f>D340</f>
        <v>0</v>
      </c>
      <c r="D87" s="496">
        <f>G340</f>
        <v>4.26</v>
      </c>
      <c r="E87" s="496">
        <f>J340</f>
        <v>4.42</v>
      </c>
      <c r="F87" s="496">
        <f>M340</f>
        <v>4.41</v>
      </c>
      <c r="G87" s="496">
        <f>P340</f>
        <v>4.2882768656147654</v>
      </c>
      <c r="H87" s="496">
        <f>S340</f>
        <v>4.13</v>
      </c>
      <c r="I87" s="496">
        <f>V340</f>
        <v>4.3899999999999997</v>
      </c>
      <c r="J87" s="496">
        <f>Y340</f>
        <v>4.47</v>
      </c>
      <c r="K87" s="496">
        <f>AB340</f>
        <v>4.53</v>
      </c>
      <c r="L87" s="454"/>
      <c r="M87" s="454"/>
    </row>
    <row r="88" spans="2:15" outlineLevel="1">
      <c r="B88" s="473" t="s">
        <v>66</v>
      </c>
      <c r="C88" s="495">
        <f>D353</f>
        <v>0</v>
      </c>
      <c r="D88" s="495">
        <f>G353</f>
        <v>4.32</v>
      </c>
      <c r="E88" s="495">
        <f>J353</f>
        <v>4.4492857142857138</v>
      </c>
      <c r="F88" s="495">
        <f>M353</f>
        <v>4.383571428571428</v>
      </c>
      <c r="G88" s="495">
        <f>P353</f>
        <v>4.3451921131921845</v>
      </c>
      <c r="H88" s="495">
        <f>S353</f>
        <v>4.3014285714285716</v>
      </c>
      <c r="I88" s="495">
        <f>V353</f>
        <v>4.3271428571428565</v>
      </c>
      <c r="J88" s="495">
        <f>Y353</f>
        <v>4.3649999999999993</v>
      </c>
      <c r="K88" s="495">
        <f>AB353</f>
        <v>4.4585714285714291</v>
      </c>
      <c r="L88" s="454"/>
      <c r="M88" s="454"/>
    </row>
    <row r="89" spans="2:15" outlineLevel="1">
      <c r="B89" s="13" t="s">
        <v>8</v>
      </c>
      <c r="C89" s="495">
        <f>D348</f>
        <v>0</v>
      </c>
      <c r="D89" s="495">
        <f>G348</f>
        <v>4.3099999999999996</v>
      </c>
      <c r="E89" s="495">
        <f>J348</f>
        <v>4.4400000000000004</v>
      </c>
      <c r="F89" s="495">
        <f>M348</f>
        <v>4.34</v>
      </c>
      <c r="G89" s="495">
        <f>P348</f>
        <v>4.1118293144680367</v>
      </c>
      <c r="H89" s="495">
        <f>S348</f>
        <v>4</v>
      </c>
      <c r="I89" s="495">
        <f>V348</f>
        <v>4.1399999999999997</v>
      </c>
      <c r="J89" s="495">
        <f>Y348</f>
        <v>4.26</v>
      </c>
      <c r="K89" s="495">
        <f>AB348</f>
        <v>4.33</v>
      </c>
      <c r="L89" s="454"/>
      <c r="M89" s="454"/>
    </row>
    <row r="90" spans="2:15" outlineLevel="1">
      <c r="B90" s="13" t="s">
        <v>9</v>
      </c>
      <c r="C90" s="495">
        <f>D349</f>
        <v>0</v>
      </c>
      <c r="D90" s="495">
        <f>G349</f>
        <v>4.3099999999999996</v>
      </c>
      <c r="E90" s="495">
        <f>J349</f>
        <v>4.46</v>
      </c>
      <c r="F90" s="495">
        <f>M349</f>
        <v>4.3</v>
      </c>
      <c r="G90" s="495">
        <f>P349</f>
        <v>4.2380215586806669</v>
      </c>
      <c r="H90" s="495">
        <f>S349</f>
        <v>4.18</v>
      </c>
      <c r="I90" s="495">
        <f>V349</f>
        <v>4.3</v>
      </c>
      <c r="J90" s="495">
        <f>Y349</f>
        <v>4.38</v>
      </c>
      <c r="K90" s="495">
        <f>AB349</f>
        <v>4.47</v>
      </c>
      <c r="L90" s="454"/>
      <c r="M90" s="454"/>
    </row>
    <row r="91" spans="2:15" s="13" customFormat="1" outlineLevel="1">
      <c r="B91" s="13" t="s">
        <v>6</v>
      </c>
      <c r="C91" s="495">
        <f>D350</f>
        <v>0</v>
      </c>
      <c r="D91" s="495">
        <f>G350</f>
        <v>4.57</v>
      </c>
      <c r="E91" s="495">
        <f>J350</f>
        <v>4.62</v>
      </c>
      <c r="F91" s="495">
        <f>M350</f>
        <v>4.59</v>
      </c>
      <c r="G91" s="495">
        <f>P350</f>
        <v>4.5686211036351292</v>
      </c>
      <c r="H91" s="495">
        <f>S350</f>
        <v>4.54</v>
      </c>
      <c r="I91" s="495">
        <f>V350</f>
        <v>4.57</v>
      </c>
      <c r="J91" s="495">
        <f>Y350</f>
        <v>4.62</v>
      </c>
      <c r="K91" s="495">
        <f>AB350</f>
        <v>4.63</v>
      </c>
      <c r="L91" s="454"/>
      <c r="M91" s="454"/>
    </row>
    <row r="92" spans="2:15" s="13" customFormat="1" outlineLevel="1">
      <c r="B92" s="13" t="s">
        <v>7</v>
      </c>
      <c r="C92" s="495">
        <f>D351</f>
        <v>0</v>
      </c>
      <c r="D92" s="495">
        <f>G351</f>
        <v>4.43</v>
      </c>
      <c r="E92" s="495">
        <f>J351</f>
        <v>4.51</v>
      </c>
      <c r="F92" s="495">
        <f>M351</f>
        <v>4.43</v>
      </c>
      <c r="G92" s="495">
        <f>P351</f>
        <v>4.4208920408394201</v>
      </c>
      <c r="H92" s="495">
        <f>S351</f>
        <v>4.3499999999999996</v>
      </c>
      <c r="I92" s="495">
        <f>V351</f>
        <v>4.3899999999999997</v>
      </c>
      <c r="J92" s="495">
        <f>Y351</f>
        <v>4.42</v>
      </c>
      <c r="K92" s="495">
        <f>AB351</f>
        <v>4.4800000000000004</v>
      </c>
      <c r="L92" s="454"/>
      <c r="M92" s="454"/>
    </row>
    <row r="93" spans="2:15" outlineLevel="1">
      <c r="B93" s="13" t="s">
        <v>259</v>
      </c>
      <c r="C93" s="495">
        <f>D347</f>
        <v>0</v>
      </c>
      <c r="D93" s="495">
        <f>G347</f>
        <v>4.0999999999999996</v>
      </c>
      <c r="E93" s="495">
        <f>J347</f>
        <v>4.2699999999999996</v>
      </c>
      <c r="F93" s="495">
        <f>M347</f>
        <v>4.3600000000000003</v>
      </c>
      <c r="G93" s="495">
        <f>P347</f>
        <v>4.3338920116432824</v>
      </c>
      <c r="H93" s="495">
        <f>S347</f>
        <v>4.25</v>
      </c>
      <c r="I93" s="495">
        <f>V347</f>
        <v>4.16</v>
      </c>
      <c r="J93" s="495">
        <f>Y347</f>
        <v>4.1900000000000004</v>
      </c>
      <c r="K93" s="495">
        <f>AB347</f>
        <v>4.22</v>
      </c>
      <c r="L93" s="454"/>
      <c r="M93" s="454"/>
    </row>
    <row r="94" spans="2:15" outlineLevel="1">
      <c r="B94" s="13" t="s">
        <v>257</v>
      </c>
      <c r="C94" s="495">
        <f>D345</f>
        <v>0</v>
      </c>
      <c r="D94" s="495">
        <f>G345</f>
        <v>3.95</v>
      </c>
      <c r="E94" s="495">
        <f>J345</f>
        <v>4.1900000000000004</v>
      </c>
      <c r="F94" s="495">
        <f>M345</f>
        <v>4.1900000000000004</v>
      </c>
      <c r="G94" s="495">
        <f>P345</f>
        <v>4.1905148616210983</v>
      </c>
      <c r="H94" s="495">
        <f>S345</f>
        <v>4.17</v>
      </c>
      <c r="I94" s="495">
        <f>V345</f>
        <v>4.03</v>
      </c>
      <c r="J94" s="495">
        <f>Y345</f>
        <v>3.98</v>
      </c>
      <c r="K94" s="495">
        <f>AB345</f>
        <v>4.1100000000000003</v>
      </c>
      <c r="L94" s="454"/>
      <c r="M94" s="454"/>
    </row>
    <row r="95" spans="2:15" outlineLevel="1">
      <c r="B95" s="13" t="s">
        <v>258</v>
      </c>
      <c r="C95" s="495">
        <f>D346</f>
        <v>0</v>
      </c>
      <c r="D95" s="495">
        <f>G346</f>
        <v>4.22</v>
      </c>
      <c r="E95" s="495">
        <f>J346</f>
        <v>4.38</v>
      </c>
      <c r="F95" s="495">
        <f>M346</f>
        <v>4.26</v>
      </c>
      <c r="G95" s="495">
        <f>P346</f>
        <v>4.2597836743427866</v>
      </c>
      <c r="H95" s="495">
        <f>S346</f>
        <v>4.18</v>
      </c>
      <c r="I95" s="495">
        <f>V346</f>
        <v>4.03</v>
      </c>
      <c r="J95" s="495">
        <f>Y346</f>
        <v>4</v>
      </c>
      <c r="K95" s="495">
        <f>AB346</f>
        <v>4.18</v>
      </c>
      <c r="L95" s="454"/>
      <c r="M95" s="454"/>
    </row>
    <row r="96" spans="2:15" outlineLevel="1">
      <c r="B96" s="13" t="s">
        <v>13</v>
      </c>
      <c r="C96" s="495">
        <f>D343</f>
        <v>0</v>
      </c>
      <c r="D96" s="495">
        <f>G343</f>
        <v>4.37</v>
      </c>
      <c r="E96" s="495">
        <f>J343</f>
        <v>4.5199999999999996</v>
      </c>
      <c r="F96" s="495">
        <f>M343</f>
        <v>4.5</v>
      </c>
      <c r="G96" s="495">
        <f>P343</f>
        <v>4.491010963381056</v>
      </c>
      <c r="H96" s="495">
        <f>S343</f>
        <v>4.5</v>
      </c>
      <c r="I96" s="495">
        <f>V343</f>
        <v>4.5599999999999996</v>
      </c>
      <c r="J96" s="495">
        <f>Y343</f>
        <v>4.57</v>
      </c>
      <c r="K96" s="495">
        <f>AB343</f>
        <v>4.71</v>
      </c>
      <c r="L96" s="454"/>
      <c r="M96" s="454"/>
    </row>
    <row r="97" spans="2:27" outlineLevel="1">
      <c r="B97" s="6" t="s">
        <v>14</v>
      </c>
      <c r="C97" s="497">
        <f>D344</f>
        <v>0</v>
      </c>
      <c r="D97" s="497">
        <f>G344</f>
        <v>4.46</v>
      </c>
      <c r="E97" s="497">
        <f>J344</f>
        <v>4.54</v>
      </c>
      <c r="F97" s="497">
        <f>M344</f>
        <v>4.43</v>
      </c>
      <c r="G97" s="497">
        <f>P344</f>
        <v>4.4296194981533183</v>
      </c>
      <c r="H97" s="497">
        <f>S344</f>
        <v>4.4000000000000004</v>
      </c>
      <c r="I97" s="497">
        <f>V344</f>
        <v>4.47</v>
      </c>
      <c r="J97" s="497">
        <f>Y344</f>
        <v>4.51</v>
      </c>
      <c r="K97" s="497">
        <f>AB344</f>
        <v>4.62</v>
      </c>
      <c r="L97" s="454"/>
      <c r="M97" s="454"/>
    </row>
    <row r="98" spans="2:27" outlineLevel="1">
      <c r="B98" s="461"/>
      <c r="C98" s="462"/>
      <c r="D98" s="462"/>
      <c r="E98" s="462"/>
      <c r="F98" s="462"/>
      <c r="G98" s="462"/>
      <c r="H98" s="462"/>
      <c r="I98" s="462"/>
      <c r="J98" s="462"/>
      <c r="K98" s="462"/>
      <c r="L98" s="152"/>
      <c r="Z98" s="13"/>
      <c r="AA98" s="13"/>
    </row>
    <row r="99" spans="2:27" outlineLevel="1">
      <c r="B99" s="555" t="s">
        <v>66</v>
      </c>
      <c r="C99" s="458" t="s">
        <v>317</v>
      </c>
      <c r="D99" s="498">
        <f t="shared" ref="D99:K99" si="15">LOOKUP($B$99,DNO_list_average,D83:D97)</f>
        <v>4.32</v>
      </c>
      <c r="E99" s="498">
        <f t="shared" si="15"/>
        <v>4.4492857142857138</v>
      </c>
      <c r="F99" s="498">
        <f t="shared" si="15"/>
        <v>4.383571428571428</v>
      </c>
      <c r="G99" s="498">
        <f t="shared" si="15"/>
        <v>4.3451921131921845</v>
      </c>
      <c r="H99" s="498">
        <f t="shared" si="15"/>
        <v>4.3014285714285716</v>
      </c>
      <c r="I99" s="498">
        <f t="shared" si="15"/>
        <v>4.3271428571428565</v>
      </c>
      <c r="J99" s="498">
        <f t="shared" si="15"/>
        <v>4.3649999999999993</v>
      </c>
      <c r="K99" s="498">
        <f t="shared" si="15"/>
        <v>4.4585714285714291</v>
      </c>
      <c r="L99" s="642">
        <f>AVERAGE(G83:K97)</f>
        <v>4.3594669940670068</v>
      </c>
    </row>
    <row r="100" spans="2:27" s="152" customFormat="1" outlineLevel="1">
      <c r="B100" s="502"/>
      <c r="C100" s="503" t="s">
        <v>310</v>
      </c>
      <c r="D100" s="501">
        <v>4.5</v>
      </c>
      <c r="E100" s="501">
        <v>4.5</v>
      </c>
      <c r="F100" s="501">
        <v>4.5</v>
      </c>
      <c r="G100" s="501">
        <v>4.5</v>
      </c>
      <c r="H100" s="501">
        <v>4.5</v>
      </c>
      <c r="I100" s="501">
        <v>4.5</v>
      </c>
      <c r="J100" s="501">
        <v>4.5</v>
      </c>
      <c r="K100" s="501">
        <v>4.5</v>
      </c>
    </row>
    <row r="101" spans="2:27" s="13" customFormat="1" outlineLevel="1">
      <c r="B101" s="95"/>
      <c r="C101" s="504" t="s">
        <v>309</v>
      </c>
      <c r="D101" s="501">
        <v>4.0999999999999996</v>
      </c>
      <c r="E101" s="501">
        <v>4.0999999999999996</v>
      </c>
      <c r="F101" s="501">
        <v>4.0999999999999996</v>
      </c>
      <c r="G101" s="501">
        <v>4.0999999999999996</v>
      </c>
      <c r="H101" s="501">
        <v>4.0999999999999996</v>
      </c>
      <c r="I101" s="501">
        <v>4.0999999999999996</v>
      </c>
      <c r="J101" s="501">
        <v>4.0999999999999996</v>
      </c>
      <c r="K101" s="501">
        <v>4.0999999999999996</v>
      </c>
    </row>
    <row r="102" spans="2:27" s="13" customFormat="1"/>
    <row r="103" spans="2:27" s="449" customFormat="1"/>
    <row r="104" spans="2:27" s="473" customFormat="1">
      <c r="B104" s="451" t="s">
        <v>80</v>
      </c>
      <c r="C104" s="500"/>
      <c r="D104" s="499"/>
      <c r="E104" s="500"/>
      <c r="F104" s="499"/>
      <c r="G104" s="462"/>
      <c r="H104" s="462"/>
      <c r="I104" s="462"/>
      <c r="J104" s="462"/>
    </row>
    <row r="105" spans="2:27" outlineLevel="1">
      <c r="B105" s="452" t="s">
        <v>268</v>
      </c>
      <c r="C105" s="455"/>
      <c r="D105" s="455"/>
      <c r="E105" s="455"/>
      <c r="F105" s="455"/>
      <c r="G105" s="455"/>
      <c r="H105" s="455"/>
      <c r="I105" s="455"/>
      <c r="J105" s="455"/>
      <c r="K105" s="455"/>
      <c r="L105" s="152"/>
      <c r="N105" s="471" t="str">
        <f>B121</f>
        <v>CN West</v>
      </c>
      <c r="O105" s="459"/>
    </row>
    <row r="106" spans="2:27" outlineLevel="1">
      <c r="B106" s="13" t="s">
        <v>1</v>
      </c>
      <c r="C106" s="495"/>
      <c r="D106" s="495"/>
      <c r="E106" s="495"/>
      <c r="F106" s="495"/>
      <c r="G106" s="453">
        <f>Q362</f>
        <v>25.813636363636363</v>
      </c>
      <c r="H106" s="453">
        <f>T362</f>
        <v>24.583333333333332</v>
      </c>
      <c r="I106" s="453">
        <f>W362</f>
        <v>16.75</v>
      </c>
      <c r="J106" s="453">
        <f>Z362</f>
        <v>16.784166666666668</v>
      </c>
      <c r="K106" s="453">
        <f>AC362</f>
        <v>14</v>
      </c>
      <c r="T106" s="450"/>
      <c r="U106" s="556"/>
      <c r="V106" s="450"/>
      <c r="W106" s="556"/>
      <c r="X106" s="556"/>
    </row>
    <row r="107" spans="2:27" outlineLevel="1">
      <c r="B107" s="13" t="s">
        <v>2</v>
      </c>
      <c r="C107" s="495"/>
      <c r="D107" s="495"/>
      <c r="E107" s="495"/>
      <c r="F107" s="495"/>
      <c r="G107" s="454">
        <f>Q363</f>
        <v>22.86090909090909</v>
      </c>
      <c r="H107" s="454">
        <f>T363</f>
        <v>23.333333333333332</v>
      </c>
      <c r="I107" s="454">
        <f>W363</f>
        <v>18.666666666666668</v>
      </c>
      <c r="J107" s="454">
        <f>Z363</f>
        <v>16.865833333333331</v>
      </c>
      <c r="K107" s="454">
        <f>AC363</f>
        <v>12.416666666666666</v>
      </c>
      <c r="T107" s="450"/>
      <c r="U107" s="556"/>
      <c r="V107" s="450"/>
      <c r="W107" s="556"/>
      <c r="X107" s="556"/>
    </row>
    <row r="108" spans="2:27" outlineLevel="1">
      <c r="B108" s="13" t="s">
        <v>3</v>
      </c>
      <c r="C108" s="495"/>
      <c r="D108" s="495"/>
      <c r="E108" s="495"/>
      <c r="F108" s="495"/>
      <c r="G108" s="454">
        <f>Q360</f>
        <v>28.696666666666669</v>
      </c>
      <c r="H108" s="454">
        <f>T360</f>
        <v>81.327500000000001</v>
      </c>
      <c r="I108" s="454">
        <f>W360</f>
        <v>47.313333333333333</v>
      </c>
      <c r="J108" s="454">
        <f>Z360</f>
        <v>17.4375</v>
      </c>
      <c r="K108" s="454">
        <f>AC360</f>
        <v>20.294166666666666</v>
      </c>
      <c r="T108" s="450"/>
      <c r="U108" s="556"/>
      <c r="V108" s="450"/>
      <c r="W108" s="556"/>
      <c r="X108" s="556"/>
    </row>
    <row r="109" spans="2:27" outlineLevel="1">
      <c r="B109" s="13" t="s">
        <v>4</v>
      </c>
      <c r="C109" s="495"/>
      <c r="D109" s="495"/>
      <c r="E109" s="495"/>
      <c r="F109" s="495"/>
      <c r="G109" s="454">
        <f>Q359</f>
        <v>32.125833333333333</v>
      </c>
      <c r="H109" s="454">
        <f>T359</f>
        <v>80.751666666666665</v>
      </c>
      <c r="I109" s="454">
        <f>W359</f>
        <v>49.649166666666666</v>
      </c>
      <c r="J109" s="454">
        <f>Z359</f>
        <v>22.974999999999998</v>
      </c>
      <c r="K109" s="454">
        <f>AC359</f>
        <v>22.508333333333336</v>
      </c>
      <c r="T109" s="450"/>
      <c r="U109" s="556"/>
      <c r="V109" s="450"/>
      <c r="W109" s="556"/>
      <c r="X109" s="556"/>
    </row>
    <row r="110" spans="2:27" outlineLevel="1">
      <c r="B110" s="13" t="s">
        <v>5</v>
      </c>
      <c r="C110" s="496"/>
      <c r="D110" s="496"/>
      <c r="E110" s="496"/>
      <c r="F110" s="496"/>
      <c r="G110" s="454">
        <f>Q361</f>
        <v>73.715615730255209</v>
      </c>
      <c r="H110" s="454">
        <f>T361</f>
        <v>73.772191174693248</v>
      </c>
      <c r="I110" s="454">
        <f>W361</f>
        <v>15.390797456711915</v>
      </c>
      <c r="J110" s="454">
        <f>Z361</f>
        <v>4.8967321116326312</v>
      </c>
      <c r="K110" s="454">
        <f>AC361</f>
        <v>2.990881307169293</v>
      </c>
      <c r="T110" s="450"/>
      <c r="U110" s="556"/>
      <c r="V110" s="450"/>
      <c r="W110" s="556"/>
      <c r="X110" s="556"/>
    </row>
    <row r="111" spans="2:27" outlineLevel="1">
      <c r="B111" s="13" t="s">
        <v>8</v>
      </c>
      <c r="C111" s="495"/>
      <c r="D111" s="495"/>
      <c r="E111" s="495"/>
      <c r="F111" s="495"/>
      <c r="G111" s="454">
        <f>Q369</f>
        <v>19.977072540689061</v>
      </c>
      <c r="H111" s="454">
        <f>T369</f>
        <v>20.484486220168549</v>
      </c>
      <c r="I111" s="454">
        <f>W369</f>
        <v>20.220861617674998</v>
      </c>
      <c r="J111" s="454">
        <f>Z369</f>
        <v>20.141200902096653</v>
      </c>
      <c r="K111" s="454">
        <f>AC369</f>
        <v>19.681679673551574</v>
      </c>
      <c r="T111" s="450"/>
      <c r="U111" s="556"/>
      <c r="V111" s="450"/>
      <c r="W111" s="556"/>
      <c r="X111" s="556"/>
    </row>
    <row r="112" spans="2:27" outlineLevel="1">
      <c r="B112" s="13" t="s">
        <v>9</v>
      </c>
      <c r="C112" s="495"/>
      <c r="D112" s="495"/>
      <c r="E112" s="495"/>
      <c r="F112" s="495"/>
      <c r="G112" s="454">
        <f>Q370</f>
        <v>19.599487653473158</v>
      </c>
      <c r="H112" s="454">
        <f>T370</f>
        <v>20.465540565817459</v>
      </c>
      <c r="I112" s="454">
        <f>W370</f>
        <v>19.951311155023443</v>
      </c>
      <c r="J112" s="454">
        <f>Z370</f>
        <v>21.996605245913585</v>
      </c>
      <c r="K112" s="454">
        <f>AC370</f>
        <v>17.638569240999384</v>
      </c>
      <c r="T112" s="450"/>
      <c r="U112" s="556"/>
      <c r="V112" s="450"/>
      <c r="W112" s="556"/>
      <c r="X112" s="556"/>
    </row>
    <row r="113" spans="2:44" s="13" customFormat="1" outlineLevel="1">
      <c r="B113" s="13" t="s">
        <v>6</v>
      </c>
      <c r="C113" s="495"/>
      <c r="D113" s="495"/>
      <c r="E113" s="495"/>
      <c r="F113" s="495"/>
      <c r="G113" s="454">
        <f>Q371</f>
        <v>10.333333333333334</v>
      </c>
      <c r="H113" s="454">
        <f>T371</f>
        <v>10</v>
      </c>
      <c r="I113" s="454">
        <f>W371</f>
        <v>9.75</v>
      </c>
      <c r="J113" s="454">
        <f>Z371</f>
        <v>16.166666666666668</v>
      </c>
      <c r="K113" s="454">
        <f>AC371</f>
        <v>22.583333333333332</v>
      </c>
      <c r="S113"/>
      <c r="T113" s="450"/>
      <c r="U113" s="556"/>
      <c r="V113" s="450"/>
      <c r="W113" s="556"/>
      <c r="X113" s="556"/>
    </row>
    <row r="114" spans="2:44" s="13" customFormat="1" outlineLevel="1">
      <c r="B114" s="13" t="s">
        <v>7</v>
      </c>
      <c r="C114" s="495"/>
      <c r="D114" s="495"/>
      <c r="E114" s="495"/>
      <c r="F114" s="495"/>
      <c r="G114" s="454">
        <f>Q372</f>
        <v>10.533333333333333</v>
      </c>
      <c r="H114" s="454">
        <f>T372</f>
        <v>10.466666666666667</v>
      </c>
      <c r="I114" s="454">
        <f>W372</f>
        <v>14.127494370321452</v>
      </c>
      <c r="J114" s="454">
        <f>Z372</f>
        <v>21.436742899988332</v>
      </c>
      <c r="K114" s="454">
        <f>AC372</f>
        <v>20.815122131693862</v>
      </c>
      <c r="S114"/>
      <c r="T114" s="450"/>
      <c r="U114" s="556"/>
      <c r="V114" s="450"/>
      <c r="W114" s="556"/>
      <c r="X114" s="556"/>
    </row>
    <row r="115" spans="2:44" outlineLevel="1">
      <c r="B115" s="13" t="s">
        <v>259</v>
      </c>
      <c r="C115" s="495"/>
      <c r="D115" s="495"/>
      <c r="E115" s="495"/>
      <c r="F115" s="495"/>
      <c r="G115" s="454">
        <f>Q368</f>
        <v>74.5</v>
      </c>
      <c r="H115" s="454">
        <f>T368</f>
        <v>81.666666666666671</v>
      </c>
      <c r="I115" s="454">
        <f>W368</f>
        <v>81.166666666666671</v>
      </c>
      <c r="J115" s="454">
        <f>Z368</f>
        <v>67.333333333333329</v>
      </c>
      <c r="K115" s="454">
        <f>AC368</f>
        <v>60.124301689163168</v>
      </c>
      <c r="T115" s="450"/>
      <c r="U115" s="556"/>
      <c r="V115" s="450"/>
      <c r="W115" s="556"/>
      <c r="X115" s="556"/>
    </row>
    <row r="116" spans="2:44" outlineLevel="1">
      <c r="B116" s="13" t="s">
        <v>257</v>
      </c>
      <c r="C116" s="495"/>
      <c r="D116" s="495"/>
      <c r="E116" s="495"/>
      <c r="F116" s="495"/>
      <c r="G116" s="454">
        <f>Q366</f>
        <v>79.75</v>
      </c>
      <c r="H116" s="454">
        <f>T366</f>
        <v>93.25</v>
      </c>
      <c r="I116" s="454">
        <f>W366</f>
        <v>87.916666666666671</v>
      </c>
      <c r="J116" s="454">
        <f>Z366</f>
        <v>83.416666666666671</v>
      </c>
      <c r="K116" s="454">
        <f>AC366</f>
        <v>69.466943872022611</v>
      </c>
      <c r="T116" s="450"/>
      <c r="U116" s="556"/>
      <c r="V116" s="450"/>
      <c r="W116" s="556"/>
      <c r="X116" s="556"/>
    </row>
    <row r="117" spans="2:44" outlineLevel="1">
      <c r="B117" s="13" t="s">
        <v>258</v>
      </c>
      <c r="C117" s="495"/>
      <c r="D117" s="495"/>
      <c r="E117" s="495"/>
      <c r="F117" s="495"/>
      <c r="G117" s="454">
        <f>Q367</f>
        <v>31.083333333333332</v>
      </c>
      <c r="H117" s="454">
        <f>T367</f>
        <v>82.916666666666671</v>
      </c>
      <c r="I117" s="454">
        <f>W367</f>
        <v>95.25</v>
      </c>
      <c r="J117" s="454">
        <f>Z367</f>
        <v>77.583333333333329</v>
      </c>
      <c r="K117" s="454">
        <f>AC367</f>
        <v>72.279068705604558</v>
      </c>
      <c r="T117" s="450"/>
      <c r="U117" s="556"/>
      <c r="V117" s="450"/>
      <c r="W117" s="556"/>
      <c r="X117" s="556"/>
    </row>
    <row r="118" spans="2:44" outlineLevel="1">
      <c r="B118" s="13" t="s">
        <v>13</v>
      </c>
      <c r="C118" s="495"/>
      <c r="D118" s="495"/>
      <c r="E118" s="495"/>
      <c r="F118" s="495"/>
      <c r="G118" s="454">
        <f>Q364</f>
        <v>2.3858333333333337</v>
      </c>
      <c r="H118" s="454">
        <f>T364</f>
        <v>2.2291666666666665</v>
      </c>
      <c r="I118" s="454">
        <f>W364</f>
        <v>1.7616666666666665</v>
      </c>
      <c r="J118" s="454">
        <f>Z364</f>
        <v>1.8516666666666666</v>
      </c>
      <c r="K118" s="454">
        <f>AC364</f>
        <v>1.2908333333333335</v>
      </c>
      <c r="T118" s="450"/>
      <c r="U118" s="556"/>
      <c r="V118" s="450"/>
      <c r="W118" s="556"/>
      <c r="X118" s="556"/>
    </row>
    <row r="119" spans="2:44" outlineLevel="1">
      <c r="B119" s="6" t="s">
        <v>14</v>
      </c>
      <c r="C119" s="497"/>
      <c r="D119" s="497"/>
      <c r="E119" s="497"/>
      <c r="F119" s="497"/>
      <c r="G119" s="455">
        <f>Q365</f>
        <v>2.3166666666666669</v>
      </c>
      <c r="H119" s="455">
        <f>T365</f>
        <v>2.7766666666666668</v>
      </c>
      <c r="I119" s="455">
        <f>W365</f>
        <v>2.1391666666666667</v>
      </c>
      <c r="J119" s="455">
        <f>Z365</f>
        <v>1.7133333333333332</v>
      </c>
      <c r="K119" s="455">
        <f>AC365</f>
        <v>1.4175000000000002</v>
      </c>
      <c r="T119" s="450"/>
      <c r="U119" s="556"/>
      <c r="V119" s="450"/>
      <c r="W119" s="556"/>
      <c r="X119" s="556"/>
    </row>
    <row r="120" spans="2:44" outlineLevel="1">
      <c r="B120" s="461"/>
      <c r="C120" s="462"/>
      <c r="D120" s="462"/>
      <c r="E120" s="462"/>
      <c r="F120" s="462"/>
      <c r="G120" s="462"/>
      <c r="H120" s="462"/>
      <c r="I120" s="462"/>
      <c r="J120" s="462"/>
      <c r="K120" s="462"/>
      <c r="L120" s="152"/>
      <c r="Z120" s="13"/>
      <c r="AA120" s="13"/>
    </row>
    <row r="121" spans="2:44" outlineLevel="1">
      <c r="B121" s="764" t="s">
        <v>4</v>
      </c>
      <c r="C121" s="498">
        <f>LOOKUP($B$121,$B$106:$B$119,C106:C119)</f>
        <v>0</v>
      </c>
      <c r="D121" s="498">
        <f t="shared" ref="D121:K121" si="16">LOOKUP($B$121,$B$106:$B$119,D106:D119)</f>
        <v>0</v>
      </c>
      <c r="E121" s="498">
        <f t="shared" si="16"/>
        <v>0</v>
      </c>
      <c r="F121" s="498">
        <f t="shared" si="16"/>
        <v>0</v>
      </c>
      <c r="G121" s="458">
        <f t="shared" si="16"/>
        <v>32.125833333333333</v>
      </c>
      <c r="H121" s="458">
        <f t="shared" si="16"/>
        <v>80.751666666666665</v>
      </c>
      <c r="I121" s="458">
        <f t="shared" si="16"/>
        <v>49.649166666666666</v>
      </c>
      <c r="J121" s="458">
        <f t="shared" si="16"/>
        <v>22.974999999999998</v>
      </c>
      <c r="K121" s="458">
        <f t="shared" si="16"/>
        <v>22.508333333333336</v>
      </c>
      <c r="L121" s="496"/>
    </row>
    <row r="122" spans="2:44" outlineLevel="1">
      <c r="B122" s="779"/>
      <c r="C122" s="498"/>
      <c r="D122" s="498"/>
      <c r="E122" s="498"/>
      <c r="F122" s="498"/>
      <c r="G122" s="458">
        <f>AVERAGE(G106:G119)</f>
        <v>30.977980098497344</v>
      </c>
      <c r="H122" s="458">
        <f>AVERAGE(H106:H119)</f>
        <v>43.430277473381842</v>
      </c>
      <c r="I122" s="458">
        <f>AVERAGE(I106:I119)</f>
        <v>34.289556995218938</v>
      </c>
      <c r="J122" s="458">
        <f>AVERAGE(J106:J119)</f>
        <v>27.899912939973657</v>
      </c>
      <c r="K122" s="458">
        <f>AVERAGE(K106:K119)</f>
        <v>25.536242853824131</v>
      </c>
      <c r="L122" s="496"/>
    </row>
    <row r="123" spans="2:44" s="13" customFormat="1"/>
    <row r="124" spans="2:44" s="449" customFormat="1"/>
    <row r="125" spans="2:44" ht="13.5" thickBot="1">
      <c r="B125" s="108" t="s">
        <v>177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1"/>
      <c r="Y125" s="11"/>
      <c r="Z125" s="11"/>
    </row>
    <row r="126" spans="2:44" outlineLevel="1">
      <c r="B126" s="770" t="s">
        <v>19</v>
      </c>
      <c r="C126" s="767" t="s">
        <v>296</v>
      </c>
      <c r="D126" s="768"/>
      <c r="E126" s="768"/>
      <c r="F126" s="767" t="str">
        <f>CONCATENATE(LEFT(C126, 4)+1 &amp;"-" &amp;IF(C126&gt;"2007-08",,"0") &amp;RIGHT(C126,2)+1)</f>
        <v>2002-03</v>
      </c>
      <c r="G126" s="768" t="e">
        <f>CONCATENATE(LEFT(#REF!, 4)+1 &amp;"/" &amp;IF(#REF!&gt;"2007-08",,"0") &amp;RIGHT(#REF!,2)+1)</f>
        <v>#REF!</v>
      </c>
      <c r="H126" s="769" t="e">
        <f>CONCATENATE(LEFT(#REF!, 4)+1 &amp;"/" &amp;IF(#REF!&gt;"2007-08",,"0") &amp;RIGHT(#REF!,2)+1)</f>
        <v>#REF!</v>
      </c>
      <c r="I126" s="767" t="str">
        <f t="shared" ref="I126" si="17">CONCATENATE(LEFT(F126, 4)+1 &amp;"-" &amp;IF(F126&gt;"2007-08",,"0") &amp;RIGHT(F126,2)+1)</f>
        <v>2003-04</v>
      </c>
      <c r="J126" s="768" t="e">
        <f>CONCATENATE(LEFT(#REF!, 4)+1 &amp;"/" &amp;IF(#REF!&gt;"2007-08",,"0") &amp;RIGHT(#REF!,2)+1)</f>
        <v>#REF!</v>
      </c>
      <c r="K126" s="769" t="e">
        <f>CONCATENATE(LEFT(#REF!, 4)+1 &amp;"/" &amp;IF(#REF!&gt;"2007-08",,"0") &amp;RIGHT(#REF!,2)+1)</f>
        <v>#REF!</v>
      </c>
      <c r="L126" s="767" t="str">
        <f t="shared" ref="L126" si="18">CONCATENATE(LEFT(I126, 4)+1 &amp;"-" &amp;IF(I126&gt;"2007-08",,"0") &amp;RIGHT(I126,2)+1)</f>
        <v>2004-05</v>
      </c>
      <c r="M126" s="768" t="e">
        <f>CONCATENATE(LEFT(#REF!, 4)+1 &amp;"/" &amp;IF(#REF!&gt;"2007-08",,"0") &amp;RIGHT(#REF!,2)+1)</f>
        <v>#REF!</v>
      </c>
      <c r="N126" s="769" t="e">
        <f>CONCATENATE(LEFT(#REF!, 4)+1 &amp;"/" &amp;IF(#REF!&gt;"2007-08",,"0") &amp;RIGHT(#REF!,2)+1)</f>
        <v>#REF!</v>
      </c>
      <c r="O126" s="767" t="str">
        <f t="shared" ref="O126" si="19">CONCATENATE(LEFT(L126, 4)+1 &amp;"-" &amp;IF(L126&gt;"2007-08",,"0") &amp;RIGHT(L126,2)+1)</f>
        <v>2005-06</v>
      </c>
      <c r="P126" s="768" t="e">
        <f>CONCATENATE(LEFT(#REF!, 4)+1 &amp;"/" &amp;IF(#REF!&gt;"2007-08",,"0") &amp;RIGHT(#REF!,2)+1)</f>
        <v>#REF!</v>
      </c>
      <c r="Q126" s="769" t="e">
        <f>CONCATENATE(LEFT(#REF!, 4)+1 &amp;"/" &amp;IF(#REF!&gt;"2007-08",,"0") &amp;RIGHT(#REF!,2)+1)</f>
        <v>#REF!</v>
      </c>
      <c r="R126" s="767" t="str">
        <f t="shared" ref="R126" si="20">CONCATENATE(LEFT(O126, 4)+1 &amp;"-" &amp;IF(O126&gt;"2007-08",,"0") &amp;RIGHT(O126,2)+1)</f>
        <v>2006-07</v>
      </c>
      <c r="S126" s="768" t="e">
        <f>CONCATENATE(LEFT(#REF!, 4)+1 &amp;"/" &amp;IF(#REF!&gt;"2007-08",,"0") &amp;RIGHT(#REF!,2)+1)</f>
        <v>#REF!</v>
      </c>
      <c r="T126" s="769" t="e">
        <f>CONCATENATE(LEFT(#REF!, 4)+1 &amp;"/" &amp;IF(#REF!&gt;"2007-08",,"0") &amp;RIGHT(#REF!,2)+1)</f>
        <v>#REF!</v>
      </c>
      <c r="U126" s="767" t="str">
        <f t="shared" ref="U126" si="21">CONCATENATE(LEFT(R126, 4)+1 &amp;"-" &amp;IF(R126&gt;"2007-08",,"0") &amp;RIGHT(R126,2)+1)</f>
        <v>2007-08</v>
      </c>
      <c r="V126" s="768" t="e">
        <f>CONCATENATE(LEFT(#REF!, 4)+1 &amp;"/" &amp;IF(#REF!&gt;"2007-08",,"0") &amp;RIGHT(#REF!,2)+1)</f>
        <v>#REF!</v>
      </c>
      <c r="W126" s="769" t="e">
        <f>CONCATENATE(LEFT(#REF!, 4)+1 &amp;"/" &amp;IF(#REF!&gt;"2007-08",,"0") &amp;RIGHT(#REF!,2)+1)</f>
        <v>#REF!</v>
      </c>
      <c r="X126" s="767" t="str">
        <f t="shared" ref="X126" si="22">CONCATENATE(LEFT(U126, 4)+1 &amp;"-" &amp;IF(U126&gt;"2007-08",,"0") &amp;RIGHT(U126,2)+1)</f>
        <v>2008-09</v>
      </c>
      <c r="Y126" s="768" t="e">
        <f>CONCATENATE(LEFT(#REF!, 4)+1 &amp;"/" &amp;IF(#REF!&gt;"2007-08",,"0") &amp;RIGHT(#REF!,2)+1)</f>
        <v>#REF!</v>
      </c>
      <c r="Z126" s="769" t="e">
        <f>CONCATENATE(LEFT(#REF!, 4)+1 &amp;"/" &amp;IF(#REF!&gt;"2007-08",,"0") &amp;RIGHT(#REF!,2)+1)</f>
        <v>#REF!</v>
      </c>
      <c r="AA126" s="767" t="str">
        <f t="shared" ref="AA126" si="23">CONCATENATE(LEFT(X126, 4)+1 &amp;"-" &amp;IF(X126&gt;"2007-08",,"0") &amp;RIGHT(X126,2)+1)</f>
        <v>2009-10</v>
      </c>
      <c r="AB126" s="768" t="e">
        <f>CONCATENATE(LEFT(#REF!, 4)+1 &amp;"/" &amp;IF(#REF!&gt;"2007-08",,"0") &amp;RIGHT(#REF!,2)+1)</f>
        <v>#REF!</v>
      </c>
      <c r="AC126" s="769" t="e">
        <f>CONCATENATE(LEFT(#REF!, 4)+1 &amp;"/" &amp;IF(#REF!&gt;"2007-08",,"0") &amp;RIGHT(#REF!,2)+1)</f>
        <v>#REF!</v>
      </c>
      <c r="AD126" s="767" t="str">
        <f t="shared" ref="AD126" si="24">CONCATENATE(LEFT(AA126, 4)+1 &amp;"-" &amp;IF(AA126&gt;"2007-08",,"0") &amp;RIGHT(AA126,2)+1)</f>
        <v>2010-11</v>
      </c>
      <c r="AE126" s="768" t="e">
        <f>CONCATENATE(LEFT(#REF!, 4)+1 &amp;"/" &amp;IF(#REF!&gt;"2007-08",,"0") &amp;RIGHT(#REF!,2)+1)</f>
        <v>#REF!</v>
      </c>
      <c r="AF126" s="769" t="e">
        <f>CONCATENATE(LEFT(#REF!, 4)+1 &amp;"/" &amp;IF(#REF!&gt;"2007-08",,"0") &amp;RIGHT(#REF!,2)+1)</f>
        <v>#REF!</v>
      </c>
      <c r="AG126" s="767" t="str">
        <f t="shared" ref="AG126" si="25">CONCATENATE(LEFT(AD126, 4)+1 &amp;"-" &amp;IF(AD126&gt;"2007-08",,"0") &amp;RIGHT(AD126,2)+1)</f>
        <v>2011-12</v>
      </c>
      <c r="AH126" s="768" t="e">
        <f>CONCATENATE(LEFT(#REF!, 4)+1 &amp;"/" &amp;IF(#REF!&gt;"2007-08",,"0") &amp;RIGHT(#REF!,2)+1)</f>
        <v>#REF!</v>
      </c>
      <c r="AI126" s="769" t="e">
        <f>CONCATENATE(LEFT(#REF!, 4)+1 &amp;"/" &amp;IF(#REF!&gt;"2007-08",,"0") &amp;RIGHT(#REF!,2)+1)</f>
        <v>#REF!</v>
      </c>
      <c r="AJ126" s="767" t="str">
        <f t="shared" ref="AJ126" si="26">CONCATENATE(LEFT(AG126, 4)+1 &amp;"-" &amp;IF(AG126&gt;"2007-08",,"0") &amp;RIGHT(AG126,2)+1)</f>
        <v>2012-13</v>
      </c>
      <c r="AK126" s="768" t="e">
        <f>CONCATENATE(LEFT(#REF!, 4)+1 &amp;"/" &amp;IF(#REF!&gt;"2007-08",,"0") &amp;RIGHT(#REF!,2)+1)</f>
        <v>#REF!</v>
      </c>
      <c r="AL126" s="769" t="e">
        <f>CONCATENATE(LEFT(#REF!, 4)+1 &amp;"/" &amp;IF(#REF!&gt;"2007-08",,"0") &amp;RIGHT(#REF!,2)+1)</f>
        <v>#REF!</v>
      </c>
      <c r="AM126" s="767" t="str">
        <f t="shared" ref="AM126" si="27">CONCATENATE(LEFT(AJ126, 4)+1 &amp;"-" &amp;IF(AJ126&gt;"2007-08",,"0") &amp;RIGHT(AJ126,2)+1)</f>
        <v>2013-14</v>
      </c>
      <c r="AN126" s="768" t="e">
        <f>CONCATENATE(LEFT(#REF!, 4)+1 &amp;"/" &amp;IF(#REF!&gt;"2007-08",,"0") &amp;RIGHT(#REF!,2)+1)</f>
        <v>#REF!</v>
      </c>
      <c r="AO126" s="769" t="e">
        <f>CONCATENATE(LEFT(#REF!, 4)+1 &amp;"/" &amp;IF(#REF!&gt;"2007-08",,"0") &amp;RIGHT(#REF!,2)+1)</f>
        <v>#REF!</v>
      </c>
      <c r="AP126" s="767" t="str">
        <f t="shared" ref="AP126" si="28">CONCATENATE(LEFT(AM126, 4)+1 &amp;"-" &amp;IF(AM126&gt;"2007-08",,"0") &amp;RIGHT(AM126,2)+1)</f>
        <v>2014-15</v>
      </c>
      <c r="AQ126" s="768" t="e">
        <f>CONCATENATE(LEFT(#REF!, 4)+1 &amp;"/" &amp;IF(#REF!&gt;"2007-08",,"0") &amp;RIGHT(#REF!,2)+1)</f>
        <v>#REF!</v>
      </c>
      <c r="AR126" s="769" t="e">
        <f>CONCATENATE(LEFT(#REF!, 4)+1 &amp;"/" &amp;IF(#REF!&gt;"2007-08",,"0") &amp;RIGHT(#REF!,2)+1)</f>
        <v>#REF!</v>
      </c>
    </row>
    <row r="127" spans="2:44" ht="13.5" outlineLevel="1" thickBot="1">
      <c r="B127" s="771"/>
      <c r="C127" s="102" t="s">
        <v>67</v>
      </c>
      <c r="D127" s="106" t="s">
        <v>68</v>
      </c>
      <c r="E127" s="159" t="s">
        <v>69</v>
      </c>
      <c r="F127" s="102" t="s">
        <v>67</v>
      </c>
      <c r="G127" s="106" t="s">
        <v>68</v>
      </c>
      <c r="H127" s="107" t="s">
        <v>69</v>
      </c>
      <c r="I127" s="102" t="s">
        <v>67</v>
      </c>
      <c r="J127" s="106" t="s">
        <v>68</v>
      </c>
      <c r="K127" s="107" t="s">
        <v>69</v>
      </c>
      <c r="L127" s="102" t="s">
        <v>67</v>
      </c>
      <c r="M127" s="106" t="s">
        <v>68</v>
      </c>
      <c r="N127" s="107" t="s">
        <v>69</v>
      </c>
      <c r="O127" s="102" t="s">
        <v>67</v>
      </c>
      <c r="P127" s="106" t="s">
        <v>68</v>
      </c>
      <c r="Q127" s="107" t="s">
        <v>69</v>
      </c>
      <c r="R127" s="102" t="s">
        <v>67</v>
      </c>
      <c r="S127" s="106" t="s">
        <v>68</v>
      </c>
      <c r="T127" s="107" t="s">
        <v>69</v>
      </c>
      <c r="U127" s="102" t="s">
        <v>67</v>
      </c>
      <c r="V127" s="106" t="s">
        <v>68</v>
      </c>
      <c r="W127" s="107" t="s">
        <v>69</v>
      </c>
      <c r="X127" s="102" t="s">
        <v>67</v>
      </c>
      <c r="Y127" s="106" t="s">
        <v>68</v>
      </c>
      <c r="Z127" s="107" t="s">
        <v>69</v>
      </c>
      <c r="AA127" s="102" t="s">
        <v>67</v>
      </c>
      <c r="AB127" s="106" t="s">
        <v>68</v>
      </c>
      <c r="AC127" s="107" t="s">
        <v>69</v>
      </c>
      <c r="AD127" s="160" t="s">
        <v>67</v>
      </c>
      <c r="AE127" s="106" t="s">
        <v>68</v>
      </c>
      <c r="AF127" s="107" t="s">
        <v>69</v>
      </c>
      <c r="AG127" s="102" t="s">
        <v>67</v>
      </c>
      <c r="AH127" s="106" t="s">
        <v>68</v>
      </c>
      <c r="AI127" s="107" t="s">
        <v>69</v>
      </c>
      <c r="AJ127" s="102" t="s">
        <v>67</v>
      </c>
      <c r="AK127" s="106" t="s">
        <v>68</v>
      </c>
      <c r="AL127" s="107" t="s">
        <v>69</v>
      </c>
      <c r="AM127" s="102" t="s">
        <v>67</v>
      </c>
      <c r="AN127" s="106" t="s">
        <v>68</v>
      </c>
      <c r="AO127" s="107" t="s">
        <v>69</v>
      </c>
      <c r="AP127" s="102" t="s">
        <v>67</v>
      </c>
      <c r="AQ127" s="106" t="s">
        <v>68</v>
      </c>
      <c r="AR127" s="107" t="s">
        <v>69</v>
      </c>
    </row>
    <row r="128" spans="2:44" ht="13.5" outlineLevel="1" thickTop="1">
      <c r="B128" s="20" t="str">
        <f>Inputs!B11</f>
        <v>CN West</v>
      </c>
      <c r="C128" s="492">
        <v>0</v>
      </c>
      <c r="D128" s="493">
        <v>0</v>
      </c>
      <c r="E128" s="117"/>
      <c r="F128" s="161">
        <v>131</v>
      </c>
      <c r="G128" s="157">
        <v>103.33926395856584</v>
      </c>
      <c r="H128" s="162">
        <v>0</v>
      </c>
      <c r="I128" s="161">
        <v>131</v>
      </c>
      <c r="J128" s="157">
        <v>116.01061898827433</v>
      </c>
      <c r="K128" s="162">
        <v>0</v>
      </c>
      <c r="L128" s="161">
        <v>131</v>
      </c>
      <c r="M128" s="157">
        <v>108.69687668160105</v>
      </c>
      <c r="N128" s="162">
        <v>0</v>
      </c>
      <c r="O128" s="161">
        <v>109.4</v>
      </c>
      <c r="P128" s="158">
        <v>107.8</v>
      </c>
      <c r="Q128" s="162">
        <v>0.17327318523200091</v>
      </c>
      <c r="R128" s="161">
        <v>107.8</v>
      </c>
      <c r="S128" s="158">
        <v>119.3</v>
      </c>
      <c r="T128" s="162">
        <v>-1.4052856016556048</v>
      </c>
      <c r="U128" s="161">
        <v>106.2</v>
      </c>
      <c r="V128" s="158">
        <v>116.9</v>
      </c>
      <c r="W128" s="162">
        <v>-1.3561665929215627</v>
      </c>
      <c r="X128" s="161">
        <v>104.6</v>
      </c>
      <c r="Y128" s="158">
        <v>92.8</v>
      </c>
      <c r="Z128" s="162">
        <v>1.5564559219056953</v>
      </c>
      <c r="AA128" s="161">
        <v>103</v>
      </c>
      <c r="AB128" s="157">
        <v>107.2</v>
      </c>
      <c r="AC128" s="162">
        <v>-0.57515531017919286</v>
      </c>
      <c r="AD128" s="118"/>
      <c r="AE128" s="119"/>
      <c r="AF128" s="120"/>
      <c r="AG128" s="105"/>
      <c r="AH128" s="98"/>
      <c r="AI128" s="99"/>
      <c r="AJ128" s="118"/>
      <c r="AK128" s="119"/>
      <c r="AL128" s="120"/>
      <c r="AM128" s="105"/>
      <c r="AN128" s="98"/>
      <c r="AO128" s="99"/>
      <c r="AP128" s="118"/>
      <c r="AQ128" s="119"/>
      <c r="AR128" s="164"/>
    </row>
    <row r="129" spans="2:44" outlineLevel="1">
      <c r="B129" s="20" t="str">
        <f>Inputs!B12</f>
        <v>CN East</v>
      </c>
      <c r="C129" s="486">
        <v>0</v>
      </c>
      <c r="D129" s="487">
        <v>0</v>
      </c>
      <c r="E129" s="104"/>
      <c r="F129" s="163">
        <v>81.3</v>
      </c>
      <c r="G129" s="64">
        <v>75.970065980261694</v>
      </c>
      <c r="H129" s="65">
        <v>0</v>
      </c>
      <c r="I129" s="163">
        <v>81.3</v>
      </c>
      <c r="J129" s="64">
        <v>85.317808820074703</v>
      </c>
      <c r="K129" s="65">
        <v>-0.38596947615623611</v>
      </c>
      <c r="L129" s="163">
        <v>81.3</v>
      </c>
      <c r="M129" s="64">
        <v>73.802614299674062</v>
      </c>
      <c r="N129" s="65">
        <v>0</v>
      </c>
      <c r="O129" s="55">
        <v>77.900000000000006</v>
      </c>
      <c r="P129" s="52">
        <v>71</v>
      </c>
      <c r="Q129" s="65">
        <v>1.1208609169695007</v>
      </c>
      <c r="R129" s="55">
        <v>77.5</v>
      </c>
      <c r="S129" s="52">
        <v>83.8</v>
      </c>
      <c r="T129" s="65">
        <v>-1.0497983348336333</v>
      </c>
      <c r="U129" s="55">
        <v>77.099999999999994</v>
      </c>
      <c r="V129" s="52">
        <v>79.400000000000006</v>
      </c>
      <c r="W129" s="65">
        <v>-0.39751697073741832</v>
      </c>
      <c r="X129" s="55">
        <v>76.7</v>
      </c>
      <c r="Y129" s="52">
        <v>68.5</v>
      </c>
      <c r="Z129" s="65">
        <v>1.4749158582003132</v>
      </c>
      <c r="AA129" s="55">
        <v>76.3</v>
      </c>
      <c r="AB129" s="52">
        <v>61.9</v>
      </c>
      <c r="AC129" s="65">
        <v>2.8683070014131156</v>
      </c>
      <c r="AD129" s="110"/>
      <c r="AE129" s="111"/>
      <c r="AF129" s="109"/>
      <c r="AG129" s="105"/>
      <c r="AH129" s="98"/>
      <c r="AI129" s="99"/>
      <c r="AJ129" s="110"/>
      <c r="AK129" s="111"/>
      <c r="AL129" s="109"/>
      <c r="AM129" s="105"/>
      <c r="AN129" s="98"/>
      <c r="AO129" s="99"/>
      <c r="AP129" s="110"/>
      <c r="AQ129" s="111"/>
      <c r="AR129" s="165"/>
    </row>
    <row r="130" spans="2:44" outlineLevel="1">
      <c r="B130" s="20" t="str">
        <f>Inputs!B13</f>
        <v>ENWL</v>
      </c>
      <c r="C130" s="486">
        <v>0</v>
      </c>
      <c r="D130" s="487">
        <v>0</v>
      </c>
      <c r="E130" s="104"/>
      <c r="F130" s="163">
        <v>56.45</v>
      </c>
      <c r="G130" s="64">
        <v>66.481444878951365</v>
      </c>
      <c r="H130" s="65">
        <v>-0.53058326003252132</v>
      </c>
      <c r="I130" s="163">
        <v>56.45</v>
      </c>
      <c r="J130" s="64">
        <v>50.973172868652043</v>
      </c>
      <c r="K130" s="65">
        <v>0</v>
      </c>
      <c r="L130" s="163">
        <v>54.8</v>
      </c>
      <c r="M130" s="64">
        <v>47.008235261345391</v>
      </c>
      <c r="N130" s="65">
        <v>0</v>
      </c>
      <c r="O130" s="55">
        <v>57.2</v>
      </c>
      <c r="P130" s="52">
        <v>49.8</v>
      </c>
      <c r="Q130" s="65">
        <v>1.442499267056401</v>
      </c>
      <c r="R130" s="55">
        <v>57.1</v>
      </c>
      <c r="S130" s="52">
        <v>54.4</v>
      </c>
      <c r="T130" s="65">
        <v>0.53989628648586929</v>
      </c>
      <c r="U130" s="55">
        <v>57.1</v>
      </c>
      <c r="V130" s="52">
        <v>50.7</v>
      </c>
      <c r="W130" s="65">
        <v>1.3273610153318942</v>
      </c>
      <c r="X130" s="55">
        <v>57.1</v>
      </c>
      <c r="Y130" s="52">
        <v>48.3</v>
      </c>
      <c r="Z130" s="65">
        <v>2.0049262722853038</v>
      </c>
      <c r="AA130" s="55">
        <v>57.1</v>
      </c>
      <c r="AB130" s="52">
        <v>50.6</v>
      </c>
      <c r="AC130" s="65">
        <v>1.5374822685526035</v>
      </c>
      <c r="AD130" s="110"/>
      <c r="AE130" s="111"/>
      <c r="AF130" s="109"/>
      <c r="AG130" s="105"/>
      <c r="AH130" s="98"/>
      <c r="AI130" s="99"/>
      <c r="AJ130" s="110"/>
      <c r="AK130" s="111"/>
      <c r="AL130" s="109"/>
      <c r="AM130" s="105"/>
      <c r="AN130" s="98"/>
      <c r="AO130" s="99"/>
      <c r="AP130" s="110"/>
      <c r="AQ130" s="111"/>
      <c r="AR130" s="165"/>
    </row>
    <row r="131" spans="2:44" outlineLevel="1">
      <c r="B131" s="20" t="str">
        <f>Inputs!B14</f>
        <v>CE NEDL</v>
      </c>
      <c r="C131" s="486">
        <v>0</v>
      </c>
      <c r="D131" s="487">
        <v>0</v>
      </c>
      <c r="E131" s="104"/>
      <c r="F131" s="163">
        <v>89.7</v>
      </c>
      <c r="G131" s="64">
        <v>79.037637505629846</v>
      </c>
      <c r="H131" s="65">
        <v>0</v>
      </c>
      <c r="I131" s="163">
        <v>89.7</v>
      </c>
      <c r="J131" s="64">
        <v>67.495401499264176</v>
      </c>
      <c r="K131" s="65">
        <v>0</v>
      </c>
      <c r="L131" s="163">
        <v>89.7</v>
      </c>
      <c r="M131" s="64">
        <v>71.981307528862558</v>
      </c>
      <c r="N131" s="65">
        <v>0</v>
      </c>
      <c r="O131" s="55">
        <v>74.5</v>
      </c>
      <c r="P131" s="52">
        <v>65.7</v>
      </c>
      <c r="Q131" s="65">
        <v>0.95300251877599973</v>
      </c>
      <c r="R131" s="55">
        <v>74.5</v>
      </c>
      <c r="S131" s="52">
        <v>74</v>
      </c>
      <c r="T131" s="65">
        <v>5.5544885440933001E-2</v>
      </c>
      <c r="U131" s="55">
        <v>74.5</v>
      </c>
      <c r="V131" s="52">
        <v>66.3</v>
      </c>
      <c r="W131" s="65">
        <v>0.94482294494110586</v>
      </c>
      <c r="X131" s="55">
        <v>74.5</v>
      </c>
      <c r="Y131" s="52">
        <v>64.2</v>
      </c>
      <c r="Z131" s="65">
        <v>1.2350921414197737</v>
      </c>
      <c r="AA131" s="55">
        <v>74.5</v>
      </c>
      <c r="AB131" s="52">
        <v>62.3</v>
      </c>
      <c r="AC131" s="65">
        <v>1.5188083948454874</v>
      </c>
      <c r="AD131" s="110"/>
      <c r="AE131" s="111"/>
      <c r="AF131" s="109"/>
      <c r="AG131" s="105"/>
      <c r="AH131" s="98"/>
      <c r="AI131" s="99"/>
      <c r="AJ131" s="110"/>
      <c r="AK131" s="111"/>
      <c r="AL131" s="109"/>
      <c r="AM131" s="105"/>
      <c r="AN131" s="98"/>
      <c r="AO131" s="99"/>
      <c r="AP131" s="110"/>
      <c r="AQ131" s="111"/>
      <c r="AR131" s="165"/>
    </row>
    <row r="132" spans="2:44" outlineLevel="1">
      <c r="B132" s="20" t="str">
        <f>Inputs!B15</f>
        <v>CE YEDL</v>
      </c>
      <c r="C132" s="486">
        <v>0</v>
      </c>
      <c r="D132" s="487">
        <v>0</v>
      </c>
      <c r="E132" s="104"/>
      <c r="F132" s="163">
        <v>84.82</v>
      </c>
      <c r="G132" s="64">
        <v>63.614198554357685</v>
      </c>
      <c r="H132" s="65">
        <v>0</v>
      </c>
      <c r="I132" s="163">
        <v>84.82</v>
      </c>
      <c r="J132" s="64">
        <v>66.985732736887897</v>
      </c>
      <c r="K132" s="65">
        <v>0</v>
      </c>
      <c r="L132" s="163">
        <v>84.82</v>
      </c>
      <c r="M132" s="64">
        <v>68.734354737912895</v>
      </c>
      <c r="N132" s="65">
        <v>0</v>
      </c>
      <c r="O132" s="55">
        <v>68.7</v>
      </c>
      <c r="P132" s="52">
        <v>67.2</v>
      </c>
      <c r="Q132" s="65">
        <v>0.21117669450150001</v>
      </c>
      <c r="R132" s="55">
        <v>68.599999999999994</v>
      </c>
      <c r="S132" s="52">
        <v>84.8</v>
      </c>
      <c r="T132" s="65">
        <v>-2.5195160036007218</v>
      </c>
      <c r="U132" s="55">
        <v>68.5</v>
      </c>
      <c r="V132" s="52">
        <v>75.7</v>
      </c>
      <c r="W132" s="65">
        <v>-1.1614408884154084</v>
      </c>
      <c r="X132" s="55">
        <v>68.5</v>
      </c>
      <c r="Y132" s="52">
        <v>76.400000000000006</v>
      </c>
      <c r="Z132" s="65">
        <v>-1.3262251537963798</v>
      </c>
      <c r="AA132" s="55">
        <v>68.400000000000006</v>
      </c>
      <c r="AB132" s="52">
        <v>71.400000000000006</v>
      </c>
      <c r="AC132" s="65">
        <v>-0.52286846379926599</v>
      </c>
      <c r="AD132" s="110"/>
      <c r="AE132" s="111"/>
      <c r="AF132" s="109"/>
      <c r="AG132" s="105"/>
      <c r="AH132" s="98"/>
      <c r="AI132" s="99"/>
      <c r="AJ132" s="110"/>
      <c r="AK132" s="111"/>
      <c r="AL132" s="109"/>
      <c r="AM132" s="105"/>
      <c r="AN132" s="98"/>
      <c r="AO132" s="99"/>
      <c r="AP132" s="110"/>
      <c r="AQ132" s="111"/>
      <c r="AR132" s="165"/>
    </row>
    <row r="133" spans="2:44" outlineLevel="1">
      <c r="B133" s="20" t="str">
        <f>Inputs!B16</f>
        <v>WPD S Wales</v>
      </c>
      <c r="C133" s="486">
        <v>0</v>
      </c>
      <c r="D133" s="487">
        <v>0</v>
      </c>
      <c r="E133" s="104"/>
      <c r="F133" s="163">
        <v>152.80000000000001</v>
      </c>
      <c r="G133" s="64">
        <v>105.29573442324475</v>
      </c>
      <c r="H133" s="65">
        <v>0</v>
      </c>
      <c r="I133" s="163">
        <v>152.80000000000001</v>
      </c>
      <c r="J133" s="64">
        <v>101.06096236412776</v>
      </c>
      <c r="K133" s="65">
        <v>0</v>
      </c>
      <c r="L133" s="163">
        <v>152.80000000000001</v>
      </c>
      <c r="M133" s="64">
        <v>102.40855966470339</v>
      </c>
      <c r="N133" s="65">
        <v>0</v>
      </c>
      <c r="O133" s="55">
        <v>99.7</v>
      </c>
      <c r="P133" s="52">
        <v>81.3</v>
      </c>
      <c r="Q133" s="65">
        <v>1.3948491411176005</v>
      </c>
      <c r="R133" s="55">
        <v>98.2</v>
      </c>
      <c r="S133" s="52">
        <v>83.4</v>
      </c>
      <c r="T133" s="65">
        <v>1.1508900263361315</v>
      </c>
      <c r="U133" s="55">
        <v>96.8</v>
      </c>
      <c r="V133" s="52">
        <v>77.7</v>
      </c>
      <c r="W133" s="65">
        <v>1.5405222894954365</v>
      </c>
      <c r="X133" s="55">
        <v>95.3</v>
      </c>
      <c r="Y133" s="52">
        <v>66.099999999999994</v>
      </c>
      <c r="Z133" s="65">
        <v>2.0770014959999998</v>
      </c>
      <c r="AA133" s="55">
        <v>93.9</v>
      </c>
      <c r="AB133" s="52">
        <v>55</v>
      </c>
      <c r="AC133" s="65">
        <v>2.1303423479999997</v>
      </c>
      <c r="AD133" s="110"/>
      <c r="AE133" s="111"/>
      <c r="AF133" s="109"/>
      <c r="AG133" s="105"/>
      <c r="AH133" s="98"/>
      <c r="AI133" s="99"/>
      <c r="AJ133" s="110"/>
      <c r="AK133" s="111"/>
      <c r="AL133" s="109"/>
      <c r="AM133" s="105"/>
      <c r="AN133" s="98"/>
      <c r="AO133" s="99"/>
      <c r="AP133" s="110"/>
      <c r="AQ133" s="111"/>
      <c r="AR133" s="165"/>
    </row>
    <row r="134" spans="2:44" outlineLevel="1">
      <c r="B134" s="20" t="str">
        <f>Inputs!B17</f>
        <v>WPD S West</v>
      </c>
      <c r="C134" s="486">
        <v>0</v>
      </c>
      <c r="D134" s="487">
        <v>0</v>
      </c>
      <c r="E134" s="104"/>
      <c r="F134" s="163">
        <v>103.86</v>
      </c>
      <c r="G134" s="64">
        <v>85.469319672539214</v>
      </c>
      <c r="H134" s="65">
        <v>0</v>
      </c>
      <c r="I134" s="163">
        <v>103.86</v>
      </c>
      <c r="J134" s="64">
        <v>74.222988496343831</v>
      </c>
      <c r="K134" s="65">
        <v>0</v>
      </c>
      <c r="L134" s="163">
        <v>80.5</v>
      </c>
      <c r="M134" s="64">
        <v>74.229971107120477</v>
      </c>
      <c r="N134" s="65">
        <v>0</v>
      </c>
      <c r="O134" s="55">
        <v>84.5</v>
      </c>
      <c r="P134" s="52">
        <v>72.099999999999994</v>
      </c>
      <c r="Q134" s="65">
        <v>1.3428671855480006</v>
      </c>
      <c r="R134" s="55">
        <v>84.5</v>
      </c>
      <c r="S134" s="52">
        <v>80.3</v>
      </c>
      <c r="T134" s="65">
        <v>0.46657703770383757</v>
      </c>
      <c r="U134" s="55">
        <v>84.5</v>
      </c>
      <c r="V134" s="52">
        <v>76.400000000000006</v>
      </c>
      <c r="W134" s="65">
        <v>0.93330071390523783</v>
      </c>
      <c r="X134" s="55">
        <v>84.5</v>
      </c>
      <c r="Y134" s="52">
        <v>58.4</v>
      </c>
      <c r="Z134" s="65">
        <v>2.520612372</v>
      </c>
      <c r="AA134" s="55">
        <v>84.5</v>
      </c>
      <c r="AB134" s="52">
        <v>49.3</v>
      </c>
      <c r="AC134" s="65">
        <v>2.6084503560000001</v>
      </c>
      <c r="AD134" s="110"/>
      <c r="AE134" s="111"/>
      <c r="AF134" s="109"/>
      <c r="AG134" s="105"/>
      <c r="AH134" s="98"/>
      <c r="AI134" s="99"/>
      <c r="AJ134" s="110"/>
      <c r="AK134" s="111"/>
      <c r="AL134" s="109"/>
      <c r="AM134" s="105"/>
      <c r="AN134" s="98"/>
      <c r="AO134" s="99"/>
      <c r="AP134" s="110"/>
      <c r="AQ134" s="111"/>
      <c r="AR134" s="165"/>
    </row>
    <row r="135" spans="2:44" outlineLevel="1">
      <c r="B135" s="20" t="str">
        <f>Inputs!B18</f>
        <v>UKPN LPN</v>
      </c>
      <c r="C135" s="486">
        <v>0</v>
      </c>
      <c r="D135" s="487">
        <v>0</v>
      </c>
      <c r="E135" s="104"/>
      <c r="F135" s="163">
        <v>38.619999999999997</v>
      </c>
      <c r="G135" s="64">
        <v>36.435794256392988</v>
      </c>
      <c r="H135" s="65">
        <v>0</v>
      </c>
      <c r="I135" s="163">
        <v>38.619999999999997</v>
      </c>
      <c r="J135" s="64">
        <v>35.25158387252398</v>
      </c>
      <c r="K135" s="65">
        <v>0</v>
      </c>
      <c r="L135" s="163">
        <v>31.82</v>
      </c>
      <c r="M135" s="64">
        <v>33.411445552316124</v>
      </c>
      <c r="N135" s="65">
        <v>-0.40334419788346915</v>
      </c>
      <c r="O135" s="55">
        <v>36.200000000000003</v>
      </c>
      <c r="P135" s="52">
        <v>32</v>
      </c>
      <c r="Q135" s="65">
        <v>1.3190421225786007</v>
      </c>
      <c r="R135" s="55">
        <v>36.200000000000003</v>
      </c>
      <c r="S135" s="52">
        <v>36.9</v>
      </c>
      <c r="T135" s="65">
        <v>-0.23328851885191718</v>
      </c>
      <c r="U135" s="55">
        <v>36.200000000000003</v>
      </c>
      <c r="V135" s="52">
        <v>31.5</v>
      </c>
      <c r="W135" s="65">
        <v>1.6246345760572678</v>
      </c>
      <c r="X135" s="55">
        <v>36.200000000000003</v>
      </c>
      <c r="Y135" s="52">
        <v>28.7</v>
      </c>
      <c r="Z135" s="65">
        <v>2.7879507075737631</v>
      </c>
      <c r="AA135" s="55">
        <v>36.200000000000003</v>
      </c>
      <c r="AB135" s="52">
        <v>28.4</v>
      </c>
      <c r="AC135" s="65">
        <v>3.0102284415872043</v>
      </c>
      <c r="AD135" s="110"/>
      <c r="AE135" s="111"/>
      <c r="AF135" s="109"/>
      <c r="AG135" s="105"/>
      <c r="AH135" s="98"/>
      <c r="AI135" s="99"/>
      <c r="AJ135" s="110"/>
      <c r="AK135" s="111"/>
      <c r="AL135" s="109"/>
      <c r="AM135" s="105"/>
      <c r="AN135" s="98"/>
      <c r="AO135" s="99"/>
      <c r="AP135" s="110"/>
      <c r="AQ135" s="111"/>
      <c r="AR135" s="165"/>
    </row>
    <row r="136" spans="2:44" outlineLevel="1">
      <c r="B136" s="20" t="str">
        <f>Inputs!B19</f>
        <v>UKPN SEPN</v>
      </c>
      <c r="C136" s="486">
        <v>0</v>
      </c>
      <c r="D136" s="487">
        <v>0</v>
      </c>
      <c r="E136" s="104"/>
      <c r="F136" s="163">
        <v>96.8</v>
      </c>
      <c r="G136" s="64">
        <v>90.421833257749213</v>
      </c>
      <c r="H136" s="65">
        <v>0</v>
      </c>
      <c r="I136" s="163">
        <v>96.8</v>
      </c>
      <c r="J136" s="64">
        <v>97.773484645492971</v>
      </c>
      <c r="K136" s="65">
        <v>-5.5071405283440122E-2</v>
      </c>
      <c r="L136" s="163">
        <v>96.8</v>
      </c>
      <c r="M136" s="64">
        <v>82.565043116771037</v>
      </c>
      <c r="N136" s="65">
        <v>0</v>
      </c>
      <c r="O136" s="55">
        <v>90.5</v>
      </c>
      <c r="P136" s="52">
        <v>77.8</v>
      </c>
      <c r="Q136" s="65">
        <v>1.2378203170011002</v>
      </c>
      <c r="R136" s="55">
        <v>88.5</v>
      </c>
      <c r="S136" s="52">
        <v>85.9</v>
      </c>
      <c r="T136" s="65">
        <v>0.25995006386356589</v>
      </c>
      <c r="U136" s="55">
        <v>86.5</v>
      </c>
      <c r="V136" s="52">
        <v>90.1</v>
      </c>
      <c r="W136" s="65">
        <v>-0.37332028556209473</v>
      </c>
      <c r="X136" s="55">
        <v>84.5</v>
      </c>
      <c r="Y136" s="52">
        <v>82.7</v>
      </c>
      <c r="Z136" s="65">
        <v>0.21584134510248443</v>
      </c>
      <c r="AA136" s="55">
        <v>82.5</v>
      </c>
      <c r="AB136" s="52">
        <v>80.2</v>
      </c>
      <c r="AC136" s="65">
        <v>0.28633273017578814</v>
      </c>
      <c r="AD136" s="110"/>
      <c r="AE136" s="111"/>
      <c r="AF136" s="109"/>
      <c r="AG136" s="105"/>
      <c r="AH136" s="98"/>
      <c r="AI136" s="99"/>
      <c r="AJ136" s="110"/>
      <c r="AK136" s="111"/>
      <c r="AL136" s="109"/>
      <c r="AM136" s="105"/>
      <c r="AN136" s="98"/>
      <c r="AO136" s="99"/>
      <c r="AP136" s="110"/>
      <c r="AQ136" s="111"/>
      <c r="AR136" s="165"/>
    </row>
    <row r="137" spans="2:44" outlineLevel="1">
      <c r="B137" s="20" t="str">
        <f>Inputs!B20</f>
        <v>UKPN EPN</v>
      </c>
      <c r="C137" s="486">
        <v>0</v>
      </c>
      <c r="D137" s="487">
        <v>0</v>
      </c>
      <c r="E137" s="104"/>
      <c r="F137" s="163">
        <v>102.02</v>
      </c>
      <c r="G137" s="64">
        <v>89.400200452444068</v>
      </c>
      <c r="H137" s="65">
        <v>0</v>
      </c>
      <c r="I137" s="163">
        <v>102.02</v>
      </c>
      <c r="J137" s="64">
        <v>90.678233996179642</v>
      </c>
      <c r="K137" s="65">
        <v>0</v>
      </c>
      <c r="L137" s="163">
        <v>92.02</v>
      </c>
      <c r="M137" s="64">
        <v>70.753914147974939</v>
      </c>
      <c r="N137" s="65">
        <v>0</v>
      </c>
      <c r="O137" s="55">
        <v>90.3</v>
      </c>
      <c r="P137" s="52">
        <v>66.2</v>
      </c>
      <c r="Q137" s="65">
        <v>3.6917977799999999</v>
      </c>
      <c r="R137" s="55">
        <v>88.8</v>
      </c>
      <c r="S137" s="52">
        <v>77.2</v>
      </c>
      <c r="T137" s="65">
        <v>1.9329620133444674</v>
      </c>
      <c r="U137" s="55">
        <v>87.2</v>
      </c>
      <c r="V137" s="52">
        <v>73.099999999999994</v>
      </c>
      <c r="W137" s="65">
        <v>2.5994153216916289</v>
      </c>
      <c r="X137" s="55">
        <v>85.7</v>
      </c>
      <c r="Y137" s="52">
        <v>84.8</v>
      </c>
      <c r="Z137" s="65">
        <v>0.1726730760819889</v>
      </c>
      <c r="AA137" s="55">
        <v>84.2</v>
      </c>
      <c r="AB137" s="52">
        <v>87.5</v>
      </c>
      <c r="AC137" s="65">
        <v>-0.69840287664616185</v>
      </c>
      <c r="AD137" s="110"/>
      <c r="AE137" s="111"/>
      <c r="AF137" s="109"/>
      <c r="AG137" s="105"/>
      <c r="AH137" s="98"/>
      <c r="AI137" s="99"/>
      <c r="AJ137" s="110"/>
      <c r="AK137" s="111"/>
      <c r="AL137" s="109"/>
      <c r="AM137" s="105"/>
      <c r="AN137" s="98"/>
      <c r="AO137" s="99"/>
      <c r="AP137" s="110"/>
      <c r="AQ137" s="111"/>
      <c r="AR137" s="165"/>
    </row>
    <row r="138" spans="2:44" outlineLevel="1">
      <c r="B138" s="20" t="str">
        <f>Inputs!B21</f>
        <v>SP Distribution</v>
      </c>
      <c r="C138" s="486">
        <v>0</v>
      </c>
      <c r="D138" s="487">
        <v>0</v>
      </c>
      <c r="E138" s="104"/>
      <c r="F138" s="163">
        <v>66.400000000000006</v>
      </c>
      <c r="G138" s="64">
        <v>64.986281337551503</v>
      </c>
      <c r="H138" s="65">
        <v>0</v>
      </c>
      <c r="I138" s="163">
        <v>66.400000000000006</v>
      </c>
      <c r="J138" s="64">
        <v>61.594380442950111</v>
      </c>
      <c r="K138" s="65">
        <v>0</v>
      </c>
      <c r="L138" s="163">
        <v>66.400000000000006</v>
      </c>
      <c r="M138" s="64">
        <v>64.907579532129631</v>
      </c>
      <c r="N138" s="65">
        <v>0</v>
      </c>
      <c r="O138" s="55">
        <v>60.9</v>
      </c>
      <c r="P138" s="52">
        <v>57.6</v>
      </c>
      <c r="Q138" s="65">
        <v>0.82196467244429927</v>
      </c>
      <c r="R138" s="55">
        <v>60.8</v>
      </c>
      <c r="S138" s="52">
        <v>64.900000000000006</v>
      </c>
      <c r="T138" s="65">
        <v>-1.0475765394159986</v>
      </c>
      <c r="U138" s="55">
        <v>60.8</v>
      </c>
      <c r="V138" s="52">
        <v>58.6</v>
      </c>
      <c r="W138" s="65">
        <v>0.58302489041487615</v>
      </c>
      <c r="X138" s="55">
        <v>60.8</v>
      </c>
      <c r="Y138" s="52">
        <v>55.7</v>
      </c>
      <c r="Z138" s="65">
        <v>1.4065660989178577</v>
      </c>
      <c r="AA138" s="55">
        <v>60.8</v>
      </c>
      <c r="AB138" s="52">
        <v>51.7</v>
      </c>
      <c r="AC138" s="65">
        <v>2.6056278445996734</v>
      </c>
      <c r="AD138" s="110"/>
      <c r="AE138" s="111"/>
      <c r="AF138" s="109"/>
      <c r="AG138" s="105"/>
      <c r="AH138" s="98"/>
      <c r="AI138" s="99"/>
      <c r="AJ138" s="110"/>
      <c r="AK138" s="111"/>
      <c r="AL138" s="109"/>
      <c r="AM138" s="105"/>
      <c r="AN138" s="98"/>
      <c r="AO138" s="99"/>
      <c r="AP138" s="110"/>
      <c r="AQ138" s="111"/>
      <c r="AR138" s="165"/>
    </row>
    <row r="139" spans="2:44" outlineLevel="1">
      <c r="B139" s="20" t="str">
        <f>Inputs!B22</f>
        <v>SP Manweb</v>
      </c>
      <c r="C139" s="486">
        <v>0</v>
      </c>
      <c r="D139" s="487">
        <v>0</v>
      </c>
      <c r="E139" s="104"/>
      <c r="F139" s="163">
        <v>47.2</v>
      </c>
      <c r="G139" s="64">
        <v>42.548030178092851</v>
      </c>
      <c r="H139" s="65">
        <v>0</v>
      </c>
      <c r="I139" s="163">
        <v>47.2</v>
      </c>
      <c r="J139" s="64">
        <v>50.973053586179233</v>
      </c>
      <c r="K139" s="65">
        <v>-0.4430031778570625</v>
      </c>
      <c r="L139" s="163">
        <v>47.2</v>
      </c>
      <c r="M139" s="64">
        <v>48.067737914771755</v>
      </c>
      <c r="N139" s="65">
        <v>-0.10472570876785428</v>
      </c>
      <c r="O139" s="55">
        <v>46.7</v>
      </c>
      <c r="P139" s="52">
        <v>42.7</v>
      </c>
      <c r="Q139" s="65">
        <v>0.77972933354399987</v>
      </c>
      <c r="R139" s="55">
        <v>46.7</v>
      </c>
      <c r="S139" s="52">
        <v>46.1</v>
      </c>
      <c r="T139" s="65">
        <v>0.11997695255241556</v>
      </c>
      <c r="U139" s="55">
        <v>46.7</v>
      </c>
      <c r="V139" s="52">
        <v>43.1</v>
      </c>
      <c r="W139" s="65">
        <v>0.74664057112419102</v>
      </c>
      <c r="X139" s="55">
        <v>46.7</v>
      </c>
      <c r="Y139" s="52">
        <v>49.3</v>
      </c>
      <c r="Z139" s="65">
        <v>-0.56118749726645922</v>
      </c>
      <c r="AA139" s="55">
        <v>46.7</v>
      </c>
      <c r="AB139" s="52">
        <v>38.9</v>
      </c>
      <c r="AC139" s="65">
        <v>1.7478745789861185</v>
      </c>
      <c r="AD139" s="110"/>
      <c r="AE139" s="111"/>
      <c r="AF139" s="109"/>
      <c r="AG139" s="105"/>
      <c r="AH139" s="98"/>
      <c r="AI139" s="99"/>
      <c r="AJ139" s="110"/>
      <c r="AK139" s="111"/>
      <c r="AL139" s="109"/>
      <c r="AM139" s="105"/>
      <c r="AN139" s="98"/>
      <c r="AO139" s="99"/>
      <c r="AP139" s="110"/>
      <c r="AQ139" s="111"/>
      <c r="AR139" s="165"/>
    </row>
    <row r="140" spans="2:44" outlineLevel="1">
      <c r="B140" s="20" t="str">
        <f>Inputs!B23</f>
        <v>SSE Hydro</v>
      </c>
      <c r="C140" s="486">
        <v>0</v>
      </c>
      <c r="D140" s="487">
        <v>0</v>
      </c>
      <c r="E140" s="104"/>
      <c r="F140" s="163">
        <v>135.1</v>
      </c>
      <c r="G140" s="64">
        <v>94.560099407548762</v>
      </c>
      <c r="H140" s="65">
        <v>0</v>
      </c>
      <c r="I140" s="163">
        <v>135.1</v>
      </c>
      <c r="J140" s="64">
        <v>89.070056422519883</v>
      </c>
      <c r="K140" s="65">
        <v>0</v>
      </c>
      <c r="L140" s="163">
        <v>135.1</v>
      </c>
      <c r="M140" s="64">
        <v>85.909955450941865</v>
      </c>
      <c r="N140" s="65">
        <v>0</v>
      </c>
      <c r="O140" s="55">
        <v>96.2</v>
      </c>
      <c r="P140" s="52">
        <v>77.900000000000006</v>
      </c>
      <c r="Q140" s="65">
        <v>1.5854496448727997</v>
      </c>
      <c r="R140" s="55">
        <v>95.8</v>
      </c>
      <c r="S140" s="52">
        <v>78.599999999999994</v>
      </c>
      <c r="T140" s="65">
        <v>1.5285952473344766</v>
      </c>
      <c r="U140" s="55">
        <v>95.5</v>
      </c>
      <c r="V140" s="52">
        <v>69.2</v>
      </c>
      <c r="W140" s="65">
        <v>2.3352785279999999</v>
      </c>
      <c r="X140" s="55">
        <v>95.2</v>
      </c>
      <c r="Y140" s="52">
        <v>75.8</v>
      </c>
      <c r="Z140" s="65">
        <v>2.0936610474941029</v>
      </c>
      <c r="AA140" s="55">
        <v>94.9</v>
      </c>
      <c r="AB140" s="52">
        <v>77.8</v>
      </c>
      <c r="AC140" s="65">
        <v>1.9159394423501683</v>
      </c>
      <c r="AD140" s="110"/>
      <c r="AE140" s="111"/>
      <c r="AF140" s="109"/>
      <c r="AG140" s="105"/>
      <c r="AH140" s="98"/>
      <c r="AI140" s="99"/>
      <c r="AJ140" s="110"/>
      <c r="AK140" s="111"/>
      <c r="AL140" s="109"/>
      <c r="AM140" s="105"/>
      <c r="AN140" s="98"/>
      <c r="AO140" s="99"/>
      <c r="AP140" s="110"/>
      <c r="AQ140" s="111"/>
      <c r="AR140" s="165"/>
    </row>
    <row r="141" spans="2:44" outlineLevel="1">
      <c r="B141" s="20" t="str">
        <f>Inputs!B24</f>
        <v>SSE Southern</v>
      </c>
      <c r="C141" s="486">
        <v>0</v>
      </c>
      <c r="D141" s="487">
        <v>0</v>
      </c>
      <c r="E141" s="104"/>
      <c r="F141" s="163">
        <v>99.75</v>
      </c>
      <c r="G141" s="64">
        <v>93.231883300666937</v>
      </c>
      <c r="H141" s="65">
        <v>0</v>
      </c>
      <c r="I141" s="163">
        <v>99.75</v>
      </c>
      <c r="J141" s="64">
        <v>88.010990272681482</v>
      </c>
      <c r="K141" s="65">
        <v>0</v>
      </c>
      <c r="L141" s="163">
        <v>93.56</v>
      </c>
      <c r="M141" s="64">
        <v>89.739548598967758</v>
      </c>
      <c r="N141" s="65">
        <v>0</v>
      </c>
      <c r="O141" s="55">
        <v>91</v>
      </c>
      <c r="P141" s="52">
        <v>78.2</v>
      </c>
      <c r="Q141" s="65">
        <v>2.4951338673407992</v>
      </c>
      <c r="R141" s="55">
        <v>90.1</v>
      </c>
      <c r="S141" s="52">
        <v>75.3</v>
      </c>
      <c r="T141" s="65">
        <v>2.9594314962929094</v>
      </c>
      <c r="U141" s="55">
        <v>89.2</v>
      </c>
      <c r="V141" s="52">
        <v>65.7</v>
      </c>
      <c r="W141" s="65">
        <v>4.6202320799999992</v>
      </c>
      <c r="X141" s="55">
        <v>88.3</v>
      </c>
      <c r="Y141" s="52">
        <v>64.3</v>
      </c>
      <c r="Z141" s="65">
        <v>4.8284947679999997</v>
      </c>
      <c r="AA141" s="55">
        <v>87.4</v>
      </c>
      <c r="AB141" s="52">
        <v>61.2</v>
      </c>
      <c r="AC141" s="65">
        <v>4.9865836679999997</v>
      </c>
      <c r="AD141" s="110"/>
      <c r="AE141" s="111"/>
      <c r="AF141" s="109"/>
      <c r="AG141" s="105"/>
      <c r="AH141" s="98"/>
      <c r="AI141" s="99"/>
      <c r="AJ141" s="110"/>
      <c r="AK141" s="111"/>
      <c r="AL141" s="109"/>
      <c r="AM141" s="105"/>
      <c r="AN141" s="98"/>
      <c r="AO141" s="99"/>
      <c r="AP141" s="110"/>
      <c r="AQ141" s="111"/>
      <c r="AR141" s="165"/>
    </row>
    <row r="142" spans="2:44" outlineLevel="1">
      <c r="B142" s="185" t="s">
        <v>78</v>
      </c>
      <c r="C142" s="488"/>
      <c r="D142" s="489"/>
      <c r="E142" s="123"/>
      <c r="F142" s="121"/>
      <c r="G142" s="122"/>
      <c r="H142" s="186">
        <f>SUM(H128:H141)</f>
        <v>-0.53058326003252132</v>
      </c>
      <c r="I142" s="187"/>
      <c r="J142" s="189"/>
      <c r="K142" s="186">
        <f>SUM(K128:K141)</f>
        <v>-0.88404405929673868</v>
      </c>
      <c r="L142" s="187"/>
      <c r="M142" s="189"/>
      <c r="N142" s="186">
        <f>SUM(N128:N141)</f>
        <v>-0.50806990665132346</v>
      </c>
      <c r="O142" s="187"/>
      <c r="P142" s="189"/>
      <c r="Q142" s="186">
        <f>SUM(Q128:Q141)</f>
        <v>18.569466646982605</v>
      </c>
      <c r="R142" s="187"/>
      <c r="S142" s="189"/>
      <c r="T142" s="186">
        <f>SUM(T128:T141)</f>
        <v>2.7583590109967302</v>
      </c>
      <c r="U142" s="187"/>
      <c r="V142" s="189"/>
      <c r="W142" s="186">
        <f>SUM(W128:W141)</f>
        <v>13.966788193325153</v>
      </c>
      <c r="X142" s="187"/>
      <c r="Y142" s="189"/>
      <c r="Z142" s="186">
        <f>SUM(Z128:Z141)</f>
        <v>20.48677845391844</v>
      </c>
      <c r="AA142" s="187"/>
      <c r="AB142" s="189"/>
      <c r="AC142" s="186">
        <f>SUM(AC128:AC141)</f>
        <v>23.419550423885539</v>
      </c>
      <c r="AD142" s="187"/>
      <c r="AE142" s="189"/>
      <c r="AF142" s="186">
        <f>SUM(AF128:AF141)</f>
        <v>0</v>
      </c>
      <c r="AG142" s="187"/>
      <c r="AH142" s="189"/>
      <c r="AI142" s="188">
        <f>SUM(AI128:AI141)</f>
        <v>0</v>
      </c>
      <c r="AJ142" s="187"/>
      <c r="AK142" s="189"/>
      <c r="AL142" s="186">
        <f>SUM(AL128:AL141)</f>
        <v>0</v>
      </c>
      <c r="AM142" s="187"/>
      <c r="AN142" s="189"/>
      <c r="AO142" s="188">
        <f>SUM(AO128:AO141)</f>
        <v>0</v>
      </c>
      <c r="AP142" s="187"/>
      <c r="AQ142" s="189"/>
      <c r="AR142" s="188">
        <f>SUM(AR128:AR141)</f>
        <v>0</v>
      </c>
    </row>
    <row r="143" spans="2:44" s="152" customFormat="1" ht="13.5" outlineLevel="1" thickBot="1">
      <c r="B143" s="181" t="s">
        <v>66</v>
      </c>
      <c r="C143" s="490">
        <f t="shared" ref="C143:G143" si="29">AVERAGE(C128:C141)</f>
        <v>0</v>
      </c>
      <c r="D143" s="491">
        <f t="shared" si="29"/>
        <v>0</v>
      </c>
      <c r="E143" s="184" t="e">
        <f t="shared" si="29"/>
        <v>#DIV/0!</v>
      </c>
      <c r="F143" s="190">
        <f t="shared" si="29"/>
        <v>91.844285714285689</v>
      </c>
      <c r="G143" s="191">
        <f t="shared" si="29"/>
        <v>77.913699083142646</v>
      </c>
      <c r="H143" s="192">
        <f>AVERAGE(H128:H141)</f>
        <v>-3.7898804288037234E-2</v>
      </c>
      <c r="I143" s="190">
        <f t="shared" ref="I143:AR143" si="30">AVERAGE(I128:I141)</f>
        <v>91.844285714285689</v>
      </c>
      <c r="J143" s="191">
        <f t="shared" si="30"/>
        <v>76.815604929439431</v>
      </c>
      <c r="K143" s="192">
        <f t="shared" si="30"/>
        <v>-6.3146004235481334E-2</v>
      </c>
      <c r="L143" s="190">
        <f t="shared" si="30"/>
        <v>88.415714285714287</v>
      </c>
      <c r="M143" s="191">
        <f t="shared" si="30"/>
        <v>73.015510256792339</v>
      </c>
      <c r="N143" s="192">
        <f t="shared" si="30"/>
        <v>-3.6290707617951674E-2</v>
      </c>
      <c r="O143" s="190">
        <f t="shared" si="30"/>
        <v>77.407142857142858</v>
      </c>
      <c r="P143" s="191">
        <f t="shared" si="30"/>
        <v>67.664285714285725</v>
      </c>
      <c r="Q143" s="192">
        <f t="shared" si="30"/>
        <v>1.3263904747844717</v>
      </c>
      <c r="R143" s="190">
        <f t="shared" si="30"/>
        <v>76.79285714285713</v>
      </c>
      <c r="S143" s="191">
        <f t="shared" si="30"/>
        <v>74.635714285714286</v>
      </c>
      <c r="T143" s="192">
        <f t="shared" si="30"/>
        <v>0.19702564364262359</v>
      </c>
      <c r="U143" s="190">
        <f t="shared" si="30"/>
        <v>76.200000000000017</v>
      </c>
      <c r="V143" s="191">
        <f t="shared" si="30"/>
        <v>69.600000000000009</v>
      </c>
      <c r="W143" s="192">
        <f t="shared" si="30"/>
        <v>0.99762772809465372</v>
      </c>
      <c r="X143" s="190">
        <f t="shared" si="30"/>
        <v>75.614285714285728</v>
      </c>
      <c r="Y143" s="191">
        <f t="shared" si="30"/>
        <v>65.428571428571416</v>
      </c>
      <c r="Z143" s="192">
        <f t="shared" si="30"/>
        <v>1.4633413181370314</v>
      </c>
      <c r="AA143" s="190">
        <f t="shared" si="30"/>
        <v>75.028571428571439</v>
      </c>
      <c r="AB143" s="193">
        <f t="shared" si="30"/>
        <v>63.1</v>
      </c>
      <c r="AC143" s="194">
        <f t="shared" si="30"/>
        <v>1.6728250302775385</v>
      </c>
      <c r="AD143" s="190" t="e">
        <f t="shared" si="30"/>
        <v>#DIV/0!</v>
      </c>
      <c r="AE143" s="191" t="e">
        <f t="shared" si="30"/>
        <v>#DIV/0!</v>
      </c>
      <c r="AF143" s="192" t="e">
        <f t="shared" si="30"/>
        <v>#DIV/0!</v>
      </c>
      <c r="AG143" s="190" t="e">
        <f t="shared" si="30"/>
        <v>#DIV/0!</v>
      </c>
      <c r="AH143" s="193" t="e">
        <f t="shared" si="30"/>
        <v>#DIV/0!</v>
      </c>
      <c r="AI143" s="194" t="e">
        <f t="shared" si="30"/>
        <v>#DIV/0!</v>
      </c>
      <c r="AJ143" s="190" t="e">
        <f t="shared" si="30"/>
        <v>#DIV/0!</v>
      </c>
      <c r="AK143" s="191" t="e">
        <f t="shared" si="30"/>
        <v>#DIV/0!</v>
      </c>
      <c r="AL143" s="192" t="e">
        <f t="shared" si="30"/>
        <v>#DIV/0!</v>
      </c>
      <c r="AM143" s="190" t="e">
        <f t="shared" si="30"/>
        <v>#DIV/0!</v>
      </c>
      <c r="AN143" s="193" t="e">
        <f t="shared" si="30"/>
        <v>#DIV/0!</v>
      </c>
      <c r="AO143" s="194" t="e">
        <f t="shared" si="30"/>
        <v>#DIV/0!</v>
      </c>
      <c r="AP143" s="190" t="e">
        <f t="shared" si="30"/>
        <v>#DIV/0!</v>
      </c>
      <c r="AQ143" s="191" t="e">
        <f t="shared" si="30"/>
        <v>#DIV/0!</v>
      </c>
      <c r="AR143" s="192" t="e">
        <f t="shared" si="30"/>
        <v>#DIV/0!</v>
      </c>
    </row>
    <row r="144" spans="2:44" outlineLevel="1">
      <c r="B144" s="155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4"/>
      <c r="X144" s="124"/>
      <c r="Y144" s="124"/>
      <c r="Z144" s="124"/>
      <c r="AA144" s="125"/>
      <c r="AB144" s="126"/>
      <c r="AC144" s="124"/>
      <c r="AD144" s="125"/>
      <c r="AE144" s="126"/>
      <c r="AF144" s="124"/>
      <c r="AG144" s="125"/>
      <c r="AH144" s="126"/>
      <c r="AI144" s="124"/>
      <c r="AJ144" s="125"/>
      <c r="AK144" s="126"/>
      <c r="AL144" s="124"/>
      <c r="AM144" s="125"/>
      <c r="AN144" s="126"/>
      <c r="AO144" s="124"/>
      <c r="AP144" s="125"/>
      <c r="AQ144" s="126"/>
      <c r="AR144" s="124"/>
    </row>
    <row r="146" spans="2:44" ht="13.5" thickBot="1">
      <c r="B146" s="2" t="s">
        <v>178</v>
      </c>
    </row>
    <row r="147" spans="2:44" outlineLevel="1">
      <c r="B147" s="770" t="s">
        <v>19</v>
      </c>
      <c r="C147" s="767" t="str">
        <f>C126</f>
        <v>2001-02</v>
      </c>
      <c r="D147" s="768"/>
      <c r="E147" s="769"/>
      <c r="F147" s="767" t="str">
        <f>F126</f>
        <v>2002-03</v>
      </c>
      <c r="G147" s="768"/>
      <c r="H147" s="769"/>
      <c r="I147" s="767" t="str">
        <f>I126</f>
        <v>2003-04</v>
      </c>
      <c r="J147" s="768"/>
      <c r="K147" s="769"/>
      <c r="L147" s="767" t="str">
        <f>L126</f>
        <v>2004-05</v>
      </c>
      <c r="M147" s="768"/>
      <c r="N147" s="769"/>
      <c r="O147" s="767" t="str">
        <f>O126</f>
        <v>2005-06</v>
      </c>
      <c r="P147" s="768"/>
      <c r="Q147" s="769"/>
      <c r="R147" s="767" t="str">
        <f>R126</f>
        <v>2006-07</v>
      </c>
      <c r="S147" s="768"/>
      <c r="T147" s="769"/>
      <c r="U147" s="767" t="str">
        <f>U126</f>
        <v>2007-08</v>
      </c>
      <c r="V147" s="768"/>
      <c r="W147" s="769"/>
      <c r="X147" s="767" t="str">
        <f>X126</f>
        <v>2008-09</v>
      </c>
      <c r="Y147" s="768"/>
      <c r="Z147" s="769"/>
      <c r="AA147" s="767" t="str">
        <f>AA126</f>
        <v>2009-10</v>
      </c>
      <c r="AB147" s="768"/>
      <c r="AC147" s="769"/>
      <c r="AD147" s="772" t="str">
        <f>AD126</f>
        <v>2010-11</v>
      </c>
      <c r="AE147" s="768"/>
      <c r="AF147" s="769"/>
      <c r="AG147" s="767" t="str">
        <f>AG126</f>
        <v>2011-12</v>
      </c>
      <c r="AH147" s="768"/>
      <c r="AI147" s="769"/>
      <c r="AJ147" s="767" t="str">
        <f>AJ126</f>
        <v>2012-13</v>
      </c>
      <c r="AK147" s="768"/>
      <c r="AL147" s="769"/>
      <c r="AM147" s="767" t="str">
        <f>AM126</f>
        <v>2013-14</v>
      </c>
      <c r="AN147" s="768"/>
      <c r="AO147" s="769"/>
      <c r="AP147" s="767" t="str">
        <f>AP126</f>
        <v>2014-15</v>
      </c>
      <c r="AQ147" s="768"/>
      <c r="AR147" s="769"/>
    </row>
    <row r="148" spans="2:44" ht="13.5" outlineLevel="1" thickBot="1">
      <c r="B148" s="771"/>
      <c r="C148" s="112" t="s">
        <v>67</v>
      </c>
      <c r="D148" s="113" t="s">
        <v>68</v>
      </c>
      <c r="E148" s="114" t="s">
        <v>69</v>
      </c>
      <c r="F148" s="112" t="s">
        <v>67</v>
      </c>
      <c r="G148" s="113" t="s">
        <v>68</v>
      </c>
      <c r="H148" s="167" t="s">
        <v>69</v>
      </c>
      <c r="I148" s="112" t="s">
        <v>67</v>
      </c>
      <c r="J148" s="113" t="s">
        <v>68</v>
      </c>
      <c r="K148" s="114" t="s">
        <v>69</v>
      </c>
      <c r="L148" s="112" t="s">
        <v>67</v>
      </c>
      <c r="M148" s="113" t="s">
        <v>68</v>
      </c>
      <c r="N148" s="114" t="s">
        <v>69</v>
      </c>
      <c r="O148" s="112" t="s">
        <v>67</v>
      </c>
      <c r="P148" s="113" t="s">
        <v>68</v>
      </c>
      <c r="Q148" s="114" t="s">
        <v>69</v>
      </c>
      <c r="R148" s="112" t="s">
        <v>67</v>
      </c>
      <c r="S148" s="113" t="s">
        <v>68</v>
      </c>
      <c r="T148" s="114" t="s">
        <v>69</v>
      </c>
      <c r="U148" s="112" t="s">
        <v>67</v>
      </c>
      <c r="V148" s="113" t="s">
        <v>68</v>
      </c>
      <c r="W148" s="114" t="s">
        <v>69</v>
      </c>
      <c r="X148" s="112" t="s">
        <v>67</v>
      </c>
      <c r="Y148" s="113" t="s">
        <v>68</v>
      </c>
      <c r="Z148" s="114" t="s">
        <v>69</v>
      </c>
      <c r="AA148" s="112" t="s">
        <v>67</v>
      </c>
      <c r="AB148" s="113" t="s">
        <v>68</v>
      </c>
      <c r="AC148" s="114" t="s">
        <v>69</v>
      </c>
      <c r="AD148" s="168" t="s">
        <v>67</v>
      </c>
      <c r="AE148" s="113" t="s">
        <v>68</v>
      </c>
      <c r="AF148" s="114" t="s">
        <v>69</v>
      </c>
      <c r="AG148" s="112" t="s">
        <v>67</v>
      </c>
      <c r="AH148" s="113" t="s">
        <v>68</v>
      </c>
      <c r="AI148" s="114" t="s">
        <v>69</v>
      </c>
      <c r="AJ148" s="112" t="s">
        <v>67</v>
      </c>
      <c r="AK148" s="113" t="s">
        <v>68</v>
      </c>
      <c r="AL148" s="114" t="s">
        <v>69</v>
      </c>
      <c r="AM148" s="112" t="s">
        <v>67</v>
      </c>
      <c r="AN148" s="113" t="s">
        <v>68</v>
      </c>
      <c r="AO148" s="114" t="s">
        <v>69</v>
      </c>
      <c r="AP148" s="112" t="s">
        <v>67</v>
      </c>
      <c r="AQ148" s="113" t="s">
        <v>68</v>
      </c>
      <c r="AR148" s="114" t="s">
        <v>69</v>
      </c>
    </row>
    <row r="149" spans="2:44" ht="13.5" outlineLevel="1" thickTop="1">
      <c r="B149" s="20" t="str">
        <f>B128</f>
        <v>CN West</v>
      </c>
      <c r="C149" s="486">
        <v>0</v>
      </c>
      <c r="D149" s="487">
        <v>0</v>
      </c>
      <c r="E149" s="103"/>
      <c r="F149" s="171">
        <v>125.87</v>
      </c>
      <c r="G149" s="172">
        <v>137.93897543639136</v>
      </c>
      <c r="H149" s="170">
        <v>-4.248008124233521E-2</v>
      </c>
      <c r="I149" s="169">
        <v>125.87</v>
      </c>
      <c r="J149" s="64">
        <v>107.08952573207928</v>
      </c>
      <c r="K149" s="170">
        <v>0</v>
      </c>
      <c r="L149" s="169">
        <v>116.9</v>
      </c>
      <c r="M149" s="64">
        <v>89.61346783040581</v>
      </c>
      <c r="N149" s="170">
        <v>0</v>
      </c>
      <c r="O149" s="169">
        <v>102.3</v>
      </c>
      <c r="P149" s="52">
        <v>83.6</v>
      </c>
      <c r="Q149" s="170">
        <v>2.8351824933586007</v>
      </c>
      <c r="R149" s="169">
        <v>98.5</v>
      </c>
      <c r="S149" s="52">
        <v>110.7</v>
      </c>
      <c r="T149" s="170">
        <v>-2.0329428071381481</v>
      </c>
      <c r="U149" s="169">
        <v>94.7</v>
      </c>
      <c r="V149" s="52">
        <v>101.5</v>
      </c>
      <c r="W149" s="170">
        <v>-1.1752675656584479</v>
      </c>
      <c r="X149" s="169">
        <v>91</v>
      </c>
      <c r="Y149" s="52">
        <v>79.3</v>
      </c>
      <c r="Z149" s="170">
        <v>2.2447499890658422</v>
      </c>
      <c r="AA149" s="169">
        <v>87.2</v>
      </c>
      <c r="AB149" s="52">
        <v>79.599999999999994</v>
      </c>
      <c r="AC149" s="170">
        <v>1.6084429886396485</v>
      </c>
      <c r="AD149" s="166"/>
      <c r="AE149" s="98"/>
      <c r="AF149" s="99"/>
      <c r="AG149" s="105"/>
      <c r="AH149" s="98"/>
      <c r="AI149" s="99"/>
      <c r="AJ149" s="105"/>
      <c r="AK149" s="98"/>
      <c r="AL149" s="99"/>
      <c r="AM149" s="105"/>
      <c r="AN149" s="98"/>
      <c r="AO149" s="99"/>
      <c r="AP149" s="105"/>
      <c r="AQ149" s="98"/>
      <c r="AR149" s="99"/>
    </row>
    <row r="150" spans="2:44" outlineLevel="1">
      <c r="B150" s="20" t="str">
        <f t="shared" ref="B150:B162" si="31">B129</f>
        <v>CN East</v>
      </c>
      <c r="C150" s="486">
        <v>0</v>
      </c>
      <c r="D150" s="487">
        <v>0</v>
      </c>
      <c r="E150" s="103"/>
      <c r="F150" s="163">
        <v>92.73</v>
      </c>
      <c r="G150" s="64">
        <v>83.086815731083377</v>
      </c>
      <c r="H150" s="56">
        <v>0</v>
      </c>
      <c r="I150" s="163">
        <v>92.73</v>
      </c>
      <c r="J150" s="64">
        <v>89.50045608283763</v>
      </c>
      <c r="K150" s="56">
        <v>0</v>
      </c>
      <c r="L150" s="163">
        <v>71</v>
      </c>
      <c r="M150" s="64">
        <v>73.671987262622991</v>
      </c>
      <c r="N150" s="56">
        <v>-0.46905785744049683</v>
      </c>
      <c r="O150" s="55">
        <v>80.099999999999994</v>
      </c>
      <c r="P150" s="52">
        <v>62.9</v>
      </c>
      <c r="Q150" s="65">
        <v>3.3528361342391988</v>
      </c>
      <c r="R150" s="55">
        <v>76.7</v>
      </c>
      <c r="S150" s="52">
        <v>80.8</v>
      </c>
      <c r="T150" s="65">
        <v>-0.86538931516973494</v>
      </c>
      <c r="U150" s="55">
        <v>73.400000000000006</v>
      </c>
      <c r="V150" s="52">
        <v>70.400000000000006</v>
      </c>
      <c r="W150" s="65">
        <v>0.69133386215202852</v>
      </c>
      <c r="X150" s="55">
        <v>70</v>
      </c>
      <c r="Y150" s="52">
        <v>58.4</v>
      </c>
      <c r="Z150" s="65">
        <v>2.9210528703869612</v>
      </c>
      <c r="AA150" s="55">
        <v>66.7</v>
      </c>
      <c r="AB150" s="52">
        <v>53.3</v>
      </c>
      <c r="AC150" s="65">
        <v>3.8368585843555678</v>
      </c>
      <c r="AD150" s="166"/>
      <c r="AE150" s="98"/>
      <c r="AF150" s="99"/>
      <c r="AG150" s="105"/>
      <c r="AH150" s="98"/>
      <c r="AI150" s="99"/>
      <c r="AJ150" s="105"/>
      <c r="AK150" s="98"/>
      <c r="AL150" s="99"/>
      <c r="AM150" s="105"/>
      <c r="AN150" s="98"/>
      <c r="AO150" s="99"/>
      <c r="AP150" s="105"/>
      <c r="AQ150" s="98"/>
      <c r="AR150" s="99"/>
    </row>
    <row r="151" spans="2:44" outlineLevel="1">
      <c r="B151" s="20" t="str">
        <f t="shared" si="31"/>
        <v>ENWL</v>
      </c>
      <c r="C151" s="486">
        <v>0</v>
      </c>
      <c r="D151" s="487">
        <v>0</v>
      </c>
      <c r="E151" s="103"/>
      <c r="F151" s="163">
        <v>68.2</v>
      </c>
      <c r="G151" s="64">
        <v>67.705202673890298</v>
      </c>
      <c r="H151" s="56">
        <v>0</v>
      </c>
      <c r="I151" s="163">
        <v>68.2</v>
      </c>
      <c r="J151" s="64">
        <v>59.29881340606336</v>
      </c>
      <c r="K151" s="56">
        <v>0</v>
      </c>
      <c r="L151" s="163">
        <v>68.2</v>
      </c>
      <c r="M151" s="64">
        <v>51.518851079610137</v>
      </c>
      <c r="N151" s="56">
        <v>0</v>
      </c>
      <c r="O151" s="55">
        <v>59.8</v>
      </c>
      <c r="P151" s="52">
        <v>47.5</v>
      </c>
      <c r="Q151" s="65">
        <v>2.9304827452361994</v>
      </c>
      <c r="R151" s="55">
        <v>58.1</v>
      </c>
      <c r="S151" s="52">
        <v>57.7</v>
      </c>
      <c r="T151" s="65">
        <v>0.10220258921131636</v>
      </c>
      <c r="U151" s="55">
        <v>56.4</v>
      </c>
      <c r="V151" s="52">
        <v>48.1</v>
      </c>
      <c r="W151" s="65">
        <v>2.1995939047470365</v>
      </c>
      <c r="X151" s="55">
        <v>54.7</v>
      </c>
      <c r="Y151" s="52">
        <v>50.8</v>
      </c>
      <c r="Z151" s="65">
        <v>1.1223749945329224</v>
      </c>
      <c r="AA151" s="55">
        <v>53</v>
      </c>
      <c r="AB151" s="52">
        <v>49.9</v>
      </c>
      <c r="AC151" s="65">
        <v>0.96481680820102689</v>
      </c>
      <c r="AD151" s="166"/>
      <c r="AE151" s="98"/>
      <c r="AF151" s="99"/>
      <c r="AG151" s="105"/>
      <c r="AH151" s="98"/>
      <c r="AI151" s="99"/>
      <c r="AJ151" s="105"/>
      <c r="AK151" s="98"/>
      <c r="AL151" s="99"/>
      <c r="AM151" s="105"/>
      <c r="AN151" s="98"/>
      <c r="AO151" s="99"/>
      <c r="AP151" s="105"/>
      <c r="AQ151" s="98"/>
      <c r="AR151" s="99"/>
    </row>
    <row r="152" spans="2:44" outlineLevel="1">
      <c r="B152" s="20" t="str">
        <f t="shared" si="31"/>
        <v>CE NEDL</v>
      </c>
      <c r="C152" s="486">
        <v>0</v>
      </c>
      <c r="D152" s="487">
        <v>0</v>
      </c>
      <c r="E152" s="103"/>
      <c r="F152" s="163">
        <v>96.54</v>
      </c>
      <c r="G152" s="64">
        <v>72.890849447993389</v>
      </c>
      <c r="H152" s="56">
        <v>0</v>
      </c>
      <c r="I152" s="163">
        <v>96.54</v>
      </c>
      <c r="J152" s="64">
        <v>71.192114212721677</v>
      </c>
      <c r="K152" s="56">
        <v>0</v>
      </c>
      <c r="L152" s="163">
        <v>96.54</v>
      </c>
      <c r="M152" s="64">
        <v>79.46110829085508</v>
      </c>
      <c r="N152" s="56">
        <v>0</v>
      </c>
      <c r="O152" s="55">
        <v>71.400000000000006</v>
      </c>
      <c r="P152" s="52">
        <v>64.099999999999994</v>
      </c>
      <c r="Q152" s="65">
        <v>1.0277265799073017</v>
      </c>
      <c r="R152" s="55">
        <v>70.400000000000006</v>
      </c>
      <c r="S152" s="52">
        <v>78.2</v>
      </c>
      <c r="T152" s="65">
        <v>-1.1264502767421207</v>
      </c>
      <c r="U152" s="55">
        <v>69.400000000000006</v>
      </c>
      <c r="V152" s="52">
        <v>70.5</v>
      </c>
      <c r="W152" s="65">
        <v>-0.17744235795235308</v>
      </c>
      <c r="X152" s="55">
        <v>68.400000000000006</v>
      </c>
      <c r="Y152" s="52">
        <v>76.3</v>
      </c>
      <c r="Z152" s="65">
        <v>-1.3262251537963774</v>
      </c>
      <c r="AA152" s="55">
        <v>67.400000000000006</v>
      </c>
      <c r="AB152" s="52">
        <v>68.8</v>
      </c>
      <c r="AC152" s="65">
        <v>-0.24400528310632263</v>
      </c>
      <c r="AD152" s="166"/>
      <c r="AE152" s="98"/>
      <c r="AF152" s="99"/>
      <c r="AG152" s="105"/>
      <c r="AH152" s="98"/>
      <c r="AI152" s="99"/>
      <c r="AJ152" s="105"/>
      <c r="AK152" s="98"/>
      <c r="AL152" s="99"/>
      <c r="AM152" s="105"/>
      <c r="AN152" s="98"/>
      <c r="AO152" s="99"/>
      <c r="AP152" s="105"/>
      <c r="AQ152" s="98"/>
      <c r="AR152" s="99"/>
    </row>
    <row r="153" spans="2:44" outlineLevel="1">
      <c r="B153" s="20" t="str">
        <f t="shared" si="31"/>
        <v>CE YEDL</v>
      </c>
      <c r="C153" s="486">
        <v>0</v>
      </c>
      <c r="D153" s="487">
        <v>0</v>
      </c>
      <c r="E153" s="103"/>
      <c r="F153" s="163">
        <v>74.430000000000007</v>
      </c>
      <c r="G153" s="64">
        <v>68.325299436259812</v>
      </c>
      <c r="H153" s="56">
        <v>0</v>
      </c>
      <c r="I153" s="163">
        <v>74.430000000000007</v>
      </c>
      <c r="J153" s="64">
        <v>73.875387877546046</v>
      </c>
      <c r="K153" s="56">
        <v>0</v>
      </c>
      <c r="L153" s="163">
        <v>66.69</v>
      </c>
      <c r="M153" s="64">
        <v>71.409222163935013</v>
      </c>
      <c r="N153" s="56">
        <v>-0.7870205275928831</v>
      </c>
      <c r="O153" s="55">
        <v>68.5</v>
      </c>
      <c r="P153" s="52">
        <v>67.599999999999994</v>
      </c>
      <c r="Q153" s="65">
        <v>0.16569248337810105</v>
      </c>
      <c r="R153" s="55">
        <v>66.8</v>
      </c>
      <c r="S153" s="52">
        <v>81.7</v>
      </c>
      <c r="T153" s="65">
        <v>-2.979427655051647</v>
      </c>
      <c r="U153" s="55">
        <v>65.099999999999994</v>
      </c>
      <c r="V153" s="52">
        <v>75</v>
      </c>
      <c r="W153" s="65">
        <v>-2.0532615705915256</v>
      </c>
      <c r="X153" s="55">
        <v>63.4</v>
      </c>
      <c r="Y153" s="52">
        <v>73</v>
      </c>
      <c r="Z153" s="65">
        <v>-2.1871922970385129</v>
      </c>
      <c r="AA153" s="55">
        <v>61.7</v>
      </c>
      <c r="AB153" s="52">
        <v>63.5</v>
      </c>
      <c r="AC153" s="65">
        <v>-0.44817296897079867</v>
      </c>
      <c r="AD153" s="166"/>
      <c r="AE153" s="98"/>
      <c r="AF153" s="99"/>
      <c r="AG153" s="105"/>
      <c r="AH153" s="98"/>
      <c r="AI153" s="99"/>
      <c r="AJ153" s="105"/>
      <c r="AK153" s="98"/>
      <c r="AL153" s="99"/>
      <c r="AM153" s="105"/>
      <c r="AN153" s="98"/>
      <c r="AO153" s="99"/>
      <c r="AP153" s="105"/>
      <c r="AQ153" s="98"/>
      <c r="AR153" s="99"/>
    </row>
    <row r="154" spans="2:44" outlineLevel="1">
      <c r="B154" s="20" t="str">
        <f t="shared" si="31"/>
        <v>WPD S Wales</v>
      </c>
      <c r="C154" s="486">
        <v>0</v>
      </c>
      <c r="D154" s="487">
        <v>0</v>
      </c>
      <c r="E154" s="103"/>
      <c r="F154" s="163">
        <v>129.19999999999999</v>
      </c>
      <c r="G154" s="64">
        <v>87.649505035052968</v>
      </c>
      <c r="H154" s="56">
        <v>0</v>
      </c>
      <c r="I154" s="163">
        <v>129.19999999999999</v>
      </c>
      <c r="J154" s="64">
        <v>76.420249059962629</v>
      </c>
      <c r="K154" s="56">
        <v>0</v>
      </c>
      <c r="L154" s="163">
        <v>129.19999999999999</v>
      </c>
      <c r="M154" s="64">
        <v>56.552292424438257</v>
      </c>
      <c r="N154" s="56">
        <v>0</v>
      </c>
      <c r="O154" s="55">
        <v>72.2</v>
      </c>
      <c r="P154" s="52">
        <v>42.2</v>
      </c>
      <c r="Q154" s="65">
        <v>2.7954000000000003</v>
      </c>
      <c r="R154" s="55">
        <v>72.2</v>
      </c>
      <c r="S154" s="52">
        <v>47.6</v>
      </c>
      <c r="T154" s="65">
        <v>2.8523198700000001</v>
      </c>
      <c r="U154" s="55">
        <v>72.2</v>
      </c>
      <c r="V154" s="52">
        <v>41.9</v>
      </c>
      <c r="W154" s="65">
        <v>2.9631421440000003</v>
      </c>
      <c r="X154" s="55">
        <v>72.2</v>
      </c>
      <c r="Y154" s="52">
        <v>36.799999999999997</v>
      </c>
      <c r="Z154" s="65">
        <v>3.1155022440000004</v>
      </c>
      <c r="AA154" s="55">
        <v>72.2</v>
      </c>
      <c r="AB154" s="52">
        <v>32.799999999999997</v>
      </c>
      <c r="AC154" s="65">
        <v>3.1955135220000002</v>
      </c>
      <c r="AD154" s="166"/>
      <c r="AE154" s="98"/>
      <c r="AF154" s="99"/>
      <c r="AG154" s="105"/>
      <c r="AH154" s="98"/>
      <c r="AI154" s="99"/>
      <c r="AJ154" s="105"/>
      <c r="AK154" s="98"/>
      <c r="AL154" s="99"/>
      <c r="AM154" s="105"/>
      <c r="AN154" s="98"/>
      <c r="AO154" s="99"/>
      <c r="AP154" s="105"/>
      <c r="AQ154" s="98"/>
      <c r="AR154" s="99"/>
    </row>
    <row r="155" spans="2:44" outlineLevel="1">
      <c r="B155" s="20" t="str">
        <f t="shared" si="31"/>
        <v>WPD S West</v>
      </c>
      <c r="C155" s="486">
        <v>0</v>
      </c>
      <c r="D155" s="487">
        <v>0</v>
      </c>
      <c r="E155" s="103"/>
      <c r="F155" s="163">
        <v>84.54</v>
      </c>
      <c r="G155" s="64">
        <v>64.571141964211648</v>
      </c>
      <c r="H155" s="56">
        <v>0</v>
      </c>
      <c r="I155" s="163">
        <v>84.54</v>
      </c>
      <c r="J155" s="64">
        <v>56.58501934092245</v>
      </c>
      <c r="K155" s="56">
        <v>0</v>
      </c>
      <c r="L155" s="163">
        <v>62.6</v>
      </c>
      <c r="M155" s="64">
        <v>50.122119569791685</v>
      </c>
      <c r="N155" s="56">
        <v>0</v>
      </c>
      <c r="O155" s="55">
        <v>62.2</v>
      </c>
      <c r="P155" s="52">
        <v>43.5</v>
      </c>
      <c r="Q155" s="65">
        <v>3.4236</v>
      </c>
      <c r="R155" s="55">
        <v>62.2</v>
      </c>
      <c r="S155" s="52">
        <v>50.1</v>
      </c>
      <c r="T155" s="65">
        <v>2.2851165870399841</v>
      </c>
      <c r="U155" s="55">
        <v>62.2</v>
      </c>
      <c r="V155" s="52">
        <v>50</v>
      </c>
      <c r="W155" s="65">
        <v>2.3897107168388461</v>
      </c>
      <c r="X155" s="55">
        <v>62.2</v>
      </c>
      <c r="Y155" s="52">
        <v>43.9</v>
      </c>
      <c r="Z155" s="65">
        <v>3.7809185580000002</v>
      </c>
      <c r="AA155" s="55">
        <v>62.2</v>
      </c>
      <c r="AB155" s="52">
        <v>37.799999999999997</v>
      </c>
      <c r="AC155" s="65">
        <v>3.9126755340000003</v>
      </c>
      <c r="AD155" s="166"/>
      <c r="AE155" s="98"/>
      <c r="AF155" s="99"/>
      <c r="AG155" s="105"/>
      <c r="AH155" s="98"/>
      <c r="AI155" s="99"/>
      <c r="AJ155" s="105"/>
      <c r="AK155" s="98"/>
      <c r="AL155" s="99"/>
      <c r="AM155" s="105"/>
      <c r="AN155" s="98"/>
      <c r="AO155" s="99"/>
      <c r="AP155" s="105"/>
      <c r="AQ155" s="98"/>
      <c r="AR155" s="99"/>
    </row>
    <row r="156" spans="2:44" outlineLevel="1">
      <c r="B156" s="20" t="str">
        <f t="shared" si="31"/>
        <v>UKPN LPN</v>
      </c>
      <c r="C156" s="486">
        <v>0</v>
      </c>
      <c r="D156" s="487">
        <v>0</v>
      </c>
      <c r="E156" s="103"/>
      <c r="F156" s="163">
        <v>45.03</v>
      </c>
      <c r="G156" s="64">
        <v>43.167843468882076</v>
      </c>
      <c r="H156" s="56">
        <v>0</v>
      </c>
      <c r="I156" s="163">
        <v>45.03</v>
      </c>
      <c r="J156" s="64">
        <v>39.487535473068853</v>
      </c>
      <c r="K156" s="56">
        <v>0</v>
      </c>
      <c r="L156" s="163">
        <v>45.03</v>
      </c>
      <c r="M156" s="64">
        <v>37.862795306926827</v>
      </c>
      <c r="N156" s="56">
        <v>0</v>
      </c>
      <c r="O156" s="55">
        <v>40.200000000000003</v>
      </c>
      <c r="P156" s="52">
        <v>34.4</v>
      </c>
      <c r="Q156" s="65">
        <v>2.0727804783378017</v>
      </c>
      <c r="R156" s="55">
        <v>40.1</v>
      </c>
      <c r="S156" s="52">
        <v>43</v>
      </c>
      <c r="T156" s="65">
        <v>-1.0631291073394573</v>
      </c>
      <c r="U156" s="55">
        <v>40.1</v>
      </c>
      <c r="V156" s="52">
        <v>42.6</v>
      </c>
      <c r="W156" s="65">
        <v>-0.97938963804870705</v>
      </c>
      <c r="X156" s="55">
        <v>40.1</v>
      </c>
      <c r="Y156" s="52">
        <v>44.2</v>
      </c>
      <c r="Z156" s="65">
        <v>-1.7207351679003653</v>
      </c>
      <c r="AA156" s="55">
        <v>40</v>
      </c>
      <c r="AB156" s="52">
        <v>47.5</v>
      </c>
      <c r="AC156" s="65">
        <v>-3.2679278987454121</v>
      </c>
      <c r="AD156" s="166"/>
      <c r="AE156" s="98"/>
      <c r="AF156" s="99"/>
      <c r="AG156" s="105"/>
      <c r="AH156" s="98"/>
      <c r="AI156" s="99"/>
      <c r="AJ156" s="105"/>
      <c r="AK156" s="98"/>
      <c r="AL156" s="99"/>
      <c r="AM156" s="105"/>
      <c r="AN156" s="98"/>
      <c r="AO156" s="99"/>
      <c r="AP156" s="105"/>
      <c r="AQ156" s="98"/>
      <c r="AR156" s="99"/>
    </row>
    <row r="157" spans="2:44" outlineLevel="1">
      <c r="B157" s="20" t="str">
        <f t="shared" si="31"/>
        <v>UKPN SEPN</v>
      </c>
      <c r="C157" s="486">
        <v>0</v>
      </c>
      <c r="D157" s="487">
        <v>0</v>
      </c>
      <c r="E157" s="103"/>
      <c r="F157" s="163">
        <v>96.65</v>
      </c>
      <c r="G157" s="64">
        <v>81.245245284999854</v>
      </c>
      <c r="H157" s="65">
        <v>0</v>
      </c>
      <c r="I157" s="163">
        <v>96.65</v>
      </c>
      <c r="J157" s="64">
        <v>90.037524425580912</v>
      </c>
      <c r="K157" s="65">
        <v>0</v>
      </c>
      <c r="L157" s="163">
        <v>85.17</v>
      </c>
      <c r="M157" s="64">
        <v>84.017042162075143</v>
      </c>
      <c r="N157" s="65">
        <v>0</v>
      </c>
      <c r="O157" s="55">
        <v>81.400000000000006</v>
      </c>
      <c r="P157" s="52">
        <v>72.5</v>
      </c>
      <c r="Q157" s="65">
        <v>1.1565985114236008</v>
      </c>
      <c r="R157" s="55">
        <v>77</v>
      </c>
      <c r="S157" s="52">
        <v>88.7</v>
      </c>
      <c r="T157" s="65">
        <v>-1.6896754151131823</v>
      </c>
      <c r="U157" s="55">
        <v>72.599999999999994</v>
      </c>
      <c r="V157" s="52">
        <v>102.6</v>
      </c>
      <c r="W157" s="65">
        <v>-3.4504070939999996</v>
      </c>
      <c r="X157" s="55">
        <v>68.2</v>
      </c>
      <c r="Y157" s="52">
        <v>99.8</v>
      </c>
      <c r="Z157" s="65">
        <v>-3.6986413679999997</v>
      </c>
      <c r="AA157" s="55">
        <v>63.8</v>
      </c>
      <c r="AB157" s="52">
        <v>91.2</v>
      </c>
      <c r="AC157" s="65">
        <v>-3.9022009020000001</v>
      </c>
      <c r="AD157" s="166"/>
      <c r="AE157" s="98"/>
      <c r="AF157" s="99"/>
      <c r="AG157" s="105"/>
      <c r="AH157" s="98"/>
      <c r="AI157" s="99"/>
      <c r="AJ157" s="105"/>
      <c r="AK157" s="98"/>
      <c r="AL157" s="99"/>
      <c r="AM157" s="105"/>
      <c r="AN157" s="98"/>
      <c r="AO157" s="99"/>
      <c r="AP157" s="105"/>
      <c r="AQ157" s="98"/>
      <c r="AR157" s="99"/>
    </row>
    <row r="158" spans="2:44" outlineLevel="1">
      <c r="B158" s="20" t="str">
        <f t="shared" si="31"/>
        <v>UKPN EPN</v>
      </c>
      <c r="C158" s="486">
        <v>0</v>
      </c>
      <c r="D158" s="487">
        <v>0</v>
      </c>
      <c r="E158" s="103"/>
      <c r="F158" s="163">
        <v>82.31</v>
      </c>
      <c r="G158" s="64">
        <v>101.62151397515989</v>
      </c>
      <c r="H158" s="56">
        <v>0</v>
      </c>
      <c r="I158" s="163">
        <v>82.31</v>
      </c>
      <c r="J158" s="64">
        <v>76.513936426251661</v>
      </c>
      <c r="K158" s="56">
        <v>0</v>
      </c>
      <c r="L158" s="163">
        <v>82.31</v>
      </c>
      <c r="M158" s="64">
        <v>65.494587309835154</v>
      </c>
      <c r="N158" s="56">
        <v>0</v>
      </c>
      <c r="O158" s="55">
        <v>73.7</v>
      </c>
      <c r="P158" s="52">
        <v>57.2</v>
      </c>
      <c r="Q158" s="65">
        <v>4.1098233622215004</v>
      </c>
      <c r="R158" s="55">
        <v>72.2</v>
      </c>
      <c r="S158" s="52">
        <v>68.400000000000006</v>
      </c>
      <c r="T158" s="65">
        <v>1.0131387104426171</v>
      </c>
      <c r="U158" s="55">
        <v>70.599999999999994</v>
      </c>
      <c r="V158" s="52">
        <v>73.8</v>
      </c>
      <c r="W158" s="65">
        <v>-0.92177848286937214</v>
      </c>
      <c r="X158" s="55">
        <v>69.099999999999994</v>
      </c>
      <c r="Y158" s="52">
        <v>88.3</v>
      </c>
      <c r="Z158" s="65">
        <v>-5.7557692027329281</v>
      </c>
      <c r="AA158" s="55">
        <v>67.599999999999994</v>
      </c>
      <c r="AB158" s="52">
        <v>88.2</v>
      </c>
      <c r="AC158" s="65">
        <v>-6.3169726860000006</v>
      </c>
      <c r="AD158" s="166"/>
      <c r="AE158" s="98"/>
      <c r="AF158" s="99"/>
      <c r="AG158" s="105"/>
      <c r="AH158" s="98"/>
      <c r="AI158" s="99"/>
      <c r="AJ158" s="105"/>
      <c r="AK158" s="98"/>
      <c r="AL158" s="99"/>
      <c r="AM158" s="105"/>
      <c r="AN158" s="98"/>
      <c r="AO158" s="99"/>
      <c r="AP158" s="105"/>
      <c r="AQ158" s="98"/>
      <c r="AR158" s="99"/>
    </row>
    <row r="159" spans="2:44" outlineLevel="1">
      <c r="B159" s="20" t="str">
        <f t="shared" si="31"/>
        <v>SP Distribution</v>
      </c>
      <c r="C159" s="486">
        <v>0</v>
      </c>
      <c r="D159" s="487">
        <v>0</v>
      </c>
      <c r="E159" s="103"/>
      <c r="F159" s="163">
        <v>87.7</v>
      </c>
      <c r="G159" s="64">
        <v>74.131652206827582</v>
      </c>
      <c r="H159" s="56">
        <v>0</v>
      </c>
      <c r="I159" s="163">
        <v>87.7</v>
      </c>
      <c r="J159" s="64">
        <v>76.404020046103497</v>
      </c>
      <c r="K159" s="56">
        <v>0</v>
      </c>
      <c r="L159" s="163">
        <v>87.7</v>
      </c>
      <c r="M159" s="64">
        <v>74.889789516662702</v>
      </c>
      <c r="N159" s="56">
        <v>0</v>
      </c>
      <c r="O159" s="55">
        <v>64.900000000000006</v>
      </c>
      <c r="P159" s="52">
        <v>66.599999999999994</v>
      </c>
      <c r="Q159" s="65">
        <v>-0.49707745013429666</v>
      </c>
      <c r="R159" s="55">
        <v>61.2</v>
      </c>
      <c r="S159" s="52">
        <v>77.5</v>
      </c>
      <c r="T159" s="65">
        <v>-5.0701371430483642</v>
      </c>
      <c r="U159" s="55">
        <v>57.6</v>
      </c>
      <c r="V159" s="52">
        <v>60.6</v>
      </c>
      <c r="W159" s="65">
        <v>-1.0370007932280425</v>
      </c>
      <c r="X159" s="55">
        <v>54</v>
      </c>
      <c r="Y159" s="52">
        <v>48.5</v>
      </c>
      <c r="Z159" s="65">
        <v>2.1764002297833884</v>
      </c>
      <c r="AA159" s="55">
        <v>50.4</v>
      </c>
      <c r="AB159" s="52">
        <v>51</v>
      </c>
      <c r="AC159" s="65">
        <v>-0.26143423189963361</v>
      </c>
      <c r="AD159" s="166"/>
      <c r="AE159" s="98"/>
      <c r="AF159" s="99"/>
      <c r="AG159" s="105"/>
      <c r="AH159" s="98"/>
      <c r="AI159" s="99"/>
      <c r="AJ159" s="105"/>
      <c r="AK159" s="98"/>
      <c r="AL159" s="99"/>
      <c r="AM159" s="105"/>
      <c r="AN159" s="98"/>
      <c r="AO159" s="99"/>
      <c r="AP159" s="105"/>
      <c r="AQ159" s="98"/>
      <c r="AR159" s="99"/>
    </row>
    <row r="160" spans="2:44" outlineLevel="1">
      <c r="B160" s="20" t="str">
        <f t="shared" si="31"/>
        <v>SP Manweb</v>
      </c>
      <c r="C160" s="486">
        <v>0</v>
      </c>
      <c r="D160" s="487">
        <v>0</v>
      </c>
      <c r="E160" s="103"/>
      <c r="F160" s="163">
        <v>65.8</v>
      </c>
      <c r="G160" s="64">
        <v>56.387049258652141</v>
      </c>
      <c r="H160" s="56">
        <v>0</v>
      </c>
      <c r="I160" s="163">
        <v>65.8</v>
      </c>
      <c r="J160" s="64">
        <v>64.30807344716257</v>
      </c>
      <c r="K160" s="56">
        <v>0</v>
      </c>
      <c r="L160" s="163">
        <v>65.8</v>
      </c>
      <c r="M160" s="64">
        <v>65.211669530065706</v>
      </c>
      <c r="N160" s="56">
        <v>0</v>
      </c>
      <c r="O160" s="55">
        <v>51.8</v>
      </c>
      <c r="P160" s="52">
        <v>57.4</v>
      </c>
      <c r="Q160" s="65">
        <v>-1.2129122966240002</v>
      </c>
      <c r="R160" s="55">
        <v>49.9</v>
      </c>
      <c r="S160" s="52">
        <v>62.7</v>
      </c>
      <c r="T160" s="65">
        <v>-2.9860930413045588</v>
      </c>
      <c r="U160" s="55">
        <v>48</v>
      </c>
      <c r="V160" s="52">
        <v>54.7</v>
      </c>
      <c r="W160" s="65">
        <v>-1.6983768546868172</v>
      </c>
      <c r="X160" s="55">
        <v>46.1</v>
      </c>
      <c r="Y160" s="52">
        <v>54.8</v>
      </c>
      <c r="Z160" s="65">
        <v>-2.399436286389288</v>
      </c>
      <c r="AA160" s="746">
        <v>44.2</v>
      </c>
      <c r="AB160" s="52">
        <v>44.4</v>
      </c>
      <c r="AC160" s="65">
        <v>-5.9756395862771976E-2</v>
      </c>
      <c r="AD160" s="166"/>
      <c r="AE160" s="98"/>
      <c r="AF160" s="99"/>
      <c r="AG160" s="105"/>
      <c r="AH160" s="98"/>
      <c r="AI160" s="99"/>
      <c r="AJ160" s="105"/>
      <c r="AK160" s="98"/>
      <c r="AL160" s="99"/>
      <c r="AM160" s="105"/>
      <c r="AN160" s="98"/>
      <c r="AO160" s="99"/>
      <c r="AP160" s="105"/>
      <c r="AQ160" s="98"/>
      <c r="AR160" s="99"/>
    </row>
    <row r="161" spans="2:44" outlineLevel="1">
      <c r="B161" s="20" t="str">
        <f t="shared" si="31"/>
        <v>SSE Hydro</v>
      </c>
      <c r="C161" s="486">
        <v>0</v>
      </c>
      <c r="D161" s="487">
        <v>0</v>
      </c>
      <c r="E161" s="103"/>
      <c r="F161" s="163">
        <v>195.8</v>
      </c>
      <c r="G161" s="64">
        <v>87.215175183615514</v>
      </c>
      <c r="H161" s="56">
        <v>0</v>
      </c>
      <c r="I161" s="163">
        <v>195.8</v>
      </c>
      <c r="J161" s="64">
        <v>84.143600409672345</v>
      </c>
      <c r="K161" s="56">
        <v>0</v>
      </c>
      <c r="L161" s="163">
        <v>195.8</v>
      </c>
      <c r="M161" s="64">
        <v>81.948953051405979</v>
      </c>
      <c r="N161" s="56">
        <v>0</v>
      </c>
      <c r="O161" s="55">
        <v>95.9</v>
      </c>
      <c r="P161" s="52">
        <v>64.400000000000006</v>
      </c>
      <c r="Q161" s="65">
        <v>3.258</v>
      </c>
      <c r="R161" s="55">
        <v>94.9</v>
      </c>
      <c r="S161" s="52">
        <v>76.8</v>
      </c>
      <c r="T161" s="65">
        <v>2.211797338257953</v>
      </c>
      <c r="U161" s="55">
        <v>93.9</v>
      </c>
      <c r="V161" s="52">
        <v>71.599999999999994</v>
      </c>
      <c r="W161" s="65">
        <v>2.8264032730982112</v>
      </c>
      <c r="X161" s="55">
        <v>93</v>
      </c>
      <c r="Y161" s="52">
        <v>75.099999999999994</v>
      </c>
      <c r="Z161" s="65">
        <v>2.3610644917044037</v>
      </c>
      <c r="AA161" s="55">
        <v>92</v>
      </c>
      <c r="AB161" s="52">
        <v>74.3</v>
      </c>
      <c r="AC161" s="65">
        <v>2.4238688071837404</v>
      </c>
      <c r="AD161" s="166"/>
      <c r="AE161" s="98"/>
      <c r="AF161" s="99"/>
      <c r="AG161" s="105"/>
      <c r="AH161" s="98"/>
      <c r="AI161" s="99"/>
      <c r="AJ161" s="105"/>
      <c r="AK161" s="98"/>
      <c r="AL161" s="99"/>
      <c r="AM161" s="105"/>
      <c r="AN161" s="98"/>
      <c r="AO161" s="99"/>
      <c r="AP161" s="105"/>
      <c r="AQ161" s="98"/>
      <c r="AR161" s="99"/>
    </row>
    <row r="162" spans="2:44" outlineLevel="1">
      <c r="B162" s="20" t="str">
        <f t="shared" si="31"/>
        <v>SSE Southern</v>
      </c>
      <c r="C162" s="486">
        <v>0</v>
      </c>
      <c r="D162" s="487">
        <v>0</v>
      </c>
      <c r="E162" s="103"/>
      <c r="F162" s="163">
        <v>100.58</v>
      </c>
      <c r="G162" s="64">
        <v>82.996311614531322</v>
      </c>
      <c r="H162" s="56">
        <v>0</v>
      </c>
      <c r="I162" s="163">
        <v>100.58</v>
      </c>
      <c r="J162" s="64">
        <v>81.046455843508127</v>
      </c>
      <c r="K162" s="56">
        <v>0</v>
      </c>
      <c r="L162" s="163">
        <v>100.58</v>
      </c>
      <c r="M162" s="64">
        <v>77.535145551423227</v>
      </c>
      <c r="N162" s="56">
        <v>0</v>
      </c>
      <c r="O162" s="55">
        <v>82</v>
      </c>
      <c r="P162" s="52">
        <v>71.3</v>
      </c>
      <c r="Q162" s="65">
        <v>2.7810346229736003</v>
      </c>
      <c r="R162" s="55">
        <v>80.5</v>
      </c>
      <c r="S162" s="52">
        <v>70.900000000000006</v>
      </c>
      <c r="T162" s="65">
        <v>2.6661545011647823</v>
      </c>
      <c r="U162" s="55">
        <v>78.900000000000006</v>
      </c>
      <c r="V162" s="52">
        <v>66.2</v>
      </c>
      <c r="W162" s="65">
        <v>3.8046406880433312</v>
      </c>
      <c r="X162" s="55">
        <v>77.400000000000006</v>
      </c>
      <c r="Y162" s="52">
        <v>65.599999999999994</v>
      </c>
      <c r="Z162" s="65">
        <v>3.8203918083139849</v>
      </c>
      <c r="AA162" s="55">
        <v>75.8</v>
      </c>
      <c r="AB162" s="52">
        <v>64.5</v>
      </c>
      <c r="AC162" s="65">
        <v>3.9389424272878029</v>
      </c>
      <c r="AD162" s="166"/>
      <c r="AE162" s="98"/>
      <c r="AF162" s="99"/>
      <c r="AG162" s="105"/>
      <c r="AH162" s="98"/>
      <c r="AI162" s="99"/>
      <c r="AJ162" s="105"/>
      <c r="AK162" s="98"/>
      <c r="AL162" s="99"/>
      <c r="AM162" s="105"/>
      <c r="AN162" s="98"/>
      <c r="AO162" s="99"/>
      <c r="AP162" s="105"/>
      <c r="AQ162" s="98"/>
      <c r="AR162" s="99"/>
    </row>
    <row r="163" spans="2:44" outlineLevel="1">
      <c r="B163" s="185" t="s">
        <v>78</v>
      </c>
      <c r="C163" s="488"/>
      <c r="D163" s="489"/>
      <c r="E163" s="123"/>
      <c r="F163" s="121"/>
      <c r="G163" s="122"/>
      <c r="H163" s="186">
        <f>SUM(H149:H162)</f>
        <v>-4.248008124233521E-2</v>
      </c>
      <c r="I163" s="187"/>
      <c r="J163" s="189"/>
      <c r="K163" s="186">
        <f>SUM(K149:K162)</f>
        <v>0</v>
      </c>
      <c r="L163" s="187"/>
      <c r="M163" s="189"/>
      <c r="N163" s="186">
        <f>SUM(N149:N162)</f>
        <v>-1.2560783850333799</v>
      </c>
      <c r="O163" s="187"/>
      <c r="P163" s="189"/>
      <c r="Q163" s="186">
        <f>SUM(Q149:Q162)</f>
        <v>28.199167664317606</v>
      </c>
      <c r="R163" s="187"/>
      <c r="S163" s="189"/>
      <c r="T163" s="186">
        <f>SUM(T149:T162)</f>
        <v>-6.6825151647905594</v>
      </c>
      <c r="U163" s="187"/>
      <c r="V163" s="189"/>
      <c r="W163" s="186">
        <f>SUM(W149:W162)</f>
        <v>3.3819002318441882</v>
      </c>
      <c r="X163" s="187"/>
      <c r="Y163" s="189"/>
      <c r="Z163" s="186">
        <f>SUM(Z149:Z162)</f>
        <v>4.4544557099300324</v>
      </c>
      <c r="AA163" s="187"/>
      <c r="AB163" s="189"/>
      <c r="AC163" s="186">
        <f>SUM(AC149:AC162)</f>
        <v>5.3806483050828451</v>
      </c>
      <c r="AD163" s="187"/>
      <c r="AE163" s="189"/>
      <c r="AF163" s="186">
        <f>SUM(AF149:AF162)</f>
        <v>0</v>
      </c>
      <c r="AG163" s="187"/>
      <c r="AH163" s="189"/>
      <c r="AI163" s="188">
        <f>SUM(AI149:AI162)</f>
        <v>0</v>
      </c>
      <c r="AJ163" s="187"/>
      <c r="AK163" s="189"/>
      <c r="AL163" s="186">
        <f>SUM(AL149:AL162)</f>
        <v>0</v>
      </c>
      <c r="AM163" s="187"/>
      <c r="AN163" s="189"/>
      <c r="AO163" s="188">
        <f>SUM(AO149:AO162)</f>
        <v>0</v>
      </c>
      <c r="AP163" s="187"/>
      <c r="AQ163" s="189"/>
      <c r="AR163" s="188">
        <f>SUM(AR149:AR162)</f>
        <v>0</v>
      </c>
    </row>
    <row r="164" spans="2:44" s="152" customFormat="1" ht="13.5" outlineLevel="1" thickBot="1">
      <c r="B164" s="181" t="s">
        <v>66</v>
      </c>
      <c r="C164" s="490">
        <f>AVERAGE(C149:C162)</f>
        <v>0</v>
      </c>
      <c r="D164" s="491">
        <f t="shared" ref="D164:AR164" si="32">AVERAGE(D149:D162)</f>
        <v>0</v>
      </c>
      <c r="E164" s="184" t="e">
        <f t="shared" si="32"/>
        <v>#DIV/0!</v>
      </c>
      <c r="F164" s="190">
        <f t="shared" si="32"/>
        <v>96.098571428571418</v>
      </c>
      <c r="G164" s="191">
        <f t="shared" si="32"/>
        <v>79.20947005125366</v>
      </c>
      <c r="H164" s="192">
        <f t="shared" si="32"/>
        <v>-3.0342915173096579E-3</v>
      </c>
      <c r="I164" s="190">
        <f t="shared" si="32"/>
        <v>96.098571428571418</v>
      </c>
      <c r="J164" s="191">
        <f t="shared" si="32"/>
        <v>74.707336555962939</v>
      </c>
      <c r="K164" s="192">
        <f t="shared" si="32"/>
        <v>0</v>
      </c>
      <c r="L164" s="190">
        <f t="shared" si="32"/>
        <v>90.96571428571427</v>
      </c>
      <c r="M164" s="191">
        <f t="shared" si="32"/>
        <v>68.522073646432418</v>
      </c>
      <c r="N164" s="192">
        <f t="shared" si="32"/>
        <v>-8.9719884645241416E-2</v>
      </c>
      <c r="O164" s="190">
        <f t="shared" si="32"/>
        <v>71.885714285714286</v>
      </c>
      <c r="P164" s="191">
        <f t="shared" si="32"/>
        <v>59.657142857142851</v>
      </c>
      <c r="Q164" s="192">
        <f t="shared" si="32"/>
        <v>2.0142262617369719</v>
      </c>
      <c r="R164" s="190">
        <f t="shared" si="32"/>
        <v>70.05</v>
      </c>
      <c r="S164" s="191">
        <f t="shared" si="32"/>
        <v>71.05714285714285</v>
      </c>
      <c r="T164" s="192">
        <f t="shared" si="32"/>
        <v>-0.47732251177075424</v>
      </c>
      <c r="U164" s="190">
        <f t="shared" si="32"/>
        <v>68.221428571428575</v>
      </c>
      <c r="V164" s="191">
        <f t="shared" si="32"/>
        <v>66.392857142857153</v>
      </c>
      <c r="W164" s="192">
        <f t="shared" si="32"/>
        <v>0.24156430227458486</v>
      </c>
      <c r="X164" s="190">
        <f t="shared" si="32"/>
        <v>66.414285714285725</v>
      </c>
      <c r="Y164" s="191">
        <f t="shared" si="32"/>
        <v>63.914285714285711</v>
      </c>
      <c r="Z164" s="192">
        <f t="shared" si="32"/>
        <v>0.31817540785214515</v>
      </c>
      <c r="AA164" s="190">
        <f t="shared" si="32"/>
        <v>64.585714285714275</v>
      </c>
      <c r="AB164" s="193">
        <f t="shared" si="32"/>
        <v>60.48571428571428</v>
      </c>
      <c r="AC164" s="194">
        <f t="shared" si="32"/>
        <v>0.38433202179163178</v>
      </c>
      <c r="AD164" s="190" t="e">
        <f t="shared" si="32"/>
        <v>#DIV/0!</v>
      </c>
      <c r="AE164" s="191" t="e">
        <f t="shared" si="32"/>
        <v>#DIV/0!</v>
      </c>
      <c r="AF164" s="192" t="e">
        <f t="shared" si="32"/>
        <v>#DIV/0!</v>
      </c>
      <c r="AG164" s="190" t="e">
        <f t="shared" si="32"/>
        <v>#DIV/0!</v>
      </c>
      <c r="AH164" s="193" t="e">
        <f t="shared" si="32"/>
        <v>#DIV/0!</v>
      </c>
      <c r="AI164" s="194" t="e">
        <f t="shared" si="32"/>
        <v>#DIV/0!</v>
      </c>
      <c r="AJ164" s="190" t="e">
        <f t="shared" si="32"/>
        <v>#DIV/0!</v>
      </c>
      <c r="AK164" s="191" t="e">
        <f t="shared" si="32"/>
        <v>#DIV/0!</v>
      </c>
      <c r="AL164" s="192" t="e">
        <f t="shared" si="32"/>
        <v>#DIV/0!</v>
      </c>
      <c r="AM164" s="190" t="e">
        <f t="shared" si="32"/>
        <v>#DIV/0!</v>
      </c>
      <c r="AN164" s="193" t="e">
        <f t="shared" si="32"/>
        <v>#DIV/0!</v>
      </c>
      <c r="AO164" s="194" t="e">
        <f t="shared" si="32"/>
        <v>#DIV/0!</v>
      </c>
      <c r="AP164" s="190" t="e">
        <f t="shared" si="32"/>
        <v>#DIV/0!</v>
      </c>
      <c r="AQ164" s="191" t="e">
        <f t="shared" si="32"/>
        <v>#DIV/0!</v>
      </c>
      <c r="AR164" s="192" t="e">
        <f t="shared" si="32"/>
        <v>#DIV/0!</v>
      </c>
    </row>
    <row r="165" spans="2:44" outlineLevel="1">
      <c r="B165" s="155"/>
    </row>
    <row r="167" spans="2:44">
      <c r="B167" s="643" t="s">
        <v>173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1"/>
      <c r="Y167" s="11"/>
      <c r="Z167" s="11"/>
    </row>
    <row r="168" spans="2:44" hidden="1" outlineLevel="1">
      <c r="B168" s="770" t="s">
        <v>19</v>
      </c>
      <c r="C168" s="767" t="str">
        <f>C126</f>
        <v>2001-02</v>
      </c>
      <c r="D168" s="768"/>
      <c r="E168" s="768"/>
      <c r="F168" s="767" t="str">
        <f t="shared" ref="F168" si="33">F126</f>
        <v>2002-03</v>
      </c>
      <c r="G168" s="768"/>
      <c r="H168" s="768"/>
      <c r="I168" s="767" t="str">
        <f t="shared" ref="I168" si="34">I126</f>
        <v>2003-04</v>
      </c>
      <c r="J168" s="768"/>
      <c r="K168" s="768"/>
      <c r="L168" s="767" t="str">
        <f t="shared" ref="L168" si="35">L126</f>
        <v>2004-05</v>
      </c>
      <c r="M168" s="768"/>
      <c r="N168" s="768"/>
      <c r="O168" s="767" t="str">
        <f t="shared" ref="O168" si="36">O126</f>
        <v>2005-06</v>
      </c>
      <c r="P168" s="768"/>
      <c r="Q168" s="768"/>
      <c r="R168" s="767" t="str">
        <f t="shared" ref="R168" si="37">R126</f>
        <v>2006-07</v>
      </c>
      <c r="S168" s="768"/>
      <c r="T168" s="768"/>
      <c r="U168" s="767" t="str">
        <f t="shared" ref="U168" si="38">U126</f>
        <v>2007-08</v>
      </c>
      <c r="V168" s="768"/>
      <c r="W168" s="768"/>
      <c r="X168" s="767" t="str">
        <f t="shared" ref="X168" si="39">X126</f>
        <v>2008-09</v>
      </c>
      <c r="Y168" s="768"/>
      <c r="Z168" s="768"/>
      <c r="AA168" s="767" t="str">
        <f t="shared" ref="AA168" si="40">AA126</f>
        <v>2009-10</v>
      </c>
      <c r="AB168" s="768"/>
      <c r="AC168" s="768"/>
      <c r="AD168" s="767" t="str">
        <f t="shared" ref="AD168" si="41">AD126</f>
        <v>2010-11</v>
      </c>
      <c r="AE168" s="768"/>
      <c r="AF168" s="768"/>
      <c r="AG168" s="767" t="str">
        <f t="shared" ref="AG168" si="42">AG126</f>
        <v>2011-12</v>
      </c>
      <c r="AH168" s="768"/>
      <c r="AI168" s="768"/>
      <c r="AJ168" s="767" t="str">
        <f t="shared" ref="AJ168" si="43">AJ126</f>
        <v>2012-13</v>
      </c>
      <c r="AK168" s="768"/>
      <c r="AL168" s="768"/>
      <c r="AM168" s="767" t="str">
        <f t="shared" ref="AM168" si="44">AM126</f>
        <v>2013-14</v>
      </c>
      <c r="AN168" s="768"/>
      <c r="AO168" s="768"/>
      <c r="AP168" s="767" t="str">
        <f t="shared" ref="AP168" si="45">AP126</f>
        <v>2014-15</v>
      </c>
      <c r="AQ168" s="768"/>
      <c r="AR168" s="769"/>
    </row>
    <row r="169" spans="2:44" ht="13.5" hidden="1" outlineLevel="1" thickBot="1">
      <c r="B169" s="771"/>
      <c r="C169" s="102" t="s">
        <v>67</v>
      </c>
      <c r="D169" s="106" t="s">
        <v>68</v>
      </c>
      <c r="E169" s="159" t="s">
        <v>69</v>
      </c>
      <c r="F169" s="102" t="s">
        <v>67</v>
      </c>
      <c r="G169" s="106" t="s">
        <v>68</v>
      </c>
      <c r="H169" s="107" t="s">
        <v>69</v>
      </c>
      <c r="I169" s="102" t="s">
        <v>67</v>
      </c>
      <c r="J169" s="106" t="s">
        <v>68</v>
      </c>
      <c r="K169" s="107" t="s">
        <v>69</v>
      </c>
      <c r="L169" s="102" t="s">
        <v>67</v>
      </c>
      <c r="M169" s="106" t="s">
        <v>68</v>
      </c>
      <c r="N169" s="107" t="s">
        <v>69</v>
      </c>
      <c r="O169" s="102" t="s">
        <v>67</v>
      </c>
      <c r="P169" s="106" t="s">
        <v>68</v>
      </c>
      <c r="Q169" s="107" t="s">
        <v>69</v>
      </c>
      <c r="R169" s="102" t="s">
        <v>67</v>
      </c>
      <c r="S169" s="106" t="s">
        <v>68</v>
      </c>
      <c r="T169" s="107" t="s">
        <v>69</v>
      </c>
      <c r="U169" s="102" t="s">
        <v>67</v>
      </c>
      <c r="V169" s="106" t="s">
        <v>68</v>
      </c>
      <c r="W169" s="107" t="s">
        <v>69</v>
      </c>
      <c r="X169" s="102" t="s">
        <v>67</v>
      </c>
      <c r="Y169" s="106" t="s">
        <v>68</v>
      </c>
      <c r="Z169" s="107" t="s">
        <v>69</v>
      </c>
      <c r="AA169" s="102" t="s">
        <v>67</v>
      </c>
      <c r="AB169" s="106" t="s">
        <v>68</v>
      </c>
      <c r="AC169" s="107" t="s">
        <v>69</v>
      </c>
      <c r="AD169" s="160" t="s">
        <v>67</v>
      </c>
      <c r="AE169" s="106" t="s">
        <v>68</v>
      </c>
      <c r="AF169" s="107" t="s">
        <v>69</v>
      </c>
      <c r="AG169" s="102" t="s">
        <v>67</v>
      </c>
      <c r="AH169" s="106" t="s">
        <v>68</v>
      </c>
      <c r="AI169" s="107" t="s">
        <v>69</v>
      </c>
      <c r="AJ169" s="102" t="s">
        <v>67</v>
      </c>
      <c r="AK169" s="106" t="s">
        <v>68</v>
      </c>
      <c r="AL169" s="107" t="s">
        <v>69</v>
      </c>
      <c r="AM169" s="102" t="s">
        <v>67</v>
      </c>
      <c r="AN169" s="106" t="s">
        <v>68</v>
      </c>
      <c r="AO169" s="107" t="s">
        <v>69</v>
      </c>
      <c r="AP169" s="102" t="s">
        <v>67</v>
      </c>
      <c r="AQ169" s="106" t="s">
        <v>68</v>
      </c>
      <c r="AR169" s="107" t="s">
        <v>69</v>
      </c>
    </row>
    <row r="170" spans="2:44" ht="13.5" hidden="1" outlineLevel="1" thickTop="1">
      <c r="B170" s="20" t="str">
        <f>B128</f>
        <v>CN West</v>
      </c>
      <c r="C170" s="115"/>
      <c r="D170" s="116"/>
      <c r="E170" s="117"/>
      <c r="F170" s="161"/>
      <c r="G170" s="157"/>
      <c r="H170" s="162"/>
      <c r="I170" s="161"/>
      <c r="J170" s="157"/>
      <c r="K170" s="162"/>
      <c r="L170" s="161"/>
      <c r="M170" s="157"/>
      <c r="N170" s="162"/>
      <c r="O170" s="161"/>
      <c r="P170" s="158"/>
      <c r="Q170" s="162"/>
      <c r="R170" s="161"/>
      <c r="S170" s="158"/>
      <c r="T170" s="162"/>
      <c r="U170" s="161"/>
      <c r="V170" s="158"/>
      <c r="W170" s="162"/>
      <c r="X170" s="161"/>
      <c r="Y170" s="158"/>
      <c r="Z170" s="162"/>
      <c r="AA170" s="161"/>
      <c r="AB170" s="158"/>
      <c r="AC170" s="162"/>
      <c r="AD170" s="118"/>
      <c r="AE170" s="119"/>
      <c r="AF170" s="120"/>
      <c r="AG170" s="105"/>
      <c r="AH170" s="98"/>
      <c r="AI170" s="99"/>
      <c r="AJ170" s="118"/>
      <c r="AK170" s="119"/>
      <c r="AL170" s="120"/>
      <c r="AM170" s="105"/>
      <c r="AN170" s="98"/>
      <c r="AO170" s="99"/>
      <c r="AP170" s="118"/>
      <c r="AQ170" s="119"/>
      <c r="AR170" s="164"/>
    </row>
    <row r="171" spans="2:44" hidden="1" outlineLevel="1">
      <c r="B171" s="20" t="str">
        <f t="shared" ref="B171:B183" si="46">B129</f>
        <v>CN East</v>
      </c>
      <c r="C171" s="100"/>
      <c r="D171" s="101"/>
      <c r="E171" s="104"/>
      <c r="F171" s="163"/>
      <c r="G171" s="64"/>
      <c r="H171" s="65"/>
      <c r="I171" s="163"/>
      <c r="J171" s="64"/>
      <c r="K171" s="65"/>
      <c r="L171" s="163"/>
      <c r="M171" s="64"/>
      <c r="N171" s="65"/>
      <c r="O171" s="55"/>
      <c r="P171" s="52"/>
      <c r="Q171" s="65"/>
      <c r="R171" s="55"/>
      <c r="S171" s="52"/>
      <c r="T171" s="65"/>
      <c r="U171" s="55"/>
      <c r="V171" s="52"/>
      <c r="W171" s="65"/>
      <c r="X171" s="55"/>
      <c r="Y171" s="52"/>
      <c r="Z171" s="65"/>
      <c r="AA171" s="55"/>
      <c r="AB171" s="52"/>
      <c r="AC171" s="65"/>
      <c r="AD171" s="110"/>
      <c r="AE171" s="111"/>
      <c r="AF171" s="109"/>
      <c r="AG171" s="105"/>
      <c r="AH171" s="98"/>
      <c r="AI171" s="99"/>
      <c r="AJ171" s="110"/>
      <c r="AK171" s="111"/>
      <c r="AL171" s="109"/>
      <c r="AM171" s="105"/>
      <c r="AN171" s="98"/>
      <c r="AO171" s="99"/>
      <c r="AP171" s="110"/>
      <c r="AQ171" s="111"/>
      <c r="AR171" s="165"/>
    </row>
    <row r="172" spans="2:44" hidden="1" outlineLevel="1">
      <c r="B172" s="20" t="str">
        <f t="shared" si="46"/>
        <v>ENWL</v>
      </c>
      <c r="C172" s="100"/>
      <c r="D172" s="101"/>
      <c r="E172" s="104"/>
      <c r="F172" s="163"/>
      <c r="G172" s="64"/>
      <c r="H172" s="65"/>
      <c r="I172" s="163"/>
      <c r="J172" s="64"/>
      <c r="K172" s="65"/>
      <c r="L172" s="163"/>
      <c r="M172" s="64"/>
      <c r="N172" s="65"/>
      <c r="O172" s="55"/>
      <c r="P172" s="52"/>
      <c r="Q172" s="65"/>
      <c r="R172" s="55"/>
      <c r="S172" s="52"/>
      <c r="T172" s="65"/>
      <c r="U172" s="55"/>
      <c r="V172" s="52"/>
      <c r="W172" s="65"/>
      <c r="X172" s="55"/>
      <c r="Y172" s="52"/>
      <c r="Z172" s="65"/>
      <c r="AA172" s="55"/>
      <c r="AB172" s="52"/>
      <c r="AC172" s="65"/>
      <c r="AD172" s="110"/>
      <c r="AE172" s="111"/>
      <c r="AF172" s="109"/>
      <c r="AG172" s="105"/>
      <c r="AH172" s="98"/>
      <c r="AI172" s="99"/>
      <c r="AJ172" s="110"/>
      <c r="AK172" s="111"/>
      <c r="AL172" s="109"/>
      <c r="AM172" s="105"/>
      <c r="AN172" s="98"/>
      <c r="AO172" s="99"/>
      <c r="AP172" s="110"/>
      <c r="AQ172" s="111"/>
      <c r="AR172" s="165"/>
    </row>
    <row r="173" spans="2:44" hidden="1" outlineLevel="1">
      <c r="B173" s="20" t="str">
        <f t="shared" si="46"/>
        <v>CE NEDL</v>
      </c>
      <c r="C173" s="100"/>
      <c r="D173" s="101"/>
      <c r="E173" s="104"/>
      <c r="F173" s="163"/>
      <c r="G173" s="64"/>
      <c r="H173" s="65"/>
      <c r="I173" s="163"/>
      <c r="J173" s="64"/>
      <c r="K173" s="65"/>
      <c r="L173" s="163"/>
      <c r="M173" s="64"/>
      <c r="N173" s="65"/>
      <c r="O173" s="55"/>
      <c r="P173" s="52"/>
      <c r="Q173" s="65"/>
      <c r="R173" s="55"/>
      <c r="S173" s="52"/>
      <c r="T173" s="65"/>
      <c r="U173" s="55"/>
      <c r="V173" s="52"/>
      <c r="W173" s="65"/>
      <c r="X173" s="55"/>
      <c r="Y173" s="52"/>
      <c r="Z173" s="65"/>
      <c r="AA173" s="55"/>
      <c r="AB173" s="52"/>
      <c r="AC173" s="65"/>
      <c r="AD173" s="110"/>
      <c r="AE173" s="111"/>
      <c r="AF173" s="109"/>
      <c r="AG173" s="105"/>
      <c r="AH173" s="98"/>
      <c r="AI173" s="99"/>
      <c r="AJ173" s="110"/>
      <c r="AK173" s="111"/>
      <c r="AL173" s="109"/>
      <c r="AM173" s="105"/>
      <c r="AN173" s="98"/>
      <c r="AO173" s="99"/>
      <c r="AP173" s="110"/>
      <c r="AQ173" s="111"/>
      <c r="AR173" s="165"/>
    </row>
    <row r="174" spans="2:44" hidden="1" outlineLevel="1">
      <c r="B174" s="20" t="str">
        <f t="shared" si="46"/>
        <v>CE YEDL</v>
      </c>
      <c r="C174" s="100"/>
      <c r="D174" s="101"/>
      <c r="E174" s="104"/>
      <c r="F174" s="163"/>
      <c r="G174" s="64"/>
      <c r="H174" s="65"/>
      <c r="I174" s="163"/>
      <c r="J174" s="64"/>
      <c r="K174" s="65"/>
      <c r="L174" s="163"/>
      <c r="M174" s="64"/>
      <c r="N174" s="65"/>
      <c r="O174" s="55"/>
      <c r="P174" s="52"/>
      <c r="Q174" s="65"/>
      <c r="R174" s="55"/>
      <c r="S174" s="52"/>
      <c r="T174" s="65"/>
      <c r="U174" s="55"/>
      <c r="V174" s="52"/>
      <c r="W174" s="65"/>
      <c r="X174" s="55"/>
      <c r="Y174" s="52"/>
      <c r="Z174" s="65"/>
      <c r="AA174" s="55"/>
      <c r="AB174" s="52"/>
      <c r="AC174" s="65"/>
      <c r="AD174" s="110"/>
      <c r="AE174" s="111"/>
      <c r="AF174" s="109"/>
      <c r="AG174" s="105"/>
      <c r="AH174" s="98"/>
      <c r="AI174" s="99"/>
      <c r="AJ174" s="110"/>
      <c r="AK174" s="111"/>
      <c r="AL174" s="109"/>
      <c r="AM174" s="105"/>
      <c r="AN174" s="98"/>
      <c r="AO174" s="99"/>
      <c r="AP174" s="110"/>
      <c r="AQ174" s="111"/>
      <c r="AR174" s="165"/>
    </row>
    <row r="175" spans="2:44" hidden="1" outlineLevel="1">
      <c r="B175" s="20" t="str">
        <f t="shared" si="46"/>
        <v>WPD S Wales</v>
      </c>
      <c r="C175" s="100"/>
      <c r="D175" s="101"/>
      <c r="E175" s="104"/>
      <c r="F175" s="163"/>
      <c r="G175" s="64"/>
      <c r="H175" s="65"/>
      <c r="I175" s="163"/>
      <c r="J175" s="64"/>
      <c r="K175" s="65"/>
      <c r="L175" s="163"/>
      <c r="M175" s="64"/>
      <c r="N175" s="65"/>
      <c r="O175" s="55"/>
      <c r="P175" s="52"/>
      <c r="Q175" s="65"/>
      <c r="R175" s="55"/>
      <c r="S175" s="52"/>
      <c r="T175" s="65"/>
      <c r="U175" s="55"/>
      <c r="V175" s="52"/>
      <c r="W175" s="65"/>
      <c r="X175" s="55"/>
      <c r="Y175" s="52"/>
      <c r="Z175" s="65"/>
      <c r="AA175" s="55"/>
      <c r="AB175" s="52"/>
      <c r="AC175" s="65"/>
      <c r="AD175" s="110"/>
      <c r="AE175" s="111"/>
      <c r="AF175" s="109"/>
      <c r="AG175" s="105"/>
      <c r="AH175" s="98"/>
      <c r="AI175" s="99"/>
      <c r="AJ175" s="110"/>
      <c r="AK175" s="111"/>
      <c r="AL175" s="109"/>
      <c r="AM175" s="105"/>
      <c r="AN175" s="98"/>
      <c r="AO175" s="99"/>
      <c r="AP175" s="110"/>
      <c r="AQ175" s="111"/>
      <c r="AR175" s="165"/>
    </row>
    <row r="176" spans="2:44" hidden="1" outlineLevel="1">
      <c r="B176" s="20" t="str">
        <f t="shared" si="46"/>
        <v>WPD S West</v>
      </c>
      <c r="C176" s="100"/>
      <c r="D176" s="101"/>
      <c r="E176" s="104"/>
      <c r="F176" s="163"/>
      <c r="G176" s="64"/>
      <c r="H176" s="65"/>
      <c r="I176" s="163"/>
      <c r="J176" s="64"/>
      <c r="K176" s="65"/>
      <c r="L176" s="163"/>
      <c r="M176" s="64"/>
      <c r="N176" s="65"/>
      <c r="O176" s="55"/>
      <c r="P176" s="52"/>
      <c r="Q176" s="65"/>
      <c r="R176" s="55"/>
      <c r="S176" s="52"/>
      <c r="T176" s="65"/>
      <c r="U176" s="55"/>
      <c r="V176" s="52"/>
      <c r="W176" s="65"/>
      <c r="X176" s="55"/>
      <c r="Y176" s="52"/>
      <c r="Z176" s="65"/>
      <c r="AA176" s="55"/>
      <c r="AB176" s="52"/>
      <c r="AC176" s="65"/>
      <c r="AD176" s="110"/>
      <c r="AE176" s="111"/>
      <c r="AF176" s="109"/>
      <c r="AG176" s="105"/>
      <c r="AH176" s="98"/>
      <c r="AI176" s="99"/>
      <c r="AJ176" s="110"/>
      <c r="AK176" s="111"/>
      <c r="AL176" s="109"/>
      <c r="AM176" s="105"/>
      <c r="AN176" s="98"/>
      <c r="AO176" s="99"/>
      <c r="AP176" s="110"/>
      <c r="AQ176" s="111"/>
      <c r="AR176" s="165"/>
    </row>
    <row r="177" spans="2:44" hidden="1" outlineLevel="1">
      <c r="B177" s="20" t="str">
        <f t="shared" si="46"/>
        <v>UKPN LPN</v>
      </c>
      <c r="C177" s="100"/>
      <c r="D177" s="101"/>
      <c r="E177" s="104"/>
      <c r="F177" s="163"/>
      <c r="G177" s="64"/>
      <c r="H177" s="65"/>
      <c r="I177" s="163"/>
      <c r="J177" s="64"/>
      <c r="K177" s="65"/>
      <c r="L177" s="163"/>
      <c r="M177" s="64"/>
      <c r="N177" s="65"/>
      <c r="O177" s="55"/>
      <c r="P177" s="52"/>
      <c r="Q177" s="65"/>
      <c r="R177" s="55"/>
      <c r="S177" s="52"/>
      <c r="T177" s="65"/>
      <c r="U177" s="55"/>
      <c r="V177" s="52"/>
      <c r="W177" s="65"/>
      <c r="X177" s="55"/>
      <c r="Y177" s="52"/>
      <c r="Z177" s="65"/>
      <c r="AA177" s="55"/>
      <c r="AB177" s="52"/>
      <c r="AC177" s="65"/>
      <c r="AD177" s="110"/>
      <c r="AE177" s="111"/>
      <c r="AF177" s="109"/>
      <c r="AG177" s="105"/>
      <c r="AH177" s="98"/>
      <c r="AI177" s="99"/>
      <c r="AJ177" s="110"/>
      <c r="AK177" s="111"/>
      <c r="AL177" s="109"/>
      <c r="AM177" s="105"/>
      <c r="AN177" s="98"/>
      <c r="AO177" s="99"/>
      <c r="AP177" s="110"/>
      <c r="AQ177" s="111"/>
      <c r="AR177" s="165"/>
    </row>
    <row r="178" spans="2:44" hidden="1" outlineLevel="1">
      <c r="B178" s="20" t="str">
        <f t="shared" si="46"/>
        <v>UKPN SEPN</v>
      </c>
      <c r="C178" s="100"/>
      <c r="D178" s="101"/>
      <c r="E178" s="104"/>
      <c r="F178" s="163"/>
      <c r="G178" s="64"/>
      <c r="H178" s="65"/>
      <c r="I178" s="163"/>
      <c r="J178" s="64"/>
      <c r="K178" s="65"/>
      <c r="L178" s="163"/>
      <c r="M178" s="64"/>
      <c r="N178" s="65"/>
      <c r="O178" s="55"/>
      <c r="P178" s="52"/>
      <c r="Q178" s="65"/>
      <c r="R178" s="55"/>
      <c r="S178" s="52"/>
      <c r="T178" s="65"/>
      <c r="U178" s="55"/>
      <c r="V178" s="52"/>
      <c r="W178" s="65"/>
      <c r="X178" s="55"/>
      <c r="Y178" s="52"/>
      <c r="Z178" s="65"/>
      <c r="AA178" s="55"/>
      <c r="AB178" s="52"/>
      <c r="AC178" s="65"/>
      <c r="AD178" s="110"/>
      <c r="AE178" s="111"/>
      <c r="AF178" s="109"/>
      <c r="AG178" s="105"/>
      <c r="AH178" s="98"/>
      <c r="AI178" s="99"/>
      <c r="AJ178" s="110"/>
      <c r="AK178" s="111"/>
      <c r="AL178" s="109"/>
      <c r="AM178" s="105"/>
      <c r="AN178" s="98"/>
      <c r="AO178" s="99"/>
      <c r="AP178" s="110"/>
      <c r="AQ178" s="111"/>
      <c r="AR178" s="165"/>
    </row>
    <row r="179" spans="2:44" hidden="1" outlineLevel="1">
      <c r="B179" s="20" t="str">
        <f t="shared" si="46"/>
        <v>UKPN EPN</v>
      </c>
      <c r="C179" s="100"/>
      <c r="D179" s="101"/>
      <c r="E179" s="104"/>
      <c r="F179" s="163"/>
      <c r="G179" s="64"/>
      <c r="H179" s="65"/>
      <c r="I179" s="163"/>
      <c r="J179" s="64"/>
      <c r="K179" s="65"/>
      <c r="L179" s="163"/>
      <c r="M179" s="64"/>
      <c r="N179" s="65"/>
      <c r="O179" s="55"/>
      <c r="P179" s="52"/>
      <c r="Q179" s="65"/>
      <c r="R179" s="55"/>
      <c r="S179" s="52"/>
      <c r="T179" s="65"/>
      <c r="U179" s="55"/>
      <c r="V179" s="52"/>
      <c r="W179" s="65"/>
      <c r="X179" s="55"/>
      <c r="Y179" s="52"/>
      <c r="Z179" s="65"/>
      <c r="AA179" s="55"/>
      <c r="AB179" s="52"/>
      <c r="AC179" s="65"/>
      <c r="AD179" s="110"/>
      <c r="AE179" s="111"/>
      <c r="AF179" s="109"/>
      <c r="AG179" s="105"/>
      <c r="AH179" s="98"/>
      <c r="AI179" s="99"/>
      <c r="AJ179" s="110"/>
      <c r="AK179" s="111"/>
      <c r="AL179" s="109"/>
      <c r="AM179" s="105"/>
      <c r="AN179" s="98"/>
      <c r="AO179" s="99"/>
      <c r="AP179" s="110"/>
      <c r="AQ179" s="111"/>
      <c r="AR179" s="165"/>
    </row>
    <row r="180" spans="2:44" hidden="1" outlineLevel="1">
      <c r="B180" s="20" t="str">
        <f t="shared" si="46"/>
        <v>SP Distribution</v>
      </c>
      <c r="C180" s="100"/>
      <c r="D180" s="101"/>
      <c r="E180" s="104"/>
      <c r="F180" s="163"/>
      <c r="G180" s="64"/>
      <c r="H180" s="65"/>
      <c r="I180" s="163"/>
      <c r="J180" s="64"/>
      <c r="K180" s="65"/>
      <c r="L180" s="163"/>
      <c r="M180" s="64"/>
      <c r="N180" s="65"/>
      <c r="O180" s="55"/>
      <c r="P180" s="52"/>
      <c r="Q180" s="65"/>
      <c r="R180" s="55"/>
      <c r="S180" s="52"/>
      <c r="T180" s="65"/>
      <c r="U180" s="55"/>
      <c r="V180" s="52"/>
      <c r="W180" s="65"/>
      <c r="X180" s="55"/>
      <c r="Y180" s="52"/>
      <c r="Z180" s="65"/>
      <c r="AA180" s="55"/>
      <c r="AB180" s="52"/>
      <c r="AC180" s="65"/>
      <c r="AD180" s="110"/>
      <c r="AE180" s="111"/>
      <c r="AF180" s="109"/>
      <c r="AG180" s="105"/>
      <c r="AH180" s="98"/>
      <c r="AI180" s="99"/>
      <c r="AJ180" s="110"/>
      <c r="AK180" s="111"/>
      <c r="AL180" s="109"/>
      <c r="AM180" s="105"/>
      <c r="AN180" s="98"/>
      <c r="AO180" s="99"/>
      <c r="AP180" s="110"/>
      <c r="AQ180" s="111"/>
      <c r="AR180" s="165"/>
    </row>
    <row r="181" spans="2:44" hidden="1" outlineLevel="1">
      <c r="B181" s="20" t="str">
        <f t="shared" si="46"/>
        <v>SP Manweb</v>
      </c>
      <c r="C181" s="100"/>
      <c r="D181" s="101"/>
      <c r="E181" s="104"/>
      <c r="F181" s="163"/>
      <c r="G181" s="64"/>
      <c r="H181" s="65"/>
      <c r="I181" s="163"/>
      <c r="J181" s="64"/>
      <c r="K181" s="65"/>
      <c r="L181" s="163"/>
      <c r="M181" s="64"/>
      <c r="N181" s="65"/>
      <c r="O181" s="55"/>
      <c r="P181" s="52"/>
      <c r="Q181" s="65"/>
      <c r="R181" s="55"/>
      <c r="S181" s="52"/>
      <c r="T181" s="65"/>
      <c r="U181" s="55"/>
      <c r="V181" s="52"/>
      <c r="W181" s="65"/>
      <c r="X181" s="55"/>
      <c r="Y181" s="52"/>
      <c r="Z181" s="65"/>
      <c r="AA181" s="55"/>
      <c r="AB181" s="52"/>
      <c r="AC181" s="65"/>
      <c r="AD181" s="110"/>
      <c r="AE181" s="111"/>
      <c r="AF181" s="109"/>
      <c r="AG181" s="105"/>
      <c r="AH181" s="98"/>
      <c r="AI181" s="99"/>
      <c r="AJ181" s="110"/>
      <c r="AK181" s="111"/>
      <c r="AL181" s="109"/>
      <c r="AM181" s="105"/>
      <c r="AN181" s="98"/>
      <c r="AO181" s="99"/>
      <c r="AP181" s="110"/>
      <c r="AQ181" s="111"/>
      <c r="AR181" s="165"/>
    </row>
    <row r="182" spans="2:44" hidden="1" outlineLevel="1">
      <c r="B182" s="20" t="str">
        <f t="shared" si="46"/>
        <v>SSE Hydro</v>
      </c>
      <c r="C182" s="100"/>
      <c r="D182" s="101"/>
      <c r="E182" s="104"/>
      <c r="F182" s="163"/>
      <c r="G182" s="64"/>
      <c r="H182" s="65"/>
      <c r="I182" s="163"/>
      <c r="J182" s="64"/>
      <c r="K182" s="65"/>
      <c r="L182" s="163"/>
      <c r="M182" s="64"/>
      <c r="N182" s="65"/>
      <c r="O182" s="55"/>
      <c r="P182" s="52"/>
      <c r="Q182" s="65"/>
      <c r="R182" s="55"/>
      <c r="S182" s="52"/>
      <c r="T182" s="65"/>
      <c r="U182" s="55"/>
      <c r="V182" s="52"/>
      <c r="W182" s="65"/>
      <c r="X182" s="55"/>
      <c r="Y182" s="52"/>
      <c r="Z182" s="65"/>
      <c r="AA182" s="55"/>
      <c r="AB182" s="52"/>
      <c r="AC182" s="65"/>
      <c r="AD182" s="110"/>
      <c r="AE182" s="111"/>
      <c r="AF182" s="109"/>
      <c r="AG182" s="105"/>
      <c r="AH182" s="98"/>
      <c r="AI182" s="99"/>
      <c r="AJ182" s="110"/>
      <c r="AK182" s="111"/>
      <c r="AL182" s="109"/>
      <c r="AM182" s="105"/>
      <c r="AN182" s="98"/>
      <c r="AO182" s="99"/>
      <c r="AP182" s="110"/>
      <c r="AQ182" s="111"/>
      <c r="AR182" s="165"/>
    </row>
    <row r="183" spans="2:44" hidden="1" outlineLevel="1">
      <c r="B183" s="20" t="str">
        <f t="shared" si="46"/>
        <v>SSE Southern</v>
      </c>
      <c r="C183" s="100"/>
      <c r="D183" s="101"/>
      <c r="E183" s="104"/>
      <c r="F183" s="163"/>
      <c r="G183" s="64"/>
      <c r="H183" s="65"/>
      <c r="I183" s="163"/>
      <c r="J183" s="64"/>
      <c r="K183" s="65"/>
      <c r="L183" s="163"/>
      <c r="M183" s="64"/>
      <c r="N183" s="65"/>
      <c r="O183" s="55"/>
      <c r="P183" s="52"/>
      <c r="Q183" s="65"/>
      <c r="R183" s="55"/>
      <c r="S183" s="52"/>
      <c r="T183" s="65"/>
      <c r="U183" s="55"/>
      <c r="V183" s="52"/>
      <c r="W183" s="65"/>
      <c r="X183" s="55"/>
      <c r="Y183" s="52"/>
      <c r="Z183" s="65"/>
      <c r="AA183" s="55"/>
      <c r="AB183" s="52"/>
      <c r="AC183" s="65"/>
      <c r="AD183" s="110"/>
      <c r="AE183" s="111"/>
      <c r="AF183" s="109"/>
      <c r="AG183" s="105"/>
      <c r="AH183" s="98"/>
      <c r="AI183" s="99"/>
      <c r="AJ183" s="110"/>
      <c r="AK183" s="111"/>
      <c r="AL183" s="109"/>
      <c r="AM183" s="105"/>
      <c r="AN183" s="98"/>
      <c r="AO183" s="99"/>
      <c r="AP183" s="110"/>
      <c r="AQ183" s="111"/>
      <c r="AR183" s="165"/>
    </row>
    <row r="184" spans="2:44" hidden="1" outlineLevel="1">
      <c r="B184" s="185" t="s">
        <v>78</v>
      </c>
      <c r="C184" s="121"/>
      <c r="D184" s="122"/>
      <c r="E184" s="123"/>
      <c r="F184" s="121"/>
      <c r="G184" s="122"/>
      <c r="H184" s="186">
        <f>SUM(H170:H183)</f>
        <v>0</v>
      </c>
      <c r="I184" s="187"/>
      <c r="J184" s="189"/>
      <c r="K184" s="186">
        <f>SUM(K170:K183)</f>
        <v>0</v>
      </c>
      <c r="L184" s="187"/>
      <c r="M184" s="189"/>
      <c r="N184" s="186">
        <f>SUM(N170:N183)</f>
        <v>0</v>
      </c>
      <c r="O184" s="187"/>
      <c r="P184" s="189"/>
      <c r="Q184" s="186">
        <f>SUM(Q170:Q183)</f>
        <v>0</v>
      </c>
      <c r="R184" s="187"/>
      <c r="S184" s="189"/>
      <c r="T184" s="186">
        <f>SUM(T170:T183)</f>
        <v>0</v>
      </c>
      <c r="U184" s="187"/>
      <c r="V184" s="189"/>
      <c r="W184" s="186">
        <f>SUM(W170:W183)</f>
        <v>0</v>
      </c>
      <c r="X184" s="187"/>
      <c r="Y184" s="189"/>
      <c r="Z184" s="186">
        <f>SUM(Z170:Z183)</f>
        <v>0</v>
      </c>
      <c r="AA184" s="187"/>
      <c r="AB184" s="189"/>
      <c r="AC184" s="186">
        <f>SUM(AC170:AC183)</f>
        <v>0</v>
      </c>
      <c r="AD184" s="187"/>
      <c r="AE184" s="189"/>
      <c r="AF184" s="186">
        <f>SUM(AF170:AF183)</f>
        <v>0</v>
      </c>
      <c r="AG184" s="187"/>
      <c r="AH184" s="189"/>
      <c r="AI184" s="188">
        <f>SUM(AI170:AI183)</f>
        <v>0</v>
      </c>
      <c r="AJ184" s="187"/>
      <c r="AK184" s="189"/>
      <c r="AL184" s="186">
        <f>SUM(AL170:AL183)</f>
        <v>0</v>
      </c>
      <c r="AM184" s="187"/>
      <c r="AN184" s="189"/>
      <c r="AO184" s="188">
        <f>SUM(AO170:AO183)</f>
        <v>0</v>
      </c>
      <c r="AP184" s="479"/>
      <c r="AQ184" s="189"/>
      <c r="AR184" s="188">
        <f>SUM(AR170:AR183)</f>
        <v>0</v>
      </c>
    </row>
    <row r="185" spans="2:44" s="152" customFormat="1" ht="13.5" hidden="1" outlineLevel="1" thickBot="1">
      <c r="B185" s="181" t="s">
        <v>66</v>
      </c>
      <c r="C185" s="182"/>
      <c r="D185" s="183"/>
      <c r="E185" s="184"/>
      <c r="F185" s="190" t="e">
        <f t="shared" ref="F185:AR185" si="47">AVERAGE(F170:F183)</f>
        <v>#DIV/0!</v>
      </c>
      <c r="G185" s="191" t="e">
        <f t="shared" si="47"/>
        <v>#DIV/0!</v>
      </c>
      <c r="H185" s="192" t="e">
        <f t="shared" si="47"/>
        <v>#DIV/0!</v>
      </c>
      <c r="I185" s="190" t="e">
        <f t="shared" si="47"/>
        <v>#DIV/0!</v>
      </c>
      <c r="J185" s="191" t="e">
        <f t="shared" si="47"/>
        <v>#DIV/0!</v>
      </c>
      <c r="K185" s="192" t="e">
        <f t="shared" si="47"/>
        <v>#DIV/0!</v>
      </c>
      <c r="L185" s="190" t="e">
        <f t="shared" si="47"/>
        <v>#DIV/0!</v>
      </c>
      <c r="M185" s="191" t="e">
        <f t="shared" si="47"/>
        <v>#DIV/0!</v>
      </c>
      <c r="N185" s="192" t="e">
        <f t="shared" si="47"/>
        <v>#DIV/0!</v>
      </c>
      <c r="O185" s="190" t="e">
        <f t="shared" si="47"/>
        <v>#DIV/0!</v>
      </c>
      <c r="P185" s="191" t="e">
        <f t="shared" si="47"/>
        <v>#DIV/0!</v>
      </c>
      <c r="Q185" s="192" t="e">
        <f t="shared" si="47"/>
        <v>#DIV/0!</v>
      </c>
      <c r="R185" s="190" t="e">
        <f t="shared" si="47"/>
        <v>#DIV/0!</v>
      </c>
      <c r="S185" s="191" t="e">
        <f t="shared" si="47"/>
        <v>#DIV/0!</v>
      </c>
      <c r="T185" s="192" t="e">
        <f t="shared" si="47"/>
        <v>#DIV/0!</v>
      </c>
      <c r="U185" s="190" t="e">
        <f t="shared" si="47"/>
        <v>#DIV/0!</v>
      </c>
      <c r="V185" s="191" t="e">
        <f t="shared" si="47"/>
        <v>#DIV/0!</v>
      </c>
      <c r="W185" s="192" t="e">
        <f t="shared" si="47"/>
        <v>#DIV/0!</v>
      </c>
      <c r="X185" s="190" t="e">
        <f t="shared" si="47"/>
        <v>#DIV/0!</v>
      </c>
      <c r="Y185" s="191" t="e">
        <f t="shared" si="47"/>
        <v>#DIV/0!</v>
      </c>
      <c r="Z185" s="192" t="e">
        <f t="shared" si="47"/>
        <v>#DIV/0!</v>
      </c>
      <c r="AA185" s="190" t="e">
        <f t="shared" si="47"/>
        <v>#DIV/0!</v>
      </c>
      <c r="AB185" s="193" t="e">
        <f t="shared" si="47"/>
        <v>#DIV/0!</v>
      </c>
      <c r="AC185" s="194" t="e">
        <f t="shared" si="47"/>
        <v>#DIV/0!</v>
      </c>
      <c r="AD185" s="190" t="e">
        <f t="shared" si="47"/>
        <v>#DIV/0!</v>
      </c>
      <c r="AE185" s="191" t="e">
        <f t="shared" si="47"/>
        <v>#DIV/0!</v>
      </c>
      <c r="AF185" s="192" t="e">
        <f t="shared" si="47"/>
        <v>#DIV/0!</v>
      </c>
      <c r="AG185" s="190" t="e">
        <f t="shared" si="47"/>
        <v>#DIV/0!</v>
      </c>
      <c r="AH185" s="193" t="e">
        <f t="shared" si="47"/>
        <v>#DIV/0!</v>
      </c>
      <c r="AI185" s="194" t="e">
        <f t="shared" si="47"/>
        <v>#DIV/0!</v>
      </c>
      <c r="AJ185" s="190" t="e">
        <f t="shared" si="47"/>
        <v>#DIV/0!</v>
      </c>
      <c r="AK185" s="191" t="e">
        <f t="shared" si="47"/>
        <v>#DIV/0!</v>
      </c>
      <c r="AL185" s="192" t="e">
        <f t="shared" si="47"/>
        <v>#DIV/0!</v>
      </c>
      <c r="AM185" s="190" t="e">
        <f t="shared" si="47"/>
        <v>#DIV/0!</v>
      </c>
      <c r="AN185" s="193" t="e">
        <f t="shared" si="47"/>
        <v>#DIV/0!</v>
      </c>
      <c r="AO185" s="194" t="e">
        <f t="shared" si="47"/>
        <v>#DIV/0!</v>
      </c>
      <c r="AP185" s="190" t="e">
        <f t="shared" si="47"/>
        <v>#DIV/0!</v>
      </c>
      <c r="AQ185" s="191" t="e">
        <f t="shared" si="47"/>
        <v>#DIV/0!</v>
      </c>
      <c r="AR185" s="192" t="e">
        <f t="shared" si="47"/>
        <v>#DIV/0!</v>
      </c>
    </row>
    <row r="186" spans="2:44" hidden="1" outlineLevel="1">
      <c r="B186" s="155"/>
      <c r="C186" s="124"/>
      <c r="D186" s="124"/>
      <c r="E186" s="124"/>
      <c r="F186" s="124"/>
      <c r="G186" s="124"/>
      <c r="H186" s="124"/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  <c r="T186" s="124"/>
      <c r="U186" s="124"/>
      <c r="V186" s="124"/>
      <c r="W186" s="124"/>
      <c r="X186" s="124"/>
      <c r="Y186" s="124"/>
      <c r="Z186" s="124"/>
      <c r="AA186" s="125"/>
      <c r="AB186" s="126"/>
      <c r="AC186" s="124"/>
      <c r="AD186" s="125"/>
      <c r="AE186" s="126"/>
      <c r="AF186" s="124"/>
      <c r="AG186" s="125"/>
      <c r="AH186" s="126"/>
      <c r="AI186" s="124"/>
      <c r="AJ186" s="125"/>
      <c r="AK186" s="126"/>
      <c r="AL186" s="124"/>
      <c r="AM186" s="125"/>
      <c r="AN186" s="126"/>
      <c r="AO186" s="124"/>
      <c r="AP186" s="125"/>
      <c r="AQ186" s="126"/>
      <c r="AR186" s="124"/>
    </row>
    <row r="187" spans="2:44" collapsed="1">
      <c r="B187" s="152"/>
    </row>
    <row r="188" spans="2:44">
      <c r="B188" s="460" t="s">
        <v>176</v>
      </c>
    </row>
    <row r="189" spans="2:44" hidden="1" outlineLevel="1">
      <c r="B189" s="770" t="s">
        <v>19</v>
      </c>
      <c r="C189" s="767" t="str">
        <f>C168</f>
        <v>2001-02</v>
      </c>
      <c r="D189" s="768"/>
      <c r="E189" s="769"/>
      <c r="F189" s="767" t="str">
        <f t="shared" ref="F189" si="48">F168</f>
        <v>2002-03</v>
      </c>
      <c r="G189" s="768"/>
      <c r="H189" s="769"/>
      <c r="I189" s="767" t="str">
        <f t="shared" ref="I189" si="49">I168</f>
        <v>2003-04</v>
      </c>
      <c r="J189" s="768"/>
      <c r="K189" s="769"/>
      <c r="L189" s="767" t="str">
        <f t="shared" ref="L189" si="50">L168</f>
        <v>2004-05</v>
      </c>
      <c r="M189" s="768"/>
      <c r="N189" s="769"/>
      <c r="O189" s="767" t="str">
        <f t="shared" ref="O189" si="51">O168</f>
        <v>2005-06</v>
      </c>
      <c r="P189" s="768"/>
      <c r="Q189" s="769"/>
      <c r="R189" s="767" t="str">
        <f t="shared" ref="R189" si="52">R168</f>
        <v>2006-07</v>
      </c>
      <c r="S189" s="768"/>
      <c r="T189" s="769"/>
      <c r="U189" s="767" t="str">
        <f t="shared" ref="U189" si="53">U168</f>
        <v>2007-08</v>
      </c>
      <c r="V189" s="768"/>
      <c r="W189" s="769"/>
      <c r="X189" s="767" t="str">
        <f t="shared" ref="X189" si="54">X168</f>
        <v>2008-09</v>
      </c>
      <c r="Y189" s="768"/>
      <c r="Z189" s="769"/>
      <c r="AA189" s="767" t="str">
        <f t="shared" ref="AA189" si="55">AA168</f>
        <v>2009-10</v>
      </c>
      <c r="AB189" s="768"/>
      <c r="AC189" s="769"/>
      <c r="AD189" s="772" t="str">
        <f t="shared" ref="AD189" si="56">AD168</f>
        <v>2010-11</v>
      </c>
      <c r="AE189" s="768"/>
      <c r="AF189" s="769"/>
      <c r="AG189" s="767" t="str">
        <f t="shared" ref="AG189" si="57">AG168</f>
        <v>2011-12</v>
      </c>
      <c r="AH189" s="768"/>
      <c r="AI189" s="769"/>
      <c r="AJ189" s="767" t="str">
        <f t="shared" ref="AJ189" si="58">AJ168</f>
        <v>2012-13</v>
      </c>
      <c r="AK189" s="768"/>
      <c r="AL189" s="769"/>
      <c r="AM189" s="767" t="str">
        <f t="shared" ref="AM189" si="59">AM168</f>
        <v>2013-14</v>
      </c>
      <c r="AN189" s="768"/>
      <c r="AO189" s="769"/>
      <c r="AP189" s="767" t="str">
        <f t="shared" ref="AP189" si="60">AP168</f>
        <v>2014-15</v>
      </c>
      <c r="AQ189" s="768"/>
      <c r="AR189" s="769"/>
    </row>
    <row r="190" spans="2:44" ht="13.5" hidden="1" outlineLevel="1" thickBot="1">
      <c r="B190" s="771"/>
      <c r="C190" s="112" t="s">
        <v>67</v>
      </c>
      <c r="D190" s="113" t="s">
        <v>68</v>
      </c>
      <c r="E190" s="114" t="s">
        <v>69</v>
      </c>
      <c r="F190" s="112" t="s">
        <v>67</v>
      </c>
      <c r="G190" s="113" t="s">
        <v>68</v>
      </c>
      <c r="H190" s="167" t="s">
        <v>69</v>
      </c>
      <c r="I190" s="112" t="s">
        <v>67</v>
      </c>
      <c r="J190" s="113" t="s">
        <v>68</v>
      </c>
      <c r="K190" s="114" t="s">
        <v>69</v>
      </c>
      <c r="L190" s="112" t="s">
        <v>67</v>
      </c>
      <c r="M190" s="113" t="s">
        <v>68</v>
      </c>
      <c r="N190" s="114" t="s">
        <v>69</v>
      </c>
      <c r="O190" s="112" t="s">
        <v>67</v>
      </c>
      <c r="P190" s="113" t="s">
        <v>68</v>
      </c>
      <c r="Q190" s="114" t="s">
        <v>69</v>
      </c>
      <c r="R190" s="112" t="s">
        <v>67</v>
      </c>
      <c r="S190" s="113" t="s">
        <v>68</v>
      </c>
      <c r="T190" s="114" t="s">
        <v>69</v>
      </c>
      <c r="U190" s="112" t="s">
        <v>67</v>
      </c>
      <c r="V190" s="113" t="s">
        <v>68</v>
      </c>
      <c r="W190" s="114" t="s">
        <v>69</v>
      </c>
      <c r="X190" s="112" t="s">
        <v>67</v>
      </c>
      <c r="Y190" s="113" t="s">
        <v>68</v>
      </c>
      <c r="Z190" s="114" t="s">
        <v>69</v>
      </c>
      <c r="AA190" s="112" t="s">
        <v>67</v>
      </c>
      <c r="AB190" s="113" t="s">
        <v>68</v>
      </c>
      <c r="AC190" s="114" t="s">
        <v>69</v>
      </c>
      <c r="AD190" s="168" t="s">
        <v>67</v>
      </c>
      <c r="AE190" s="113" t="s">
        <v>68</v>
      </c>
      <c r="AF190" s="114" t="s">
        <v>69</v>
      </c>
      <c r="AG190" s="112" t="s">
        <v>67</v>
      </c>
      <c r="AH190" s="113" t="s">
        <v>68</v>
      </c>
      <c r="AI190" s="114" t="s">
        <v>69</v>
      </c>
      <c r="AJ190" s="112" t="s">
        <v>67</v>
      </c>
      <c r="AK190" s="113" t="s">
        <v>68</v>
      </c>
      <c r="AL190" s="114" t="s">
        <v>69</v>
      </c>
      <c r="AM190" s="112" t="s">
        <v>67</v>
      </c>
      <c r="AN190" s="113" t="s">
        <v>68</v>
      </c>
      <c r="AO190" s="114" t="s">
        <v>69</v>
      </c>
      <c r="AP190" s="112" t="s">
        <v>67</v>
      </c>
      <c r="AQ190" s="113" t="s">
        <v>68</v>
      </c>
      <c r="AR190" s="114" t="s">
        <v>69</v>
      </c>
    </row>
    <row r="191" spans="2:44" ht="13.5" hidden="1" outlineLevel="1" thickTop="1">
      <c r="B191" s="20" t="str">
        <f>B128</f>
        <v>CN West</v>
      </c>
      <c r="C191" s="100"/>
      <c r="D191" s="101"/>
      <c r="E191" s="103"/>
      <c r="F191" s="171"/>
      <c r="G191" s="172"/>
      <c r="H191" s="170"/>
      <c r="I191" s="169"/>
      <c r="J191" s="64"/>
      <c r="K191" s="170"/>
      <c r="L191" s="169"/>
      <c r="M191" s="64"/>
      <c r="N191" s="170"/>
      <c r="O191" s="169"/>
      <c r="P191" s="52"/>
      <c r="Q191" s="170"/>
      <c r="R191" s="169"/>
      <c r="S191" s="52"/>
      <c r="T191" s="170"/>
      <c r="U191" s="169"/>
      <c r="V191" s="52"/>
      <c r="W191" s="170"/>
      <c r="X191" s="169"/>
      <c r="Y191" s="52"/>
      <c r="Z191" s="170"/>
      <c r="AA191" s="169"/>
      <c r="AB191" s="52"/>
      <c r="AC191" s="170"/>
      <c r="AD191" s="166"/>
      <c r="AE191" s="98"/>
      <c r="AF191" s="99"/>
      <c r="AG191" s="105"/>
      <c r="AH191" s="98"/>
      <c r="AI191" s="99"/>
      <c r="AJ191" s="105"/>
      <c r="AK191" s="98"/>
      <c r="AL191" s="99"/>
      <c r="AM191" s="105"/>
      <c r="AN191" s="98"/>
      <c r="AO191" s="99"/>
      <c r="AP191" s="105"/>
      <c r="AQ191" s="98"/>
      <c r="AR191" s="99"/>
    </row>
    <row r="192" spans="2:44" hidden="1" outlineLevel="1">
      <c r="B192" s="20" t="str">
        <f t="shared" ref="B192:B204" si="61">B129</f>
        <v>CN East</v>
      </c>
      <c r="C192" s="100"/>
      <c r="D192" s="101"/>
      <c r="E192" s="103"/>
      <c r="F192" s="163"/>
      <c r="G192" s="64"/>
      <c r="H192" s="56"/>
      <c r="I192" s="163"/>
      <c r="J192" s="64"/>
      <c r="K192" s="56"/>
      <c r="L192" s="163"/>
      <c r="M192" s="64"/>
      <c r="N192" s="56"/>
      <c r="O192" s="55"/>
      <c r="P192" s="52"/>
      <c r="Q192" s="65"/>
      <c r="R192" s="55"/>
      <c r="S192" s="52"/>
      <c r="T192" s="65"/>
      <c r="U192" s="55"/>
      <c r="V192" s="52"/>
      <c r="W192" s="65"/>
      <c r="X192" s="55"/>
      <c r="Y192" s="52"/>
      <c r="Z192" s="65"/>
      <c r="AA192" s="55"/>
      <c r="AB192" s="52"/>
      <c r="AC192" s="65"/>
      <c r="AD192" s="166"/>
      <c r="AE192" s="98"/>
      <c r="AF192" s="99"/>
      <c r="AG192" s="105"/>
      <c r="AH192" s="98"/>
      <c r="AI192" s="99"/>
      <c r="AJ192" s="105"/>
      <c r="AK192" s="98"/>
      <c r="AL192" s="99"/>
      <c r="AM192" s="105"/>
      <c r="AN192" s="98"/>
      <c r="AO192" s="99"/>
      <c r="AP192" s="105"/>
      <c r="AQ192" s="98"/>
      <c r="AR192" s="99"/>
    </row>
    <row r="193" spans="2:44" hidden="1" outlineLevel="1">
      <c r="B193" s="20" t="str">
        <f t="shared" si="61"/>
        <v>ENWL</v>
      </c>
      <c r="C193" s="100"/>
      <c r="D193" s="101"/>
      <c r="E193" s="103"/>
      <c r="F193" s="163"/>
      <c r="G193" s="64"/>
      <c r="H193" s="56"/>
      <c r="I193" s="163"/>
      <c r="J193" s="64"/>
      <c r="K193" s="56"/>
      <c r="L193" s="163"/>
      <c r="M193" s="64"/>
      <c r="N193" s="56"/>
      <c r="O193" s="55"/>
      <c r="P193" s="52"/>
      <c r="Q193" s="65"/>
      <c r="R193" s="55"/>
      <c r="S193" s="52"/>
      <c r="T193" s="65"/>
      <c r="U193" s="55"/>
      <c r="V193" s="52"/>
      <c r="W193" s="65"/>
      <c r="X193" s="55"/>
      <c r="Y193" s="52"/>
      <c r="Z193" s="65"/>
      <c r="AA193" s="55"/>
      <c r="AB193" s="52"/>
      <c r="AC193" s="65"/>
      <c r="AD193" s="166"/>
      <c r="AE193" s="98"/>
      <c r="AF193" s="99"/>
      <c r="AG193" s="105"/>
      <c r="AH193" s="98"/>
      <c r="AI193" s="99"/>
      <c r="AJ193" s="105"/>
      <c r="AK193" s="98"/>
      <c r="AL193" s="99"/>
      <c r="AM193" s="105"/>
      <c r="AN193" s="98"/>
      <c r="AO193" s="99"/>
      <c r="AP193" s="105"/>
      <c r="AQ193" s="98"/>
      <c r="AR193" s="99"/>
    </row>
    <row r="194" spans="2:44" hidden="1" outlineLevel="1">
      <c r="B194" s="20" t="str">
        <f t="shared" si="61"/>
        <v>CE NEDL</v>
      </c>
      <c r="C194" s="100"/>
      <c r="D194" s="101"/>
      <c r="E194" s="103"/>
      <c r="F194" s="163"/>
      <c r="G194" s="64"/>
      <c r="H194" s="56"/>
      <c r="I194" s="163"/>
      <c r="J194" s="64"/>
      <c r="K194" s="56"/>
      <c r="L194" s="163"/>
      <c r="M194" s="64"/>
      <c r="N194" s="56"/>
      <c r="O194" s="55"/>
      <c r="P194" s="52"/>
      <c r="Q194" s="65"/>
      <c r="R194" s="55"/>
      <c r="S194" s="52"/>
      <c r="T194" s="65"/>
      <c r="U194" s="55"/>
      <c r="V194" s="52"/>
      <c r="W194" s="65"/>
      <c r="X194" s="55"/>
      <c r="Y194" s="52"/>
      <c r="Z194" s="65"/>
      <c r="AA194" s="55"/>
      <c r="AB194" s="52"/>
      <c r="AC194" s="65"/>
      <c r="AD194" s="166"/>
      <c r="AE194" s="98"/>
      <c r="AF194" s="99"/>
      <c r="AG194" s="105"/>
      <c r="AH194" s="98"/>
      <c r="AI194" s="99"/>
      <c r="AJ194" s="105"/>
      <c r="AK194" s="98"/>
      <c r="AL194" s="99"/>
      <c r="AM194" s="105"/>
      <c r="AN194" s="98"/>
      <c r="AO194" s="99"/>
      <c r="AP194" s="105"/>
      <c r="AQ194" s="98"/>
      <c r="AR194" s="99"/>
    </row>
    <row r="195" spans="2:44" hidden="1" outlineLevel="1">
      <c r="B195" s="20" t="str">
        <f t="shared" si="61"/>
        <v>CE YEDL</v>
      </c>
      <c r="C195" s="100"/>
      <c r="D195" s="101"/>
      <c r="E195" s="103"/>
      <c r="F195" s="163"/>
      <c r="G195" s="64"/>
      <c r="H195" s="56"/>
      <c r="I195" s="163"/>
      <c r="J195" s="64"/>
      <c r="K195" s="56"/>
      <c r="L195" s="163"/>
      <c r="M195" s="64"/>
      <c r="N195" s="56"/>
      <c r="O195" s="55"/>
      <c r="P195" s="52"/>
      <c r="Q195" s="65"/>
      <c r="R195" s="55"/>
      <c r="S195" s="52"/>
      <c r="T195" s="65"/>
      <c r="U195" s="55"/>
      <c r="V195" s="52"/>
      <c r="W195" s="65"/>
      <c r="X195" s="55"/>
      <c r="Y195" s="52"/>
      <c r="Z195" s="65"/>
      <c r="AA195" s="55"/>
      <c r="AB195" s="52"/>
      <c r="AC195" s="65"/>
      <c r="AD195" s="166"/>
      <c r="AE195" s="98"/>
      <c r="AF195" s="99"/>
      <c r="AG195" s="105"/>
      <c r="AH195" s="98"/>
      <c r="AI195" s="99"/>
      <c r="AJ195" s="105"/>
      <c r="AK195" s="98"/>
      <c r="AL195" s="99"/>
      <c r="AM195" s="105"/>
      <c r="AN195" s="98"/>
      <c r="AO195" s="99"/>
      <c r="AP195" s="105"/>
      <c r="AQ195" s="98"/>
      <c r="AR195" s="99"/>
    </row>
    <row r="196" spans="2:44" hidden="1" outlineLevel="1">
      <c r="B196" s="20" t="str">
        <f t="shared" si="61"/>
        <v>WPD S Wales</v>
      </c>
      <c r="C196" s="100"/>
      <c r="D196" s="101"/>
      <c r="E196" s="103"/>
      <c r="F196" s="163"/>
      <c r="G196" s="64"/>
      <c r="H196" s="56"/>
      <c r="I196" s="163"/>
      <c r="J196" s="64"/>
      <c r="K196" s="56"/>
      <c r="L196" s="163"/>
      <c r="M196" s="64"/>
      <c r="N196" s="56"/>
      <c r="O196" s="55"/>
      <c r="P196" s="52"/>
      <c r="Q196" s="65"/>
      <c r="R196" s="55"/>
      <c r="S196" s="52"/>
      <c r="T196" s="65"/>
      <c r="U196" s="55"/>
      <c r="V196" s="52"/>
      <c r="W196" s="65"/>
      <c r="X196" s="55"/>
      <c r="Y196" s="52"/>
      <c r="Z196" s="65"/>
      <c r="AA196" s="55"/>
      <c r="AB196" s="52"/>
      <c r="AC196" s="65"/>
      <c r="AD196" s="166"/>
      <c r="AE196" s="98"/>
      <c r="AF196" s="99"/>
      <c r="AG196" s="105"/>
      <c r="AH196" s="98"/>
      <c r="AI196" s="99"/>
      <c r="AJ196" s="105"/>
      <c r="AK196" s="98"/>
      <c r="AL196" s="99"/>
      <c r="AM196" s="105"/>
      <c r="AN196" s="98"/>
      <c r="AO196" s="99"/>
      <c r="AP196" s="105"/>
      <c r="AQ196" s="98"/>
      <c r="AR196" s="99"/>
    </row>
    <row r="197" spans="2:44" hidden="1" outlineLevel="1">
      <c r="B197" s="20" t="str">
        <f t="shared" si="61"/>
        <v>WPD S West</v>
      </c>
      <c r="C197" s="100"/>
      <c r="D197" s="101"/>
      <c r="E197" s="103"/>
      <c r="F197" s="163"/>
      <c r="G197" s="64"/>
      <c r="H197" s="56"/>
      <c r="I197" s="163"/>
      <c r="J197" s="64"/>
      <c r="K197" s="56"/>
      <c r="L197" s="163"/>
      <c r="M197" s="64"/>
      <c r="N197" s="56"/>
      <c r="O197" s="55"/>
      <c r="P197" s="52"/>
      <c r="Q197" s="65"/>
      <c r="R197" s="55"/>
      <c r="S197" s="52"/>
      <c r="T197" s="65"/>
      <c r="U197" s="55"/>
      <c r="V197" s="52"/>
      <c r="W197" s="65"/>
      <c r="X197" s="55"/>
      <c r="Y197" s="52"/>
      <c r="Z197" s="65"/>
      <c r="AA197" s="55"/>
      <c r="AB197" s="52"/>
      <c r="AC197" s="65"/>
      <c r="AD197" s="166"/>
      <c r="AE197" s="98"/>
      <c r="AF197" s="99"/>
      <c r="AG197" s="105"/>
      <c r="AH197" s="98"/>
      <c r="AI197" s="99"/>
      <c r="AJ197" s="105"/>
      <c r="AK197" s="98"/>
      <c r="AL197" s="99"/>
      <c r="AM197" s="105"/>
      <c r="AN197" s="98"/>
      <c r="AO197" s="99"/>
      <c r="AP197" s="105"/>
      <c r="AQ197" s="98"/>
      <c r="AR197" s="99"/>
    </row>
    <row r="198" spans="2:44" hidden="1" outlineLevel="1">
      <c r="B198" s="20" t="str">
        <f t="shared" si="61"/>
        <v>UKPN LPN</v>
      </c>
      <c r="C198" s="100"/>
      <c r="D198" s="101"/>
      <c r="E198" s="103"/>
      <c r="F198" s="163"/>
      <c r="G198" s="64"/>
      <c r="H198" s="56"/>
      <c r="I198" s="163"/>
      <c r="J198" s="64"/>
      <c r="K198" s="56"/>
      <c r="L198" s="163"/>
      <c r="M198" s="64"/>
      <c r="N198" s="56"/>
      <c r="O198" s="55"/>
      <c r="P198" s="52"/>
      <c r="Q198" s="65"/>
      <c r="R198" s="55"/>
      <c r="S198" s="52"/>
      <c r="T198" s="65"/>
      <c r="U198" s="55"/>
      <c r="V198" s="52"/>
      <c r="W198" s="65"/>
      <c r="X198" s="55"/>
      <c r="Y198" s="52"/>
      <c r="Z198" s="65"/>
      <c r="AA198" s="55"/>
      <c r="AB198" s="52"/>
      <c r="AC198" s="65"/>
      <c r="AD198" s="166"/>
      <c r="AE198" s="98"/>
      <c r="AF198" s="99"/>
      <c r="AG198" s="105"/>
      <c r="AH198" s="98"/>
      <c r="AI198" s="99"/>
      <c r="AJ198" s="105"/>
      <c r="AK198" s="98"/>
      <c r="AL198" s="99"/>
      <c r="AM198" s="105"/>
      <c r="AN198" s="98"/>
      <c r="AO198" s="99"/>
      <c r="AP198" s="105"/>
      <c r="AQ198" s="98"/>
      <c r="AR198" s="99"/>
    </row>
    <row r="199" spans="2:44" hidden="1" outlineLevel="1">
      <c r="B199" s="20" t="str">
        <f t="shared" si="61"/>
        <v>UKPN SEPN</v>
      </c>
      <c r="C199" s="100"/>
      <c r="D199" s="101"/>
      <c r="E199" s="103"/>
      <c r="F199" s="163"/>
      <c r="G199" s="64"/>
      <c r="H199" s="65"/>
      <c r="I199" s="163"/>
      <c r="J199" s="64"/>
      <c r="K199" s="65"/>
      <c r="L199" s="163"/>
      <c r="M199" s="64"/>
      <c r="N199" s="65"/>
      <c r="O199" s="55"/>
      <c r="P199" s="52"/>
      <c r="Q199" s="65"/>
      <c r="R199" s="55"/>
      <c r="S199" s="52"/>
      <c r="T199" s="65"/>
      <c r="U199" s="55"/>
      <c r="V199" s="52"/>
      <c r="W199" s="65"/>
      <c r="X199" s="55"/>
      <c r="Y199" s="52"/>
      <c r="Z199" s="65"/>
      <c r="AA199" s="55"/>
      <c r="AB199" s="52"/>
      <c r="AC199" s="65"/>
      <c r="AD199" s="166"/>
      <c r="AE199" s="98"/>
      <c r="AF199" s="99"/>
      <c r="AG199" s="105"/>
      <c r="AH199" s="98"/>
      <c r="AI199" s="99"/>
      <c r="AJ199" s="105"/>
      <c r="AK199" s="98"/>
      <c r="AL199" s="99"/>
      <c r="AM199" s="105"/>
      <c r="AN199" s="98"/>
      <c r="AO199" s="99"/>
      <c r="AP199" s="105"/>
      <c r="AQ199" s="98"/>
      <c r="AR199" s="99"/>
    </row>
    <row r="200" spans="2:44" hidden="1" outlineLevel="1">
      <c r="B200" s="20" t="str">
        <f t="shared" si="61"/>
        <v>UKPN EPN</v>
      </c>
      <c r="C200" s="100"/>
      <c r="D200" s="101"/>
      <c r="E200" s="103"/>
      <c r="F200" s="163"/>
      <c r="G200" s="64"/>
      <c r="H200" s="56"/>
      <c r="I200" s="163"/>
      <c r="J200" s="64"/>
      <c r="K200" s="56"/>
      <c r="L200" s="163"/>
      <c r="M200" s="64"/>
      <c r="N200" s="56"/>
      <c r="O200" s="55"/>
      <c r="P200" s="52"/>
      <c r="Q200" s="65"/>
      <c r="R200" s="55"/>
      <c r="S200" s="52"/>
      <c r="T200" s="65"/>
      <c r="U200" s="55"/>
      <c r="V200" s="52"/>
      <c r="W200" s="65"/>
      <c r="X200" s="55"/>
      <c r="Y200" s="52"/>
      <c r="Z200" s="65"/>
      <c r="AA200" s="55"/>
      <c r="AB200" s="52"/>
      <c r="AC200" s="65"/>
      <c r="AD200" s="166"/>
      <c r="AE200" s="98"/>
      <c r="AF200" s="99"/>
      <c r="AG200" s="105"/>
      <c r="AH200" s="98"/>
      <c r="AI200" s="99"/>
      <c r="AJ200" s="105"/>
      <c r="AK200" s="98"/>
      <c r="AL200" s="99"/>
      <c r="AM200" s="105"/>
      <c r="AN200" s="98"/>
      <c r="AO200" s="99"/>
      <c r="AP200" s="105"/>
      <c r="AQ200" s="98"/>
      <c r="AR200" s="99"/>
    </row>
    <row r="201" spans="2:44" hidden="1" outlineLevel="1">
      <c r="B201" s="20" t="str">
        <f t="shared" si="61"/>
        <v>SP Distribution</v>
      </c>
      <c r="C201" s="100"/>
      <c r="D201" s="101"/>
      <c r="E201" s="103"/>
      <c r="F201" s="163"/>
      <c r="G201" s="64"/>
      <c r="H201" s="56"/>
      <c r="I201" s="163"/>
      <c r="J201" s="64"/>
      <c r="K201" s="56"/>
      <c r="L201" s="163"/>
      <c r="M201" s="64"/>
      <c r="N201" s="56"/>
      <c r="O201" s="55"/>
      <c r="P201" s="52"/>
      <c r="Q201" s="65"/>
      <c r="R201" s="55"/>
      <c r="S201" s="52"/>
      <c r="T201" s="65"/>
      <c r="U201" s="55"/>
      <c r="V201" s="52"/>
      <c r="W201" s="65"/>
      <c r="X201" s="55"/>
      <c r="Y201" s="52"/>
      <c r="Z201" s="65"/>
      <c r="AA201" s="55"/>
      <c r="AB201" s="52"/>
      <c r="AC201" s="65"/>
      <c r="AD201" s="166"/>
      <c r="AE201" s="98"/>
      <c r="AF201" s="99"/>
      <c r="AG201" s="105"/>
      <c r="AH201" s="98"/>
      <c r="AI201" s="99"/>
      <c r="AJ201" s="105"/>
      <c r="AK201" s="98"/>
      <c r="AL201" s="99"/>
      <c r="AM201" s="105"/>
      <c r="AN201" s="98"/>
      <c r="AO201" s="99"/>
      <c r="AP201" s="105"/>
      <c r="AQ201" s="98"/>
      <c r="AR201" s="99"/>
    </row>
    <row r="202" spans="2:44" hidden="1" outlineLevel="1">
      <c r="B202" s="20" t="str">
        <f t="shared" si="61"/>
        <v>SP Manweb</v>
      </c>
      <c r="C202" s="100"/>
      <c r="D202" s="101"/>
      <c r="E202" s="103"/>
      <c r="F202" s="163"/>
      <c r="G202" s="64"/>
      <c r="H202" s="56"/>
      <c r="I202" s="163"/>
      <c r="J202" s="64"/>
      <c r="K202" s="56"/>
      <c r="L202" s="163"/>
      <c r="M202" s="64"/>
      <c r="N202" s="56"/>
      <c r="O202" s="55"/>
      <c r="P202" s="52"/>
      <c r="Q202" s="65"/>
      <c r="R202" s="55"/>
      <c r="S202" s="52"/>
      <c r="T202" s="65"/>
      <c r="U202" s="55"/>
      <c r="V202" s="52"/>
      <c r="W202" s="65"/>
      <c r="X202" s="55"/>
      <c r="Y202" s="52"/>
      <c r="Z202" s="65"/>
      <c r="AA202" s="55"/>
      <c r="AB202" s="52"/>
      <c r="AC202" s="65"/>
      <c r="AD202" s="166"/>
      <c r="AE202" s="98"/>
      <c r="AF202" s="99"/>
      <c r="AG202" s="105"/>
      <c r="AH202" s="98"/>
      <c r="AI202" s="99"/>
      <c r="AJ202" s="105"/>
      <c r="AK202" s="98"/>
      <c r="AL202" s="99"/>
      <c r="AM202" s="105"/>
      <c r="AN202" s="98"/>
      <c r="AO202" s="99"/>
      <c r="AP202" s="105"/>
      <c r="AQ202" s="98"/>
      <c r="AR202" s="99"/>
    </row>
    <row r="203" spans="2:44" hidden="1" outlineLevel="1">
      <c r="B203" s="20" t="str">
        <f t="shared" si="61"/>
        <v>SSE Hydro</v>
      </c>
      <c r="C203" s="100"/>
      <c r="D203" s="101"/>
      <c r="E203" s="103"/>
      <c r="F203" s="163"/>
      <c r="G203" s="64"/>
      <c r="H203" s="56"/>
      <c r="I203" s="163"/>
      <c r="J203" s="64"/>
      <c r="K203" s="56"/>
      <c r="L203" s="163"/>
      <c r="M203" s="64"/>
      <c r="N203" s="56"/>
      <c r="O203" s="55"/>
      <c r="P203" s="52"/>
      <c r="Q203" s="65"/>
      <c r="R203" s="55"/>
      <c r="S203" s="52"/>
      <c r="T203" s="65"/>
      <c r="U203" s="55"/>
      <c r="V203" s="52"/>
      <c r="W203" s="65"/>
      <c r="X203" s="55"/>
      <c r="Y203" s="52"/>
      <c r="Z203" s="65"/>
      <c r="AA203" s="55"/>
      <c r="AB203" s="52"/>
      <c r="AC203" s="65"/>
      <c r="AD203" s="166"/>
      <c r="AE203" s="98"/>
      <c r="AF203" s="99"/>
      <c r="AG203" s="105"/>
      <c r="AH203" s="98"/>
      <c r="AI203" s="99"/>
      <c r="AJ203" s="105"/>
      <c r="AK203" s="98"/>
      <c r="AL203" s="99"/>
      <c r="AM203" s="105"/>
      <c r="AN203" s="98"/>
      <c r="AO203" s="99"/>
      <c r="AP203" s="105"/>
      <c r="AQ203" s="98"/>
      <c r="AR203" s="99"/>
    </row>
    <row r="204" spans="2:44" hidden="1" outlineLevel="1">
      <c r="B204" s="20" t="str">
        <f t="shared" si="61"/>
        <v>SSE Southern</v>
      </c>
      <c r="C204" s="100"/>
      <c r="D204" s="101"/>
      <c r="E204" s="103"/>
      <c r="F204" s="163"/>
      <c r="G204" s="64"/>
      <c r="H204" s="56"/>
      <c r="I204" s="163"/>
      <c r="J204" s="64"/>
      <c r="K204" s="56"/>
      <c r="L204" s="163"/>
      <c r="M204" s="64"/>
      <c r="N204" s="56"/>
      <c r="O204" s="55"/>
      <c r="P204" s="52"/>
      <c r="Q204" s="65"/>
      <c r="R204" s="55"/>
      <c r="S204" s="52"/>
      <c r="T204" s="65"/>
      <c r="U204" s="55"/>
      <c r="V204" s="52"/>
      <c r="W204" s="65"/>
      <c r="X204" s="55"/>
      <c r="Y204" s="52"/>
      <c r="Z204" s="65"/>
      <c r="AA204" s="55"/>
      <c r="AB204" s="52"/>
      <c r="AC204" s="65"/>
      <c r="AD204" s="166"/>
      <c r="AE204" s="98"/>
      <c r="AF204" s="99"/>
      <c r="AG204" s="105"/>
      <c r="AH204" s="98"/>
      <c r="AI204" s="99"/>
      <c r="AJ204" s="105"/>
      <c r="AK204" s="98"/>
      <c r="AL204" s="99"/>
      <c r="AM204" s="105"/>
      <c r="AN204" s="98"/>
      <c r="AO204" s="99"/>
      <c r="AP204" s="105"/>
      <c r="AQ204" s="98"/>
      <c r="AR204" s="99"/>
    </row>
    <row r="205" spans="2:44" hidden="1" outlineLevel="1">
      <c r="B205" s="185" t="s">
        <v>78</v>
      </c>
      <c r="C205" s="121"/>
      <c r="D205" s="122"/>
      <c r="E205" s="123"/>
      <c r="F205" s="121"/>
      <c r="G205" s="122"/>
      <c r="H205" s="186">
        <f>SUM(H191:H204)</f>
        <v>0</v>
      </c>
      <c r="I205" s="187"/>
      <c r="J205" s="189"/>
      <c r="K205" s="186">
        <f>SUM(K191:K204)</f>
        <v>0</v>
      </c>
      <c r="L205" s="187"/>
      <c r="M205" s="189"/>
      <c r="N205" s="186">
        <f>SUM(N191:N204)</f>
        <v>0</v>
      </c>
      <c r="O205" s="187"/>
      <c r="P205" s="189"/>
      <c r="Q205" s="186">
        <f>SUM(Q191:Q204)</f>
        <v>0</v>
      </c>
      <c r="R205" s="187"/>
      <c r="S205" s="189"/>
      <c r="T205" s="186">
        <f>SUM(T191:T204)</f>
        <v>0</v>
      </c>
      <c r="U205" s="187"/>
      <c r="V205" s="189"/>
      <c r="W205" s="186">
        <f>SUM(W191:W204)</f>
        <v>0</v>
      </c>
      <c r="X205" s="187"/>
      <c r="Y205" s="189"/>
      <c r="Z205" s="186">
        <f>SUM(Z191:Z204)</f>
        <v>0</v>
      </c>
      <c r="AA205" s="187"/>
      <c r="AB205" s="189"/>
      <c r="AC205" s="186">
        <f>SUM(AC191:AC204)</f>
        <v>0</v>
      </c>
      <c r="AD205" s="187"/>
      <c r="AE205" s="189"/>
      <c r="AF205" s="186">
        <f>SUM(AF191:AF204)</f>
        <v>0</v>
      </c>
      <c r="AG205" s="187"/>
      <c r="AH205" s="189"/>
      <c r="AI205" s="188">
        <f>SUM(AI191:AI204)</f>
        <v>0</v>
      </c>
      <c r="AJ205" s="187"/>
      <c r="AK205" s="189"/>
      <c r="AL205" s="186">
        <f>SUM(AL191:AL204)</f>
        <v>0</v>
      </c>
      <c r="AM205" s="187"/>
      <c r="AN205" s="189"/>
      <c r="AO205" s="188">
        <f>SUM(AO191:AO204)</f>
        <v>0</v>
      </c>
      <c r="AP205" s="187"/>
      <c r="AQ205" s="189"/>
      <c r="AR205" s="188">
        <f>SUM(AR191:AR204)</f>
        <v>0</v>
      </c>
    </row>
    <row r="206" spans="2:44" s="152" customFormat="1" ht="13.5" hidden="1" outlineLevel="1" thickBot="1">
      <c r="B206" s="181" t="s">
        <v>66</v>
      </c>
      <c r="C206" s="182"/>
      <c r="D206" s="183"/>
      <c r="E206" s="184"/>
      <c r="F206" s="190" t="e">
        <f t="shared" ref="F206:AR206" si="62">AVERAGE(F191:F204)</f>
        <v>#DIV/0!</v>
      </c>
      <c r="G206" s="191" t="e">
        <f t="shared" si="62"/>
        <v>#DIV/0!</v>
      </c>
      <c r="H206" s="192" t="e">
        <f t="shared" si="62"/>
        <v>#DIV/0!</v>
      </c>
      <c r="I206" s="190" t="e">
        <f t="shared" si="62"/>
        <v>#DIV/0!</v>
      </c>
      <c r="J206" s="191" t="e">
        <f t="shared" si="62"/>
        <v>#DIV/0!</v>
      </c>
      <c r="K206" s="192" t="e">
        <f t="shared" si="62"/>
        <v>#DIV/0!</v>
      </c>
      <c r="L206" s="190" t="e">
        <f t="shared" si="62"/>
        <v>#DIV/0!</v>
      </c>
      <c r="M206" s="191" t="e">
        <f t="shared" si="62"/>
        <v>#DIV/0!</v>
      </c>
      <c r="N206" s="192" t="e">
        <f t="shared" si="62"/>
        <v>#DIV/0!</v>
      </c>
      <c r="O206" s="190" t="e">
        <f t="shared" si="62"/>
        <v>#DIV/0!</v>
      </c>
      <c r="P206" s="191" t="e">
        <f t="shared" si="62"/>
        <v>#DIV/0!</v>
      </c>
      <c r="Q206" s="192" t="e">
        <f t="shared" si="62"/>
        <v>#DIV/0!</v>
      </c>
      <c r="R206" s="190" t="e">
        <f t="shared" si="62"/>
        <v>#DIV/0!</v>
      </c>
      <c r="S206" s="191" t="e">
        <f t="shared" si="62"/>
        <v>#DIV/0!</v>
      </c>
      <c r="T206" s="192" t="e">
        <f t="shared" si="62"/>
        <v>#DIV/0!</v>
      </c>
      <c r="U206" s="190" t="e">
        <f t="shared" si="62"/>
        <v>#DIV/0!</v>
      </c>
      <c r="V206" s="191" t="e">
        <f t="shared" si="62"/>
        <v>#DIV/0!</v>
      </c>
      <c r="W206" s="192" t="e">
        <f t="shared" si="62"/>
        <v>#DIV/0!</v>
      </c>
      <c r="X206" s="190" t="e">
        <f t="shared" si="62"/>
        <v>#DIV/0!</v>
      </c>
      <c r="Y206" s="191" t="e">
        <f t="shared" si="62"/>
        <v>#DIV/0!</v>
      </c>
      <c r="Z206" s="192" t="e">
        <f t="shared" si="62"/>
        <v>#DIV/0!</v>
      </c>
      <c r="AA206" s="190" t="e">
        <f t="shared" si="62"/>
        <v>#DIV/0!</v>
      </c>
      <c r="AB206" s="193" t="e">
        <f t="shared" si="62"/>
        <v>#DIV/0!</v>
      </c>
      <c r="AC206" s="194" t="e">
        <f t="shared" si="62"/>
        <v>#DIV/0!</v>
      </c>
      <c r="AD206" s="190" t="e">
        <f t="shared" si="62"/>
        <v>#DIV/0!</v>
      </c>
      <c r="AE206" s="191" t="e">
        <f t="shared" si="62"/>
        <v>#DIV/0!</v>
      </c>
      <c r="AF206" s="192" t="e">
        <f t="shared" si="62"/>
        <v>#DIV/0!</v>
      </c>
      <c r="AG206" s="190" t="e">
        <f t="shared" si="62"/>
        <v>#DIV/0!</v>
      </c>
      <c r="AH206" s="193" t="e">
        <f t="shared" si="62"/>
        <v>#DIV/0!</v>
      </c>
      <c r="AI206" s="194" t="e">
        <f t="shared" si="62"/>
        <v>#DIV/0!</v>
      </c>
      <c r="AJ206" s="190" t="e">
        <f t="shared" si="62"/>
        <v>#DIV/0!</v>
      </c>
      <c r="AK206" s="191" t="e">
        <f t="shared" si="62"/>
        <v>#DIV/0!</v>
      </c>
      <c r="AL206" s="192" t="e">
        <f t="shared" si="62"/>
        <v>#DIV/0!</v>
      </c>
      <c r="AM206" s="190" t="e">
        <f t="shared" si="62"/>
        <v>#DIV/0!</v>
      </c>
      <c r="AN206" s="193" t="e">
        <f t="shared" si="62"/>
        <v>#DIV/0!</v>
      </c>
      <c r="AO206" s="194" t="e">
        <f t="shared" si="62"/>
        <v>#DIV/0!</v>
      </c>
      <c r="AP206" s="190" t="e">
        <f t="shared" si="62"/>
        <v>#DIV/0!</v>
      </c>
      <c r="AQ206" s="191" t="e">
        <f t="shared" si="62"/>
        <v>#DIV/0!</v>
      </c>
      <c r="AR206" s="192" t="e">
        <f t="shared" si="62"/>
        <v>#DIV/0!</v>
      </c>
    </row>
    <row r="207" spans="2:44" hidden="1" outlineLevel="1">
      <c r="B207" s="155"/>
    </row>
    <row r="208" spans="2:44" collapsed="1">
      <c r="B208" s="152"/>
    </row>
    <row r="209" spans="2:44">
      <c r="B209" s="643" t="s">
        <v>174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1"/>
      <c r="Y209" s="11"/>
      <c r="Z209" s="11"/>
    </row>
    <row r="210" spans="2:44" hidden="1" outlineLevel="1">
      <c r="B210" s="770" t="s">
        <v>19</v>
      </c>
      <c r="C210" s="767" t="str">
        <f>C126</f>
        <v>2001-02</v>
      </c>
      <c r="D210" s="768"/>
      <c r="E210" s="768"/>
      <c r="F210" s="767" t="str">
        <f t="shared" ref="F210" si="63">F126</f>
        <v>2002-03</v>
      </c>
      <c r="G210" s="768"/>
      <c r="H210" s="768"/>
      <c r="I210" s="767" t="str">
        <f t="shared" ref="I210" si="64">I126</f>
        <v>2003-04</v>
      </c>
      <c r="J210" s="768"/>
      <c r="K210" s="768"/>
      <c r="L210" s="767" t="str">
        <f t="shared" ref="L210" si="65">L126</f>
        <v>2004-05</v>
      </c>
      <c r="M210" s="768"/>
      <c r="N210" s="768"/>
      <c r="O210" s="767" t="str">
        <f t="shared" ref="O210" si="66">O126</f>
        <v>2005-06</v>
      </c>
      <c r="P210" s="768"/>
      <c r="Q210" s="768"/>
      <c r="R210" s="767" t="str">
        <f t="shared" ref="R210" si="67">R126</f>
        <v>2006-07</v>
      </c>
      <c r="S210" s="768"/>
      <c r="T210" s="768"/>
      <c r="U210" s="767" t="str">
        <f t="shared" ref="U210" si="68">U126</f>
        <v>2007-08</v>
      </c>
      <c r="V210" s="768"/>
      <c r="W210" s="768"/>
      <c r="X210" s="767" t="str">
        <f t="shared" ref="X210" si="69">X126</f>
        <v>2008-09</v>
      </c>
      <c r="Y210" s="768"/>
      <c r="Z210" s="768"/>
      <c r="AA210" s="767" t="str">
        <f t="shared" ref="AA210" si="70">AA126</f>
        <v>2009-10</v>
      </c>
      <c r="AB210" s="768"/>
      <c r="AC210" s="768"/>
      <c r="AD210" s="767" t="str">
        <f t="shared" ref="AD210" si="71">AD126</f>
        <v>2010-11</v>
      </c>
      <c r="AE210" s="768"/>
      <c r="AF210" s="768"/>
      <c r="AG210" s="767" t="str">
        <f t="shared" ref="AG210" si="72">AG126</f>
        <v>2011-12</v>
      </c>
      <c r="AH210" s="768"/>
      <c r="AI210" s="768"/>
      <c r="AJ210" s="767" t="str">
        <f t="shared" ref="AJ210" si="73">AJ126</f>
        <v>2012-13</v>
      </c>
      <c r="AK210" s="768"/>
      <c r="AL210" s="768"/>
      <c r="AM210" s="767" t="str">
        <f t="shared" ref="AM210" si="74">AM126</f>
        <v>2013-14</v>
      </c>
      <c r="AN210" s="768"/>
      <c r="AO210" s="768"/>
      <c r="AP210" s="767" t="str">
        <f t="shared" ref="AP210" si="75">AP126</f>
        <v>2014-15</v>
      </c>
      <c r="AQ210" s="768"/>
      <c r="AR210" s="769"/>
    </row>
    <row r="211" spans="2:44" ht="13.5" hidden="1" outlineLevel="1" thickBot="1">
      <c r="B211" s="771"/>
      <c r="C211" s="102" t="s">
        <v>67</v>
      </c>
      <c r="D211" s="106" t="s">
        <v>68</v>
      </c>
      <c r="E211" s="159" t="s">
        <v>69</v>
      </c>
      <c r="F211" s="102" t="s">
        <v>67</v>
      </c>
      <c r="G211" s="106" t="s">
        <v>68</v>
      </c>
      <c r="H211" s="107" t="s">
        <v>69</v>
      </c>
      <c r="I211" s="102" t="s">
        <v>67</v>
      </c>
      <c r="J211" s="106" t="s">
        <v>68</v>
      </c>
      <c r="K211" s="107" t="s">
        <v>69</v>
      </c>
      <c r="L211" s="102" t="s">
        <v>67</v>
      </c>
      <c r="M211" s="106" t="s">
        <v>68</v>
      </c>
      <c r="N211" s="107" t="s">
        <v>69</v>
      </c>
      <c r="O211" s="102" t="s">
        <v>67</v>
      </c>
      <c r="P211" s="106" t="s">
        <v>68</v>
      </c>
      <c r="Q211" s="107" t="s">
        <v>69</v>
      </c>
      <c r="R211" s="102" t="s">
        <v>67</v>
      </c>
      <c r="S211" s="106" t="s">
        <v>68</v>
      </c>
      <c r="T211" s="107" t="s">
        <v>69</v>
      </c>
      <c r="U211" s="102" t="s">
        <v>67</v>
      </c>
      <c r="V211" s="106" t="s">
        <v>68</v>
      </c>
      <c r="W211" s="107" t="s">
        <v>69</v>
      </c>
      <c r="X211" s="102" t="s">
        <v>67</v>
      </c>
      <c r="Y211" s="106" t="s">
        <v>68</v>
      </c>
      <c r="Z211" s="107" t="s">
        <v>69</v>
      </c>
      <c r="AA211" s="102" t="s">
        <v>67</v>
      </c>
      <c r="AB211" s="106" t="s">
        <v>68</v>
      </c>
      <c r="AC211" s="107" t="s">
        <v>69</v>
      </c>
      <c r="AD211" s="160" t="s">
        <v>67</v>
      </c>
      <c r="AE211" s="106" t="s">
        <v>68</v>
      </c>
      <c r="AF211" s="107" t="s">
        <v>69</v>
      </c>
      <c r="AG211" s="102" t="s">
        <v>67</v>
      </c>
      <c r="AH211" s="106" t="s">
        <v>68</v>
      </c>
      <c r="AI211" s="107" t="s">
        <v>69</v>
      </c>
      <c r="AJ211" s="102" t="s">
        <v>67</v>
      </c>
      <c r="AK211" s="106" t="s">
        <v>68</v>
      </c>
      <c r="AL211" s="107" t="s">
        <v>69</v>
      </c>
      <c r="AM211" s="102" t="s">
        <v>67</v>
      </c>
      <c r="AN211" s="106" t="s">
        <v>68</v>
      </c>
      <c r="AO211" s="107" t="s">
        <v>69</v>
      </c>
      <c r="AP211" s="102" t="s">
        <v>67</v>
      </c>
      <c r="AQ211" s="106" t="s">
        <v>68</v>
      </c>
      <c r="AR211" s="107" t="s">
        <v>69</v>
      </c>
    </row>
    <row r="212" spans="2:44" ht="13.5" hidden="1" outlineLevel="1" thickTop="1">
      <c r="B212" s="20" t="str">
        <f>B128</f>
        <v>CN West</v>
      </c>
      <c r="C212" s="115"/>
      <c r="D212" s="116"/>
      <c r="E212" s="117"/>
      <c r="F212" s="161"/>
      <c r="G212" s="157"/>
      <c r="H212" s="162"/>
      <c r="I212" s="161"/>
      <c r="J212" s="157"/>
      <c r="K212" s="162"/>
      <c r="L212" s="161"/>
      <c r="M212" s="157"/>
      <c r="N212" s="162"/>
      <c r="O212" s="161"/>
      <c r="P212" s="158"/>
      <c r="Q212" s="162"/>
      <c r="R212" s="161"/>
      <c r="S212" s="158"/>
      <c r="T212" s="162"/>
      <c r="U212" s="161"/>
      <c r="V212" s="158"/>
      <c r="W212" s="162"/>
      <c r="X212" s="161"/>
      <c r="Y212" s="158"/>
      <c r="Z212" s="162"/>
      <c r="AA212" s="161"/>
      <c r="AB212" s="158"/>
      <c r="AC212" s="162"/>
      <c r="AD212" s="118"/>
      <c r="AE212" s="119"/>
      <c r="AF212" s="120"/>
      <c r="AG212" s="105"/>
      <c r="AH212" s="98"/>
      <c r="AI212" s="99"/>
      <c r="AJ212" s="118"/>
      <c r="AK212" s="119"/>
      <c r="AL212" s="120"/>
      <c r="AM212" s="105"/>
      <c r="AN212" s="98"/>
      <c r="AO212" s="99"/>
      <c r="AP212" s="118"/>
      <c r="AQ212" s="119"/>
      <c r="AR212" s="164"/>
    </row>
    <row r="213" spans="2:44" hidden="1" outlineLevel="1">
      <c r="B213" s="20" t="str">
        <f t="shared" ref="B213:B225" si="76">B129</f>
        <v>CN East</v>
      </c>
      <c r="C213" s="100"/>
      <c r="D213" s="101"/>
      <c r="E213" s="104"/>
      <c r="F213" s="163"/>
      <c r="G213" s="64"/>
      <c r="H213" s="65"/>
      <c r="I213" s="163"/>
      <c r="J213" s="64"/>
      <c r="K213" s="65"/>
      <c r="L213" s="163"/>
      <c r="M213" s="64"/>
      <c r="N213" s="65"/>
      <c r="O213" s="55"/>
      <c r="P213" s="52"/>
      <c r="Q213" s="65"/>
      <c r="R213" s="55"/>
      <c r="S213" s="52"/>
      <c r="T213" s="65"/>
      <c r="U213" s="55"/>
      <c r="V213" s="52"/>
      <c r="W213" s="65"/>
      <c r="X213" s="55"/>
      <c r="Y213" s="52"/>
      <c r="Z213" s="65"/>
      <c r="AA213" s="55"/>
      <c r="AB213" s="52"/>
      <c r="AC213" s="65"/>
      <c r="AD213" s="110"/>
      <c r="AE213" s="111"/>
      <c r="AF213" s="109"/>
      <c r="AG213" s="105"/>
      <c r="AH213" s="98"/>
      <c r="AI213" s="99"/>
      <c r="AJ213" s="110"/>
      <c r="AK213" s="111"/>
      <c r="AL213" s="109"/>
      <c r="AM213" s="105"/>
      <c r="AN213" s="98"/>
      <c r="AO213" s="99"/>
      <c r="AP213" s="110"/>
      <c r="AQ213" s="111"/>
      <c r="AR213" s="165"/>
    </row>
    <row r="214" spans="2:44" hidden="1" outlineLevel="1">
      <c r="B214" s="20" t="str">
        <f t="shared" si="76"/>
        <v>ENWL</v>
      </c>
      <c r="C214" s="100"/>
      <c r="D214" s="101"/>
      <c r="E214" s="104"/>
      <c r="F214" s="163"/>
      <c r="G214" s="64"/>
      <c r="H214" s="65"/>
      <c r="I214" s="163"/>
      <c r="J214" s="64"/>
      <c r="K214" s="65"/>
      <c r="L214" s="163"/>
      <c r="M214" s="64"/>
      <c r="N214" s="65"/>
      <c r="O214" s="55"/>
      <c r="P214" s="52"/>
      <c r="Q214" s="65"/>
      <c r="R214" s="55"/>
      <c r="S214" s="52"/>
      <c r="T214" s="65"/>
      <c r="U214" s="55"/>
      <c r="V214" s="52"/>
      <c r="W214" s="65"/>
      <c r="X214" s="55"/>
      <c r="Y214" s="52"/>
      <c r="Z214" s="65"/>
      <c r="AA214" s="55"/>
      <c r="AB214" s="52"/>
      <c r="AC214" s="65"/>
      <c r="AD214" s="110"/>
      <c r="AE214" s="111"/>
      <c r="AF214" s="109"/>
      <c r="AG214" s="105"/>
      <c r="AH214" s="98"/>
      <c r="AI214" s="99"/>
      <c r="AJ214" s="110"/>
      <c r="AK214" s="111"/>
      <c r="AL214" s="109"/>
      <c r="AM214" s="105"/>
      <c r="AN214" s="98"/>
      <c r="AO214" s="99"/>
      <c r="AP214" s="110"/>
      <c r="AQ214" s="111"/>
      <c r="AR214" s="165"/>
    </row>
    <row r="215" spans="2:44" hidden="1" outlineLevel="1">
      <c r="B215" s="20" t="str">
        <f t="shared" si="76"/>
        <v>CE NEDL</v>
      </c>
      <c r="C215" s="100"/>
      <c r="D215" s="101"/>
      <c r="E215" s="104"/>
      <c r="F215" s="163"/>
      <c r="G215" s="64"/>
      <c r="H215" s="65"/>
      <c r="I215" s="163"/>
      <c r="J215" s="64"/>
      <c r="K215" s="65"/>
      <c r="L215" s="163"/>
      <c r="M215" s="64"/>
      <c r="N215" s="65"/>
      <c r="O215" s="55"/>
      <c r="P215" s="52"/>
      <c r="Q215" s="65"/>
      <c r="R215" s="55"/>
      <c r="S215" s="52"/>
      <c r="T215" s="65"/>
      <c r="U215" s="55"/>
      <c r="V215" s="52"/>
      <c r="W215" s="65"/>
      <c r="X215" s="55"/>
      <c r="Y215" s="52"/>
      <c r="Z215" s="65"/>
      <c r="AA215" s="55"/>
      <c r="AB215" s="52"/>
      <c r="AC215" s="65"/>
      <c r="AD215" s="110"/>
      <c r="AE215" s="111"/>
      <c r="AF215" s="109"/>
      <c r="AG215" s="105"/>
      <c r="AH215" s="98"/>
      <c r="AI215" s="99"/>
      <c r="AJ215" s="110"/>
      <c r="AK215" s="111"/>
      <c r="AL215" s="109"/>
      <c r="AM215" s="105"/>
      <c r="AN215" s="98"/>
      <c r="AO215" s="99"/>
      <c r="AP215" s="110"/>
      <c r="AQ215" s="111"/>
      <c r="AR215" s="165"/>
    </row>
    <row r="216" spans="2:44" hidden="1" outlineLevel="1">
      <c r="B216" s="20" t="str">
        <f t="shared" si="76"/>
        <v>CE YEDL</v>
      </c>
      <c r="C216" s="100"/>
      <c r="D216" s="101"/>
      <c r="E216" s="104"/>
      <c r="F216" s="163"/>
      <c r="G216" s="64"/>
      <c r="H216" s="65"/>
      <c r="I216" s="163"/>
      <c r="J216" s="64"/>
      <c r="K216" s="65"/>
      <c r="L216" s="163"/>
      <c r="M216" s="64"/>
      <c r="N216" s="65"/>
      <c r="O216" s="55"/>
      <c r="P216" s="52"/>
      <c r="Q216" s="65"/>
      <c r="R216" s="55"/>
      <c r="S216" s="52"/>
      <c r="T216" s="65"/>
      <c r="U216" s="55"/>
      <c r="V216" s="52"/>
      <c r="W216" s="65"/>
      <c r="X216" s="55"/>
      <c r="Y216" s="52"/>
      <c r="Z216" s="65"/>
      <c r="AA216" s="55"/>
      <c r="AB216" s="52"/>
      <c r="AC216" s="65"/>
      <c r="AD216" s="110"/>
      <c r="AE216" s="111"/>
      <c r="AF216" s="109"/>
      <c r="AG216" s="105"/>
      <c r="AH216" s="98"/>
      <c r="AI216" s="99"/>
      <c r="AJ216" s="110"/>
      <c r="AK216" s="111"/>
      <c r="AL216" s="109"/>
      <c r="AM216" s="105"/>
      <c r="AN216" s="98"/>
      <c r="AO216" s="99"/>
      <c r="AP216" s="110"/>
      <c r="AQ216" s="111"/>
      <c r="AR216" s="165"/>
    </row>
    <row r="217" spans="2:44" hidden="1" outlineLevel="1">
      <c r="B217" s="20" t="str">
        <f t="shared" si="76"/>
        <v>WPD S Wales</v>
      </c>
      <c r="C217" s="100"/>
      <c r="D217" s="101"/>
      <c r="E217" s="104"/>
      <c r="F217" s="163"/>
      <c r="G217" s="64"/>
      <c r="H217" s="65"/>
      <c r="I217" s="163"/>
      <c r="J217" s="64"/>
      <c r="K217" s="65"/>
      <c r="L217" s="163"/>
      <c r="M217" s="64"/>
      <c r="N217" s="65"/>
      <c r="O217" s="55"/>
      <c r="P217" s="52"/>
      <c r="Q217" s="65"/>
      <c r="R217" s="55"/>
      <c r="S217" s="52"/>
      <c r="T217" s="65"/>
      <c r="U217" s="55"/>
      <c r="V217" s="52"/>
      <c r="W217" s="65"/>
      <c r="X217" s="55"/>
      <c r="Y217" s="52"/>
      <c r="Z217" s="65"/>
      <c r="AA217" s="55"/>
      <c r="AB217" s="52"/>
      <c r="AC217" s="65"/>
      <c r="AD217" s="110"/>
      <c r="AE217" s="111"/>
      <c r="AF217" s="109"/>
      <c r="AG217" s="105"/>
      <c r="AH217" s="98"/>
      <c r="AI217" s="99"/>
      <c r="AJ217" s="110"/>
      <c r="AK217" s="111"/>
      <c r="AL217" s="109"/>
      <c r="AM217" s="105"/>
      <c r="AN217" s="98"/>
      <c r="AO217" s="99"/>
      <c r="AP217" s="110"/>
      <c r="AQ217" s="111"/>
      <c r="AR217" s="165"/>
    </row>
    <row r="218" spans="2:44" hidden="1" outlineLevel="1">
      <c r="B218" s="20" t="str">
        <f t="shared" si="76"/>
        <v>WPD S West</v>
      </c>
      <c r="C218" s="100"/>
      <c r="D218" s="101"/>
      <c r="E218" s="104"/>
      <c r="F218" s="163"/>
      <c r="G218" s="64"/>
      <c r="H218" s="65"/>
      <c r="I218" s="163"/>
      <c r="J218" s="64"/>
      <c r="K218" s="65"/>
      <c r="L218" s="163"/>
      <c r="M218" s="64"/>
      <c r="N218" s="65"/>
      <c r="O218" s="55"/>
      <c r="P218" s="52"/>
      <c r="Q218" s="65"/>
      <c r="R218" s="55"/>
      <c r="S218" s="52"/>
      <c r="T218" s="65"/>
      <c r="U218" s="55"/>
      <c r="V218" s="52"/>
      <c r="W218" s="65"/>
      <c r="X218" s="55"/>
      <c r="Y218" s="52"/>
      <c r="Z218" s="65"/>
      <c r="AA218" s="55"/>
      <c r="AB218" s="52"/>
      <c r="AC218" s="65"/>
      <c r="AD218" s="110"/>
      <c r="AE218" s="111"/>
      <c r="AF218" s="109"/>
      <c r="AG218" s="105"/>
      <c r="AH218" s="98"/>
      <c r="AI218" s="99"/>
      <c r="AJ218" s="110"/>
      <c r="AK218" s="111"/>
      <c r="AL218" s="109"/>
      <c r="AM218" s="105"/>
      <c r="AN218" s="98"/>
      <c r="AO218" s="99"/>
      <c r="AP218" s="110"/>
      <c r="AQ218" s="111"/>
      <c r="AR218" s="165"/>
    </row>
    <row r="219" spans="2:44" hidden="1" outlineLevel="1">
      <c r="B219" s="20" t="str">
        <f t="shared" si="76"/>
        <v>UKPN LPN</v>
      </c>
      <c r="C219" s="100"/>
      <c r="D219" s="101"/>
      <c r="E219" s="104"/>
      <c r="F219" s="163"/>
      <c r="G219" s="64"/>
      <c r="H219" s="65"/>
      <c r="I219" s="163"/>
      <c r="J219" s="64"/>
      <c r="K219" s="65"/>
      <c r="L219" s="163"/>
      <c r="M219" s="64"/>
      <c r="N219" s="65"/>
      <c r="O219" s="55"/>
      <c r="P219" s="52"/>
      <c r="Q219" s="65"/>
      <c r="R219" s="55"/>
      <c r="S219" s="52"/>
      <c r="T219" s="65"/>
      <c r="U219" s="55"/>
      <c r="V219" s="52"/>
      <c r="W219" s="65"/>
      <c r="X219" s="55"/>
      <c r="Y219" s="52"/>
      <c r="Z219" s="65"/>
      <c r="AA219" s="55"/>
      <c r="AB219" s="52"/>
      <c r="AC219" s="65"/>
      <c r="AD219" s="110"/>
      <c r="AE219" s="111"/>
      <c r="AF219" s="109"/>
      <c r="AG219" s="105"/>
      <c r="AH219" s="98"/>
      <c r="AI219" s="99"/>
      <c r="AJ219" s="110"/>
      <c r="AK219" s="111"/>
      <c r="AL219" s="109"/>
      <c r="AM219" s="105"/>
      <c r="AN219" s="98"/>
      <c r="AO219" s="99"/>
      <c r="AP219" s="110"/>
      <c r="AQ219" s="111"/>
      <c r="AR219" s="165"/>
    </row>
    <row r="220" spans="2:44" hidden="1" outlineLevel="1">
      <c r="B220" s="20" t="str">
        <f t="shared" si="76"/>
        <v>UKPN SEPN</v>
      </c>
      <c r="C220" s="100"/>
      <c r="D220" s="101"/>
      <c r="E220" s="104"/>
      <c r="F220" s="163"/>
      <c r="G220" s="64"/>
      <c r="H220" s="65"/>
      <c r="I220" s="163"/>
      <c r="J220" s="64"/>
      <c r="K220" s="65"/>
      <c r="L220" s="163"/>
      <c r="M220" s="64"/>
      <c r="N220" s="65"/>
      <c r="O220" s="55"/>
      <c r="P220" s="52"/>
      <c r="Q220" s="65"/>
      <c r="R220" s="55"/>
      <c r="S220" s="52"/>
      <c r="T220" s="65"/>
      <c r="U220" s="55"/>
      <c r="V220" s="52"/>
      <c r="W220" s="65"/>
      <c r="X220" s="55"/>
      <c r="Y220" s="52"/>
      <c r="Z220" s="65"/>
      <c r="AA220" s="55"/>
      <c r="AB220" s="52"/>
      <c r="AC220" s="65"/>
      <c r="AD220" s="110"/>
      <c r="AE220" s="111"/>
      <c r="AF220" s="109"/>
      <c r="AG220" s="105"/>
      <c r="AH220" s="98"/>
      <c r="AI220" s="99"/>
      <c r="AJ220" s="110"/>
      <c r="AK220" s="111"/>
      <c r="AL220" s="109"/>
      <c r="AM220" s="105"/>
      <c r="AN220" s="98"/>
      <c r="AO220" s="99"/>
      <c r="AP220" s="110"/>
      <c r="AQ220" s="111"/>
      <c r="AR220" s="165"/>
    </row>
    <row r="221" spans="2:44" hidden="1" outlineLevel="1">
      <c r="B221" s="20" t="str">
        <f t="shared" si="76"/>
        <v>UKPN EPN</v>
      </c>
      <c r="C221" s="100"/>
      <c r="D221" s="101"/>
      <c r="E221" s="104"/>
      <c r="F221" s="163"/>
      <c r="G221" s="64"/>
      <c r="H221" s="65"/>
      <c r="I221" s="163"/>
      <c r="J221" s="64"/>
      <c r="K221" s="65"/>
      <c r="L221" s="163"/>
      <c r="M221" s="64"/>
      <c r="N221" s="65"/>
      <c r="O221" s="55"/>
      <c r="P221" s="52"/>
      <c r="Q221" s="65"/>
      <c r="R221" s="55"/>
      <c r="S221" s="52"/>
      <c r="T221" s="65"/>
      <c r="U221" s="55"/>
      <c r="V221" s="52"/>
      <c r="W221" s="65"/>
      <c r="X221" s="55"/>
      <c r="Y221" s="52"/>
      <c r="Z221" s="65"/>
      <c r="AA221" s="55"/>
      <c r="AB221" s="52"/>
      <c r="AC221" s="65"/>
      <c r="AD221" s="110"/>
      <c r="AE221" s="111"/>
      <c r="AF221" s="109"/>
      <c r="AG221" s="105"/>
      <c r="AH221" s="98"/>
      <c r="AI221" s="99"/>
      <c r="AJ221" s="110"/>
      <c r="AK221" s="111"/>
      <c r="AL221" s="109"/>
      <c r="AM221" s="105"/>
      <c r="AN221" s="98"/>
      <c r="AO221" s="99"/>
      <c r="AP221" s="110"/>
      <c r="AQ221" s="111"/>
      <c r="AR221" s="165"/>
    </row>
    <row r="222" spans="2:44" hidden="1" outlineLevel="1">
      <c r="B222" s="20" t="str">
        <f t="shared" si="76"/>
        <v>SP Distribution</v>
      </c>
      <c r="C222" s="100"/>
      <c r="D222" s="101"/>
      <c r="E222" s="104"/>
      <c r="F222" s="163"/>
      <c r="G222" s="64"/>
      <c r="H222" s="65"/>
      <c r="I222" s="163"/>
      <c r="J222" s="64"/>
      <c r="K222" s="65"/>
      <c r="L222" s="163"/>
      <c r="M222" s="64"/>
      <c r="N222" s="65"/>
      <c r="O222" s="55"/>
      <c r="P222" s="52"/>
      <c r="Q222" s="65"/>
      <c r="R222" s="55"/>
      <c r="S222" s="52"/>
      <c r="T222" s="65"/>
      <c r="U222" s="55"/>
      <c r="V222" s="52"/>
      <c r="W222" s="65"/>
      <c r="X222" s="55"/>
      <c r="Y222" s="52"/>
      <c r="Z222" s="65"/>
      <c r="AA222" s="55"/>
      <c r="AB222" s="52"/>
      <c r="AC222" s="65"/>
      <c r="AD222" s="110"/>
      <c r="AE222" s="111"/>
      <c r="AF222" s="109"/>
      <c r="AG222" s="105"/>
      <c r="AH222" s="98"/>
      <c r="AI222" s="99"/>
      <c r="AJ222" s="110"/>
      <c r="AK222" s="111"/>
      <c r="AL222" s="109"/>
      <c r="AM222" s="105"/>
      <c r="AN222" s="98"/>
      <c r="AO222" s="99"/>
      <c r="AP222" s="110"/>
      <c r="AQ222" s="111"/>
      <c r="AR222" s="165"/>
    </row>
    <row r="223" spans="2:44" hidden="1" outlineLevel="1">
      <c r="B223" s="20" t="str">
        <f t="shared" si="76"/>
        <v>SP Manweb</v>
      </c>
      <c r="C223" s="100"/>
      <c r="D223" s="101"/>
      <c r="E223" s="104"/>
      <c r="F223" s="163"/>
      <c r="G223" s="64"/>
      <c r="H223" s="65"/>
      <c r="I223" s="163"/>
      <c r="J223" s="64"/>
      <c r="K223" s="65"/>
      <c r="L223" s="163"/>
      <c r="M223" s="64"/>
      <c r="N223" s="65"/>
      <c r="O223" s="55"/>
      <c r="P223" s="52"/>
      <c r="Q223" s="65"/>
      <c r="R223" s="55"/>
      <c r="S223" s="52"/>
      <c r="T223" s="65"/>
      <c r="U223" s="55"/>
      <c r="V223" s="52"/>
      <c r="W223" s="65"/>
      <c r="X223" s="55"/>
      <c r="Y223" s="52"/>
      <c r="Z223" s="65"/>
      <c r="AA223" s="55"/>
      <c r="AB223" s="52"/>
      <c r="AC223" s="65"/>
      <c r="AD223" s="110"/>
      <c r="AE223" s="111"/>
      <c r="AF223" s="109"/>
      <c r="AG223" s="105"/>
      <c r="AH223" s="98"/>
      <c r="AI223" s="99"/>
      <c r="AJ223" s="110"/>
      <c r="AK223" s="111"/>
      <c r="AL223" s="109"/>
      <c r="AM223" s="105"/>
      <c r="AN223" s="98"/>
      <c r="AO223" s="99"/>
      <c r="AP223" s="110"/>
      <c r="AQ223" s="111"/>
      <c r="AR223" s="165"/>
    </row>
    <row r="224" spans="2:44" hidden="1" outlineLevel="1">
      <c r="B224" s="20" t="str">
        <f t="shared" si="76"/>
        <v>SSE Hydro</v>
      </c>
      <c r="C224" s="100"/>
      <c r="D224" s="101"/>
      <c r="E224" s="104"/>
      <c r="F224" s="163"/>
      <c r="G224" s="64"/>
      <c r="H224" s="65"/>
      <c r="I224" s="163"/>
      <c r="J224" s="64"/>
      <c r="K224" s="65"/>
      <c r="L224" s="163"/>
      <c r="M224" s="64"/>
      <c r="N224" s="65"/>
      <c r="O224" s="55"/>
      <c r="P224" s="52"/>
      <c r="Q224" s="65"/>
      <c r="R224" s="55"/>
      <c r="S224" s="52"/>
      <c r="T224" s="65"/>
      <c r="U224" s="55"/>
      <c r="V224" s="52"/>
      <c r="W224" s="65"/>
      <c r="X224" s="55"/>
      <c r="Y224" s="52"/>
      <c r="Z224" s="65"/>
      <c r="AA224" s="55"/>
      <c r="AB224" s="52"/>
      <c r="AC224" s="65"/>
      <c r="AD224" s="110"/>
      <c r="AE224" s="111"/>
      <c r="AF224" s="109"/>
      <c r="AG224" s="105"/>
      <c r="AH224" s="98"/>
      <c r="AI224" s="99"/>
      <c r="AJ224" s="110"/>
      <c r="AK224" s="111"/>
      <c r="AL224" s="109"/>
      <c r="AM224" s="105"/>
      <c r="AN224" s="98"/>
      <c r="AO224" s="99"/>
      <c r="AP224" s="110"/>
      <c r="AQ224" s="111"/>
      <c r="AR224" s="165"/>
    </row>
    <row r="225" spans="2:44" hidden="1" outlineLevel="1">
      <c r="B225" s="20" t="str">
        <f t="shared" si="76"/>
        <v>SSE Southern</v>
      </c>
      <c r="C225" s="100"/>
      <c r="D225" s="101"/>
      <c r="E225" s="104"/>
      <c r="F225" s="163"/>
      <c r="G225" s="64"/>
      <c r="H225" s="65"/>
      <c r="I225" s="163"/>
      <c r="J225" s="64"/>
      <c r="K225" s="65"/>
      <c r="L225" s="163"/>
      <c r="M225" s="64"/>
      <c r="N225" s="65"/>
      <c r="O225" s="55"/>
      <c r="P225" s="52"/>
      <c r="Q225" s="65"/>
      <c r="R225" s="55"/>
      <c r="S225" s="52"/>
      <c r="T225" s="65"/>
      <c r="U225" s="55"/>
      <c r="V225" s="52"/>
      <c r="W225" s="65"/>
      <c r="X225" s="55"/>
      <c r="Y225" s="52"/>
      <c r="Z225" s="65"/>
      <c r="AA225" s="55"/>
      <c r="AB225" s="52"/>
      <c r="AC225" s="65"/>
      <c r="AD225" s="110"/>
      <c r="AE225" s="111"/>
      <c r="AF225" s="109"/>
      <c r="AG225" s="105"/>
      <c r="AH225" s="98"/>
      <c r="AI225" s="99"/>
      <c r="AJ225" s="110"/>
      <c r="AK225" s="111"/>
      <c r="AL225" s="109"/>
      <c r="AM225" s="105"/>
      <c r="AN225" s="98"/>
      <c r="AO225" s="99"/>
      <c r="AP225" s="110"/>
      <c r="AQ225" s="111"/>
      <c r="AR225" s="165"/>
    </row>
    <row r="226" spans="2:44" hidden="1" outlineLevel="1">
      <c r="B226" s="185" t="s">
        <v>78</v>
      </c>
      <c r="C226" s="121"/>
      <c r="D226" s="122"/>
      <c r="E226" s="123"/>
      <c r="F226" s="121"/>
      <c r="G226" s="122"/>
      <c r="H226" s="186">
        <f>SUM(H212:H225)</f>
        <v>0</v>
      </c>
      <c r="I226" s="187"/>
      <c r="J226" s="189"/>
      <c r="K226" s="186">
        <f>SUM(K212:K225)</f>
        <v>0</v>
      </c>
      <c r="L226" s="187"/>
      <c r="M226" s="189"/>
      <c r="N226" s="186">
        <f>SUM(N212:N225)</f>
        <v>0</v>
      </c>
      <c r="O226" s="187"/>
      <c r="P226" s="189"/>
      <c r="Q226" s="186">
        <f>SUM(Q212:Q225)</f>
        <v>0</v>
      </c>
      <c r="R226" s="187"/>
      <c r="S226" s="189"/>
      <c r="T226" s="186">
        <f>SUM(T212:T225)</f>
        <v>0</v>
      </c>
      <c r="U226" s="187"/>
      <c r="V226" s="189"/>
      <c r="W226" s="186">
        <f>SUM(W212:W225)</f>
        <v>0</v>
      </c>
      <c r="X226" s="187"/>
      <c r="Y226" s="189"/>
      <c r="Z226" s="186">
        <f>SUM(Z212:Z225)</f>
        <v>0</v>
      </c>
      <c r="AA226" s="187"/>
      <c r="AB226" s="189"/>
      <c r="AC226" s="186">
        <f>SUM(AC212:AC225)</f>
        <v>0</v>
      </c>
      <c r="AD226" s="187"/>
      <c r="AE226" s="189"/>
      <c r="AF226" s="186">
        <f>SUM(AF212:AF225)</f>
        <v>0</v>
      </c>
      <c r="AG226" s="187"/>
      <c r="AH226" s="189"/>
      <c r="AI226" s="188">
        <f>SUM(AI212:AI225)</f>
        <v>0</v>
      </c>
      <c r="AJ226" s="187"/>
      <c r="AK226" s="189"/>
      <c r="AL226" s="186">
        <f>SUM(AL212:AL225)</f>
        <v>0</v>
      </c>
      <c r="AM226" s="187"/>
      <c r="AN226" s="189"/>
      <c r="AO226" s="188">
        <f>SUM(AO212:AO225)</f>
        <v>0</v>
      </c>
      <c r="AP226" s="479"/>
      <c r="AQ226" s="189"/>
      <c r="AR226" s="188">
        <f>SUM(AR212:AR225)</f>
        <v>0</v>
      </c>
    </row>
    <row r="227" spans="2:44" s="152" customFormat="1" ht="13.5" hidden="1" outlineLevel="1" thickBot="1">
      <c r="B227" s="181" t="s">
        <v>66</v>
      </c>
      <c r="C227" s="182"/>
      <c r="D227" s="183"/>
      <c r="E227" s="184"/>
      <c r="F227" s="190" t="e">
        <f t="shared" ref="F227:AR227" si="77">AVERAGE(F212:F225)</f>
        <v>#DIV/0!</v>
      </c>
      <c r="G227" s="191" t="e">
        <f t="shared" si="77"/>
        <v>#DIV/0!</v>
      </c>
      <c r="H227" s="192" t="e">
        <f t="shared" si="77"/>
        <v>#DIV/0!</v>
      </c>
      <c r="I227" s="190" t="e">
        <f t="shared" si="77"/>
        <v>#DIV/0!</v>
      </c>
      <c r="J227" s="191" t="e">
        <f t="shared" si="77"/>
        <v>#DIV/0!</v>
      </c>
      <c r="K227" s="192" t="e">
        <f t="shared" si="77"/>
        <v>#DIV/0!</v>
      </c>
      <c r="L227" s="190" t="e">
        <f t="shared" si="77"/>
        <v>#DIV/0!</v>
      </c>
      <c r="M227" s="191" t="e">
        <f t="shared" si="77"/>
        <v>#DIV/0!</v>
      </c>
      <c r="N227" s="192" t="e">
        <f t="shared" si="77"/>
        <v>#DIV/0!</v>
      </c>
      <c r="O227" s="190" t="e">
        <f t="shared" si="77"/>
        <v>#DIV/0!</v>
      </c>
      <c r="P227" s="191" t="e">
        <f t="shared" si="77"/>
        <v>#DIV/0!</v>
      </c>
      <c r="Q227" s="192" t="e">
        <f t="shared" si="77"/>
        <v>#DIV/0!</v>
      </c>
      <c r="R227" s="190" t="e">
        <f t="shared" si="77"/>
        <v>#DIV/0!</v>
      </c>
      <c r="S227" s="191" t="e">
        <f t="shared" si="77"/>
        <v>#DIV/0!</v>
      </c>
      <c r="T227" s="192" t="e">
        <f t="shared" si="77"/>
        <v>#DIV/0!</v>
      </c>
      <c r="U227" s="190" t="e">
        <f t="shared" si="77"/>
        <v>#DIV/0!</v>
      </c>
      <c r="V227" s="191" t="e">
        <f t="shared" si="77"/>
        <v>#DIV/0!</v>
      </c>
      <c r="W227" s="192" t="e">
        <f t="shared" si="77"/>
        <v>#DIV/0!</v>
      </c>
      <c r="X227" s="190" t="e">
        <f t="shared" si="77"/>
        <v>#DIV/0!</v>
      </c>
      <c r="Y227" s="191" t="e">
        <f t="shared" si="77"/>
        <v>#DIV/0!</v>
      </c>
      <c r="Z227" s="192" t="e">
        <f t="shared" si="77"/>
        <v>#DIV/0!</v>
      </c>
      <c r="AA227" s="190" t="e">
        <f t="shared" si="77"/>
        <v>#DIV/0!</v>
      </c>
      <c r="AB227" s="193" t="e">
        <f t="shared" si="77"/>
        <v>#DIV/0!</v>
      </c>
      <c r="AC227" s="194" t="e">
        <f t="shared" si="77"/>
        <v>#DIV/0!</v>
      </c>
      <c r="AD227" s="190" t="e">
        <f t="shared" si="77"/>
        <v>#DIV/0!</v>
      </c>
      <c r="AE227" s="191" t="e">
        <f t="shared" si="77"/>
        <v>#DIV/0!</v>
      </c>
      <c r="AF227" s="192" t="e">
        <f t="shared" si="77"/>
        <v>#DIV/0!</v>
      </c>
      <c r="AG227" s="190" t="e">
        <f t="shared" si="77"/>
        <v>#DIV/0!</v>
      </c>
      <c r="AH227" s="193" t="e">
        <f t="shared" si="77"/>
        <v>#DIV/0!</v>
      </c>
      <c r="AI227" s="194" t="e">
        <f t="shared" si="77"/>
        <v>#DIV/0!</v>
      </c>
      <c r="AJ227" s="190" t="e">
        <f t="shared" si="77"/>
        <v>#DIV/0!</v>
      </c>
      <c r="AK227" s="191" t="e">
        <f t="shared" si="77"/>
        <v>#DIV/0!</v>
      </c>
      <c r="AL227" s="192" t="e">
        <f t="shared" si="77"/>
        <v>#DIV/0!</v>
      </c>
      <c r="AM227" s="190" t="e">
        <f t="shared" si="77"/>
        <v>#DIV/0!</v>
      </c>
      <c r="AN227" s="193" t="e">
        <f t="shared" si="77"/>
        <v>#DIV/0!</v>
      </c>
      <c r="AO227" s="194" t="e">
        <f t="shared" si="77"/>
        <v>#DIV/0!</v>
      </c>
      <c r="AP227" s="190" t="e">
        <f t="shared" si="77"/>
        <v>#DIV/0!</v>
      </c>
      <c r="AQ227" s="191" t="e">
        <f t="shared" si="77"/>
        <v>#DIV/0!</v>
      </c>
      <c r="AR227" s="192" t="e">
        <f t="shared" si="77"/>
        <v>#DIV/0!</v>
      </c>
    </row>
    <row r="228" spans="2:44" hidden="1" outlineLevel="1">
      <c r="B228" s="155"/>
      <c r="C228" s="124"/>
      <c r="D228" s="124"/>
      <c r="E228" s="124"/>
      <c r="F228" s="124"/>
      <c r="G228" s="124"/>
      <c r="H228" s="124"/>
      <c r="I228" s="124"/>
      <c r="J228" s="124"/>
      <c r="K228" s="124"/>
      <c r="L228" s="124"/>
      <c r="M228" s="124"/>
      <c r="N228" s="124"/>
      <c r="O228" s="124"/>
      <c r="P228" s="124"/>
      <c r="Q228" s="124"/>
      <c r="R228" s="124"/>
      <c r="S228" s="124"/>
      <c r="T228" s="124"/>
      <c r="U228" s="124"/>
      <c r="V228" s="124"/>
      <c r="W228" s="124"/>
      <c r="X228" s="124"/>
      <c r="Y228" s="124"/>
      <c r="Z228" s="124"/>
      <c r="AA228" s="125"/>
      <c r="AB228" s="126"/>
      <c r="AC228" s="124"/>
      <c r="AD228" s="125"/>
      <c r="AE228" s="126"/>
      <c r="AF228" s="124"/>
      <c r="AG228" s="125"/>
      <c r="AH228" s="126"/>
      <c r="AI228" s="124"/>
      <c r="AJ228" s="125"/>
      <c r="AK228" s="126"/>
      <c r="AL228" s="124"/>
      <c r="AM228" s="125"/>
      <c r="AN228" s="126"/>
      <c r="AO228" s="124"/>
      <c r="AP228" s="125"/>
      <c r="AQ228" s="126"/>
      <c r="AR228" s="124"/>
    </row>
    <row r="229" spans="2:44" collapsed="1">
      <c r="B229" s="152"/>
    </row>
    <row r="230" spans="2:44">
      <c r="B230" s="460" t="s">
        <v>175</v>
      </c>
    </row>
    <row r="231" spans="2:44" hidden="1" outlineLevel="1">
      <c r="B231" s="770" t="s">
        <v>19</v>
      </c>
      <c r="C231" s="767" t="str">
        <f>C126</f>
        <v>2001-02</v>
      </c>
      <c r="D231" s="768"/>
      <c r="E231" s="769"/>
      <c r="F231" s="767" t="str">
        <f t="shared" ref="F231" si="78">F126</f>
        <v>2002-03</v>
      </c>
      <c r="G231" s="768"/>
      <c r="H231" s="769"/>
      <c r="I231" s="767" t="str">
        <f t="shared" ref="I231" si="79">I126</f>
        <v>2003-04</v>
      </c>
      <c r="J231" s="768"/>
      <c r="K231" s="769"/>
      <c r="L231" s="767" t="str">
        <f t="shared" ref="L231" si="80">L126</f>
        <v>2004-05</v>
      </c>
      <c r="M231" s="768"/>
      <c r="N231" s="769"/>
      <c r="O231" s="767" t="str">
        <f t="shared" ref="O231" si="81">O126</f>
        <v>2005-06</v>
      </c>
      <c r="P231" s="768"/>
      <c r="Q231" s="769"/>
      <c r="R231" s="767" t="str">
        <f t="shared" ref="R231" si="82">R126</f>
        <v>2006-07</v>
      </c>
      <c r="S231" s="768"/>
      <c r="T231" s="769"/>
      <c r="U231" s="767" t="str">
        <f t="shared" ref="U231" si="83">U126</f>
        <v>2007-08</v>
      </c>
      <c r="V231" s="768"/>
      <c r="W231" s="769"/>
      <c r="X231" s="767" t="str">
        <f t="shared" ref="X231" si="84">X126</f>
        <v>2008-09</v>
      </c>
      <c r="Y231" s="768"/>
      <c r="Z231" s="769"/>
      <c r="AA231" s="767" t="str">
        <f t="shared" ref="AA231" si="85">AA126</f>
        <v>2009-10</v>
      </c>
      <c r="AB231" s="768"/>
      <c r="AC231" s="769"/>
      <c r="AD231" s="767" t="str">
        <f t="shared" ref="AD231" si="86">AD126</f>
        <v>2010-11</v>
      </c>
      <c r="AE231" s="768"/>
      <c r="AF231" s="769"/>
      <c r="AG231" s="767" t="str">
        <f t="shared" ref="AG231" si="87">AG126</f>
        <v>2011-12</v>
      </c>
      <c r="AH231" s="768"/>
      <c r="AI231" s="769"/>
      <c r="AJ231" s="767" t="str">
        <f t="shared" ref="AJ231" si="88">AJ126</f>
        <v>2012-13</v>
      </c>
      <c r="AK231" s="768"/>
      <c r="AL231" s="769"/>
      <c r="AM231" s="767" t="str">
        <f t="shared" ref="AM231" si="89">AM126</f>
        <v>2013-14</v>
      </c>
      <c r="AN231" s="768"/>
      <c r="AO231" s="769"/>
      <c r="AP231" s="767" t="str">
        <f t="shared" ref="AP231" si="90">AP126</f>
        <v>2014-15</v>
      </c>
      <c r="AQ231" s="768"/>
      <c r="AR231" s="769"/>
    </row>
    <row r="232" spans="2:44" ht="13.5" hidden="1" outlineLevel="1" thickBot="1">
      <c r="B232" s="771"/>
      <c r="C232" s="112" t="s">
        <v>67</v>
      </c>
      <c r="D232" s="113" t="s">
        <v>68</v>
      </c>
      <c r="E232" s="114" t="s">
        <v>69</v>
      </c>
      <c r="F232" s="112" t="s">
        <v>67</v>
      </c>
      <c r="G232" s="113" t="s">
        <v>68</v>
      </c>
      <c r="H232" s="167" t="s">
        <v>69</v>
      </c>
      <c r="I232" s="112" t="s">
        <v>67</v>
      </c>
      <c r="J232" s="113" t="s">
        <v>68</v>
      </c>
      <c r="K232" s="114" t="s">
        <v>69</v>
      </c>
      <c r="L232" s="112" t="s">
        <v>67</v>
      </c>
      <c r="M232" s="113" t="s">
        <v>68</v>
      </c>
      <c r="N232" s="114" t="s">
        <v>69</v>
      </c>
      <c r="O232" s="112" t="s">
        <v>67</v>
      </c>
      <c r="P232" s="113" t="s">
        <v>68</v>
      </c>
      <c r="Q232" s="114" t="s">
        <v>69</v>
      </c>
      <c r="R232" s="112" t="s">
        <v>67</v>
      </c>
      <c r="S232" s="113" t="s">
        <v>68</v>
      </c>
      <c r="T232" s="114" t="s">
        <v>69</v>
      </c>
      <c r="U232" s="112" t="s">
        <v>67</v>
      </c>
      <c r="V232" s="113" t="s">
        <v>68</v>
      </c>
      <c r="W232" s="114" t="s">
        <v>69</v>
      </c>
      <c r="X232" s="112" t="s">
        <v>67</v>
      </c>
      <c r="Y232" s="113" t="s">
        <v>68</v>
      </c>
      <c r="Z232" s="114" t="s">
        <v>69</v>
      </c>
      <c r="AA232" s="112" t="s">
        <v>67</v>
      </c>
      <c r="AB232" s="113" t="s">
        <v>68</v>
      </c>
      <c r="AC232" s="114" t="s">
        <v>69</v>
      </c>
      <c r="AD232" s="168" t="s">
        <v>67</v>
      </c>
      <c r="AE232" s="113" t="s">
        <v>68</v>
      </c>
      <c r="AF232" s="114" t="s">
        <v>69</v>
      </c>
      <c r="AG232" s="112" t="s">
        <v>67</v>
      </c>
      <c r="AH232" s="113" t="s">
        <v>68</v>
      </c>
      <c r="AI232" s="114" t="s">
        <v>69</v>
      </c>
      <c r="AJ232" s="112" t="s">
        <v>67</v>
      </c>
      <c r="AK232" s="113" t="s">
        <v>68</v>
      </c>
      <c r="AL232" s="114" t="s">
        <v>69</v>
      </c>
      <c r="AM232" s="112" t="s">
        <v>67</v>
      </c>
      <c r="AN232" s="113" t="s">
        <v>68</v>
      </c>
      <c r="AO232" s="114" t="s">
        <v>69</v>
      </c>
      <c r="AP232" s="112" t="s">
        <v>67</v>
      </c>
      <c r="AQ232" s="113" t="s">
        <v>68</v>
      </c>
      <c r="AR232" s="114" t="s">
        <v>69</v>
      </c>
    </row>
    <row r="233" spans="2:44" ht="13.5" hidden="1" outlineLevel="1" thickTop="1">
      <c r="B233" s="20" t="str">
        <f>B128</f>
        <v>CN West</v>
      </c>
      <c r="C233" s="100"/>
      <c r="D233" s="101"/>
      <c r="E233" s="103"/>
      <c r="F233" s="171"/>
      <c r="G233" s="172"/>
      <c r="H233" s="170"/>
      <c r="I233" s="169"/>
      <c r="J233" s="64"/>
      <c r="K233" s="170"/>
      <c r="L233" s="169"/>
      <c r="M233" s="64"/>
      <c r="N233" s="170"/>
      <c r="O233" s="169"/>
      <c r="P233" s="52"/>
      <c r="Q233" s="170"/>
      <c r="R233" s="169"/>
      <c r="S233" s="52"/>
      <c r="T233" s="170"/>
      <c r="U233" s="169"/>
      <c r="V233" s="52"/>
      <c r="W233" s="170"/>
      <c r="X233" s="169"/>
      <c r="Y233" s="52"/>
      <c r="Z233" s="170"/>
      <c r="AA233" s="169"/>
      <c r="AB233" s="52"/>
      <c r="AC233" s="170"/>
      <c r="AD233" s="166"/>
      <c r="AE233" s="98"/>
      <c r="AF233" s="99"/>
      <c r="AG233" s="105"/>
      <c r="AH233" s="98"/>
      <c r="AI233" s="99"/>
      <c r="AJ233" s="105"/>
      <c r="AK233" s="98"/>
      <c r="AL233" s="99"/>
      <c r="AM233" s="105"/>
      <c r="AN233" s="98"/>
      <c r="AO233" s="99"/>
      <c r="AP233" s="105"/>
      <c r="AQ233" s="98"/>
      <c r="AR233" s="99"/>
    </row>
    <row r="234" spans="2:44" hidden="1" outlineLevel="1">
      <c r="B234" s="20" t="str">
        <f t="shared" ref="B234:B246" si="91">B129</f>
        <v>CN East</v>
      </c>
      <c r="C234" s="100"/>
      <c r="D234" s="101"/>
      <c r="E234" s="103"/>
      <c r="F234" s="163"/>
      <c r="G234" s="64"/>
      <c r="H234" s="56"/>
      <c r="I234" s="163"/>
      <c r="J234" s="64"/>
      <c r="K234" s="56"/>
      <c r="L234" s="163"/>
      <c r="M234" s="64"/>
      <c r="N234" s="56"/>
      <c r="O234" s="55"/>
      <c r="P234" s="52"/>
      <c r="Q234" s="65"/>
      <c r="R234" s="55"/>
      <c r="S234" s="52"/>
      <c r="T234" s="65"/>
      <c r="U234" s="55"/>
      <c r="V234" s="52"/>
      <c r="W234" s="65"/>
      <c r="X234" s="55"/>
      <c r="Y234" s="52"/>
      <c r="Z234" s="65"/>
      <c r="AA234" s="55"/>
      <c r="AB234" s="52"/>
      <c r="AC234" s="65"/>
      <c r="AD234" s="166"/>
      <c r="AE234" s="98"/>
      <c r="AF234" s="99"/>
      <c r="AG234" s="105"/>
      <c r="AH234" s="98"/>
      <c r="AI234" s="99"/>
      <c r="AJ234" s="105"/>
      <c r="AK234" s="98"/>
      <c r="AL234" s="99"/>
      <c r="AM234" s="105"/>
      <c r="AN234" s="98"/>
      <c r="AO234" s="99"/>
      <c r="AP234" s="105"/>
      <c r="AQ234" s="98"/>
      <c r="AR234" s="99"/>
    </row>
    <row r="235" spans="2:44" hidden="1" outlineLevel="1">
      <c r="B235" s="20" t="str">
        <f t="shared" si="91"/>
        <v>ENWL</v>
      </c>
      <c r="C235" s="100"/>
      <c r="D235" s="101"/>
      <c r="E235" s="103"/>
      <c r="F235" s="163"/>
      <c r="G235" s="64"/>
      <c r="H235" s="56"/>
      <c r="I235" s="163"/>
      <c r="J235" s="64"/>
      <c r="K235" s="56"/>
      <c r="L235" s="163"/>
      <c r="M235" s="64"/>
      <c r="N235" s="56"/>
      <c r="O235" s="55"/>
      <c r="P235" s="52"/>
      <c r="Q235" s="65"/>
      <c r="R235" s="55"/>
      <c r="S235" s="52"/>
      <c r="T235" s="65"/>
      <c r="U235" s="55"/>
      <c r="V235" s="52"/>
      <c r="W235" s="65"/>
      <c r="X235" s="55"/>
      <c r="Y235" s="52"/>
      <c r="Z235" s="65"/>
      <c r="AA235" s="55"/>
      <c r="AB235" s="52"/>
      <c r="AC235" s="65"/>
      <c r="AD235" s="166"/>
      <c r="AE235" s="98"/>
      <c r="AF235" s="99"/>
      <c r="AG235" s="105"/>
      <c r="AH235" s="98"/>
      <c r="AI235" s="99"/>
      <c r="AJ235" s="105"/>
      <c r="AK235" s="98"/>
      <c r="AL235" s="99"/>
      <c r="AM235" s="105"/>
      <c r="AN235" s="98"/>
      <c r="AO235" s="99"/>
      <c r="AP235" s="105"/>
      <c r="AQ235" s="98"/>
      <c r="AR235" s="99"/>
    </row>
    <row r="236" spans="2:44" hidden="1" outlineLevel="1">
      <c r="B236" s="20" t="str">
        <f t="shared" si="91"/>
        <v>CE NEDL</v>
      </c>
      <c r="C236" s="100"/>
      <c r="D236" s="101"/>
      <c r="E236" s="103"/>
      <c r="F236" s="163"/>
      <c r="G236" s="64"/>
      <c r="H236" s="56"/>
      <c r="I236" s="163"/>
      <c r="J236" s="64"/>
      <c r="K236" s="56"/>
      <c r="L236" s="163"/>
      <c r="M236" s="64"/>
      <c r="N236" s="56"/>
      <c r="O236" s="55"/>
      <c r="P236" s="52"/>
      <c r="Q236" s="65"/>
      <c r="R236" s="55"/>
      <c r="S236" s="52"/>
      <c r="T236" s="65"/>
      <c r="U236" s="55"/>
      <c r="V236" s="52"/>
      <c r="W236" s="65"/>
      <c r="X236" s="55"/>
      <c r="Y236" s="52"/>
      <c r="Z236" s="65"/>
      <c r="AA236" s="55"/>
      <c r="AB236" s="52"/>
      <c r="AC236" s="65"/>
      <c r="AD236" s="166"/>
      <c r="AE236" s="98"/>
      <c r="AF236" s="99"/>
      <c r="AG236" s="105"/>
      <c r="AH236" s="98"/>
      <c r="AI236" s="99"/>
      <c r="AJ236" s="105"/>
      <c r="AK236" s="98"/>
      <c r="AL236" s="99"/>
      <c r="AM236" s="105"/>
      <c r="AN236" s="98"/>
      <c r="AO236" s="99"/>
      <c r="AP236" s="105"/>
      <c r="AQ236" s="98"/>
      <c r="AR236" s="99"/>
    </row>
    <row r="237" spans="2:44" hidden="1" outlineLevel="1">
      <c r="B237" s="20" t="str">
        <f t="shared" si="91"/>
        <v>CE YEDL</v>
      </c>
      <c r="C237" s="100"/>
      <c r="D237" s="101"/>
      <c r="E237" s="103"/>
      <c r="F237" s="163"/>
      <c r="G237" s="64"/>
      <c r="H237" s="56"/>
      <c r="I237" s="163"/>
      <c r="J237" s="64"/>
      <c r="K237" s="56"/>
      <c r="L237" s="163"/>
      <c r="M237" s="64"/>
      <c r="N237" s="56"/>
      <c r="O237" s="55"/>
      <c r="P237" s="52"/>
      <c r="Q237" s="65"/>
      <c r="R237" s="55"/>
      <c r="S237" s="52"/>
      <c r="T237" s="65"/>
      <c r="U237" s="55"/>
      <c r="V237" s="52"/>
      <c r="W237" s="65"/>
      <c r="X237" s="55"/>
      <c r="Y237" s="52"/>
      <c r="Z237" s="65"/>
      <c r="AA237" s="55"/>
      <c r="AB237" s="52"/>
      <c r="AC237" s="65"/>
      <c r="AD237" s="166"/>
      <c r="AE237" s="98"/>
      <c r="AF237" s="99"/>
      <c r="AG237" s="105"/>
      <c r="AH237" s="98"/>
      <c r="AI237" s="99"/>
      <c r="AJ237" s="105"/>
      <c r="AK237" s="98"/>
      <c r="AL237" s="99"/>
      <c r="AM237" s="105"/>
      <c r="AN237" s="98"/>
      <c r="AO237" s="99"/>
      <c r="AP237" s="105"/>
      <c r="AQ237" s="98"/>
      <c r="AR237" s="99"/>
    </row>
    <row r="238" spans="2:44" hidden="1" outlineLevel="1">
      <c r="B238" s="20" t="str">
        <f t="shared" si="91"/>
        <v>WPD S Wales</v>
      </c>
      <c r="C238" s="100"/>
      <c r="D238" s="101"/>
      <c r="E238" s="103"/>
      <c r="F238" s="163"/>
      <c r="G238" s="64"/>
      <c r="H238" s="56"/>
      <c r="I238" s="163"/>
      <c r="J238" s="64"/>
      <c r="K238" s="56"/>
      <c r="L238" s="163"/>
      <c r="M238" s="64"/>
      <c r="N238" s="56"/>
      <c r="O238" s="55"/>
      <c r="P238" s="52"/>
      <c r="Q238" s="65"/>
      <c r="R238" s="55"/>
      <c r="S238" s="52"/>
      <c r="T238" s="65"/>
      <c r="U238" s="55"/>
      <c r="V238" s="52"/>
      <c r="W238" s="65"/>
      <c r="X238" s="55"/>
      <c r="Y238" s="52"/>
      <c r="Z238" s="65"/>
      <c r="AA238" s="55"/>
      <c r="AB238" s="52"/>
      <c r="AC238" s="65"/>
      <c r="AD238" s="166"/>
      <c r="AE238" s="98"/>
      <c r="AF238" s="99"/>
      <c r="AG238" s="105"/>
      <c r="AH238" s="98"/>
      <c r="AI238" s="99"/>
      <c r="AJ238" s="105"/>
      <c r="AK238" s="98"/>
      <c r="AL238" s="99"/>
      <c r="AM238" s="105"/>
      <c r="AN238" s="98"/>
      <c r="AO238" s="99"/>
      <c r="AP238" s="105"/>
      <c r="AQ238" s="98"/>
      <c r="AR238" s="99"/>
    </row>
    <row r="239" spans="2:44" hidden="1" outlineLevel="1">
      <c r="B239" s="20" t="str">
        <f t="shared" si="91"/>
        <v>WPD S West</v>
      </c>
      <c r="C239" s="100"/>
      <c r="D239" s="101"/>
      <c r="E239" s="103"/>
      <c r="F239" s="163"/>
      <c r="G239" s="64"/>
      <c r="H239" s="56"/>
      <c r="I239" s="163"/>
      <c r="J239" s="64"/>
      <c r="K239" s="56"/>
      <c r="L239" s="163"/>
      <c r="M239" s="64"/>
      <c r="N239" s="56"/>
      <c r="O239" s="55"/>
      <c r="P239" s="52"/>
      <c r="Q239" s="65"/>
      <c r="R239" s="55"/>
      <c r="S239" s="52"/>
      <c r="T239" s="65"/>
      <c r="U239" s="55"/>
      <c r="V239" s="52"/>
      <c r="W239" s="65"/>
      <c r="X239" s="55"/>
      <c r="Y239" s="52"/>
      <c r="Z239" s="65"/>
      <c r="AA239" s="55"/>
      <c r="AB239" s="52"/>
      <c r="AC239" s="65"/>
      <c r="AD239" s="166"/>
      <c r="AE239" s="98"/>
      <c r="AF239" s="99"/>
      <c r="AG239" s="105"/>
      <c r="AH239" s="98"/>
      <c r="AI239" s="99"/>
      <c r="AJ239" s="105"/>
      <c r="AK239" s="98"/>
      <c r="AL239" s="99"/>
      <c r="AM239" s="105"/>
      <c r="AN239" s="98"/>
      <c r="AO239" s="99"/>
      <c r="AP239" s="105"/>
      <c r="AQ239" s="98"/>
      <c r="AR239" s="99"/>
    </row>
    <row r="240" spans="2:44" hidden="1" outlineLevel="1">
      <c r="B240" s="20" t="str">
        <f t="shared" si="91"/>
        <v>UKPN LPN</v>
      </c>
      <c r="C240" s="100"/>
      <c r="D240" s="101"/>
      <c r="E240" s="103"/>
      <c r="F240" s="163"/>
      <c r="G240" s="64"/>
      <c r="H240" s="56"/>
      <c r="I240" s="163"/>
      <c r="J240" s="64"/>
      <c r="K240" s="56"/>
      <c r="L240" s="163"/>
      <c r="M240" s="64"/>
      <c r="N240" s="56"/>
      <c r="O240" s="55"/>
      <c r="P240" s="52"/>
      <c r="Q240" s="65"/>
      <c r="R240" s="55"/>
      <c r="S240" s="52"/>
      <c r="T240" s="65"/>
      <c r="U240" s="55"/>
      <c r="V240" s="52"/>
      <c r="W240" s="65"/>
      <c r="X240" s="55"/>
      <c r="Y240" s="52"/>
      <c r="Z240" s="65"/>
      <c r="AA240" s="55"/>
      <c r="AB240" s="52"/>
      <c r="AC240" s="65"/>
      <c r="AD240" s="166"/>
      <c r="AE240" s="98"/>
      <c r="AF240" s="99"/>
      <c r="AG240" s="105"/>
      <c r="AH240" s="98"/>
      <c r="AI240" s="99"/>
      <c r="AJ240" s="105"/>
      <c r="AK240" s="98"/>
      <c r="AL240" s="99"/>
      <c r="AM240" s="105"/>
      <c r="AN240" s="98"/>
      <c r="AO240" s="99"/>
      <c r="AP240" s="105"/>
      <c r="AQ240" s="98"/>
      <c r="AR240" s="99"/>
    </row>
    <row r="241" spans="2:44" hidden="1" outlineLevel="1">
      <c r="B241" s="20" t="str">
        <f t="shared" si="91"/>
        <v>UKPN SEPN</v>
      </c>
      <c r="C241" s="100"/>
      <c r="D241" s="101"/>
      <c r="E241" s="103"/>
      <c r="F241" s="163"/>
      <c r="G241" s="64"/>
      <c r="H241" s="65"/>
      <c r="I241" s="163"/>
      <c r="J241" s="64"/>
      <c r="K241" s="65"/>
      <c r="L241" s="163"/>
      <c r="M241" s="64"/>
      <c r="N241" s="65"/>
      <c r="O241" s="55"/>
      <c r="P241" s="52"/>
      <c r="Q241" s="65"/>
      <c r="R241" s="55"/>
      <c r="S241" s="52"/>
      <c r="T241" s="65"/>
      <c r="U241" s="55"/>
      <c r="V241" s="52"/>
      <c r="W241" s="65"/>
      <c r="X241" s="55"/>
      <c r="Y241" s="52"/>
      <c r="Z241" s="65"/>
      <c r="AA241" s="55"/>
      <c r="AB241" s="52"/>
      <c r="AC241" s="65"/>
      <c r="AD241" s="166"/>
      <c r="AE241" s="98"/>
      <c r="AF241" s="99"/>
      <c r="AG241" s="105"/>
      <c r="AH241" s="98"/>
      <c r="AI241" s="99"/>
      <c r="AJ241" s="105"/>
      <c r="AK241" s="98"/>
      <c r="AL241" s="99"/>
      <c r="AM241" s="105"/>
      <c r="AN241" s="98"/>
      <c r="AO241" s="99"/>
      <c r="AP241" s="105"/>
      <c r="AQ241" s="98"/>
      <c r="AR241" s="99"/>
    </row>
    <row r="242" spans="2:44" hidden="1" outlineLevel="1">
      <c r="B242" s="20" t="str">
        <f t="shared" si="91"/>
        <v>UKPN EPN</v>
      </c>
      <c r="C242" s="100"/>
      <c r="D242" s="101"/>
      <c r="E242" s="103"/>
      <c r="F242" s="163"/>
      <c r="G242" s="64"/>
      <c r="H242" s="56"/>
      <c r="I242" s="163"/>
      <c r="J242" s="64"/>
      <c r="K242" s="56"/>
      <c r="L242" s="163"/>
      <c r="M242" s="64"/>
      <c r="N242" s="56"/>
      <c r="O242" s="55"/>
      <c r="P242" s="52"/>
      <c r="Q242" s="65"/>
      <c r="R242" s="55"/>
      <c r="S242" s="52"/>
      <c r="T242" s="65"/>
      <c r="U242" s="55"/>
      <c r="V242" s="52"/>
      <c r="W242" s="65"/>
      <c r="X242" s="55"/>
      <c r="Y242" s="52"/>
      <c r="Z242" s="65"/>
      <c r="AA242" s="55"/>
      <c r="AB242" s="52"/>
      <c r="AC242" s="65"/>
      <c r="AD242" s="166"/>
      <c r="AE242" s="98"/>
      <c r="AF242" s="99"/>
      <c r="AG242" s="105"/>
      <c r="AH242" s="98"/>
      <c r="AI242" s="99"/>
      <c r="AJ242" s="105"/>
      <c r="AK242" s="98"/>
      <c r="AL242" s="99"/>
      <c r="AM242" s="105"/>
      <c r="AN242" s="98"/>
      <c r="AO242" s="99"/>
      <c r="AP242" s="105"/>
      <c r="AQ242" s="98"/>
      <c r="AR242" s="99"/>
    </row>
    <row r="243" spans="2:44" hidden="1" outlineLevel="1">
      <c r="B243" s="20" t="str">
        <f t="shared" si="91"/>
        <v>SP Distribution</v>
      </c>
      <c r="C243" s="100"/>
      <c r="D243" s="101"/>
      <c r="E243" s="103"/>
      <c r="F243" s="163"/>
      <c r="G243" s="64"/>
      <c r="H243" s="56"/>
      <c r="I243" s="163"/>
      <c r="J243" s="64"/>
      <c r="K243" s="56"/>
      <c r="L243" s="163"/>
      <c r="M243" s="64"/>
      <c r="N243" s="56"/>
      <c r="O243" s="55"/>
      <c r="P243" s="52"/>
      <c r="Q243" s="65"/>
      <c r="R243" s="55"/>
      <c r="S243" s="52"/>
      <c r="T243" s="65"/>
      <c r="U243" s="55"/>
      <c r="V243" s="52"/>
      <c r="W243" s="65"/>
      <c r="X243" s="55"/>
      <c r="Y243" s="52"/>
      <c r="Z243" s="65"/>
      <c r="AA243" s="55"/>
      <c r="AB243" s="52"/>
      <c r="AC243" s="65"/>
      <c r="AD243" s="166"/>
      <c r="AE243" s="98"/>
      <c r="AF243" s="99"/>
      <c r="AG243" s="105"/>
      <c r="AH243" s="98"/>
      <c r="AI243" s="99"/>
      <c r="AJ243" s="105"/>
      <c r="AK243" s="98"/>
      <c r="AL243" s="99"/>
      <c r="AM243" s="105"/>
      <c r="AN243" s="98"/>
      <c r="AO243" s="99"/>
      <c r="AP243" s="105"/>
      <c r="AQ243" s="98"/>
      <c r="AR243" s="99"/>
    </row>
    <row r="244" spans="2:44" hidden="1" outlineLevel="1">
      <c r="B244" s="20" t="str">
        <f t="shared" si="91"/>
        <v>SP Manweb</v>
      </c>
      <c r="C244" s="100"/>
      <c r="D244" s="101"/>
      <c r="E244" s="103"/>
      <c r="F244" s="163"/>
      <c r="G244" s="64"/>
      <c r="H244" s="56"/>
      <c r="I244" s="163"/>
      <c r="J244" s="64"/>
      <c r="K244" s="56"/>
      <c r="L244" s="163"/>
      <c r="M244" s="64"/>
      <c r="N244" s="56"/>
      <c r="O244" s="55"/>
      <c r="P244" s="52"/>
      <c r="Q244" s="65"/>
      <c r="R244" s="55"/>
      <c r="S244" s="52"/>
      <c r="T244" s="65"/>
      <c r="U244" s="55"/>
      <c r="V244" s="52"/>
      <c r="W244" s="65"/>
      <c r="X244" s="55"/>
      <c r="Y244" s="52"/>
      <c r="Z244" s="65"/>
      <c r="AA244" s="55"/>
      <c r="AB244" s="52"/>
      <c r="AC244" s="65"/>
      <c r="AD244" s="166"/>
      <c r="AE244" s="98"/>
      <c r="AF244" s="99"/>
      <c r="AG244" s="105"/>
      <c r="AH244" s="98"/>
      <c r="AI244" s="99"/>
      <c r="AJ244" s="105"/>
      <c r="AK244" s="98"/>
      <c r="AL244" s="99"/>
      <c r="AM244" s="105"/>
      <c r="AN244" s="98"/>
      <c r="AO244" s="99"/>
      <c r="AP244" s="105"/>
      <c r="AQ244" s="98"/>
      <c r="AR244" s="99"/>
    </row>
    <row r="245" spans="2:44" hidden="1" outlineLevel="1">
      <c r="B245" s="20" t="str">
        <f t="shared" si="91"/>
        <v>SSE Hydro</v>
      </c>
      <c r="C245" s="100"/>
      <c r="D245" s="101"/>
      <c r="E245" s="103"/>
      <c r="F245" s="163"/>
      <c r="G245" s="64"/>
      <c r="H245" s="56"/>
      <c r="I245" s="163"/>
      <c r="J245" s="64"/>
      <c r="K245" s="56"/>
      <c r="L245" s="163"/>
      <c r="M245" s="64"/>
      <c r="N245" s="56"/>
      <c r="O245" s="55"/>
      <c r="P245" s="52"/>
      <c r="Q245" s="65"/>
      <c r="R245" s="55"/>
      <c r="S245" s="52"/>
      <c r="T245" s="65"/>
      <c r="U245" s="55"/>
      <c r="V245" s="52"/>
      <c r="W245" s="65"/>
      <c r="X245" s="55"/>
      <c r="Y245" s="52"/>
      <c r="Z245" s="65"/>
      <c r="AA245" s="55"/>
      <c r="AB245" s="52"/>
      <c r="AC245" s="65"/>
      <c r="AD245" s="166"/>
      <c r="AE245" s="98"/>
      <c r="AF245" s="99"/>
      <c r="AG245" s="105"/>
      <c r="AH245" s="98"/>
      <c r="AI245" s="99"/>
      <c r="AJ245" s="105"/>
      <c r="AK245" s="98"/>
      <c r="AL245" s="99"/>
      <c r="AM245" s="105"/>
      <c r="AN245" s="98"/>
      <c r="AO245" s="99"/>
      <c r="AP245" s="105"/>
      <c r="AQ245" s="98"/>
      <c r="AR245" s="99"/>
    </row>
    <row r="246" spans="2:44" hidden="1" outlineLevel="1">
      <c r="B246" s="20" t="str">
        <f t="shared" si="91"/>
        <v>SSE Southern</v>
      </c>
      <c r="C246" s="100"/>
      <c r="D246" s="101"/>
      <c r="E246" s="103"/>
      <c r="F246" s="163"/>
      <c r="G246" s="64"/>
      <c r="H246" s="56"/>
      <c r="I246" s="163"/>
      <c r="J246" s="64"/>
      <c r="K246" s="56"/>
      <c r="L246" s="163"/>
      <c r="M246" s="64"/>
      <c r="N246" s="56"/>
      <c r="O246" s="55"/>
      <c r="P246" s="52"/>
      <c r="Q246" s="65"/>
      <c r="R246" s="55"/>
      <c r="S246" s="52"/>
      <c r="T246" s="65"/>
      <c r="U246" s="55"/>
      <c r="V246" s="52"/>
      <c r="W246" s="65"/>
      <c r="X246" s="55"/>
      <c r="Y246" s="52"/>
      <c r="Z246" s="65"/>
      <c r="AA246" s="55"/>
      <c r="AB246" s="52"/>
      <c r="AC246" s="65"/>
      <c r="AD246" s="166"/>
      <c r="AE246" s="98"/>
      <c r="AF246" s="99"/>
      <c r="AG246" s="105"/>
      <c r="AH246" s="98"/>
      <c r="AI246" s="99"/>
      <c r="AJ246" s="105"/>
      <c r="AK246" s="98"/>
      <c r="AL246" s="99"/>
      <c r="AM246" s="105"/>
      <c r="AN246" s="98"/>
      <c r="AO246" s="99"/>
      <c r="AP246" s="105"/>
      <c r="AQ246" s="98"/>
      <c r="AR246" s="99"/>
    </row>
    <row r="247" spans="2:44" hidden="1" outlineLevel="1">
      <c r="B247" s="185" t="s">
        <v>78</v>
      </c>
      <c r="C247" s="121"/>
      <c r="D247" s="122"/>
      <c r="E247" s="123"/>
      <c r="F247" s="121"/>
      <c r="G247" s="122"/>
      <c r="H247" s="186">
        <f>SUM(H233:H246)</f>
        <v>0</v>
      </c>
      <c r="I247" s="187"/>
      <c r="J247" s="189"/>
      <c r="K247" s="186">
        <f>SUM(K233:K246)</f>
        <v>0</v>
      </c>
      <c r="L247" s="187"/>
      <c r="M247" s="189"/>
      <c r="N247" s="186">
        <f>SUM(N233:N246)</f>
        <v>0</v>
      </c>
      <c r="O247" s="187"/>
      <c r="P247" s="189"/>
      <c r="Q247" s="186">
        <f>SUM(Q233:Q246)</f>
        <v>0</v>
      </c>
      <c r="R247" s="187"/>
      <c r="S247" s="189"/>
      <c r="T247" s="186">
        <f>SUM(T233:T246)</f>
        <v>0</v>
      </c>
      <c r="U247" s="187"/>
      <c r="V247" s="189"/>
      <c r="W247" s="186">
        <f>SUM(W233:W246)</f>
        <v>0</v>
      </c>
      <c r="X247" s="187"/>
      <c r="Y247" s="189"/>
      <c r="Z247" s="186">
        <f>SUM(Z233:Z246)</f>
        <v>0</v>
      </c>
      <c r="AA247" s="187"/>
      <c r="AB247" s="189"/>
      <c r="AC247" s="186">
        <f>SUM(AC233:AC246)</f>
        <v>0</v>
      </c>
      <c r="AD247" s="187"/>
      <c r="AE247" s="189"/>
      <c r="AF247" s="186">
        <f>SUM(AF233:AF246)</f>
        <v>0</v>
      </c>
      <c r="AG247" s="187"/>
      <c r="AH247" s="189"/>
      <c r="AI247" s="188">
        <f>SUM(AI233:AI246)</f>
        <v>0</v>
      </c>
      <c r="AJ247" s="187"/>
      <c r="AK247" s="189"/>
      <c r="AL247" s="186">
        <f>SUM(AL233:AL246)</f>
        <v>0</v>
      </c>
      <c r="AM247" s="187"/>
      <c r="AN247" s="189"/>
      <c r="AO247" s="188">
        <f>SUM(AO233:AO246)</f>
        <v>0</v>
      </c>
      <c r="AP247" s="479"/>
      <c r="AQ247" s="189"/>
      <c r="AR247" s="188">
        <f>SUM(AR233:AR246)</f>
        <v>0</v>
      </c>
    </row>
    <row r="248" spans="2:44" s="152" customFormat="1" ht="13.5" hidden="1" outlineLevel="1" thickBot="1">
      <c r="B248" s="181" t="s">
        <v>66</v>
      </c>
      <c r="C248" s="182"/>
      <c r="D248" s="183"/>
      <c r="E248" s="184"/>
      <c r="F248" s="190" t="e">
        <f t="shared" ref="F248:AR248" si="92">AVERAGE(F233:F246)</f>
        <v>#DIV/0!</v>
      </c>
      <c r="G248" s="191" t="e">
        <f t="shared" si="92"/>
        <v>#DIV/0!</v>
      </c>
      <c r="H248" s="192" t="e">
        <f t="shared" si="92"/>
        <v>#DIV/0!</v>
      </c>
      <c r="I248" s="190" t="e">
        <f t="shared" si="92"/>
        <v>#DIV/0!</v>
      </c>
      <c r="J248" s="191" t="e">
        <f t="shared" si="92"/>
        <v>#DIV/0!</v>
      </c>
      <c r="K248" s="192" t="e">
        <f t="shared" si="92"/>
        <v>#DIV/0!</v>
      </c>
      <c r="L248" s="190" t="e">
        <f t="shared" si="92"/>
        <v>#DIV/0!</v>
      </c>
      <c r="M248" s="191" t="e">
        <f t="shared" si="92"/>
        <v>#DIV/0!</v>
      </c>
      <c r="N248" s="192" t="e">
        <f t="shared" si="92"/>
        <v>#DIV/0!</v>
      </c>
      <c r="O248" s="190" t="e">
        <f t="shared" si="92"/>
        <v>#DIV/0!</v>
      </c>
      <c r="P248" s="191" t="e">
        <f t="shared" si="92"/>
        <v>#DIV/0!</v>
      </c>
      <c r="Q248" s="192" t="e">
        <f t="shared" si="92"/>
        <v>#DIV/0!</v>
      </c>
      <c r="R248" s="190" t="e">
        <f t="shared" si="92"/>
        <v>#DIV/0!</v>
      </c>
      <c r="S248" s="191" t="e">
        <f t="shared" si="92"/>
        <v>#DIV/0!</v>
      </c>
      <c r="T248" s="192" t="e">
        <f t="shared" si="92"/>
        <v>#DIV/0!</v>
      </c>
      <c r="U248" s="190" t="e">
        <f t="shared" si="92"/>
        <v>#DIV/0!</v>
      </c>
      <c r="V248" s="191" t="e">
        <f t="shared" si="92"/>
        <v>#DIV/0!</v>
      </c>
      <c r="W248" s="192" t="e">
        <f t="shared" si="92"/>
        <v>#DIV/0!</v>
      </c>
      <c r="X248" s="190" t="e">
        <f t="shared" si="92"/>
        <v>#DIV/0!</v>
      </c>
      <c r="Y248" s="191" t="e">
        <f t="shared" si="92"/>
        <v>#DIV/0!</v>
      </c>
      <c r="Z248" s="192" t="e">
        <f t="shared" si="92"/>
        <v>#DIV/0!</v>
      </c>
      <c r="AA248" s="190" t="e">
        <f t="shared" si="92"/>
        <v>#DIV/0!</v>
      </c>
      <c r="AB248" s="193" t="e">
        <f t="shared" si="92"/>
        <v>#DIV/0!</v>
      </c>
      <c r="AC248" s="194" t="e">
        <f t="shared" si="92"/>
        <v>#DIV/0!</v>
      </c>
      <c r="AD248" s="190" t="e">
        <f t="shared" si="92"/>
        <v>#DIV/0!</v>
      </c>
      <c r="AE248" s="191" t="e">
        <f t="shared" si="92"/>
        <v>#DIV/0!</v>
      </c>
      <c r="AF248" s="192" t="e">
        <f t="shared" si="92"/>
        <v>#DIV/0!</v>
      </c>
      <c r="AG248" s="190" t="e">
        <f t="shared" si="92"/>
        <v>#DIV/0!</v>
      </c>
      <c r="AH248" s="193" t="e">
        <f t="shared" si="92"/>
        <v>#DIV/0!</v>
      </c>
      <c r="AI248" s="194" t="e">
        <f t="shared" si="92"/>
        <v>#DIV/0!</v>
      </c>
      <c r="AJ248" s="190" t="e">
        <f t="shared" si="92"/>
        <v>#DIV/0!</v>
      </c>
      <c r="AK248" s="191" t="e">
        <f t="shared" si="92"/>
        <v>#DIV/0!</v>
      </c>
      <c r="AL248" s="192" t="e">
        <f t="shared" si="92"/>
        <v>#DIV/0!</v>
      </c>
      <c r="AM248" s="190" t="e">
        <f t="shared" si="92"/>
        <v>#DIV/0!</v>
      </c>
      <c r="AN248" s="193" t="e">
        <f t="shared" si="92"/>
        <v>#DIV/0!</v>
      </c>
      <c r="AO248" s="194" t="e">
        <f t="shared" si="92"/>
        <v>#DIV/0!</v>
      </c>
      <c r="AP248" s="190" t="e">
        <f t="shared" si="92"/>
        <v>#DIV/0!</v>
      </c>
      <c r="AQ248" s="191" t="e">
        <f t="shared" si="92"/>
        <v>#DIV/0!</v>
      </c>
      <c r="AR248" s="192" t="e">
        <f t="shared" si="92"/>
        <v>#DIV/0!</v>
      </c>
    </row>
    <row r="249" spans="2:44" hidden="1" outlineLevel="1">
      <c r="B249" s="155"/>
    </row>
    <row r="250" spans="2:44" collapsed="1"/>
    <row r="251" spans="2:44" ht="13.5" thickBot="1">
      <c r="B251" s="2" t="s">
        <v>450</v>
      </c>
    </row>
    <row r="252" spans="2:44" outlineLevel="2">
      <c r="B252" s="770" t="s">
        <v>19</v>
      </c>
      <c r="C252" s="688" t="s">
        <v>296</v>
      </c>
      <c r="D252" s="673" t="s">
        <v>303</v>
      </c>
      <c r="E252" s="674" t="s">
        <v>454</v>
      </c>
      <c r="F252" s="689" t="s">
        <v>455</v>
      </c>
      <c r="G252" s="684" t="s">
        <v>297</v>
      </c>
      <c r="H252" s="675" t="s">
        <v>339</v>
      </c>
      <c r="I252" s="672" t="s">
        <v>340</v>
      </c>
      <c r="J252" s="674" t="s">
        <v>305</v>
      </c>
      <c r="K252" s="676" t="s">
        <v>330</v>
      </c>
      <c r="L252" s="699" t="s">
        <v>456</v>
      </c>
      <c r="M252" s="674" t="s">
        <v>457</v>
      </c>
      <c r="N252" s="674" t="s">
        <v>457</v>
      </c>
      <c r="O252" s="674" t="s">
        <v>458</v>
      </c>
      <c r="P252" s="676" t="s">
        <v>459</v>
      </c>
      <c r="Q252" s="658"/>
      <c r="R252" s="657"/>
      <c r="S252" s="658"/>
      <c r="T252" s="658"/>
      <c r="U252" s="657"/>
      <c r="V252" s="658"/>
      <c r="W252" s="658"/>
      <c r="X252" s="657"/>
      <c r="Y252" s="658"/>
      <c r="Z252" s="658"/>
      <c r="AA252" s="657"/>
      <c r="AB252" s="658"/>
      <c r="AC252" s="658"/>
      <c r="AD252" s="657"/>
      <c r="AE252" s="658"/>
      <c r="AF252" s="658"/>
      <c r="AG252" s="657"/>
      <c r="AH252" s="658"/>
      <c r="AI252" s="658"/>
      <c r="AJ252" s="657"/>
      <c r="AK252" s="658"/>
      <c r="AL252" s="658"/>
      <c r="AM252" s="657"/>
      <c r="AN252" s="658"/>
      <c r="AO252" s="658"/>
      <c r="AP252" s="657"/>
      <c r="AQ252" s="658"/>
      <c r="AR252" s="658"/>
    </row>
    <row r="253" spans="2:44" ht="13.5" outlineLevel="2" thickBot="1">
      <c r="B253" s="771"/>
      <c r="C253" s="685" t="s">
        <v>68</v>
      </c>
      <c r="D253" s="686" t="s">
        <v>68</v>
      </c>
      <c r="E253" s="686" t="s">
        <v>68</v>
      </c>
      <c r="F253" s="687" t="s">
        <v>68</v>
      </c>
      <c r="G253" s="685" t="s">
        <v>68</v>
      </c>
      <c r="H253" s="686" t="s">
        <v>68</v>
      </c>
      <c r="I253" s="686" t="s">
        <v>68</v>
      </c>
      <c r="J253" s="686" t="s">
        <v>68</v>
      </c>
      <c r="K253" s="687" t="s">
        <v>68</v>
      </c>
      <c r="L253" s="685" t="s">
        <v>68</v>
      </c>
      <c r="M253" s="686" t="s">
        <v>68</v>
      </c>
      <c r="N253" s="686" t="s">
        <v>68</v>
      </c>
      <c r="O253" s="686" t="s">
        <v>68</v>
      </c>
      <c r="P253" s="687" t="s">
        <v>68</v>
      </c>
      <c r="Q253" s="659"/>
      <c r="R253" s="657"/>
      <c r="S253" s="659"/>
      <c r="T253" s="659"/>
      <c r="U253" s="659"/>
      <c r="V253" s="659"/>
      <c r="W253" s="659"/>
      <c r="X253" s="659"/>
      <c r="Y253" s="659"/>
      <c r="Z253" s="659"/>
      <c r="AA253" s="659"/>
      <c r="AB253" s="659"/>
      <c r="AC253" s="659"/>
      <c r="AD253" s="659"/>
      <c r="AE253" s="659"/>
      <c r="AF253" s="659"/>
      <c r="AG253" s="659"/>
      <c r="AH253" s="659"/>
      <c r="AI253" s="659"/>
      <c r="AJ253" s="659"/>
      <c r="AK253" s="659"/>
      <c r="AL253" s="659"/>
      <c r="AM253" s="659"/>
      <c r="AN253" s="659"/>
      <c r="AO253" s="659"/>
      <c r="AP253" s="659"/>
      <c r="AQ253" s="659"/>
      <c r="AR253" s="659"/>
    </row>
    <row r="254" spans="2:44" ht="13.5" outlineLevel="2" thickTop="1">
      <c r="B254" s="212" t="str">
        <f>B233</f>
        <v>CN West</v>
      </c>
      <c r="C254" s="690">
        <v>123.54</v>
      </c>
      <c r="D254" s="691">
        <v>115.26</v>
      </c>
      <c r="E254" s="691">
        <v>132.6</v>
      </c>
      <c r="F254" s="692">
        <v>121.63</v>
      </c>
      <c r="G254" s="695">
        <v>115.02526277215314</v>
      </c>
      <c r="H254" s="683">
        <v>135.96230332776744</v>
      </c>
      <c r="I254" s="683">
        <v>123.24348402823608</v>
      </c>
      <c r="J254" s="683">
        <v>101.36161368651064</v>
      </c>
      <c r="K254" s="696">
        <v>112.75278862556135</v>
      </c>
      <c r="L254" s="116"/>
      <c r="M254" s="697"/>
      <c r="N254" s="697"/>
      <c r="O254" s="697"/>
      <c r="P254" s="698"/>
      <c r="Q254" s="660"/>
      <c r="R254" s="657"/>
      <c r="S254" s="13"/>
      <c r="T254" s="660"/>
      <c r="U254" s="565"/>
      <c r="V254" s="13"/>
      <c r="W254" s="660"/>
      <c r="X254" s="565"/>
      <c r="Y254" s="13"/>
      <c r="Z254" s="660"/>
      <c r="AA254" s="565"/>
      <c r="AB254" s="79"/>
      <c r="AC254" s="660"/>
      <c r="AD254" s="661"/>
      <c r="AE254" s="661"/>
      <c r="AF254" s="662"/>
      <c r="AG254" s="663"/>
      <c r="AH254" s="664"/>
      <c r="AI254" s="665"/>
      <c r="AJ254" s="661"/>
      <c r="AK254" s="661"/>
      <c r="AL254" s="662"/>
      <c r="AM254" s="663"/>
      <c r="AN254" s="664"/>
      <c r="AO254" s="665"/>
      <c r="AP254" s="661"/>
      <c r="AQ254" s="661"/>
      <c r="AR254" s="662"/>
    </row>
    <row r="255" spans="2:44" outlineLevel="2">
      <c r="B255" s="212" t="str">
        <f t="shared" ref="B255:B267" si="93">B234</f>
        <v>CN East</v>
      </c>
      <c r="C255" s="693">
        <v>78.819999999999993</v>
      </c>
      <c r="D255" s="671">
        <v>90.64</v>
      </c>
      <c r="E255" s="671">
        <v>89.42</v>
      </c>
      <c r="F255" s="694">
        <v>75.28</v>
      </c>
      <c r="G255" s="693">
        <v>76.139145843058401</v>
      </c>
      <c r="H255" s="671">
        <v>114.63769450687694</v>
      </c>
      <c r="I255" s="671">
        <v>83.581001041749147</v>
      </c>
      <c r="J255" s="671">
        <v>70.891963163244142</v>
      </c>
      <c r="K255" s="694">
        <v>64.471741672020855</v>
      </c>
      <c r="L255" s="101"/>
      <c r="M255" s="669"/>
      <c r="N255" s="669"/>
      <c r="O255" s="669"/>
      <c r="P255" s="678"/>
      <c r="Q255" s="79"/>
      <c r="R255" s="657"/>
      <c r="S255" s="13"/>
      <c r="T255" s="79"/>
      <c r="U255" s="13"/>
      <c r="V255" s="13"/>
      <c r="W255" s="79"/>
      <c r="X255" s="13"/>
      <c r="Y255" s="13"/>
      <c r="Z255" s="79"/>
      <c r="AA255" s="13"/>
      <c r="AB255" s="13"/>
      <c r="AC255" s="79"/>
      <c r="AD255" s="661"/>
      <c r="AE255" s="661"/>
      <c r="AF255" s="662"/>
      <c r="AG255" s="663"/>
      <c r="AH255" s="664"/>
      <c r="AI255" s="665"/>
      <c r="AJ255" s="661"/>
      <c r="AK255" s="661"/>
      <c r="AL255" s="662"/>
      <c r="AM255" s="663"/>
      <c r="AN255" s="664"/>
      <c r="AO255" s="665"/>
      <c r="AP255" s="661"/>
      <c r="AQ255" s="661"/>
      <c r="AR255" s="662"/>
    </row>
    <row r="256" spans="2:44" outlineLevel="2">
      <c r="B256" s="212" t="str">
        <f t="shared" si="93"/>
        <v>ENWL</v>
      </c>
      <c r="C256" s="693">
        <v>56.46</v>
      </c>
      <c r="D256" s="671">
        <v>66.48</v>
      </c>
      <c r="E256" s="671">
        <v>50.98</v>
      </c>
      <c r="F256" s="694">
        <v>55.13</v>
      </c>
      <c r="G256" s="693">
        <v>58.244335839946714</v>
      </c>
      <c r="H256" s="671">
        <v>60.772552040525085</v>
      </c>
      <c r="I256" s="671">
        <v>52.457048707299485</v>
      </c>
      <c r="J256" s="671">
        <v>50.959258460875198</v>
      </c>
      <c r="K256" s="694">
        <v>52.791666295504939</v>
      </c>
      <c r="L256" s="101"/>
      <c r="M256" s="669"/>
      <c r="N256" s="669"/>
      <c r="O256" s="669"/>
      <c r="P256" s="678"/>
      <c r="Q256" s="79"/>
      <c r="R256" s="657"/>
      <c r="S256" s="13"/>
      <c r="T256" s="79"/>
      <c r="U256" s="13"/>
      <c r="V256" s="13"/>
      <c r="W256" s="79"/>
      <c r="X256" s="13"/>
      <c r="Y256" s="13"/>
      <c r="Z256" s="79"/>
      <c r="AA256" s="13"/>
      <c r="AB256" s="13"/>
      <c r="AC256" s="79"/>
      <c r="AD256" s="661"/>
      <c r="AE256" s="661"/>
      <c r="AF256" s="662"/>
      <c r="AG256" s="663"/>
      <c r="AH256" s="664"/>
      <c r="AI256" s="665"/>
      <c r="AJ256" s="661"/>
      <c r="AK256" s="661"/>
      <c r="AL256" s="662"/>
      <c r="AM256" s="663"/>
      <c r="AN256" s="664"/>
      <c r="AO256" s="665"/>
      <c r="AP256" s="661"/>
      <c r="AQ256" s="661"/>
      <c r="AR256" s="662"/>
    </row>
    <row r="257" spans="2:44" outlineLevel="2">
      <c r="B257" s="212" t="str">
        <f t="shared" si="93"/>
        <v>CE NEDL</v>
      </c>
      <c r="C257" s="693">
        <v>93.65</v>
      </c>
      <c r="D257" s="671">
        <v>85.33</v>
      </c>
      <c r="E257" s="671">
        <v>78.069999999999993</v>
      </c>
      <c r="F257" s="694">
        <v>93.92</v>
      </c>
      <c r="G257" s="693">
        <v>80.482148334139112</v>
      </c>
      <c r="H257" s="671">
        <v>80.968165057271435</v>
      </c>
      <c r="I257" s="671">
        <v>76.101456372052922</v>
      </c>
      <c r="J257" s="671">
        <v>71.802714756740357</v>
      </c>
      <c r="K257" s="694">
        <v>72.180505167176364</v>
      </c>
      <c r="L257" s="101"/>
      <c r="M257" s="669"/>
      <c r="N257" s="669"/>
      <c r="O257" s="669"/>
      <c r="P257" s="678"/>
      <c r="Q257" s="79"/>
      <c r="R257" s="657"/>
      <c r="S257" s="13"/>
      <c r="AC257" s="79"/>
      <c r="AD257" s="661"/>
      <c r="AE257" s="661"/>
      <c r="AF257" s="662"/>
      <c r="AG257" s="663"/>
      <c r="AH257" s="664"/>
      <c r="AI257" s="665"/>
      <c r="AJ257" s="661"/>
      <c r="AK257" s="661"/>
      <c r="AL257" s="662"/>
      <c r="AM257" s="663"/>
      <c r="AN257" s="664"/>
      <c r="AO257" s="665"/>
      <c r="AP257" s="661"/>
      <c r="AQ257" s="661"/>
      <c r="AR257" s="662"/>
    </row>
    <row r="258" spans="2:44" outlineLevel="2">
      <c r="B258" s="212" t="str">
        <f t="shared" si="93"/>
        <v>CE YEDL</v>
      </c>
      <c r="C258" s="693">
        <v>78.790000000000006</v>
      </c>
      <c r="D258" s="671">
        <v>63.62</v>
      </c>
      <c r="E258" s="671">
        <v>66.989999999999995</v>
      </c>
      <c r="F258" s="694">
        <v>68.349999999999994</v>
      </c>
      <c r="G258" s="693">
        <v>69.461990891076013</v>
      </c>
      <c r="H258" s="671">
        <v>94.834108307495882</v>
      </c>
      <c r="I258" s="671">
        <v>92.49593505759394</v>
      </c>
      <c r="J258" s="671">
        <v>83.722800856153782</v>
      </c>
      <c r="K258" s="694">
        <v>74.496610955824877</v>
      </c>
      <c r="L258" s="101"/>
      <c r="M258" s="669"/>
      <c r="N258" s="669"/>
      <c r="O258" s="669"/>
      <c r="P258" s="678"/>
      <c r="Q258" s="79"/>
      <c r="R258" s="657"/>
      <c r="S258" s="13"/>
      <c r="AC258" s="79"/>
      <c r="AD258" s="661"/>
      <c r="AE258" s="661"/>
      <c r="AF258" s="662"/>
      <c r="AG258" s="663"/>
      <c r="AH258" s="664"/>
      <c r="AI258" s="665"/>
      <c r="AJ258" s="661"/>
      <c r="AK258" s="661"/>
      <c r="AL258" s="662"/>
      <c r="AM258" s="663"/>
      <c r="AN258" s="664"/>
      <c r="AO258" s="665"/>
      <c r="AP258" s="661"/>
      <c r="AQ258" s="661"/>
      <c r="AR258" s="662"/>
    </row>
    <row r="259" spans="2:44" outlineLevel="2">
      <c r="B259" s="212" t="str">
        <f t="shared" si="93"/>
        <v>WPD S Wales</v>
      </c>
      <c r="C259" s="693">
        <v>120.73</v>
      </c>
      <c r="D259" s="671">
        <v>120.72</v>
      </c>
      <c r="E259" s="671">
        <v>105.33</v>
      </c>
      <c r="F259" s="694">
        <v>102.41</v>
      </c>
      <c r="G259" s="693">
        <v>85.999600851760377</v>
      </c>
      <c r="H259" s="671">
        <v>100.67997970432981</v>
      </c>
      <c r="I259" s="671">
        <v>80.657289606654402</v>
      </c>
      <c r="J259" s="671">
        <v>71.981349797821451</v>
      </c>
      <c r="K259" s="694">
        <v>58.527809764032817</v>
      </c>
      <c r="L259" s="101"/>
      <c r="M259" s="669"/>
      <c r="N259" s="669"/>
      <c r="O259" s="669"/>
      <c r="P259" s="678"/>
      <c r="Q259" s="79"/>
      <c r="R259" s="657"/>
      <c r="S259" s="13"/>
      <c r="AC259" s="79"/>
      <c r="AD259" s="661"/>
      <c r="AE259" s="661"/>
      <c r="AF259" s="662"/>
      <c r="AG259" s="663"/>
      <c r="AH259" s="664"/>
      <c r="AI259" s="665"/>
      <c r="AJ259" s="661"/>
      <c r="AK259" s="661"/>
      <c r="AL259" s="662"/>
      <c r="AM259" s="663"/>
      <c r="AN259" s="664"/>
      <c r="AO259" s="665"/>
      <c r="AP259" s="661"/>
      <c r="AQ259" s="661"/>
      <c r="AR259" s="662"/>
    </row>
    <row r="260" spans="2:44" outlineLevel="2">
      <c r="B260" s="212" t="str">
        <f t="shared" si="93"/>
        <v>WPD S West</v>
      </c>
      <c r="C260" s="693">
        <v>107.06</v>
      </c>
      <c r="D260" s="671">
        <v>98.69</v>
      </c>
      <c r="E260" s="671">
        <v>74.22</v>
      </c>
      <c r="F260" s="694">
        <v>81.510000000000005</v>
      </c>
      <c r="G260" s="693">
        <v>83.795189309220845</v>
      </c>
      <c r="H260" s="671">
        <v>97.92152584455647</v>
      </c>
      <c r="I260" s="671">
        <v>85.205217606297495</v>
      </c>
      <c r="J260" s="671">
        <v>63.961419062902827</v>
      </c>
      <c r="K260" s="694">
        <v>57.071601584695294</v>
      </c>
      <c r="L260" s="101"/>
      <c r="M260" s="669"/>
      <c r="N260" s="669"/>
      <c r="O260" s="669"/>
      <c r="P260" s="678"/>
      <c r="Q260" s="79"/>
      <c r="R260" s="657"/>
      <c r="S260" s="13"/>
      <c r="AC260" s="79"/>
      <c r="AD260" s="661"/>
      <c r="AE260" s="661"/>
      <c r="AF260" s="662"/>
      <c r="AG260" s="663"/>
      <c r="AH260" s="664"/>
      <c r="AI260" s="665"/>
      <c r="AJ260" s="661"/>
      <c r="AK260" s="661"/>
      <c r="AL260" s="662"/>
      <c r="AM260" s="663"/>
      <c r="AN260" s="664"/>
      <c r="AO260" s="665"/>
      <c r="AP260" s="661"/>
      <c r="AQ260" s="661"/>
      <c r="AR260" s="662"/>
    </row>
    <row r="261" spans="2:44" outlineLevel="2">
      <c r="B261" s="212" t="str">
        <f t="shared" si="93"/>
        <v>UKPN LPN</v>
      </c>
      <c r="C261" s="693">
        <v>38.619999999999997</v>
      </c>
      <c r="D261" s="671">
        <v>36.44</v>
      </c>
      <c r="E261" s="671">
        <v>55.09</v>
      </c>
      <c r="F261" s="694">
        <v>35.299999999999997</v>
      </c>
      <c r="G261" s="693">
        <v>34.319855799461671</v>
      </c>
      <c r="H261" s="671">
        <v>37.298548024330621</v>
      </c>
      <c r="I261" s="671">
        <v>31.9493311696259</v>
      </c>
      <c r="J261" s="671">
        <v>33.267597551300888</v>
      </c>
      <c r="K261" s="694">
        <v>31.404011103388033</v>
      </c>
      <c r="L261" s="101"/>
      <c r="M261" s="669"/>
      <c r="N261" s="669"/>
      <c r="O261" s="669"/>
      <c r="P261" s="678"/>
      <c r="Q261" s="79"/>
      <c r="R261" s="657"/>
      <c r="S261" s="13"/>
      <c r="AC261" s="79"/>
      <c r="AD261" s="661"/>
      <c r="AE261" s="661"/>
      <c r="AF261" s="662"/>
      <c r="AG261" s="663"/>
      <c r="AH261" s="664"/>
      <c r="AI261" s="665"/>
      <c r="AJ261" s="661"/>
      <c r="AK261" s="661"/>
      <c r="AL261" s="662"/>
      <c r="AM261" s="663"/>
      <c r="AN261" s="664"/>
      <c r="AO261" s="665"/>
      <c r="AP261" s="661"/>
      <c r="AQ261" s="661"/>
      <c r="AR261" s="662"/>
    </row>
    <row r="262" spans="2:44" outlineLevel="2">
      <c r="B262" s="212" t="str">
        <f t="shared" si="93"/>
        <v>UKPN SEPN</v>
      </c>
      <c r="C262" s="693">
        <v>93.29</v>
      </c>
      <c r="D262" s="671">
        <v>94.57</v>
      </c>
      <c r="E262" s="671">
        <v>99.11</v>
      </c>
      <c r="F262" s="694">
        <v>86.68</v>
      </c>
      <c r="G262" s="693">
        <v>80.832942654360423</v>
      </c>
      <c r="H262" s="671">
        <v>91.476073763780462</v>
      </c>
      <c r="I262" s="671">
        <v>94.251388884498013</v>
      </c>
      <c r="J262" s="671">
        <v>86.750514403984454</v>
      </c>
      <c r="K262" s="694">
        <v>90.482296361454985</v>
      </c>
      <c r="L262" s="101"/>
      <c r="M262" s="669"/>
      <c r="N262" s="669"/>
      <c r="O262" s="669"/>
      <c r="P262" s="678"/>
      <c r="Q262" s="79"/>
      <c r="R262" s="657"/>
      <c r="S262" s="13"/>
      <c r="AC262" s="79"/>
      <c r="AD262" s="661"/>
      <c r="AE262" s="661"/>
      <c r="AF262" s="662"/>
      <c r="AG262" s="663"/>
      <c r="AH262" s="664"/>
      <c r="AI262" s="665"/>
      <c r="AJ262" s="661"/>
      <c r="AK262" s="661"/>
      <c r="AL262" s="662"/>
      <c r="AM262" s="663"/>
      <c r="AN262" s="664"/>
      <c r="AO262" s="665"/>
      <c r="AP262" s="661"/>
      <c r="AQ262" s="661"/>
      <c r="AR262" s="662"/>
    </row>
    <row r="263" spans="2:44" outlineLevel="2">
      <c r="B263" s="212" t="str">
        <f t="shared" si="93"/>
        <v>UKPN EPN</v>
      </c>
      <c r="C263" s="693">
        <v>102.02</v>
      </c>
      <c r="D263" s="671">
        <v>112.11</v>
      </c>
      <c r="E263" s="671">
        <v>93.23</v>
      </c>
      <c r="F263" s="694">
        <v>75.349999999999994</v>
      </c>
      <c r="G263" s="693">
        <v>70.512342721255052</v>
      </c>
      <c r="H263" s="671">
        <v>89.06407669748927</v>
      </c>
      <c r="I263" s="671">
        <v>77.583631067765268</v>
      </c>
      <c r="J263" s="671">
        <v>91.482448992200347</v>
      </c>
      <c r="K263" s="694">
        <v>98.034202240899404</v>
      </c>
      <c r="L263" s="101"/>
      <c r="M263" s="669"/>
      <c r="N263" s="669"/>
      <c r="O263" s="669"/>
      <c r="P263" s="678"/>
      <c r="Q263" s="79"/>
      <c r="R263" s="657"/>
      <c r="S263" s="13"/>
      <c r="AC263" s="79"/>
      <c r="AD263" s="661"/>
      <c r="AE263" s="661"/>
      <c r="AF263" s="662"/>
      <c r="AG263" s="663"/>
      <c r="AH263" s="664"/>
      <c r="AI263" s="665"/>
      <c r="AJ263" s="661"/>
      <c r="AK263" s="661"/>
      <c r="AL263" s="662"/>
      <c r="AM263" s="663"/>
      <c r="AN263" s="664"/>
      <c r="AO263" s="665"/>
      <c r="AP263" s="661"/>
      <c r="AQ263" s="661"/>
      <c r="AR263" s="662"/>
    </row>
    <row r="264" spans="2:44" outlineLevel="2">
      <c r="B264" s="212" t="str">
        <f t="shared" si="93"/>
        <v>SP Distribution</v>
      </c>
      <c r="C264" s="693">
        <v>76.27</v>
      </c>
      <c r="D264" s="671">
        <v>68.510000000000005</v>
      </c>
      <c r="E264" s="671">
        <v>67.36</v>
      </c>
      <c r="F264" s="694">
        <v>66.88</v>
      </c>
      <c r="G264" s="693">
        <v>61.154570098792412</v>
      </c>
      <c r="H264" s="671">
        <v>73.396530346762063</v>
      </c>
      <c r="I264" s="671">
        <v>69.496919441322063</v>
      </c>
      <c r="J264" s="671">
        <v>68.168777566361385</v>
      </c>
      <c r="K264" s="694">
        <v>64.896050250913177</v>
      </c>
      <c r="L264" s="101"/>
      <c r="M264" s="669"/>
      <c r="N264" s="669"/>
      <c r="O264" s="669"/>
      <c r="P264" s="678"/>
      <c r="Q264" s="79"/>
      <c r="R264" s="657"/>
      <c r="S264" s="13"/>
      <c r="AC264" s="79"/>
      <c r="AD264" s="661"/>
      <c r="AE264" s="661"/>
      <c r="AF264" s="662"/>
      <c r="AG264" s="663"/>
      <c r="AH264" s="664"/>
      <c r="AI264" s="665"/>
      <c r="AJ264" s="661"/>
      <c r="AK264" s="661"/>
      <c r="AL264" s="662"/>
      <c r="AM264" s="663"/>
      <c r="AN264" s="664"/>
      <c r="AO264" s="665"/>
      <c r="AP264" s="661"/>
      <c r="AQ264" s="661"/>
      <c r="AR264" s="662"/>
    </row>
    <row r="265" spans="2:44" outlineLevel="2">
      <c r="B265" s="212" t="str">
        <f t="shared" si="93"/>
        <v>SP Manweb</v>
      </c>
      <c r="C265" s="693">
        <v>51.6</v>
      </c>
      <c r="D265" s="671">
        <v>51.93</v>
      </c>
      <c r="E265" s="671">
        <v>52.42</v>
      </c>
      <c r="F265" s="694">
        <v>51.59</v>
      </c>
      <c r="G265" s="693">
        <v>44.444140883212143</v>
      </c>
      <c r="H265" s="671">
        <v>60.6212515157805</v>
      </c>
      <c r="I265" s="671">
        <v>46.855561686454088</v>
      </c>
      <c r="J265" s="671">
        <v>53.721830629658356</v>
      </c>
      <c r="K265" s="694">
        <v>40.52066281125299</v>
      </c>
      <c r="L265" s="101"/>
      <c r="M265" s="669"/>
      <c r="N265" s="669"/>
      <c r="O265" s="669"/>
      <c r="P265" s="678"/>
      <c r="Q265" s="79"/>
      <c r="R265" s="657"/>
      <c r="S265" s="13"/>
      <c r="AC265" s="79"/>
      <c r="AD265" s="661"/>
      <c r="AE265" s="661"/>
      <c r="AF265" s="662"/>
      <c r="AG265" s="663"/>
      <c r="AH265" s="664"/>
      <c r="AI265" s="665"/>
      <c r="AJ265" s="661"/>
      <c r="AK265" s="661"/>
      <c r="AL265" s="662"/>
      <c r="AM265" s="663"/>
      <c r="AN265" s="664"/>
      <c r="AO265" s="665"/>
      <c r="AP265" s="661"/>
      <c r="AQ265" s="661"/>
      <c r="AR265" s="662"/>
    </row>
    <row r="266" spans="2:44" outlineLevel="2">
      <c r="B266" s="212" t="str">
        <f t="shared" si="93"/>
        <v>SSE Hydro</v>
      </c>
      <c r="C266" s="693">
        <v>124.71</v>
      </c>
      <c r="D266" s="671">
        <v>100.67</v>
      </c>
      <c r="E266" s="671">
        <v>105.97</v>
      </c>
      <c r="F266" s="694">
        <v>113.65</v>
      </c>
      <c r="G266" s="693">
        <v>110.76369965617108</v>
      </c>
      <c r="H266" s="671">
        <v>121.78634829900126</v>
      </c>
      <c r="I266" s="671">
        <v>94.040656348861802</v>
      </c>
      <c r="J266" s="671">
        <v>106.35453660409436</v>
      </c>
      <c r="K266" s="694">
        <v>100.62739217929999</v>
      </c>
      <c r="L266" s="101"/>
      <c r="M266" s="669"/>
      <c r="N266" s="669"/>
      <c r="O266" s="669"/>
      <c r="P266" s="678"/>
      <c r="Q266" s="79"/>
      <c r="R266" s="657"/>
      <c r="S266" s="13"/>
      <c r="AC266" s="79"/>
      <c r="AD266" s="661"/>
      <c r="AE266" s="661"/>
      <c r="AF266" s="662"/>
      <c r="AG266" s="663"/>
      <c r="AH266" s="664"/>
      <c r="AI266" s="665"/>
      <c r="AJ266" s="661"/>
      <c r="AK266" s="661"/>
      <c r="AL266" s="662"/>
      <c r="AM266" s="663"/>
      <c r="AN266" s="664"/>
      <c r="AO266" s="665"/>
      <c r="AP266" s="661"/>
      <c r="AQ266" s="661"/>
      <c r="AR266" s="662"/>
    </row>
    <row r="267" spans="2:44" outlineLevel="2">
      <c r="B267" s="212" t="str">
        <f t="shared" si="93"/>
        <v>SSE Southern</v>
      </c>
      <c r="C267" s="693">
        <v>103.17</v>
      </c>
      <c r="D267" s="671">
        <v>102.01</v>
      </c>
      <c r="E267" s="671">
        <v>88.01</v>
      </c>
      <c r="F267" s="694">
        <v>97.62</v>
      </c>
      <c r="G267" s="693">
        <v>90.372667053476462</v>
      </c>
      <c r="H267" s="671">
        <v>85.928366468863089</v>
      </c>
      <c r="I267" s="671">
        <v>69.742635568363113</v>
      </c>
      <c r="J267" s="671">
        <v>67.446068298230145</v>
      </c>
      <c r="K267" s="694">
        <v>68.52503027911591</v>
      </c>
      <c r="L267" s="101"/>
      <c r="M267" s="669"/>
      <c r="N267" s="669"/>
      <c r="O267" s="669"/>
      <c r="P267" s="678"/>
      <c r="Q267" s="79"/>
      <c r="R267" s="657"/>
      <c r="S267" s="13"/>
      <c r="AC267" s="79"/>
      <c r="AD267" s="661"/>
      <c r="AE267" s="661"/>
      <c r="AF267" s="662"/>
      <c r="AG267" s="663"/>
      <c r="AH267" s="664"/>
      <c r="AI267" s="665"/>
      <c r="AJ267" s="661"/>
      <c r="AK267" s="661"/>
      <c r="AL267" s="662"/>
      <c r="AM267" s="663"/>
      <c r="AN267" s="664"/>
      <c r="AO267" s="665"/>
      <c r="AP267" s="661"/>
      <c r="AQ267" s="661"/>
      <c r="AR267" s="662"/>
    </row>
    <row r="268" spans="2:44" outlineLevel="2">
      <c r="B268" s="185"/>
      <c r="C268" s="100"/>
      <c r="D268" s="669"/>
      <c r="E268" s="669"/>
      <c r="F268" s="678"/>
      <c r="G268" s="100"/>
      <c r="H268" s="669"/>
      <c r="I268" s="669"/>
      <c r="J268" s="669"/>
      <c r="K268" s="678"/>
      <c r="L268" s="101"/>
      <c r="M268" s="669"/>
      <c r="N268" s="669"/>
      <c r="O268" s="669"/>
      <c r="P268" s="678"/>
      <c r="Q268" s="666"/>
      <c r="R268" s="657"/>
      <c r="S268" s="666"/>
      <c r="T268" s="666"/>
      <c r="U268" s="666"/>
      <c r="V268" s="666"/>
      <c r="W268" s="666"/>
      <c r="X268" s="666"/>
      <c r="Y268" s="666"/>
      <c r="Z268" s="666"/>
      <c r="AA268" s="666"/>
      <c r="AB268" s="666"/>
      <c r="AC268" s="666"/>
      <c r="AD268" s="666"/>
      <c r="AE268" s="666"/>
      <c r="AF268" s="666"/>
      <c r="AG268" s="666"/>
      <c r="AH268" s="666"/>
      <c r="AI268" s="666"/>
      <c r="AJ268" s="666"/>
      <c r="AK268" s="666"/>
      <c r="AL268" s="666"/>
      <c r="AM268" s="666"/>
      <c r="AN268" s="666"/>
      <c r="AO268" s="666"/>
      <c r="AP268" s="666"/>
      <c r="AQ268" s="666"/>
      <c r="AR268" s="666"/>
    </row>
    <row r="269" spans="2:44" ht="13.5" outlineLevel="2" thickBot="1">
      <c r="B269" s="181" t="s">
        <v>66</v>
      </c>
      <c r="C269" s="190">
        <v>87.398617861380586</v>
      </c>
      <c r="D269" s="193">
        <v>86.245442007191471</v>
      </c>
      <c r="E269" s="193">
        <v>82.568488337425322</v>
      </c>
      <c r="F269" s="194">
        <v>78.370857973449461</v>
      </c>
      <c r="G269" s="190">
        <v>74.442376704030224</v>
      </c>
      <c r="H269" s="193">
        <v>88.018847142812533</v>
      </c>
      <c r="I269" s="193">
        <v>76.807054739022561</v>
      </c>
      <c r="J269" s="193">
        <v>72.859910179100353</v>
      </c>
      <c r="K269" s="194">
        <v>71.819107201446656</v>
      </c>
      <c r="L269" s="183"/>
      <c r="M269" s="679"/>
      <c r="N269" s="679"/>
      <c r="O269" s="679"/>
      <c r="P269" s="680"/>
      <c r="Q269" s="667"/>
      <c r="R269" s="657"/>
      <c r="S269" s="667"/>
      <c r="T269" s="667"/>
      <c r="U269" s="667"/>
      <c r="V269" s="667"/>
      <c r="W269" s="667"/>
      <c r="X269" s="667"/>
      <c r="Y269" s="667"/>
      <c r="Z269" s="667"/>
      <c r="AA269" s="667"/>
      <c r="AB269" s="667"/>
      <c r="AC269" s="667"/>
      <c r="AD269" s="667"/>
      <c r="AE269" s="667"/>
      <c r="AF269" s="667"/>
      <c r="AG269" s="667"/>
      <c r="AH269" s="667"/>
      <c r="AI269" s="667"/>
      <c r="AJ269" s="667"/>
      <c r="AK269" s="667"/>
      <c r="AL269" s="667"/>
      <c r="AM269" s="667"/>
      <c r="AN269" s="667"/>
      <c r="AO269" s="667"/>
      <c r="AP269" s="667"/>
      <c r="AQ269" s="667"/>
      <c r="AR269" s="667"/>
    </row>
    <row r="270" spans="2:44" outlineLevel="2">
      <c r="B270" s="155"/>
      <c r="L270" s="13"/>
      <c r="M270" s="13"/>
      <c r="N270" s="13"/>
      <c r="O270" s="13"/>
      <c r="P270" s="13"/>
      <c r="Q270" s="13"/>
      <c r="R270" s="657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</row>
    <row r="271" spans="2:44">
      <c r="L271" s="13"/>
      <c r="M271" s="13"/>
      <c r="N271" s="13"/>
      <c r="O271" s="13"/>
      <c r="P271" s="13"/>
      <c r="Q271" s="13"/>
      <c r="R271" s="657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</row>
    <row r="272" spans="2:44" ht="13.5" thickBot="1">
      <c r="B272" s="2" t="s">
        <v>451</v>
      </c>
      <c r="L272" s="13"/>
      <c r="M272" s="13"/>
      <c r="N272" s="13"/>
      <c r="O272" s="13"/>
      <c r="P272" s="13"/>
      <c r="Q272" s="13"/>
      <c r="R272" s="657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</row>
    <row r="273" spans="2:44" outlineLevel="1">
      <c r="B273" s="770" t="s">
        <v>19</v>
      </c>
      <c r="C273" s="688" t="s">
        <v>296</v>
      </c>
      <c r="D273" s="673" t="s">
        <v>303</v>
      </c>
      <c r="E273" s="674" t="s">
        <v>454</v>
      </c>
      <c r="F273" s="689" t="s">
        <v>455</v>
      </c>
      <c r="G273" s="684" t="s">
        <v>297</v>
      </c>
      <c r="H273" s="675" t="s">
        <v>339</v>
      </c>
      <c r="I273" s="672" t="s">
        <v>340</v>
      </c>
      <c r="J273" s="674" t="s">
        <v>305</v>
      </c>
      <c r="K273" s="676" t="s">
        <v>330</v>
      </c>
      <c r="L273" s="699" t="s">
        <v>456</v>
      </c>
      <c r="M273" s="674" t="s">
        <v>457</v>
      </c>
      <c r="N273" s="674" t="s">
        <v>457</v>
      </c>
      <c r="O273" s="674" t="s">
        <v>458</v>
      </c>
      <c r="P273" s="676" t="s">
        <v>459</v>
      </c>
      <c r="Q273" s="658"/>
      <c r="R273" s="657"/>
      <c r="S273" s="658"/>
      <c r="T273" s="658"/>
      <c r="U273" s="657"/>
      <c r="V273" s="658"/>
      <c r="W273" s="658"/>
      <c r="X273" s="657"/>
      <c r="Y273" s="658"/>
      <c r="Z273" s="658"/>
      <c r="AA273" s="657"/>
      <c r="AB273" s="658"/>
      <c r="AC273" s="658"/>
      <c r="AD273" s="657"/>
      <c r="AE273" s="658"/>
      <c r="AF273" s="658"/>
      <c r="AG273" s="657"/>
      <c r="AH273" s="658"/>
      <c r="AI273" s="658"/>
      <c r="AJ273" s="777"/>
      <c r="AK273" s="778"/>
      <c r="AL273" s="778"/>
      <c r="AM273" s="777"/>
      <c r="AN273" s="778"/>
      <c r="AO273" s="778"/>
      <c r="AP273" s="777"/>
      <c r="AQ273" s="778"/>
      <c r="AR273" s="778"/>
    </row>
    <row r="274" spans="2:44" ht="13.5" outlineLevel="1" thickBot="1">
      <c r="B274" s="771"/>
      <c r="C274" s="685" t="s">
        <v>68</v>
      </c>
      <c r="D274" s="686" t="s">
        <v>68</v>
      </c>
      <c r="E274" s="686" t="s">
        <v>68</v>
      </c>
      <c r="F274" s="687" t="s">
        <v>68</v>
      </c>
      <c r="G274" s="685" t="s">
        <v>68</v>
      </c>
      <c r="H274" s="686" t="s">
        <v>68</v>
      </c>
      <c r="I274" s="686" t="s">
        <v>68</v>
      </c>
      <c r="J274" s="686" t="s">
        <v>68</v>
      </c>
      <c r="K274" s="687" t="s">
        <v>68</v>
      </c>
      <c r="L274" s="685" t="s">
        <v>68</v>
      </c>
      <c r="M274" s="686" t="s">
        <v>68</v>
      </c>
      <c r="N274" s="686" t="s">
        <v>68</v>
      </c>
      <c r="O274" s="686" t="s">
        <v>68</v>
      </c>
      <c r="P274" s="687" t="s">
        <v>68</v>
      </c>
      <c r="Q274" s="659"/>
      <c r="R274" s="657"/>
      <c r="S274" s="659"/>
      <c r="T274" s="659"/>
      <c r="U274" s="659"/>
      <c r="V274" s="659"/>
      <c r="W274" s="659"/>
      <c r="X274" s="659"/>
      <c r="Y274" s="659"/>
      <c r="Z274" s="659"/>
      <c r="AA274" s="659"/>
      <c r="AB274" s="659"/>
      <c r="AC274" s="659"/>
      <c r="AD274" s="659"/>
      <c r="AE274" s="659"/>
      <c r="AF274" s="659"/>
      <c r="AG274" s="659"/>
      <c r="AH274" s="659"/>
      <c r="AI274" s="659"/>
      <c r="AJ274" s="659"/>
      <c r="AK274" s="659"/>
      <c r="AL274" s="659"/>
      <c r="AM274" s="659"/>
      <c r="AN274" s="659"/>
      <c r="AO274" s="659"/>
      <c r="AP274" s="659"/>
      <c r="AQ274" s="659"/>
      <c r="AR274" s="659"/>
    </row>
    <row r="275" spans="2:44" ht="13.5" outlineLevel="1" thickTop="1">
      <c r="B275" s="20" t="str">
        <f>B254</f>
        <v>CN West</v>
      </c>
      <c r="C275" s="690">
        <v>125.87</v>
      </c>
      <c r="D275" s="691">
        <v>204.17</v>
      </c>
      <c r="E275" s="691">
        <v>131.41</v>
      </c>
      <c r="F275" s="692">
        <v>101.22</v>
      </c>
      <c r="G275" s="695">
        <v>93.163311125743249</v>
      </c>
      <c r="H275" s="683">
        <v>161.83433691297608</v>
      </c>
      <c r="I275" s="683">
        <v>121.69499877130794</v>
      </c>
      <c r="J275" s="683">
        <v>94.885542005431176</v>
      </c>
      <c r="K275" s="696">
        <v>91.96729582673764</v>
      </c>
      <c r="L275" s="116"/>
      <c r="M275" s="697"/>
      <c r="N275" s="697"/>
      <c r="O275" s="697"/>
      <c r="P275" s="698"/>
      <c r="Q275" s="660"/>
      <c r="R275" s="657"/>
      <c r="S275" s="13"/>
      <c r="T275" s="660"/>
      <c r="U275" s="565"/>
      <c r="V275" s="13"/>
      <c r="W275" s="660"/>
      <c r="X275" s="565"/>
      <c r="Y275" s="13"/>
      <c r="Z275" s="660"/>
      <c r="AA275" s="565"/>
      <c r="AB275" s="79"/>
      <c r="AC275" s="660"/>
      <c r="AD275" s="661"/>
      <c r="AE275" s="661"/>
      <c r="AF275" s="662"/>
      <c r="AG275" s="663"/>
      <c r="AH275" s="664"/>
      <c r="AI275" s="665"/>
      <c r="AJ275" s="661"/>
      <c r="AK275" s="661"/>
      <c r="AL275" s="662"/>
      <c r="AM275" s="663"/>
      <c r="AN275" s="664"/>
      <c r="AO275" s="665"/>
      <c r="AP275" s="661"/>
      <c r="AQ275" s="661"/>
      <c r="AR275" s="662"/>
    </row>
    <row r="276" spans="2:44" outlineLevel="1">
      <c r="B276" s="20" t="str">
        <f t="shared" ref="B276:B288" si="94">B255</f>
        <v>CN East</v>
      </c>
      <c r="C276" s="693">
        <v>92.73</v>
      </c>
      <c r="D276" s="671">
        <v>128.47999999999999</v>
      </c>
      <c r="E276" s="671">
        <v>94.37</v>
      </c>
      <c r="F276" s="694">
        <v>75.42</v>
      </c>
      <c r="G276" s="693">
        <v>71.240158205438419</v>
      </c>
      <c r="H276" s="671">
        <v>124.17227514015467</v>
      </c>
      <c r="I276" s="671">
        <v>79.741329883606653</v>
      </c>
      <c r="J276" s="671">
        <v>64.08910332149739</v>
      </c>
      <c r="K276" s="694">
        <v>59.816268417063206</v>
      </c>
      <c r="L276" s="101"/>
      <c r="M276" s="669"/>
      <c r="N276" s="669"/>
      <c r="O276" s="669"/>
      <c r="P276" s="678"/>
      <c r="Q276" s="79"/>
      <c r="R276" s="657"/>
      <c r="S276" s="13"/>
      <c r="T276" s="79"/>
      <c r="U276" s="13"/>
      <c r="V276" s="13"/>
      <c r="W276" s="79"/>
      <c r="X276" s="13"/>
      <c r="Y276" s="13"/>
      <c r="Z276" s="79"/>
      <c r="AA276" s="13"/>
      <c r="AB276" s="13"/>
      <c r="AC276" s="79"/>
      <c r="AD276" s="661"/>
      <c r="AE276" s="661"/>
      <c r="AF276" s="662"/>
      <c r="AG276" s="663"/>
      <c r="AH276" s="664"/>
      <c r="AI276" s="665"/>
      <c r="AJ276" s="661"/>
      <c r="AK276" s="661"/>
      <c r="AL276" s="662"/>
      <c r="AM276" s="663"/>
      <c r="AN276" s="664"/>
      <c r="AO276" s="665"/>
      <c r="AP276" s="661"/>
      <c r="AQ276" s="661"/>
      <c r="AR276" s="662"/>
    </row>
    <row r="277" spans="2:44" outlineLevel="1">
      <c r="B277" s="20" t="str">
        <f t="shared" si="94"/>
        <v>ENWL</v>
      </c>
      <c r="C277" s="693">
        <v>64.42</v>
      </c>
      <c r="D277" s="671">
        <v>67.709999999999994</v>
      </c>
      <c r="E277" s="671">
        <v>59.31</v>
      </c>
      <c r="F277" s="694">
        <v>227.09</v>
      </c>
      <c r="G277" s="693">
        <v>51.621164205144574</v>
      </c>
      <c r="H277" s="671">
        <v>71.709609055550018</v>
      </c>
      <c r="I277" s="671">
        <v>52.140347537316934</v>
      </c>
      <c r="J277" s="671">
        <v>57.764451254597702</v>
      </c>
      <c r="K277" s="694">
        <v>56.162591735267952</v>
      </c>
      <c r="L277" s="101"/>
      <c r="M277" s="669"/>
      <c r="N277" s="669"/>
      <c r="O277" s="669"/>
      <c r="P277" s="678"/>
      <c r="Q277" s="79"/>
      <c r="R277" s="657"/>
      <c r="S277" s="13"/>
      <c r="AC277" s="79"/>
      <c r="AD277" s="661"/>
      <c r="AE277" s="661"/>
      <c r="AF277" s="662"/>
      <c r="AG277" s="663"/>
      <c r="AH277" s="664"/>
      <c r="AI277" s="665"/>
      <c r="AJ277" s="661"/>
      <c r="AK277" s="661"/>
      <c r="AL277" s="662"/>
      <c r="AM277" s="663"/>
      <c r="AN277" s="664"/>
      <c r="AO277" s="665"/>
      <c r="AP277" s="661"/>
      <c r="AQ277" s="661"/>
      <c r="AR277" s="662"/>
    </row>
    <row r="278" spans="2:44" outlineLevel="1">
      <c r="B278" s="20" t="str">
        <f t="shared" si="94"/>
        <v>CE NEDL</v>
      </c>
      <c r="C278" s="693">
        <v>90.06</v>
      </c>
      <c r="D278" s="671">
        <v>74.95</v>
      </c>
      <c r="E278" s="671">
        <v>91.54</v>
      </c>
      <c r="F278" s="694">
        <v>133.13</v>
      </c>
      <c r="G278" s="693">
        <v>80.189921528568391</v>
      </c>
      <c r="H278" s="671">
        <v>94.561650134198686</v>
      </c>
      <c r="I278" s="671">
        <v>85.357520631349132</v>
      </c>
      <c r="J278" s="671">
        <v>87.19739361932713</v>
      </c>
      <c r="K278" s="694">
        <v>82.017776638562239</v>
      </c>
      <c r="L278" s="101"/>
      <c r="M278" s="669"/>
      <c r="N278" s="669"/>
      <c r="O278" s="669"/>
      <c r="P278" s="678"/>
      <c r="Q278" s="79"/>
      <c r="R278" s="657"/>
      <c r="S278" s="13"/>
      <c r="AC278" s="79"/>
      <c r="AD278" s="661"/>
      <c r="AE278" s="661"/>
      <c r="AF278" s="662"/>
      <c r="AG278" s="663"/>
      <c r="AH278" s="664"/>
      <c r="AI278" s="665"/>
      <c r="AJ278" s="661"/>
      <c r="AK278" s="661"/>
      <c r="AL278" s="662"/>
      <c r="AM278" s="663"/>
      <c r="AN278" s="664"/>
      <c r="AO278" s="665"/>
      <c r="AP278" s="661"/>
      <c r="AQ278" s="661"/>
      <c r="AR278" s="662"/>
    </row>
    <row r="279" spans="2:44" outlineLevel="1">
      <c r="B279" s="20" t="str">
        <f t="shared" si="94"/>
        <v>CE YEDL</v>
      </c>
      <c r="C279" s="693">
        <v>54.78</v>
      </c>
      <c r="D279" s="671">
        <v>68.33</v>
      </c>
      <c r="E279" s="671">
        <v>73.88</v>
      </c>
      <c r="F279" s="694">
        <v>77.760000000000005</v>
      </c>
      <c r="G279" s="693">
        <v>70.490471092125517</v>
      </c>
      <c r="H279" s="671">
        <v>104.1848456836061</v>
      </c>
      <c r="I279" s="671">
        <v>131.55769309091821</v>
      </c>
      <c r="J279" s="671">
        <v>80.642767560295383</v>
      </c>
      <c r="K279" s="694">
        <v>68.511168632557698</v>
      </c>
      <c r="L279" s="101"/>
      <c r="M279" s="669"/>
      <c r="N279" s="669"/>
      <c r="O279" s="669"/>
      <c r="P279" s="678"/>
      <c r="Q279" s="79"/>
      <c r="R279" s="657"/>
      <c r="S279" s="13"/>
      <c r="AC279" s="79"/>
      <c r="AD279" s="661"/>
      <c r="AE279" s="661"/>
      <c r="AF279" s="662"/>
      <c r="AG279" s="663"/>
      <c r="AH279" s="664"/>
      <c r="AI279" s="665"/>
      <c r="AJ279" s="661"/>
      <c r="AK279" s="661"/>
      <c r="AL279" s="662"/>
      <c r="AM279" s="663"/>
      <c r="AN279" s="664"/>
      <c r="AO279" s="665"/>
      <c r="AP279" s="661"/>
      <c r="AQ279" s="661"/>
      <c r="AR279" s="662"/>
    </row>
    <row r="280" spans="2:44" outlineLevel="1">
      <c r="B280" s="20" t="str">
        <f t="shared" si="94"/>
        <v>WPD S Wales</v>
      </c>
      <c r="C280" s="693">
        <v>91.77</v>
      </c>
      <c r="D280" s="671">
        <v>112.71</v>
      </c>
      <c r="E280" s="671">
        <v>79.010000000000005</v>
      </c>
      <c r="F280" s="694">
        <v>56.56</v>
      </c>
      <c r="G280" s="693">
        <v>46.916074505230121</v>
      </c>
      <c r="H280" s="671">
        <v>73.942116225416498</v>
      </c>
      <c r="I280" s="671">
        <v>46.315912132902916</v>
      </c>
      <c r="J280" s="671">
        <v>43.791678490645047</v>
      </c>
      <c r="K280" s="694">
        <v>37.57049862002156</v>
      </c>
      <c r="L280" s="101"/>
      <c r="M280" s="669"/>
      <c r="N280" s="669"/>
      <c r="O280" s="669"/>
      <c r="P280" s="678"/>
      <c r="Q280" s="79"/>
      <c r="R280" s="657"/>
      <c r="S280" s="13"/>
      <c r="AC280" s="79"/>
      <c r="AD280" s="661"/>
      <c r="AE280" s="661"/>
      <c r="AF280" s="662"/>
      <c r="AG280" s="663"/>
      <c r="AH280" s="664"/>
      <c r="AI280" s="665"/>
      <c r="AJ280" s="661"/>
      <c r="AK280" s="661"/>
      <c r="AL280" s="662"/>
      <c r="AM280" s="663"/>
      <c r="AN280" s="664"/>
      <c r="AO280" s="665"/>
      <c r="AP280" s="661"/>
      <c r="AQ280" s="661"/>
      <c r="AR280" s="662"/>
    </row>
    <row r="281" spans="2:44" outlineLevel="1">
      <c r="B281" s="20" t="str">
        <f t="shared" si="94"/>
        <v>WPD S West</v>
      </c>
      <c r="C281" s="693">
        <v>85.99</v>
      </c>
      <c r="D281" s="671">
        <v>75.88</v>
      </c>
      <c r="E281" s="671">
        <v>56.59</v>
      </c>
      <c r="F281" s="694">
        <v>57.54</v>
      </c>
      <c r="G281" s="693">
        <v>54.483828491427367</v>
      </c>
      <c r="H281" s="671">
        <v>71.123464320646633</v>
      </c>
      <c r="I281" s="671">
        <v>60.690359817040829</v>
      </c>
      <c r="J281" s="671">
        <v>57.530535239799001</v>
      </c>
      <c r="K281" s="694">
        <v>47.177073976148684</v>
      </c>
      <c r="L281" s="101"/>
      <c r="M281" s="669"/>
      <c r="N281" s="669"/>
      <c r="O281" s="669"/>
      <c r="P281" s="678"/>
      <c r="Q281" s="79"/>
      <c r="R281" s="657"/>
      <c r="S281" s="13"/>
      <c r="AC281" s="79"/>
      <c r="AD281" s="661"/>
      <c r="AE281" s="661"/>
      <c r="AF281" s="662"/>
      <c r="AG281" s="663"/>
      <c r="AH281" s="664"/>
      <c r="AI281" s="665"/>
      <c r="AJ281" s="661"/>
      <c r="AK281" s="661"/>
      <c r="AL281" s="662"/>
      <c r="AM281" s="663"/>
      <c r="AN281" s="664"/>
      <c r="AO281" s="665"/>
      <c r="AP281" s="661"/>
      <c r="AQ281" s="661"/>
      <c r="AR281" s="662"/>
    </row>
    <row r="282" spans="2:44" outlineLevel="1">
      <c r="B282" s="20" t="str">
        <f t="shared" si="94"/>
        <v>UKPN LPN</v>
      </c>
      <c r="C282" s="693">
        <v>42.28</v>
      </c>
      <c r="D282" s="671">
        <v>43.17</v>
      </c>
      <c r="E282" s="671">
        <v>44.34</v>
      </c>
      <c r="F282" s="694">
        <v>39.04</v>
      </c>
      <c r="G282" s="693">
        <v>35.477090654734461</v>
      </c>
      <c r="H282" s="671">
        <v>43.990170397329038</v>
      </c>
      <c r="I282" s="671">
        <v>43.458903761853342</v>
      </c>
      <c r="J282" s="671">
        <v>45.602723665191938</v>
      </c>
      <c r="K282" s="694">
        <v>115.42133850955999</v>
      </c>
      <c r="L282" s="101"/>
      <c r="M282" s="669"/>
      <c r="N282" s="669"/>
      <c r="O282" s="669"/>
      <c r="P282" s="678"/>
      <c r="Q282" s="79"/>
      <c r="R282" s="657"/>
      <c r="S282" s="13"/>
      <c r="AC282" s="79"/>
      <c r="AD282" s="661"/>
      <c r="AE282" s="661"/>
      <c r="AF282" s="662"/>
      <c r="AG282" s="663"/>
      <c r="AH282" s="664"/>
      <c r="AI282" s="665"/>
      <c r="AJ282" s="661"/>
      <c r="AK282" s="661"/>
      <c r="AL282" s="662"/>
      <c r="AM282" s="663"/>
      <c r="AN282" s="664"/>
      <c r="AO282" s="665"/>
      <c r="AP282" s="661"/>
      <c r="AQ282" s="661"/>
      <c r="AR282" s="662"/>
    </row>
    <row r="283" spans="2:44" outlineLevel="1">
      <c r="B283" s="20" t="str">
        <f t="shared" si="94"/>
        <v>UKPN SEPN</v>
      </c>
      <c r="C283" s="693">
        <v>96.65</v>
      </c>
      <c r="D283" s="671">
        <v>91.61</v>
      </c>
      <c r="E283" s="671">
        <v>90.18</v>
      </c>
      <c r="F283" s="694">
        <v>93.56</v>
      </c>
      <c r="G283" s="693">
        <v>75.912093158381552</v>
      </c>
      <c r="H283" s="671">
        <v>103.07979298216348</v>
      </c>
      <c r="I283" s="671">
        <v>108.56719311563504</v>
      </c>
      <c r="J283" s="671">
        <v>107.11622850599059</v>
      </c>
      <c r="K283" s="694">
        <v>107.91914483882466</v>
      </c>
      <c r="L283" s="101"/>
      <c r="M283" s="669"/>
      <c r="N283" s="669"/>
      <c r="O283" s="669"/>
      <c r="P283" s="678"/>
      <c r="Q283" s="79"/>
      <c r="R283" s="657"/>
      <c r="S283" s="13"/>
      <c r="AC283" s="79"/>
      <c r="AD283" s="661"/>
      <c r="AE283" s="661"/>
      <c r="AF283" s="662"/>
      <c r="AG283" s="663"/>
      <c r="AH283" s="664"/>
      <c r="AI283" s="665"/>
      <c r="AJ283" s="661"/>
      <c r="AK283" s="661"/>
      <c r="AL283" s="662"/>
      <c r="AM283" s="663"/>
      <c r="AN283" s="664"/>
      <c r="AO283" s="665"/>
      <c r="AP283" s="661"/>
      <c r="AQ283" s="661"/>
      <c r="AR283" s="662"/>
    </row>
    <row r="284" spans="2:44" outlineLevel="1">
      <c r="B284" s="20" t="str">
        <f t="shared" si="94"/>
        <v>UKPN EPN</v>
      </c>
      <c r="C284" s="693">
        <v>80.2</v>
      </c>
      <c r="D284" s="671">
        <v>197.99</v>
      </c>
      <c r="E284" s="671">
        <v>81.97</v>
      </c>
      <c r="F284" s="694">
        <v>71.39</v>
      </c>
      <c r="G284" s="693">
        <v>63.368944537395599</v>
      </c>
      <c r="H284" s="671">
        <v>101.0126375233593</v>
      </c>
      <c r="I284" s="671">
        <v>83.998634288937026</v>
      </c>
      <c r="J284" s="671">
        <v>100.89368056186768</v>
      </c>
      <c r="K284" s="694">
        <v>114.22544192614365</v>
      </c>
      <c r="L284" s="101"/>
      <c r="M284" s="669"/>
      <c r="N284" s="669"/>
      <c r="O284" s="669"/>
      <c r="P284" s="678"/>
      <c r="Q284" s="79"/>
      <c r="R284" s="657"/>
      <c r="S284" s="13"/>
      <c r="AC284" s="79"/>
      <c r="AD284" s="661"/>
      <c r="AE284" s="661"/>
      <c r="AF284" s="662"/>
      <c r="AG284" s="663"/>
      <c r="AH284" s="664"/>
      <c r="AI284" s="665"/>
      <c r="AJ284" s="661"/>
      <c r="AK284" s="661"/>
      <c r="AL284" s="662"/>
      <c r="AM284" s="663"/>
      <c r="AN284" s="664"/>
      <c r="AO284" s="665"/>
      <c r="AP284" s="661"/>
      <c r="AQ284" s="661"/>
      <c r="AR284" s="662"/>
    </row>
    <row r="285" spans="2:44" outlineLevel="1">
      <c r="B285" s="20" t="str">
        <f t="shared" si="94"/>
        <v>SP Distribution</v>
      </c>
      <c r="C285" s="693">
        <v>87.46</v>
      </c>
      <c r="D285" s="671">
        <v>76.2</v>
      </c>
      <c r="E285" s="671">
        <v>83.01</v>
      </c>
      <c r="F285" s="694">
        <v>80.06</v>
      </c>
      <c r="G285" s="693">
        <v>71.931738010113236</v>
      </c>
      <c r="H285" s="671">
        <v>102.03713972112688</v>
      </c>
      <c r="I285" s="671">
        <v>71.724375261085683</v>
      </c>
      <c r="J285" s="671">
        <v>57.234730941264928</v>
      </c>
      <c r="K285" s="694">
        <v>70.700825433098842</v>
      </c>
      <c r="L285" s="101"/>
      <c r="M285" s="669"/>
      <c r="N285" s="669"/>
      <c r="O285" s="669"/>
      <c r="P285" s="678"/>
      <c r="Q285" s="79"/>
      <c r="R285" s="657"/>
      <c r="S285" s="13"/>
      <c r="AC285" s="79"/>
      <c r="AD285" s="661"/>
      <c r="AE285" s="661"/>
      <c r="AF285" s="662"/>
      <c r="AG285" s="663"/>
      <c r="AH285" s="664"/>
      <c r="AI285" s="665"/>
      <c r="AJ285" s="661"/>
      <c r="AK285" s="661"/>
      <c r="AL285" s="662"/>
      <c r="AM285" s="663"/>
      <c r="AN285" s="664"/>
      <c r="AO285" s="665"/>
      <c r="AP285" s="661"/>
      <c r="AQ285" s="661"/>
      <c r="AR285" s="662"/>
    </row>
    <row r="286" spans="2:44" outlineLevel="1">
      <c r="B286" s="20" t="str">
        <f t="shared" si="94"/>
        <v>SP Manweb</v>
      </c>
      <c r="C286" s="693">
        <v>62.52</v>
      </c>
      <c r="D286" s="671">
        <v>112.12</v>
      </c>
      <c r="E286" s="671">
        <v>67.58</v>
      </c>
      <c r="F286" s="694">
        <v>74.88</v>
      </c>
      <c r="G286" s="693">
        <v>61.427793888734882</v>
      </c>
      <c r="H286" s="671">
        <v>116.96676275713645</v>
      </c>
      <c r="I286" s="671">
        <v>63.622389136500274</v>
      </c>
      <c r="J286" s="671">
        <v>65.200629995615657</v>
      </c>
      <c r="K286" s="694">
        <v>49.116750831142447</v>
      </c>
      <c r="L286" s="101"/>
      <c r="M286" s="669"/>
      <c r="N286" s="669"/>
      <c r="O286" s="669"/>
      <c r="P286" s="678"/>
      <c r="Q286" s="79"/>
      <c r="R286" s="657"/>
      <c r="S286" s="13"/>
      <c r="AC286" s="79"/>
      <c r="AD286" s="661"/>
      <c r="AE286" s="661"/>
      <c r="AF286" s="662"/>
      <c r="AG286" s="663"/>
      <c r="AH286" s="664"/>
      <c r="AI286" s="665"/>
      <c r="AJ286" s="661"/>
      <c r="AK286" s="661"/>
      <c r="AL286" s="662"/>
      <c r="AM286" s="663"/>
      <c r="AN286" s="664"/>
      <c r="AO286" s="665"/>
      <c r="AP286" s="661"/>
      <c r="AQ286" s="661"/>
      <c r="AR286" s="662"/>
    </row>
    <row r="287" spans="2:44" outlineLevel="1">
      <c r="B287" s="20" t="str">
        <f t="shared" si="94"/>
        <v>SSE Hydro</v>
      </c>
      <c r="C287" s="693">
        <v>143.46</v>
      </c>
      <c r="D287" s="671">
        <v>88.71</v>
      </c>
      <c r="E287" s="671">
        <v>102.63</v>
      </c>
      <c r="F287" s="694">
        <v>223.06</v>
      </c>
      <c r="G287" s="693">
        <v>102.94750930906082</v>
      </c>
      <c r="H287" s="671">
        <v>146.99981056146282</v>
      </c>
      <c r="I287" s="671">
        <v>105.88862521884535</v>
      </c>
      <c r="J287" s="671">
        <v>119.34107062932435</v>
      </c>
      <c r="K287" s="694">
        <v>133.02577966084627</v>
      </c>
      <c r="L287" s="101"/>
      <c r="M287" s="669"/>
      <c r="N287" s="669"/>
      <c r="O287" s="669"/>
      <c r="P287" s="678"/>
      <c r="Q287" s="79"/>
      <c r="R287" s="657"/>
      <c r="S287" s="13"/>
      <c r="AC287" s="79"/>
      <c r="AD287" s="661"/>
      <c r="AE287" s="661"/>
      <c r="AF287" s="662"/>
      <c r="AG287" s="663"/>
      <c r="AH287" s="664"/>
      <c r="AI287" s="665"/>
      <c r="AJ287" s="661"/>
      <c r="AK287" s="661"/>
      <c r="AL287" s="662"/>
      <c r="AM287" s="663"/>
      <c r="AN287" s="664"/>
      <c r="AO287" s="665"/>
      <c r="AP287" s="661"/>
      <c r="AQ287" s="661"/>
      <c r="AR287" s="662"/>
    </row>
    <row r="288" spans="2:44" outlineLevel="1">
      <c r="B288" s="20" t="str">
        <f t="shared" si="94"/>
        <v>SSE Southern</v>
      </c>
      <c r="C288" s="693">
        <v>90.85</v>
      </c>
      <c r="D288" s="671">
        <v>110.42</v>
      </c>
      <c r="E288" s="671">
        <v>81.05</v>
      </c>
      <c r="F288" s="694">
        <v>83.87</v>
      </c>
      <c r="G288" s="693">
        <v>92.451129635080974</v>
      </c>
      <c r="H288" s="671">
        <v>92.972030516089347</v>
      </c>
      <c r="I288" s="671">
        <v>75.618623567826774</v>
      </c>
      <c r="J288" s="671">
        <v>71.490737109833489</v>
      </c>
      <c r="K288" s="694">
        <v>81.137319057418139</v>
      </c>
      <c r="L288" s="101"/>
      <c r="M288" s="669"/>
      <c r="N288" s="669"/>
      <c r="O288" s="669"/>
      <c r="P288" s="678"/>
      <c r="Q288" s="79"/>
      <c r="R288" s="657"/>
      <c r="S288" s="13"/>
      <c r="AC288" s="79"/>
      <c r="AD288" s="661"/>
      <c r="AE288" s="661"/>
      <c r="AF288" s="662"/>
      <c r="AG288" s="663"/>
      <c r="AH288" s="664"/>
      <c r="AI288" s="665"/>
      <c r="AJ288" s="661"/>
      <c r="AK288" s="661"/>
      <c r="AL288" s="662"/>
      <c r="AM288" s="663"/>
      <c r="AN288" s="664"/>
      <c r="AO288" s="665"/>
      <c r="AP288" s="661"/>
      <c r="AQ288" s="661"/>
      <c r="AR288" s="662"/>
    </row>
    <row r="289" spans="2:44" outlineLevel="1">
      <c r="B289" s="185"/>
      <c r="C289" s="700"/>
      <c r="D289" s="670"/>
      <c r="E289" s="670"/>
      <c r="F289" s="701"/>
      <c r="G289" s="100"/>
      <c r="H289" s="669"/>
      <c r="I289" s="669"/>
      <c r="J289" s="669"/>
      <c r="K289" s="678"/>
      <c r="L289" s="101"/>
      <c r="M289" s="669"/>
      <c r="N289" s="669"/>
      <c r="O289" s="669"/>
      <c r="P289" s="678"/>
      <c r="Q289" s="666"/>
      <c r="R289" s="657"/>
      <c r="S289" s="666"/>
      <c r="T289" s="666"/>
      <c r="U289" s="666"/>
      <c r="V289" s="666"/>
      <c r="W289" s="666"/>
      <c r="X289" s="666"/>
      <c r="Y289" s="666"/>
      <c r="Z289" s="666"/>
      <c r="AA289" s="666"/>
      <c r="AB289" s="666"/>
      <c r="AC289" s="666"/>
      <c r="AD289" s="666"/>
      <c r="AE289" s="666"/>
      <c r="AF289" s="666"/>
      <c r="AG289" s="666"/>
      <c r="AH289" s="666"/>
      <c r="AI289" s="666"/>
      <c r="AJ289" s="666"/>
      <c r="AK289" s="666"/>
      <c r="AL289" s="666"/>
      <c r="AM289" s="666"/>
      <c r="AN289" s="666"/>
      <c r="AO289" s="666"/>
      <c r="AP289" s="666"/>
      <c r="AQ289" s="666"/>
      <c r="AR289" s="666"/>
    </row>
    <row r="290" spans="2:44" ht="13.5" outlineLevel="1" thickBot="1">
      <c r="B290" s="181" t="s">
        <v>66</v>
      </c>
      <c r="C290" s="190">
        <v>83.693219308673378</v>
      </c>
      <c r="D290" s="193">
        <v>110.37755235888784</v>
      </c>
      <c r="E290" s="193">
        <v>81.10918931908968</v>
      </c>
      <c r="F290" s="194">
        <v>94.286514666059688</v>
      </c>
      <c r="G290" s="194">
        <v>69.162392743734401</v>
      </c>
      <c r="H290" s="194">
        <v>100.09619445691989</v>
      </c>
      <c r="I290" s="194">
        <v>81.942613606099613</v>
      </c>
      <c r="J290" s="194">
        <v>75.686162842187855</v>
      </c>
      <c r="K290" s="194">
        <v>81.419454782124376</v>
      </c>
      <c r="L290" s="183"/>
      <c r="M290" s="679"/>
      <c r="N290" s="679"/>
      <c r="O290" s="679"/>
      <c r="P290" s="680"/>
      <c r="Q290" s="667"/>
      <c r="R290" s="657"/>
      <c r="S290" s="667"/>
      <c r="T290" s="667"/>
      <c r="U290" s="667"/>
      <c r="V290" s="667"/>
      <c r="W290" s="667"/>
      <c r="X290" s="667"/>
      <c r="Y290" s="667"/>
      <c r="Z290" s="667"/>
      <c r="AA290" s="667"/>
      <c r="AB290" s="667"/>
      <c r="AC290" s="667"/>
      <c r="AD290" s="667"/>
      <c r="AE290" s="667"/>
      <c r="AF290" s="667"/>
      <c r="AG290" s="667"/>
      <c r="AH290" s="667"/>
      <c r="AI290" s="667"/>
      <c r="AJ290" s="667"/>
      <c r="AK290" s="667"/>
      <c r="AL290" s="667"/>
      <c r="AM290" s="667"/>
      <c r="AN290" s="667"/>
      <c r="AO290" s="667"/>
      <c r="AP290" s="667"/>
      <c r="AQ290" s="667"/>
      <c r="AR290" s="667"/>
    </row>
    <row r="291" spans="2:44" outlineLevel="1">
      <c r="B291" s="155"/>
      <c r="L291" s="13"/>
      <c r="M291" s="13"/>
      <c r="N291" s="13"/>
      <c r="O291" s="13"/>
      <c r="R291" s="657"/>
    </row>
    <row r="292" spans="2:44">
      <c r="B292" s="155"/>
      <c r="L292" s="13"/>
      <c r="M292" s="13"/>
      <c r="N292" s="13"/>
      <c r="O292" s="13"/>
      <c r="R292" s="657"/>
    </row>
    <row r="293" spans="2:44" ht="13.5" thickBot="1">
      <c r="B293" s="2" t="s">
        <v>452</v>
      </c>
      <c r="L293" s="13"/>
      <c r="M293" s="13"/>
      <c r="N293" s="13"/>
      <c r="O293" s="13"/>
    </row>
    <row r="294" spans="2:44" outlineLevel="1">
      <c r="B294" s="770" t="s">
        <v>19</v>
      </c>
      <c r="C294" s="688" t="s">
        <v>296</v>
      </c>
      <c r="D294" s="673" t="s">
        <v>303</v>
      </c>
      <c r="E294" s="674" t="s">
        <v>454</v>
      </c>
      <c r="F294" s="689" t="s">
        <v>455</v>
      </c>
      <c r="G294" s="684" t="s">
        <v>297</v>
      </c>
      <c r="H294" s="675" t="s">
        <v>339</v>
      </c>
      <c r="I294" s="672" t="s">
        <v>340</v>
      </c>
      <c r="J294" s="674" t="s">
        <v>305</v>
      </c>
      <c r="K294" s="676" t="s">
        <v>330</v>
      </c>
      <c r="L294" s="699" t="s">
        <v>456</v>
      </c>
      <c r="M294" s="674" t="s">
        <v>457</v>
      </c>
      <c r="N294" s="674" t="s">
        <v>457</v>
      </c>
      <c r="O294" s="674" t="s">
        <v>458</v>
      </c>
      <c r="P294" s="676" t="s">
        <v>459</v>
      </c>
    </row>
    <row r="295" spans="2:44" ht="13.5" outlineLevel="1" thickBot="1">
      <c r="B295" s="771"/>
      <c r="C295" s="685" t="s">
        <v>68</v>
      </c>
      <c r="D295" s="686" t="s">
        <v>68</v>
      </c>
      <c r="E295" s="686" t="s">
        <v>68</v>
      </c>
      <c r="F295" s="687" t="s">
        <v>68</v>
      </c>
      <c r="G295" s="685" t="s">
        <v>68</v>
      </c>
      <c r="H295" s="686" t="s">
        <v>68</v>
      </c>
      <c r="I295" s="686" t="s">
        <v>68</v>
      </c>
      <c r="J295" s="686" t="s">
        <v>68</v>
      </c>
      <c r="K295" s="687" t="s">
        <v>68</v>
      </c>
      <c r="L295" s="685" t="s">
        <v>68</v>
      </c>
      <c r="M295" s="686" t="s">
        <v>68</v>
      </c>
      <c r="N295" s="686" t="s">
        <v>68</v>
      </c>
      <c r="O295" s="686" t="s">
        <v>68</v>
      </c>
      <c r="P295" s="687" t="s">
        <v>68</v>
      </c>
    </row>
    <row r="296" spans="2:44" ht="13.5" outlineLevel="1" thickTop="1">
      <c r="B296" s="20" t="str">
        <f>B275</f>
        <v>CN West</v>
      </c>
      <c r="C296" s="690">
        <v>123.54</v>
      </c>
      <c r="D296" s="691">
        <v>103.37</v>
      </c>
      <c r="E296" s="691">
        <v>126.31</v>
      </c>
      <c r="F296" s="692">
        <v>110.89</v>
      </c>
      <c r="G296" s="695">
        <v>112.22526277215314</v>
      </c>
      <c r="H296" s="683">
        <v>123.27230332776743</v>
      </c>
      <c r="I296" s="683">
        <v>121.10733927762769</v>
      </c>
      <c r="J296" s="683">
        <v>97.041613686510644</v>
      </c>
      <c r="K296" s="696">
        <v>111.83278862556136</v>
      </c>
      <c r="L296" s="116"/>
      <c r="M296" s="697"/>
      <c r="N296" s="697"/>
      <c r="O296" s="697"/>
      <c r="P296" s="698"/>
    </row>
    <row r="297" spans="2:44" outlineLevel="1">
      <c r="B297" s="20" t="str">
        <f t="shared" ref="B297:B309" si="95">B276</f>
        <v>CN East</v>
      </c>
      <c r="C297" s="693">
        <v>78.819999999999993</v>
      </c>
      <c r="D297" s="671">
        <v>76.14</v>
      </c>
      <c r="E297" s="671">
        <v>87.54</v>
      </c>
      <c r="F297" s="694">
        <v>73.8</v>
      </c>
      <c r="G297" s="693">
        <v>73.239145843058424</v>
      </c>
      <c r="H297" s="671">
        <v>86.467694506876938</v>
      </c>
      <c r="I297" s="671">
        <v>82.191445857766311</v>
      </c>
      <c r="J297" s="671">
        <v>70.891963163244142</v>
      </c>
      <c r="K297" s="694">
        <v>64.471741672020855</v>
      </c>
      <c r="L297" s="101"/>
      <c r="M297" s="669"/>
      <c r="N297" s="669"/>
      <c r="O297" s="669"/>
      <c r="P297" s="678"/>
    </row>
    <row r="298" spans="2:44" outlineLevel="1">
      <c r="B298" s="20" t="str">
        <f t="shared" si="95"/>
        <v>ENWL</v>
      </c>
      <c r="C298" s="693">
        <v>56.46</v>
      </c>
      <c r="D298" s="671">
        <v>66.48</v>
      </c>
      <c r="E298" s="671">
        <v>50.98</v>
      </c>
      <c r="F298" s="694">
        <v>47.01</v>
      </c>
      <c r="G298" s="693">
        <v>58.244335839946714</v>
      </c>
      <c r="H298" s="671">
        <v>55.162552040525085</v>
      </c>
      <c r="I298" s="671">
        <v>51.758004413578796</v>
      </c>
      <c r="J298" s="671">
        <v>50.439258460875202</v>
      </c>
      <c r="K298" s="694">
        <v>52.791666295504939</v>
      </c>
      <c r="L298" s="101"/>
      <c r="M298" s="669"/>
      <c r="N298" s="669"/>
      <c r="O298" s="669"/>
      <c r="P298" s="678"/>
    </row>
    <row r="299" spans="2:44" outlineLevel="1">
      <c r="B299" s="20" t="str">
        <f t="shared" si="95"/>
        <v>CE NEDL</v>
      </c>
      <c r="C299" s="693">
        <v>93.65</v>
      </c>
      <c r="D299" s="671">
        <v>85.33</v>
      </c>
      <c r="E299" s="671">
        <v>69.86</v>
      </c>
      <c r="F299" s="694">
        <v>75.930000000000007</v>
      </c>
      <c r="G299" s="693">
        <v>77.332148334139092</v>
      </c>
      <c r="H299" s="671">
        <v>78.948165057271439</v>
      </c>
      <c r="I299" s="671">
        <v>71.239331351115126</v>
      </c>
      <c r="J299" s="671">
        <v>71.802714756740357</v>
      </c>
      <c r="K299" s="694">
        <v>67.830505167176369</v>
      </c>
      <c r="L299" s="101"/>
      <c r="M299" s="669"/>
      <c r="N299" s="669"/>
      <c r="O299" s="669"/>
      <c r="P299" s="678"/>
    </row>
    <row r="300" spans="2:44" outlineLevel="1">
      <c r="B300" s="20" t="str">
        <f t="shared" si="95"/>
        <v>CE YEDL</v>
      </c>
      <c r="C300" s="693">
        <v>78.790000000000006</v>
      </c>
      <c r="D300" s="671">
        <v>63.62</v>
      </c>
      <c r="E300" s="671">
        <v>66.989999999999995</v>
      </c>
      <c r="F300" s="694">
        <v>64.88</v>
      </c>
      <c r="G300" s="693">
        <v>70.041990891075997</v>
      </c>
      <c r="H300" s="671">
        <v>87.304108307495881</v>
      </c>
      <c r="I300" s="671">
        <v>77.65593505759395</v>
      </c>
      <c r="J300" s="671">
        <v>82.192800856153781</v>
      </c>
      <c r="K300" s="694">
        <v>74.496610955824877</v>
      </c>
      <c r="L300" s="101"/>
      <c r="M300" s="669"/>
      <c r="N300" s="669"/>
      <c r="O300" s="669"/>
      <c r="P300" s="678"/>
    </row>
    <row r="301" spans="2:44" outlineLevel="1">
      <c r="B301" s="20" t="str">
        <f t="shared" si="95"/>
        <v>WPD S Wales</v>
      </c>
      <c r="C301" s="693">
        <v>120.73</v>
      </c>
      <c r="D301" s="671">
        <v>107.35</v>
      </c>
      <c r="E301" s="671">
        <v>105.33</v>
      </c>
      <c r="F301" s="694">
        <v>102.41</v>
      </c>
      <c r="G301" s="693">
        <v>84.599600851760385</v>
      </c>
      <c r="H301" s="671">
        <v>86.339979704329807</v>
      </c>
      <c r="I301" s="671">
        <v>80.657289606654402</v>
      </c>
      <c r="J301" s="671">
        <v>69.021349797821429</v>
      </c>
      <c r="K301" s="694">
        <v>58.527809764032817</v>
      </c>
      <c r="L301" s="101"/>
      <c r="M301" s="669"/>
      <c r="N301" s="669"/>
      <c r="O301" s="669"/>
      <c r="P301" s="678"/>
    </row>
    <row r="302" spans="2:44" outlineLevel="1">
      <c r="B302" s="20" t="str">
        <f t="shared" si="95"/>
        <v>WPD S West</v>
      </c>
      <c r="C302" s="693">
        <v>107.06</v>
      </c>
      <c r="D302" s="671">
        <v>85.47</v>
      </c>
      <c r="E302" s="671">
        <v>74.22</v>
      </c>
      <c r="F302" s="694">
        <v>74.23</v>
      </c>
      <c r="G302" s="693">
        <v>74.28518930922084</v>
      </c>
      <c r="H302" s="671">
        <v>82.461525844556462</v>
      </c>
      <c r="I302" s="671">
        <v>79.018072069748868</v>
      </c>
      <c r="J302" s="671">
        <v>61.051419062902831</v>
      </c>
      <c r="K302" s="694">
        <v>51.981601584695291</v>
      </c>
      <c r="L302" s="101"/>
      <c r="M302" s="669"/>
      <c r="N302" s="669"/>
      <c r="O302" s="669"/>
      <c r="P302" s="678"/>
    </row>
    <row r="303" spans="2:44" outlineLevel="1">
      <c r="B303" s="20" t="str">
        <f t="shared" si="95"/>
        <v>UKPN LPN</v>
      </c>
      <c r="C303" s="693">
        <v>38.619999999999997</v>
      </c>
      <c r="D303" s="671">
        <v>36.44</v>
      </c>
      <c r="E303" s="671">
        <v>55.09</v>
      </c>
      <c r="F303" s="694">
        <v>33.409999999999997</v>
      </c>
      <c r="G303" s="693">
        <v>33.529855799461664</v>
      </c>
      <c r="H303" s="671">
        <v>37.298548024330621</v>
      </c>
      <c r="I303" s="671">
        <v>31.9493311696259</v>
      </c>
      <c r="J303" s="671">
        <v>33.267597551300888</v>
      </c>
      <c r="K303" s="694">
        <v>29.044011103388033</v>
      </c>
      <c r="L303" s="101"/>
      <c r="M303" s="669"/>
      <c r="N303" s="669"/>
      <c r="O303" s="669"/>
      <c r="P303" s="678"/>
    </row>
    <row r="304" spans="2:44" outlineLevel="1">
      <c r="B304" s="20" t="str">
        <f t="shared" si="95"/>
        <v>UKPN SEPN</v>
      </c>
      <c r="C304" s="693">
        <v>93.29</v>
      </c>
      <c r="D304" s="671">
        <v>90.42</v>
      </c>
      <c r="E304" s="671">
        <v>99.11</v>
      </c>
      <c r="F304" s="694">
        <v>82.57</v>
      </c>
      <c r="G304" s="693">
        <v>79.412942654360435</v>
      </c>
      <c r="H304" s="671">
        <v>88.516073763780469</v>
      </c>
      <c r="I304" s="671">
        <v>93.212960061638867</v>
      </c>
      <c r="J304" s="671">
        <v>86.750514403984454</v>
      </c>
      <c r="K304" s="694">
        <v>87.184417712867429</v>
      </c>
      <c r="L304" s="101"/>
      <c r="M304" s="669"/>
      <c r="N304" s="669"/>
      <c r="O304" s="669"/>
      <c r="P304" s="678"/>
    </row>
    <row r="305" spans="2:16" outlineLevel="1">
      <c r="B305" s="20" t="str">
        <f t="shared" si="95"/>
        <v>UKPN EPN</v>
      </c>
      <c r="C305" s="693">
        <v>102.02</v>
      </c>
      <c r="D305" s="671">
        <v>91.85</v>
      </c>
      <c r="E305" s="671">
        <v>90.68</v>
      </c>
      <c r="F305" s="694">
        <v>71.09</v>
      </c>
      <c r="G305" s="693">
        <v>68.602342721255027</v>
      </c>
      <c r="H305" s="671">
        <v>78.754076697489268</v>
      </c>
      <c r="I305" s="671">
        <v>74.947099593428561</v>
      </c>
      <c r="J305" s="671">
        <v>89.262448992200348</v>
      </c>
      <c r="K305" s="694">
        <v>90.716225066152418</v>
      </c>
      <c r="L305" s="101"/>
      <c r="M305" s="669"/>
      <c r="N305" s="669"/>
      <c r="O305" s="669"/>
      <c r="P305" s="678"/>
    </row>
    <row r="306" spans="2:16" outlineLevel="1">
      <c r="B306" s="20" t="str">
        <f t="shared" si="95"/>
        <v>SP Distribution</v>
      </c>
      <c r="C306" s="693">
        <v>68.25</v>
      </c>
      <c r="D306" s="671">
        <v>68.510000000000005</v>
      </c>
      <c r="E306" s="671">
        <v>64.84</v>
      </c>
      <c r="F306" s="694">
        <v>64.92</v>
      </c>
      <c r="G306" s="693">
        <v>58.634570098792402</v>
      </c>
      <c r="H306" s="671">
        <v>65.876530346762067</v>
      </c>
      <c r="I306" s="671">
        <v>66.251183083868284</v>
      </c>
      <c r="J306" s="671">
        <v>68.168777566361385</v>
      </c>
      <c r="K306" s="694">
        <v>61.726050250913175</v>
      </c>
      <c r="L306" s="101"/>
      <c r="M306" s="669"/>
      <c r="N306" s="669"/>
      <c r="O306" s="669"/>
      <c r="P306" s="678"/>
    </row>
    <row r="307" spans="2:16" outlineLevel="1">
      <c r="B307" s="20" t="str">
        <f t="shared" si="95"/>
        <v>SP Manweb</v>
      </c>
      <c r="C307" s="693">
        <v>47.06</v>
      </c>
      <c r="D307" s="671">
        <v>44.01</v>
      </c>
      <c r="E307" s="671">
        <v>50.97</v>
      </c>
      <c r="F307" s="694">
        <v>48.07</v>
      </c>
      <c r="G307" s="693">
        <v>44.444140883212143</v>
      </c>
      <c r="H307" s="671">
        <v>50.931251515780502</v>
      </c>
      <c r="I307" s="671">
        <v>45.03488843235187</v>
      </c>
      <c r="J307" s="671">
        <v>52.351830629658359</v>
      </c>
      <c r="K307" s="694">
        <v>40.52066281125299</v>
      </c>
      <c r="L307" s="101"/>
      <c r="M307" s="669"/>
      <c r="N307" s="669"/>
      <c r="O307" s="669"/>
      <c r="P307" s="678"/>
    </row>
    <row r="308" spans="2:16" outlineLevel="1">
      <c r="B308" s="20" t="str">
        <f t="shared" si="95"/>
        <v>SSE Hydro</v>
      </c>
      <c r="C308" s="693">
        <v>124.71</v>
      </c>
      <c r="D308" s="671">
        <v>100.67</v>
      </c>
      <c r="E308" s="671">
        <v>100.19</v>
      </c>
      <c r="F308" s="694">
        <v>90.73</v>
      </c>
      <c r="G308" s="693">
        <v>99.653699656171071</v>
      </c>
      <c r="H308" s="671">
        <v>99.696348299001258</v>
      </c>
      <c r="I308" s="671">
        <v>81.255556372300859</v>
      </c>
      <c r="J308" s="671">
        <v>95.944536604094367</v>
      </c>
      <c r="K308" s="694">
        <v>91.123033361589322</v>
      </c>
      <c r="L308" s="101"/>
      <c r="M308" s="669"/>
      <c r="N308" s="669"/>
      <c r="O308" s="669"/>
      <c r="P308" s="678"/>
    </row>
    <row r="309" spans="2:16" outlineLevel="1">
      <c r="B309" s="20" t="str">
        <f t="shared" si="95"/>
        <v>SSE Southern</v>
      </c>
      <c r="C309" s="693">
        <v>103.17</v>
      </c>
      <c r="D309" s="671">
        <v>94.74</v>
      </c>
      <c r="E309" s="671">
        <v>88.01</v>
      </c>
      <c r="F309" s="694">
        <v>89.74</v>
      </c>
      <c r="G309" s="693">
        <v>82.652667053476463</v>
      </c>
      <c r="H309" s="671">
        <v>77.258366468863088</v>
      </c>
      <c r="I309" s="671">
        <v>67.660608108601394</v>
      </c>
      <c r="J309" s="671">
        <v>66.596068298230136</v>
      </c>
      <c r="K309" s="694">
        <v>63.385030279115902</v>
      </c>
      <c r="L309" s="101"/>
      <c r="M309" s="669"/>
      <c r="N309" s="669"/>
      <c r="O309" s="669"/>
      <c r="P309" s="678"/>
    </row>
    <row r="310" spans="2:16" outlineLevel="1">
      <c r="B310" s="185"/>
      <c r="C310" s="100"/>
      <c r="D310" s="669"/>
      <c r="E310" s="669"/>
      <c r="F310" s="678"/>
      <c r="G310" s="100"/>
      <c r="H310" s="669"/>
      <c r="I310" s="669"/>
      <c r="J310" s="669"/>
      <c r="K310" s="678"/>
      <c r="L310" s="101"/>
      <c r="M310" s="669"/>
      <c r="N310" s="669"/>
      <c r="O310" s="669"/>
      <c r="P310" s="678"/>
    </row>
    <row r="311" spans="2:16" ht="13.5" outlineLevel="1" thickBot="1">
      <c r="B311" s="181" t="s">
        <v>66</v>
      </c>
      <c r="C311" s="190">
        <v>86.601227979701036</v>
      </c>
      <c r="D311" s="193">
        <v>78.859147267810272</v>
      </c>
      <c r="E311" s="193">
        <v>80.731773030798522</v>
      </c>
      <c r="F311" s="194">
        <v>72.413566962565469</v>
      </c>
      <c r="G311" s="190">
        <v>71.649895229091783</v>
      </c>
      <c r="H311" s="193">
        <v>78.019678923429339</v>
      </c>
      <c r="I311" s="193">
        <v>73.450868440407717</v>
      </c>
      <c r="J311" s="193">
        <v>71.381133750956678</v>
      </c>
      <c r="K311" s="194">
        <v>68.935431151161922</v>
      </c>
      <c r="L311" s="183"/>
      <c r="M311" s="679"/>
      <c r="N311" s="679"/>
      <c r="O311" s="679"/>
      <c r="P311" s="680"/>
    </row>
    <row r="312" spans="2:16" outlineLevel="1">
      <c r="B312" s="155"/>
      <c r="L312" s="13"/>
      <c r="M312" s="13"/>
      <c r="O312" s="13"/>
      <c r="P312" s="13"/>
    </row>
    <row r="313" spans="2:16">
      <c r="L313" s="13"/>
      <c r="M313" s="13"/>
      <c r="O313" s="13"/>
      <c r="P313" s="13"/>
    </row>
    <row r="314" spans="2:16" ht="13.5" thickBot="1">
      <c r="B314" s="2" t="s">
        <v>453</v>
      </c>
      <c r="L314" s="13"/>
      <c r="M314" s="13"/>
      <c r="O314" s="13"/>
      <c r="P314" s="13"/>
    </row>
    <row r="315" spans="2:16" outlineLevel="1">
      <c r="B315" s="770" t="s">
        <v>19</v>
      </c>
      <c r="C315" s="688" t="s">
        <v>296</v>
      </c>
      <c r="D315" s="673" t="s">
        <v>303</v>
      </c>
      <c r="E315" s="674" t="s">
        <v>454</v>
      </c>
      <c r="F315" s="689" t="s">
        <v>455</v>
      </c>
      <c r="G315" s="684" t="s">
        <v>297</v>
      </c>
      <c r="H315" s="675" t="s">
        <v>339</v>
      </c>
      <c r="I315" s="672" t="s">
        <v>340</v>
      </c>
      <c r="J315" s="674" t="s">
        <v>305</v>
      </c>
      <c r="K315" s="676" t="s">
        <v>330</v>
      </c>
      <c r="L315" s="681" t="s">
        <v>456</v>
      </c>
      <c r="M315" s="674" t="s">
        <v>457</v>
      </c>
      <c r="N315" s="674" t="s">
        <v>457</v>
      </c>
      <c r="O315" s="674" t="s">
        <v>458</v>
      </c>
      <c r="P315" s="676" t="s">
        <v>459</v>
      </c>
    </row>
    <row r="316" spans="2:16" ht="13.5" outlineLevel="1" thickBot="1">
      <c r="B316" s="771"/>
      <c r="C316" s="685" t="s">
        <v>68</v>
      </c>
      <c r="D316" s="686" t="s">
        <v>68</v>
      </c>
      <c r="E316" s="686" t="s">
        <v>68</v>
      </c>
      <c r="F316" s="687" t="s">
        <v>68</v>
      </c>
      <c r="G316" s="685" t="s">
        <v>68</v>
      </c>
      <c r="H316" s="686" t="s">
        <v>68</v>
      </c>
      <c r="I316" s="686" t="s">
        <v>68</v>
      </c>
      <c r="J316" s="686" t="s">
        <v>68</v>
      </c>
      <c r="K316" s="687" t="s">
        <v>68</v>
      </c>
      <c r="L316" s="682" t="s">
        <v>68</v>
      </c>
      <c r="M316" s="668" t="s">
        <v>68</v>
      </c>
      <c r="N316" s="668" t="s">
        <v>68</v>
      </c>
      <c r="O316" s="668" t="s">
        <v>68</v>
      </c>
      <c r="P316" s="677" t="s">
        <v>68</v>
      </c>
    </row>
    <row r="317" spans="2:16" ht="13.5" outlineLevel="1" thickTop="1">
      <c r="B317" s="20" t="str">
        <f>B296</f>
        <v>CN West</v>
      </c>
      <c r="C317" s="690">
        <v>125.87</v>
      </c>
      <c r="D317" s="691">
        <v>137.96</v>
      </c>
      <c r="E317" s="691">
        <v>110.65</v>
      </c>
      <c r="F317" s="692">
        <v>90.53</v>
      </c>
      <c r="G317" s="690">
        <v>91.483311125743271</v>
      </c>
      <c r="H317" s="703">
        <v>119.8943369129761</v>
      </c>
      <c r="I317" s="703">
        <v>112.14862111164167</v>
      </c>
      <c r="J317" s="703">
        <v>90.325542005431188</v>
      </c>
      <c r="K317" s="704">
        <v>91.96729582673764</v>
      </c>
      <c r="L317" s="101"/>
      <c r="M317" s="669"/>
      <c r="N317" s="669"/>
      <c r="O317" s="669"/>
      <c r="P317" s="678"/>
    </row>
    <row r="318" spans="2:16" outlineLevel="1">
      <c r="B318" s="20" t="str">
        <f t="shared" ref="B318:B330" si="96">B297</f>
        <v>CN East</v>
      </c>
      <c r="C318" s="693">
        <v>92.73</v>
      </c>
      <c r="D318" s="671">
        <v>83.28</v>
      </c>
      <c r="E318" s="671">
        <v>89.71</v>
      </c>
      <c r="F318" s="694">
        <v>73.67</v>
      </c>
      <c r="G318" s="693">
        <v>67.67015820543844</v>
      </c>
      <c r="H318" s="702">
        <v>86.952275140154669</v>
      </c>
      <c r="I318" s="702">
        <v>77.310266585313968</v>
      </c>
      <c r="J318" s="702">
        <v>64.08910332149739</v>
      </c>
      <c r="K318" s="705">
        <v>59.816268417063206</v>
      </c>
      <c r="L318" s="101"/>
      <c r="M318" s="669"/>
      <c r="N318" s="669"/>
      <c r="O318" s="669"/>
      <c r="P318" s="678"/>
    </row>
    <row r="319" spans="2:16" outlineLevel="1">
      <c r="B319" s="20" t="str">
        <f t="shared" si="96"/>
        <v>ENWL</v>
      </c>
      <c r="C319" s="693">
        <v>64.42</v>
      </c>
      <c r="D319" s="671">
        <v>67.709999999999994</v>
      </c>
      <c r="E319" s="671">
        <v>59.31</v>
      </c>
      <c r="F319" s="694">
        <v>51.52</v>
      </c>
      <c r="G319" s="693">
        <v>51.621164205144574</v>
      </c>
      <c r="H319" s="702">
        <v>59.80960905555002</v>
      </c>
      <c r="I319" s="702">
        <v>51.195054145306621</v>
      </c>
      <c r="J319" s="702">
        <v>57.184451254597704</v>
      </c>
      <c r="K319" s="705">
        <v>56.162591735267952</v>
      </c>
      <c r="L319" s="101"/>
      <c r="M319" s="669"/>
      <c r="N319" s="669"/>
      <c r="O319" s="669"/>
      <c r="P319" s="678"/>
    </row>
    <row r="320" spans="2:16" outlineLevel="1">
      <c r="B320" s="20" t="str">
        <f t="shared" si="96"/>
        <v>CE NEDL</v>
      </c>
      <c r="C320" s="693">
        <v>90.06</v>
      </c>
      <c r="D320" s="671">
        <v>74.95</v>
      </c>
      <c r="E320" s="671">
        <v>72.22</v>
      </c>
      <c r="F320" s="694">
        <v>79.8</v>
      </c>
      <c r="G320" s="693">
        <v>77.459921528568387</v>
      </c>
      <c r="H320" s="702">
        <v>92.731650134198674</v>
      </c>
      <c r="I320" s="702">
        <v>83.793565213931316</v>
      </c>
      <c r="J320" s="702">
        <v>87.19739361932713</v>
      </c>
      <c r="K320" s="705">
        <v>77.777776638562244</v>
      </c>
      <c r="L320" s="101"/>
      <c r="M320" s="669"/>
      <c r="N320" s="669"/>
      <c r="O320" s="669"/>
      <c r="P320" s="678"/>
    </row>
    <row r="321" spans="2:35" outlineLevel="1">
      <c r="B321" s="20" t="str">
        <f t="shared" si="96"/>
        <v>CE YEDL</v>
      </c>
      <c r="C321" s="693">
        <v>54.78</v>
      </c>
      <c r="D321" s="671">
        <v>68.33</v>
      </c>
      <c r="E321" s="671">
        <v>73.88</v>
      </c>
      <c r="F321" s="694">
        <v>69.44</v>
      </c>
      <c r="G321" s="693">
        <v>72.0404710921255</v>
      </c>
      <c r="H321" s="702">
        <v>89.084845683606105</v>
      </c>
      <c r="I321" s="702">
        <v>80.347693090918213</v>
      </c>
      <c r="J321" s="702">
        <v>79.022767560295378</v>
      </c>
      <c r="K321" s="705">
        <v>68.511168632557698</v>
      </c>
      <c r="L321" s="101"/>
      <c r="M321" s="669"/>
      <c r="N321" s="669"/>
      <c r="O321" s="669"/>
      <c r="P321" s="678"/>
    </row>
    <row r="322" spans="2:35" outlineLevel="1">
      <c r="B322" s="20" t="str">
        <f t="shared" si="96"/>
        <v>WPD S Wales</v>
      </c>
      <c r="C322" s="693">
        <v>91.77</v>
      </c>
      <c r="D322" s="671">
        <v>87.93</v>
      </c>
      <c r="E322" s="671">
        <v>79.010000000000005</v>
      </c>
      <c r="F322" s="694">
        <v>56.56</v>
      </c>
      <c r="G322" s="693">
        <v>45.966074505230125</v>
      </c>
      <c r="H322" s="702">
        <v>51.582116225416499</v>
      </c>
      <c r="I322" s="702">
        <v>46.315912132902916</v>
      </c>
      <c r="J322" s="702">
        <v>41.121678490645046</v>
      </c>
      <c r="K322" s="705">
        <v>37.57049862002156</v>
      </c>
      <c r="L322" s="101"/>
      <c r="M322" s="669"/>
      <c r="N322" s="669"/>
      <c r="O322" s="669"/>
      <c r="P322" s="678"/>
    </row>
    <row r="323" spans="2:35" outlineLevel="1">
      <c r="B323" s="20" t="str">
        <f t="shared" si="96"/>
        <v>WPD S West</v>
      </c>
      <c r="C323" s="693">
        <v>85.99</v>
      </c>
      <c r="D323" s="671">
        <v>64.569999999999993</v>
      </c>
      <c r="E323" s="671">
        <v>56.59</v>
      </c>
      <c r="F323" s="694">
        <v>50.12</v>
      </c>
      <c r="G323" s="693">
        <v>47.423828491427365</v>
      </c>
      <c r="H323" s="702">
        <v>54.633464320646638</v>
      </c>
      <c r="I323" s="702">
        <v>55.568373745013623</v>
      </c>
      <c r="J323" s="702">
        <v>49.750535239798999</v>
      </c>
      <c r="K323" s="705">
        <v>43.437073976148682</v>
      </c>
      <c r="L323" s="101"/>
      <c r="M323" s="669"/>
      <c r="N323" s="669"/>
      <c r="O323" s="669"/>
      <c r="P323" s="678"/>
    </row>
    <row r="324" spans="2:35" outlineLevel="1">
      <c r="B324" s="20" t="str">
        <f t="shared" si="96"/>
        <v>UKPN LPN</v>
      </c>
      <c r="C324" s="693">
        <v>42.28</v>
      </c>
      <c r="D324" s="671">
        <v>43.17</v>
      </c>
      <c r="E324" s="671">
        <v>44.34</v>
      </c>
      <c r="F324" s="694">
        <v>37.86</v>
      </c>
      <c r="G324" s="693">
        <v>35.477090654734461</v>
      </c>
      <c r="H324" s="702">
        <v>43.990170397329038</v>
      </c>
      <c r="I324" s="702">
        <v>43.458903761853342</v>
      </c>
      <c r="J324" s="702">
        <v>45.602723665191938</v>
      </c>
      <c r="K324" s="705">
        <v>48.871338509559983</v>
      </c>
      <c r="L324" s="101"/>
      <c r="M324" s="669"/>
      <c r="N324" s="669"/>
      <c r="O324" s="669"/>
      <c r="P324" s="678"/>
    </row>
    <row r="325" spans="2:35" outlineLevel="1">
      <c r="B325" s="20" t="str">
        <f t="shared" si="96"/>
        <v>UKPN SEPN</v>
      </c>
      <c r="C325" s="693">
        <v>96.65</v>
      </c>
      <c r="D325" s="671">
        <v>81.25</v>
      </c>
      <c r="E325" s="671">
        <v>90.18</v>
      </c>
      <c r="F325" s="694">
        <v>84.02</v>
      </c>
      <c r="G325" s="693">
        <v>75.912093158381566</v>
      </c>
      <c r="H325" s="702">
        <v>93.229792982163488</v>
      </c>
      <c r="I325" s="702">
        <v>107.25279704159071</v>
      </c>
      <c r="J325" s="702">
        <v>107.11622850599059</v>
      </c>
      <c r="K325" s="705">
        <v>101.46602870686135</v>
      </c>
      <c r="L325" s="101"/>
      <c r="M325" s="669"/>
      <c r="N325" s="669"/>
      <c r="O325" s="669"/>
      <c r="P325" s="678"/>
    </row>
    <row r="326" spans="2:35" outlineLevel="1">
      <c r="B326" s="20" t="str">
        <f t="shared" si="96"/>
        <v>UKPN EPN</v>
      </c>
      <c r="C326" s="693">
        <v>80.2</v>
      </c>
      <c r="D326" s="671">
        <v>102.19</v>
      </c>
      <c r="E326" s="671">
        <v>76.510000000000005</v>
      </c>
      <c r="F326" s="694">
        <v>65.569999999999993</v>
      </c>
      <c r="G326" s="693">
        <v>61.698944537395604</v>
      </c>
      <c r="H326" s="702">
        <v>73.232637523359301</v>
      </c>
      <c r="I326" s="702">
        <v>79.090572471630509</v>
      </c>
      <c r="J326" s="702">
        <v>96.783680561867683</v>
      </c>
      <c r="K326" s="705">
        <v>97.638643497322036</v>
      </c>
      <c r="L326" s="101"/>
      <c r="M326" s="669"/>
      <c r="N326" s="669"/>
      <c r="O326" s="669"/>
      <c r="P326" s="678"/>
    </row>
    <row r="327" spans="2:35" outlineLevel="1">
      <c r="B327" s="20" t="str">
        <f t="shared" si="96"/>
        <v>SP Distribution</v>
      </c>
      <c r="C327" s="693">
        <v>65.77</v>
      </c>
      <c r="D327" s="671">
        <v>76.2</v>
      </c>
      <c r="E327" s="671">
        <v>79.709999999999994</v>
      </c>
      <c r="F327" s="694">
        <v>74.900000000000006</v>
      </c>
      <c r="G327" s="693">
        <v>68.211738010113223</v>
      </c>
      <c r="H327" s="702">
        <v>79.507139721126876</v>
      </c>
      <c r="I327" s="702">
        <v>64.761516526849206</v>
      </c>
      <c r="J327" s="702">
        <v>57.234730941264928</v>
      </c>
      <c r="K327" s="705">
        <v>54.990825433098848</v>
      </c>
      <c r="L327" s="101"/>
      <c r="M327" s="669"/>
      <c r="N327" s="669"/>
      <c r="O327" s="669"/>
      <c r="P327" s="678"/>
    </row>
    <row r="328" spans="2:35" outlineLevel="1">
      <c r="B328" s="20" t="str">
        <f t="shared" si="96"/>
        <v>SP Manweb</v>
      </c>
      <c r="C328" s="693">
        <v>52.51</v>
      </c>
      <c r="D328" s="671">
        <v>56.45</v>
      </c>
      <c r="E328" s="671">
        <v>64.31</v>
      </c>
      <c r="F328" s="694">
        <v>65.209999999999994</v>
      </c>
      <c r="G328" s="693">
        <v>61.427793888734882</v>
      </c>
      <c r="H328" s="702">
        <v>67.176762757136444</v>
      </c>
      <c r="I328" s="702">
        <v>60.148604835989403</v>
      </c>
      <c r="J328" s="702">
        <v>61.990629995615656</v>
      </c>
      <c r="K328" s="705">
        <v>49.116750831142447</v>
      </c>
      <c r="L328" s="101"/>
      <c r="M328" s="669"/>
      <c r="N328" s="669"/>
      <c r="O328" s="669"/>
      <c r="P328" s="678"/>
    </row>
    <row r="329" spans="2:35" outlineLevel="1">
      <c r="B329" s="20" t="str">
        <f t="shared" si="96"/>
        <v>SSE Hydro</v>
      </c>
      <c r="C329" s="693">
        <v>143.46</v>
      </c>
      <c r="D329" s="671">
        <v>88.71</v>
      </c>
      <c r="E329" s="671">
        <v>91.46</v>
      </c>
      <c r="F329" s="694">
        <v>84.33</v>
      </c>
      <c r="G329" s="693">
        <v>78.137509309060803</v>
      </c>
      <c r="H329" s="702">
        <v>96.249810561462823</v>
      </c>
      <c r="I329" s="702">
        <v>87.331884827815401</v>
      </c>
      <c r="J329" s="702">
        <v>98.551070629324357</v>
      </c>
      <c r="K329" s="705">
        <v>87.697426731996032</v>
      </c>
      <c r="L329" s="101"/>
      <c r="M329" s="669"/>
      <c r="N329" s="669"/>
      <c r="O329" s="669"/>
      <c r="P329" s="678"/>
    </row>
    <row r="330" spans="2:35" outlineLevel="1">
      <c r="B330" s="20" t="str">
        <f t="shared" si="96"/>
        <v>SSE Southern</v>
      </c>
      <c r="C330" s="693">
        <v>90.85</v>
      </c>
      <c r="D330" s="671">
        <v>83.19</v>
      </c>
      <c r="E330" s="671">
        <v>81.05</v>
      </c>
      <c r="F330" s="694">
        <v>77.540000000000006</v>
      </c>
      <c r="G330" s="693">
        <v>75.891129635080972</v>
      </c>
      <c r="H330" s="702">
        <v>75.562030516089351</v>
      </c>
      <c r="I330" s="702">
        <v>71.14967128779324</v>
      </c>
      <c r="J330" s="702">
        <v>71.490737109833489</v>
      </c>
      <c r="K330" s="705">
        <v>70.357319057418167</v>
      </c>
      <c r="L330" s="101"/>
      <c r="M330" s="669"/>
      <c r="N330" s="669"/>
      <c r="O330" s="669"/>
      <c r="P330" s="678"/>
    </row>
    <row r="331" spans="2:35" outlineLevel="1">
      <c r="B331" s="185"/>
      <c r="C331" s="700"/>
      <c r="D331" s="670"/>
      <c r="E331" s="670"/>
      <c r="F331" s="701"/>
      <c r="G331" s="700"/>
      <c r="H331" s="669"/>
      <c r="I331" s="669"/>
      <c r="J331" s="669"/>
      <c r="K331" s="678"/>
      <c r="L331" s="101"/>
      <c r="M331" s="669"/>
      <c r="N331" s="669"/>
      <c r="O331" s="669"/>
      <c r="P331" s="678"/>
    </row>
    <row r="332" spans="2:35" ht="13.5" outlineLevel="1" thickBot="1">
      <c r="B332" s="181" t="s">
        <v>66</v>
      </c>
      <c r="C332" s="190">
        <v>81.655661286381672</v>
      </c>
      <c r="D332" s="193">
        <v>81.284981143677058</v>
      </c>
      <c r="E332" s="193">
        <v>76.589050551770256</v>
      </c>
      <c r="F332" s="194">
        <v>68.642334354461113</v>
      </c>
      <c r="G332" s="190">
        <v>65.552474037803606</v>
      </c>
      <c r="H332" s="193">
        <v>78.030478053469295</v>
      </c>
      <c r="I332" s="193">
        <v>74.2219905323756</v>
      </c>
      <c r="J332" s="193">
        <v>73.429575155784264</v>
      </c>
      <c r="K332" s="194">
        <v>70.019086796497064</v>
      </c>
      <c r="L332" s="183"/>
      <c r="M332" s="679"/>
      <c r="N332" s="679"/>
      <c r="O332" s="679"/>
      <c r="P332" s="680"/>
    </row>
    <row r="333" spans="2:35" outlineLevel="1">
      <c r="B333" s="155"/>
      <c r="L333" s="13"/>
      <c r="M333" s="13"/>
      <c r="N333" s="13"/>
      <c r="O333" s="13"/>
    </row>
    <row r="334" spans="2:35">
      <c r="B334" s="155"/>
      <c r="L334" s="13"/>
      <c r="M334" s="13"/>
      <c r="N334" s="13"/>
      <c r="O334" s="13"/>
    </row>
    <row r="335" spans="2:35" ht="13.5" thickBot="1">
      <c r="B335" s="2" t="s">
        <v>79</v>
      </c>
      <c r="L335" s="13"/>
      <c r="M335" s="13"/>
      <c r="N335" s="13"/>
      <c r="O335" s="13"/>
    </row>
    <row r="336" spans="2:35" ht="12.75" customHeight="1" outlineLevel="1">
      <c r="B336" s="773" t="s">
        <v>19</v>
      </c>
      <c r="C336" s="767" t="str">
        <f>C126</f>
        <v>2001-02</v>
      </c>
      <c r="D336" s="768"/>
      <c r="E336" s="769"/>
      <c r="F336" s="767" t="str">
        <f t="shared" ref="F336" si="97">F126</f>
        <v>2002-03</v>
      </c>
      <c r="G336" s="768"/>
      <c r="H336" s="769"/>
      <c r="I336" s="767" t="str">
        <f t="shared" ref="I336" si="98">I126</f>
        <v>2003-04</v>
      </c>
      <c r="J336" s="768"/>
      <c r="K336" s="769"/>
      <c r="L336" s="767" t="str">
        <f t="shared" ref="L336" si="99">L126</f>
        <v>2004-05</v>
      </c>
      <c r="M336" s="768"/>
      <c r="N336" s="769"/>
      <c r="O336" s="767" t="str">
        <f t="shared" ref="O336" si="100">O126</f>
        <v>2005-06</v>
      </c>
      <c r="P336" s="768"/>
      <c r="Q336" s="769"/>
      <c r="R336" s="767" t="str">
        <f t="shared" ref="R336" si="101">R126</f>
        <v>2006-07</v>
      </c>
      <c r="S336" s="768"/>
      <c r="T336" s="769"/>
      <c r="U336" s="767" t="str">
        <f t="shared" ref="U336" si="102">U126</f>
        <v>2007-08</v>
      </c>
      <c r="V336" s="768"/>
      <c r="W336" s="769"/>
      <c r="X336" s="767" t="str">
        <f t="shared" ref="X336" si="103">X126</f>
        <v>2008-09</v>
      </c>
      <c r="Y336" s="768"/>
      <c r="Z336" s="769"/>
      <c r="AA336" s="767" t="str">
        <f t="shared" ref="AA336" si="104">AA126</f>
        <v>2009-10</v>
      </c>
      <c r="AB336" s="768"/>
      <c r="AC336" s="769"/>
      <c r="AD336" s="767" t="str">
        <f t="shared" ref="AD336" si="105">AD126</f>
        <v>2010-11</v>
      </c>
      <c r="AE336" s="768"/>
      <c r="AF336" s="769"/>
      <c r="AG336" s="767" t="str">
        <f t="shared" ref="AG336" si="106">AG126</f>
        <v>2011-12</v>
      </c>
      <c r="AH336" s="768"/>
      <c r="AI336" s="769"/>
    </row>
    <row r="337" spans="2:35" ht="13.5" outlineLevel="1" thickBot="1">
      <c r="B337" s="774"/>
      <c r="C337" s="102" t="s">
        <v>81</v>
      </c>
      <c r="D337" s="106" t="s">
        <v>82</v>
      </c>
      <c r="E337" s="107" t="s">
        <v>69</v>
      </c>
      <c r="F337" s="102" t="s">
        <v>81</v>
      </c>
      <c r="G337" s="106" t="s">
        <v>82</v>
      </c>
      <c r="H337" s="107" t="s">
        <v>69</v>
      </c>
      <c r="I337" s="102" t="s">
        <v>81</v>
      </c>
      <c r="J337" s="106" t="s">
        <v>82</v>
      </c>
      <c r="K337" s="107" t="s">
        <v>69</v>
      </c>
      <c r="L337" s="102" t="s">
        <v>81</v>
      </c>
      <c r="M337" s="106" t="s">
        <v>82</v>
      </c>
      <c r="N337" s="107" t="s">
        <v>69</v>
      </c>
      <c r="O337" s="102" t="s">
        <v>81</v>
      </c>
      <c r="P337" s="106" t="s">
        <v>82</v>
      </c>
      <c r="Q337" s="107" t="s">
        <v>69</v>
      </c>
      <c r="R337" s="102" t="s">
        <v>81</v>
      </c>
      <c r="S337" s="106" t="s">
        <v>82</v>
      </c>
      <c r="T337" s="107" t="s">
        <v>69</v>
      </c>
      <c r="U337" s="102" t="s">
        <v>81</v>
      </c>
      <c r="V337" s="106" t="s">
        <v>82</v>
      </c>
      <c r="W337" s="107" t="s">
        <v>69</v>
      </c>
      <c r="X337" s="102" t="s">
        <v>81</v>
      </c>
      <c r="Y337" s="106" t="s">
        <v>82</v>
      </c>
      <c r="Z337" s="107" t="s">
        <v>69</v>
      </c>
      <c r="AA337" s="102" t="s">
        <v>81</v>
      </c>
      <c r="AB337" s="106" t="s">
        <v>82</v>
      </c>
      <c r="AC337" s="107" t="s">
        <v>69</v>
      </c>
      <c r="AD337" s="102" t="s">
        <v>81</v>
      </c>
      <c r="AE337" s="106" t="s">
        <v>82</v>
      </c>
      <c r="AF337" s="107" t="s">
        <v>69</v>
      </c>
      <c r="AG337" s="102" t="s">
        <v>81</v>
      </c>
      <c r="AH337" s="106" t="s">
        <v>82</v>
      </c>
      <c r="AI337" s="107" t="s">
        <v>69</v>
      </c>
    </row>
    <row r="338" spans="2:35" ht="13.5" outlineLevel="1" thickTop="1">
      <c r="B338" s="195" t="s">
        <v>4</v>
      </c>
      <c r="C338" s="202" t="e">
        <f t="shared" ref="C338:C351" si="107">RANK(D338,D$338:D$351,0)</f>
        <v>#N/A</v>
      </c>
      <c r="D338" s="158"/>
      <c r="E338" s="199"/>
      <c r="F338" s="202">
        <f t="shared" ref="F338:F351" si="108">RANK(G338,G$338:G$351,0)</f>
        <v>11</v>
      </c>
      <c r="G338" s="157">
        <v>4.24</v>
      </c>
      <c r="H338" s="199"/>
      <c r="I338" s="202">
        <f t="shared" ref="I338:I351" si="109">RANK(J338,J$338:J$351,0)</f>
        <v>10</v>
      </c>
      <c r="J338" s="158">
        <v>4.43</v>
      </c>
      <c r="K338" s="199"/>
      <c r="L338" s="202">
        <f t="shared" ref="L338:L351" si="110">RANK(M338,M$338:M$351,0)</f>
        <v>10</v>
      </c>
      <c r="M338" s="157">
        <v>4.34</v>
      </c>
      <c r="N338" s="199"/>
      <c r="O338" s="202">
        <f t="shared" ref="O338:O351" si="111">RANK(P338,P$338:P$351,0)</f>
        <v>6</v>
      </c>
      <c r="P338" s="157">
        <v>4.377641885316149</v>
      </c>
      <c r="Q338" s="584">
        <v>0</v>
      </c>
      <c r="R338" s="202">
        <f t="shared" ref="R338:R351" si="112">RANK(S338,S$338:S$351,0)</f>
        <v>8</v>
      </c>
      <c r="S338" s="158">
        <v>4.33</v>
      </c>
      <c r="T338" s="584">
        <v>0</v>
      </c>
      <c r="U338" s="202">
        <f t="shared" ref="U338:U351" si="113">RANK(V338,V$338:V$351,0)</f>
        <v>8</v>
      </c>
      <c r="V338" s="158">
        <v>4.37</v>
      </c>
      <c r="W338" s="584">
        <v>0</v>
      </c>
      <c r="X338" s="202">
        <f t="shared" ref="X338:X351" si="114">RANK(Y338,Y$338:Y$351,0)</f>
        <v>8</v>
      </c>
      <c r="Y338" s="158">
        <v>4.41</v>
      </c>
      <c r="Z338" s="584">
        <v>0</v>
      </c>
      <c r="AA338" s="202">
        <f t="shared" ref="AA338:AA351" si="115">RANK(AB338,AB$338:AB$351,0)</f>
        <v>6</v>
      </c>
      <c r="AB338" s="157">
        <v>4.53</v>
      </c>
      <c r="AC338" s="584">
        <v>0.14620542750000001</v>
      </c>
      <c r="AD338" s="202" t="e">
        <f t="shared" ref="AD338:AD351" si="116">RANK(AE338,AE$338:AE$351,0)</f>
        <v>#N/A</v>
      </c>
      <c r="AE338" s="158"/>
      <c r="AF338" s="199"/>
      <c r="AG338" s="202" t="e">
        <f t="shared" ref="AG338:AG351" si="117">RANK(AH338,AH$338:AH$351,0)</f>
        <v>#N/A</v>
      </c>
      <c r="AH338" s="158"/>
      <c r="AI338" s="199"/>
    </row>
    <row r="339" spans="2:35" outlineLevel="1">
      <c r="B339" s="195" t="s">
        <v>3</v>
      </c>
      <c r="C339" s="202" t="e">
        <f t="shared" si="107"/>
        <v>#N/A</v>
      </c>
      <c r="D339" s="52"/>
      <c r="E339" s="56"/>
      <c r="F339" s="202">
        <f t="shared" si="108"/>
        <v>7</v>
      </c>
      <c r="G339" s="157">
        <v>4.3499999999999996</v>
      </c>
      <c r="H339" s="56"/>
      <c r="I339" s="202">
        <f t="shared" si="109"/>
        <v>6</v>
      </c>
      <c r="J339" s="158">
        <v>4.49</v>
      </c>
      <c r="K339" s="56"/>
      <c r="L339" s="202">
        <f t="shared" si="110"/>
        <v>7</v>
      </c>
      <c r="M339" s="157">
        <v>4.3899999999999997</v>
      </c>
      <c r="N339" s="56"/>
      <c r="O339" s="202">
        <f t="shared" si="111"/>
        <v>7</v>
      </c>
      <c r="P339" s="157">
        <v>4.359785468896944</v>
      </c>
      <c r="Q339" s="65">
        <v>0</v>
      </c>
      <c r="R339" s="202">
        <f t="shared" si="112"/>
        <v>6</v>
      </c>
      <c r="S339" s="158">
        <v>4.37</v>
      </c>
      <c r="T339" s="65">
        <v>0</v>
      </c>
      <c r="U339" s="202">
        <f t="shared" si="113"/>
        <v>5</v>
      </c>
      <c r="V339" s="158">
        <v>4.4000000000000004</v>
      </c>
      <c r="W339" s="65">
        <v>0</v>
      </c>
      <c r="X339" s="202">
        <f t="shared" si="114"/>
        <v>6</v>
      </c>
      <c r="Y339" s="158">
        <v>4.43</v>
      </c>
      <c r="Z339" s="65">
        <v>-0.71663679499999999</v>
      </c>
      <c r="AA339" s="202">
        <f t="shared" si="115"/>
        <v>4</v>
      </c>
      <c r="AB339" s="157">
        <v>4.5599999999999996</v>
      </c>
      <c r="AC339" s="65">
        <v>0.149142052</v>
      </c>
      <c r="AD339" s="202" t="e">
        <f t="shared" si="116"/>
        <v>#N/A</v>
      </c>
      <c r="AE339" s="52"/>
      <c r="AF339" s="56"/>
      <c r="AG339" s="202" t="e">
        <f t="shared" si="117"/>
        <v>#N/A</v>
      </c>
      <c r="AH339" s="52"/>
      <c r="AI339" s="56"/>
    </row>
    <row r="340" spans="2:35" outlineLevel="1">
      <c r="B340" s="195" t="s">
        <v>34</v>
      </c>
      <c r="C340" s="202" t="e">
        <f t="shared" si="107"/>
        <v>#N/A</v>
      </c>
      <c r="D340" s="52"/>
      <c r="E340" s="56"/>
      <c r="F340" s="202">
        <f t="shared" si="108"/>
        <v>10</v>
      </c>
      <c r="G340" s="157">
        <v>4.26</v>
      </c>
      <c r="H340" s="56"/>
      <c r="I340" s="202">
        <f t="shared" si="109"/>
        <v>11</v>
      </c>
      <c r="J340" s="158">
        <v>4.42</v>
      </c>
      <c r="K340" s="56"/>
      <c r="L340" s="202">
        <f t="shared" si="110"/>
        <v>6</v>
      </c>
      <c r="M340" s="157">
        <v>4.41</v>
      </c>
      <c r="N340" s="56"/>
      <c r="O340" s="202">
        <f t="shared" si="111"/>
        <v>10</v>
      </c>
      <c r="P340" s="157">
        <v>4.2882768656147654</v>
      </c>
      <c r="Q340" s="65">
        <v>0</v>
      </c>
      <c r="R340" s="202">
        <f t="shared" si="112"/>
        <v>13</v>
      </c>
      <c r="S340" s="158">
        <v>4.13</v>
      </c>
      <c r="T340" s="65">
        <v>0</v>
      </c>
      <c r="U340" s="202">
        <f t="shared" si="113"/>
        <v>6</v>
      </c>
      <c r="V340" s="158">
        <v>4.3899999999999997</v>
      </c>
      <c r="W340" s="65">
        <v>0</v>
      </c>
      <c r="X340" s="202">
        <f t="shared" si="114"/>
        <v>4</v>
      </c>
      <c r="Y340" s="158">
        <v>4.47</v>
      </c>
      <c r="Z340" s="65">
        <v>-0.66017825250000006</v>
      </c>
      <c r="AA340" s="202">
        <f t="shared" si="115"/>
        <v>6</v>
      </c>
      <c r="AB340" s="157">
        <v>4.53</v>
      </c>
      <c r="AC340" s="65">
        <v>0.1340049995</v>
      </c>
      <c r="AD340" s="202" t="e">
        <f t="shared" si="116"/>
        <v>#N/A</v>
      </c>
      <c r="AE340" s="52"/>
      <c r="AF340" s="56"/>
      <c r="AG340" s="202" t="e">
        <f t="shared" si="117"/>
        <v>#N/A</v>
      </c>
      <c r="AH340" s="52"/>
      <c r="AI340" s="56"/>
    </row>
    <row r="341" spans="2:35" outlineLevel="1">
      <c r="B341" s="195" t="s">
        <v>1</v>
      </c>
      <c r="C341" s="202" t="e">
        <f t="shared" si="107"/>
        <v>#N/A</v>
      </c>
      <c r="D341" s="52"/>
      <c r="E341" s="56"/>
      <c r="F341" s="202">
        <f t="shared" si="108"/>
        <v>2</v>
      </c>
      <c r="G341" s="157">
        <v>4.51</v>
      </c>
      <c r="H341" s="56"/>
      <c r="I341" s="202">
        <f t="shared" si="109"/>
        <v>2</v>
      </c>
      <c r="J341" s="158">
        <v>4.55</v>
      </c>
      <c r="K341" s="56"/>
      <c r="L341" s="202">
        <f t="shared" si="110"/>
        <v>3</v>
      </c>
      <c r="M341" s="157">
        <v>4.4400000000000004</v>
      </c>
      <c r="N341" s="56"/>
      <c r="O341" s="202">
        <f t="shared" si="111"/>
        <v>3</v>
      </c>
      <c r="P341" s="157">
        <v>4.4333436942400919</v>
      </c>
      <c r="Q341" s="65">
        <v>0</v>
      </c>
      <c r="R341" s="202">
        <f t="shared" si="112"/>
        <v>3</v>
      </c>
      <c r="S341" s="158">
        <v>4.4400000000000004</v>
      </c>
      <c r="T341" s="65">
        <v>0</v>
      </c>
      <c r="U341" s="202">
        <f t="shared" si="113"/>
        <v>4</v>
      </c>
      <c r="V341" s="158">
        <v>4.43</v>
      </c>
      <c r="W341" s="65">
        <v>0</v>
      </c>
      <c r="X341" s="202">
        <f t="shared" si="114"/>
        <v>5</v>
      </c>
      <c r="Y341" s="158">
        <v>4.46</v>
      </c>
      <c r="Z341" s="65">
        <v>-0.45610769249999999</v>
      </c>
      <c r="AA341" s="202">
        <f t="shared" si="115"/>
        <v>4</v>
      </c>
      <c r="AB341" s="157">
        <v>4.5599999999999996</v>
      </c>
      <c r="AC341" s="65">
        <v>9.284882450000001E-2</v>
      </c>
      <c r="AD341" s="202" t="e">
        <f t="shared" si="116"/>
        <v>#N/A</v>
      </c>
      <c r="AE341" s="52"/>
      <c r="AF341" s="56"/>
      <c r="AG341" s="202" t="e">
        <f t="shared" si="117"/>
        <v>#N/A</v>
      </c>
      <c r="AH341" s="52"/>
      <c r="AI341" s="56"/>
    </row>
    <row r="342" spans="2:35" outlineLevel="1">
      <c r="B342" s="195" t="s">
        <v>2</v>
      </c>
      <c r="C342" s="202" t="e">
        <f t="shared" si="107"/>
        <v>#N/A</v>
      </c>
      <c r="D342" s="52"/>
      <c r="E342" s="56"/>
      <c r="F342" s="202">
        <f t="shared" si="108"/>
        <v>5</v>
      </c>
      <c r="G342" s="157">
        <v>4.4000000000000004</v>
      </c>
      <c r="H342" s="56"/>
      <c r="I342" s="202">
        <f t="shared" si="109"/>
        <v>7</v>
      </c>
      <c r="J342" s="158">
        <v>4.47</v>
      </c>
      <c r="K342" s="56"/>
      <c r="L342" s="202">
        <f t="shared" si="110"/>
        <v>7</v>
      </c>
      <c r="M342" s="157">
        <v>4.3899999999999997</v>
      </c>
      <c r="N342" s="56"/>
      <c r="O342" s="202">
        <f t="shared" si="111"/>
        <v>9</v>
      </c>
      <c r="P342" s="157">
        <v>4.329456643857835</v>
      </c>
      <c r="Q342" s="65">
        <v>0</v>
      </c>
      <c r="R342" s="202">
        <f t="shared" si="112"/>
        <v>5</v>
      </c>
      <c r="S342" s="158">
        <v>4.38</v>
      </c>
      <c r="T342" s="65">
        <v>0</v>
      </c>
      <c r="U342" s="202">
        <f t="shared" si="113"/>
        <v>9</v>
      </c>
      <c r="V342" s="158">
        <v>4.34</v>
      </c>
      <c r="W342" s="65">
        <v>0</v>
      </c>
      <c r="X342" s="202">
        <f t="shared" si="114"/>
        <v>8</v>
      </c>
      <c r="Y342" s="158">
        <v>4.41</v>
      </c>
      <c r="Z342" s="65">
        <v>-0.59569725499999993</v>
      </c>
      <c r="AA342" s="202">
        <f t="shared" si="115"/>
        <v>8</v>
      </c>
      <c r="AB342" s="157">
        <v>4.49</v>
      </c>
      <c r="AC342" s="65">
        <v>0</v>
      </c>
      <c r="AD342" s="202" t="e">
        <f t="shared" si="116"/>
        <v>#N/A</v>
      </c>
      <c r="AE342" s="52"/>
      <c r="AF342" s="56"/>
      <c r="AG342" s="202" t="e">
        <f t="shared" si="117"/>
        <v>#N/A</v>
      </c>
      <c r="AH342" s="52"/>
      <c r="AI342" s="56"/>
    </row>
    <row r="343" spans="2:35" outlineLevel="1">
      <c r="B343" s="195" t="s">
        <v>13</v>
      </c>
      <c r="C343" s="202" t="e">
        <f t="shared" si="107"/>
        <v>#N/A</v>
      </c>
      <c r="D343" s="52"/>
      <c r="E343" s="56"/>
      <c r="F343" s="202">
        <f t="shared" si="108"/>
        <v>6</v>
      </c>
      <c r="G343" s="157">
        <v>4.37</v>
      </c>
      <c r="H343" s="56"/>
      <c r="I343" s="202">
        <f t="shared" si="109"/>
        <v>4</v>
      </c>
      <c r="J343" s="158">
        <v>4.5199999999999996</v>
      </c>
      <c r="K343" s="56"/>
      <c r="L343" s="202">
        <f t="shared" si="110"/>
        <v>2</v>
      </c>
      <c r="M343" s="157">
        <v>4.5</v>
      </c>
      <c r="N343" s="56"/>
      <c r="O343" s="202">
        <f t="shared" si="111"/>
        <v>2</v>
      </c>
      <c r="P343" s="157">
        <v>4.491010963381056</v>
      </c>
      <c r="Q343" s="65">
        <v>0</v>
      </c>
      <c r="R343" s="202">
        <f t="shared" si="112"/>
        <v>2</v>
      </c>
      <c r="S343" s="158">
        <v>4.5</v>
      </c>
      <c r="T343" s="65">
        <v>7.9231107499999995E-2</v>
      </c>
      <c r="U343" s="202">
        <f t="shared" si="113"/>
        <v>2</v>
      </c>
      <c r="V343" s="158">
        <v>4.5599999999999996</v>
      </c>
      <c r="W343" s="65">
        <v>8.2309504000000006E-2</v>
      </c>
      <c r="X343" s="202">
        <f t="shared" si="114"/>
        <v>2</v>
      </c>
      <c r="Y343" s="158">
        <v>4.57</v>
      </c>
      <c r="Z343" s="65">
        <v>8.6541729000000012E-2</v>
      </c>
      <c r="AA343" s="202">
        <f t="shared" si="115"/>
        <v>1</v>
      </c>
      <c r="AB343" s="157">
        <v>4.71</v>
      </c>
      <c r="AC343" s="65">
        <v>8.8764264499999995E-2</v>
      </c>
      <c r="AD343" s="202" t="e">
        <f t="shared" si="116"/>
        <v>#N/A</v>
      </c>
      <c r="AE343" s="52"/>
      <c r="AF343" s="56"/>
      <c r="AG343" s="202" t="e">
        <f t="shared" si="117"/>
        <v>#N/A</v>
      </c>
      <c r="AH343" s="52"/>
      <c r="AI343" s="56"/>
    </row>
    <row r="344" spans="2:35" outlineLevel="1">
      <c r="B344" s="195" t="s">
        <v>14</v>
      </c>
      <c r="C344" s="202" t="e">
        <f t="shared" si="107"/>
        <v>#N/A</v>
      </c>
      <c r="D344" s="52"/>
      <c r="E344" s="56"/>
      <c r="F344" s="202">
        <f t="shared" si="108"/>
        <v>3</v>
      </c>
      <c r="G344" s="157">
        <v>4.46</v>
      </c>
      <c r="H344" s="56"/>
      <c r="I344" s="202">
        <f t="shared" si="109"/>
        <v>3</v>
      </c>
      <c r="J344" s="158">
        <v>4.54</v>
      </c>
      <c r="K344" s="56"/>
      <c r="L344" s="202">
        <f t="shared" si="110"/>
        <v>4</v>
      </c>
      <c r="M344" s="157">
        <v>4.43</v>
      </c>
      <c r="N344" s="56"/>
      <c r="O344" s="202">
        <f t="shared" si="111"/>
        <v>4</v>
      </c>
      <c r="P344" s="157">
        <v>4.4296194981533183</v>
      </c>
      <c r="Q344" s="65">
        <v>0</v>
      </c>
      <c r="R344" s="202">
        <f t="shared" si="112"/>
        <v>4</v>
      </c>
      <c r="S344" s="158">
        <v>4.4000000000000004</v>
      </c>
      <c r="T344" s="65">
        <v>0</v>
      </c>
      <c r="U344" s="202">
        <f t="shared" si="113"/>
        <v>3</v>
      </c>
      <c r="V344" s="158">
        <v>4.47</v>
      </c>
      <c r="W344" s="65">
        <v>0</v>
      </c>
      <c r="X344" s="202">
        <f t="shared" si="114"/>
        <v>3</v>
      </c>
      <c r="Y344" s="158">
        <v>4.51</v>
      </c>
      <c r="Z344" s="65">
        <v>0.1050255155</v>
      </c>
      <c r="AA344" s="202">
        <f t="shared" si="115"/>
        <v>3</v>
      </c>
      <c r="AB344" s="157">
        <v>4.62</v>
      </c>
      <c r="AC344" s="65">
        <v>0.10868543150000001</v>
      </c>
      <c r="AD344" s="202" t="e">
        <f t="shared" si="116"/>
        <v>#N/A</v>
      </c>
      <c r="AE344" s="52"/>
      <c r="AF344" s="56"/>
      <c r="AG344" s="202" t="e">
        <f t="shared" si="117"/>
        <v>#N/A</v>
      </c>
      <c r="AH344" s="52"/>
      <c r="AI344" s="56"/>
    </row>
    <row r="345" spans="2:35" outlineLevel="1">
      <c r="B345" s="195" t="s">
        <v>35</v>
      </c>
      <c r="C345" s="202" t="e">
        <f t="shared" si="107"/>
        <v>#N/A</v>
      </c>
      <c r="D345" s="52"/>
      <c r="E345" s="56"/>
      <c r="F345" s="202">
        <f t="shared" si="108"/>
        <v>14</v>
      </c>
      <c r="G345" s="157">
        <v>3.95</v>
      </c>
      <c r="H345" s="56"/>
      <c r="I345" s="202">
        <f t="shared" si="109"/>
        <v>14</v>
      </c>
      <c r="J345" s="158">
        <v>4.1900000000000004</v>
      </c>
      <c r="K345" s="56"/>
      <c r="L345" s="202">
        <f t="shared" si="110"/>
        <v>14</v>
      </c>
      <c r="M345" s="157">
        <v>4.1900000000000004</v>
      </c>
      <c r="N345" s="56"/>
      <c r="O345" s="202">
        <f t="shared" si="111"/>
        <v>13</v>
      </c>
      <c r="P345" s="157">
        <v>4.1905148616210983</v>
      </c>
      <c r="Q345" s="65">
        <v>0</v>
      </c>
      <c r="R345" s="202">
        <f t="shared" si="112"/>
        <v>12</v>
      </c>
      <c r="S345" s="158">
        <v>4.17</v>
      </c>
      <c r="T345" s="65">
        <v>0</v>
      </c>
      <c r="U345" s="202">
        <f t="shared" si="113"/>
        <v>13</v>
      </c>
      <c r="V345" s="158">
        <v>4.03</v>
      </c>
      <c r="W345" s="65">
        <v>-8.9481784699999234E-2</v>
      </c>
      <c r="X345" s="202">
        <f t="shared" si="114"/>
        <v>14</v>
      </c>
      <c r="Y345" s="158">
        <v>3.98</v>
      </c>
      <c r="Z345" s="65">
        <v>-0.16232717399999955</v>
      </c>
      <c r="AA345" s="202">
        <f t="shared" si="115"/>
        <v>14</v>
      </c>
      <c r="AB345" s="157">
        <v>4.1100000000000003</v>
      </c>
      <c r="AC345" s="65">
        <v>0</v>
      </c>
      <c r="AD345" s="202" t="e">
        <f t="shared" si="116"/>
        <v>#N/A</v>
      </c>
      <c r="AE345" s="52"/>
      <c r="AF345" s="56"/>
      <c r="AG345" s="202" t="e">
        <f t="shared" si="117"/>
        <v>#N/A</v>
      </c>
      <c r="AH345" s="52"/>
      <c r="AI345" s="56"/>
    </row>
    <row r="346" spans="2:35" outlineLevel="1">
      <c r="B346" s="195" t="s">
        <v>36</v>
      </c>
      <c r="C346" s="202" t="e">
        <f t="shared" si="107"/>
        <v>#N/A</v>
      </c>
      <c r="D346" s="52"/>
      <c r="E346" s="56"/>
      <c r="F346" s="202">
        <f t="shared" si="108"/>
        <v>12</v>
      </c>
      <c r="G346" s="157">
        <v>4.22</v>
      </c>
      <c r="H346" s="56"/>
      <c r="I346" s="202">
        <f t="shared" si="109"/>
        <v>12</v>
      </c>
      <c r="J346" s="158">
        <v>4.38</v>
      </c>
      <c r="K346" s="56"/>
      <c r="L346" s="202">
        <f t="shared" si="110"/>
        <v>13</v>
      </c>
      <c r="M346" s="157">
        <v>4.26</v>
      </c>
      <c r="N346" s="56"/>
      <c r="O346" s="202">
        <f t="shared" si="111"/>
        <v>11</v>
      </c>
      <c r="P346" s="157">
        <v>4.2597836743427866</v>
      </c>
      <c r="Q346" s="65">
        <v>0</v>
      </c>
      <c r="R346" s="202">
        <f t="shared" si="112"/>
        <v>10</v>
      </c>
      <c r="S346" s="158">
        <v>4.18</v>
      </c>
      <c r="T346" s="65">
        <v>0</v>
      </c>
      <c r="U346" s="202">
        <f t="shared" si="113"/>
        <v>13</v>
      </c>
      <c r="V346" s="158">
        <v>4.03</v>
      </c>
      <c r="W346" s="65">
        <v>-6.7091249049999413E-2</v>
      </c>
      <c r="X346" s="202">
        <f t="shared" si="114"/>
        <v>13</v>
      </c>
      <c r="Y346" s="158">
        <v>4</v>
      </c>
      <c r="Z346" s="65">
        <v>-0.10274003799999963</v>
      </c>
      <c r="AA346" s="202">
        <f t="shared" si="115"/>
        <v>13</v>
      </c>
      <c r="AB346" s="157">
        <v>4.18</v>
      </c>
      <c r="AC346" s="65">
        <v>0</v>
      </c>
      <c r="AD346" s="202" t="e">
        <f t="shared" si="116"/>
        <v>#N/A</v>
      </c>
      <c r="AE346" s="52"/>
      <c r="AF346" s="56"/>
      <c r="AG346" s="202" t="e">
        <f t="shared" si="117"/>
        <v>#N/A</v>
      </c>
      <c r="AH346" s="52"/>
      <c r="AI346" s="56"/>
    </row>
    <row r="347" spans="2:35" outlineLevel="1">
      <c r="B347" s="195" t="s">
        <v>37</v>
      </c>
      <c r="C347" s="202" t="e">
        <f t="shared" si="107"/>
        <v>#N/A</v>
      </c>
      <c r="D347" s="52"/>
      <c r="E347" s="56"/>
      <c r="F347" s="202">
        <f t="shared" si="108"/>
        <v>13</v>
      </c>
      <c r="G347" s="157">
        <v>4.0999999999999996</v>
      </c>
      <c r="H347" s="56"/>
      <c r="I347" s="202">
        <f t="shared" si="109"/>
        <v>13</v>
      </c>
      <c r="J347" s="158">
        <v>4.2699999999999996</v>
      </c>
      <c r="K347" s="56"/>
      <c r="L347" s="202">
        <f t="shared" si="110"/>
        <v>9</v>
      </c>
      <c r="M347" s="157">
        <v>4.3600000000000003</v>
      </c>
      <c r="N347" s="56"/>
      <c r="O347" s="202">
        <f t="shared" si="111"/>
        <v>8</v>
      </c>
      <c r="P347" s="157">
        <v>4.3338920116432824</v>
      </c>
      <c r="Q347" s="65">
        <v>0</v>
      </c>
      <c r="R347" s="202">
        <f t="shared" si="112"/>
        <v>9</v>
      </c>
      <c r="S347" s="158">
        <v>4.25</v>
      </c>
      <c r="T347" s="65">
        <v>0</v>
      </c>
      <c r="U347" s="202">
        <f t="shared" si="113"/>
        <v>11</v>
      </c>
      <c r="V347" s="158">
        <v>4.16</v>
      </c>
      <c r="W347" s="65">
        <v>0</v>
      </c>
      <c r="X347" s="202">
        <f t="shared" si="114"/>
        <v>12</v>
      </c>
      <c r="Y347" s="158">
        <v>4.1900000000000004</v>
      </c>
      <c r="Z347" s="65">
        <v>-0.85951997250000001</v>
      </c>
      <c r="AA347" s="202">
        <f t="shared" si="115"/>
        <v>12</v>
      </c>
      <c r="AB347" s="157">
        <v>4.22</v>
      </c>
      <c r="AC347" s="65">
        <v>0</v>
      </c>
      <c r="AD347" s="202" t="e">
        <f t="shared" si="116"/>
        <v>#N/A</v>
      </c>
      <c r="AE347" s="52"/>
      <c r="AF347" s="56"/>
      <c r="AG347" s="202" t="e">
        <f t="shared" si="117"/>
        <v>#N/A</v>
      </c>
      <c r="AH347" s="52"/>
      <c r="AI347" s="56"/>
    </row>
    <row r="348" spans="2:35" outlineLevel="1">
      <c r="B348" s="195" t="s">
        <v>8</v>
      </c>
      <c r="C348" s="202" t="e">
        <f t="shared" si="107"/>
        <v>#N/A</v>
      </c>
      <c r="D348" s="52"/>
      <c r="E348" s="56"/>
      <c r="F348" s="202">
        <f t="shared" si="108"/>
        <v>8</v>
      </c>
      <c r="G348" s="157">
        <v>4.3099999999999996</v>
      </c>
      <c r="H348" s="56"/>
      <c r="I348" s="202">
        <f t="shared" si="109"/>
        <v>9</v>
      </c>
      <c r="J348" s="158">
        <v>4.4400000000000004</v>
      </c>
      <c r="K348" s="56"/>
      <c r="L348" s="202">
        <f t="shared" si="110"/>
        <v>10</v>
      </c>
      <c r="M348" s="157">
        <v>4.34</v>
      </c>
      <c r="N348" s="56"/>
      <c r="O348" s="202">
        <f t="shared" si="111"/>
        <v>14</v>
      </c>
      <c r="P348" s="157">
        <v>4.1118293144680367</v>
      </c>
      <c r="Q348" s="65">
        <v>0</v>
      </c>
      <c r="R348" s="202">
        <f t="shared" si="112"/>
        <v>14</v>
      </c>
      <c r="S348" s="158">
        <v>4</v>
      </c>
      <c r="T348" s="65">
        <v>-0.15965439099999945</v>
      </c>
      <c r="U348" s="202">
        <f t="shared" si="113"/>
        <v>12</v>
      </c>
      <c r="V348" s="158">
        <v>4.1399999999999997</v>
      </c>
      <c r="W348" s="65">
        <v>0</v>
      </c>
      <c r="X348" s="202">
        <f t="shared" si="114"/>
        <v>11</v>
      </c>
      <c r="Y348" s="158">
        <v>4.26</v>
      </c>
      <c r="Z348" s="65">
        <v>-0.86709159749999998</v>
      </c>
      <c r="AA348" s="202">
        <f t="shared" si="115"/>
        <v>11</v>
      </c>
      <c r="AB348" s="157">
        <v>4.33</v>
      </c>
      <c r="AC348" s="65">
        <v>0</v>
      </c>
      <c r="AD348" s="202" t="e">
        <f t="shared" si="116"/>
        <v>#N/A</v>
      </c>
      <c r="AE348" s="52"/>
      <c r="AF348" s="56"/>
      <c r="AG348" s="202" t="e">
        <f t="shared" si="117"/>
        <v>#N/A</v>
      </c>
      <c r="AH348" s="52"/>
      <c r="AI348" s="56"/>
    </row>
    <row r="349" spans="2:35" outlineLevel="1">
      <c r="B349" s="195" t="s">
        <v>9</v>
      </c>
      <c r="C349" s="202" t="e">
        <f t="shared" si="107"/>
        <v>#N/A</v>
      </c>
      <c r="D349" s="52"/>
      <c r="E349" s="56"/>
      <c r="F349" s="202">
        <f t="shared" si="108"/>
        <v>8</v>
      </c>
      <c r="G349" s="157">
        <v>4.3099999999999996</v>
      </c>
      <c r="H349" s="56"/>
      <c r="I349" s="202">
        <f t="shared" si="109"/>
        <v>8</v>
      </c>
      <c r="J349" s="158">
        <v>4.46</v>
      </c>
      <c r="K349" s="56"/>
      <c r="L349" s="202">
        <f t="shared" si="110"/>
        <v>12</v>
      </c>
      <c r="M349" s="157">
        <v>4.3</v>
      </c>
      <c r="N349" s="56"/>
      <c r="O349" s="202">
        <f t="shared" si="111"/>
        <v>12</v>
      </c>
      <c r="P349" s="157">
        <v>4.2380215586806669</v>
      </c>
      <c r="Q349" s="65">
        <v>0</v>
      </c>
      <c r="R349" s="202">
        <f t="shared" si="112"/>
        <v>10</v>
      </c>
      <c r="S349" s="158">
        <v>4.18</v>
      </c>
      <c r="T349" s="65">
        <v>0</v>
      </c>
      <c r="U349" s="202">
        <f t="shared" si="113"/>
        <v>10</v>
      </c>
      <c r="V349" s="158">
        <v>4.3</v>
      </c>
      <c r="W349" s="65">
        <v>0</v>
      </c>
      <c r="X349" s="202">
        <f t="shared" si="114"/>
        <v>10</v>
      </c>
      <c r="Y349" s="158">
        <v>4.38</v>
      </c>
      <c r="Z349" s="65">
        <v>-0.5098154775</v>
      </c>
      <c r="AA349" s="202">
        <f t="shared" si="115"/>
        <v>10</v>
      </c>
      <c r="AB349" s="157">
        <v>4.47</v>
      </c>
      <c r="AC349" s="65">
        <v>0</v>
      </c>
      <c r="AD349" s="202" t="e">
        <f t="shared" si="116"/>
        <v>#N/A</v>
      </c>
      <c r="AE349" s="52"/>
      <c r="AF349" s="56"/>
      <c r="AG349" s="202" t="e">
        <f t="shared" si="117"/>
        <v>#N/A</v>
      </c>
      <c r="AH349" s="52"/>
      <c r="AI349" s="56"/>
    </row>
    <row r="350" spans="2:35" outlineLevel="1">
      <c r="B350" s="195" t="s">
        <v>6</v>
      </c>
      <c r="C350" s="202" t="e">
        <f t="shared" si="107"/>
        <v>#N/A</v>
      </c>
      <c r="D350" s="52"/>
      <c r="E350" s="56"/>
      <c r="F350" s="202">
        <f t="shared" si="108"/>
        <v>1</v>
      </c>
      <c r="G350" s="157">
        <v>4.57</v>
      </c>
      <c r="H350" s="56"/>
      <c r="I350" s="202">
        <f t="shared" si="109"/>
        <v>1</v>
      </c>
      <c r="J350" s="158">
        <v>4.62</v>
      </c>
      <c r="K350" s="56"/>
      <c r="L350" s="202">
        <f t="shared" si="110"/>
        <v>1</v>
      </c>
      <c r="M350" s="157">
        <v>4.59</v>
      </c>
      <c r="N350" s="56"/>
      <c r="O350" s="202">
        <f t="shared" si="111"/>
        <v>1</v>
      </c>
      <c r="P350" s="157">
        <v>4.5686211036351292</v>
      </c>
      <c r="Q350" s="65">
        <v>9.0499999999999997E-2</v>
      </c>
      <c r="R350" s="202">
        <f t="shared" si="112"/>
        <v>1</v>
      </c>
      <c r="S350" s="158">
        <v>4.54</v>
      </c>
      <c r="T350" s="65">
        <v>9.2190231499999997E-2</v>
      </c>
      <c r="U350" s="202">
        <f t="shared" si="113"/>
        <v>1</v>
      </c>
      <c r="V350" s="158">
        <v>4.57</v>
      </c>
      <c r="W350" s="65">
        <v>9.730327200000001E-2</v>
      </c>
      <c r="X350" s="202">
        <f t="shared" si="114"/>
        <v>1</v>
      </c>
      <c r="Y350" s="158">
        <v>4.62</v>
      </c>
      <c r="Z350" s="65">
        <v>0.1015399005</v>
      </c>
      <c r="AA350" s="202">
        <f t="shared" si="115"/>
        <v>2</v>
      </c>
      <c r="AB350" s="157">
        <v>4.63</v>
      </c>
      <c r="AC350" s="65">
        <v>0.105413225</v>
      </c>
      <c r="AD350" s="202" t="e">
        <f t="shared" si="116"/>
        <v>#N/A</v>
      </c>
      <c r="AE350" s="52"/>
      <c r="AF350" s="56"/>
      <c r="AG350" s="202" t="e">
        <f t="shared" si="117"/>
        <v>#N/A</v>
      </c>
      <c r="AH350" s="52"/>
      <c r="AI350" s="56"/>
    </row>
    <row r="351" spans="2:35" outlineLevel="1">
      <c r="B351" s="195" t="s">
        <v>7</v>
      </c>
      <c r="C351" s="202" t="e">
        <f t="shared" si="107"/>
        <v>#N/A</v>
      </c>
      <c r="D351" s="52"/>
      <c r="E351" s="56"/>
      <c r="F351" s="202">
        <f t="shared" si="108"/>
        <v>4</v>
      </c>
      <c r="G351" s="157">
        <v>4.43</v>
      </c>
      <c r="H351" s="56"/>
      <c r="I351" s="202">
        <f t="shared" si="109"/>
        <v>5</v>
      </c>
      <c r="J351" s="158">
        <v>4.51</v>
      </c>
      <c r="K351" s="56"/>
      <c r="L351" s="202">
        <f t="shared" si="110"/>
        <v>4</v>
      </c>
      <c r="M351" s="157">
        <v>4.43</v>
      </c>
      <c r="N351" s="56"/>
      <c r="O351" s="202">
        <f t="shared" si="111"/>
        <v>5</v>
      </c>
      <c r="P351" s="157">
        <v>4.4208920408394201</v>
      </c>
      <c r="Q351" s="65">
        <v>0</v>
      </c>
      <c r="R351" s="202">
        <f t="shared" si="112"/>
        <v>7</v>
      </c>
      <c r="S351" s="158">
        <v>4.3499999999999996</v>
      </c>
      <c r="T351" s="65">
        <v>0</v>
      </c>
      <c r="U351" s="202">
        <f t="shared" si="113"/>
        <v>6</v>
      </c>
      <c r="V351" s="158">
        <v>4.3899999999999997</v>
      </c>
      <c r="W351" s="65">
        <v>0</v>
      </c>
      <c r="X351" s="202">
        <f t="shared" si="114"/>
        <v>7</v>
      </c>
      <c r="Y351" s="158">
        <v>4.42</v>
      </c>
      <c r="Z351" s="65">
        <v>-1.0059364100000001</v>
      </c>
      <c r="AA351" s="202">
        <f t="shared" si="115"/>
        <v>9</v>
      </c>
      <c r="AB351" s="157">
        <v>4.4800000000000004</v>
      </c>
      <c r="AC351" s="65">
        <v>0</v>
      </c>
      <c r="AD351" s="202" t="e">
        <f t="shared" si="116"/>
        <v>#N/A</v>
      </c>
      <c r="AE351" s="52"/>
      <c r="AF351" s="56"/>
      <c r="AG351" s="202" t="e">
        <f t="shared" si="117"/>
        <v>#N/A</v>
      </c>
      <c r="AH351" s="52"/>
      <c r="AI351" s="56"/>
    </row>
    <row r="352" spans="2:35" outlineLevel="1">
      <c r="B352" s="196"/>
      <c r="C352" s="55"/>
      <c r="D352" s="52"/>
      <c r="E352" s="56"/>
      <c r="F352" s="55"/>
      <c r="G352" s="52"/>
      <c r="H352" s="56"/>
      <c r="I352" s="55"/>
      <c r="J352" s="52"/>
      <c r="K352" s="56"/>
      <c r="L352" s="55"/>
      <c r="M352" s="52"/>
      <c r="N352" s="56"/>
      <c r="O352" s="55"/>
      <c r="P352" s="52"/>
      <c r="Q352" s="56"/>
      <c r="R352" s="55"/>
      <c r="S352" s="52"/>
      <c r="T352" s="56"/>
      <c r="U352" s="55"/>
      <c r="V352" s="52"/>
      <c r="W352" s="56"/>
      <c r="X352" s="55"/>
      <c r="Y352" s="52"/>
      <c r="Z352" s="56"/>
      <c r="AA352" s="55"/>
      <c r="AB352" s="52"/>
      <c r="AC352" s="56"/>
      <c r="AD352" s="55"/>
      <c r="AE352" s="52"/>
      <c r="AF352" s="56"/>
      <c r="AG352" s="55"/>
      <c r="AH352" s="52"/>
      <c r="AI352" s="56"/>
    </row>
    <row r="353" spans="2:36" ht="13.5" outlineLevel="1" thickBot="1">
      <c r="B353" s="197" t="s">
        <v>66</v>
      </c>
      <c r="C353" s="57"/>
      <c r="D353" s="200"/>
      <c r="E353" s="201"/>
      <c r="F353" s="57"/>
      <c r="G353" s="200">
        <f>AVERAGE(G338:G351)</f>
        <v>4.32</v>
      </c>
      <c r="H353" s="201"/>
      <c r="I353" s="57"/>
      <c r="J353" s="68">
        <f>AVERAGE(J338:J351)</f>
        <v>4.4492857142857138</v>
      </c>
      <c r="K353" s="69"/>
      <c r="L353" s="203"/>
      <c r="M353" s="68">
        <f>AVERAGE(M338:M351)</f>
        <v>4.383571428571428</v>
      </c>
      <c r="N353" s="69"/>
      <c r="O353" s="203"/>
      <c r="P353" s="68">
        <f>AVERAGE(P338:P351)</f>
        <v>4.3451921131921845</v>
      </c>
      <c r="Q353" s="201"/>
      <c r="R353" s="57"/>
      <c r="S353" s="68">
        <f>AVERAGE(S338:S351)</f>
        <v>4.3014285714285716</v>
      </c>
      <c r="T353" s="201"/>
      <c r="U353" s="57"/>
      <c r="V353" s="68">
        <f>AVERAGE(V338:V351)</f>
        <v>4.3271428571428565</v>
      </c>
      <c r="W353" s="201"/>
      <c r="X353" s="57"/>
      <c r="Y353" s="68">
        <f>AVERAGE(Y338:Y351)</f>
        <v>4.3649999999999993</v>
      </c>
      <c r="Z353" s="201"/>
      <c r="AA353" s="57"/>
      <c r="AB353" s="68">
        <f>AVERAGE(AB338:AB351)</f>
        <v>4.4585714285714291</v>
      </c>
      <c r="AC353" s="201"/>
      <c r="AD353" s="57"/>
      <c r="AE353" s="200" t="e">
        <f>AVERAGE(AE338:AE351)</f>
        <v>#DIV/0!</v>
      </c>
      <c r="AF353" s="201"/>
      <c r="AG353" s="57"/>
      <c r="AH353" s="200" t="e">
        <f>AVERAGE(AH338:AH351)</f>
        <v>#DIV/0!</v>
      </c>
      <c r="AI353" s="201"/>
    </row>
    <row r="354" spans="2:36" outlineLevel="1">
      <c r="B354" s="155"/>
    </row>
    <row r="355" spans="2:36">
      <c r="B355" s="155"/>
    </row>
    <row r="356" spans="2:36" ht="13.5" thickBot="1">
      <c r="B356" s="2" t="s">
        <v>80</v>
      </c>
    </row>
    <row r="357" spans="2:36" ht="12.75" customHeight="1" outlineLevel="1">
      <c r="B357" s="770" t="s">
        <v>19</v>
      </c>
      <c r="C357" s="775" t="s">
        <v>86</v>
      </c>
      <c r="D357" s="767" t="str">
        <f>C126</f>
        <v>2001-02</v>
      </c>
      <c r="E357" s="768"/>
      <c r="F357" s="769"/>
      <c r="G357" s="767" t="str">
        <f t="shared" ref="G357" si="118">F126</f>
        <v>2002-03</v>
      </c>
      <c r="H357" s="768"/>
      <c r="I357" s="769"/>
      <c r="J357" s="767" t="str">
        <f t="shared" ref="J357" si="119">I126</f>
        <v>2003-04</v>
      </c>
      <c r="K357" s="768"/>
      <c r="L357" s="769"/>
      <c r="M357" s="767" t="str">
        <f t="shared" ref="M357" si="120">L126</f>
        <v>2004-05</v>
      </c>
      <c r="N357" s="768"/>
      <c r="O357" s="769"/>
      <c r="P357" s="767" t="str">
        <f t="shared" ref="P357" si="121">O126</f>
        <v>2005-06</v>
      </c>
      <c r="Q357" s="768"/>
      <c r="R357" s="769"/>
      <c r="S357" s="767" t="str">
        <f t="shared" ref="S357" si="122">R126</f>
        <v>2006-07</v>
      </c>
      <c r="T357" s="768"/>
      <c r="U357" s="769"/>
      <c r="V357" s="767" t="str">
        <f t="shared" ref="V357" si="123">U126</f>
        <v>2007-08</v>
      </c>
      <c r="W357" s="768"/>
      <c r="X357" s="769"/>
      <c r="Y357" s="767" t="str">
        <f t="shared" ref="Y357" si="124">X126</f>
        <v>2008-09</v>
      </c>
      <c r="Z357" s="768"/>
      <c r="AA357" s="769"/>
      <c r="AB357" s="767" t="str">
        <f>AA126</f>
        <v>2009-10</v>
      </c>
      <c r="AC357" s="768"/>
      <c r="AD357" s="769"/>
      <c r="AE357" s="767" t="str">
        <f t="shared" ref="AE357" si="125">AD126</f>
        <v>2010-11</v>
      </c>
      <c r="AF357" s="768"/>
      <c r="AG357" s="769"/>
      <c r="AH357" s="767" t="str">
        <f t="shared" ref="AH357" si="126">AG126</f>
        <v>2011-12</v>
      </c>
      <c r="AI357" s="768"/>
      <c r="AJ357" s="769"/>
    </row>
    <row r="358" spans="2:36" ht="13.5" outlineLevel="1" thickBot="1">
      <c r="B358" s="771"/>
      <c r="C358" s="776"/>
      <c r="D358" s="102" t="s">
        <v>81</v>
      </c>
      <c r="E358" s="168" t="s">
        <v>82</v>
      </c>
      <c r="F358" s="114" t="s">
        <v>69</v>
      </c>
      <c r="G358" s="112" t="s">
        <v>81</v>
      </c>
      <c r="H358" s="113" t="s">
        <v>82</v>
      </c>
      <c r="I358" s="114" t="s">
        <v>69</v>
      </c>
      <c r="J358" s="112" t="s">
        <v>81</v>
      </c>
      <c r="K358" s="113" t="s">
        <v>82</v>
      </c>
      <c r="L358" s="114" t="s">
        <v>69</v>
      </c>
      <c r="M358" s="112" t="s">
        <v>81</v>
      </c>
      <c r="N358" s="113" t="s">
        <v>82</v>
      </c>
      <c r="O358" s="114" t="s">
        <v>69</v>
      </c>
      <c r="P358" s="112" t="s">
        <v>81</v>
      </c>
      <c r="Q358" s="113" t="s">
        <v>82</v>
      </c>
      <c r="R358" s="114" t="s">
        <v>69</v>
      </c>
      <c r="S358" s="112" t="s">
        <v>81</v>
      </c>
      <c r="T358" s="113" t="s">
        <v>82</v>
      </c>
      <c r="U358" s="114" t="s">
        <v>69</v>
      </c>
      <c r="V358" s="112" t="s">
        <v>81</v>
      </c>
      <c r="W358" s="113" t="s">
        <v>82</v>
      </c>
      <c r="X358" s="114" t="s">
        <v>69</v>
      </c>
      <c r="Y358" s="112" t="s">
        <v>81</v>
      </c>
      <c r="Z358" s="113" t="s">
        <v>82</v>
      </c>
      <c r="AA358" s="114" t="s">
        <v>69</v>
      </c>
      <c r="AB358" s="112" t="s">
        <v>81</v>
      </c>
      <c r="AC358" s="113" t="s">
        <v>82</v>
      </c>
      <c r="AD358" s="114" t="s">
        <v>69</v>
      </c>
      <c r="AE358" s="112" t="s">
        <v>81</v>
      </c>
      <c r="AF358" s="113" t="s">
        <v>82</v>
      </c>
      <c r="AG358" s="114" t="s">
        <v>69</v>
      </c>
      <c r="AH358" s="112" t="s">
        <v>81</v>
      </c>
      <c r="AI358" s="113" t="s">
        <v>82</v>
      </c>
      <c r="AJ358" s="114" t="s">
        <v>69</v>
      </c>
    </row>
    <row r="359" spans="2:36" ht="13.5" outlineLevel="1" thickTop="1">
      <c r="B359" s="195" t="s">
        <v>4</v>
      </c>
      <c r="C359" s="198" t="s">
        <v>85</v>
      </c>
      <c r="D359" s="202"/>
      <c r="E359" s="158"/>
      <c r="F359" s="199"/>
      <c r="G359" s="202"/>
      <c r="H359" s="158"/>
      <c r="I359" s="199"/>
      <c r="J359" s="202"/>
      <c r="K359" s="158"/>
      <c r="L359" s="199"/>
      <c r="M359" s="202"/>
      <c r="N359" s="158"/>
      <c r="O359" s="199"/>
      <c r="P359" s="202"/>
      <c r="Q359" s="557">
        <v>32.125833333333333</v>
      </c>
      <c r="R359" s="199"/>
      <c r="S359" s="202"/>
      <c r="T359" s="64">
        <v>80.751666666666665</v>
      </c>
      <c r="U359" s="199"/>
      <c r="V359" s="202"/>
      <c r="W359" s="557">
        <v>49.649166666666666</v>
      </c>
      <c r="X359" s="199"/>
      <c r="Y359" s="204"/>
      <c r="Z359" s="157">
        <v>22.974999999999998</v>
      </c>
      <c r="AA359" s="199"/>
      <c r="AB359" s="202"/>
      <c r="AC359" s="157">
        <v>22.508333333333336</v>
      </c>
      <c r="AD359" s="199"/>
      <c r="AE359" s="202"/>
      <c r="AF359" s="158"/>
      <c r="AG359" s="199"/>
      <c r="AH359" s="202"/>
      <c r="AI359" s="158"/>
      <c r="AJ359" s="199"/>
    </row>
    <row r="360" spans="2:36" outlineLevel="1">
      <c r="B360" s="195" t="s">
        <v>3</v>
      </c>
      <c r="C360" s="195" t="s">
        <v>85</v>
      </c>
      <c r="D360" s="55"/>
      <c r="E360" s="52"/>
      <c r="F360" s="56"/>
      <c r="G360" s="55"/>
      <c r="H360" s="52"/>
      <c r="I360" s="56"/>
      <c r="J360" s="55"/>
      <c r="K360" s="52"/>
      <c r="L360" s="56"/>
      <c r="M360" s="55"/>
      <c r="N360" s="52"/>
      <c r="O360" s="56"/>
      <c r="P360" s="55"/>
      <c r="Q360" s="557">
        <v>28.696666666666669</v>
      </c>
      <c r="R360" s="56"/>
      <c r="S360" s="55"/>
      <c r="T360" s="64">
        <v>81.327500000000001</v>
      </c>
      <c r="U360" s="56"/>
      <c r="V360" s="55"/>
      <c r="W360" s="557">
        <v>47.313333333333333</v>
      </c>
      <c r="X360" s="56"/>
      <c r="Y360" s="204"/>
      <c r="Z360" s="157">
        <v>17.4375</v>
      </c>
      <c r="AA360" s="56"/>
      <c r="AB360" s="55"/>
      <c r="AC360" s="157">
        <v>20.294166666666666</v>
      </c>
      <c r="AD360" s="56"/>
      <c r="AE360" s="55"/>
      <c r="AF360" s="52"/>
      <c r="AG360" s="56"/>
      <c r="AH360" s="55"/>
      <c r="AI360" s="52"/>
      <c r="AJ360" s="56"/>
    </row>
    <row r="361" spans="2:36" outlineLevel="1">
      <c r="B361" s="195" t="s">
        <v>34</v>
      </c>
      <c r="C361" s="195" t="s">
        <v>85</v>
      </c>
      <c r="D361" s="55"/>
      <c r="E361" s="52"/>
      <c r="F361" s="56"/>
      <c r="G361" s="55"/>
      <c r="H361" s="52"/>
      <c r="I361" s="56"/>
      <c r="J361" s="55"/>
      <c r="K361" s="52"/>
      <c r="L361" s="56"/>
      <c r="M361" s="55"/>
      <c r="N361" s="52"/>
      <c r="O361" s="56"/>
      <c r="P361" s="55"/>
      <c r="Q361" s="557">
        <v>73.715615730255209</v>
      </c>
      <c r="R361" s="56"/>
      <c r="S361" s="55"/>
      <c r="T361" s="64">
        <v>73.772191174693248</v>
      </c>
      <c r="U361" s="56"/>
      <c r="V361" s="55"/>
      <c r="W361" s="557">
        <v>15.390797456711915</v>
      </c>
      <c r="X361" s="56"/>
      <c r="Y361" s="204"/>
      <c r="Z361" s="157">
        <v>4.8967321116326312</v>
      </c>
      <c r="AA361" s="56"/>
      <c r="AB361" s="55"/>
      <c r="AC361" s="64">
        <v>2.990881307169293</v>
      </c>
      <c r="AD361" s="56"/>
      <c r="AE361" s="55"/>
      <c r="AF361" s="52"/>
      <c r="AG361" s="56"/>
      <c r="AH361" s="55"/>
      <c r="AI361" s="52"/>
      <c r="AJ361" s="56"/>
    </row>
    <row r="362" spans="2:36" outlineLevel="1">
      <c r="B362" s="195" t="s">
        <v>1</v>
      </c>
      <c r="C362" s="195" t="s">
        <v>84</v>
      </c>
      <c r="D362" s="55"/>
      <c r="E362" s="52"/>
      <c r="F362" s="56"/>
      <c r="G362" s="55"/>
      <c r="H362" s="52"/>
      <c r="I362" s="56"/>
      <c r="J362" s="55"/>
      <c r="K362" s="52"/>
      <c r="L362" s="56"/>
      <c r="M362" s="55"/>
      <c r="N362" s="52"/>
      <c r="O362" s="56"/>
      <c r="P362" s="55"/>
      <c r="Q362" s="557">
        <v>25.813636363636363</v>
      </c>
      <c r="R362" s="56"/>
      <c r="S362" s="55"/>
      <c r="T362" s="64">
        <v>24.583333333333332</v>
      </c>
      <c r="U362" s="56"/>
      <c r="V362" s="55"/>
      <c r="W362" s="557">
        <v>16.75</v>
      </c>
      <c r="X362" s="56"/>
      <c r="Y362" s="204"/>
      <c r="Z362" s="157">
        <v>16.784166666666668</v>
      </c>
      <c r="AA362" s="56"/>
      <c r="AB362" s="55"/>
      <c r="AC362" s="64">
        <v>14</v>
      </c>
      <c r="AD362" s="56"/>
      <c r="AE362" s="55"/>
      <c r="AF362" s="52"/>
      <c r="AG362" s="56"/>
      <c r="AH362" s="55"/>
      <c r="AI362" s="52"/>
      <c r="AJ362" s="56"/>
    </row>
    <row r="363" spans="2:36" outlineLevel="1">
      <c r="B363" s="195" t="s">
        <v>2</v>
      </c>
      <c r="C363" s="195" t="s">
        <v>85</v>
      </c>
      <c r="D363" s="55"/>
      <c r="E363" s="52"/>
      <c r="F363" s="56"/>
      <c r="G363" s="55"/>
      <c r="H363" s="52"/>
      <c r="I363" s="56"/>
      <c r="J363" s="55"/>
      <c r="K363" s="52"/>
      <c r="L363" s="56"/>
      <c r="M363" s="55"/>
      <c r="N363" s="52"/>
      <c r="O363" s="56"/>
      <c r="P363" s="55"/>
      <c r="Q363" s="557">
        <v>22.86090909090909</v>
      </c>
      <c r="R363" s="56"/>
      <c r="S363" s="55"/>
      <c r="T363" s="64">
        <v>23.333333333333332</v>
      </c>
      <c r="U363" s="56"/>
      <c r="V363" s="55"/>
      <c r="W363" s="557">
        <v>18.666666666666668</v>
      </c>
      <c r="X363" s="56"/>
      <c r="Y363" s="204"/>
      <c r="Z363" s="157">
        <v>16.865833333333331</v>
      </c>
      <c r="AA363" s="56"/>
      <c r="AB363" s="55"/>
      <c r="AC363" s="64">
        <v>12.416666666666666</v>
      </c>
      <c r="AD363" s="56"/>
      <c r="AE363" s="55"/>
      <c r="AF363" s="52"/>
      <c r="AG363" s="56"/>
      <c r="AH363" s="55"/>
      <c r="AI363" s="52"/>
      <c r="AJ363" s="56"/>
    </row>
    <row r="364" spans="2:36" outlineLevel="1">
      <c r="B364" s="195" t="s">
        <v>13</v>
      </c>
      <c r="C364" s="195" t="s">
        <v>84</v>
      </c>
      <c r="D364" s="55"/>
      <c r="E364" s="52"/>
      <c r="F364" s="56"/>
      <c r="G364" s="55"/>
      <c r="H364" s="52"/>
      <c r="I364" s="56"/>
      <c r="J364" s="55"/>
      <c r="K364" s="52"/>
      <c r="L364" s="56"/>
      <c r="M364" s="55"/>
      <c r="N364" s="52"/>
      <c r="O364" s="56"/>
      <c r="P364" s="55"/>
      <c r="Q364" s="557">
        <v>2.3858333333333337</v>
      </c>
      <c r="R364" s="56"/>
      <c r="S364" s="55"/>
      <c r="T364" s="64">
        <v>2.2291666666666665</v>
      </c>
      <c r="U364" s="56"/>
      <c r="V364" s="55"/>
      <c r="W364" s="557">
        <v>1.7616666666666665</v>
      </c>
      <c r="X364" s="56"/>
      <c r="Y364" s="204"/>
      <c r="Z364" s="157">
        <v>1.8516666666666666</v>
      </c>
      <c r="AA364" s="56"/>
      <c r="AB364" s="55"/>
      <c r="AC364" s="64">
        <v>1.2908333333333335</v>
      </c>
      <c r="AD364" s="56"/>
      <c r="AE364" s="55"/>
      <c r="AF364" s="52"/>
      <c r="AG364" s="56"/>
      <c r="AH364" s="55"/>
      <c r="AI364" s="52"/>
      <c r="AJ364" s="56"/>
    </row>
    <row r="365" spans="2:36" outlineLevel="1">
      <c r="B365" s="195" t="s">
        <v>14</v>
      </c>
      <c r="C365" s="195" t="s">
        <v>84</v>
      </c>
      <c r="D365" s="55"/>
      <c r="E365" s="52"/>
      <c r="F365" s="56"/>
      <c r="G365" s="55"/>
      <c r="H365" s="52"/>
      <c r="I365" s="56"/>
      <c r="J365" s="55"/>
      <c r="K365" s="52"/>
      <c r="L365" s="56"/>
      <c r="M365" s="55"/>
      <c r="N365" s="52"/>
      <c r="O365" s="56"/>
      <c r="P365" s="55"/>
      <c r="Q365" s="557">
        <v>2.3166666666666669</v>
      </c>
      <c r="R365" s="56"/>
      <c r="S365" s="55"/>
      <c r="T365" s="64">
        <v>2.7766666666666668</v>
      </c>
      <c r="U365" s="56"/>
      <c r="V365" s="55"/>
      <c r="W365" s="557">
        <v>2.1391666666666667</v>
      </c>
      <c r="X365" s="56"/>
      <c r="Y365" s="204"/>
      <c r="Z365" s="157">
        <v>1.7133333333333332</v>
      </c>
      <c r="AA365" s="56"/>
      <c r="AB365" s="55"/>
      <c r="AC365" s="64">
        <v>1.4175000000000002</v>
      </c>
      <c r="AD365" s="56"/>
      <c r="AE365" s="55"/>
      <c r="AF365" s="52"/>
      <c r="AG365" s="56"/>
      <c r="AH365" s="55"/>
      <c r="AI365" s="52"/>
      <c r="AJ365" s="56"/>
    </row>
    <row r="366" spans="2:36" outlineLevel="1">
      <c r="B366" s="195" t="s">
        <v>35</v>
      </c>
      <c r="C366" s="195" t="s">
        <v>85</v>
      </c>
      <c r="D366" s="55"/>
      <c r="E366" s="52"/>
      <c r="F366" s="56"/>
      <c r="G366" s="55"/>
      <c r="H366" s="52"/>
      <c r="I366" s="56"/>
      <c r="J366" s="55"/>
      <c r="K366" s="52"/>
      <c r="L366" s="56"/>
      <c r="M366" s="55"/>
      <c r="N366" s="52"/>
      <c r="O366" s="56"/>
      <c r="P366" s="55"/>
      <c r="Q366" s="557">
        <v>79.75</v>
      </c>
      <c r="R366" s="56"/>
      <c r="S366" s="55"/>
      <c r="T366" s="64">
        <v>93.25</v>
      </c>
      <c r="U366" s="56"/>
      <c r="V366" s="55"/>
      <c r="W366" s="557">
        <v>87.916666666666671</v>
      </c>
      <c r="X366" s="56"/>
      <c r="Y366" s="204"/>
      <c r="Z366" s="157">
        <v>83.416666666666671</v>
      </c>
      <c r="AA366" s="56"/>
      <c r="AB366" s="55"/>
      <c r="AC366" s="64">
        <v>69.466943872022611</v>
      </c>
      <c r="AD366" s="56"/>
      <c r="AE366" s="55"/>
      <c r="AF366" s="52"/>
      <c r="AG366" s="56"/>
      <c r="AH366" s="55"/>
      <c r="AI366" s="52"/>
      <c r="AJ366" s="56"/>
    </row>
    <row r="367" spans="2:36" outlineLevel="1">
      <c r="B367" s="195" t="s">
        <v>36</v>
      </c>
      <c r="C367" s="195" t="s">
        <v>85</v>
      </c>
      <c r="D367" s="55"/>
      <c r="E367" s="52"/>
      <c r="F367" s="56"/>
      <c r="G367" s="55"/>
      <c r="H367" s="52"/>
      <c r="I367" s="56"/>
      <c r="J367" s="55"/>
      <c r="K367" s="52"/>
      <c r="L367" s="56"/>
      <c r="M367" s="55"/>
      <c r="N367" s="52"/>
      <c r="O367" s="56"/>
      <c r="P367" s="55"/>
      <c r="Q367" s="557">
        <v>31.083333333333332</v>
      </c>
      <c r="R367" s="56"/>
      <c r="S367" s="55"/>
      <c r="T367" s="64">
        <v>82.916666666666671</v>
      </c>
      <c r="U367" s="56"/>
      <c r="V367" s="55"/>
      <c r="W367" s="557">
        <v>95.25</v>
      </c>
      <c r="X367" s="56"/>
      <c r="Y367" s="204"/>
      <c r="Z367" s="157">
        <v>77.583333333333329</v>
      </c>
      <c r="AA367" s="56"/>
      <c r="AB367" s="55"/>
      <c r="AC367" s="64">
        <v>72.279068705604558</v>
      </c>
      <c r="AD367" s="56"/>
      <c r="AE367" s="55"/>
      <c r="AF367" s="52"/>
      <c r="AG367" s="56"/>
      <c r="AH367" s="55"/>
      <c r="AI367" s="52"/>
      <c r="AJ367" s="56"/>
    </row>
    <row r="368" spans="2:36" outlineLevel="1">
      <c r="B368" s="195" t="s">
        <v>37</v>
      </c>
      <c r="C368" s="195" t="s">
        <v>85</v>
      </c>
      <c r="D368" s="55"/>
      <c r="E368" s="52"/>
      <c r="F368" s="56"/>
      <c r="G368" s="55"/>
      <c r="H368" s="52"/>
      <c r="I368" s="56"/>
      <c r="J368" s="55"/>
      <c r="K368" s="52"/>
      <c r="L368" s="56"/>
      <c r="M368" s="55"/>
      <c r="N368" s="52"/>
      <c r="O368" s="56"/>
      <c r="P368" s="55"/>
      <c r="Q368" s="557">
        <v>74.5</v>
      </c>
      <c r="R368" s="56"/>
      <c r="S368" s="55"/>
      <c r="T368" s="64">
        <v>81.666666666666671</v>
      </c>
      <c r="U368" s="56"/>
      <c r="V368" s="55"/>
      <c r="W368" s="557">
        <v>81.166666666666671</v>
      </c>
      <c r="X368" s="56"/>
      <c r="Y368" s="204"/>
      <c r="Z368" s="157">
        <v>67.333333333333329</v>
      </c>
      <c r="AA368" s="56"/>
      <c r="AB368" s="55"/>
      <c r="AC368" s="64">
        <v>60.124301689163168</v>
      </c>
      <c r="AD368" s="56"/>
      <c r="AE368" s="55"/>
      <c r="AF368" s="52"/>
      <c r="AG368" s="56"/>
      <c r="AH368" s="55"/>
      <c r="AI368" s="52"/>
      <c r="AJ368" s="56"/>
    </row>
    <row r="369" spans="2:36" outlineLevel="1">
      <c r="B369" s="195" t="s">
        <v>8</v>
      </c>
      <c r="C369" s="195" t="s">
        <v>84</v>
      </c>
      <c r="D369" s="55"/>
      <c r="E369" s="52"/>
      <c r="F369" s="56"/>
      <c r="G369" s="55"/>
      <c r="H369" s="52"/>
      <c r="I369" s="56"/>
      <c r="J369" s="55"/>
      <c r="K369" s="52"/>
      <c r="L369" s="56"/>
      <c r="M369" s="55"/>
      <c r="N369" s="52"/>
      <c r="O369" s="56"/>
      <c r="P369" s="55"/>
      <c r="Q369" s="557">
        <v>19.977072540689061</v>
      </c>
      <c r="R369" s="56"/>
      <c r="S369" s="55"/>
      <c r="T369" s="64">
        <v>20.484486220168549</v>
      </c>
      <c r="U369" s="56"/>
      <c r="V369" s="55"/>
      <c r="W369" s="557">
        <v>20.220861617674998</v>
      </c>
      <c r="X369" s="56"/>
      <c r="Y369" s="204"/>
      <c r="Z369" s="157">
        <v>20.141200902096653</v>
      </c>
      <c r="AA369" s="56"/>
      <c r="AB369" s="55"/>
      <c r="AC369" s="64">
        <v>19.681679673551574</v>
      </c>
      <c r="AD369" s="56"/>
      <c r="AE369" s="55"/>
      <c r="AF369" s="52"/>
      <c r="AG369" s="56"/>
      <c r="AH369" s="55"/>
      <c r="AI369" s="52"/>
      <c r="AJ369" s="56"/>
    </row>
    <row r="370" spans="2:36" outlineLevel="1">
      <c r="B370" s="195" t="s">
        <v>9</v>
      </c>
      <c r="C370" s="195" t="s">
        <v>84</v>
      </c>
      <c r="D370" s="55"/>
      <c r="E370" s="52"/>
      <c r="F370" s="56"/>
      <c r="G370" s="55"/>
      <c r="H370" s="52"/>
      <c r="I370" s="56"/>
      <c r="J370" s="55"/>
      <c r="K370" s="52"/>
      <c r="L370" s="56"/>
      <c r="M370" s="55"/>
      <c r="N370" s="52"/>
      <c r="O370" s="56"/>
      <c r="P370" s="55"/>
      <c r="Q370" s="557">
        <v>19.599487653473158</v>
      </c>
      <c r="R370" s="56"/>
      <c r="S370" s="55"/>
      <c r="T370" s="64">
        <v>20.465540565817459</v>
      </c>
      <c r="U370" s="56"/>
      <c r="V370" s="55"/>
      <c r="W370" s="557">
        <v>19.951311155023443</v>
      </c>
      <c r="X370" s="56"/>
      <c r="Y370" s="204"/>
      <c r="Z370" s="157">
        <v>21.996605245913585</v>
      </c>
      <c r="AA370" s="56"/>
      <c r="AB370" s="55"/>
      <c r="AC370" s="64">
        <v>17.638569240999384</v>
      </c>
      <c r="AD370" s="56"/>
      <c r="AE370" s="55"/>
      <c r="AF370" s="52"/>
      <c r="AG370" s="56"/>
      <c r="AH370" s="55"/>
      <c r="AI370" s="52"/>
      <c r="AJ370" s="56"/>
    </row>
    <row r="371" spans="2:36" outlineLevel="1">
      <c r="B371" s="195" t="s">
        <v>6</v>
      </c>
      <c r="C371" s="195" t="s">
        <v>84</v>
      </c>
      <c r="D371" s="55"/>
      <c r="E371" s="52"/>
      <c r="F371" s="56"/>
      <c r="G371" s="55"/>
      <c r="H371" s="52"/>
      <c r="I371" s="56"/>
      <c r="J371" s="55"/>
      <c r="K371" s="52"/>
      <c r="L371" s="56"/>
      <c r="M371" s="55"/>
      <c r="N371" s="52"/>
      <c r="O371" s="56"/>
      <c r="P371" s="55"/>
      <c r="Q371" s="557">
        <v>10.333333333333334</v>
      </c>
      <c r="R371" s="56"/>
      <c r="S371" s="55"/>
      <c r="T371" s="64">
        <v>10</v>
      </c>
      <c r="U371" s="56"/>
      <c r="V371" s="55"/>
      <c r="W371" s="557">
        <v>9.75</v>
      </c>
      <c r="X371" s="56"/>
      <c r="Y371" s="204"/>
      <c r="Z371" s="157">
        <v>16.166666666666668</v>
      </c>
      <c r="AA371" s="56"/>
      <c r="AB371" s="55"/>
      <c r="AC371" s="64">
        <v>22.583333333333332</v>
      </c>
      <c r="AD371" s="56"/>
      <c r="AE371" s="55"/>
      <c r="AF371" s="52"/>
      <c r="AG371" s="56"/>
      <c r="AH371" s="55"/>
      <c r="AI371" s="52"/>
      <c r="AJ371" s="56"/>
    </row>
    <row r="372" spans="2:36" outlineLevel="1">
      <c r="B372" s="195" t="s">
        <v>7</v>
      </c>
      <c r="C372" s="195" t="s">
        <v>84</v>
      </c>
      <c r="D372" s="55"/>
      <c r="E372" s="52"/>
      <c r="F372" s="56"/>
      <c r="G372" s="55"/>
      <c r="H372" s="52"/>
      <c r="I372" s="56"/>
      <c r="J372" s="55"/>
      <c r="K372" s="52"/>
      <c r="L372" s="56"/>
      <c r="M372" s="55"/>
      <c r="N372" s="52"/>
      <c r="O372" s="56"/>
      <c r="P372" s="55"/>
      <c r="Q372" s="557">
        <v>10.533333333333333</v>
      </c>
      <c r="R372" s="56"/>
      <c r="S372" s="55"/>
      <c r="T372" s="64">
        <v>10.466666666666667</v>
      </c>
      <c r="U372" s="56"/>
      <c r="V372" s="55"/>
      <c r="W372" s="557">
        <v>14.127494370321452</v>
      </c>
      <c r="X372" s="56"/>
      <c r="Y372" s="204"/>
      <c r="Z372" s="157">
        <v>21.436742899988332</v>
      </c>
      <c r="AA372" s="56"/>
      <c r="AB372" s="55"/>
      <c r="AC372" s="64">
        <v>20.815122131693862</v>
      </c>
      <c r="AD372" s="56"/>
      <c r="AE372" s="55"/>
      <c r="AF372" s="52"/>
      <c r="AG372" s="56"/>
      <c r="AH372" s="55"/>
      <c r="AI372" s="52"/>
      <c r="AJ372" s="56"/>
    </row>
    <row r="373" spans="2:36" outlineLevel="1">
      <c r="B373" s="185" t="s">
        <v>87</v>
      </c>
      <c r="C373" s="196"/>
      <c r="D373" s="55"/>
      <c r="E373" s="52"/>
      <c r="F373" s="56"/>
      <c r="G373" s="55"/>
      <c r="H373" s="52"/>
      <c r="I373" s="56"/>
      <c r="J373" s="55"/>
      <c r="K373" s="52"/>
      <c r="L373" s="56"/>
      <c r="M373" s="55"/>
      <c r="N373" s="52"/>
      <c r="O373" s="56"/>
      <c r="P373" s="55"/>
      <c r="Q373" s="64">
        <f>(SUMIF($C$359:$C$372,"redial system",Q359:Q372)/COUNTIF($C$359:$C$372,"redial system"))</f>
        <v>48.961765450642517</v>
      </c>
      <c r="R373" s="56"/>
      <c r="S373" s="55"/>
      <c r="T373" s="64">
        <f>(SUMIF($C$359:$C$372,"redial system",T359:T372)/COUNTIF($C$359:$C$372,"redial system"))</f>
        <v>73.859717786860941</v>
      </c>
      <c r="U373" s="56"/>
      <c r="V373" s="55"/>
      <c r="W373" s="64">
        <f>(SUMIF($C$359:$C$372,"redial system",W359:W372)/COUNTIF($C$359:$C$372,"redial system"))</f>
        <v>56.479042493815989</v>
      </c>
      <c r="X373" s="56"/>
      <c r="Y373" s="55"/>
      <c r="Z373" s="64">
        <f>(SUMIF($C$359:$C$372,"redial system",Z359:Z372)/COUNTIF($C$359:$C$372,"redial system"))</f>
        <v>41.501199825471318</v>
      </c>
      <c r="AA373" s="56"/>
      <c r="AB373" s="55"/>
      <c r="AC373" s="724">
        <f>AVERAGE(AC359:AC360)</f>
        <v>21.401250000000001</v>
      </c>
      <c r="AD373" s="56"/>
      <c r="AE373" s="55"/>
      <c r="AF373" s="52"/>
      <c r="AG373" s="56"/>
      <c r="AH373" s="55"/>
      <c r="AI373" s="52"/>
      <c r="AJ373" s="56"/>
    </row>
    <row r="374" spans="2:36" ht="13.5" outlineLevel="1" thickBot="1">
      <c r="B374" s="181" t="s">
        <v>88</v>
      </c>
      <c r="C374" s="197"/>
      <c r="D374" s="57"/>
      <c r="E374" s="200"/>
      <c r="F374" s="201"/>
      <c r="G374" s="57"/>
      <c r="H374" s="200"/>
      <c r="I374" s="201"/>
      <c r="J374" s="57"/>
      <c r="K374" s="200"/>
      <c r="L374" s="201"/>
      <c r="M374" s="57"/>
      <c r="N374" s="200"/>
      <c r="O374" s="201"/>
      <c r="P374" s="57"/>
      <c r="Q374" s="68">
        <f>(SUMIF($C$359:$C$372,"hold system",Q359:Q372)/COUNTIF($C$359:$C$372,"hold system"))</f>
        <v>12.994194746352179</v>
      </c>
      <c r="R374" s="201"/>
      <c r="S374" s="57"/>
      <c r="T374" s="68">
        <f>(SUMIF($C$359:$C$372,"hold system",T359:T372)/COUNTIF($C$359:$C$372,"hold system"))</f>
        <v>13.000837159902764</v>
      </c>
      <c r="U374" s="201"/>
      <c r="V374" s="57"/>
      <c r="W374" s="68">
        <f>(SUMIF($C$359:$C$372,"hold system",W359:W372)/COUNTIF($C$359:$C$372,"hold system"))</f>
        <v>12.100071496621892</v>
      </c>
      <c r="X374" s="201"/>
      <c r="Y374" s="57"/>
      <c r="Z374" s="68">
        <f>(SUMIF($C$359:$C$372,"hold system",Z359:Z372)/COUNTIF($C$359:$C$372,"hold system"))</f>
        <v>14.298626054475987</v>
      </c>
      <c r="AA374" s="201"/>
      <c r="AB374" s="57"/>
      <c r="AC374" s="725">
        <f>AVERAGE(AC361:AC372)</f>
        <v>26.225408329461477</v>
      </c>
      <c r="AD374" s="201"/>
      <c r="AE374" s="57"/>
      <c r="AF374" s="200"/>
      <c r="AG374" s="201"/>
      <c r="AH374" s="57"/>
      <c r="AI374" s="200"/>
      <c r="AJ374" s="201"/>
    </row>
    <row r="375" spans="2:36" outlineLevel="1">
      <c r="B375" s="155"/>
    </row>
    <row r="377" spans="2:36" ht="13.5" thickBot="1">
      <c r="B377" s="2" t="s">
        <v>90</v>
      </c>
    </row>
    <row r="378" spans="2:36" outlineLevel="1">
      <c r="B378" s="770" t="s">
        <v>19</v>
      </c>
      <c r="C378" s="767" t="str">
        <f>O126</f>
        <v>2005-06</v>
      </c>
      <c r="D378" s="768"/>
      <c r="E378" s="769"/>
      <c r="F378" s="767" t="str">
        <f t="shared" ref="F378" si="127">R126</f>
        <v>2006-07</v>
      </c>
      <c r="G378" s="768"/>
      <c r="H378" s="769"/>
      <c r="I378" s="767" t="str">
        <f t="shared" ref="I378" si="128">U126</f>
        <v>2007-08</v>
      </c>
      <c r="J378" s="768"/>
      <c r="K378" s="769"/>
      <c r="L378" s="767" t="str">
        <f t="shared" ref="L378" si="129">X126</f>
        <v>2008-09</v>
      </c>
      <c r="M378" s="768"/>
      <c r="N378" s="769"/>
      <c r="O378" s="767" t="str">
        <f t="shared" ref="O378" si="130">AA126</f>
        <v>2009-10</v>
      </c>
      <c r="P378" s="768"/>
      <c r="Q378" s="769"/>
      <c r="R378" s="767" t="str">
        <f t="shared" ref="R378" si="131">AD126</f>
        <v>2010-11</v>
      </c>
      <c r="S378" s="768"/>
      <c r="T378" s="769"/>
      <c r="U378" s="767" t="str">
        <f t="shared" ref="U378" si="132">AG126</f>
        <v>2011-12</v>
      </c>
      <c r="V378" s="768"/>
      <c r="W378" s="769"/>
      <c r="X378" s="767" t="str">
        <f t="shared" ref="X378" si="133">AJ126</f>
        <v>2012-13</v>
      </c>
      <c r="Y378" s="768"/>
      <c r="Z378" s="769"/>
      <c r="AA378" s="767" t="str">
        <f t="shared" ref="AA378" si="134">AM126</f>
        <v>2013-14</v>
      </c>
      <c r="AB378" s="768"/>
      <c r="AC378" s="769"/>
      <c r="AD378" s="767" t="str">
        <f t="shared" ref="AD378" si="135">AP126</f>
        <v>2014-15</v>
      </c>
      <c r="AE378" s="768"/>
      <c r="AF378" s="769"/>
    </row>
    <row r="379" spans="2:36" ht="39" outlineLevel="1" thickBot="1">
      <c r="B379" s="771"/>
      <c r="C379" s="102" t="s">
        <v>282</v>
      </c>
      <c r="D379" s="168" t="s">
        <v>91</v>
      </c>
      <c r="E379" s="114" t="s">
        <v>92</v>
      </c>
      <c r="F379" s="102" t="s">
        <v>282</v>
      </c>
      <c r="G379" s="168" t="s">
        <v>91</v>
      </c>
      <c r="H379" s="114" t="s">
        <v>92</v>
      </c>
      <c r="I379" s="102" t="s">
        <v>282</v>
      </c>
      <c r="J379" s="168" t="s">
        <v>91</v>
      </c>
      <c r="K379" s="114" t="s">
        <v>92</v>
      </c>
      <c r="L379" s="102" t="s">
        <v>282</v>
      </c>
      <c r="M379" s="168" t="s">
        <v>91</v>
      </c>
      <c r="N379" s="114" t="s">
        <v>92</v>
      </c>
      <c r="O379" s="102" t="s">
        <v>282</v>
      </c>
      <c r="P379" s="168" t="s">
        <v>91</v>
      </c>
      <c r="Q379" s="114" t="s">
        <v>92</v>
      </c>
      <c r="R379" s="102" t="s">
        <v>282</v>
      </c>
      <c r="S379" s="168" t="s">
        <v>91</v>
      </c>
      <c r="T379" s="114" t="s">
        <v>92</v>
      </c>
      <c r="U379" s="102" t="s">
        <v>282</v>
      </c>
      <c r="V379" s="168" t="s">
        <v>91</v>
      </c>
      <c r="W379" s="114" t="s">
        <v>92</v>
      </c>
      <c r="X379" s="102" t="s">
        <v>282</v>
      </c>
      <c r="Y379" s="168" t="s">
        <v>91</v>
      </c>
      <c r="Z379" s="114" t="s">
        <v>92</v>
      </c>
      <c r="AA379" s="102" t="s">
        <v>282</v>
      </c>
      <c r="AB379" s="168" t="s">
        <v>91</v>
      </c>
      <c r="AC379" s="114" t="s">
        <v>92</v>
      </c>
      <c r="AD379" s="102" t="s">
        <v>282</v>
      </c>
      <c r="AE379" s="168" t="s">
        <v>91</v>
      </c>
      <c r="AF379" s="114" t="s">
        <v>92</v>
      </c>
    </row>
    <row r="380" spans="2:36" ht="13.5" outlineLevel="1" thickTop="1">
      <c r="B380" s="195" t="s">
        <v>95</v>
      </c>
      <c r="C380" s="202"/>
      <c r="D380" s="158"/>
      <c r="E380" s="199"/>
      <c r="F380" s="202"/>
      <c r="G380" s="158"/>
      <c r="H380" s="199"/>
      <c r="I380" s="202"/>
      <c r="J380" s="158">
        <v>350000</v>
      </c>
      <c r="K380" s="199">
        <v>150000</v>
      </c>
      <c r="L380" s="202"/>
      <c r="M380" s="158">
        <v>50000</v>
      </c>
      <c r="N380" s="199"/>
      <c r="O380" s="202"/>
      <c r="P380" s="158"/>
      <c r="Q380" s="199">
        <v>175000</v>
      </c>
      <c r="R380" s="202"/>
      <c r="S380" s="158"/>
      <c r="T380" s="199"/>
      <c r="U380" s="202"/>
      <c r="V380" s="158"/>
      <c r="W380" s="199"/>
      <c r="X380" s="202"/>
      <c r="Y380" s="158"/>
      <c r="Z380" s="199"/>
      <c r="AA380" s="202"/>
      <c r="AB380" s="158"/>
      <c r="AC380" s="199"/>
      <c r="AD380" s="202"/>
      <c r="AE380" s="158"/>
      <c r="AF380" s="199"/>
    </row>
    <row r="381" spans="2:36" outlineLevel="1">
      <c r="B381" s="195" t="s">
        <v>34</v>
      </c>
      <c r="C381" s="55"/>
      <c r="D381" s="52"/>
      <c r="E381" s="56"/>
      <c r="F381" s="55"/>
      <c r="G381" s="52"/>
      <c r="H381" s="56"/>
      <c r="I381" s="55"/>
      <c r="J381" s="52"/>
      <c r="K381" s="56"/>
      <c r="L381" s="55"/>
      <c r="M381" s="52"/>
      <c r="N381" s="56"/>
      <c r="O381" s="55"/>
      <c r="P381" s="52"/>
      <c r="Q381" s="56"/>
      <c r="R381" s="55"/>
      <c r="S381" s="52"/>
      <c r="T381" s="56"/>
      <c r="U381" s="55"/>
      <c r="V381" s="52"/>
      <c r="W381" s="56"/>
      <c r="X381" s="55"/>
      <c r="Y381" s="52"/>
      <c r="Z381" s="56"/>
      <c r="AA381" s="55"/>
      <c r="AB381" s="52"/>
      <c r="AC381" s="56"/>
      <c r="AD381" s="55"/>
      <c r="AE381" s="52"/>
      <c r="AF381" s="56"/>
    </row>
    <row r="382" spans="2:36" outlineLevel="1">
      <c r="B382" s="195" t="s">
        <v>94</v>
      </c>
      <c r="C382" s="55"/>
      <c r="D382" s="52"/>
      <c r="E382" s="56"/>
      <c r="F382" s="55">
        <v>300000</v>
      </c>
      <c r="G382" s="52"/>
      <c r="H382" s="56">
        <v>400000</v>
      </c>
      <c r="I382" s="55"/>
      <c r="J382" s="52"/>
      <c r="K382" s="56"/>
      <c r="L382" s="55"/>
      <c r="M382" s="52"/>
      <c r="N382" s="56"/>
      <c r="O382" s="55"/>
      <c r="P382" s="52">
        <v>100000</v>
      </c>
      <c r="Q382" s="56"/>
      <c r="R382" s="55"/>
      <c r="S382" s="52"/>
      <c r="T382" s="56"/>
      <c r="U382" s="55"/>
      <c r="V382" s="52"/>
      <c r="W382" s="56"/>
      <c r="X382" s="55"/>
      <c r="Y382" s="52"/>
      <c r="Z382" s="56"/>
      <c r="AA382" s="55"/>
      <c r="AB382" s="52"/>
      <c r="AC382" s="56"/>
      <c r="AD382" s="55"/>
      <c r="AE382" s="52"/>
      <c r="AF382" s="56"/>
    </row>
    <row r="383" spans="2:36" outlineLevel="1">
      <c r="B383" s="195" t="s">
        <v>96</v>
      </c>
      <c r="C383" s="55">
        <v>300000</v>
      </c>
      <c r="D383" s="52">
        <v>200000</v>
      </c>
      <c r="E383" s="56"/>
      <c r="F383" s="55"/>
      <c r="G383" s="52"/>
      <c r="H383" s="56"/>
      <c r="I383" s="55"/>
      <c r="J383" s="52"/>
      <c r="K383" s="56">
        <v>150000</v>
      </c>
      <c r="L383" s="55">
        <v>300000</v>
      </c>
      <c r="M383" s="52">
        <v>50000</v>
      </c>
      <c r="N383" s="56"/>
      <c r="O383" s="55"/>
      <c r="P383" s="52"/>
      <c r="Q383" s="56">
        <f>175000+50000</f>
        <v>225000</v>
      </c>
      <c r="R383" s="55"/>
      <c r="S383" s="52"/>
      <c r="T383" s="56"/>
      <c r="U383" s="55"/>
      <c r="V383" s="52"/>
      <c r="W383" s="56"/>
      <c r="X383" s="55"/>
      <c r="Y383" s="52"/>
      <c r="Z383" s="56"/>
      <c r="AA383" s="55"/>
      <c r="AB383" s="52"/>
      <c r="AC383" s="56"/>
      <c r="AD383" s="55"/>
      <c r="AE383" s="52"/>
      <c r="AF383" s="56"/>
    </row>
    <row r="384" spans="2:36" outlineLevel="1">
      <c r="B384" s="195" t="s">
        <v>260</v>
      </c>
      <c r="C384" s="55">
        <v>300000</v>
      </c>
      <c r="D384" s="52"/>
      <c r="E384" s="56"/>
      <c r="F384" s="55">
        <v>300000</v>
      </c>
      <c r="G384" s="52"/>
      <c r="H384" s="56"/>
      <c r="I384" s="55"/>
      <c r="J384" s="52">
        <v>350000</v>
      </c>
      <c r="K384" s="56"/>
      <c r="L384" s="55">
        <v>50000</v>
      </c>
      <c r="M384" s="52"/>
      <c r="N384" s="56"/>
      <c r="O384" s="55"/>
      <c r="P384" s="52"/>
      <c r="Q384" s="56"/>
      <c r="R384" s="55"/>
      <c r="S384" s="52"/>
      <c r="T384" s="56"/>
      <c r="U384" s="55"/>
      <c r="V384" s="52"/>
      <c r="W384" s="56"/>
      <c r="X384" s="55"/>
      <c r="Y384" s="52"/>
      <c r="Z384" s="56"/>
      <c r="AA384" s="55"/>
      <c r="AB384" s="52"/>
      <c r="AC384" s="56"/>
      <c r="AD384" s="55"/>
      <c r="AE384" s="52"/>
      <c r="AF384" s="56"/>
    </row>
    <row r="385" spans="2:32" outlineLevel="1">
      <c r="B385" s="195" t="s">
        <v>97</v>
      </c>
      <c r="C385" s="55"/>
      <c r="D385" s="52"/>
      <c r="E385" s="56"/>
      <c r="F385" s="55"/>
      <c r="G385" s="52"/>
      <c r="H385" s="56"/>
      <c r="I385" s="55"/>
      <c r="J385" s="52"/>
      <c r="K385" s="56"/>
      <c r="L385" s="55"/>
      <c r="M385" s="52"/>
      <c r="N385" s="56"/>
      <c r="O385" s="55"/>
      <c r="P385" s="52"/>
      <c r="Q385" s="56"/>
      <c r="R385" s="55"/>
      <c r="S385" s="52"/>
      <c r="T385" s="56"/>
      <c r="U385" s="55"/>
      <c r="V385" s="52"/>
      <c r="W385" s="56"/>
      <c r="X385" s="55"/>
      <c r="Y385" s="52"/>
      <c r="Z385" s="56"/>
      <c r="AA385" s="55"/>
      <c r="AB385" s="52"/>
      <c r="AC385" s="56"/>
      <c r="AD385" s="55"/>
      <c r="AE385" s="52"/>
      <c r="AF385" s="56"/>
    </row>
    <row r="386" spans="2:32" outlineLevel="1">
      <c r="B386" s="195" t="s">
        <v>98</v>
      </c>
      <c r="C386" s="55"/>
      <c r="D386" s="52"/>
      <c r="E386" s="56"/>
      <c r="F386" s="55"/>
      <c r="G386" s="52"/>
      <c r="H386" s="56"/>
      <c r="I386" s="55"/>
      <c r="J386" s="52"/>
      <c r="K386" s="56"/>
      <c r="L386" s="55"/>
      <c r="M386" s="52">
        <v>200000</v>
      </c>
      <c r="N386" s="56"/>
      <c r="O386" s="55"/>
      <c r="P386" s="52"/>
      <c r="Q386" s="56">
        <v>100000</v>
      </c>
      <c r="R386" s="55"/>
      <c r="S386" s="52"/>
      <c r="T386" s="56"/>
      <c r="U386" s="55"/>
      <c r="V386" s="52"/>
      <c r="W386" s="56"/>
      <c r="X386" s="55"/>
      <c r="Y386" s="52"/>
      <c r="Z386" s="56"/>
      <c r="AA386" s="55"/>
      <c r="AB386" s="52"/>
      <c r="AC386" s="56"/>
      <c r="AD386" s="55"/>
      <c r="AE386" s="52"/>
      <c r="AF386" s="56"/>
    </row>
    <row r="387" spans="2:32" outlineLevel="1">
      <c r="B387" s="185" t="s">
        <v>93</v>
      </c>
      <c r="C387" s="55">
        <f t="shared" ref="C387:AC387" si="136">SUM(C380:C386)</f>
        <v>600000</v>
      </c>
      <c r="D387" s="52">
        <f t="shared" si="136"/>
        <v>200000</v>
      </c>
      <c r="E387" s="56">
        <f t="shared" si="136"/>
        <v>0</v>
      </c>
      <c r="F387" s="55">
        <f t="shared" si="136"/>
        <v>600000</v>
      </c>
      <c r="G387" s="52">
        <f t="shared" si="136"/>
        <v>0</v>
      </c>
      <c r="H387" s="56">
        <f t="shared" si="136"/>
        <v>400000</v>
      </c>
      <c r="I387" s="55">
        <f t="shared" si="136"/>
        <v>0</v>
      </c>
      <c r="J387" s="52">
        <f t="shared" si="136"/>
        <v>700000</v>
      </c>
      <c r="K387" s="56">
        <f t="shared" si="136"/>
        <v>300000</v>
      </c>
      <c r="L387" s="55">
        <f t="shared" si="136"/>
        <v>350000</v>
      </c>
      <c r="M387" s="52">
        <f t="shared" si="136"/>
        <v>300000</v>
      </c>
      <c r="N387" s="56">
        <f t="shared" si="136"/>
        <v>0</v>
      </c>
      <c r="O387" s="55">
        <f t="shared" si="136"/>
        <v>0</v>
      </c>
      <c r="P387" s="52">
        <f t="shared" si="136"/>
        <v>100000</v>
      </c>
      <c r="Q387" s="56">
        <f t="shared" si="136"/>
        <v>500000</v>
      </c>
      <c r="R387" s="55">
        <f t="shared" si="136"/>
        <v>0</v>
      </c>
      <c r="S387" s="52">
        <f t="shared" si="136"/>
        <v>0</v>
      </c>
      <c r="T387" s="56">
        <f t="shared" si="136"/>
        <v>0</v>
      </c>
      <c r="U387" s="55">
        <f t="shared" si="136"/>
        <v>0</v>
      </c>
      <c r="V387" s="52">
        <f t="shared" si="136"/>
        <v>0</v>
      </c>
      <c r="W387" s="56">
        <f t="shared" si="136"/>
        <v>0</v>
      </c>
      <c r="X387" s="55">
        <f t="shared" si="136"/>
        <v>0</v>
      </c>
      <c r="Y387" s="52">
        <f t="shared" si="136"/>
        <v>0</v>
      </c>
      <c r="Z387" s="56">
        <f t="shared" si="136"/>
        <v>0</v>
      </c>
      <c r="AA387" s="55">
        <f t="shared" si="136"/>
        <v>0</v>
      </c>
      <c r="AB387" s="52">
        <f t="shared" si="136"/>
        <v>0</v>
      </c>
      <c r="AC387" s="56">
        <f t="shared" si="136"/>
        <v>0</v>
      </c>
      <c r="AD387" s="55">
        <f t="shared" ref="AD387:AF387" si="137">SUM(AD380:AD386)</f>
        <v>0</v>
      </c>
      <c r="AE387" s="52">
        <f t="shared" si="137"/>
        <v>0</v>
      </c>
      <c r="AF387" s="56">
        <f t="shared" si="137"/>
        <v>0</v>
      </c>
    </row>
    <row r="388" spans="2:32" ht="13.5" outlineLevel="1" thickBot="1">
      <c r="B388" s="181" t="s">
        <v>78</v>
      </c>
      <c r="C388" s="57">
        <f>SUM(C387:E387)</f>
        <v>800000</v>
      </c>
      <c r="D388" s="200"/>
      <c r="E388" s="201"/>
      <c r="F388" s="57">
        <f>SUM(F387:H387)</f>
        <v>1000000</v>
      </c>
      <c r="G388" s="200"/>
      <c r="H388" s="201"/>
      <c r="I388" s="57">
        <f>SUM(I387:K387)</f>
        <v>1000000</v>
      </c>
      <c r="J388" s="200"/>
      <c r="K388" s="201"/>
      <c r="L388" s="57">
        <f>SUM(L387:N387)</f>
        <v>650000</v>
      </c>
      <c r="M388" s="200"/>
      <c r="N388" s="201"/>
      <c r="O388" s="57">
        <f>SUM(O387:Q387)</f>
        <v>600000</v>
      </c>
      <c r="P388" s="200"/>
      <c r="Q388" s="201"/>
      <c r="R388" s="57">
        <f>SUM(R387:T387)</f>
        <v>0</v>
      </c>
      <c r="S388" s="200"/>
      <c r="T388" s="201"/>
      <c r="U388" s="57">
        <f>SUM(U387:W387)</f>
        <v>0</v>
      </c>
      <c r="V388" s="200"/>
      <c r="W388" s="201"/>
      <c r="X388" s="57">
        <f>SUM(X387:Z387)</f>
        <v>0</v>
      </c>
      <c r="Y388" s="200"/>
      <c r="Z388" s="201"/>
      <c r="AA388" s="57">
        <f>SUM(AA387:AC387)</f>
        <v>0</v>
      </c>
      <c r="AB388" s="200"/>
      <c r="AC388" s="201"/>
      <c r="AD388" s="57">
        <f>SUM(AD387:AF387)</f>
        <v>0</v>
      </c>
      <c r="AE388" s="200"/>
      <c r="AF388" s="201"/>
    </row>
    <row r="389" spans="2:32" outlineLevel="1">
      <c r="B389" s="153"/>
      <c r="C389" s="37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</row>
    <row r="391" spans="2:32">
      <c r="B391" s="2" t="s">
        <v>70</v>
      </c>
    </row>
    <row r="392" spans="2:32" ht="12.75" customHeight="1" outlineLevel="1">
      <c r="D392" s="211"/>
    </row>
    <row r="393" spans="2:32" ht="12.75" customHeight="1" outlineLevel="1"/>
    <row r="394" spans="2:32" ht="12.75" customHeight="1" outlineLevel="1"/>
    <row r="395" spans="2:32" ht="15.75" customHeight="1" outlineLevel="1" thickBot="1">
      <c r="B395" s="28" t="str">
        <f>CONCATENATE(LEFT(B418, 4)+1 &amp;"-" &amp;IF(B418&gt;"2007-08",,"0") &amp;RIGHT(B418,2)+1)</f>
        <v>2009-10</v>
      </c>
      <c r="G395" s="28"/>
      <c r="H395" s="28"/>
      <c r="I395" s="28"/>
      <c r="J395" s="28"/>
      <c r="K395" s="28"/>
      <c r="L395" s="28"/>
      <c r="M395" s="28"/>
      <c r="N395" s="28"/>
      <c r="O395" s="28"/>
      <c r="P395" s="2"/>
    </row>
    <row r="396" spans="2:32" ht="13.5" customHeight="1" outlineLevel="1" thickBot="1">
      <c r="B396" s="141" t="s">
        <v>19</v>
      </c>
      <c r="C396" s="138" t="s">
        <v>38</v>
      </c>
      <c r="D396" s="136" t="str">
        <f>D419</f>
        <v>CN West</v>
      </c>
      <c r="E396" s="136" t="str">
        <f t="shared" ref="E396:Q396" si="138">E419</f>
        <v>CN East</v>
      </c>
      <c r="F396" s="136" t="str">
        <f t="shared" si="138"/>
        <v>ENWL</v>
      </c>
      <c r="G396" s="136" t="str">
        <f t="shared" si="138"/>
        <v>CE NEDL</v>
      </c>
      <c r="H396" s="136" t="str">
        <f t="shared" si="138"/>
        <v>CE YEDL</v>
      </c>
      <c r="I396" s="136" t="str">
        <f t="shared" si="138"/>
        <v>WPD S Wales</v>
      </c>
      <c r="J396" s="136" t="str">
        <f t="shared" si="138"/>
        <v>WPD S West</v>
      </c>
      <c r="K396" s="136" t="str">
        <f t="shared" si="138"/>
        <v>UKPN LPN</v>
      </c>
      <c r="L396" s="136" t="str">
        <f t="shared" si="138"/>
        <v>UKPN SEPN</v>
      </c>
      <c r="M396" s="136" t="str">
        <f t="shared" si="138"/>
        <v>UKPN EPN</v>
      </c>
      <c r="N396" s="136" t="str">
        <f t="shared" si="138"/>
        <v>SP Distribution</v>
      </c>
      <c r="O396" s="136" t="str">
        <f t="shared" si="138"/>
        <v>SP Manweb</v>
      </c>
      <c r="P396" s="136" t="str">
        <f t="shared" si="138"/>
        <v>SSE Hydro</v>
      </c>
      <c r="Q396" s="137" t="str">
        <f t="shared" si="138"/>
        <v>SSE Southern</v>
      </c>
      <c r="R396" s="15"/>
    </row>
    <row r="397" spans="2:32" s="130" customFormat="1" ht="25.5" customHeight="1" outlineLevel="1" thickTop="1">
      <c r="B397" s="142" t="s">
        <v>71</v>
      </c>
      <c r="C397" s="139"/>
      <c r="D397" s="134"/>
      <c r="E397" s="134"/>
      <c r="F397" s="134"/>
      <c r="G397" s="134"/>
      <c r="H397" s="134"/>
      <c r="I397" s="134"/>
      <c r="J397" s="134"/>
      <c r="K397" s="134"/>
      <c r="L397" s="134"/>
      <c r="M397" s="134"/>
      <c r="N397" s="134"/>
      <c r="O397" s="134"/>
      <c r="P397" s="134"/>
      <c r="Q397" s="135"/>
      <c r="R397" s="131"/>
    </row>
    <row r="398" spans="2:32" s="130" customFormat="1" ht="25.5" customHeight="1" outlineLevel="1">
      <c r="B398" s="143" t="s">
        <v>72</v>
      </c>
      <c r="C398" s="146">
        <f>SUM(D398:Q398)</f>
        <v>18891480</v>
      </c>
      <c r="D398" s="147">
        <v>1108765</v>
      </c>
      <c r="E398" s="147">
        <v>1732706</v>
      </c>
      <c r="F398" s="147">
        <v>214349</v>
      </c>
      <c r="G398" s="147">
        <v>689702</v>
      </c>
      <c r="H398" s="147">
        <v>1504880</v>
      </c>
      <c r="I398" s="147">
        <v>1582920</v>
      </c>
      <c r="J398" s="147">
        <v>2299819</v>
      </c>
      <c r="K398" s="147">
        <v>201881</v>
      </c>
      <c r="L398" s="147">
        <v>618778</v>
      </c>
      <c r="M398" s="147">
        <v>3090437</v>
      </c>
      <c r="N398" s="147">
        <v>797917</v>
      </c>
      <c r="O398" s="147">
        <v>793810</v>
      </c>
      <c r="P398" s="147">
        <v>1795961</v>
      </c>
      <c r="Q398" s="148">
        <v>2459555</v>
      </c>
      <c r="R398" s="131"/>
    </row>
    <row r="399" spans="2:32" s="130" customFormat="1" ht="25.5" customHeight="1" outlineLevel="1">
      <c r="B399" s="143" t="s">
        <v>73</v>
      </c>
      <c r="C399" s="146">
        <f>SUM(D399:Q399)</f>
        <v>1319087</v>
      </c>
      <c r="D399" s="147">
        <v>451945</v>
      </c>
      <c r="E399" s="147">
        <v>107957</v>
      </c>
      <c r="F399" s="147">
        <v>36516</v>
      </c>
      <c r="G399" s="147">
        <v>69756</v>
      </c>
      <c r="H399" s="147">
        <v>219152</v>
      </c>
      <c r="I399" s="147">
        <v>76312</v>
      </c>
      <c r="J399" s="147">
        <v>160960</v>
      </c>
      <c r="K399" s="147">
        <v>0</v>
      </c>
      <c r="L399" s="147">
        <v>0</v>
      </c>
      <c r="M399" s="147">
        <v>0</v>
      </c>
      <c r="N399" s="147">
        <v>55118</v>
      </c>
      <c r="O399" s="147">
        <v>17633</v>
      </c>
      <c r="P399" s="147">
        <v>13371</v>
      </c>
      <c r="Q399" s="148">
        <v>110367</v>
      </c>
      <c r="R399" s="131"/>
    </row>
    <row r="400" spans="2:32" s="130" customFormat="1" ht="25.5" customHeight="1" outlineLevel="1">
      <c r="B400" s="143" t="s">
        <v>74</v>
      </c>
      <c r="C400" s="146">
        <f>SUM(D400:Q400)</f>
        <v>1957051</v>
      </c>
      <c r="D400" s="147">
        <v>417423</v>
      </c>
      <c r="E400" s="147">
        <v>239059</v>
      </c>
      <c r="F400" s="147">
        <v>81650</v>
      </c>
      <c r="G400" s="147">
        <v>103754</v>
      </c>
      <c r="H400" s="147">
        <v>159235</v>
      </c>
      <c r="I400" s="147">
        <v>116986</v>
      </c>
      <c r="J400" s="147">
        <v>118408</v>
      </c>
      <c r="K400" s="147">
        <v>162052</v>
      </c>
      <c r="L400" s="147">
        <v>1190</v>
      </c>
      <c r="M400" s="147">
        <v>300875</v>
      </c>
      <c r="N400" s="147">
        <v>133329</v>
      </c>
      <c r="O400" s="147">
        <v>37571</v>
      </c>
      <c r="P400" s="147">
        <v>10473</v>
      </c>
      <c r="Q400" s="148">
        <v>75046</v>
      </c>
      <c r="R400" s="131"/>
    </row>
    <row r="401" spans="2:21" s="130" customFormat="1" ht="25.5" customHeight="1" outlineLevel="1">
      <c r="B401" s="143" t="s">
        <v>75</v>
      </c>
      <c r="C401" s="146">
        <f>SUM(D401:Q401)</f>
        <v>448121</v>
      </c>
      <c r="D401" s="147">
        <v>0</v>
      </c>
      <c r="E401" s="147">
        <v>0</v>
      </c>
      <c r="F401" s="147">
        <v>0</v>
      </c>
      <c r="G401" s="147">
        <v>0</v>
      </c>
      <c r="H401" s="147">
        <v>0</v>
      </c>
      <c r="I401" s="147">
        <v>0</v>
      </c>
      <c r="J401" s="147">
        <v>0</v>
      </c>
      <c r="K401" s="147">
        <v>0</v>
      </c>
      <c r="L401" s="147">
        <v>0</v>
      </c>
      <c r="M401" s="147">
        <v>0</v>
      </c>
      <c r="N401" s="147">
        <v>78121</v>
      </c>
      <c r="O401" s="147">
        <v>0</v>
      </c>
      <c r="P401" s="147">
        <v>370000</v>
      </c>
      <c r="Q401" s="148">
        <v>0</v>
      </c>
      <c r="R401" s="131"/>
    </row>
    <row r="402" spans="2:21" s="130" customFormat="1" ht="25.5" customHeight="1" outlineLevel="1">
      <c r="B402" s="143" t="s">
        <v>20</v>
      </c>
      <c r="C402" s="146">
        <f>SUM(C398:C401)</f>
        <v>22615739</v>
      </c>
      <c r="D402" s="147">
        <f>SUM(D398:D401)</f>
        <v>1978133</v>
      </c>
      <c r="E402" s="147">
        <f t="shared" ref="E402:Q402" si="139">SUM(E398:E401)</f>
        <v>2079722</v>
      </c>
      <c r="F402" s="147">
        <f t="shared" si="139"/>
        <v>332515</v>
      </c>
      <c r="G402" s="147">
        <f t="shared" si="139"/>
        <v>863212</v>
      </c>
      <c r="H402" s="147">
        <f t="shared" si="139"/>
        <v>1883267</v>
      </c>
      <c r="I402" s="147">
        <f t="shared" si="139"/>
        <v>1776218</v>
      </c>
      <c r="J402" s="147">
        <f t="shared" si="139"/>
        <v>2579187</v>
      </c>
      <c r="K402" s="147">
        <f t="shared" si="139"/>
        <v>363933</v>
      </c>
      <c r="L402" s="147">
        <f t="shared" si="139"/>
        <v>619968</v>
      </c>
      <c r="M402" s="147">
        <f t="shared" si="139"/>
        <v>3391312</v>
      </c>
      <c r="N402" s="147">
        <f t="shared" si="139"/>
        <v>1064485</v>
      </c>
      <c r="O402" s="147">
        <f t="shared" si="139"/>
        <v>849014</v>
      </c>
      <c r="P402" s="147">
        <f t="shared" si="139"/>
        <v>2189805</v>
      </c>
      <c r="Q402" s="148">
        <f t="shared" si="139"/>
        <v>2644968</v>
      </c>
      <c r="R402" s="131"/>
    </row>
    <row r="403" spans="2:21" s="130" customFormat="1" ht="25.5" customHeight="1" outlineLevel="1">
      <c r="B403" s="144" t="s">
        <v>76</v>
      </c>
      <c r="C403" s="140"/>
      <c r="D403" s="132"/>
      <c r="E403" s="132"/>
      <c r="F403" s="132"/>
      <c r="G403" s="132"/>
      <c r="H403" s="132"/>
      <c r="I403" s="132"/>
      <c r="J403" s="132"/>
      <c r="K403" s="132"/>
      <c r="L403" s="132"/>
      <c r="M403" s="132"/>
      <c r="N403" s="132"/>
      <c r="O403" s="132"/>
      <c r="P403" s="132"/>
      <c r="Q403" s="133"/>
      <c r="R403" s="131"/>
    </row>
    <row r="404" spans="2:21" s="130" customFormat="1" ht="25.5" customHeight="1" outlineLevel="1">
      <c r="B404" s="143" t="s">
        <v>72</v>
      </c>
      <c r="C404" s="145">
        <v>65.204277037860592</v>
      </c>
      <c r="D404" s="145">
        <v>45.411131566606528</v>
      </c>
      <c r="E404" s="145">
        <v>66.70259645319112</v>
      </c>
      <c r="F404" s="145">
        <v>9.0923590317218128</v>
      </c>
      <c r="G404" s="145">
        <v>43.867698914663997</v>
      </c>
      <c r="H404" s="145">
        <v>66.746561945305146</v>
      </c>
      <c r="I404" s="145">
        <v>144.6619509787794</v>
      </c>
      <c r="J404" s="145">
        <v>150.02932325578817</v>
      </c>
      <c r="K404" s="145">
        <v>9.0066018939289165</v>
      </c>
      <c r="L404" s="145">
        <v>27.587599762278099</v>
      </c>
      <c r="M404" s="145">
        <v>88.111127489036846</v>
      </c>
      <c r="N404" s="145">
        <v>40.057602599295954</v>
      </c>
      <c r="O404" s="145">
        <v>53.498413870862734</v>
      </c>
      <c r="P404" s="145">
        <v>244.36605632787126</v>
      </c>
      <c r="Q404" s="149">
        <v>84.245645835730997</v>
      </c>
      <c r="R404" s="131"/>
    </row>
    <row r="405" spans="2:21" s="130" customFormat="1" ht="25.5" customHeight="1" outlineLevel="1">
      <c r="B405" s="143" t="s">
        <v>73</v>
      </c>
      <c r="C405" s="145">
        <v>4.5528520891449702</v>
      </c>
      <c r="D405" s="145">
        <v>18.510084513733737</v>
      </c>
      <c r="E405" s="145">
        <v>4.1559342469508129</v>
      </c>
      <c r="F405" s="145">
        <v>1.5489532603480947</v>
      </c>
      <c r="G405" s="145">
        <v>4.4367497926514661</v>
      </c>
      <c r="H405" s="145">
        <v>9.7201388439194591</v>
      </c>
      <c r="I405" s="145">
        <v>6.974100272340114</v>
      </c>
      <c r="J405" s="145">
        <v>10.500269747859141</v>
      </c>
      <c r="K405" s="145">
        <v>0</v>
      </c>
      <c r="L405" s="145">
        <v>0</v>
      </c>
      <c r="M405" s="145">
        <v>0</v>
      </c>
      <c r="N405" s="145">
        <v>2.7670734425610615</v>
      </c>
      <c r="O405" s="145">
        <v>1.1883669036481308</v>
      </c>
      <c r="P405" s="145">
        <v>1.8193148621601287</v>
      </c>
      <c r="Q405" s="149">
        <v>3.7803339197343111</v>
      </c>
      <c r="R405" s="131"/>
    </row>
    <row r="406" spans="2:21" s="130" customFormat="1" ht="25.5" customHeight="1" outlineLevel="1">
      <c r="B406" s="143" t="s">
        <v>74</v>
      </c>
      <c r="C406" s="145">
        <v>6.7547961081515115</v>
      </c>
      <c r="D406" s="145">
        <v>17.096184287858652</v>
      </c>
      <c r="E406" s="145">
        <v>9.2028630393750692</v>
      </c>
      <c r="F406" s="145">
        <v>3.4634689918781332</v>
      </c>
      <c r="G406" s="145">
        <v>6.5991533056190184</v>
      </c>
      <c r="H406" s="145">
        <v>7.0626154851952743</v>
      </c>
      <c r="I406" s="145">
        <v>10.691268666264554</v>
      </c>
      <c r="J406" s="145">
        <v>7.7243783567625819</v>
      </c>
      <c r="K406" s="145">
        <v>7.2296939787051224</v>
      </c>
      <c r="L406" s="145">
        <v>5.3054962712169695E-2</v>
      </c>
      <c r="M406" s="145">
        <v>8.5782157938388526</v>
      </c>
      <c r="N406" s="145">
        <v>6.6934782652350187</v>
      </c>
      <c r="O406" s="145">
        <v>2.532078088638571</v>
      </c>
      <c r="P406" s="145">
        <v>1.4250007143372243</v>
      </c>
      <c r="Q406" s="149">
        <v>2.5705051268982677</v>
      </c>
      <c r="R406" s="131"/>
    </row>
    <row r="407" spans="2:21" s="130" customFormat="1" ht="25.5" customHeight="1" outlineLevel="1">
      <c r="B407" s="143" t="s">
        <v>75</v>
      </c>
      <c r="C407" s="145">
        <v>1.5466975499263755</v>
      </c>
      <c r="D407" s="145">
        <v>0</v>
      </c>
      <c r="E407" s="145">
        <v>0</v>
      </c>
      <c r="F407" s="145">
        <v>0</v>
      </c>
      <c r="G407" s="145">
        <v>0</v>
      </c>
      <c r="H407" s="145">
        <v>0</v>
      </c>
      <c r="I407" s="145">
        <v>0</v>
      </c>
      <c r="J407" s="145">
        <v>0</v>
      </c>
      <c r="K407" s="145">
        <v>0</v>
      </c>
      <c r="L407" s="145">
        <v>0</v>
      </c>
      <c r="M407" s="145">
        <v>0</v>
      </c>
      <c r="N407" s="145">
        <v>3.9218865780019723</v>
      </c>
      <c r="O407" s="145">
        <v>0</v>
      </c>
      <c r="P407" s="145">
        <v>50.343766285187911</v>
      </c>
      <c r="Q407" s="149">
        <v>0</v>
      </c>
      <c r="R407" s="131"/>
    </row>
    <row r="408" spans="2:21" ht="25.5" customHeight="1" outlineLevel="1" thickBot="1">
      <c r="B408" s="743" t="s">
        <v>20</v>
      </c>
      <c r="C408" s="744">
        <f>SUM(C404:C407)</f>
        <v>78.058622785083443</v>
      </c>
      <c r="D408" s="744">
        <f t="shared" ref="D408:Q408" si="140">SUM(D404:D407)</f>
        <v>81.017400368198921</v>
      </c>
      <c r="E408" s="744">
        <f t="shared" si="140"/>
        <v>80.061393739517001</v>
      </c>
      <c r="F408" s="744">
        <f t="shared" si="140"/>
        <v>14.104781283948039</v>
      </c>
      <c r="G408" s="744">
        <f t="shared" si="140"/>
        <v>54.903602012934485</v>
      </c>
      <c r="H408" s="744">
        <f t="shared" si="140"/>
        <v>83.529316274419884</v>
      </c>
      <c r="I408" s="744">
        <f t="shared" si="140"/>
        <v>162.32731991738407</v>
      </c>
      <c r="J408" s="744">
        <f t="shared" si="140"/>
        <v>168.25397136040988</v>
      </c>
      <c r="K408" s="744">
        <f t="shared" si="140"/>
        <v>16.236295872634038</v>
      </c>
      <c r="L408" s="744">
        <f t="shared" si="140"/>
        <v>27.64065472499027</v>
      </c>
      <c r="M408" s="744">
        <f t="shared" si="140"/>
        <v>96.689343282875697</v>
      </c>
      <c r="N408" s="744">
        <f t="shared" si="140"/>
        <v>53.440040885094007</v>
      </c>
      <c r="O408" s="744">
        <f t="shared" si="140"/>
        <v>57.218858863149435</v>
      </c>
      <c r="P408" s="744">
        <f t="shared" si="140"/>
        <v>297.95413818955649</v>
      </c>
      <c r="Q408" s="745">
        <f t="shared" si="140"/>
        <v>90.596484882363583</v>
      </c>
      <c r="R408" s="15"/>
    </row>
    <row r="409" spans="2:21" s="435" customFormat="1" ht="13.5" customHeight="1" outlineLevel="1">
      <c r="B409" s="153"/>
      <c r="C409" s="741"/>
      <c r="D409" s="741"/>
      <c r="E409" s="741"/>
      <c r="F409" s="741"/>
      <c r="G409" s="741"/>
      <c r="H409" s="741"/>
      <c r="I409" s="741"/>
      <c r="J409" s="741"/>
      <c r="K409" s="741"/>
      <c r="L409" s="741"/>
      <c r="M409" s="741"/>
      <c r="N409" s="741"/>
      <c r="O409" s="741"/>
      <c r="P409" s="741"/>
      <c r="Q409" s="741"/>
      <c r="R409" s="128"/>
      <c r="S409" s="128"/>
      <c r="T409" s="128"/>
      <c r="U409" s="742"/>
    </row>
    <row r="410" spans="2:21" s="435" customFormat="1" ht="12.75" customHeight="1" outlineLevel="1">
      <c r="B410" s="153"/>
      <c r="C410" s="154"/>
      <c r="D410" s="154"/>
      <c r="E410" s="154"/>
      <c r="F410" s="154"/>
      <c r="G410" s="154"/>
      <c r="H410" s="154"/>
      <c r="I410" s="154"/>
      <c r="J410" s="154"/>
      <c r="K410" s="154"/>
      <c r="L410" s="154"/>
      <c r="M410" s="154"/>
      <c r="N410" s="154"/>
      <c r="O410" s="154"/>
      <c r="P410" s="154"/>
      <c r="Q410" s="154"/>
      <c r="R410" s="128"/>
      <c r="S410" s="128"/>
      <c r="T410" s="128"/>
      <c r="U410" s="742"/>
    </row>
    <row r="411" spans="2:21" s="435" customFormat="1" ht="12.75" customHeight="1" outlineLevel="1">
      <c r="B411" s="153"/>
      <c r="C411" s="154"/>
      <c r="D411" s="154"/>
      <c r="E411" s="154"/>
      <c r="F411" s="154"/>
      <c r="G411" s="154"/>
      <c r="H411" s="154"/>
      <c r="I411" s="154"/>
      <c r="J411" s="154"/>
      <c r="K411" s="154"/>
      <c r="L411" s="154"/>
      <c r="M411" s="154"/>
      <c r="N411" s="154"/>
      <c r="O411" s="154"/>
      <c r="P411" s="154"/>
      <c r="Q411" s="154"/>
      <c r="R411" s="128"/>
      <c r="S411" s="128"/>
      <c r="T411" s="128"/>
      <c r="U411" s="742"/>
    </row>
    <row r="412" spans="2:21" s="435" customFormat="1" ht="12.75" customHeight="1" outlineLevel="1">
      <c r="B412" s="153"/>
      <c r="C412" s="154"/>
      <c r="D412" s="154"/>
      <c r="E412" s="154"/>
      <c r="F412" s="154"/>
      <c r="G412" s="154"/>
      <c r="H412" s="154"/>
      <c r="I412" s="154"/>
      <c r="J412" s="154"/>
      <c r="K412" s="154"/>
      <c r="L412" s="154"/>
      <c r="M412" s="154"/>
      <c r="N412" s="154"/>
      <c r="O412" s="154"/>
      <c r="P412" s="154"/>
      <c r="Q412" s="154"/>
      <c r="R412" s="128"/>
      <c r="S412" s="128"/>
      <c r="T412" s="128"/>
      <c r="U412" s="742"/>
    </row>
    <row r="413" spans="2:21" s="435" customFormat="1" ht="12.75" customHeight="1" outlineLevel="1">
      <c r="B413" s="153"/>
      <c r="C413" s="154"/>
      <c r="D413" s="154"/>
      <c r="E413" s="154"/>
      <c r="F413" s="154"/>
      <c r="G413" s="154"/>
      <c r="H413" s="154"/>
      <c r="I413" s="154"/>
      <c r="J413" s="154"/>
      <c r="K413" s="154"/>
      <c r="L413" s="154"/>
      <c r="M413" s="154"/>
      <c r="N413" s="154"/>
      <c r="O413" s="154"/>
      <c r="P413" s="154"/>
      <c r="Q413" s="154"/>
      <c r="R413" s="128"/>
      <c r="S413" s="128"/>
      <c r="T413" s="128"/>
      <c r="U413" s="742"/>
    </row>
    <row r="414" spans="2:21" s="435" customFormat="1" ht="13.5" customHeight="1" outlineLevel="1">
      <c r="B414" s="153"/>
      <c r="C414" s="154"/>
      <c r="D414" s="154"/>
      <c r="E414" s="154"/>
      <c r="F414" s="154"/>
      <c r="G414" s="154"/>
      <c r="H414" s="154"/>
      <c r="I414" s="154"/>
      <c r="J414" s="154"/>
      <c r="K414" s="154"/>
      <c r="L414" s="154"/>
      <c r="M414" s="154"/>
      <c r="N414" s="154"/>
      <c r="O414" s="154"/>
      <c r="P414" s="154"/>
      <c r="Q414" s="154"/>
      <c r="R414" s="128"/>
      <c r="S414" s="128"/>
      <c r="T414" s="128"/>
      <c r="U414" s="742"/>
    </row>
    <row r="415" spans="2:21" s="435" customFormat="1" ht="12.75" customHeight="1" outlineLevel="1">
      <c r="B415" s="153"/>
      <c r="C415" s="156"/>
      <c r="D415" s="154"/>
      <c r="E415" s="154"/>
      <c r="F415" s="154"/>
      <c r="G415" s="154"/>
      <c r="H415" s="154"/>
      <c r="I415" s="154"/>
      <c r="J415" s="154"/>
      <c r="K415" s="154"/>
      <c r="L415" s="154"/>
      <c r="M415" s="154"/>
      <c r="N415" s="154"/>
      <c r="O415" s="154"/>
      <c r="P415" s="154"/>
      <c r="Q415" s="154"/>
      <c r="R415" s="128"/>
      <c r="S415" s="128"/>
      <c r="T415" s="128"/>
      <c r="U415" s="742"/>
    </row>
    <row r="416" spans="2:21" s="127" customFormat="1" ht="12.75" customHeight="1" outlineLevel="1">
      <c r="B416" s="153"/>
      <c r="C416" s="154"/>
      <c r="D416" s="154"/>
      <c r="E416" s="154"/>
      <c r="F416" s="154"/>
      <c r="G416" s="154"/>
      <c r="H416" s="154"/>
      <c r="I416" s="154"/>
      <c r="J416" s="154"/>
      <c r="K416" s="154"/>
      <c r="L416" s="154"/>
      <c r="M416" s="154"/>
      <c r="N416" s="154"/>
      <c r="O416" s="154"/>
      <c r="P416" s="154"/>
      <c r="Q416" s="154"/>
      <c r="R416" s="128"/>
      <c r="S416" s="128"/>
      <c r="T416" s="128"/>
      <c r="U416" s="129"/>
    </row>
    <row r="417" spans="2:21" ht="12.75" customHeight="1" outlineLevel="1"/>
    <row r="418" spans="2:21" ht="15.75" customHeight="1" outlineLevel="1" thickBot="1">
      <c r="B418" s="28" t="str">
        <f>CONCATENATE(LEFT(B441, 4)+1 &amp;"-" &amp;IF(B441&gt;"2007-08",,"0") &amp;RIGHT(B441,2)+1)</f>
        <v>2008-09</v>
      </c>
      <c r="G418" s="28"/>
      <c r="H418" s="28"/>
      <c r="I418" s="28"/>
      <c r="J418" s="28"/>
      <c r="K418" s="28"/>
      <c r="L418" s="28"/>
      <c r="M418" s="28"/>
      <c r="N418" s="28"/>
      <c r="O418" s="28"/>
      <c r="P418" s="2"/>
    </row>
    <row r="419" spans="2:21" ht="13.5" customHeight="1" outlineLevel="1" thickBot="1">
      <c r="B419" s="141" t="s">
        <v>19</v>
      </c>
      <c r="C419" s="138" t="s">
        <v>38</v>
      </c>
      <c r="D419" s="136" t="str">
        <f>D442</f>
        <v>CN West</v>
      </c>
      <c r="E419" s="136" t="str">
        <f t="shared" ref="E419:Q419" si="141">E442</f>
        <v>CN East</v>
      </c>
      <c r="F419" s="136" t="str">
        <f t="shared" si="141"/>
        <v>ENWL</v>
      </c>
      <c r="G419" s="136" t="str">
        <f t="shared" si="141"/>
        <v>CE NEDL</v>
      </c>
      <c r="H419" s="136" t="str">
        <f t="shared" si="141"/>
        <v>CE YEDL</v>
      </c>
      <c r="I419" s="136" t="str">
        <f t="shared" si="141"/>
        <v>WPD S Wales</v>
      </c>
      <c r="J419" s="136" t="str">
        <f t="shared" si="141"/>
        <v>WPD S West</v>
      </c>
      <c r="K419" s="136" t="str">
        <f t="shared" si="141"/>
        <v>UKPN LPN</v>
      </c>
      <c r="L419" s="136" t="str">
        <f t="shared" si="141"/>
        <v>UKPN SEPN</v>
      </c>
      <c r="M419" s="136" t="str">
        <f t="shared" si="141"/>
        <v>UKPN EPN</v>
      </c>
      <c r="N419" s="136" t="str">
        <f t="shared" si="141"/>
        <v>SP Distribution</v>
      </c>
      <c r="O419" s="136" t="str">
        <f t="shared" si="141"/>
        <v>SP Manweb</v>
      </c>
      <c r="P419" s="136" t="str">
        <f t="shared" si="141"/>
        <v>SSE Hydro</v>
      </c>
      <c r="Q419" s="137" t="str">
        <f t="shared" si="141"/>
        <v>SSE Southern</v>
      </c>
      <c r="R419" s="15"/>
    </row>
    <row r="420" spans="2:21" s="130" customFormat="1" ht="25.5" customHeight="1" outlineLevel="1" thickTop="1">
      <c r="B420" s="142" t="s">
        <v>71</v>
      </c>
      <c r="C420" s="139"/>
      <c r="D420" s="134"/>
      <c r="E420" s="134"/>
      <c r="F420" s="134"/>
      <c r="G420" s="134"/>
      <c r="H420" s="134"/>
      <c r="I420" s="134"/>
      <c r="J420" s="134"/>
      <c r="K420" s="134"/>
      <c r="L420" s="134"/>
      <c r="M420" s="134"/>
      <c r="N420" s="134"/>
      <c r="O420" s="134"/>
      <c r="P420" s="134"/>
      <c r="Q420" s="135"/>
      <c r="R420" s="131"/>
    </row>
    <row r="421" spans="2:21" s="130" customFormat="1" ht="25.5" customHeight="1" outlineLevel="1">
      <c r="B421" s="143" t="s">
        <v>72</v>
      </c>
      <c r="C421" s="146">
        <f>SUM(D421:Q421)</f>
        <v>19517468</v>
      </c>
      <c r="D421" s="147">
        <v>1388697</v>
      </c>
      <c r="E421" s="147">
        <v>1279227</v>
      </c>
      <c r="F421" s="147">
        <v>878452</v>
      </c>
      <c r="G421" s="147">
        <v>819515</v>
      </c>
      <c r="H421" s="147">
        <v>1300048</v>
      </c>
      <c r="I421" s="147">
        <v>1579867</v>
      </c>
      <c r="J421" s="147">
        <v>2247403</v>
      </c>
      <c r="K421" s="147">
        <v>157670</v>
      </c>
      <c r="L421" s="147">
        <v>742168</v>
      </c>
      <c r="M421" s="147">
        <v>2707972</v>
      </c>
      <c r="N421" s="147">
        <v>657577</v>
      </c>
      <c r="O421" s="147">
        <v>1208056</v>
      </c>
      <c r="P421" s="147">
        <v>2360750</v>
      </c>
      <c r="Q421" s="148">
        <v>2190066</v>
      </c>
      <c r="R421" s="131"/>
    </row>
    <row r="422" spans="2:21" s="130" customFormat="1" ht="25.5" customHeight="1" outlineLevel="1">
      <c r="B422" s="143" t="s">
        <v>73</v>
      </c>
      <c r="C422" s="146">
        <f>SUM(D422:Q422)</f>
        <v>1567752</v>
      </c>
      <c r="D422" s="147">
        <v>417521</v>
      </c>
      <c r="E422" s="147">
        <v>162564</v>
      </c>
      <c r="F422" s="147">
        <v>7477</v>
      </c>
      <c r="G422" s="147">
        <v>94288</v>
      </c>
      <c r="H422" s="147">
        <v>57855</v>
      </c>
      <c r="I422" s="147">
        <v>85499</v>
      </c>
      <c r="J422" s="147">
        <v>104599</v>
      </c>
      <c r="K422" s="147">
        <v>117034</v>
      </c>
      <c r="L422" s="147">
        <v>0</v>
      </c>
      <c r="M422" s="147">
        <v>263882</v>
      </c>
      <c r="N422" s="147">
        <v>28812</v>
      </c>
      <c r="O422" s="147">
        <v>11730</v>
      </c>
      <c r="P422" s="147">
        <v>3793</v>
      </c>
      <c r="Q422" s="148">
        <v>212698</v>
      </c>
      <c r="R422" s="131"/>
    </row>
    <row r="423" spans="2:21" s="130" customFormat="1" ht="25.5" customHeight="1" outlineLevel="1">
      <c r="B423" s="143" t="s">
        <v>74</v>
      </c>
      <c r="C423" s="146">
        <f>SUM(D423:Q423)</f>
        <v>1397948</v>
      </c>
      <c r="D423" s="147">
        <v>256840</v>
      </c>
      <c r="E423" s="147">
        <v>156002</v>
      </c>
      <c r="F423" s="147">
        <v>22076</v>
      </c>
      <c r="G423" s="147">
        <v>78743</v>
      </c>
      <c r="H423" s="147">
        <v>68341</v>
      </c>
      <c r="I423" s="147">
        <v>160113</v>
      </c>
      <c r="J423" s="147">
        <v>145699</v>
      </c>
      <c r="K423" s="147">
        <v>86432</v>
      </c>
      <c r="L423" s="147">
        <v>6739</v>
      </c>
      <c r="M423" s="147">
        <v>80702</v>
      </c>
      <c r="N423" s="147">
        <v>199213</v>
      </c>
      <c r="O423" s="147">
        <v>58551</v>
      </c>
      <c r="P423" s="147">
        <v>11767</v>
      </c>
      <c r="Q423" s="148">
        <v>66730</v>
      </c>
      <c r="R423" s="131"/>
    </row>
    <row r="424" spans="2:21" s="130" customFormat="1" ht="25.5" customHeight="1" outlineLevel="1">
      <c r="B424" s="143" t="s">
        <v>75</v>
      </c>
      <c r="C424" s="146">
        <f>SUM(D424:Q424)</f>
        <v>150401</v>
      </c>
      <c r="D424" s="147">
        <v>0</v>
      </c>
      <c r="E424" s="147">
        <v>0</v>
      </c>
      <c r="F424" s="147">
        <v>0</v>
      </c>
      <c r="G424" s="147">
        <v>0</v>
      </c>
      <c r="H424" s="147">
        <v>0</v>
      </c>
      <c r="I424" s="147">
        <v>0</v>
      </c>
      <c r="J424" s="147">
        <v>0</v>
      </c>
      <c r="K424" s="147">
        <v>0</v>
      </c>
      <c r="L424" s="147">
        <v>0</v>
      </c>
      <c r="M424" s="147">
        <v>0</v>
      </c>
      <c r="N424" s="147">
        <v>31775</v>
      </c>
      <c r="O424" s="147">
        <v>27738</v>
      </c>
      <c r="P424" s="147">
        <v>90888</v>
      </c>
      <c r="Q424" s="148">
        <v>0</v>
      </c>
      <c r="R424" s="131"/>
    </row>
    <row r="425" spans="2:21" s="130" customFormat="1" ht="25.5" customHeight="1" outlineLevel="1">
      <c r="B425" s="143" t="s">
        <v>20</v>
      </c>
      <c r="C425" s="146">
        <f>SUM(C421:C424)</f>
        <v>22633569</v>
      </c>
      <c r="D425" s="147">
        <f>SUM(D421:D424)</f>
        <v>2063058</v>
      </c>
      <c r="E425" s="147">
        <f t="shared" ref="E425:Q425" si="142">SUM(E421:E424)</f>
        <v>1597793</v>
      </c>
      <c r="F425" s="147">
        <f t="shared" si="142"/>
        <v>908005</v>
      </c>
      <c r="G425" s="147">
        <f t="shared" si="142"/>
        <v>992546</v>
      </c>
      <c r="H425" s="147">
        <f t="shared" si="142"/>
        <v>1426244</v>
      </c>
      <c r="I425" s="147">
        <f t="shared" si="142"/>
        <v>1825479</v>
      </c>
      <c r="J425" s="147">
        <f t="shared" si="142"/>
        <v>2497701</v>
      </c>
      <c r="K425" s="147">
        <f t="shared" si="142"/>
        <v>361136</v>
      </c>
      <c r="L425" s="147">
        <f t="shared" si="142"/>
        <v>748907</v>
      </c>
      <c r="M425" s="147">
        <f t="shared" si="142"/>
        <v>3052556</v>
      </c>
      <c r="N425" s="147">
        <f t="shared" si="142"/>
        <v>917377</v>
      </c>
      <c r="O425" s="147">
        <f t="shared" si="142"/>
        <v>1306075</v>
      </c>
      <c r="P425" s="147">
        <f t="shared" si="142"/>
        <v>2467198</v>
      </c>
      <c r="Q425" s="148">
        <f t="shared" si="142"/>
        <v>2469494</v>
      </c>
      <c r="R425" s="131"/>
    </row>
    <row r="426" spans="2:21" s="130" customFormat="1" ht="25.5" customHeight="1" outlineLevel="1">
      <c r="B426" s="144" t="s">
        <v>76</v>
      </c>
      <c r="C426" s="140"/>
      <c r="D426" s="132"/>
      <c r="E426" s="132"/>
      <c r="F426" s="132"/>
      <c r="G426" s="132"/>
      <c r="H426" s="132"/>
      <c r="I426" s="132"/>
      <c r="J426" s="132"/>
      <c r="K426" s="132"/>
      <c r="L426" s="132"/>
      <c r="M426" s="132"/>
      <c r="N426" s="132"/>
      <c r="O426" s="132"/>
      <c r="P426" s="132"/>
      <c r="Q426" s="133"/>
      <c r="R426" s="131"/>
    </row>
    <row r="427" spans="2:21" s="130" customFormat="1" ht="25.5" customHeight="1" outlineLevel="1">
      <c r="B427" s="143" t="s">
        <v>72</v>
      </c>
      <c r="C427" s="145">
        <v>67.611692672889717</v>
      </c>
      <c r="D427" s="145">
        <v>57.017424286592934</v>
      </c>
      <c r="E427" s="145">
        <v>49.361615594113466</v>
      </c>
      <c r="F427" s="145">
        <v>37.276055625618469</v>
      </c>
      <c r="G427" s="145">
        <v>52.244595859269218</v>
      </c>
      <c r="H427" s="145">
        <v>57.838340688170767</v>
      </c>
      <c r="I427" s="145">
        <v>145.08981172552942</v>
      </c>
      <c r="J427" s="145">
        <v>147.81267264739157</v>
      </c>
      <c r="K427" s="145">
        <v>7.09091955739206</v>
      </c>
      <c r="L427" s="145">
        <v>33.291840097179403</v>
      </c>
      <c r="M427" s="145">
        <v>77.455143197677685</v>
      </c>
      <c r="N427" s="145">
        <v>33.021983788732264</v>
      </c>
      <c r="O427" s="145">
        <v>81.485008937303974</v>
      </c>
      <c r="P427" s="145">
        <v>323.70524756955399</v>
      </c>
      <c r="Q427" s="149">
        <v>75.378273951499153</v>
      </c>
      <c r="R427" s="131"/>
    </row>
    <row r="428" spans="2:21" s="130" customFormat="1" ht="25.5" customHeight="1" outlineLevel="1">
      <c r="B428" s="143" t="s">
        <v>73</v>
      </c>
      <c r="C428" s="145">
        <v>5.4309486461721468</v>
      </c>
      <c r="D428" s="145">
        <v>17.142668275053929</v>
      </c>
      <c r="E428" s="145">
        <v>6.2728676594861286</v>
      </c>
      <c r="F428" s="145">
        <v>0.31727751534830512</v>
      </c>
      <c r="G428" s="145">
        <v>6.0109192075541946</v>
      </c>
      <c r="H428" s="145">
        <v>2.5739335782325878</v>
      </c>
      <c r="I428" s="145">
        <v>7.851948178372635</v>
      </c>
      <c r="J428" s="145">
        <v>6.8795217173975951</v>
      </c>
      <c r="K428" s="145">
        <v>5.263389861608565</v>
      </c>
      <c r="L428" s="145">
        <v>0</v>
      </c>
      <c r="M428" s="145">
        <v>7.547721356531599</v>
      </c>
      <c r="N428" s="145">
        <v>1.4468714643622782</v>
      </c>
      <c r="O428" s="145">
        <v>0.79120434386698602</v>
      </c>
      <c r="P428" s="145">
        <v>0.52009488680771709</v>
      </c>
      <c r="Q428" s="149">
        <v>7.3206963228213056</v>
      </c>
      <c r="R428" s="131"/>
    </row>
    <row r="429" spans="2:21" s="130" customFormat="1" ht="25.5" customHeight="1" outlineLevel="1">
      <c r="B429" s="143" t="s">
        <v>74</v>
      </c>
      <c r="C429" s="145">
        <v>4.8427198932095505</v>
      </c>
      <c r="D429" s="145">
        <v>10.545392734173493</v>
      </c>
      <c r="E429" s="145">
        <v>6.019659337954006</v>
      </c>
      <c r="F429" s="145">
        <v>0.93676854738921811</v>
      </c>
      <c r="G429" s="145">
        <v>5.0199156961696074</v>
      </c>
      <c r="H429" s="145">
        <v>3.0404493072334851</v>
      </c>
      <c r="I429" s="145">
        <v>14.704253601606776</v>
      </c>
      <c r="J429" s="145">
        <v>9.5826865907237373</v>
      </c>
      <c r="K429" s="145">
        <v>3.8871209436450211</v>
      </c>
      <c r="L429" s="145">
        <v>0.3022950469636147</v>
      </c>
      <c r="M429" s="145">
        <v>2.3082901028293445</v>
      </c>
      <c r="N429" s="145">
        <v>10.004012391711875</v>
      </c>
      <c r="O429" s="145">
        <v>3.9493440356143132</v>
      </c>
      <c r="P429" s="145">
        <v>1.6134870901836031</v>
      </c>
      <c r="Q429" s="149">
        <v>2.2967308842672041</v>
      </c>
      <c r="R429" s="131"/>
    </row>
    <row r="430" spans="2:21" s="130" customFormat="1" ht="25.5" customHeight="1" outlineLevel="1">
      <c r="B430" s="143" t="s">
        <v>75</v>
      </c>
      <c r="C430" s="145">
        <v>0.5210135961127379</v>
      </c>
      <c r="D430" s="145">
        <v>0</v>
      </c>
      <c r="E430" s="145">
        <v>0</v>
      </c>
      <c r="F430" s="145">
        <v>0</v>
      </c>
      <c r="G430" s="145">
        <v>0</v>
      </c>
      <c r="H430" s="145">
        <v>0</v>
      </c>
      <c r="I430" s="145">
        <v>0</v>
      </c>
      <c r="J430" s="145">
        <v>0</v>
      </c>
      <c r="K430" s="145">
        <v>0</v>
      </c>
      <c r="L430" s="145">
        <v>0</v>
      </c>
      <c r="M430" s="145">
        <v>0</v>
      </c>
      <c r="N430" s="145">
        <v>1.595666416080501</v>
      </c>
      <c r="O430" s="145">
        <v>1.8709655660854609</v>
      </c>
      <c r="P430" s="145">
        <v>12.462532051721539</v>
      </c>
      <c r="Q430" s="149">
        <v>0</v>
      </c>
      <c r="R430" s="131"/>
    </row>
    <row r="431" spans="2:21" ht="25.5" customHeight="1" outlineLevel="1" thickBot="1">
      <c r="B431" s="743" t="s">
        <v>20</v>
      </c>
      <c r="C431" s="744">
        <f>SUM(C427:C430)</f>
        <v>78.406374808384143</v>
      </c>
      <c r="D431" s="744">
        <f t="shared" ref="D431:Q431" si="143">SUM(D427:D430)</f>
        <v>84.705485295820353</v>
      </c>
      <c r="E431" s="744">
        <f t="shared" si="143"/>
        <v>61.654142591553601</v>
      </c>
      <c r="F431" s="744">
        <f t="shared" si="143"/>
        <v>38.530101688355991</v>
      </c>
      <c r="G431" s="744">
        <f t="shared" si="143"/>
        <v>63.275430762993018</v>
      </c>
      <c r="H431" s="744">
        <f t="shared" si="143"/>
        <v>63.452723573636845</v>
      </c>
      <c r="I431" s="744">
        <f t="shared" si="143"/>
        <v>167.64601350550882</v>
      </c>
      <c r="J431" s="744">
        <f t="shared" si="143"/>
        <v>164.27488095551291</v>
      </c>
      <c r="K431" s="744">
        <f t="shared" si="143"/>
        <v>16.241430362645644</v>
      </c>
      <c r="L431" s="744">
        <f t="shared" si="143"/>
        <v>33.594135144143017</v>
      </c>
      <c r="M431" s="744">
        <f t="shared" si="143"/>
        <v>87.311154657038628</v>
      </c>
      <c r="N431" s="744">
        <f t="shared" si="143"/>
        <v>46.068534060886918</v>
      </c>
      <c r="O431" s="744">
        <f t="shared" si="143"/>
        <v>88.09652288287073</v>
      </c>
      <c r="P431" s="744">
        <f t="shared" si="143"/>
        <v>338.30136159826685</v>
      </c>
      <c r="Q431" s="745">
        <f t="shared" si="143"/>
        <v>84.995701158587664</v>
      </c>
      <c r="R431" s="15"/>
    </row>
    <row r="432" spans="2:21" s="435" customFormat="1" ht="13.5" customHeight="1" outlineLevel="1">
      <c r="B432" s="153"/>
      <c r="C432" s="741"/>
      <c r="D432" s="741"/>
      <c r="E432" s="741"/>
      <c r="F432" s="741"/>
      <c r="G432" s="741"/>
      <c r="H432" s="741"/>
      <c r="I432" s="741"/>
      <c r="J432" s="741"/>
      <c r="K432" s="741"/>
      <c r="L432" s="741"/>
      <c r="M432" s="741"/>
      <c r="N432" s="741"/>
      <c r="O432" s="741"/>
      <c r="P432" s="741"/>
      <c r="Q432" s="741"/>
      <c r="R432" s="128"/>
      <c r="S432" s="128"/>
      <c r="T432" s="128"/>
      <c r="U432" s="742"/>
    </row>
    <row r="433" spans="2:21" s="435" customFormat="1" ht="12.75" customHeight="1" outlineLevel="1">
      <c r="B433" s="153"/>
      <c r="C433" s="154"/>
      <c r="D433" s="154"/>
      <c r="E433" s="154"/>
      <c r="F433" s="154"/>
      <c r="G433" s="154"/>
      <c r="H433" s="154"/>
      <c r="I433" s="154"/>
      <c r="J433" s="154"/>
      <c r="K433" s="154"/>
      <c r="L433" s="154"/>
      <c r="M433" s="154"/>
      <c r="N433" s="154"/>
      <c r="O433" s="154"/>
      <c r="P433" s="154"/>
      <c r="Q433" s="154"/>
      <c r="R433" s="128"/>
      <c r="S433" s="128"/>
      <c r="T433" s="128"/>
      <c r="U433" s="742"/>
    </row>
    <row r="434" spans="2:21" s="435" customFormat="1" ht="12.75" customHeight="1" outlineLevel="1">
      <c r="B434" s="153"/>
      <c r="C434" s="154"/>
      <c r="D434" s="154"/>
      <c r="E434" s="154"/>
      <c r="F434" s="154"/>
      <c r="G434" s="154"/>
      <c r="H434" s="154"/>
      <c r="I434" s="154"/>
      <c r="J434" s="154"/>
      <c r="K434" s="154"/>
      <c r="L434" s="154"/>
      <c r="M434" s="154"/>
      <c r="N434" s="154"/>
      <c r="O434" s="154"/>
      <c r="P434" s="154"/>
      <c r="Q434" s="154"/>
      <c r="R434" s="128"/>
      <c r="S434" s="128"/>
      <c r="T434" s="128"/>
      <c r="U434" s="742"/>
    </row>
    <row r="435" spans="2:21" s="435" customFormat="1" ht="12.75" customHeight="1" outlineLevel="1">
      <c r="B435" s="153"/>
      <c r="C435" s="154"/>
      <c r="D435" s="154"/>
      <c r="E435" s="154"/>
      <c r="F435" s="154"/>
      <c r="G435" s="154"/>
      <c r="H435" s="154"/>
      <c r="I435" s="154"/>
      <c r="J435" s="154"/>
      <c r="K435" s="154"/>
      <c r="L435" s="154"/>
      <c r="M435" s="154"/>
      <c r="N435" s="154"/>
      <c r="O435" s="154"/>
      <c r="P435" s="154"/>
      <c r="Q435" s="154"/>
      <c r="R435" s="128"/>
      <c r="S435" s="128"/>
      <c r="T435" s="128"/>
      <c r="U435" s="742"/>
    </row>
    <row r="436" spans="2:21" s="435" customFormat="1" ht="12.75" customHeight="1" outlineLevel="1">
      <c r="B436" s="153"/>
      <c r="C436" s="154"/>
      <c r="D436" s="154"/>
      <c r="E436" s="154"/>
      <c r="F436" s="154"/>
      <c r="G436" s="154"/>
      <c r="H436" s="154"/>
      <c r="I436" s="154"/>
      <c r="J436" s="154"/>
      <c r="K436" s="154"/>
      <c r="L436" s="154"/>
      <c r="M436" s="154"/>
      <c r="N436" s="154"/>
      <c r="O436" s="154"/>
      <c r="P436" s="154"/>
      <c r="Q436" s="154"/>
      <c r="R436" s="128"/>
      <c r="S436" s="128"/>
      <c r="T436" s="128"/>
      <c r="U436" s="742"/>
    </row>
    <row r="437" spans="2:21" s="435" customFormat="1" ht="13.5" customHeight="1" outlineLevel="1">
      <c r="B437" s="153"/>
      <c r="C437" s="154"/>
      <c r="D437" s="154"/>
      <c r="E437" s="154"/>
      <c r="F437" s="154"/>
      <c r="G437" s="154"/>
      <c r="H437" s="154"/>
      <c r="I437" s="154"/>
      <c r="J437" s="154"/>
      <c r="K437" s="154"/>
      <c r="L437" s="154"/>
      <c r="M437" s="154"/>
      <c r="N437" s="154"/>
      <c r="O437" s="154"/>
      <c r="P437" s="154"/>
      <c r="Q437" s="154"/>
      <c r="R437" s="128"/>
      <c r="S437" s="128"/>
      <c r="T437" s="128"/>
      <c r="U437" s="742"/>
    </row>
    <row r="438" spans="2:21" s="435" customFormat="1" ht="12.75" customHeight="1" outlineLevel="1">
      <c r="B438" s="153"/>
      <c r="C438" s="156"/>
      <c r="D438" s="154"/>
      <c r="E438" s="154"/>
      <c r="F438" s="154"/>
      <c r="G438" s="154"/>
      <c r="H438" s="154"/>
      <c r="I438" s="154"/>
      <c r="J438" s="154"/>
      <c r="K438" s="154"/>
      <c r="L438" s="154"/>
      <c r="M438" s="154"/>
      <c r="N438" s="154"/>
      <c r="O438" s="154"/>
      <c r="P438" s="154"/>
      <c r="Q438" s="154"/>
      <c r="R438" s="128"/>
      <c r="S438" s="128"/>
      <c r="T438" s="128"/>
      <c r="U438" s="742"/>
    </row>
    <row r="439" spans="2:21" s="127" customFormat="1" ht="12.75" customHeight="1" outlineLevel="1">
      <c r="B439" s="153"/>
      <c r="C439" s="156"/>
      <c r="D439" s="154"/>
      <c r="E439" s="154"/>
      <c r="F439" s="154"/>
      <c r="G439" s="154"/>
      <c r="H439" s="154"/>
      <c r="I439" s="154"/>
      <c r="J439" s="154"/>
      <c r="K439" s="154"/>
      <c r="L439" s="154"/>
      <c r="M439" s="154"/>
      <c r="N439" s="154"/>
      <c r="O439" s="154"/>
      <c r="P439" s="154"/>
      <c r="Q439" s="154"/>
      <c r="R439" s="128"/>
      <c r="S439" s="128"/>
      <c r="T439" s="128"/>
      <c r="U439" s="129"/>
    </row>
    <row r="440" spans="2:21" ht="12.75" customHeight="1" outlineLevel="1"/>
    <row r="441" spans="2:21" s="2" customFormat="1" ht="15.75" customHeight="1" outlineLevel="1" thickBot="1">
      <c r="B441" s="28" t="str">
        <f>CONCATENATE(LEFT(B464, 4)+1 &amp;"-" &amp;IF(B464&gt;"2007-08",,"0") &amp;RIGHT(B464,2)+1)</f>
        <v>2007-08</v>
      </c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</row>
    <row r="442" spans="2:21" ht="13.5" customHeight="1" outlineLevel="1" thickBot="1">
      <c r="B442" s="141" t="s">
        <v>19</v>
      </c>
      <c r="C442" s="138" t="s">
        <v>38</v>
      </c>
      <c r="D442" s="136" t="str">
        <f>D465</f>
        <v>CN West</v>
      </c>
      <c r="E442" s="136" t="str">
        <f t="shared" ref="E442:Q442" si="144">E465</f>
        <v>CN East</v>
      </c>
      <c r="F442" s="136" t="str">
        <f t="shared" si="144"/>
        <v>ENWL</v>
      </c>
      <c r="G442" s="136" t="str">
        <f t="shared" si="144"/>
        <v>CE NEDL</v>
      </c>
      <c r="H442" s="136" t="str">
        <f t="shared" si="144"/>
        <v>CE YEDL</v>
      </c>
      <c r="I442" s="136" t="str">
        <f t="shared" si="144"/>
        <v>WPD S Wales</v>
      </c>
      <c r="J442" s="136" t="str">
        <f t="shared" si="144"/>
        <v>WPD S West</v>
      </c>
      <c r="K442" s="136" t="str">
        <f t="shared" si="144"/>
        <v>UKPN LPN</v>
      </c>
      <c r="L442" s="136" t="str">
        <f t="shared" si="144"/>
        <v>UKPN SEPN</v>
      </c>
      <c r="M442" s="136" t="str">
        <f t="shared" si="144"/>
        <v>UKPN EPN</v>
      </c>
      <c r="N442" s="136" t="str">
        <f t="shared" si="144"/>
        <v>SP Distribution</v>
      </c>
      <c r="O442" s="136" t="str">
        <f t="shared" si="144"/>
        <v>SP Manweb</v>
      </c>
      <c r="P442" s="136" t="str">
        <f t="shared" si="144"/>
        <v>SSE Hydro</v>
      </c>
      <c r="Q442" s="137" t="str">
        <f t="shared" si="144"/>
        <v>SSE Southern</v>
      </c>
      <c r="R442" s="15"/>
    </row>
    <row r="443" spans="2:21" s="130" customFormat="1" ht="25.5" customHeight="1" outlineLevel="1" thickTop="1">
      <c r="B443" s="142" t="s">
        <v>71</v>
      </c>
      <c r="C443" s="139"/>
      <c r="D443" s="134"/>
      <c r="E443" s="134"/>
      <c r="F443" s="134"/>
      <c r="G443" s="134"/>
      <c r="H443" s="134"/>
      <c r="I443" s="134"/>
      <c r="J443" s="134"/>
      <c r="K443" s="134"/>
      <c r="L443" s="134"/>
      <c r="M443" s="134"/>
      <c r="N443" s="134"/>
      <c r="O443" s="134"/>
      <c r="P443" s="134"/>
      <c r="Q443" s="135"/>
      <c r="R443" s="131"/>
    </row>
    <row r="444" spans="2:21" s="130" customFormat="1" ht="25.5" customHeight="1" outlineLevel="1">
      <c r="B444" s="143" t="s">
        <v>72</v>
      </c>
      <c r="C444" s="146">
        <f>SUM(D444:Q444)</f>
        <v>21225570</v>
      </c>
      <c r="D444" s="147">
        <v>1321413</v>
      </c>
      <c r="E444" s="147">
        <v>1784834</v>
      </c>
      <c r="F444" s="147">
        <v>773838</v>
      </c>
      <c r="G444" s="147">
        <v>926136</v>
      </c>
      <c r="H444" s="147">
        <v>1675609</v>
      </c>
      <c r="I444" s="147">
        <v>1498342</v>
      </c>
      <c r="J444" s="147">
        <v>2448632</v>
      </c>
      <c r="K444" s="147">
        <v>127906</v>
      </c>
      <c r="L444" s="147">
        <v>1449666</v>
      </c>
      <c r="M444" s="147">
        <v>2882910</v>
      </c>
      <c r="N444" s="147">
        <v>716753</v>
      </c>
      <c r="O444" s="147">
        <v>1145375</v>
      </c>
      <c r="P444" s="147">
        <v>1659188</v>
      </c>
      <c r="Q444" s="148">
        <v>2814968</v>
      </c>
      <c r="R444" s="131"/>
    </row>
    <row r="445" spans="2:21" s="130" customFormat="1" ht="25.5" customHeight="1" outlineLevel="1">
      <c r="B445" s="143" t="s">
        <v>73</v>
      </c>
      <c r="C445" s="146">
        <f>SUM(D445:Q445)</f>
        <v>1624240</v>
      </c>
      <c r="D445" s="147">
        <v>421989</v>
      </c>
      <c r="E445" s="147">
        <v>209679</v>
      </c>
      <c r="F445" s="147">
        <v>21181</v>
      </c>
      <c r="G445" s="147">
        <v>102567</v>
      </c>
      <c r="H445" s="147">
        <v>57117</v>
      </c>
      <c r="I445" s="147">
        <v>88188</v>
      </c>
      <c r="J445" s="147">
        <v>94700</v>
      </c>
      <c r="K445" s="147">
        <v>121407</v>
      </c>
      <c r="L445" s="147">
        <v>82226</v>
      </c>
      <c r="M445" s="147">
        <v>183921</v>
      </c>
      <c r="N445" s="147">
        <v>24247</v>
      </c>
      <c r="O445" s="147">
        <v>22301</v>
      </c>
      <c r="P445" s="147">
        <v>12849</v>
      </c>
      <c r="Q445" s="148">
        <v>181868</v>
      </c>
      <c r="R445" s="131"/>
    </row>
    <row r="446" spans="2:21" s="130" customFormat="1" ht="25.5" customHeight="1" outlineLevel="1">
      <c r="B446" s="143" t="s">
        <v>74</v>
      </c>
      <c r="C446" s="146">
        <f>SUM(D446:Q446)</f>
        <v>1567428</v>
      </c>
      <c r="D446" s="147">
        <v>255728</v>
      </c>
      <c r="E446" s="147">
        <v>415887</v>
      </c>
      <c r="F446" s="147">
        <v>246</v>
      </c>
      <c r="G446" s="147">
        <v>177516</v>
      </c>
      <c r="H446" s="147">
        <v>40562</v>
      </c>
      <c r="I446" s="147">
        <v>124388</v>
      </c>
      <c r="J446" s="147">
        <v>182838</v>
      </c>
      <c r="K446" s="147">
        <v>115</v>
      </c>
      <c r="L446" s="147">
        <v>8877</v>
      </c>
      <c r="M446" s="147">
        <v>63313</v>
      </c>
      <c r="N446" s="147">
        <v>140062</v>
      </c>
      <c r="O446" s="147">
        <v>85343</v>
      </c>
      <c r="P446" s="147">
        <v>18986</v>
      </c>
      <c r="Q446" s="148">
        <v>53567</v>
      </c>
      <c r="R446" s="131"/>
    </row>
    <row r="447" spans="2:21" s="130" customFormat="1" ht="25.5" customHeight="1" outlineLevel="1">
      <c r="B447" s="143" t="s">
        <v>75</v>
      </c>
      <c r="C447" s="146">
        <f>SUM(D447:Q447)</f>
        <v>218241</v>
      </c>
      <c r="D447" s="147">
        <v>0</v>
      </c>
      <c r="E447" s="147">
        <v>42</v>
      </c>
      <c r="F447" s="147">
        <v>0</v>
      </c>
      <c r="G447" s="147">
        <v>0</v>
      </c>
      <c r="H447" s="147">
        <v>0</v>
      </c>
      <c r="I447" s="147">
        <v>374</v>
      </c>
      <c r="J447" s="147">
        <v>0</v>
      </c>
      <c r="K447" s="147">
        <v>0</v>
      </c>
      <c r="L447" s="147">
        <v>0</v>
      </c>
      <c r="M447" s="147">
        <v>0</v>
      </c>
      <c r="N447" s="147">
        <v>68708</v>
      </c>
      <c r="O447" s="147">
        <v>1</v>
      </c>
      <c r="P447" s="147">
        <v>149116</v>
      </c>
      <c r="Q447" s="148">
        <v>0</v>
      </c>
      <c r="R447" s="131"/>
    </row>
    <row r="448" spans="2:21" s="130" customFormat="1" ht="25.5" customHeight="1" outlineLevel="1">
      <c r="B448" s="143" t="s">
        <v>20</v>
      </c>
      <c r="C448" s="146">
        <f t="shared" ref="C448:Q448" si="145">SUM(C444:C447)</f>
        <v>24635479</v>
      </c>
      <c r="D448" s="147">
        <f t="shared" si="145"/>
        <v>1999130</v>
      </c>
      <c r="E448" s="147">
        <f t="shared" si="145"/>
        <v>2410442</v>
      </c>
      <c r="F448" s="147">
        <f t="shared" si="145"/>
        <v>795265</v>
      </c>
      <c r="G448" s="147">
        <f t="shared" si="145"/>
        <v>1206219</v>
      </c>
      <c r="H448" s="147">
        <f t="shared" si="145"/>
        <v>1773288</v>
      </c>
      <c r="I448" s="147">
        <f t="shared" si="145"/>
        <v>1711292</v>
      </c>
      <c r="J448" s="147">
        <f t="shared" si="145"/>
        <v>2726170</v>
      </c>
      <c r="K448" s="147">
        <f t="shared" si="145"/>
        <v>249428</v>
      </c>
      <c r="L448" s="147">
        <f t="shared" si="145"/>
        <v>1540769</v>
      </c>
      <c r="M448" s="147">
        <f t="shared" si="145"/>
        <v>3130144</v>
      </c>
      <c r="N448" s="147">
        <f t="shared" si="145"/>
        <v>949770</v>
      </c>
      <c r="O448" s="147">
        <f t="shared" si="145"/>
        <v>1253020</v>
      </c>
      <c r="P448" s="147">
        <f t="shared" si="145"/>
        <v>1840139</v>
      </c>
      <c r="Q448" s="148">
        <f t="shared" si="145"/>
        <v>3050403</v>
      </c>
      <c r="R448" s="131"/>
    </row>
    <row r="449" spans="2:21" s="130" customFormat="1" ht="25.5" customHeight="1" outlineLevel="1">
      <c r="B449" s="144" t="s">
        <v>76</v>
      </c>
      <c r="C449" s="140"/>
      <c r="D449" s="132"/>
      <c r="E449" s="132"/>
      <c r="F449" s="132"/>
      <c r="G449" s="132"/>
      <c r="H449" s="132"/>
      <c r="I449" s="132"/>
      <c r="J449" s="132"/>
      <c r="K449" s="132"/>
      <c r="L449" s="132"/>
      <c r="M449" s="132"/>
      <c r="N449" s="132"/>
      <c r="O449" s="132"/>
      <c r="P449" s="132"/>
      <c r="Q449" s="133"/>
      <c r="R449" s="131"/>
    </row>
    <row r="450" spans="2:21" s="130" customFormat="1" ht="25.5" customHeight="1" outlineLevel="1">
      <c r="B450" s="143" t="s">
        <v>72</v>
      </c>
      <c r="C450" s="145">
        <v>74.029161090941159</v>
      </c>
      <c r="D450" s="145">
        <v>54.301326247738835</v>
      </c>
      <c r="E450" s="145">
        <v>69.275308992732604</v>
      </c>
      <c r="F450" s="145">
        <v>33.030899320035687</v>
      </c>
      <c r="G450" s="145">
        <v>59.436768500828208</v>
      </c>
      <c r="H450" s="145">
        <v>74.993163556812291</v>
      </c>
      <c r="I450" s="145">
        <v>138.78870121389238</v>
      </c>
      <c r="J450" s="145">
        <v>162.74327096008369</v>
      </c>
      <c r="K450" s="145">
        <v>5.7978595614866117</v>
      </c>
      <c r="L450" s="145">
        <v>65.471705867661584</v>
      </c>
      <c r="M450" s="145">
        <v>83.098820928412593</v>
      </c>
      <c r="N450" s="145">
        <v>36.161147626668175</v>
      </c>
      <c r="O450" s="145">
        <v>77.736286752304679</v>
      </c>
      <c r="P450" s="145">
        <v>230.11709816246176</v>
      </c>
      <c r="Q450" s="149">
        <v>97.86335617069372</v>
      </c>
      <c r="R450" s="131"/>
    </row>
    <row r="451" spans="2:21" s="130" customFormat="1" ht="25.5" customHeight="1" outlineLevel="1">
      <c r="B451" s="143" t="s">
        <v>73</v>
      </c>
      <c r="C451" s="145">
        <v>5.6649185209325479</v>
      </c>
      <c r="D451" s="145">
        <v>17.340954237590417</v>
      </c>
      <c r="E451" s="145">
        <v>8.1383352817613162</v>
      </c>
      <c r="F451" s="145">
        <v>0.90410070130657294</v>
      </c>
      <c r="G451" s="145">
        <v>6.5824576896097833</v>
      </c>
      <c r="H451" s="145">
        <v>2.5563150608969321</v>
      </c>
      <c r="I451" s="145">
        <v>8.1686944520348099</v>
      </c>
      <c r="J451" s="145">
        <v>6.2940400027116876</v>
      </c>
      <c r="K451" s="145">
        <v>5.5032659592310376</v>
      </c>
      <c r="L451" s="145">
        <v>3.7135978126508733</v>
      </c>
      <c r="M451" s="145">
        <v>5.301455211565596</v>
      </c>
      <c r="N451" s="145">
        <v>1.2232935844060968</v>
      </c>
      <c r="O451" s="145">
        <v>1.5135627465791961</v>
      </c>
      <c r="P451" s="145">
        <v>1.782061221687639</v>
      </c>
      <c r="Q451" s="149">
        <v>6.3227052172712881</v>
      </c>
      <c r="R451" s="131"/>
    </row>
    <row r="452" spans="2:21" s="130" customFormat="1" ht="25.5" customHeight="1" outlineLevel="1">
      <c r="B452" s="143" t="s">
        <v>74</v>
      </c>
      <c r="C452" s="145">
        <v>5.4667733262499763</v>
      </c>
      <c r="D452" s="145">
        <v>10.50872782293027</v>
      </c>
      <c r="E452" s="145">
        <v>16.141949576857336</v>
      </c>
      <c r="F452" s="145">
        <v>1.0500390563307538E-2</v>
      </c>
      <c r="G452" s="145">
        <v>11.39247086517857</v>
      </c>
      <c r="H452" s="145">
        <v>1.8153833622231799</v>
      </c>
      <c r="I452" s="145">
        <v>11.521834779104934</v>
      </c>
      <c r="J452" s="145">
        <v>12.151950221919742</v>
      </c>
      <c r="K452" s="145">
        <v>5.2128426310803274E-3</v>
      </c>
      <c r="L452" s="145">
        <v>0.4009146472271764</v>
      </c>
      <c r="M452" s="145">
        <v>1.8249739497384885</v>
      </c>
      <c r="N452" s="145">
        <v>7.0663152562827056</v>
      </c>
      <c r="O452" s="145">
        <v>5.7922059764722809</v>
      </c>
      <c r="P452" s="145">
        <v>2.6332177099355216</v>
      </c>
      <c r="Q452" s="149">
        <v>1.8622756635228357</v>
      </c>
      <c r="R452" s="131"/>
    </row>
    <row r="453" spans="2:21" s="130" customFormat="1" ht="25.5" customHeight="1" outlineLevel="1">
      <c r="B453" s="143" t="s">
        <v>75</v>
      </c>
      <c r="C453" s="145">
        <v>0.76116675055831662</v>
      </c>
      <c r="D453" s="145">
        <v>0</v>
      </c>
      <c r="E453" s="145">
        <v>1.6301588706259345E-3</v>
      </c>
      <c r="F453" s="145">
        <v>0</v>
      </c>
      <c r="G453" s="145">
        <v>0</v>
      </c>
      <c r="H453" s="145">
        <v>0</v>
      </c>
      <c r="I453" s="145">
        <v>3.4642941500669239E-2</v>
      </c>
      <c r="J453" s="145">
        <v>0</v>
      </c>
      <c r="K453" s="145">
        <v>0</v>
      </c>
      <c r="L453" s="145">
        <v>0</v>
      </c>
      <c r="M453" s="145">
        <v>0</v>
      </c>
      <c r="N453" s="145">
        <v>3.4664105084082202</v>
      </c>
      <c r="O453" s="145">
        <v>6.7869725419451868E-5</v>
      </c>
      <c r="P453" s="145">
        <v>20.681285791359176</v>
      </c>
      <c r="Q453" s="149">
        <v>0</v>
      </c>
      <c r="R453" s="131"/>
    </row>
    <row r="454" spans="2:21" ht="25.5" customHeight="1" outlineLevel="1" thickBot="1">
      <c r="B454" s="743" t="s">
        <v>20</v>
      </c>
      <c r="C454" s="744">
        <f t="shared" ref="C454:Q454" si="146">SUM(C450:C453)</f>
        <v>85.922019688681999</v>
      </c>
      <c r="D454" s="744">
        <f t="shared" si="146"/>
        <v>82.15100830825952</v>
      </c>
      <c r="E454" s="744">
        <f t="shared" si="146"/>
        <v>93.557224010221887</v>
      </c>
      <c r="F454" s="744">
        <f t="shared" si="146"/>
        <v>33.94550041190557</v>
      </c>
      <c r="G454" s="744">
        <f t="shared" si="146"/>
        <v>77.411697055616557</v>
      </c>
      <c r="H454" s="744">
        <f t="shared" si="146"/>
        <v>79.3648619799324</v>
      </c>
      <c r="I454" s="744">
        <f t="shared" si="146"/>
        <v>158.51387338653277</v>
      </c>
      <c r="J454" s="744">
        <f t="shared" si="146"/>
        <v>181.18926118471512</v>
      </c>
      <c r="K454" s="744">
        <f t="shared" si="146"/>
        <v>11.306338363348729</v>
      </c>
      <c r="L454" s="744">
        <f t="shared" si="146"/>
        <v>69.58621832753964</v>
      </c>
      <c r="M454" s="744">
        <f t="shared" si="146"/>
        <v>90.225250089716681</v>
      </c>
      <c r="N454" s="744">
        <f t="shared" si="146"/>
        <v>47.917166975765198</v>
      </c>
      <c r="O454" s="744">
        <f t="shared" si="146"/>
        <v>85.042123345081563</v>
      </c>
      <c r="P454" s="744">
        <f t="shared" si="146"/>
        <v>255.21366288544408</v>
      </c>
      <c r="Q454" s="745">
        <f t="shared" si="146"/>
        <v>106.04833705148785</v>
      </c>
      <c r="R454" s="15"/>
    </row>
    <row r="455" spans="2:21" s="435" customFormat="1" ht="13.5" customHeight="1" outlineLevel="1">
      <c r="B455" s="153"/>
      <c r="C455" s="741"/>
      <c r="D455" s="741"/>
      <c r="E455" s="741"/>
      <c r="F455" s="741"/>
      <c r="G455" s="741"/>
      <c r="H455" s="741"/>
      <c r="I455" s="741"/>
      <c r="J455" s="741"/>
      <c r="K455" s="741"/>
      <c r="L455" s="741"/>
      <c r="M455" s="741"/>
      <c r="N455" s="741"/>
      <c r="O455" s="741"/>
      <c r="P455" s="741"/>
      <c r="Q455" s="741"/>
      <c r="R455" s="128"/>
      <c r="S455" s="128"/>
      <c r="T455" s="128"/>
      <c r="U455" s="742"/>
    </row>
    <row r="456" spans="2:21" s="435" customFormat="1" ht="12.75" customHeight="1" outlineLevel="1">
      <c r="B456" s="153"/>
      <c r="C456" s="154"/>
      <c r="D456" s="154"/>
      <c r="E456" s="154"/>
      <c r="F456" s="154"/>
      <c r="G456" s="154"/>
      <c r="H456" s="154"/>
      <c r="I456" s="154"/>
      <c r="J456" s="154"/>
      <c r="K456" s="154"/>
      <c r="L456" s="154"/>
      <c r="M456" s="154"/>
      <c r="N456" s="154"/>
      <c r="O456" s="154"/>
      <c r="P456" s="154"/>
      <c r="Q456" s="154"/>
      <c r="R456" s="128"/>
      <c r="S456" s="128"/>
      <c r="T456" s="128"/>
      <c r="U456" s="742"/>
    </row>
    <row r="457" spans="2:21" s="435" customFormat="1" ht="12.75" customHeight="1" outlineLevel="1">
      <c r="B457" s="153"/>
      <c r="C457" s="154"/>
      <c r="D457" s="154"/>
      <c r="E457" s="154"/>
      <c r="F457" s="154"/>
      <c r="G457" s="154"/>
      <c r="H457" s="154"/>
      <c r="I457" s="154"/>
      <c r="J457" s="154"/>
      <c r="K457" s="154"/>
      <c r="L457" s="154"/>
      <c r="M457" s="154"/>
      <c r="N457" s="154"/>
      <c r="O457" s="154"/>
      <c r="P457" s="154"/>
      <c r="Q457" s="154"/>
      <c r="R457" s="128"/>
      <c r="S457" s="128"/>
      <c r="T457" s="128"/>
      <c r="U457" s="742"/>
    </row>
    <row r="458" spans="2:21" s="435" customFormat="1" ht="12.75" customHeight="1" outlineLevel="1">
      <c r="B458" s="153"/>
      <c r="C458" s="154"/>
      <c r="D458" s="154"/>
      <c r="E458" s="154"/>
      <c r="F458" s="154"/>
      <c r="G458" s="154"/>
      <c r="H458" s="154"/>
      <c r="I458" s="154"/>
      <c r="J458" s="154"/>
      <c r="K458" s="154"/>
      <c r="L458" s="154"/>
      <c r="M458" s="154"/>
      <c r="N458" s="154"/>
      <c r="O458" s="154"/>
      <c r="P458" s="154"/>
      <c r="Q458" s="154"/>
      <c r="R458" s="128"/>
      <c r="S458" s="128"/>
      <c r="T458" s="128"/>
      <c r="U458" s="742"/>
    </row>
    <row r="459" spans="2:21" s="435" customFormat="1" ht="12.75" customHeight="1" outlineLevel="1">
      <c r="B459" s="153"/>
      <c r="C459" s="154"/>
      <c r="D459" s="154"/>
      <c r="E459" s="154"/>
      <c r="F459" s="154"/>
      <c r="G459" s="154"/>
      <c r="H459" s="154"/>
      <c r="I459" s="154"/>
      <c r="J459" s="154"/>
      <c r="K459" s="154"/>
      <c r="L459" s="154"/>
      <c r="M459" s="154"/>
      <c r="N459" s="154"/>
      <c r="O459" s="154"/>
      <c r="P459" s="154"/>
      <c r="Q459" s="154"/>
      <c r="R459" s="128"/>
      <c r="S459" s="128"/>
      <c r="T459" s="128"/>
      <c r="U459" s="742"/>
    </row>
    <row r="460" spans="2:21" s="435" customFormat="1" ht="13.5" customHeight="1" outlineLevel="1">
      <c r="B460" s="153"/>
      <c r="C460" s="154"/>
      <c r="D460" s="154"/>
      <c r="E460" s="154"/>
      <c r="F460" s="154"/>
      <c r="G460" s="154"/>
      <c r="H460" s="154"/>
      <c r="I460" s="154"/>
      <c r="J460" s="154"/>
      <c r="K460" s="154"/>
      <c r="L460" s="154"/>
      <c r="M460" s="154"/>
      <c r="N460" s="154"/>
      <c r="O460" s="154"/>
      <c r="P460" s="154"/>
      <c r="Q460" s="154"/>
      <c r="R460" s="128"/>
      <c r="S460" s="128"/>
      <c r="T460" s="128"/>
      <c r="U460" s="742"/>
    </row>
    <row r="461" spans="2:21" s="435" customFormat="1" ht="12.75" customHeight="1" outlineLevel="1">
      <c r="B461" s="153"/>
      <c r="C461" s="156"/>
      <c r="D461" s="154"/>
      <c r="E461" s="154"/>
      <c r="F461" s="154"/>
      <c r="G461" s="154"/>
      <c r="H461" s="154"/>
      <c r="I461" s="154"/>
      <c r="J461" s="154"/>
      <c r="K461" s="154"/>
      <c r="L461" s="154"/>
      <c r="M461" s="154"/>
      <c r="N461" s="154"/>
      <c r="O461" s="154"/>
      <c r="P461" s="154"/>
      <c r="Q461" s="154"/>
      <c r="R461" s="128"/>
      <c r="S461" s="128"/>
      <c r="T461" s="128"/>
      <c r="U461" s="742"/>
    </row>
    <row r="462" spans="2:21" s="127" customFormat="1" ht="12.75" customHeight="1" outlineLevel="1">
      <c r="B462" s="153"/>
      <c r="C462" s="156"/>
      <c r="D462" s="154"/>
      <c r="E462" s="154"/>
      <c r="F462" s="154"/>
      <c r="G462" s="154"/>
      <c r="H462" s="154"/>
      <c r="I462" s="154"/>
      <c r="J462" s="154"/>
      <c r="K462" s="154"/>
      <c r="L462" s="154"/>
      <c r="M462" s="154"/>
      <c r="N462" s="154"/>
      <c r="O462" s="154"/>
      <c r="P462" s="154"/>
      <c r="Q462" s="154"/>
      <c r="R462" s="128"/>
      <c r="S462" s="128"/>
      <c r="T462" s="128"/>
      <c r="U462" s="129"/>
    </row>
    <row r="463" spans="2:21" ht="12.75" customHeight="1" outlineLevel="1"/>
    <row r="464" spans="2:21" s="2" customFormat="1" ht="15.75" customHeight="1" outlineLevel="1" thickBot="1">
      <c r="B464" s="28" t="str">
        <f>CONCATENATE(LEFT(B487, 4)+1 &amp;"-" &amp;IF(B487&gt;"2007-08",,"0") &amp;RIGHT(B487,2)+1)</f>
        <v>2006-07</v>
      </c>
      <c r="C464" s="29"/>
      <c r="D464" s="28"/>
      <c r="E464" s="28"/>
      <c r="G464" s="28"/>
      <c r="H464" s="28"/>
      <c r="I464" s="28"/>
      <c r="J464" s="28"/>
      <c r="K464" s="28"/>
      <c r="L464" s="28"/>
      <c r="M464" s="28"/>
      <c r="N464" s="28"/>
      <c r="O464" s="28"/>
    </row>
    <row r="465" spans="2:21" ht="13.5" customHeight="1" outlineLevel="1" thickBot="1">
      <c r="B465" s="141" t="s">
        <v>19</v>
      </c>
      <c r="C465" s="138" t="s">
        <v>38</v>
      </c>
      <c r="D465" s="136" t="str">
        <f>D488</f>
        <v>CN West</v>
      </c>
      <c r="E465" s="136" t="str">
        <f t="shared" ref="E465:Q465" si="147">E488</f>
        <v>CN East</v>
      </c>
      <c r="F465" s="136" t="str">
        <f t="shared" si="147"/>
        <v>ENWL</v>
      </c>
      <c r="G465" s="136" t="str">
        <f t="shared" si="147"/>
        <v>CE NEDL</v>
      </c>
      <c r="H465" s="136" t="str">
        <f t="shared" si="147"/>
        <v>CE YEDL</v>
      </c>
      <c r="I465" s="136" t="str">
        <f t="shared" si="147"/>
        <v>WPD S Wales</v>
      </c>
      <c r="J465" s="136" t="str">
        <f t="shared" si="147"/>
        <v>WPD S West</v>
      </c>
      <c r="K465" s="136" t="str">
        <f t="shared" si="147"/>
        <v>UKPN LPN</v>
      </c>
      <c r="L465" s="136" t="str">
        <f t="shared" si="147"/>
        <v>UKPN SEPN</v>
      </c>
      <c r="M465" s="136" t="str">
        <f t="shared" si="147"/>
        <v>UKPN EPN</v>
      </c>
      <c r="N465" s="136" t="str">
        <f t="shared" si="147"/>
        <v>SP Distribution</v>
      </c>
      <c r="O465" s="136" t="str">
        <f t="shared" si="147"/>
        <v>SP Manweb</v>
      </c>
      <c r="P465" s="136" t="str">
        <f t="shared" si="147"/>
        <v>SSE Hydro</v>
      </c>
      <c r="Q465" s="137" t="str">
        <f t="shared" si="147"/>
        <v>SSE Southern</v>
      </c>
      <c r="R465" s="15"/>
    </row>
    <row r="466" spans="2:21" s="130" customFormat="1" ht="25.5" customHeight="1" outlineLevel="1" thickTop="1">
      <c r="B466" s="142" t="s">
        <v>71</v>
      </c>
      <c r="C466" s="139"/>
      <c r="D466" s="134"/>
      <c r="E466" s="134"/>
      <c r="F466" s="134"/>
      <c r="G466" s="134"/>
      <c r="H466" s="134"/>
      <c r="I466" s="134"/>
      <c r="J466" s="134"/>
      <c r="K466" s="134"/>
      <c r="L466" s="134"/>
      <c r="M466" s="134"/>
      <c r="N466" s="134"/>
      <c r="O466" s="134"/>
      <c r="P466" s="134"/>
      <c r="Q466" s="135"/>
      <c r="R466" s="131"/>
    </row>
    <row r="467" spans="2:21" s="130" customFormat="1" ht="25.5" customHeight="1" outlineLevel="1">
      <c r="B467" s="143" t="s">
        <v>72</v>
      </c>
      <c r="C467" s="146">
        <f>SUM(D467:Q467)</f>
        <v>32391524</v>
      </c>
      <c r="D467" s="147">
        <v>4922911</v>
      </c>
      <c r="E467" s="147">
        <v>2315077</v>
      </c>
      <c r="F467" s="147">
        <v>1427197</v>
      </c>
      <c r="G467" s="147">
        <v>982045</v>
      </c>
      <c r="H467" s="147">
        <v>2323767</v>
      </c>
      <c r="I467" s="147">
        <v>2932465</v>
      </c>
      <c r="J467" s="147">
        <v>3489875</v>
      </c>
      <c r="K467" s="147">
        <v>164998</v>
      </c>
      <c r="L467" s="147">
        <v>1992040</v>
      </c>
      <c r="M467" s="147">
        <v>4636934</v>
      </c>
      <c r="N467" s="147">
        <v>542662</v>
      </c>
      <c r="O467" s="147">
        <v>1236072</v>
      </c>
      <c r="P467" s="147">
        <v>1639383</v>
      </c>
      <c r="Q467" s="148">
        <v>3786098</v>
      </c>
      <c r="R467" s="131"/>
    </row>
    <row r="468" spans="2:21" s="130" customFormat="1" ht="25.5" customHeight="1" outlineLevel="1">
      <c r="B468" s="143" t="s">
        <v>73</v>
      </c>
      <c r="C468" s="146">
        <f>SUM(D468:Q468)</f>
        <v>2896118</v>
      </c>
      <c r="D468" s="147">
        <v>1389325</v>
      </c>
      <c r="E468" s="147">
        <v>207933</v>
      </c>
      <c r="F468" s="147">
        <v>0</v>
      </c>
      <c r="G468" s="147">
        <v>128715</v>
      </c>
      <c r="H468" s="147">
        <v>82672</v>
      </c>
      <c r="I468" s="147">
        <v>88716</v>
      </c>
      <c r="J468" s="147">
        <v>85223</v>
      </c>
      <c r="K468" s="147">
        <v>115111</v>
      </c>
      <c r="L468" s="147">
        <v>88856</v>
      </c>
      <c r="M468" s="147">
        <v>312829</v>
      </c>
      <c r="N468" s="147">
        <v>38749</v>
      </c>
      <c r="O468" s="147">
        <v>26046</v>
      </c>
      <c r="P468" s="147">
        <v>19174</v>
      </c>
      <c r="Q468" s="148">
        <v>312769</v>
      </c>
      <c r="R468" s="131"/>
    </row>
    <row r="469" spans="2:21" s="130" customFormat="1" ht="25.5" customHeight="1" outlineLevel="1">
      <c r="B469" s="143" t="s">
        <v>74</v>
      </c>
      <c r="C469" s="146">
        <f>SUM(D469:Q469)</f>
        <v>1464106</v>
      </c>
      <c r="D469" s="147">
        <v>110548</v>
      </c>
      <c r="E469" s="147">
        <v>486830</v>
      </c>
      <c r="F469" s="147">
        <v>83</v>
      </c>
      <c r="G469" s="147">
        <v>98821</v>
      </c>
      <c r="H469" s="147">
        <v>72769</v>
      </c>
      <c r="I469" s="147">
        <v>113270</v>
      </c>
      <c r="J469" s="147">
        <v>183310</v>
      </c>
      <c r="K469" s="147">
        <v>8550</v>
      </c>
      <c r="L469" s="147">
        <v>10062</v>
      </c>
      <c r="M469" s="147">
        <v>80871</v>
      </c>
      <c r="N469" s="147">
        <v>139063</v>
      </c>
      <c r="O469" s="147">
        <v>94087</v>
      </c>
      <c r="P469" s="147">
        <v>12578</v>
      </c>
      <c r="Q469" s="148">
        <v>53264</v>
      </c>
      <c r="R469" s="131"/>
    </row>
    <row r="470" spans="2:21" s="130" customFormat="1" ht="25.5" customHeight="1" outlineLevel="1">
      <c r="B470" s="143" t="s">
        <v>75</v>
      </c>
      <c r="C470" s="146">
        <f>SUM(D470:Q470)</f>
        <v>157733</v>
      </c>
      <c r="D470" s="147">
        <v>0</v>
      </c>
      <c r="E470" s="147">
        <v>520</v>
      </c>
      <c r="F470" s="147">
        <v>0</v>
      </c>
      <c r="G470" s="147">
        <v>0</v>
      </c>
      <c r="H470" s="147">
        <v>0</v>
      </c>
      <c r="I470" s="147">
        <v>0</v>
      </c>
      <c r="J470" s="147">
        <v>0</v>
      </c>
      <c r="K470" s="147">
        <v>0</v>
      </c>
      <c r="L470" s="147">
        <v>0</v>
      </c>
      <c r="M470" s="147">
        <v>0</v>
      </c>
      <c r="N470" s="147">
        <v>0</v>
      </c>
      <c r="O470" s="147">
        <v>0</v>
      </c>
      <c r="P470" s="147">
        <v>157213</v>
      </c>
      <c r="Q470" s="148">
        <v>0</v>
      </c>
      <c r="R470" s="131"/>
    </row>
    <row r="471" spans="2:21" s="130" customFormat="1" ht="25.5" customHeight="1" outlineLevel="1">
      <c r="B471" s="143" t="s">
        <v>20</v>
      </c>
      <c r="C471" s="146">
        <f>SUM(C467:C470)</f>
        <v>36909481</v>
      </c>
      <c r="D471" s="147">
        <f>SUM(D467:D470)</f>
        <v>6422784</v>
      </c>
      <c r="E471" s="147">
        <f t="shared" ref="E471:Q471" si="148">SUM(E467:E470)</f>
        <v>3010360</v>
      </c>
      <c r="F471" s="147">
        <f t="shared" si="148"/>
        <v>1427280</v>
      </c>
      <c r="G471" s="147">
        <f t="shared" si="148"/>
        <v>1209581</v>
      </c>
      <c r="H471" s="147">
        <f t="shared" si="148"/>
        <v>2479208</v>
      </c>
      <c r="I471" s="147">
        <f t="shared" si="148"/>
        <v>3134451</v>
      </c>
      <c r="J471" s="147">
        <f t="shared" si="148"/>
        <v>3758408</v>
      </c>
      <c r="K471" s="147">
        <f t="shared" si="148"/>
        <v>288659</v>
      </c>
      <c r="L471" s="147">
        <f t="shared" si="148"/>
        <v>2090958</v>
      </c>
      <c r="M471" s="147">
        <f t="shared" si="148"/>
        <v>5030634</v>
      </c>
      <c r="N471" s="147">
        <f t="shared" si="148"/>
        <v>720474</v>
      </c>
      <c r="O471" s="147">
        <f t="shared" si="148"/>
        <v>1356205</v>
      </c>
      <c r="P471" s="147">
        <f t="shared" si="148"/>
        <v>1828348</v>
      </c>
      <c r="Q471" s="148">
        <f t="shared" si="148"/>
        <v>4152131</v>
      </c>
      <c r="R471" s="131"/>
    </row>
    <row r="472" spans="2:21" s="130" customFormat="1" ht="25.5" customHeight="1" outlineLevel="1">
      <c r="B472" s="144" t="s">
        <v>76</v>
      </c>
      <c r="C472" s="140"/>
      <c r="D472" s="132"/>
      <c r="E472" s="132"/>
      <c r="F472" s="132"/>
      <c r="G472" s="132"/>
      <c r="H472" s="132"/>
      <c r="I472" s="132"/>
      <c r="J472" s="132"/>
      <c r="K472" s="132"/>
      <c r="L472" s="132"/>
      <c r="M472" s="132"/>
      <c r="N472" s="132"/>
      <c r="O472" s="132"/>
      <c r="P472" s="132"/>
      <c r="Q472" s="133"/>
      <c r="R472" s="131"/>
    </row>
    <row r="473" spans="2:21" s="130" customFormat="1" ht="25.5" customHeight="1" outlineLevel="1">
      <c r="B473" s="143" t="s">
        <v>72</v>
      </c>
      <c r="C473" s="145">
        <v>113.34366593556035</v>
      </c>
      <c r="D473" s="145">
        <v>203.21655978650114</v>
      </c>
      <c r="E473" s="145">
        <v>90.728804359540604</v>
      </c>
      <c r="F473" s="145">
        <v>61.351463118545446</v>
      </c>
      <c r="G473" s="145">
        <v>63.329713430056124</v>
      </c>
      <c r="H473" s="145">
        <v>104.17620814377399</v>
      </c>
      <c r="I473" s="145">
        <v>274.01630942113422</v>
      </c>
      <c r="J473" s="145">
        <v>234.44133785483197</v>
      </c>
      <c r="K473" s="145">
        <v>7.361739283296993</v>
      </c>
      <c r="L473" s="145">
        <v>89.323299909512656</v>
      </c>
      <c r="M473" s="145">
        <v>133.76406533156481</v>
      </c>
      <c r="N473" s="145">
        <v>27.575409569494695</v>
      </c>
      <c r="O473" s="145">
        <v>84.39701978434951</v>
      </c>
      <c r="P473" s="145">
        <v>231.15914952178576</v>
      </c>
      <c r="Q473" s="149">
        <v>132.47248275558024</v>
      </c>
      <c r="R473" s="131"/>
    </row>
    <row r="474" spans="2:21" s="130" customFormat="1" ht="25.5" customHeight="1" outlineLevel="1">
      <c r="B474" s="143" t="s">
        <v>73</v>
      </c>
      <c r="C474" s="145">
        <v>10.134028615077302</v>
      </c>
      <c r="D474" s="145">
        <v>57.350995564490326</v>
      </c>
      <c r="E474" s="145">
        <v>8.1489784041275346</v>
      </c>
      <c r="F474" s="145">
        <v>0</v>
      </c>
      <c r="G474" s="145">
        <v>8.3005198989350522</v>
      </c>
      <c r="H474" s="145">
        <v>3.7062474334397919</v>
      </c>
      <c r="I474" s="145">
        <v>8.2898281502440252</v>
      </c>
      <c r="J474" s="145">
        <v>5.7250744327525611</v>
      </c>
      <c r="K474" s="145">
        <v>5.1359238938629561</v>
      </c>
      <c r="L474" s="145">
        <v>3.9843131346557579</v>
      </c>
      <c r="M474" s="145">
        <v>9.0243421177890575</v>
      </c>
      <c r="N474" s="145">
        <v>1.9690332940363431</v>
      </c>
      <c r="O474" s="145">
        <v>1.7783792346264353</v>
      </c>
      <c r="P474" s="145">
        <v>2.7036058888805852</v>
      </c>
      <c r="Q474" s="149">
        <v>10.943532354149333</v>
      </c>
      <c r="R474" s="131"/>
    </row>
    <row r="475" spans="2:21" s="130" customFormat="1" ht="25.5" customHeight="1" outlineLevel="1">
      <c r="B475" s="143" t="s">
        <v>74</v>
      </c>
      <c r="C475" s="145">
        <v>5.1231655959827487</v>
      </c>
      <c r="D475" s="145">
        <v>4.5633943516911284</v>
      </c>
      <c r="E475" s="145">
        <v>19.079064681803306</v>
      </c>
      <c r="F475" s="145">
        <v>3.5679527345133656E-3</v>
      </c>
      <c r="G475" s="145">
        <v>6.3727279410531859</v>
      </c>
      <c r="H475" s="145">
        <v>3.2622885557864834</v>
      </c>
      <c r="I475" s="145">
        <v>10.5842106787743</v>
      </c>
      <c r="J475" s="145">
        <v>12.314321184045058</v>
      </c>
      <c r="K475" s="145">
        <v>0.38147656863834284</v>
      </c>
      <c r="L475" s="145">
        <v>0.45118122311274694</v>
      </c>
      <c r="M475" s="145">
        <v>2.3329281217780924</v>
      </c>
      <c r="N475" s="145">
        <v>7.0664966055530716</v>
      </c>
      <c r="O475" s="145">
        <v>6.4241099227634724</v>
      </c>
      <c r="P475" s="145">
        <v>1.7735451585657664</v>
      </c>
      <c r="Q475" s="149">
        <v>1.8636639414756899</v>
      </c>
      <c r="R475" s="131"/>
    </row>
    <row r="476" spans="2:21" s="130" customFormat="1" ht="25.5" customHeight="1" outlineLevel="1">
      <c r="B476" s="143" t="s">
        <v>75</v>
      </c>
      <c r="C476" s="145">
        <v>0.55193563782345478</v>
      </c>
      <c r="D476" s="145">
        <v>0</v>
      </c>
      <c r="E476" s="145">
        <v>2.0379010403092909E-2</v>
      </c>
      <c r="F476" s="145">
        <v>0</v>
      </c>
      <c r="G476" s="145">
        <v>0</v>
      </c>
      <c r="H476" s="145">
        <v>0</v>
      </c>
      <c r="I476" s="145">
        <v>0</v>
      </c>
      <c r="J476" s="145">
        <v>0</v>
      </c>
      <c r="K476" s="145">
        <v>0</v>
      </c>
      <c r="L476" s="145">
        <v>0</v>
      </c>
      <c r="M476" s="145">
        <v>0</v>
      </c>
      <c r="N476" s="145">
        <v>0</v>
      </c>
      <c r="O476" s="145">
        <v>0</v>
      </c>
      <c r="P476" s="145">
        <v>22.167622437080603</v>
      </c>
      <c r="Q476" s="149">
        <v>0</v>
      </c>
      <c r="R476" s="131"/>
    </row>
    <row r="477" spans="2:21" ht="25.5" customHeight="1" outlineLevel="1" thickBot="1">
      <c r="B477" s="743" t="s">
        <v>20</v>
      </c>
      <c r="C477" s="744">
        <f>SUM(C473:C476)</f>
        <v>129.15279578444384</v>
      </c>
      <c r="D477" s="744">
        <f t="shared" ref="D477:Q477" si="149">SUM(D473:D476)</f>
        <v>265.13094970268259</v>
      </c>
      <c r="E477" s="744">
        <f t="shared" si="149"/>
        <v>117.97722645587453</v>
      </c>
      <c r="F477" s="744">
        <f t="shared" si="149"/>
        <v>61.35503107127996</v>
      </c>
      <c r="G477" s="744">
        <f t="shared" si="149"/>
        <v>78.002961270044366</v>
      </c>
      <c r="H477" s="744">
        <f t="shared" si="149"/>
        <v>111.14474413300027</v>
      </c>
      <c r="I477" s="744">
        <f t="shared" si="149"/>
        <v>292.89034825015256</v>
      </c>
      <c r="J477" s="744">
        <f t="shared" si="149"/>
        <v>252.48073347162961</v>
      </c>
      <c r="K477" s="744">
        <f t="shared" si="149"/>
        <v>12.879139745798293</v>
      </c>
      <c r="L477" s="744">
        <f t="shared" si="149"/>
        <v>93.758794267281161</v>
      </c>
      <c r="M477" s="744">
        <f t="shared" si="149"/>
        <v>145.12133557113194</v>
      </c>
      <c r="N477" s="744">
        <f t="shared" si="149"/>
        <v>36.610939469084109</v>
      </c>
      <c r="O477" s="744">
        <f t="shared" si="149"/>
        <v>92.59950894173943</v>
      </c>
      <c r="P477" s="744">
        <f t="shared" si="149"/>
        <v>257.80392300631269</v>
      </c>
      <c r="Q477" s="745">
        <f t="shared" si="149"/>
        <v>145.27967905120528</v>
      </c>
      <c r="R477" s="15"/>
    </row>
    <row r="478" spans="2:21" s="435" customFormat="1" ht="13.5" customHeight="1" outlineLevel="1">
      <c r="B478" s="153"/>
      <c r="C478" s="741"/>
      <c r="D478" s="741"/>
      <c r="E478" s="741"/>
      <c r="F478" s="741"/>
      <c r="G478" s="741"/>
      <c r="H478" s="741"/>
      <c r="I478" s="741"/>
      <c r="J478" s="741"/>
      <c r="K478" s="741"/>
      <c r="L478" s="741"/>
      <c r="M478" s="741"/>
      <c r="N478" s="741"/>
      <c r="O478" s="741"/>
      <c r="P478" s="741"/>
      <c r="Q478" s="741"/>
      <c r="R478" s="128"/>
      <c r="S478" s="128"/>
      <c r="T478" s="128"/>
      <c r="U478" s="742"/>
    </row>
    <row r="479" spans="2:21" s="435" customFormat="1" ht="12.75" customHeight="1" outlineLevel="1">
      <c r="B479" s="153"/>
      <c r="C479" s="154"/>
      <c r="D479" s="154"/>
      <c r="E479" s="154"/>
      <c r="F479" s="154"/>
      <c r="G479" s="154"/>
      <c r="H479" s="154"/>
      <c r="I479" s="154"/>
      <c r="J479" s="154"/>
      <c r="K479" s="154"/>
      <c r="L479" s="154"/>
      <c r="M479" s="154"/>
      <c r="N479" s="154"/>
      <c r="O479" s="154"/>
      <c r="P479" s="154"/>
      <c r="Q479" s="154"/>
      <c r="R479" s="128"/>
      <c r="S479" s="128"/>
      <c r="T479" s="128"/>
      <c r="U479" s="742"/>
    </row>
    <row r="480" spans="2:21" s="435" customFormat="1" ht="12.75" customHeight="1" outlineLevel="1">
      <c r="B480" s="153"/>
      <c r="C480" s="154"/>
      <c r="D480" s="154"/>
      <c r="E480" s="154"/>
      <c r="F480" s="154"/>
      <c r="G480" s="154"/>
      <c r="H480" s="154"/>
      <c r="I480" s="154"/>
      <c r="J480" s="154"/>
      <c r="K480" s="154"/>
      <c r="L480" s="154"/>
      <c r="M480" s="154"/>
      <c r="N480" s="154"/>
      <c r="O480" s="154"/>
      <c r="P480" s="154"/>
      <c r="Q480" s="154"/>
      <c r="R480" s="128"/>
      <c r="S480" s="128"/>
      <c r="T480" s="128"/>
      <c r="U480" s="742"/>
    </row>
    <row r="481" spans="2:21" s="435" customFormat="1" ht="12.75" customHeight="1" outlineLevel="1">
      <c r="B481" s="153"/>
      <c r="C481" s="154"/>
      <c r="D481" s="154"/>
      <c r="E481" s="154"/>
      <c r="F481" s="154"/>
      <c r="G481" s="154"/>
      <c r="H481" s="154"/>
      <c r="I481" s="154"/>
      <c r="J481" s="154"/>
      <c r="K481" s="154"/>
      <c r="L481" s="154"/>
      <c r="M481" s="154"/>
      <c r="N481" s="154"/>
      <c r="O481" s="154"/>
      <c r="P481" s="154"/>
      <c r="Q481" s="154"/>
      <c r="R481" s="128"/>
      <c r="S481" s="128"/>
      <c r="T481" s="128"/>
      <c r="U481" s="742"/>
    </row>
    <row r="482" spans="2:21" s="435" customFormat="1" ht="12.75" customHeight="1" outlineLevel="1">
      <c r="B482" s="153"/>
      <c r="C482" s="154"/>
      <c r="D482" s="154"/>
      <c r="E482" s="154"/>
      <c r="F482" s="154"/>
      <c r="G482" s="154"/>
      <c r="H482" s="154"/>
      <c r="I482" s="154"/>
      <c r="J482" s="154"/>
      <c r="K482" s="154"/>
      <c r="L482" s="154"/>
      <c r="M482" s="154"/>
      <c r="N482" s="154"/>
      <c r="O482" s="154"/>
      <c r="P482" s="154"/>
      <c r="Q482" s="154"/>
      <c r="R482" s="128"/>
      <c r="S482" s="128"/>
      <c r="T482" s="128"/>
      <c r="U482" s="742"/>
    </row>
    <row r="483" spans="2:21" s="435" customFormat="1" ht="13.5" customHeight="1" outlineLevel="1">
      <c r="B483" s="153"/>
      <c r="C483" s="154"/>
      <c r="D483" s="154"/>
      <c r="E483" s="154"/>
      <c r="F483" s="154"/>
      <c r="G483" s="154"/>
      <c r="H483" s="154"/>
      <c r="I483" s="154"/>
      <c r="J483" s="154"/>
      <c r="K483" s="154"/>
      <c r="L483" s="154"/>
      <c r="M483" s="154"/>
      <c r="N483" s="154"/>
      <c r="O483" s="154"/>
      <c r="P483" s="154"/>
      <c r="Q483" s="154"/>
      <c r="R483" s="128"/>
      <c r="S483" s="128"/>
      <c r="T483" s="128"/>
      <c r="U483" s="742"/>
    </row>
    <row r="484" spans="2:21" s="435" customFormat="1" ht="12.75" customHeight="1" outlineLevel="1">
      <c r="B484" s="153"/>
      <c r="C484" s="156"/>
      <c r="D484" s="154"/>
      <c r="E484" s="154"/>
      <c r="F484" s="154"/>
      <c r="G484" s="154"/>
      <c r="H484" s="154"/>
      <c r="I484" s="154"/>
      <c r="J484" s="154"/>
      <c r="K484" s="154"/>
      <c r="L484" s="154"/>
      <c r="M484" s="154"/>
      <c r="N484" s="154"/>
      <c r="O484" s="154"/>
      <c r="P484" s="154"/>
      <c r="Q484" s="154"/>
      <c r="R484" s="128"/>
      <c r="S484" s="128"/>
      <c r="T484" s="128"/>
      <c r="U484" s="742"/>
    </row>
    <row r="485" spans="2:21" s="127" customFormat="1" ht="12.75" customHeight="1" outlineLevel="1">
      <c r="B485" s="153"/>
      <c r="C485" s="154"/>
      <c r="D485" s="154"/>
      <c r="E485" s="154"/>
      <c r="F485" s="154"/>
      <c r="G485" s="154"/>
      <c r="H485" s="154"/>
      <c r="I485" s="154"/>
      <c r="J485" s="154"/>
      <c r="K485" s="154"/>
      <c r="L485" s="154"/>
      <c r="M485" s="154"/>
      <c r="N485" s="154"/>
      <c r="O485" s="154"/>
      <c r="P485" s="154"/>
      <c r="Q485" s="154"/>
      <c r="R485" s="128"/>
      <c r="S485" s="128"/>
      <c r="T485" s="128"/>
      <c r="U485" s="129"/>
    </row>
    <row r="486" spans="2:21" ht="15" customHeight="1" outlineLevel="1">
      <c r="B486" s="28"/>
    </row>
    <row r="487" spans="2:21" s="2" customFormat="1" ht="15.75" customHeight="1" outlineLevel="1" thickBot="1">
      <c r="B487" s="28" t="str">
        <f>CONCATENATE(LEFT(B510, 4)+1 &amp;"-" &amp;IF(B510&gt;"2007-08",,"0") &amp;RIGHT(B510,2)+1)</f>
        <v>2005-06</v>
      </c>
      <c r="C487" s="29"/>
      <c r="D487" s="28"/>
      <c r="E487" s="28"/>
      <c r="G487" s="28"/>
      <c r="H487" s="28"/>
      <c r="I487" s="28"/>
      <c r="J487" s="28"/>
      <c r="K487" s="28"/>
      <c r="L487" s="28"/>
      <c r="M487" s="28"/>
      <c r="N487" s="28"/>
      <c r="O487" s="28"/>
    </row>
    <row r="488" spans="2:21" ht="13.5" customHeight="1" outlineLevel="1" thickBot="1">
      <c r="B488" s="141" t="s">
        <v>19</v>
      </c>
      <c r="C488" s="138" t="s">
        <v>38</v>
      </c>
      <c r="D488" s="136" t="str">
        <f>D511</f>
        <v>CN West</v>
      </c>
      <c r="E488" s="136" t="str">
        <f t="shared" ref="E488:Q488" si="150">E511</f>
        <v>CN East</v>
      </c>
      <c r="F488" s="136" t="str">
        <f t="shared" si="150"/>
        <v>ENWL</v>
      </c>
      <c r="G488" s="136" t="str">
        <f t="shared" si="150"/>
        <v>CE NEDL</v>
      </c>
      <c r="H488" s="136" t="str">
        <f t="shared" si="150"/>
        <v>CE YEDL</v>
      </c>
      <c r="I488" s="136" t="str">
        <f t="shared" si="150"/>
        <v>WPD S Wales</v>
      </c>
      <c r="J488" s="136" t="str">
        <f t="shared" si="150"/>
        <v>WPD S West</v>
      </c>
      <c r="K488" s="136" t="str">
        <f t="shared" si="150"/>
        <v>UKPN LPN</v>
      </c>
      <c r="L488" s="136" t="str">
        <f t="shared" si="150"/>
        <v>UKPN SEPN</v>
      </c>
      <c r="M488" s="136" t="str">
        <f t="shared" si="150"/>
        <v>UKPN EPN</v>
      </c>
      <c r="N488" s="136" t="str">
        <f t="shared" si="150"/>
        <v>SP Distribution</v>
      </c>
      <c r="O488" s="136" t="str">
        <f t="shared" si="150"/>
        <v>SP Manweb</v>
      </c>
      <c r="P488" s="136" t="str">
        <f t="shared" si="150"/>
        <v>SSE Hydro</v>
      </c>
      <c r="Q488" s="137" t="str">
        <f t="shared" si="150"/>
        <v>SSE Southern</v>
      </c>
      <c r="R488" s="15"/>
    </row>
    <row r="489" spans="2:21" s="130" customFormat="1" ht="25.5" customHeight="1" outlineLevel="1" thickTop="1">
      <c r="B489" s="142" t="s">
        <v>71</v>
      </c>
      <c r="C489" s="139"/>
      <c r="D489" s="134"/>
      <c r="E489" s="134"/>
      <c r="F489" s="134"/>
      <c r="G489" s="134"/>
      <c r="H489" s="134"/>
      <c r="I489" s="134"/>
      <c r="J489" s="134"/>
      <c r="K489" s="134"/>
      <c r="L489" s="134"/>
      <c r="M489" s="134"/>
      <c r="N489" s="134"/>
      <c r="O489" s="134"/>
      <c r="P489" s="134"/>
      <c r="Q489" s="135"/>
      <c r="R489" s="131"/>
    </row>
    <row r="490" spans="2:21" s="130" customFormat="1" ht="25.5" customHeight="1" outlineLevel="1">
      <c r="B490" s="143" t="s">
        <v>72</v>
      </c>
      <c r="C490" s="146">
        <f>SUM(D490:Q490)</f>
        <v>27633154.974399999</v>
      </c>
      <c r="D490" s="147">
        <v>3467213</v>
      </c>
      <c r="E490" s="147">
        <v>1657536</v>
      </c>
      <c r="F490" s="147">
        <v>1232095.9743999999</v>
      </c>
      <c r="G490" s="147">
        <v>687900</v>
      </c>
      <c r="H490" s="147">
        <v>1143560</v>
      </c>
      <c r="I490" s="147">
        <v>5927494</v>
      </c>
      <c r="J490" s="147">
        <v>2753426</v>
      </c>
      <c r="K490" s="147">
        <v>200558</v>
      </c>
      <c r="L490" s="147">
        <v>1629576</v>
      </c>
      <c r="M490" s="147">
        <v>2744773</v>
      </c>
      <c r="N490" s="147">
        <v>780991</v>
      </c>
      <c r="O490" s="147">
        <v>1015026</v>
      </c>
      <c r="P490" s="147">
        <v>1397122</v>
      </c>
      <c r="Q490" s="148">
        <v>2995884</v>
      </c>
      <c r="R490" s="131"/>
    </row>
    <row r="491" spans="2:21" s="130" customFormat="1" ht="25.5" customHeight="1" outlineLevel="1">
      <c r="B491" s="143" t="s">
        <v>73</v>
      </c>
      <c r="C491" s="146">
        <f>SUM(D491:Q491)</f>
        <v>2269793.0927999998</v>
      </c>
      <c r="D491" s="147">
        <v>942985</v>
      </c>
      <c r="E491" s="147">
        <v>110580</v>
      </c>
      <c r="F491" s="147">
        <v>110478.0928</v>
      </c>
      <c r="G491" s="147">
        <v>300606</v>
      </c>
      <c r="H491" s="147">
        <v>139511</v>
      </c>
      <c r="I491" s="147">
        <v>52340</v>
      </c>
      <c r="J491" s="147">
        <v>97682</v>
      </c>
      <c r="K491" s="147">
        <v>15660</v>
      </c>
      <c r="L491" s="147">
        <v>55290</v>
      </c>
      <c r="M491" s="147">
        <v>221925</v>
      </c>
      <c r="N491" s="147">
        <v>5690</v>
      </c>
      <c r="O491" s="147">
        <v>12251</v>
      </c>
      <c r="P491" s="147">
        <v>8151</v>
      </c>
      <c r="Q491" s="148">
        <v>196644</v>
      </c>
      <c r="R491" s="131"/>
    </row>
    <row r="492" spans="2:21" s="130" customFormat="1" ht="25.5" customHeight="1" outlineLevel="1">
      <c r="B492" s="143" t="s">
        <v>74</v>
      </c>
      <c r="C492" s="146">
        <f>SUM(D492:Q492)</f>
        <v>1220034.6432</v>
      </c>
      <c r="D492" s="147">
        <v>77219</v>
      </c>
      <c r="E492" s="147">
        <v>360195</v>
      </c>
      <c r="F492" s="147">
        <v>230.64320000000001</v>
      </c>
      <c r="G492" s="147">
        <v>47242</v>
      </c>
      <c r="H492" s="147">
        <v>30026</v>
      </c>
      <c r="I492" s="147">
        <v>214687</v>
      </c>
      <c r="J492" s="147">
        <v>156509</v>
      </c>
      <c r="K492" s="147">
        <v>0</v>
      </c>
      <c r="L492" s="147">
        <v>22937</v>
      </c>
      <c r="M492" s="147">
        <v>51472</v>
      </c>
      <c r="N492" s="147">
        <v>112023</v>
      </c>
      <c r="O492" s="147">
        <v>102383</v>
      </c>
      <c r="P492" s="147">
        <v>7098</v>
      </c>
      <c r="Q492" s="148">
        <v>38013</v>
      </c>
      <c r="R492" s="131"/>
    </row>
    <row r="493" spans="2:21" s="130" customFormat="1" ht="25.5" customHeight="1" outlineLevel="1">
      <c r="B493" s="143" t="s">
        <v>75</v>
      </c>
      <c r="C493" s="146">
        <f>SUM(D493:Q493)</f>
        <v>99851</v>
      </c>
      <c r="D493" s="147">
        <v>0</v>
      </c>
      <c r="E493" s="147">
        <v>0</v>
      </c>
      <c r="F493" s="147">
        <v>0</v>
      </c>
      <c r="G493" s="147">
        <v>0</v>
      </c>
      <c r="H493" s="147">
        <v>0</v>
      </c>
      <c r="I493" s="147">
        <v>4</v>
      </c>
      <c r="J493" s="147">
        <v>0</v>
      </c>
      <c r="K493" s="147">
        <v>0</v>
      </c>
      <c r="L493" s="147">
        <v>0</v>
      </c>
      <c r="M493" s="147">
        <v>0</v>
      </c>
      <c r="N493" s="147">
        <v>9993</v>
      </c>
      <c r="O493" s="147">
        <v>0</v>
      </c>
      <c r="P493" s="147">
        <v>89675</v>
      </c>
      <c r="Q493" s="148">
        <v>179</v>
      </c>
      <c r="R493" s="131"/>
    </row>
    <row r="494" spans="2:21" s="130" customFormat="1" ht="25.5" customHeight="1" outlineLevel="1">
      <c r="B494" s="143" t="s">
        <v>20</v>
      </c>
      <c r="C494" s="146">
        <f>SUM(C490:C493)</f>
        <v>31222833.710399996</v>
      </c>
      <c r="D494" s="147">
        <f>SUM(D490:D493)</f>
        <v>4487417</v>
      </c>
      <c r="E494" s="147">
        <f t="shared" ref="E494:Q494" si="151">SUM(E490:E493)</f>
        <v>2128311</v>
      </c>
      <c r="F494" s="147">
        <f t="shared" si="151"/>
        <v>1342804.7104</v>
      </c>
      <c r="G494" s="147">
        <f t="shared" si="151"/>
        <v>1035748</v>
      </c>
      <c r="H494" s="147">
        <f t="shared" si="151"/>
        <v>1313097</v>
      </c>
      <c r="I494" s="147">
        <f t="shared" si="151"/>
        <v>6194525</v>
      </c>
      <c r="J494" s="147">
        <f t="shared" si="151"/>
        <v>3007617</v>
      </c>
      <c r="K494" s="147">
        <f t="shared" si="151"/>
        <v>216218</v>
      </c>
      <c r="L494" s="147">
        <f t="shared" si="151"/>
        <v>1707803</v>
      </c>
      <c r="M494" s="147">
        <f t="shared" si="151"/>
        <v>3018170</v>
      </c>
      <c r="N494" s="147">
        <f t="shared" si="151"/>
        <v>908697</v>
      </c>
      <c r="O494" s="147">
        <f t="shared" si="151"/>
        <v>1129660</v>
      </c>
      <c r="P494" s="147">
        <f t="shared" si="151"/>
        <v>1502046</v>
      </c>
      <c r="Q494" s="148">
        <f t="shared" si="151"/>
        <v>3230720</v>
      </c>
      <c r="R494" s="131"/>
    </row>
    <row r="495" spans="2:21" s="130" customFormat="1" ht="25.5" customHeight="1" outlineLevel="1">
      <c r="B495" s="144" t="s">
        <v>76</v>
      </c>
      <c r="C495" s="140"/>
      <c r="D495" s="132"/>
      <c r="E495" s="132"/>
      <c r="F495" s="132"/>
      <c r="G495" s="132"/>
      <c r="H495" s="132"/>
      <c r="I495" s="132"/>
      <c r="J495" s="132"/>
      <c r="K495" s="132"/>
      <c r="L495" s="132"/>
      <c r="M495" s="132"/>
      <c r="N495" s="132"/>
      <c r="O495" s="132"/>
      <c r="P495" s="132"/>
      <c r="Q495" s="133"/>
      <c r="R495" s="131"/>
    </row>
    <row r="496" spans="2:21" s="130" customFormat="1" ht="25.5" customHeight="1" outlineLevel="1">
      <c r="B496" s="143" t="s">
        <v>72</v>
      </c>
      <c r="C496" s="145">
        <v>97.206858307296613</v>
      </c>
      <c r="D496" s="145">
        <v>145.04290780824221</v>
      </c>
      <c r="E496" s="145">
        <v>65.794663186274036</v>
      </c>
      <c r="F496" s="145">
        <v>53.42</v>
      </c>
      <c r="G496" s="145">
        <v>44.700644094758346</v>
      </c>
      <c r="H496" s="145">
        <v>51.72609540713561</v>
      </c>
      <c r="I496" s="145">
        <v>542.64880630873927</v>
      </c>
      <c r="J496" s="145">
        <v>183.3898359271243</v>
      </c>
      <c r="K496" s="145">
        <v>9.1451339386071577</v>
      </c>
      <c r="L496" s="145">
        <v>73.742209800943783</v>
      </c>
      <c r="M496" s="145">
        <v>79.852843330892455</v>
      </c>
      <c r="N496" s="145">
        <v>38.797193653878345</v>
      </c>
      <c r="O496" s="145">
        <v>67.636655862848372</v>
      </c>
      <c r="P496" s="145">
        <v>199.32404091706732</v>
      </c>
      <c r="Q496" s="149">
        <v>106.51077663441355</v>
      </c>
      <c r="R496" s="131"/>
    </row>
    <row r="497" spans="2:21" s="130" customFormat="1" ht="25.5" customHeight="1" outlineLevel="1">
      <c r="B497" s="143" t="s">
        <v>73</v>
      </c>
      <c r="C497" s="145">
        <v>7.9845915445809821</v>
      </c>
      <c r="D497" s="145">
        <v>39.447615828492594</v>
      </c>
      <c r="E497" s="145">
        <v>4.3893911535786758</v>
      </c>
      <c r="F497" s="145">
        <v>4.79</v>
      </c>
      <c r="G497" s="145">
        <v>19.533772087147735</v>
      </c>
      <c r="H497" s="145">
        <v>6.3104334677191369</v>
      </c>
      <c r="I497" s="145">
        <v>4.7916098307648083</v>
      </c>
      <c r="J497" s="145">
        <v>6.5060350098507662</v>
      </c>
      <c r="K497" s="145">
        <v>0.71407172727384649</v>
      </c>
      <c r="L497" s="145">
        <v>2.5020046809072922</v>
      </c>
      <c r="M497" s="145">
        <v>6.456396305344124</v>
      </c>
      <c r="N497" s="145">
        <v>0.28266142873678163</v>
      </c>
      <c r="O497" s="145">
        <v>0.81635019297609657</v>
      </c>
      <c r="P497" s="145">
        <v>1.1628835975061704</v>
      </c>
      <c r="Q497" s="149">
        <v>6.9911602587074864</v>
      </c>
      <c r="R497" s="131"/>
    </row>
    <row r="498" spans="2:21" s="130" customFormat="1" ht="25.5" customHeight="1" outlineLevel="1">
      <c r="B498" s="143" t="s">
        <v>74</v>
      </c>
      <c r="C498" s="145">
        <v>4.2917913210201819</v>
      </c>
      <c r="D498" s="145">
        <v>3.2302798524476732</v>
      </c>
      <c r="E498" s="145">
        <v>14.297673598872048</v>
      </c>
      <c r="F498" s="145">
        <v>0.01</v>
      </c>
      <c r="G498" s="145">
        <v>3.0698471119705975</v>
      </c>
      <c r="H498" s="145">
        <v>1.3581515099292156</v>
      </c>
      <c r="I498" s="145">
        <v>19.654114247944296</v>
      </c>
      <c r="J498" s="145">
        <v>10.424162418426462</v>
      </c>
      <c r="K498" s="145">
        <v>0</v>
      </c>
      <c r="L498" s="145">
        <v>1.0379540851143165</v>
      </c>
      <c r="M498" s="145">
        <v>1.4974591894949769</v>
      </c>
      <c r="N498" s="145">
        <v>5.5649527647417374</v>
      </c>
      <c r="O498" s="145">
        <v>6.8223313858029293</v>
      </c>
      <c r="P498" s="145">
        <v>1.0126546160101579</v>
      </c>
      <c r="Q498" s="149">
        <v>1.3514522432123415</v>
      </c>
      <c r="R498" s="131"/>
    </row>
    <row r="499" spans="2:21" s="130" customFormat="1" ht="25.5" customHeight="1" outlineLevel="1">
      <c r="B499" s="143" t="s">
        <v>75</v>
      </c>
      <c r="C499" s="145">
        <v>0.35125203827915874</v>
      </c>
      <c r="D499" s="145">
        <v>0</v>
      </c>
      <c r="E499" s="145">
        <v>0</v>
      </c>
      <c r="F499" s="145">
        <v>0</v>
      </c>
      <c r="G499" s="145">
        <v>0</v>
      </c>
      <c r="H499" s="145">
        <v>0</v>
      </c>
      <c r="I499" s="145">
        <v>3.6619104553036364E-4</v>
      </c>
      <c r="J499" s="145">
        <v>0</v>
      </c>
      <c r="K499" s="145">
        <v>0</v>
      </c>
      <c r="L499" s="145">
        <v>0</v>
      </c>
      <c r="M499" s="145">
        <v>0</v>
      </c>
      <c r="N499" s="145">
        <v>0.49642102941417554</v>
      </c>
      <c r="O499" s="145">
        <v>0</v>
      </c>
      <c r="P499" s="145">
        <v>12.793716918950537</v>
      </c>
      <c r="Q499" s="149">
        <v>6.3638742413124226E-3</v>
      </c>
      <c r="R499" s="131"/>
    </row>
    <row r="500" spans="2:21" ht="25.5" customHeight="1" outlineLevel="1" thickBot="1">
      <c r="B500" s="743" t="s">
        <v>20</v>
      </c>
      <c r="C500" s="744">
        <f>SUM(C496:C499)</f>
        <v>109.83449321117693</v>
      </c>
      <c r="D500" s="744">
        <f t="shared" ref="D500:Q500" si="152">SUM(D496:D499)</f>
        <v>187.72080348918246</v>
      </c>
      <c r="E500" s="744">
        <f t="shared" si="152"/>
        <v>84.481727938724759</v>
      </c>
      <c r="F500" s="744">
        <f t="shared" si="152"/>
        <v>58.22</v>
      </c>
      <c r="G500" s="744">
        <f t="shared" si="152"/>
        <v>67.304263293876687</v>
      </c>
      <c r="H500" s="744">
        <f t="shared" si="152"/>
        <v>59.39468038478396</v>
      </c>
      <c r="I500" s="744">
        <f t="shared" si="152"/>
        <v>567.09489657849394</v>
      </c>
      <c r="J500" s="744">
        <f t="shared" si="152"/>
        <v>200.32003335540151</v>
      </c>
      <c r="K500" s="744">
        <f t="shared" si="152"/>
        <v>9.8592056658810048</v>
      </c>
      <c r="L500" s="744">
        <f t="shared" si="152"/>
        <v>77.282168566965396</v>
      </c>
      <c r="M500" s="744">
        <f t="shared" si="152"/>
        <v>87.806698825731559</v>
      </c>
      <c r="N500" s="744">
        <f t="shared" si="152"/>
        <v>45.141228876771038</v>
      </c>
      <c r="O500" s="744">
        <f t="shared" si="152"/>
        <v>75.2753374416274</v>
      </c>
      <c r="P500" s="744">
        <f t="shared" si="152"/>
        <v>214.29329604953421</v>
      </c>
      <c r="Q500" s="745">
        <f t="shared" si="152"/>
        <v>114.85975301057468</v>
      </c>
      <c r="R500" s="15"/>
    </row>
    <row r="501" spans="2:21" s="435" customFormat="1" ht="13.5" customHeight="1" outlineLevel="1">
      <c r="B501" s="153"/>
      <c r="C501" s="741"/>
      <c r="D501" s="741"/>
      <c r="E501" s="741"/>
      <c r="F501" s="741"/>
      <c r="G501" s="741"/>
      <c r="H501" s="741"/>
      <c r="I501" s="741"/>
      <c r="J501" s="741"/>
      <c r="K501" s="741"/>
      <c r="L501" s="741"/>
      <c r="M501" s="741"/>
      <c r="N501" s="741"/>
      <c r="O501" s="741"/>
      <c r="P501" s="741"/>
      <c r="Q501" s="741"/>
      <c r="R501" s="128"/>
      <c r="S501" s="128"/>
      <c r="T501" s="128"/>
      <c r="U501" s="742"/>
    </row>
    <row r="502" spans="2:21" s="435" customFormat="1" ht="12.75" customHeight="1" outlineLevel="1">
      <c r="B502" s="153"/>
      <c r="C502" s="154"/>
      <c r="D502" s="154"/>
      <c r="E502" s="154"/>
      <c r="F502" s="154"/>
      <c r="G502" s="154"/>
      <c r="H502" s="154"/>
      <c r="I502" s="154"/>
      <c r="J502" s="154"/>
      <c r="K502" s="154"/>
      <c r="L502" s="154"/>
      <c r="M502" s="154"/>
      <c r="N502" s="154"/>
      <c r="O502" s="154"/>
      <c r="P502" s="154"/>
      <c r="Q502" s="154"/>
      <c r="R502" s="128"/>
      <c r="S502" s="128"/>
      <c r="T502" s="128"/>
      <c r="U502" s="742"/>
    </row>
    <row r="503" spans="2:21" s="435" customFormat="1" ht="12.75" customHeight="1" outlineLevel="1">
      <c r="B503" s="153"/>
      <c r="C503" s="154"/>
      <c r="D503" s="154"/>
      <c r="E503" s="154"/>
      <c r="F503" s="154"/>
      <c r="G503" s="154"/>
      <c r="H503" s="154"/>
      <c r="I503" s="154"/>
      <c r="J503" s="154"/>
      <c r="K503" s="154"/>
      <c r="L503" s="154"/>
      <c r="M503" s="154"/>
      <c r="N503" s="154"/>
      <c r="O503" s="154"/>
      <c r="P503" s="154"/>
      <c r="Q503" s="154"/>
      <c r="R503" s="128"/>
      <c r="S503" s="128"/>
      <c r="T503" s="128"/>
      <c r="U503" s="742"/>
    </row>
    <row r="504" spans="2:21" s="435" customFormat="1" ht="12.75" customHeight="1" outlineLevel="1">
      <c r="B504" s="153"/>
      <c r="C504" s="154"/>
      <c r="D504" s="154"/>
      <c r="E504" s="154"/>
      <c r="F504" s="154"/>
      <c r="G504" s="154"/>
      <c r="H504" s="154"/>
      <c r="I504" s="154"/>
      <c r="J504" s="154"/>
      <c r="K504" s="154"/>
      <c r="L504" s="154"/>
      <c r="M504" s="154"/>
      <c r="N504" s="154"/>
      <c r="O504" s="154"/>
      <c r="P504" s="154"/>
      <c r="Q504" s="154"/>
      <c r="R504" s="128"/>
      <c r="S504" s="128"/>
      <c r="T504" s="128"/>
      <c r="U504" s="742"/>
    </row>
    <row r="505" spans="2:21" s="435" customFormat="1" ht="12.75" customHeight="1" outlineLevel="1">
      <c r="B505" s="153"/>
      <c r="C505" s="154"/>
      <c r="D505" s="154"/>
      <c r="E505" s="154"/>
      <c r="F505" s="154"/>
      <c r="G505" s="154"/>
      <c r="H505" s="154"/>
      <c r="I505" s="154"/>
      <c r="J505" s="154"/>
      <c r="K505" s="154"/>
      <c r="L505" s="154"/>
      <c r="M505" s="154"/>
      <c r="N505" s="154"/>
      <c r="O505" s="154"/>
      <c r="P505" s="154"/>
      <c r="Q505" s="154"/>
      <c r="R505" s="128"/>
      <c r="S505" s="128"/>
      <c r="T505" s="128"/>
      <c r="U505" s="742"/>
    </row>
    <row r="506" spans="2:21" s="435" customFormat="1" ht="13.5" customHeight="1" outlineLevel="1">
      <c r="B506" s="153"/>
      <c r="C506" s="154"/>
      <c r="D506" s="154"/>
      <c r="E506" s="154"/>
      <c r="F506" s="154"/>
      <c r="G506" s="154"/>
      <c r="H506" s="154"/>
      <c r="I506" s="154"/>
      <c r="J506" s="154"/>
      <c r="K506" s="154"/>
      <c r="L506" s="154"/>
      <c r="M506" s="154"/>
      <c r="N506" s="154"/>
      <c r="O506" s="154"/>
      <c r="P506" s="154"/>
      <c r="Q506" s="154"/>
      <c r="R506" s="128"/>
      <c r="S506" s="128"/>
      <c r="T506" s="128"/>
      <c r="U506" s="742"/>
    </row>
    <row r="507" spans="2:21" s="435" customFormat="1" ht="12.75" customHeight="1" outlineLevel="1">
      <c r="B507" s="153"/>
      <c r="C507" s="156"/>
      <c r="D507" s="154"/>
      <c r="E507" s="154"/>
      <c r="F507" s="154"/>
      <c r="G507" s="154"/>
      <c r="H507" s="154"/>
      <c r="I507" s="154"/>
      <c r="J507" s="154"/>
      <c r="K507" s="154"/>
      <c r="L507" s="154"/>
      <c r="M507" s="154"/>
      <c r="N507" s="154"/>
      <c r="O507" s="154"/>
      <c r="P507" s="154"/>
      <c r="Q507" s="154"/>
      <c r="R507" s="128"/>
      <c r="S507" s="128"/>
      <c r="T507" s="128"/>
      <c r="U507" s="742"/>
    </row>
    <row r="508" spans="2:21" s="127" customFormat="1" ht="12.75" customHeight="1" outlineLevel="1">
      <c r="B508" s="153"/>
      <c r="C508" s="154"/>
      <c r="D508" s="154"/>
      <c r="E508" s="154"/>
      <c r="F508" s="154"/>
      <c r="G508" s="154"/>
      <c r="H508" s="154"/>
      <c r="I508" s="154"/>
      <c r="J508" s="154"/>
      <c r="K508" s="154"/>
      <c r="L508" s="154"/>
      <c r="M508" s="154"/>
      <c r="N508" s="154"/>
      <c r="O508" s="154"/>
      <c r="P508" s="154"/>
      <c r="Q508" s="154"/>
      <c r="R508" s="128"/>
      <c r="S508" s="128"/>
      <c r="T508" s="128"/>
      <c r="U508" s="129"/>
    </row>
    <row r="509" spans="2:21" ht="12.75" customHeight="1" outlineLevel="1"/>
    <row r="510" spans="2:21" s="2" customFormat="1" ht="15.75" customHeight="1" outlineLevel="1" thickBot="1">
      <c r="B510" s="28" t="str">
        <f>CONCATENATE(LEFT(B533, 4)+1 &amp;"-" &amp;IF(B533&gt;"2007-08",,"0") &amp;RIGHT(B533,2)+1)</f>
        <v>2004-05</v>
      </c>
      <c r="C510" s="29"/>
      <c r="D510" s="28"/>
      <c r="E510" s="150"/>
      <c r="G510" s="28"/>
      <c r="H510" s="28"/>
      <c r="I510" s="28"/>
      <c r="J510" s="28"/>
      <c r="K510" s="28"/>
      <c r="L510" s="28"/>
      <c r="M510" s="28"/>
      <c r="N510" s="28"/>
      <c r="O510" s="28"/>
    </row>
    <row r="511" spans="2:21" ht="13.5" customHeight="1" outlineLevel="1" thickBot="1">
      <c r="B511" s="141" t="s">
        <v>19</v>
      </c>
      <c r="C511" s="138" t="s">
        <v>38</v>
      </c>
      <c r="D511" s="136" t="str">
        <f>D534</f>
        <v>CN West</v>
      </c>
      <c r="E511" s="136" t="str">
        <f t="shared" ref="E511:Q511" si="153">E534</f>
        <v>CN East</v>
      </c>
      <c r="F511" s="136" t="str">
        <f t="shared" si="153"/>
        <v>ENWL</v>
      </c>
      <c r="G511" s="136" t="str">
        <f t="shared" si="153"/>
        <v>CE NEDL</v>
      </c>
      <c r="H511" s="136" t="str">
        <f t="shared" si="153"/>
        <v>CE YEDL</v>
      </c>
      <c r="I511" s="136" t="str">
        <f t="shared" si="153"/>
        <v>WPD S Wales</v>
      </c>
      <c r="J511" s="136" t="str">
        <f t="shared" si="153"/>
        <v>WPD S West</v>
      </c>
      <c r="K511" s="136" t="str">
        <f t="shared" si="153"/>
        <v>UKPN LPN</v>
      </c>
      <c r="L511" s="136" t="str">
        <f t="shared" si="153"/>
        <v>UKPN SEPN</v>
      </c>
      <c r="M511" s="136" t="str">
        <f t="shared" si="153"/>
        <v>UKPN EPN</v>
      </c>
      <c r="N511" s="136" t="str">
        <f t="shared" si="153"/>
        <v>SP Distribution</v>
      </c>
      <c r="O511" s="136" t="str">
        <f t="shared" si="153"/>
        <v>SP Manweb</v>
      </c>
      <c r="P511" s="136" t="str">
        <f t="shared" si="153"/>
        <v>SSE Hydro</v>
      </c>
      <c r="Q511" s="137" t="str">
        <f t="shared" si="153"/>
        <v>SSE Southern</v>
      </c>
      <c r="R511" s="15"/>
    </row>
    <row r="512" spans="2:21" s="130" customFormat="1" ht="25.5" customHeight="1" outlineLevel="1" thickTop="1">
      <c r="B512" s="142" t="s">
        <v>71</v>
      </c>
      <c r="C512" s="139"/>
      <c r="D512" s="134"/>
      <c r="E512" s="134"/>
      <c r="F512" s="134"/>
      <c r="G512" s="134"/>
      <c r="H512" s="134"/>
      <c r="I512" s="134"/>
      <c r="J512" s="134"/>
      <c r="K512" s="134"/>
      <c r="L512" s="134"/>
      <c r="M512" s="134"/>
      <c r="N512" s="134"/>
      <c r="O512" s="134"/>
      <c r="P512" s="134"/>
      <c r="Q512" s="135"/>
      <c r="R512" s="131"/>
    </row>
    <row r="513" spans="2:21" s="130" customFormat="1" ht="25.5" customHeight="1" outlineLevel="1">
      <c r="B513" s="143" t="s">
        <v>72</v>
      </c>
      <c r="C513" s="146">
        <f>SUM(D513:Q513)</f>
        <v>26152153</v>
      </c>
      <c r="D513" s="147">
        <v>3362419</v>
      </c>
      <c r="E513" s="147">
        <v>1655219</v>
      </c>
      <c r="F513" s="147">
        <v>1069130</v>
      </c>
      <c r="G513" s="147">
        <v>721705</v>
      </c>
      <c r="H513" s="147">
        <v>1403101</v>
      </c>
      <c r="I513" s="147">
        <v>2634136</v>
      </c>
      <c r="J513" s="147">
        <v>2670137</v>
      </c>
      <c r="K513" s="147">
        <v>159282</v>
      </c>
      <c r="L513" s="147">
        <v>1785640</v>
      </c>
      <c r="M513" s="147">
        <v>3452600</v>
      </c>
      <c r="N513" s="147">
        <v>633890</v>
      </c>
      <c r="O513" s="147">
        <v>981380</v>
      </c>
      <c r="P513" s="147">
        <v>2254523</v>
      </c>
      <c r="Q513" s="148">
        <v>3368991</v>
      </c>
      <c r="R513" s="131"/>
    </row>
    <row r="514" spans="2:21" s="130" customFormat="1" ht="25.5" customHeight="1" outlineLevel="1">
      <c r="B514" s="143" t="s">
        <v>73</v>
      </c>
      <c r="C514" s="146">
        <f>SUM(D514:Q514)</f>
        <v>1512588</v>
      </c>
      <c r="D514" s="147">
        <v>948929</v>
      </c>
      <c r="E514" s="147">
        <v>58856</v>
      </c>
      <c r="F514" s="147">
        <v>0</v>
      </c>
      <c r="G514" s="147">
        <v>97861</v>
      </c>
      <c r="H514" s="147">
        <v>74296</v>
      </c>
      <c r="I514" s="147">
        <v>37341</v>
      </c>
      <c r="J514" s="147">
        <v>96012</v>
      </c>
      <c r="K514" s="147">
        <v>0</v>
      </c>
      <c r="L514" s="147">
        <v>86187</v>
      </c>
      <c r="M514" s="147">
        <v>0</v>
      </c>
      <c r="N514" s="147">
        <v>8858</v>
      </c>
      <c r="O514" s="147">
        <v>18489</v>
      </c>
      <c r="P514" s="147">
        <v>22279</v>
      </c>
      <c r="Q514" s="148">
        <v>63480</v>
      </c>
      <c r="R514" s="131"/>
    </row>
    <row r="515" spans="2:21" s="130" customFormat="1" ht="25.5" customHeight="1" outlineLevel="1">
      <c r="B515" s="143" t="s">
        <v>74</v>
      </c>
      <c r="C515" s="146">
        <f>SUM(D515:Q515)</f>
        <v>1395651</v>
      </c>
      <c r="D515" s="147">
        <v>75506</v>
      </c>
      <c r="E515" s="147">
        <v>401066</v>
      </c>
      <c r="F515" s="147">
        <v>56448</v>
      </c>
      <c r="G515" s="147">
        <v>134359</v>
      </c>
      <c r="H515" s="147">
        <v>16339</v>
      </c>
      <c r="I515" s="147">
        <v>91744</v>
      </c>
      <c r="J515" s="147">
        <v>115305</v>
      </c>
      <c r="K515" s="147">
        <v>80864</v>
      </c>
      <c r="L515" s="147">
        <v>28809</v>
      </c>
      <c r="M515" s="147">
        <v>105987</v>
      </c>
      <c r="N515" s="147">
        <v>118250</v>
      </c>
      <c r="O515" s="147">
        <v>109133</v>
      </c>
      <c r="P515" s="147">
        <v>10216</v>
      </c>
      <c r="Q515" s="148">
        <v>51625</v>
      </c>
      <c r="R515" s="131"/>
    </row>
    <row r="516" spans="2:21" s="130" customFormat="1" ht="25.5" customHeight="1" outlineLevel="1">
      <c r="B516" s="143" t="s">
        <v>75</v>
      </c>
      <c r="C516" s="146">
        <f>SUM(D516:Q516)</f>
        <v>178616</v>
      </c>
      <c r="D516" s="147">
        <v>0</v>
      </c>
      <c r="E516" s="147">
        <v>0</v>
      </c>
      <c r="F516" s="147">
        <v>0</v>
      </c>
      <c r="G516" s="147">
        <v>0</v>
      </c>
      <c r="H516" s="147">
        <v>0</v>
      </c>
      <c r="I516" s="147">
        <v>0</v>
      </c>
      <c r="J516" s="147">
        <v>0</v>
      </c>
      <c r="K516" s="147">
        <v>0</v>
      </c>
      <c r="L516" s="147">
        <v>0</v>
      </c>
      <c r="M516" s="147">
        <v>0</v>
      </c>
      <c r="N516" s="147">
        <v>0</v>
      </c>
      <c r="O516" s="147">
        <v>0</v>
      </c>
      <c r="P516" s="147">
        <v>178616</v>
      </c>
      <c r="Q516" s="148">
        <v>0</v>
      </c>
      <c r="R516" s="131"/>
    </row>
    <row r="517" spans="2:21" s="130" customFormat="1" ht="25.5" customHeight="1" outlineLevel="1">
      <c r="B517" s="143" t="s">
        <v>20</v>
      </c>
      <c r="C517" s="146">
        <f>SUM(C513:C516)</f>
        <v>29239008</v>
      </c>
      <c r="D517" s="147">
        <f>SUM(D513:D516)</f>
        <v>4386854</v>
      </c>
      <c r="E517" s="147">
        <f t="shared" ref="E517:Q517" si="154">SUM(E513:E516)</f>
        <v>2115141</v>
      </c>
      <c r="F517" s="147">
        <f t="shared" si="154"/>
        <v>1125578</v>
      </c>
      <c r="G517" s="147">
        <f t="shared" si="154"/>
        <v>953925</v>
      </c>
      <c r="H517" s="147">
        <f t="shared" si="154"/>
        <v>1493736</v>
      </c>
      <c r="I517" s="147">
        <f t="shared" si="154"/>
        <v>2763221</v>
      </c>
      <c r="J517" s="147">
        <f t="shared" si="154"/>
        <v>2881454</v>
      </c>
      <c r="K517" s="147">
        <f t="shared" si="154"/>
        <v>240146</v>
      </c>
      <c r="L517" s="147">
        <f t="shared" si="154"/>
        <v>1900636</v>
      </c>
      <c r="M517" s="147">
        <f t="shared" si="154"/>
        <v>3558587</v>
      </c>
      <c r="N517" s="147">
        <f t="shared" si="154"/>
        <v>760998</v>
      </c>
      <c r="O517" s="147">
        <f t="shared" si="154"/>
        <v>1109002</v>
      </c>
      <c r="P517" s="147">
        <f t="shared" si="154"/>
        <v>2465634</v>
      </c>
      <c r="Q517" s="148">
        <f t="shared" si="154"/>
        <v>3484096</v>
      </c>
      <c r="R517" s="131"/>
    </row>
    <row r="518" spans="2:21" s="130" customFormat="1" ht="25.5" customHeight="1" outlineLevel="1">
      <c r="B518" s="144" t="s">
        <v>76</v>
      </c>
      <c r="C518" s="140"/>
      <c r="D518" s="132"/>
      <c r="E518" s="132"/>
      <c r="F518" s="132"/>
      <c r="G518" s="132"/>
      <c r="H518" s="132"/>
      <c r="I518" s="132"/>
      <c r="J518" s="132"/>
      <c r="K518" s="132"/>
      <c r="L518" s="132"/>
      <c r="M518" s="132"/>
      <c r="N518" s="132"/>
      <c r="O518" s="132"/>
      <c r="P518" s="132"/>
      <c r="Q518" s="133"/>
      <c r="R518" s="131"/>
    </row>
    <row r="519" spans="2:21" s="130" customFormat="1" ht="25.5" customHeight="1" outlineLevel="1">
      <c r="B519" s="143" t="s">
        <v>72</v>
      </c>
      <c r="C519" s="145">
        <v>92.401638515400691</v>
      </c>
      <c r="D519" s="145">
        <v>142.20050055782002</v>
      </c>
      <c r="E519" s="145">
        <v>66.15358790768498</v>
      </c>
      <c r="F519" s="145">
        <v>46.534575032992443</v>
      </c>
      <c r="G519" s="145">
        <v>47.212722029747013</v>
      </c>
      <c r="H519" s="145">
        <v>64.003950351471801</v>
      </c>
      <c r="I519" s="145">
        <v>243.17645538302469</v>
      </c>
      <c r="J519" s="145">
        <v>179.79013440474677</v>
      </c>
      <c r="K519" s="145">
        <v>7.0865921029625119</v>
      </c>
      <c r="L519" s="145">
        <v>81.644783647998892</v>
      </c>
      <c r="M519" s="145">
        <v>99.668023440431867</v>
      </c>
      <c r="N519" s="145">
        <v>31.873693907145974</v>
      </c>
      <c r="O519" s="145">
        <v>66.119589018022566</v>
      </c>
      <c r="P519" s="145">
        <v>325.56523873818583</v>
      </c>
      <c r="Q519" s="149">
        <v>120.96837435162</v>
      </c>
      <c r="R519" s="131"/>
    </row>
    <row r="520" spans="2:21" s="130" customFormat="1" ht="25.5" customHeight="1" outlineLevel="1">
      <c r="B520" s="143" t="s">
        <v>73</v>
      </c>
      <c r="C520" s="145">
        <v>5.3443251727203069</v>
      </c>
      <c r="D520" s="145">
        <v>40.131280127144052</v>
      </c>
      <c r="E520" s="145">
        <v>2.3522781999812157</v>
      </c>
      <c r="F520" s="145">
        <v>0</v>
      </c>
      <c r="G520" s="145">
        <v>6.4019013177864545</v>
      </c>
      <c r="H520" s="145">
        <v>3.3890913735454178</v>
      </c>
      <c r="I520" s="145">
        <v>3.4472221709348059</v>
      </c>
      <c r="J520" s="145">
        <v>6.464840712094003</v>
      </c>
      <c r="K520" s="145">
        <v>0</v>
      </c>
      <c r="L520" s="145">
        <v>3.9407265564559939</v>
      </c>
      <c r="M520" s="145">
        <v>0</v>
      </c>
      <c r="N520" s="145">
        <v>0.44540406163450924</v>
      </c>
      <c r="O520" s="145">
        <v>1.2456796361798887</v>
      </c>
      <c r="P520" s="145">
        <v>3.217207344457361</v>
      </c>
      <c r="Q520" s="149">
        <v>2.2793389486172084</v>
      </c>
      <c r="R520" s="131"/>
    </row>
    <row r="521" spans="2:21" s="130" customFormat="1" ht="25.5" customHeight="1" outlineLevel="1">
      <c r="B521" s="143" t="s">
        <v>74</v>
      </c>
      <c r="C521" s="145">
        <v>4.9311595567545625</v>
      </c>
      <c r="D521" s="145">
        <v>3.1932340957860275</v>
      </c>
      <c r="E521" s="145">
        <v>16.029271587496027</v>
      </c>
      <c r="F521" s="145">
        <v>2.4569357248064851</v>
      </c>
      <c r="G521" s="145">
        <v>8.7895388270758534</v>
      </c>
      <c r="H521" s="145">
        <v>0.74532093184503312</v>
      </c>
      <c r="I521" s="145">
        <v>8.4695629696645192</v>
      </c>
      <c r="J521" s="145">
        <v>7.7639092853809837</v>
      </c>
      <c r="K521" s="145">
        <v>3.5977083651257553</v>
      </c>
      <c r="L521" s="145">
        <v>1.3172333572921753</v>
      </c>
      <c r="M521" s="145">
        <v>3.0595825755607517</v>
      </c>
      <c r="N521" s="145">
        <v>5.9459280072567973</v>
      </c>
      <c r="O521" s="145">
        <v>7.3527370725955876</v>
      </c>
      <c r="P521" s="145">
        <v>1.4752453086303872</v>
      </c>
      <c r="Q521" s="149">
        <v>1.853668450257772</v>
      </c>
      <c r="R521" s="131"/>
    </row>
    <row r="522" spans="2:21" s="130" customFormat="1" ht="25.5" customHeight="1" outlineLevel="1">
      <c r="B522" s="143" t="s">
        <v>75</v>
      </c>
      <c r="C522" s="145">
        <v>0.63109186708516163</v>
      </c>
      <c r="D522" s="145">
        <v>0</v>
      </c>
      <c r="E522" s="145">
        <v>0</v>
      </c>
      <c r="F522" s="145">
        <v>0</v>
      </c>
      <c r="G522" s="145">
        <v>0</v>
      </c>
      <c r="H522" s="145">
        <v>0</v>
      </c>
      <c r="I522" s="145">
        <v>0</v>
      </c>
      <c r="J522" s="145">
        <v>0</v>
      </c>
      <c r="K522" s="145">
        <v>0</v>
      </c>
      <c r="L522" s="145">
        <v>0</v>
      </c>
      <c r="M522" s="145">
        <v>0</v>
      </c>
      <c r="N522" s="145">
        <v>0</v>
      </c>
      <c r="O522" s="145">
        <v>0</v>
      </c>
      <c r="P522" s="145">
        <v>25.793110419569814</v>
      </c>
      <c r="Q522" s="149">
        <v>0</v>
      </c>
      <c r="R522" s="131"/>
    </row>
    <row r="523" spans="2:21" ht="25.5" customHeight="1" outlineLevel="1" thickBot="1">
      <c r="B523" s="743" t="s">
        <v>20</v>
      </c>
      <c r="C523" s="744">
        <f>SUM(C519:C522)</f>
        <v>103.30821511196072</v>
      </c>
      <c r="D523" s="744">
        <f t="shared" ref="D523:Q523" si="155">SUM(D519:D522)</f>
        <v>185.52501478075013</v>
      </c>
      <c r="E523" s="744">
        <f t="shared" si="155"/>
        <v>84.53513769516222</v>
      </c>
      <c r="F523" s="744">
        <f t="shared" si="155"/>
        <v>48.991510757798928</v>
      </c>
      <c r="G523" s="744">
        <f t="shared" si="155"/>
        <v>62.404162174609318</v>
      </c>
      <c r="H523" s="744">
        <f t="shared" si="155"/>
        <v>68.138362656862242</v>
      </c>
      <c r="I523" s="744">
        <f t="shared" si="155"/>
        <v>255.09324052362399</v>
      </c>
      <c r="J523" s="744">
        <f t="shared" si="155"/>
        <v>194.01888440222174</v>
      </c>
      <c r="K523" s="744">
        <f t="shared" si="155"/>
        <v>10.684300468088267</v>
      </c>
      <c r="L523" s="744">
        <f t="shared" si="155"/>
        <v>86.902743561747073</v>
      </c>
      <c r="M523" s="744">
        <f t="shared" si="155"/>
        <v>102.72760601599262</v>
      </c>
      <c r="N523" s="744">
        <f t="shared" si="155"/>
        <v>38.265025976037279</v>
      </c>
      <c r="O523" s="744">
        <f t="shared" si="155"/>
        <v>74.71800572679804</v>
      </c>
      <c r="P523" s="744">
        <f t="shared" si="155"/>
        <v>356.05080181084338</v>
      </c>
      <c r="Q523" s="745">
        <f t="shared" si="155"/>
        <v>125.10138175049498</v>
      </c>
      <c r="R523" s="15"/>
    </row>
    <row r="524" spans="2:21" s="435" customFormat="1" ht="13.5" customHeight="1" outlineLevel="1">
      <c r="B524" s="153"/>
      <c r="C524" s="741"/>
      <c r="D524" s="741"/>
      <c r="E524" s="741"/>
      <c r="F524" s="741"/>
      <c r="G524" s="741"/>
      <c r="H524" s="741"/>
      <c r="I524" s="741"/>
      <c r="J524" s="741"/>
      <c r="K524" s="741"/>
      <c r="L524" s="741"/>
      <c r="M524" s="741"/>
      <c r="N524" s="741"/>
      <c r="O524" s="741"/>
      <c r="P524" s="741"/>
      <c r="Q524" s="741"/>
      <c r="R524" s="128"/>
      <c r="S524" s="128"/>
      <c r="T524" s="128"/>
      <c r="U524" s="742"/>
    </row>
    <row r="525" spans="2:21" s="435" customFormat="1" ht="12.75" customHeight="1" outlineLevel="1">
      <c r="B525" s="153"/>
      <c r="C525" s="154"/>
      <c r="D525" s="154"/>
      <c r="E525" s="154"/>
      <c r="F525" s="154"/>
      <c r="G525" s="154"/>
      <c r="H525" s="154"/>
      <c r="I525" s="154"/>
      <c r="J525" s="154"/>
      <c r="K525" s="154"/>
      <c r="L525" s="154"/>
      <c r="M525" s="154"/>
      <c r="N525" s="154"/>
      <c r="O525" s="154"/>
      <c r="P525" s="154"/>
      <c r="Q525" s="154"/>
      <c r="R525" s="128"/>
      <c r="S525" s="128"/>
      <c r="T525" s="128"/>
      <c r="U525" s="742"/>
    </row>
    <row r="526" spans="2:21" s="435" customFormat="1" ht="12.75" customHeight="1" outlineLevel="1">
      <c r="B526" s="153"/>
      <c r="C526" s="154"/>
      <c r="D526" s="154"/>
      <c r="E526" s="154"/>
      <c r="F526" s="154"/>
      <c r="G526" s="154"/>
      <c r="H526" s="154"/>
      <c r="I526" s="154"/>
      <c r="J526" s="154"/>
      <c r="K526" s="154"/>
      <c r="L526" s="154"/>
      <c r="M526" s="154"/>
      <c r="N526" s="154"/>
      <c r="O526" s="154"/>
      <c r="P526" s="154"/>
      <c r="Q526" s="154"/>
      <c r="R526" s="128"/>
      <c r="S526" s="128"/>
      <c r="T526" s="128"/>
      <c r="U526" s="742"/>
    </row>
    <row r="527" spans="2:21" s="435" customFormat="1" ht="12.75" customHeight="1" outlineLevel="1">
      <c r="B527" s="153"/>
      <c r="C527" s="154"/>
      <c r="D527" s="154"/>
      <c r="E527" s="154"/>
      <c r="F527" s="154"/>
      <c r="G527" s="154"/>
      <c r="H527" s="154"/>
      <c r="I527" s="154"/>
      <c r="J527" s="154"/>
      <c r="K527" s="154"/>
      <c r="L527" s="154"/>
      <c r="M527" s="154"/>
      <c r="N527" s="154"/>
      <c r="O527" s="154"/>
      <c r="P527" s="154"/>
      <c r="Q527" s="154"/>
      <c r="R527" s="128"/>
      <c r="S527" s="128"/>
      <c r="T527" s="128"/>
      <c r="U527" s="742"/>
    </row>
    <row r="528" spans="2:21" s="435" customFormat="1" ht="12.75" customHeight="1" outlineLevel="1">
      <c r="B528" s="153"/>
      <c r="C528" s="154"/>
      <c r="D528" s="154"/>
      <c r="E528" s="154"/>
      <c r="F528" s="154"/>
      <c r="G528" s="154"/>
      <c r="H528" s="154"/>
      <c r="I528" s="154"/>
      <c r="J528" s="154"/>
      <c r="K528" s="154"/>
      <c r="L528" s="154"/>
      <c r="M528" s="154"/>
      <c r="N528" s="154"/>
      <c r="O528" s="154"/>
      <c r="P528" s="154"/>
      <c r="Q528" s="154"/>
      <c r="R528" s="128"/>
      <c r="S528" s="128"/>
      <c r="T528" s="128"/>
      <c r="U528" s="742"/>
    </row>
    <row r="529" spans="2:21" s="435" customFormat="1" ht="13.5" customHeight="1" outlineLevel="1">
      <c r="B529" s="153"/>
      <c r="C529" s="154"/>
      <c r="D529" s="154"/>
      <c r="E529" s="154"/>
      <c r="F529" s="154"/>
      <c r="G529" s="154"/>
      <c r="H529" s="154"/>
      <c r="I529" s="154"/>
      <c r="J529" s="154"/>
      <c r="K529" s="154"/>
      <c r="L529" s="154"/>
      <c r="M529" s="154"/>
      <c r="N529" s="154"/>
      <c r="O529" s="154"/>
      <c r="P529" s="154"/>
      <c r="Q529" s="154"/>
      <c r="R529" s="128"/>
      <c r="S529" s="128"/>
      <c r="T529" s="128"/>
      <c r="U529" s="742"/>
    </row>
    <row r="530" spans="2:21" s="435" customFormat="1" ht="12.75" customHeight="1" outlineLevel="1">
      <c r="B530" s="153"/>
      <c r="C530" s="156"/>
      <c r="D530" s="154"/>
      <c r="E530" s="154"/>
      <c r="F530" s="154"/>
      <c r="G530" s="154"/>
      <c r="H530" s="154"/>
      <c r="I530" s="154"/>
      <c r="J530" s="154"/>
      <c r="K530" s="154"/>
      <c r="L530" s="154"/>
      <c r="M530" s="154"/>
      <c r="N530" s="154"/>
      <c r="O530" s="154"/>
      <c r="P530" s="154"/>
      <c r="Q530" s="154"/>
      <c r="R530" s="128"/>
      <c r="S530" s="128"/>
      <c r="T530" s="128"/>
      <c r="U530" s="742"/>
    </row>
    <row r="531" spans="2:21" s="127" customFormat="1" ht="12.75" customHeight="1" outlineLevel="1">
      <c r="B531" s="153"/>
      <c r="C531" s="154"/>
      <c r="D531" s="154"/>
      <c r="E531" s="154"/>
      <c r="F531" s="154"/>
      <c r="G531" s="154"/>
      <c r="H531" s="154"/>
      <c r="I531" s="154"/>
      <c r="J531" s="154"/>
      <c r="K531" s="154"/>
      <c r="L531" s="154"/>
      <c r="M531" s="154"/>
      <c r="N531" s="154"/>
      <c r="O531" s="154"/>
      <c r="P531" s="154"/>
      <c r="Q531" s="154"/>
      <c r="R531" s="128"/>
      <c r="S531" s="128"/>
      <c r="T531" s="128"/>
      <c r="U531" s="129"/>
    </row>
    <row r="532" spans="2:21" ht="12.75" customHeight="1" outlineLevel="1"/>
    <row r="533" spans="2:21" s="2" customFormat="1" ht="15.75" customHeight="1" outlineLevel="1" thickBot="1">
      <c r="B533" s="28" t="str">
        <f>CONCATENATE(LEFT(B556, 4)+1 &amp;"-" &amp;IF(B556&gt;"2007-08",,"0") &amp;RIGHT(B556,2)+1)</f>
        <v>2003-04</v>
      </c>
      <c r="C533" s="29"/>
      <c r="D533" s="28"/>
      <c r="E533" s="28"/>
      <c r="G533" s="28"/>
      <c r="H533" s="28"/>
      <c r="I533" s="28"/>
      <c r="J533" s="28"/>
      <c r="K533" s="28"/>
      <c r="L533" s="28"/>
      <c r="M533" s="28"/>
      <c r="N533" s="28"/>
      <c r="O533" s="28"/>
    </row>
    <row r="534" spans="2:21" ht="13.5" customHeight="1" outlineLevel="1" thickBot="1">
      <c r="B534" s="141" t="s">
        <v>19</v>
      </c>
      <c r="C534" s="138" t="s">
        <v>38</v>
      </c>
      <c r="D534" s="136" t="str">
        <f>D557</f>
        <v>CN West</v>
      </c>
      <c r="E534" s="136" t="str">
        <f t="shared" ref="E534:Q534" si="156">E557</f>
        <v>CN East</v>
      </c>
      <c r="F534" s="136" t="str">
        <f t="shared" si="156"/>
        <v>ENWL</v>
      </c>
      <c r="G534" s="136" t="str">
        <f t="shared" si="156"/>
        <v>CE NEDL</v>
      </c>
      <c r="H534" s="136" t="str">
        <f t="shared" si="156"/>
        <v>CE YEDL</v>
      </c>
      <c r="I534" s="136" t="str">
        <f t="shared" si="156"/>
        <v>WPD S Wales</v>
      </c>
      <c r="J534" s="136" t="str">
        <f t="shared" si="156"/>
        <v>WPD S West</v>
      </c>
      <c r="K534" s="136" t="str">
        <f t="shared" si="156"/>
        <v>UKPN LPN</v>
      </c>
      <c r="L534" s="136" t="str">
        <f t="shared" si="156"/>
        <v>UKPN SEPN</v>
      </c>
      <c r="M534" s="136" t="str">
        <f t="shared" si="156"/>
        <v>UKPN EPN</v>
      </c>
      <c r="N534" s="136" t="str">
        <f t="shared" si="156"/>
        <v>SP Distribution</v>
      </c>
      <c r="O534" s="136" t="str">
        <f t="shared" si="156"/>
        <v>SP Manweb</v>
      </c>
      <c r="P534" s="136" t="str">
        <f t="shared" si="156"/>
        <v>SSE Hydro</v>
      </c>
      <c r="Q534" s="137" t="str">
        <f t="shared" si="156"/>
        <v>SSE Southern</v>
      </c>
      <c r="R534" s="15"/>
    </row>
    <row r="535" spans="2:21" s="130" customFormat="1" ht="25.5" customHeight="1" outlineLevel="1" thickTop="1">
      <c r="B535" s="142" t="s">
        <v>71</v>
      </c>
      <c r="C535" s="139"/>
      <c r="D535" s="134"/>
      <c r="E535" s="134"/>
      <c r="F535" s="134"/>
      <c r="G535" s="134"/>
      <c r="H535" s="134"/>
      <c r="I535" s="134"/>
      <c r="J535" s="134"/>
      <c r="K535" s="134"/>
      <c r="L535" s="134"/>
      <c r="M535" s="134"/>
      <c r="N535" s="134"/>
      <c r="O535" s="134"/>
      <c r="P535" s="134"/>
      <c r="Q535" s="135"/>
      <c r="R535" s="131"/>
    </row>
    <row r="536" spans="2:21" s="130" customFormat="1" ht="25.5" customHeight="1" outlineLevel="1">
      <c r="B536" s="143" t="s">
        <v>72</v>
      </c>
      <c r="C536" s="146">
        <f>SUM(D536:Q536)</f>
        <v>25453498</v>
      </c>
      <c r="D536" s="147">
        <v>3466411</v>
      </c>
      <c r="E536" s="147">
        <v>1325389</v>
      </c>
      <c r="F536" s="147">
        <v>810820</v>
      </c>
      <c r="G536" s="147">
        <v>903571</v>
      </c>
      <c r="H536" s="147">
        <v>1124835</v>
      </c>
      <c r="I536" s="147">
        <v>2278847</v>
      </c>
      <c r="J536" s="147">
        <v>2430055</v>
      </c>
      <c r="K536" s="147">
        <v>135242</v>
      </c>
      <c r="L536" s="147">
        <v>1812248</v>
      </c>
      <c r="M536" s="147">
        <v>3682261</v>
      </c>
      <c r="N536" s="147">
        <v>570637</v>
      </c>
      <c r="O536" s="147">
        <v>1373391</v>
      </c>
      <c r="P536" s="147">
        <v>2008676</v>
      </c>
      <c r="Q536" s="148">
        <v>3531115</v>
      </c>
      <c r="R536" s="131"/>
    </row>
    <row r="537" spans="2:21" s="130" customFormat="1" ht="25.5" customHeight="1" outlineLevel="1">
      <c r="B537" s="143" t="s">
        <v>73</v>
      </c>
      <c r="C537" s="146">
        <f>SUM(D537:Q537)</f>
        <v>1608594</v>
      </c>
      <c r="D537" s="147">
        <v>988468</v>
      </c>
      <c r="E537" s="147">
        <v>46748</v>
      </c>
      <c r="F537" s="147">
        <v>0</v>
      </c>
      <c r="G537" s="147">
        <v>62945</v>
      </c>
      <c r="H537" s="147">
        <v>138394</v>
      </c>
      <c r="I537" s="147">
        <v>42610</v>
      </c>
      <c r="J537" s="147">
        <v>101711</v>
      </c>
      <c r="K537" s="147">
        <v>0</v>
      </c>
      <c r="L537" s="147">
        <v>102118</v>
      </c>
      <c r="M537" s="147">
        <v>0</v>
      </c>
      <c r="N537" s="147">
        <v>15677</v>
      </c>
      <c r="O537" s="147">
        <v>17280</v>
      </c>
      <c r="P537" s="147">
        <v>5749</v>
      </c>
      <c r="Q537" s="148">
        <v>86894</v>
      </c>
      <c r="R537" s="131"/>
    </row>
    <row r="538" spans="2:21" s="130" customFormat="1" ht="25.5" customHeight="1" outlineLevel="1">
      <c r="B538" s="143" t="s">
        <v>74</v>
      </c>
      <c r="C538" s="146">
        <f>SUM(D538:Q538)</f>
        <v>1386641</v>
      </c>
      <c r="D538" s="147">
        <v>88574</v>
      </c>
      <c r="E538" s="147">
        <v>632872</v>
      </c>
      <c r="F538" s="147">
        <v>21231</v>
      </c>
      <c r="G538" s="147">
        <v>509</v>
      </c>
      <c r="H538" s="147">
        <v>11710</v>
      </c>
      <c r="I538" s="147">
        <v>48411</v>
      </c>
      <c r="J538" s="147">
        <v>111023</v>
      </c>
      <c r="K538" s="147">
        <v>57360</v>
      </c>
      <c r="L538" s="147">
        <v>16722</v>
      </c>
      <c r="M538" s="147">
        <v>123860</v>
      </c>
      <c r="N538" s="147">
        <v>111920</v>
      </c>
      <c r="O538" s="147">
        <v>77221</v>
      </c>
      <c r="P538" s="147">
        <v>10363</v>
      </c>
      <c r="Q538" s="148">
        <v>74865</v>
      </c>
      <c r="R538" s="131"/>
    </row>
    <row r="539" spans="2:21" s="130" customFormat="1" ht="25.5" customHeight="1" outlineLevel="1">
      <c r="B539" s="143" t="s">
        <v>75</v>
      </c>
      <c r="C539" s="146">
        <f>SUM(D539:Q539)</f>
        <v>260905</v>
      </c>
      <c r="D539" s="147">
        <v>0</v>
      </c>
      <c r="E539" s="147">
        <v>0</v>
      </c>
      <c r="F539" s="147">
        <v>0</v>
      </c>
      <c r="G539" s="147">
        <v>76533</v>
      </c>
      <c r="H539" s="147">
        <v>0</v>
      </c>
      <c r="I539" s="147">
        <v>0</v>
      </c>
      <c r="J539" s="147">
        <v>0</v>
      </c>
      <c r="K539" s="147">
        <v>0</v>
      </c>
      <c r="L539" s="147">
        <v>0</v>
      </c>
      <c r="M539" s="147">
        <v>0</v>
      </c>
      <c r="N539" s="147">
        <v>49646</v>
      </c>
      <c r="O539" s="147">
        <v>1305</v>
      </c>
      <c r="P539" s="147">
        <v>133421</v>
      </c>
      <c r="Q539" s="148">
        <v>0</v>
      </c>
      <c r="R539" s="131"/>
    </row>
    <row r="540" spans="2:21" s="130" customFormat="1" ht="25.5" customHeight="1" outlineLevel="1">
      <c r="B540" s="143" t="s">
        <v>20</v>
      </c>
      <c r="C540" s="146">
        <f>SUM(C536:C539)</f>
        <v>28709638</v>
      </c>
      <c r="D540" s="147">
        <f>SUM(D536:D539)</f>
        <v>4543453</v>
      </c>
      <c r="E540" s="147">
        <f t="shared" ref="E540:Q540" si="157">SUM(E536:E539)</f>
        <v>2005009</v>
      </c>
      <c r="F540" s="147">
        <f t="shared" si="157"/>
        <v>832051</v>
      </c>
      <c r="G540" s="147">
        <f t="shared" si="157"/>
        <v>1043558</v>
      </c>
      <c r="H540" s="147">
        <f t="shared" si="157"/>
        <v>1274939</v>
      </c>
      <c r="I540" s="147">
        <f t="shared" si="157"/>
        <v>2369868</v>
      </c>
      <c r="J540" s="147">
        <f t="shared" si="157"/>
        <v>2642789</v>
      </c>
      <c r="K540" s="147">
        <f t="shared" si="157"/>
        <v>192602</v>
      </c>
      <c r="L540" s="147">
        <f t="shared" si="157"/>
        <v>1931088</v>
      </c>
      <c r="M540" s="147">
        <f t="shared" si="157"/>
        <v>3806121</v>
      </c>
      <c r="N540" s="147">
        <f t="shared" si="157"/>
        <v>747880</v>
      </c>
      <c r="O540" s="147">
        <f t="shared" si="157"/>
        <v>1469197</v>
      </c>
      <c r="P540" s="147">
        <f t="shared" si="157"/>
        <v>2158209</v>
      </c>
      <c r="Q540" s="148">
        <f t="shared" si="157"/>
        <v>3692874</v>
      </c>
      <c r="R540" s="131"/>
    </row>
    <row r="541" spans="2:21" s="130" customFormat="1" ht="25.5" customHeight="1" outlineLevel="1">
      <c r="B541" s="144" t="s">
        <v>76</v>
      </c>
      <c r="C541" s="140"/>
      <c r="D541" s="132"/>
      <c r="E541" s="132"/>
      <c r="F541" s="132"/>
      <c r="G541" s="132"/>
      <c r="H541" s="132"/>
      <c r="I541" s="132"/>
      <c r="J541" s="132"/>
      <c r="K541" s="132"/>
      <c r="L541" s="132"/>
      <c r="M541" s="132"/>
      <c r="N541" s="132"/>
      <c r="O541" s="132"/>
      <c r="P541" s="132"/>
      <c r="Q541" s="133"/>
      <c r="R541" s="131"/>
    </row>
    <row r="542" spans="2:21" s="130" customFormat="1" ht="25.5" customHeight="1" outlineLevel="1">
      <c r="B542" s="143" t="s">
        <v>72</v>
      </c>
      <c r="C542" s="145">
        <v>90.829024424439908</v>
      </c>
      <c r="D542" s="145">
        <v>149.17045071159555</v>
      </c>
      <c r="E542" s="145">
        <v>53.628273753286052</v>
      </c>
      <c r="F542" s="145">
        <v>35.573249120233122</v>
      </c>
      <c r="G542" s="145">
        <v>59.49458269821465</v>
      </c>
      <c r="H542" s="145">
        <v>51.793825730802965</v>
      </c>
      <c r="I542" s="145">
        <v>211.73227958713613</v>
      </c>
      <c r="J542" s="145">
        <v>165.66621535575163</v>
      </c>
      <c r="K542" s="145">
        <v>5.9968109711107322</v>
      </c>
      <c r="L542" s="145">
        <v>83.581869274998837</v>
      </c>
      <c r="M542" s="145">
        <v>107.81434643136971</v>
      </c>
      <c r="N542" s="145">
        <v>29.070008532966547</v>
      </c>
      <c r="O542" s="145">
        <v>93.526129808363464</v>
      </c>
      <c r="P542" s="145">
        <v>293.612853810128</v>
      </c>
      <c r="Q542" s="149">
        <v>127.89321355008192</v>
      </c>
      <c r="R542" s="131"/>
    </row>
    <row r="543" spans="2:21" s="130" customFormat="1" ht="25.5" customHeight="1" outlineLevel="1">
      <c r="B543" s="143" t="s">
        <v>73</v>
      </c>
      <c r="C543" s="145">
        <v>5.7401549961819587</v>
      </c>
      <c r="D543" s="145">
        <v>42.53685355660059</v>
      </c>
      <c r="E543" s="145">
        <v>1.8915311213678521</v>
      </c>
      <c r="F543" s="145">
        <v>0</v>
      </c>
      <c r="G543" s="145">
        <v>4.1445403935486205</v>
      </c>
      <c r="H543" s="145">
        <v>6.3724499310465506</v>
      </c>
      <c r="I543" s="145">
        <v>3.9589812011108561</v>
      </c>
      <c r="J543" s="145">
        <v>6.9340308882098771</v>
      </c>
      <c r="K543" s="145">
        <v>0</v>
      </c>
      <c r="L543" s="145">
        <v>4.7097380306803105</v>
      </c>
      <c r="M543" s="145">
        <v>0</v>
      </c>
      <c r="N543" s="145">
        <v>0.79863472535309921</v>
      </c>
      <c r="O543" s="145">
        <v>1.1767453864839079</v>
      </c>
      <c r="P543" s="145">
        <v>0.84034473282621269</v>
      </c>
      <c r="Q543" s="149">
        <v>3.1472078644339865</v>
      </c>
      <c r="R543" s="131"/>
    </row>
    <row r="544" spans="2:21" s="130" customFormat="1" ht="25.5" customHeight="1" outlineLevel="1">
      <c r="B544" s="143" t="s">
        <v>74</v>
      </c>
      <c r="C544" s="145">
        <v>4.9481312649809377</v>
      </c>
      <c r="D544" s="145">
        <v>3.8116148088985593</v>
      </c>
      <c r="E544" s="145">
        <v>25.607450240487616</v>
      </c>
      <c r="F544" s="145">
        <v>0.93147141421236457</v>
      </c>
      <c r="G544" s="145">
        <v>3.3514513628028403E-2</v>
      </c>
      <c r="H544" s="145">
        <v>0.53919525913374211</v>
      </c>
      <c r="I544" s="145">
        <v>4.497963833066831</v>
      </c>
      <c r="J544" s="145">
        <v>7.5688658188566151</v>
      </c>
      <c r="K544" s="145">
        <v>2.5434190362676654</v>
      </c>
      <c r="L544" s="145">
        <v>0.7712277889210144</v>
      </c>
      <c r="M544" s="145">
        <v>3.6265449268776577</v>
      </c>
      <c r="N544" s="145">
        <v>5.7015499433258192</v>
      </c>
      <c r="O544" s="145">
        <v>5.2586490445413112</v>
      </c>
      <c r="P544" s="145">
        <v>1.5147838695908928</v>
      </c>
      <c r="Q544" s="149">
        <v>2.7115303331743319</v>
      </c>
      <c r="R544" s="131"/>
    </row>
    <row r="545" spans="2:21" s="130" customFormat="1" ht="25.5" customHeight="1" outlineLevel="1">
      <c r="B545" s="143" t="s">
        <v>75</v>
      </c>
      <c r="C545" s="145">
        <v>0.93102121435169705</v>
      </c>
      <c r="D545" s="145">
        <v>0</v>
      </c>
      <c r="E545" s="145">
        <v>0</v>
      </c>
      <c r="F545" s="145">
        <v>0</v>
      </c>
      <c r="G545" s="145">
        <v>5.0392264665891906</v>
      </c>
      <c r="H545" s="145">
        <v>0</v>
      </c>
      <c r="I545" s="145">
        <v>0</v>
      </c>
      <c r="J545" s="145">
        <v>0</v>
      </c>
      <c r="K545" s="145">
        <v>0</v>
      </c>
      <c r="L545" s="145">
        <v>0</v>
      </c>
      <c r="M545" s="145">
        <v>0</v>
      </c>
      <c r="N545" s="145">
        <v>2.5291203402998002</v>
      </c>
      <c r="O545" s="145">
        <v>8.886879220842013E-2</v>
      </c>
      <c r="P545" s="145">
        <v>19.502458618613002</v>
      </c>
      <c r="Q545" s="149">
        <v>0</v>
      </c>
      <c r="R545" s="131"/>
    </row>
    <row r="546" spans="2:21" ht="25.5" customHeight="1" outlineLevel="1" thickBot="1">
      <c r="B546" s="743" t="s">
        <v>20</v>
      </c>
      <c r="C546" s="744">
        <f>SUM(C542:C545)</f>
        <v>102.44833189995451</v>
      </c>
      <c r="D546" s="744">
        <f t="shared" ref="D546:Q546" si="158">SUM(D542:D545)</f>
        <v>195.51891907709469</v>
      </c>
      <c r="E546" s="744">
        <f t="shared" si="158"/>
        <v>81.127255115141523</v>
      </c>
      <c r="F546" s="744">
        <f t="shared" si="158"/>
        <v>36.504720534445489</v>
      </c>
      <c r="G546" s="744">
        <f t="shared" si="158"/>
        <v>68.711864071980486</v>
      </c>
      <c r="H546" s="744">
        <f t="shared" si="158"/>
        <v>58.705470920983259</v>
      </c>
      <c r="I546" s="744">
        <f t="shared" si="158"/>
        <v>220.1892246213138</v>
      </c>
      <c r="J546" s="744">
        <f t="shared" si="158"/>
        <v>180.16911206281813</v>
      </c>
      <c r="K546" s="744">
        <f t="shared" si="158"/>
        <v>8.5402300073783977</v>
      </c>
      <c r="L546" s="744">
        <f t="shared" si="158"/>
        <v>89.06283509460016</v>
      </c>
      <c r="M546" s="744">
        <f t="shared" si="158"/>
        <v>111.44089135824737</v>
      </c>
      <c r="N546" s="744">
        <f t="shared" si="158"/>
        <v>38.099313541945264</v>
      </c>
      <c r="O546" s="744">
        <f t="shared" si="158"/>
        <v>100.0503930315971</v>
      </c>
      <c r="P546" s="744">
        <f t="shared" si="158"/>
        <v>315.47044103115809</v>
      </c>
      <c r="Q546" s="745">
        <f t="shared" si="158"/>
        <v>133.75195174769024</v>
      </c>
      <c r="R546" s="15"/>
    </row>
    <row r="547" spans="2:21" s="435" customFormat="1" ht="13.5" customHeight="1" outlineLevel="1">
      <c r="B547" s="153"/>
      <c r="C547" s="741"/>
      <c r="D547" s="741"/>
      <c r="E547" s="741"/>
      <c r="F547" s="741"/>
      <c r="G547" s="741"/>
      <c r="H547" s="741"/>
      <c r="I547" s="741"/>
      <c r="J547" s="741"/>
      <c r="K547" s="741"/>
      <c r="L547" s="741"/>
      <c r="M547" s="741"/>
      <c r="N547" s="741"/>
      <c r="O547" s="741"/>
      <c r="P547" s="741"/>
      <c r="Q547" s="741"/>
      <c r="R547" s="128"/>
      <c r="S547" s="128"/>
      <c r="T547" s="128"/>
      <c r="U547" s="742"/>
    </row>
    <row r="548" spans="2:21" s="435" customFormat="1" ht="12.75" customHeight="1" outlineLevel="1">
      <c r="B548" s="153"/>
      <c r="C548" s="154"/>
      <c r="D548" s="154"/>
      <c r="E548" s="154"/>
      <c r="F548" s="154"/>
      <c r="G548" s="154"/>
      <c r="H548" s="154"/>
      <c r="I548" s="154"/>
      <c r="J548" s="154"/>
      <c r="K548" s="154"/>
      <c r="L548" s="154"/>
      <c r="M548" s="154"/>
      <c r="N548" s="154"/>
      <c r="O548" s="154"/>
      <c r="P548" s="154"/>
      <c r="Q548" s="154"/>
      <c r="R548" s="128"/>
      <c r="S548" s="128"/>
      <c r="T548" s="128"/>
      <c r="U548" s="742"/>
    </row>
    <row r="549" spans="2:21" s="435" customFormat="1" ht="12.75" customHeight="1" outlineLevel="1">
      <c r="B549" s="153"/>
      <c r="C549" s="154"/>
      <c r="D549" s="154"/>
      <c r="E549" s="154"/>
      <c r="F549" s="154"/>
      <c r="G549" s="154"/>
      <c r="H549" s="154"/>
      <c r="I549" s="154"/>
      <c r="J549" s="154"/>
      <c r="K549" s="154"/>
      <c r="L549" s="154"/>
      <c r="M549" s="154"/>
      <c r="N549" s="154"/>
      <c r="O549" s="154"/>
      <c r="P549" s="154"/>
      <c r="Q549" s="154"/>
      <c r="R549" s="128"/>
      <c r="S549" s="128"/>
      <c r="T549" s="128"/>
      <c r="U549" s="742"/>
    </row>
    <row r="550" spans="2:21" s="435" customFormat="1" ht="12.75" customHeight="1" outlineLevel="1">
      <c r="B550" s="153"/>
      <c r="C550" s="154"/>
      <c r="D550" s="154"/>
      <c r="E550" s="154"/>
      <c r="F550" s="154"/>
      <c r="G550" s="154"/>
      <c r="H550" s="154"/>
      <c r="I550" s="154"/>
      <c r="J550" s="154"/>
      <c r="K550" s="154"/>
      <c r="L550" s="154"/>
      <c r="M550" s="154"/>
      <c r="N550" s="154"/>
      <c r="O550" s="154"/>
      <c r="P550" s="154"/>
      <c r="Q550" s="154"/>
      <c r="R550" s="128"/>
      <c r="S550" s="128"/>
      <c r="T550" s="128"/>
      <c r="U550" s="742"/>
    </row>
    <row r="551" spans="2:21" s="435" customFormat="1" ht="12.75" customHeight="1" outlineLevel="1">
      <c r="B551" s="153"/>
      <c r="C551" s="154"/>
      <c r="D551" s="154"/>
      <c r="E551" s="154"/>
      <c r="F551" s="154"/>
      <c r="G551" s="154"/>
      <c r="H551" s="154"/>
      <c r="I551" s="154"/>
      <c r="J551" s="154"/>
      <c r="K551" s="154"/>
      <c r="L551" s="154"/>
      <c r="M551" s="154"/>
      <c r="N551" s="154"/>
      <c r="O551" s="154"/>
      <c r="P551" s="154"/>
      <c r="Q551" s="154"/>
      <c r="R551" s="128"/>
      <c r="S551" s="128"/>
      <c r="T551" s="128"/>
      <c r="U551" s="742"/>
    </row>
    <row r="552" spans="2:21" s="435" customFormat="1" ht="13.5" customHeight="1" outlineLevel="1">
      <c r="B552" s="153"/>
      <c r="C552" s="154"/>
      <c r="D552" s="154"/>
      <c r="E552" s="154"/>
      <c r="F552" s="154"/>
      <c r="G552" s="154"/>
      <c r="H552" s="154"/>
      <c r="I552" s="154"/>
      <c r="J552" s="154"/>
      <c r="K552" s="154"/>
      <c r="L552" s="154"/>
      <c r="M552" s="154"/>
      <c r="N552" s="154"/>
      <c r="O552" s="154"/>
      <c r="P552" s="154"/>
      <c r="Q552" s="154"/>
      <c r="R552" s="128"/>
      <c r="S552" s="128"/>
      <c r="T552" s="128"/>
      <c r="U552" s="742"/>
    </row>
    <row r="553" spans="2:21" s="435" customFormat="1" ht="12.75" customHeight="1" outlineLevel="1">
      <c r="B553" s="153"/>
      <c r="C553" s="156"/>
      <c r="D553" s="154"/>
      <c r="E553" s="154"/>
      <c r="F553" s="154"/>
      <c r="G553" s="154"/>
      <c r="H553" s="154"/>
      <c r="I553" s="154"/>
      <c r="J553" s="154"/>
      <c r="K553" s="154"/>
      <c r="L553" s="154"/>
      <c r="M553" s="154"/>
      <c r="N553" s="154"/>
      <c r="O553" s="154"/>
      <c r="P553" s="154"/>
      <c r="Q553" s="154"/>
      <c r="R553" s="128"/>
      <c r="S553" s="128"/>
      <c r="T553" s="128"/>
      <c r="U553" s="742"/>
    </row>
    <row r="554" spans="2:21" s="127" customFormat="1" ht="12.75" customHeight="1" outlineLevel="1">
      <c r="B554" s="153"/>
      <c r="C554" s="154"/>
      <c r="D554" s="154"/>
      <c r="E554" s="154"/>
      <c r="F554" s="154"/>
      <c r="G554" s="154"/>
      <c r="H554" s="154"/>
      <c r="I554" s="154"/>
      <c r="J554" s="154"/>
      <c r="K554" s="154"/>
      <c r="L554" s="154"/>
      <c r="M554" s="154"/>
      <c r="N554" s="154"/>
      <c r="O554" s="154"/>
      <c r="P554" s="154"/>
      <c r="Q554" s="154"/>
      <c r="R554" s="128"/>
      <c r="S554" s="128"/>
      <c r="T554" s="128"/>
      <c r="U554" s="129"/>
    </row>
    <row r="555" spans="2:21" ht="12.75" customHeight="1" outlineLevel="1"/>
    <row r="556" spans="2:21" s="2" customFormat="1" ht="15.75" customHeight="1" outlineLevel="1" thickBot="1">
      <c r="B556" s="28" t="str">
        <f>CONCATENATE(LEFT(B579, 4)+1 &amp;"-" &amp;IF(B579&gt;"2007-08",,"0") &amp;RIGHT(B579,2)+1)</f>
        <v>2002-03</v>
      </c>
      <c r="C556" s="29"/>
      <c r="D556" s="28"/>
      <c r="E556" s="28"/>
      <c r="G556" s="28"/>
      <c r="H556" s="28"/>
      <c r="I556" s="28"/>
      <c r="J556" s="28"/>
      <c r="K556" s="28"/>
      <c r="L556" s="28"/>
      <c r="M556" s="28"/>
      <c r="N556" s="28"/>
      <c r="O556" s="28"/>
    </row>
    <row r="557" spans="2:21" ht="13.5" customHeight="1" outlineLevel="1" thickBot="1">
      <c r="B557" s="141" t="s">
        <v>19</v>
      </c>
      <c r="C557" s="138" t="s">
        <v>38</v>
      </c>
      <c r="D557" s="136" t="str">
        <f>D580</f>
        <v>CN West</v>
      </c>
      <c r="E557" s="136" t="str">
        <f t="shared" ref="E557:Q557" si="159">E580</f>
        <v>CN East</v>
      </c>
      <c r="F557" s="136" t="str">
        <f t="shared" si="159"/>
        <v>ENWL</v>
      </c>
      <c r="G557" s="136" t="str">
        <f t="shared" si="159"/>
        <v>CE NEDL</v>
      </c>
      <c r="H557" s="136" t="str">
        <f t="shared" si="159"/>
        <v>CE YEDL</v>
      </c>
      <c r="I557" s="136" t="str">
        <f t="shared" si="159"/>
        <v>WPD S Wales</v>
      </c>
      <c r="J557" s="136" t="str">
        <f t="shared" si="159"/>
        <v>WPD S West</v>
      </c>
      <c r="K557" s="136" t="str">
        <f t="shared" si="159"/>
        <v>UKPN LPN</v>
      </c>
      <c r="L557" s="136" t="str">
        <f t="shared" si="159"/>
        <v>UKPN SEPN</v>
      </c>
      <c r="M557" s="136" t="str">
        <f t="shared" si="159"/>
        <v>UKPN EPN</v>
      </c>
      <c r="N557" s="136" t="str">
        <f t="shared" si="159"/>
        <v>SP Distribution</v>
      </c>
      <c r="O557" s="136" t="str">
        <f t="shared" si="159"/>
        <v>SP Manweb</v>
      </c>
      <c r="P557" s="136" t="str">
        <f t="shared" si="159"/>
        <v>SSE Hydro</v>
      </c>
      <c r="Q557" s="137" t="str">
        <f t="shared" si="159"/>
        <v>SSE Southern</v>
      </c>
      <c r="R557" s="15"/>
    </row>
    <row r="558" spans="2:21" s="130" customFormat="1" ht="25.5" customHeight="1" outlineLevel="1" thickTop="1">
      <c r="B558" s="142" t="s">
        <v>71</v>
      </c>
      <c r="C558" s="139"/>
      <c r="D558" s="134"/>
      <c r="E558" s="134"/>
      <c r="F558" s="134"/>
      <c r="G558" s="134"/>
      <c r="H558" s="134"/>
      <c r="I558" s="134"/>
      <c r="J558" s="134"/>
      <c r="K558" s="134"/>
      <c r="L558" s="134"/>
      <c r="M558" s="134"/>
      <c r="N558" s="134"/>
      <c r="O558" s="134"/>
      <c r="P558" s="134"/>
      <c r="Q558" s="135"/>
      <c r="R558" s="131"/>
    </row>
    <row r="559" spans="2:21" s="130" customFormat="1" ht="25.5" customHeight="1" outlineLevel="1">
      <c r="B559" s="143" t="s">
        <v>72</v>
      </c>
      <c r="C559" s="146">
        <f>SUM(D559:Q559)</f>
        <v>25152346</v>
      </c>
      <c r="D559" s="147">
        <v>3386254</v>
      </c>
      <c r="E559" s="147">
        <v>1724732</v>
      </c>
      <c r="F559" s="147">
        <v>730754</v>
      </c>
      <c r="G559" s="147">
        <v>673681</v>
      </c>
      <c r="H559" s="147">
        <v>771882</v>
      </c>
      <c r="I559" s="147">
        <v>1413641</v>
      </c>
      <c r="J559" s="147">
        <v>2843281</v>
      </c>
      <c r="K559" s="147">
        <v>163722</v>
      </c>
      <c r="L559" s="147">
        <v>1264018</v>
      </c>
      <c r="M559" s="147">
        <v>4818866</v>
      </c>
      <c r="N559" s="147">
        <v>526702</v>
      </c>
      <c r="O559" s="147">
        <v>1172055</v>
      </c>
      <c r="P559" s="147">
        <v>2146819</v>
      </c>
      <c r="Q559" s="148">
        <v>3515939</v>
      </c>
      <c r="R559" s="131"/>
    </row>
    <row r="560" spans="2:21" s="130" customFormat="1" ht="25.5" customHeight="1" outlineLevel="1">
      <c r="B560" s="143" t="s">
        <v>73</v>
      </c>
      <c r="C560" s="146">
        <f>SUM(D560:Q560)</f>
        <v>982588</v>
      </c>
      <c r="D560" s="147">
        <v>227071</v>
      </c>
      <c r="E560" s="147">
        <v>57577</v>
      </c>
      <c r="F560" s="147">
        <v>0</v>
      </c>
      <c r="G560" s="147">
        <v>118416</v>
      </c>
      <c r="H560" s="147">
        <v>92187</v>
      </c>
      <c r="I560" s="147">
        <v>95626</v>
      </c>
      <c r="J560" s="147">
        <v>31618</v>
      </c>
      <c r="K560" s="147">
        <v>21802</v>
      </c>
      <c r="L560" s="147">
        <v>121939</v>
      </c>
      <c r="M560" s="147">
        <v>120086</v>
      </c>
      <c r="N560" s="147">
        <v>8988</v>
      </c>
      <c r="O560" s="147">
        <v>19761</v>
      </c>
      <c r="P560" s="147">
        <v>4037</v>
      </c>
      <c r="Q560" s="148">
        <v>63480</v>
      </c>
      <c r="R560" s="131"/>
    </row>
    <row r="561" spans="2:21" s="130" customFormat="1" ht="25.5" customHeight="1" outlineLevel="1">
      <c r="B561" s="143" t="s">
        <v>74</v>
      </c>
      <c r="C561" s="146">
        <f>SUM(D561:Q561)</f>
        <v>1730767</v>
      </c>
      <c r="D561" s="147">
        <v>545866</v>
      </c>
      <c r="E561" s="147">
        <v>683331</v>
      </c>
      <c r="F561" s="147">
        <v>0</v>
      </c>
      <c r="G561" s="147">
        <v>83975</v>
      </c>
      <c r="H561" s="147">
        <v>34983</v>
      </c>
      <c r="I561" s="147">
        <v>63740</v>
      </c>
      <c r="J561" s="147">
        <v>100828</v>
      </c>
      <c r="K561" s="147">
        <v>127</v>
      </c>
      <c r="L561" s="147">
        <v>1700</v>
      </c>
      <c r="M561" s="147">
        <v>67790</v>
      </c>
      <c r="N561" s="147">
        <v>96601</v>
      </c>
      <c r="O561" s="147">
        <v>24840</v>
      </c>
      <c r="P561" s="147">
        <v>5687</v>
      </c>
      <c r="Q561" s="148">
        <v>21299</v>
      </c>
      <c r="R561" s="131"/>
    </row>
    <row r="562" spans="2:21" s="130" customFormat="1" ht="25.5" customHeight="1" outlineLevel="1">
      <c r="B562" s="143" t="s">
        <v>75</v>
      </c>
      <c r="C562" s="146">
        <f>SUM(D562:Q562)</f>
        <v>242360</v>
      </c>
      <c r="D562" s="147">
        <v>0</v>
      </c>
      <c r="E562" s="147">
        <v>880</v>
      </c>
      <c r="F562" s="147">
        <v>0</v>
      </c>
      <c r="G562" s="147">
        <v>0</v>
      </c>
      <c r="H562" s="147">
        <v>0</v>
      </c>
      <c r="I562" s="147">
        <v>0</v>
      </c>
      <c r="J562" s="147">
        <v>0</v>
      </c>
      <c r="K562" s="147">
        <v>0</v>
      </c>
      <c r="L562" s="147">
        <v>0</v>
      </c>
      <c r="M562" s="147">
        <v>10717</v>
      </c>
      <c r="N562" s="147">
        <v>78724</v>
      </c>
      <c r="O562" s="147">
        <v>5943</v>
      </c>
      <c r="P562" s="147">
        <v>146096</v>
      </c>
      <c r="Q562" s="148">
        <v>0</v>
      </c>
      <c r="R562" s="131"/>
    </row>
    <row r="563" spans="2:21" s="130" customFormat="1" ht="25.5" customHeight="1" outlineLevel="1">
      <c r="B563" s="143" t="s">
        <v>20</v>
      </c>
      <c r="C563" s="146">
        <f>SUM(C559:C562)</f>
        <v>28108061</v>
      </c>
      <c r="D563" s="147">
        <f>SUM(D559:D562)</f>
        <v>4159191</v>
      </c>
      <c r="E563" s="147">
        <f t="shared" ref="E563:Q563" si="160">SUM(E559:E562)</f>
        <v>2466520</v>
      </c>
      <c r="F563" s="147">
        <f t="shared" si="160"/>
        <v>730754</v>
      </c>
      <c r="G563" s="147">
        <f t="shared" si="160"/>
        <v>876072</v>
      </c>
      <c r="H563" s="147">
        <f t="shared" si="160"/>
        <v>899052</v>
      </c>
      <c r="I563" s="147">
        <f t="shared" si="160"/>
        <v>1573007</v>
      </c>
      <c r="J563" s="147">
        <f t="shared" si="160"/>
        <v>2975727</v>
      </c>
      <c r="K563" s="147">
        <f t="shared" si="160"/>
        <v>185651</v>
      </c>
      <c r="L563" s="147">
        <f t="shared" si="160"/>
        <v>1387657</v>
      </c>
      <c r="M563" s="147">
        <f t="shared" si="160"/>
        <v>5017459</v>
      </c>
      <c r="N563" s="147">
        <f t="shared" si="160"/>
        <v>711015</v>
      </c>
      <c r="O563" s="147">
        <f t="shared" si="160"/>
        <v>1222599</v>
      </c>
      <c r="P563" s="147">
        <f t="shared" si="160"/>
        <v>2302639</v>
      </c>
      <c r="Q563" s="148">
        <f t="shared" si="160"/>
        <v>3600718</v>
      </c>
      <c r="R563" s="131"/>
    </row>
    <row r="564" spans="2:21" s="130" customFormat="1" ht="25.5" customHeight="1" outlineLevel="1">
      <c r="B564" s="144" t="s">
        <v>76</v>
      </c>
      <c r="C564" s="140"/>
      <c r="D564" s="132"/>
      <c r="E564" s="132"/>
      <c r="F564" s="132"/>
      <c r="G564" s="132"/>
      <c r="H564" s="132"/>
      <c r="I564" s="132"/>
      <c r="J564" s="132"/>
      <c r="K564" s="132"/>
      <c r="L564" s="132"/>
      <c r="M564" s="132"/>
      <c r="N564" s="132"/>
      <c r="O564" s="132"/>
      <c r="P564" s="132"/>
      <c r="Q564" s="133"/>
      <c r="R564" s="131"/>
    </row>
    <row r="565" spans="2:21" s="130" customFormat="1" ht="25.5" customHeight="1" outlineLevel="1">
      <c r="B565" s="143" t="s">
        <v>72</v>
      </c>
      <c r="C565" s="145">
        <v>90.324848060027932</v>
      </c>
      <c r="D565" s="145">
        <v>146.76421319521947</v>
      </c>
      <c r="E565" s="145">
        <v>70.529705185004659</v>
      </c>
      <c r="F565" s="145">
        <v>32.025765973680947</v>
      </c>
      <c r="G565" s="145">
        <v>44.554767137402791</v>
      </c>
      <c r="H565" s="145">
        <v>35.799335384843708</v>
      </c>
      <c r="I565" s="145">
        <v>132.67022045367094</v>
      </c>
      <c r="J565" s="145">
        <v>196.59270680642754</v>
      </c>
      <c r="K565" s="145">
        <v>7.3332306132211533</v>
      </c>
      <c r="L565" s="145">
        <v>58.902271153489494</v>
      </c>
      <c r="M565" s="145">
        <v>142.2779513531101</v>
      </c>
      <c r="N565" s="145">
        <v>27.235759325122476</v>
      </c>
      <c r="O565" s="145">
        <v>80.689088276742325</v>
      </c>
      <c r="P565" s="145">
        <v>317.57442622465805</v>
      </c>
      <c r="Q565" s="149">
        <v>129.00000513660811</v>
      </c>
      <c r="R565" s="131"/>
    </row>
    <row r="566" spans="2:21" s="130" customFormat="1" ht="25.5" customHeight="1" outlineLevel="1">
      <c r="B566" s="143" t="s">
        <v>73</v>
      </c>
      <c r="C566" s="145">
        <v>3.4878183327971017</v>
      </c>
      <c r="D566" s="145">
        <v>9.8415230087440815</v>
      </c>
      <c r="E566" s="145">
        <v>2.3545042565668246</v>
      </c>
      <c r="F566" s="145">
        <v>0</v>
      </c>
      <c r="G566" s="145">
        <v>7.8315958225668947</v>
      </c>
      <c r="H566" s="145">
        <v>4.2755671606833525</v>
      </c>
      <c r="I566" s="145">
        <v>8.974500952577591</v>
      </c>
      <c r="J566" s="145">
        <v>2.1861603562242444</v>
      </c>
      <c r="K566" s="145">
        <v>0.97652785715693424</v>
      </c>
      <c r="L566" s="145">
        <v>5.6822640517661576</v>
      </c>
      <c r="M566" s="145">
        <v>3.5455623929342672</v>
      </c>
      <c r="N566" s="145">
        <v>0.46476946131626767</v>
      </c>
      <c r="O566" s="145">
        <v>1.3604285408421151</v>
      </c>
      <c r="P566" s="145">
        <v>0.59718493206411194</v>
      </c>
      <c r="Q566" s="149">
        <v>2.3290848692403032</v>
      </c>
      <c r="R566" s="131"/>
    </row>
    <row r="567" spans="2:21" s="130" customFormat="1" ht="25.5" customHeight="1" outlineLevel="1">
      <c r="B567" s="143" t="s">
        <v>74</v>
      </c>
      <c r="C567" s="145">
        <v>6.5648490050048487</v>
      </c>
      <c r="D567" s="145">
        <v>23.65847157360956</v>
      </c>
      <c r="E567" s="145">
        <v>27.943549475381925</v>
      </c>
      <c r="F567" s="145">
        <v>0</v>
      </c>
      <c r="G567" s="145">
        <v>5.5537955951903033</v>
      </c>
      <c r="H567" s="145">
        <v>1.622486532615073</v>
      </c>
      <c r="I567" s="145">
        <v>5.9819995682899592</v>
      </c>
      <c r="J567" s="145">
        <v>6.9715407804851068</v>
      </c>
      <c r="K567" s="145">
        <v>5.6884248169402187E-3</v>
      </c>
      <c r="L567" s="145">
        <v>7.9218698595219475E-2</v>
      </c>
      <c r="M567" s="145">
        <v>2.0015128709176251</v>
      </c>
      <c r="N567" s="145">
        <v>4.995237509191452</v>
      </c>
      <c r="O567" s="145">
        <v>1.7100877968988479</v>
      </c>
      <c r="P567" s="145">
        <v>0.84126596696769995</v>
      </c>
      <c r="Q567" s="149">
        <v>0.78146154111451183</v>
      </c>
      <c r="R567" s="131"/>
    </row>
    <row r="568" spans="2:21" s="130" customFormat="1" ht="25.5" customHeight="1" outlineLevel="1">
      <c r="B568" s="143" t="s">
        <v>75</v>
      </c>
      <c r="C568" s="145">
        <v>0.87280718718328965</v>
      </c>
      <c r="D568" s="145">
        <v>0</v>
      </c>
      <c r="E568" s="145">
        <v>3.5985962203289611E-2</v>
      </c>
      <c r="F568" s="145">
        <v>0</v>
      </c>
      <c r="G568" s="145">
        <v>0</v>
      </c>
      <c r="H568" s="145">
        <v>0</v>
      </c>
      <c r="I568" s="145">
        <v>0</v>
      </c>
      <c r="J568" s="145">
        <v>0</v>
      </c>
      <c r="K568" s="145">
        <v>0</v>
      </c>
      <c r="L568" s="145">
        <v>0</v>
      </c>
      <c r="M568" s="145">
        <v>0.31642149930113866</v>
      </c>
      <c r="N568" s="145">
        <v>4.0708178763531215</v>
      </c>
      <c r="O568" s="145">
        <v>0.40914057073147558</v>
      </c>
      <c r="P568" s="145">
        <v>21.611674469863388</v>
      </c>
      <c r="Q568" s="149">
        <v>0</v>
      </c>
      <c r="R568" s="131"/>
    </row>
    <row r="569" spans="2:21" ht="25.5" customHeight="1" outlineLevel="1" thickBot="1">
      <c r="B569" s="743" t="s">
        <v>20</v>
      </c>
      <c r="C569" s="744">
        <f>SUM(C565:C568)</f>
        <v>101.25032258501317</v>
      </c>
      <c r="D569" s="744">
        <f t="shared" ref="D569:Q569" si="161">SUM(D565:D568)</f>
        <v>180.26420777757312</v>
      </c>
      <c r="E569" s="744">
        <f t="shared" si="161"/>
        <v>100.8637448791567</v>
      </c>
      <c r="F569" s="744">
        <f t="shared" si="161"/>
        <v>32.025765973680947</v>
      </c>
      <c r="G569" s="744">
        <f t="shared" si="161"/>
        <v>57.940158555159989</v>
      </c>
      <c r="H569" s="744">
        <f t="shared" si="161"/>
        <v>41.69738907814213</v>
      </c>
      <c r="I569" s="744">
        <f t="shared" si="161"/>
        <v>147.62672097453847</v>
      </c>
      <c r="J569" s="744">
        <f t="shared" si="161"/>
        <v>205.75040794313688</v>
      </c>
      <c r="K569" s="744">
        <f t="shared" si="161"/>
        <v>8.3154468951950271</v>
      </c>
      <c r="L569" s="744">
        <f t="shared" si="161"/>
        <v>64.663753903850861</v>
      </c>
      <c r="M569" s="744">
        <f t="shared" si="161"/>
        <v>148.14144811626312</v>
      </c>
      <c r="N569" s="744">
        <f t="shared" si="161"/>
        <v>36.766584171983325</v>
      </c>
      <c r="O569" s="744">
        <f t="shared" si="161"/>
        <v>84.168745185214775</v>
      </c>
      <c r="P569" s="744">
        <f t="shared" si="161"/>
        <v>340.62455159355324</v>
      </c>
      <c r="Q569" s="745">
        <f t="shared" si="161"/>
        <v>132.11055154696291</v>
      </c>
      <c r="R569" s="15"/>
    </row>
    <row r="570" spans="2:21" s="435" customFormat="1" ht="13.5" customHeight="1" outlineLevel="1">
      <c r="B570" s="153"/>
      <c r="C570" s="741"/>
      <c r="D570" s="741"/>
      <c r="E570" s="741"/>
      <c r="F570" s="741"/>
      <c r="G570" s="741"/>
      <c r="H570" s="741"/>
      <c r="I570" s="741"/>
      <c r="J570" s="741"/>
      <c r="K570" s="741"/>
      <c r="L570" s="741"/>
      <c r="M570" s="741"/>
      <c r="N570" s="741"/>
      <c r="O570" s="741"/>
      <c r="P570" s="741"/>
      <c r="Q570" s="741"/>
      <c r="R570" s="128"/>
      <c r="S570" s="128"/>
      <c r="T570" s="128"/>
      <c r="U570" s="742"/>
    </row>
    <row r="571" spans="2:21" s="435" customFormat="1" ht="12.75" customHeight="1" outlineLevel="1">
      <c r="B571" s="153"/>
      <c r="C571" s="154"/>
      <c r="D571" s="154"/>
      <c r="E571" s="154"/>
      <c r="F571" s="154"/>
      <c r="G571" s="154"/>
      <c r="H571" s="154"/>
      <c r="I571" s="154"/>
      <c r="J571" s="154"/>
      <c r="K571" s="154"/>
      <c r="L571" s="154"/>
      <c r="M571" s="154"/>
      <c r="N571" s="154"/>
      <c r="O571" s="154"/>
      <c r="P571" s="154"/>
      <c r="Q571" s="154"/>
      <c r="R571" s="128"/>
      <c r="S571" s="128"/>
      <c r="T571" s="128"/>
      <c r="U571" s="742"/>
    </row>
    <row r="572" spans="2:21" s="435" customFormat="1" ht="12.75" customHeight="1" outlineLevel="1">
      <c r="B572" s="153"/>
      <c r="C572" s="154"/>
      <c r="D572" s="154"/>
      <c r="E572" s="154"/>
      <c r="F572" s="154"/>
      <c r="G572" s="154"/>
      <c r="H572" s="154"/>
      <c r="I572" s="154"/>
      <c r="J572" s="154"/>
      <c r="K572" s="154"/>
      <c r="L572" s="154"/>
      <c r="M572" s="154"/>
      <c r="N572" s="154"/>
      <c r="O572" s="154"/>
      <c r="P572" s="154"/>
      <c r="Q572" s="154"/>
      <c r="R572" s="128"/>
      <c r="S572" s="128"/>
      <c r="T572" s="128"/>
      <c r="U572" s="742"/>
    </row>
    <row r="573" spans="2:21" s="435" customFormat="1" ht="12.75" customHeight="1" outlineLevel="1">
      <c r="B573" s="153"/>
      <c r="C573" s="154"/>
      <c r="D573" s="154"/>
      <c r="E573" s="154"/>
      <c r="F573" s="154"/>
      <c r="G573" s="154"/>
      <c r="H573" s="154"/>
      <c r="I573" s="154"/>
      <c r="J573" s="154"/>
      <c r="K573" s="154"/>
      <c r="L573" s="154"/>
      <c r="M573" s="154"/>
      <c r="N573" s="154"/>
      <c r="O573" s="154"/>
      <c r="P573" s="154"/>
      <c r="Q573" s="154"/>
      <c r="R573" s="128"/>
      <c r="S573" s="128"/>
      <c r="T573" s="128"/>
      <c r="U573" s="742"/>
    </row>
    <row r="574" spans="2:21" s="435" customFormat="1" ht="12.75" customHeight="1" outlineLevel="1">
      <c r="B574" s="153"/>
      <c r="C574" s="154"/>
      <c r="D574" s="154"/>
      <c r="E574" s="154"/>
      <c r="F574" s="154"/>
      <c r="G574" s="154"/>
      <c r="H574" s="154"/>
      <c r="I574" s="154"/>
      <c r="J574" s="154"/>
      <c r="K574" s="154"/>
      <c r="L574" s="154"/>
      <c r="M574" s="154"/>
      <c r="N574" s="154"/>
      <c r="O574" s="154"/>
      <c r="P574" s="154"/>
      <c r="Q574" s="154"/>
      <c r="R574" s="128"/>
      <c r="S574" s="128"/>
      <c r="T574" s="128"/>
      <c r="U574" s="742"/>
    </row>
    <row r="575" spans="2:21" s="435" customFormat="1" ht="13.5" customHeight="1" outlineLevel="1">
      <c r="B575" s="153"/>
      <c r="C575" s="154"/>
      <c r="D575" s="154"/>
      <c r="E575" s="154"/>
      <c r="F575" s="154"/>
      <c r="G575" s="154"/>
      <c r="H575" s="154"/>
      <c r="I575" s="154"/>
      <c r="J575" s="154"/>
      <c r="K575" s="154"/>
      <c r="L575" s="154"/>
      <c r="M575" s="154"/>
      <c r="N575" s="154"/>
      <c r="O575" s="154"/>
      <c r="P575" s="154"/>
      <c r="Q575" s="154"/>
      <c r="R575" s="128"/>
      <c r="S575" s="128"/>
      <c r="T575" s="128"/>
      <c r="U575" s="742"/>
    </row>
    <row r="576" spans="2:21" s="127" customFormat="1" ht="12.75" customHeight="1" outlineLevel="1">
      <c r="B576" s="153"/>
      <c r="C576" s="156"/>
      <c r="D576" s="154"/>
      <c r="E576" s="154"/>
      <c r="F576" s="154"/>
      <c r="G576" s="154"/>
      <c r="H576" s="154"/>
      <c r="I576" s="154"/>
      <c r="J576" s="154"/>
      <c r="K576" s="154"/>
      <c r="L576" s="154"/>
      <c r="M576" s="154"/>
      <c r="N576" s="154"/>
      <c r="O576" s="154"/>
      <c r="P576" s="154"/>
      <c r="Q576" s="154"/>
      <c r="R576" s="128"/>
      <c r="S576" s="128"/>
      <c r="T576" s="128"/>
      <c r="U576" s="129"/>
    </row>
    <row r="577" spans="2:21" s="127" customFormat="1" ht="12.75" customHeight="1" outlineLevel="1">
      <c r="B577" s="153"/>
      <c r="C577" s="154"/>
      <c r="D577" s="154"/>
      <c r="E577" s="154"/>
      <c r="F577" s="154"/>
      <c r="G577" s="154"/>
      <c r="H577" s="154"/>
      <c r="I577" s="154"/>
      <c r="J577" s="154"/>
      <c r="K577" s="154"/>
      <c r="L577" s="154"/>
      <c r="M577" s="154"/>
      <c r="N577" s="154"/>
      <c r="O577" s="154"/>
      <c r="P577" s="154"/>
      <c r="Q577" s="154"/>
      <c r="R577" s="128"/>
      <c r="S577" s="128"/>
      <c r="T577" s="128"/>
      <c r="U577" s="129"/>
    </row>
    <row r="578" spans="2:21" ht="12.75" customHeight="1" outlineLevel="1"/>
    <row r="579" spans="2:21" s="2" customFormat="1" ht="15.75" customHeight="1" outlineLevel="1" thickBot="1">
      <c r="B579" s="28" t="s">
        <v>296</v>
      </c>
      <c r="C579" s="29"/>
      <c r="D579" s="28"/>
      <c r="E579" s="28"/>
      <c r="G579" s="28"/>
      <c r="H579" s="28"/>
      <c r="I579" s="28"/>
      <c r="J579" s="28"/>
      <c r="K579" s="28"/>
      <c r="L579" s="28"/>
      <c r="M579" s="28"/>
      <c r="N579" s="28"/>
      <c r="O579" s="28"/>
    </row>
    <row r="580" spans="2:21" ht="13.5" customHeight="1" outlineLevel="1" thickBot="1">
      <c r="B580" s="141" t="s">
        <v>19</v>
      </c>
      <c r="C580" s="138" t="s">
        <v>38</v>
      </c>
      <c r="D580" s="136" t="str">
        <f>Inputs!$B$28</f>
        <v>CN West</v>
      </c>
      <c r="E580" s="136" t="str">
        <f>Inputs!$C$28</f>
        <v>CN East</v>
      </c>
      <c r="F580" s="136" t="str">
        <f>Inputs!$D$28</f>
        <v>ENWL</v>
      </c>
      <c r="G580" s="136" t="str">
        <f>Inputs!$E$28</f>
        <v>CE NEDL</v>
      </c>
      <c r="H580" s="136" t="str">
        <f>Inputs!$F$28</f>
        <v>CE YEDL</v>
      </c>
      <c r="I580" s="136" t="str">
        <f>Inputs!$G$28</f>
        <v>WPD S Wales</v>
      </c>
      <c r="J580" s="136" t="str">
        <f>Inputs!$H$28</f>
        <v>WPD S West</v>
      </c>
      <c r="K580" s="136" t="str">
        <f>Inputs!$I$28</f>
        <v>UKPN LPN</v>
      </c>
      <c r="L580" s="136" t="str">
        <f>Inputs!$J$28</f>
        <v>UKPN SEPN</v>
      </c>
      <c r="M580" s="136" t="str">
        <f>Inputs!$K$28</f>
        <v>UKPN EPN</v>
      </c>
      <c r="N580" s="136" t="str">
        <f>Inputs!$L$28</f>
        <v>SP Distribution</v>
      </c>
      <c r="O580" s="136" t="str">
        <f>Inputs!$M$28</f>
        <v>SP Manweb</v>
      </c>
      <c r="P580" s="136" t="str">
        <f>Inputs!$N$28</f>
        <v>SSE Hydro</v>
      </c>
      <c r="Q580" s="137" t="str">
        <f>Inputs!$O$28</f>
        <v>SSE Southern</v>
      </c>
      <c r="R580" s="15"/>
    </row>
    <row r="581" spans="2:21" s="130" customFormat="1" ht="25.5" customHeight="1" outlineLevel="1" thickTop="1">
      <c r="B581" s="142" t="s">
        <v>71</v>
      </c>
      <c r="C581" s="139"/>
      <c r="D581" s="134"/>
      <c r="E581" s="134"/>
      <c r="F581" s="134"/>
      <c r="G581" s="134"/>
      <c r="H581" s="134"/>
      <c r="I581" s="134"/>
      <c r="J581" s="134"/>
      <c r="K581" s="134"/>
      <c r="L581" s="134"/>
      <c r="M581" s="134"/>
      <c r="N581" s="134"/>
      <c r="O581" s="134"/>
      <c r="P581" s="134"/>
      <c r="Q581" s="135"/>
      <c r="R581" s="131"/>
    </row>
    <row r="582" spans="2:21" s="130" customFormat="1" ht="25.5" customHeight="1" outlineLevel="1">
      <c r="B582" s="143" t="s">
        <v>72</v>
      </c>
      <c r="C582" s="146">
        <f>SUM(D582:Q582)</f>
        <v>19451523</v>
      </c>
      <c r="D582" s="147">
        <v>2753660</v>
      </c>
      <c r="E582" s="147">
        <v>1198606</v>
      </c>
      <c r="F582" s="147">
        <v>831963</v>
      </c>
      <c r="G582" s="147">
        <v>1036673</v>
      </c>
      <c r="H582" s="147">
        <v>653218</v>
      </c>
      <c r="I582" s="147">
        <v>907728</v>
      </c>
      <c r="J582" s="147">
        <v>2822912</v>
      </c>
      <c r="K582" s="147">
        <v>55499</v>
      </c>
      <c r="L582" s="147">
        <v>730399</v>
      </c>
      <c r="M582" s="147">
        <v>2734201</v>
      </c>
      <c r="N582" s="147">
        <v>271844</v>
      </c>
      <c r="O582" s="147">
        <v>522687</v>
      </c>
      <c r="P582" s="147">
        <v>1902076</v>
      </c>
      <c r="Q582" s="148">
        <v>3030057</v>
      </c>
      <c r="R582" s="131"/>
    </row>
    <row r="583" spans="2:21" s="130" customFormat="1" ht="25.5" customHeight="1" outlineLevel="1">
      <c r="B583" s="143" t="s">
        <v>73</v>
      </c>
      <c r="C583" s="146">
        <f>SUM(D583:Q583)</f>
        <v>647074</v>
      </c>
      <c r="D583" s="147">
        <v>0</v>
      </c>
      <c r="E583" s="147">
        <v>2482</v>
      </c>
      <c r="F583" s="147">
        <v>0</v>
      </c>
      <c r="G583" s="147">
        <v>14159</v>
      </c>
      <c r="H583" s="147">
        <v>43927</v>
      </c>
      <c r="I583" s="147">
        <v>156236</v>
      </c>
      <c r="J583" s="147">
        <v>20877</v>
      </c>
      <c r="K583" s="147">
        <v>74923</v>
      </c>
      <c r="L583" s="147">
        <v>47686</v>
      </c>
      <c r="M583" s="147">
        <v>180516</v>
      </c>
      <c r="N583" s="147">
        <v>49685</v>
      </c>
      <c r="O583" s="147">
        <v>15118</v>
      </c>
      <c r="P583" s="147">
        <v>0</v>
      </c>
      <c r="Q583" s="148">
        <v>41465</v>
      </c>
      <c r="R583" s="131"/>
    </row>
    <row r="584" spans="2:21" s="130" customFormat="1" ht="25.5" customHeight="1" outlineLevel="1">
      <c r="B584" s="143" t="s">
        <v>74</v>
      </c>
      <c r="C584" s="146">
        <f>SUM(D584:Q584)</f>
        <v>491102</v>
      </c>
      <c r="D584" s="147">
        <v>20603</v>
      </c>
      <c r="E584" s="147">
        <v>14891</v>
      </c>
      <c r="F584" s="147">
        <v>0</v>
      </c>
      <c r="G584" s="147">
        <v>176756</v>
      </c>
      <c r="H584" s="147">
        <v>15315</v>
      </c>
      <c r="I584" s="147">
        <v>29723</v>
      </c>
      <c r="J584" s="147">
        <v>44003</v>
      </c>
      <c r="K584" s="147">
        <v>475</v>
      </c>
      <c r="L584" s="147">
        <v>80017</v>
      </c>
      <c r="M584" s="147">
        <v>30713</v>
      </c>
      <c r="N584" s="147">
        <v>48588</v>
      </c>
      <c r="O584" s="147">
        <v>4497</v>
      </c>
      <c r="P584" s="147">
        <v>13146</v>
      </c>
      <c r="Q584" s="148">
        <v>12375</v>
      </c>
      <c r="R584" s="131"/>
    </row>
    <row r="585" spans="2:21" s="130" customFormat="1" ht="25.5" customHeight="1" outlineLevel="1">
      <c r="B585" s="143" t="s">
        <v>75</v>
      </c>
      <c r="C585" s="146">
        <f>SUM(D585:Q585)</f>
        <v>16003</v>
      </c>
      <c r="D585" s="147">
        <v>0</v>
      </c>
      <c r="E585" s="147">
        <v>0</v>
      </c>
      <c r="F585" s="147">
        <v>0</v>
      </c>
      <c r="G585" s="147">
        <v>0</v>
      </c>
      <c r="H585" s="147">
        <v>0</v>
      </c>
      <c r="I585" s="147">
        <v>0</v>
      </c>
      <c r="J585" s="147">
        <v>0</v>
      </c>
      <c r="K585" s="147">
        <v>0</v>
      </c>
      <c r="L585" s="147">
        <v>0</v>
      </c>
      <c r="M585" s="147">
        <v>1</v>
      </c>
      <c r="N585" s="147">
        <v>16002</v>
      </c>
      <c r="O585" s="147">
        <v>0</v>
      </c>
      <c r="P585" s="147">
        <v>0</v>
      </c>
      <c r="Q585" s="148">
        <v>0</v>
      </c>
      <c r="R585" s="131"/>
    </row>
    <row r="586" spans="2:21" s="130" customFormat="1" ht="25.5" customHeight="1" outlineLevel="1">
      <c r="B586" s="143" t="s">
        <v>20</v>
      </c>
      <c r="C586" s="146">
        <f>SUM(C582:C585)</f>
        <v>20605702</v>
      </c>
      <c r="D586" s="147">
        <f t="shared" ref="D586:Q586" si="162">SUM(D582:D585)</f>
        <v>2774263</v>
      </c>
      <c r="E586" s="147">
        <f t="shared" si="162"/>
        <v>1215979</v>
      </c>
      <c r="F586" s="147">
        <f t="shared" si="162"/>
        <v>831963</v>
      </c>
      <c r="G586" s="147">
        <f t="shared" si="162"/>
        <v>1227588</v>
      </c>
      <c r="H586" s="147">
        <f t="shared" si="162"/>
        <v>712460</v>
      </c>
      <c r="I586" s="147">
        <f t="shared" si="162"/>
        <v>1093687</v>
      </c>
      <c r="J586" s="147">
        <f t="shared" si="162"/>
        <v>2887792</v>
      </c>
      <c r="K586" s="147">
        <f t="shared" si="162"/>
        <v>130897</v>
      </c>
      <c r="L586" s="147">
        <f t="shared" si="162"/>
        <v>858102</v>
      </c>
      <c r="M586" s="147">
        <f t="shared" si="162"/>
        <v>2945431</v>
      </c>
      <c r="N586" s="147">
        <f t="shared" si="162"/>
        <v>386119</v>
      </c>
      <c r="O586" s="147">
        <f t="shared" si="162"/>
        <v>542302</v>
      </c>
      <c r="P586" s="147">
        <f t="shared" si="162"/>
        <v>1915222</v>
      </c>
      <c r="Q586" s="148">
        <f t="shared" si="162"/>
        <v>3083897</v>
      </c>
      <c r="R586" s="131"/>
    </row>
    <row r="587" spans="2:21" s="130" customFormat="1" ht="25.5" customHeight="1" outlineLevel="1">
      <c r="B587" s="144" t="s">
        <v>76</v>
      </c>
      <c r="C587" s="140"/>
      <c r="D587" s="132"/>
      <c r="E587" s="132"/>
      <c r="F587" s="132"/>
      <c r="G587" s="132"/>
      <c r="H587" s="132"/>
      <c r="I587" s="132"/>
      <c r="J587" s="132"/>
      <c r="K587" s="132"/>
      <c r="L587" s="132"/>
      <c r="M587" s="132"/>
      <c r="N587" s="132"/>
      <c r="O587" s="132"/>
      <c r="P587" s="132"/>
      <c r="Q587" s="133"/>
      <c r="R587" s="131"/>
    </row>
    <row r="588" spans="2:21" s="130" customFormat="1" ht="25.5" customHeight="1" outlineLevel="1">
      <c r="B588" s="143" t="s">
        <v>72</v>
      </c>
      <c r="C588" s="145">
        <v>71.148525274220432</v>
      </c>
      <c r="D588" s="145">
        <v>119.75668213026213</v>
      </c>
      <c r="E588" s="145">
        <v>49.498370022622282</v>
      </c>
      <c r="F588" s="145">
        <v>36.658378508422331</v>
      </c>
      <c r="G588" s="145">
        <v>68.617532841893592</v>
      </c>
      <c r="H588" s="145">
        <v>30.485272780136398</v>
      </c>
      <c r="I588" s="145">
        <v>87.170479917412919</v>
      </c>
      <c r="J588" s="145">
        <v>208.04203715099544</v>
      </c>
      <c r="K588" s="145">
        <v>2.6635893256774157</v>
      </c>
      <c r="L588" s="145">
        <v>34.58151761178879</v>
      </c>
      <c r="M588" s="145">
        <v>80.856058997517721</v>
      </c>
      <c r="N588" s="145">
        <v>14.2588138041582</v>
      </c>
      <c r="O588" s="145">
        <v>36.451691415890878</v>
      </c>
      <c r="P588" s="145">
        <v>282.56850749771962</v>
      </c>
      <c r="Q588" s="149">
        <v>111.96159678620836</v>
      </c>
      <c r="R588" s="131"/>
    </row>
    <row r="589" spans="2:21" s="130" customFormat="1" ht="25.5" customHeight="1" outlineLevel="1">
      <c r="B589" s="143" t="s">
        <v>73</v>
      </c>
      <c r="C589" s="145">
        <v>2.3668255099248992</v>
      </c>
      <c r="D589" s="145">
        <v>0</v>
      </c>
      <c r="E589" s="145">
        <v>0.10249819740277331</v>
      </c>
      <c r="F589" s="145">
        <v>0</v>
      </c>
      <c r="G589" s="145">
        <v>0.93718621735915886</v>
      </c>
      <c r="H589" s="145">
        <v>2.0500454326320638</v>
      </c>
      <c r="I589" s="145">
        <v>15.003577173312847</v>
      </c>
      <c r="J589" s="145">
        <v>1.5385862575954661</v>
      </c>
      <c r="K589" s="145">
        <v>3.595814393912125</v>
      </c>
      <c r="L589" s="145">
        <v>2.2577443956464349</v>
      </c>
      <c r="M589" s="145">
        <v>5.3382367814202061</v>
      </c>
      <c r="N589" s="145">
        <v>2.6060871818381135</v>
      </c>
      <c r="O589" s="145">
        <v>1.0543148592282539</v>
      </c>
      <c r="P589" s="145">
        <v>0</v>
      </c>
      <c r="Q589" s="149">
        <v>1.5321453064216712</v>
      </c>
      <c r="R589" s="131"/>
    </row>
    <row r="590" spans="2:21" s="130" customFormat="1" ht="25.5" customHeight="1" outlineLevel="1">
      <c r="B590" s="143" t="s">
        <v>74</v>
      </c>
      <c r="C590" s="145">
        <v>1.7963211959917074</v>
      </c>
      <c r="D590" s="145">
        <v>0.89602453532018866</v>
      </c>
      <c r="E590" s="145">
        <v>0.61494788780205367</v>
      </c>
      <c r="F590" s="145">
        <v>0</v>
      </c>
      <c r="G590" s="145">
        <v>11.699504699169115</v>
      </c>
      <c r="H590" s="145">
        <v>0.71474140735219927</v>
      </c>
      <c r="I590" s="145">
        <v>2.8543442249057689</v>
      </c>
      <c r="J590" s="145">
        <v>3.2429185751292473</v>
      </c>
      <c r="K590" s="145">
        <v>2.2796895974644092E-2</v>
      </c>
      <c r="L590" s="145">
        <v>3.7884899825198333</v>
      </c>
      <c r="M590" s="145">
        <v>0.90824783547031174</v>
      </c>
      <c r="N590" s="145">
        <v>2.5485471267213495</v>
      </c>
      <c r="O590" s="145">
        <v>0.31361647849910423</v>
      </c>
      <c r="P590" s="145">
        <v>1.9529427843919078</v>
      </c>
      <c r="Q590" s="149">
        <v>0.45726029583909761</v>
      </c>
      <c r="R590" s="131"/>
    </row>
    <row r="591" spans="2:21" s="130" customFormat="1" ht="25.5" customHeight="1" outlineLevel="1">
      <c r="B591" s="143" t="s">
        <v>75</v>
      </c>
      <c r="C591" s="145">
        <v>5.8534740439776849E-2</v>
      </c>
      <c r="D591" s="145">
        <v>0</v>
      </c>
      <c r="E591" s="145">
        <v>0</v>
      </c>
      <c r="F591" s="145">
        <v>0</v>
      </c>
      <c r="G591" s="145">
        <v>0</v>
      </c>
      <c r="H591" s="145">
        <v>0</v>
      </c>
      <c r="I591" s="145">
        <v>0</v>
      </c>
      <c r="J591" s="145">
        <v>0</v>
      </c>
      <c r="K591" s="145">
        <v>0</v>
      </c>
      <c r="L591" s="145">
        <v>0</v>
      </c>
      <c r="M591" s="145">
        <v>2.9572097661261084E-5</v>
      </c>
      <c r="N591" s="145">
        <v>0.83933998357197337</v>
      </c>
      <c r="O591" s="145">
        <v>0</v>
      </c>
      <c r="P591" s="145">
        <v>0</v>
      </c>
      <c r="Q591" s="149">
        <v>0</v>
      </c>
      <c r="R591" s="131"/>
    </row>
    <row r="592" spans="2:21" ht="25.5" customHeight="1" outlineLevel="1" thickBot="1">
      <c r="B592" s="743" t="s">
        <v>20</v>
      </c>
      <c r="C592" s="744">
        <f>SUM(C588:C591)</f>
        <v>75.370206720576817</v>
      </c>
      <c r="D592" s="744">
        <f t="shared" ref="D592:Q592" si="163">SUM(D588:D591)</f>
        <v>120.65270666558233</v>
      </c>
      <c r="E592" s="744">
        <f t="shared" si="163"/>
        <v>50.215816107827109</v>
      </c>
      <c r="F592" s="744">
        <f t="shared" si="163"/>
        <v>36.658378508422331</v>
      </c>
      <c r="G592" s="744">
        <f t="shared" si="163"/>
        <v>81.254223758421858</v>
      </c>
      <c r="H592" s="744">
        <f t="shared" si="163"/>
        <v>33.250059620120659</v>
      </c>
      <c r="I592" s="744">
        <f t="shared" si="163"/>
        <v>105.02840131563154</v>
      </c>
      <c r="J592" s="744">
        <f t="shared" si="163"/>
        <v>212.82354198372013</v>
      </c>
      <c r="K592" s="744">
        <f t="shared" si="163"/>
        <v>6.282200615564185</v>
      </c>
      <c r="L592" s="744">
        <f t="shared" si="163"/>
        <v>40.627751989955058</v>
      </c>
      <c r="M592" s="744">
        <f t="shared" si="163"/>
        <v>87.102573186505893</v>
      </c>
      <c r="N592" s="744">
        <f t="shared" si="163"/>
        <v>20.252788096289638</v>
      </c>
      <c r="O592" s="744">
        <f t="shared" si="163"/>
        <v>37.819622753618241</v>
      </c>
      <c r="P592" s="744">
        <f t="shared" si="163"/>
        <v>284.52145028211152</v>
      </c>
      <c r="Q592" s="745">
        <f t="shared" si="163"/>
        <v>113.95100238846912</v>
      </c>
      <c r="R592" s="15"/>
    </row>
    <row r="593" spans="2:21" s="435" customFormat="1" ht="13.5" customHeight="1" outlineLevel="1">
      <c r="B593" s="153"/>
      <c r="C593" s="741"/>
      <c r="D593" s="741"/>
      <c r="E593" s="741"/>
      <c r="F593" s="741"/>
      <c r="G593" s="741"/>
      <c r="H593" s="741"/>
      <c r="I593" s="741"/>
      <c r="J593" s="741"/>
      <c r="K593" s="741"/>
      <c r="L593" s="741"/>
      <c r="M593" s="741"/>
      <c r="N593" s="741"/>
      <c r="O593" s="741"/>
      <c r="P593" s="741"/>
      <c r="Q593" s="741"/>
      <c r="R593" s="128"/>
      <c r="S593" s="128"/>
      <c r="T593" s="128"/>
      <c r="U593" s="742"/>
    </row>
    <row r="594" spans="2:21" s="435" customFormat="1" ht="12.75" customHeight="1" outlineLevel="1">
      <c r="B594" s="153"/>
      <c r="C594" s="154"/>
      <c r="D594" s="154"/>
      <c r="E594" s="154"/>
      <c r="F594" s="154"/>
      <c r="G594" s="154"/>
      <c r="H594" s="154"/>
      <c r="I594" s="154"/>
      <c r="J594" s="154"/>
      <c r="K594" s="154"/>
      <c r="L594" s="154"/>
      <c r="M594" s="154"/>
      <c r="N594" s="154"/>
      <c r="O594" s="154"/>
      <c r="P594" s="154"/>
      <c r="Q594" s="154"/>
      <c r="R594" s="128"/>
      <c r="S594" s="128"/>
      <c r="T594" s="128"/>
      <c r="U594" s="742"/>
    </row>
    <row r="595" spans="2:21" s="435" customFormat="1" ht="12.75" customHeight="1" outlineLevel="1">
      <c r="B595" s="153"/>
      <c r="C595" s="154"/>
      <c r="D595" s="154"/>
      <c r="E595" s="154"/>
      <c r="F595" s="154"/>
      <c r="G595" s="154"/>
      <c r="H595" s="154"/>
      <c r="I595" s="154"/>
      <c r="J595" s="154"/>
      <c r="K595" s="154"/>
      <c r="L595" s="154"/>
      <c r="M595" s="154"/>
      <c r="N595" s="154"/>
      <c r="O595" s="154"/>
      <c r="P595" s="154"/>
      <c r="Q595" s="154"/>
      <c r="R595" s="128"/>
      <c r="S595" s="128"/>
      <c r="T595" s="128"/>
      <c r="U595" s="742"/>
    </row>
    <row r="596" spans="2:21" s="435" customFormat="1" ht="12.75" customHeight="1" outlineLevel="1">
      <c r="B596" s="153"/>
      <c r="C596" s="154"/>
      <c r="D596" s="154"/>
      <c r="E596" s="154"/>
      <c r="F596" s="154"/>
      <c r="G596" s="154"/>
      <c r="H596" s="154"/>
      <c r="I596" s="154"/>
      <c r="J596" s="154"/>
      <c r="K596" s="154"/>
      <c r="L596" s="154"/>
      <c r="M596" s="154"/>
      <c r="N596" s="154"/>
      <c r="O596" s="154"/>
      <c r="P596" s="154"/>
      <c r="Q596" s="154"/>
      <c r="R596" s="128"/>
      <c r="S596" s="128"/>
      <c r="T596" s="128"/>
      <c r="U596" s="742"/>
    </row>
    <row r="597" spans="2:21" s="435" customFormat="1" ht="12.75" customHeight="1" outlineLevel="1">
      <c r="B597" s="153"/>
      <c r="C597" s="154"/>
      <c r="D597" s="154"/>
      <c r="E597" s="154"/>
      <c r="F597" s="154"/>
      <c r="G597" s="154"/>
      <c r="H597" s="154"/>
      <c r="I597" s="154"/>
      <c r="J597" s="154"/>
      <c r="K597" s="154"/>
      <c r="L597" s="154"/>
      <c r="M597" s="154"/>
      <c r="N597" s="154"/>
      <c r="O597" s="154"/>
      <c r="P597" s="154"/>
      <c r="Q597" s="154"/>
      <c r="R597" s="128"/>
      <c r="S597" s="128"/>
      <c r="T597" s="128"/>
      <c r="U597" s="742"/>
    </row>
    <row r="598" spans="2:21" s="435" customFormat="1" ht="13.5" customHeight="1" outlineLevel="1">
      <c r="B598" s="153"/>
      <c r="C598" s="154"/>
      <c r="D598" s="154"/>
      <c r="E598" s="154"/>
      <c r="F598" s="154"/>
      <c r="G598" s="154"/>
      <c r="H598" s="154"/>
      <c r="I598" s="154"/>
      <c r="J598" s="154"/>
      <c r="K598" s="154"/>
      <c r="L598" s="154"/>
      <c r="M598" s="154"/>
      <c r="N598" s="154"/>
      <c r="O598" s="154"/>
      <c r="P598" s="154"/>
      <c r="Q598" s="154"/>
      <c r="R598" s="128"/>
      <c r="S598" s="128"/>
      <c r="T598" s="128"/>
      <c r="U598" s="742"/>
    </row>
    <row r="599" spans="2:21" s="127" customFormat="1" ht="12.75" customHeight="1" outlineLevel="1">
      <c r="B599" s="153"/>
      <c r="C599" s="156"/>
      <c r="D599" s="154"/>
      <c r="E599" s="154"/>
      <c r="F599" s="154"/>
      <c r="G599" s="154"/>
      <c r="H599" s="154"/>
      <c r="I599" s="154"/>
      <c r="J599" s="154"/>
      <c r="K599" s="154"/>
      <c r="L599" s="154"/>
      <c r="M599" s="154"/>
      <c r="N599" s="154"/>
      <c r="O599" s="154"/>
      <c r="P599" s="154"/>
      <c r="Q599" s="154"/>
      <c r="R599" s="128"/>
      <c r="S599" s="128"/>
      <c r="T599" s="128"/>
      <c r="U599" s="129"/>
    </row>
    <row r="600" spans="2:21" ht="12.75" customHeight="1" outlineLevel="1"/>
    <row r="601" spans="2:21" ht="15">
      <c r="F601" s="28"/>
    </row>
    <row r="602" spans="2:21" ht="15">
      <c r="F602" s="28"/>
    </row>
    <row r="604" spans="2:21">
      <c r="B604" s="2"/>
    </row>
    <row r="605" spans="2:21">
      <c r="C605" s="37"/>
    </row>
    <row r="606" spans="2:21">
      <c r="C606" s="37"/>
    </row>
    <row r="607" spans="2:21">
      <c r="C607" s="37"/>
    </row>
    <row r="608" spans="2:21">
      <c r="C608" s="37"/>
    </row>
    <row r="609" spans="2:3">
      <c r="C609" s="37"/>
    </row>
    <row r="610" spans="2:3">
      <c r="C610" s="37"/>
    </row>
    <row r="611" spans="2:3">
      <c r="C611" s="37"/>
    </row>
    <row r="612" spans="2:3">
      <c r="C612" s="37"/>
    </row>
    <row r="613" spans="2:3">
      <c r="C613" s="37"/>
    </row>
    <row r="614" spans="2:3">
      <c r="C614" s="37"/>
    </row>
    <row r="615" spans="2:3">
      <c r="C615" s="37"/>
    </row>
    <row r="616" spans="2:3">
      <c r="C616" s="37"/>
    </row>
    <row r="617" spans="2:3">
      <c r="C617" s="37"/>
    </row>
    <row r="618" spans="2:3">
      <c r="C618" s="37"/>
    </row>
    <row r="620" spans="2:3">
      <c r="C620" s="37"/>
    </row>
    <row r="622" spans="2:3">
      <c r="B622" s="2"/>
    </row>
    <row r="624" spans="2:3">
      <c r="C624" s="37"/>
    </row>
    <row r="625" spans="3:4">
      <c r="C625" s="37"/>
    </row>
    <row r="626" spans="3:4">
      <c r="C626" s="37"/>
    </row>
    <row r="627" spans="3:4">
      <c r="C627" s="37"/>
    </row>
    <row r="628" spans="3:4">
      <c r="C628" s="37"/>
    </row>
    <row r="629" spans="3:4">
      <c r="C629" s="37"/>
    </row>
    <row r="630" spans="3:4">
      <c r="C630" s="156"/>
    </row>
    <row r="631" spans="3:4" ht="12.75" customHeight="1">
      <c r="C631" s="505"/>
    </row>
    <row r="633" spans="3:4">
      <c r="D633" s="152"/>
    </row>
  </sheetData>
  <mergeCells count="136">
    <mergeCell ref="AM273:AO273"/>
    <mergeCell ref="AP273:AR273"/>
    <mergeCell ref="B252:B253"/>
    <mergeCell ref="B273:B274"/>
    <mergeCell ref="B294:B295"/>
    <mergeCell ref="B315:B316"/>
    <mergeCell ref="B121:B122"/>
    <mergeCell ref="AM210:AO210"/>
    <mergeCell ref="AP210:AR210"/>
    <mergeCell ref="B231:B232"/>
    <mergeCell ref="C231:E231"/>
    <mergeCell ref="F231:H231"/>
    <mergeCell ref="I231:K231"/>
    <mergeCell ref="L231:N231"/>
    <mergeCell ref="O231:Q231"/>
    <mergeCell ref="R231:T231"/>
    <mergeCell ref="U231:W231"/>
    <mergeCell ref="X231:Z231"/>
    <mergeCell ref="AA231:AC231"/>
    <mergeCell ref="AD231:AF231"/>
    <mergeCell ref="AG231:AI231"/>
    <mergeCell ref="AJ231:AL231"/>
    <mergeCell ref="AM231:AO231"/>
    <mergeCell ref="AP231:AR231"/>
    <mergeCell ref="B210:B211"/>
    <mergeCell ref="C210:E210"/>
    <mergeCell ref="F210:H210"/>
    <mergeCell ref="I210:K210"/>
    <mergeCell ref="L210:N210"/>
    <mergeCell ref="O210:Q210"/>
    <mergeCell ref="R210:T210"/>
    <mergeCell ref="U210:W210"/>
    <mergeCell ref="X210:Z210"/>
    <mergeCell ref="AH357:AJ357"/>
    <mergeCell ref="C357:C358"/>
    <mergeCell ref="P357:R357"/>
    <mergeCell ref="S357:U357"/>
    <mergeCell ref="V357:X357"/>
    <mergeCell ref="Y357:AA357"/>
    <mergeCell ref="AB357:AD357"/>
    <mergeCell ref="AE357:AG357"/>
    <mergeCell ref="AA210:AC210"/>
    <mergeCell ref="AD210:AF210"/>
    <mergeCell ref="AG210:AI210"/>
    <mergeCell ref="AJ210:AL210"/>
    <mergeCell ref="AJ273:AL273"/>
    <mergeCell ref="B378:B379"/>
    <mergeCell ref="C378:E378"/>
    <mergeCell ref="F378:H378"/>
    <mergeCell ref="I378:K378"/>
    <mergeCell ref="L378:N378"/>
    <mergeCell ref="O378:Q378"/>
    <mergeCell ref="R378:T378"/>
    <mergeCell ref="U378:W378"/>
    <mergeCell ref="X378:Z378"/>
    <mergeCell ref="AA378:AC378"/>
    <mergeCell ref="AA126:AC126"/>
    <mergeCell ref="AD126:AF126"/>
    <mergeCell ref="AG126:AI126"/>
    <mergeCell ref="AJ126:AL126"/>
    <mergeCell ref="AM126:AO126"/>
    <mergeCell ref="AP126:AR126"/>
    <mergeCell ref="B357:B358"/>
    <mergeCell ref="C336:E336"/>
    <mergeCell ref="F336:H336"/>
    <mergeCell ref="I336:K336"/>
    <mergeCell ref="L336:N336"/>
    <mergeCell ref="D357:F357"/>
    <mergeCell ref="G357:I357"/>
    <mergeCell ref="J357:L357"/>
    <mergeCell ref="M357:O357"/>
    <mergeCell ref="B336:B337"/>
    <mergeCell ref="AD336:AF336"/>
    <mergeCell ref="AG336:AI336"/>
    <mergeCell ref="O336:Q336"/>
    <mergeCell ref="R336:T336"/>
    <mergeCell ref="U336:W336"/>
    <mergeCell ref="X336:Z336"/>
    <mergeCell ref="AA336:AC336"/>
    <mergeCell ref="B126:B127"/>
    <mergeCell ref="C126:E126"/>
    <mergeCell ref="F126:H126"/>
    <mergeCell ref="I126:K126"/>
    <mergeCell ref="L126:N126"/>
    <mergeCell ref="O126:Q126"/>
    <mergeCell ref="R126:T126"/>
    <mergeCell ref="U126:W126"/>
    <mergeCell ref="X126:Z126"/>
    <mergeCell ref="AP168:AR168"/>
    <mergeCell ref="AP189:AR189"/>
    <mergeCell ref="F147:H147"/>
    <mergeCell ref="I147:K147"/>
    <mergeCell ref="L147:N147"/>
    <mergeCell ref="AP147:AR147"/>
    <mergeCell ref="X147:Z147"/>
    <mergeCell ref="U147:W147"/>
    <mergeCell ref="R147:T147"/>
    <mergeCell ref="O147:Q147"/>
    <mergeCell ref="AA147:AC147"/>
    <mergeCell ref="AD147:AF147"/>
    <mergeCell ref="AG147:AI147"/>
    <mergeCell ref="AJ147:AL147"/>
    <mergeCell ref="AM147:AO147"/>
    <mergeCell ref="C147:E147"/>
    <mergeCell ref="AD168:AF168"/>
    <mergeCell ref="AG168:AI168"/>
    <mergeCell ref="AJ168:AL168"/>
    <mergeCell ref="AM168:AO168"/>
    <mergeCell ref="AD189:AF189"/>
    <mergeCell ref="AG189:AI189"/>
    <mergeCell ref="AJ189:AL189"/>
    <mergeCell ref="AM189:AO189"/>
    <mergeCell ref="B40:B41"/>
    <mergeCell ref="B78:B79"/>
    <mergeCell ref="AD378:AF378"/>
    <mergeCell ref="O189:Q189"/>
    <mergeCell ref="R189:T189"/>
    <mergeCell ref="U189:W189"/>
    <mergeCell ref="X189:Z189"/>
    <mergeCell ref="AA189:AC189"/>
    <mergeCell ref="B189:B190"/>
    <mergeCell ref="C189:E189"/>
    <mergeCell ref="F189:H189"/>
    <mergeCell ref="I189:K189"/>
    <mergeCell ref="L189:N189"/>
    <mergeCell ref="O168:Q168"/>
    <mergeCell ref="R168:T168"/>
    <mergeCell ref="U168:W168"/>
    <mergeCell ref="X168:Z168"/>
    <mergeCell ref="AA168:AC168"/>
    <mergeCell ref="B168:B169"/>
    <mergeCell ref="C168:E168"/>
    <mergeCell ref="F168:H168"/>
    <mergeCell ref="I168:K168"/>
    <mergeCell ref="L168:N168"/>
    <mergeCell ref="B147:B148"/>
  </mergeCells>
  <conditionalFormatting sqref="C410:Q414">
    <cfRule type="containsText" dxfId="91" priority="14" stopIfTrue="1" operator="containsText" text="error">
      <formula>NOT(ISERROR(SEARCH("error",C410)))</formula>
    </cfRule>
    <cfRule type="containsText" dxfId="90" priority="18" operator="containsText" text="error">
      <formula>NOT(ISERROR(SEARCH("error",C410)))</formula>
    </cfRule>
    <cfRule type="cellIs" dxfId="89" priority="25" operator="equal">
      <formula>"ok"</formula>
    </cfRule>
  </conditionalFormatting>
  <conditionalFormatting sqref="C433:Q437 C456:Q460 C479:Q483">
    <cfRule type="containsText" dxfId="88" priority="19" operator="containsText" text="error">
      <formula>NOT(ISERROR(SEARCH("error",C433)))</formula>
    </cfRule>
    <cfRule type="containsText" dxfId="87" priority="22" operator="containsText" text="error">
      <formula>NOT(ISERROR(SEARCH("error",C433)))</formula>
    </cfRule>
  </conditionalFormatting>
  <conditionalFormatting sqref="C502:Q506 C525:Q529 C548:Q552 C571:Q575 C594:Q598 C456:Q460">
    <cfRule type="containsText" dxfId="86" priority="15" operator="containsText" text="error">
      <formula>NOT(ISERROR(SEARCH("error",C456)))</formula>
    </cfRule>
  </conditionalFormatting>
  <conditionalFormatting sqref="G83:K97">
    <cfRule type="cellIs" dxfId="85" priority="4" operator="between">
      <formula>4.1</formula>
      <formula>4.5</formula>
    </cfRule>
    <cfRule type="cellIs" dxfId="84" priority="5" operator="greaterThan">
      <formula>4.5</formula>
    </cfRule>
    <cfRule type="cellIs" dxfId="83" priority="6" operator="lessThan">
      <formula>4.1</formula>
    </cfRule>
  </conditionalFormatting>
  <dataValidations disablePrompts="1" count="3">
    <dataValidation type="list" allowBlank="1" showInputMessage="1" showErrorMessage="1" sqref="B99 B40:B41 B78:B79">
      <formula1>DNO_list_average</formula1>
    </dataValidation>
    <dataValidation type="list" showDropDown="1" showInputMessage="1" showErrorMessage="1" sqref="S10">
      <formula1>DNO_list_average</formula1>
    </dataValidation>
    <dataValidation type="list" allowBlank="1" showInputMessage="1" showErrorMessage="1" sqref="B121">
      <formula1>DNO_list</formula1>
    </dataValidation>
  </dataValidations>
  <pageMargins left="0.7" right="0.7" top="0.75" bottom="0.75" header="0.3" footer="0.3"/>
  <pageSetup orientation="portrait" r:id="rId1"/>
  <ignoredErrors>
    <ignoredError sqref="AC373:AC374" formulaRange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>
    <tabColor theme="5"/>
    <pageSetUpPr fitToPage="1"/>
  </sheetPr>
  <dimension ref="A1:AZ187"/>
  <sheetViews>
    <sheetView zoomScale="75" zoomScaleNormal="75" workbookViewId="0">
      <selection activeCell="A2" sqref="A2"/>
    </sheetView>
  </sheetViews>
  <sheetFormatPr defaultRowHeight="12.75" outlineLevelRow="1"/>
  <cols>
    <col min="1" max="1" width="1.625" customWidth="1"/>
    <col min="2" max="2" width="18.625" customWidth="1"/>
    <col min="3" max="52" width="10.625" customWidth="1"/>
  </cols>
  <sheetData>
    <row r="1" spans="1:52">
      <c r="A1" s="2" t="s">
        <v>100</v>
      </c>
    </row>
    <row r="2" spans="1:52">
      <c r="A2" s="2"/>
    </row>
    <row r="3" spans="1:52">
      <c r="A3" s="2"/>
    </row>
    <row r="5" spans="1:52" ht="13.5" thickBot="1">
      <c r="B5" s="2" t="s">
        <v>113</v>
      </c>
    </row>
    <row r="6" spans="1:52" outlineLevel="1">
      <c r="B6" s="775" t="s">
        <v>19</v>
      </c>
      <c r="C6" s="787" t="s">
        <v>297</v>
      </c>
      <c r="D6" s="785"/>
      <c r="E6" s="785"/>
      <c r="F6" s="785"/>
      <c r="G6" s="786"/>
      <c r="H6" s="782" t="str">
        <f>CONCATENATE(LEFT(C6, 4)+1 &amp;"-" &amp;IF(C6&gt;"2007-08",,"0") &amp;RIGHT(C6,2)+1)</f>
        <v>2006-07</v>
      </c>
      <c r="I6" s="782"/>
      <c r="J6" s="782"/>
      <c r="K6" s="782"/>
      <c r="L6" s="783"/>
      <c r="M6" s="782" t="str">
        <f t="shared" ref="M6" si="0">CONCATENATE(LEFT(H6, 4)+1 &amp;"-" &amp;IF(H6&gt;"2007-08",,"0") &amp;RIGHT(H6,2)+1)</f>
        <v>2007-08</v>
      </c>
      <c r="N6" s="782"/>
      <c r="O6" s="782"/>
      <c r="P6" s="782"/>
      <c r="Q6" s="783"/>
      <c r="R6" s="782" t="str">
        <f t="shared" ref="R6" si="1">CONCATENATE(LEFT(M6, 4)+1 &amp;"-" &amp;IF(M6&gt;"2007-08",,"0") &amp;RIGHT(M6,2)+1)</f>
        <v>2008-09</v>
      </c>
      <c r="S6" s="782"/>
      <c r="T6" s="782"/>
      <c r="U6" s="782"/>
      <c r="V6" s="783"/>
      <c r="W6" s="782" t="str">
        <f t="shared" ref="W6" si="2">CONCATENATE(LEFT(R6, 4)+1 &amp;"-" &amp;IF(R6&gt;"2007-08",,"0") &amp;RIGHT(R6,2)+1)</f>
        <v>2009-10</v>
      </c>
      <c r="X6" s="782"/>
      <c r="Y6" s="782"/>
      <c r="Z6" s="782"/>
      <c r="AA6" s="783"/>
      <c r="AB6" s="782" t="str">
        <f t="shared" ref="AB6" si="3">CONCATENATE(LEFT(W6, 4)+1 &amp;"-" &amp;IF(W6&gt;"2007-08",,"0") &amp;RIGHT(W6,2)+1)</f>
        <v>2010-11</v>
      </c>
      <c r="AC6" s="782"/>
      <c r="AD6" s="782"/>
      <c r="AE6" s="782"/>
      <c r="AF6" s="783"/>
      <c r="AG6" s="782" t="str">
        <f t="shared" ref="AG6" si="4">CONCATENATE(LEFT(AB6, 4)+1 &amp;"-" &amp;IF(AB6&gt;"2007-08",,"0") &amp;RIGHT(AB6,2)+1)</f>
        <v>2011-12</v>
      </c>
      <c r="AH6" s="782"/>
      <c r="AI6" s="782"/>
      <c r="AJ6" s="782"/>
      <c r="AK6" s="783"/>
      <c r="AL6" s="782" t="str">
        <f t="shared" ref="AL6" si="5">CONCATENATE(LEFT(AG6, 4)+1 &amp;"-" &amp;IF(AG6&gt;"2007-08",,"0") &amp;RIGHT(AG6,2)+1)</f>
        <v>2012-13</v>
      </c>
      <c r="AM6" s="782"/>
      <c r="AN6" s="782"/>
      <c r="AO6" s="782"/>
      <c r="AP6" s="783"/>
      <c r="AQ6" s="782" t="str">
        <f t="shared" ref="AQ6" si="6">CONCATENATE(LEFT(AL6, 4)+1 &amp;"-" &amp;IF(AL6&gt;"2007-08",,"0") &amp;RIGHT(AL6,2)+1)</f>
        <v>2013-14</v>
      </c>
      <c r="AR6" s="782"/>
      <c r="AS6" s="782"/>
      <c r="AT6" s="782"/>
      <c r="AU6" s="783"/>
      <c r="AV6" s="782" t="str">
        <f t="shared" ref="AV6" si="7">CONCATENATE(LEFT(AQ6, 4)+1 &amp;"-" &amp;IF(AQ6&gt;"2007-08",,"0") &amp;RIGHT(AQ6,2)+1)</f>
        <v>2014-15</v>
      </c>
      <c r="AW6" s="782"/>
      <c r="AX6" s="782"/>
      <c r="AY6" s="782"/>
      <c r="AZ6" s="783"/>
    </row>
    <row r="7" spans="1:52" ht="39" outlineLevel="1" thickBot="1">
      <c r="B7" s="788"/>
      <c r="C7" s="214" t="s">
        <v>103</v>
      </c>
      <c r="D7" s="213" t="s">
        <v>102</v>
      </c>
      <c r="E7" s="213" t="s">
        <v>101</v>
      </c>
      <c r="F7" s="240" t="s">
        <v>20</v>
      </c>
      <c r="G7" s="295" t="s">
        <v>77</v>
      </c>
      <c r="H7" s="214" t="s">
        <v>103</v>
      </c>
      <c r="I7" s="213" t="s">
        <v>102</v>
      </c>
      <c r="J7" s="213" t="s">
        <v>101</v>
      </c>
      <c r="K7" s="240" t="s">
        <v>20</v>
      </c>
      <c r="L7" s="295" t="s">
        <v>77</v>
      </c>
      <c r="M7" s="218" t="s">
        <v>103</v>
      </c>
      <c r="N7" s="213" t="s">
        <v>102</v>
      </c>
      <c r="O7" s="213" t="s">
        <v>101</v>
      </c>
      <c r="P7" s="240" t="s">
        <v>20</v>
      </c>
      <c r="Q7" s="295" t="s">
        <v>77</v>
      </c>
      <c r="R7" s="218" t="s">
        <v>103</v>
      </c>
      <c r="S7" s="213" t="s">
        <v>102</v>
      </c>
      <c r="T7" s="213" t="s">
        <v>101</v>
      </c>
      <c r="U7" s="240" t="s">
        <v>20</v>
      </c>
      <c r="V7" s="295" t="s">
        <v>77</v>
      </c>
      <c r="W7" s="218" t="s">
        <v>103</v>
      </c>
      <c r="X7" s="213" t="s">
        <v>102</v>
      </c>
      <c r="Y7" s="213" t="s">
        <v>101</v>
      </c>
      <c r="Z7" s="240" t="s">
        <v>20</v>
      </c>
      <c r="AA7" s="295" t="s">
        <v>77</v>
      </c>
      <c r="AB7" s="218" t="s">
        <v>103</v>
      </c>
      <c r="AC7" s="213" t="s">
        <v>102</v>
      </c>
      <c r="AD7" s="213" t="s">
        <v>101</v>
      </c>
      <c r="AE7" s="240" t="s">
        <v>20</v>
      </c>
      <c r="AF7" s="295" t="s">
        <v>77</v>
      </c>
      <c r="AG7" s="218" t="s">
        <v>103</v>
      </c>
      <c r="AH7" s="213" t="s">
        <v>102</v>
      </c>
      <c r="AI7" s="213" t="s">
        <v>101</v>
      </c>
      <c r="AJ7" s="240" t="s">
        <v>20</v>
      </c>
      <c r="AK7" s="295" t="s">
        <v>77</v>
      </c>
      <c r="AL7" s="218" t="s">
        <v>103</v>
      </c>
      <c r="AM7" s="213" t="s">
        <v>102</v>
      </c>
      <c r="AN7" s="213" t="s">
        <v>101</v>
      </c>
      <c r="AO7" s="240" t="s">
        <v>20</v>
      </c>
      <c r="AP7" s="295" t="s">
        <v>77</v>
      </c>
      <c r="AQ7" s="218" t="s">
        <v>103</v>
      </c>
      <c r="AR7" s="213" t="s">
        <v>102</v>
      </c>
      <c r="AS7" s="213" t="s">
        <v>101</v>
      </c>
      <c r="AT7" s="240" t="s">
        <v>20</v>
      </c>
      <c r="AU7" s="295" t="s">
        <v>77</v>
      </c>
      <c r="AV7" s="218" t="s">
        <v>103</v>
      </c>
      <c r="AW7" s="213" t="s">
        <v>102</v>
      </c>
      <c r="AX7" s="213" t="s">
        <v>101</v>
      </c>
      <c r="AY7" s="240" t="s">
        <v>20</v>
      </c>
      <c r="AZ7" s="295" t="s">
        <v>77</v>
      </c>
    </row>
    <row r="8" spans="1:52" ht="13.5" outlineLevel="1" thickTop="1">
      <c r="B8" s="198" t="str">
        <f>Inputs!B11</f>
        <v>CN West</v>
      </c>
      <c r="C8" s="281"/>
      <c r="D8" s="260"/>
      <c r="E8" s="260"/>
      <c r="F8" s="260">
        <f>SUM(C8:E8)</f>
        <v>0</v>
      </c>
      <c r="G8" s="296" t="str">
        <f t="shared" ref="G8:G14" si="8">IF(F8=G40,"ok","error")</f>
        <v>ok</v>
      </c>
      <c r="H8" s="281"/>
      <c r="I8" s="260"/>
      <c r="J8" s="260"/>
      <c r="K8" s="260">
        <f t="shared" ref="K8" si="9">SUM(H8:J8)</f>
        <v>0</v>
      </c>
      <c r="L8" s="296" t="str">
        <f t="shared" ref="L8:L14" si="10">IF(K8=L40,"ok","error")</f>
        <v>ok</v>
      </c>
      <c r="M8" s="259">
        <v>20248</v>
      </c>
      <c r="N8" s="260">
        <v>0</v>
      </c>
      <c r="O8" s="260">
        <v>2273</v>
      </c>
      <c r="P8" s="260">
        <v>22521</v>
      </c>
      <c r="Q8" s="296" t="str">
        <f t="shared" ref="Q8:Q14" si="11">IF(P8=Q40,"ok","error")</f>
        <v>ok</v>
      </c>
      <c r="R8" s="259">
        <v>12904</v>
      </c>
      <c r="S8" s="260">
        <v>0</v>
      </c>
      <c r="T8" s="260">
        <v>1146</v>
      </c>
      <c r="U8" s="260">
        <v>14050</v>
      </c>
      <c r="V8" s="296" t="str">
        <f t="shared" ref="V8:V14" si="12">IF(U8=V40,"ok","error")</f>
        <v>ok</v>
      </c>
      <c r="W8" s="259">
        <v>9215</v>
      </c>
      <c r="X8" s="260">
        <v>0</v>
      </c>
      <c r="Y8" s="260">
        <v>699</v>
      </c>
      <c r="Z8" s="260">
        <v>9914</v>
      </c>
      <c r="AA8" s="296" t="str">
        <f t="shared" ref="AA8:AA17" si="13">IF(Z8=AA40,"ok","error")</f>
        <v>ok</v>
      </c>
      <c r="AB8" s="259"/>
      <c r="AC8" s="260"/>
      <c r="AD8" s="260"/>
      <c r="AE8" s="260">
        <f t="shared" ref="AE8" si="14">SUM(AB8:AD8)</f>
        <v>0</v>
      </c>
      <c r="AF8" s="296" t="str">
        <f t="shared" ref="AF8:AF14" si="15">IF(AE8=AF40,"ok","error")</f>
        <v>ok</v>
      </c>
      <c r="AG8" s="259"/>
      <c r="AH8" s="260"/>
      <c r="AI8" s="260"/>
      <c r="AJ8" s="260">
        <f t="shared" ref="AJ8" si="16">SUM(AG8:AI8)</f>
        <v>0</v>
      </c>
      <c r="AK8" s="296" t="str">
        <f t="shared" ref="AK8:AK14" si="17">IF(AJ8=AK40,"ok","error")</f>
        <v>ok</v>
      </c>
      <c r="AL8" s="259"/>
      <c r="AM8" s="260"/>
      <c r="AN8" s="260"/>
      <c r="AO8" s="260">
        <f t="shared" ref="AO8" si="18">SUM(AL8:AN8)</f>
        <v>0</v>
      </c>
      <c r="AP8" s="296" t="str">
        <f t="shared" ref="AP8:AP14" si="19">IF(AO8=AP40,"ok","error")</f>
        <v>ok</v>
      </c>
      <c r="AQ8" s="259"/>
      <c r="AR8" s="260"/>
      <c r="AS8" s="260"/>
      <c r="AT8" s="260">
        <f t="shared" ref="AT8" si="20">SUM(AQ8:AS8)</f>
        <v>0</v>
      </c>
      <c r="AU8" s="296" t="str">
        <f t="shared" ref="AU8:AU14" si="21">IF(AT8=AU40,"ok","error")</f>
        <v>ok</v>
      </c>
      <c r="AV8" s="259"/>
      <c r="AW8" s="260"/>
      <c r="AX8" s="260"/>
      <c r="AY8" s="260">
        <f t="shared" ref="AY8" si="22">SUM(AV8:AX8)</f>
        <v>0</v>
      </c>
      <c r="AZ8" s="296" t="str">
        <f t="shared" ref="AZ8:AZ14" si="23">IF(AY8=AZ40,"ok","error")</f>
        <v>ok</v>
      </c>
    </row>
    <row r="9" spans="1:52" outlineLevel="1">
      <c r="B9" s="198" t="str">
        <f>Inputs!B12</f>
        <v>CN East</v>
      </c>
      <c r="C9" s="281"/>
      <c r="D9" s="260"/>
      <c r="E9" s="260"/>
      <c r="F9" s="260">
        <f t="shared" ref="F9:F26" si="24">SUM(C9:E9)</f>
        <v>0</v>
      </c>
      <c r="G9" s="296" t="str">
        <f t="shared" si="8"/>
        <v>ok</v>
      </c>
      <c r="H9" s="282"/>
      <c r="I9" s="174"/>
      <c r="J9" s="174"/>
      <c r="K9" s="174">
        <f t="shared" ref="K9:K26" si="25">SUM(H9:J9)</f>
        <v>0</v>
      </c>
      <c r="L9" s="296" t="str">
        <f t="shared" si="10"/>
        <v>ok</v>
      </c>
      <c r="M9" s="261">
        <v>29784</v>
      </c>
      <c r="N9" s="174">
        <v>0</v>
      </c>
      <c r="O9" s="174">
        <v>1240</v>
      </c>
      <c r="P9" s="174">
        <v>31024</v>
      </c>
      <c r="Q9" s="296" t="str">
        <f t="shared" si="11"/>
        <v>ok</v>
      </c>
      <c r="R9" s="261">
        <v>16606</v>
      </c>
      <c r="S9" s="174">
        <v>0</v>
      </c>
      <c r="T9" s="174">
        <v>1045</v>
      </c>
      <c r="U9" s="174">
        <v>17651</v>
      </c>
      <c r="V9" s="296" t="str">
        <f t="shared" si="12"/>
        <v>ok</v>
      </c>
      <c r="W9" s="261">
        <v>11324</v>
      </c>
      <c r="X9" s="174">
        <v>0</v>
      </c>
      <c r="Y9" s="174">
        <v>314</v>
      </c>
      <c r="Z9" s="174">
        <v>11638</v>
      </c>
      <c r="AA9" s="296" t="str">
        <f t="shared" si="13"/>
        <v>ok</v>
      </c>
      <c r="AB9" s="261"/>
      <c r="AC9" s="174"/>
      <c r="AD9" s="174"/>
      <c r="AE9" s="174">
        <f t="shared" ref="AE9:AE26" si="26">SUM(AB9:AD9)</f>
        <v>0</v>
      </c>
      <c r="AF9" s="296" t="str">
        <f t="shared" si="15"/>
        <v>ok</v>
      </c>
      <c r="AG9" s="261"/>
      <c r="AH9" s="174"/>
      <c r="AI9" s="174"/>
      <c r="AJ9" s="174">
        <f t="shared" ref="AJ9:AJ26" si="27">SUM(AG9:AI9)</f>
        <v>0</v>
      </c>
      <c r="AK9" s="296" t="str">
        <f t="shared" si="17"/>
        <v>ok</v>
      </c>
      <c r="AL9" s="261"/>
      <c r="AM9" s="174"/>
      <c r="AN9" s="174"/>
      <c r="AO9" s="174">
        <f t="shared" ref="AO9:AO26" si="28">SUM(AL9:AN9)</f>
        <v>0</v>
      </c>
      <c r="AP9" s="296" t="str">
        <f t="shared" si="19"/>
        <v>ok</v>
      </c>
      <c r="AQ9" s="261"/>
      <c r="AR9" s="174"/>
      <c r="AS9" s="174"/>
      <c r="AT9" s="174">
        <f t="shared" ref="AT9:AT26" si="29">SUM(AQ9:AS9)</f>
        <v>0</v>
      </c>
      <c r="AU9" s="296" t="str">
        <f t="shared" si="21"/>
        <v>ok</v>
      </c>
      <c r="AV9" s="261"/>
      <c r="AW9" s="174"/>
      <c r="AX9" s="174"/>
      <c r="AY9" s="174">
        <f t="shared" ref="AY9:AY26" si="30">SUM(AV9:AX9)</f>
        <v>0</v>
      </c>
      <c r="AZ9" s="296" t="str">
        <f t="shared" si="23"/>
        <v>ok</v>
      </c>
    </row>
    <row r="10" spans="1:52" outlineLevel="1">
      <c r="B10" s="198" t="str">
        <f>Inputs!B13</f>
        <v>ENWL</v>
      </c>
      <c r="C10" s="282"/>
      <c r="D10" s="174"/>
      <c r="E10" s="174"/>
      <c r="F10" s="260">
        <f t="shared" si="24"/>
        <v>0</v>
      </c>
      <c r="G10" s="296" t="str">
        <f t="shared" si="8"/>
        <v>ok</v>
      </c>
      <c r="H10" s="282"/>
      <c r="I10" s="174"/>
      <c r="J10" s="174"/>
      <c r="K10" s="174">
        <f t="shared" si="25"/>
        <v>0</v>
      </c>
      <c r="L10" s="296" t="str">
        <f t="shared" si="10"/>
        <v>ok</v>
      </c>
      <c r="M10" s="261">
        <v>15507</v>
      </c>
      <c r="N10" s="174">
        <v>2831</v>
      </c>
      <c r="O10" s="174">
        <v>5622</v>
      </c>
      <c r="P10" s="174">
        <v>23960</v>
      </c>
      <c r="Q10" s="296" t="str">
        <f t="shared" si="11"/>
        <v>ok</v>
      </c>
      <c r="R10" s="261">
        <v>10981</v>
      </c>
      <c r="S10" s="174">
        <v>0</v>
      </c>
      <c r="T10" s="174">
        <v>5164</v>
      </c>
      <c r="U10" s="174">
        <v>16145</v>
      </c>
      <c r="V10" s="296" t="str">
        <f t="shared" si="12"/>
        <v>ok</v>
      </c>
      <c r="W10" s="261">
        <v>8182</v>
      </c>
      <c r="X10" s="174">
        <v>0</v>
      </c>
      <c r="Y10" s="174">
        <v>2403</v>
      </c>
      <c r="Z10" s="174">
        <v>10585</v>
      </c>
      <c r="AA10" s="296" t="str">
        <f t="shared" si="13"/>
        <v>ok</v>
      </c>
      <c r="AB10" s="261"/>
      <c r="AC10" s="174"/>
      <c r="AD10" s="174"/>
      <c r="AE10" s="174">
        <f t="shared" si="26"/>
        <v>0</v>
      </c>
      <c r="AF10" s="296" t="str">
        <f t="shared" si="15"/>
        <v>ok</v>
      </c>
      <c r="AG10" s="261"/>
      <c r="AH10" s="174"/>
      <c r="AI10" s="174"/>
      <c r="AJ10" s="174">
        <f t="shared" si="27"/>
        <v>0</v>
      </c>
      <c r="AK10" s="296" t="str">
        <f t="shared" si="17"/>
        <v>ok</v>
      </c>
      <c r="AL10" s="261"/>
      <c r="AM10" s="174"/>
      <c r="AN10" s="174"/>
      <c r="AO10" s="174">
        <f t="shared" si="28"/>
        <v>0</v>
      </c>
      <c r="AP10" s="296" t="str">
        <f t="shared" si="19"/>
        <v>ok</v>
      </c>
      <c r="AQ10" s="261"/>
      <c r="AR10" s="174"/>
      <c r="AS10" s="174"/>
      <c r="AT10" s="174">
        <f t="shared" si="29"/>
        <v>0</v>
      </c>
      <c r="AU10" s="296" t="str">
        <f t="shared" si="21"/>
        <v>ok</v>
      </c>
      <c r="AV10" s="261"/>
      <c r="AW10" s="174"/>
      <c r="AX10" s="174"/>
      <c r="AY10" s="174">
        <f t="shared" si="30"/>
        <v>0</v>
      </c>
      <c r="AZ10" s="296" t="str">
        <f t="shared" si="23"/>
        <v>ok</v>
      </c>
    </row>
    <row r="11" spans="1:52" outlineLevel="1">
      <c r="B11" s="198" t="str">
        <f>Inputs!B14</f>
        <v>CE NEDL</v>
      </c>
      <c r="C11" s="282"/>
      <c r="D11" s="174"/>
      <c r="E11" s="174"/>
      <c r="F11" s="260">
        <f t="shared" si="24"/>
        <v>0</v>
      </c>
      <c r="G11" s="296" t="str">
        <f t="shared" si="8"/>
        <v>ok</v>
      </c>
      <c r="H11" s="282"/>
      <c r="I11" s="174"/>
      <c r="J11" s="174"/>
      <c r="K11" s="174">
        <f t="shared" si="25"/>
        <v>0</v>
      </c>
      <c r="L11" s="296" t="str">
        <f t="shared" si="10"/>
        <v>ok</v>
      </c>
      <c r="M11" s="261">
        <v>14423</v>
      </c>
      <c r="N11" s="174">
        <v>383</v>
      </c>
      <c r="O11" s="174">
        <v>1</v>
      </c>
      <c r="P11" s="174">
        <v>14807</v>
      </c>
      <c r="Q11" s="296" t="str">
        <f t="shared" si="11"/>
        <v>ok</v>
      </c>
      <c r="R11" s="261">
        <v>11173</v>
      </c>
      <c r="S11" s="174">
        <v>509</v>
      </c>
      <c r="T11" s="174">
        <v>0</v>
      </c>
      <c r="U11" s="174">
        <v>11682</v>
      </c>
      <c r="V11" s="296" t="str">
        <f t="shared" si="12"/>
        <v>ok</v>
      </c>
      <c r="W11" s="261">
        <v>7555</v>
      </c>
      <c r="X11" s="174">
        <v>511</v>
      </c>
      <c r="Y11" s="174">
        <v>15</v>
      </c>
      <c r="Z11" s="174">
        <v>8081</v>
      </c>
      <c r="AA11" s="296" t="str">
        <f t="shared" si="13"/>
        <v>ok</v>
      </c>
      <c r="AB11" s="261"/>
      <c r="AC11" s="174"/>
      <c r="AD11" s="174"/>
      <c r="AE11" s="174">
        <f t="shared" si="26"/>
        <v>0</v>
      </c>
      <c r="AF11" s="296" t="str">
        <f t="shared" si="15"/>
        <v>ok</v>
      </c>
      <c r="AG11" s="261"/>
      <c r="AH11" s="174"/>
      <c r="AI11" s="174"/>
      <c r="AJ11" s="174">
        <f t="shared" si="27"/>
        <v>0</v>
      </c>
      <c r="AK11" s="296" t="str">
        <f t="shared" si="17"/>
        <v>ok</v>
      </c>
      <c r="AL11" s="261"/>
      <c r="AM11" s="174"/>
      <c r="AN11" s="174"/>
      <c r="AO11" s="174">
        <f t="shared" si="28"/>
        <v>0</v>
      </c>
      <c r="AP11" s="296" t="str">
        <f t="shared" si="19"/>
        <v>ok</v>
      </c>
      <c r="AQ11" s="261"/>
      <c r="AR11" s="174"/>
      <c r="AS11" s="174"/>
      <c r="AT11" s="174">
        <f t="shared" si="29"/>
        <v>0</v>
      </c>
      <c r="AU11" s="296" t="str">
        <f t="shared" si="21"/>
        <v>ok</v>
      </c>
      <c r="AV11" s="261"/>
      <c r="AW11" s="174"/>
      <c r="AX11" s="174"/>
      <c r="AY11" s="174">
        <f t="shared" si="30"/>
        <v>0</v>
      </c>
      <c r="AZ11" s="296" t="str">
        <f t="shared" si="23"/>
        <v>ok</v>
      </c>
    </row>
    <row r="12" spans="1:52" outlineLevel="1">
      <c r="B12" s="198" t="str">
        <f>Inputs!B15</f>
        <v>CE YEDL</v>
      </c>
      <c r="C12" s="282"/>
      <c r="D12" s="174"/>
      <c r="E12" s="174"/>
      <c r="F12" s="260">
        <f t="shared" si="24"/>
        <v>0</v>
      </c>
      <c r="G12" s="296" t="str">
        <f t="shared" si="8"/>
        <v>ok</v>
      </c>
      <c r="H12" s="282"/>
      <c r="I12" s="174"/>
      <c r="J12" s="174"/>
      <c r="K12" s="174">
        <f t="shared" si="25"/>
        <v>0</v>
      </c>
      <c r="L12" s="296" t="str">
        <f t="shared" si="10"/>
        <v>ok</v>
      </c>
      <c r="M12" s="261">
        <v>24098</v>
      </c>
      <c r="N12" s="174">
        <v>855</v>
      </c>
      <c r="O12" s="174">
        <v>699</v>
      </c>
      <c r="P12" s="174">
        <v>25652</v>
      </c>
      <c r="Q12" s="296" t="str">
        <f t="shared" si="11"/>
        <v>ok</v>
      </c>
      <c r="R12" s="261">
        <v>15082</v>
      </c>
      <c r="S12" s="174">
        <v>1040</v>
      </c>
      <c r="T12" s="174">
        <v>640</v>
      </c>
      <c r="U12" s="174">
        <v>16762</v>
      </c>
      <c r="V12" s="296" t="str">
        <f t="shared" si="12"/>
        <v>ok</v>
      </c>
      <c r="W12" s="261">
        <v>10837</v>
      </c>
      <c r="X12" s="174">
        <v>545</v>
      </c>
      <c r="Y12" s="174">
        <v>267</v>
      </c>
      <c r="Z12" s="174">
        <v>11649</v>
      </c>
      <c r="AA12" s="296" t="str">
        <f t="shared" si="13"/>
        <v>ok</v>
      </c>
      <c r="AB12" s="261"/>
      <c r="AC12" s="174"/>
      <c r="AD12" s="174"/>
      <c r="AE12" s="174">
        <f t="shared" si="26"/>
        <v>0</v>
      </c>
      <c r="AF12" s="296" t="str">
        <f t="shared" si="15"/>
        <v>ok</v>
      </c>
      <c r="AG12" s="261"/>
      <c r="AH12" s="174"/>
      <c r="AI12" s="174"/>
      <c r="AJ12" s="174">
        <f t="shared" si="27"/>
        <v>0</v>
      </c>
      <c r="AK12" s="296" t="str">
        <f t="shared" si="17"/>
        <v>ok</v>
      </c>
      <c r="AL12" s="261"/>
      <c r="AM12" s="174"/>
      <c r="AN12" s="174"/>
      <c r="AO12" s="174">
        <f t="shared" si="28"/>
        <v>0</v>
      </c>
      <c r="AP12" s="296" t="str">
        <f t="shared" si="19"/>
        <v>ok</v>
      </c>
      <c r="AQ12" s="261"/>
      <c r="AR12" s="174"/>
      <c r="AS12" s="174"/>
      <c r="AT12" s="174">
        <f t="shared" si="29"/>
        <v>0</v>
      </c>
      <c r="AU12" s="296" t="str">
        <f t="shared" si="21"/>
        <v>ok</v>
      </c>
      <c r="AV12" s="261"/>
      <c r="AW12" s="174"/>
      <c r="AX12" s="174"/>
      <c r="AY12" s="174">
        <f t="shared" si="30"/>
        <v>0</v>
      </c>
      <c r="AZ12" s="296" t="str">
        <f t="shared" si="23"/>
        <v>ok</v>
      </c>
    </row>
    <row r="13" spans="1:52" outlineLevel="1">
      <c r="B13" s="198" t="str">
        <f>Inputs!B16</f>
        <v>WPD S Wales</v>
      </c>
      <c r="C13" s="282"/>
      <c r="D13" s="174"/>
      <c r="E13" s="174"/>
      <c r="F13" s="260">
        <f t="shared" si="24"/>
        <v>0</v>
      </c>
      <c r="G13" s="296" t="str">
        <f t="shared" si="8"/>
        <v>ok</v>
      </c>
      <c r="H13" s="282"/>
      <c r="I13" s="174"/>
      <c r="J13" s="174"/>
      <c r="K13" s="174">
        <f t="shared" si="25"/>
        <v>0</v>
      </c>
      <c r="L13" s="296" t="str">
        <f t="shared" si="10"/>
        <v>ok</v>
      </c>
      <c r="M13" s="261">
        <v>10840</v>
      </c>
      <c r="N13" s="174">
        <v>0</v>
      </c>
      <c r="O13" s="174">
        <v>69</v>
      </c>
      <c r="P13" s="174">
        <v>10909</v>
      </c>
      <c r="Q13" s="296" t="str">
        <f t="shared" si="11"/>
        <v>ok</v>
      </c>
      <c r="R13" s="261">
        <v>8904</v>
      </c>
      <c r="S13" s="174">
        <v>0</v>
      </c>
      <c r="T13" s="174">
        <v>35</v>
      </c>
      <c r="U13" s="174">
        <v>8939</v>
      </c>
      <c r="V13" s="296" t="str">
        <f t="shared" si="12"/>
        <v>ok</v>
      </c>
      <c r="W13" s="261">
        <v>6590</v>
      </c>
      <c r="X13" s="174">
        <v>0</v>
      </c>
      <c r="Y13" s="174">
        <v>1</v>
      </c>
      <c r="Z13" s="174">
        <v>6591</v>
      </c>
      <c r="AA13" s="296" t="str">
        <f t="shared" si="13"/>
        <v>ok</v>
      </c>
      <c r="AB13" s="261"/>
      <c r="AC13" s="174"/>
      <c r="AD13" s="174"/>
      <c r="AE13" s="174">
        <f t="shared" si="26"/>
        <v>0</v>
      </c>
      <c r="AF13" s="296" t="str">
        <f t="shared" si="15"/>
        <v>ok</v>
      </c>
      <c r="AG13" s="261"/>
      <c r="AH13" s="174"/>
      <c r="AI13" s="174"/>
      <c r="AJ13" s="174">
        <f t="shared" si="27"/>
        <v>0</v>
      </c>
      <c r="AK13" s="296" t="str">
        <f t="shared" si="17"/>
        <v>ok</v>
      </c>
      <c r="AL13" s="261"/>
      <c r="AM13" s="174"/>
      <c r="AN13" s="174"/>
      <c r="AO13" s="174">
        <f t="shared" si="28"/>
        <v>0</v>
      </c>
      <c r="AP13" s="296" t="str">
        <f t="shared" si="19"/>
        <v>ok</v>
      </c>
      <c r="AQ13" s="261"/>
      <c r="AR13" s="174"/>
      <c r="AS13" s="174"/>
      <c r="AT13" s="174">
        <f t="shared" si="29"/>
        <v>0</v>
      </c>
      <c r="AU13" s="296" t="str">
        <f t="shared" si="21"/>
        <v>ok</v>
      </c>
      <c r="AV13" s="261"/>
      <c r="AW13" s="174"/>
      <c r="AX13" s="174"/>
      <c r="AY13" s="174">
        <f t="shared" si="30"/>
        <v>0</v>
      </c>
      <c r="AZ13" s="296" t="str">
        <f t="shared" si="23"/>
        <v>ok</v>
      </c>
    </row>
    <row r="14" spans="1:52" outlineLevel="1">
      <c r="B14" s="198" t="str">
        <f>Inputs!B17</f>
        <v>WPD S West</v>
      </c>
      <c r="C14" s="282"/>
      <c r="D14" s="174"/>
      <c r="E14" s="174"/>
      <c r="F14" s="260">
        <f t="shared" si="24"/>
        <v>0</v>
      </c>
      <c r="G14" s="296" t="str">
        <f t="shared" si="8"/>
        <v>ok</v>
      </c>
      <c r="H14" s="282"/>
      <c r="I14" s="174"/>
      <c r="J14" s="174"/>
      <c r="K14" s="174">
        <f t="shared" si="25"/>
        <v>0</v>
      </c>
      <c r="L14" s="296" t="str">
        <f t="shared" si="10"/>
        <v>ok</v>
      </c>
      <c r="M14" s="261">
        <v>20151</v>
      </c>
      <c r="N14" s="174">
        <v>0</v>
      </c>
      <c r="O14" s="174">
        <v>60</v>
      </c>
      <c r="P14" s="174">
        <v>20211</v>
      </c>
      <c r="Q14" s="296" t="str">
        <f t="shared" si="11"/>
        <v>ok</v>
      </c>
      <c r="R14" s="261">
        <v>17474</v>
      </c>
      <c r="S14" s="174">
        <v>0</v>
      </c>
      <c r="T14" s="174">
        <v>95</v>
      </c>
      <c r="U14" s="174">
        <v>17569</v>
      </c>
      <c r="V14" s="296" t="str">
        <f t="shared" si="12"/>
        <v>ok</v>
      </c>
      <c r="W14" s="261">
        <v>13465</v>
      </c>
      <c r="X14" s="174">
        <v>0</v>
      </c>
      <c r="Y14" s="174">
        <v>3</v>
      </c>
      <c r="Z14" s="174">
        <v>13468</v>
      </c>
      <c r="AA14" s="296" t="str">
        <f t="shared" si="13"/>
        <v>ok</v>
      </c>
      <c r="AB14" s="261"/>
      <c r="AC14" s="174"/>
      <c r="AD14" s="174"/>
      <c r="AE14" s="174">
        <f t="shared" si="26"/>
        <v>0</v>
      </c>
      <c r="AF14" s="296" t="str">
        <f t="shared" si="15"/>
        <v>ok</v>
      </c>
      <c r="AG14" s="261"/>
      <c r="AH14" s="174"/>
      <c r="AI14" s="174"/>
      <c r="AJ14" s="174">
        <f t="shared" si="27"/>
        <v>0</v>
      </c>
      <c r="AK14" s="296" t="str">
        <f t="shared" si="17"/>
        <v>ok</v>
      </c>
      <c r="AL14" s="261"/>
      <c r="AM14" s="174"/>
      <c r="AN14" s="174"/>
      <c r="AO14" s="174">
        <f t="shared" si="28"/>
        <v>0</v>
      </c>
      <c r="AP14" s="296" t="str">
        <f t="shared" si="19"/>
        <v>ok</v>
      </c>
      <c r="AQ14" s="261"/>
      <c r="AR14" s="174"/>
      <c r="AS14" s="174"/>
      <c r="AT14" s="174">
        <f t="shared" si="29"/>
        <v>0</v>
      </c>
      <c r="AU14" s="296" t="str">
        <f t="shared" si="21"/>
        <v>ok</v>
      </c>
      <c r="AV14" s="261"/>
      <c r="AW14" s="174"/>
      <c r="AX14" s="174"/>
      <c r="AY14" s="174">
        <f t="shared" si="30"/>
        <v>0</v>
      </c>
      <c r="AZ14" s="296" t="str">
        <f t="shared" si="23"/>
        <v>ok</v>
      </c>
    </row>
    <row r="15" spans="1:52" outlineLevel="1">
      <c r="B15" s="198" t="str">
        <f>Inputs!B18</f>
        <v>UKPN LPN</v>
      </c>
      <c r="C15" s="282"/>
      <c r="D15" s="174"/>
      <c r="E15" s="174"/>
      <c r="F15" s="260">
        <f t="shared" si="24"/>
        <v>0</v>
      </c>
      <c r="G15" s="296" t="str">
        <f>IF(F15=G48,"ok","error")</f>
        <v>ok</v>
      </c>
      <c r="H15" s="282"/>
      <c r="I15" s="174"/>
      <c r="J15" s="174"/>
      <c r="K15" s="174">
        <f t="shared" si="25"/>
        <v>0</v>
      </c>
      <c r="L15" s="296" t="str">
        <f>IF(K15=L48,"ok","error")</f>
        <v>ok</v>
      </c>
      <c r="M15" s="261">
        <v>22604</v>
      </c>
      <c r="N15" s="174">
        <v>0</v>
      </c>
      <c r="O15" s="174">
        <v>5</v>
      </c>
      <c r="P15" s="174">
        <v>22609</v>
      </c>
      <c r="Q15" s="296" t="str">
        <f>IF(P15=Q48,"ok","error")</f>
        <v>ok</v>
      </c>
      <c r="R15" s="261">
        <v>29131</v>
      </c>
      <c r="S15" s="174">
        <v>0</v>
      </c>
      <c r="T15" s="174">
        <v>137</v>
      </c>
      <c r="U15" s="174">
        <v>29268</v>
      </c>
      <c r="V15" s="296" t="str">
        <f>IF(U15=V48,"ok","error")</f>
        <v>ok</v>
      </c>
      <c r="W15" s="261">
        <v>20873</v>
      </c>
      <c r="X15" s="174">
        <v>0</v>
      </c>
      <c r="Y15" s="174">
        <v>32</v>
      </c>
      <c r="Z15" s="174">
        <v>20905</v>
      </c>
      <c r="AA15" s="296" t="str">
        <f t="shared" si="13"/>
        <v>ok</v>
      </c>
      <c r="AB15" s="261"/>
      <c r="AC15" s="174"/>
      <c r="AD15" s="174"/>
      <c r="AE15" s="174">
        <f t="shared" si="26"/>
        <v>0</v>
      </c>
      <c r="AF15" s="296" t="str">
        <f>IF(AE15=AF48,"ok","error")</f>
        <v>ok</v>
      </c>
      <c r="AG15" s="261"/>
      <c r="AH15" s="174"/>
      <c r="AI15" s="174"/>
      <c r="AJ15" s="174">
        <f t="shared" si="27"/>
        <v>0</v>
      </c>
      <c r="AK15" s="296" t="str">
        <f>IF(AJ15=AK48,"ok","error")</f>
        <v>ok</v>
      </c>
      <c r="AL15" s="261"/>
      <c r="AM15" s="174"/>
      <c r="AN15" s="174"/>
      <c r="AO15" s="174">
        <f t="shared" si="28"/>
        <v>0</v>
      </c>
      <c r="AP15" s="296" t="str">
        <f>IF(AO15=AP48,"ok","error")</f>
        <v>ok</v>
      </c>
      <c r="AQ15" s="261"/>
      <c r="AR15" s="174"/>
      <c r="AS15" s="174"/>
      <c r="AT15" s="174">
        <f t="shared" si="29"/>
        <v>0</v>
      </c>
      <c r="AU15" s="296" t="str">
        <f>IF(AT15=AU48,"ok","error")</f>
        <v>ok</v>
      </c>
      <c r="AV15" s="261"/>
      <c r="AW15" s="174"/>
      <c r="AX15" s="174"/>
      <c r="AY15" s="174">
        <f t="shared" si="30"/>
        <v>0</v>
      </c>
      <c r="AZ15" s="296" t="str">
        <f>IF(AY15=AZ48,"ok","error")</f>
        <v>ok</v>
      </c>
    </row>
    <row r="16" spans="1:52" outlineLevel="1">
      <c r="B16" s="198" t="str">
        <f>Inputs!B19</f>
        <v>UKPN SEPN</v>
      </c>
      <c r="C16" s="282"/>
      <c r="D16" s="174"/>
      <c r="E16" s="174"/>
      <c r="F16" s="260">
        <f t="shared" si="24"/>
        <v>0</v>
      </c>
      <c r="G16" s="296" t="str">
        <f>IF(F16=G49,"ok","error")</f>
        <v>ok</v>
      </c>
      <c r="H16" s="282"/>
      <c r="I16" s="174"/>
      <c r="J16" s="174"/>
      <c r="K16" s="174">
        <f t="shared" si="25"/>
        <v>0</v>
      </c>
      <c r="L16" s="296" t="str">
        <f>IF(K16=L49,"ok","error")</f>
        <v>ok</v>
      </c>
      <c r="M16" s="261">
        <v>26556</v>
      </c>
      <c r="N16" s="174">
        <v>0</v>
      </c>
      <c r="O16" s="174">
        <v>162</v>
      </c>
      <c r="P16" s="174">
        <v>26718</v>
      </c>
      <c r="Q16" s="296" t="str">
        <f>IF(P16=Q49,"ok","error")</f>
        <v>ok</v>
      </c>
      <c r="R16" s="261">
        <v>17292</v>
      </c>
      <c r="S16" s="174">
        <v>0</v>
      </c>
      <c r="T16" s="174">
        <v>289</v>
      </c>
      <c r="U16" s="174">
        <v>17581</v>
      </c>
      <c r="V16" s="296" t="str">
        <f>IF(U16=V49,"ok","error")</f>
        <v>ok</v>
      </c>
      <c r="W16" s="261">
        <v>13348</v>
      </c>
      <c r="X16" s="174">
        <v>0</v>
      </c>
      <c r="Y16" s="174">
        <v>50</v>
      </c>
      <c r="Z16" s="174">
        <v>13398</v>
      </c>
      <c r="AA16" s="296" t="str">
        <f t="shared" si="13"/>
        <v>ok</v>
      </c>
      <c r="AB16" s="261"/>
      <c r="AC16" s="174"/>
      <c r="AD16" s="174"/>
      <c r="AE16" s="174">
        <f t="shared" si="26"/>
        <v>0</v>
      </c>
      <c r="AF16" s="296" t="str">
        <f>IF(AE16=AF49,"ok","error")</f>
        <v>ok</v>
      </c>
      <c r="AG16" s="261"/>
      <c r="AH16" s="174"/>
      <c r="AI16" s="174"/>
      <c r="AJ16" s="174">
        <f t="shared" si="27"/>
        <v>0</v>
      </c>
      <c r="AK16" s="296" t="str">
        <f>IF(AJ16=AK49,"ok","error")</f>
        <v>ok</v>
      </c>
      <c r="AL16" s="261"/>
      <c r="AM16" s="174"/>
      <c r="AN16" s="174"/>
      <c r="AO16" s="174">
        <f t="shared" si="28"/>
        <v>0</v>
      </c>
      <c r="AP16" s="296" t="str">
        <f>IF(AO16=AP49,"ok","error")</f>
        <v>ok</v>
      </c>
      <c r="AQ16" s="261"/>
      <c r="AR16" s="174"/>
      <c r="AS16" s="174"/>
      <c r="AT16" s="174">
        <f t="shared" si="29"/>
        <v>0</v>
      </c>
      <c r="AU16" s="296" t="str">
        <f>IF(AT16=AU49,"ok","error")</f>
        <v>ok</v>
      </c>
      <c r="AV16" s="261"/>
      <c r="AW16" s="174"/>
      <c r="AX16" s="174"/>
      <c r="AY16" s="174">
        <f t="shared" si="30"/>
        <v>0</v>
      </c>
      <c r="AZ16" s="296" t="str">
        <f>IF(AY16=AZ49,"ok","error")</f>
        <v>ok</v>
      </c>
    </row>
    <row r="17" spans="2:52" outlineLevel="1">
      <c r="B17" s="198" t="str">
        <f>Inputs!B20</f>
        <v>UKPN EPN</v>
      </c>
      <c r="C17" s="282"/>
      <c r="D17" s="174"/>
      <c r="E17" s="174"/>
      <c r="F17" s="260">
        <f>SUM(C17:E17)</f>
        <v>0</v>
      </c>
      <c r="G17" s="296" t="str">
        <f>IF(F17=G47,"ok","error")</f>
        <v>ok</v>
      </c>
      <c r="H17" s="282"/>
      <c r="I17" s="174"/>
      <c r="J17" s="174"/>
      <c r="K17" s="174">
        <f>SUM(H17:J17)</f>
        <v>0</v>
      </c>
      <c r="L17" s="296" t="str">
        <f>IF(K17=L47,"ok","error")</f>
        <v>ok</v>
      </c>
      <c r="M17" s="261">
        <v>40612</v>
      </c>
      <c r="N17" s="174">
        <v>0</v>
      </c>
      <c r="O17" s="174">
        <v>72</v>
      </c>
      <c r="P17" s="174">
        <v>40684</v>
      </c>
      <c r="Q17" s="296" t="str">
        <f>IF(P17=Q47,"ok","error")</f>
        <v>ok</v>
      </c>
      <c r="R17" s="261">
        <v>31047</v>
      </c>
      <c r="S17" s="174">
        <v>0</v>
      </c>
      <c r="T17" s="174">
        <v>163</v>
      </c>
      <c r="U17" s="174">
        <v>31210</v>
      </c>
      <c r="V17" s="296" t="str">
        <f>IF(U17=V47,"ok","error")</f>
        <v>ok</v>
      </c>
      <c r="W17" s="261">
        <v>20652</v>
      </c>
      <c r="X17" s="174">
        <v>0</v>
      </c>
      <c r="Y17" s="174">
        <v>103</v>
      </c>
      <c r="Z17" s="174">
        <v>20755</v>
      </c>
      <c r="AA17" s="296" t="str">
        <f t="shared" si="13"/>
        <v>ok</v>
      </c>
      <c r="AB17" s="261"/>
      <c r="AC17" s="174"/>
      <c r="AD17" s="174"/>
      <c r="AE17" s="174">
        <f>SUM(AB17:AD17)</f>
        <v>0</v>
      </c>
      <c r="AF17" s="296" t="str">
        <f>IF(AE17=AF47,"ok","error")</f>
        <v>ok</v>
      </c>
      <c r="AG17" s="261"/>
      <c r="AH17" s="174"/>
      <c r="AI17" s="174"/>
      <c r="AJ17" s="174">
        <f>SUM(AG17:AI17)</f>
        <v>0</v>
      </c>
      <c r="AK17" s="296" t="str">
        <f>IF(AJ17=AK47,"ok","error")</f>
        <v>ok</v>
      </c>
      <c r="AL17" s="261"/>
      <c r="AM17" s="174"/>
      <c r="AN17" s="174"/>
      <c r="AO17" s="174">
        <f>SUM(AL17:AN17)</f>
        <v>0</v>
      </c>
      <c r="AP17" s="296" t="str">
        <f>IF(AO17=AP47,"ok","error")</f>
        <v>ok</v>
      </c>
      <c r="AQ17" s="261"/>
      <c r="AR17" s="174"/>
      <c r="AS17" s="174"/>
      <c r="AT17" s="174">
        <f>SUM(AQ17:AS17)</f>
        <v>0</v>
      </c>
      <c r="AU17" s="296" t="str">
        <f>IF(AT17=AU47,"ok","error")</f>
        <v>ok</v>
      </c>
      <c r="AV17" s="261"/>
      <c r="AW17" s="174"/>
      <c r="AX17" s="174"/>
      <c r="AY17" s="174">
        <f>SUM(AV17:AX17)</f>
        <v>0</v>
      </c>
      <c r="AZ17" s="296" t="str">
        <f>IF(AY17=AZ47,"ok","error")</f>
        <v>ok</v>
      </c>
    </row>
    <row r="18" spans="2:52" outlineLevel="1">
      <c r="B18" s="198" t="str">
        <f>Inputs!B21</f>
        <v>SP Distribution</v>
      </c>
      <c r="C18" s="282"/>
      <c r="D18" s="174"/>
      <c r="E18" s="174"/>
      <c r="F18" s="260">
        <f t="shared" si="24"/>
        <v>0</v>
      </c>
      <c r="G18" s="296" t="str">
        <f t="shared" ref="G18:G28" si="31">IF(F18=G50,"ok","error")</f>
        <v>ok</v>
      </c>
      <c r="H18" s="282"/>
      <c r="I18" s="174"/>
      <c r="J18" s="174"/>
      <c r="K18" s="174">
        <f t="shared" si="25"/>
        <v>0</v>
      </c>
      <c r="L18" s="296" t="str">
        <f t="shared" ref="L18:L28" si="32">IF(K18=L50,"ok","error")</f>
        <v>ok</v>
      </c>
      <c r="M18" s="261">
        <v>10997</v>
      </c>
      <c r="N18" s="174">
        <v>10194</v>
      </c>
      <c r="O18" s="174">
        <v>2578</v>
      </c>
      <c r="P18" s="174">
        <v>23769</v>
      </c>
      <c r="Q18" s="296" t="str">
        <f t="shared" ref="Q18:Q28" si="33">IF(P18=Q50,"ok","error")</f>
        <v>ok</v>
      </c>
      <c r="R18" s="261">
        <v>8911</v>
      </c>
      <c r="S18" s="174">
        <v>6475</v>
      </c>
      <c r="T18" s="174">
        <v>3386</v>
      </c>
      <c r="U18" s="174">
        <v>18772</v>
      </c>
      <c r="V18" s="296" t="str">
        <f t="shared" ref="V18:V28" si="34">IF(U18=V50,"ok","error")</f>
        <v>ok</v>
      </c>
      <c r="W18" s="261">
        <v>7386</v>
      </c>
      <c r="X18" s="174">
        <v>3220</v>
      </c>
      <c r="Y18" s="174">
        <v>1724</v>
      </c>
      <c r="Z18" s="174">
        <v>12330</v>
      </c>
      <c r="AA18" s="296" t="str">
        <f t="shared" ref="AA18:AA28" si="35">IF(Z18=AA50,"ok","error")</f>
        <v>ok</v>
      </c>
      <c r="AB18" s="261"/>
      <c r="AC18" s="174"/>
      <c r="AD18" s="174"/>
      <c r="AE18" s="174">
        <f t="shared" si="26"/>
        <v>0</v>
      </c>
      <c r="AF18" s="296" t="str">
        <f t="shared" ref="AF18:AF28" si="36">IF(AE18=AF50,"ok","error")</f>
        <v>ok</v>
      </c>
      <c r="AG18" s="261"/>
      <c r="AH18" s="174"/>
      <c r="AI18" s="174"/>
      <c r="AJ18" s="174">
        <f t="shared" si="27"/>
        <v>0</v>
      </c>
      <c r="AK18" s="296" t="str">
        <f t="shared" ref="AK18:AK28" si="37">IF(AJ18=AK50,"ok","error")</f>
        <v>ok</v>
      </c>
      <c r="AL18" s="261"/>
      <c r="AM18" s="174"/>
      <c r="AN18" s="174"/>
      <c r="AO18" s="174">
        <f t="shared" si="28"/>
        <v>0</v>
      </c>
      <c r="AP18" s="296" t="str">
        <f t="shared" ref="AP18:AP28" si="38">IF(AO18=AP50,"ok","error")</f>
        <v>ok</v>
      </c>
      <c r="AQ18" s="261"/>
      <c r="AR18" s="174"/>
      <c r="AS18" s="174"/>
      <c r="AT18" s="174">
        <f t="shared" si="29"/>
        <v>0</v>
      </c>
      <c r="AU18" s="296" t="str">
        <f t="shared" ref="AU18:AU28" si="39">IF(AT18=AU50,"ok","error")</f>
        <v>ok</v>
      </c>
      <c r="AV18" s="261"/>
      <c r="AW18" s="174"/>
      <c r="AX18" s="174"/>
      <c r="AY18" s="174">
        <f t="shared" si="30"/>
        <v>0</v>
      </c>
      <c r="AZ18" s="296" t="str">
        <f t="shared" ref="AZ18:AZ28" si="40">IF(AY18=AZ50,"ok","error")</f>
        <v>ok</v>
      </c>
    </row>
    <row r="19" spans="2:52" outlineLevel="1">
      <c r="B19" s="198" t="str">
        <f>Inputs!B22</f>
        <v>SP Manweb</v>
      </c>
      <c r="C19" s="282"/>
      <c r="D19" s="174"/>
      <c r="E19" s="174"/>
      <c r="F19" s="260">
        <f t="shared" si="24"/>
        <v>0</v>
      </c>
      <c r="G19" s="296" t="str">
        <f t="shared" si="31"/>
        <v>ok</v>
      </c>
      <c r="H19" s="282"/>
      <c r="I19" s="174"/>
      <c r="J19" s="174"/>
      <c r="K19" s="174">
        <f t="shared" si="25"/>
        <v>0</v>
      </c>
      <c r="L19" s="296" t="str">
        <f t="shared" si="32"/>
        <v>ok</v>
      </c>
      <c r="M19" s="261">
        <v>10406</v>
      </c>
      <c r="N19" s="174">
        <v>5464</v>
      </c>
      <c r="O19" s="174">
        <v>1039</v>
      </c>
      <c r="P19" s="174">
        <v>16909</v>
      </c>
      <c r="Q19" s="296" t="str">
        <f t="shared" si="33"/>
        <v>ok</v>
      </c>
      <c r="R19" s="261">
        <v>7346</v>
      </c>
      <c r="S19" s="174">
        <v>3119</v>
      </c>
      <c r="T19" s="174">
        <v>698</v>
      </c>
      <c r="U19" s="174">
        <v>11163</v>
      </c>
      <c r="V19" s="296" t="str">
        <f t="shared" si="34"/>
        <v>ok</v>
      </c>
      <c r="W19" s="261">
        <v>5961</v>
      </c>
      <c r="X19" s="174">
        <v>679</v>
      </c>
      <c r="Y19" s="174">
        <v>403</v>
      </c>
      <c r="Z19" s="174">
        <v>7043</v>
      </c>
      <c r="AA19" s="296" t="str">
        <f t="shared" si="35"/>
        <v>ok</v>
      </c>
      <c r="AB19" s="261"/>
      <c r="AC19" s="174"/>
      <c r="AD19" s="174"/>
      <c r="AE19" s="174">
        <f t="shared" si="26"/>
        <v>0</v>
      </c>
      <c r="AF19" s="296" t="str">
        <f t="shared" si="36"/>
        <v>ok</v>
      </c>
      <c r="AG19" s="261"/>
      <c r="AH19" s="174"/>
      <c r="AI19" s="174"/>
      <c r="AJ19" s="174">
        <f t="shared" si="27"/>
        <v>0</v>
      </c>
      <c r="AK19" s="296" t="str">
        <f t="shared" si="37"/>
        <v>ok</v>
      </c>
      <c r="AL19" s="261"/>
      <c r="AM19" s="174"/>
      <c r="AN19" s="174"/>
      <c r="AO19" s="174">
        <f t="shared" si="28"/>
        <v>0</v>
      </c>
      <c r="AP19" s="296" t="str">
        <f t="shared" si="38"/>
        <v>ok</v>
      </c>
      <c r="AQ19" s="261"/>
      <c r="AR19" s="174"/>
      <c r="AS19" s="174"/>
      <c r="AT19" s="174">
        <f t="shared" si="29"/>
        <v>0</v>
      </c>
      <c r="AU19" s="296" t="str">
        <f t="shared" si="39"/>
        <v>ok</v>
      </c>
      <c r="AV19" s="261"/>
      <c r="AW19" s="174"/>
      <c r="AX19" s="174"/>
      <c r="AY19" s="174">
        <f t="shared" si="30"/>
        <v>0</v>
      </c>
      <c r="AZ19" s="296" t="str">
        <f t="shared" si="40"/>
        <v>ok</v>
      </c>
    </row>
    <row r="20" spans="2:52" outlineLevel="1">
      <c r="B20" s="198" t="str">
        <f>Inputs!B23</f>
        <v>SSE Hydro</v>
      </c>
      <c r="C20" s="282"/>
      <c r="D20" s="174"/>
      <c r="E20" s="174"/>
      <c r="F20" s="260">
        <f t="shared" si="24"/>
        <v>0</v>
      </c>
      <c r="G20" s="296" t="str">
        <f t="shared" si="31"/>
        <v>ok</v>
      </c>
      <c r="H20" s="282"/>
      <c r="I20" s="174"/>
      <c r="J20" s="174"/>
      <c r="K20" s="174">
        <f t="shared" si="25"/>
        <v>0</v>
      </c>
      <c r="L20" s="296" t="str">
        <f t="shared" si="32"/>
        <v>ok</v>
      </c>
      <c r="M20" s="261">
        <v>12234</v>
      </c>
      <c r="N20" s="174">
        <v>0</v>
      </c>
      <c r="O20" s="174">
        <v>21</v>
      </c>
      <c r="P20" s="174">
        <v>12255</v>
      </c>
      <c r="Q20" s="296" t="str">
        <f t="shared" si="33"/>
        <v>ok</v>
      </c>
      <c r="R20" s="261">
        <v>8227</v>
      </c>
      <c r="S20" s="174">
        <v>0</v>
      </c>
      <c r="T20" s="174">
        <v>110</v>
      </c>
      <c r="U20" s="174">
        <v>8337</v>
      </c>
      <c r="V20" s="296" t="str">
        <f t="shared" si="34"/>
        <v>ok</v>
      </c>
      <c r="W20" s="261">
        <v>6272</v>
      </c>
      <c r="X20" s="174">
        <v>0</v>
      </c>
      <c r="Y20" s="174">
        <v>1</v>
      </c>
      <c r="Z20" s="174">
        <v>6273</v>
      </c>
      <c r="AA20" s="296" t="str">
        <f t="shared" si="35"/>
        <v>ok</v>
      </c>
      <c r="AB20" s="261"/>
      <c r="AC20" s="174"/>
      <c r="AD20" s="174"/>
      <c r="AE20" s="174">
        <f t="shared" si="26"/>
        <v>0</v>
      </c>
      <c r="AF20" s="296" t="str">
        <f t="shared" si="36"/>
        <v>ok</v>
      </c>
      <c r="AG20" s="261"/>
      <c r="AH20" s="174"/>
      <c r="AI20" s="174"/>
      <c r="AJ20" s="174">
        <f t="shared" si="27"/>
        <v>0</v>
      </c>
      <c r="AK20" s="296" t="str">
        <f t="shared" si="37"/>
        <v>ok</v>
      </c>
      <c r="AL20" s="261"/>
      <c r="AM20" s="174"/>
      <c r="AN20" s="174"/>
      <c r="AO20" s="174">
        <f t="shared" si="28"/>
        <v>0</v>
      </c>
      <c r="AP20" s="296" t="str">
        <f t="shared" si="38"/>
        <v>ok</v>
      </c>
      <c r="AQ20" s="261"/>
      <c r="AR20" s="174"/>
      <c r="AS20" s="174"/>
      <c r="AT20" s="174">
        <f t="shared" si="29"/>
        <v>0</v>
      </c>
      <c r="AU20" s="296" t="str">
        <f t="shared" si="39"/>
        <v>ok</v>
      </c>
      <c r="AV20" s="261"/>
      <c r="AW20" s="174"/>
      <c r="AX20" s="174"/>
      <c r="AY20" s="174">
        <f t="shared" si="30"/>
        <v>0</v>
      </c>
      <c r="AZ20" s="296" t="str">
        <f t="shared" si="40"/>
        <v>ok</v>
      </c>
    </row>
    <row r="21" spans="2:52" outlineLevel="1">
      <c r="B21" s="198" t="str">
        <f>Inputs!B24</f>
        <v>SSE Southern</v>
      </c>
      <c r="C21" s="282"/>
      <c r="D21" s="174"/>
      <c r="E21" s="174"/>
      <c r="F21" s="260">
        <f t="shared" si="24"/>
        <v>0</v>
      </c>
      <c r="G21" s="296" t="str">
        <f t="shared" si="31"/>
        <v>ok</v>
      </c>
      <c r="H21" s="282"/>
      <c r="I21" s="174"/>
      <c r="J21" s="174"/>
      <c r="K21" s="174">
        <f t="shared" si="25"/>
        <v>0</v>
      </c>
      <c r="L21" s="296" t="str">
        <f t="shared" si="32"/>
        <v>ok</v>
      </c>
      <c r="M21" s="261">
        <v>35701</v>
      </c>
      <c r="N21" s="174">
        <v>0</v>
      </c>
      <c r="O21" s="174">
        <v>267</v>
      </c>
      <c r="P21" s="174">
        <v>35968</v>
      </c>
      <c r="Q21" s="296" t="str">
        <f t="shared" si="33"/>
        <v>ok</v>
      </c>
      <c r="R21" s="261">
        <v>27615</v>
      </c>
      <c r="S21" s="174">
        <v>0</v>
      </c>
      <c r="T21" s="174">
        <v>3</v>
      </c>
      <c r="U21" s="174">
        <v>27618</v>
      </c>
      <c r="V21" s="296" t="str">
        <f t="shared" si="34"/>
        <v>ok</v>
      </c>
      <c r="W21" s="261">
        <v>18217</v>
      </c>
      <c r="X21" s="174">
        <v>0</v>
      </c>
      <c r="Y21" s="174">
        <v>10</v>
      </c>
      <c r="Z21" s="174">
        <v>18227</v>
      </c>
      <c r="AA21" s="296" t="str">
        <f t="shared" si="35"/>
        <v>ok</v>
      </c>
      <c r="AB21" s="261"/>
      <c r="AC21" s="174"/>
      <c r="AD21" s="174"/>
      <c r="AE21" s="174">
        <f t="shared" si="26"/>
        <v>0</v>
      </c>
      <c r="AF21" s="296" t="str">
        <f t="shared" si="36"/>
        <v>ok</v>
      </c>
      <c r="AG21" s="261"/>
      <c r="AH21" s="174"/>
      <c r="AI21" s="174"/>
      <c r="AJ21" s="174">
        <f t="shared" si="27"/>
        <v>0</v>
      </c>
      <c r="AK21" s="296" t="str">
        <f t="shared" si="37"/>
        <v>ok</v>
      </c>
      <c r="AL21" s="261"/>
      <c r="AM21" s="174"/>
      <c r="AN21" s="174"/>
      <c r="AO21" s="174">
        <f t="shared" si="28"/>
        <v>0</v>
      </c>
      <c r="AP21" s="296" t="str">
        <f t="shared" si="38"/>
        <v>ok</v>
      </c>
      <c r="AQ21" s="261"/>
      <c r="AR21" s="174"/>
      <c r="AS21" s="174"/>
      <c r="AT21" s="174">
        <f t="shared" si="29"/>
        <v>0</v>
      </c>
      <c r="AU21" s="296" t="str">
        <f t="shared" si="39"/>
        <v>ok</v>
      </c>
      <c r="AV21" s="261"/>
      <c r="AW21" s="174"/>
      <c r="AX21" s="174"/>
      <c r="AY21" s="174">
        <f t="shared" si="30"/>
        <v>0</v>
      </c>
      <c r="AZ21" s="296" t="str">
        <f t="shared" si="40"/>
        <v>ok</v>
      </c>
    </row>
    <row r="22" spans="2:52" s="152" customFormat="1" outlineLevel="1">
      <c r="B22" s="533" t="s">
        <v>106</v>
      </c>
      <c r="C22" s="283"/>
      <c r="D22" s="263"/>
      <c r="E22" s="263"/>
      <c r="F22" s="263">
        <f t="shared" si="24"/>
        <v>0</v>
      </c>
      <c r="G22" s="297" t="str">
        <f t="shared" si="31"/>
        <v>ok</v>
      </c>
      <c r="H22" s="283"/>
      <c r="I22" s="263"/>
      <c r="J22" s="263"/>
      <c r="K22" s="263">
        <f t="shared" si="25"/>
        <v>0</v>
      </c>
      <c r="L22" s="297" t="str">
        <f t="shared" si="32"/>
        <v>ok</v>
      </c>
      <c r="M22" s="262">
        <v>0</v>
      </c>
      <c r="N22" s="263">
        <v>0</v>
      </c>
      <c r="O22" s="263">
        <v>4711</v>
      </c>
      <c r="P22" s="263">
        <v>4711</v>
      </c>
      <c r="Q22" s="297" t="str">
        <f t="shared" si="33"/>
        <v>ok</v>
      </c>
      <c r="R22" s="262">
        <v>0</v>
      </c>
      <c r="S22" s="263">
        <v>8197</v>
      </c>
      <c r="T22" s="263">
        <v>0</v>
      </c>
      <c r="U22" s="263">
        <v>8197</v>
      </c>
      <c r="V22" s="297" t="str">
        <f t="shared" si="34"/>
        <v>ok</v>
      </c>
      <c r="W22" s="262">
        <v>0</v>
      </c>
      <c r="X22" s="263">
        <v>10314</v>
      </c>
      <c r="Y22" s="263">
        <v>0</v>
      </c>
      <c r="Z22" s="263">
        <v>10314</v>
      </c>
      <c r="AA22" s="297" t="str">
        <f t="shared" si="35"/>
        <v>ok</v>
      </c>
      <c r="AB22" s="262"/>
      <c r="AC22" s="263"/>
      <c r="AD22" s="263"/>
      <c r="AE22" s="263">
        <f t="shared" si="26"/>
        <v>0</v>
      </c>
      <c r="AF22" s="297" t="str">
        <f t="shared" si="36"/>
        <v>ok</v>
      </c>
      <c r="AG22" s="262"/>
      <c r="AH22" s="263"/>
      <c r="AI22" s="263"/>
      <c r="AJ22" s="263">
        <f t="shared" si="27"/>
        <v>0</v>
      </c>
      <c r="AK22" s="297" t="str">
        <f t="shared" si="37"/>
        <v>ok</v>
      </c>
      <c r="AL22" s="262"/>
      <c r="AM22" s="263"/>
      <c r="AN22" s="263"/>
      <c r="AO22" s="263">
        <f t="shared" si="28"/>
        <v>0</v>
      </c>
      <c r="AP22" s="297" t="str">
        <f t="shared" si="38"/>
        <v>ok</v>
      </c>
      <c r="AQ22" s="262"/>
      <c r="AR22" s="263"/>
      <c r="AS22" s="263"/>
      <c r="AT22" s="263">
        <f t="shared" si="29"/>
        <v>0</v>
      </c>
      <c r="AU22" s="297" t="str">
        <f t="shared" si="39"/>
        <v>ok</v>
      </c>
      <c r="AV22" s="262"/>
      <c r="AW22" s="263"/>
      <c r="AX22" s="263"/>
      <c r="AY22" s="263">
        <f t="shared" si="30"/>
        <v>0</v>
      </c>
      <c r="AZ22" s="297" t="str">
        <f t="shared" si="40"/>
        <v>ok</v>
      </c>
    </row>
    <row r="23" spans="2:52" s="152" customFormat="1" outlineLevel="1">
      <c r="B23" s="533" t="s">
        <v>107</v>
      </c>
      <c r="C23" s="283"/>
      <c r="D23" s="263"/>
      <c r="E23" s="263"/>
      <c r="F23" s="263">
        <f t="shared" si="24"/>
        <v>0</v>
      </c>
      <c r="G23" s="297" t="str">
        <f t="shared" si="31"/>
        <v>ok</v>
      </c>
      <c r="H23" s="283"/>
      <c r="I23" s="263"/>
      <c r="J23" s="263"/>
      <c r="K23" s="263">
        <f t="shared" si="25"/>
        <v>0</v>
      </c>
      <c r="L23" s="297" t="str">
        <f t="shared" si="32"/>
        <v>ok</v>
      </c>
      <c r="M23" s="262">
        <v>2</v>
      </c>
      <c r="N23" s="263">
        <v>3682</v>
      </c>
      <c r="O23" s="263">
        <v>1191</v>
      </c>
      <c r="P23" s="263">
        <v>4875</v>
      </c>
      <c r="Q23" s="297" t="str">
        <f t="shared" si="33"/>
        <v>ok</v>
      </c>
      <c r="R23" s="262">
        <v>0</v>
      </c>
      <c r="S23" s="263">
        <v>2623</v>
      </c>
      <c r="T23" s="263">
        <v>509</v>
      </c>
      <c r="U23" s="263">
        <v>3132</v>
      </c>
      <c r="V23" s="297" t="str">
        <f t="shared" si="34"/>
        <v>ok</v>
      </c>
      <c r="W23" s="262">
        <v>0</v>
      </c>
      <c r="X23" s="263">
        <v>2165</v>
      </c>
      <c r="Y23" s="263">
        <v>152</v>
      </c>
      <c r="Z23" s="263">
        <v>2317</v>
      </c>
      <c r="AA23" s="297" t="str">
        <f t="shared" si="35"/>
        <v>ok</v>
      </c>
      <c r="AB23" s="262"/>
      <c r="AC23" s="263"/>
      <c r="AD23" s="263"/>
      <c r="AE23" s="263">
        <f t="shared" si="26"/>
        <v>0</v>
      </c>
      <c r="AF23" s="297" t="str">
        <f t="shared" si="36"/>
        <v>ok</v>
      </c>
      <c r="AG23" s="262"/>
      <c r="AH23" s="263"/>
      <c r="AI23" s="263"/>
      <c r="AJ23" s="263">
        <f t="shared" si="27"/>
        <v>0</v>
      </c>
      <c r="AK23" s="297" t="str">
        <f t="shared" si="37"/>
        <v>ok</v>
      </c>
      <c r="AL23" s="262"/>
      <c r="AM23" s="263"/>
      <c r="AN23" s="263"/>
      <c r="AO23" s="263">
        <f t="shared" si="28"/>
        <v>0</v>
      </c>
      <c r="AP23" s="297" t="str">
        <f t="shared" si="38"/>
        <v>ok</v>
      </c>
      <c r="AQ23" s="262"/>
      <c r="AR23" s="263"/>
      <c r="AS23" s="263"/>
      <c r="AT23" s="263">
        <f t="shared" si="29"/>
        <v>0</v>
      </c>
      <c r="AU23" s="297" t="str">
        <f t="shared" si="39"/>
        <v>ok</v>
      </c>
      <c r="AV23" s="262"/>
      <c r="AW23" s="263"/>
      <c r="AX23" s="263"/>
      <c r="AY23" s="263">
        <f t="shared" si="30"/>
        <v>0</v>
      </c>
      <c r="AZ23" s="297" t="str">
        <f t="shared" si="40"/>
        <v>ok</v>
      </c>
    </row>
    <row r="24" spans="2:52" s="152" customFormat="1" outlineLevel="1">
      <c r="B24" s="533" t="s">
        <v>104</v>
      </c>
      <c r="C24" s="283"/>
      <c r="D24" s="263"/>
      <c r="E24" s="263"/>
      <c r="F24" s="263">
        <f t="shared" si="24"/>
        <v>0</v>
      </c>
      <c r="G24" s="297" t="str">
        <f t="shared" si="31"/>
        <v>ok</v>
      </c>
      <c r="H24" s="283"/>
      <c r="I24" s="263"/>
      <c r="J24" s="263"/>
      <c r="K24" s="263">
        <f t="shared" si="25"/>
        <v>0</v>
      </c>
      <c r="L24" s="297" t="str">
        <f t="shared" si="32"/>
        <v>ok</v>
      </c>
      <c r="M24" s="262">
        <v>0</v>
      </c>
      <c r="N24" s="263">
        <v>0</v>
      </c>
      <c r="O24" s="263">
        <v>0</v>
      </c>
      <c r="P24" s="263">
        <v>0</v>
      </c>
      <c r="Q24" s="297" t="str">
        <f>IF(P24=Q56,"ok","error")</f>
        <v>ok</v>
      </c>
      <c r="R24" s="262">
        <v>0</v>
      </c>
      <c r="S24" s="263">
        <v>0</v>
      </c>
      <c r="T24" s="263">
        <v>0</v>
      </c>
      <c r="U24" s="263">
        <v>0</v>
      </c>
      <c r="V24" s="297" t="str">
        <f t="shared" si="34"/>
        <v>ok</v>
      </c>
      <c r="W24" s="262">
        <v>29</v>
      </c>
      <c r="X24" s="263">
        <v>27</v>
      </c>
      <c r="Y24" s="263">
        <v>0</v>
      </c>
      <c r="Z24" s="263">
        <v>56</v>
      </c>
      <c r="AA24" s="297" t="str">
        <f t="shared" si="35"/>
        <v>ok</v>
      </c>
      <c r="AB24" s="262"/>
      <c r="AC24" s="263"/>
      <c r="AD24" s="263"/>
      <c r="AE24" s="263">
        <f t="shared" si="26"/>
        <v>0</v>
      </c>
      <c r="AF24" s="297" t="str">
        <f t="shared" si="36"/>
        <v>ok</v>
      </c>
      <c r="AG24" s="262"/>
      <c r="AH24" s="263"/>
      <c r="AI24" s="263"/>
      <c r="AJ24" s="263">
        <f t="shared" si="27"/>
        <v>0</v>
      </c>
      <c r="AK24" s="297" t="str">
        <f t="shared" si="37"/>
        <v>ok</v>
      </c>
      <c r="AL24" s="262"/>
      <c r="AM24" s="263"/>
      <c r="AN24" s="263"/>
      <c r="AO24" s="263">
        <f t="shared" si="28"/>
        <v>0</v>
      </c>
      <c r="AP24" s="297" t="str">
        <f t="shared" si="38"/>
        <v>ok</v>
      </c>
      <c r="AQ24" s="262"/>
      <c r="AR24" s="263"/>
      <c r="AS24" s="263"/>
      <c r="AT24" s="263">
        <f t="shared" si="29"/>
        <v>0</v>
      </c>
      <c r="AU24" s="297" t="str">
        <f t="shared" si="39"/>
        <v>ok</v>
      </c>
      <c r="AV24" s="262"/>
      <c r="AW24" s="263"/>
      <c r="AX24" s="263"/>
      <c r="AY24" s="263">
        <f t="shared" si="30"/>
        <v>0</v>
      </c>
      <c r="AZ24" s="297" t="str">
        <f t="shared" si="40"/>
        <v>ok</v>
      </c>
    </row>
    <row r="25" spans="2:52" s="152" customFormat="1" outlineLevel="1">
      <c r="B25" s="533" t="s">
        <v>108</v>
      </c>
      <c r="C25" s="283"/>
      <c r="D25" s="263"/>
      <c r="E25" s="263"/>
      <c r="F25" s="263">
        <f t="shared" si="24"/>
        <v>0</v>
      </c>
      <c r="G25" s="297" t="str">
        <f t="shared" si="31"/>
        <v>ok</v>
      </c>
      <c r="H25" s="283"/>
      <c r="I25" s="263"/>
      <c r="J25" s="263"/>
      <c r="K25" s="263">
        <f t="shared" si="25"/>
        <v>0</v>
      </c>
      <c r="L25" s="297" t="str">
        <f t="shared" si="32"/>
        <v>ok</v>
      </c>
      <c r="M25" s="262">
        <v>0</v>
      </c>
      <c r="N25" s="263">
        <v>279</v>
      </c>
      <c r="O25" s="263">
        <v>77</v>
      </c>
      <c r="P25" s="263">
        <v>356</v>
      </c>
      <c r="Q25" s="297" t="str">
        <f>IF(P25=Q57,"ok","error")</f>
        <v>ok</v>
      </c>
      <c r="R25" s="262">
        <v>0</v>
      </c>
      <c r="S25" s="263">
        <v>1313</v>
      </c>
      <c r="T25" s="263">
        <v>168</v>
      </c>
      <c r="U25" s="263">
        <v>1481</v>
      </c>
      <c r="V25" s="297" t="str">
        <f t="shared" si="34"/>
        <v>ok</v>
      </c>
      <c r="W25" s="262">
        <v>0</v>
      </c>
      <c r="X25" s="263">
        <v>2778</v>
      </c>
      <c r="Y25" s="263">
        <v>957</v>
      </c>
      <c r="Z25" s="263">
        <v>3735</v>
      </c>
      <c r="AA25" s="297" t="str">
        <f t="shared" si="35"/>
        <v>ok</v>
      </c>
      <c r="AB25" s="262"/>
      <c r="AC25" s="263"/>
      <c r="AD25" s="263"/>
      <c r="AE25" s="263">
        <f t="shared" si="26"/>
        <v>0</v>
      </c>
      <c r="AF25" s="297" t="str">
        <f t="shared" si="36"/>
        <v>ok</v>
      </c>
      <c r="AG25" s="262"/>
      <c r="AH25" s="263"/>
      <c r="AI25" s="263"/>
      <c r="AJ25" s="263">
        <f t="shared" si="27"/>
        <v>0</v>
      </c>
      <c r="AK25" s="297" t="str">
        <f t="shared" si="37"/>
        <v>ok</v>
      </c>
      <c r="AL25" s="262"/>
      <c r="AM25" s="263"/>
      <c r="AN25" s="263"/>
      <c r="AO25" s="263">
        <f t="shared" si="28"/>
        <v>0</v>
      </c>
      <c r="AP25" s="297" t="str">
        <f t="shared" si="38"/>
        <v>ok</v>
      </c>
      <c r="AQ25" s="262"/>
      <c r="AR25" s="263"/>
      <c r="AS25" s="263"/>
      <c r="AT25" s="263">
        <f t="shared" si="29"/>
        <v>0</v>
      </c>
      <c r="AU25" s="297" t="str">
        <f t="shared" si="39"/>
        <v>ok</v>
      </c>
      <c r="AV25" s="262"/>
      <c r="AW25" s="263"/>
      <c r="AX25" s="263"/>
      <c r="AY25" s="263">
        <f t="shared" si="30"/>
        <v>0</v>
      </c>
      <c r="AZ25" s="297" t="str">
        <f t="shared" si="40"/>
        <v>ok</v>
      </c>
    </row>
    <row r="26" spans="2:52" s="152" customFormat="1" ht="13.5" outlineLevel="1" thickBot="1">
      <c r="B26" s="534" t="s">
        <v>109</v>
      </c>
      <c r="C26" s="330"/>
      <c r="D26" s="328"/>
      <c r="E26" s="328"/>
      <c r="F26" s="328">
        <f t="shared" si="24"/>
        <v>0</v>
      </c>
      <c r="G26" s="329" t="str">
        <f t="shared" si="31"/>
        <v>ok</v>
      </c>
      <c r="H26" s="330"/>
      <c r="I26" s="328"/>
      <c r="J26" s="328"/>
      <c r="K26" s="328">
        <f t="shared" si="25"/>
        <v>0</v>
      </c>
      <c r="L26" s="329" t="str">
        <f t="shared" si="32"/>
        <v>ok</v>
      </c>
      <c r="M26" s="327">
        <v>306</v>
      </c>
      <c r="N26" s="328">
        <v>0</v>
      </c>
      <c r="O26" s="328">
        <v>0</v>
      </c>
      <c r="P26" s="328">
        <v>306</v>
      </c>
      <c r="Q26" s="297" t="str">
        <f>IF(P26=Q58,"ok","error")</f>
        <v>ok</v>
      </c>
      <c r="R26" s="327">
        <v>0</v>
      </c>
      <c r="S26" s="328">
        <v>0</v>
      </c>
      <c r="T26" s="328">
        <v>1</v>
      </c>
      <c r="U26" s="328">
        <v>1</v>
      </c>
      <c r="V26" s="329" t="str">
        <f t="shared" si="34"/>
        <v>ok</v>
      </c>
      <c r="W26" s="327">
        <v>0</v>
      </c>
      <c r="X26" s="328">
        <v>0</v>
      </c>
      <c r="Y26" s="328">
        <v>8</v>
      </c>
      <c r="Z26" s="328">
        <v>8</v>
      </c>
      <c r="AA26" s="329" t="str">
        <f t="shared" si="35"/>
        <v>ok</v>
      </c>
      <c r="AB26" s="327"/>
      <c r="AC26" s="328"/>
      <c r="AD26" s="328"/>
      <c r="AE26" s="328">
        <f t="shared" si="26"/>
        <v>0</v>
      </c>
      <c r="AF26" s="329" t="str">
        <f t="shared" si="36"/>
        <v>ok</v>
      </c>
      <c r="AG26" s="327"/>
      <c r="AH26" s="328"/>
      <c r="AI26" s="328"/>
      <c r="AJ26" s="328">
        <f t="shared" si="27"/>
        <v>0</v>
      </c>
      <c r="AK26" s="329" t="str">
        <f t="shared" si="37"/>
        <v>ok</v>
      </c>
      <c r="AL26" s="327"/>
      <c r="AM26" s="328"/>
      <c r="AN26" s="328"/>
      <c r="AO26" s="328">
        <f t="shared" si="28"/>
        <v>0</v>
      </c>
      <c r="AP26" s="329" t="str">
        <f t="shared" si="38"/>
        <v>ok</v>
      </c>
      <c r="AQ26" s="327"/>
      <c r="AR26" s="328"/>
      <c r="AS26" s="328"/>
      <c r="AT26" s="328">
        <f t="shared" si="29"/>
        <v>0</v>
      </c>
      <c r="AU26" s="329" t="str">
        <f t="shared" si="39"/>
        <v>ok</v>
      </c>
      <c r="AV26" s="327"/>
      <c r="AW26" s="328"/>
      <c r="AX26" s="328"/>
      <c r="AY26" s="328">
        <f t="shared" si="30"/>
        <v>0</v>
      </c>
      <c r="AZ26" s="329" t="str">
        <f t="shared" si="40"/>
        <v>ok</v>
      </c>
    </row>
    <row r="27" spans="2:52" s="152" customFormat="1" outlineLevel="1">
      <c r="B27" s="535" t="s">
        <v>110</v>
      </c>
      <c r="C27" s="334">
        <f>SUM(C8:C21)</f>
        <v>0</v>
      </c>
      <c r="D27" s="332">
        <f t="shared" ref="D27:E27" si="41">SUM(D8:D21)</f>
        <v>0</v>
      </c>
      <c r="E27" s="332">
        <f t="shared" si="41"/>
        <v>0</v>
      </c>
      <c r="F27" s="332">
        <f>SUM(F8:F21)</f>
        <v>0</v>
      </c>
      <c r="G27" s="333" t="str">
        <f t="shared" si="31"/>
        <v>ok</v>
      </c>
      <c r="H27" s="334">
        <f>SUM(H8:H21)</f>
        <v>0</v>
      </c>
      <c r="I27" s="332">
        <f t="shared" ref="I27:K27" si="42">SUM(I8:I21)</f>
        <v>0</v>
      </c>
      <c r="J27" s="332">
        <f t="shared" si="42"/>
        <v>0</v>
      </c>
      <c r="K27" s="332">
        <f t="shared" si="42"/>
        <v>0</v>
      </c>
      <c r="L27" s="333" t="str">
        <f t="shared" si="32"/>
        <v>ok</v>
      </c>
      <c r="M27" s="331">
        <f>SUM(M8:M21)</f>
        <v>294161</v>
      </c>
      <c r="N27" s="332">
        <f t="shared" ref="N27:P27" si="43">SUM(N8:N21)</f>
        <v>19727</v>
      </c>
      <c r="O27" s="332">
        <f t="shared" si="43"/>
        <v>14108</v>
      </c>
      <c r="P27" s="332">
        <f t="shared" si="43"/>
        <v>327996</v>
      </c>
      <c r="Q27" s="333" t="str">
        <f t="shared" si="33"/>
        <v>ok</v>
      </c>
      <c r="R27" s="331">
        <f>SUM(R8:R21)</f>
        <v>222693</v>
      </c>
      <c r="S27" s="332">
        <f t="shared" ref="S27:U27" si="44">SUM(S8:S21)</f>
        <v>11143</v>
      </c>
      <c r="T27" s="332">
        <f t="shared" si="44"/>
        <v>12911</v>
      </c>
      <c r="U27" s="332">
        <f t="shared" si="44"/>
        <v>246747</v>
      </c>
      <c r="V27" s="333" t="str">
        <f t="shared" si="34"/>
        <v>ok</v>
      </c>
      <c r="W27" s="331">
        <f>SUM(W8:W21)</f>
        <v>159877</v>
      </c>
      <c r="X27" s="332">
        <f t="shared" ref="X27:Y27" si="45">SUM(X8:X21)</f>
        <v>4955</v>
      </c>
      <c r="Y27" s="332">
        <f t="shared" si="45"/>
        <v>6025</v>
      </c>
      <c r="Z27" s="332">
        <f>SUM(Z8:Z21)</f>
        <v>170857</v>
      </c>
      <c r="AA27" s="333" t="str">
        <f t="shared" si="35"/>
        <v>ok</v>
      </c>
      <c r="AB27" s="331">
        <f>SUM(AB8:AB21)</f>
        <v>0</v>
      </c>
      <c r="AC27" s="332">
        <f t="shared" ref="AC27:AE27" si="46">SUM(AC8:AC21)</f>
        <v>0</v>
      </c>
      <c r="AD27" s="332">
        <f t="shared" si="46"/>
        <v>0</v>
      </c>
      <c r="AE27" s="332">
        <f t="shared" si="46"/>
        <v>0</v>
      </c>
      <c r="AF27" s="333" t="str">
        <f t="shared" si="36"/>
        <v>ok</v>
      </c>
      <c r="AG27" s="331">
        <f>SUM(AG8:AG21)</f>
        <v>0</v>
      </c>
      <c r="AH27" s="332">
        <f t="shared" ref="AH27:AJ27" si="47">SUM(AH8:AH21)</f>
        <v>0</v>
      </c>
      <c r="AI27" s="332">
        <f t="shared" si="47"/>
        <v>0</v>
      </c>
      <c r="AJ27" s="332">
        <f t="shared" si="47"/>
        <v>0</v>
      </c>
      <c r="AK27" s="333" t="str">
        <f t="shared" si="37"/>
        <v>ok</v>
      </c>
      <c r="AL27" s="331">
        <f>SUM(AL8:AL21)</f>
        <v>0</v>
      </c>
      <c r="AM27" s="332">
        <f t="shared" ref="AM27:AO27" si="48">SUM(AM8:AM21)</f>
        <v>0</v>
      </c>
      <c r="AN27" s="332">
        <f t="shared" si="48"/>
        <v>0</v>
      </c>
      <c r="AO27" s="332">
        <f t="shared" si="48"/>
        <v>0</v>
      </c>
      <c r="AP27" s="333" t="str">
        <f t="shared" si="38"/>
        <v>ok</v>
      </c>
      <c r="AQ27" s="331">
        <f>SUM(AQ8:AQ21)</f>
        <v>0</v>
      </c>
      <c r="AR27" s="332">
        <f t="shared" ref="AR27:AT27" si="49">SUM(AR8:AR21)</f>
        <v>0</v>
      </c>
      <c r="AS27" s="332">
        <f t="shared" si="49"/>
        <v>0</v>
      </c>
      <c r="AT27" s="332">
        <f t="shared" si="49"/>
        <v>0</v>
      </c>
      <c r="AU27" s="333" t="str">
        <f t="shared" si="39"/>
        <v>ok</v>
      </c>
      <c r="AV27" s="331">
        <f>SUM(AV8:AV21)</f>
        <v>0</v>
      </c>
      <c r="AW27" s="332">
        <f t="shared" ref="AW27:AY27" si="50">SUM(AW8:AW21)</f>
        <v>0</v>
      </c>
      <c r="AX27" s="332">
        <f t="shared" si="50"/>
        <v>0</v>
      </c>
      <c r="AY27" s="332">
        <f t="shared" si="50"/>
        <v>0</v>
      </c>
      <c r="AZ27" s="333" t="str">
        <f t="shared" si="40"/>
        <v>ok</v>
      </c>
    </row>
    <row r="28" spans="2:52" outlineLevel="1">
      <c r="B28" s="533" t="s">
        <v>111</v>
      </c>
      <c r="C28" s="283">
        <f>SUM(C22:C26)</f>
        <v>0</v>
      </c>
      <c r="D28" s="263">
        <f t="shared" ref="D28:F28" si="51">SUM(D22:D26)</f>
        <v>0</v>
      </c>
      <c r="E28" s="263">
        <f t="shared" si="51"/>
        <v>0</v>
      </c>
      <c r="F28" s="263">
        <f t="shared" si="51"/>
        <v>0</v>
      </c>
      <c r="G28" s="297" t="str">
        <f t="shared" si="31"/>
        <v>ok</v>
      </c>
      <c r="H28" s="283">
        <f>SUM(H22:H26)</f>
        <v>0</v>
      </c>
      <c r="I28" s="263">
        <f t="shared" ref="I28:K28" si="52">SUM(I22:I26)</f>
        <v>0</v>
      </c>
      <c r="J28" s="263">
        <f t="shared" si="52"/>
        <v>0</v>
      </c>
      <c r="K28" s="263">
        <f t="shared" si="52"/>
        <v>0</v>
      </c>
      <c r="L28" s="297" t="str">
        <f t="shared" si="32"/>
        <v>ok</v>
      </c>
      <c r="M28" s="262">
        <f>SUM(M22:M26)</f>
        <v>308</v>
      </c>
      <c r="N28" s="263">
        <f t="shared" ref="N28:P28" si="53">SUM(N22:N26)</f>
        <v>3961</v>
      </c>
      <c r="O28" s="263">
        <f t="shared" si="53"/>
        <v>5979</v>
      </c>
      <c r="P28" s="263">
        <f t="shared" si="53"/>
        <v>10248</v>
      </c>
      <c r="Q28" s="297" t="str">
        <f t="shared" si="33"/>
        <v>ok</v>
      </c>
      <c r="R28" s="262">
        <f>SUM(R22:R26)</f>
        <v>0</v>
      </c>
      <c r="S28" s="263">
        <f t="shared" ref="S28:U28" si="54">SUM(S22:S26)</f>
        <v>12133</v>
      </c>
      <c r="T28" s="263">
        <f t="shared" si="54"/>
        <v>678</v>
      </c>
      <c r="U28" s="263">
        <f t="shared" si="54"/>
        <v>12811</v>
      </c>
      <c r="V28" s="297" t="str">
        <f t="shared" si="34"/>
        <v>ok</v>
      </c>
      <c r="W28" s="262">
        <f>SUM(W22:W26)</f>
        <v>29</v>
      </c>
      <c r="X28" s="263">
        <f t="shared" ref="X28:Y28" si="55">SUM(X22:X26)</f>
        <v>15284</v>
      </c>
      <c r="Y28" s="263">
        <f t="shared" si="55"/>
        <v>1117</v>
      </c>
      <c r="Z28" s="263">
        <f>SUM(Z22:Z26)</f>
        <v>16430</v>
      </c>
      <c r="AA28" s="297" t="str">
        <f t="shared" si="35"/>
        <v>ok</v>
      </c>
      <c r="AB28" s="262">
        <f>SUM(AB22:AB26)</f>
        <v>0</v>
      </c>
      <c r="AC28" s="263">
        <f t="shared" ref="AC28:AE28" si="56">SUM(AC22:AC26)</f>
        <v>0</v>
      </c>
      <c r="AD28" s="263">
        <f t="shared" si="56"/>
        <v>0</v>
      </c>
      <c r="AE28" s="263">
        <f t="shared" si="56"/>
        <v>0</v>
      </c>
      <c r="AF28" s="297" t="str">
        <f t="shared" si="36"/>
        <v>ok</v>
      </c>
      <c r="AG28" s="262">
        <f>SUM(AG22:AG26)</f>
        <v>0</v>
      </c>
      <c r="AH28" s="263">
        <f t="shared" ref="AH28:AJ28" si="57">SUM(AH22:AH26)</f>
        <v>0</v>
      </c>
      <c r="AI28" s="263">
        <f t="shared" si="57"/>
        <v>0</v>
      </c>
      <c r="AJ28" s="263">
        <f t="shared" si="57"/>
        <v>0</v>
      </c>
      <c r="AK28" s="297" t="str">
        <f t="shared" si="37"/>
        <v>ok</v>
      </c>
      <c r="AL28" s="262">
        <f>SUM(AL22:AL26)</f>
        <v>0</v>
      </c>
      <c r="AM28" s="263">
        <f t="shared" ref="AM28:AO28" si="58">SUM(AM22:AM26)</f>
        <v>0</v>
      </c>
      <c r="AN28" s="263">
        <f t="shared" si="58"/>
        <v>0</v>
      </c>
      <c r="AO28" s="263">
        <f t="shared" si="58"/>
        <v>0</v>
      </c>
      <c r="AP28" s="297" t="str">
        <f t="shared" si="38"/>
        <v>ok</v>
      </c>
      <c r="AQ28" s="262">
        <f>SUM(AQ22:AQ26)</f>
        <v>0</v>
      </c>
      <c r="AR28" s="263">
        <f t="shared" ref="AR28:AT28" si="59">SUM(AR22:AR26)</f>
        <v>0</v>
      </c>
      <c r="AS28" s="263">
        <f t="shared" si="59"/>
        <v>0</v>
      </c>
      <c r="AT28" s="263">
        <f t="shared" si="59"/>
        <v>0</v>
      </c>
      <c r="AU28" s="297" t="str">
        <f t="shared" si="39"/>
        <v>ok</v>
      </c>
      <c r="AV28" s="262">
        <f>SUM(AV22:AV26)</f>
        <v>0</v>
      </c>
      <c r="AW28" s="263">
        <f t="shared" ref="AW28:AY28" si="60">SUM(AW22:AW26)</f>
        <v>0</v>
      </c>
      <c r="AX28" s="263">
        <f t="shared" si="60"/>
        <v>0</v>
      </c>
      <c r="AY28" s="263">
        <f t="shared" si="60"/>
        <v>0</v>
      </c>
      <c r="AZ28" s="297" t="str">
        <f t="shared" si="40"/>
        <v>ok</v>
      </c>
    </row>
    <row r="29" spans="2:52" outlineLevel="1">
      <c r="B29" s="195" t="s">
        <v>105</v>
      </c>
      <c r="C29" s="282"/>
      <c r="D29" s="174"/>
      <c r="E29" s="174"/>
      <c r="F29" s="174"/>
      <c r="G29" s="298"/>
      <c r="H29" s="282"/>
      <c r="I29" s="174"/>
      <c r="J29" s="174"/>
      <c r="K29" s="174"/>
      <c r="L29" s="298"/>
      <c r="M29" s="631">
        <v>1337</v>
      </c>
      <c r="N29" s="632">
        <v>0</v>
      </c>
      <c r="O29" s="632">
        <v>0</v>
      </c>
      <c r="P29" s="632">
        <v>1337</v>
      </c>
      <c r="Q29" s="633"/>
      <c r="R29" s="631">
        <v>1774</v>
      </c>
      <c r="S29" s="632">
        <v>0</v>
      </c>
      <c r="T29" s="632">
        <v>0</v>
      </c>
      <c r="U29" s="632">
        <v>1774</v>
      </c>
      <c r="V29" s="633"/>
      <c r="W29" s="631">
        <v>1321</v>
      </c>
      <c r="X29" s="632">
        <v>0</v>
      </c>
      <c r="Y29" s="632">
        <v>0</v>
      </c>
      <c r="Z29" s="632">
        <v>1321</v>
      </c>
      <c r="AA29" s="633"/>
      <c r="AB29" s="261"/>
      <c r="AC29" s="174"/>
      <c r="AD29" s="174"/>
      <c r="AE29" s="174"/>
      <c r="AF29" s="298"/>
      <c r="AG29" s="261"/>
      <c r="AH29" s="174"/>
      <c r="AI29" s="174"/>
      <c r="AJ29" s="174"/>
      <c r="AK29" s="298"/>
      <c r="AL29" s="261"/>
      <c r="AM29" s="174"/>
      <c r="AN29" s="174"/>
      <c r="AO29" s="174"/>
      <c r="AP29" s="298"/>
      <c r="AQ29" s="261"/>
      <c r="AR29" s="174"/>
      <c r="AS29" s="174"/>
      <c r="AT29" s="174"/>
      <c r="AU29" s="298"/>
      <c r="AV29" s="261"/>
      <c r="AW29" s="174"/>
      <c r="AX29" s="174"/>
      <c r="AY29" s="174"/>
      <c r="AZ29" s="298"/>
    </row>
    <row r="30" spans="2:52" ht="13.5" outlineLevel="1" thickBot="1">
      <c r="B30" s="197" t="s">
        <v>78</v>
      </c>
      <c r="C30" s="284">
        <f>C27+C28+C29</f>
        <v>0</v>
      </c>
      <c r="D30" s="265">
        <f>D27+D28+D29</f>
        <v>0</v>
      </c>
      <c r="E30" s="265">
        <f>E27+E28+E29</f>
        <v>0</v>
      </c>
      <c r="F30" s="265">
        <f>F27+F28+F29</f>
        <v>0</v>
      </c>
      <c r="G30" s="299" t="str">
        <f>IF(F30=G62,"ok","error")</f>
        <v>ok</v>
      </c>
      <c r="H30" s="284">
        <f>H27+H28+H29</f>
        <v>0</v>
      </c>
      <c r="I30" s="265">
        <f>I27+I28+I29</f>
        <v>0</v>
      </c>
      <c r="J30" s="265">
        <f>J27+J28+J29</f>
        <v>0</v>
      </c>
      <c r="K30" s="265">
        <f>K27+K28+K29</f>
        <v>0</v>
      </c>
      <c r="L30" s="299" t="str">
        <f>IF(K30=L62,"ok","error")</f>
        <v>ok</v>
      </c>
      <c r="M30" s="264">
        <f>M27+M28+M29</f>
        <v>295806</v>
      </c>
      <c r="N30" s="265">
        <f>N27+N28+N29</f>
        <v>23688</v>
      </c>
      <c r="O30" s="265">
        <f>O27+O28+O29</f>
        <v>20087</v>
      </c>
      <c r="P30" s="265">
        <f>P27+P28+P29</f>
        <v>339581</v>
      </c>
      <c r="Q30" s="299" t="str">
        <f>IF(P30=Q62,"ok","error")</f>
        <v>ok</v>
      </c>
      <c r="R30" s="264">
        <f>R27+R28+R29</f>
        <v>224467</v>
      </c>
      <c r="S30" s="265">
        <f>S27+S28+S29</f>
        <v>23276</v>
      </c>
      <c r="T30" s="265">
        <f>T27+T28+T29</f>
        <v>13589</v>
      </c>
      <c r="U30" s="265">
        <f>U27+U28+U29</f>
        <v>261332</v>
      </c>
      <c r="V30" s="299" t="str">
        <f>IF(U30=V62,"ok","error")</f>
        <v>ok</v>
      </c>
      <c r="W30" s="264">
        <f>W27+W28+W29</f>
        <v>161227</v>
      </c>
      <c r="X30" s="265">
        <f>X27+X28+X29</f>
        <v>20239</v>
      </c>
      <c r="Y30" s="265">
        <f>Y27+Y28+Y29</f>
        <v>7142</v>
      </c>
      <c r="Z30" s="265">
        <f>Z27+Z28+Z29</f>
        <v>188608</v>
      </c>
      <c r="AA30" s="299" t="str">
        <f>IF(Z30=AA62,"ok","error")</f>
        <v>ok</v>
      </c>
      <c r="AB30" s="264">
        <f>AB27+AB28+AB29</f>
        <v>0</v>
      </c>
      <c r="AC30" s="265">
        <f>AC27+AC28+AC29</f>
        <v>0</v>
      </c>
      <c r="AD30" s="265">
        <f>AD27+AD28+AD29</f>
        <v>0</v>
      </c>
      <c r="AE30" s="265">
        <f>AE27+AE28+AE29</f>
        <v>0</v>
      </c>
      <c r="AF30" s="299" t="str">
        <f>IF(AE30=AF62,"ok","error")</f>
        <v>ok</v>
      </c>
      <c r="AG30" s="264">
        <f>AG27+AG28+AG29</f>
        <v>0</v>
      </c>
      <c r="AH30" s="265">
        <f>AH27+AH28+AH29</f>
        <v>0</v>
      </c>
      <c r="AI30" s="265">
        <f>AI27+AI28+AI29</f>
        <v>0</v>
      </c>
      <c r="AJ30" s="265">
        <f>AJ27+AJ28+AJ29</f>
        <v>0</v>
      </c>
      <c r="AK30" s="299" t="str">
        <f>IF(AJ30=AK62,"ok","error")</f>
        <v>ok</v>
      </c>
      <c r="AL30" s="264">
        <f>AL27+AL28+AL29</f>
        <v>0</v>
      </c>
      <c r="AM30" s="265">
        <f>AM27+AM28+AM29</f>
        <v>0</v>
      </c>
      <c r="AN30" s="265">
        <f>AN27+AN28+AN29</f>
        <v>0</v>
      </c>
      <c r="AO30" s="265">
        <f>AO27+AO28+AO29</f>
        <v>0</v>
      </c>
      <c r="AP30" s="299" t="str">
        <f>IF(AO30=AP62,"ok","error")</f>
        <v>ok</v>
      </c>
      <c r="AQ30" s="264">
        <f>AQ27+AQ28+AQ29</f>
        <v>0</v>
      </c>
      <c r="AR30" s="265">
        <f>AR27+AR28+AR29</f>
        <v>0</v>
      </c>
      <c r="AS30" s="265">
        <f>AS27+AS28+AS29</f>
        <v>0</v>
      </c>
      <c r="AT30" s="265">
        <f>AT27+AT28+AT29</f>
        <v>0</v>
      </c>
      <c r="AU30" s="299" t="str">
        <f>IF(AT30=AU62,"ok","error")</f>
        <v>ok</v>
      </c>
      <c r="AV30" s="264">
        <f>AV27+AV28+AV29</f>
        <v>0</v>
      </c>
      <c r="AW30" s="265">
        <f>AW27+AW28+AW29</f>
        <v>0</v>
      </c>
      <c r="AX30" s="265">
        <f>AX27+AX28+AX29</f>
        <v>0</v>
      </c>
      <c r="AY30" s="265">
        <f>AY27+AY28+AY29</f>
        <v>0</v>
      </c>
      <c r="AZ30" s="299" t="str">
        <f>IF(AY30=AZ62,"ok","error")</f>
        <v>ok</v>
      </c>
    </row>
    <row r="31" spans="2:52" ht="25.5" outlineLevel="1">
      <c r="B31" s="278" t="s">
        <v>116</v>
      </c>
      <c r="C31" s="253" t="e">
        <f>C27/F30</f>
        <v>#DIV/0!</v>
      </c>
      <c r="D31" s="254" t="e">
        <f>D27/F30</f>
        <v>#DIV/0!</v>
      </c>
      <c r="E31" s="254" t="e">
        <f>E27/F30</f>
        <v>#DIV/0!</v>
      </c>
      <c r="F31" s="248"/>
      <c r="G31" s="300"/>
      <c r="H31" s="253" t="e">
        <f>H27/K30</f>
        <v>#DIV/0!</v>
      </c>
      <c r="I31" s="254" t="e">
        <f>I27/K30</f>
        <v>#DIV/0!</v>
      </c>
      <c r="J31" s="254" t="e">
        <f>J27/K30</f>
        <v>#DIV/0!</v>
      </c>
      <c r="K31" s="248"/>
      <c r="L31" s="300"/>
      <c r="M31" s="253">
        <f>M27/P30</f>
        <v>0.86624693372126238</v>
      </c>
      <c r="N31" s="254">
        <f>N27/P30</f>
        <v>5.809217830208404E-2</v>
      </c>
      <c r="O31" s="254">
        <f>O27/P30</f>
        <v>4.1545316139595563E-2</v>
      </c>
      <c r="P31" s="248"/>
      <c r="Q31" s="300"/>
      <c r="R31" s="253">
        <f>R27/U30</f>
        <v>0.85214592931596589</v>
      </c>
      <c r="S31" s="254">
        <f>S27/U30</f>
        <v>4.2639248159429384E-2</v>
      </c>
      <c r="T31" s="254">
        <f>T27/U30</f>
        <v>4.9404588798922441E-2</v>
      </c>
      <c r="U31" s="248"/>
      <c r="V31" s="300"/>
      <c r="W31" s="253">
        <f>W27/Z30</f>
        <v>0.84766817950458095</v>
      </c>
      <c r="X31" s="254">
        <f>X27/Z30</f>
        <v>2.6271420088225313E-2</v>
      </c>
      <c r="Y31" s="254">
        <f>Y27/Z30</f>
        <v>3.1944562266711912E-2</v>
      </c>
      <c r="Z31" s="248"/>
      <c r="AA31" s="300"/>
      <c r="AB31" s="253" t="e">
        <f>AB27/AE30</f>
        <v>#DIV/0!</v>
      </c>
      <c r="AC31" s="254" t="e">
        <f>AC27/AE30</f>
        <v>#DIV/0!</v>
      </c>
      <c r="AD31" s="254" t="e">
        <f>AD27/AE30</f>
        <v>#DIV/0!</v>
      </c>
      <c r="AE31" s="248"/>
      <c r="AF31" s="300"/>
      <c r="AG31" s="253" t="e">
        <f>AG27/AJ30</f>
        <v>#DIV/0!</v>
      </c>
      <c r="AH31" s="254" t="e">
        <f>AH27/AJ30</f>
        <v>#DIV/0!</v>
      </c>
      <c r="AI31" s="254" t="e">
        <f>AI27/AJ30</f>
        <v>#DIV/0!</v>
      </c>
      <c r="AJ31" s="248"/>
      <c r="AK31" s="300"/>
      <c r="AL31" s="253" t="e">
        <f>AL27/AO30</f>
        <v>#DIV/0!</v>
      </c>
      <c r="AM31" s="254" t="e">
        <f>AM27/AO30</f>
        <v>#DIV/0!</v>
      </c>
      <c r="AN31" s="254" t="e">
        <f>AN27/AO30</f>
        <v>#DIV/0!</v>
      </c>
      <c r="AO31" s="248"/>
      <c r="AP31" s="300"/>
      <c r="AQ31" s="253" t="e">
        <f>AQ27/AT30</f>
        <v>#DIV/0!</v>
      </c>
      <c r="AR31" s="254" t="e">
        <f>AR27/AT30</f>
        <v>#DIV/0!</v>
      </c>
      <c r="AS31" s="254" t="e">
        <f>AS27/AT30</f>
        <v>#DIV/0!</v>
      </c>
      <c r="AT31" s="248"/>
      <c r="AU31" s="300"/>
      <c r="AV31" s="253" t="e">
        <f>AV27/AY30</f>
        <v>#DIV/0!</v>
      </c>
      <c r="AW31" s="254" t="e">
        <f>AW27/AY30</f>
        <v>#DIV/0!</v>
      </c>
      <c r="AX31" s="254" t="e">
        <f>AX27/AY30</f>
        <v>#DIV/0!</v>
      </c>
      <c r="AY31" s="248"/>
      <c r="AZ31" s="300"/>
    </row>
    <row r="32" spans="2:52" ht="25.5" outlineLevel="1">
      <c r="B32" s="279" t="s">
        <v>117</v>
      </c>
      <c r="C32" s="255" t="e">
        <f>C28/F30</f>
        <v>#DIV/0!</v>
      </c>
      <c r="D32" s="62" t="e">
        <f>D28/F30</f>
        <v>#DIV/0!</v>
      </c>
      <c r="E32" s="62" t="e">
        <f>E28/F30</f>
        <v>#DIV/0!</v>
      </c>
      <c r="F32" s="52"/>
      <c r="G32" s="301"/>
      <c r="H32" s="255" t="e">
        <f>H28/K30</f>
        <v>#DIV/0!</v>
      </c>
      <c r="I32" s="62" t="e">
        <f>I28/K30</f>
        <v>#DIV/0!</v>
      </c>
      <c r="J32" s="62" t="e">
        <f>J28/K30</f>
        <v>#DIV/0!</v>
      </c>
      <c r="K32" s="52"/>
      <c r="L32" s="301"/>
      <c r="M32" s="255">
        <f>M28/P30</f>
        <v>9.0700009717858184E-4</v>
      </c>
      <c r="N32" s="62">
        <f>N28/P30</f>
        <v>1.16643746263778E-2</v>
      </c>
      <c r="O32" s="62">
        <f>O28/P30</f>
        <v>1.7606992146203704E-2</v>
      </c>
      <c r="P32" s="52"/>
      <c r="Q32" s="301"/>
      <c r="R32" s="255">
        <f>R28/U30</f>
        <v>0</v>
      </c>
      <c r="S32" s="62">
        <f>S28/U30</f>
        <v>4.6427532793534662E-2</v>
      </c>
      <c r="T32" s="62">
        <f>T28/U30</f>
        <v>2.5944009918417951E-3</v>
      </c>
      <c r="U32" s="52"/>
      <c r="V32" s="301"/>
      <c r="W32" s="255">
        <f>W28/Z30</f>
        <v>1.5375805904309467E-4</v>
      </c>
      <c r="X32" s="62">
        <f>X28/Z30</f>
        <v>8.103579911774686E-2</v>
      </c>
      <c r="Y32" s="62">
        <f>Y28/Z30</f>
        <v>5.9223362741771292E-3</v>
      </c>
      <c r="Z32" s="52"/>
      <c r="AA32" s="301"/>
      <c r="AB32" s="255" t="e">
        <f>AB28/AE30</f>
        <v>#DIV/0!</v>
      </c>
      <c r="AC32" s="62" t="e">
        <f>AC28/AE30</f>
        <v>#DIV/0!</v>
      </c>
      <c r="AD32" s="62" t="e">
        <f>AD28/AE30</f>
        <v>#DIV/0!</v>
      </c>
      <c r="AE32" s="52"/>
      <c r="AF32" s="301"/>
      <c r="AG32" s="255" t="e">
        <f>AG28/AJ30</f>
        <v>#DIV/0!</v>
      </c>
      <c r="AH32" s="62" t="e">
        <f>AH28/AJ30</f>
        <v>#DIV/0!</v>
      </c>
      <c r="AI32" s="62" t="e">
        <f>AI28/AJ30</f>
        <v>#DIV/0!</v>
      </c>
      <c r="AJ32" s="52"/>
      <c r="AK32" s="301"/>
      <c r="AL32" s="255" t="e">
        <f>AL28/AO30</f>
        <v>#DIV/0!</v>
      </c>
      <c r="AM32" s="62" t="e">
        <f>AM28/AO30</f>
        <v>#DIV/0!</v>
      </c>
      <c r="AN32" s="62" t="e">
        <f>AN28/AO30</f>
        <v>#DIV/0!</v>
      </c>
      <c r="AO32" s="52"/>
      <c r="AP32" s="301"/>
      <c r="AQ32" s="255" t="e">
        <f>AQ28/AT30</f>
        <v>#DIV/0!</v>
      </c>
      <c r="AR32" s="62" t="e">
        <f>AR28/AT30</f>
        <v>#DIV/0!</v>
      </c>
      <c r="AS32" s="62" t="e">
        <f>AS28/AT30</f>
        <v>#DIV/0!</v>
      </c>
      <c r="AT32" s="52"/>
      <c r="AU32" s="301"/>
      <c r="AV32" s="255" t="e">
        <f>AV28/AY30</f>
        <v>#DIV/0!</v>
      </c>
      <c r="AW32" s="62" t="e">
        <f>AW28/AY30</f>
        <v>#DIV/0!</v>
      </c>
      <c r="AX32" s="62" t="e">
        <f>AX28/AY30</f>
        <v>#DIV/0!</v>
      </c>
      <c r="AY32" s="52"/>
      <c r="AZ32" s="301"/>
    </row>
    <row r="33" spans="1:52" ht="25.5" outlineLevel="1">
      <c r="B33" s="279" t="s">
        <v>118</v>
      </c>
      <c r="C33" s="255" t="e">
        <f>C29/F30</f>
        <v>#DIV/0!</v>
      </c>
      <c r="D33" s="62" t="e">
        <f>D29/F30</f>
        <v>#DIV/0!</v>
      </c>
      <c r="E33" s="62" t="e">
        <f>E29/F30</f>
        <v>#DIV/0!</v>
      </c>
      <c r="F33" s="252" t="e">
        <f>SUM(C31:E33)</f>
        <v>#DIV/0!</v>
      </c>
      <c r="G33" s="301" t="e">
        <f>IF(F33=1,"ok","error")</f>
        <v>#DIV/0!</v>
      </c>
      <c r="H33" s="255" t="e">
        <f>H29/K30</f>
        <v>#DIV/0!</v>
      </c>
      <c r="I33" s="62" t="e">
        <f>I29/K30</f>
        <v>#DIV/0!</v>
      </c>
      <c r="J33" s="62" t="e">
        <f>J29/K30</f>
        <v>#DIV/0!</v>
      </c>
      <c r="K33" s="252" t="e">
        <f>SUM(H31:J33)</f>
        <v>#DIV/0!</v>
      </c>
      <c r="L33" s="301" t="e">
        <f>IF(K33=1,"ok","error")</f>
        <v>#DIV/0!</v>
      </c>
      <c r="M33" s="255">
        <f>M29/P30</f>
        <v>3.937204967297935E-3</v>
      </c>
      <c r="N33" s="62">
        <f>N29/P30</f>
        <v>0</v>
      </c>
      <c r="O33" s="62">
        <f>O29/P30</f>
        <v>0</v>
      </c>
      <c r="P33" s="252">
        <f>SUM(M31:O33)</f>
        <v>1</v>
      </c>
      <c r="Q33" s="301" t="str">
        <f>IF(P33=1,"ok","error")</f>
        <v>ok</v>
      </c>
      <c r="R33" s="255">
        <f>R29/U30</f>
        <v>6.7882999403058178E-3</v>
      </c>
      <c r="S33" s="62">
        <f>S29/U30</f>
        <v>0</v>
      </c>
      <c r="T33" s="62">
        <f>T29/U30</f>
        <v>0</v>
      </c>
      <c r="U33" s="252">
        <f>SUM(R31:T33)</f>
        <v>1</v>
      </c>
      <c r="V33" s="301" t="str">
        <f>IF(U33=1,"ok","error")</f>
        <v>ok</v>
      </c>
      <c r="W33" s="255">
        <f>W29/Z30</f>
        <v>7.0039446895147611E-3</v>
      </c>
      <c r="X33" s="62">
        <f>X29/Z30</f>
        <v>0</v>
      </c>
      <c r="Y33" s="62">
        <f>Y29/Z30</f>
        <v>0</v>
      </c>
      <c r="Z33" s="252">
        <f>SUM(W31:Y33)</f>
        <v>1</v>
      </c>
      <c r="AA33" s="301" t="str">
        <f>IF(Z33=1,"ok","error")</f>
        <v>ok</v>
      </c>
      <c r="AB33" s="255" t="e">
        <f>AB29/AE30</f>
        <v>#DIV/0!</v>
      </c>
      <c r="AC33" s="62" t="e">
        <f>AC29/AE30</f>
        <v>#DIV/0!</v>
      </c>
      <c r="AD33" s="62" t="e">
        <f>AD29/AE30</f>
        <v>#DIV/0!</v>
      </c>
      <c r="AE33" s="252" t="e">
        <f>SUM(AB31:AD33)</f>
        <v>#DIV/0!</v>
      </c>
      <c r="AF33" s="301" t="e">
        <f>IF(AE33=1,"ok","error")</f>
        <v>#DIV/0!</v>
      </c>
      <c r="AG33" s="255" t="e">
        <f>AG29/AJ30</f>
        <v>#DIV/0!</v>
      </c>
      <c r="AH33" s="62" t="e">
        <f>AH29/AJ30</f>
        <v>#DIV/0!</v>
      </c>
      <c r="AI33" s="62" t="e">
        <f>AI29/AJ30</f>
        <v>#DIV/0!</v>
      </c>
      <c r="AJ33" s="252" t="e">
        <f>SUM(AG31:AI33)</f>
        <v>#DIV/0!</v>
      </c>
      <c r="AK33" s="301" t="e">
        <f>IF(AJ33=1,"ok","error")</f>
        <v>#DIV/0!</v>
      </c>
      <c r="AL33" s="255" t="e">
        <f>AL29/AO30</f>
        <v>#DIV/0!</v>
      </c>
      <c r="AM33" s="62" t="e">
        <f>AM29/AO30</f>
        <v>#DIV/0!</v>
      </c>
      <c r="AN33" s="62" t="e">
        <f>AN29/AO30</f>
        <v>#DIV/0!</v>
      </c>
      <c r="AO33" s="252" t="e">
        <f>SUM(AL31:AN33)</f>
        <v>#DIV/0!</v>
      </c>
      <c r="AP33" s="301" t="e">
        <f>IF(AO33=1,"ok","error")</f>
        <v>#DIV/0!</v>
      </c>
      <c r="AQ33" s="255" t="e">
        <f>AQ29/AT30</f>
        <v>#DIV/0!</v>
      </c>
      <c r="AR33" s="62" t="e">
        <f>AR29/AT30</f>
        <v>#DIV/0!</v>
      </c>
      <c r="AS33" s="62" t="e">
        <f>AS29/AT30</f>
        <v>#DIV/0!</v>
      </c>
      <c r="AT33" s="252" t="e">
        <f>SUM(AQ31:AS33)</f>
        <v>#DIV/0!</v>
      </c>
      <c r="AU33" s="301" t="e">
        <f>IF(AT33=1,"ok","error")</f>
        <v>#DIV/0!</v>
      </c>
      <c r="AV33" s="255" t="e">
        <f>AV29/AY30</f>
        <v>#DIV/0!</v>
      </c>
      <c r="AW33" s="62" t="e">
        <f>AW29/AY30</f>
        <v>#DIV/0!</v>
      </c>
      <c r="AX33" s="62" t="e">
        <f>AX29/AY30</f>
        <v>#DIV/0!</v>
      </c>
      <c r="AY33" s="252" t="e">
        <f>SUM(AV31:AX33)</f>
        <v>#DIV/0!</v>
      </c>
      <c r="AZ33" s="301" t="e">
        <f>IF(AY33=1,"ok","error")</f>
        <v>#DIV/0!</v>
      </c>
    </row>
    <row r="34" spans="1:52" ht="13.5" outlineLevel="1" thickBot="1">
      <c r="B34" s="280" t="s">
        <v>119</v>
      </c>
      <c r="C34" s="256" t="e">
        <f>C30/F30</f>
        <v>#DIV/0!</v>
      </c>
      <c r="D34" s="257" t="e">
        <f>D30/F30</f>
        <v>#DIV/0!</v>
      </c>
      <c r="E34" s="257" t="e">
        <f>E30/F30</f>
        <v>#DIV/0!</v>
      </c>
      <c r="F34" s="258" t="e">
        <f>SUM(C34:E34)</f>
        <v>#DIV/0!</v>
      </c>
      <c r="G34" s="302" t="e">
        <f>IF(F34=1,"ok","error")</f>
        <v>#DIV/0!</v>
      </c>
      <c r="H34" s="256" t="e">
        <f>H30/K30</f>
        <v>#DIV/0!</v>
      </c>
      <c r="I34" s="257" t="e">
        <f>I30/K30</f>
        <v>#DIV/0!</v>
      </c>
      <c r="J34" s="257" t="e">
        <f>J30/K30</f>
        <v>#DIV/0!</v>
      </c>
      <c r="K34" s="258" t="e">
        <f>SUM(H34:J34)</f>
        <v>#DIV/0!</v>
      </c>
      <c r="L34" s="302" t="e">
        <f>IF(K34=1,"ok","error")</f>
        <v>#DIV/0!</v>
      </c>
      <c r="M34" s="256">
        <f>M30/P30</f>
        <v>0.87109113878573885</v>
      </c>
      <c r="N34" s="257">
        <f>N30/P30</f>
        <v>6.9756552928461835E-2</v>
      </c>
      <c r="O34" s="257">
        <f>O30/P30</f>
        <v>5.9152308285799267E-2</v>
      </c>
      <c r="P34" s="258">
        <f>SUM(M34:O34)</f>
        <v>1</v>
      </c>
      <c r="Q34" s="302" t="str">
        <f>IF(P34=1,"ok","error")</f>
        <v>ok</v>
      </c>
      <c r="R34" s="256">
        <f>R30/U30</f>
        <v>0.85893422925627172</v>
      </c>
      <c r="S34" s="257">
        <f>S30/U30</f>
        <v>8.9066780952964039E-2</v>
      </c>
      <c r="T34" s="257">
        <f>T30/U30</f>
        <v>5.1998989790764241E-2</v>
      </c>
      <c r="U34" s="258">
        <f>SUM(R34:T34)</f>
        <v>1</v>
      </c>
      <c r="V34" s="302" t="str">
        <f>IF(U34=1,"ok","error")</f>
        <v>ok</v>
      </c>
      <c r="W34" s="256">
        <f>W30/Z30</f>
        <v>0.85482588225313882</v>
      </c>
      <c r="X34" s="257">
        <f>X30/Z30</f>
        <v>0.10730721920597218</v>
      </c>
      <c r="Y34" s="257">
        <f>Y30/Z30</f>
        <v>3.7866898540889038E-2</v>
      </c>
      <c r="Z34" s="258">
        <f>SUM(W34:Y34)</f>
        <v>1</v>
      </c>
      <c r="AA34" s="302" t="str">
        <f>IF(Z34=1,"ok","error")</f>
        <v>ok</v>
      </c>
      <c r="AB34" s="256" t="e">
        <f>AB30/AE30</f>
        <v>#DIV/0!</v>
      </c>
      <c r="AC34" s="257" t="e">
        <f>AC30/AE30</f>
        <v>#DIV/0!</v>
      </c>
      <c r="AD34" s="257" t="e">
        <f>AD30/AE30</f>
        <v>#DIV/0!</v>
      </c>
      <c r="AE34" s="258" t="e">
        <f>SUM(AB34:AD34)</f>
        <v>#DIV/0!</v>
      </c>
      <c r="AF34" s="302" t="e">
        <f>IF(AE34=1,"ok","error")</f>
        <v>#DIV/0!</v>
      </c>
      <c r="AG34" s="256" t="e">
        <f>AG30/AJ30</f>
        <v>#DIV/0!</v>
      </c>
      <c r="AH34" s="257" t="e">
        <f>AH30/AJ30</f>
        <v>#DIV/0!</v>
      </c>
      <c r="AI34" s="257" t="e">
        <f>AI30/AJ30</f>
        <v>#DIV/0!</v>
      </c>
      <c r="AJ34" s="258" t="e">
        <f>SUM(AG34:AI34)</f>
        <v>#DIV/0!</v>
      </c>
      <c r="AK34" s="302" t="e">
        <f>IF(AJ34=1,"ok","error")</f>
        <v>#DIV/0!</v>
      </c>
      <c r="AL34" s="256" t="e">
        <f>AL30/AO30</f>
        <v>#DIV/0!</v>
      </c>
      <c r="AM34" s="257" t="e">
        <f>AM30/AO30</f>
        <v>#DIV/0!</v>
      </c>
      <c r="AN34" s="257" t="e">
        <f>AN30/AO30</f>
        <v>#DIV/0!</v>
      </c>
      <c r="AO34" s="258" t="e">
        <f>SUM(AL34:AN34)</f>
        <v>#DIV/0!</v>
      </c>
      <c r="AP34" s="302" t="e">
        <f>IF(AO34=1,"ok","error")</f>
        <v>#DIV/0!</v>
      </c>
      <c r="AQ34" s="256" t="e">
        <f>AQ30/AT30</f>
        <v>#DIV/0!</v>
      </c>
      <c r="AR34" s="257" t="e">
        <f>AR30/AT30</f>
        <v>#DIV/0!</v>
      </c>
      <c r="AS34" s="257" t="e">
        <f>AS30/AT30</f>
        <v>#DIV/0!</v>
      </c>
      <c r="AT34" s="258" t="e">
        <f>SUM(AQ34:AS34)</f>
        <v>#DIV/0!</v>
      </c>
      <c r="AU34" s="302" t="e">
        <f>IF(AT34=1,"ok","error")</f>
        <v>#DIV/0!</v>
      </c>
      <c r="AV34" s="256" t="e">
        <f>AV30/AY30</f>
        <v>#DIV/0!</v>
      </c>
      <c r="AW34" s="257" t="e">
        <f>AW30/AY30</f>
        <v>#DIV/0!</v>
      </c>
      <c r="AX34" s="257" t="e">
        <f>AX30/AY30</f>
        <v>#DIV/0!</v>
      </c>
      <c r="AY34" s="258" t="e">
        <f>SUM(AV34:AX34)</f>
        <v>#DIV/0!</v>
      </c>
      <c r="AZ34" s="302" t="e">
        <f>IF(AY34=1,"ok","error")</f>
        <v>#DIV/0!</v>
      </c>
    </row>
    <row r="35" spans="1:52" outlineLevel="1">
      <c r="A35" s="13"/>
      <c r="B35" s="434"/>
      <c r="C35" s="37"/>
    </row>
    <row r="36" spans="1:52">
      <c r="B36" s="125"/>
      <c r="C36" s="13"/>
      <c r="D36" s="13"/>
      <c r="E36" s="13"/>
      <c r="F36" s="13"/>
      <c r="G36" s="232"/>
      <c r="H36" s="13"/>
      <c r="I36" s="13"/>
      <c r="J36" s="13"/>
      <c r="K36" s="13"/>
      <c r="L36" s="232"/>
      <c r="N36" s="13"/>
      <c r="O36" s="13"/>
      <c r="P36" s="13"/>
      <c r="Q36" s="232"/>
      <c r="R36" s="13"/>
      <c r="S36" s="13"/>
      <c r="T36" s="13"/>
      <c r="U36" s="13"/>
      <c r="V36" s="232"/>
      <c r="W36" s="13"/>
      <c r="X36" s="13"/>
      <c r="Y36" s="13"/>
      <c r="Z36" s="13"/>
      <c r="AA36" s="232"/>
      <c r="AB36" s="13"/>
      <c r="AC36" s="13"/>
      <c r="AD36" s="13"/>
      <c r="AE36" s="13"/>
      <c r="AF36" s="232"/>
      <c r="AG36" s="13"/>
      <c r="AH36" s="13"/>
      <c r="AI36" s="13"/>
      <c r="AJ36" s="13"/>
      <c r="AK36" s="232"/>
      <c r="AL36" s="13"/>
      <c r="AM36" s="13"/>
      <c r="AN36" s="13"/>
      <c r="AO36" s="13"/>
      <c r="AP36" s="232"/>
      <c r="AQ36" s="13"/>
      <c r="AR36" s="13"/>
      <c r="AS36" s="13"/>
      <c r="AT36" s="13"/>
      <c r="AU36" s="232"/>
      <c r="AV36" s="13"/>
      <c r="AW36" s="13"/>
      <c r="AX36" s="13"/>
      <c r="AY36" s="13"/>
      <c r="AZ36" s="232"/>
    </row>
    <row r="37" spans="1:52" ht="13.5" thickBot="1">
      <c r="B37" s="2" t="s">
        <v>114</v>
      </c>
    </row>
    <row r="38" spans="1:52" outlineLevel="1">
      <c r="B38" s="780" t="s">
        <v>19</v>
      </c>
      <c r="C38" s="784" t="str">
        <f>C6</f>
        <v>2005-06</v>
      </c>
      <c r="D38" s="785"/>
      <c r="E38" s="785"/>
      <c r="F38" s="785"/>
      <c r="G38" s="786"/>
      <c r="H38" s="787" t="str">
        <f t="shared" ref="H38" si="61">H6</f>
        <v>2006-07</v>
      </c>
      <c r="I38" s="785"/>
      <c r="J38" s="785"/>
      <c r="K38" s="785"/>
      <c r="L38" s="786"/>
      <c r="M38" s="784" t="str">
        <f t="shared" ref="M38" si="62">M6</f>
        <v>2007-08</v>
      </c>
      <c r="N38" s="785"/>
      <c r="O38" s="785"/>
      <c r="P38" s="785"/>
      <c r="Q38" s="786"/>
      <c r="R38" s="784" t="str">
        <f t="shared" ref="R38" si="63">R6</f>
        <v>2008-09</v>
      </c>
      <c r="S38" s="785"/>
      <c r="T38" s="785"/>
      <c r="U38" s="785"/>
      <c r="V38" s="786"/>
      <c r="W38" s="784" t="str">
        <f t="shared" ref="W38" si="64">W6</f>
        <v>2009-10</v>
      </c>
      <c r="X38" s="785"/>
      <c r="Y38" s="785"/>
      <c r="Z38" s="785"/>
      <c r="AA38" s="786"/>
      <c r="AB38" s="784" t="str">
        <f t="shared" ref="AB38" si="65">AB6</f>
        <v>2010-11</v>
      </c>
      <c r="AC38" s="785"/>
      <c r="AD38" s="785"/>
      <c r="AE38" s="785"/>
      <c r="AF38" s="786"/>
      <c r="AG38" s="784" t="str">
        <f t="shared" ref="AG38" si="66">AG6</f>
        <v>2011-12</v>
      </c>
      <c r="AH38" s="785"/>
      <c r="AI38" s="785"/>
      <c r="AJ38" s="785"/>
      <c r="AK38" s="789"/>
      <c r="AL38" s="784" t="str">
        <f t="shared" ref="AL38" si="67">AL6</f>
        <v>2012-13</v>
      </c>
      <c r="AM38" s="785"/>
      <c r="AN38" s="785"/>
      <c r="AO38" s="785"/>
      <c r="AP38" s="786"/>
      <c r="AQ38" s="784" t="str">
        <f t="shared" ref="AQ38" si="68">AQ6</f>
        <v>2013-14</v>
      </c>
      <c r="AR38" s="785"/>
      <c r="AS38" s="785"/>
      <c r="AT38" s="785"/>
      <c r="AU38" s="786"/>
      <c r="AV38" s="784" t="str">
        <f t="shared" ref="AV38" si="69">AV6</f>
        <v>2014-15</v>
      </c>
      <c r="AW38" s="785"/>
      <c r="AX38" s="785"/>
      <c r="AY38" s="785"/>
      <c r="AZ38" s="786"/>
    </row>
    <row r="39" spans="1:52" ht="13.5" outlineLevel="1" thickBot="1">
      <c r="B39" s="781"/>
      <c r="C39" s="218" t="s">
        <v>29</v>
      </c>
      <c r="D39" s="213" t="s">
        <v>28</v>
      </c>
      <c r="E39" s="213" t="s">
        <v>54</v>
      </c>
      <c r="F39" s="213" t="s">
        <v>112</v>
      </c>
      <c r="G39" s="239" t="s">
        <v>20</v>
      </c>
      <c r="H39" s="214" t="s">
        <v>29</v>
      </c>
      <c r="I39" s="213" t="s">
        <v>28</v>
      </c>
      <c r="J39" s="213" t="s">
        <v>54</v>
      </c>
      <c r="K39" s="213" t="s">
        <v>112</v>
      </c>
      <c r="L39" s="239" t="s">
        <v>20</v>
      </c>
      <c r="M39" s="218" t="s">
        <v>29</v>
      </c>
      <c r="N39" s="213" t="s">
        <v>28</v>
      </c>
      <c r="O39" s="213" t="s">
        <v>54</v>
      </c>
      <c r="P39" s="213" t="s">
        <v>112</v>
      </c>
      <c r="Q39" s="239" t="s">
        <v>20</v>
      </c>
      <c r="R39" s="218" t="s">
        <v>29</v>
      </c>
      <c r="S39" s="213" t="s">
        <v>28</v>
      </c>
      <c r="T39" s="213" t="s">
        <v>54</v>
      </c>
      <c r="U39" s="213" t="s">
        <v>112</v>
      </c>
      <c r="V39" s="239" t="s">
        <v>20</v>
      </c>
      <c r="W39" s="218" t="s">
        <v>29</v>
      </c>
      <c r="X39" s="213" t="s">
        <v>28</v>
      </c>
      <c r="Y39" s="213" t="s">
        <v>54</v>
      </c>
      <c r="Z39" s="213" t="s">
        <v>112</v>
      </c>
      <c r="AA39" s="239" t="s">
        <v>20</v>
      </c>
      <c r="AB39" s="218" t="s">
        <v>29</v>
      </c>
      <c r="AC39" s="213" t="s">
        <v>28</v>
      </c>
      <c r="AD39" s="213" t="s">
        <v>54</v>
      </c>
      <c r="AE39" s="213" t="s">
        <v>112</v>
      </c>
      <c r="AF39" s="239" t="s">
        <v>20</v>
      </c>
      <c r="AG39" s="218" t="s">
        <v>29</v>
      </c>
      <c r="AH39" s="213" t="s">
        <v>28</v>
      </c>
      <c r="AI39" s="213" t="s">
        <v>54</v>
      </c>
      <c r="AJ39" s="213" t="s">
        <v>112</v>
      </c>
      <c r="AK39" s="241" t="s">
        <v>20</v>
      </c>
      <c r="AL39" s="218" t="s">
        <v>29</v>
      </c>
      <c r="AM39" s="213" t="s">
        <v>28</v>
      </c>
      <c r="AN39" s="213" t="s">
        <v>54</v>
      </c>
      <c r="AO39" s="213" t="s">
        <v>112</v>
      </c>
      <c r="AP39" s="239" t="s">
        <v>20</v>
      </c>
      <c r="AQ39" s="218" t="s">
        <v>29</v>
      </c>
      <c r="AR39" s="213" t="s">
        <v>28</v>
      </c>
      <c r="AS39" s="213" t="s">
        <v>54</v>
      </c>
      <c r="AT39" s="213" t="s">
        <v>112</v>
      </c>
      <c r="AU39" s="239" t="s">
        <v>20</v>
      </c>
      <c r="AV39" s="218" t="s">
        <v>29</v>
      </c>
      <c r="AW39" s="213" t="s">
        <v>28</v>
      </c>
      <c r="AX39" s="213" t="s">
        <v>54</v>
      </c>
      <c r="AY39" s="213" t="s">
        <v>112</v>
      </c>
      <c r="AZ39" s="239" t="s">
        <v>20</v>
      </c>
    </row>
    <row r="40" spans="1:52" ht="13.5" outlineLevel="1" thickTop="1">
      <c r="B40" s="212" t="str">
        <f>B8</f>
        <v>CN West</v>
      </c>
      <c r="C40" s="202"/>
      <c r="D40" s="158"/>
      <c r="E40" s="158"/>
      <c r="F40" s="158"/>
      <c r="G40" s="199">
        <f>SUM(C40:F40)</f>
        <v>0</v>
      </c>
      <c r="H40" s="215"/>
      <c r="I40" s="158"/>
      <c r="J40" s="158"/>
      <c r="K40" s="158"/>
      <c r="L40" s="199">
        <f>SUM(H40:K40)</f>
        <v>0</v>
      </c>
      <c r="M40" s="226">
        <v>22428</v>
      </c>
      <c r="N40" s="223">
        <v>84</v>
      </c>
      <c r="O40" s="223">
        <v>0</v>
      </c>
      <c r="P40" s="223">
        <v>9</v>
      </c>
      <c r="Q40" s="199">
        <f>SUM(M40:P40)</f>
        <v>22521</v>
      </c>
      <c r="R40" s="226">
        <v>13944</v>
      </c>
      <c r="S40" s="223">
        <v>100</v>
      </c>
      <c r="T40" s="223">
        <v>0</v>
      </c>
      <c r="U40" s="223">
        <v>6</v>
      </c>
      <c r="V40" s="199">
        <f>SUM(R40:U40)</f>
        <v>14050</v>
      </c>
      <c r="W40" s="647">
        <v>9700</v>
      </c>
      <c r="X40" s="223">
        <v>103</v>
      </c>
      <c r="Y40" s="223">
        <v>0</v>
      </c>
      <c r="Z40" s="223">
        <v>111</v>
      </c>
      <c r="AA40" s="199">
        <f>SUM(W40:Z40)</f>
        <v>9914</v>
      </c>
      <c r="AB40" s="202"/>
      <c r="AC40" s="158"/>
      <c r="AD40" s="158"/>
      <c r="AE40" s="158"/>
      <c r="AF40" s="199">
        <f>SUM(AB40:AE40)</f>
        <v>0</v>
      </c>
      <c r="AG40" s="202"/>
      <c r="AH40" s="158"/>
      <c r="AI40" s="158"/>
      <c r="AJ40" s="158"/>
      <c r="AK40" s="97">
        <f>SUM(AG40:AJ40)</f>
        <v>0</v>
      </c>
      <c r="AL40" s="202"/>
      <c r="AM40" s="158"/>
      <c r="AN40" s="158"/>
      <c r="AO40" s="158"/>
      <c r="AP40" s="199">
        <f>SUM(AL40:AO40)</f>
        <v>0</v>
      </c>
      <c r="AQ40" s="202"/>
      <c r="AR40" s="158"/>
      <c r="AS40" s="158"/>
      <c r="AT40" s="158"/>
      <c r="AU40" s="199">
        <f>SUM(AQ40:AT40)</f>
        <v>0</v>
      </c>
      <c r="AV40" s="202"/>
      <c r="AW40" s="158"/>
      <c r="AX40" s="158"/>
      <c r="AY40" s="158"/>
      <c r="AZ40" s="199">
        <f>SUM(AV40:AY40)</f>
        <v>0</v>
      </c>
    </row>
    <row r="41" spans="1:52" outlineLevel="1">
      <c r="B41" s="212" t="str">
        <f t="shared" ref="B41:B58" si="70">B9</f>
        <v>CN East</v>
      </c>
      <c r="C41" s="55"/>
      <c r="D41" s="52"/>
      <c r="E41" s="52"/>
      <c r="F41" s="52"/>
      <c r="G41" s="56">
        <f t="shared" ref="G41:G58" si="71">SUM(C41:F41)</f>
        <v>0</v>
      </c>
      <c r="H41" s="216"/>
      <c r="I41" s="52"/>
      <c r="J41" s="52"/>
      <c r="K41" s="52"/>
      <c r="L41" s="56">
        <f t="shared" ref="L41:L58" si="72">SUM(H41:K41)</f>
        <v>0</v>
      </c>
      <c r="M41" s="226">
        <v>30913</v>
      </c>
      <c r="N41" s="223">
        <v>101</v>
      </c>
      <c r="O41" s="223">
        <v>1</v>
      </c>
      <c r="P41" s="223">
        <v>9</v>
      </c>
      <c r="Q41" s="56">
        <f t="shared" ref="Q41:Q53" si="73">SUM(M41:P41)</f>
        <v>31024</v>
      </c>
      <c r="R41" s="55">
        <v>17553</v>
      </c>
      <c r="S41" s="52">
        <v>93</v>
      </c>
      <c r="T41" s="52">
        <v>0</v>
      </c>
      <c r="U41" s="52">
        <v>5</v>
      </c>
      <c r="V41" s="56">
        <f t="shared" ref="V41:V56" si="74">SUM(R41:U41)</f>
        <v>17651</v>
      </c>
      <c r="W41" s="648">
        <v>11257</v>
      </c>
      <c r="X41" s="219">
        <v>109</v>
      </c>
      <c r="Y41" s="219">
        <v>0</v>
      </c>
      <c r="Z41" s="219">
        <v>272</v>
      </c>
      <c r="AA41" s="56">
        <f t="shared" ref="AA41:AA58" si="75">SUM(W41:Z41)</f>
        <v>11638</v>
      </c>
      <c r="AB41" s="55"/>
      <c r="AC41" s="52"/>
      <c r="AD41" s="52"/>
      <c r="AE41" s="52"/>
      <c r="AF41" s="56">
        <f t="shared" ref="AF41:AF58" si="76">SUM(AB41:AE41)</f>
        <v>0</v>
      </c>
      <c r="AG41" s="55"/>
      <c r="AH41" s="52"/>
      <c r="AI41" s="52"/>
      <c r="AJ41" s="52"/>
      <c r="AK41" s="95">
        <f t="shared" ref="AK41:AK58" si="77">SUM(AG41:AJ41)</f>
        <v>0</v>
      </c>
      <c r="AL41" s="55"/>
      <c r="AM41" s="52"/>
      <c r="AN41" s="52"/>
      <c r="AO41" s="52"/>
      <c r="AP41" s="56">
        <f t="shared" ref="AP41:AP58" si="78">SUM(AL41:AO41)</f>
        <v>0</v>
      </c>
      <c r="AQ41" s="55"/>
      <c r="AR41" s="52"/>
      <c r="AS41" s="52"/>
      <c r="AT41" s="52"/>
      <c r="AU41" s="56">
        <f t="shared" ref="AU41:AU58" si="79">SUM(AQ41:AT41)</f>
        <v>0</v>
      </c>
      <c r="AV41" s="55"/>
      <c r="AW41" s="52"/>
      <c r="AX41" s="52"/>
      <c r="AY41" s="52"/>
      <c r="AZ41" s="56">
        <f t="shared" ref="AZ41:AZ58" si="80">SUM(AV41:AY41)</f>
        <v>0</v>
      </c>
    </row>
    <row r="42" spans="1:52" outlineLevel="1">
      <c r="B42" s="212" t="str">
        <f t="shared" si="70"/>
        <v>ENWL</v>
      </c>
      <c r="C42" s="55"/>
      <c r="D42" s="52"/>
      <c r="E42" s="52"/>
      <c r="F42" s="52"/>
      <c r="G42" s="56">
        <f t="shared" si="71"/>
        <v>0</v>
      </c>
      <c r="H42" s="216"/>
      <c r="I42" s="52"/>
      <c r="J42" s="52"/>
      <c r="K42" s="52"/>
      <c r="L42" s="56">
        <f t="shared" si="72"/>
        <v>0</v>
      </c>
      <c r="M42" s="226">
        <v>23883</v>
      </c>
      <c r="N42" s="223">
        <v>71</v>
      </c>
      <c r="O42" s="223">
        <v>0</v>
      </c>
      <c r="P42" s="223">
        <v>6</v>
      </c>
      <c r="Q42" s="56">
        <f t="shared" si="73"/>
        <v>23960</v>
      </c>
      <c r="R42" s="55">
        <v>16102</v>
      </c>
      <c r="S42" s="52">
        <v>38</v>
      </c>
      <c r="T42" s="52">
        <v>0</v>
      </c>
      <c r="U42" s="52">
        <v>5</v>
      </c>
      <c r="V42" s="56">
        <f t="shared" si="74"/>
        <v>16145</v>
      </c>
      <c r="W42" s="75">
        <v>10519</v>
      </c>
      <c r="X42" s="52">
        <v>41</v>
      </c>
      <c r="Y42" s="52">
        <v>0</v>
      </c>
      <c r="Z42" s="52">
        <v>25</v>
      </c>
      <c r="AA42" s="56">
        <f t="shared" si="75"/>
        <v>10585</v>
      </c>
      <c r="AB42" s="55"/>
      <c r="AC42" s="52"/>
      <c r="AD42" s="52"/>
      <c r="AE42" s="52"/>
      <c r="AF42" s="56">
        <f t="shared" si="76"/>
        <v>0</v>
      </c>
      <c r="AG42" s="55"/>
      <c r="AH42" s="52"/>
      <c r="AI42" s="52"/>
      <c r="AJ42" s="52"/>
      <c r="AK42" s="95">
        <f t="shared" si="77"/>
        <v>0</v>
      </c>
      <c r="AL42" s="55"/>
      <c r="AM42" s="52"/>
      <c r="AN42" s="52"/>
      <c r="AO42" s="52"/>
      <c r="AP42" s="56">
        <f t="shared" si="78"/>
        <v>0</v>
      </c>
      <c r="AQ42" s="55"/>
      <c r="AR42" s="52"/>
      <c r="AS42" s="52"/>
      <c r="AT42" s="52"/>
      <c r="AU42" s="56">
        <f t="shared" si="79"/>
        <v>0</v>
      </c>
      <c r="AV42" s="55"/>
      <c r="AW42" s="52"/>
      <c r="AX42" s="52"/>
      <c r="AY42" s="52"/>
      <c r="AZ42" s="56">
        <f t="shared" si="80"/>
        <v>0</v>
      </c>
    </row>
    <row r="43" spans="1:52" outlineLevel="1">
      <c r="B43" s="212" t="str">
        <f t="shared" si="70"/>
        <v>CE NEDL</v>
      </c>
      <c r="C43" s="55"/>
      <c r="D43" s="52"/>
      <c r="E43" s="52"/>
      <c r="F43" s="52"/>
      <c r="G43" s="56">
        <f t="shared" si="71"/>
        <v>0</v>
      </c>
      <c r="H43" s="216"/>
      <c r="I43" s="52"/>
      <c r="J43" s="52"/>
      <c r="K43" s="52"/>
      <c r="L43" s="56">
        <f t="shared" si="72"/>
        <v>0</v>
      </c>
      <c r="M43" s="226">
        <v>14788</v>
      </c>
      <c r="N43" s="223">
        <v>11</v>
      </c>
      <c r="O43" s="223">
        <v>0</v>
      </c>
      <c r="P43" s="223">
        <v>8</v>
      </c>
      <c r="Q43" s="56">
        <f t="shared" si="73"/>
        <v>14807</v>
      </c>
      <c r="R43" s="55">
        <v>11568</v>
      </c>
      <c r="S43" s="52">
        <v>14</v>
      </c>
      <c r="T43" s="52">
        <v>0</v>
      </c>
      <c r="U43" s="52">
        <v>100</v>
      </c>
      <c r="V43" s="56">
        <f t="shared" si="74"/>
        <v>11682</v>
      </c>
      <c r="W43" s="75">
        <v>8004</v>
      </c>
      <c r="X43" s="52">
        <v>42</v>
      </c>
      <c r="Y43" s="52">
        <v>0</v>
      </c>
      <c r="Z43" s="219">
        <v>35</v>
      </c>
      <c r="AA43" s="56">
        <f t="shared" si="75"/>
        <v>8081</v>
      </c>
      <c r="AB43" s="55"/>
      <c r="AC43" s="52"/>
      <c r="AD43" s="52"/>
      <c r="AE43" s="52"/>
      <c r="AF43" s="56">
        <f t="shared" si="76"/>
        <v>0</v>
      </c>
      <c r="AG43" s="55"/>
      <c r="AH43" s="52"/>
      <c r="AI43" s="52"/>
      <c r="AJ43" s="52"/>
      <c r="AK43" s="95">
        <f t="shared" si="77"/>
        <v>0</v>
      </c>
      <c r="AL43" s="55"/>
      <c r="AM43" s="52"/>
      <c r="AN43" s="52"/>
      <c r="AO43" s="52"/>
      <c r="AP43" s="56">
        <f t="shared" si="78"/>
        <v>0</v>
      </c>
      <c r="AQ43" s="55"/>
      <c r="AR43" s="52"/>
      <c r="AS43" s="52"/>
      <c r="AT43" s="52"/>
      <c r="AU43" s="56">
        <f t="shared" si="79"/>
        <v>0</v>
      </c>
      <c r="AV43" s="55"/>
      <c r="AW43" s="52"/>
      <c r="AX43" s="52"/>
      <c r="AY43" s="52"/>
      <c r="AZ43" s="56">
        <f t="shared" si="80"/>
        <v>0</v>
      </c>
    </row>
    <row r="44" spans="1:52" outlineLevel="1">
      <c r="B44" s="212" t="str">
        <f t="shared" si="70"/>
        <v>CE YEDL</v>
      </c>
      <c r="C44" s="55"/>
      <c r="D44" s="52"/>
      <c r="E44" s="52"/>
      <c r="F44" s="52"/>
      <c r="G44" s="56">
        <f t="shared" si="71"/>
        <v>0</v>
      </c>
      <c r="H44" s="216"/>
      <c r="I44" s="52"/>
      <c r="J44" s="52"/>
      <c r="K44" s="52"/>
      <c r="L44" s="56">
        <f t="shared" si="72"/>
        <v>0</v>
      </c>
      <c r="M44" s="226">
        <v>25622</v>
      </c>
      <c r="N44" s="223">
        <v>25</v>
      </c>
      <c r="O44" s="223">
        <v>0</v>
      </c>
      <c r="P44" s="223">
        <v>5</v>
      </c>
      <c r="Q44" s="56">
        <f t="shared" si="73"/>
        <v>25652</v>
      </c>
      <c r="R44" s="55">
        <v>16672</v>
      </c>
      <c r="S44" s="52">
        <v>38</v>
      </c>
      <c r="T44" s="52">
        <v>2</v>
      </c>
      <c r="U44" s="52">
        <v>50</v>
      </c>
      <c r="V44" s="56">
        <f t="shared" si="74"/>
        <v>16762</v>
      </c>
      <c r="W44" s="648">
        <v>11425</v>
      </c>
      <c r="X44" s="251">
        <v>48</v>
      </c>
      <c r="Y44" s="251">
        <v>4</v>
      </c>
      <c r="Z44" s="720">
        <v>172</v>
      </c>
      <c r="AA44" s="56">
        <f t="shared" si="75"/>
        <v>11649</v>
      </c>
      <c r="AB44" s="55"/>
      <c r="AC44" s="52"/>
      <c r="AD44" s="52"/>
      <c r="AE44" s="52"/>
      <c r="AF44" s="56">
        <f t="shared" si="76"/>
        <v>0</v>
      </c>
      <c r="AG44" s="55"/>
      <c r="AH44" s="52"/>
      <c r="AI44" s="52"/>
      <c r="AJ44" s="52"/>
      <c r="AK44" s="95">
        <f t="shared" si="77"/>
        <v>0</v>
      </c>
      <c r="AL44" s="55"/>
      <c r="AM44" s="52"/>
      <c r="AN44" s="52"/>
      <c r="AO44" s="52"/>
      <c r="AP44" s="56">
        <f t="shared" si="78"/>
        <v>0</v>
      </c>
      <c r="AQ44" s="55"/>
      <c r="AR44" s="52"/>
      <c r="AS44" s="52"/>
      <c r="AT44" s="52"/>
      <c r="AU44" s="56">
        <f t="shared" si="79"/>
        <v>0</v>
      </c>
      <c r="AV44" s="55"/>
      <c r="AW44" s="52"/>
      <c r="AX44" s="52"/>
      <c r="AY44" s="52"/>
      <c r="AZ44" s="56">
        <f t="shared" si="80"/>
        <v>0</v>
      </c>
    </row>
    <row r="45" spans="1:52" outlineLevel="1">
      <c r="B45" s="212" t="str">
        <f t="shared" si="70"/>
        <v>WPD S Wales</v>
      </c>
      <c r="C45" s="55"/>
      <c r="D45" s="52"/>
      <c r="E45" s="52"/>
      <c r="F45" s="52"/>
      <c r="G45" s="56">
        <f t="shared" si="71"/>
        <v>0</v>
      </c>
      <c r="H45" s="216"/>
      <c r="I45" s="52"/>
      <c r="J45" s="52"/>
      <c r="K45" s="52"/>
      <c r="L45" s="56">
        <f t="shared" si="72"/>
        <v>0</v>
      </c>
      <c r="M45" s="226">
        <v>10888</v>
      </c>
      <c r="N45" s="223">
        <v>19</v>
      </c>
      <c r="O45" s="223">
        <v>1</v>
      </c>
      <c r="P45" s="223">
        <v>1</v>
      </c>
      <c r="Q45" s="56">
        <f t="shared" si="73"/>
        <v>10909</v>
      </c>
      <c r="R45" s="55">
        <v>8911</v>
      </c>
      <c r="S45" s="52">
        <v>18</v>
      </c>
      <c r="T45" s="52">
        <v>3</v>
      </c>
      <c r="U45" s="52">
        <v>7</v>
      </c>
      <c r="V45" s="56">
        <f t="shared" si="74"/>
        <v>8939</v>
      </c>
      <c r="W45" s="75">
        <v>6550</v>
      </c>
      <c r="X45" s="251">
        <v>26</v>
      </c>
      <c r="Y45" s="251">
        <v>0</v>
      </c>
      <c r="Z45" s="720">
        <v>15</v>
      </c>
      <c r="AA45" s="56">
        <f t="shared" si="75"/>
        <v>6591</v>
      </c>
      <c r="AB45" s="55"/>
      <c r="AC45" s="52"/>
      <c r="AD45" s="52"/>
      <c r="AE45" s="52"/>
      <c r="AF45" s="56">
        <f t="shared" si="76"/>
        <v>0</v>
      </c>
      <c r="AG45" s="55"/>
      <c r="AH45" s="52"/>
      <c r="AI45" s="52"/>
      <c r="AJ45" s="52"/>
      <c r="AK45" s="95">
        <f t="shared" si="77"/>
        <v>0</v>
      </c>
      <c r="AL45" s="55"/>
      <c r="AM45" s="52"/>
      <c r="AN45" s="52"/>
      <c r="AO45" s="52"/>
      <c r="AP45" s="56">
        <f t="shared" si="78"/>
        <v>0</v>
      </c>
      <c r="AQ45" s="55"/>
      <c r="AR45" s="52"/>
      <c r="AS45" s="52"/>
      <c r="AT45" s="52"/>
      <c r="AU45" s="56">
        <f t="shared" si="79"/>
        <v>0</v>
      </c>
      <c r="AV45" s="55"/>
      <c r="AW45" s="52"/>
      <c r="AX45" s="52"/>
      <c r="AY45" s="52"/>
      <c r="AZ45" s="56">
        <f t="shared" si="80"/>
        <v>0</v>
      </c>
    </row>
    <row r="46" spans="1:52" outlineLevel="1">
      <c r="B46" s="212" t="str">
        <f t="shared" si="70"/>
        <v>WPD S West</v>
      </c>
      <c r="C46" s="55"/>
      <c r="D46" s="52"/>
      <c r="E46" s="52"/>
      <c r="F46" s="52"/>
      <c r="G46" s="56">
        <f t="shared" si="71"/>
        <v>0</v>
      </c>
      <c r="H46" s="216"/>
      <c r="I46" s="52"/>
      <c r="J46" s="52"/>
      <c r="K46" s="52"/>
      <c r="L46" s="56">
        <f t="shared" si="72"/>
        <v>0</v>
      </c>
      <c r="M46" s="226">
        <v>20183</v>
      </c>
      <c r="N46" s="223">
        <v>25</v>
      </c>
      <c r="O46" s="223">
        <v>0</v>
      </c>
      <c r="P46" s="223">
        <v>3</v>
      </c>
      <c r="Q46" s="56">
        <f t="shared" si="73"/>
        <v>20211</v>
      </c>
      <c r="R46" s="55">
        <v>17533</v>
      </c>
      <c r="S46" s="52">
        <v>25</v>
      </c>
      <c r="T46" s="52">
        <v>1</v>
      </c>
      <c r="U46" s="52">
        <v>10</v>
      </c>
      <c r="V46" s="56">
        <f t="shared" si="74"/>
        <v>17569</v>
      </c>
      <c r="W46" s="75">
        <v>13412</v>
      </c>
      <c r="X46" s="52">
        <v>37</v>
      </c>
      <c r="Y46" s="52">
        <v>0</v>
      </c>
      <c r="Z46" s="10">
        <v>19</v>
      </c>
      <c r="AA46" s="56">
        <f t="shared" si="75"/>
        <v>13468</v>
      </c>
      <c r="AB46" s="55"/>
      <c r="AC46" s="52"/>
      <c r="AD46" s="52"/>
      <c r="AE46" s="52"/>
      <c r="AF46" s="56">
        <f t="shared" si="76"/>
        <v>0</v>
      </c>
      <c r="AG46" s="55"/>
      <c r="AH46" s="52"/>
      <c r="AI46" s="52"/>
      <c r="AJ46" s="52"/>
      <c r="AK46" s="95">
        <f t="shared" si="77"/>
        <v>0</v>
      </c>
      <c r="AL46" s="55"/>
      <c r="AM46" s="52"/>
      <c r="AN46" s="52"/>
      <c r="AO46" s="52"/>
      <c r="AP46" s="56">
        <f t="shared" si="78"/>
        <v>0</v>
      </c>
      <c r="AQ46" s="55"/>
      <c r="AR46" s="52"/>
      <c r="AS46" s="52"/>
      <c r="AT46" s="52"/>
      <c r="AU46" s="56">
        <f t="shared" si="79"/>
        <v>0</v>
      </c>
      <c r="AV46" s="55"/>
      <c r="AW46" s="52"/>
      <c r="AX46" s="52"/>
      <c r="AY46" s="52"/>
      <c r="AZ46" s="56">
        <f t="shared" si="80"/>
        <v>0</v>
      </c>
    </row>
    <row r="47" spans="1:52" outlineLevel="1">
      <c r="B47" s="212" t="str">
        <f t="shared" si="70"/>
        <v>UKPN LPN</v>
      </c>
      <c r="C47" s="55"/>
      <c r="D47" s="52"/>
      <c r="E47" s="52"/>
      <c r="F47" s="52"/>
      <c r="G47" s="56">
        <f t="shared" si="71"/>
        <v>0</v>
      </c>
      <c r="H47" s="216"/>
      <c r="I47" s="52"/>
      <c r="J47" s="52"/>
      <c r="K47" s="52"/>
      <c r="L47" s="56">
        <f t="shared" si="72"/>
        <v>0</v>
      </c>
      <c r="M47" s="226">
        <v>40605</v>
      </c>
      <c r="N47" s="223">
        <v>57</v>
      </c>
      <c r="O47" s="223">
        <v>7</v>
      </c>
      <c r="P47" s="223">
        <v>15</v>
      </c>
      <c r="Q47" s="56">
        <f t="shared" si="73"/>
        <v>40684</v>
      </c>
      <c r="R47" s="55">
        <v>31124</v>
      </c>
      <c r="S47" s="52">
        <v>73</v>
      </c>
      <c r="T47" s="52">
        <v>0</v>
      </c>
      <c r="U47" s="52">
        <v>13</v>
      </c>
      <c r="V47" s="56">
        <f t="shared" si="74"/>
        <v>31210</v>
      </c>
      <c r="W47" s="75">
        <v>20796</v>
      </c>
      <c r="X47" s="52">
        <v>67</v>
      </c>
      <c r="Y47" s="52">
        <v>0</v>
      </c>
      <c r="Z47" s="10">
        <v>42</v>
      </c>
      <c r="AA47" s="56">
        <f t="shared" si="75"/>
        <v>20905</v>
      </c>
      <c r="AB47" s="55"/>
      <c r="AC47" s="52"/>
      <c r="AD47" s="52"/>
      <c r="AE47" s="52"/>
      <c r="AF47" s="56">
        <f t="shared" si="76"/>
        <v>0</v>
      </c>
      <c r="AG47" s="55"/>
      <c r="AH47" s="52"/>
      <c r="AI47" s="52"/>
      <c r="AJ47" s="52"/>
      <c r="AK47" s="95">
        <f t="shared" si="77"/>
        <v>0</v>
      </c>
      <c r="AL47" s="55"/>
      <c r="AM47" s="52"/>
      <c r="AN47" s="52"/>
      <c r="AO47" s="52"/>
      <c r="AP47" s="56">
        <f t="shared" si="78"/>
        <v>0</v>
      </c>
      <c r="AQ47" s="55"/>
      <c r="AR47" s="52"/>
      <c r="AS47" s="52"/>
      <c r="AT47" s="52"/>
      <c r="AU47" s="56">
        <f t="shared" si="79"/>
        <v>0</v>
      </c>
      <c r="AV47" s="55"/>
      <c r="AW47" s="52"/>
      <c r="AX47" s="52"/>
      <c r="AY47" s="52"/>
      <c r="AZ47" s="56">
        <f t="shared" si="80"/>
        <v>0</v>
      </c>
    </row>
    <row r="48" spans="1:52" outlineLevel="1">
      <c r="B48" s="212" t="str">
        <f t="shared" si="70"/>
        <v>UKPN SEPN</v>
      </c>
      <c r="C48" s="55"/>
      <c r="D48" s="52"/>
      <c r="E48" s="52"/>
      <c r="F48" s="52"/>
      <c r="G48" s="56">
        <f t="shared" si="71"/>
        <v>0</v>
      </c>
      <c r="H48" s="216"/>
      <c r="I48" s="52"/>
      <c r="J48" s="52"/>
      <c r="K48" s="52"/>
      <c r="L48" s="56">
        <f t="shared" si="72"/>
        <v>0</v>
      </c>
      <c r="M48" s="226">
        <v>22522</v>
      </c>
      <c r="N48" s="223">
        <v>87</v>
      </c>
      <c r="O48" s="223">
        <v>0</v>
      </c>
      <c r="P48" s="223">
        <v>0</v>
      </c>
      <c r="Q48" s="56">
        <f t="shared" si="73"/>
        <v>22609</v>
      </c>
      <c r="R48" s="55">
        <v>29174</v>
      </c>
      <c r="S48" s="52">
        <v>90</v>
      </c>
      <c r="T48" s="52">
        <v>2</v>
      </c>
      <c r="U48" s="52">
        <v>2</v>
      </c>
      <c r="V48" s="56">
        <f t="shared" si="74"/>
        <v>29268</v>
      </c>
      <c r="W48" s="75">
        <v>13319</v>
      </c>
      <c r="X48" s="52">
        <v>33</v>
      </c>
      <c r="Y48" s="52">
        <v>11</v>
      </c>
      <c r="Z48" s="10">
        <v>35</v>
      </c>
      <c r="AA48" s="56">
        <f t="shared" si="75"/>
        <v>13398</v>
      </c>
      <c r="AB48" s="55"/>
      <c r="AC48" s="52"/>
      <c r="AD48" s="52"/>
      <c r="AE48" s="52"/>
      <c r="AF48" s="56">
        <f t="shared" si="76"/>
        <v>0</v>
      </c>
      <c r="AG48" s="55"/>
      <c r="AH48" s="52"/>
      <c r="AI48" s="52"/>
      <c r="AJ48" s="52"/>
      <c r="AK48" s="95">
        <f t="shared" si="77"/>
        <v>0</v>
      </c>
      <c r="AL48" s="55"/>
      <c r="AM48" s="52"/>
      <c r="AN48" s="52"/>
      <c r="AO48" s="52"/>
      <c r="AP48" s="56">
        <f t="shared" si="78"/>
        <v>0</v>
      </c>
      <c r="AQ48" s="55"/>
      <c r="AR48" s="52"/>
      <c r="AS48" s="52"/>
      <c r="AT48" s="52"/>
      <c r="AU48" s="56">
        <f t="shared" si="79"/>
        <v>0</v>
      </c>
      <c r="AV48" s="55"/>
      <c r="AW48" s="52"/>
      <c r="AX48" s="52"/>
      <c r="AY48" s="52"/>
      <c r="AZ48" s="56">
        <f t="shared" si="80"/>
        <v>0</v>
      </c>
    </row>
    <row r="49" spans="2:52" outlineLevel="1">
      <c r="B49" s="212" t="str">
        <f t="shared" si="70"/>
        <v>UKPN EPN</v>
      </c>
      <c r="C49" s="55"/>
      <c r="D49" s="52"/>
      <c r="E49" s="52"/>
      <c r="F49" s="52"/>
      <c r="G49" s="56">
        <f t="shared" si="71"/>
        <v>0</v>
      </c>
      <c r="H49" s="216"/>
      <c r="I49" s="52"/>
      <c r="J49" s="52"/>
      <c r="K49" s="52"/>
      <c r="L49" s="56">
        <f t="shared" si="72"/>
        <v>0</v>
      </c>
      <c r="M49" s="226">
        <v>26677</v>
      </c>
      <c r="N49" s="223">
        <v>36</v>
      </c>
      <c r="O49" s="223">
        <v>0</v>
      </c>
      <c r="P49" s="223">
        <v>5</v>
      </c>
      <c r="Q49" s="56">
        <f t="shared" si="73"/>
        <v>26718</v>
      </c>
      <c r="R49" s="55">
        <v>17537</v>
      </c>
      <c r="S49" s="52">
        <v>37</v>
      </c>
      <c r="T49" s="52">
        <v>1</v>
      </c>
      <c r="U49" s="52">
        <v>6</v>
      </c>
      <c r="V49" s="56">
        <f t="shared" si="74"/>
        <v>17581</v>
      </c>
      <c r="W49" s="75">
        <v>20669</v>
      </c>
      <c r="X49" s="52">
        <v>64</v>
      </c>
      <c r="Y49" s="52">
        <v>2</v>
      </c>
      <c r="Z49" s="10">
        <v>20</v>
      </c>
      <c r="AA49" s="56">
        <f t="shared" si="75"/>
        <v>20755</v>
      </c>
      <c r="AB49" s="55"/>
      <c r="AC49" s="52"/>
      <c r="AD49" s="52"/>
      <c r="AE49" s="52"/>
      <c r="AF49" s="56">
        <f t="shared" si="76"/>
        <v>0</v>
      </c>
      <c r="AG49" s="55"/>
      <c r="AH49" s="52"/>
      <c r="AI49" s="52"/>
      <c r="AJ49" s="52"/>
      <c r="AK49" s="95">
        <f t="shared" si="77"/>
        <v>0</v>
      </c>
      <c r="AL49" s="55"/>
      <c r="AM49" s="52"/>
      <c r="AN49" s="52"/>
      <c r="AO49" s="52"/>
      <c r="AP49" s="56">
        <f t="shared" si="78"/>
        <v>0</v>
      </c>
      <c r="AQ49" s="55"/>
      <c r="AR49" s="52"/>
      <c r="AS49" s="52"/>
      <c r="AT49" s="52"/>
      <c r="AU49" s="56">
        <f t="shared" si="79"/>
        <v>0</v>
      </c>
      <c r="AV49" s="55"/>
      <c r="AW49" s="52"/>
      <c r="AX49" s="52"/>
      <c r="AY49" s="52"/>
      <c r="AZ49" s="56">
        <f t="shared" si="80"/>
        <v>0</v>
      </c>
    </row>
    <row r="50" spans="2:52" outlineLevel="1">
      <c r="B50" s="212" t="str">
        <f t="shared" si="70"/>
        <v>SP Distribution</v>
      </c>
      <c r="C50" s="55"/>
      <c r="D50" s="52"/>
      <c r="E50" s="52"/>
      <c r="F50" s="52"/>
      <c r="G50" s="56">
        <f t="shared" si="71"/>
        <v>0</v>
      </c>
      <c r="H50" s="216"/>
      <c r="I50" s="52"/>
      <c r="J50" s="52"/>
      <c r="K50" s="52"/>
      <c r="L50" s="56">
        <f t="shared" si="72"/>
        <v>0</v>
      </c>
      <c r="M50" s="226">
        <v>23741</v>
      </c>
      <c r="N50" s="223">
        <v>23</v>
      </c>
      <c r="O50" s="223">
        <v>0</v>
      </c>
      <c r="P50" s="223">
        <v>5</v>
      </c>
      <c r="Q50" s="56">
        <f t="shared" si="73"/>
        <v>23769</v>
      </c>
      <c r="R50" s="55">
        <v>18621</v>
      </c>
      <c r="S50" s="52">
        <v>138</v>
      </c>
      <c r="T50" s="52">
        <v>1</v>
      </c>
      <c r="U50" s="52">
        <v>12</v>
      </c>
      <c r="V50" s="56">
        <f t="shared" si="74"/>
        <v>18772</v>
      </c>
      <c r="W50" s="75">
        <v>12269</v>
      </c>
      <c r="X50" s="52">
        <v>32</v>
      </c>
      <c r="Y50" s="52">
        <v>0</v>
      </c>
      <c r="Z50" s="52">
        <v>29</v>
      </c>
      <c r="AA50" s="56">
        <f t="shared" si="75"/>
        <v>12330</v>
      </c>
      <c r="AB50" s="55"/>
      <c r="AC50" s="52"/>
      <c r="AD50" s="52"/>
      <c r="AE50" s="52"/>
      <c r="AF50" s="56">
        <f t="shared" si="76"/>
        <v>0</v>
      </c>
      <c r="AG50" s="55"/>
      <c r="AH50" s="52"/>
      <c r="AI50" s="52"/>
      <c r="AJ50" s="52"/>
      <c r="AK50" s="95">
        <f t="shared" si="77"/>
        <v>0</v>
      </c>
      <c r="AL50" s="55"/>
      <c r="AM50" s="52"/>
      <c r="AN50" s="52"/>
      <c r="AO50" s="52"/>
      <c r="AP50" s="56">
        <f t="shared" si="78"/>
        <v>0</v>
      </c>
      <c r="AQ50" s="55"/>
      <c r="AR50" s="52"/>
      <c r="AS50" s="52"/>
      <c r="AT50" s="52"/>
      <c r="AU50" s="56">
        <f t="shared" si="79"/>
        <v>0</v>
      </c>
      <c r="AV50" s="55"/>
      <c r="AW50" s="52"/>
      <c r="AX50" s="52"/>
      <c r="AY50" s="52"/>
      <c r="AZ50" s="56">
        <f t="shared" si="80"/>
        <v>0</v>
      </c>
    </row>
    <row r="51" spans="2:52" outlineLevel="1">
      <c r="B51" s="212" t="str">
        <f t="shared" si="70"/>
        <v>SP Manweb</v>
      </c>
      <c r="C51" s="55"/>
      <c r="D51" s="52"/>
      <c r="E51" s="52"/>
      <c r="F51" s="52"/>
      <c r="G51" s="56">
        <f t="shared" si="71"/>
        <v>0</v>
      </c>
      <c r="H51" s="216"/>
      <c r="I51" s="52"/>
      <c r="J51" s="52"/>
      <c r="K51" s="52"/>
      <c r="L51" s="56">
        <f t="shared" si="72"/>
        <v>0</v>
      </c>
      <c r="M51" s="226">
        <v>16858</v>
      </c>
      <c r="N51" s="223">
        <v>46</v>
      </c>
      <c r="O51" s="223">
        <v>0</v>
      </c>
      <c r="P51" s="223">
        <v>5</v>
      </c>
      <c r="Q51" s="56">
        <f t="shared" si="73"/>
        <v>16909</v>
      </c>
      <c r="R51" s="55">
        <v>10943</v>
      </c>
      <c r="S51" s="52">
        <v>194</v>
      </c>
      <c r="T51" s="52">
        <v>3</v>
      </c>
      <c r="U51" s="52">
        <v>23</v>
      </c>
      <c r="V51" s="56">
        <f t="shared" si="74"/>
        <v>11163</v>
      </c>
      <c r="W51" s="75">
        <v>7011</v>
      </c>
      <c r="X51" s="52">
        <v>4</v>
      </c>
      <c r="Y51" s="52">
        <v>0</v>
      </c>
      <c r="Z51" s="52">
        <v>28</v>
      </c>
      <c r="AA51" s="56">
        <f t="shared" si="75"/>
        <v>7043</v>
      </c>
      <c r="AB51" s="55"/>
      <c r="AC51" s="52"/>
      <c r="AD51" s="52"/>
      <c r="AE51" s="52"/>
      <c r="AF51" s="56">
        <f t="shared" si="76"/>
        <v>0</v>
      </c>
      <c r="AG51" s="55"/>
      <c r="AH51" s="52"/>
      <c r="AI51" s="52"/>
      <c r="AJ51" s="52"/>
      <c r="AK51" s="95">
        <f t="shared" si="77"/>
        <v>0</v>
      </c>
      <c r="AL51" s="55"/>
      <c r="AM51" s="52"/>
      <c r="AN51" s="52"/>
      <c r="AO51" s="52"/>
      <c r="AP51" s="56">
        <f t="shared" si="78"/>
        <v>0</v>
      </c>
      <c r="AQ51" s="55"/>
      <c r="AR51" s="52"/>
      <c r="AS51" s="52"/>
      <c r="AT51" s="52"/>
      <c r="AU51" s="56">
        <f t="shared" si="79"/>
        <v>0</v>
      </c>
      <c r="AV51" s="55"/>
      <c r="AW51" s="52"/>
      <c r="AX51" s="52"/>
      <c r="AY51" s="52"/>
      <c r="AZ51" s="56">
        <f t="shared" si="80"/>
        <v>0</v>
      </c>
    </row>
    <row r="52" spans="2:52" outlineLevel="1">
      <c r="B52" s="212" t="str">
        <f t="shared" si="70"/>
        <v>SSE Hydro</v>
      </c>
      <c r="C52" s="55"/>
      <c r="D52" s="52"/>
      <c r="E52" s="52"/>
      <c r="F52" s="52"/>
      <c r="G52" s="56">
        <f t="shared" si="71"/>
        <v>0</v>
      </c>
      <c r="H52" s="216"/>
      <c r="I52" s="52"/>
      <c r="J52" s="52"/>
      <c r="K52" s="52"/>
      <c r="L52" s="56">
        <f t="shared" si="72"/>
        <v>0</v>
      </c>
      <c r="M52" s="226">
        <v>12237</v>
      </c>
      <c r="N52" s="223">
        <v>0</v>
      </c>
      <c r="O52" s="223">
        <v>0</v>
      </c>
      <c r="P52" s="223">
        <v>18</v>
      </c>
      <c r="Q52" s="56">
        <f t="shared" si="73"/>
        <v>12255</v>
      </c>
      <c r="R52" s="55">
        <v>8326</v>
      </c>
      <c r="S52" s="52">
        <v>6</v>
      </c>
      <c r="T52" s="52">
        <v>1</v>
      </c>
      <c r="U52" s="52">
        <v>4</v>
      </c>
      <c r="V52" s="56">
        <f t="shared" si="74"/>
        <v>8337</v>
      </c>
      <c r="W52" s="75">
        <v>6236</v>
      </c>
      <c r="X52" s="52">
        <v>15</v>
      </c>
      <c r="Y52" s="52">
        <v>0</v>
      </c>
      <c r="Z52" s="52">
        <v>22</v>
      </c>
      <c r="AA52" s="56">
        <f t="shared" si="75"/>
        <v>6273</v>
      </c>
      <c r="AB52" s="55"/>
      <c r="AC52" s="52"/>
      <c r="AD52" s="52"/>
      <c r="AE52" s="52"/>
      <c r="AF52" s="56">
        <f t="shared" si="76"/>
        <v>0</v>
      </c>
      <c r="AG52" s="55"/>
      <c r="AH52" s="52"/>
      <c r="AI52" s="52"/>
      <c r="AJ52" s="52"/>
      <c r="AK52" s="95">
        <f t="shared" si="77"/>
        <v>0</v>
      </c>
      <c r="AL52" s="55"/>
      <c r="AM52" s="52"/>
      <c r="AN52" s="52"/>
      <c r="AO52" s="52"/>
      <c r="AP52" s="56">
        <f t="shared" si="78"/>
        <v>0</v>
      </c>
      <c r="AQ52" s="55"/>
      <c r="AR52" s="52"/>
      <c r="AS52" s="52"/>
      <c r="AT52" s="52"/>
      <c r="AU52" s="56">
        <f t="shared" si="79"/>
        <v>0</v>
      </c>
      <c r="AV52" s="55"/>
      <c r="AW52" s="52"/>
      <c r="AX52" s="52"/>
      <c r="AY52" s="52"/>
      <c r="AZ52" s="56">
        <f t="shared" si="80"/>
        <v>0</v>
      </c>
    </row>
    <row r="53" spans="2:52" outlineLevel="1">
      <c r="B53" s="212" t="str">
        <f t="shared" si="70"/>
        <v>SSE Southern</v>
      </c>
      <c r="C53" s="55"/>
      <c r="D53" s="52"/>
      <c r="E53" s="52"/>
      <c r="F53" s="52"/>
      <c r="G53" s="56">
        <f t="shared" si="71"/>
        <v>0</v>
      </c>
      <c r="H53" s="216"/>
      <c r="I53" s="52"/>
      <c r="J53" s="52"/>
      <c r="K53" s="52"/>
      <c r="L53" s="56">
        <f t="shared" si="72"/>
        <v>0</v>
      </c>
      <c r="M53" s="226">
        <v>35963</v>
      </c>
      <c r="N53" s="223">
        <v>0</v>
      </c>
      <c r="O53" s="223">
        <v>0</v>
      </c>
      <c r="P53" s="223">
        <v>5</v>
      </c>
      <c r="Q53" s="56">
        <f t="shared" si="73"/>
        <v>35968</v>
      </c>
      <c r="R53" s="55">
        <v>27595</v>
      </c>
      <c r="S53" s="52">
        <v>21</v>
      </c>
      <c r="T53" s="52">
        <v>1</v>
      </c>
      <c r="U53" s="52">
        <v>1</v>
      </c>
      <c r="V53" s="56">
        <f t="shared" si="74"/>
        <v>27618</v>
      </c>
      <c r="W53" s="75">
        <v>18181</v>
      </c>
      <c r="X53" s="52">
        <v>44</v>
      </c>
      <c r="Y53" s="52">
        <v>1</v>
      </c>
      <c r="Z53" s="52">
        <v>1</v>
      </c>
      <c r="AA53" s="56">
        <f t="shared" si="75"/>
        <v>18227</v>
      </c>
      <c r="AB53" s="55"/>
      <c r="AC53" s="52"/>
      <c r="AD53" s="52"/>
      <c r="AE53" s="52"/>
      <c r="AF53" s="56">
        <f t="shared" si="76"/>
        <v>0</v>
      </c>
      <c r="AG53" s="55"/>
      <c r="AH53" s="52"/>
      <c r="AI53" s="52"/>
      <c r="AJ53" s="52"/>
      <c r="AK53" s="95">
        <f t="shared" si="77"/>
        <v>0</v>
      </c>
      <c r="AL53" s="55"/>
      <c r="AM53" s="52"/>
      <c r="AN53" s="52"/>
      <c r="AO53" s="52"/>
      <c r="AP53" s="56">
        <f t="shared" si="78"/>
        <v>0</v>
      </c>
      <c r="AQ53" s="55"/>
      <c r="AR53" s="52"/>
      <c r="AS53" s="52"/>
      <c r="AT53" s="52"/>
      <c r="AU53" s="56">
        <f t="shared" si="79"/>
        <v>0</v>
      </c>
      <c r="AV53" s="55"/>
      <c r="AW53" s="52"/>
      <c r="AX53" s="52"/>
      <c r="AY53" s="52"/>
      <c r="AZ53" s="56">
        <f t="shared" si="80"/>
        <v>0</v>
      </c>
    </row>
    <row r="54" spans="2:52" s="152" customFormat="1" outlineLevel="1">
      <c r="B54" s="236" t="str">
        <f t="shared" si="70"/>
        <v xml:space="preserve">IPNL </v>
      </c>
      <c r="C54" s="229"/>
      <c r="D54" s="230"/>
      <c r="E54" s="230"/>
      <c r="F54" s="230"/>
      <c r="G54" s="234">
        <f t="shared" si="71"/>
        <v>0</v>
      </c>
      <c r="H54" s="237"/>
      <c r="I54" s="230"/>
      <c r="J54" s="230"/>
      <c r="K54" s="230"/>
      <c r="L54" s="234">
        <f t="shared" si="72"/>
        <v>0</v>
      </c>
      <c r="M54" s="244">
        <v>4711</v>
      </c>
      <c r="N54" s="245">
        <v>0</v>
      </c>
      <c r="O54" s="245">
        <v>0</v>
      </c>
      <c r="P54" s="245">
        <v>0</v>
      </c>
      <c r="Q54" s="234">
        <f t="shared" ref="Q54:Q56" si="81">SUM(M54:P54)</f>
        <v>4711</v>
      </c>
      <c r="R54" s="229">
        <v>8196</v>
      </c>
      <c r="S54" s="230">
        <v>1</v>
      </c>
      <c r="T54" s="230">
        <v>0</v>
      </c>
      <c r="U54" s="230">
        <v>0</v>
      </c>
      <c r="V54" s="234">
        <f t="shared" si="74"/>
        <v>8197</v>
      </c>
      <c r="W54" s="229">
        <v>10306</v>
      </c>
      <c r="X54" s="230">
        <v>8</v>
      </c>
      <c r="Y54" s="230">
        <v>0</v>
      </c>
      <c r="Z54" s="230">
        <v>0</v>
      </c>
      <c r="AA54" s="234">
        <f t="shared" si="75"/>
        <v>10314</v>
      </c>
      <c r="AB54" s="229"/>
      <c r="AC54" s="230"/>
      <c r="AD54" s="230"/>
      <c r="AE54" s="230"/>
      <c r="AF54" s="234">
        <f t="shared" si="76"/>
        <v>0</v>
      </c>
      <c r="AG54" s="229"/>
      <c r="AH54" s="230"/>
      <c r="AI54" s="230"/>
      <c r="AJ54" s="230"/>
      <c r="AK54" s="242">
        <f t="shared" si="77"/>
        <v>0</v>
      </c>
      <c r="AL54" s="229"/>
      <c r="AM54" s="230"/>
      <c r="AN54" s="230"/>
      <c r="AO54" s="230"/>
      <c r="AP54" s="234">
        <f t="shared" si="78"/>
        <v>0</v>
      </c>
      <c r="AQ54" s="229"/>
      <c r="AR54" s="230"/>
      <c r="AS54" s="230"/>
      <c r="AT54" s="230"/>
      <c r="AU54" s="234">
        <f t="shared" si="79"/>
        <v>0</v>
      </c>
      <c r="AV54" s="229"/>
      <c r="AW54" s="230"/>
      <c r="AX54" s="230"/>
      <c r="AY54" s="230"/>
      <c r="AZ54" s="234">
        <f t="shared" si="80"/>
        <v>0</v>
      </c>
    </row>
    <row r="55" spans="2:52" s="152" customFormat="1" outlineLevel="1">
      <c r="B55" s="236" t="str">
        <f t="shared" si="70"/>
        <v xml:space="preserve">Energetics </v>
      </c>
      <c r="C55" s="229"/>
      <c r="D55" s="230"/>
      <c r="E55" s="230"/>
      <c r="F55" s="230"/>
      <c r="G55" s="234">
        <f t="shared" si="71"/>
        <v>0</v>
      </c>
      <c r="H55" s="237"/>
      <c r="I55" s="230"/>
      <c r="J55" s="230"/>
      <c r="K55" s="230"/>
      <c r="L55" s="234">
        <f t="shared" si="72"/>
        <v>0</v>
      </c>
      <c r="M55" s="244">
        <v>4875</v>
      </c>
      <c r="N55" s="245">
        <v>0</v>
      </c>
      <c r="O55" s="245">
        <v>0</v>
      </c>
      <c r="P55" s="245">
        <v>0</v>
      </c>
      <c r="Q55" s="234">
        <f t="shared" si="81"/>
        <v>4875</v>
      </c>
      <c r="R55" s="229">
        <v>3132</v>
      </c>
      <c r="S55" s="230">
        <v>0</v>
      </c>
      <c r="T55" s="230">
        <v>0</v>
      </c>
      <c r="U55" s="230">
        <v>0</v>
      </c>
      <c r="V55" s="234">
        <f t="shared" si="74"/>
        <v>3132</v>
      </c>
      <c r="W55" s="229">
        <v>2311</v>
      </c>
      <c r="X55" s="230">
        <v>6</v>
      </c>
      <c r="Y55" s="230">
        <v>0</v>
      </c>
      <c r="Z55" s="230">
        <v>0</v>
      </c>
      <c r="AA55" s="234">
        <f t="shared" si="75"/>
        <v>2317</v>
      </c>
      <c r="AB55" s="229"/>
      <c r="AC55" s="230"/>
      <c r="AD55" s="230"/>
      <c r="AE55" s="230"/>
      <c r="AF55" s="234">
        <f t="shared" si="76"/>
        <v>0</v>
      </c>
      <c r="AG55" s="229"/>
      <c r="AH55" s="230"/>
      <c r="AI55" s="230"/>
      <c r="AJ55" s="230"/>
      <c r="AK55" s="242">
        <f t="shared" si="77"/>
        <v>0</v>
      </c>
      <c r="AL55" s="229"/>
      <c r="AM55" s="230"/>
      <c r="AN55" s="230"/>
      <c r="AO55" s="230"/>
      <c r="AP55" s="234">
        <f t="shared" si="78"/>
        <v>0</v>
      </c>
      <c r="AQ55" s="229"/>
      <c r="AR55" s="230"/>
      <c r="AS55" s="230"/>
      <c r="AT55" s="230"/>
      <c r="AU55" s="234">
        <f t="shared" si="79"/>
        <v>0</v>
      </c>
      <c r="AV55" s="229"/>
      <c r="AW55" s="230"/>
      <c r="AX55" s="230"/>
      <c r="AY55" s="230"/>
      <c r="AZ55" s="234">
        <f t="shared" si="80"/>
        <v>0</v>
      </c>
    </row>
    <row r="56" spans="2:52" s="152" customFormat="1" outlineLevel="1">
      <c r="B56" s="236" t="str">
        <f t="shared" si="70"/>
        <v>EDF IDNO</v>
      </c>
      <c r="C56" s="229"/>
      <c r="D56" s="230"/>
      <c r="E56" s="230"/>
      <c r="F56" s="230"/>
      <c r="G56" s="234">
        <f t="shared" si="71"/>
        <v>0</v>
      </c>
      <c r="H56" s="237"/>
      <c r="I56" s="230"/>
      <c r="J56" s="230"/>
      <c r="K56" s="230"/>
      <c r="L56" s="234">
        <f t="shared" si="72"/>
        <v>0</v>
      </c>
      <c r="M56" s="229">
        <v>0</v>
      </c>
      <c r="N56" s="230">
        <v>0</v>
      </c>
      <c r="O56" s="230">
        <v>0</v>
      </c>
      <c r="P56" s="230">
        <v>0</v>
      </c>
      <c r="Q56" s="234">
        <f t="shared" si="81"/>
        <v>0</v>
      </c>
      <c r="R56" s="229">
        <v>0</v>
      </c>
      <c r="S56" s="230">
        <v>0</v>
      </c>
      <c r="T56" s="230">
        <v>0</v>
      </c>
      <c r="U56" s="230">
        <v>0</v>
      </c>
      <c r="V56" s="234">
        <f t="shared" si="74"/>
        <v>0</v>
      </c>
      <c r="W56" s="229">
        <v>34</v>
      </c>
      <c r="X56" s="230">
        <v>22</v>
      </c>
      <c r="Y56" s="230">
        <v>0</v>
      </c>
      <c r="Z56" s="230">
        <v>0</v>
      </c>
      <c r="AA56" s="234">
        <f t="shared" si="75"/>
        <v>56</v>
      </c>
      <c r="AB56" s="229"/>
      <c r="AC56" s="230"/>
      <c r="AD56" s="230"/>
      <c r="AE56" s="230"/>
      <c r="AF56" s="234">
        <f t="shared" si="76"/>
        <v>0</v>
      </c>
      <c r="AG56" s="229"/>
      <c r="AH56" s="230"/>
      <c r="AI56" s="230"/>
      <c r="AJ56" s="230"/>
      <c r="AK56" s="242">
        <f t="shared" si="77"/>
        <v>0</v>
      </c>
      <c r="AL56" s="229"/>
      <c r="AM56" s="230"/>
      <c r="AN56" s="230"/>
      <c r="AO56" s="230"/>
      <c r="AP56" s="234">
        <f t="shared" si="78"/>
        <v>0</v>
      </c>
      <c r="AQ56" s="229"/>
      <c r="AR56" s="230"/>
      <c r="AS56" s="230"/>
      <c r="AT56" s="230"/>
      <c r="AU56" s="234">
        <f t="shared" si="79"/>
        <v>0</v>
      </c>
      <c r="AV56" s="229"/>
      <c r="AW56" s="230"/>
      <c r="AX56" s="230"/>
      <c r="AY56" s="230"/>
      <c r="AZ56" s="234">
        <f t="shared" si="80"/>
        <v>0</v>
      </c>
    </row>
    <row r="57" spans="2:52" s="152" customFormat="1" outlineLevel="1">
      <c r="B57" s="236" t="str">
        <f t="shared" si="70"/>
        <v xml:space="preserve">ENC </v>
      </c>
      <c r="C57" s="229"/>
      <c r="D57" s="230"/>
      <c r="E57" s="230"/>
      <c r="F57" s="230"/>
      <c r="G57" s="234">
        <f t="shared" si="71"/>
        <v>0</v>
      </c>
      <c r="H57" s="237"/>
      <c r="I57" s="230"/>
      <c r="J57" s="230"/>
      <c r="K57" s="230"/>
      <c r="L57" s="234">
        <f t="shared" si="72"/>
        <v>0</v>
      </c>
      <c r="M57" s="229">
        <v>356</v>
      </c>
      <c r="N57" s="230">
        <v>0</v>
      </c>
      <c r="O57" s="230">
        <v>0</v>
      </c>
      <c r="P57" s="230">
        <v>0</v>
      </c>
      <c r="Q57" s="234">
        <f>SUM(M57:P57)</f>
        <v>356</v>
      </c>
      <c r="R57" s="229">
        <v>1481</v>
      </c>
      <c r="S57" s="230">
        <v>0</v>
      </c>
      <c r="T57" s="230">
        <v>0</v>
      </c>
      <c r="U57" s="230">
        <v>0</v>
      </c>
      <c r="V57" s="234">
        <f>SUM(R57:U57)</f>
        <v>1481</v>
      </c>
      <c r="W57" s="229">
        <v>3734</v>
      </c>
      <c r="X57" s="230">
        <v>1</v>
      </c>
      <c r="Y57" s="230">
        <v>0</v>
      </c>
      <c r="Z57" s="230">
        <v>0</v>
      </c>
      <c r="AA57" s="234">
        <f t="shared" si="75"/>
        <v>3735</v>
      </c>
      <c r="AB57" s="229"/>
      <c r="AC57" s="230"/>
      <c r="AD57" s="230"/>
      <c r="AE57" s="230"/>
      <c r="AF57" s="234">
        <f t="shared" si="76"/>
        <v>0</v>
      </c>
      <c r="AG57" s="229"/>
      <c r="AH57" s="230"/>
      <c r="AI57" s="230"/>
      <c r="AJ57" s="230"/>
      <c r="AK57" s="242">
        <f t="shared" si="77"/>
        <v>0</v>
      </c>
      <c r="AL57" s="229"/>
      <c r="AM57" s="230"/>
      <c r="AN57" s="230"/>
      <c r="AO57" s="230"/>
      <c r="AP57" s="234">
        <f t="shared" si="78"/>
        <v>0</v>
      </c>
      <c r="AQ57" s="229"/>
      <c r="AR57" s="230"/>
      <c r="AS57" s="230"/>
      <c r="AT57" s="230"/>
      <c r="AU57" s="234">
        <f t="shared" si="79"/>
        <v>0</v>
      </c>
      <c r="AV57" s="229"/>
      <c r="AW57" s="230"/>
      <c r="AX57" s="230"/>
      <c r="AY57" s="230"/>
      <c r="AZ57" s="234">
        <f t="shared" si="80"/>
        <v>0</v>
      </c>
    </row>
    <row r="58" spans="2:52" s="152" customFormat="1" ht="13.5" outlineLevel="1" thickBot="1">
      <c r="B58" s="236" t="str">
        <f t="shared" si="70"/>
        <v xml:space="preserve">ESP </v>
      </c>
      <c r="C58" s="273"/>
      <c r="D58" s="274"/>
      <c r="E58" s="274"/>
      <c r="F58" s="274"/>
      <c r="G58" s="275">
        <f t="shared" si="71"/>
        <v>0</v>
      </c>
      <c r="H58" s="276"/>
      <c r="I58" s="274"/>
      <c r="J58" s="274"/>
      <c r="K58" s="274"/>
      <c r="L58" s="275">
        <f t="shared" si="72"/>
        <v>0</v>
      </c>
      <c r="M58" s="244">
        <v>306</v>
      </c>
      <c r="N58" s="245">
        <v>0</v>
      </c>
      <c r="O58" s="245">
        <v>0</v>
      </c>
      <c r="P58" s="245">
        <v>0</v>
      </c>
      <c r="Q58" s="234">
        <f t="shared" ref="Q58" si="82">SUM(M58:P58)</f>
        <v>306</v>
      </c>
      <c r="R58" s="273">
        <v>0</v>
      </c>
      <c r="S58" s="274">
        <v>1</v>
      </c>
      <c r="T58" s="274">
        <v>0</v>
      </c>
      <c r="U58" s="274">
        <v>0</v>
      </c>
      <c r="V58" s="275">
        <f>SUM(R58:U58)</f>
        <v>1</v>
      </c>
      <c r="W58" s="273">
        <v>6</v>
      </c>
      <c r="X58" s="274">
        <v>2</v>
      </c>
      <c r="Y58" s="274">
        <v>0</v>
      </c>
      <c r="Z58" s="274">
        <v>0</v>
      </c>
      <c r="AA58" s="275">
        <f t="shared" si="75"/>
        <v>8</v>
      </c>
      <c r="AB58" s="273"/>
      <c r="AC58" s="274"/>
      <c r="AD58" s="274"/>
      <c r="AE58" s="274"/>
      <c r="AF58" s="275">
        <f t="shared" si="76"/>
        <v>0</v>
      </c>
      <c r="AG58" s="273"/>
      <c r="AH58" s="274"/>
      <c r="AI58" s="274"/>
      <c r="AJ58" s="274"/>
      <c r="AK58" s="325">
        <f t="shared" si="77"/>
        <v>0</v>
      </c>
      <c r="AL58" s="273"/>
      <c r="AM58" s="274"/>
      <c r="AN58" s="274"/>
      <c r="AO58" s="274"/>
      <c r="AP58" s="275">
        <f t="shared" si="78"/>
        <v>0</v>
      </c>
      <c r="AQ58" s="273"/>
      <c r="AR58" s="274"/>
      <c r="AS58" s="274"/>
      <c r="AT58" s="274"/>
      <c r="AU58" s="275">
        <f t="shared" si="79"/>
        <v>0</v>
      </c>
      <c r="AV58" s="273"/>
      <c r="AW58" s="274"/>
      <c r="AX58" s="274"/>
      <c r="AY58" s="274"/>
      <c r="AZ58" s="275">
        <f t="shared" si="80"/>
        <v>0</v>
      </c>
    </row>
    <row r="59" spans="2:52" outlineLevel="1">
      <c r="B59" s="277" t="s">
        <v>110</v>
      </c>
      <c r="C59" s="247">
        <f>SUM(C40:C53)</f>
        <v>0</v>
      </c>
      <c r="D59" s="248">
        <f t="shared" ref="D59:F59" si="83">SUM(D40:D53)</f>
        <v>0</v>
      </c>
      <c r="E59" s="248">
        <f t="shared" si="83"/>
        <v>0</v>
      </c>
      <c r="F59" s="248">
        <f t="shared" si="83"/>
        <v>0</v>
      </c>
      <c r="G59" s="249">
        <f t="shared" ref="G59" si="84">SUM(G40:G53)</f>
        <v>0</v>
      </c>
      <c r="H59" s="272">
        <f>SUM(H40:H53)</f>
        <v>0</v>
      </c>
      <c r="I59" s="248">
        <f t="shared" ref="I59:L59" si="85">SUM(I40:I53)</f>
        <v>0</v>
      </c>
      <c r="J59" s="248">
        <f t="shared" si="85"/>
        <v>0</v>
      </c>
      <c r="K59" s="248">
        <f t="shared" si="85"/>
        <v>0</v>
      </c>
      <c r="L59" s="248">
        <f t="shared" si="85"/>
        <v>0</v>
      </c>
      <c r="M59" s="247">
        <f>SUM(M40:M53)</f>
        <v>327308</v>
      </c>
      <c r="N59" s="248">
        <f t="shared" ref="N59:Q59" si="86">SUM(N40:N53)</f>
        <v>585</v>
      </c>
      <c r="O59" s="248">
        <f t="shared" si="86"/>
        <v>9</v>
      </c>
      <c r="P59" s="248">
        <f t="shared" si="86"/>
        <v>94</v>
      </c>
      <c r="Q59" s="248">
        <f t="shared" si="86"/>
        <v>327996</v>
      </c>
      <c r="R59" s="247">
        <f>SUM(R40:R53)</f>
        <v>245603</v>
      </c>
      <c r="S59" s="248">
        <f t="shared" ref="S59:V59" si="87">SUM(S40:S53)</f>
        <v>885</v>
      </c>
      <c r="T59" s="248">
        <f t="shared" si="87"/>
        <v>15</v>
      </c>
      <c r="U59" s="248">
        <f t="shared" si="87"/>
        <v>244</v>
      </c>
      <c r="V59" s="248">
        <f t="shared" si="87"/>
        <v>246747</v>
      </c>
      <c r="W59" s="247">
        <f>SUM(W40:W53)</f>
        <v>169348</v>
      </c>
      <c r="X59" s="248">
        <f t="shared" ref="X59:AA59" si="88">SUM(X40:X53)</f>
        <v>665</v>
      </c>
      <c r="Y59" s="248">
        <f t="shared" si="88"/>
        <v>18</v>
      </c>
      <c r="Z59" s="248">
        <f t="shared" si="88"/>
        <v>826</v>
      </c>
      <c r="AA59" s="248">
        <f t="shared" si="88"/>
        <v>170857</v>
      </c>
      <c r="AB59" s="247">
        <f>SUM(AB40:AB53)</f>
        <v>0</v>
      </c>
      <c r="AC59" s="248">
        <f t="shared" ref="AC59:AF59" si="89">SUM(AC40:AC53)</f>
        <v>0</v>
      </c>
      <c r="AD59" s="248">
        <f t="shared" si="89"/>
        <v>0</v>
      </c>
      <c r="AE59" s="248">
        <f t="shared" si="89"/>
        <v>0</v>
      </c>
      <c r="AF59" s="248">
        <f t="shared" si="89"/>
        <v>0</v>
      </c>
      <c r="AG59" s="247">
        <f>SUM(AG40:AG53)</f>
        <v>0</v>
      </c>
      <c r="AH59" s="248">
        <f t="shared" ref="AH59:AK59" si="90">SUM(AH40:AH53)</f>
        <v>0</v>
      </c>
      <c r="AI59" s="248">
        <f t="shared" si="90"/>
        <v>0</v>
      </c>
      <c r="AJ59" s="248">
        <f t="shared" si="90"/>
        <v>0</v>
      </c>
      <c r="AK59" s="326">
        <f t="shared" si="90"/>
        <v>0</v>
      </c>
      <c r="AL59" s="247">
        <f>SUM(AL40:AL53)</f>
        <v>0</v>
      </c>
      <c r="AM59" s="248">
        <f t="shared" ref="AM59:AP59" si="91">SUM(AM40:AM53)</f>
        <v>0</v>
      </c>
      <c r="AN59" s="248">
        <f t="shared" si="91"/>
        <v>0</v>
      </c>
      <c r="AO59" s="248">
        <f t="shared" si="91"/>
        <v>0</v>
      </c>
      <c r="AP59" s="249">
        <f t="shared" si="91"/>
        <v>0</v>
      </c>
      <c r="AQ59" s="247">
        <f>SUM(AQ40:AQ53)</f>
        <v>0</v>
      </c>
      <c r="AR59" s="248">
        <f t="shared" ref="AR59:AU59" si="92">SUM(AR40:AR53)</f>
        <v>0</v>
      </c>
      <c r="AS59" s="248">
        <f t="shared" si="92"/>
        <v>0</v>
      </c>
      <c r="AT59" s="248">
        <f t="shared" si="92"/>
        <v>0</v>
      </c>
      <c r="AU59" s="249">
        <f t="shared" si="92"/>
        <v>0</v>
      </c>
      <c r="AV59" s="247">
        <f>SUM(AV40:AV53)</f>
        <v>0</v>
      </c>
      <c r="AW59" s="248">
        <f t="shared" ref="AW59:AZ59" si="93">SUM(AW40:AW53)</f>
        <v>0</v>
      </c>
      <c r="AX59" s="248">
        <f t="shared" si="93"/>
        <v>0</v>
      </c>
      <c r="AY59" s="248">
        <f t="shared" si="93"/>
        <v>0</v>
      </c>
      <c r="AZ59" s="249">
        <f t="shared" si="93"/>
        <v>0</v>
      </c>
    </row>
    <row r="60" spans="2:52" outlineLevel="1">
      <c r="B60" s="228" t="s">
        <v>111</v>
      </c>
      <c r="C60" s="229">
        <f>SUM(C54:C58)</f>
        <v>0</v>
      </c>
      <c r="D60" s="230">
        <f t="shared" ref="D60:F60" si="94">SUM(D54:D58)</f>
        <v>0</v>
      </c>
      <c r="E60" s="230">
        <f t="shared" si="94"/>
        <v>0</v>
      </c>
      <c r="F60" s="230">
        <f t="shared" si="94"/>
        <v>0</v>
      </c>
      <c r="G60" s="234">
        <f t="shared" ref="G60" si="95">SUM(G54:G58)</f>
        <v>0</v>
      </c>
      <c r="H60" s="237">
        <f>SUM(H54:H58)</f>
        <v>0</v>
      </c>
      <c r="I60" s="230">
        <f t="shared" ref="I60:L60" si="96">SUM(I54:I58)</f>
        <v>0</v>
      </c>
      <c r="J60" s="230">
        <f t="shared" si="96"/>
        <v>0</v>
      </c>
      <c r="K60" s="230">
        <f t="shared" si="96"/>
        <v>0</v>
      </c>
      <c r="L60" s="230">
        <f t="shared" si="96"/>
        <v>0</v>
      </c>
      <c r="M60" s="229">
        <f>SUM(M54:M58)</f>
        <v>10248</v>
      </c>
      <c r="N60" s="230">
        <f>SUM(N54:N58)</f>
        <v>0</v>
      </c>
      <c r="O60" s="230">
        <f>SUM(O54:O58)</f>
        <v>0</v>
      </c>
      <c r="P60" s="230">
        <f>SUM(P54:P58)</f>
        <v>0</v>
      </c>
      <c r="Q60" s="230">
        <f>SUM(Q54:Q58)</f>
        <v>10248</v>
      </c>
      <c r="R60" s="229">
        <f t="shared" ref="R60:W60" si="97">SUM(R54:R58)</f>
        <v>12809</v>
      </c>
      <c r="S60" s="230">
        <f t="shared" si="97"/>
        <v>2</v>
      </c>
      <c r="T60" s="230">
        <f t="shared" si="97"/>
        <v>0</v>
      </c>
      <c r="U60" s="230">
        <f t="shared" si="97"/>
        <v>0</v>
      </c>
      <c r="V60" s="230">
        <f t="shared" si="97"/>
        <v>12811</v>
      </c>
      <c r="W60" s="229">
        <f t="shared" si="97"/>
        <v>16391</v>
      </c>
      <c r="X60" s="230">
        <f t="shared" ref="X60:AA60" si="98">SUM(X54:X58)</f>
        <v>39</v>
      </c>
      <c r="Y60" s="230">
        <f t="shared" si="98"/>
        <v>0</v>
      </c>
      <c r="Z60" s="230">
        <f t="shared" si="98"/>
        <v>0</v>
      </c>
      <c r="AA60" s="230">
        <f t="shared" si="98"/>
        <v>16430</v>
      </c>
      <c r="AB60" s="229">
        <f>SUM(AB54:AB58)</f>
        <v>0</v>
      </c>
      <c r="AC60" s="230">
        <f t="shared" ref="AC60:AF60" si="99">SUM(AC54:AC58)</f>
        <v>0</v>
      </c>
      <c r="AD60" s="230">
        <f t="shared" si="99"/>
        <v>0</v>
      </c>
      <c r="AE60" s="230">
        <f t="shared" si="99"/>
        <v>0</v>
      </c>
      <c r="AF60" s="230">
        <f t="shared" si="99"/>
        <v>0</v>
      </c>
      <c r="AG60" s="229">
        <f>SUM(AG54:AG58)</f>
        <v>0</v>
      </c>
      <c r="AH60" s="230">
        <f t="shared" ref="AH60:AK60" si="100">SUM(AH54:AH58)</f>
        <v>0</v>
      </c>
      <c r="AI60" s="230">
        <f t="shared" si="100"/>
        <v>0</v>
      </c>
      <c r="AJ60" s="230">
        <f t="shared" si="100"/>
        <v>0</v>
      </c>
      <c r="AK60" s="242">
        <f t="shared" si="100"/>
        <v>0</v>
      </c>
      <c r="AL60" s="229">
        <f>SUM(AL54:AL58)</f>
        <v>0</v>
      </c>
      <c r="AM60" s="230">
        <f t="shared" ref="AM60:AP60" si="101">SUM(AM54:AM58)</f>
        <v>0</v>
      </c>
      <c r="AN60" s="230">
        <f t="shared" si="101"/>
        <v>0</v>
      </c>
      <c r="AO60" s="230">
        <f t="shared" si="101"/>
        <v>0</v>
      </c>
      <c r="AP60" s="234">
        <f t="shared" si="101"/>
        <v>0</v>
      </c>
      <c r="AQ60" s="229">
        <f>SUM(AQ54:AQ58)</f>
        <v>0</v>
      </c>
      <c r="AR60" s="230">
        <f t="shared" ref="AR60:AU60" si="102">SUM(AR54:AR58)</f>
        <v>0</v>
      </c>
      <c r="AS60" s="230">
        <f t="shared" si="102"/>
        <v>0</v>
      </c>
      <c r="AT60" s="230">
        <f t="shared" si="102"/>
        <v>0</v>
      </c>
      <c r="AU60" s="234">
        <f t="shared" si="102"/>
        <v>0</v>
      </c>
      <c r="AV60" s="229">
        <f>SUM(AV54:AV58)</f>
        <v>0</v>
      </c>
      <c r="AW60" s="230">
        <f t="shared" ref="AW60:AZ60" si="103">SUM(AW54:AW58)</f>
        <v>0</v>
      </c>
      <c r="AX60" s="230">
        <f t="shared" si="103"/>
        <v>0</v>
      </c>
      <c r="AY60" s="230">
        <f t="shared" si="103"/>
        <v>0</v>
      </c>
      <c r="AZ60" s="234">
        <f t="shared" si="103"/>
        <v>0</v>
      </c>
    </row>
    <row r="61" spans="2:52" outlineLevel="1">
      <c r="B61" s="227" t="s">
        <v>105</v>
      </c>
      <c r="C61" s="55"/>
      <c r="D61" s="52"/>
      <c r="E61" s="52"/>
      <c r="F61" s="52"/>
      <c r="G61" s="56">
        <f>SUM(C61:F61)</f>
        <v>0</v>
      </c>
      <c r="H61" s="216"/>
      <c r="I61" s="52"/>
      <c r="J61" s="52"/>
      <c r="K61" s="52"/>
      <c r="L61" s="56">
        <f>SUM(H61:K61)</f>
        <v>0</v>
      </c>
      <c r="M61" s="55">
        <v>1327</v>
      </c>
      <c r="N61" s="52">
        <v>10</v>
      </c>
      <c r="O61" s="52">
        <v>0</v>
      </c>
      <c r="P61" s="52">
        <v>0</v>
      </c>
      <c r="Q61" s="56">
        <f>SUM(M61:P61)</f>
        <v>1337</v>
      </c>
      <c r="R61" s="55">
        <v>1759</v>
      </c>
      <c r="S61" s="52">
        <v>15</v>
      </c>
      <c r="T61" s="52">
        <v>0</v>
      </c>
      <c r="U61" s="52">
        <v>0</v>
      </c>
      <c r="V61" s="56">
        <f>SUM(R61:U61)</f>
        <v>1774</v>
      </c>
      <c r="W61" s="221">
        <v>1319</v>
      </c>
      <c r="X61" s="52">
        <v>2</v>
      </c>
      <c r="Y61" s="52">
        <v>0</v>
      </c>
      <c r="Z61" s="52">
        <v>0</v>
      </c>
      <c r="AA61" s="56">
        <f>SUM(W61:Z61)</f>
        <v>1321</v>
      </c>
      <c r="AB61" s="55"/>
      <c r="AC61" s="52"/>
      <c r="AD61" s="52"/>
      <c r="AE61" s="52"/>
      <c r="AF61" s="56">
        <f>SUM(AB61:AE61)</f>
        <v>0</v>
      </c>
      <c r="AG61" s="55"/>
      <c r="AH61" s="52"/>
      <c r="AI61" s="52"/>
      <c r="AJ61" s="52"/>
      <c r="AK61" s="95">
        <f>SUM(AG61:AJ61)</f>
        <v>0</v>
      </c>
      <c r="AL61" s="55"/>
      <c r="AM61" s="52"/>
      <c r="AN61" s="52"/>
      <c r="AO61" s="52"/>
      <c r="AP61" s="56">
        <f>SUM(AL61:AO61)</f>
        <v>0</v>
      </c>
      <c r="AQ61" s="55"/>
      <c r="AR61" s="52"/>
      <c r="AS61" s="52"/>
      <c r="AT61" s="52"/>
      <c r="AU61" s="56">
        <f>SUM(AQ61:AT61)</f>
        <v>0</v>
      </c>
      <c r="AV61" s="55"/>
      <c r="AW61" s="52"/>
      <c r="AX61" s="52"/>
      <c r="AY61" s="52"/>
      <c r="AZ61" s="56">
        <f>SUM(AV61:AY61)</f>
        <v>0</v>
      </c>
    </row>
    <row r="62" spans="2:52" ht="13.5" outlineLevel="1" thickBot="1">
      <c r="B62" s="181" t="s">
        <v>78</v>
      </c>
      <c r="C62" s="57">
        <f t="shared" ref="C62:AH62" si="104">C59+C60+C61</f>
        <v>0</v>
      </c>
      <c r="D62" s="200">
        <f t="shared" si="104"/>
        <v>0</v>
      </c>
      <c r="E62" s="200">
        <f t="shared" si="104"/>
        <v>0</v>
      </c>
      <c r="F62" s="200">
        <f t="shared" si="104"/>
        <v>0</v>
      </c>
      <c r="G62" s="201">
        <f t="shared" si="104"/>
        <v>0</v>
      </c>
      <c r="H62" s="217">
        <f t="shared" si="104"/>
        <v>0</v>
      </c>
      <c r="I62" s="200">
        <f t="shared" si="104"/>
        <v>0</v>
      </c>
      <c r="J62" s="200">
        <f t="shared" si="104"/>
        <v>0</v>
      </c>
      <c r="K62" s="200">
        <f t="shared" si="104"/>
        <v>0</v>
      </c>
      <c r="L62" s="201">
        <f t="shared" si="104"/>
        <v>0</v>
      </c>
      <c r="M62" s="57">
        <f t="shared" si="104"/>
        <v>338883</v>
      </c>
      <c r="N62" s="200">
        <f t="shared" si="104"/>
        <v>595</v>
      </c>
      <c r="O62" s="200">
        <f t="shared" si="104"/>
        <v>9</v>
      </c>
      <c r="P62" s="200">
        <f t="shared" si="104"/>
        <v>94</v>
      </c>
      <c r="Q62" s="201">
        <f t="shared" si="104"/>
        <v>339581</v>
      </c>
      <c r="R62" s="57">
        <f t="shared" si="104"/>
        <v>260171</v>
      </c>
      <c r="S62" s="200">
        <f t="shared" si="104"/>
        <v>902</v>
      </c>
      <c r="T62" s="200">
        <f t="shared" si="104"/>
        <v>15</v>
      </c>
      <c r="U62" s="200">
        <f t="shared" si="104"/>
        <v>244</v>
      </c>
      <c r="V62" s="201">
        <f t="shared" si="104"/>
        <v>261332</v>
      </c>
      <c r="W62" s="57">
        <f t="shared" si="104"/>
        <v>187058</v>
      </c>
      <c r="X62" s="200">
        <f t="shared" si="104"/>
        <v>706</v>
      </c>
      <c r="Y62" s="200">
        <f t="shared" si="104"/>
        <v>18</v>
      </c>
      <c r="Z62" s="200">
        <f t="shared" si="104"/>
        <v>826</v>
      </c>
      <c r="AA62" s="201">
        <f t="shared" si="104"/>
        <v>188608</v>
      </c>
      <c r="AB62" s="57">
        <f t="shared" si="104"/>
        <v>0</v>
      </c>
      <c r="AC62" s="200">
        <f t="shared" si="104"/>
        <v>0</v>
      </c>
      <c r="AD62" s="200">
        <f t="shared" si="104"/>
        <v>0</v>
      </c>
      <c r="AE62" s="200">
        <f t="shared" si="104"/>
        <v>0</v>
      </c>
      <c r="AF62" s="201">
        <f t="shared" si="104"/>
        <v>0</v>
      </c>
      <c r="AG62" s="57">
        <f t="shared" si="104"/>
        <v>0</v>
      </c>
      <c r="AH62" s="200">
        <f t="shared" si="104"/>
        <v>0</v>
      </c>
      <c r="AI62" s="200">
        <f t="shared" ref="AI62:AZ62" si="105">AI59+AI60+AI61</f>
        <v>0</v>
      </c>
      <c r="AJ62" s="200">
        <f t="shared" si="105"/>
        <v>0</v>
      </c>
      <c r="AK62" s="220">
        <f t="shared" si="105"/>
        <v>0</v>
      </c>
      <c r="AL62" s="57">
        <f t="shared" si="105"/>
        <v>0</v>
      </c>
      <c r="AM62" s="200">
        <f t="shared" si="105"/>
        <v>0</v>
      </c>
      <c r="AN62" s="200">
        <f t="shared" si="105"/>
        <v>0</v>
      </c>
      <c r="AO62" s="200">
        <f t="shared" si="105"/>
        <v>0</v>
      </c>
      <c r="AP62" s="201">
        <f t="shared" si="105"/>
        <v>0</v>
      </c>
      <c r="AQ62" s="57">
        <f t="shared" si="105"/>
        <v>0</v>
      </c>
      <c r="AR62" s="200">
        <f t="shared" si="105"/>
        <v>0</v>
      </c>
      <c r="AS62" s="200">
        <f t="shared" si="105"/>
        <v>0</v>
      </c>
      <c r="AT62" s="200">
        <f t="shared" si="105"/>
        <v>0</v>
      </c>
      <c r="AU62" s="201">
        <f t="shared" si="105"/>
        <v>0</v>
      </c>
      <c r="AV62" s="57">
        <f t="shared" si="105"/>
        <v>0</v>
      </c>
      <c r="AW62" s="200">
        <f t="shared" si="105"/>
        <v>0</v>
      </c>
      <c r="AX62" s="200">
        <f t="shared" si="105"/>
        <v>0</v>
      </c>
      <c r="AY62" s="200">
        <f t="shared" si="105"/>
        <v>0</v>
      </c>
      <c r="AZ62" s="201">
        <f t="shared" si="105"/>
        <v>0</v>
      </c>
    </row>
    <row r="63" spans="2:52" s="93" customFormat="1" ht="25.5" outlineLevel="1">
      <c r="B63" s="269" t="s">
        <v>116</v>
      </c>
      <c r="C63" s="253" t="e">
        <f>C59/G62</f>
        <v>#DIV/0!</v>
      </c>
      <c r="D63" s="254" t="e">
        <f>D59/G62</f>
        <v>#DIV/0!</v>
      </c>
      <c r="E63" s="254" t="e">
        <f>E59/G62</f>
        <v>#DIV/0!</v>
      </c>
      <c r="F63" s="266" t="e">
        <f>F59/G62</f>
        <v>#DIV/0!</v>
      </c>
      <c r="G63" s="270"/>
      <c r="H63" s="253" t="e">
        <f>H59/L62</f>
        <v>#DIV/0!</v>
      </c>
      <c r="I63" s="254" t="e">
        <f>I59/L62</f>
        <v>#DIV/0!</v>
      </c>
      <c r="J63" s="254" t="e">
        <f>J59/L62</f>
        <v>#DIV/0!</v>
      </c>
      <c r="K63" s="266" t="e">
        <f>K59/L62</f>
        <v>#DIV/0!</v>
      </c>
      <c r="L63" s="270"/>
      <c r="M63" s="253">
        <f>M59/Q62</f>
        <v>0.96385840197184181</v>
      </c>
      <c r="N63" s="254">
        <f>N59/Q62</f>
        <v>1.7227112235372415E-3</v>
      </c>
      <c r="O63" s="254">
        <f>O59/Q62</f>
        <v>2.6503249592880638E-5</v>
      </c>
      <c r="P63" s="266">
        <f>P59/Q62</f>
        <v>2.7681171797008667E-4</v>
      </c>
      <c r="Q63" s="270"/>
      <c r="R63" s="253">
        <f>R59/V62</f>
        <v>0.93981219291935159</v>
      </c>
      <c r="S63" s="254">
        <f>S59/V62</f>
        <v>3.386496869881989E-3</v>
      </c>
      <c r="T63" s="254">
        <f>T59/V62</f>
        <v>5.739825203189812E-5</v>
      </c>
      <c r="U63" s="266">
        <f>U59/V62</f>
        <v>9.3367823305220944E-4</v>
      </c>
      <c r="V63" s="270"/>
      <c r="W63" s="253">
        <f>W59/AA62</f>
        <v>0.89788344078724125</v>
      </c>
      <c r="X63" s="254">
        <f>X59/AA62</f>
        <v>3.5258313539192399E-3</v>
      </c>
      <c r="Y63" s="254">
        <f>Y59/AA62</f>
        <v>9.5436036647438067E-5</v>
      </c>
      <c r="Z63" s="266">
        <f>Z59/AA62</f>
        <v>4.3794536817102136E-3</v>
      </c>
      <c r="AA63" s="270"/>
      <c r="AB63" s="253" t="e">
        <f>AB59/AF62</f>
        <v>#DIV/0!</v>
      </c>
      <c r="AC63" s="254" t="e">
        <f>AC59/AF62</f>
        <v>#DIV/0!</v>
      </c>
      <c r="AD63" s="254" t="e">
        <f>AD59/AF62</f>
        <v>#DIV/0!</v>
      </c>
      <c r="AE63" s="266" t="e">
        <f>AE59/AF62</f>
        <v>#DIV/0!</v>
      </c>
      <c r="AF63" s="270"/>
      <c r="AG63" s="253" t="e">
        <f>AG59/AK62</f>
        <v>#DIV/0!</v>
      </c>
      <c r="AH63" s="254" t="e">
        <f>AH59/AK62</f>
        <v>#DIV/0!</v>
      </c>
      <c r="AI63" s="254" t="e">
        <f>AI59/AK62</f>
        <v>#DIV/0!</v>
      </c>
      <c r="AJ63" s="266" t="e">
        <f>AJ59/AK62</f>
        <v>#DIV/0!</v>
      </c>
      <c r="AK63" s="270"/>
      <c r="AL63" s="253" t="e">
        <f>AL59/AP62</f>
        <v>#DIV/0!</v>
      </c>
      <c r="AM63" s="254" t="e">
        <f>AM59/AP62</f>
        <v>#DIV/0!</v>
      </c>
      <c r="AN63" s="254" t="e">
        <f>AN59/AP62</f>
        <v>#DIV/0!</v>
      </c>
      <c r="AO63" s="266" t="e">
        <f>AO59/AP62</f>
        <v>#DIV/0!</v>
      </c>
      <c r="AP63" s="270"/>
      <c r="AQ63" s="253" t="e">
        <f>AQ59/AU62</f>
        <v>#DIV/0!</v>
      </c>
      <c r="AR63" s="254" t="e">
        <f>AR59/AU62</f>
        <v>#DIV/0!</v>
      </c>
      <c r="AS63" s="254" t="e">
        <f>AS59/AU62</f>
        <v>#DIV/0!</v>
      </c>
      <c r="AT63" s="266" t="e">
        <f>AT59/AU62</f>
        <v>#DIV/0!</v>
      </c>
      <c r="AU63" s="270"/>
      <c r="AV63" s="253" t="e">
        <f>AV59/AZ62</f>
        <v>#DIV/0!</v>
      </c>
      <c r="AW63" s="254" t="e">
        <f>AW59/AZ62</f>
        <v>#DIV/0!</v>
      </c>
      <c r="AX63" s="254" t="e">
        <f>AX59/AZ62</f>
        <v>#DIV/0!</v>
      </c>
      <c r="AY63" s="266" t="e">
        <f>AY59/AZ62</f>
        <v>#DIV/0!</v>
      </c>
      <c r="AZ63" s="270"/>
    </row>
    <row r="64" spans="2:52" s="93" customFormat="1" ht="25.5" outlineLevel="1">
      <c r="B64" s="271" t="s">
        <v>117</v>
      </c>
      <c r="C64" s="255" t="e">
        <f>C60/G62</f>
        <v>#DIV/0!</v>
      </c>
      <c r="D64" s="62" t="e">
        <f>D60/G62</f>
        <v>#DIV/0!</v>
      </c>
      <c r="E64" s="62" t="e">
        <f>E60/G62</f>
        <v>#DIV/0!</v>
      </c>
      <c r="F64" s="252" t="e">
        <f>F60/G62</f>
        <v>#DIV/0!</v>
      </c>
      <c r="G64" s="267"/>
      <c r="H64" s="255" t="e">
        <f>H60/L62</f>
        <v>#DIV/0!</v>
      </c>
      <c r="I64" s="62" t="e">
        <f>I60/L62</f>
        <v>#DIV/0!</v>
      </c>
      <c r="J64" s="62" t="e">
        <f>J60/L62</f>
        <v>#DIV/0!</v>
      </c>
      <c r="K64" s="252" t="e">
        <f>K60/L62</f>
        <v>#DIV/0!</v>
      </c>
      <c r="L64" s="267"/>
      <c r="M64" s="255">
        <f>M60/Q62</f>
        <v>3.0178366869760085E-2</v>
      </c>
      <c r="N64" s="62">
        <f>N60/Q62</f>
        <v>0</v>
      </c>
      <c r="O64" s="62">
        <f>O60/Q62</f>
        <v>0</v>
      </c>
      <c r="P64" s="252">
        <f>P60/Q62</f>
        <v>0</v>
      </c>
      <c r="Q64" s="267"/>
      <c r="R64" s="255">
        <f>R60/V62</f>
        <v>4.9014280685105535E-2</v>
      </c>
      <c r="S64" s="62">
        <f>S60/V62</f>
        <v>7.653100270919749E-6</v>
      </c>
      <c r="T64" s="62">
        <f>T60/V62</f>
        <v>0</v>
      </c>
      <c r="U64" s="252">
        <f>U60/V62</f>
        <v>0</v>
      </c>
      <c r="V64" s="267"/>
      <c r="W64" s="255">
        <f>W60/AA62</f>
        <v>8.6905115371564298E-2</v>
      </c>
      <c r="X64" s="62">
        <f>X60/AA62</f>
        <v>2.0677807940278249E-4</v>
      </c>
      <c r="Y64" s="62">
        <f>Y60/AA62</f>
        <v>0</v>
      </c>
      <c r="Z64" s="252">
        <f>Z60/AA62</f>
        <v>0</v>
      </c>
      <c r="AA64" s="267"/>
      <c r="AB64" s="255" t="e">
        <f>AB60/AF62</f>
        <v>#DIV/0!</v>
      </c>
      <c r="AC64" s="62" t="e">
        <f>AC60/AF62</f>
        <v>#DIV/0!</v>
      </c>
      <c r="AD64" s="62" t="e">
        <f>AD60/AF62</f>
        <v>#DIV/0!</v>
      </c>
      <c r="AE64" s="252" t="e">
        <f>AE60/AF62</f>
        <v>#DIV/0!</v>
      </c>
      <c r="AF64" s="267"/>
      <c r="AG64" s="255" t="e">
        <f>AG60/AK62</f>
        <v>#DIV/0!</v>
      </c>
      <c r="AH64" s="62" t="e">
        <f>AH60/AK62</f>
        <v>#DIV/0!</v>
      </c>
      <c r="AI64" s="62" t="e">
        <f>AI60/AK62</f>
        <v>#DIV/0!</v>
      </c>
      <c r="AJ64" s="252" t="e">
        <f>AJ60/AK62</f>
        <v>#DIV/0!</v>
      </c>
      <c r="AK64" s="267"/>
      <c r="AL64" s="255" t="e">
        <f>AL60/AP62</f>
        <v>#DIV/0!</v>
      </c>
      <c r="AM64" s="62" t="e">
        <f>AM60/AP62</f>
        <v>#DIV/0!</v>
      </c>
      <c r="AN64" s="62" t="e">
        <f>AN60/AP62</f>
        <v>#DIV/0!</v>
      </c>
      <c r="AO64" s="252" t="e">
        <f>AO60/AP62</f>
        <v>#DIV/0!</v>
      </c>
      <c r="AP64" s="267"/>
      <c r="AQ64" s="255" t="e">
        <f>AQ60/AU62</f>
        <v>#DIV/0!</v>
      </c>
      <c r="AR64" s="62" t="e">
        <f>AR60/AU62</f>
        <v>#DIV/0!</v>
      </c>
      <c r="AS64" s="62" t="e">
        <f>AS60/AU62</f>
        <v>#DIV/0!</v>
      </c>
      <c r="AT64" s="252" t="e">
        <f>AT60/AU62</f>
        <v>#DIV/0!</v>
      </c>
      <c r="AU64" s="267"/>
      <c r="AV64" s="255" t="e">
        <f>AV60/AZ62</f>
        <v>#DIV/0!</v>
      </c>
      <c r="AW64" s="62" t="e">
        <f>AW60/AZ62</f>
        <v>#DIV/0!</v>
      </c>
      <c r="AX64" s="62" t="e">
        <f>AX60/AZ62</f>
        <v>#DIV/0!</v>
      </c>
      <c r="AY64" s="252" t="e">
        <f>AY60/AZ62</f>
        <v>#DIV/0!</v>
      </c>
      <c r="AZ64" s="267"/>
    </row>
    <row r="65" spans="1:52" s="93" customFormat="1" ht="25.5" outlineLevel="1">
      <c r="B65" s="271" t="s">
        <v>118</v>
      </c>
      <c r="C65" s="255" t="e">
        <f>C61/G62</f>
        <v>#DIV/0!</v>
      </c>
      <c r="D65" s="62" t="e">
        <f>D61/G62</f>
        <v>#DIV/0!</v>
      </c>
      <c r="E65" s="62" t="e">
        <f>E61/G62</f>
        <v>#DIV/0!</v>
      </c>
      <c r="F65" s="252" t="e">
        <f>F62/G62</f>
        <v>#DIV/0!</v>
      </c>
      <c r="G65" s="287" t="e">
        <f>SUM(C63:F65)</f>
        <v>#DIV/0!</v>
      </c>
      <c r="H65" s="255" t="e">
        <f>H61/L62</f>
        <v>#DIV/0!</v>
      </c>
      <c r="I65" s="62" t="e">
        <f>I61/L62</f>
        <v>#DIV/0!</v>
      </c>
      <c r="J65" s="62" t="e">
        <f>J61/L62</f>
        <v>#DIV/0!</v>
      </c>
      <c r="K65" s="252" t="e">
        <f>K62/L62</f>
        <v>#DIV/0!</v>
      </c>
      <c r="L65" s="287" t="e">
        <f>SUM(H63:K65)</f>
        <v>#DIV/0!</v>
      </c>
      <c r="M65" s="255">
        <f>M61/Q62</f>
        <v>3.9077569121947339E-3</v>
      </c>
      <c r="N65" s="62">
        <f>N61/Q62</f>
        <v>2.9448055103200709E-5</v>
      </c>
      <c r="O65" s="62">
        <f>O61/Q62</f>
        <v>0</v>
      </c>
      <c r="P65" s="252">
        <f>P62/Q62</f>
        <v>2.7681171797008667E-4</v>
      </c>
      <c r="Q65" s="287">
        <f>SUM(M63:P65)</f>
        <v>1.0002768117179701</v>
      </c>
      <c r="R65" s="255">
        <f>R61/V62</f>
        <v>6.7309016882739197E-3</v>
      </c>
      <c r="S65" s="62">
        <f>S61/V62</f>
        <v>5.739825203189812E-5</v>
      </c>
      <c r="T65" s="62">
        <f>T61/V62</f>
        <v>0</v>
      </c>
      <c r="U65" s="252">
        <f>U62/V62</f>
        <v>9.3367823305220944E-4</v>
      </c>
      <c r="V65" s="287">
        <f>SUM(R63:U65)</f>
        <v>1.0009336782330522</v>
      </c>
      <c r="W65" s="255">
        <f>W61/AA62</f>
        <v>6.993340685442823E-3</v>
      </c>
      <c r="X65" s="62">
        <f>X61/AA62</f>
        <v>1.0604004071937564E-5</v>
      </c>
      <c r="Y65" s="62">
        <f>Y61/AA62</f>
        <v>0</v>
      </c>
      <c r="Z65" s="252">
        <f>Z62/AA62</f>
        <v>4.3794536817102136E-3</v>
      </c>
      <c r="AA65" s="287">
        <f>SUM(W63:Z65)</f>
        <v>1.0043794536817101</v>
      </c>
      <c r="AB65" s="255" t="e">
        <f>AB61/AF62</f>
        <v>#DIV/0!</v>
      </c>
      <c r="AC65" s="62" t="e">
        <f>AC61/AF62</f>
        <v>#DIV/0!</v>
      </c>
      <c r="AD65" s="62" t="e">
        <f>AD61/AF62</f>
        <v>#DIV/0!</v>
      </c>
      <c r="AE65" s="252" t="e">
        <f>AE62/AF62</f>
        <v>#DIV/0!</v>
      </c>
      <c r="AF65" s="287" t="e">
        <f>SUM(AB63:AE65)</f>
        <v>#DIV/0!</v>
      </c>
      <c r="AG65" s="255" t="e">
        <f>AG61/AK62</f>
        <v>#DIV/0!</v>
      </c>
      <c r="AH65" s="62" t="e">
        <f>AH61/AK62</f>
        <v>#DIV/0!</v>
      </c>
      <c r="AI65" s="62" t="e">
        <f>AI61/AK62</f>
        <v>#DIV/0!</v>
      </c>
      <c r="AJ65" s="252" t="e">
        <f>AJ62/AK62</f>
        <v>#DIV/0!</v>
      </c>
      <c r="AK65" s="287" t="e">
        <f>SUM(AG63:AJ65)</f>
        <v>#DIV/0!</v>
      </c>
      <c r="AL65" s="255" t="e">
        <f>AL61/AP62</f>
        <v>#DIV/0!</v>
      </c>
      <c r="AM65" s="62" t="e">
        <f>AM61/AP62</f>
        <v>#DIV/0!</v>
      </c>
      <c r="AN65" s="62" t="e">
        <f>AN61/AP62</f>
        <v>#DIV/0!</v>
      </c>
      <c r="AO65" s="252" t="e">
        <f>AO62/AP62</f>
        <v>#DIV/0!</v>
      </c>
      <c r="AP65" s="287" t="e">
        <f>SUM(AL63:AO65)</f>
        <v>#DIV/0!</v>
      </c>
      <c r="AQ65" s="255" t="e">
        <f>AQ61/AU62</f>
        <v>#DIV/0!</v>
      </c>
      <c r="AR65" s="62" t="e">
        <f>AR61/AU62</f>
        <v>#DIV/0!</v>
      </c>
      <c r="AS65" s="62" t="e">
        <f>AS61/AU62</f>
        <v>#DIV/0!</v>
      </c>
      <c r="AT65" s="252" t="e">
        <f>AT62/AU62</f>
        <v>#DIV/0!</v>
      </c>
      <c r="AU65" s="287" t="e">
        <f>SUM(AQ63:AT65)</f>
        <v>#DIV/0!</v>
      </c>
      <c r="AV65" s="255" t="e">
        <f>AV61/AZ62</f>
        <v>#DIV/0!</v>
      </c>
      <c r="AW65" s="62" t="e">
        <f>AW61/AZ62</f>
        <v>#DIV/0!</v>
      </c>
      <c r="AX65" s="62" t="e">
        <f>AX61/AZ62</f>
        <v>#DIV/0!</v>
      </c>
      <c r="AY65" s="252" t="e">
        <f>AY62/AZ62</f>
        <v>#DIV/0!</v>
      </c>
      <c r="AZ65" s="287" t="e">
        <f>SUM(AV63:AY65)</f>
        <v>#DIV/0!</v>
      </c>
    </row>
    <row r="66" spans="1:52" ht="13.5" outlineLevel="1" thickBot="1">
      <c r="B66" s="246" t="s">
        <v>119</v>
      </c>
      <c r="C66" s="256" t="e">
        <f>C62/G62</f>
        <v>#DIV/0!</v>
      </c>
      <c r="D66" s="257" t="e">
        <f>D62/G62</f>
        <v>#DIV/0!</v>
      </c>
      <c r="E66" s="257" t="e">
        <f>E62/G62</f>
        <v>#DIV/0!</v>
      </c>
      <c r="F66" s="257" t="e">
        <f>F62/G62</f>
        <v>#DIV/0!</v>
      </c>
      <c r="G66" s="268" t="e">
        <f>SUM(C66:F66)</f>
        <v>#DIV/0!</v>
      </c>
      <c r="H66" s="256" t="e">
        <f>H62/L62</f>
        <v>#DIV/0!</v>
      </c>
      <c r="I66" s="257" t="e">
        <f>I62/L62</f>
        <v>#DIV/0!</v>
      </c>
      <c r="J66" s="257" t="e">
        <f>J62/L62</f>
        <v>#DIV/0!</v>
      </c>
      <c r="K66" s="257" t="e">
        <f>K62/L62</f>
        <v>#DIV/0!</v>
      </c>
      <c r="L66" s="268" t="e">
        <f>SUM(H66:K66)</f>
        <v>#DIV/0!</v>
      </c>
      <c r="M66" s="256">
        <f>M62/Q62</f>
        <v>0.99794452575379655</v>
      </c>
      <c r="N66" s="257">
        <f>N62/Q62</f>
        <v>1.7521592786404422E-3</v>
      </c>
      <c r="O66" s="257">
        <f>O62/Q62</f>
        <v>2.6503249592880638E-5</v>
      </c>
      <c r="P66" s="257">
        <f>P62/Q62</f>
        <v>2.7681171797008667E-4</v>
      </c>
      <c r="Q66" s="268">
        <f>SUM(M66:P66)</f>
        <v>1</v>
      </c>
      <c r="R66" s="256">
        <f>R62/V62</f>
        <v>0.99555737529273114</v>
      </c>
      <c r="S66" s="257">
        <f>S62/V62</f>
        <v>3.451548222184807E-3</v>
      </c>
      <c r="T66" s="257">
        <f>T62/V62</f>
        <v>5.739825203189812E-5</v>
      </c>
      <c r="U66" s="257">
        <f>U62/V62</f>
        <v>9.3367823305220944E-4</v>
      </c>
      <c r="V66" s="268">
        <f>SUM(R66:U66)</f>
        <v>1</v>
      </c>
      <c r="W66" s="256">
        <f>W62/AA62</f>
        <v>0.99178189684424833</v>
      </c>
      <c r="X66" s="257">
        <f>X62/AA62</f>
        <v>3.74321343739396E-3</v>
      </c>
      <c r="Y66" s="257">
        <f>Y62/AA62</f>
        <v>9.5436036647438067E-5</v>
      </c>
      <c r="Z66" s="257">
        <f>Z62/AA62</f>
        <v>4.3794536817102136E-3</v>
      </c>
      <c r="AA66" s="268">
        <f>SUM(W66:Z66)</f>
        <v>0.99999999999999989</v>
      </c>
      <c r="AB66" s="256" t="e">
        <f>AB62/AF62</f>
        <v>#DIV/0!</v>
      </c>
      <c r="AC66" s="257" t="e">
        <f>AC62/AF62</f>
        <v>#DIV/0!</v>
      </c>
      <c r="AD66" s="257" t="e">
        <f>AD62/AF62</f>
        <v>#DIV/0!</v>
      </c>
      <c r="AE66" s="257" t="e">
        <f>AE62/AF62</f>
        <v>#DIV/0!</v>
      </c>
      <c r="AF66" s="268" t="e">
        <f>SUM(AB66:AE66)</f>
        <v>#DIV/0!</v>
      </c>
      <c r="AG66" s="256" t="e">
        <f>AG62/AK62</f>
        <v>#DIV/0!</v>
      </c>
      <c r="AH66" s="257" t="e">
        <f>AH62/AK62</f>
        <v>#DIV/0!</v>
      </c>
      <c r="AI66" s="257" t="e">
        <f>AI62/AK62</f>
        <v>#DIV/0!</v>
      </c>
      <c r="AJ66" s="257" t="e">
        <f>AJ62/AK62</f>
        <v>#DIV/0!</v>
      </c>
      <c r="AK66" s="268" t="e">
        <f>SUM(AG66:AJ66)</f>
        <v>#DIV/0!</v>
      </c>
      <c r="AL66" s="256" t="e">
        <f>AL62/AP62</f>
        <v>#DIV/0!</v>
      </c>
      <c r="AM66" s="257" t="e">
        <f>AM62/AP62</f>
        <v>#DIV/0!</v>
      </c>
      <c r="AN66" s="257" t="e">
        <f>AN62/AP62</f>
        <v>#DIV/0!</v>
      </c>
      <c r="AO66" s="257" t="e">
        <f>AO62/AP62</f>
        <v>#DIV/0!</v>
      </c>
      <c r="AP66" s="268" t="e">
        <f>SUM(AL66:AO66)</f>
        <v>#DIV/0!</v>
      </c>
      <c r="AQ66" s="256" t="e">
        <f>AQ62/AU62</f>
        <v>#DIV/0!</v>
      </c>
      <c r="AR66" s="257" t="e">
        <f>AR62/AU62</f>
        <v>#DIV/0!</v>
      </c>
      <c r="AS66" s="257" t="e">
        <f>AS62/AU62</f>
        <v>#DIV/0!</v>
      </c>
      <c r="AT66" s="257" t="e">
        <f>AT62/AU62</f>
        <v>#DIV/0!</v>
      </c>
      <c r="AU66" s="268" t="e">
        <f>SUM(AQ66:AT66)</f>
        <v>#DIV/0!</v>
      </c>
      <c r="AV66" s="256" t="e">
        <f>AV62/AZ62</f>
        <v>#DIV/0!</v>
      </c>
      <c r="AW66" s="257" t="e">
        <f>AW62/AZ62</f>
        <v>#DIV/0!</v>
      </c>
      <c r="AX66" s="257" t="e">
        <f>AX62/AZ62</f>
        <v>#DIV/0!</v>
      </c>
      <c r="AY66" s="257" t="e">
        <f>AY62/AZ62</f>
        <v>#DIV/0!</v>
      </c>
      <c r="AZ66" s="268" t="e">
        <f>SUM(AV66:AY66)</f>
        <v>#DIV/0!</v>
      </c>
    </row>
    <row r="67" spans="1:52" outlineLevel="1">
      <c r="A67" s="13"/>
      <c r="B67" s="434"/>
      <c r="C67" s="37"/>
    </row>
    <row r="68" spans="1:52">
      <c r="B68" s="125"/>
    </row>
    <row r="69" spans="1:52" ht="13.5" thickBot="1">
      <c r="B69" s="2" t="s">
        <v>115</v>
      </c>
    </row>
    <row r="70" spans="1:52" ht="13.5" outlineLevel="1" thickBot="1">
      <c r="B70" s="343" t="s">
        <v>19</v>
      </c>
      <c r="C70" s="344" t="str">
        <f>C6</f>
        <v>2005-06</v>
      </c>
      <c r="D70" s="345" t="str">
        <f>CONCATENATE(LEFT(C70, 4)+1 &amp;"-" &amp;IF(C70&gt;"2007-08",,"0") &amp;RIGHT(C70,2)+1)</f>
        <v>2006-07</v>
      </c>
      <c r="E70" s="345" t="str">
        <f t="shared" ref="E70:L70" si="106">CONCATENATE(LEFT(D70, 4)+1 &amp;"-" &amp;IF(D70&gt;"2007-08",,"0") &amp;RIGHT(D70,2)+1)</f>
        <v>2007-08</v>
      </c>
      <c r="F70" s="345" t="str">
        <f t="shared" si="106"/>
        <v>2008-09</v>
      </c>
      <c r="G70" s="346" t="str">
        <f t="shared" si="106"/>
        <v>2009-10</v>
      </c>
      <c r="H70" s="344" t="str">
        <f t="shared" si="106"/>
        <v>2010-11</v>
      </c>
      <c r="I70" s="345" t="str">
        <f t="shared" si="106"/>
        <v>2011-12</v>
      </c>
      <c r="J70" s="345" t="str">
        <f t="shared" si="106"/>
        <v>2012-13</v>
      </c>
      <c r="K70" s="345" t="str">
        <f t="shared" si="106"/>
        <v>2013-14</v>
      </c>
      <c r="L70" s="347" t="str">
        <f t="shared" si="106"/>
        <v>2014-15</v>
      </c>
    </row>
    <row r="71" spans="1:52" ht="13.5" outlineLevel="1" thickTop="1">
      <c r="B71" s="238" t="str">
        <f>B8</f>
        <v>CN West</v>
      </c>
      <c r="C71" s="226"/>
      <c r="D71" s="223"/>
      <c r="E71" s="223">
        <v>9897</v>
      </c>
      <c r="F71" s="223">
        <v>8989</v>
      </c>
      <c r="G71" s="225">
        <v>5568</v>
      </c>
      <c r="H71" s="226"/>
      <c r="I71" s="223"/>
      <c r="J71" s="223"/>
      <c r="K71" s="223"/>
      <c r="L71" s="224"/>
    </row>
    <row r="72" spans="1:52" outlineLevel="1">
      <c r="B72" s="212" t="str">
        <f t="shared" ref="B72:B89" si="107">B9</f>
        <v>CN East</v>
      </c>
      <c r="C72" s="221"/>
      <c r="D72" s="219"/>
      <c r="E72" s="223">
        <v>5806</v>
      </c>
      <c r="F72" s="223">
        <v>13126</v>
      </c>
      <c r="G72" s="303">
        <v>4116</v>
      </c>
      <c r="H72" s="221"/>
      <c r="I72" s="219"/>
      <c r="J72" s="219"/>
      <c r="K72" s="219"/>
      <c r="L72" s="222"/>
    </row>
    <row r="73" spans="1:52" outlineLevel="1">
      <c r="B73" s="212" t="str">
        <f t="shared" si="107"/>
        <v>ENWL</v>
      </c>
      <c r="C73" s="221"/>
      <c r="D73" s="219"/>
      <c r="E73" s="223">
        <v>17130</v>
      </c>
      <c r="F73" s="223">
        <v>12635</v>
      </c>
      <c r="G73" s="303">
        <v>8303</v>
      </c>
      <c r="H73" s="221"/>
      <c r="I73" s="219"/>
      <c r="J73" s="219"/>
      <c r="K73" s="219"/>
      <c r="L73" s="222"/>
    </row>
    <row r="74" spans="1:52" outlineLevel="1">
      <c r="B74" s="212" t="str">
        <f t="shared" si="107"/>
        <v>CE NEDL</v>
      </c>
      <c r="C74" s="221"/>
      <c r="D74" s="219"/>
      <c r="E74" s="223">
        <v>22162</v>
      </c>
      <c r="F74" s="223">
        <v>24802</v>
      </c>
      <c r="G74" s="303">
        <v>21265</v>
      </c>
      <c r="H74" s="221"/>
      <c r="I74" s="219"/>
      <c r="J74" s="219"/>
      <c r="K74" s="219"/>
      <c r="L74" s="222"/>
    </row>
    <row r="75" spans="1:52" outlineLevel="1">
      <c r="B75" s="212" t="str">
        <f t="shared" si="107"/>
        <v>CE YEDL</v>
      </c>
      <c r="C75" s="221"/>
      <c r="D75" s="219"/>
      <c r="E75" s="223">
        <v>43626</v>
      </c>
      <c r="F75" s="223">
        <v>33239</v>
      </c>
      <c r="G75" s="303">
        <v>32257</v>
      </c>
      <c r="H75" s="221"/>
      <c r="I75" s="219"/>
      <c r="J75" s="219"/>
      <c r="K75" s="219"/>
      <c r="L75" s="222"/>
    </row>
    <row r="76" spans="1:52" outlineLevel="1">
      <c r="B76" s="212" t="str">
        <f t="shared" si="107"/>
        <v>WPD S Wales</v>
      </c>
      <c r="C76" s="221"/>
      <c r="D76" s="219"/>
      <c r="E76" s="223">
        <v>3368</v>
      </c>
      <c r="F76" s="223">
        <v>2936</v>
      </c>
      <c r="G76" s="303">
        <v>1306</v>
      </c>
      <c r="H76" s="221"/>
      <c r="I76" s="219"/>
      <c r="J76" s="219"/>
      <c r="K76" s="219"/>
      <c r="L76" s="222"/>
    </row>
    <row r="77" spans="1:52" outlineLevel="1">
      <c r="B77" s="212" t="str">
        <f t="shared" si="107"/>
        <v>WPD S West</v>
      </c>
      <c r="C77" s="221"/>
      <c r="D77" s="219"/>
      <c r="E77" s="223">
        <v>9423</v>
      </c>
      <c r="F77" s="223">
        <v>2504</v>
      </c>
      <c r="G77" s="303">
        <v>8034</v>
      </c>
      <c r="H77" s="221"/>
      <c r="I77" s="219"/>
      <c r="J77" s="219"/>
      <c r="K77" s="219"/>
      <c r="L77" s="222"/>
    </row>
    <row r="78" spans="1:52" outlineLevel="1">
      <c r="B78" s="212" t="str">
        <f t="shared" si="107"/>
        <v>UKPN LPN</v>
      </c>
      <c r="C78" s="221"/>
      <c r="D78" s="219"/>
      <c r="E78" s="219">
        <v>12793</v>
      </c>
      <c r="F78" s="223">
        <v>15988</v>
      </c>
      <c r="G78" s="303">
        <v>22040</v>
      </c>
      <c r="H78" s="221"/>
      <c r="I78" s="219"/>
      <c r="J78" s="219"/>
      <c r="K78" s="219"/>
      <c r="L78" s="222"/>
    </row>
    <row r="79" spans="1:52" outlineLevel="1">
      <c r="B79" s="212" t="str">
        <f t="shared" si="107"/>
        <v>UKPN SEPN</v>
      </c>
      <c r="C79" s="221"/>
      <c r="D79" s="219"/>
      <c r="E79" s="219">
        <v>8477</v>
      </c>
      <c r="F79" s="223">
        <v>11051</v>
      </c>
      <c r="G79" s="303">
        <v>10862</v>
      </c>
      <c r="H79" s="221"/>
      <c r="I79" s="219"/>
      <c r="J79" s="219"/>
      <c r="K79" s="219"/>
      <c r="L79" s="222"/>
    </row>
    <row r="80" spans="1:52" outlineLevel="1">
      <c r="B80" s="212" t="str">
        <f t="shared" si="107"/>
        <v>UKPN EPN</v>
      </c>
      <c r="C80" s="221"/>
      <c r="D80" s="219"/>
      <c r="E80" s="219">
        <v>19726</v>
      </c>
      <c r="F80" s="223">
        <v>9170</v>
      </c>
      <c r="G80" s="303">
        <v>12290</v>
      </c>
      <c r="H80" s="221"/>
      <c r="I80" s="219"/>
      <c r="J80" s="219"/>
      <c r="K80" s="219"/>
      <c r="L80" s="222"/>
    </row>
    <row r="81" spans="1:12" outlineLevel="1">
      <c r="B81" s="212" t="str">
        <f t="shared" si="107"/>
        <v>SP Distribution</v>
      </c>
      <c r="C81" s="221"/>
      <c r="D81" s="219"/>
      <c r="E81" s="219">
        <v>2761</v>
      </c>
      <c r="F81" s="223">
        <v>2194</v>
      </c>
      <c r="G81" s="303">
        <v>3837</v>
      </c>
      <c r="H81" s="221"/>
      <c r="I81" s="219"/>
      <c r="J81" s="219"/>
      <c r="K81" s="219"/>
      <c r="L81" s="222"/>
    </row>
    <row r="82" spans="1:12" outlineLevel="1">
      <c r="B82" s="212" t="str">
        <f t="shared" si="107"/>
        <v>SP Manweb</v>
      </c>
      <c r="C82" s="221"/>
      <c r="D82" s="219"/>
      <c r="E82" s="219">
        <v>3764</v>
      </c>
      <c r="F82" s="223">
        <v>7362</v>
      </c>
      <c r="G82" s="303">
        <v>4719</v>
      </c>
      <c r="H82" s="221"/>
      <c r="I82" s="219"/>
      <c r="J82" s="219"/>
      <c r="K82" s="219"/>
      <c r="L82" s="222"/>
    </row>
    <row r="83" spans="1:12" outlineLevel="1">
      <c r="B83" s="212" t="str">
        <f t="shared" si="107"/>
        <v>SSE Hydro</v>
      </c>
      <c r="C83" s="221"/>
      <c r="D83" s="219"/>
      <c r="E83" s="219">
        <v>698</v>
      </c>
      <c r="F83" s="223">
        <v>533</v>
      </c>
      <c r="G83" s="303">
        <v>1023</v>
      </c>
      <c r="H83" s="221"/>
      <c r="I83" s="219"/>
      <c r="J83" s="219"/>
      <c r="K83" s="219"/>
      <c r="L83" s="222"/>
    </row>
    <row r="84" spans="1:12" outlineLevel="1">
      <c r="B84" s="212" t="str">
        <f t="shared" si="107"/>
        <v>SSE Southern</v>
      </c>
      <c r="C84" s="221"/>
      <c r="D84" s="219"/>
      <c r="E84" s="219">
        <v>7529</v>
      </c>
      <c r="F84" s="223">
        <v>18352</v>
      </c>
      <c r="G84" s="303">
        <v>11730</v>
      </c>
      <c r="H84" s="221"/>
      <c r="I84" s="219"/>
      <c r="J84" s="219"/>
      <c r="K84" s="219"/>
      <c r="L84" s="222"/>
    </row>
    <row r="85" spans="1:12" outlineLevel="1">
      <c r="B85" s="236" t="str">
        <f t="shared" si="107"/>
        <v xml:space="preserve">IPNL </v>
      </c>
      <c r="C85" s="243"/>
      <c r="D85" s="233"/>
      <c r="E85" s="233">
        <v>0</v>
      </c>
      <c r="F85" s="233">
        <v>1045</v>
      </c>
      <c r="G85" s="304">
        <v>1258</v>
      </c>
      <c r="H85" s="243"/>
      <c r="I85" s="233"/>
      <c r="J85" s="233"/>
      <c r="K85" s="233"/>
      <c r="L85" s="305"/>
    </row>
    <row r="86" spans="1:12" outlineLevel="1">
      <c r="B86" s="236" t="str">
        <f t="shared" si="107"/>
        <v xml:space="preserve">Energetics </v>
      </c>
      <c r="C86" s="243"/>
      <c r="D86" s="233"/>
      <c r="E86" s="316">
        <v>236</v>
      </c>
      <c r="F86" s="233">
        <v>264</v>
      </c>
      <c r="G86" s="304">
        <v>113</v>
      </c>
      <c r="H86" s="243"/>
      <c r="I86" s="233"/>
      <c r="J86" s="233"/>
      <c r="K86" s="233"/>
      <c r="L86" s="305"/>
    </row>
    <row r="87" spans="1:12" outlineLevel="1">
      <c r="B87" s="236" t="str">
        <f t="shared" si="107"/>
        <v>EDF IDNO</v>
      </c>
      <c r="C87" s="243"/>
      <c r="D87" s="233"/>
      <c r="E87" s="233">
        <v>0</v>
      </c>
      <c r="F87" s="233">
        <v>0</v>
      </c>
      <c r="G87" s="304">
        <v>0</v>
      </c>
      <c r="H87" s="243"/>
      <c r="I87" s="233"/>
      <c r="J87" s="233"/>
      <c r="K87" s="233"/>
      <c r="L87" s="305"/>
    </row>
    <row r="88" spans="1:12" outlineLevel="1">
      <c r="B88" s="236" t="str">
        <f t="shared" si="107"/>
        <v xml:space="preserve">ENC </v>
      </c>
      <c r="C88" s="243"/>
      <c r="D88" s="233"/>
      <c r="E88" s="233">
        <v>0</v>
      </c>
      <c r="F88" s="233">
        <v>156</v>
      </c>
      <c r="G88" s="304">
        <v>27</v>
      </c>
      <c r="H88" s="243"/>
      <c r="I88" s="233"/>
      <c r="J88" s="233"/>
      <c r="K88" s="233"/>
      <c r="L88" s="305"/>
    </row>
    <row r="89" spans="1:12" ht="13.5" outlineLevel="1" thickBot="1">
      <c r="B89" s="228" t="str">
        <f t="shared" si="107"/>
        <v xml:space="preserve">ESP </v>
      </c>
      <c r="C89" s="315"/>
      <c r="D89" s="316"/>
      <c r="E89" s="233">
        <v>0</v>
      </c>
      <c r="F89" s="316">
        <v>0</v>
      </c>
      <c r="G89" s="317">
        <v>2</v>
      </c>
      <c r="H89" s="315"/>
      <c r="I89" s="316"/>
      <c r="J89" s="316"/>
      <c r="K89" s="316"/>
      <c r="L89" s="318"/>
    </row>
    <row r="90" spans="1:12" outlineLevel="1">
      <c r="B90" s="323" t="s">
        <v>110</v>
      </c>
      <c r="C90" s="319">
        <f>SUM(C71:C84)</f>
        <v>0</v>
      </c>
      <c r="D90" s="320">
        <f t="shared" ref="D90" si="108">SUM(D71:D84)</f>
        <v>0</v>
      </c>
      <c r="E90" s="320">
        <f>SUM(E71:E84)</f>
        <v>167160</v>
      </c>
      <c r="F90" s="320">
        <f>SUM(F71:F84)</f>
        <v>162881</v>
      </c>
      <c r="G90" s="321">
        <f t="shared" ref="G90:L90" si="109">SUM(G71:G84)</f>
        <v>147350</v>
      </c>
      <c r="H90" s="319">
        <f t="shared" si="109"/>
        <v>0</v>
      </c>
      <c r="I90" s="320">
        <f t="shared" si="109"/>
        <v>0</v>
      </c>
      <c r="J90" s="320">
        <f t="shared" si="109"/>
        <v>0</v>
      </c>
      <c r="K90" s="320">
        <f t="shared" si="109"/>
        <v>0</v>
      </c>
      <c r="L90" s="324">
        <f t="shared" si="109"/>
        <v>0</v>
      </c>
    </row>
    <row r="91" spans="1:12" outlineLevel="1">
      <c r="B91" s="236" t="s">
        <v>111</v>
      </c>
      <c r="C91" s="243">
        <f>SUM(C85:C89)</f>
        <v>0</v>
      </c>
      <c r="D91" s="233">
        <f t="shared" ref="D91" si="110">SUM(D85:D89)</f>
        <v>0</v>
      </c>
      <c r="E91" s="233">
        <f>SUM(E85:E89)</f>
        <v>236</v>
      </c>
      <c r="F91" s="233">
        <f>SUM(F85:F89)</f>
        <v>1465</v>
      </c>
      <c r="G91" s="304">
        <f>SUM(G85:G89)</f>
        <v>1400</v>
      </c>
      <c r="H91" s="243">
        <f t="shared" ref="H91:L91" si="111">SUM(H85:H89)</f>
        <v>0</v>
      </c>
      <c r="I91" s="233">
        <f t="shared" si="111"/>
        <v>0</v>
      </c>
      <c r="J91" s="233">
        <f t="shared" si="111"/>
        <v>0</v>
      </c>
      <c r="K91" s="233">
        <f t="shared" si="111"/>
        <v>0</v>
      </c>
      <c r="L91" s="307">
        <f t="shared" si="111"/>
        <v>0</v>
      </c>
    </row>
    <row r="92" spans="1:12" ht="13.5" outlineLevel="1" thickBot="1">
      <c r="B92" s="181" t="s">
        <v>78</v>
      </c>
      <c r="C92" s="308">
        <f t="shared" ref="C92:L92" si="112">C90+C91</f>
        <v>0</v>
      </c>
      <c r="D92" s="235">
        <f t="shared" si="112"/>
        <v>0</v>
      </c>
      <c r="E92" s="235">
        <f t="shared" si="112"/>
        <v>167396</v>
      </c>
      <c r="F92" s="235">
        <f t="shared" si="112"/>
        <v>164346</v>
      </c>
      <c r="G92" s="335">
        <f t="shared" si="112"/>
        <v>148750</v>
      </c>
      <c r="H92" s="231">
        <f t="shared" si="112"/>
        <v>0</v>
      </c>
      <c r="I92" s="235">
        <f t="shared" si="112"/>
        <v>0</v>
      </c>
      <c r="J92" s="235">
        <f t="shared" si="112"/>
        <v>0</v>
      </c>
      <c r="K92" s="235">
        <f t="shared" si="112"/>
        <v>0</v>
      </c>
      <c r="L92" s="309">
        <f t="shared" si="112"/>
        <v>0</v>
      </c>
    </row>
    <row r="93" spans="1:12" ht="25.5" outlineLevel="1">
      <c r="B93" s="269" t="s">
        <v>116</v>
      </c>
      <c r="C93" s="288" t="e">
        <f>C90/C92</f>
        <v>#DIV/0!</v>
      </c>
      <c r="D93" s="266" t="e">
        <f t="shared" ref="D93:L93" si="113">D90/D92</f>
        <v>#DIV/0!</v>
      </c>
      <c r="E93" s="266">
        <f t="shared" si="113"/>
        <v>0.99859016941862411</v>
      </c>
      <c r="F93" s="266">
        <f t="shared" si="113"/>
        <v>0.99108587979019869</v>
      </c>
      <c r="G93" s="336">
        <f t="shared" si="113"/>
        <v>0.99058823529411766</v>
      </c>
      <c r="H93" s="338" t="e">
        <f t="shared" si="113"/>
        <v>#DIV/0!</v>
      </c>
      <c r="I93" s="266" t="e">
        <f t="shared" si="113"/>
        <v>#DIV/0!</v>
      </c>
      <c r="J93" s="266" t="e">
        <f t="shared" si="113"/>
        <v>#DIV/0!</v>
      </c>
      <c r="K93" s="266" t="e">
        <f t="shared" si="113"/>
        <v>#DIV/0!</v>
      </c>
      <c r="L93" s="289" t="e">
        <f t="shared" si="113"/>
        <v>#DIV/0!</v>
      </c>
    </row>
    <row r="94" spans="1:12" ht="25.5" outlineLevel="1">
      <c r="B94" s="271" t="s">
        <v>117</v>
      </c>
      <c r="C94" s="290" t="e">
        <f>C91/C92</f>
        <v>#DIV/0!</v>
      </c>
      <c r="D94" s="252" t="e">
        <f t="shared" ref="D94:L94" si="114">D91/D92</f>
        <v>#DIV/0!</v>
      </c>
      <c r="E94" s="252">
        <f t="shared" si="114"/>
        <v>1.409830581375899E-3</v>
      </c>
      <c r="F94" s="252">
        <f t="shared" si="114"/>
        <v>8.9141202098012729E-3</v>
      </c>
      <c r="G94" s="286">
        <f t="shared" si="114"/>
        <v>9.4117647058823521E-3</v>
      </c>
      <c r="H94" s="339" t="e">
        <f t="shared" si="114"/>
        <v>#DIV/0!</v>
      </c>
      <c r="I94" s="252" t="e">
        <f t="shared" si="114"/>
        <v>#DIV/0!</v>
      </c>
      <c r="J94" s="252" t="e">
        <f t="shared" si="114"/>
        <v>#DIV/0!</v>
      </c>
      <c r="K94" s="252" t="e">
        <f t="shared" si="114"/>
        <v>#DIV/0!</v>
      </c>
      <c r="L94" s="287" t="e">
        <f t="shared" si="114"/>
        <v>#DIV/0!</v>
      </c>
    </row>
    <row r="95" spans="1:12" ht="13.5" outlineLevel="1" thickBot="1">
      <c r="B95" s="291" t="s">
        <v>77</v>
      </c>
      <c r="C95" s="292" t="e">
        <f>IF(SUM(C93:C94)=1,"ok","error")</f>
        <v>#DIV/0!</v>
      </c>
      <c r="D95" s="293" t="e">
        <f t="shared" ref="D95:L95" si="115">IF(SUM(D93:D94)=1,"ok","error")</f>
        <v>#DIV/0!</v>
      </c>
      <c r="E95" s="293" t="str">
        <f t="shared" si="115"/>
        <v>ok</v>
      </c>
      <c r="F95" s="293" t="str">
        <f t="shared" si="115"/>
        <v>ok</v>
      </c>
      <c r="G95" s="337" t="str">
        <f t="shared" si="115"/>
        <v>ok</v>
      </c>
      <c r="H95" s="340" t="e">
        <f t="shared" si="115"/>
        <v>#DIV/0!</v>
      </c>
      <c r="I95" s="293" t="e">
        <f t="shared" si="115"/>
        <v>#DIV/0!</v>
      </c>
      <c r="J95" s="293" t="e">
        <f t="shared" si="115"/>
        <v>#DIV/0!</v>
      </c>
      <c r="K95" s="293" t="e">
        <f t="shared" si="115"/>
        <v>#DIV/0!</v>
      </c>
      <c r="L95" s="294" t="e">
        <f t="shared" si="115"/>
        <v>#DIV/0!</v>
      </c>
    </row>
    <row r="96" spans="1:12" outlineLevel="1">
      <c r="A96" s="13"/>
      <c r="B96" s="434"/>
      <c r="C96" s="37"/>
    </row>
    <row r="97" spans="1:12" outlineLevel="1">
      <c r="A97" s="13"/>
      <c r="B97" s="433"/>
      <c r="C97" s="37"/>
    </row>
    <row r="98" spans="1:12" outlineLevel="1">
      <c r="C98" s="37"/>
    </row>
    <row r="100" spans="1:12" ht="13.5" thickBot="1">
      <c r="B100" s="2" t="s">
        <v>120</v>
      </c>
    </row>
    <row r="101" spans="1:12" ht="13.5" outlineLevel="1" thickBot="1">
      <c r="B101" s="343" t="s">
        <v>19</v>
      </c>
      <c r="C101" s="344" t="str">
        <f>C70</f>
        <v>2005-06</v>
      </c>
      <c r="D101" s="345" t="str">
        <f>CONCATENATE(LEFT(C101, 4)+1 &amp;"-" &amp;IF(C101&gt;"2007-08",,"0") &amp;RIGHT(C101,2)+1)</f>
        <v>2006-07</v>
      </c>
      <c r="E101" s="345" t="str">
        <f t="shared" ref="E101:L101" si="116">CONCATENATE(LEFT(D101, 4)+1 &amp;"-" &amp;IF(D101&gt;"2007-08",,"0") &amp;RIGHT(D101,2)+1)</f>
        <v>2007-08</v>
      </c>
      <c r="F101" s="345" t="str">
        <f t="shared" si="116"/>
        <v>2008-09</v>
      </c>
      <c r="G101" s="346" t="str">
        <f t="shared" si="116"/>
        <v>2009-10</v>
      </c>
      <c r="H101" s="344" t="str">
        <f t="shared" si="116"/>
        <v>2010-11</v>
      </c>
      <c r="I101" s="345" t="str">
        <f t="shared" si="116"/>
        <v>2011-12</v>
      </c>
      <c r="J101" s="345" t="str">
        <f t="shared" si="116"/>
        <v>2012-13</v>
      </c>
      <c r="K101" s="345" t="str">
        <f t="shared" si="116"/>
        <v>2013-14</v>
      </c>
      <c r="L101" s="347" t="str">
        <f t="shared" si="116"/>
        <v>2014-15</v>
      </c>
    </row>
    <row r="102" spans="1:12" ht="13.5" outlineLevel="1" thickTop="1">
      <c r="B102" s="238" t="str">
        <f>B8</f>
        <v>CN West</v>
      </c>
      <c r="C102" s="226">
        <f t="shared" ref="C102:C108" si="117">F8+C71</f>
        <v>0</v>
      </c>
      <c r="D102" s="223">
        <f t="shared" ref="D102:D108" si="118">K8+D71</f>
        <v>0</v>
      </c>
      <c r="E102" s="223">
        <f t="shared" ref="E102:E108" si="119">P8+E71</f>
        <v>32418</v>
      </c>
      <c r="F102" s="223">
        <f t="shared" ref="F102:F108" si="120">U8+F71</f>
        <v>23039</v>
      </c>
      <c r="G102" s="225">
        <f t="shared" ref="G102:G108" si="121">Z8+G71</f>
        <v>15482</v>
      </c>
      <c r="H102" s="226">
        <f t="shared" ref="H102:H108" si="122">AE8+H71</f>
        <v>0</v>
      </c>
      <c r="I102" s="223">
        <f t="shared" ref="I102:I108" si="123">AJ8+I71</f>
        <v>0</v>
      </c>
      <c r="J102" s="223">
        <f t="shared" ref="J102:J108" si="124">AO8+J71</f>
        <v>0</v>
      </c>
      <c r="K102" s="223">
        <f t="shared" ref="K102:K108" si="125">AT8+K71</f>
        <v>0</v>
      </c>
      <c r="L102" s="224">
        <f t="shared" ref="L102:L108" si="126">AY8+L71</f>
        <v>0</v>
      </c>
    </row>
    <row r="103" spans="1:12" outlineLevel="1">
      <c r="B103" s="212" t="str">
        <f t="shared" ref="B103:B120" si="127">B9</f>
        <v>CN East</v>
      </c>
      <c r="C103" s="221">
        <f t="shared" si="117"/>
        <v>0</v>
      </c>
      <c r="D103" s="219">
        <f t="shared" si="118"/>
        <v>0</v>
      </c>
      <c r="E103" s="223">
        <f t="shared" si="119"/>
        <v>36830</v>
      </c>
      <c r="F103" s="223">
        <f t="shared" si="120"/>
        <v>30777</v>
      </c>
      <c r="G103" s="303">
        <f t="shared" si="121"/>
        <v>15754</v>
      </c>
      <c r="H103" s="221">
        <f t="shared" si="122"/>
        <v>0</v>
      </c>
      <c r="I103" s="219">
        <f t="shared" si="123"/>
        <v>0</v>
      </c>
      <c r="J103" s="219">
        <f t="shared" si="124"/>
        <v>0</v>
      </c>
      <c r="K103" s="219">
        <f t="shared" si="125"/>
        <v>0</v>
      </c>
      <c r="L103" s="222">
        <f t="shared" si="126"/>
        <v>0</v>
      </c>
    </row>
    <row r="104" spans="1:12" outlineLevel="1">
      <c r="B104" s="212" t="str">
        <f t="shared" si="127"/>
        <v>ENWL</v>
      </c>
      <c r="C104" s="221">
        <f t="shared" si="117"/>
        <v>0</v>
      </c>
      <c r="D104" s="219">
        <f t="shared" si="118"/>
        <v>0</v>
      </c>
      <c r="E104" s="223">
        <f t="shared" si="119"/>
        <v>41090</v>
      </c>
      <c r="F104" s="223">
        <f t="shared" si="120"/>
        <v>28780</v>
      </c>
      <c r="G104" s="303">
        <f t="shared" si="121"/>
        <v>18888</v>
      </c>
      <c r="H104" s="221">
        <f t="shared" si="122"/>
        <v>0</v>
      </c>
      <c r="I104" s="219">
        <f t="shared" si="123"/>
        <v>0</v>
      </c>
      <c r="J104" s="219">
        <f t="shared" si="124"/>
        <v>0</v>
      </c>
      <c r="K104" s="219">
        <f t="shared" si="125"/>
        <v>0</v>
      </c>
      <c r="L104" s="222">
        <f t="shared" si="126"/>
        <v>0</v>
      </c>
    </row>
    <row r="105" spans="1:12" outlineLevel="1">
      <c r="B105" s="212" t="str">
        <f t="shared" si="127"/>
        <v>CE NEDL</v>
      </c>
      <c r="C105" s="221">
        <f t="shared" si="117"/>
        <v>0</v>
      </c>
      <c r="D105" s="219">
        <f t="shared" si="118"/>
        <v>0</v>
      </c>
      <c r="E105" s="223">
        <f t="shared" si="119"/>
        <v>36969</v>
      </c>
      <c r="F105" s="223">
        <f t="shared" si="120"/>
        <v>36484</v>
      </c>
      <c r="G105" s="303">
        <f t="shared" si="121"/>
        <v>29346</v>
      </c>
      <c r="H105" s="221">
        <f t="shared" si="122"/>
        <v>0</v>
      </c>
      <c r="I105" s="219">
        <f t="shared" si="123"/>
        <v>0</v>
      </c>
      <c r="J105" s="219">
        <f t="shared" si="124"/>
        <v>0</v>
      </c>
      <c r="K105" s="219">
        <f t="shared" si="125"/>
        <v>0</v>
      </c>
      <c r="L105" s="222">
        <f t="shared" si="126"/>
        <v>0</v>
      </c>
    </row>
    <row r="106" spans="1:12" outlineLevel="1">
      <c r="B106" s="212" t="str">
        <f t="shared" si="127"/>
        <v>CE YEDL</v>
      </c>
      <c r="C106" s="221">
        <f t="shared" si="117"/>
        <v>0</v>
      </c>
      <c r="D106" s="219">
        <f t="shared" si="118"/>
        <v>0</v>
      </c>
      <c r="E106" s="223">
        <f t="shared" si="119"/>
        <v>69278</v>
      </c>
      <c r="F106" s="223">
        <f t="shared" si="120"/>
        <v>50001</v>
      </c>
      <c r="G106" s="303">
        <f t="shared" si="121"/>
        <v>43906</v>
      </c>
      <c r="H106" s="221">
        <f t="shared" si="122"/>
        <v>0</v>
      </c>
      <c r="I106" s="219">
        <f t="shared" si="123"/>
        <v>0</v>
      </c>
      <c r="J106" s="219">
        <f t="shared" si="124"/>
        <v>0</v>
      </c>
      <c r="K106" s="219">
        <f t="shared" si="125"/>
        <v>0</v>
      </c>
      <c r="L106" s="222">
        <f t="shared" si="126"/>
        <v>0</v>
      </c>
    </row>
    <row r="107" spans="1:12" outlineLevel="1">
      <c r="B107" s="212" t="str">
        <f t="shared" si="127"/>
        <v>WPD S Wales</v>
      </c>
      <c r="C107" s="221">
        <f t="shared" si="117"/>
        <v>0</v>
      </c>
      <c r="D107" s="219">
        <f t="shared" si="118"/>
        <v>0</v>
      </c>
      <c r="E107" s="223">
        <f t="shared" si="119"/>
        <v>14277</v>
      </c>
      <c r="F107" s="223">
        <f t="shared" si="120"/>
        <v>11875</v>
      </c>
      <c r="G107" s="303">
        <f t="shared" si="121"/>
        <v>7897</v>
      </c>
      <c r="H107" s="221">
        <f t="shared" si="122"/>
        <v>0</v>
      </c>
      <c r="I107" s="219">
        <f t="shared" si="123"/>
        <v>0</v>
      </c>
      <c r="J107" s="219">
        <f t="shared" si="124"/>
        <v>0</v>
      </c>
      <c r="K107" s="219">
        <f t="shared" si="125"/>
        <v>0</v>
      </c>
      <c r="L107" s="222">
        <f t="shared" si="126"/>
        <v>0</v>
      </c>
    </row>
    <row r="108" spans="1:12" outlineLevel="1">
      <c r="B108" s="212" t="str">
        <f t="shared" si="127"/>
        <v>WPD S West</v>
      </c>
      <c r="C108" s="221">
        <f t="shared" si="117"/>
        <v>0</v>
      </c>
      <c r="D108" s="219">
        <f t="shared" si="118"/>
        <v>0</v>
      </c>
      <c r="E108" s="223">
        <f t="shared" si="119"/>
        <v>29634</v>
      </c>
      <c r="F108" s="223">
        <f t="shared" si="120"/>
        <v>20073</v>
      </c>
      <c r="G108" s="303">
        <f t="shared" si="121"/>
        <v>21502</v>
      </c>
      <c r="H108" s="221">
        <f t="shared" si="122"/>
        <v>0</v>
      </c>
      <c r="I108" s="219">
        <f t="shared" si="123"/>
        <v>0</v>
      </c>
      <c r="J108" s="219">
        <f t="shared" si="124"/>
        <v>0</v>
      </c>
      <c r="K108" s="219">
        <f t="shared" si="125"/>
        <v>0</v>
      </c>
      <c r="L108" s="222">
        <f t="shared" si="126"/>
        <v>0</v>
      </c>
    </row>
    <row r="109" spans="1:12" outlineLevel="1">
      <c r="B109" s="212" t="str">
        <f t="shared" si="127"/>
        <v>UKPN LPN</v>
      </c>
      <c r="C109" s="221">
        <f>F17+C78</f>
        <v>0</v>
      </c>
      <c r="D109" s="219">
        <f>K17+D78</f>
        <v>0</v>
      </c>
      <c r="E109" s="219">
        <f>P17+E78</f>
        <v>53477</v>
      </c>
      <c r="F109" s="223">
        <f>U17+F78</f>
        <v>47198</v>
      </c>
      <c r="G109" s="303">
        <f>Z17+G78</f>
        <v>42795</v>
      </c>
      <c r="H109" s="221">
        <f>AE17+H78</f>
        <v>0</v>
      </c>
      <c r="I109" s="219">
        <f>AJ17+I78</f>
        <v>0</v>
      </c>
      <c r="J109" s="219">
        <f>AO17+J78</f>
        <v>0</v>
      </c>
      <c r="K109" s="219">
        <f>AT17+K78</f>
        <v>0</v>
      </c>
      <c r="L109" s="222">
        <f>AY17+L78</f>
        <v>0</v>
      </c>
    </row>
    <row r="110" spans="1:12" outlineLevel="1">
      <c r="B110" s="212" t="str">
        <f t="shared" si="127"/>
        <v>UKPN SEPN</v>
      </c>
      <c r="C110" s="221">
        <f>F15+C79</f>
        <v>0</v>
      </c>
      <c r="D110" s="219">
        <f>K15+D79</f>
        <v>0</v>
      </c>
      <c r="E110" s="219">
        <f>P15+E79</f>
        <v>31086</v>
      </c>
      <c r="F110" s="223">
        <f>U15+F79</f>
        <v>40319</v>
      </c>
      <c r="G110" s="303">
        <f>Z15+G79</f>
        <v>31767</v>
      </c>
      <c r="H110" s="221">
        <f>AE15+H79</f>
        <v>0</v>
      </c>
      <c r="I110" s="219">
        <f>AJ15+I79</f>
        <v>0</v>
      </c>
      <c r="J110" s="219">
        <f>AO15+J79</f>
        <v>0</v>
      </c>
      <c r="K110" s="219">
        <f>AT15+K79</f>
        <v>0</v>
      </c>
      <c r="L110" s="222">
        <f>AY15+L79</f>
        <v>0</v>
      </c>
    </row>
    <row r="111" spans="1:12" outlineLevel="1">
      <c r="B111" s="212" t="str">
        <f t="shared" si="127"/>
        <v>UKPN EPN</v>
      </c>
      <c r="C111" s="221">
        <f>F16+C80</f>
        <v>0</v>
      </c>
      <c r="D111" s="219">
        <f>K16+D80</f>
        <v>0</v>
      </c>
      <c r="E111" s="219">
        <f>P16+E80</f>
        <v>46444</v>
      </c>
      <c r="F111" s="223">
        <f>U16+F80</f>
        <v>26751</v>
      </c>
      <c r="G111" s="303">
        <f>Z16+G80</f>
        <v>25688</v>
      </c>
      <c r="H111" s="221">
        <f>AE16+H80</f>
        <v>0</v>
      </c>
      <c r="I111" s="219">
        <f>AJ16+I80</f>
        <v>0</v>
      </c>
      <c r="J111" s="219">
        <f>AO16+J80</f>
        <v>0</v>
      </c>
      <c r="K111" s="219">
        <f>AT16+K80</f>
        <v>0</v>
      </c>
      <c r="L111" s="222">
        <f>AY16+L80</f>
        <v>0</v>
      </c>
    </row>
    <row r="112" spans="1:12" outlineLevel="1">
      <c r="B112" s="212" t="str">
        <f t="shared" si="127"/>
        <v>SP Distribution</v>
      </c>
      <c r="C112" s="221">
        <f t="shared" ref="C112:C120" si="128">F18+C81</f>
        <v>0</v>
      </c>
      <c r="D112" s="219">
        <f t="shared" ref="D112:D120" si="129">K18+D81</f>
        <v>0</v>
      </c>
      <c r="E112" s="219">
        <f t="shared" ref="E112:E119" si="130">P18+E81</f>
        <v>26530</v>
      </c>
      <c r="F112" s="223">
        <f t="shared" ref="F112:F120" si="131">U18+F81</f>
        <v>20966</v>
      </c>
      <c r="G112" s="303">
        <f t="shared" ref="G112:G120" si="132">Z18+G81</f>
        <v>16167</v>
      </c>
      <c r="H112" s="221">
        <f t="shared" ref="H112:H120" si="133">AE18+H81</f>
        <v>0</v>
      </c>
      <c r="I112" s="219">
        <f t="shared" ref="I112:I120" si="134">AJ18+I81</f>
        <v>0</v>
      </c>
      <c r="J112" s="219">
        <f t="shared" ref="J112:J120" si="135">AO18+J81</f>
        <v>0</v>
      </c>
      <c r="K112" s="219">
        <f t="shared" ref="K112:K120" si="136">AT18+K81</f>
        <v>0</v>
      </c>
      <c r="L112" s="222">
        <f t="shared" ref="L112:L120" si="137">AY18+L81</f>
        <v>0</v>
      </c>
    </row>
    <row r="113" spans="2:13" outlineLevel="1">
      <c r="B113" s="212" t="str">
        <f t="shared" si="127"/>
        <v>SP Manweb</v>
      </c>
      <c r="C113" s="221">
        <f t="shared" si="128"/>
        <v>0</v>
      </c>
      <c r="D113" s="219">
        <f t="shared" si="129"/>
        <v>0</v>
      </c>
      <c r="E113" s="219">
        <f t="shared" si="130"/>
        <v>20673</v>
      </c>
      <c r="F113" s="223">
        <f t="shared" si="131"/>
        <v>18525</v>
      </c>
      <c r="G113" s="303">
        <f t="shared" si="132"/>
        <v>11762</v>
      </c>
      <c r="H113" s="221">
        <f t="shared" si="133"/>
        <v>0</v>
      </c>
      <c r="I113" s="219">
        <f t="shared" si="134"/>
        <v>0</v>
      </c>
      <c r="J113" s="219">
        <f t="shared" si="135"/>
        <v>0</v>
      </c>
      <c r="K113" s="219">
        <f t="shared" si="136"/>
        <v>0</v>
      </c>
      <c r="L113" s="222">
        <f t="shared" si="137"/>
        <v>0</v>
      </c>
    </row>
    <row r="114" spans="2:13" outlineLevel="1">
      <c r="B114" s="212" t="str">
        <f t="shared" si="127"/>
        <v>SSE Hydro</v>
      </c>
      <c r="C114" s="221">
        <f t="shared" si="128"/>
        <v>0</v>
      </c>
      <c r="D114" s="219">
        <f t="shared" si="129"/>
        <v>0</v>
      </c>
      <c r="E114" s="219">
        <f t="shared" si="130"/>
        <v>12953</v>
      </c>
      <c r="F114" s="223">
        <f t="shared" si="131"/>
        <v>8870</v>
      </c>
      <c r="G114" s="303">
        <f t="shared" si="132"/>
        <v>7296</v>
      </c>
      <c r="H114" s="221">
        <f t="shared" si="133"/>
        <v>0</v>
      </c>
      <c r="I114" s="219">
        <f t="shared" si="134"/>
        <v>0</v>
      </c>
      <c r="J114" s="219">
        <f t="shared" si="135"/>
        <v>0</v>
      </c>
      <c r="K114" s="219">
        <f t="shared" si="136"/>
        <v>0</v>
      </c>
      <c r="L114" s="222">
        <f t="shared" si="137"/>
        <v>0</v>
      </c>
    </row>
    <row r="115" spans="2:13" outlineLevel="1">
      <c r="B115" s="212" t="str">
        <f t="shared" si="127"/>
        <v>SSE Southern</v>
      </c>
      <c r="C115" s="221">
        <f t="shared" si="128"/>
        <v>0</v>
      </c>
      <c r="D115" s="219">
        <f t="shared" si="129"/>
        <v>0</v>
      </c>
      <c r="E115" s="219">
        <f t="shared" si="130"/>
        <v>43497</v>
      </c>
      <c r="F115" s="223">
        <f t="shared" si="131"/>
        <v>45970</v>
      </c>
      <c r="G115" s="303">
        <f t="shared" si="132"/>
        <v>29957</v>
      </c>
      <c r="H115" s="221">
        <f t="shared" si="133"/>
        <v>0</v>
      </c>
      <c r="I115" s="219">
        <f t="shared" si="134"/>
        <v>0</v>
      </c>
      <c r="J115" s="219">
        <f t="shared" si="135"/>
        <v>0</v>
      </c>
      <c r="K115" s="219">
        <f t="shared" si="136"/>
        <v>0</v>
      </c>
      <c r="L115" s="222">
        <f t="shared" si="137"/>
        <v>0</v>
      </c>
    </row>
    <row r="116" spans="2:13" outlineLevel="1">
      <c r="B116" s="236" t="str">
        <f t="shared" si="127"/>
        <v xml:space="preserve">IPNL </v>
      </c>
      <c r="C116" s="243">
        <f t="shared" si="128"/>
        <v>0</v>
      </c>
      <c r="D116" s="233">
        <f t="shared" si="129"/>
        <v>0</v>
      </c>
      <c r="E116" s="233">
        <f t="shared" si="130"/>
        <v>4711</v>
      </c>
      <c r="F116" s="233">
        <f t="shared" si="131"/>
        <v>9242</v>
      </c>
      <c r="G116" s="304">
        <f t="shared" si="132"/>
        <v>11572</v>
      </c>
      <c r="H116" s="243">
        <f t="shared" si="133"/>
        <v>0</v>
      </c>
      <c r="I116" s="233">
        <f t="shared" si="134"/>
        <v>0</v>
      </c>
      <c r="J116" s="233">
        <f t="shared" si="135"/>
        <v>0</v>
      </c>
      <c r="K116" s="233">
        <f t="shared" si="136"/>
        <v>0</v>
      </c>
      <c r="L116" s="305">
        <f t="shared" si="137"/>
        <v>0</v>
      </c>
    </row>
    <row r="117" spans="2:13" outlineLevel="1">
      <c r="B117" s="236" t="str">
        <f t="shared" si="127"/>
        <v xml:space="preserve">Energetics </v>
      </c>
      <c r="C117" s="243">
        <f t="shared" si="128"/>
        <v>0</v>
      </c>
      <c r="D117" s="233">
        <f t="shared" si="129"/>
        <v>0</v>
      </c>
      <c r="E117" s="233">
        <f t="shared" si="130"/>
        <v>5111</v>
      </c>
      <c r="F117" s="233">
        <f t="shared" si="131"/>
        <v>3396</v>
      </c>
      <c r="G117" s="304">
        <f t="shared" si="132"/>
        <v>2430</v>
      </c>
      <c r="H117" s="243">
        <f t="shared" si="133"/>
        <v>0</v>
      </c>
      <c r="I117" s="233">
        <f t="shared" si="134"/>
        <v>0</v>
      </c>
      <c r="J117" s="233">
        <f t="shared" si="135"/>
        <v>0</v>
      </c>
      <c r="K117" s="233">
        <f t="shared" si="136"/>
        <v>0</v>
      </c>
      <c r="L117" s="305">
        <f t="shared" si="137"/>
        <v>0</v>
      </c>
    </row>
    <row r="118" spans="2:13" outlineLevel="1">
      <c r="B118" s="236" t="str">
        <f t="shared" si="127"/>
        <v>EDF IDNO</v>
      </c>
      <c r="C118" s="243">
        <f t="shared" si="128"/>
        <v>0</v>
      </c>
      <c r="D118" s="233">
        <f t="shared" si="129"/>
        <v>0</v>
      </c>
      <c r="E118" s="233">
        <f t="shared" si="130"/>
        <v>0</v>
      </c>
      <c r="F118" s="233">
        <f t="shared" si="131"/>
        <v>0</v>
      </c>
      <c r="G118" s="304">
        <f t="shared" si="132"/>
        <v>56</v>
      </c>
      <c r="H118" s="243">
        <f t="shared" si="133"/>
        <v>0</v>
      </c>
      <c r="I118" s="233">
        <f t="shared" si="134"/>
        <v>0</v>
      </c>
      <c r="J118" s="233">
        <f t="shared" si="135"/>
        <v>0</v>
      </c>
      <c r="K118" s="233">
        <f t="shared" si="136"/>
        <v>0</v>
      </c>
      <c r="L118" s="305">
        <f t="shared" si="137"/>
        <v>0</v>
      </c>
    </row>
    <row r="119" spans="2:13" outlineLevel="1">
      <c r="B119" s="236" t="str">
        <f t="shared" si="127"/>
        <v xml:space="preserve">ENC </v>
      </c>
      <c r="C119" s="243">
        <f t="shared" si="128"/>
        <v>0</v>
      </c>
      <c r="D119" s="233">
        <f t="shared" si="129"/>
        <v>0</v>
      </c>
      <c r="E119" s="233">
        <f t="shared" si="130"/>
        <v>356</v>
      </c>
      <c r="F119" s="233">
        <f t="shared" si="131"/>
        <v>1637</v>
      </c>
      <c r="G119" s="304">
        <f t="shared" si="132"/>
        <v>3762</v>
      </c>
      <c r="H119" s="243">
        <f t="shared" si="133"/>
        <v>0</v>
      </c>
      <c r="I119" s="233">
        <f t="shared" si="134"/>
        <v>0</v>
      </c>
      <c r="J119" s="233">
        <f t="shared" si="135"/>
        <v>0</v>
      </c>
      <c r="K119" s="233">
        <f t="shared" si="136"/>
        <v>0</v>
      </c>
      <c r="L119" s="305">
        <f t="shared" si="137"/>
        <v>0</v>
      </c>
    </row>
    <row r="120" spans="2:13" ht="13.5" outlineLevel="1" thickBot="1">
      <c r="B120" s="228" t="str">
        <f t="shared" si="127"/>
        <v xml:space="preserve">ESP </v>
      </c>
      <c r="C120" s="315">
        <f t="shared" si="128"/>
        <v>0</v>
      </c>
      <c r="D120" s="316">
        <f t="shared" si="129"/>
        <v>0</v>
      </c>
      <c r="E120" s="316">
        <f>P26+E86</f>
        <v>542</v>
      </c>
      <c r="F120" s="316">
        <f t="shared" si="131"/>
        <v>1</v>
      </c>
      <c r="G120" s="317">
        <f t="shared" si="132"/>
        <v>10</v>
      </c>
      <c r="H120" s="315">
        <f t="shared" si="133"/>
        <v>0</v>
      </c>
      <c r="I120" s="316">
        <f t="shared" si="134"/>
        <v>0</v>
      </c>
      <c r="J120" s="316">
        <f t="shared" si="135"/>
        <v>0</v>
      </c>
      <c r="K120" s="316">
        <f t="shared" si="136"/>
        <v>0</v>
      </c>
      <c r="L120" s="318">
        <f t="shared" si="137"/>
        <v>0</v>
      </c>
    </row>
    <row r="121" spans="2:13" s="152" customFormat="1" outlineLevel="1">
      <c r="B121" s="277" t="s">
        <v>105</v>
      </c>
      <c r="C121" s="319">
        <f>F29</f>
        <v>0</v>
      </c>
      <c r="D121" s="320">
        <f>K29</f>
        <v>0</v>
      </c>
      <c r="E121" s="320">
        <f>P29</f>
        <v>1337</v>
      </c>
      <c r="F121" s="320">
        <f>U29</f>
        <v>1774</v>
      </c>
      <c r="G121" s="321">
        <f>Z29</f>
        <v>1321</v>
      </c>
      <c r="H121" s="319">
        <f>AE29</f>
        <v>0</v>
      </c>
      <c r="I121" s="320">
        <f>AJ29</f>
        <v>0</v>
      </c>
      <c r="J121" s="320">
        <f>AO29</f>
        <v>0</v>
      </c>
      <c r="K121" s="320">
        <f>AT29</f>
        <v>0</v>
      </c>
      <c r="L121" s="322">
        <f>AY29</f>
        <v>0</v>
      </c>
    </row>
    <row r="122" spans="2:13" outlineLevel="1">
      <c r="B122" s="212" t="s">
        <v>110</v>
      </c>
      <c r="C122" s="250">
        <f>SUM(C102:C115)</f>
        <v>0</v>
      </c>
      <c r="D122" s="251">
        <f t="shared" ref="D122" si="138">SUM(D102:D115)</f>
        <v>0</v>
      </c>
      <c r="E122" s="251">
        <f>SUM(E102:E115)</f>
        <v>495156</v>
      </c>
      <c r="F122" s="251">
        <f>SUM(F102:F115)</f>
        <v>409628</v>
      </c>
      <c r="G122" s="311">
        <f t="shared" ref="G122:L122" si="139">SUM(G102:G115)</f>
        <v>318207</v>
      </c>
      <c r="H122" s="250">
        <f t="shared" si="139"/>
        <v>0</v>
      </c>
      <c r="I122" s="251">
        <f t="shared" si="139"/>
        <v>0</v>
      </c>
      <c r="J122" s="251">
        <f t="shared" si="139"/>
        <v>0</v>
      </c>
      <c r="K122" s="251">
        <f t="shared" si="139"/>
        <v>0</v>
      </c>
      <c r="L122" s="306">
        <f t="shared" si="139"/>
        <v>0</v>
      </c>
    </row>
    <row r="123" spans="2:13" outlineLevel="1">
      <c r="B123" s="236" t="s">
        <v>111</v>
      </c>
      <c r="C123" s="243">
        <f>SUM(C116:C120)</f>
        <v>0</v>
      </c>
      <c r="D123" s="233">
        <f t="shared" ref="D123" si="140">SUM(D116:D120)</f>
        <v>0</v>
      </c>
      <c r="E123" s="233">
        <f>SUM(E116:E120)</f>
        <v>10720</v>
      </c>
      <c r="F123" s="233">
        <f>SUM(F116:F120)</f>
        <v>14276</v>
      </c>
      <c r="G123" s="304">
        <f>SUM(G116:G120)</f>
        <v>17830</v>
      </c>
      <c r="H123" s="243">
        <f t="shared" ref="H123:L123" si="141">SUM(H116:H120)</f>
        <v>0</v>
      </c>
      <c r="I123" s="233">
        <f t="shared" si="141"/>
        <v>0</v>
      </c>
      <c r="J123" s="233">
        <f t="shared" si="141"/>
        <v>0</v>
      </c>
      <c r="K123" s="233">
        <f t="shared" si="141"/>
        <v>0</v>
      </c>
      <c r="L123" s="307">
        <f t="shared" si="141"/>
        <v>0</v>
      </c>
    </row>
    <row r="124" spans="2:13" ht="13.5" outlineLevel="1" thickBot="1">
      <c r="B124" s="181" t="s">
        <v>78</v>
      </c>
      <c r="C124" s="308">
        <f>SUM(C121:C123)</f>
        <v>0</v>
      </c>
      <c r="D124" s="235">
        <f t="shared" ref="D124:L124" si="142">SUM(D121:D123)</f>
        <v>0</v>
      </c>
      <c r="E124" s="235">
        <f>SUM(E121:E123)</f>
        <v>507213</v>
      </c>
      <c r="F124" s="235">
        <f>SUM(F121:F123)</f>
        <v>425678</v>
      </c>
      <c r="G124" s="335">
        <f t="shared" si="142"/>
        <v>337358</v>
      </c>
      <c r="H124" s="231">
        <f t="shared" si="142"/>
        <v>0</v>
      </c>
      <c r="I124" s="235">
        <f t="shared" si="142"/>
        <v>0</v>
      </c>
      <c r="J124" s="235">
        <f t="shared" si="142"/>
        <v>0</v>
      </c>
      <c r="K124" s="235">
        <f t="shared" si="142"/>
        <v>0</v>
      </c>
      <c r="L124" s="309">
        <f t="shared" si="142"/>
        <v>0</v>
      </c>
      <c r="M124" s="310"/>
    </row>
    <row r="125" spans="2:13" ht="13.5" outlineLevel="1" thickBot="1">
      <c r="B125" s="312"/>
      <c r="C125" s="313"/>
      <c r="D125" s="313"/>
      <c r="E125" s="313"/>
      <c r="F125" s="313"/>
      <c r="G125" s="341"/>
      <c r="H125" s="342"/>
      <c r="I125" s="313"/>
      <c r="J125" s="313"/>
      <c r="K125" s="313"/>
      <c r="L125" s="314"/>
    </row>
    <row r="126" spans="2:13" ht="25.5" outlineLevel="1">
      <c r="B126" s="269" t="s">
        <v>116</v>
      </c>
      <c r="C126" s="288" t="e">
        <f>C122/C124</f>
        <v>#DIV/0!</v>
      </c>
      <c r="D126" s="266" t="e">
        <f t="shared" ref="D126" si="143">D122/D124</f>
        <v>#DIV/0!</v>
      </c>
      <c r="E126" s="266">
        <f t="shared" ref="E126" si="144">E122/E124</f>
        <v>0.97622892157732555</v>
      </c>
      <c r="F126" s="266">
        <f t="shared" ref="F126" si="145">F122/F124</f>
        <v>0.96229544397408373</v>
      </c>
      <c r="G126" s="336">
        <f t="shared" ref="G126" si="146">G122/G124</f>
        <v>0.94323241185921192</v>
      </c>
      <c r="H126" s="338" t="e">
        <f t="shared" ref="H126" si="147">H122/H124</f>
        <v>#DIV/0!</v>
      </c>
      <c r="I126" s="266" t="e">
        <f t="shared" ref="I126" si="148">I122/I124</f>
        <v>#DIV/0!</v>
      </c>
      <c r="J126" s="266" t="e">
        <f t="shared" ref="J126" si="149">J122/J124</f>
        <v>#DIV/0!</v>
      </c>
      <c r="K126" s="266" t="e">
        <f t="shared" ref="K126" si="150">K122/K124</f>
        <v>#DIV/0!</v>
      </c>
      <c r="L126" s="289" t="e">
        <f t="shared" ref="L126" si="151">L122/L124</f>
        <v>#DIV/0!</v>
      </c>
    </row>
    <row r="127" spans="2:13" ht="25.5" outlineLevel="1">
      <c r="B127" s="271" t="s">
        <v>117</v>
      </c>
      <c r="C127" s="290" t="e">
        <f>C123/C124</f>
        <v>#DIV/0!</v>
      </c>
      <c r="D127" s="252" t="e">
        <f t="shared" ref="D127:L127" si="152">D123/D124</f>
        <v>#DIV/0!</v>
      </c>
      <c r="E127" s="252">
        <f t="shared" si="152"/>
        <v>2.1135104975621682E-2</v>
      </c>
      <c r="F127" s="252">
        <f t="shared" si="152"/>
        <v>3.3537086718129668E-2</v>
      </c>
      <c r="G127" s="286">
        <f t="shared" si="152"/>
        <v>5.2851866563116925E-2</v>
      </c>
      <c r="H127" s="339" t="e">
        <f t="shared" si="152"/>
        <v>#DIV/0!</v>
      </c>
      <c r="I127" s="252" t="e">
        <f t="shared" si="152"/>
        <v>#DIV/0!</v>
      </c>
      <c r="J127" s="252" t="e">
        <f t="shared" si="152"/>
        <v>#DIV/0!</v>
      </c>
      <c r="K127" s="252" t="e">
        <f t="shared" si="152"/>
        <v>#DIV/0!</v>
      </c>
      <c r="L127" s="287" t="e">
        <f t="shared" si="152"/>
        <v>#DIV/0!</v>
      </c>
    </row>
    <row r="128" spans="2:13" ht="25.5" outlineLevel="1">
      <c r="B128" s="271" t="s">
        <v>118</v>
      </c>
      <c r="C128" s="290" t="e">
        <f>C121/C124</f>
        <v>#DIV/0!</v>
      </c>
      <c r="D128" s="252" t="e">
        <f t="shared" ref="D128:L128" si="153">D121/D124</f>
        <v>#DIV/0!</v>
      </c>
      <c r="E128" s="252">
        <f t="shared" si="153"/>
        <v>2.635973447052816E-3</v>
      </c>
      <c r="F128" s="252">
        <f t="shared" si="153"/>
        <v>4.1674693077866365E-3</v>
      </c>
      <c r="G128" s="286">
        <f t="shared" si="153"/>
        <v>3.9157215776711978E-3</v>
      </c>
      <c r="H128" s="339" t="e">
        <f t="shared" si="153"/>
        <v>#DIV/0!</v>
      </c>
      <c r="I128" s="252" t="e">
        <f t="shared" si="153"/>
        <v>#DIV/0!</v>
      </c>
      <c r="J128" s="252" t="e">
        <f t="shared" si="153"/>
        <v>#DIV/0!</v>
      </c>
      <c r="K128" s="252" t="e">
        <f t="shared" si="153"/>
        <v>#DIV/0!</v>
      </c>
      <c r="L128" s="287" t="e">
        <f t="shared" si="153"/>
        <v>#DIV/0!</v>
      </c>
    </row>
    <row r="129" spans="2:34" ht="13.5" outlineLevel="1" thickBot="1">
      <c r="B129" s="291" t="s">
        <v>77</v>
      </c>
      <c r="C129" s="292" t="e">
        <f t="shared" ref="C129:D129" si="154">IF(SUM(C126:C128)=1,"ok","error")</f>
        <v>#DIV/0!</v>
      </c>
      <c r="D129" s="293" t="e">
        <f t="shared" si="154"/>
        <v>#DIV/0!</v>
      </c>
      <c r="E129" s="293" t="str">
        <f>IF(SUM(E126:E128)=1,"ok","error")</f>
        <v>ok</v>
      </c>
      <c r="F129" s="293" t="str">
        <f t="shared" ref="F129:L129" si="155">IF(SUM(F126:F128)=1,"ok","error")</f>
        <v>ok</v>
      </c>
      <c r="G129" s="337" t="str">
        <f t="shared" si="155"/>
        <v>ok</v>
      </c>
      <c r="H129" s="340" t="e">
        <f t="shared" si="155"/>
        <v>#DIV/0!</v>
      </c>
      <c r="I129" s="293" t="e">
        <f t="shared" si="155"/>
        <v>#DIV/0!</v>
      </c>
      <c r="J129" s="293" t="e">
        <f t="shared" si="155"/>
        <v>#DIV/0!</v>
      </c>
      <c r="K129" s="293" t="e">
        <f t="shared" si="155"/>
        <v>#DIV/0!</v>
      </c>
      <c r="L129" s="294" t="e">
        <f t="shared" si="155"/>
        <v>#DIV/0!</v>
      </c>
    </row>
    <row r="130" spans="2:34" outlineLevel="1">
      <c r="E130" s="310"/>
      <c r="F130" s="310"/>
      <c r="G130" s="310"/>
    </row>
    <row r="132" spans="2:34">
      <c r="B132" s="2" t="s">
        <v>124</v>
      </c>
    </row>
    <row r="133" spans="2:34" outlineLevel="1"/>
    <row r="134" spans="2:34" outlineLevel="1"/>
    <row r="135" spans="2:34" outlineLevel="1"/>
    <row r="136" spans="2:34" ht="15" outlineLevel="1">
      <c r="B136" s="28" t="str">
        <f>CONCATENATE(LEFT(B162, 4)+1 &amp;"-" &amp;IF(B162&gt;"2007-08",,"0") &amp;RIGHT(B162,2)+1)</f>
        <v>2009-10</v>
      </c>
      <c r="AA136" s="530"/>
    </row>
    <row r="137" spans="2:34" ht="13.5" customHeight="1" outlineLevel="1">
      <c r="B137" s="285"/>
      <c r="C137" s="790" t="s">
        <v>29</v>
      </c>
      <c r="D137" s="791"/>
      <c r="E137" s="790" t="s">
        <v>28</v>
      </c>
      <c r="F137" s="791"/>
      <c r="G137" s="790" t="s">
        <v>54</v>
      </c>
      <c r="H137" s="791"/>
      <c r="I137" s="790" t="s">
        <v>112</v>
      </c>
      <c r="J137" s="791"/>
      <c r="M137" t="s">
        <v>332</v>
      </c>
      <c r="N137" t="s">
        <v>333</v>
      </c>
      <c r="O137" t="s">
        <v>439</v>
      </c>
      <c r="R137" s="529"/>
      <c r="S137" s="529"/>
      <c r="T137" s="529"/>
      <c r="U137" s="529"/>
      <c r="V137" s="529"/>
      <c r="W137" s="529"/>
      <c r="X137" s="529"/>
      <c r="Y137" s="529"/>
      <c r="AA137" s="529"/>
      <c r="AB137" s="529"/>
      <c r="AC137" s="529"/>
      <c r="AD137" s="529"/>
      <c r="AE137" s="529"/>
      <c r="AF137" s="529"/>
      <c r="AG137" s="529"/>
      <c r="AH137" s="529"/>
    </row>
    <row r="138" spans="2:34" ht="38.25" outlineLevel="1">
      <c r="B138" s="285"/>
      <c r="C138" s="285" t="s">
        <v>121</v>
      </c>
      <c r="D138" s="285" t="s">
        <v>122</v>
      </c>
      <c r="E138" s="285" t="s">
        <v>121</v>
      </c>
      <c r="F138" s="285" t="s">
        <v>122</v>
      </c>
      <c r="G138" s="285" t="s">
        <v>121</v>
      </c>
      <c r="H138" s="285" t="s">
        <v>122</v>
      </c>
      <c r="I138" s="285" t="s">
        <v>121</v>
      </c>
      <c r="J138" s="285" t="s">
        <v>122</v>
      </c>
      <c r="R138" s="529"/>
      <c r="S138" s="529"/>
      <c r="T138" s="529"/>
      <c r="U138" s="529"/>
      <c r="V138" s="529"/>
      <c r="W138" s="529"/>
      <c r="X138" s="529"/>
      <c r="Y138" s="529"/>
      <c r="AA138" s="529"/>
      <c r="AB138" s="529"/>
      <c r="AC138" s="529"/>
      <c r="AD138" s="529"/>
      <c r="AE138" s="529"/>
      <c r="AF138" s="529"/>
      <c r="AG138" s="529"/>
      <c r="AH138" s="529"/>
    </row>
    <row r="139" spans="2:34" outlineLevel="1">
      <c r="B139" s="349" t="str">
        <f>B8</f>
        <v>CN West</v>
      </c>
      <c r="C139" s="348">
        <v>16</v>
      </c>
      <c r="D139" s="348">
        <v>100</v>
      </c>
      <c r="E139" s="348">
        <v>41</v>
      </c>
      <c r="F139" s="348">
        <v>104</v>
      </c>
      <c r="G139" s="348">
        <v>0</v>
      </c>
      <c r="H139" s="348">
        <v>0</v>
      </c>
      <c r="I139" s="348">
        <v>27</v>
      </c>
      <c r="J139" s="348">
        <v>86</v>
      </c>
      <c r="M139" s="527" t="s">
        <v>354</v>
      </c>
      <c r="N139" s="526"/>
      <c r="O139" s="526"/>
      <c r="P139" s="13"/>
      <c r="R139" s="15"/>
      <c r="S139" s="15"/>
      <c r="T139" s="15"/>
      <c r="U139" s="15"/>
      <c r="V139" s="15"/>
      <c r="W139" s="15"/>
      <c r="X139" s="15"/>
      <c r="Y139" s="15"/>
    </row>
    <row r="140" spans="2:34" outlineLevel="1">
      <c r="B140" s="349" t="str">
        <f t="shared" ref="B140:B157" si="156">B9</f>
        <v>CN East</v>
      </c>
      <c r="C140" s="348">
        <v>15</v>
      </c>
      <c r="D140" s="348">
        <v>108</v>
      </c>
      <c r="E140" s="348">
        <v>46</v>
      </c>
      <c r="F140" s="348">
        <v>127</v>
      </c>
      <c r="G140" s="348">
        <v>78</v>
      </c>
      <c r="H140" s="348">
        <v>78</v>
      </c>
      <c r="I140" s="348">
        <v>31</v>
      </c>
      <c r="J140" s="348">
        <v>109</v>
      </c>
      <c r="M140" s="527" t="s">
        <v>354</v>
      </c>
      <c r="N140" s="526"/>
      <c r="O140" s="526"/>
      <c r="P140" s="13"/>
      <c r="R140" s="15"/>
      <c r="S140" s="15"/>
      <c r="T140" s="15"/>
      <c r="U140" s="15"/>
      <c r="V140" s="15"/>
      <c r="W140" s="15"/>
      <c r="X140" s="15"/>
      <c r="Y140" s="15"/>
    </row>
    <row r="141" spans="2:34" outlineLevel="1">
      <c r="B141" s="349" t="str">
        <f t="shared" si="156"/>
        <v>ENWL</v>
      </c>
      <c r="C141" s="348">
        <v>14</v>
      </c>
      <c r="D141" s="348">
        <v>135</v>
      </c>
      <c r="E141" s="348">
        <v>32</v>
      </c>
      <c r="F141" s="348">
        <v>90</v>
      </c>
      <c r="G141" s="348">
        <v>54</v>
      </c>
      <c r="H141" s="348">
        <v>85</v>
      </c>
      <c r="I141" s="348">
        <v>44</v>
      </c>
      <c r="J141" s="348">
        <v>90</v>
      </c>
      <c r="M141" s="527" t="s">
        <v>354</v>
      </c>
      <c r="N141" s="526"/>
      <c r="O141" s="526"/>
      <c r="P141" s="13"/>
      <c r="R141" s="15"/>
      <c r="S141" s="15"/>
      <c r="T141" s="15"/>
      <c r="U141" s="15"/>
      <c r="V141" s="15"/>
      <c r="W141" s="15"/>
      <c r="X141" s="15"/>
      <c r="Y141" s="15"/>
    </row>
    <row r="142" spans="2:34" outlineLevel="1">
      <c r="B142" s="349" t="str">
        <f t="shared" si="156"/>
        <v>CE NEDL</v>
      </c>
      <c r="C142" s="348">
        <v>11</v>
      </c>
      <c r="D142" s="348">
        <v>89</v>
      </c>
      <c r="E142" s="348">
        <v>38</v>
      </c>
      <c r="F142" s="348">
        <v>88</v>
      </c>
      <c r="G142" s="348">
        <v>40</v>
      </c>
      <c r="H142" s="348">
        <v>90</v>
      </c>
      <c r="I142" s="348">
        <v>42</v>
      </c>
      <c r="J142" s="348">
        <v>90</v>
      </c>
      <c r="M142" s="528" t="s">
        <v>356</v>
      </c>
      <c r="N142" s="526"/>
      <c r="O142" s="526"/>
      <c r="P142" s="13"/>
      <c r="R142" s="15"/>
      <c r="S142" s="15"/>
      <c r="T142" s="15"/>
      <c r="U142" s="15"/>
      <c r="V142" s="15"/>
      <c r="W142" s="15"/>
      <c r="X142" s="15"/>
      <c r="Y142" s="15"/>
    </row>
    <row r="143" spans="2:34" outlineLevel="1">
      <c r="B143" s="349" t="str">
        <f t="shared" si="156"/>
        <v>CE YEDL</v>
      </c>
      <c r="C143" s="348">
        <v>8</v>
      </c>
      <c r="D143" s="348">
        <v>87</v>
      </c>
      <c r="E143" s="348">
        <v>24.6</v>
      </c>
      <c r="F143" s="348">
        <v>87</v>
      </c>
      <c r="G143" s="348">
        <v>46.6</v>
      </c>
      <c r="H143" s="348">
        <v>90</v>
      </c>
      <c r="I143" s="348">
        <v>33</v>
      </c>
      <c r="J143" s="348">
        <v>87</v>
      </c>
      <c r="M143" s="526" t="s">
        <v>355</v>
      </c>
      <c r="N143" s="526"/>
      <c r="O143" s="526"/>
      <c r="P143" s="13"/>
      <c r="R143" s="15"/>
      <c r="S143" s="15"/>
      <c r="T143" s="15"/>
      <c r="U143" s="15"/>
      <c r="V143" s="15"/>
      <c r="W143" s="15"/>
      <c r="X143" s="15"/>
      <c r="Y143" s="15"/>
    </row>
    <row r="144" spans="2:34" outlineLevel="1">
      <c r="B144" s="349" t="str">
        <f t="shared" si="156"/>
        <v>WPD S Wales</v>
      </c>
      <c r="C144" s="348">
        <v>3.2120957580848382</v>
      </c>
      <c r="D144" s="348">
        <v>17</v>
      </c>
      <c r="E144" s="348">
        <v>14</v>
      </c>
      <c r="F144" s="348">
        <v>89</v>
      </c>
      <c r="G144" s="348">
        <v>50.67</v>
      </c>
      <c r="H144" s="348">
        <v>59</v>
      </c>
      <c r="I144" s="348">
        <v>37.833333333333336</v>
      </c>
      <c r="J144" s="348">
        <v>89</v>
      </c>
      <c r="M144" s="526" t="s">
        <v>355</v>
      </c>
      <c r="N144" s="526"/>
      <c r="O144" s="526"/>
      <c r="P144" s="13"/>
      <c r="R144" s="15"/>
      <c r="S144" s="15"/>
      <c r="T144" s="15"/>
      <c r="U144" s="15"/>
      <c r="V144" s="15"/>
      <c r="W144" s="15"/>
      <c r="X144" s="15"/>
      <c r="Y144" s="15"/>
    </row>
    <row r="145" spans="1:25" outlineLevel="1">
      <c r="B145" s="349" t="str">
        <f t="shared" si="156"/>
        <v>WPD S West</v>
      </c>
      <c r="C145" s="348">
        <v>3.5638154948499774</v>
      </c>
      <c r="D145" s="348">
        <v>18</v>
      </c>
      <c r="E145" s="348">
        <v>52.591715976331358</v>
      </c>
      <c r="F145" s="348">
        <v>90</v>
      </c>
      <c r="G145" s="348">
        <v>35</v>
      </c>
      <c r="H145" s="348">
        <v>35</v>
      </c>
      <c r="I145" s="348">
        <v>72.930000000000007</v>
      </c>
      <c r="J145" s="348">
        <v>94</v>
      </c>
      <c r="M145" s="528" t="s">
        <v>356</v>
      </c>
      <c r="N145" s="526"/>
      <c r="O145" s="526"/>
      <c r="P145" s="13"/>
      <c r="R145" s="15"/>
      <c r="S145" s="15"/>
      <c r="T145" s="15"/>
      <c r="U145" s="15"/>
      <c r="V145" s="15"/>
      <c r="W145" s="15"/>
      <c r="X145" s="15"/>
      <c r="Y145" s="15"/>
    </row>
    <row r="146" spans="1:25" outlineLevel="1">
      <c r="B146" s="349" t="str">
        <f t="shared" si="156"/>
        <v>UKPN LPN</v>
      </c>
      <c r="C146" s="348">
        <v>11.921636085626911</v>
      </c>
      <c r="D146" s="348">
        <v>91</v>
      </c>
      <c r="E146" s="348">
        <v>24.396793587174347</v>
      </c>
      <c r="F146" s="348">
        <v>91</v>
      </c>
      <c r="G146" s="348">
        <v>44.761904761904759</v>
      </c>
      <c r="H146" s="348">
        <v>90</v>
      </c>
      <c r="I146" s="348">
        <v>45.333333333333336</v>
      </c>
      <c r="J146" s="348">
        <v>73</v>
      </c>
      <c r="M146" s="528" t="s">
        <v>356</v>
      </c>
      <c r="N146" s="526"/>
      <c r="O146" s="526"/>
      <c r="P146" s="13"/>
      <c r="R146" s="15"/>
      <c r="S146" s="15"/>
      <c r="T146" s="15"/>
      <c r="U146" s="15"/>
      <c r="V146" s="15"/>
      <c r="W146" s="15"/>
      <c r="X146" s="15"/>
      <c r="Y146" s="15"/>
    </row>
    <row r="147" spans="1:25" outlineLevel="1">
      <c r="B147" s="349" t="str">
        <f t="shared" si="156"/>
        <v>UKPN SEPN</v>
      </c>
      <c r="C147" s="348">
        <v>16.543740573152338</v>
      </c>
      <c r="D147" s="348">
        <v>90</v>
      </c>
      <c r="E147" s="348">
        <v>31.695945945945947</v>
      </c>
      <c r="F147" s="348">
        <v>89</v>
      </c>
      <c r="G147" s="348">
        <v>51.196078431372548</v>
      </c>
      <c r="H147" s="348">
        <v>91</v>
      </c>
      <c r="I147" s="348">
        <v>46.608695652173914</v>
      </c>
      <c r="J147" s="348">
        <v>91</v>
      </c>
      <c r="M147" s="528" t="s">
        <v>356</v>
      </c>
      <c r="N147" s="526"/>
      <c r="O147" s="526"/>
      <c r="P147" s="13"/>
      <c r="R147" s="15"/>
      <c r="S147" s="15"/>
      <c r="T147" s="15"/>
      <c r="U147" s="15"/>
      <c r="V147" s="15"/>
      <c r="W147" s="15"/>
      <c r="X147" s="15"/>
      <c r="Y147" s="15"/>
    </row>
    <row r="148" spans="1:25" outlineLevel="1">
      <c r="B148" s="349" t="str">
        <f t="shared" si="156"/>
        <v>UKPN EPN</v>
      </c>
      <c r="C148" s="348">
        <v>11.33475076777699</v>
      </c>
      <c r="D148" s="348">
        <v>90</v>
      </c>
      <c r="E148" s="348">
        <v>22.768350810295519</v>
      </c>
      <c r="F148" s="348">
        <v>89</v>
      </c>
      <c r="G148" s="348">
        <v>34.564814814814817</v>
      </c>
      <c r="H148" s="348">
        <v>91</v>
      </c>
      <c r="I148" s="348">
        <v>63.931034482758619</v>
      </c>
      <c r="J148" s="348">
        <v>91</v>
      </c>
      <c r="M148" s="528" t="s">
        <v>356</v>
      </c>
      <c r="N148" s="526"/>
      <c r="O148" s="526"/>
      <c r="P148" s="13"/>
      <c r="R148" s="15"/>
      <c r="S148" s="15"/>
      <c r="T148" s="15"/>
      <c r="U148" s="15"/>
      <c r="V148" s="15"/>
      <c r="W148" s="15"/>
      <c r="X148" s="15"/>
      <c r="Y148" s="15"/>
    </row>
    <row r="149" spans="1:25" outlineLevel="1">
      <c r="B149" s="349" t="str">
        <f t="shared" si="156"/>
        <v>SP Distribution</v>
      </c>
      <c r="C149" s="348">
        <v>14</v>
      </c>
      <c r="D149" s="348">
        <v>60</v>
      </c>
      <c r="E149" s="348">
        <v>32</v>
      </c>
      <c r="F149" s="348">
        <v>60</v>
      </c>
      <c r="G149" s="348">
        <v>0</v>
      </c>
      <c r="H149" s="348">
        <v>0</v>
      </c>
      <c r="I149" s="348">
        <v>40</v>
      </c>
      <c r="J149" s="348">
        <v>85</v>
      </c>
      <c r="M149" s="526" t="s">
        <v>355</v>
      </c>
      <c r="N149" s="526"/>
      <c r="O149" s="526"/>
      <c r="P149" s="13"/>
      <c r="R149" s="15"/>
      <c r="S149" s="15"/>
      <c r="T149" s="15"/>
      <c r="U149" s="15"/>
      <c r="V149" s="15"/>
      <c r="W149" s="15"/>
      <c r="X149" s="15"/>
      <c r="Y149" s="15"/>
    </row>
    <row r="150" spans="1:25" outlineLevel="1">
      <c r="B150" s="349" t="str">
        <f t="shared" si="156"/>
        <v>SP Manweb</v>
      </c>
      <c r="C150" s="348">
        <v>11</v>
      </c>
      <c r="D150" s="348">
        <v>15</v>
      </c>
      <c r="E150" s="348">
        <v>50</v>
      </c>
      <c r="F150" s="348">
        <v>90</v>
      </c>
      <c r="G150" s="348">
        <v>89</v>
      </c>
      <c r="H150" s="348">
        <v>91</v>
      </c>
      <c r="I150" s="348">
        <v>89</v>
      </c>
      <c r="J150" s="348">
        <v>92</v>
      </c>
      <c r="M150" s="528" t="s">
        <v>356</v>
      </c>
      <c r="N150" s="526"/>
      <c r="O150" s="526"/>
      <c r="P150" s="13"/>
      <c r="R150" s="15"/>
      <c r="S150" s="15"/>
      <c r="T150" s="15"/>
      <c r="U150" s="15"/>
      <c r="V150" s="15"/>
      <c r="W150" s="15"/>
      <c r="X150" s="15"/>
      <c r="Y150" s="15"/>
    </row>
    <row r="151" spans="1:25" outlineLevel="1">
      <c r="B151" s="349" t="str">
        <f t="shared" si="156"/>
        <v>SSE Hydro</v>
      </c>
      <c r="C151" s="348">
        <v>4</v>
      </c>
      <c r="D151" s="348">
        <v>391</v>
      </c>
      <c r="E151" s="348">
        <v>32</v>
      </c>
      <c r="F151" s="348">
        <v>160</v>
      </c>
      <c r="G151" s="348">
        <v>0</v>
      </c>
      <c r="H151" s="348">
        <v>0</v>
      </c>
      <c r="I151" s="348">
        <v>78</v>
      </c>
      <c r="J151" s="348">
        <v>152</v>
      </c>
      <c r="M151" s="527" t="s">
        <v>354</v>
      </c>
      <c r="N151" s="526"/>
      <c r="O151" s="526"/>
      <c r="P151" s="13"/>
      <c r="R151" s="15"/>
      <c r="S151" s="15"/>
      <c r="T151" s="15"/>
      <c r="U151" s="15"/>
      <c r="V151" s="15"/>
      <c r="W151" s="15"/>
      <c r="X151" s="15"/>
      <c r="Y151" s="15"/>
    </row>
    <row r="152" spans="1:25" outlineLevel="1">
      <c r="B152" s="349" t="str">
        <f t="shared" si="156"/>
        <v>SSE Southern</v>
      </c>
      <c r="C152" s="348">
        <v>3</v>
      </c>
      <c r="D152" s="348">
        <v>90</v>
      </c>
      <c r="E152" s="348">
        <v>34</v>
      </c>
      <c r="F152" s="348">
        <v>90</v>
      </c>
      <c r="G152" s="348">
        <v>90</v>
      </c>
      <c r="H152" s="348">
        <v>90</v>
      </c>
      <c r="I152" s="348">
        <v>90</v>
      </c>
      <c r="J152" s="348">
        <v>90</v>
      </c>
      <c r="M152" s="528" t="s">
        <v>356</v>
      </c>
      <c r="N152" s="526"/>
      <c r="O152" s="526"/>
      <c r="P152" s="13"/>
      <c r="R152" s="15"/>
      <c r="S152" s="15"/>
      <c r="T152" s="15"/>
      <c r="U152" s="15"/>
      <c r="V152" s="15"/>
      <c r="W152" s="15"/>
      <c r="X152" s="15"/>
      <c r="Y152" s="15"/>
    </row>
    <row r="153" spans="1:25" outlineLevel="1">
      <c r="B153" s="349" t="str">
        <f t="shared" si="156"/>
        <v xml:space="preserve">IPNL </v>
      </c>
      <c r="C153" s="348">
        <v>15</v>
      </c>
      <c r="D153" s="348">
        <v>15</v>
      </c>
      <c r="E153" s="348">
        <v>0</v>
      </c>
      <c r="F153" s="348">
        <v>0</v>
      </c>
      <c r="G153" s="348">
        <v>0</v>
      </c>
      <c r="H153" s="348">
        <v>0</v>
      </c>
      <c r="I153" s="348">
        <v>0</v>
      </c>
      <c r="J153" s="348">
        <v>0</v>
      </c>
      <c r="R153" s="15"/>
      <c r="S153" s="15"/>
      <c r="T153" s="15"/>
      <c r="U153" s="15"/>
      <c r="V153" s="15"/>
      <c r="W153" s="15"/>
      <c r="X153" s="15"/>
      <c r="Y153" s="15"/>
    </row>
    <row r="154" spans="1:25" outlineLevel="1">
      <c r="B154" s="349" t="str">
        <f t="shared" si="156"/>
        <v xml:space="preserve">Energetics </v>
      </c>
      <c r="C154" s="348">
        <v>5</v>
      </c>
      <c r="D154" s="348">
        <v>29</v>
      </c>
      <c r="E154" s="348">
        <v>0</v>
      </c>
      <c r="F154" s="348">
        <v>0</v>
      </c>
      <c r="G154" s="348">
        <v>0</v>
      </c>
      <c r="H154" s="348">
        <v>0</v>
      </c>
      <c r="I154" s="348">
        <v>0</v>
      </c>
      <c r="J154" s="348">
        <v>0</v>
      </c>
      <c r="R154" s="15"/>
      <c r="S154" s="15"/>
      <c r="T154" s="15"/>
      <c r="U154" s="15"/>
      <c r="V154" s="15"/>
      <c r="W154" s="15"/>
      <c r="X154" s="15"/>
      <c r="Y154" s="15"/>
    </row>
    <row r="155" spans="1:25" outlineLevel="1">
      <c r="B155" s="349" t="str">
        <f t="shared" si="156"/>
        <v>EDF IDNO</v>
      </c>
      <c r="C155" s="348">
        <v>38</v>
      </c>
      <c r="D155" s="348">
        <v>46</v>
      </c>
      <c r="E155" s="348">
        <v>28</v>
      </c>
      <c r="F155" s="348">
        <v>54</v>
      </c>
      <c r="G155" s="348">
        <v>0</v>
      </c>
      <c r="H155" s="348">
        <v>0</v>
      </c>
      <c r="I155" s="348">
        <v>0</v>
      </c>
      <c r="J155" s="348">
        <v>0</v>
      </c>
      <c r="R155" s="15"/>
      <c r="S155" s="15"/>
      <c r="T155" s="15"/>
      <c r="U155" s="15"/>
      <c r="V155" s="15"/>
      <c r="W155" s="15"/>
      <c r="X155" s="15"/>
      <c r="Y155" s="15"/>
    </row>
    <row r="156" spans="1:25" outlineLevel="1">
      <c r="B156" s="349" t="str">
        <f t="shared" si="156"/>
        <v xml:space="preserve">ENC </v>
      </c>
      <c r="C156" s="348">
        <v>0</v>
      </c>
      <c r="D156" s="348">
        <v>0</v>
      </c>
      <c r="E156" s="348">
        <v>0</v>
      </c>
      <c r="F156" s="348">
        <v>0</v>
      </c>
      <c r="G156" s="348">
        <v>0</v>
      </c>
      <c r="H156" s="348">
        <v>0</v>
      </c>
      <c r="I156" s="348">
        <v>0</v>
      </c>
      <c r="J156" s="348">
        <v>0</v>
      </c>
      <c r="R156" s="15"/>
      <c r="S156" s="15"/>
      <c r="T156" s="15"/>
      <c r="U156" s="15"/>
      <c r="V156" s="15"/>
      <c r="W156" s="15"/>
      <c r="X156" s="15"/>
      <c r="Y156" s="15"/>
    </row>
    <row r="157" spans="1:25" outlineLevel="1">
      <c r="B157" s="349" t="str">
        <f t="shared" si="156"/>
        <v xml:space="preserve">ESP </v>
      </c>
      <c r="C157" s="348">
        <v>0</v>
      </c>
      <c r="D157" s="348">
        <v>0</v>
      </c>
      <c r="E157" s="348">
        <v>0</v>
      </c>
      <c r="F157" s="348">
        <v>0</v>
      </c>
      <c r="G157" s="348">
        <v>0</v>
      </c>
      <c r="H157" s="348">
        <v>0</v>
      </c>
      <c r="I157" s="348">
        <v>0</v>
      </c>
      <c r="J157" s="348">
        <v>0</v>
      </c>
      <c r="R157" s="15"/>
      <c r="S157" s="15"/>
      <c r="T157" s="15"/>
      <c r="U157" s="15"/>
      <c r="V157" s="15"/>
      <c r="W157" s="15"/>
      <c r="X157" s="15"/>
      <c r="Y157" s="15"/>
    </row>
    <row r="158" spans="1:25" s="127" customFormat="1" outlineLevel="1">
      <c r="A158" s="435"/>
      <c r="B158" s="433" t="s">
        <v>249</v>
      </c>
      <c r="C158" s="751"/>
      <c r="R158" s="15"/>
      <c r="S158" s="15"/>
      <c r="T158" s="15"/>
      <c r="U158" s="15"/>
      <c r="V158" s="15"/>
      <c r="W158" s="15"/>
      <c r="X158" s="15"/>
      <c r="Y158" s="15"/>
    </row>
    <row r="159" spans="1:25" outlineLevel="1">
      <c r="A159" s="13"/>
      <c r="B159" s="433"/>
      <c r="C159" s="394"/>
    </row>
    <row r="160" spans="1:25" outlineLevel="1">
      <c r="B160" s="433"/>
      <c r="C160" s="37"/>
    </row>
    <row r="161" spans="2:15" outlineLevel="1">
      <c r="B161" s="433"/>
      <c r="C161" s="37"/>
    </row>
    <row r="162" spans="2:15" ht="15" outlineLevel="1">
      <c r="B162" s="28" t="s">
        <v>305</v>
      </c>
    </row>
    <row r="163" spans="2:15" outlineLevel="1">
      <c r="B163" s="285"/>
      <c r="C163" s="790" t="s">
        <v>29</v>
      </c>
      <c r="D163" s="791"/>
      <c r="E163" s="790" t="s">
        <v>28</v>
      </c>
      <c r="F163" s="791"/>
      <c r="G163" s="790" t="s">
        <v>54</v>
      </c>
      <c r="H163" s="791"/>
      <c r="I163" s="790" t="s">
        <v>112</v>
      </c>
      <c r="J163" s="791"/>
      <c r="M163" t="s">
        <v>332</v>
      </c>
      <c r="N163" t="s">
        <v>333</v>
      </c>
      <c r="O163" t="s">
        <v>439</v>
      </c>
    </row>
    <row r="164" spans="2:15" ht="38.25" outlineLevel="1">
      <c r="B164" s="285"/>
      <c r="C164" s="285" t="s">
        <v>121</v>
      </c>
      <c r="D164" s="285" t="s">
        <v>122</v>
      </c>
      <c r="E164" s="285" t="s">
        <v>121</v>
      </c>
      <c r="F164" s="285" t="s">
        <v>122</v>
      </c>
      <c r="G164" s="285" t="s">
        <v>121</v>
      </c>
      <c r="H164" s="285" t="s">
        <v>122</v>
      </c>
      <c r="I164" s="285" t="s">
        <v>121</v>
      </c>
      <c r="J164" s="285" t="s">
        <v>122</v>
      </c>
    </row>
    <row r="165" spans="2:15" outlineLevel="1">
      <c r="B165" s="349" t="str">
        <f>B8</f>
        <v>CN West</v>
      </c>
      <c r="C165" s="219">
        <v>13</v>
      </c>
      <c r="D165" s="219">
        <v>153</v>
      </c>
      <c r="E165" s="219">
        <v>64</v>
      </c>
      <c r="F165" s="219">
        <v>130</v>
      </c>
      <c r="G165" s="219">
        <v>0</v>
      </c>
      <c r="H165" s="219">
        <v>0</v>
      </c>
      <c r="I165" s="219">
        <v>38</v>
      </c>
      <c r="J165" s="219">
        <v>199</v>
      </c>
      <c r="M165" s="527" t="s">
        <v>354</v>
      </c>
      <c r="N165" s="527" t="s">
        <v>354</v>
      </c>
      <c r="O165" s="526"/>
    </row>
    <row r="166" spans="2:15" outlineLevel="1">
      <c r="B166" s="349" t="str">
        <f t="shared" ref="B166:B183" si="157">B9</f>
        <v>CN East</v>
      </c>
      <c r="C166" s="219">
        <v>12</v>
      </c>
      <c r="D166" s="219">
        <v>154</v>
      </c>
      <c r="E166" s="219">
        <v>48</v>
      </c>
      <c r="F166" s="219">
        <v>159</v>
      </c>
      <c r="G166" s="219">
        <v>0</v>
      </c>
      <c r="H166" s="219">
        <v>0</v>
      </c>
      <c r="I166" s="219">
        <v>36</v>
      </c>
      <c r="J166" s="219">
        <v>175</v>
      </c>
      <c r="M166" s="527" t="s">
        <v>354</v>
      </c>
      <c r="N166" s="526"/>
      <c r="O166" s="526"/>
    </row>
    <row r="167" spans="2:15" outlineLevel="1">
      <c r="B167" s="349" t="str">
        <f t="shared" si="157"/>
        <v>ENWL</v>
      </c>
      <c r="C167" s="219">
        <v>10</v>
      </c>
      <c r="D167" s="219">
        <v>83</v>
      </c>
      <c r="E167" s="219">
        <v>18</v>
      </c>
      <c r="F167" s="219">
        <v>112</v>
      </c>
      <c r="G167" s="219">
        <v>61</v>
      </c>
      <c r="H167" s="219">
        <v>79</v>
      </c>
      <c r="I167" s="219">
        <v>31</v>
      </c>
      <c r="J167" s="219">
        <v>101</v>
      </c>
      <c r="M167" s="527" t="s">
        <v>354</v>
      </c>
      <c r="N167" s="526"/>
      <c r="O167" s="526"/>
    </row>
    <row r="168" spans="2:15" outlineLevel="1">
      <c r="B168" s="349" t="str">
        <f t="shared" si="157"/>
        <v>CE NEDL</v>
      </c>
      <c r="C168" s="219">
        <v>12</v>
      </c>
      <c r="D168" s="219">
        <v>91</v>
      </c>
      <c r="E168" s="219">
        <v>48</v>
      </c>
      <c r="F168" s="219">
        <v>91</v>
      </c>
      <c r="G168" s="219">
        <v>26</v>
      </c>
      <c r="H168" s="219">
        <v>84</v>
      </c>
      <c r="I168" s="219">
        <v>33</v>
      </c>
      <c r="J168" s="219">
        <v>65</v>
      </c>
      <c r="M168" s="528" t="s">
        <v>356</v>
      </c>
      <c r="N168" s="526"/>
      <c r="O168" s="526"/>
    </row>
    <row r="169" spans="2:15" outlineLevel="1">
      <c r="B169" s="349" t="str">
        <f t="shared" si="157"/>
        <v>CE YEDL</v>
      </c>
      <c r="C169" s="219">
        <v>7</v>
      </c>
      <c r="D169" s="219">
        <v>90</v>
      </c>
      <c r="E169" s="219">
        <v>28</v>
      </c>
      <c r="F169" s="219">
        <v>91</v>
      </c>
      <c r="G169" s="219">
        <v>25</v>
      </c>
      <c r="H169" s="219">
        <v>50</v>
      </c>
      <c r="I169" s="219">
        <v>21</v>
      </c>
      <c r="J169" s="219">
        <v>80</v>
      </c>
      <c r="M169" s="528" t="s">
        <v>356</v>
      </c>
      <c r="N169" s="526"/>
      <c r="O169" s="526"/>
    </row>
    <row r="170" spans="2:15" outlineLevel="1">
      <c r="B170" s="349" t="str">
        <f t="shared" si="157"/>
        <v>WPD S Wales</v>
      </c>
      <c r="C170" s="219">
        <v>8</v>
      </c>
      <c r="D170" s="219">
        <v>25</v>
      </c>
      <c r="E170" s="219">
        <v>25</v>
      </c>
      <c r="F170" s="219">
        <v>82</v>
      </c>
      <c r="G170" s="219">
        <v>90</v>
      </c>
      <c r="H170" s="219">
        <v>90</v>
      </c>
      <c r="I170" s="219">
        <v>26</v>
      </c>
      <c r="J170" s="219">
        <v>90</v>
      </c>
      <c r="M170" s="528" t="s">
        <v>356</v>
      </c>
      <c r="N170" s="526"/>
      <c r="O170" s="526"/>
    </row>
    <row r="171" spans="2:15" outlineLevel="1">
      <c r="B171" s="349" t="str">
        <f t="shared" si="157"/>
        <v>WPD S West</v>
      </c>
      <c r="C171" s="219">
        <v>9</v>
      </c>
      <c r="D171" s="219">
        <v>22</v>
      </c>
      <c r="E171" s="219">
        <v>49</v>
      </c>
      <c r="F171" s="219">
        <v>79</v>
      </c>
      <c r="G171" s="219">
        <v>0</v>
      </c>
      <c r="H171" s="219">
        <v>0</v>
      </c>
      <c r="I171" s="219">
        <v>36</v>
      </c>
      <c r="J171" s="219">
        <v>90</v>
      </c>
      <c r="M171" s="526" t="s">
        <v>355</v>
      </c>
      <c r="N171" s="526"/>
      <c r="O171" s="526"/>
    </row>
    <row r="172" spans="2:15" outlineLevel="1">
      <c r="B172" s="349" t="str">
        <f t="shared" si="157"/>
        <v>UKPN LPN</v>
      </c>
      <c r="C172" s="219">
        <v>11</v>
      </c>
      <c r="D172" s="219">
        <v>120</v>
      </c>
      <c r="E172" s="219">
        <v>26</v>
      </c>
      <c r="F172" s="219">
        <v>99</v>
      </c>
      <c r="G172" s="219">
        <v>34</v>
      </c>
      <c r="H172" s="219">
        <v>43</v>
      </c>
      <c r="I172" s="219">
        <v>38</v>
      </c>
      <c r="J172" s="219">
        <v>89</v>
      </c>
      <c r="M172" s="527" t="s">
        <v>354</v>
      </c>
      <c r="N172" s="526"/>
      <c r="O172" s="526"/>
    </row>
    <row r="173" spans="2:15" outlineLevel="1">
      <c r="B173" s="349" t="str">
        <f t="shared" si="157"/>
        <v>UKPN SEPN</v>
      </c>
      <c r="C173" s="219">
        <v>22</v>
      </c>
      <c r="D173" s="219">
        <v>90</v>
      </c>
      <c r="E173" s="219">
        <v>41</v>
      </c>
      <c r="F173" s="219">
        <v>92</v>
      </c>
      <c r="G173" s="219">
        <v>25</v>
      </c>
      <c r="H173" s="219">
        <v>38</v>
      </c>
      <c r="I173" s="219">
        <v>71</v>
      </c>
      <c r="J173" s="219">
        <v>126</v>
      </c>
      <c r="M173" s="527" t="s">
        <v>354</v>
      </c>
      <c r="N173" s="526"/>
      <c r="O173" s="526"/>
    </row>
    <row r="174" spans="2:15" outlineLevel="1">
      <c r="B174" s="349" t="str">
        <f t="shared" si="157"/>
        <v>UKPN EPN</v>
      </c>
      <c r="C174" s="219">
        <v>12</v>
      </c>
      <c r="D174" s="219">
        <v>306</v>
      </c>
      <c r="E174" s="219">
        <v>25</v>
      </c>
      <c r="F174" s="219">
        <v>95</v>
      </c>
      <c r="G174" s="219">
        <v>60</v>
      </c>
      <c r="H174" s="219">
        <v>90</v>
      </c>
      <c r="I174" s="219">
        <v>16</v>
      </c>
      <c r="J174" s="219">
        <v>75</v>
      </c>
      <c r="M174" s="527" t="s">
        <v>354</v>
      </c>
      <c r="N174" s="526"/>
      <c r="O174" s="526"/>
    </row>
    <row r="175" spans="2:15" outlineLevel="1">
      <c r="B175" s="349" t="str">
        <f t="shared" si="157"/>
        <v>SP Distribution</v>
      </c>
      <c r="C175" s="219">
        <v>17</v>
      </c>
      <c r="D175" s="219">
        <v>90</v>
      </c>
      <c r="E175" s="219">
        <v>46</v>
      </c>
      <c r="F175" s="219">
        <v>90</v>
      </c>
      <c r="G175" s="219">
        <v>0</v>
      </c>
      <c r="H175" s="219">
        <v>0</v>
      </c>
      <c r="I175" s="219">
        <v>49</v>
      </c>
      <c r="J175" s="219">
        <v>90</v>
      </c>
      <c r="M175" s="528" t="s">
        <v>356</v>
      </c>
      <c r="N175" s="526"/>
      <c r="O175" s="526"/>
    </row>
    <row r="176" spans="2:15" outlineLevel="1">
      <c r="B176" s="349" t="str">
        <f t="shared" si="157"/>
        <v>SP Manweb</v>
      </c>
      <c r="C176" s="219">
        <v>7</v>
      </c>
      <c r="D176" s="219">
        <v>15</v>
      </c>
      <c r="E176" s="219">
        <v>33</v>
      </c>
      <c r="F176" s="219">
        <v>90</v>
      </c>
      <c r="G176" s="219">
        <v>78</v>
      </c>
      <c r="H176" s="219">
        <v>91</v>
      </c>
      <c r="I176" s="219">
        <v>88</v>
      </c>
      <c r="J176" s="219">
        <v>92</v>
      </c>
      <c r="M176" s="528" t="s">
        <v>356</v>
      </c>
      <c r="N176" s="526"/>
      <c r="O176" s="526"/>
    </row>
    <row r="177" spans="1:15" outlineLevel="1">
      <c r="B177" s="349" t="str">
        <f t="shared" si="157"/>
        <v>SSE Hydro</v>
      </c>
      <c r="C177" s="219">
        <v>5</v>
      </c>
      <c r="D177" s="219">
        <v>90</v>
      </c>
      <c r="E177" s="219">
        <v>35</v>
      </c>
      <c r="F177" s="219">
        <v>92</v>
      </c>
      <c r="G177" s="219">
        <v>0</v>
      </c>
      <c r="H177" s="219">
        <v>0</v>
      </c>
      <c r="I177" s="219">
        <v>102</v>
      </c>
      <c r="J177" s="219">
        <v>308</v>
      </c>
      <c r="M177" s="527" t="s">
        <v>354</v>
      </c>
      <c r="N177" s="526"/>
      <c r="O177" s="526"/>
    </row>
    <row r="178" spans="1:15" outlineLevel="1">
      <c r="B178" s="349" t="str">
        <f t="shared" si="157"/>
        <v>SSE Southern</v>
      </c>
      <c r="C178" s="219">
        <v>5</v>
      </c>
      <c r="D178" s="219">
        <v>90</v>
      </c>
      <c r="E178" s="219">
        <v>49</v>
      </c>
      <c r="F178" s="219">
        <v>90</v>
      </c>
      <c r="G178" s="219">
        <v>0</v>
      </c>
      <c r="H178" s="219">
        <v>90</v>
      </c>
      <c r="I178" s="219">
        <v>90</v>
      </c>
      <c r="J178" s="219">
        <v>90</v>
      </c>
      <c r="M178" s="528" t="s">
        <v>356</v>
      </c>
      <c r="N178" s="526"/>
      <c r="O178" s="526"/>
    </row>
    <row r="179" spans="1:15" outlineLevel="1">
      <c r="B179" s="349" t="str">
        <f t="shared" si="157"/>
        <v xml:space="preserve">IPNL </v>
      </c>
      <c r="C179" s="219">
        <v>11</v>
      </c>
      <c r="D179" s="219">
        <v>11</v>
      </c>
      <c r="E179" s="219">
        <v>59</v>
      </c>
      <c r="F179" s="219">
        <v>59</v>
      </c>
      <c r="G179" s="219">
        <v>0</v>
      </c>
      <c r="H179" s="219">
        <v>0</v>
      </c>
      <c r="I179" s="219">
        <v>0</v>
      </c>
      <c r="J179" s="219">
        <v>0</v>
      </c>
    </row>
    <row r="180" spans="1:15" outlineLevel="1">
      <c r="B180" s="349" t="str">
        <f t="shared" si="157"/>
        <v xml:space="preserve">Energetics </v>
      </c>
      <c r="C180" s="219">
        <v>0</v>
      </c>
      <c r="D180" s="219">
        <v>0</v>
      </c>
      <c r="E180" s="219">
        <v>0</v>
      </c>
      <c r="F180" s="219">
        <v>0</v>
      </c>
      <c r="G180" s="219">
        <v>0</v>
      </c>
      <c r="H180" s="219">
        <v>0</v>
      </c>
      <c r="I180" s="219">
        <v>0</v>
      </c>
      <c r="J180" s="219">
        <v>0</v>
      </c>
    </row>
    <row r="181" spans="1:15" outlineLevel="1">
      <c r="B181" s="349" t="str">
        <f t="shared" si="157"/>
        <v>EDF IDNO</v>
      </c>
      <c r="C181" s="219">
        <v>0</v>
      </c>
      <c r="D181" s="15">
        <v>0</v>
      </c>
      <c r="E181" s="219">
        <v>0</v>
      </c>
      <c r="F181" s="15">
        <v>0</v>
      </c>
      <c r="G181" s="219">
        <v>0</v>
      </c>
      <c r="H181" s="15">
        <v>0</v>
      </c>
      <c r="I181" s="219">
        <v>0</v>
      </c>
      <c r="J181" s="15">
        <v>0</v>
      </c>
    </row>
    <row r="182" spans="1:15" outlineLevel="1">
      <c r="B182" s="349" t="str">
        <f t="shared" si="157"/>
        <v xml:space="preserve">ENC </v>
      </c>
      <c r="C182" s="219">
        <v>5</v>
      </c>
      <c r="D182" s="219">
        <v>5</v>
      </c>
      <c r="E182" s="219">
        <v>0</v>
      </c>
      <c r="F182" s="219">
        <v>0</v>
      </c>
      <c r="G182" s="219">
        <v>0</v>
      </c>
      <c r="H182" s="219">
        <v>0</v>
      </c>
      <c r="I182" s="219">
        <v>0</v>
      </c>
      <c r="J182" s="219">
        <v>0</v>
      </c>
    </row>
    <row r="183" spans="1:15" outlineLevel="1">
      <c r="B183" s="349" t="str">
        <f t="shared" si="157"/>
        <v xml:space="preserve">ESP </v>
      </c>
      <c r="C183" s="219">
        <v>0</v>
      </c>
      <c r="D183" s="219">
        <v>0</v>
      </c>
      <c r="E183" s="219">
        <v>0</v>
      </c>
      <c r="F183" s="219">
        <v>0</v>
      </c>
      <c r="G183" s="219">
        <v>0</v>
      </c>
      <c r="H183" s="219">
        <v>0</v>
      </c>
      <c r="I183" s="219">
        <v>0</v>
      </c>
      <c r="J183" s="219">
        <v>0</v>
      </c>
    </row>
    <row r="184" spans="1:15" s="127" customFormat="1" outlineLevel="1">
      <c r="A184" s="435"/>
      <c r="B184" s="750" t="s">
        <v>249</v>
      </c>
      <c r="C184" s="127" t="s">
        <v>250</v>
      </c>
    </row>
    <row r="185" spans="1:15" s="127" customFormat="1" outlineLevel="1">
      <c r="A185" s="435"/>
      <c r="B185" s="433"/>
      <c r="C185" s="394"/>
    </row>
    <row r="186" spans="1:15" s="127" customFormat="1" outlineLevel="1">
      <c r="A186" s="435"/>
      <c r="B186"/>
      <c r="C186" s="37"/>
    </row>
    <row r="187" spans="1:15" s="127" customFormat="1" outlineLevel="1">
      <c r="A187" s="435"/>
    </row>
  </sheetData>
  <mergeCells count="30">
    <mergeCell ref="C163:D163"/>
    <mergeCell ref="E163:F163"/>
    <mergeCell ref="G163:H163"/>
    <mergeCell ref="I163:J163"/>
    <mergeCell ref="C137:D137"/>
    <mergeCell ref="E137:F137"/>
    <mergeCell ref="G137:H137"/>
    <mergeCell ref="I137:J137"/>
    <mergeCell ref="AV38:AZ38"/>
    <mergeCell ref="W38:AA38"/>
    <mergeCell ref="AB38:AF38"/>
    <mergeCell ref="AG38:AK38"/>
    <mergeCell ref="AL38:AP38"/>
    <mergeCell ref="AQ38:AU38"/>
    <mergeCell ref="B38:B39"/>
    <mergeCell ref="AV6:AZ6"/>
    <mergeCell ref="AQ6:AU6"/>
    <mergeCell ref="AL6:AP6"/>
    <mergeCell ref="AG6:AK6"/>
    <mergeCell ref="AB6:AF6"/>
    <mergeCell ref="W6:AA6"/>
    <mergeCell ref="R6:V6"/>
    <mergeCell ref="M6:Q6"/>
    <mergeCell ref="H6:L6"/>
    <mergeCell ref="C38:G38"/>
    <mergeCell ref="H38:L38"/>
    <mergeCell ref="M38:Q38"/>
    <mergeCell ref="R38:V38"/>
    <mergeCell ref="B6:B7"/>
    <mergeCell ref="C6:G6"/>
  </mergeCells>
  <conditionalFormatting sqref="C165:J183 C139:I157 J139:J144 J146:J157">
    <cfRule type="cellIs" dxfId="82" priority="19" stopIfTrue="1" operator="lessThan">
      <formula>90</formula>
    </cfRule>
    <cfRule type="cellIs" dxfId="81" priority="20" stopIfTrue="1" operator="greaterThan">
      <formula>93</formula>
    </cfRule>
  </conditionalFormatting>
  <conditionalFormatting sqref="C125:L125 C95:L95 AA8:AA34 Q8:Q34">
    <cfRule type="containsText" dxfId="80" priority="7" operator="containsText" text="error">
      <formula>NOT(ISERROR(SEARCH("error",C8)))</formula>
    </cfRule>
  </conditionalFormatting>
  <conditionalFormatting sqref="V8:V34">
    <cfRule type="cellIs" dxfId="79" priority="4" operator="equal">
      <formula>"error"</formula>
    </cfRule>
  </conditionalFormatting>
  <pageMargins left="0.70866141732283472" right="0.70866141732283472" top="0.74803149606299213" bottom="0.74803149606299213" header="0.31496062992125984" footer="0.31496062992125984"/>
  <pageSetup scale="19" orientation="landscape" r:id="rId1"/>
  <ignoredErrors>
    <ignoredError sqref="G30:O30 V30:Y30 G29:L29 AA29:AU29 G27:L27 G28:L28 AA30:AU30 AA27:AU27 AA28:AU28 Q30:T30" formula="1"/>
    <ignoredError sqref="G63:G64 C65:G65 C63:F64 F32:G32 F31:G31 C33:G33 C31:E31 C32:E32 C66:F66 AB63:AZ66 H63:L66 C34:E34 F34:G34 AB31:AZ34 H31:L34 C93:L94 C95:L95 C126:L127 C128:L129" evalError="1"/>
    <ignoredError sqref="G66" evalError="1" formula="1"/>
    <ignoredError sqref="E90:G91 M59:P60 R59:U60 W59:Z60 R28 R27 Z27 Z28" formulaRange="1"/>
    <ignoredError sqref="S28:Y28 M28:Q28 S27:Y27 M27:Q27" formula="1" formulaRange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theme="5"/>
  </sheetPr>
  <dimension ref="A1:P149"/>
  <sheetViews>
    <sheetView zoomScale="75" zoomScaleNormal="75" workbookViewId="0">
      <pane ySplit="23" topLeftCell="A24" activePane="bottomLeft" state="frozen"/>
      <selection pane="bottomLeft" activeCell="A2" sqref="A2"/>
    </sheetView>
  </sheetViews>
  <sheetFormatPr defaultRowHeight="12.75" outlineLevelRow="1"/>
  <cols>
    <col min="1" max="1" width="1.625" customWidth="1"/>
    <col min="2" max="2" width="35.25" customWidth="1"/>
    <col min="3" max="14" width="11.625" customWidth="1"/>
  </cols>
  <sheetData>
    <row r="1" spans="1:16">
      <c r="A1" s="2" t="s">
        <v>502</v>
      </c>
    </row>
    <row r="2" spans="1:16">
      <c r="A2" s="2"/>
    </row>
    <row r="3" spans="1:16">
      <c r="A3" s="2"/>
    </row>
    <row r="4" spans="1:16">
      <c r="A4" s="2"/>
    </row>
    <row r="5" spans="1:16" ht="13.5" thickBot="1">
      <c r="A5" s="2"/>
    </row>
    <row r="6" spans="1:16" ht="66" customHeight="1" thickBot="1">
      <c r="A6" s="2"/>
      <c r="B6" s="424" t="s">
        <v>19</v>
      </c>
      <c r="C6" s="425" t="s">
        <v>241</v>
      </c>
      <c r="D6" s="426" t="s">
        <v>242</v>
      </c>
      <c r="E6" s="427" t="s">
        <v>298</v>
      </c>
      <c r="F6" s="427" t="s">
        <v>380</v>
      </c>
      <c r="G6" s="427" t="s">
        <v>385</v>
      </c>
      <c r="H6" s="427" t="s">
        <v>386</v>
      </c>
      <c r="I6" s="512" t="s">
        <v>318</v>
      </c>
      <c r="J6" s="428" t="s">
        <v>319</v>
      </c>
      <c r="K6" s="515" t="s">
        <v>383</v>
      </c>
      <c r="L6" s="429" t="s">
        <v>243</v>
      </c>
      <c r="M6" s="428" t="s">
        <v>320</v>
      </c>
      <c r="N6" s="515" t="s">
        <v>384</v>
      </c>
      <c r="O6" s="429" t="s">
        <v>244</v>
      </c>
    </row>
    <row r="7" spans="1:16" ht="13.5" thickTop="1">
      <c r="A7" s="2"/>
      <c r="B7" s="378" t="str">
        <f>Inputs!B11</f>
        <v>CN West</v>
      </c>
      <c r="C7" s="416">
        <v>4178</v>
      </c>
      <c r="D7" s="417">
        <v>63</v>
      </c>
      <c r="E7" s="506">
        <v>6.3</v>
      </c>
      <c r="F7" s="570">
        <f>E7*Inputs!$H$7/Inputs!$C$7</f>
        <v>7.4028273911794367</v>
      </c>
      <c r="G7" s="506">
        <v>1.26</v>
      </c>
      <c r="H7" s="511">
        <f>G7*Inputs!$H$7/Inputs!$C$7</f>
        <v>1.4805654782358872</v>
      </c>
      <c r="I7" s="513">
        <f t="shared" ref="I7:I21" si="0">(G47/H7)</f>
        <v>0.39177401902007608</v>
      </c>
      <c r="J7" s="521">
        <f>K7/(Inputs!$J$7/Inputs!$C$7)</f>
        <v>0.56910548147860696</v>
      </c>
      <c r="K7" s="516">
        <f>H47</f>
        <v>0.69173196044432128</v>
      </c>
      <c r="L7" s="571">
        <f>IF(K7="-","-",K7/F7)</f>
        <v>9.3441589799666103E-2</v>
      </c>
      <c r="M7" s="523">
        <f>N7/(Inputs!$J$7/Inputs!$C$7)</f>
        <v>5.5213889407453669</v>
      </c>
      <c r="N7" s="518">
        <f>F7-K7</f>
        <v>6.7110954307351154</v>
      </c>
      <c r="O7" s="430">
        <f>IF(N7="-","-",N7/F7)</f>
        <v>0.9065584102003339</v>
      </c>
      <c r="P7" s="93"/>
    </row>
    <row r="8" spans="1:16">
      <c r="A8" s="2"/>
      <c r="B8" s="376" t="str">
        <f>Inputs!B12</f>
        <v>CN East</v>
      </c>
      <c r="C8" s="418">
        <v>1313</v>
      </c>
      <c r="D8" s="419">
        <v>20</v>
      </c>
      <c r="E8" s="507">
        <v>2</v>
      </c>
      <c r="F8" s="507">
        <f>E8*Inputs!$H$7/Inputs!$C$7</f>
        <v>2.3501039337077576</v>
      </c>
      <c r="G8" s="508">
        <v>0.4</v>
      </c>
      <c r="H8" s="422">
        <f>G8*Inputs!$H$7/Inputs!$C$7</f>
        <v>0.47002078674155157</v>
      </c>
      <c r="I8" s="513">
        <f t="shared" si="0"/>
        <v>0.61704407995661992</v>
      </c>
      <c r="J8" s="521">
        <f>K8/(Inputs!$J$7/Inputs!$C$7)</f>
        <v>0.24795814807168984</v>
      </c>
      <c r="K8" s="517">
        <f t="shared" ref="K8:K19" si="1">H48</f>
        <v>0.30138626573784089</v>
      </c>
      <c r="L8" s="571">
        <f t="shared" ref="L8:L20" si="2">IF(K8="-","-",K8/F8)</f>
        <v>0.1282438029293215</v>
      </c>
      <c r="M8" s="523">
        <f>N8/(Inputs!$J$7/Inputs!$C$7)</f>
        <v>1.6855321446978253</v>
      </c>
      <c r="N8" s="519">
        <f t="shared" ref="N8:N21" si="3">F8-K8</f>
        <v>2.0487176679699166</v>
      </c>
      <c r="O8" s="63">
        <f t="shared" ref="O8:O19" si="4">IF(N8="-","-",N8/F8)</f>
        <v>0.87175619707067842</v>
      </c>
      <c r="P8" s="93"/>
    </row>
    <row r="9" spans="1:16">
      <c r="A9" s="2"/>
      <c r="B9" s="376" t="str">
        <f>Inputs!B13</f>
        <v>ENWL</v>
      </c>
      <c r="C9" s="418">
        <v>3317</v>
      </c>
      <c r="D9" s="419">
        <v>50</v>
      </c>
      <c r="E9" s="507">
        <v>5</v>
      </c>
      <c r="F9" s="507">
        <f>E9*Inputs!$H$7/Inputs!$C$7</f>
        <v>5.8752598342693938</v>
      </c>
      <c r="G9" s="508">
        <v>1</v>
      </c>
      <c r="H9" s="422">
        <f>G9*Inputs!$H$7/Inputs!$C$7</f>
        <v>1.1750519668538788</v>
      </c>
      <c r="I9" s="513">
        <f t="shared" si="0"/>
        <v>1.041215640870214</v>
      </c>
      <c r="J9" s="521">
        <f>K9/(Inputs!$J$7/Inputs!$C$7)</f>
        <v>1.9718062313770621</v>
      </c>
      <c r="K9" s="517">
        <f t="shared" si="1"/>
        <v>2.3966758965368644</v>
      </c>
      <c r="L9" s="571">
        <f t="shared" si="2"/>
        <v>0.40792679203010912</v>
      </c>
      <c r="M9" s="523">
        <f>N9/(Inputs!$J$7/Inputs!$C$7)</f>
        <v>2.8619195005467262</v>
      </c>
      <c r="N9" s="519">
        <f t="shared" si="3"/>
        <v>3.4785839377325294</v>
      </c>
      <c r="O9" s="63">
        <f t="shared" si="4"/>
        <v>0.59207320796989082</v>
      </c>
      <c r="P9" s="93"/>
    </row>
    <row r="10" spans="1:16">
      <c r="A10" s="2"/>
      <c r="B10" s="376" t="str">
        <f>Inputs!B14</f>
        <v>CE NEDL</v>
      </c>
      <c r="C10" s="418">
        <v>3692</v>
      </c>
      <c r="D10" s="419">
        <v>55</v>
      </c>
      <c r="E10" s="507">
        <v>5.5</v>
      </c>
      <c r="F10" s="507">
        <f>E10*Inputs!$H$7/Inputs!$C$7</f>
        <v>6.4627858176963331</v>
      </c>
      <c r="G10" s="508">
        <v>1.1000000000000001</v>
      </c>
      <c r="H10" s="422">
        <f>G10*Inputs!$H$7/Inputs!$C$7</f>
        <v>1.2925571635392668</v>
      </c>
      <c r="I10" s="513">
        <f t="shared" si="0"/>
        <v>0.59834577450338899</v>
      </c>
      <c r="J10" s="521">
        <f>K10/(Inputs!$J$7/Inputs!$C$7)</f>
        <v>1.9229104577071163</v>
      </c>
      <c r="K10" s="517">
        <f t="shared" si="1"/>
        <v>2.337244437029081</v>
      </c>
      <c r="L10" s="571">
        <f t="shared" si="2"/>
        <v>0.36164658754886514</v>
      </c>
      <c r="M10" s="523">
        <f>N10/(Inputs!$J$7/Inputs!$C$7)</f>
        <v>3.394187847409051</v>
      </c>
      <c r="N10" s="519">
        <f t="shared" si="3"/>
        <v>4.1255413806672525</v>
      </c>
      <c r="O10" s="63">
        <f t="shared" si="4"/>
        <v>0.63835341245113486</v>
      </c>
      <c r="P10" s="93"/>
    </row>
    <row r="11" spans="1:16">
      <c r="A11" s="2"/>
      <c r="B11" s="376" t="str">
        <f>Inputs!B15</f>
        <v>CE YEDL</v>
      </c>
      <c r="C11" s="418">
        <v>734</v>
      </c>
      <c r="D11" s="419">
        <v>11</v>
      </c>
      <c r="E11" s="507">
        <v>1.1000000000000001</v>
      </c>
      <c r="F11" s="507">
        <f>E11*Inputs!$H$7/Inputs!$C$7</f>
        <v>1.2925571635392668</v>
      </c>
      <c r="G11" s="508">
        <v>0.22000000000000003</v>
      </c>
      <c r="H11" s="422">
        <f>G11*Inputs!$H$7/Inputs!$C$7</f>
        <v>0.25851143270785337</v>
      </c>
      <c r="I11" s="513">
        <f t="shared" si="0"/>
        <v>0.37396610906461808</v>
      </c>
      <c r="J11" s="521">
        <f>K11/(Inputs!$J$7/Inputs!$C$7)</f>
        <v>0.63107460301490936</v>
      </c>
      <c r="K11" s="517">
        <f t="shared" si="1"/>
        <v>0.76705371242595333</v>
      </c>
      <c r="L11" s="571">
        <f t="shared" si="2"/>
        <v>0.59343890859388748</v>
      </c>
      <c r="M11" s="523">
        <f>N11/(Inputs!$J$7/Inputs!$C$7)</f>
        <v>0.43234505800832407</v>
      </c>
      <c r="N11" s="519">
        <f t="shared" si="3"/>
        <v>0.52550345111331342</v>
      </c>
      <c r="O11" s="63">
        <f t="shared" si="4"/>
        <v>0.40656109140611257</v>
      </c>
      <c r="P11" s="93"/>
    </row>
    <row r="12" spans="1:16">
      <c r="A12" s="2"/>
      <c r="B12" s="376" t="str">
        <f>Inputs!B16</f>
        <v>WPD S Wales</v>
      </c>
      <c r="C12" s="418">
        <v>9068</v>
      </c>
      <c r="D12" s="419">
        <v>136</v>
      </c>
      <c r="E12" s="507">
        <v>13.6</v>
      </c>
      <c r="F12" s="507">
        <f>E12*Inputs!$H$7/Inputs!$C$7</f>
        <v>15.980706749212752</v>
      </c>
      <c r="G12" s="508">
        <v>0.98000000000000009</v>
      </c>
      <c r="H12" s="422">
        <f>G12*Inputs!$H$7/Inputs!$C$7</f>
        <v>1.1515509275168012</v>
      </c>
      <c r="I12" s="513">
        <f t="shared" si="0"/>
        <v>0</v>
      </c>
      <c r="J12" s="521">
        <f>K12/(Inputs!$J$7/Inputs!$C$7)</f>
        <v>0</v>
      </c>
      <c r="K12" s="517">
        <f t="shared" si="1"/>
        <v>0</v>
      </c>
      <c r="L12" s="571">
        <f t="shared" si="2"/>
        <v>0</v>
      </c>
      <c r="M12" s="523">
        <f>N12/(Inputs!$J$7/Inputs!$C$7)</f>
        <v>13.147733990832704</v>
      </c>
      <c r="N12" s="519">
        <f t="shared" si="3"/>
        <v>15.980706749212752</v>
      </c>
      <c r="O12" s="63">
        <f t="shared" si="4"/>
        <v>1</v>
      </c>
      <c r="P12" s="93"/>
    </row>
    <row r="13" spans="1:16">
      <c r="A13" s="2"/>
      <c r="B13" s="376" t="str">
        <f>Inputs!B17</f>
        <v>WPD S West</v>
      </c>
      <c r="C13" s="418">
        <v>3283</v>
      </c>
      <c r="D13" s="419">
        <v>49</v>
      </c>
      <c r="E13" s="507">
        <v>4.9000000000000004</v>
      </c>
      <c r="F13" s="507">
        <f>E13*Inputs!$H$7/Inputs!$C$7</f>
        <v>5.7577546375840072</v>
      </c>
      <c r="G13" s="508">
        <v>2.7199999999999998</v>
      </c>
      <c r="H13" s="422">
        <f>G13*Inputs!$H$7/Inputs!$C$7</f>
        <v>3.1961413498425504</v>
      </c>
      <c r="I13" s="513">
        <f t="shared" si="0"/>
        <v>0</v>
      </c>
      <c r="J13" s="521">
        <f>K13/(Inputs!$J$7/Inputs!$C$7)</f>
        <v>0</v>
      </c>
      <c r="K13" s="517">
        <f t="shared" si="1"/>
        <v>0</v>
      </c>
      <c r="L13" s="571">
        <f t="shared" si="2"/>
        <v>0</v>
      </c>
      <c r="M13" s="523">
        <f>N13/(Inputs!$J$7/Inputs!$C$7)</f>
        <v>4.7370512172853134</v>
      </c>
      <c r="N13" s="519">
        <f t="shared" si="3"/>
        <v>5.7577546375840072</v>
      </c>
      <c r="O13" s="63">
        <f t="shared" si="4"/>
        <v>1</v>
      </c>
      <c r="P13" s="93"/>
    </row>
    <row r="14" spans="1:16">
      <c r="A14" s="2"/>
      <c r="B14" s="376" t="str">
        <f>Inputs!B18</f>
        <v>UKPN LPN</v>
      </c>
      <c r="C14" s="598">
        <v>0</v>
      </c>
      <c r="D14" s="599">
        <v>0</v>
      </c>
      <c r="E14" s="600">
        <v>0</v>
      </c>
      <c r="F14" s="600">
        <f>E14*Inputs!$H$7/Inputs!$C$7</f>
        <v>0</v>
      </c>
      <c r="G14" s="601">
        <v>0</v>
      </c>
      <c r="H14" s="602">
        <f>G14*Inputs!$H$7/Inputs!$C$7</f>
        <v>0</v>
      </c>
      <c r="I14" s="603" t="e">
        <f t="shared" si="0"/>
        <v>#DIV/0!</v>
      </c>
      <c r="J14" s="604">
        <f>K14/(Inputs!$J$7/Inputs!$C$7)</f>
        <v>0</v>
      </c>
      <c r="K14" s="605">
        <f t="shared" si="1"/>
        <v>0</v>
      </c>
      <c r="L14" s="606" t="e">
        <f t="shared" si="2"/>
        <v>#DIV/0!</v>
      </c>
      <c r="M14" s="607">
        <f>N14/(Inputs!$J$7/Inputs!$C$7)</f>
        <v>0</v>
      </c>
      <c r="N14" s="608">
        <f t="shared" si="3"/>
        <v>0</v>
      </c>
      <c r="O14" s="609" t="e">
        <f t="shared" si="4"/>
        <v>#DIV/0!</v>
      </c>
      <c r="P14" s="93"/>
    </row>
    <row r="15" spans="1:16">
      <c r="A15" s="2"/>
      <c r="B15" s="376" t="str">
        <f>Inputs!B19</f>
        <v>UKPN SEPN</v>
      </c>
      <c r="C15" s="418">
        <v>5130</v>
      </c>
      <c r="D15" s="419">
        <v>77</v>
      </c>
      <c r="E15" s="507">
        <v>7.7</v>
      </c>
      <c r="F15" s="507">
        <f>E15*Inputs!$H$7/Inputs!$C$7</f>
        <v>9.0479001447748661</v>
      </c>
      <c r="G15" s="508">
        <v>1.54</v>
      </c>
      <c r="H15" s="422">
        <f>G15*Inputs!$H$7/Inputs!$C$7</f>
        <v>1.8095800289549735</v>
      </c>
      <c r="I15" s="513">
        <f t="shared" si="0"/>
        <v>1.5925613873166091</v>
      </c>
      <c r="J15" s="521">
        <f>K15/(Inputs!$J$7/Inputs!$C$7)</f>
        <v>3.5694983872155102</v>
      </c>
      <c r="K15" s="517">
        <f t="shared" si="1"/>
        <v>4.3386264893747022</v>
      </c>
      <c r="L15" s="571">
        <f t="shared" si="2"/>
        <v>0.47951750350386496</v>
      </c>
      <c r="M15" s="523">
        <f>N15/(Inputs!$J$7/Inputs!$C$7)</f>
        <v>3.8744392399471232</v>
      </c>
      <c r="N15" s="519">
        <f t="shared" si="3"/>
        <v>4.709273655400164</v>
      </c>
      <c r="O15" s="63">
        <f t="shared" si="4"/>
        <v>0.52048249649613498</v>
      </c>
      <c r="P15" s="93"/>
    </row>
    <row r="16" spans="1:16">
      <c r="A16" s="2"/>
      <c r="B16" s="376" t="str">
        <f>Inputs!B20</f>
        <v>UKPN EPN</v>
      </c>
      <c r="C16" s="418">
        <v>1910</v>
      </c>
      <c r="D16" s="419">
        <v>29</v>
      </c>
      <c r="E16" s="507">
        <v>2.9</v>
      </c>
      <c r="F16" s="507">
        <f>E16*Inputs!$H$7/Inputs!$C$7</f>
        <v>3.4076507038762487</v>
      </c>
      <c r="G16" s="508">
        <v>0.57999999999999996</v>
      </c>
      <c r="H16" s="422">
        <f>G16*Inputs!$H$7/Inputs!$C$7</f>
        <v>0.68153014077524965</v>
      </c>
      <c r="I16" s="513">
        <f t="shared" si="0"/>
        <v>1.052521166270832</v>
      </c>
      <c r="J16" s="521">
        <f>K16/(Inputs!$J$7/Inputs!$C$7)</f>
        <v>1.3231815084039833</v>
      </c>
      <c r="K16" s="517">
        <f t="shared" si="1"/>
        <v>1.6082904990722142</v>
      </c>
      <c r="L16" s="571">
        <f t="shared" si="2"/>
        <v>0.47196459931845774</v>
      </c>
      <c r="M16" s="523">
        <f>N16/(Inputs!$J$7/Inputs!$C$7)</f>
        <v>1.480379416111814</v>
      </c>
      <c r="N16" s="519">
        <f t="shared" si="3"/>
        <v>1.7993602048040345</v>
      </c>
      <c r="O16" s="63">
        <f t="shared" si="4"/>
        <v>0.5280354006815422</v>
      </c>
      <c r="P16" s="93"/>
    </row>
    <row r="17" spans="1:16">
      <c r="A17" s="2"/>
      <c r="B17" s="376" t="str">
        <f>Inputs!B21</f>
        <v>SP Distribution</v>
      </c>
      <c r="C17" s="418">
        <v>553</v>
      </c>
      <c r="D17" s="419">
        <v>8</v>
      </c>
      <c r="E17" s="507">
        <v>0.8</v>
      </c>
      <c r="F17" s="507">
        <f>E17*Inputs!$H$7/Inputs!$C$7</f>
        <v>0.94004157348310313</v>
      </c>
      <c r="G17" s="508">
        <v>0.16</v>
      </c>
      <c r="H17" s="422">
        <f>G17*Inputs!$H$7/Inputs!$C$7</f>
        <v>0.18800831469662063</v>
      </c>
      <c r="I17" s="513">
        <f t="shared" si="0"/>
        <v>0</v>
      </c>
      <c r="J17" s="521">
        <f>K17/(Inputs!$J$7/Inputs!$C$7)</f>
        <v>0.15181162897044964</v>
      </c>
      <c r="K17" s="517">
        <f t="shared" si="1"/>
        <v>0.18452283301355368</v>
      </c>
      <c r="L17" s="571">
        <f t="shared" si="2"/>
        <v>0.19629220474776204</v>
      </c>
      <c r="M17" s="523">
        <f>N17/(Inputs!$J$7/Inputs!$C$7)</f>
        <v>0.62158448813735656</v>
      </c>
      <c r="N17" s="519">
        <f t="shared" si="3"/>
        <v>0.75551874046954948</v>
      </c>
      <c r="O17" s="63">
        <f t="shared" si="4"/>
        <v>0.80370779525223801</v>
      </c>
      <c r="P17" s="93"/>
    </row>
    <row r="18" spans="1:16">
      <c r="A18" s="2"/>
      <c r="B18" s="376" t="str">
        <f>Inputs!B22</f>
        <v>SP Manweb</v>
      </c>
      <c r="C18" s="418">
        <v>3626</v>
      </c>
      <c r="D18" s="419">
        <v>54</v>
      </c>
      <c r="E18" s="507">
        <v>5.4</v>
      </c>
      <c r="F18" s="507">
        <f>E18*Inputs!$H$7/Inputs!$C$7</f>
        <v>6.3452806210109456</v>
      </c>
      <c r="G18" s="508">
        <v>1.08</v>
      </c>
      <c r="H18" s="422">
        <f>G18*Inputs!$H$7/Inputs!$C$7</f>
        <v>1.2690561242021892</v>
      </c>
      <c r="I18" s="513">
        <f t="shared" si="0"/>
        <v>0.51123422639784855</v>
      </c>
      <c r="J18" s="521">
        <f>K18/(Inputs!$J$7/Inputs!$C$7)</f>
        <v>3.0665359744470422</v>
      </c>
      <c r="K18" s="517">
        <f t="shared" si="1"/>
        <v>3.7272895981709637</v>
      </c>
      <c r="L18" s="571">
        <f t="shared" si="2"/>
        <v>0.5874113094114225</v>
      </c>
      <c r="M18" s="523">
        <f>N18/(Inputs!$J$7/Inputs!$C$7)</f>
        <v>2.1538878160306489</v>
      </c>
      <c r="N18" s="519">
        <f t="shared" si="3"/>
        <v>2.6179910228399819</v>
      </c>
      <c r="O18" s="63">
        <f t="shared" si="4"/>
        <v>0.4125886905885775</v>
      </c>
      <c r="P18" s="93"/>
    </row>
    <row r="19" spans="1:16">
      <c r="A19" s="2"/>
      <c r="B19" s="376" t="str">
        <f>Inputs!B23</f>
        <v>SSE Hydro</v>
      </c>
      <c r="C19" s="418">
        <v>3117</v>
      </c>
      <c r="D19" s="419">
        <v>47</v>
      </c>
      <c r="E19" s="507">
        <v>4.7</v>
      </c>
      <c r="F19" s="507">
        <f>E19*Inputs!$H$7/Inputs!$C$7</f>
        <v>5.5227442442132304</v>
      </c>
      <c r="G19" s="508">
        <v>0.94000000000000006</v>
      </c>
      <c r="H19" s="422">
        <f>G19*Inputs!$H$7/Inputs!$C$7</f>
        <v>1.104548848842646</v>
      </c>
      <c r="I19" s="513">
        <f t="shared" si="0"/>
        <v>1.2253357616159828</v>
      </c>
      <c r="J19" s="521">
        <f>K19/(Inputs!$J$7/Inputs!$C$7)</f>
        <v>2.5612143351369054</v>
      </c>
      <c r="K19" s="517">
        <f t="shared" si="1"/>
        <v>3.1130851324069506</v>
      </c>
      <c r="L19" s="571">
        <f t="shared" si="2"/>
        <v>0.56368446459726296</v>
      </c>
      <c r="M19" s="523">
        <f>N19/(Inputs!$J$7/Inputs!$C$7)</f>
        <v>1.9824878528714556</v>
      </c>
      <c r="N19" s="519">
        <f t="shared" si="3"/>
        <v>2.4096591118062798</v>
      </c>
      <c r="O19" s="63">
        <f t="shared" si="4"/>
        <v>0.43631553540273699</v>
      </c>
      <c r="P19" s="93"/>
    </row>
    <row r="20" spans="1:16">
      <c r="A20" s="2"/>
      <c r="B20" s="376" t="str">
        <f>Inputs!B24</f>
        <v>SSE Southern</v>
      </c>
      <c r="C20" s="418">
        <v>2766</v>
      </c>
      <c r="D20" s="419">
        <v>41</v>
      </c>
      <c r="E20" s="507">
        <v>4.0999999999999996</v>
      </c>
      <c r="F20" s="507">
        <f>E20*Inputs!$H$7/Inputs!$C$7</f>
        <v>4.8177130641009027</v>
      </c>
      <c r="G20" s="508">
        <v>0.82</v>
      </c>
      <c r="H20" s="422">
        <f>G20*Inputs!$H$7/Inputs!$C$7</f>
        <v>0.9635426128201805</v>
      </c>
      <c r="I20" s="513">
        <f t="shared" si="0"/>
        <v>0</v>
      </c>
      <c r="J20" s="521">
        <f>K20/(Inputs!$J$7/Inputs!$C$7)</f>
        <v>3.1676750020385973</v>
      </c>
      <c r="K20" s="517">
        <f>H60</f>
        <v>3.8502212867773906</v>
      </c>
      <c r="L20" s="571">
        <f t="shared" si="2"/>
        <v>0.79918028233504423</v>
      </c>
      <c r="M20" s="523">
        <f>N20/(Inputs!$J$7/Inputs!$C$7)</f>
        <v>0.79598009813890869</v>
      </c>
      <c r="N20" s="519">
        <f t="shared" si="3"/>
        <v>0.9674917773235121</v>
      </c>
      <c r="O20" s="63">
        <f>IF(N20="-","-",N20/F20)</f>
        <v>0.20081971766495574</v>
      </c>
      <c r="P20" s="93"/>
    </row>
    <row r="21" spans="1:16" ht="13.5" thickBot="1">
      <c r="B21" s="377" t="s">
        <v>78</v>
      </c>
      <c r="C21" s="420">
        <f>SUM(C7:C20)</f>
        <v>42687</v>
      </c>
      <c r="D21" s="421">
        <f t="shared" ref="D21" si="5">SUM(D7:D20)</f>
        <v>640</v>
      </c>
      <c r="E21" s="509">
        <f>SUM(E7:E20)</f>
        <v>64</v>
      </c>
      <c r="F21" s="509">
        <f>SUM(F7:F20)</f>
        <v>75.203325878648243</v>
      </c>
      <c r="G21" s="509">
        <f t="shared" ref="G21:H21" si="6">SUM(G7:G20)</f>
        <v>12.8</v>
      </c>
      <c r="H21" s="423">
        <f t="shared" si="6"/>
        <v>15.040665175729648</v>
      </c>
      <c r="I21" s="514">
        <f t="shared" si="0"/>
        <v>0.56945912703902057</v>
      </c>
      <c r="J21" s="522">
        <f>K21/(Inputs!$J$7/Inputs!$C$7)</f>
        <v>19.182771757861875</v>
      </c>
      <c r="K21" s="475">
        <f>SUM(K7:K20)</f>
        <v>23.316128110989837</v>
      </c>
      <c r="L21" s="572">
        <f>IF(K21="-","-",K21/F21)</f>
        <v>0.31004118286754867</v>
      </c>
      <c r="M21" s="524">
        <f>N21/(Inputs!$J$7/Inputs!$C$7)</f>
        <v>42.688917610762616</v>
      </c>
      <c r="N21" s="520">
        <f t="shared" si="3"/>
        <v>51.887197767658407</v>
      </c>
      <c r="O21" s="431">
        <f>N21/F21</f>
        <v>0.68995881713245133</v>
      </c>
      <c r="P21" s="93"/>
    </row>
    <row r="22" spans="1:16" s="127" customFormat="1">
      <c r="B22" s="409"/>
      <c r="C22" s="412"/>
      <c r="D22" s="407"/>
      <c r="E22" s="407"/>
      <c r="F22" s="408"/>
      <c r="G22" s="408"/>
      <c r="H22" s="408"/>
      <c r="I22" s="408"/>
      <c r="J22" s="408"/>
      <c r="K22" s="409"/>
    </row>
    <row r="23" spans="1:16">
      <c r="B23" s="13"/>
      <c r="C23" s="13"/>
      <c r="D23" s="13"/>
      <c r="E23" s="13"/>
      <c r="F23" s="13"/>
      <c r="G23" s="13"/>
      <c r="H23" s="13"/>
    </row>
    <row r="24" spans="1:16">
      <c r="B24" s="13"/>
      <c r="C24" s="13"/>
      <c r="D24" s="13"/>
      <c r="E24" s="13"/>
      <c r="F24" s="13"/>
      <c r="G24" s="13"/>
      <c r="H24" s="13"/>
    </row>
    <row r="25" spans="1:16" ht="15.75" thickBot="1">
      <c r="B25" s="368" t="s">
        <v>179</v>
      </c>
      <c r="C25" s="368"/>
      <c r="D25" s="368"/>
      <c r="E25" s="368"/>
      <c r="F25" s="368"/>
      <c r="G25" s="368"/>
    </row>
    <row r="26" spans="1:16" s="355" customFormat="1" ht="13.5" outlineLevel="1" thickBot="1">
      <c r="B26" s="414" t="s">
        <v>19</v>
      </c>
      <c r="C26" s="386" t="s">
        <v>297</v>
      </c>
      <c r="D26" s="384" t="str">
        <f>CONCATENATE(LEFT(C26, 4)+1 &amp;"-" &amp;IF(C26&gt;"2007-08",,"0") &amp;RIGHT(C26,2)+1)</f>
        <v>2006-07</v>
      </c>
      <c r="E26" s="384" t="str">
        <f t="shared" ref="E26:G26" si="7">CONCATENATE(LEFT(D26, 4)+1 &amp;"-" &amp;IF(D26&gt;"2007-08",,"0") &amp;RIGHT(D26,2)+1)</f>
        <v>2007-08</v>
      </c>
      <c r="F26" s="384" t="str">
        <f t="shared" si="7"/>
        <v>2008-09</v>
      </c>
      <c r="G26" s="578" t="str">
        <f t="shared" si="7"/>
        <v>2009-10</v>
      </c>
      <c r="H26" s="383" t="s">
        <v>181</v>
      </c>
      <c r="I26" s="386" t="str">
        <f>CONCATENATE(LEFT(G26, 4)+1 &amp;"-" &amp;IF(G26&gt;"2007-08",,"0") &amp;RIGHT(G26,2)+1)</f>
        <v>2010-11</v>
      </c>
      <c r="J26" s="384" t="str">
        <f>CONCATENATE(LEFT(I26, 4)+1 &amp;"-" &amp;IF(I26&gt;"2007-08",,"0") &amp;RIGHT(I26,2)+1)</f>
        <v>2011-12</v>
      </c>
      <c r="K26" s="384" t="str">
        <f t="shared" ref="K26:M26" si="8">CONCATENATE(LEFT(J26, 4)+1 &amp;"-" &amp;IF(J26&gt;"2007-08",,"0") &amp;RIGHT(J26,2)+1)</f>
        <v>2012-13</v>
      </c>
      <c r="L26" s="384" t="str">
        <f t="shared" si="8"/>
        <v>2013-14</v>
      </c>
      <c r="M26" s="385" t="str">
        <f t="shared" si="8"/>
        <v>2014-15</v>
      </c>
      <c r="N26" s="383" t="s">
        <v>180</v>
      </c>
    </row>
    <row r="27" spans="1:16" ht="13.5" outlineLevel="1" thickTop="1">
      <c r="B27" s="415" t="str">
        <f>B7</f>
        <v>CN West</v>
      </c>
      <c r="C27" s="382">
        <v>0</v>
      </c>
      <c r="D27" s="379">
        <v>0</v>
      </c>
      <c r="E27" s="379">
        <v>0</v>
      </c>
      <c r="F27" s="379">
        <v>0.115</v>
      </c>
      <c r="G27" s="583">
        <v>0.6</v>
      </c>
      <c r="H27" s="381">
        <f>SUM(C27:G27)</f>
        <v>0.71499999999999997</v>
      </c>
      <c r="I27" s="382"/>
      <c r="J27" s="379"/>
      <c r="K27" s="379"/>
      <c r="L27" s="379"/>
      <c r="M27" s="380"/>
      <c r="N27" s="381">
        <f>SUM(I27:M27)</f>
        <v>0</v>
      </c>
    </row>
    <row r="28" spans="1:16" outlineLevel="1">
      <c r="B28" s="415" t="str">
        <f t="shared" ref="B28:B40" si="9">B8</f>
        <v>CN East</v>
      </c>
      <c r="C28" s="371">
        <v>0</v>
      </c>
      <c r="D28" s="369">
        <v>0</v>
      </c>
      <c r="E28" s="369">
        <v>0</v>
      </c>
      <c r="F28" s="369">
        <v>1.1699999999999999E-2</v>
      </c>
      <c r="G28" s="580">
        <v>0.30000000000000004</v>
      </c>
      <c r="H28" s="582">
        <f t="shared" ref="H28:H40" si="10">SUM(C28:G28)</f>
        <v>0.31170000000000003</v>
      </c>
      <c r="I28" s="371"/>
      <c r="J28" s="369"/>
      <c r="K28" s="369"/>
      <c r="L28" s="369"/>
      <c r="M28" s="372"/>
      <c r="N28" s="381">
        <f t="shared" ref="N28:N40" si="11">SUM(I28:M28)</f>
        <v>0</v>
      </c>
    </row>
    <row r="29" spans="1:16" outlineLevel="1">
      <c r="B29" s="415" t="str">
        <f t="shared" si="9"/>
        <v>ENWL</v>
      </c>
      <c r="C29" s="371">
        <v>3.7000000000000002E-3</v>
      </c>
      <c r="D29" s="369">
        <v>0.10346641970537926</v>
      </c>
      <c r="E29" s="369">
        <v>0.17899999999999999</v>
      </c>
      <c r="F29" s="369">
        <v>0.90864999999999996</v>
      </c>
      <c r="G29" s="580">
        <v>1.2655687916292158</v>
      </c>
      <c r="H29" s="582">
        <f t="shared" si="10"/>
        <v>2.4603852113345948</v>
      </c>
      <c r="I29" s="371"/>
      <c r="J29" s="369"/>
      <c r="K29" s="369"/>
      <c r="L29" s="369"/>
      <c r="M29" s="372"/>
      <c r="N29" s="381">
        <f t="shared" si="11"/>
        <v>0</v>
      </c>
    </row>
    <row r="30" spans="1:16" outlineLevel="1">
      <c r="B30" s="415" t="str">
        <f t="shared" si="9"/>
        <v>CE NEDL</v>
      </c>
      <c r="C30" s="371">
        <v>0</v>
      </c>
      <c r="D30" s="369">
        <v>0.2</v>
      </c>
      <c r="E30" s="369">
        <v>0.87</v>
      </c>
      <c r="F30" s="369">
        <v>0.5</v>
      </c>
      <c r="G30" s="580">
        <v>0.8</v>
      </c>
      <c r="H30" s="582">
        <f t="shared" si="10"/>
        <v>2.37</v>
      </c>
      <c r="I30" s="371"/>
      <c r="J30" s="369"/>
      <c r="K30" s="369"/>
      <c r="L30" s="369"/>
      <c r="M30" s="372"/>
      <c r="N30" s="381">
        <f t="shared" si="11"/>
        <v>0</v>
      </c>
    </row>
    <row r="31" spans="1:16" outlineLevel="1">
      <c r="B31" s="415" t="str">
        <f t="shared" si="9"/>
        <v>CE YEDL</v>
      </c>
      <c r="C31" s="371">
        <v>0</v>
      </c>
      <c r="D31" s="369">
        <v>0.2</v>
      </c>
      <c r="E31" s="369">
        <v>0.36499999999999999</v>
      </c>
      <c r="F31" s="369">
        <v>0.1</v>
      </c>
      <c r="G31" s="580">
        <v>0.1</v>
      </c>
      <c r="H31" s="582">
        <f t="shared" si="10"/>
        <v>0.7649999999999999</v>
      </c>
      <c r="I31" s="371"/>
      <c r="J31" s="369"/>
      <c r="K31" s="369"/>
      <c r="L31" s="369"/>
      <c r="M31" s="372"/>
      <c r="N31" s="381">
        <f t="shared" si="11"/>
        <v>0</v>
      </c>
    </row>
    <row r="32" spans="1:16" outlineLevel="1">
      <c r="B32" s="415" t="str">
        <f t="shared" si="9"/>
        <v>WPD S Wales</v>
      </c>
      <c r="C32" s="371">
        <v>0</v>
      </c>
      <c r="D32" s="369">
        <v>0</v>
      </c>
      <c r="E32" s="369">
        <v>0</v>
      </c>
      <c r="F32" s="369">
        <v>0</v>
      </c>
      <c r="G32" s="580">
        <v>0</v>
      </c>
      <c r="H32" s="582">
        <f t="shared" si="10"/>
        <v>0</v>
      </c>
      <c r="I32" s="371"/>
      <c r="J32" s="369"/>
      <c r="K32" s="369"/>
      <c r="L32" s="369"/>
      <c r="M32" s="372"/>
      <c r="N32" s="381">
        <f t="shared" si="11"/>
        <v>0</v>
      </c>
    </row>
    <row r="33" spans="2:14" outlineLevel="1">
      <c r="B33" s="415" t="str">
        <f t="shared" si="9"/>
        <v>WPD S West</v>
      </c>
      <c r="C33" s="371">
        <v>0</v>
      </c>
      <c r="D33" s="369">
        <v>0</v>
      </c>
      <c r="E33" s="369">
        <v>0</v>
      </c>
      <c r="F33" s="369">
        <v>0</v>
      </c>
      <c r="G33" s="580">
        <v>0</v>
      </c>
      <c r="H33" s="582">
        <f t="shared" si="10"/>
        <v>0</v>
      </c>
      <c r="I33" s="371"/>
      <c r="J33" s="369"/>
      <c r="K33" s="369"/>
      <c r="L33" s="369"/>
      <c r="M33" s="372"/>
      <c r="N33" s="381">
        <f t="shared" si="11"/>
        <v>0</v>
      </c>
    </row>
    <row r="34" spans="2:14" outlineLevel="1">
      <c r="B34" s="415" t="str">
        <f t="shared" si="9"/>
        <v>UKPN LPN</v>
      </c>
      <c r="C34" s="371">
        <v>0</v>
      </c>
      <c r="D34" s="369">
        <v>0</v>
      </c>
      <c r="E34" s="369">
        <v>0</v>
      </c>
      <c r="F34" s="369">
        <v>0</v>
      </c>
      <c r="G34" s="580">
        <v>0</v>
      </c>
      <c r="H34" s="582">
        <f t="shared" si="10"/>
        <v>0</v>
      </c>
      <c r="I34" s="371"/>
      <c r="J34" s="369"/>
      <c r="K34" s="369"/>
      <c r="L34" s="369"/>
      <c r="M34" s="372"/>
      <c r="N34" s="381">
        <f t="shared" si="11"/>
        <v>0</v>
      </c>
    </row>
    <row r="35" spans="2:14" outlineLevel="1">
      <c r="B35" s="415" t="str">
        <f t="shared" si="9"/>
        <v>UKPN SEPN</v>
      </c>
      <c r="C35" s="371">
        <v>0</v>
      </c>
      <c r="D35" s="369">
        <v>0</v>
      </c>
      <c r="E35" s="369">
        <v>0</v>
      </c>
      <c r="F35" s="369">
        <v>1.5</v>
      </c>
      <c r="G35" s="580">
        <v>2.9809999999999999</v>
      </c>
      <c r="H35" s="582">
        <f t="shared" si="10"/>
        <v>4.4809999999999999</v>
      </c>
      <c r="I35" s="371"/>
      <c r="J35" s="369"/>
      <c r="K35" s="369"/>
      <c r="L35" s="369"/>
      <c r="M35" s="372"/>
      <c r="N35" s="381">
        <f t="shared" si="11"/>
        <v>0</v>
      </c>
    </row>
    <row r="36" spans="2:14" outlineLevel="1">
      <c r="B36" s="415" t="str">
        <f t="shared" si="9"/>
        <v>UKPN EPN</v>
      </c>
      <c r="C36" s="371">
        <v>0</v>
      </c>
      <c r="D36" s="369">
        <v>0.2</v>
      </c>
      <c r="E36" s="369">
        <v>0.1</v>
      </c>
      <c r="F36" s="369">
        <v>0.6</v>
      </c>
      <c r="G36" s="580">
        <v>0.74199999999999999</v>
      </c>
      <c r="H36" s="582">
        <f t="shared" si="10"/>
        <v>1.6419999999999999</v>
      </c>
      <c r="I36" s="371"/>
      <c r="J36" s="369"/>
      <c r="K36" s="369"/>
      <c r="L36" s="369"/>
      <c r="M36" s="372"/>
      <c r="N36" s="381">
        <f t="shared" si="11"/>
        <v>0</v>
      </c>
    </row>
    <row r="37" spans="2:14" outlineLevel="1">
      <c r="B37" s="415" t="str">
        <f t="shared" si="9"/>
        <v>SP Distribution</v>
      </c>
      <c r="C37" s="371">
        <v>0</v>
      </c>
      <c r="D37" s="369">
        <v>0</v>
      </c>
      <c r="E37" s="369">
        <v>0</v>
      </c>
      <c r="F37" s="369">
        <v>0.19</v>
      </c>
      <c r="G37" s="580">
        <v>0</v>
      </c>
      <c r="H37" s="582">
        <f t="shared" si="10"/>
        <v>0.19</v>
      </c>
      <c r="I37" s="371"/>
      <c r="J37" s="369"/>
      <c r="K37" s="369"/>
      <c r="L37" s="369"/>
      <c r="M37" s="372"/>
      <c r="N37" s="381">
        <f t="shared" si="11"/>
        <v>0</v>
      </c>
    </row>
    <row r="38" spans="2:14" outlineLevel="1">
      <c r="B38" s="415" t="str">
        <f t="shared" si="9"/>
        <v>SP Manweb</v>
      </c>
      <c r="C38" s="371">
        <v>0</v>
      </c>
      <c r="D38" s="369">
        <v>0.1</v>
      </c>
      <c r="E38" s="369">
        <v>0.78</v>
      </c>
      <c r="F38" s="369">
        <v>2.2595090200000003</v>
      </c>
      <c r="G38" s="580">
        <v>0.67110233585154866</v>
      </c>
      <c r="H38" s="582">
        <f t="shared" si="10"/>
        <v>3.8106113558515489</v>
      </c>
      <c r="I38" s="371"/>
      <c r="J38" s="369"/>
      <c r="K38" s="369"/>
      <c r="L38" s="369"/>
      <c r="M38" s="372"/>
      <c r="N38" s="381">
        <f t="shared" si="11"/>
        <v>0</v>
      </c>
    </row>
    <row r="39" spans="2:14" outlineLevel="1">
      <c r="B39" s="415" t="str">
        <f t="shared" si="9"/>
        <v>SSE Hydro</v>
      </c>
      <c r="C39" s="371">
        <v>0</v>
      </c>
      <c r="D39" s="369">
        <v>0</v>
      </c>
      <c r="E39" s="369">
        <v>0.4</v>
      </c>
      <c r="F39" s="369">
        <v>1.4</v>
      </c>
      <c r="G39" s="580">
        <v>1.4</v>
      </c>
      <c r="H39" s="582">
        <f t="shared" si="10"/>
        <v>3.1999999999999997</v>
      </c>
      <c r="I39" s="371"/>
      <c r="J39" s="369"/>
      <c r="K39" s="369"/>
      <c r="L39" s="369"/>
      <c r="M39" s="372"/>
      <c r="N39" s="381">
        <f t="shared" si="11"/>
        <v>0</v>
      </c>
    </row>
    <row r="40" spans="2:14" outlineLevel="1">
      <c r="B40" s="415" t="str">
        <f t="shared" si="9"/>
        <v>SSE Southern</v>
      </c>
      <c r="C40" s="371">
        <v>0</v>
      </c>
      <c r="D40" s="369">
        <v>0.4</v>
      </c>
      <c r="E40" s="369">
        <v>1.2000000000000002</v>
      </c>
      <c r="F40" s="369">
        <v>2.2999999999999998</v>
      </c>
      <c r="G40" s="580">
        <v>0</v>
      </c>
      <c r="H40" s="582">
        <f t="shared" si="10"/>
        <v>3.9</v>
      </c>
      <c r="I40" s="371"/>
      <c r="J40" s="369"/>
      <c r="K40" s="369"/>
      <c r="L40" s="369"/>
      <c r="M40" s="372"/>
      <c r="N40" s="381">
        <f t="shared" si="11"/>
        <v>0</v>
      </c>
    </row>
    <row r="41" spans="2:14" ht="13.5" outlineLevel="1" thickBot="1">
      <c r="B41" s="413" t="s">
        <v>78</v>
      </c>
      <c r="C41" s="373">
        <f>SUM(C27:C40)</f>
        <v>3.7000000000000002E-3</v>
      </c>
      <c r="D41" s="374">
        <f>SUM(D27:D40)</f>
        <v>1.2034664197053793</v>
      </c>
      <c r="E41" s="374">
        <f>SUM(E27:E40)</f>
        <v>3.8940000000000001</v>
      </c>
      <c r="F41" s="374">
        <f t="shared" ref="F41:H41" si="12">SUM(F27:F40)</f>
        <v>9.8848590200000004</v>
      </c>
      <c r="G41" s="581">
        <f t="shared" si="12"/>
        <v>8.8596711274807642</v>
      </c>
      <c r="H41" s="370">
        <f t="shared" si="12"/>
        <v>23.845696567186142</v>
      </c>
      <c r="I41" s="373">
        <f t="shared" ref="I41:N41" si="13">SUM(I27:I40)</f>
        <v>0</v>
      </c>
      <c r="J41" s="374">
        <f t="shared" si="13"/>
        <v>0</v>
      </c>
      <c r="K41" s="374">
        <f t="shared" si="13"/>
        <v>0</v>
      </c>
      <c r="L41" s="374">
        <f t="shared" si="13"/>
        <v>0</v>
      </c>
      <c r="M41" s="375">
        <f t="shared" si="13"/>
        <v>0</v>
      </c>
      <c r="N41" s="370">
        <f t="shared" si="13"/>
        <v>0</v>
      </c>
    </row>
    <row r="42" spans="2:14" outlineLevel="1">
      <c r="B42" s="155"/>
    </row>
    <row r="45" spans="2:14" ht="15.75" thickBot="1">
      <c r="B45" s="368" t="s">
        <v>379</v>
      </c>
      <c r="C45" s="368"/>
      <c r="D45" s="368"/>
      <c r="E45" s="368"/>
      <c r="F45" s="368"/>
      <c r="G45" s="368"/>
    </row>
    <row r="46" spans="2:14" s="355" customFormat="1" ht="13.5" outlineLevel="1" thickBot="1">
      <c r="B46" s="414" t="s">
        <v>19</v>
      </c>
      <c r="C46" s="386" t="s">
        <v>297</v>
      </c>
      <c r="D46" s="384" t="str">
        <f>CONCATENATE(LEFT(C46, 4)+1 &amp;"-" &amp;IF(C46&gt;"2007-08",,"0") &amp;RIGHT(C46,2)+1)</f>
        <v>2006-07</v>
      </c>
      <c r="E46" s="384" t="str">
        <f t="shared" ref="E46" si="14">CONCATENATE(LEFT(D46, 4)+1 &amp;"-" &amp;IF(D46&gt;"2007-08",,"0") &amp;RIGHT(D46,2)+1)</f>
        <v>2007-08</v>
      </c>
      <c r="F46" s="384" t="str">
        <f t="shared" ref="F46" si="15">CONCATENATE(LEFT(E46, 4)+1 &amp;"-" &amp;IF(E46&gt;"2007-08",,"0") &amp;RIGHT(E46,2)+1)</f>
        <v>2008-09</v>
      </c>
      <c r="G46" s="578" t="str">
        <f t="shared" ref="G46" si="16">CONCATENATE(LEFT(F46, 4)+1 &amp;"-" &amp;IF(F46&gt;"2007-08",,"0") &amp;RIGHT(F46,2)+1)</f>
        <v>2009-10</v>
      </c>
      <c r="H46" s="383" t="s">
        <v>181</v>
      </c>
      <c r="I46" s="386" t="str">
        <f>CONCATENATE(LEFT(G46, 4)+1 &amp;"-" &amp;IF(G46&gt;"2007-08",,"0") &amp;RIGHT(G46,2)+1)</f>
        <v>2010-11</v>
      </c>
      <c r="J46" s="384" t="str">
        <f>CONCATENATE(LEFT(I46, 4)+1 &amp;"-" &amp;IF(I46&gt;"2007-08",,"0") &amp;RIGHT(I46,2)+1)</f>
        <v>2011-12</v>
      </c>
      <c r="K46" s="384" t="str">
        <f t="shared" ref="K46" si="17">CONCATENATE(LEFT(J46, 4)+1 &amp;"-" &amp;IF(J46&gt;"2007-08",,"0") &amp;RIGHT(J46,2)+1)</f>
        <v>2012-13</v>
      </c>
      <c r="L46" s="384" t="str">
        <f t="shared" ref="L46" si="18">CONCATENATE(LEFT(K46, 4)+1 &amp;"-" &amp;IF(K46&gt;"2007-08",,"0") &amp;RIGHT(K46,2)+1)</f>
        <v>2013-14</v>
      </c>
      <c r="M46" s="385" t="str">
        <f t="shared" ref="M46" si="19">CONCATENATE(LEFT(L46, 4)+1 &amp;"-" &amp;IF(L46&gt;"2007-08",,"0") &amp;RIGHT(L46,2)+1)</f>
        <v>2014-15</v>
      </c>
      <c r="N46" s="383" t="s">
        <v>180</v>
      </c>
    </row>
    <row r="47" spans="2:14" ht="13.5" outlineLevel="1" thickTop="1">
      <c r="B47" s="415" t="str">
        <f>B27</f>
        <v>CN West</v>
      </c>
      <c r="C47" s="575">
        <f>C27*Inputs!$H$7/Inputs!$F$7</f>
        <v>0</v>
      </c>
      <c r="D47" s="577">
        <f>D27*Inputs!$H$7/Inputs!$G$7</f>
        <v>0</v>
      </c>
      <c r="E47" s="577">
        <f>E27</f>
        <v>0</v>
      </c>
      <c r="F47" s="577">
        <f>F27*Inputs!$H$7/Inputs!$I$7</f>
        <v>0.1116848726134667</v>
      </c>
      <c r="G47" s="579">
        <f>G27*Inputs!$H$7/Inputs!$J$7</f>
        <v>0.58004708783085457</v>
      </c>
      <c r="H47" s="381">
        <f>SUM(C47:G47)</f>
        <v>0.69173196044432128</v>
      </c>
      <c r="I47" s="382"/>
      <c r="J47" s="379"/>
      <c r="K47" s="379"/>
      <c r="L47" s="379"/>
      <c r="M47" s="380"/>
      <c r="N47" s="381">
        <f>SUM(I47:M47)</f>
        <v>0</v>
      </c>
    </row>
    <row r="48" spans="2:14" outlineLevel="1">
      <c r="B48" s="415" t="str">
        <f t="shared" ref="B48:B60" si="20">B28</f>
        <v>CN East</v>
      </c>
      <c r="C48" s="576">
        <f>C28*Inputs!$H$7/Inputs!$F$7</f>
        <v>0</v>
      </c>
      <c r="D48" s="369">
        <f>D28*Inputs!$H$7/Inputs!$G$7</f>
        <v>0</v>
      </c>
      <c r="E48" s="369">
        <f t="shared" ref="E48:E60" si="21">E28</f>
        <v>0</v>
      </c>
      <c r="F48" s="369">
        <f>F28*Inputs!$H$7/Inputs!$I$7</f>
        <v>1.1362721822413565E-2</v>
      </c>
      <c r="G48" s="580">
        <f>G28*Inputs!$H$7/Inputs!$J$7</f>
        <v>0.29002354391542734</v>
      </c>
      <c r="H48" s="582">
        <f t="shared" ref="H48:H60" si="22">SUM(C48:G48)</f>
        <v>0.30138626573784089</v>
      </c>
      <c r="I48" s="371"/>
      <c r="J48" s="369"/>
      <c r="K48" s="369"/>
      <c r="L48" s="369"/>
      <c r="M48" s="372"/>
      <c r="N48" s="381">
        <f t="shared" ref="N48:N60" si="23">SUM(I48:M48)</f>
        <v>0</v>
      </c>
    </row>
    <row r="49" spans="2:14" outlineLevel="1">
      <c r="B49" s="415" t="str">
        <f t="shared" si="20"/>
        <v>ENWL</v>
      </c>
      <c r="C49" s="576">
        <f>C29*Inputs!$H$7/Inputs!$F$7</f>
        <v>3.9966655498494888E-3</v>
      </c>
      <c r="D49" s="369">
        <f>D29*Inputs!$H$7/Inputs!$G$7</f>
        <v>0.10774057469626128</v>
      </c>
      <c r="E49" s="369">
        <f t="shared" si="21"/>
        <v>0.17899999999999999</v>
      </c>
      <c r="F49" s="369">
        <f>F29*Inputs!$H$7/Inputs!$I$7</f>
        <v>0.88245616956718698</v>
      </c>
      <c r="G49" s="580">
        <f>G29*Inputs!$H$7/Inputs!$J$7</f>
        <v>1.223482486723567</v>
      </c>
      <c r="H49" s="582">
        <f t="shared" si="22"/>
        <v>2.3966758965368644</v>
      </c>
      <c r="I49" s="371"/>
      <c r="J49" s="369"/>
      <c r="K49" s="369"/>
      <c r="L49" s="369"/>
      <c r="M49" s="372"/>
      <c r="N49" s="381">
        <f t="shared" si="23"/>
        <v>0</v>
      </c>
    </row>
    <row r="50" spans="2:14" outlineLevel="1">
      <c r="B50" s="415" t="str">
        <f t="shared" si="20"/>
        <v>CE NEDL</v>
      </c>
      <c r="C50" s="576">
        <f>C30*Inputs!$H$7/Inputs!$F$7</f>
        <v>0</v>
      </c>
      <c r="D50" s="369">
        <f>D30*Inputs!$H$7/Inputs!$G$7</f>
        <v>0.20826191725402826</v>
      </c>
      <c r="E50" s="369">
        <f t="shared" si="21"/>
        <v>0.87</v>
      </c>
      <c r="F50" s="369">
        <f>F30*Inputs!$H$7/Inputs!$I$7</f>
        <v>0.48558640266724651</v>
      </c>
      <c r="G50" s="580">
        <f>G30*Inputs!$H$7/Inputs!$J$7</f>
        <v>0.7733961171078062</v>
      </c>
      <c r="H50" s="582">
        <f t="shared" si="22"/>
        <v>2.337244437029081</v>
      </c>
      <c r="I50" s="371"/>
      <c r="J50" s="369"/>
      <c r="K50" s="369"/>
      <c r="L50" s="369"/>
      <c r="M50" s="372"/>
      <c r="N50" s="381">
        <f t="shared" si="23"/>
        <v>0</v>
      </c>
    </row>
    <row r="51" spans="2:14" outlineLevel="1">
      <c r="B51" s="415" t="str">
        <f t="shared" si="20"/>
        <v>CE YEDL</v>
      </c>
      <c r="C51" s="576">
        <f>C31*Inputs!$H$7/Inputs!$F$7</f>
        <v>0</v>
      </c>
      <c r="D51" s="369">
        <f>D31*Inputs!$H$7/Inputs!$G$7</f>
        <v>0.20826191725402826</v>
      </c>
      <c r="E51" s="369">
        <f t="shared" si="21"/>
        <v>0.36499999999999999</v>
      </c>
      <c r="F51" s="369">
        <f>F31*Inputs!$H$7/Inputs!$I$7</f>
        <v>9.7117280533449313E-2</v>
      </c>
      <c r="G51" s="580">
        <f>G31*Inputs!$H$7/Inputs!$J$7</f>
        <v>9.6674514638475775E-2</v>
      </c>
      <c r="H51" s="582">
        <f t="shared" si="22"/>
        <v>0.76705371242595333</v>
      </c>
      <c r="I51" s="371"/>
      <c r="J51" s="369"/>
      <c r="K51" s="369"/>
      <c r="L51" s="369"/>
      <c r="M51" s="372"/>
      <c r="N51" s="381">
        <f t="shared" si="23"/>
        <v>0</v>
      </c>
    </row>
    <row r="52" spans="2:14" outlineLevel="1">
      <c r="B52" s="415" t="str">
        <f t="shared" si="20"/>
        <v>WPD S Wales</v>
      </c>
      <c r="C52" s="576">
        <f>C32*Inputs!$H$7/Inputs!$F$7</f>
        <v>0</v>
      </c>
      <c r="D52" s="369">
        <f>D32*Inputs!$H$7/Inputs!$G$7</f>
        <v>0</v>
      </c>
      <c r="E52" s="369">
        <f t="shared" si="21"/>
        <v>0</v>
      </c>
      <c r="F52" s="369">
        <f>F32*Inputs!$H$7/Inputs!$I$7</f>
        <v>0</v>
      </c>
      <c r="G52" s="580">
        <f>G32*Inputs!$H$7/Inputs!$J$7</f>
        <v>0</v>
      </c>
      <c r="H52" s="582">
        <f t="shared" si="22"/>
        <v>0</v>
      </c>
      <c r="I52" s="371"/>
      <c r="J52" s="369"/>
      <c r="K52" s="369"/>
      <c r="L52" s="369"/>
      <c r="M52" s="372"/>
      <c r="N52" s="381">
        <f t="shared" si="23"/>
        <v>0</v>
      </c>
    </row>
    <row r="53" spans="2:14" outlineLevel="1">
      <c r="B53" s="415" t="str">
        <f t="shared" si="20"/>
        <v>WPD S West</v>
      </c>
      <c r="C53" s="576">
        <f>C33*Inputs!$H$7/Inputs!$F$7</f>
        <v>0</v>
      </c>
      <c r="D53" s="369">
        <f>D33*Inputs!$H$7/Inputs!$G$7</f>
        <v>0</v>
      </c>
      <c r="E53" s="369">
        <f t="shared" si="21"/>
        <v>0</v>
      </c>
      <c r="F53" s="369">
        <f>F33*Inputs!$H$7/Inputs!$I$7</f>
        <v>0</v>
      </c>
      <c r="G53" s="580">
        <f>G33*Inputs!$H$7/Inputs!$J$7</f>
        <v>0</v>
      </c>
      <c r="H53" s="582">
        <f t="shared" si="22"/>
        <v>0</v>
      </c>
      <c r="I53" s="371"/>
      <c r="J53" s="369"/>
      <c r="K53" s="369"/>
      <c r="L53" s="369"/>
      <c r="M53" s="372"/>
      <c r="N53" s="381">
        <f t="shared" si="23"/>
        <v>0</v>
      </c>
    </row>
    <row r="54" spans="2:14" outlineLevel="1">
      <c r="B54" s="415" t="str">
        <f t="shared" si="20"/>
        <v>UKPN LPN</v>
      </c>
      <c r="C54" s="576">
        <f>C34*Inputs!$H$7/Inputs!$F$7</f>
        <v>0</v>
      </c>
      <c r="D54" s="369">
        <f>D34*Inputs!$H$7/Inputs!$G$7</f>
        <v>0</v>
      </c>
      <c r="E54" s="369">
        <f t="shared" si="21"/>
        <v>0</v>
      </c>
      <c r="F54" s="369">
        <f>F34*Inputs!$H$7/Inputs!$I$7</f>
        <v>0</v>
      </c>
      <c r="G54" s="580">
        <f>G34*Inputs!$H$7/Inputs!$J$7</f>
        <v>0</v>
      </c>
      <c r="H54" s="582">
        <f t="shared" si="22"/>
        <v>0</v>
      </c>
      <c r="I54" s="371"/>
      <c r="J54" s="369"/>
      <c r="K54" s="369"/>
      <c r="L54" s="369"/>
      <c r="M54" s="372"/>
      <c r="N54" s="381">
        <f t="shared" si="23"/>
        <v>0</v>
      </c>
    </row>
    <row r="55" spans="2:14" outlineLevel="1">
      <c r="B55" s="415" t="str">
        <f t="shared" si="20"/>
        <v>UKPN SEPN</v>
      </c>
      <c r="C55" s="576">
        <f>C35*Inputs!$H$7/Inputs!$F$7</f>
        <v>0</v>
      </c>
      <c r="D55" s="369">
        <f>D35*Inputs!$H$7/Inputs!$G$7</f>
        <v>0</v>
      </c>
      <c r="E55" s="369">
        <f t="shared" si="21"/>
        <v>0</v>
      </c>
      <c r="F55" s="369">
        <f>F35*Inputs!$H$7/Inputs!$I$7</f>
        <v>1.4567592080017395</v>
      </c>
      <c r="G55" s="580">
        <f>G35*Inputs!$H$7/Inputs!$J$7</f>
        <v>2.8818672813729624</v>
      </c>
      <c r="H55" s="582">
        <f t="shared" si="22"/>
        <v>4.3386264893747022</v>
      </c>
      <c r="I55" s="371"/>
      <c r="J55" s="369"/>
      <c r="K55" s="369"/>
      <c r="L55" s="369"/>
      <c r="M55" s="372"/>
      <c r="N55" s="381">
        <f t="shared" si="23"/>
        <v>0</v>
      </c>
    </row>
    <row r="56" spans="2:14" outlineLevel="1">
      <c r="B56" s="415" t="str">
        <f t="shared" si="20"/>
        <v>UKPN EPN</v>
      </c>
      <c r="C56" s="576">
        <f>C36*Inputs!$H$7/Inputs!$F$7</f>
        <v>0</v>
      </c>
      <c r="D56" s="369">
        <f>D36*Inputs!$H$7/Inputs!$G$7</f>
        <v>0.20826191725402826</v>
      </c>
      <c r="E56" s="369">
        <f t="shared" si="21"/>
        <v>0.1</v>
      </c>
      <c r="F56" s="369">
        <f>F36*Inputs!$H$7/Inputs!$I$7</f>
        <v>0.58270368320069577</v>
      </c>
      <c r="G56" s="580">
        <f>G36*Inputs!$H$7/Inputs!$J$7</f>
        <v>0.71732489861749016</v>
      </c>
      <c r="H56" s="582">
        <f t="shared" si="22"/>
        <v>1.6082904990722142</v>
      </c>
      <c r="I56" s="371"/>
      <c r="J56" s="369"/>
      <c r="K56" s="369"/>
      <c r="L56" s="369"/>
      <c r="M56" s="372"/>
      <c r="N56" s="381">
        <f t="shared" si="23"/>
        <v>0</v>
      </c>
    </row>
    <row r="57" spans="2:14" outlineLevel="1">
      <c r="B57" s="415" t="str">
        <f t="shared" si="20"/>
        <v>SP Distribution</v>
      </c>
      <c r="C57" s="576">
        <f>C37*Inputs!$H$7/Inputs!$F$7</f>
        <v>0</v>
      </c>
      <c r="D57" s="369">
        <f>D37*Inputs!$H$7/Inputs!$G$7</f>
        <v>0</v>
      </c>
      <c r="E57" s="369">
        <f t="shared" si="21"/>
        <v>0</v>
      </c>
      <c r="F57" s="369">
        <f>F37*Inputs!$H$7/Inputs!$I$7</f>
        <v>0.18452283301355368</v>
      </c>
      <c r="G57" s="580">
        <f>G37*Inputs!$H$7/Inputs!$J$7</f>
        <v>0</v>
      </c>
      <c r="H57" s="582">
        <f t="shared" si="22"/>
        <v>0.18452283301355368</v>
      </c>
      <c r="I57" s="371"/>
      <c r="J57" s="369"/>
      <c r="K57" s="369"/>
      <c r="L57" s="369"/>
      <c r="M57" s="372"/>
      <c r="N57" s="381">
        <f t="shared" si="23"/>
        <v>0</v>
      </c>
    </row>
    <row r="58" spans="2:14" outlineLevel="1">
      <c r="B58" s="415" t="str">
        <f t="shared" si="20"/>
        <v>SP Manweb</v>
      </c>
      <c r="C58" s="576">
        <f>C38*Inputs!$H$7/Inputs!$F$7</f>
        <v>0</v>
      </c>
      <c r="D58" s="369">
        <f>D38*Inputs!$H$7/Inputs!$G$7</f>
        <v>0.10413095862701413</v>
      </c>
      <c r="E58" s="369">
        <f t="shared" si="21"/>
        <v>0.78</v>
      </c>
      <c r="F58" s="369">
        <f>F38*Inputs!$H$7/Inputs!$I$7</f>
        <v>2.1943737136319914</v>
      </c>
      <c r="G58" s="580">
        <f>G38*Inputs!$H$7/Inputs!$J$7</f>
        <v>0.64878492591195824</v>
      </c>
      <c r="H58" s="582">
        <f t="shared" si="22"/>
        <v>3.7272895981709637</v>
      </c>
      <c r="I58" s="371"/>
      <c r="J58" s="369"/>
      <c r="K58" s="369"/>
      <c r="L58" s="369"/>
      <c r="M58" s="372"/>
      <c r="N58" s="381">
        <f t="shared" si="23"/>
        <v>0</v>
      </c>
    </row>
    <row r="59" spans="2:14" outlineLevel="1">
      <c r="B59" s="415" t="str">
        <f t="shared" si="20"/>
        <v>SSE Hydro</v>
      </c>
      <c r="C59" s="576">
        <f>C39*Inputs!$H$7/Inputs!$F$7</f>
        <v>0</v>
      </c>
      <c r="D59" s="369">
        <f>D39*Inputs!$H$7/Inputs!$G$7</f>
        <v>0</v>
      </c>
      <c r="E59" s="369">
        <f t="shared" si="21"/>
        <v>0.4</v>
      </c>
      <c r="F59" s="369">
        <f>F39*Inputs!$H$7/Inputs!$I$7</f>
        <v>1.35964192746829</v>
      </c>
      <c r="G59" s="580">
        <f>G39*Inputs!$H$7/Inputs!$J$7</f>
        <v>1.3534432049386607</v>
      </c>
      <c r="H59" s="582">
        <f t="shared" si="22"/>
        <v>3.1130851324069506</v>
      </c>
      <c r="I59" s="371"/>
      <c r="J59" s="369"/>
      <c r="K59" s="369"/>
      <c r="L59" s="369"/>
      <c r="M59" s="372"/>
      <c r="N59" s="381">
        <f t="shared" si="23"/>
        <v>0</v>
      </c>
    </row>
    <row r="60" spans="2:14" outlineLevel="1">
      <c r="B60" s="415" t="str">
        <f t="shared" si="20"/>
        <v>SSE Southern</v>
      </c>
      <c r="C60" s="576">
        <f>C40*Inputs!$H$7/Inputs!$F$7</f>
        <v>0</v>
      </c>
      <c r="D60" s="369">
        <f>D40*Inputs!$H$7/Inputs!$G$7</f>
        <v>0.41652383450805652</v>
      </c>
      <c r="E60" s="369">
        <f t="shared" si="21"/>
        <v>1.2000000000000002</v>
      </c>
      <c r="F60" s="369">
        <f>F40*Inputs!$H$7/Inputs!$I$7</f>
        <v>2.2336974522693338</v>
      </c>
      <c r="G60" s="580">
        <f>G40*Inputs!$H$7/Inputs!$J$7</f>
        <v>0</v>
      </c>
      <c r="H60" s="582">
        <f t="shared" si="22"/>
        <v>3.8502212867773906</v>
      </c>
      <c r="I60" s="371"/>
      <c r="J60" s="369"/>
      <c r="K60" s="369"/>
      <c r="L60" s="369"/>
      <c r="M60" s="372"/>
      <c r="N60" s="381">
        <f t="shared" si="23"/>
        <v>0</v>
      </c>
    </row>
    <row r="61" spans="2:14" ht="13.5" outlineLevel="1" thickBot="1">
      <c r="B61" s="413" t="s">
        <v>78</v>
      </c>
      <c r="C61" s="373">
        <f>SUM(C47:C60)</f>
        <v>3.9966655498494888E-3</v>
      </c>
      <c r="D61" s="374">
        <f>SUM(D47:D60)</f>
        <v>1.2531811195934168</v>
      </c>
      <c r="E61" s="374">
        <f>SUM(E47:E60)</f>
        <v>3.8940000000000001</v>
      </c>
      <c r="F61" s="374">
        <f t="shared" ref="F61:N61" si="24">SUM(F47:F60)</f>
        <v>9.599906264789368</v>
      </c>
      <c r="G61" s="581">
        <f t="shared" si="24"/>
        <v>8.5650440610572023</v>
      </c>
      <c r="H61" s="370">
        <f t="shared" si="24"/>
        <v>23.316128110989837</v>
      </c>
      <c r="I61" s="373">
        <f t="shared" si="24"/>
        <v>0</v>
      </c>
      <c r="J61" s="374">
        <f t="shared" si="24"/>
        <v>0</v>
      </c>
      <c r="K61" s="374">
        <f t="shared" si="24"/>
        <v>0</v>
      </c>
      <c r="L61" s="374">
        <f t="shared" si="24"/>
        <v>0</v>
      </c>
      <c r="M61" s="375">
        <f t="shared" si="24"/>
        <v>0</v>
      </c>
      <c r="N61" s="370">
        <f t="shared" si="24"/>
        <v>0</v>
      </c>
    </row>
    <row r="62" spans="2:14" outlineLevel="1">
      <c r="B62" s="155"/>
    </row>
    <row r="64" spans="2:14" ht="15">
      <c r="B64" s="634" t="s">
        <v>381</v>
      </c>
    </row>
    <row r="65" spans="2:14" ht="13.5" hidden="1" outlineLevel="1" thickBot="1">
      <c r="B65" s="635" t="s">
        <v>223</v>
      </c>
      <c r="C65" s="393" t="str">
        <f>C26</f>
        <v>2005-06</v>
      </c>
      <c r="D65" s="390" t="str">
        <f t="shared" ref="D65:N65" si="25">D26</f>
        <v>2006-07</v>
      </c>
      <c r="E65" s="390" t="str">
        <f t="shared" si="25"/>
        <v>2007-08</v>
      </c>
      <c r="F65" s="390" t="str">
        <f t="shared" si="25"/>
        <v>2008-09</v>
      </c>
      <c r="G65" s="391" t="str">
        <f t="shared" si="25"/>
        <v>2009-10</v>
      </c>
      <c r="H65" s="387" t="str">
        <f t="shared" si="25"/>
        <v>DPCR4 total</v>
      </c>
      <c r="I65" s="392" t="str">
        <f t="shared" si="25"/>
        <v>2010-11</v>
      </c>
      <c r="J65" s="390" t="str">
        <f t="shared" si="25"/>
        <v>2011-12</v>
      </c>
      <c r="K65" s="390" t="str">
        <f t="shared" si="25"/>
        <v>2012-13</v>
      </c>
      <c r="L65" s="390" t="str">
        <f t="shared" si="25"/>
        <v>2013-14</v>
      </c>
      <c r="M65" s="391" t="str">
        <f t="shared" si="25"/>
        <v>2014-15</v>
      </c>
      <c r="N65" s="387" t="str">
        <f t="shared" si="25"/>
        <v>DPCR5 total</v>
      </c>
    </row>
    <row r="66" spans="2:14" ht="13.5" hidden="1" outlineLevel="1" thickTop="1">
      <c r="B66" s="636" t="s">
        <v>222</v>
      </c>
      <c r="C66" s="357"/>
      <c r="D66" s="358"/>
      <c r="E66" s="358"/>
      <c r="F66" s="358"/>
      <c r="G66" s="403"/>
      <c r="H66" s="365">
        <f>SUM(C66:G66)</f>
        <v>0</v>
      </c>
      <c r="I66" s="404"/>
      <c r="J66" s="358"/>
      <c r="K66" s="358"/>
      <c r="L66" s="358"/>
      <c r="M66" s="403"/>
      <c r="N66" s="365">
        <f>SUM(I66:M66)</f>
        <v>0</v>
      </c>
    </row>
    <row r="67" spans="2:14" hidden="1" outlineLevel="1">
      <c r="B67" s="637" t="s">
        <v>182</v>
      </c>
      <c r="C67" s="359"/>
      <c r="D67" s="360"/>
      <c r="E67" s="360"/>
      <c r="F67" s="360"/>
      <c r="G67" s="397"/>
      <c r="H67" s="365">
        <f t="shared" ref="H67:H108" si="26">SUM(C67:G67)</f>
        <v>0</v>
      </c>
      <c r="I67" s="362"/>
      <c r="J67" s="360"/>
      <c r="K67" s="360"/>
      <c r="L67" s="360"/>
      <c r="M67" s="397"/>
      <c r="N67" s="366">
        <f t="shared" ref="N67:N108" si="27">SUM(I67:M67)</f>
        <v>0</v>
      </c>
    </row>
    <row r="68" spans="2:14" hidden="1" outlineLevel="1">
      <c r="B68" s="637" t="s">
        <v>183</v>
      </c>
      <c r="C68" s="359"/>
      <c r="D68" s="360"/>
      <c r="E68" s="360"/>
      <c r="F68" s="360"/>
      <c r="G68" s="397"/>
      <c r="H68" s="365">
        <f t="shared" si="26"/>
        <v>0</v>
      </c>
      <c r="I68" s="362"/>
      <c r="J68" s="360"/>
      <c r="K68" s="360"/>
      <c r="L68" s="360"/>
      <c r="M68" s="397"/>
      <c r="N68" s="366">
        <f t="shared" si="27"/>
        <v>0</v>
      </c>
    </row>
    <row r="69" spans="2:14" hidden="1" outlineLevel="1">
      <c r="B69" s="637" t="s">
        <v>184</v>
      </c>
      <c r="C69" s="359"/>
      <c r="D69" s="360"/>
      <c r="E69" s="360"/>
      <c r="F69" s="360"/>
      <c r="G69" s="397"/>
      <c r="H69" s="365">
        <f t="shared" si="26"/>
        <v>0</v>
      </c>
      <c r="I69" s="362"/>
      <c r="J69" s="360"/>
      <c r="K69" s="360"/>
      <c r="L69" s="360"/>
      <c r="M69" s="397"/>
      <c r="N69" s="366">
        <f t="shared" si="27"/>
        <v>0</v>
      </c>
    </row>
    <row r="70" spans="2:14" hidden="1" outlineLevel="1">
      <c r="B70" s="637" t="s">
        <v>185</v>
      </c>
      <c r="C70" s="359"/>
      <c r="D70" s="360"/>
      <c r="E70" s="360"/>
      <c r="F70" s="360"/>
      <c r="G70" s="397"/>
      <c r="H70" s="365">
        <f t="shared" si="26"/>
        <v>0</v>
      </c>
      <c r="I70" s="362"/>
      <c r="J70" s="360"/>
      <c r="K70" s="360"/>
      <c r="L70" s="360"/>
      <c r="M70" s="397"/>
      <c r="N70" s="366">
        <f t="shared" si="27"/>
        <v>0</v>
      </c>
    </row>
    <row r="71" spans="2:14" hidden="1" outlineLevel="1">
      <c r="B71" s="637" t="s">
        <v>186</v>
      </c>
      <c r="C71" s="359"/>
      <c r="D71" s="360"/>
      <c r="E71" s="360"/>
      <c r="F71" s="360"/>
      <c r="G71" s="397"/>
      <c r="H71" s="365">
        <f t="shared" si="26"/>
        <v>0</v>
      </c>
      <c r="I71" s="362"/>
      <c r="J71" s="360"/>
      <c r="K71" s="360"/>
      <c r="L71" s="360"/>
      <c r="M71" s="397"/>
      <c r="N71" s="366">
        <f t="shared" si="27"/>
        <v>0</v>
      </c>
    </row>
    <row r="72" spans="2:14" hidden="1" outlineLevel="1">
      <c r="B72" s="637" t="s">
        <v>187</v>
      </c>
      <c r="C72" s="359"/>
      <c r="D72" s="360"/>
      <c r="E72" s="360"/>
      <c r="F72" s="360"/>
      <c r="G72" s="397"/>
      <c r="H72" s="365">
        <f t="shared" si="26"/>
        <v>0</v>
      </c>
      <c r="I72" s="362"/>
      <c r="J72" s="360"/>
      <c r="K72" s="360"/>
      <c r="L72" s="360"/>
      <c r="M72" s="397"/>
      <c r="N72" s="366">
        <f t="shared" si="27"/>
        <v>0</v>
      </c>
    </row>
    <row r="73" spans="2:14" hidden="1" outlineLevel="1">
      <c r="B73" s="637" t="s">
        <v>188</v>
      </c>
      <c r="C73" s="359"/>
      <c r="D73" s="360"/>
      <c r="E73" s="360"/>
      <c r="F73" s="360"/>
      <c r="G73" s="397"/>
      <c r="H73" s="365">
        <f t="shared" si="26"/>
        <v>0</v>
      </c>
      <c r="I73" s="362"/>
      <c r="J73" s="360"/>
      <c r="K73" s="360"/>
      <c r="L73" s="360"/>
      <c r="M73" s="397"/>
      <c r="N73" s="366">
        <f t="shared" si="27"/>
        <v>0</v>
      </c>
    </row>
    <row r="74" spans="2:14" hidden="1" outlineLevel="1">
      <c r="B74" s="637" t="s">
        <v>189</v>
      </c>
      <c r="C74" s="359"/>
      <c r="D74" s="360"/>
      <c r="E74" s="360"/>
      <c r="F74" s="360"/>
      <c r="G74" s="397"/>
      <c r="H74" s="365">
        <f t="shared" si="26"/>
        <v>0</v>
      </c>
      <c r="I74" s="362"/>
      <c r="J74" s="360"/>
      <c r="K74" s="360"/>
      <c r="L74" s="360"/>
      <c r="M74" s="397"/>
      <c r="N74" s="366">
        <f t="shared" si="27"/>
        <v>0</v>
      </c>
    </row>
    <row r="75" spans="2:14" hidden="1" outlineLevel="1">
      <c r="B75" s="637" t="s">
        <v>190</v>
      </c>
      <c r="C75" s="359"/>
      <c r="D75" s="360"/>
      <c r="E75" s="360"/>
      <c r="F75" s="360"/>
      <c r="G75" s="397"/>
      <c r="H75" s="365">
        <f t="shared" si="26"/>
        <v>0</v>
      </c>
      <c r="I75" s="362"/>
      <c r="J75" s="360"/>
      <c r="K75" s="360"/>
      <c r="L75" s="360"/>
      <c r="M75" s="397"/>
      <c r="N75" s="366">
        <f t="shared" si="27"/>
        <v>0</v>
      </c>
    </row>
    <row r="76" spans="2:14" hidden="1" outlineLevel="1">
      <c r="B76" s="637" t="s">
        <v>191</v>
      </c>
      <c r="C76" s="359"/>
      <c r="D76" s="360"/>
      <c r="E76" s="360"/>
      <c r="F76" s="360"/>
      <c r="G76" s="397"/>
      <c r="H76" s="365">
        <f t="shared" si="26"/>
        <v>0</v>
      </c>
      <c r="I76" s="362"/>
      <c r="J76" s="360"/>
      <c r="K76" s="360"/>
      <c r="L76" s="360"/>
      <c r="M76" s="397"/>
      <c r="N76" s="366">
        <f t="shared" si="27"/>
        <v>0</v>
      </c>
    </row>
    <row r="77" spans="2:14" hidden="1" outlineLevel="1">
      <c r="B77" s="637" t="s">
        <v>192</v>
      </c>
      <c r="C77" s="359"/>
      <c r="D77" s="360"/>
      <c r="E77" s="360"/>
      <c r="F77" s="360"/>
      <c r="G77" s="397"/>
      <c r="H77" s="365">
        <f t="shared" si="26"/>
        <v>0</v>
      </c>
      <c r="I77" s="362"/>
      <c r="J77" s="360"/>
      <c r="K77" s="360"/>
      <c r="L77" s="360"/>
      <c r="M77" s="397"/>
      <c r="N77" s="366">
        <f t="shared" si="27"/>
        <v>0</v>
      </c>
    </row>
    <row r="78" spans="2:14" hidden="1" outlineLevel="1">
      <c r="B78" s="637" t="s">
        <v>193</v>
      </c>
      <c r="C78" s="359"/>
      <c r="D78" s="360"/>
      <c r="E78" s="360"/>
      <c r="F78" s="360"/>
      <c r="G78" s="397"/>
      <c r="H78" s="365">
        <f t="shared" si="26"/>
        <v>0</v>
      </c>
      <c r="I78" s="362"/>
      <c r="J78" s="360"/>
      <c r="K78" s="360"/>
      <c r="L78" s="360"/>
      <c r="M78" s="397"/>
      <c r="N78" s="366">
        <f t="shared" si="27"/>
        <v>0</v>
      </c>
    </row>
    <row r="79" spans="2:14" hidden="1" outlineLevel="1">
      <c r="B79" s="637" t="s">
        <v>194</v>
      </c>
      <c r="C79" s="359"/>
      <c r="D79" s="360"/>
      <c r="E79" s="360"/>
      <c r="F79" s="360"/>
      <c r="G79" s="397"/>
      <c r="H79" s="365">
        <f t="shared" si="26"/>
        <v>0</v>
      </c>
      <c r="I79" s="362"/>
      <c r="J79" s="360"/>
      <c r="K79" s="360"/>
      <c r="L79" s="360"/>
      <c r="M79" s="397"/>
      <c r="N79" s="366">
        <f t="shared" si="27"/>
        <v>0</v>
      </c>
    </row>
    <row r="80" spans="2:14" hidden="1" outlineLevel="1">
      <c r="B80" s="637" t="s">
        <v>195</v>
      </c>
      <c r="C80" s="359"/>
      <c r="D80" s="360"/>
      <c r="E80" s="360"/>
      <c r="F80" s="360"/>
      <c r="G80" s="397"/>
      <c r="H80" s="365">
        <f t="shared" si="26"/>
        <v>0</v>
      </c>
      <c r="I80" s="362"/>
      <c r="J80" s="360"/>
      <c r="K80" s="360"/>
      <c r="L80" s="360"/>
      <c r="M80" s="397"/>
      <c r="N80" s="366">
        <f t="shared" si="27"/>
        <v>0</v>
      </c>
    </row>
    <row r="81" spans="2:14" hidden="1" outlineLevel="1">
      <c r="B81" s="637" t="s">
        <v>196</v>
      </c>
      <c r="C81" s="359"/>
      <c r="D81" s="360"/>
      <c r="E81" s="360"/>
      <c r="F81" s="360"/>
      <c r="G81" s="397"/>
      <c r="H81" s="365">
        <f t="shared" si="26"/>
        <v>0</v>
      </c>
      <c r="I81" s="362"/>
      <c r="J81" s="360"/>
      <c r="K81" s="360"/>
      <c r="L81" s="360"/>
      <c r="M81" s="397"/>
      <c r="N81" s="366">
        <f t="shared" si="27"/>
        <v>0</v>
      </c>
    </row>
    <row r="82" spans="2:14" hidden="1" outlineLevel="1">
      <c r="B82" s="637" t="s">
        <v>197</v>
      </c>
      <c r="C82" s="359"/>
      <c r="D82" s="360"/>
      <c r="E82" s="360"/>
      <c r="F82" s="360"/>
      <c r="G82" s="397"/>
      <c r="H82" s="365">
        <f t="shared" si="26"/>
        <v>0</v>
      </c>
      <c r="I82" s="362"/>
      <c r="J82" s="360"/>
      <c r="K82" s="360"/>
      <c r="L82" s="360"/>
      <c r="M82" s="397"/>
      <c r="N82" s="366">
        <f t="shared" si="27"/>
        <v>0</v>
      </c>
    </row>
    <row r="83" spans="2:14" hidden="1" outlineLevel="1">
      <c r="B83" s="637" t="s">
        <v>198</v>
      </c>
      <c r="C83" s="359"/>
      <c r="D83" s="360"/>
      <c r="E83" s="360"/>
      <c r="F83" s="360"/>
      <c r="G83" s="397"/>
      <c r="H83" s="365">
        <f t="shared" si="26"/>
        <v>0</v>
      </c>
      <c r="I83" s="362"/>
      <c r="J83" s="360"/>
      <c r="K83" s="360"/>
      <c r="L83" s="360"/>
      <c r="M83" s="397"/>
      <c r="N83" s="366">
        <f t="shared" si="27"/>
        <v>0</v>
      </c>
    </row>
    <row r="84" spans="2:14" hidden="1" outlineLevel="1">
      <c r="B84" s="637" t="s">
        <v>199</v>
      </c>
      <c r="C84" s="359"/>
      <c r="D84" s="360"/>
      <c r="E84" s="360"/>
      <c r="F84" s="360"/>
      <c r="G84" s="397"/>
      <c r="H84" s="365">
        <f t="shared" si="26"/>
        <v>0</v>
      </c>
      <c r="I84" s="362"/>
      <c r="J84" s="360"/>
      <c r="K84" s="360"/>
      <c r="L84" s="360"/>
      <c r="M84" s="397"/>
      <c r="N84" s="366">
        <f t="shared" si="27"/>
        <v>0</v>
      </c>
    </row>
    <row r="85" spans="2:14" hidden="1" outlineLevel="1">
      <c r="B85" s="637" t="s">
        <v>200</v>
      </c>
      <c r="C85" s="359"/>
      <c r="D85" s="360"/>
      <c r="E85" s="360"/>
      <c r="F85" s="360"/>
      <c r="G85" s="397"/>
      <c r="H85" s="365">
        <f t="shared" si="26"/>
        <v>0</v>
      </c>
      <c r="I85" s="362"/>
      <c r="J85" s="360"/>
      <c r="K85" s="360"/>
      <c r="L85" s="360"/>
      <c r="M85" s="397"/>
      <c r="N85" s="366">
        <f t="shared" si="27"/>
        <v>0</v>
      </c>
    </row>
    <row r="86" spans="2:14" hidden="1" outlineLevel="1">
      <c r="B86" s="637" t="s">
        <v>201</v>
      </c>
      <c r="C86" s="359"/>
      <c r="D86" s="360"/>
      <c r="E86" s="360"/>
      <c r="F86" s="360"/>
      <c r="G86" s="397"/>
      <c r="H86" s="365">
        <f t="shared" si="26"/>
        <v>0</v>
      </c>
      <c r="I86" s="362"/>
      <c r="J86" s="360"/>
      <c r="K86" s="360"/>
      <c r="L86" s="360"/>
      <c r="M86" s="397"/>
      <c r="N86" s="366">
        <f t="shared" si="27"/>
        <v>0</v>
      </c>
    </row>
    <row r="87" spans="2:14" hidden="1" outlineLevel="1">
      <c r="B87" s="637" t="s">
        <v>202</v>
      </c>
      <c r="C87" s="359"/>
      <c r="D87" s="360"/>
      <c r="E87" s="360"/>
      <c r="F87" s="360"/>
      <c r="G87" s="397"/>
      <c r="H87" s="365">
        <f t="shared" si="26"/>
        <v>0</v>
      </c>
      <c r="I87" s="362"/>
      <c r="J87" s="360"/>
      <c r="K87" s="360"/>
      <c r="L87" s="360"/>
      <c r="M87" s="397"/>
      <c r="N87" s="366">
        <f t="shared" si="27"/>
        <v>0</v>
      </c>
    </row>
    <row r="88" spans="2:14" hidden="1" outlineLevel="1">
      <c r="B88" s="637" t="s">
        <v>203</v>
      </c>
      <c r="C88" s="359"/>
      <c r="D88" s="360"/>
      <c r="E88" s="360"/>
      <c r="F88" s="360"/>
      <c r="G88" s="397"/>
      <c r="H88" s="365">
        <f t="shared" si="26"/>
        <v>0</v>
      </c>
      <c r="I88" s="362"/>
      <c r="J88" s="360"/>
      <c r="K88" s="360"/>
      <c r="L88" s="360"/>
      <c r="M88" s="397"/>
      <c r="N88" s="366">
        <f t="shared" si="27"/>
        <v>0</v>
      </c>
    </row>
    <row r="89" spans="2:14" hidden="1" outlineLevel="1">
      <c r="B89" s="637" t="s">
        <v>204</v>
      </c>
      <c r="C89" s="359"/>
      <c r="D89" s="360"/>
      <c r="E89" s="360"/>
      <c r="F89" s="360"/>
      <c r="G89" s="397"/>
      <c r="H89" s="365">
        <f t="shared" si="26"/>
        <v>0</v>
      </c>
      <c r="I89" s="362"/>
      <c r="J89" s="360"/>
      <c r="K89" s="360"/>
      <c r="L89" s="360"/>
      <c r="M89" s="397"/>
      <c r="N89" s="366">
        <f t="shared" si="27"/>
        <v>0</v>
      </c>
    </row>
    <row r="90" spans="2:14" hidden="1" outlineLevel="1">
      <c r="B90" s="637" t="s">
        <v>205</v>
      </c>
      <c r="C90" s="359"/>
      <c r="D90" s="360"/>
      <c r="E90" s="360"/>
      <c r="F90" s="360"/>
      <c r="G90" s="397"/>
      <c r="H90" s="365">
        <f t="shared" si="26"/>
        <v>0</v>
      </c>
      <c r="I90" s="362"/>
      <c r="J90" s="360"/>
      <c r="K90" s="360"/>
      <c r="L90" s="360"/>
      <c r="M90" s="397"/>
      <c r="N90" s="366">
        <f t="shared" si="27"/>
        <v>0</v>
      </c>
    </row>
    <row r="91" spans="2:14" hidden="1" outlineLevel="1">
      <c r="B91" s="637" t="s">
        <v>206</v>
      </c>
      <c r="C91" s="359"/>
      <c r="D91" s="360"/>
      <c r="E91" s="360"/>
      <c r="F91" s="360"/>
      <c r="G91" s="397"/>
      <c r="H91" s="365">
        <f t="shared" si="26"/>
        <v>0</v>
      </c>
      <c r="I91" s="362"/>
      <c r="J91" s="360"/>
      <c r="K91" s="360"/>
      <c r="L91" s="360"/>
      <c r="M91" s="397"/>
      <c r="N91" s="366">
        <f t="shared" si="27"/>
        <v>0</v>
      </c>
    </row>
    <row r="92" spans="2:14" hidden="1" outlineLevel="1">
      <c r="B92" s="637" t="s">
        <v>207</v>
      </c>
      <c r="C92" s="359"/>
      <c r="D92" s="360"/>
      <c r="E92" s="360"/>
      <c r="F92" s="360"/>
      <c r="G92" s="397"/>
      <c r="H92" s="365">
        <f t="shared" si="26"/>
        <v>0</v>
      </c>
      <c r="I92" s="362"/>
      <c r="J92" s="360"/>
      <c r="K92" s="360"/>
      <c r="L92" s="360"/>
      <c r="M92" s="397"/>
      <c r="N92" s="366">
        <f t="shared" si="27"/>
        <v>0</v>
      </c>
    </row>
    <row r="93" spans="2:14" hidden="1" outlineLevel="1">
      <c r="B93" s="637" t="s">
        <v>208</v>
      </c>
      <c r="C93" s="359"/>
      <c r="D93" s="360"/>
      <c r="E93" s="360"/>
      <c r="F93" s="360"/>
      <c r="G93" s="397"/>
      <c r="H93" s="365">
        <f t="shared" si="26"/>
        <v>0</v>
      </c>
      <c r="I93" s="362"/>
      <c r="J93" s="360"/>
      <c r="K93" s="360"/>
      <c r="L93" s="360"/>
      <c r="M93" s="397"/>
      <c r="N93" s="366">
        <f t="shared" si="27"/>
        <v>0</v>
      </c>
    </row>
    <row r="94" spans="2:14" hidden="1" outlineLevel="1">
      <c r="B94" s="637" t="s">
        <v>209</v>
      </c>
      <c r="C94" s="359"/>
      <c r="D94" s="360"/>
      <c r="E94" s="360"/>
      <c r="F94" s="360"/>
      <c r="G94" s="397"/>
      <c r="H94" s="365">
        <f t="shared" si="26"/>
        <v>0</v>
      </c>
      <c r="I94" s="362"/>
      <c r="J94" s="360"/>
      <c r="K94" s="360"/>
      <c r="L94" s="360"/>
      <c r="M94" s="397"/>
      <c r="N94" s="366">
        <f t="shared" si="27"/>
        <v>0</v>
      </c>
    </row>
    <row r="95" spans="2:14" hidden="1" outlineLevel="1">
      <c r="B95" s="637" t="s">
        <v>210</v>
      </c>
      <c r="C95" s="359"/>
      <c r="D95" s="360"/>
      <c r="E95" s="360"/>
      <c r="F95" s="360"/>
      <c r="G95" s="397"/>
      <c r="H95" s="365">
        <f t="shared" si="26"/>
        <v>0</v>
      </c>
      <c r="I95" s="362"/>
      <c r="J95" s="360"/>
      <c r="K95" s="360"/>
      <c r="L95" s="360"/>
      <c r="M95" s="397"/>
      <c r="N95" s="366">
        <f t="shared" si="27"/>
        <v>0</v>
      </c>
    </row>
    <row r="96" spans="2:14" hidden="1" outlineLevel="1">
      <c r="B96" s="637" t="s">
        <v>211</v>
      </c>
      <c r="C96" s="359"/>
      <c r="D96" s="360"/>
      <c r="E96" s="360"/>
      <c r="F96" s="360"/>
      <c r="G96" s="397"/>
      <c r="H96" s="365">
        <f t="shared" si="26"/>
        <v>0</v>
      </c>
      <c r="I96" s="362"/>
      <c r="J96" s="360"/>
      <c r="K96" s="360"/>
      <c r="L96" s="360"/>
      <c r="M96" s="397"/>
      <c r="N96" s="366">
        <f t="shared" si="27"/>
        <v>0</v>
      </c>
    </row>
    <row r="97" spans="2:14" hidden="1" outlineLevel="1">
      <c r="B97" s="637" t="s">
        <v>212</v>
      </c>
      <c r="C97" s="359"/>
      <c r="D97" s="360"/>
      <c r="E97" s="360"/>
      <c r="F97" s="360"/>
      <c r="G97" s="397"/>
      <c r="H97" s="365">
        <f t="shared" si="26"/>
        <v>0</v>
      </c>
      <c r="I97" s="362"/>
      <c r="J97" s="360"/>
      <c r="K97" s="360"/>
      <c r="L97" s="360"/>
      <c r="M97" s="397"/>
      <c r="N97" s="366">
        <f t="shared" si="27"/>
        <v>0</v>
      </c>
    </row>
    <row r="98" spans="2:14" hidden="1" outlineLevel="1">
      <c r="B98" s="637" t="s">
        <v>213</v>
      </c>
      <c r="C98" s="359"/>
      <c r="D98" s="360"/>
      <c r="E98" s="360"/>
      <c r="F98" s="360"/>
      <c r="G98" s="397"/>
      <c r="H98" s="365">
        <f t="shared" si="26"/>
        <v>0</v>
      </c>
      <c r="I98" s="362"/>
      <c r="J98" s="360"/>
      <c r="K98" s="360"/>
      <c r="L98" s="360"/>
      <c r="M98" s="397"/>
      <c r="N98" s="366">
        <f t="shared" si="27"/>
        <v>0</v>
      </c>
    </row>
    <row r="99" spans="2:14" hidden="1" outlineLevel="1">
      <c r="B99" s="637" t="s">
        <v>214</v>
      </c>
      <c r="C99" s="359"/>
      <c r="D99" s="360"/>
      <c r="E99" s="360"/>
      <c r="F99" s="360"/>
      <c r="G99" s="397"/>
      <c r="H99" s="365">
        <f t="shared" si="26"/>
        <v>0</v>
      </c>
      <c r="I99" s="362"/>
      <c r="J99" s="360"/>
      <c r="K99" s="360"/>
      <c r="L99" s="360"/>
      <c r="M99" s="397"/>
      <c r="N99" s="366">
        <f t="shared" si="27"/>
        <v>0</v>
      </c>
    </row>
    <row r="100" spans="2:14" hidden="1" outlineLevel="1">
      <c r="B100" s="637"/>
      <c r="C100" s="359"/>
      <c r="D100" s="360"/>
      <c r="E100" s="360"/>
      <c r="F100" s="360"/>
      <c r="G100" s="397"/>
      <c r="H100" s="365"/>
      <c r="I100" s="362"/>
      <c r="J100" s="360"/>
      <c r="K100" s="360"/>
      <c r="L100" s="360"/>
      <c r="M100" s="397"/>
      <c r="N100" s="366"/>
    </row>
    <row r="101" spans="2:14" hidden="1" outlineLevel="1">
      <c r="B101" s="638" t="s">
        <v>215</v>
      </c>
      <c r="C101" s="359"/>
      <c r="D101" s="360"/>
      <c r="E101" s="360"/>
      <c r="F101" s="360"/>
      <c r="G101" s="397"/>
      <c r="H101" s="365"/>
      <c r="I101" s="362"/>
      <c r="J101" s="360"/>
      <c r="K101" s="360"/>
      <c r="L101" s="360"/>
      <c r="M101" s="397"/>
      <c r="N101" s="366"/>
    </row>
    <row r="102" spans="2:14" hidden="1" outlineLevel="1">
      <c r="B102" s="637" t="s">
        <v>216</v>
      </c>
      <c r="C102" s="359"/>
      <c r="D102" s="360"/>
      <c r="E102" s="360"/>
      <c r="F102" s="360"/>
      <c r="G102" s="397"/>
      <c r="H102" s="365">
        <f t="shared" si="26"/>
        <v>0</v>
      </c>
      <c r="I102" s="362"/>
      <c r="J102" s="360"/>
      <c r="K102" s="360"/>
      <c r="L102" s="360"/>
      <c r="M102" s="397"/>
      <c r="N102" s="366">
        <f t="shared" si="27"/>
        <v>0</v>
      </c>
    </row>
    <row r="103" spans="2:14" hidden="1" outlineLevel="1">
      <c r="B103" s="637"/>
      <c r="C103" s="359"/>
      <c r="D103" s="360"/>
      <c r="E103" s="360"/>
      <c r="F103" s="360"/>
      <c r="G103" s="397"/>
      <c r="H103" s="365"/>
      <c r="I103" s="362"/>
      <c r="J103" s="360"/>
      <c r="K103" s="360"/>
      <c r="L103" s="360"/>
      <c r="M103" s="397"/>
      <c r="N103" s="366"/>
    </row>
    <row r="104" spans="2:14" hidden="1" outlineLevel="1">
      <c r="B104" s="638" t="s">
        <v>217</v>
      </c>
      <c r="C104" s="359"/>
      <c r="D104" s="360"/>
      <c r="E104" s="360"/>
      <c r="F104" s="360"/>
      <c r="G104" s="397"/>
      <c r="H104" s="365"/>
      <c r="I104" s="362"/>
      <c r="J104" s="360"/>
      <c r="K104" s="360"/>
      <c r="L104" s="360"/>
      <c r="M104" s="397"/>
      <c r="N104" s="366"/>
    </row>
    <row r="105" spans="2:14" hidden="1" outlineLevel="1">
      <c r="B105" s="637" t="s">
        <v>218</v>
      </c>
      <c r="C105" s="359"/>
      <c r="D105" s="360"/>
      <c r="E105" s="360"/>
      <c r="F105" s="360"/>
      <c r="G105" s="397"/>
      <c r="H105" s="365">
        <f t="shared" si="26"/>
        <v>0</v>
      </c>
      <c r="I105" s="362"/>
      <c r="J105" s="360"/>
      <c r="K105" s="360"/>
      <c r="L105" s="360"/>
      <c r="M105" s="397"/>
      <c r="N105" s="366">
        <f t="shared" si="27"/>
        <v>0</v>
      </c>
    </row>
    <row r="106" spans="2:14" hidden="1" outlineLevel="1">
      <c r="B106" s="637" t="s">
        <v>219</v>
      </c>
      <c r="C106" s="359"/>
      <c r="D106" s="360"/>
      <c r="E106" s="360"/>
      <c r="F106" s="360"/>
      <c r="G106" s="397"/>
      <c r="H106" s="365">
        <f t="shared" si="26"/>
        <v>0</v>
      </c>
      <c r="I106" s="362"/>
      <c r="J106" s="360"/>
      <c r="K106" s="360"/>
      <c r="L106" s="360"/>
      <c r="M106" s="397"/>
      <c r="N106" s="366">
        <f t="shared" si="27"/>
        <v>0</v>
      </c>
    </row>
    <row r="107" spans="2:14" hidden="1" outlineLevel="1">
      <c r="B107" s="637" t="s">
        <v>220</v>
      </c>
      <c r="C107" s="359"/>
      <c r="D107" s="360"/>
      <c r="E107" s="360"/>
      <c r="F107" s="360"/>
      <c r="G107" s="397"/>
      <c r="H107" s="365">
        <f t="shared" si="26"/>
        <v>0</v>
      </c>
      <c r="I107" s="362"/>
      <c r="J107" s="360"/>
      <c r="K107" s="360"/>
      <c r="L107" s="360"/>
      <c r="M107" s="397"/>
      <c r="N107" s="366">
        <f t="shared" si="27"/>
        <v>0</v>
      </c>
    </row>
    <row r="108" spans="2:14" hidden="1" outlineLevel="1">
      <c r="B108" s="637" t="s">
        <v>221</v>
      </c>
      <c r="C108" s="359"/>
      <c r="D108" s="360"/>
      <c r="E108" s="360"/>
      <c r="F108" s="360"/>
      <c r="G108" s="397"/>
      <c r="H108" s="365">
        <f t="shared" si="26"/>
        <v>0</v>
      </c>
      <c r="I108" s="362"/>
      <c r="J108" s="360"/>
      <c r="K108" s="360"/>
      <c r="L108" s="360"/>
      <c r="M108" s="397"/>
      <c r="N108" s="366">
        <f t="shared" si="27"/>
        <v>0</v>
      </c>
    </row>
    <row r="109" spans="2:14" hidden="1" outlineLevel="1">
      <c r="B109" s="639"/>
      <c r="C109" s="405"/>
      <c r="D109" s="361"/>
      <c r="E109" s="361"/>
      <c r="F109" s="361"/>
      <c r="G109" s="399"/>
      <c r="H109" s="406"/>
      <c r="I109" s="400"/>
      <c r="J109" s="361"/>
      <c r="K109" s="361"/>
      <c r="L109" s="361"/>
      <c r="M109" s="399"/>
      <c r="N109" s="406"/>
    </row>
    <row r="110" spans="2:14" ht="13.5" hidden="1" outlineLevel="1" thickBot="1">
      <c r="B110" s="640" t="s">
        <v>239</v>
      </c>
      <c r="C110" s="363">
        <f>SUM(C66:C108)</f>
        <v>0</v>
      </c>
      <c r="D110" s="364">
        <f t="shared" ref="D110:N110" si="28">SUM(D66:D108)</f>
        <v>0</v>
      </c>
      <c r="E110" s="364">
        <f t="shared" si="28"/>
        <v>0</v>
      </c>
      <c r="F110" s="364">
        <f t="shared" si="28"/>
        <v>0</v>
      </c>
      <c r="G110" s="401">
        <f t="shared" si="28"/>
        <v>0</v>
      </c>
      <c r="H110" s="367">
        <f t="shared" si="28"/>
        <v>0</v>
      </c>
      <c r="I110" s="402">
        <f t="shared" si="28"/>
        <v>0</v>
      </c>
      <c r="J110" s="364">
        <f t="shared" si="28"/>
        <v>0</v>
      </c>
      <c r="K110" s="364">
        <f t="shared" si="28"/>
        <v>0</v>
      </c>
      <c r="L110" s="364">
        <f t="shared" si="28"/>
        <v>0</v>
      </c>
      <c r="M110" s="401">
        <f t="shared" si="28"/>
        <v>0</v>
      </c>
      <c r="N110" s="367">
        <f t="shared" si="28"/>
        <v>0</v>
      </c>
    </row>
    <row r="111" spans="2:14" s="13" customFormat="1" hidden="1" outlineLevel="1">
      <c r="B111" s="505"/>
    </row>
    <row r="112" spans="2:14" s="13" customFormat="1" collapsed="1">
      <c r="B112" s="473"/>
    </row>
    <row r="113" spans="2:14" s="13" customFormat="1" ht="15">
      <c r="B113" s="634" t="s">
        <v>382</v>
      </c>
    </row>
    <row r="114" spans="2:14" ht="13.5" hidden="1" outlineLevel="1" thickBot="1">
      <c r="B114" s="388" t="s">
        <v>233</v>
      </c>
      <c r="C114" s="393" t="str">
        <f>C26</f>
        <v>2005-06</v>
      </c>
      <c r="D114" s="390" t="str">
        <f t="shared" ref="D114:N114" si="29">D26</f>
        <v>2006-07</v>
      </c>
      <c r="E114" s="390" t="str">
        <f t="shared" si="29"/>
        <v>2007-08</v>
      </c>
      <c r="F114" s="390" t="str">
        <f t="shared" si="29"/>
        <v>2008-09</v>
      </c>
      <c r="G114" s="391" t="str">
        <f t="shared" si="29"/>
        <v>2009-10</v>
      </c>
      <c r="H114" s="387" t="str">
        <f t="shared" si="29"/>
        <v>DPCR4 total</v>
      </c>
      <c r="I114" s="392" t="str">
        <f t="shared" si="29"/>
        <v>2010-11</v>
      </c>
      <c r="J114" s="390" t="str">
        <f t="shared" si="29"/>
        <v>2011-12</v>
      </c>
      <c r="K114" s="390" t="str">
        <f t="shared" si="29"/>
        <v>2012-13</v>
      </c>
      <c r="L114" s="390" t="str">
        <f t="shared" si="29"/>
        <v>2013-14</v>
      </c>
      <c r="M114" s="391" t="str">
        <f t="shared" si="29"/>
        <v>2014-15</v>
      </c>
      <c r="N114" s="387" t="str">
        <f t="shared" si="29"/>
        <v>DPCR5 total</v>
      </c>
    </row>
    <row r="115" spans="2:14" ht="13.5" hidden="1" outlineLevel="1" thickTop="1">
      <c r="B115" s="389" t="s">
        <v>232</v>
      </c>
      <c r="C115" s="396"/>
      <c r="D115" s="360"/>
      <c r="E115" s="360"/>
      <c r="F115" s="360"/>
      <c r="G115" s="397"/>
      <c r="H115" s="366">
        <f>SUM(C115:G115)</f>
        <v>0</v>
      </c>
      <c r="I115" s="362"/>
      <c r="J115" s="360"/>
      <c r="K115" s="360"/>
      <c r="L115" s="360"/>
      <c r="M115" s="397"/>
      <c r="N115" s="366">
        <f>SUM(I115:M115)</f>
        <v>0</v>
      </c>
    </row>
    <row r="116" spans="2:14" hidden="1" outlineLevel="1">
      <c r="B116" s="389" t="s">
        <v>234</v>
      </c>
      <c r="C116" s="396"/>
      <c r="D116" s="360"/>
      <c r="E116" s="360"/>
      <c r="F116" s="360"/>
      <c r="G116" s="397"/>
      <c r="H116" s="366">
        <f t="shared" ref="H116:H128" si="30">SUM(C116:G116)</f>
        <v>0</v>
      </c>
      <c r="I116" s="362"/>
      <c r="J116" s="360"/>
      <c r="K116" s="360"/>
      <c r="L116" s="360"/>
      <c r="M116" s="397"/>
      <c r="N116" s="366">
        <f t="shared" ref="N116:N128" si="31">SUM(I116:M116)</f>
        <v>0</v>
      </c>
    </row>
    <row r="117" spans="2:14" hidden="1" outlineLevel="1">
      <c r="B117" s="389" t="s">
        <v>225</v>
      </c>
      <c r="C117" s="396"/>
      <c r="D117" s="360"/>
      <c r="E117" s="360"/>
      <c r="F117" s="360"/>
      <c r="G117" s="397"/>
      <c r="H117" s="366">
        <f t="shared" si="30"/>
        <v>0</v>
      </c>
      <c r="I117" s="362"/>
      <c r="J117" s="360"/>
      <c r="K117" s="360"/>
      <c r="L117" s="360"/>
      <c r="M117" s="397"/>
      <c r="N117" s="366">
        <f t="shared" si="31"/>
        <v>0</v>
      </c>
    </row>
    <row r="118" spans="2:14" hidden="1" outlineLevel="1">
      <c r="B118" s="389" t="s">
        <v>230</v>
      </c>
      <c r="C118" s="396"/>
      <c r="D118" s="360"/>
      <c r="E118" s="360"/>
      <c r="F118" s="360"/>
      <c r="G118" s="397"/>
      <c r="H118" s="366">
        <f t="shared" si="30"/>
        <v>0</v>
      </c>
      <c r="I118" s="362"/>
      <c r="J118" s="360"/>
      <c r="K118" s="360"/>
      <c r="L118" s="360"/>
      <c r="M118" s="397"/>
      <c r="N118" s="366">
        <f t="shared" si="31"/>
        <v>0</v>
      </c>
    </row>
    <row r="119" spans="2:14" hidden="1" outlineLevel="1">
      <c r="B119" s="389" t="s">
        <v>224</v>
      </c>
      <c r="C119" s="396"/>
      <c r="D119" s="360"/>
      <c r="E119" s="360"/>
      <c r="F119" s="360"/>
      <c r="G119" s="397"/>
      <c r="H119" s="366">
        <f t="shared" si="30"/>
        <v>0</v>
      </c>
      <c r="I119" s="362"/>
      <c r="J119" s="360"/>
      <c r="K119" s="360"/>
      <c r="L119" s="360"/>
      <c r="M119" s="397"/>
      <c r="N119" s="366">
        <f t="shared" si="31"/>
        <v>0</v>
      </c>
    </row>
    <row r="120" spans="2:14" hidden="1" outlineLevel="1">
      <c r="B120" s="389" t="s">
        <v>235</v>
      </c>
      <c r="C120" s="396"/>
      <c r="D120" s="360"/>
      <c r="E120" s="360"/>
      <c r="F120" s="360"/>
      <c r="G120" s="397"/>
      <c r="H120" s="366">
        <f t="shared" si="30"/>
        <v>0</v>
      </c>
      <c r="I120" s="362"/>
      <c r="J120" s="360"/>
      <c r="K120" s="360"/>
      <c r="L120" s="360"/>
      <c r="M120" s="397"/>
      <c r="N120" s="366">
        <f t="shared" si="31"/>
        <v>0</v>
      </c>
    </row>
    <row r="121" spans="2:14" hidden="1" outlineLevel="1">
      <c r="B121" s="389" t="s">
        <v>236</v>
      </c>
      <c r="C121" s="396"/>
      <c r="D121" s="360"/>
      <c r="E121" s="360"/>
      <c r="F121" s="360"/>
      <c r="G121" s="397"/>
      <c r="H121" s="366">
        <f t="shared" si="30"/>
        <v>0</v>
      </c>
      <c r="I121" s="362"/>
      <c r="J121" s="360"/>
      <c r="K121" s="360"/>
      <c r="L121" s="360"/>
      <c r="M121" s="397"/>
      <c r="N121" s="366">
        <f t="shared" si="31"/>
        <v>0</v>
      </c>
    </row>
    <row r="122" spans="2:14" hidden="1" outlineLevel="1">
      <c r="B122" s="389" t="s">
        <v>229</v>
      </c>
      <c r="C122" s="396"/>
      <c r="D122" s="360"/>
      <c r="E122" s="360"/>
      <c r="F122" s="360"/>
      <c r="G122" s="397"/>
      <c r="H122" s="366">
        <f t="shared" si="30"/>
        <v>0</v>
      </c>
      <c r="I122" s="362"/>
      <c r="J122" s="360"/>
      <c r="K122" s="360"/>
      <c r="L122" s="360"/>
      <c r="M122" s="397"/>
      <c r="N122" s="366">
        <f t="shared" si="31"/>
        <v>0</v>
      </c>
    </row>
    <row r="123" spans="2:14" hidden="1" outlineLevel="1">
      <c r="B123" s="389" t="s">
        <v>226</v>
      </c>
      <c r="C123" s="396"/>
      <c r="D123" s="360"/>
      <c r="E123" s="360"/>
      <c r="F123" s="360"/>
      <c r="G123" s="397"/>
      <c r="H123" s="366">
        <f t="shared" si="30"/>
        <v>0</v>
      </c>
      <c r="I123" s="362"/>
      <c r="J123" s="360"/>
      <c r="K123" s="360"/>
      <c r="L123" s="360"/>
      <c r="M123" s="397"/>
      <c r="N123" s="366">
        <f t="shared" si="31"/>
        <v>0</v>
      </c>
    </row>
    <row r="124" spans="2:14" hidden="1" outlineLevel="1">
      <c r="B124" s="389" t="s">
        <v>228</v>
      </c>
      <c r="C124" s="396"/>
      <c r="D124" s="360"/>
      <c r="E124" s="360"/>
      <c r="F124" s="360"/>
      <c r="G124" s="397"/>
      <c r="H124" s="366">
        <f t="shared" si="30"/>
        <v>0</v>
      </c>
      <c r="I124" s="362"/>
      <c r="J124" s="360"/>
      <c r="K124" s="360"/>
      <c r="L124" s="360"/>
      <c r="M124" s="397"/>
      <c r="N124" s="366">
        <f t="shared" si="31"/>
        <v>0</v>
      </c>
    </row>
    <row r="125" spans="2:14" hidden="1" outlineLevel="1">
      <c r="B125" s="389" t="s">
        <v>237</v>
      </c>
      <c r="C125" s="396"/>
      <c r="D125" s="360"/>
      <c r="E125" s="360"/>
      <c r="F125" s="360"/>
      <c r="G125" s="397"/>
      <c r="H125" s="366">
        <f t="shared" si="30"/>
        <v>0</v>
      </c>
      <c r="I125" s="362"/>
      <c r="J125" s="360"/>
      <c r="K125" s="360"/>
      <c r="L125" s="360"/>
      <c r="M125" s="397"/>
      <c r="N125" s="366">
        <f t="shared" si="31"/>
        <v>0</v>
      </c>
    </row>
    <row r="126" spans="2:14" hidden="1" outlineLevel="1">
      <c r="B126" s="389" t="s">
        <v>231</v>
      </c>
      <c r="C126" s="396"/>
      <c r="D126" s="360"/>
      <c r="E126" s="360"/>
      <c r="F126" s="360"/>
      <c r="G126" s="397"/>
      <c r="H126" s="366">
        <f t="shared" si="30"/>
        <v>0</v>
      </c>
      <c r="I126" s="362"/>
      <c r="J126" s="360"/>
      <c r="K126" s="360"/>
      <c r="L126" s="360"/>
      <c r="M126" s="397"/>
      <c r="N126" s="366">
        <f t="shared" si="31"/>
        <v>0</v>
      </c>
    </row>
    <row r="127" spans="2:14" hidden="1" outlineLevel="1">
      <c r="B127" s="395" t="s">
        <v>238</v>
      </c>
      <c r="C127" s="398"/>
      <c r="D127" s="361"/>
      <c r="E127" s="361"/>
      <c r="F127" s="361"/>
      <c r="G127" s="399"/>
      <c r="H127" s="366">
        <f t="shared" si="30"/>
        <v>0</v>
      </c>
      <c r="I127" s="400"/>
      <c r="J127" s="361"/>
      <c r="K127" s="361"/>
      <c r="L127" s="361"/>
      <c r="M127" s="399"/>
      <c r="N127" s="366">
        <f t="shared" si="31"/>
        <v>0</v>
      </c>
    </row>
    <row r="128" spans="2:14" hidden="1" outlineLevel="1">
      <c r="B128" s="389" t="s">
        <v>227</v>
      </c>
      <c r="C128" s="359"/>
      <c r="D128" s="360"/>
      <c r="E128" s="360"/>
      <c r="F128" s="360"/>
      <c r="G128" s="397"/>
      <c r="H128" s="366">
        <f t="shared" si="30"/>
        <v>0</v>
      </c>
      <c r="I128" s="362"/>
      <c r="J128" s="360"/>
      <c r="K128" s="360"/>
      <c r="L128" s="360"/>
      <c r="M128" s="397"/>
      <c r="N128" s="366">
        <f t="shared" si="31"/>
        <v>0</v>
      </c>
    </row>
    <row r="129" spans="2:14" hidden="1" outlineLevel="1">
      <c r="B129" s="75"/>
      <c r="C129" s="359"/>
      <c r="D129" s="360"/>
      <c r="E129" s="360"/>
      <c r="F129" s="360"/>
      <c r="G129" s="397"/>
      <c r="H129" s="366"/>
      <c r="I129" s="362"/>
      <c r="J129" s="360"/>
      <c r="K129" s="360"/>
      <c r="L129" s="360"/>
      <c r="M129" s="397"/>
      <c r="N129" s="366"/>
    </row>
    <row r="130" spans="2:14" ht="13.5" hidden="1" outlineLevel="1" thickBot="1">
      <c r="B130" s="356" t="s">
        <v>239</v>
      </c>
      <c r="C130" s="363">
        <f>SUM(C115:C128)</f>
        <v>0</v>
      </c>
      <c r="D130" s="364">
        <f t="shared" ref="D130:N130" si="32">SUM(D115:D128)</f>
        <v>0</v>
      </c>
      <c r="E130" s="364">
        <f t="shared" si="32"/>
        <v>0</v>
      </c>
      <c r="F130" s="364">
        <f t="shared" si="32"/>
        <v>0</v>
      </c>
      <c r="G130" s="401">
        <f t="shared" si="32"/>
        <v>0</v>
      </c>
      <c r="H130" s="367">
        <f t="shared" si="32"/>
        <v>0</v>
      </c>
      <c r="I130" s="402">
        <f t="shared" si="32"/>
        <v>0</v>
      </c>
      <c r="J130" s="364">
        <f t="shared" si="32"/>
        <v>0</v>
      </c>
      <c r="K130" s="364">
        <f t="shared" si="32"/>
        <v>0</v>
      </c>
      <c r="L130" s="364">
        <f t="shared" si="32"/>
        <v>0</v>
      </c>
      <c r="M130" s="401">
        <f t="shared" si="32"/>
        <v>0</v>
      </c>
      <c r="N130" s="367">
        <f t="shared" si="32"/>
        <v>0</v>
      </c>
    </row>
    <row r="131" spans="2:14" hidden="1" outlineLevel="1">
      <c r="B131" s="394"/>
    </row>
    <row r="132" spans="2:14" collapsed="1">
      <c r="B132" s="13"/>
    </row>
    <row r="134" spans="2:14">
      <c r="B134" s="2"/>
    </row>
    <row r="135" spans="2:14">
      <c r="C135" s="37"/>
    </row>
    <row r="136" spans="2:14">
      <c r="C136" s="37"/>
    </row>
    <row r="137" spans="2:14">
      <c r="C137" s="37"/>
    </row>
    <row r="138" spans="2:14">
      <c r="C138" s="37"/>
    </row>
    <row r="139" spans="2:14">
      <c r="C139" s="37"/>
    </row>
    <row r="140" spans="2:14">
      <c r="C140" s="37"/>
    </row>
    <row r="141" spans="2:14">
      <c r="C141" s="37"/>
    </row>
    <row r="142" spans="2:14">
      <c r="C142" s="37"/>
    </row>
    <row r="143" spans="2:14">
      <c r="C143" s="37"/>
    </row>
    <row r="144" spans="2:14">
      <c r="C144" s="37"/>
    </row>
    <row r="145" spans="3:3">
      <c r="C145" s="37"/>
    </row>
    <row r="146" spans="3:3">
      <c r="C146" s="37"/>
    </row>
    <row r="147" spans="3:3">
      <c r="C147" s="37"/>
    </row>
    <row r="148" spans="3:3">
      <c r="C148" s="37"/>
    </row>
    <row r="149" spans="3:3">
      <c r="C149" s="37"/>
    </row>
  </sheetData>
  <sortState ref="B76:B86">
    <sortCondition ref="B76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tabColor theme="5"/>
  </sheetPr>
  <dimension ref="A1:M439"/>
  <sheetViews>
    <sheetView zoomScale="75" zoomScaleNormal="75" workbookViewId="0">
      <selection activeCell="A2" sqref="A2"/>
    </sheetView>
  </sheetViews>
  <sheetFormatPr defaultRowHeight="12.75"/>
  <cols>
    <col min="1" max="1" width="1.625" customWidth="1"/>
    <col min="2" max="2" width="38.5" customWidth="1"/>
    <col min="3" max="22" width="14.625" customWidth="1"/>
  </cols>
  <sheetData>
    <row r="1" spans="1:12">
      <c r="A1" s="2" t="s">
        <v>43</v>
      </c>
    </row>
    <row r="2" spans="1:12">
      <c r="D2" t="s">
        <v>389</v>
      </c>
      <c r="E2">
        <v>48</v>
      </c>
      <c r="F2" t="s">
        <v>387</v>
      </c>
    </row>
    <row r="3" spans="1:12" ht="13.5" customHeight="1">
      <c r="E3" s="561">
        <f>E2*(Inputs!H7/Inputs!E7)</f>
        <v>53.214996545309589</v>
      </c>
      <c r="F3" t="s">
        <v>388</v>
      </c>
    </row>
    <row r="4" spans="1:12">
      <c r="D4" s="408"/>
      <c r="G4" s="93"/>
    </row>
    <row r="5" spans="1:12" ht="15">
      <c r="B5" s="28" t="s">
        <v>42</v>
      </c>
      <c r="C5" s="28"/>
      <c r="D5" s="28"/>
    </row>
    <row r="6" spans="1:12" ht="15.75" hidden="1" thickBot="1">
      <c r="B6" s="651" t="s">
        <v>448</v>
      </c>
      <c r="C6" s="28"/>
      <c r="D6" s="28"/>
    </row>
    <row r="7" spans="1:12" ht="12.75" hidden="1" customHeight="1">
      <c r="B7" s="801" t="s">
        <v>65</v>
      </c>
      <c r="C7" s="803" t="s">
        <v>240</v>
      </c>
      <c r="D7" s="803" t="s">
        <v>60</v>
      </c>
      <c r="E7" s="803" t="s">
        <v>449</v>
      </c>
      <c r="F7" s="803" t="s">
        <v>62</v>
      </c>
      <c r="G7" s="808" t="s">
        <v>63</v>
      </c>
      <c r="H7" s="795" t="s">
        <v>47</v>
      </c>
      <c r="I7" s="796"/>
      <c r="J7" s="796"/>
      <c r="K7" s="796"/>
      <c r="L7" s="797"/>
    </row>
    <row r="8" spans="1:12" hidden="1">
      <c r="B8" s="802"/>
      <c r="C8" s="804"/>
      <c r="D8" s="806"/>
      <c r="E8" s="806"/>
      <c r="F8" s="806"/>
      <c r="G8" s="809"/>
      <c r="H8" s="798"/>
      <c r="I8" s="799"/>
      <c r="J8" s="799"/>
      <c r="K8" s="799"/>
      <c r="L8" s="800"/>
    </row>
    <row r="9" spans="1:12" hidden="1">
      <c r="B9" s="84" t="s">
        <v>19</v>
      </c>
      <c r="C9" s="805"/>
      <c r="D9" s="807"/>
      <c r="E9" s="807"/>
      <c r="F9" s="807"/>
      <c r="G9" s="810"/>
      <c r="H9" s="654" t="str">
        <f>C49</f>
        <v>2005-06</v>
      </c>
      <c r="I9" s="87" t="str">
        <f t="shared" ref="I9:L9" si="0">D49</f>
        <v>2006-07</v>
      </c>
      <c r="J9" s="87" t="str">
        <f t="shared" si="0"/>
        <v>2007-08</v>
      </c>
      <c r="K9" s="87" t="str">
        <f t="shared" si="0"/>
        <v>2008-09</v>
      </c>
      <c r="L9" s="88" t="str">
        <f t="shared" si="0"/>
        <v>2009-10</v>
      </c>
    </row>
    <row r="10" spans="1:12" hidden="1">
      <c r="B10" s="20" t="str">
        <f>Inputs!B11</f>
        <v>CN West</v>
      </c>
      <c r="C10" s="410">
        <v>4.9599999999999998E-2</v>
      </c>
      <c r="D10" s="82">
        <f>SUM(C60:G60)</f>
        <v>6366.3749999999927</v>
      </c>
      <c r="E10" s="82">
        <f>SUM(C53:G53)</f>
        <v>137437.27100000001</v>
      </c>
      <c r="F10" s="82">
        <f>AVERAGE(C60:G60)</f>
        <v>1273.2749999999985</v>
      </c>
      <c r="G10" s="649">
        <f>(D10/E10)</f>
        <v>4.632204171166926E-2</v>
      </c>
      <c r="H10" s="655">
        <f>C61</f>
        <v>4.7256115872504723E-2</v>
      </c>
      <c r="I10" s="85">
        <f t="shared" ref="I10:L10" si="1">D61</f>
        <v>3.7954760473787902E-2</v>
      </c>
      <c r="J10" s="85">
        <f t="shared" si="1"/>
        <v>4.3121913781068485E-2</v>
      </c>
      <c r="K10" s="85">
        <f t="shared" si="1"/>
        <v>5.1507392739185136E-2</v>
      </c>
      <c r="L10" s="649">
        <f t="shared" si="1"/>
        <v>5.2334600552187791E-2</v>
      </c>
    </row>
    <row r="11" spans="1:12" hidden="1">
      <c r="B11" s="20" t="str">
        <f>Inputs!B12</f>
        <v>CN East</v>
      </c>
      <c r="C11" s="410">
        <v>5.6899999999999992E-2</v>
      </c>
      <c r="D11" s="82">
        <f>SUM(C88:G88)</f>
        <v>6693.2079999999951</v>
      </c>
      <c r="E11" s="82">
        <f>SUM(C81:G81)</f>
        <v>153388.897</v>
      </c>
      <c r="F11" s="82">
        <f>AVERAGE(C88:G88)</f>
        <v>1338.641599999999</v>
      </c>
      <c r="G11" s="649">
        <f t="shared" ref="G11:G23" si="2">(D11/E11)</f>
        <v>4.3635544233687235E-2</v>
      </c>
      <c r="H11" s="655">
        <f>C89</f>
        <v>4.70326761832787E-2</v>
      </c>
      <c r="I11" s="85">
        <f t="shared" ref="I11:L11" si="3">D89</f>
        <v>4.8891033768248292E-2</v>
      </c>
      <c r="J11" s="85">
        <f t="shared" si="3"/>
        <v>3.944421526806835E-2</v>
      </c>
      <c r="K11" s="85">
        <f t="shared" si="3"/>
        <v>3.8256146109358832E-2</v>
      </c>
      <c r="L11" s="649">
        <f t="shared" si="3"/>
        <v>4.4368388431298901E-2</v>
      </c>
    </row>
    <row r="12" spans="1:12" hidden="1">
      <c r="B12" s="20" t="str">
        <f>Inputs!B13</f>
        <v>ENWL</v>
      </c>
      <c r="C12" s="410">
        <v>5.5600000000000004E-2</v>
      </c>
      <c r="D12" s="82">
        <f>SUM(C116:G116)</f>
        <v>6708.3100000000013</v>
      </c>
      <c r="E12" s="82">
        <f>SUM(C109:G109)</f>
        <v>134094.731</v>
      </c>
      <c r="F12" s="82">
        <f>AVERAGE(C116:G116)</f>
        <v>1341.6620000000003</v>
      </c>
      <c r="G12" s="649">
        <f t="shared" si="2"/>
        <v>5.0026648698076E-2</v>
      </c>
      <c r="H12" s="655">
        <f>C117</f>
        <v>4.4477085087759979E-2</v>
      </c>
      <c r="I12" s="85">
        <f t="shared" ref="I12:L12" si="4">D117</f>
        <v>4.5107417171158043E-2</v>
      </c>
      <c r="J12" s="85">
        <f t="shared" si="4"/>
        <v>4.8163820587741199E-2</v>
      </c>
      <c r="K12" s="85">
        <f t="shared" si="4"/>
        <v>4.848760690527637E-2</v>
      </c>
      <c r="L12" s="649">
        <f t="shared" si="4"/>
        <v>6.4770668480065532E-2</v>
      </c>
    </row>
    <row r="13" spans="1:12" hidden="1">
      <c r="B13" s="20" t="str">
        <f>Inputs!B14</f>
        <v>CE NEDL</v>
      </c>
      <c r="C13" s="410">
        <v>5.2000000000000005E-2</v>
      </c>
      <c r="D13" s="82">
        <f>SUM(C144:G144)</f>
        <v>4340.6279999999933</v>
      </c>
      <c r="E13" s="82">
        <f>SUM(C137:G137)</f>
        <v>87608.51999999999</v>
      </c>
      <c r="F13" s="82">
        <f>AVERAGE(C144:G144)</f>
        <v>868.12559999999871</v>
      </c>
      <c r="G13" s="649">
        <f t="shared" si="2"/>
        <v>4.9545729114017605E-2</v>
      </c>
      <c r="H13" s="655">
        <f>C145</f>
        <v>4.5527264543401363E-2</v>
      </c>
      <c r="I13" s="85">
        <f t="shared" ref="I13:L13" si="5">D145</f>
        <v>4.3322776951784978E-2</v>
      </c>
      <c r="J13" s="85">
        <f t="shared" si="5"/>
        <v>5.0091883534191195E-2</v>
      </c>
      <c r="K13" s="85">
        <f t="shared" si="5"/>
        <v>4.698524577229557E-2</v>
      </c>
      <c r="L13" s="649">
        <f t="shared" si="5"/>
        <v>6.2709113763858751E-2</v>
      </c>
    </row>
    <row r="14" spans="1:12" hidden="1">
      <c r="B14" s="20" t="str">
        <f>Inputs!B15</f>
        <v>CE YEDL</v>
      </c>
      <c r="C14" s="410">
        <v>5.8999999999999997E-2</v>
      </c>
      <c r="D14" s="82">
        <f>SUM(C172:G172)</f>
        <v>6234.2180000000044</v>
      </c>
      <c r="E14" s="82">
        <f>SUM(C165:G165)</f>
        <v>127010.61600000001</v>
      </c>
      <c r="F14" s="82">
        <f>AVERAGE(C172:G172)</f>
        <v>1246.8436000000008</v>
      </c>
      <c r="G14" s="649">
        <f t="shared" si="2"/>
        <v>4.9084227731011114E-2</v>
      </c>
      <c r="H14" s="655">
        <f>C173</f>
        <v>3.475098326974102E-2</v>
      </c>
      <c r="I14" s="85">
        <f t="shared" ref="I14:L14" si="6">D173</f>
        <v>3.683985543854195E-2</v>
      </c>
      <c r="J14" s="85">
        <f t="shared" si="6"/>
        <v>5.5356193373645703E-2</v>
      </c>
      <c r="K14" s="85">
        <f t="shared" si="6"/>
        <v>4.9766918994259189E-2</v>
      </c>
      <c r="L14" s="649">
        <f t="shared" si="6"/>
        <v>7.0399900287519579E-2</v>
      </c>
    </row>
    <row r="15" spans="1:12" hidden="1">
      <c r="B15" s="20" t="str">
        <f>Inputs!B16</f>
        <v>WPD S Wales</v>
      </c>
      <c r="C15" s="410">
        <v>4.9399999999999999E-2</v>
      </c>
      <c r="D15" s="82">
        <f>SUM(C200:G200)</f>
        <v>3205.8080000000009</v>
      </c>
      <c r="E15" s="82">
        <f>SUM(C193:G193)</f>
        <v>66179.233999999997</v>
      </c>
      <c r="F15" s="82">
        <f>AVERAGE(C200:G200)</f>
        <v>641.16160000000013</v>
      </c>
      <c r="G15" s="649">
        <f t="shared" si="2"/>
        <v>4.8441298066399519E-2</v>
      </c>
      <c r="H15" s="655">
        <f>C201</f>
        <v>4.7371860186387824E-2</v>
      </c>
      <c r="I15" s="85">
        <f t="shared" ref="I15:L15" si="7">D201</f>
        <v>5.0269763243608337E-2</v>
      </c>
      <c r="J15" s="85">
        <f t="shared" si="7"/>
        <v>5.0661565374597511E-2</v>
      </c>
      <c r="K15" s="85">
        <f t="shared" si="7"/>
        <v>4.3528924287687294E-2</v>
      </c>
      <c r="L15" s="649">
        <f t="shared" si="7"/>
        <v>5.0339242688199864E-2</v>
      </c>
    </row>
    <row r="16" spans="1:12" hidden="1">
      <c r="B16" s="20" t="str">
        <f>Inputs!B17</f>
        <v>WPD S West</v>
      </c>
      <c r="C16" s="410">
        <v>6.9599999999999995E-2</v>
      </c>
      <c r="D16" s="82">
        <f>SUM(C228:G228)</f>
        <v>4770.2110000000011</v>
      </c>
      <c r="E16" s="82">
        <f>SUM(C221:G221)</f>
        <v>80971.967000000004</v>
      </c>
      <c r="F16" s="82">
        <f>AVERAGE(C228:G228)</f>
        <v>954.04220000000021</v>
      </c>
      <c r="G16" s="649">
        <f t="shared" si="2"/>
        <v>5.8911882429631489E-2</v>
      </c>
      <c r="H16" s="655">
        <f>C229</f>
        <v>5.3734338308191576E-2</v>
      </c>
      <c r="I16" s="85">
        <f t="shared" ref="I16:L16" si="8">D229</f>
        <v>5.4168349331466539E-2</v>
      </c>
      <c r="J16" s="85">
        <f t="shared" si="8"/>
        <v>6.3029387168961781E-2</v>
      </c>
      <c r="K16" s="85">
        <f t="shared" si="8"/>
        <v>6.1667141793265989E-2</v>
      </c>
      <c r="L16" s="649">
        <f t="shared" si="8"/>
        <v>6.2388578191155543E-2</v>
      </c>
    </row>
    <row r="17" spans="2:12" hidden="1">
      <c r="B17" s="20" t="str">
        <f>Inputs!B18</f>
        <v>UKPN LPN</v>
      </c>
      <c r="C17" s="410">
        <v>6.54E-2</v>
      </c>
      <c r="D17" s="82">
        <f>SUM(C256:G256)</f>
        <v>8356.9920000000056</v>
      </c>
      <c r="E17" s="82">
        <f>SUM(C249:G249)</f>
        <v>157437.77499999999</v>
      </c>
      <c r="F17" s="82">
        <f>AVERAGE(C256:G256)</f>
        <v>1671.3984000000012</v>
      </c>
      <c r="G17" s="649">
        <f t="shared" si="2"/>
        <v>5.3081237968460912E-2</v>
      </c>
      <c r="H17" s="655">
        <f>C257</f>
        <v>5.2569264501834183E-2</v>
      </c>
      <c r="I17" s="85">
        <f t="shared" ref="I17:L17" si="9">D257</f>
        <v>5.0461232106028091E-2</v>
      </c>
      <c r="J17" s="85">
        <f t="shared" si="9"/>
        <v>5.5132613325124057E-2</v>
      </c>
      <c r="K17" s="85">
        <f t="shared" si="9"/>
        <v>5.4914075495724586E-2</v>
      </c>
      <c r="L17" s="649">
        <f t="shared" si="9"/>
        <v>5.2293914592090235E-2</v>
      </c>
    </row>
    <row r="18" spans="2:12" hidden="1">
      <c r="B18" s="20" t="str">
        <f>Inputs!B19</f>
        <v>UKPN SEPN</v>
      </c>
      <c r="C18" s="410">
        <v>6.54E-2</v>
      </c>
      <c r="D18" s="82">
        <f>SUM(C284:G284)</f>
        <v>6455.8499999999985</v>
      </c>
      <c r="E18" s="82">
        <f>SUM(C277:G277)</f>
        <v>119709.499</v>
      </c>
      <c r="F18" s="82">
        <f>AVERAGE(C284:G284)</f>
        <v>1291.1699999999996</v>
      </c>
      <c r="G18" s="649">
        <f t="shared" si="2"/>
        <v>5.3929304306920528E-2</v>
      </c>
      <c r="H18" s="655">
        <f>C285</f>
        <v>5.5518462248042903E-2</v>
      </c>
      <c r="I18" s="85">
        <f t="shared" ref="I18:L18" si="10">D285</f>
        <v>5.2832204644909585E-2</v>
      </c>
      <c r="J18" s="85">
        <f t="shared" si="10"/>
        <v>5.5762354254922243E-2</v>
      </c>
      <c r="K18" s="85">
        <f t="shared" si="10"/>
        <v>5.6290682575831551E-2</v>
      </c>
      <c r="L18" s="649">
        <f t="shared" si="10"/>
        <v>4.9082779490873148E-2</v>
      </c>
    </row>
    <row r="19" spans="2:12" hidden="1">
      <c r="B19" s="20" t="str">
        <f>Inputs!B20</f>
        <v>UKPN EPN</v>
      </c>
      <c r="C19" s="410">
        <v>6.3200000000000006E-2</v>
      </c>
      <c r="D19" s="82">
        <f>SUM(C312:G312)</f>
        <v>8841.0950000000012</v>
      </c>
      <c r="E19" s="82">
        <f>SUM(C305:G305)</f>
        <v>190359.71399999998</v>
      </c>
      <c r="F19" s="82">
        <f>AVERAGE(C312:G312)</f>
        <v>1768.2190000000003</v>
      </c>
      <c r="G19" s="649">
        <f t="shared" si="2"/>
        <v>4.6444149417034751E-2</v>
      </c>
      <c r="H19" s="655">
        <f>C313</f>
        <v>4.3865015037977267E-2</v>
      </c>
      <c r="I19" s="85">
        <f t="shared" ref="I19:L19" si="11">D313</f>
        <v>4.2477148550875518E-2</v>
      </c>
      <c r="J19" s="85">
        <f t="shared" si="11"/>
        <v>3.6640941118880971E-2</v>
      </c>
      <c r="K19" s="85">
        <f t="shared" si="11"/>
        <v>5.0010460558789931E-2</v>
      </c>
      <c r="L19" s="649">
        <f t="shared" si="11"/>
        <v>5.9758879410213121E-2</v>
      </c>
    </row>
    <row r="20" spans="2:12" hidden="1">
      <c r="B20" s="20" t="str">
        <f>Inputs!B21</f>
        <v>SP Distribution</v>
      </c>
      <c r="C20" s="410">
        <v>5.1860000000000003E-2</v>
      </c>
      <c r="D20" s="82">
        <f>SUM(C340:G340)</f>
        <v>6417.7629999999954</v>
      </c>
      <c r="E20" s="82">
        <f>SUM(C333:G333)</f>
        <v>111265.12699999999</v>
      </c>
      <c r="F20" s="82">
        <f>AVERAGE(C340:G340)</f>
        <v>1283.5525999999991</v>
      </c>
      <c r="G20" s="649">
        <f t="shared" si="2"/>
        <v>5.7679914390427071E-2</v>
      </c>
      <c r="H20" s="655">
        <f>C341</f>
        <v>5.6886910390906126E-2</v>
      </c>
      <c r="I20" s="85">
        <f t="shared" ref="I20:L20" si="12">D341</f>
        <v>5.8337153239031207E-2</v>
      </c>
      <c r="J20" s="85">
        <f t="shared" si="12"/>
        <v>5.2785756616307578E-2</v>
      </c>
      <c r="K20" s="85">
        <f t="shared" si="12"/>
        <v>6.2490196342766396E-2</v>
      </c>
      <c r="L20" s="649">
        <f t="shared" si="12"/>
        <v>5.7960456915728327E-2</v>
      </c>
    </row>
    <row r="21" spans="2:12" hidden="1">
      <c r="B21" s="20" t="str">
        <f>Inputs!B22</f>
        <v>SP Manweb</v>
      </c>
      <c r="C21" s="410">
        <v>5.4259999999999996E-2</v>
      </c>
      <c r="D21" s="82">
        <f>SUM(C368:G368)</f>
        <v>5366.6949999999979</v>
      </c>
      <c r="E21" s="82">
        <f>SUM(C361:G361)</f>
        <v>89205.430999999997</v>
      </c>
      <c r="F21" s="82">
        <f>AVERAGE(C368:G368)</f>
        <v>1073.3389999999995</v>
      </c>
      <c r="G21" s="649">
        <f t="shared" si="2"/>
        <v>6.0161079206040698E-2</v>
      </c>
      <c r="H21" s="655">
        <f>C369</f>
        <v>5.8409246318426734E-2</v>
      </c>
      <c r="I21" s="85">
        <f t="shared" ref="I21:L21" si="13">D369</f>
        <v>5.4898787588053763E-2</v>
      </c>
      <c r="J21" s="85">
        <f t="shared" si="13"/>
        <v>6.5537794951299105E-2</v>
      </c>
      <c r="K21" s="85">
        <f t="shared" si="13"/>
        <v>6.2127202303510466E-2</v>
      </c>
      <c r="L21" s="649">
        <f t="shared" si="13"/>
        <v>5.9907761193033725E-2</v>
      </c>
    </row>
    <row r="22" spans="2:12" hidden="1">
      <c r="B22" s="20" t="str">
        <f>Inputs!B23</f>
        <v>SSE Hydro</v>
      </c>
      <c r="C22" s="410">
        <v>8.7300000000000003E-2</v>
      </c>
      <c r="D22" s="82">
        <f>SUM(C396:G396)</f>
        <v>3653.9310000000005</v>
      </c>
      <c r="E22" s="82">
        <f>SUM(C389:G389)</f>
        <v>46512.134000000005</v>
      </c>
      <c r="F22" s="82">
        <f>AVERAGE(C396:G396)</f>
        <v>730.78620000000012</v>
      </c>
      <c r="G22" s="649">
        <f t="shared" si="2"/>
        <v>7.8558661703202012E-2</v>
      </c>
      <c r="H22" s="655">
        <f>C397</f>
        <v>7.9697759744717073E-2</v>
      </c>
      <c r="I22" s="85">
        <f t="shared" ref="I22:L22" si="14">D397</f>
        <v>7.9616987292776456E-2</v>
      </c>
      <c r="J22" s="85">
        <f t="shared" si="14"/>
        <v>7.9658512175368415E-2</v>
      </c>
      <c r="K22" s="85">
        <f t="shared" si="14"/>
        <v>7.7131476365923463E-2</v>
      </c>
      <c r="L22" s="649">
        <f t="shared" si="14"/>
        <v>7.6596346834099979E-2</v>
      </c>
    </row>
    <row r="23" spans="2:12" hidden="1">
      <c r="B23" s="20" t="str">
        <f>Inputs!B24</f>
        <v>SSE Southern</v>
      </c>
      <c r="C23" s="410">
        <v>6.6799999999999998E-2</v>
      </c>
      <c r="D23" s="82">
        <f>SUM(C424:G424)</f>
        <v>11069.828000000001</v>
      </c>
      <c r="E23" s="82">
        <f>SUM(C417:G417)</f>
        <v>182206.40100000001</v>
      </c>
      <c r="F23" s="82">
        <f>AVERAGE(C424:G424)</f>
        <v>2213.9656000000004</v>
      </c>
      <c r="G23" s="649">
        <f t="shared" si="2"/>
        <v>6.0754331018260992E-2</v>
      </c>
      <c r="H23" s="655">
        <f>C425</f>
        <v>6.1419276375339539E-2</v>
      </c>
      <c r="I23" s="85">
        <f t="shared" ref="I23:L23" si="15">D425</f>
        <v>6.153307327406566E-2</v>
      </c>
      <c r="J23" s="85">
        <f t="shared" si="15"/>
        <v>6.1502875620257989E-2</v>
      </c>
      <c r="K23" s="85">
        <f t="shared" si="15"/>
        <v>6.0599412649428967E-2</v>
      </c>
      <c r="L23" s="649">
        <f t="shared" si="15"/>
        <v>5.8674572863917591E-2</v>
      </c>
    </row>
    <row r="24" spans="2:12" ht="13.5" hidden="1" thickBot="1">
      <c r="B24" s="27" t="s">
        <v>66</v>
      </c>
      <c r="C24" s="411">
        <v>6.045142857142858E-2</v>
      </c>
      <c r="D24" s="83">
        <f t="shared" ref="D24" si="16">SUM(D10:D23)</f>
        <v>88480.911999999982</v>
      </c>
      <c r="E24" s="83">
        <f t="shared" ref="E24" si="17">SUM(E10:E23)</f>
        <v>1683387.3170000003</v>
      </c>
      <c r="F24" s="83">
        <f>SUM(F10:F23)</f>
        <v>17696.182400000002</v>
      </c>
      <c r="G24" s="652">
        <f>(D24/E24)</f>
        <v>5.2561232407099076E-2</v>
      </c>
      <c r="H24" s="656">
        <f t="shared" ref="H24:L24" si="18">AVERAGE(H10:H23)</f>
        <v>5.2036875576322063E-2</v>
      </c>
      <c r="I24" s="650">
        <f t="shared" si="18"/>
        <v>5.1193610219595446E-2</v>
      </c>
      <c r="J24" s="650">
        <f t="shared" si="18"/>
        <v>5.4063559082173904E-2</v>
      </c>
      <c r="K24" s="650">
        <f t="shared" si="18"/>
        <v>5.4554491635235972E-2</v>
      </c>
      <c r="L24" s="652">
        <f t="shared" si="18"/>
        <v>5.8684657406731587E-2</v>
      </c>
    </row>
    <row r="25" spans="2:12" s="127" customFormat="1" hidden="1">
      <c r="B25" s="409"/>
      <c r="C25" s="412"/>
      <c r="D25" s="407"/>
      <c r="E25" s="407"/>
      <c r="F25" s="408"/>
      <c r="G25" s="408"/>
      <c r="H25" s="408"/>
      <c r="I25" s="408"/>
      <c r="J25" s="408"/>
      <c r="K25" s="408"/>
      <c r="L25" s="408"/>
    </row>
    <row r="26" spans="2:12" s="127" customFormat="1" hidden="1">
      <c r="B26" s="409"/>
      <c r="C26" s="412"/>
      <c r="D26" s="407"/>
      <c r="E26" s="407"/>
      <c r="F26" s="408"/>
      <c r="G26" s="408"/>
      <c r="H26" s="408"/>
      <c r="I26" s="408"/>
      <c r="J26" s="408"/>
      <c r="K26" s="408"/>
      <c r="L26" s="408"/>
    </row>
    <row r="27" spans="2:12" s="127" customFormat="1" ht="13.5" thickBot="1">
      <c r="B27" s="651" t="s">
        <v>447</v>
      </c>
      <c r="C27" s="412"/>
      <c r="D27" s="407"/>
      <c r="E27" s="407"/>
      <c r="F27" s="408"/>
      <c r="G27" s="408"/>
      <c r="H27" s="408"/>
      <c r="I27" s="408"/>
      <c r="J27" s="408"/>
      <c r="K27" s="408"/>
      <c r="L27" s="408"/>
    </row>
    <row r="28" spans="2:12" ht="12.75" customHeight="1">
      <c r="B28" s="801" t="s">
        <v>65</v>
      </c>
      <c r="C28" s="803" t="s">
        <v>240</v>
      </c>
      <c r="D28" s="803" t="s">
        <v>60</v>
      </c>
      <c r="E28" s="803" t="s">
        <v>444</v>
      </c>
      <c r="F28" s="803" t="s">
        <v>62</v>
      </c>
      <c r="G28" s="792" t="s">
        <v>63</v>
      </c>
      <c r="H28" s="795" t="s">
        <v>47</v>
      </c>
      <c r="I28" s="796"/>
      <c r="J28" s="796"/>
      <c r="K28" s="796"/>
      <c r="L28" s="797"/>
    </row>
    <row r="29" spans="2:12">
      <c r="B29" s="802"/>
      <c r="C29" s="804"/>
      <c r="D29" s="806"/>
      <c r="E29" s="806"/>
      <c r="F29" s="806"/>
      <c r="G29" s="793"/>
      <c r="H29" s="798"/>
      <c r="I29" s="799"/>
      <c r="J29" s="799"/>
      <c r="K29" s="799"/>
      <c r="L29" s="800"/>
    </row>
    <row r="30" spans="2:12">
      <c r="B30" s="84" t="s">
        <v>19</v>
      </c>
      <c r="C30" s="805"/>
      <c r="D30" s="807"/>
      <c r="E30" s="807"/>
      <c r="F30" s="807"/>
      <c r="G30" s="794"/>
      <c r="H30" s="654" t="str">
        <f>H9</f>
        <v>2005-06</v>
      </c>
      <c r="I30" s="87" t="str">
        <f t="shared" ref="I30:L30" si="19">I9</f>
        <v>2006-07</v>
      </c>
      <c r="J30" s="87" t="str">
        <f t="shared" si="19"/>
        <v>2007-08</v>
      </c>
      <c r="K30" s="87" t="str">
        <f t="shared" si="19"/>
        <v>2008-09</v>
      </c>
      <c r="L30" s="88" t="str">
        <f t="shared" si="19"/>
        <v>2009-10</v>
      </c>
    </row>
    <row r="31" spans="2:12">
      <c r="B31" s="20" t="str">
        <f>Inputs!B11</f>
        <v>CN West</v>
      </c>
      <c r="C31" s="410">
        <v>4.9599999999999998E-2</v>
      </c>
      <c r="D31" s="82">
        <f>SUM(C60:G60)</f>
        <v>6366.3749999999927</v>
      </c>
      <c r="E31" s="82">
        <f>SUM(C58:G58)</f>
        <v>131070.89600000001</v>
      </c>
      <c r="F31" s="82">
        <f>AVERAGE(C60:G60)</f>
        <v>1273.2749999999985</v>
      </c>
      <c r="G31" s="86">
        <f>(D31/E31)</f>
        <v>4.8571995723596738E-2</v>
      </c>
      <c r="H31" s="655">
        <f>C62</f>
        <v>4.9600020173082481E-2</v>
      </c>
      <c r="I31" s="85">
        <f t="shared" ref="I31:L31" si="20">D62</f>
        <v>3.9452157668260858E-2</v>
      </c>
      <c r="J31" s="85">
        <f t="shared" si="20"/>
        <v>4.5065211965991551E-2</v>
      </c>
      <c r="K31" s="85">
        <f t="shared" si="20"/>
        <v>5.430447464206932E-2</v>
      </c>
      <c r="L31" s="649">
        <f t="shared" si="20"/>
        <v>5.5224766655701717E-2</v>
      </c>
    </row>
    <row r="32" spans="2:12">
      <c r="B32" s="20" t="str">
        <f>Inputs!B12</f>
        <v>CN East</v>
      </c>
      <c r="C32" s="410">
        <v>5.6899999999999992E-2</v>
      </c>
      <c r="D32" s="82">
        <f>SUM(C88:G88)</f>
        <v>6693.2079999999951</v>
      </c>
      <c r="E32" s="82">
        <f>SUM(C86:G86)</f>
        <v>146695.68900000001</v>
      </c>
      <c r="F32" s="82">
        <f>AVERAGE(C88:G88)</f>
        <v>1338.641599999999</v>
      </c>
      <c r="G32" s="86">
        <f t="shared" ref="G32:G45" si="21">(D32/E32)</f>
        <v>4.5626480543678377E-2</v>
      </c>
      <c r="H32" s="655">
        <f>C90</f>
        <v>4.9353923275048429E-2</v>
      </c>
      <c r="I32" s="85">
        <f t="shared" ref="I32:L32" si="22">D90</f>
        <v>5.1404240212298946E-2</v>
      </c>
      <c r="J32" s="85">
        <f t="shared" si="22"/>
        <v>4.1063950574277468E-2</v>
      </c>
      <c r="K32" s="85">
        <f t="shared" si="22"/>
        <v>3.9777895075281552E-2</v>
      </c>
      <c r="L32" s="649">
        <f t="shared" si="22"/>
        <v>4.6428339010747784E-2</v>
      </c>
    </row>
    <row r="33" spans="2:12">
      <c r="B33" s="20" t="str">
        <f>Inputs!B13</f>
        <v>ENWL</v>
      </c>
      <c r="C33" s="410">
        <v>5.5600000000000004E-2</v>
      </c>
      <c r="D33" s="82">
        <f>SUM(C116:G116)</f>
        <v>6708.3100000000013</v>
      </c>
      <c r="E33" s="82">
        <f>SUM(C114:G114)</f>
        <v>127386.421</v>
      </c>
      <c r="F33" s="82">
        <f>AVERAGE(C116:G116)</f>
        <v>1341.6620000000003</v>
      </c>
      <c r="G33" s="86">
        <f t="shared" si="21"/>
        <v>5.2661107418976796E-2</v>
      </c>
      <c r="H33" s="655">
        <f>C118</f>
        <v>4.6547376722875324E-2</v>
      </c>
      <c r="I33" s="85">
        <f t="shared" ref="I33:L33" si="23">D118</f>
        <v>4.7238210854595404E-2</v>
      </c>
      <c r="J33" s="85">
        <f t="shared" si="23"/>
        <v>5.0600955951770464E-2</v>
      </c>
      <c r="K33" s="85">
        <f t="shared" si="23"/>
        <v>5.0958460717021266E-2</v>
      </c>
      <c r="L33" s="649">
        <f t="shared" si="23"/>
        <v>6.9256455392390504E-2</v>
      </c>
    </row>
    <row r="34" spans="2:12">
      <c r="B34" s="20" t="str">
        <f>Inputs!B14</f>
        <v>CE NEDL</v>
      </c>
      <c r="C34" s="410">
        <v>5.2000000000000005E-2</v>
      </c>
      <c r="D34" s="82">
        <f>SUM(C144:G144)</f>
        <v>4340.6279999999933</v>
      </c>
      <c r="E34" s="82">
        <f>SUM(C142:G142)</f>
        <v>83267.892000000007</v>
      </c>
      <c r="F34" s="82">
        <f>AVERAGE(C144:G144)</f>
        <v>868.12559999999871</v>
      </c>
      <c r="G34" s="86">
        <f t="shared" si="21"/>
        <v>5.2128472280768112E-2</v>
      </c>
      <c r="H34" s="655">
        <f>C146</f>
        <v>4.7698863311818045E-2</v>
      </c>
      <c r="I34" s="85">
        <f t="shared" ref="I34:L34" si="24">D146</f>
        <v>4.5284633006885733E-2</v>
      </c>
      <c r="J34" s="85">
        <f t="shared" si="24"/>
        <v>5.2733398805519326E-2</v>
      </c>
      <c r="K34" s="85">
        <f t="shared" si="24"/>
        <v>4.9301698178189336E-2</v>
      </c>
      <c r="L34" s="649">
        <f t="shared" si="24"/>
        <v>6.6904644742336483E-2</v>
      </c>
    </row>
    <row r="35" spans="2:12">
      <c r="B35" s="20" t="str">
        <f>Inputs!B15</f>
        <v>CE YEDL</v>
      </c>
      <c r="C35" s="410">
        <v>5.8999999999999997E-2</v>
      </c>
      <c r="D35" s="82">
        <f>SUM(C172:G172)</f>
        <v>6234.2180000000044</v>
      </c>
      <c r="E35" s="82">
        <f>SUM(C170:G170)</f>
        <v>120776.39800000002</v>
      </c>
      <c r="F35" s="82">
        <f>AVERAGE(C172:G172)</f>
        <v>1246.8436000000008</v>
      </c>
      <c r="G35" s="86">
        <f t="shared" si="21"/>
        <v>5.1617850037223363E-2</v>
      </c>
      <c r="H35" s="655">
        <f>C174</f>
        <v>3.6002091343701685E-2</v>
      </c>
      <c r="I35" s="85">
        <f t="shared" ref="I35:L35" si="25">D174</f>
        <v>3.8248940891668345E-2</v>
      </c>
      <c r="J35" s="85">
        <f t="shared" si="25"/>
        <v>5.8600070190838995E-2</v>
      </c>
      <c r="K35" s="85">
        <f t="shared" si="25"/>
        <v>5.2373380793673423E-2</v>
      </c>
      <c r="L35" s="649">
        <f t="shared" si="25"/>
        <v>7.5731382031148486E-2</v>
      </c>
    </row>
    <row r="36" spans="2:12">
      <c r="B36" s="20" t="str">
        <f>Inputs!B16</f>
        <v>WPD S Wales</v>
      </c>
      <c r="C36" s="410">
        <v>4.9399999999999999E-2</v>
      </c>
      <c r="D36" s="82">
        <f>SUM(C200:G200)</f>
        <v>3205.8080000000009</v>
      </c>
      <c r="E36" s="82">
        <f>SUM(C198:G198)</f>
        <v>62973.425999999999</v>
      </c>
      <c r="F36" s="82">
        <f>AVERAGE(C200:G200)</f>
        <v>641.16160000000013</v>
      </c>
      <c r="G36" s="86">
        <f t="shared" si="21"/>
        <v>5.0907314459912041E-2</v>
      </c>
      <c r="H36" s="655">
        <f>C202</f>
        <v>4.9727546569909672E-2</v>
      </c>
      <c r="I36" s="85">
        <f t="shared" ref="I36:L36" si="26">D202</f>
        <v>5.2930570490515687E-2</v>
      </c>
      <c r="J36" s="85">
        <f t="shared" si="26"/>
        <v>5.3365126204532057E-2</v>
      </c>
      <c r="K36" s="85">
        <f t="shared" si="26"/>
        <v>4.5509922247538956E-2</v>
      </c>
      <c r="L36" s="649">
        <f t="shared" si="26"/>
        <v>5.3007605400790601E-2</v>
      </c>
    </row>
    <row r="37" spans="2:12">
      <c r="B37" s="20" t="str">
        <f>Inputs!B17</f>
        <v>WPD S West</v>
      </c>
      <c r="C37" s="410">
        <v>6.9599999999999995E-2</v>
      </c>
      <c r="D37" s="82">
        <f>SUM(C228:G228)</f>
        <v>4770.2110000000011</v>
      </c>
      <c r="E37" s="82">
        <f>SUM(C226:G226)</f>
        <v>76201.755999999994</v>
      </c>
      <c r="F37" s="82">
        <f>AVERAGE(C228:G228)</f>
        <v>954.04220000000021</v>
      </c>
      <c r="G37" s="86">
        <f t="shared" si="21"/>
        <v>6.2599751638269349E-2</v>
      </c>
      <c r="H37" s="655">
        <f>C230</f>
        <v>5.6785679205690595E-2</v>
      </c>
      <c r="I37" s="85">
        <f t="shared" ref="I37:L37" si="27">D230</f>
        <v>5.7270603381880086E-2</v>
      </c>
      <c r="J37" s="85">
        <f t="shared" si="27"/>
        <v>6.7269331936163648E-2</v>
      </c>
      <c r="K37" s="85">
        <f t="shared" si="27"/>
        <v>6.5719900197376918E-2</v>
      </c>
      <c r="L37" s="649">
        <f t="shared" si="27"/>
        <v>6.653990847380592E-2</v>
      </c>
    </row>
    <row r="38" spans="2:12">
      <c r="B38" s="20" t="str">
        <f>Inputs!B18</f>
        <v>UKPN LPN</v>
      </c>
      <c r="C38" s="410">
        <v>6.54E-2</v>
      </c>
      <c r="D38" s="82">
        <f>SUM(C256:G256)</f>
        <v>8356.9920000000056</v>
      </c>
      <c r="E38" s="82">
        <f>SUM(C254:G254)</f>
        <v>149080.783</v>
      </c>
      <c r="F38" s="82">
        <f>AVERAGE(C256:G256)</f>
        <v>1671.3984000000012</v>
      </c>
      <c r="G38" s="86">
        <f t="shared" si="21"/>
        <v>5.6056802438447122E-2</v>
      </c>
      <c r="H38" s="655">
        <f>C258</f>
        <v>5.5486129520795936E-2</v>
      </c>
      <c r="I38" s="85">
        <f t="shared" ref="I38:L38" si="28">D258</f>
        <v>5.3142887696885202E-2</v>
      </c>
      <c r="J38" s="85">
        <f t="shared" si="28"/>
        <v>5.834957804940611E-2</v>
      </c>
      <c r="K38" s="85">
        <f t="shared" si="28"/>
        <v>5.8104849592938955E-2</v>
      </c>
      <c r="L38" s="649">
        <f t="shared" si="28"/>
        <v>5.5179464812217589E-2</v>
      </c>
    </row>
    <row r="39" spans="2:12">
      <c r="B39" s="20" t="str">
        <f>Inputs!B19</f>
        <v>UKPN SEPN</v>
      </c>
      <c r="C39" s="410">
        <v>6.54E-2</v>
      </c>
      <c r="D39" s="82">
        <f>SUM(C284:G284)</f>
        <v>6455.8499999999985</v>
      </c>
      <c r="E39" s="82">
        <f>SUM(C282:G282)</f>
        <v>113253.649</v>
      </c>
      <c r="F39" s="82">
        <f>AVERAGE(C284:G284)</f>
        <v>1291.1699999999996</v>
      </c>
      <c r="G39" s="86">
        <f t="shared" si="21"/>
        <v>5.7003461318937264E-2</v>
      </c>
      <c r="H39" s="655">
        <f>C286</f>
        <v>5.8781945468396594E-2</v>
      </c>
      <c r="I39" s="85">
        <f t="shared" ref="I39:L39" si="29">D286</f>
        <v>5.5779139561119628E-2</v>
      </c>
      <c r="J39" s="85">
        <f t="shared" si="29"/>
        <v>5.9055423712662251E-2</v>
      </c>
      <c r="K39" s="85">
        <f t="shared" si="29"/>
        <v>5.9648327653980988E-2</v>
      </c>
      <c r="L39" s="649">
        <f t="shared" si="29"/>
        <v>5.1616248430745561E-2</v>
      </c>
    </row>
    <row r="40" spans="2:12">
      <c r="B40" s="20" t="str">
        <f>Inputs!B20</f>
        <v>UKPN EPN</v>
      </c>
      <c r="C40" s="410">
        <v>6.3200000000000006E-2</v>
      </c>
      <c r="D40" s="82">
        <f>SUM(C312:G312)</f>
        <v>8841.0950000000012</v>
      </c>
      <c r="E40" s="82">
        <f>SUM(C310:G310)</f>
        <v>181518.61900000001</v>
      </c>
      <c r="F40" s="82">
        <f>AVERAGE(C312:G312)</f>
        <v>1768.2190000000003</v>
      </c>
      <c r="G40" s="86">
        <f t="shared" si="21"/>
        <v>4.8706270732480621E-2</v>
      </c>
      <c r="H40" s="655">
        <f>C314</f>
        <v>4.5877429157891933E-2</v>
      </c>
      <c r="I40" s="85">
        <f t="shared" ref="I40:L40" si="30">D314</f>
        <v>4.436149851315839E-2</v>
      </c>
      <c r="J40" s="85">
        <f t="shared" si="30"/>
        <v>3.8034563313742151E-2</v>
      </c>
      <c r="K40" s="85">
        <f t="shared" si="30"/>
        <v>5.2643169721854413E-2</v>
      </c>
      <c r="L40" s="649">
        <f t="shared" si="30"/>
        <v>6.3556972888750118E-2</v>
      </c>
    </row>
    <row r="41" spans="2:12">
      <c r="B41" s="20" t="str">
        <f>Inputs!B21</f>
        <v>SP Distribution</v>
      </c>
      <c r="C41" s="410">
        <v>5.1860000000000003E-2</v>
      </c>
      <c r="D41" s="82">
        <f>SUM(C340:G340)</f>
        <v>6417.7629999999954</v>
      </c>
      <c r="E41" s="82">
        <f>SUM(C338:G338)</f>
        <v>104847.364</v>
      </c>
      <c r="F41" s="82">
        <f>AVERAGE(C340:G340)</f>
        <v>1283.5525999999991</v>
      </c>
      <c r="G41" s="86">
        <f t="shared" si="21"/>
        <v>6.1210532674908218E-2</v>
      </c>
      <c r="H41" s="655">
        <f>C342</f>
        <v>6.0318228023412225E-2</v>
      </c>
      <c r="I41" s="85">
        <f t="shared" ref="I41:L41" si="31">D342</f>
        <v>6.1951210499270638E-2</v>
      </c>
      <c r="J41" s="85">
        <f t="shared" si="31"/>
        <v>5.5727367894873821E-2</v>
      </c>
      <c r="K41" s="85">
        <f t="shared" si="31"/>
        <v>6.66555123999681E-2</v>
      </c>
      <c r="L41" s="649">
        <f t="shared" si="31"/>
        <v>6.1526564719314954E-2</v>
      </c>
    </row>
    <row r="42" spans="2:12">
      <c r="B42" s="20" t="str">
        <f>Inputs!B22</f>
        <v>SP Manweb</v>
      </c>
      <c r="C42" s="410">
        <v>5.4259999999999996E-2</v>
      </c>
      <c r="D42" s="82">
        <f>SUM(C368:G368)</f>
        <v>5366.6949999999979</v>
      </c>
      <c r="E42" s="82">
        <f>SUM(C366:G366)</f>
        <v>83838.73599999999</v>
      </c>
      <c r="F42" s="82">
        <f>AVERAGE(C368:G368)</f>
        <v>1073.3389999999995</v>
      </c>
      <c r="G42" s="86">
        <f t="shared" si="21"/>
        <v>6.4012117262836579E-2</v>
      </c>
      <c r="H42" s="655">
        <f>C370</f>
        <v>6.2032519000478153E-2</v>
      </c>
      <c r="I42" s="85">
        <f t="shared" ref="I42:L42" si="32">D370</f>
        <v>5.8087733744356621E-2</v>
      </c>
      <c r="J42" s="85">
        <f t="shared" si="32"/>
        <v>7.0134238278672281E-2</v>
      </c>
      <c r="K42" s="85">
        <f t="shared" si="32"/>
        <v>6.6242674332917167E-2</v>
      </c>
      <c r="L42" s="649">
        <f t="shared" si="32"/>
        <v>6.3725407699419243E-2</v>
      </c>
    </row>
    <row r="43" spans="2:12">
      <c r="B43" s="20" t="str">
        <f>Inputs!B23</f>
        <v>SSE Hydro</v>
      </c>
      <c r="C43" s="410">
        <v>8.7300000000000003E-2</v>
      </c>
      <c r="D43" s="82">
        <f>SUM(C396:G396)</f>
        <v>3653.9310000000005</v>
      </c>
      <c r="E43" s="82">
        <f>SUM(C394:G394)</f>
        <v>42858.203000000001</v>
      </c>
      <c r="F43" s="82">
        <f>AVERAGE(C396:G396)</f>
        <v>730.78620000000012</v>
      </c>
      <c r="G43" s="86">
        <f t="shared" si="21"/>
        <v>8.5256281043794582E-2</v>
      </c>
      <c r="H43" s="655">
        <f>C398</f>
        <v>8.6599549863759631E-2</v>
      </c>
      <c r="I43" s="85">
        <f t="shared" ref="I43:L43" si="33">D398</f>
        <v>8.6504190313758916E-2</v>
      </c>
      <c r="J43" s="85">
        <f t="shared" si="33"/>
        <v>8.655321229042226E-2</v>
      </c>
      <c r="K43" s="85">
        <f t="shared" si="33"/>
        <v>8.3577968465318037E-2</v>
      </c>
      <c r="L43" s="649">
        <f t="shared" si="33"/>
        <v>8.2950014949029635E-2</v>
      </c>
    </row>
    <row r="44" spans="2:12">
      <c r="B44" s="20" t="str">
        <f>Inputs!B24</f>
        <v>SSE Southern</v>
      </c>
      <c r="C44" s="410">
        <v>6.6799999999999998E-2</v>
      </c>
      <c r="D44" s="82">
        <f>SUM(C424:G424)</f>
        <v>11069.828000000001</v>
      </c>
      <c r="E44" s="82">
        <f>SUM(C422:G422)</f>
        <v>171136.57300000003</v>
      </c>
      <c r="F44" s="82">
        <f>AVERAGE(C424:G424)</f>
        <v>2213.9656000000004</v>
      </c>
      <c r="G44" s="86">
        <f t="shared" si="21"/>
        <v>6.4684174784778461E-2</v>
      </c>
      <c r="H44" s="655">
        <f>C426</f>
        <v>6.5438459185638662E-2</v>
      </c>
      <c r="I44" s="85">
        <f t="shared" ref="I44:L44" si="34">D426</f>
        <v>6.5567652435806617E-2</v>
      </c>
      <c r="J44" s="85">
        <f t="shared" si="34"/>
        <v>6.5533366083466243E-2</v>
      </c>
      <c r="K44" s="85">
        <f t="shared" si="34"/>
        <v>6.4508595657087997E-2</v>
      </c>
      <c r="L44" s="649">
        <f t="shared" si="34"/>
        <v>6.233186863169194E-2</v>
      </c>
    </row>
    <row r="45" spans="2:12" ht="13.5" thickBot="1">
      <c r="B45" s="27" t="s">
        <v>66</v>
      </c>
      <c r="C45" s="411">
        <v>6.045142857142858E-2</v>
      </c>
      <c r="D45" s="83">
        <f>SUM(D31:D44)</f>
        <v>88480.911999999982</v>
      </c>
      <c r="E45" s="83">
        <f>SUM(E31:E44)</f>
        <v>1594906.4050000003</v>
      </c>
      <c r="F45" s="83">
        <f>SUM(F32:F44)</f>
        <v>16422.9074</v>
      </c>
      <c r="G45" s="653">
        <f t="shared" si="21"/>
        <v>5.5477181433728061E-2</v>
      </c>
      <c r="H45" s="656">
        <f>AVERAGE(H32:H44)</f>
        <v>5.5434595434570529E-2</v>
      </c>
      <c r="I45" s="650">
        <f>AVERAGE(I32:I44)</f>
        <v>5.521319320016925E-2</v>
      </c>
      <c r="J45" s="650">
        <f>AVERAGE(J32:J44)</f>
        <v>5.8232352560488233E-2</v>
      </c>
      <c r="K45" s="650">
        <f>AVERAGE(K32:K44)</f>
        <v>5.807864269485747E-2</v>
      </c>
      <c r="L45" s="652">
        <f>AVERAGE(L32:L44)</f>
        <v>6.29811443986453E-2</v>
      </c>
    </row>
    <row r="46" spans="2:12" s="127" customFormat="1">
      <c r="B46" s="409"/>
      <c r="C46" s="412"/>
      <c r="D46" s="407"/>
      <c r="E46" s="407"/>
      <c r="F46" s="408"/>
      <c r="G46" s="408"/>
      <c r="H46" s="408"/>
      <c r="I46" s="408"/>
      <c r="J46" s="408"/>
      <c r="K46" s="408"/>
      <c r="L46" s="408"/>
    </row>
    <row r="47" spans="2:12">
      <c r="B47" s="25"/>
    </row>
    <row r="48" spans="2:12" ht="13.5" thickBot="1"/>
    <row r="49" spans="2:12" ht="15">
      <c r="B49" s="53" t="str">
        <f>B10</f>
        <v>CN West</v>
      </c>
      <c r="C49" s="54" t="s">
        <v>297</v>
      </c>
      <c r="D49" s="58" t="str">
        <f>CONCATENATE(LEFT(C49, 4)+1 &amp;"-" &amp;IF(C49&gt;"2007-08",,"0") &amp;RIGHT(C49,2)+1)</f>
        <v>2006-07</v>
      </c>
      <c r="E49" s="58" t="str">
        <f t="shared" ref="E49:L49" si="35">CONCATENATE(LEFT(D49, 4)+1 &amp;"-" &amp;IF(D49&gt;"2007-08",,"0") &amp;RIGHT(D49,2)+1)</f>
        <v>2007-08</v>
      </c>
      <c r="F49" s="58" t="str">
        <f t="shared" si="35"/>
        <v>2008-09</v>
      </c>
      <c r="G49" s="59" t="str">
        <f t="shared" si="35"/>
        <v>2009-10</v>
      </c>
      <c r="H49" s="74" t="str">
        <f t="shared" si="35"/>
        <v>2010-11</v>
      </c>
      <c r="I49" s="54" t="str">
        <f t="shared" si="35"/>
        <v>2011-12</v>
      </c>
      <c r="J49" s="54" t="str">
        <f t="shared" si="35"/>
        <v>2012-13</v>
      </c>
      <c r="K49" s="54" t="str">
        <f t="shared" si="35"/>
        <v>2013-14</v>
      </c>
      <c r="L49" s="59" t="str">
        <f t="shared" si="35"/>
        <v>2014-15</v>
      </c>
    </row>
    <row r="50" spans="2:12">
      <c r="B50" s="60" t="s">
        <v>48</v>
      </c>
      <c r="C50" s="52"/>
      <c r="D50" s="52"/>
      <c r="E50" s="52"/>
      <c r="F50" s="52"/>
      <c r="G50" s="56"/>
      <c r="H50" s="75"/>
      <c r="I50" s="52"/>
      <c r="J50" s="52"/>
      <c r="K50" s="52"/>
      <c r="L50" s="70"/>
    </row>
    <row r="51" spans="2:12">
      <c r="B51" s="55" t="s">
        <v>61</v>
      </c>
      <c r="C51" s="64">
        <v>0</v>
      </c>
      <c r="D51" s="64">
        <v>0</v>
      </c>
      <c r="E51" s="64">
        <v>0</v>
      </c>
      <c r="F51" s="64">
        <v>0</v>
      </c>
      <c r="G51" s="65">
        <v>0</v>
      </c>
      <c r="H51" s="76"/>
      <c r="I51" s="64"/>
      <c r="J51" s="64"/>
      <c r="K51" s="64"/>
      <c r="L51" s="71"/>
    </row>
    <row r="52" spans="2:12">
      <c r="B52" s="55" t="s">
        <v>49</v>
      </c>
      <c r="C52" s="64">
        <v>28803.657999999999</v>
      </c>
      <c r="D52" s="64">
        <v>27843.173999999999</v>
      </c>
      <c r="E52" s="64">
        <v>27956.133999999998</v>
      </c>
      <c r="F52" s="64">
        <v>26763.828000000001</v>
      </c>
      <c r="G52" s="65">
        <v>26070.476999999999</v>
      </c>
      <c r="H52" s="76"/>
      <c r="I52" s="64"/>
      <c r="J52" s="64"/>
      <c r="K52" s="64"/>
      <c r="L52" s="71"/>
    </row>
    <row r="53" spans="2:12">
      <c r="B53" s="55"/>
      <c r="C53" s="64">
        <f>SUM(C51:C52)</f>
        <v>28803.657999999999</v>
      </c>
      <c r="D53" s="64">
        <f t="shared" ref="D53:G53" si="36">SUM(D51:D52)</f>
        <v>27843.173999999999</v>
      </c>
      <c r="E53" s="64">
        <f t="shared" si="36"/>
        <v>27956.133999999998</v>
      </c>
      <c r="F53" s="64">
        <f t="shared" si="36"/>
        <v>26763.828000000001</v>
      </c>
      <c r="G53" s="65">
        <f t="shared" si="36"/>
        <v>26070.476999999999</v>
      </c>
      <c r="H53" s="76">
        <f t="shared" ref="H53" si="37">SUM(H51:H52)</f>
        <v>0</v>
      </c>
      <c r="I53" s="64">
        <f t="shared" ref="I53" si="38">SUM(I51:I52)</f>
        <v>0</v>
      </c>
      <c r="J53" s="64">
        <f t="shared" ref="J53" si="39">SUM(J51:J52)</f>
        <v>0</v>
      </c>
      <c r="K53" s="64">
        <f t="shared" ref="K53" si="40">SUM(K51:K52)</f>
        <v>0</v>
      </c>
      <c r="L53" s="71">
        <f t="shared" ref="L53" si="41">SUM(L51:L52)</f>
        <v>0</v>
      </c>
    </row>
    <row r="54" spans="2:12">
      <c r="B54" s="60" t="s">
        <v>50</v>
      </c>
      <c r="C54" s="64"/>
      <c r="D54" s="64"/>
      <c r="E54" s="64"/>
      <c r="F54" s="64"/>
      <c r="G54" s="65"/>
      <c r="H54" s="76"/>
      <c r="I54" s="64"/>
      <c r="J54" s="64"/>
      <c r="K54" s="64"/>
      <c r="L54" s="71"/>
    </row>
    <row r="55" spans="2:12">
      <c r="B55" s="55" t="s">
        <v>51</v>
      </c>
      <c r="C55" s="64">
        <v>349.435</v>
      </c>
      <c r="D55" s="64">
        <v>360.267</v>
      </c>
      <c r="E55" s="64">
        <v>356.38200000000001</v>
      </c>
      <c r="F55" s="64">
        <v>324.00099999999998</v>
      </c>
      <c r="G55" s="65">
        <v>322.661</v>
      </c>
      <c r="H55" s="76"/>
      <c r="I55" s="64"/>
      <c r="J55" s="64"/>
      <c r="K55" s="64"/>
      <c r="L55" s="71"/>
    </row>
    <row r="56" spans="2:12">
      <c r="B56" s="55" t="s">
        <v>52</v>
      </c>
      <c r="C56" s="64">
        <v>27093.074000000001</v>
      </c>
      <c r="D56" s="64">
        <v>26426.126</v>
      </c>
      <c r="E56" s="64">
        <v>26394.23</v>
      </c>
      <c r="F56" s="64">
        <v>25061.292000000001</v>
      </c>
      <c r="G56" s="65">
        <v>24383.428</v>
      </c>
      <c r="H56" s="76"/>
      <c r="I56" s="64"/>
      <c r="J56" s="64"/>
      <c r="K56" s="64"/>
      <c r="L56" s="71"/>
    </row>
    <row r="57" spans="2:12">
      <c r="B57" s="55" t="s">
        <v>58</v>
      </c>
      <c r="C57" s="64">
        <v>0</v>
      </c>
      <c r="D57" s="64">
        <v>0</v>
      </c>
      <c r="E57" s="64">
        <v>0</v>
      </c>
      <c r="F57" s="64">
        <v>0</v>
      </c>
      <c r="G57" s="65">
        <v>0</v>
      </c>
      <c r="H57" s="76"/>
      <c r="I57" s="64"/>
      <c r="J57" s="64"/>
      <c r="K57" s="64"/>
      <c r="L57" s="71"/>
    </row>
    <row r="58" spans="2:12">
      <c r="B58" s="55"/>
      <c r="C58" s="64">
        <f>SUM(C55:C57)</f>
        <v>27442.509000000002</v>
      </c>
      <c r="D58" s="64">
        <f t="shared" ref="D58:G58" si="42">SUM(D55:D57)</f>
        <v>26786.393</v>
      </c>
      <c r="E58" s="64">
        <f t="shared" si="42"/>
        <v>26750.612000000001</v>
      </c>
      <c r="F58" s="64">
        <f t="shared" si="42"/>
        <v>25385.293000000001</v>
      </c>
      <c r="G58" s="65">
        <f t="shared" si="42"/>
        <v>24706.089</v>
      </c>
      <c r="H58" s="76">
        <f t="shared" ref="H58" si="43">SUM(H55:H57)</f>
        <v>0</v>
      </c>
      <c r="I58" s="64">
        <f t="shared" ref="I58" si="44">SUM(I55:I57)</f>
        <v>0</v>
      </c>
      <c r="J58" s="64">
        <f t="shared" ref="J58" si="45">SUM(J55:J57)</f>
        <v>0</v>
      </c>
      <c r="K58" s="64">
        <f t="shared" ref="K58" si="46">SUM(K55:K57)</f>
        <v>0</v>
      </c>
      <c r="L58" s="71">
        <f t="shared" ref="L58" si="47">SUM(L55:L57)</f>
        <v>0</v>
      </c>
    </row>
    <row r="59" spans="2:12">
      <c r="B59" s="55"/>
      <c r="C59" s="64"/>
      <c r="D59" s="64"/>
      <c r="E59" s="64"/>
      <c r="F59" s="64"/>
      <c r="G59" s="65"/>
      <c r="H59" s="76"/>
      <c r="I59" s="64"/>
      <c r="J59" s="64"/>
      <c r="K59" s="64"/>
      <c r="L59" s="71"/>
    </row>
    <row r="60" spans="2:12">
      <c r="B60" s="61" t="s">
        <v>43</v>
      </c>
      <c r="C60" s="64">
        <f>C53-C58</f>
        <v>1361.1489999999976</v>
      </c>
      <c r="D60" s="64">
        <f t="shared" ref="D60:G60" si="48">D53-D58</f>
        <v>1056.780999999999</v>
      </c>
      <c r="E60" s="64">
        <f t="shared" si="48"/>
        <v>1205.5219999999972</v>
      </c>
      <c r="F60" s="64">
        <f t="shared" si="48"/>
        <v>1378.5349999999999</v>
      </c>
      <c r="G60" s="65">
        <f t="shared" si="48"/>
        <v>1364.387999999999</v>
      </c>
      <c r="H60" s="76">
        <f t="shared" ref="H60:L60" si="49">H53-H58</f>
        <v>0</v>
      </c>
      <c r="I60" s="64">
        <f t="shared" si="49"/>
        <v>0</v>
      </c>
      <c r="J60" s="64">
        <f t="shared" si="49"/>
        <v>0</v>
      </c>
      <c r="K60" s="64">
        <f t="shared" si="49"/>
        <v>0</v>
      </c>
      <c r="L60" s="71">
        <f t="shared" si="49"/>
        <v>0</v>
      </c>
    </row>
    <row r="61" spans="2:12">
      <c r="B61" s="55" t="s">
        <v>445</v>
      </c>
      <c r="C61" s="62">
        <f>C60/C53</f>
        <v>4.7256115872504723E-2</v>
      </c>
      <c r="D61" s="62">
        <f t="shared" ref="D61:G61" si="50">D60/D53</f>
        <v>3.7954760473787902E-2</v>
      </c>
      <c r="E61" s="62">
        <f t="shared" si="50"/>
        <v>4.3121913781068485E-2</v>
      </c>
      <c r="F61" s="62">
        <f t="shared" si="50"/>
        <v>5.1507392739185136E-2</v>
      </c>
      <c r="G61" s="63">
        <f t="shared" si="50"/>
        <v>5.2334600552187791E-2</v>
      </c>
      <c r="H61" s="80" t="e">
        <f t="shared" ref="H61" si="51">H60/H53</f>
        <v>#DIV/0!</v>
      </c>
      <c r="I61" s="62" t="e">
        <f t="shared" ref="I61" si="52">I60/I53</f>
        <v>#DIV/0!</v>
      </c>
      <c r="J61" s="62" t="e">
        <f t="shared" ref="J61" si="53">J60/J53</f>
        <v>#DIV/0!</v>
      </c>
      <c r="K61" s="62" t="e">
        <f t="shared" ref="K61" si="54">K60/K53</f>
        <v>#DIV/0!</v>
      </c>
      <c r="L61" s="81" t="e">
        <f t="shared" ref="L61" si="55">L60/L53</f>
        <v>#DIV/0!</v>
      </c>
    </row>
    <row r="62" spans="2:12">
      <c r="B62" s="55" t="s">
        <v>446</v>
      </c>
      <c r="C62" s="62">
        <f>C60/C58</f>
        <v>4.9600020173082481E-2</v>
      </c>
      <c r="D62" s="62">
        <f t="shared" ref="D62:L62" si="56">D60/D58</f>
        <v>3.9452157668260858E-2</v>
      </c>
      <c r="E62" s="62">
        <f t="shared" si="56"/>
        <v>4.5065211965991551E-2</v>
      </c>
      <c r="F62" s="62">
        <f t="shared" si="56"/>
        <v>5.430447464206932E-2</v>
      </c>
      <c r="G62" s="62">
        <f t="shared" si="56"/>
        <v>5.5224766655701717E-2</v>
      </c>
      <c r="H62" s="80" t="e">
        <f t="shared" si="56"/>
        <v>#DIV/0!</v>
      </c>
      <c r="I62" s="62" t="e">
        <f t="shared" si="56"/>
        <v>#DIV/0!</v>
      </c>
      <c r="J62" s="62" t="e">
        <f t="shared" si="56"/>
        <v>#DIV/0!</v>
      </c>
      <c r="K62" s="62" t="e">
        <f t="shared" si="56"/>
        <v>#DIV/0!</v>
      </c>
      <c r="L62" s="81" t="e">
        <f t="shared" si="56"/>
        <v>#DIV/0!</v>
      </c>
    </row>
    <row r="63" spans="2:12">
      <c r="B63" s="55"/>
      <c r="C63" s="64"/>
      <c r="D63" s="64"/>
      <c r="E63" s="64"/>
      <c r="F63" s="64"/>
      <c r="G63" s="65"/>
      <c r="H63" s="76"/>
      <c r="I63" s="64"/>
      <c r="J63" s="64"/>
      <c r="K63" s="64"/>
      <c r="L63" s="71"/>
    </row>
    <row r="64" spans="2:12">
      <c r="B64" s="61" t="s">
        <v>329</v>
      </c>
      <c r="C64" s="64">
        <v>-2.4102380000000001</v>
      </c>
      <c r="D64" s="64">
        <v>-2.453519</v>
      </c>
      <c r="E64" s="64">
        <v>-3.2642760000000002</v>
      </c>
      <c r="F64" s="64">
        <v>-6.5535370000000004</v>
      </c>
      <c r="G64" s="64">
        <v>-7.9172060000000002</v>
      </c>
      <c r="H64" s="77"/>
      <c r="I64" s="66"/>
      <c r="J64" s="66"/>
      <c r="K64" s="66"/>
      <c r="L64" s="72"/>
    </row>
    <row r="65" spans="2:12">
      <c r="B65" s="55" t="s">
        <v>328</v>
      </c>
      <c r="C65" s="64">
        <v>-0.79137999999999997</v>
      </c>
      <c r="D65" s="64">
        <v>8.4763079999999995</v>
      </c>
      <c r="E65" s="64">
        <v>3.2245949999999999</v>
      </c>
      <c r="F65" s="64">
        <v>-6.5535370000000004</v>
      </c>
      <c r="G65" s="64">
        <v>-7.9172060000000002</v>
      </c>
      <c r="H65" s="76"/>
      <c r="I65" s="64"/>
      <c r="J65" s="64"/>
      <c r="K65" s="64"/>
      <c r="L65" s="71"/>
    </row>
    <row r="66" spans="2:12">
      <c r="B66" s="55"/>
      <c r="C66" s="64"/>
      <c r="D66" s="64"/>
      <c r="E66" s="64"/>
      <c r="F66" s="64"/>
      <c r="G66" s="65"/>
      <c r="H66" s="76"/>
      <c r="I66" s="64"/>
      <c r="J66" s="64"/>
      <c r="K66" s="64"/>
      <c r="L66" s="71"/>
    </row>
    <row r="67" spans="2:12">
      <c r="B67" s="60" t="s">
        <v>53</v>
      </c>
      <c r="C67" s="64"/>
      <c r="D67" s="64"/>
      <c r="E67" s="64"/>
      <c r="F67" s="64"/>
      <c r="G67" s="65"/>
      <c r="H67" s="76"/>
      <c r="I67" s="64"/>
      <c r="J67" s="64"/>
      <c r="K67" s="64"/>
      <c r="L67" s="71"/>
    </row>
    <row r="68" spans="2:12">
      <c r="B68" s="55" t="s">
        <v>54</v>
      </c>
      <c r="C68" s="64">
        <v>639.25900000000001</v>
      </c>
      <c r="D68" s="64">
        <v>580.76099999999997</v>
      </c>
      <c r="E68" s="64">
        <v>615.79999999999995</v>
      </c>
      <c r="F68" s="64">
        <v>563.76599999999996</v>
      </c>
      <c r="G68" s="65">
        <v>506.125</v>
      </c>
      <c r="H68" s="76"/>
      <c r="I68" s="64"/>
      <c r="J68" s="64"/>
      <c r="K68" s="64"/>
      <c r="L68" s="71"/>
    </row>
    <row r="69" spans="2:12">
      <c r="B69" s="55" t="s">
        <v>28</v>
      </c>
      <c r="C69" s="64">
        <v>9571.7150000000001</v>
      </c>
      <c r="D69" s="64">
        <v>9219.56</v>
      </c>
      <c r="E69" s="64">
        <v>9050.8320000000003</v>
      </c>
      <c r="F69" s="64">
        <v>8370.6620000000003</v>
      </c>
      <c r="G69" s="65">
        <v>7918.6350000000002</v>
      </c>
      <c r="H69" s="76"/>
      <c r="I69" s="64"/>
      <c r="J69" s="64"/>
      <c r="K69" s="64"/>
      <c r="L69" s="71"/>
    </row>
    <row r="70" spans="2:12">
      <c r="B70" s="55" t="s">
        <v>55</v>
      </c>
      <c r="C70" s="64">
        <v>1802.357</v>
      </c>
      <c r="D70" s="64">
        <v>1834.6410000000001</v>
      </c>
      <c r="E70" s="64">
        <v>1796.1110000000001</v>
      </c>
      <c r="F70" s="64">
        <v>1711.616</v>
      </c>
      <c r="G70" s="65">
        <v>1719.0170000000001</v>
      </c>
      <c r="H70" s="76"/>
      <c r="I70" s="64"/>
      <c r="J70" s="64"/>
      <c r="K70" s="64"/>
      <c r="L70" s="71"/>
    </row>
    <row r="71" spans="2:12">
      <c r="B71" s="55" t="s">
        <v>56</v>
      </c>
      <c r="C71" s="64">
        <v>1625.2180000000001</v>
      </c>
      <c r="D71" s="64">
        <v>1394.89</v>
      </c>
      <c r="E71" s="64">
        <v>1281.337</v>
      </c>
      <c r="F71" s="64">
        <v>1393.519</v>
      </c>
      <c r="G71" s="65">
        <v>1286.461</v>
      </c>
      <c r="H71" s="76"/>
      <c r="I71" s="64"/>
      <c r="J71" s="64"/>
      <c r="K71" s="64"/>
      <c r="L71" s="71"/>
    </row>
    <row r="72" spans="2:12">
      <c r="B72" s="55" t="s">
        <v>57</v>
      </c>
      <c r="C72" s="64">
        <v>13803.959000000001</v>
      </c>
      <c r="D72" s="64">
        <v>13756.540999999999</v>
      </c>
      <c r="E72" s="64">
        <v>14006.531999999999</v>
      </c>
      <c r="F72" s="64">
        <v>13345.728999999999</v>
      </c>
      <c r="G72" s="65">
        <v>13275.851000000001</v>
      </c>
      <c r="H72" s="76"/>
      <c r="I72" s="64"/>
      <c r="J72" s="64"/>
      <c r="K72" s="64"/>
      <c r="L72" s="71"/>
    </row>
    <row r="73" spans="2:12" ht="13.5" thickBot="1">
      <c r="B73" s="57" t="s">
        <v>20</v>
      </c>
      <c r="C73" s="68">
        <f>SUM(C68:C72)</f>
        <v>27442.508000000002</v>
      </c>
      <c r="D73" s="68">
        <f t="shared" ref="D73:G73" si="57">SUM(D68:D72)</f>
        <v>26786.392999999996</v>
      </c>
      <c r="E73" s="68">
        <f t="shared" si="57"/>
        <v>26750.612000000001</v>
      </c>
      <c r="F73" s="68">
        <f t="shared" si="57"/>
        <v>25385.292000000001</v>
      </c>
      <c r="G73" s="69">
        <f t="shared" si="57"/>
        <v>24706.089</v>
      </c>
      <c r="H73" s="78">
        <f t="shared" ref="H73" si="58">SUM(H68:H72)</f>
        <v>0</v>
      </c>
      <c r="I73" s="68">
        <f t="shared" ref="I73" si="59">SUM(I68:I72)</f>
        <v>0</v>
      </c>
      <c r="J73" s="68">
        <f t="shared" ref="J73" si="60">SUM(J68:J72)</f>
        <v>0</v>
      </c>
      <c r="K73" s="68">
        <f t="shared" ref="K73" si="61">SUM(K68:K72)</f>
        <v>0</v>
      </c>
      <c r="L73" s="73">
        <f t="shared" ref="L73" si="62">SUM(L68:L72)</f>
        <v>0</v>
      </c>
    </row>
    <row r="74" spans="2:12">
      <c r="B74" s="25" t="s">
        <v>59</v>
      </c>
      <c r="C74" s="25" t="s">
        <v>64</v>
      </c>
      <c r="D74" s="13"/>
      <c r="E74" s="13"/>
      <c r="F74" s="13"/>
      <c r="G74" s="13"/>
      <c r="H74" s="13"/>
      <c r="I74" s="13"/>
      <c r="J74" s="13"/>
      <c r="K74" s="13"/>
      <c r="L74" s="13"/>
    </row>
    <row r="75" spans="2:12">
      <c r="B75" s="25"/>
      <c r="C75" s="37"/>
    </row>
    <row r="76" spans="2:12" ht="13.5" thickBot="1"/>
    <row r="77" spans="2:12" ht="15">
      <c r="B77" s="53" t="str">
        <f>B11</f>
        <v>CN East</v>
      </c>
      <c r="C77" s="54" t="str">
        <f>C49</f>
        <v>2005-06</v>
      </c>
      <c r="D77" s="58" t="str">
        <f t="shared" ref="D77:L77" si="63">D49</f>
        <v>2006-07</v>
      </c>
      <c r="E77" s="58" t="str">
        <f t="shared" si="63"/>
        <v>2007-08</v>
      </c>
      <c r="F77" s="58" t="str">
        <f t="shared" si="63"/>
        <v>2008-09</v>
      </c>
      <c r="G77" s="59" t="str">
        <f t="shared" si="63"/>
        <v>2009-10</v>
      </c>
      <c r="H77" s="74" t="str">
        <f t="shared" si="63"/>
        <v>2010-11</v>
      </c>
      <c r="I77" s="54" t="str">
        <f t="shared" si="63"/>
        <v>2011-12</v>
      </c>
      <c r="J77" s="54" t="str">
        <f t="shared" si="63"/>
        <v>2012-13</v>
      </c>
      <c r="K77" s="54" t="str">
        <f t="shared" si="63"/>
        <v>2013-14</v>
      </c>
      <c r="L77" s="59" t="str">
        <f t="shared" si="63"/>
        <v>2014-15</v>
      </c>
    </row>
    <row r="78" spans="2:12">
      <c r="B78" s="60" t="s">
        <v>48</v>
      </c>
      <c r="C78" s="52"/>
      <c r="D78" s="52"/>
      <c r="E78" s="52"/>
      <c r="F78" s="52"/>
      <c r="G78" s="56"/>
      <c r="H78" s="75"/>
      <c r="I78" s="52"/>
      <c r="J78" s="52"/>
      <c r="K78" s="52"/>
      <c r="L78" s="70"/>
    </row>
    <row r="79" spans="2:12">
      <c r="B79" s="55" t="s">
        <v>61</v>
      </c>
      <c r="C79" s="64">
        <v>0</v>
      </c>
      <c r="D79" s="64">
        <v>0</v>
      </c>
      <c r="E79" s="64">
        <v>0</v>
      </c>
      <c r="F79" s="64">
        <v>0</v>
      </c>
      <c r="G79" s="64">
        <v>0</v>
      </c>
      <c r="H79" s="76"/>
      <c r="I79" s="64"/>
      <c r="J79" s="64"/>
      <c r="K79" s="64"/>
      <c r="L79" s="71"/>
    </row>
    <row r="80" spans="2:12">
      <c r="B80" s="55" t="s">
        <v>49</v>
      </c>
      <c r="C80" s="64">
        <v>31590.653999999999</v>
      </c>
      <c r="D80" s="64">
        <v>31025.831999999999</v>
      </c>
      <c r="E80" s="64">
        <v>30883.54</v>
      </c>
      <c r="F80" s="64">
        <v>30237.625</v>
      </c>
      <c r="G80" s="64">
        <v>29651.245999999999</v>
      </c>
      <c r="H80" s="76"/>
      <c r="I80" s="64"/>
      <c r="J80" s="64"/>
      <c r="K80" s="64"/>
      <c r="L80" s="71"/>
    </row>
    <row r="81" spans="2:12">
      <c r="B81" s="55"/>
      <c r="C81" s="64">
        <f>SUM(C79:C80)</f>
        <v>31590.653999999999</v>
      </c>
      <c r="D81" s="64">
        <f t="shared" ref="D81" si="64">SUM(D79:D80)</f>
        <v>31025.831999999999</v>
      </c>
      <c r="E81" s="64">
        <f t="shared" ref="E81" si="65">SUM(E79:E80)</f>
        <v>30883.54</v>
      </c>
      <c r="F81" s="64">
        <f t="shared" ref="F81" si="66">SUM(F79:F80)</f>
        <v>30237.625</v>
      </c>
      <c r="G81" s="65">
        <f t="shared" ref="G81" si="67">SUM(G79:G80)</f>
        <v>29651.245999999999</v>
      </c>
      <c r="H81" s="76">
        <f t="shared" ref="H81" si="68">SUM(H79:H80)</f>
        <v>0</v>
      </c>
      <c r="I81" s="64">
        <f t="shared" ref="I81" si="69">SUM(I79:I80)</f>
        <v>0</v>
      </c>
      <c r="J81" s="64">
        <f t="shared" ref="J81" si="70">SUM(J79:J80)</f>
        <v>0</v>
      </c>
      <c r="K81" s="64">
        <f t="shared" ref="K81" si="71">SUM(K79:K80)</f>
        <v>0</v>
      </c>
      <c r="L81" s="71">
        <f t="shared" ref="L81" si="72">SUM(L79:L80)</f>
        <v>0</v>
      </c>
    </row>
    <row r="82" spans="2:12">
      <c r="B82" s="60" t="s">
        <v>50</v>
      </c>
      <c r="C82" s="64"/>
      <c r="D82" s="64"/>
      <c r="E82" s="64"/>
      <c r="F82" s="64"/>
      <c r="G82" s="65"/>
      <c r="H82" s="76"/>
      <c r="I82" s="64"/>
      <c r="J82" s="64"/>
      <c r="K82" s="64"/>
      <c r="L82" s="71"/>
    </row>
    <row r="83" spans="2:12">
      <c r="B83" s="55" t="s">
        <v>51</v>
      </c>
      <c r="C83" s="64">
        <v>410.35500000000002</v>
      </c>
      <c r="D83" s="64">
        <v>354.10500000000002</v>
      </c>
      <c r="E83" s="64">
        <v>351.03399999999999</v>
      </c>
      <c r="F83" s="64">
        <v>403.95800000000003</v>
      </c>
      <c r="G83" s="64">
        <v>422.505</v>
      </c>
      <c r="H83" s="76"/>
      <c r="I83" s="64"/>
      <c r="J83" s="64"/>
      <c r="K83" s="64"/>
      <c r="L83" s="71"/>
    </row>
    <row r="84" spans="2:12">
      <c r="B84" s="55" t="s">
        <v>52</v>
      </c>
      <c r="C84" s="64">
        <v>29694.506000000001</v>
      </c>
      <c r="D84" s="64">
        <v>29154.842000000001</v>
      </c>
      <c r="E84" s="64">
        <v>29314.329000000002</v>
      </c>
      <c r="F84" s="64">
        <v>28676.892</v>
      </c>
      <c r="G84" s="64">
        <v>27913.163</v>
      </c>
      <c r="H84" s="76"/>
      <c r="I84" s="64"/>
      <c r="J84" s="64"/>
      <c r="K84" s="64"/>
      <c r="L84" s="71"/>
    </row>
    <row r="85" spans="2:12">
      <c r="B85" s="55" t="s">
        <v>58</v>
      </c>
      <c r="C85" s="64">
        <v>0</v>
      </c>
      <c r="D85" s="64">
        <v>0</v>
      </c>
      <c r="E85" s="64">
        <v>0</v>
      </c>
      <c r="F85" s="64">
        <v>0</v>
      </c>
      <c r="G85" s="64">
        <v>0</v>
      </c>
      <c r="H85" s="76"/>
      <c r="I85" s="64"/>
      <c r="J85" s="64"/>
      <c r="K85" s="64"/>
      <c r="L85" s="71"/>
    </row>
    <row r="86" spans="2:12">
      <c r="B86" s="55"/>
      <c r="C86" s="64">
        <f>SUM(C83:C85)</f>
        <v>30104.861000000001</v>
      </c>
      <c r="D86" s="64">
        <f t="shared" ref="D86" si="73">SUM(D83:D85)</f>
        <v>29508.947</v>
      </c>
      <c r="E86" s="64">
        <f t="shared" ref="E86" si="74">SUM(E83:E85)</f>
        <v>29665.363000000001</v>
      </c>
      <c r="F86" s="64">
        <f t="shared" ref="F86" si="75">SUM(F83:F85)</f>
        <v>29080.85</v>
      </c>
      <c r="G86" s="65">
        <f t="shared" ref="G86" si="76">SUM(G83:G85)</f>
        <v>28335.668000000001</v>
      </c>
      <c r="H86" s="76">
        <f t="shared" ref="H86" si="77">SUM(H83:H85)</f>
        <v>0</v>
      </c>
      <c r="I86" s="64">
        <f t="shared" ref="I86" si="78">SUM(I83:I85)</f>
        <v>0</v>
      </c>
      <c r="J86" s="64">
        <f t="shared" ref="J86" si="79">SUM(J83:J85)</f>
        <v>0</v>
      </c>
      <c r="K86" s="64">
        <f t="shared" ref="K86" si="80">SUM(K83:K85)</f>
        <v>0</v>
      </c>
      <c r="L86" s="71">
        <f t="shared" ref="L86" si="81">SUM(L83:L85)</f>
        <v>0</v>
      </c>
    </row>
    <row r="87" spans="2:12">
      <c r="B87" s="55"/>
      <c r="C87" s="64"/>
      <c r="D87" s="64"/>
      <c r="E87" s="64"/>
      <c r="F87" s="64"/>
      <c r="G87" s="65"/>
      <c r="H87" s="76"/>
      <c r="I87" s="64"/>
      <c r="J87" s="64"/>
      <c r="K87" s="64"/>
      <c r="L87" s="71"/>
    </row>
    <row r="88" spans="2:12">
      <c r="B88" s="61" t="s">
        <v>43</v>
      </c>
      <c r="C88" s="64">
        <f>C81-C86</f>
        <v>1485.7929999999978</v>
      </c>
      <c r="D88" s="64">
        <f t="shared" ref="D88:L88" si="82">D81-D86</f>
        <v>1516.8849999999984</v>
      </c>
      <c r="E88" s="64">
        <f t="shared" si="82"/>
        <v>1218.1769999999997</v>
      </c>
      <c r="F88" s="64">
        <f t="shared" si="82"/>
        <v>1156.7750000000015</v>
      </c>
      <c r="G88" s="65">
        <f t="shared" si="82"/>
        <v>1315.5779999999977</v>
      </c>
      <c r="H88" s="76">
        <f t="shared" si="82"/>
        <v>0</v>
      </c>
      <c r="I88" s="64">
        <f t="shared" si="82"/>
        <v>0</v>
      </c>
      <c r="J88" s="64">
        <f t="shared" si="82"/>
        <v>0</v>
      </c>
      <c r="K88" s="64">
        <f t="shared" si="82"/>
        <v>0</v>
      </c>
      <c r="L88" s="71">
        <f t="shared" si="82"/>
        <v>0</v>
      </c>
    </row>
    <row r="89" spans="2:12">
      <c r="B89" s="55" t="s">
        <v>445</v>
      </c>
      <c r="C89" s="62">
        <f>C88/C81</f>
        <v>4.70326761832787E-2</v>
      </c>
      <c r="D89" s="62">
        <f t="shared" ref="D89" si="83">D88/D81</f>
        <v>4.8891033768248292E-2</v>
      </c>
      <c r="E89" s="62">
        <f t="shared" ref="E89" si="84">E88/E81</f>
        <v>3.944421526806835E-2</v>
      </c>
      <c r="F89" s="62">
        <f t="shared" ref="F89" si="85">F88/F81</f>
        <v>3.8256146109358832E-2</v>
      </c>
      <c r="G89" s="63">
        <f t="shared" ref="G89" si="86">G88/G81</f>
        <v>4.4368388431298901E-2</v>
      </c>
      <c r="H89" s="77" t="e">
        <f t="shared" ref="H89" si="87">H88/H81</f>
        <v>#DIV/0!</v>
      </c>
      <c r="I89" s="66" t="e">
        <f t="shared" ref="I89" si="88">I88/I81</f>
        <v>#DIV/0!</v>
      </c>
      <c r="J89" s="66" t="e">
        <f t="shared" ref="J89" si="89">J88/J81</f>
        <v>#DIV/0!</v>
      </c>
      <c r="K89" s="66" t="e">
        <f t="shared" ref="K89" si="90">K88/K81</f>
        <v>#DIV/0!</v>
      </c>
      <c r="L89" s="72" t="e">
        <f t="shared" ref="L89" si="91">L88/L81</f>
        <v>#DIV/0!</v>
      </c>
    </row>
    <row r="90" spans="2:12">
      <c r="B90" s="55" t="s">
        <v>446</v>
      </c>
      <c r="C90" s="62">
        <f>C88/C86</f>
        <v>4.9353923275048429E-2</v>
      </c>
      <c r="D90" s="62">
        <f t="shared" ref="D90:L90" si="92">D88/D86</f>
        <v>5.1404240212298946E-2</v>
      </c>
      <c r="E90" s="62">
        <f t="shared" si="92"/>
        <v>4.1063950574277468E-2</v>
      </c>
      <c r="F90" s="62">
        <f t="shared" si="92"/>
        <v>3.9777895075281552E-2</v>
      </c>
      <c r="G90" s="62">
        <f t="shared" si="92"/>
        <v>4.6428339010747784E-2</v>
      </c>
      <c r="H90" s="80" t="e">
        <f t="shared" si="92"/>
        <v>#DIV/0!</v>
      </c>
      <c r="I90" s="62" t="e">
        <f t="shared" si="92"/>
        <v>#DIV/0!</v>
      </c>
      <c r="J90" s="62" t="e">
        <f t="shared" si="92"/>
        <v>#DIV/0!</v>
      </c>
      <c r="K90" s="62" t="e">
        <f t="shared" si="92"/>
        <v>#DIV/0!</v>
      </c>
      <c r="L90" s="81" t="e">
        <f t="shared" si="92"/>
        <v>#DIV/0!</v>
      </c>
    </row>
    <row r="91" spans="2:12">
      <c r="B91" s="61"/>
      <c r="C91" s="62"/>
      <c r="D91" s="62"/>
      <c r="E91" s="62"/>
      <c r="F91" s="62"/>
      <c r="G91" s="63"/>
      <c r="H91" s="77"/>
      <c r="I91" s="66"/>
      <c r="J91" s="66"/>
      <c r="K91" s="66"/>
      <c r="L91" s="72"/>
    </row>
    <row r="92" spans="2:12">
      <c r="B92" s="61" t="s">
        <v>329</v>
      </c>
      <c r="C92" s="64">
        <v>7.0311360000000001</v>
      </c>
      <c r="D92" s="64">
        <v>8.0231270000000006</v>
      </c>
      <c r="E92" s="64">
        <v>12.52289</v>
      </c>
      <c r="F92" s="64">
        <v>13.577279000000001</v>
      </c>
      <c r="G92" s="64">
        <v>18.281047000000001</v>
      </c>
      <c r="H92" s="77"/>
      <c r="I92" s="66"/>
      <c r="J92" s="66"/>
      <c r="K92" s="66"/>
      <c r="L92" s="72"/>
    </row>
    <row r="93" spans="2:12">
      <c r="B93" s="55" t="s">
        <v>328</v>
      </c>
      <c r="C93" s="64">
        <v>9.8706650000000007</v>
      </c>
      <c r="D93" s="64">
        <v>8.1719600000000003</v>
      </c>
      <c r="E93" s="64">
        <v>20.749908000000001</v>
      </c>
      <c r="F93" s="64">
        <v>23.360983000000001</v>
      </c>
      <c r="G93" s="64">
        <v>18.281047000000001</v>
      </c>
      <c r="H93" s="77"/>
      <c r="I93" s="66"/>
      <c r="J93" s="66"/>
      <c r="K93" s="66"/>
      <c r="L93" s="72"/>
    </row>
    <row r="94" spans="2:12">
      <c r="B94" s="55"/>
      <c r="C94" s="64"/>
      <c r="D94" s="64"/>
      <c r="E94" s="64"/>
      <c r="F94" s="64"/>
      <c r="G94" s="65"/>
      <c r="H94" s="76"/>
      <c r="I94" s="64"/>
      <c r="J94" s="64"/>
      <c r="K94" s="64"/>
      <c r="L94" s="71"/>
    </row>
    <row r="95" spans="2:12">
      <c r="B95" s="60" t="s">
        <v>53</v>
      </c>
      <c r="C95" s="64"/>
      <c r="D95" s="64"/>
      <c r="E95" s="64"/>
      <c r="F95" s="64"/>
      <c r="G95" s="65"/>
      <c r="H95" s="76"/>
      <c r="I95" s="64"/>
      <c r="J95" s="64"/>
      <c r="K95" s="64"/>
      <c r="L95" s="71"/>
    </row>
    <row r="96" spans="2:12">
      <c r="B96" s="55" t="s">
        <v>54</v>
      </c>
      <c r="C96" s="64">
        <v>723.048</v>
      </c>
      <c r="D96" s="64">
        <v>667.58699999999999</v>
      </c>
      <c r="E96" s="64">
        <v>709.64099999999996</v>
      </c>
      <c r="F96" s="64">
        <v>609.98</v>
      </c>
      <c r="G96" s="64">
        <v>641.20600000000002</v>
      </c>
      <c r="H96" s="76"/>
      <c r="I96" s="64"/>
      <c r="J96" s="64"/>
      <c r="K96" s="64"/>
      <c r="L96" s="71"/>
    </row>
    <row r="97" spans="2:12">
      <c r="B97" s="55" t="s">
        <v>28</v>
      </c>
      <c r="C97" s="64">
        <v>9858.5450000000001</v>
      </c>
      <c r="D97" s="64">
        <v>9824.4310000000005</v>
      </c>
      <c r="E97" s="64">
        <v>9669.4930000000004</v>
      </c>
      <c r="F97" s="64">
        <v>9162.1370000000006</v>
      </c>
      <c r="G97" s="64">
        <v>8857.56</v>
      </c>
      <c r="H97" s="76"/>
      <c r="I97" s="64"/>
      <c r="J97" s="64"/>
      <c r="K97" s="64"/>
      <c r="L97" s="71"/>
    </row>
    <row r="98" spans="2:12">
      <c r="B98" s="55" t="s">
        <v>55</v>
      </c>
      <c r="C98" s="64">
        <v>5751.42</v>
      </c>
      <c r="D98" s="64">
        <v>5682.8519999999999</v>
      </c>
      <c r="E98" s="64">
        <v>5738.1710000000003</v>
      </c>
      <c r="F98" s="64">
        <v>5774.915</v>
      </c>
      <c r="G98" s="64">
        <v>5568.8490000000002</v>
      </c>
      <c r="H98" s="76"/>
      <c r="I98" s="64"/>
      <c r="J98" s="64"/>
      <c r="K98" s="64"/>
      <c r="L98" s="71"/>
    </row>
    <row r="99" spans="2:12">
      <c r="B99" s="55" t="s">
        <v>56</v>
      </c>
      <c r="C99" s="64">
        <v>2707.6280000000002</v>
      </c>
      <c r="D99" s="64">
        <v>2442.2350000000001</v>
      </c>
      <c r="E99" s="64">
        <v>2468.0540000000001</v>
      </c>
      <c r="F99" s="64">
        <v>2709.8009999999999</v>
      </c>
      <c r="G99" s="64">
        <v>2604.152</v>
      </c>
      <c r="H99" s="76"/>
      <c r="I99" s="64"/>
      <c r="J99" s="64"/>
      <c r="K99" s="64"/>
      <c r="L99" s="71"/>
    </row>
    <row r="100" spans="2:12">
      <c r="B100" s="55" t="s">
        <v>57</v>
      </c>
      <c r="C100" s="64">
        <v>11064.218999999999</v>
      </c>
      <c r="D100" s="64">
        <v>10891.843000000001</v>
      </c>
      <c r="E100" s="64">
        <v>11080.003000000001</v>
      </c>
      <c r="F100" s="64">
        <v>10824.017</v>
      </c>
      <c r="G100" s="64">
        <v>10663.901</v>
      </c>
      <c r="H100" s="76"/>
      <c r="I100" s="64"/>
      <c r="J100" s="64"/>
      <c r="K100" s="64"/>
      <c r="L100" s="71"/>
    </row>
    <row r="101" spans="2:12" ht="13.5" thickBot="1">
      <c r="B101" s="57" t="s">
        <v>20</v>
      </c>
      <c r="C101" s="68">
        <f>SUM(C96:C100)</f>
        <v>30104.86</v>
      </c>
      <c r="D101" s="68">
        <f t="shared" ref="D101" si="93">SUM(D96:D100)</f>
        <v>29508.948</v>
      </c>
      <c r="E101" s="68">
        <f t="shared" ref="E101" si="94">SUM(E96:E100)</f>
        <v>29665.362000000001</v>
      </c>
      <c r="F101" s="68">
        <f t="shared" ref="F101" si="95">SUM(F96:F100)</f>
        <v>29080.85</v>
      </c>
      <c r="G101" s="69">
        <f t="shared" ref="G101" si="96">SUM(G96:G100)</f>
        <v>28335.667999999998</v>
      </c>
      <c r="H101" s="78">
        <f t="shared" ref="H101" si="97">SUM(H96:H100)</f>
        <v>0</v>
      </c>
      <c r="I101" s="68">
        <f t="shared" ref="I101" si="98">SUM(I96:I100)</f>
        <v>0</v>
      </c>
      <c r="J101" s="68">
        <f t="shared" ref="J101" si="99">SUM(J96:J100)</f>
        <v>0</v>
      </c>
      <c r="K101" s="68">
        <f t="shared" ref="K101" si="100">SUM(K96:K100)</f>
        <v>0</v>
      </c>
      <c r="L101" s="73">
        <f t="shared" ref="L101" si="101">SUM(L96:L100)</f>
        <v>0</v>
      </c>
    </row>
    <row r="102" spans="2:12">
      <c r="B102" s="25" t="s">
        <v>59</v>
      </c>
      <c r="C102" s="25" t="s">
        <v>64</v>
      </c>
      <c r="D102" s="79"/>
      <c r="E102" s="79"/>
      <c r="F102" s="79"/>
      <c r="G102" s="79"/>
      <c r="H102" s="79"/>
      <c r="I102" s="79"/>
      <c r="J102" s="79"/>
      <c r="K102" s="79"/>
      <c r="L102" s="79"/>
    </row>
    <row r="103" spans="2:12">
      <c r="B103" s="25"/>
      <c r="C103" s="37"/>
    </row>
    <row r="104" spans="2:12" ht="13.5" thickBot="1">
      <c r="B104" s="25"/>
      <c r="C104" s="30"/>
    </row>
    <row r="105" spans="2:12" ht="15">
      <c r="B105" s="53" t="str">
        <f>B12</f>
        <v>ENWL</v>
      </c>
      <c r="C105" s="54" t="str">
        <f>C49</f>
        <v>2005-06</v>
      </c>
      <c r="D105" s="58" t="str">
        <f t="shared" ref="D105:L105" si="102">D49</f>
        <v>2006-07</v>
      </c>
      <c r="E105" s="58" t="str">
        <f t="shared" si="102"/>
        <v>2007-08</v>
      </c>
      <c r="F105" s="58" t="str">
        <f t="shared" si="102"/>
        <v>2008-09</v>
      </c>
      <c r="G105" s="59" t="str">
        <f t="shared" si="102"/>
        <v>2009-10</v>
      </c>
      <c r="H105" s="74" t="str">
        <f t="shared" si="102"/>
        <v>2010-11</v>
      </c>
      <c r="I105" s="54" t="str">
        <f t="shared" si="102"/>
        <v>2011-12</v>
      </c>
      <c r="J105" s="54" t="str">
        <f t="shared" si="102"/>
        <v>2012-13</v>
      </c>
      <c r="K105" s="54" t="str">
        <f t="shared" si="102"/>
        <v>2013-14</v>
      </c>
      <c r="L105" s="59" t="str">
        <f t="shared" si="102"/>
        <v>2014-15</v>
      </c>
    </row>
    <row r="106" spans="2:12">
      <c r="B106" s="60" t="s">
        <v>48</v>
      </c>
      <c r="C106" s="52"/>
      <c r="D106" s="52"/>
      <c r="E106" s="52"/>
      <c r="F106" s="52"/>
      <c r="G106" s="56"/>
      <c r="H106" s="75"/>
      <c r="I106" s="52"/>
      <c r="J106" s="52"/>
      <c r="K106" s="52"/>
      <c r="L106" s="70"/>
    </row>
    <row r="107" spans="2:12">
      <c r="B107" s="55" t="s">
        <v>61</v>
      </c>
      <c r="C107" s="64">
        <v>0</v>
      </c>
      <c r="D107" s="64">
        <v>0</v>
      </c>
      <c r="E107" s="64">
        <v>0</v>
      </c>
      <c r="F107" s="64">
        <v>0</v>
      </c>
      <c r="G107" s="65">
        <v>0</v>
      </c>
      <c r="H107" s="76"/>
      <c r="I107" s="64"/>
      <c r="J107" s="64"/>
      <c r="K107" s="64"/>
      <c r="L107" s="71"/>
    </row>
    <row r="108" spans="2:12">
      <c r="B108" s="55" t="s">
        <v>49</v>
      </c>
      <c r="C108" s="64">
        <v>27866.417000000001</v>
      </c>
      <c r="D108" s="64">
        <v>27018.306</v>
      </c>
      <c r="E108" s="64">
        <v>26897.181</v>
      </c>
      <c r="F108" s="64">
        <v>26631.402999999998</v>
      </c>
      <c r="G108" s="65">
        <v>25681.423999999999</v>
      </c>
      <c r="H108" s="76"/>
      <c r="I108" s="64"/>
      <c r="J108" s="64"/>
      <c r="K108" s="64"/>
      <c r="L108" s="71"/>
    </row>
    <row r="109" spans="2:12">
      <c r="B109" s="55"/>
      <c r="C109" s="64">
        <f>SUM(C107:C108)</f>
        <v>27866.417000000001</v>
      </c>
      <c r="D109" s="64">
        <f t="shared" ref="D109" si="103">SUM(D107:D108)</f>
        <v>27018.306</v>
      </c>
      <c r="E109" s="64">
        <f t="shared" ref="E109" si="104">SUM(E107:E108)</f>
        <v>26897.181</v>
      </c>
      <c r="F109" s="64">
        <f t="shared" ref="F109" si="105">SUM(F107:F108)</f>
        <v>26631.402999999998</v>
      </c>
      <c r="G109" s="65">
        <f t="shared" ref="G109" si="106">SUM(G107:G108)</f>
        <v>25681.423999999999</v>
      </c>
      <c r="H109" s="76">
        <f t="shared" ref="H109" si="107">SUM(H107:H108)</f>
        <v>0</v>
      </c>
      <c r="I109" s="64">
        <f t="shared" ref="I109" si="108">SUM(I107:I108)</f>
        <v>0</v>
      </c>
      <c r="J109" s="64">
        <f t="shared" ref="J109" si="109">SUM(J107:J108)</f>
        <v>0</v>
      </c>
      <c r="K109" s="64">
        <f t="shared" ref="K109" si="110">SUM(K107:K108)</f>
        <v>0</v>
      </c>
      <c r="L109" s="71">
        <f t="shared" ref="L109" si="111">SUM(L107:L108)</f>
        <v>0</v>
      </c>
    </row>
    <row r="110" spans="2:12">
      <c r="B110" s="60" t="s">
        <v>50</v>
      </c>
      <c r="C110" s="64"/>
      <c r="D110" s="64"/>
      <c r="E110" s="64"/>
      <c r="F110" s="64"/>
      <c r="G110" s="65"/>
      <c r="H110" s="76"/>
      <c r="I110" s="64"/>
      <c r="J110" s="64"/>
      <c r="K110" s="64"/>
      <c r="L110" s="71"/>
    </row>
    <row r="111" spans="2:12">
      <c r="B111" s="55" t="s">
        <v>51</v>
      </c>
      <c r="C111" s="64">
        <v>13</v>
      </c>
      <c r="D111" s="64">
        <v>12.224</v>
      </c>
      <c r="E111" s="64">
        <v>13.8</v>
      </c>
      <c r="F111" s="64">
        <v>14.584</v>
      </c>
      <c r="G111" s="65">
        <v>16.059999999999999</v>
      </c>
      <c r="H111" s="76"/>
      <c r="I111" s="64"/>
      <c r="J111" s="64"/>
      <c r="K111" s="64"/>
      <c r="L111" s="71"/>
    </row>
    <row r="112" spans="2:12">
      <c r="B112" s="55" t="s">
        <v>52</v>
      </c>
      <c r="C112" s="64">
        <v>26614</v>
      </c>
      <c r="D112" s="64">
        <v>25787.356</v>
      </c>
      <c r="E112" s="64">
        <v>25587.91</v>
      </c>
      <c r="F112" s="64">
        <v>25325.526000000002</v>
      </c>
      <c r="G112" s="65">
        <v>24001.960999999999</v>
      </c>
      <c r="H112" s="76"/>
      <c r="I112" s="64"/>
      <c r="J112" s="64"/>
      <c r="K112" s="64"/>
      <c r="L112" s="71"/>
    </row>
    <row r="113" spans="2:12">
      <c r="B113" s="55" t="s">
        <v>58</v>
      </c>
      <c r="C113" s="64">
        <v>0</v>
      </c>
      <c r="D113" s="64">
        <v>0</v>
      </c>
      <c r="E113" s="64">
        <v>0</v>
      </c>
      <c r="F113" s="64">
        <v>0</v>
      </c>
      <c r="G113" s="65">
        <v>0</v>
      </c>
      <c r="H113" s="76"/>
      <c r="I113" s="64"/>
      <c r="J113" s="64"/>
      <c r="K113" s="64"/>
      <c r="L113" s="71"/>
    </row>
    <row r="114" spans="2:12">
      <c r="B114" s="55"/>
      <c r="C114" s="64">
        <f>SUM(C111:C113)</f>
        <v>26627</v>
      </c>
      <c r="D114" s="64">
        <f t="shared" ref="D114" si="112">SUM(D111:D113)</f>
        <v>25799.579999999998</v>
      </c>
      <c r="E114" s="64">
        <f t="shared" ref="E114" si="113">SUM(E111:E113)</f>
        <v>25601.71</v>
      </c>
      <c r="F114" s="64">
        <f t="shared" ref="F114" si="114">SUM(F111:F113)</f>
        <v>25340.11</v>
      </c>
      <c r="G114" s="65">
        <f t="shared" ref="G114" si="115">SUM(G111:G113)</f>
        <v>24018.021000000001</v>
      </c>
      <c r="H114" s="76">
        <f t="shared" ref="H114" si="116">SUM(H111:H113)</f>
        <v>0</v>
      </c>
      <c r="I114" s="64">
        <f t="shared" ref="I114" si="117">SUM(I111:I113)</f>
        <v>0</v>
      </c>
      <c r="J114" s="64">
        <f t="shared" ref="J114" si="118">SUM(J111:J113)</f>
        <v>0</v>
      </c>
      <c r="K114" s="64">
        <f t="shared" ref="K114" si="119">SUM(K111:K113)</f>
        <v>0</v>
      </c>
      <c r="L114" s="71">
        <f t="shared" ref="L114" si="120">SUM(L111:L113)</f>
        <v>0</v>
      </c>
    </row>
    <row r="115" spans="2:12">
      <c r="B115" s="55"/>
      <c r="C115" s="64"/>
      <c r="D115" s="64"/>
      <c r="E115" s="64"/>
      <c r="F115" s="64"/>
      <c r="G115" s="65"/>
      <c r="H115" s="76"/>
      <c r="I115" s="64"/>
      <c r="J115" s="64"/>
      <c r="K115" s="64"/>
      <c r="L115" s="71"/>
    </row>
    <row r="116" spans="2:12">
      <c r="B116" s="61" t="s">
        <v>43</v>
      </c>
      <c r="C116" s="64">
        <f>C109-C114</f>
        <v>1239.4170000000013</v>
      </c>
      <c r="D116" s="64">
        <f t="shared" ref="D116:L116" si="121">D109-D114</f>
        <v>1218.7260000000024</v>
      </c>
      <c r="E116" s="64">
        <f t="shared" si="121"/>
        <v>1295.4710000000014</v>
      </c>
      <c r="F116" s="64">
        <f t="shared" si="121"/>
        <v>1291.2929999999978</v>
      </c>
      <c r="G116" s="65">
        <f t="shared" si="121"/>
        <v>1663.4029999999984</v>
      </c>
      <c r="H116" s="76">
        <f t="shared" si="121"/>
        <v>0</v>
      </c>
      <c r="I116" s="64">
        <f t="shared" si="121"/>
        <v>0</v>
      </c>
      <c r="J116" s="64">
        <f t="shared" si="121"/>
        <v>0</v>
      </c>
      <c r="K116" s="64">
        <f t="shared" si="121"/>
        <v>0</v>
      </c>
      <c r="L116" s="71">
        <f t="shared" si="121"/>
        <v>0</v>
      </c>
    </row>
    <row r="117" spans="2:12">
      <c r="B117" s="55" t="s">
        <v>445</v>
      </c>
      <c r="C117" s="62">
        <f>C116/C109</f>
        <v>4.4477085087759979E-2</v>
      </c>
      <c r="D117" s="62">
        <f t="shared" ref="D117" si="122">D116/D109</f>
        <v>4.5107417171158043E-2</v>
      </c>
      <c r="E117" s="62">
        <f t="shared" ref="E117" si="123">E116/E109</f>
        <v>4.8163820587741199E-2</v>
      </c>
      <c r="F117" s="62">
        <f t="shared" ref="F117" si="124">F116/F109</f>
        <v>4.848760690527637E-2</v>
      </c>
      <c r="G117" s="63">
        <f t="shared" ref="G117" si="125">G116/G109</f>
        <v>6.4770668480065532E-2</v>
      </c>
      <c r="H117" s="77" t="e">
        <f t="shared" ref="H117" si="126">H116/H109</f>
        <v>#DIV/0!</v>
      </c>
      <c r="I117" s="66" t="e">
        <f t="shared" ref="I117" si="127">I116/I109</f>
        <v>#DIV/0!</v>
      </c>
      <c r="J117" s="66" t="e">
        <f t="shared" ref="J117" si="128">J116/J109</f>
        <v>#DIV/0!</v>
      </c>
      <c r="K117" s="66" t="e">
        <f t="shared" ref="K117" si="129">K116/K109</f>
        <v>#DIV/0!</v>
      </c>
      <c r="L117" s="72" t="e">
        <f t="shared" ref="L117" si="130">L116/L109</f>
        <v>#DIV/0!</v>
      </c>
    </row>
    <row r="118" spans="2:12">
      <c r="B118" s="55" t="s">
        <v>446</v>
      </c>
      <c r="C118" s="62">
        <f>C116/C114</f>
        <v>4.6547376722875324E-2</v>
      </c>
      <c r="D118" s="62">
        <f t="shared" ref="D118:L118" si="131">D116/D114</f>
        <v>4.7238210854595404E-2</v>
      </c>
      <c r="E118" s="62">
        <f t="shared" si="131"/>
        <v>5.0600955951770464E-2</v>
      </c>
      <c r="F118" s="62">
        <f t="shared" si="131"/>
        <v>5.0958460717021266E-2</v>
      </c>
      <c r="G118" s="62">
        <f t="shared" si="131"/>
        <v>6.9256455392390504E-2</v>
      </c>
      <c r="H118" s="80" t="e">
        <f t="shared" si="131"/>
        <v>#DIV/0!</v>
      </c>
      <c r="I118" s="62" t="e">
        <f t="shared" si="131"/>
        <v>#DIV/0!</v>
      </c>
      <c r="J118" s="62" t="e">
        <f t="shared" si="131"/>
        <v>#DIV/0!</v>
      </c>
      <c r="K118" s="62" t="e">
        <f t="shared" si="131"/>
        <v>#DIV/0!</v>
      </c>
      <c r="L118" s="81" t="e">
        <f t="shared" si="131"/>
        <v>#DIV/0!</v>
      </c>
    </row>
    <row r="119" spans="2:12">
      <c r="B119" s="61"/>
      <c r="C119" s="66"/>
      <c r="D119" s="66"/>
      <c r="E119" s="66"/>
      <c r="F119" s="66"/>
      <c r="G119" s="67"/>
      <c r="H119" s="77"/>
      <c r="I119" s="66"/>
      <c r="J119" s="66"/>
      <c r="K119" s="66"/>
      <c r="L119" s="72"/>
    </row>
    <row r="120" spans="2:12">
      <c r="B120" s="61" t="s">
        <v>329</v>
      </c>
      <c r="C120" s="66">
        <v>11.790152000000001</v>
      </c>
      <c r="D120" s="66">
        <v>13.401025000000001</v>
      </c>
      <c r="E120" s="66">
        <v>6.5676220000000001</v>
      </c>
      <c r="F120" s="66">
        <v>6.1128640000000001</v>
      </c>
      <c r="G120" s="525">
        <v>-18.349364999999999</v>
      </c>
      <c r="H120" s="77"/>
      <c r="I120" s="66"/>
      <c r="J120" s="66"/>
      <c r="K120" s="66"/>
      <c r="L120" s="72"/>
    </row>
    <row r="121" spans="2:12">
      <c r="B121" s="55" t="s">
        <v>328</v>
      </c>
      <c r="C121" s="64">
        <v>13.517419</v>
      </c>
      <c r="D121" s="64">
        <v>13.401025000000001</v>
      </c>
      <c r="E121" s="64">
        <v>6.5676220000000001</v>
      </c>
      <c r="F121" s="64">
        <v>6.1128640000000001</v>
      </c>
      <c r="G121" s="64">
        <v>-18.349364999999999</v>
      </c>
      <c r="H121" s="77"/>
      <c r="I121" s="66"/>
      <c r="J121" s="66"/>
      <c r="K121" s="66"/>
      <c r="L121" s="72"/>
    </row>
    <row r="122" spans="2:12">
      <c r="B122" s="55"/>
      <c r="C122" s="64"/>
      <c r="D122" s="64"/>
      <c r="E122" s="64"/>
      <c r="F122" s="64"/>
      <c r="G122" s="65"/>
      <c r="H122" s="76"/>
      <c r="I122" s="64"/>
      <c r="J122" s="64"/>
      <c r="K122" s="64"/>
      <c r="L122" s="71"/>
    </row>
    <row r="123" spans="2:12">
      <c r="B123" s="60" t="s">
        <v>53</v>
      </c>
      <c r="C123" s="64"/>
      <c r="D123" s="64"/>
      <c r="E123" s="64"/>
      <c r="F123" s="64"/>
      <c r="G123" s="65"/>
      <c r="H123" s="76"/>
      <c r="I123" s="64"/>
      <c r="J123" s="64"/>
      <c r="K123" s="64"/>
      <c r="L123" s="71"/>
    </row>
    <row r="124" spans="2:12">
      <c r="B124" s="55" t="s">
        <v>54</v>
      </c>
      <c r="C124" s="64">
        <v>1487.8</v>
      </c>
      <c r="D124" s="64">
        <v>1505.6</v>
      </c>
      <c r="E124" s="64">
        <v>1422.17</v>
      </c>
      <c r="F124" s="64">
        <v>1315.67</v>
      </c>
      <c r="G124" s="65">
        <v>1208.5360000000001</v>
      </c>
      <c r="H124" s="76"/>
      <c r="I124" s="64"/>
      <c r="J124" s="64"/>
      <c r="K124" s="64"/>
      <c r="L124" s="71"/>
    </row>
    <row r="125" spans="2:12">
      <c r="B125" s="55" t="s">
        <v>28</v>
      </c>
      <c r="C125" s="64">
        <v>7608.4</v>
      </c>
      <c r="D125" s="64">
        <v>7272.62</v>
      </c>
      <c r="E125" s="64">
        <v>7190.87</v>
      </c>
      <c r="F125" s="64">
        <v>6895.37</v>
      </c>
      <c r="G125" s="65">
        <v>6485.6469999999999</v>
      </c>
      <c r="H125" s="76"/>
      <c r="I125" s="64"/>
      <c r="J125" s="64"/>
      <c r="K125" s="64"/>
      <c r="L125" s="71"/>
    </row>
    <row r="126" spans="2:12">
      <c r="B126" s="55" t="s">
        <v>55</v>
      </c>
      <c r="C126" s="64">
        <v>1213.8</v>
      </c>
      <c r="D126" s="64">
        <v>1173.92</v>
      </c>
      <c r="E126" s="64">
        <v>1152.2</v>
      </c>
      <c r="F126" s="64">
        <v>1162.8699999999999</v>
      </c>
      <c r="G126" s="65">
        <v>1075.2260000000001</v>
      </c>
      <c r="H126" s="76"/>
      <c r="I126" s="64"/>
      <c r="J126" s="64"/>
      <c r="K126" s="64"/>
      <c r="L126" s="71"/>
    </row>
    <row r="127" spans="2:12">
      <c r="B127" s="55" t="s">
        <v>56</v>
      </c>
      <c r="C127" s="64">
        <v>1469.8</v>
      </c>
      <c r="D127" s="64">
        <v>1206.95</v>
      </c>
      <c r="E127" s="64">
        <v>1211.3399999999999</v>
      </c>
      <c r="F127" s="64">
        <v>1271.08</v>
      </c>
      <c r="G127" s="65">
        <v>1119.8779999999999</v>
      </c>
      <c r="H127" s="76"/>
      <c r="I127" s="64"/>
      <c r="J127" s="64"/>
      <c r="K127" s="64"/>
      <c r="L127" s="71"/>
    </row>
    <row r="128" spans="2:12">
      <c r="B128" s="55" t="s">
        <v>57</v>
      </c>
      <c r="C128" s="64">
        <v>14847.2</v>
      </c>
      <c r="D128" s="64">
        <v>14640.49</v>
      </c>
      <c r="E128" s="64">
        <v>14625.13</v>
      </c>
      <c r="F128" s="64">
        <v>14695.12</v>
      </c>
      <c r="G128" s="65">
        <v>14128.734</v>
      </c>
      <c r="H128" s="76"/>
      <c r="I128" s="64"/>
      <c r="J128" s="64"/>
      <c r="K128" s="64"/>
      <c r="L128" s="71"/>
    </row>
    <row r="129" spans="2:12" ht="13.5" thickBot="1">
      <c r="B129" s="57" t="s">
        <v>20</v>
      </c>
      <c r="C129" s="68">
        <f>SUM(C124:C128)</f>
        <v>26627</v>
      </c>
      <c r="D129" s="68">
        <f t="shared" ref="D129" si="132">SUM(D124:D128)</f>
        <v>25799.58</v>
      </c>
      <c r="E129" s="68">
        <f t="shared" ref="E129" si="133">SUM(E124:E128)</f>
        <v>25601.71</v>
      </c>
      <c r="F129" s="68">
        <f t="shared" ref="F129" si="134">SUM(F124:F128)</f>
        <v>25340.11</v>
      </c>
      <c r="G129" s="69">
        <f t="shared" ref="G129" si="135">SUM(G124:G128)</f>
        <v>24018.021000000001</v>
      </c>
      <c r="H129" s="78">
        <f t="shared" ref="H129" si="136">SUM(H124:H128)</f>
        <v>0</v>
      </c>
      <c r="I129" s="68">
        <f t="shared" ref="I129" si="137">SUM(I124:I128)</f>
        <v>0</v>
      </c>
      <c r="J129" s="68">
        <f t="shared" ref="J129" si="138">SUM(J124:J128)</f>
        <v>0</v>
      </c>
      <c r="K129" s="68">
        <f t="shared" ref="K129" si="139">SUM(K124:K128)</f>
        <v>0</v>
      </c>
      <c r="L129" s="73">
        <f t="shared" ref="L129" si="140">SUM(L124:L128)</f>
        <v>0</v>
      </c>
    </row>
    <row r="130" spans="2:12">
      <c r="B130" s="25" t="s">
        <v>59</v>
      </c>
      <c r="C130" s="25" t="s">
        <v>64</v>
      </c>
      <c r="D130" s="79"/>
      <c r="E130" s="79"/>
      <c r="F130" s="79"/>
      <c r="G130" s="79"/>
      <c r="H130" s="79"/>
      <c r="I130" s="79"/>
      <c r="J130" s="79"/>
      <c r="K130" s="79"/>
      <c r="L130" s="79"/>
    </row>
    <row r="131" spans="2:12">
      <c r="B131" s="25"/>
      <c r="C131" s="37"/>
    </row>
    <row r="132" spans="2:12" ht="13.5" thickBot="1"/>
    <row r="133" spans="2:12" ht="15">
      <c r="B133" s="53" t="str">
        <f>B13</f>
        <v>CE NEDL</v>
      </c>
      <c r="C133" s="54" t="str">
        <f>C49</f>
        <v>2005-06</v>
      </c>
      <c r="D133" s="58" t="str">
        <f t="shared" ref="D133:L133" si="141">D49</f>
        <v>2006-07</v>
      </c>
      <c r="E133" s="58" t="str">
        <f t="shared" si="141"/>
        <v>2007-08</v>
      </c>
      <c r="F133" s="58" t="str">
        <f t="shared" si="141"/>
        <v>2008-09</v>
      </c>
      <c r="G133" s="59" t="str">
        <f t="shared" si="141"/>
        <v>2009-10</v>
      </c>
      <c r="H133" s="74" t="str">
        <f t="shared" si="141"/>
        <v>2010-11</v>
      </c>
      <c r="I133" s="54" t="str">
        <f t="shared" si="141"/>
        <v>2011-12</v>
      </c>
      <c r="J133" s="54" t="str">
        <f t="shared" si="141"/>
        <v>2012-13</v>
      </c>
      <c r="K133" s="54" t="str">
        <f t="shared" si="141"/>
        <v>2013-14</v>
      </c>
      <c r="L133" s="59" t="str">
        <f t="shared" si="141"/>
        <v>2014-15</v>
      </c>
    </row>
    <row r="134" spans="2:12">
      <c r="B134" s="60" t="s">
        <v>48</v>
      </c>
      <c r="C134" s="52"/>
      <c r="D134" s="52"/>
      <c r="E134" s="52"/>
      <c r="F134" s="52"/>
      <c r="G134" s="56"/>
      <c r="H134" s="75"/>
      <c r="I134" s="52"/>
      <c r="J134" s="52"/>
      <c r="K134" s="52"/>
      <c r="L134" s="70"/>
    </row>
    <row r="135" spans="2:12">
      <c r="B135" s="55" t="s">
        <v>61</v>
      </c>
      <c r="C135" s="64">
        <v>0</v>
      </c>
      <c r="D135" s="64">
        <v>0</v>
      </c>
      <c r="E135" s="64">
        <v>0</v>
      </c>
      <c r="F135" s="64">
        <v>0</v>
      </c>
      <c r="G135" s="64">
        <v>0</v>
      </c>
      <c r="H135" s="76"/>
      <c r="I135" s="64"/>
      <c r="J135" s="64"/>
      <c r="K135" s="64"/>
      <c r="L135" s="71"/>
    </row>
    <row r="136" spans="2:12">
      <c r="B136" s="55" t="s">
        <v>49</v>
      </c>
      <c r="C136" s="64">
        <v>18342.063999999998</v>
      </c>
      <c r="D136" s="64">
        <v>17751.031999999999</v>
      </c>
      <c r="E136" s="64">
        <v>17825.282999999999</v>
      </c>
      <c r="F136" s="64">
        <v>17110.349999999999</v>
      </c>
      <c r="G136" s="64">
        <v>16579.791000000001</v>
      </c>
      <c r="H136" s="76"/>
      <c r="I136" s="64"/>
      <c r="J136" s="64"/>
      <c r="K136" s="64"/>
      <c r="L136" s="71"/>
    </row>
    <row r="137" spans="2:12">
      <c r="B137" s="55"/>
      <c r="C137" s="64">
        <f>SUM(C135:C136)</f>
        <v>18342.063999999998</v>
      </c>
      <c r="D137" s="64">
        <f t="shared" ref="D137" si="142">SUM(D135:D136)</f>
        <v>17751.031999999999</v>
      </c>
      <c r="E137" s="64">
        <f t="shared" ref="E137" si="143">SUM(E135:E136)</f>
        <v>17825.282999999999</v>
      </c>
      <c r="F137" s="64">
        <f t="shared" ref="F137" si="144">SUM(F135:F136)</f>
        <v>17110.349999999999</v>
      </c>
      <c r="G137" s="65">
        <f t="shared" ref="G137" si="145">SUM(G135:G136)</f>
        <v>16579.791000000001</v>
      </c>
      <c r="H137" s="76">
        <f t="shared" ref="H137" si="146">SUM(H135:H136)</f>
        <v>0</v>
      </c>
      <c r="I137" s="64">
        <f t="shared" ref="I137" si="147">SUM(I135:I136)</f>
        <v>0</v>
      </c>
      <c r="J137" s="64">
        <f t="shared" ref="J137" si="148">SUM(J135:J136)</f>
        <v>0</v>
      </c>
      <c r="K137" s="64">
        <f t="shared" ref="K137" si="149">SUM(K135:K136)</f>
        <v>0</v>
      </c>
      <c r="L137" s="71">
        <f t="shared" ref="L137" si="150">SUM(L135:L136)</f>
        <v>0</v>
      </c>
    </row>
    <row r="138" spans="2:12">
      <c r="B138" s="60" t="s">
        <v>50</v>
      </c>
      <c r="C138" s="64"/>
      <c r="D138" s="64"/>
      <c r="E138" s="64"/>
      <c r="F138" s="64"/>
      <c r="G138" s="65"/>
      <c r="H138" s="76"/>
      <c r="I138" s="64"/>
      <c r="J138" s="64"/>
      <c r="K138" s="64"/>
      <c r="L138" s="71"/>
    </row>
    <row r="139" spans="2:12">
      <c r="B139" s="55" t="s">
        <v>51</v>
      </c>
      <c r="C139" s="64">
        <v>0</v>
      </c>
      <c r="D139" s="64">
        <v>0</v>
      </c>
      <c r="E139" s="64">
        <v>0</v>
      </c>
      <c r="F139" s="64">
        <v>3.62</v>
      </c>
      <c r="G139" s="64">
        <v>2.7869999999999999</v>
      </c>
      <c r="H139" s="76"/>
      <c r="I139" s="64"/>
      <c r="J139" s="64"/>
      <c r="K139" s="64"/>
      <c r="L139" s="71"/>
    </row>
    <row r="140" spans="2:12">
      <c r="B140" s="55" t="s">
        <v>52</v>
      </c>
      <c r="C140" s="64">
        <v>17507</v>
      </c>
      <c r="D140" s="64">
        <v>16982.008000000002</v>
      </c>
      <c r="E140" s="64">
        <v>16932.381000000001</v>
      </c>
      <c r="F140" s="64">
        <v>16302.796</v>
      </c>
      <c r="G140" s="64">
        <v>15537.3</v>
      </c>
      <c r="H140" s="76"/>
      <c r="I140" s="64"/>
      <c r="J140" s="64"/>
      <c r="K140" s="64"/>
      <c r="L140" s="71"/>
    </row>
    <row r="141" spans="2:12">
      <c r="B141" s="55" t="s">
        <v>58</v>
      </c>
      <c r="C141" s="64">
        <v>0</v>
      </c>
      <c r="D141" s="64">
        <v>0</v>
      </c>
      <c r="E141" s="64">
        <v>0</v>
      </c>
      <c r="F141" s="64">
        <v>0</v>
      </c>
      <c r="G141" s="64">
        <v>0</v>
      </c>
      <c r="H141" s="76"/>
      <c r="I141" s="64"/>
      <c r="J141" s="64"/>
      <c r="K141" s="64"/>
      <c r="L141" s="71"/>
    </row>
    <row r="142" spans="2:12">
      <c r="B142" s="55"/>
      <c r="C142" s="64">
        <f>SUM(C139:C141)</f>
        <v>17507</v>
      </c>
      <c r="D142" s="64">
        <f t="shared" ref="D142" si="151">SUM(D139:D141)</f>
        <v>16982.008000000002</v>
      </c>
      <c r="E142" s="64">
        <f t="shared" ref="E142" si="152">SUM(E139:E141)</f>
        <v>16932.381000000001</v>
      </c>
      <c r="F142" s="64">
        <f t="shared" ref="F142" si="153">SUM(F139:F141)</f>
        <v>16306.416000000001</v>
      </c>
      <c r="G142" s="65">
        <f t="shared" ref="G142" si="154">SUM(G139:G141)</f>
        <v>15540.087</v>
      </c>
      <c r="H142" s="76">
        <f t="shared" ref="H142" si="155">SUM(H139:H141)</f>
        <v>0</v>
      </c>
      <c r="I142" s="64">
        <f t="shared" ref="I142" si="156">SUM(I139:I141)</f>
        <v>0</v>
      </c>
      <c r="J142" s="64">
        <f t="shared" ref="J142" si="157">SUM(J139:J141)</f>
        <v>0</v>
      </c>
      <c r="K142" s="64">
        <f t="shared" ref="K142" si="158">SUM(K139:K141)</f>
        <v>0</v>
      </c>
      <c r="L142" s="71">
        <f t="shared" ref="L142" si="159">SUM(L139:L141)</f>
        <v>0</v>
      </c>
    </row>
    <row r="143" spans="2:12">
      <c r="B143" s="55"/>
      <c r="C143" s="64"/>
      <c r="D143" s="64"/>
      <c r="E143" s="64"/>
      <c r="F143" s="64"/>
      <c r="G143" s="65"/>
      <c r="H143" s="76"/>
      <c r="I143" s="64"/>
      <c r="J143" s="64"/>
      <c r="K143" s="64"/>
      <c r="L143" s="71"/>
    </row>
    <row r="144" spans="2:12">
      <c r="B144" s="61" t="s">
        <v>43</v>
      </c>
      <c r="C144" s="64">
        <f>C137-C142</f>
        <v>835.06399999999849</v>
      </c>
      <c r="D144" s="64">
        <f t="shared" ref="D144:L144" si="160">D137-D142</f>
        <v>769.02399999999761</v>
      </c>
      <c r="E144" s="64">
        <f t="shared" si="160"/>
        <v>892.90199999999822</v>
      </c>
      <c r="F144" s="64">
        <f t="shared" si="160"/>
        <v>803.93399999999747</v>
      </c>
      <c r="G144" s="65">
        <f t="shared" si="160"/>
        <v>1039.7040000000015</v>
      </c>
      <c r="H144" s="76">
        <f t="shared" si="160"/>
        <v>0</v>
      </c>
      <c r="I144" s="64">
        <f t="shared" si="160"/>
        <v>0</v>
      </c>
      <c r="J144" s="64">
        <f t="shared" si="160"/>
        <v>0</v>
      </c>
      <c r="K144" s="64">
        <f t="shared" si="160"/>
        <v>0</v>
      </c>
      <c r="L144" s="71">
        <f t="shared" si="160"/>
        <v>0</v>
      </c>
    </row>
    <row r="145" spans="2:12">
      <c r="B145" s="55" t="s">
        <v>445</v>
      </c>
      <c r="C145" s="62">
        <f>C144/C137</f>
        <v>4.5527264543401363E-2</v>
      </c>
      <c r="D145" s="62">
        <f t="shared" ref="D145" si="161">D144/D137</f>
        <v>4.3322776951784978E-2</v>
      </c>
      <c r="E145" s="62">
        <f t="shared" ref="E145" si="162">E144/E137</f>
        <v>5.0091883534191195E-2</v>
      </c>
      <c r="F145" s="62">
        <f t="shared" ref="F145" si="163">F144/F137</f>
        <v>4.698524577229557E-2</v>
      </c>
      <c r="G145" s="63">
        <f t="shared" ref="G145" si="164">G144/G137</f>
        <v>6.2709113763858751E-2</v>
      </c>
      <c r="H145" s="77" t="e">
        <f t="shared" ref="H145" si="165">H144/H137</f>
        <v>#DIV/0!</v>
      </c>
      <c r="I145" s="66" t="e">
        <f t="shared" ref="I145" si="166">I144/I137</f>
        <v>#DIV/0!</v>
      </c>
      <c r="J145" s="66" t="e">
        <f t="shared" ref="J145" si="167">J144/J137</f>
        <v>#DIV/0!</v>
      </c>
      <c r="K145" s="66" t="e">
        <f t="shared" ref="K145" si="168">K144/K137</f>
        <v>#DIV/0!</v>
      </c>
      <c r="L145" s="72" t="e">
        <f t="shared" ref="L145" si="169">L144/L137</f>
        <v>#DIV/0!</v>
      </c>
    </row>
    <row r="146" spans="2:12">
      <c r="B146" s="55" t="s">
        <v>446</v>
      </c>
      <c r="C146" s="62">
        <f>C144/C142</f>
        <v>4.7698863311818045E-2</v>
      </c>
      <c r="D146" s="62">
        <f t="shared" ref="D146:L146" si="170">D144/D142</f>
        <v>4.5284633006885733E-2</v>
      </c>
      <c r="E146" s="62">
        <f t="shared" si="170"/>
        <v>5.2733398805519326E-2</v>
      </c>
      <c r="F146" s="62">
        <f t="shared" si="170"/>
        <v>4.9301698178189336E-2</v>
      </c>
      <c r="G146" s="62">
        <f t="shared" si="170"/>
        <v>6.6904644742336483E-2</v>
      </c>
      <c r="H146" s="80" t="e">
        <f t="shared" si="170"/>
        <v>#DIV/0!</v>
      </c>
      <c r="I146" s="62" t="e">
        <f t="shared" si="170"/>
        <v>#DIV/0!</v>
      </c>
      <c r="J146" s="62" t="e">
        <f t="shared" si="170"/>
        <v>#DIV/0!</v>
      </c>
      <c r="K146" s="62" t="e">
        <f t="shared" si="170"/>
        <v>#DIV/0!</v>
      </c>
      <c r="L146" s="81" t="e">
        <f t="shared" si="170"/>
        <v>#DIV/0!</v>
      </c>
    </row>
    <row r="147" spans="2:12">
      <c r="B147" s="61"/>
      <c r="C147" s="62"/>
      <c r="D147" s="62"/>
      <c r="E147" s="62"/>
      <c r="F147" s="62"/>
      <c r="G147" s="63"/>
      <c r="H147" s="77"/>
      <c r="I147" s="66"/>
      <c r="J147" s="66"/>
      <c r="K147" s="66"/>
      <c r="L147" s="72"/>
    </row>
    <row r="148" spans="2:12">
      <c r="B148" s="61" t="s">
        <v>329</v>
      </c>
      <c r="C148" s="64">
        <v>4.4219030000000004</v>
      </c>
      <c r="D148" s="64">
        <v>4.8179749999999997</v>
      </c>
      <c r="E148" s="64">
        <v>-0.55767800000000001</v>
      </c>
      <c r="F148" s="64">
        <v>2.4145240000000001</v>
      </c>
      <c r="G148" s="64">
        <v>-0.70600799999999997</v>
      </c>
      <c r="H148" s="77"/>
      <c r="I148" s="66"/>
      <c r="J148" s="66"/>
      <c r="K148" s="66"/>
      <c r="L148" s="72"/>
    </row>
    <row r="149" spans="2:12">
      <c r="B149" s="55" t="s">
        <v>328</v>
      </c>
      <c r="C149" s="64">
        <v>3.9584299999999999</v>
      </c>
      <c r="D149" s="64">
        <v>5.4759989999999998</v>
      </c>
      <c r="E149" s="64">
        <v>-0.62291799999999997</v>
      </c>
      <c r="F149" s="64">
        <v>2.4145240000000001</v>
      </c>
      <c r="G149" s="64">
        <v>-0.70600799999999997</v>
      </c>
      <c r="H149" s="77"/>
      <c r="I149" s="66"/>
      <c r="J149" s="66"/>
      <c r="K149" s="66"/>
      <c r="L149" s="72"/>
    </row>
    <row r="150" spans="2:12">
      <c r="B150" s="55"/>
      <c r="C150" s="64"/>
      <c r="D150" s="64"/>
      <c r="E150" s="64"/>
      <c r="F150" s="64"/>
      <c r="G150" s="65"/>
      <c r="H150" s="76"/>
      <c r="I150" s="64"/>
      <c r="J150" s="64"/>
      <c r="K150" s="64"/>
      <c r="L150" s="71"/>
    </row>
    <row r="151" spans="2:12">
      <c r="B151" s="60" t="s">
        <v>53</v>
      </c>
      <c r="C151" s="64"/>
      <c r="D151" s="64"/>
      <c r="E151" s="64"/>
      <c r="F151" s="64"/>
      <c r="G151" s="65"/>
      <c r="H151" s="76"/>
      <c r="I151" s="64"/>
      <c r="J151" s="64"/>
      <c r="K151" s="64"/>
      <c r="L151" s="71"/>
    </row>
    <row r="152" spans="2:12">
      <c r="B152" s="55" t="s">
        <v>54</v>
      </c>
      <c r="C152" s="64">
        <v>2290</v>
      </c>
      <c r="D152" s="64">
        <v>2241.9380000000001</v>
      </c>
      <c r="E152" s="64">
        <v>2243.39</v>
      </c>
      <c r="F152" s="64">
        <v>1870.81</v>
      </c>
      <c r="G152" s="64">
        <v>1719.8</v>
      </c>
      <c r="H152" s="76"/>
      <c r="I152" s="64"/>
      <c r="J152" s="64"/>
      <c r="K152" s="64"/>
      <c r="L152" s="71"/>
    </row>
    <row r="153" spans="2:12">
      <c r="B153" s="55" t="s">
        <v>28</v>
      </c>
      <c r="C153" s="64">
        <v>3540.5</v>
      </c>
      <c r="D153" s="64">
        <v>3318.6089999999999</v>
      </c>
      <c r="E153" s="64">
        <v>3311.47</v>
      </c>
      <c r="F153" s="64">
        <v>3131.7660000000001</v>
      </c>
      <c r="G153" s="64">
        <v>3040.5349999999999</v>
      </c>
      <c r="H153" s="76"/>
      <c r="I153" s="64"/>
      <c r="J153" s="64"/>
      <c r="K153" s="64"/>
      <c r="L153" s="71"/>
    </row>
    <row r="154" spans="2:12">
      <c r="B154" s="55" t="s">
        <v>55</v>
      </c>
      <c r="C154" s="64">
        <v>618</v>
      </c>
      <c r="D154" s="64">
        <v>585.976</v>
      </c>
      <c r="E154" s="64">
        <v>585.31200000000001</v>
      </c>
      <c r="F154" s="64">
        <v>573.84900000000005</v>
      </c>
      <c r="G154" s="64">
        <v>541.70000000000005</v>
      </c>
      <c r="H154" s="76"/>
      <c r="I154" s="64"/>
      <c r="J154" s="64"/>
      <c r="K154" s="64"/>
      <c r="L154" s="71"/>
    </row>
    <row r="155" spans="2:12">
      <c r="B155" s="55" t="s">
        <v>56</v>
      </c>
      <c r="C155" s="64">
        <v>735</v>
      </c>
      <c r="D155" s="64">
        <v>574.38400000000001</v>
      </c>
      <c r="E155" s="64">
        <v>606.16099999999994</v>
      </c>
      <c r="F155" s="64">
        <v>593.79100000000005</v>
      </c>
      <c r="G155" s="64">
        <v>534</v>
      </c>
      <c r="H155" s="76"/>
      <c r="I155" s="64"/>
      <c r="J155" s="64"/>
      <c r="K155" s="64"/>
      <c r="L155" s="71"/>
    </row>
    <row r="156" spans="2:12">
      <c r="B156" s="55" t="s">
        <v>57</v>
      </c>
      <c r="C156" s="64">
        <v>10323.5</v>
      </c>
      <c r="D156" s="64">
        <v>10261.101000000001</v>
      </c>
      <c r="E156" s="64">
        <v>10186.048000000001</v>
      </c>
      <c r="F156" s="64">
        <v>10136.200000000001</v>
      </c>
      <c r="G156" s="64">
        <v>9704.0519999999997</v>
      </c>
      <c r="H156" s="76"/>
      <c r="I156" s="64"/>
      <c r="J156" s="64"/>
      <c r="K156" s="64"/>
      <c r="L156" s="71"/>
    </row>
    <row r="157" spans="2:12" ht="13.5" thickBot="1">
      <c r="B157" s="57" t="s">
        <v>20</v>
      </c>
      <c r="C157" s="68">
        <f>SUM(C152:C156)</f>
        <v>17507</v>
      </c>
      <c r="D157" s="68">
        <f t="shared" ref="D157" si="171">SUM(D152:D156)</f>
        <v>16982.008000000002</v>
      </c>
      <c r="E157" s="68">
        <f t="shared" ref="E157" si="172">SUM(E152:E156)</f>
        <v>16932.381000000001</v>
      </c>
      <c r="F157" s="68">
        <f t="shared" ref="F157" si="173">SUM(F152:F156)</f>
        <v>16306.416000000001</v>
      </c>
      <c r="G157" s="69">
        <f t="shared" ref="G157" si="174">SUM(G152:G156)</f>
        <v>15540.087</v>
      </c>
      <c r="H157" s="78">
        <f t="shared" ref="H157" si="175">SUM(H152:H156)</f>
        <v>0</v>
      </c>
      <c r="I157" s="68">
        <f t="shared" ref="I157" si="176">SUM(I152:I156)</f>
        <v>0</v>
      </c>
      <c r="J157" s="68">
        <f t="shared" ref="J157" si="177">SUM(J152:J156)</f>
        <v>0</v>
      </c>
      <c r="K157" s="68">
        <f t="shared" ref="K157" si="178">SUM(K152:K156)</f>
        <v>0</v>
      </c>
      <c r="L157" s="73">
        <f t="shared" ref="L157" si="179">SUM(L152:L156)</f>
        <v>0</v>
      </c>
    </row>
    <row r="158" spans="2:12">
      <c r="B158" s="25" t="s">
        <v>59</v>
      </c>
      <c r="C158" s="25" t="s">
        <v>64</v>
      </c>
      <c r="D158" s="13"/>
      <c r="E158" s="13"/>
      <c r="F158" s="13"/>
      <c r="G158" s="13"/>
      <c r="H158" s="13"/>
      <c r="I158" s="13"/>
      <c r="J158" s="13"/>
      <c r="K158" s="13"/>
      <c r="L158" s="13"/>
    </row>
    <row r="159" spans="2:12">
      <c r="B159" s="25"/>
      <c r="C159" s="37"/>
    </row>
    <row r="160" spans="2:12" ht="13.5" thickBot="1"/>
    <row r="161" spans="2:13" ht="15">
      <c r="B161" s="53" t="str">
        <f>B14</f>
        <v>CE YEDL</v>
      </c>
      <c r="C161" s="54" t="str">
        <f>C49</f>
        <v>2005-06</v>
      </c>
      <c r="D161" s="58" t="str">
        <f t="shared" ref="D161:L161" si="180">D49</f>
        <v>2006-07</v>
      </c>
      <c r="E161" s="58" t="str">
        <f t="shared" si="180"/>
        <v>2007-08</v>
      </c>
      <c r="F161" s="58" t="str">
        <f t="shared" si="180"/>
        <v>2008-09</v>
      </c>
      <c r="G161" s="59" t="str">
        <f t="shared" si="180"/>
        <v>2009-10</v>
      </c>
      <c r="H161" s="74" t="str">
        <f t="shared" si="180"/>
        <v>2010-11</v>
      </c>
      <c r="I161" s="54" t="str">
        <f t="shared" si="180"/>
        <v>2011-12</v>
      </c>
      <c r="J161" s="54" t="str">
        <f t="shared" si="180"/>
        <v>2012-13</v>
      </c>
      <c r="K161" s="54" t="str">
        <f t="shared" si="180"/>
        <v>2013-14</v>
      </c>
      <c r="L161" s="59" t="str">
        <f t="shared" si="180"/>
        <v>2014-15</v>
      </c>
    </row>
    <row r="162" spans="2:13">
      <c r="B162" s="60" t="s">
        <v>48</v>
      </c>
      <c r="C162" s="52"/>
      <c r="D162" s="52"/>
      <c r="E162" s="52"/>
      <c r="F162" s="52"/>
      <c r="G162" s="56"/>
      <c r="H162" s="75"/>
      <c r="I162" s="52"/>
      <c r="J162" s="52"/>
      <c r="K162" s="52"/>
      <c r="L162" s="70"/>
    </row>
    <row r="163" spans="2:13">
      <c r="B163" s="55" t="s">
        <v>61</v>
      </c>
      <c r="C163" s="64">
        <v>0</v>
      </c>
      <c r="D163" s="64">
        <v>0</v>
      </c>
      <c r="E163" s="64">
        <v>0</v>
      </c>
      <c r="F163" s="64">
        <v>0</v>
      </c>
      <c r="G163" s="64">
        <v>0</v>
      </c>
      <c r="H163" s="76"/>
      <c r="I163" s="64"/>
      <c r="J163" s="64"/>
      <c r="K163" s="64"/>
      <c r="L163" s="71"/>
    </row>
    <row r="164" spans="2:13">
      <c r="B164" s="55" t="s">
        <v>49</v>
      </c>
      <c r="C164" s="64">
        <v>26425.352999999999</v>
      </c>
      <c r="D164" s="64">
        <v>25733</v>
      </c>
      <c r="E164" s="64">
        <v>25551.486000000001</v>
      </c>
      <c r="F164" s="64">
        <v>25071.112000000001</v>
      </c>
      <c r="G164" s="64">
        <v>24229.665000000001</v>
      </c>
      <c r="H164" s="76"/>
      <c r="I164" s="64"/>
      <c r="J164" s="64"/>
      <c r="K164" s="64"/>
      <c r="L164" s="71"/>
      <c r="M164" s="556"/>
    </row>
    <row r="165" spans="2:13">
      <c r="B165" s="55"/>
      <c r="C165" s="64">
        <f>SUM(C163:C164)</f>
        <v>26425.352999999999</v>
      </c>
      <c r="D165" s="64">
        <f t="shared" ref="D165" si="181">SUM(D163:D164)</f>
        <v>25733</v>
      </c>
      <c r="E165" s="64">
        <f t="shared" ref="E165" si="182">SUM(E163:E164)</f>
        <v>25551.486000000001</v>
      </c>
      <c r="F165" s="64">
        <f t="shared" ref="F165" si="183">SUM(F163:F164)</f>
        <v>25071.112000000001</v>
      </c>
      <c r="G165" s="65">
        <f t="shared" ref="G165" si="184">SUM(G163:G164)</f>
        <v>24229.665000000001</v>
      </c>
      <c r="H165" s="76">
        <f t="shared" ref="H165" si="185">SUM(H163:H164)</f>
        <v>0</v>
      </c>
      <c r="I165" s="64">
        <f t="shared" ref="I165" si="186">SUM(I163:I164)</f>
        <v>0</v>
      </c>
      <c r="J165" s="64">
        <f t="shared" ref="J165" si="187">SUM(J163:J164)</f>
        <v>0</v>
      </c>
      <c r="K165" s="64">
        <f t="shared" ref="K165" si="188">SUM(K163:K164)</f>
        <v>0</v>
      </c>
      <c r="L165" s="71">
        <f t="shared" ref="L165" si="189">SUM(L163:L164)</f>
        <v>0</v>
      </c>
      <c r="M165" s="556"/>
    </row>
    <row r="166" spans="2:13">
      <c r="B166" s="60" t="s">
        <v>50</v>
      </c>
      <c r="C166" s="64"/>
      <c r="D166" s="64"/>
      <c r="E166" s="64"/>
      <c r="F166" s="64"/>
      <c r="G166" s="65"/>
      <c r="H166" s="76"/>
      <c r="I166" s="64"/>
      <c r="J166" s="64"/>
      <c r="K166" s="64"/>
      <c r="L166" s="71"/>
    </row>
    <row r="167" spans="2:13">
      <c r="B167" s="55" t="s">
        <v>51</v>
      </c>
      <c r="C167" s="64">
        <v>0</v>
      </c>
      <c r="D167" s="64">
        <v>0</v>
      </c>
      <c r="E167" s="64">
        <v>0</v>
      </c>
      <c r="F167" s="64">
        <v>12.427</v>
      </c>
      <c r="G167" s="64">
        <v>6.7629999999999999</v>
      </c>
      <c r="H167" s="76"/>
      <c r="I167" s="64"/>
      <c r="J167" s="64"/>
      <c r="K167" s="64"/>
      <c r="L167" s="71"/>
      <c r="M167" s="556"/>
    </row>
    <row r="168" spans="2:13">
      <c r="B168" s="55" t="s">
        <v>52</v>
      </c>
      <c r="C168" s="64">
        <v>25507.045999999998</v>
      </c>
      <c r="D168" s="64">
        <v>24785</v>
      </c>
      <c r="E168" s="64">
        <v>24137.053</v>
      </c>
      <c r="F168" s="64">
        <v>23810.973000000002</v>
      </c>
      <c r="G168" s="64">
        <v>22517.135999999999</v>
      </c>
      <c r="H168" s="76"/>
      <c r="I168" s="64"/>
      <c r="J168" s="64"/>
      <c r="K168" s="64"/>
      <c r="L168" s="71"/>
      <c r="M168" s="556"/>
    </row>
    <row r="169" spans="2:13">
      <c r="B169" s="55" t="s">
        <v>58</v>
      </c>
      <c r="C169" s="64">
        <v>0</v>
      </c>
      <c r="D169" s="64">
        <v>0</v>
      </c>
      <c r="E169" s="64">
        <v>0</v>
      </c>
      <c r="F169" s="64">
        <v>0</v>
      </c>
      <c r="G169" s="64">
        <v>0</v>
      </c>
      <c r="H169" s="76"/>
      <c r="I169" s="64"/>
      <c r="J169" s="64"/>
      <c r="K169" s="64"/>
      <c r="L169" s="71"/>
    </row>
    <row r="170" spans="2:13">
      <c r="B170" s="55"/>
      <c r="C170" s="64">
        <f>SUM(C167:C169)</f>
        <v>25507.045999999998</v>
      </c>
      <c r="D170" s="64">
        <f t="shared" ref="D170" si="190">SUM(D167:D169)</f>
        <v>24785</v>
      </c>
      <c r="E170" s="64">
        <f t="shared" ref="E170" si="191">SUM(E167:E169)</f>
        <v>24137.053</v>
      </c>
      <c r="F170" s="64">
        <f t="shared" ref="F170" si="192">SUM(F167:F169)</f>
        <v>23823.4</v>
      </c>
      <c r="G170" s="65">
        <f t="shared" ref="G170" si="193">SUM(G167:G169)</f>
        <v>22523.898999999998</v>
      </c>
      <c r="H170" s="76">
        <f t="shared" ref="H170" si="194">SUM(H167:H169)</f>
        <v>0</v>
      </c>
      <c r="I170" s="64">
        <f t="shared" ref="I170" si="195">SUM(I167:I169)</f>
        <v>0</v>
      </c>
      <c r="J170" s="64">
        <f t="shared" ref="J170" si="196">SUM(J167:J169)</f>
        <v>0</v>
      </c>
      <c r="K170" s="64">
        <f t="shared" ref="K170" si="197">SUM(K167:K169)</f>
        <v>0</v>
      </c>
      <c r="L170" s="71">
        <f t="shared" ref="L170" si="198">SUM(L167:L169)</f>
        <v>0</v>
      </c>
      <c r="M170" s="556"/>
    </row>
    <row r="171" spans="2:13">
      <c r="B171" s="55"/>
      <c r="C171" s="64"/>
      <c r="D171" s="64"/>
      <c r="E171" s="64"/>
      <c r="F171" s="64"/>
      <c r="G171" s="65"/>
      <c r="H171" s="76"/>
      <c r="I171" s="64"/>
      <c r="J171" s="64"/>
      <c r="K171" s="64"/>
      <c r="L171" s="71"/>
      <c r="M171" s="556"/>
    </row>
    <row r="172" spans="2:13">
      <c r="B172" s="61" t="s">
        <v>43</v>
      </c>
      <c r="C172" s="64">
        <f>C165-C170</f>
        <v>918.3070000000007</v>
      </c>
      <c r="D172" s="64">
        <f t="shared" ref="D172:L172" si="199">D165-D170</f>
        <v>948</v>
      </c>
      <c r="E172" s="64">
        <f t="shared" si="199"/>
        <v>1414.4330000000009</v>
      </c>
      <c r="F172" s="64">
        <f t="shared" si="199"/>
        <v>1247.7119999999995</v>
      </c>
      <c r="G172" s="65">
        <f t="shared" si="199"/>
        <v>1705.7660000000033</v>
      </c>
      <c r="H172" s="76">
        <f t="shared" si="199"/>
        <v>0</v>
      </c>
      <c r="I172" s="64">
        <f t="shared" si="199"/>
        <v>0</v>
      </c>
      <c r="J172" s="64">
        <f t="shared" si="199"/>
        <v>0</v>
      </c>
      <c r="K172" s="64">
        <f t="shared" si="199"/>
        <v>0</v>
      </c>
      <c r="L172" s="71">
        <f t="shared" si="199"/>
        <v>0</v>
      </c>
      <c r="M172" s="556"/>
    </row>
    <row r="173" spans="2:13">
      <c r="B173" s="55" t="s">
        <v>445</v>
      </c>
      <c r="C173" s="62">
        <f>C172/C165</f>
        <v>3.475098326974102E-2</v>
      </c>
      <c r="D173" s="62">
        <f t="shared" ref="D173" si="200">D172/D165</f>
        <v>3.683985543854195E-2</v>
      </c>
      <c r="E173" s="62">
        <f t="shared" ref="E173" si="201">E172/E165</f>
        <v>5.5356193373645703E-2</v>
      </c>
      <c r="F173" s="62">
        <f t="shared" ref="F173" si="202">F172/F165</f>
        <v>4.9766918994259189E-2</v>
      </c>
      <c r="G173" s="63">
        <f t="shared" ref="G173" si="203">G172/G165</f>
        <v>7.0399900287519579E-2</v>
      </c>
      <c r="H173" s="77" t="e">
        <f t="shared" ref="H173" si="204">H172/H165</f>
        <v>#DIV/0!</v>
      </c>
      <c r="I173" s="66" t="e">
        <f t="shared" ref="I173" si="205">I172/I165</f>
        <v>#DIV/0!</v>
      </c>
      <c r="J173" s="66" t="e">
        <f t="shared" ref="J173" si="206">J172/J165</f>
        <v>#DIV/0!</v>
      </c>
      <c r="K173" s="66" t="e">
        <f t="shared" ref="K173" si="207">K172/K165</f>
        <v>#DIV/0!</v>
      </c>
      <c r="L173" s="72" t="e">
        <f t="shared" ref="L173" si="208">L172/L165</f>
        <v>#DIV/0!</v>
      </c>
      <c r="M173" s="16"/>
    </row>
    <row r="174" spans="2:13">
      <c r="B174" s="55" t="s">
        <v>446</v>
      </c>
      <c r="C174" s="62">
        <f>C172/C170</f>
        <v>3.6002091343701685E-2</v>
      </c>
      <c r="D174" s="62">
        <f t="shared" ref="D174:L174" si="209">D172/D170</f>
        <v>3.8248940891668345E-2</v>
      </c>
      <c r="E174" s="62">
        <f t="shared" si="209"/>
        <v>5.8600070190838995E-2</v>
      </c>
      <c r="F174" s="62">
        <f t="shared" si="209"/>
        <v>5.2373380793673423E-2</v>
      </c>
      <c r="G174" s="62">
        <f t="shared" si="209"/>
        <v>7.5731382031148486E-2</v>
      </c>
      <c r="H174" s="80" t="e">
        <f t="shared" si="209"/>
        <v>#DIV/0!</v>
      </c>
      <c r="I174" s="62" t="e">
        <f t="shared" si="209"/>
        <v>#DIV/0!</v>
      </c>
      <c r="J174" s="62" t="e">
        <f t="shared" si="209"/>
        <v>#DIV/0!</v>
      </c>
      <c r="K174" s="62" t="e">
        <f t="shared" si="209"/>
        <v>#DIV/0!</v>
      </c>
      <c r="L174" s="81" t="e">
        <f t="shared" si="209"/>
        <v>#DIV/0!</v>
      </c>
      <c r="M174" s="16"/>
    </row>
    <row r="175" spans="2:13">
      <c r="B175" s="61"/>
      <c r="C175" s="62"/>
      <c r="D175" s="62"/>
      <c r="E175" s="62"/>
      <c r="F175" s="62"/>
      <c r="G175" s="63"/>
      <c r="H175" s="77"/>
      <c r="I175" s="66"/>
      <c r="J175" s="66"/>
      <c r="K175" s="66"/>
      <c r="L175" s="72"/>
    </row>
    <row r="176" spans="2:13">
      <c r="B176" s="61" t="s">
        <v>329</v>
      </c>
      <c r="C176" s="66">
        <v>11.820404</v>
      </c>
      <c r="D176" s="66">
        <v>14.733402999999999</v>
      </c>
      <c r="E176" s="66">
        <v>0.43300899999999998</v>
      </c>
      <c r="F176" s="66">
        <v>8.6631970000000003</v>
      </c>
      <c r="G176" s="66">
        <v>6.4756320000000001</v>
      </c>
      <c r="H176" s="77"/>
      <c r="I176" s="66"/>
      <c r="J176" s="66"/>
      <c r="K176" s="66"/>
      <c r="L176" s="72"/>
    </row>
    <row r="177" spans="2:12">
      <c r="B177" s="55" t="s">
        <v>328</v>
      </c>
      <c r="C177" s="66">
        <v>23.407945999999999</v>
      </c>
      <c r="D177" s="66">
        <v>22.399597</v>
      </c>
      <c r="E177" s="66">
        <v>0.48405500000000001</v>
      </c>
      <c r="F177" s="66">
        <v>8.6631970000000003</v>
      </c>
      <c r="G177" s="66">
        <v>6.4756320000000001</v>
      </c>
      <c r="H177" s="77"/>
      <c r="I177" s="66"/>
      <c r="J177" s="66"/>
      <c r="K177" s="66"/>
      <c r="L177" s="72"/>
    </row>
    <row r="178" spans="2:12">
      <c r="B178" s="55"/>
      <c r="C178" s="64"/>
      <c r="D178" s="64"/>
      <c r="E178" s="64"/>
      <c r="F178" s="64"/>
      <c r="G178" s="65"/>
      <c r="H178" s="76"/>
      <c r="I178" s="64"/>
      <c r="J178" s="64"/>
      <c r="K178" s="64"/>
      <c r="L178" s="71"/>
    </row>
    <row r="179" spans="2:12">
      <c r="B179" s="60" t="s">
        <v>53</v>
      </c>
      <c r="C179" s="64"/>
      <c r="D179" s="64"/>
      <c r="E179" s="64"/>
      <c r="F179" s="64"/>
      <c r="G179" s="65"/>
      <c r="H179" s="76"/>
      <c r="I179" s="64"/>
      <c r="J179" s="64"/>
      <c r="K179" s="64"/>
      <c r="L179" s="71"/>
    </row>
    <row r="180" spans="2:12">
      <c r="B180" s="55" t="s">
        <v>54</v>
      </c>
      <c r="C180" s="64">
        <v>1176</v>
      </c>
      <c r="D180" s="64">
        <v>1164</v>
      </c>
      <c r="E180" s="64">
        <v>1168.2850000000001</v>
      </c>
      <c r="F180" s="64">
        <v>1160</v>
      </c>
      <c r="G180" s="64">
        <v>985.05899999999997</v>
      </c>
      <c r="H180" s="76"/>
      <c r="I180" s="64"/>
      <c r="J180" s="64"/>
      <c r="K180" s="64"/>
      <c r="L180" s="71"/>
    </row>
    <row r="181" spans="2:12">
      <c r="B181" s="55" t="s">
        <v>28</v>
      </c>
      <c r="C181" s="64">
        <v>8114.0460000000003</v>
      </c>
      <c r="D181" s="64">
        <v>7853</v>
      </c>
      <c r="E181" s="64">
        <v>7601.8320000000003</v>
      </c>
      <c r="F181" s="64">
        <v>7258.4</v>
      </c>
      <c r="G181" s="64">
        <v>6907.7780000000002</v>
      </c>
      <c r="H181" s="76"/>
      <c r="I181" s="64"/>
      <c r="J181" s="64"/>
      <c r="K181" s="64"/>
      <c r="L181" s="71"/>
    </row>
    <row r="182" spans="2:12">
      <c r="B182" s="55" t="s">
        <v>55</v>
      </c>
      <c r="C182" s="64">
        <v>963.5</v>
      </c>
      <c r="D182" s="64">
        <v>949</v>
      </c>
      <c r="E182" s="64">
        <v>890.65800000000002</v>
      </c>
      <c r="F182" s="64">
        <v>894</v>
      </c>
      <c r="G182" s="64">
        <v>849.726</v>
      </c>
      <c r="H182" s="76"/>
      <c r="I182" s="64"/>
      <c r="J182" s="64"/>
      <c r="K182" s="64"/>
      <c r="L182" s="71"/>
    </row>
    <row r="183" spans="2:12">
      <c r="B183" s="55" t="s">
        <v>56</v>
      </c>
      <c r="C183" s="64">
        <v>1046.5</v>
      </c>
      <c r="D183" s="64">
        <v>855</v>
      </c>
      <c r="E183" s="64">
        <v>833.11</v>
      </c>
      <c r="F183" s="64">
        <v>834</v>
      </c>
      <c r="G183" s="64">
        <v>743.21600000000001</v>
      </c>
      <c r="H183" s="76"/>
      <c r="I183" s="64"/>
      <c r="J183" s="64"/>
      <c r="K183" s="64"/>
      <c r="L183" s="71"/>
    </row>
    <row r="184" spans="2:12">
      <c r="B184" s="55" t="s">
        <v>57</v>
      </c>
      <c r="C184" s="64">
        <v>14207</v>
      </c>
      <c r="D184" s="64">
        <v>13964</v>
      </c>
      <c r="E184" s="64">
        <v>13643.168</v>
      </c>
      <c r="F184" s="64">
        <v>13677</v>
      </c>
      <c r="G184" s="64">
        <v>13038.12</v>
      </c>
      <c r="H184" s="76"/>
      <c r="I184" s="64"/>
      <c r="J184" s="64"/>
      <c r="K184" s="64"/>
      <c r="L184" s="71"/>
    </row>
    <row r="185" spans="2:12" ht="13.5" thickBot="1">
      <c r="B185" s="57" t="s">
        <v>20</v>
      </c>
      <c r="C185" s="68">
        <f>SUM(C180:C184)</f>
        <v>25507.046000000002</v>
      </c>
      <c r="D185" s="68">
        <f t="shared" ref="D185" si="210">SUM(D180:D184)</f>
        <v>24785</v>
      </c>
      <c r="E185" s="68">
        <f t="shared" ref="E185" si="211">SUM(E180:E184)</f>
        <v>24137.053</v>
      </c>
      <c r="F185" s="68">
        <f t="shared" ref="F185" si="212">SUM(F180:F184)</f>
        <v>23823.4</v>
      </c>
      <c r="G185" s="69">
        <f t="shared" ref="G185" si="213">SUM(G180:G184)</f>
        <v>22523.899000000001</v>
      </c>
      <c r="H185" s="78">
        <f t="shared" ref="H185" si="214">SUM(H180:H184)</f>
        <v>0</v>
      </c>
      <c r="I185" s="68">
        <f t="shared" ref="I185" si="215">SUM(I180:I184)</f>
        <v>0</v>
      </c>
      <c r="J185" s="68">
        <f t="shared" ref="J185" si="216">SUM(J180:J184)</f>
        <v>0</v>
      </c>
      <c r="K185" s="68">
        <f t="shared" ref="K185" si="217">SUM(K180:K184)</f>
        <v>0</v>
      </c>
      <c r="L185" s="73">
        <f t="shared" ref="L185" si="218">SUM(L180:L184)</f>
        <v>0</v>
      </c>
    </row>
    <row r="186" spans="2:12">
      <c r="B186" s="25" t="s">
        <v>59</v>
      </c>
      <c r="C186" s="25" t="s">
        <v>64</v>
      </c>
      <c r="D186" s="13"/>
      <c r="E186" s="13"/>
      <c r="F186" s="13"/>
      <c r="G186" s="13"/>
      <c r="H186" s="13"/>
      <c r="I186" s="13"/>
      <c r="J186" s="13"/>
      <c r="K186" s="13"/>
      <c r="L186" s="13"/>
    </row>
    <row r="187" spans="2:12">
      <c r="B187" s="25"/>
      <c r="C187" s="37"/>
    </row>
    <row r="188" spans="2:12" ht="13.5" thickBot="1"/>
    <row r="189" spans="2:12" ht="15">
      <c r="B189" s="53" t="str">
        <f>B15</f>
        <v>WPD S Wales</v>
      </c>
      <c r="C189" s="54" t="str">
        <f>C49</f>
        <v>2005-06</v>
      </c>
      <c r="D189" s="58" t="str">
        <f t="shared" ref="D189:L189" si="219">D49</f>
        <v>2006-07</v>
      </c>
      <c r="E189" s="58" t="str">
        <f t="shared" si="219"/>
        <v>2007-08</v>
      </c>
      <c r="F189" s="58" t="str">
        <f t="shared" si="219"/>
        <v>2008-09</v>
      </c>
      <c r="G189" s="59" t="str">
        <f t="shared" si="219"/>
        <v>2009-10</v>
      </c>
      <c r="H189" s="74" t="str">
        <f t="shared" si="219"/>
        <v>2010-11</v>
      </c>
      <c r="I189" s="54" t="str">
        <f t="shared" si="219"/>
        <v>2011-12</v>
      </c>
      <c r="J189" s="54" t="str">
        <f t="shared" si="219"/>
        <v>2012-13</v>
      </c>
      <c r="K189" s="54" t="str">
        <f t="shared" si="219"/>
        <v>2013-14</v>
      </c>
      <c r="L189" s="59" t="str">
        <f t="shared" si="219"/>
        <v>2014-15</v>
      </c>
    </row>
    <row r="190" spans="2:12">
      <c r="B190" s="60" t="s">
        <v>48</v>
      </c>
      <c r="C190" s="52"/>
      <c r="D190" s="52"/>
      <c r="E190" s="52"/>
      <c r="F190" s="52"/>
      <c r="G190" s="56"/>
      <c r="H190" s="75"/>
      <c r="I190" s="52"/>
      <c r="J190" s="52"/>
      <c r="K190" s="52"/>
      <c r="L190" s="70"/>
    </row>
    <row r="191" spans="2:12">
      <c r="B191" s="55" t="s">
        <v>61</v>
      </c>
      <c r="C191" s="64">
        <v>0</v>
      </c>
      <c r="D191" s="64">
        <v>0</v>
      </c>
      <c r="E191" s="64">
        <v>0</v>
      </c>
      <c r="F191" s="64">
        <v>0</v>
      </c>
      <c r="G191" s="64">
        <v>0</v>
      </c>
      <c r="H191" s="76"/>
      <c r="I191" s="64"/>
      <c r="J191" s="64"/>
      <c r="K191" s="64"/>
      <c r="L191" s="71"/>
    </row>
    <row r="192" spans="2:12">
      <c r="B192" s="55" t="s">
        <v>49</v>
      </c>
      <c r="C192" s="64">
        <v>13817.739</v>
      </c>
      <c r="D192" s="64">
        <v>13427.514999999999</v>
      </c>
      <c r="E192" s="64">
        <v>13328.388000000001</v>
      </c>
      <c r="F192" s="64">
        <v>12916.446</v>
      </c>
      <c r="G192" s="64">
        <v>12689.146000000001</v>
      </c>
      <c r="H192" s="76"/>
      <c r="I192" s="64"/>
      <c r="J192" s="64"/>
      <c r="K192" s="64"/>
      <c r="L192" s="71"/>
    </row>
    <row r="193" spans="2:12">
      <c r="B193" s="55"/>
      <c r="C193" s="64">
        <f>SUM(C191:C192)</f>
        <v>13817.739</v>
      </c>
      <c r="D193" s="64">
        <f t="shared" ref="D193" si="220">SUM(D191:D192)</f>
        <v>13427.514999999999</v>
      </c>
      <c r="E193" s="64">
        <f t="shared" ref="E193" si="221">SUM(E191:E192)</f>
        <v>13328.388000000001</v>
      </c>
      <c r="F193" s="64">
        <f t="shared" ref="F193" si="222">SUM(F191:F192)</f>
        <v>12916.446</v>
      </c>
      <c r="G193" s="65">
        <f t="shared" ref="G193" si="223">SUM(G191:G192)</f>
        <v>12689.146000000001</v>
      </c>
      <c r="H193" s="76">
        <f t="shared" ref="H193" si="224">SUM(H191:H192)</f>
        <v>0</v>
      </c>
      <c r="I193" s="64">
        <f t="shared" ref="I193" si="225">SUM(I191:I192)</f>
        <v>0</v>
      </c>
      <c r="J193" s="64">
        <f t="shared" ref="J193" si="226">SUM(J191:J192)</f>
        <v>0</v>
      </c>
      <c r="K193" s="64">
        <f t="shared" ref="K193" si="227">SUM(K191:K192)</f>
        <v>0</v>
      </c>
      <c r="L193" s="71">
        <f t="shared" ref="L193" si="228">SUM(L191:L192)</f>
        <v>0</v>
      </c>
    </row>
    <row r="194" spans="2:12">
      <c r="B194" s="60" t="s">
        <v>50</v>
      </c>
      <c r="C194" s="64"/>
      <c r="D194" s="64"/>
      <c r="E194" s="64"/>
      <c r="F194" s="64"/>
      <c r="G194" s="65"/>
      <c r="H194" s="76"/>
      <c r="I194" s="64"/>
      <c r="J194" s="64"/>
      <c r="K194" s="64"/>
      <c r="L194" s="71"/>
    </row>
    <row r="195" spans="2:12">
      <c r="B195" s="55" t="s">
        <v>51</v>
      </c>
      <c r="C195" s="64">
        <v>170.655</v>
      </c>
      <c r="D195" s="64">
        <v>159.26</v>
      </c>
      <c r="E195" s="64">
        <v>173.9</v>
      </c>
      <c r="F195" s="64">
        <v>174.74700000000001</v>
      </c>
      <c r="G195" s="64">
        <v>161.26499999999999</v>
      </c>
      <c r="H195" s="76"/>
      <c r="I195" s="64"/>
      <c r="J195" s="64"/>
      <c r="K195" s="64"/>
      <c r="L195" s="71"/>
    </row>
    <row r="196" spans="2:12">
      <c r="B196" s="55" t="s">
        <v>52</v>
      </c>
      <c r="C196" s="64">
        <v>12992.512000000001</v>
      </c>
      <c r="D196" s="64">
        <v>12593.257</v>
      </c>
      <c r="E196" s="64">
        <v>12479.251</v>
      </c>
      <c r="F196" s="64">
        <v>12179.46</v>
      </c>
      <c r="G196" s="64">
        <v>11889.119000000001</v>
      </c>
      <c r="H196" s="76"/>
      <c r="I196" s="64"/>
      <c r="J196" s="64"/>
      <c r="K196" s="64"/>
      <c r="L196" s="71"/>
    </row>
    <row r="197" spans="2:12">
      <c r="B197" s="55" t="s">
        <v>58</v>
      </c>
      <c r="C197" s="64">
        <v>0</v>
      </c>
      <c r="D197" s="64">
        <v>0</v>
      </c>
      <c r="E197" s="64">
        <v>0</v>
      </c>
      <c r="F197" s="64">
        <v>0</v>
      </c>
      <c r="G197" s="64">
        <v>0</v>
      </c>
      <c r="H197" s="76"/>
      <c r="I197" s="64"/>
      <c r="J197" s="64"/>
      <c r="K197" s="64"/>
      <c r="L197" s="71"/>
    </row>
    <row r="198" spans="2:12">
      <c r="B198" s="55"/>
      <c r="C198" s="64">
        <f>SUM(C195:C197)</f>
        <v>13163.167000000001</v>
      </c>
      <c r="D198" s="64">
        <f t="shared" ref="D198" si="229">SUM(D195:D197)</f>
        <v>12752.517</v>
      </c>
      <c r="E198" s="64">
        <f t="shared" ref="E198" si="230">SUM(E195:E197)</f>
        <v>12653.151</v>
      </c>
      <c r="F198" s="64">
        <f t="shared" ref="F198" si="231">SUM(F195:F197)</f>
        <v>12354.206999999999</v>
      </c>
      <c r="G198" s="65">
        <f t="shared" ref="G198" si="232">SUM(G195:G197)</f>
        <v>12050.384</v>
      </c>
      <c r="H198" s="76">
        <f t="shared" ref="H198" si="233">SUM(H195:H197)</f>
        <v>0</v>
      </c>
      <c r="I198" s="64">
        <f t="shared" ref="I198" si="234">SUM(I195:I197)</f>
        <v>0</v>
      </c>
      <c r="J198" s="64">
        <f t="shared" ref="J198" si="235">SUM(J195:J197)</f>
        <v>0</v>
      </c>
      <c r="K198" s="64">
        <f t="shared" ref="K198" si="236">SUM(K195:K197)</f>
        <v>0</v>
      </c>
      <c r="L198" s="71">
        <f t="shared" ref="L198" si="237">SUM(L195:L197)</f>
        <v>0</v>
      </c>
    </row>
    <row r="199" spans="2:12">
      <c r="B199" s="55"/>
      <c r="C199" s="64"/>
      <c r="D199" s="64"/>
      <c r="E199" s="64"/>
      <c r="F199" s="64"/>
      <c r="G199" s="65"/>
      <c r="H199" s="76"/>
      <c r="I199" s="64"/>
      <c r="J199" s="64"/>
      <c r="K199" s="64"/>
      <c r="L199" s="71"/>
    </row>
    <row r="200" spans="2:12">
      <c r="B200" s="61" t="s">
        <v>43</v>
      </c>
      <c r="C200" s="64">
        <f>C193-C198</f>
        <v>654.5719999999983</v>
      </c>
      <c r="D200" s="64">
        <f t="shared" ref="D200:L200" si="238">D193-D198</f>
        <v>674.99799999999959</v>
      </c>
      <c r="E200" s="64">
        <f t="shared" si="238"/>
        <v>675.23700000000099</v>
      </c>
      <c r="F200" s="64">
        <f t="shared" si="238"/>
        <v>562.2390000000014</v>
      </c>
      <c r="G200" s="65">
        <f t="shared" si="238"/>
        <v>638.76200000000063</v>
      </c>
      <c r="H200" s="76">
        <f t="shared" si="238"/>
        <v>0</v>
      </c>
      <c r="I200" s="64">
        <f t="shared" si="238"/>
        <v>0</v>
      </c>
      <c r="J200" s="64">
        <f t="shared" si="238"/>
        <v>0</v>
      </c>
      <c r="K200" s="64">
        <f t="shared" si="238"/>
        <v>0</v>
      </c>
      <c r="L200" s="71">
        <f t="shared" si="238"/>
        <v>0</v>
      </c>
    </row>
    <row r="201" spans="2:12">
      <c r="B201" s="55" t="s">
        <v>445</v>
      </c>
      <c r="C201" s="62">
        <f>C200/C193</f>
        <v>4.7371860186387824E-2</v>
      </c>
      <c r="D201" s="62">
        <f t="shared" ref="D201" si="239">D200/D193</f>
        <v>5.0269763243608337E-2</v>
      </c>
      <c r="E201" s="62">
        <f t="shared" ref="E201" si="240">E200/E193</f>
        <v>5.0661565374597511E-2</v>
      </c>
      <c r="F201" s="62">
        <f t="shared" ref="F201" si="241">F200/F193</f>
        <v>4.3528924287687294E-2</v>
      </c>
      <c r="G201" s="63">
        <f t="shared" ref="G201" si="242">G200/G193</f>
        <v>5.0339242688199864E-2</v>
      </c>
      <c r="H201" s="77" t="e">
        <f t="shared" ref="H201" si="243">H200/H193</f>
        <v>#DIV/0!</v>
      </c>
      <c r="I201" s="66" t="e">
        <f t="shared" ref="I201" si="244">I200/I193</f>
        <v>#DIV/0!</v>
      </c>
      <c r="J201" s="66" t="e">
        <f t="shared" ref="J201" si="245">J200/J193</f>
        <v>#DIV/0!</v>
      </c>
      <c r="K201" s="66" t="e">
        <f t="shared" ref="K201" si="246">K200/K193</f>
        <v>#DIV/0!</v>
      </c>
      <c r="L201" s="72" t="e">
        <f t="shared" ref="L201" si="247">L200/L193</f>
        <v>#DIV/0!</v>
      </c>
    </row>
    <row r="202" spans="2:12">
      <c r="B202" s="55" t="s">
        <v>446</v>
      </c>
      <c r="C202" s="62">
        <f>C200/C198</f>
        <v>4.9727546569909672E-2</v>
      </c>
      <c r="D202" s="62">
        <f t="shared" ref="D202:L202" si="248">D200/D198</f>
        <v>5.2930570490515687E-2</v>
      </c>
      <c r="E202" s="62">
        <f t="shared" si="248"/>
        <v>5.3365126204532057E-2</v>
      </c>
      <c r="F202" s="62">
        <f t="shared" si="248"/>
        <v>4.5509922247538956E-2</v>
      </c>
      <c r="G202" s="62">
        <f t="shared" si="248"/>
        <v>5.3007605400790601E-2</v>
      </c>
      <c r="H202" s="80" t="e">
        <f t="shared" si="248"/>
        <v>#DIV/0!</v>
      </c>
      <c r="I202" s="62" t="e">
        <f t="shared" si="248"/>
        <v>#DIV/0!</v>
      </c>
      <c r="J202" s="62" t="e">
        <f t="shared" si="248"/>
        <v>#DIV/0!</v>
      </c>
      <c r="K202" s="62" t="e">
        <f t="shared" si="248"/>
        <v>#DIV/0!</v>
      </c>
      <c r="L202" s="81" t="e">
        <f t="shared" si="248"/>
        <v>#DIV/0!</v>
      </c>
    </row>
    <row r="203" spans="2:12">
      <c r="B203" s="61"/>
      <c r="C203" s="62"/>
      <c r="D203" s="62"/>
      <c r="E203" s="62"/>
      <c r="F203" s="62"/>
      <c r="G203" s="63"/>
      <c r="H203" s="77"/>
      <c r="I203" s="66"/>
      <c r="J203" s="66"/>
      <c r="K203" s="66"/>
      <c r="L203" s="72"/>
    </row>
    <row r="204" spans="2:12">
      <c r="B204" s="61" t="s">
        <v>329</v>
      </c>
      <c r="C204" s="66">
        <v>7.493417</v>
      </c>
      <c r="D204" s="66">
        <v>9.4575449999999996</v>
      </c>
      <c r="E204" s="66">
        <v>1.8742110000000001</v>
      </c>
      <c r="F204" s="66">
        <v>3.1818339999999998</v>
      </c>
      <c r="G204" s="66">
        <v>2.5478399999999999</v>
      </c>
      <c r="H204" s="77"/>
      <c r="I204" s="66"/>
      <c r="J204" s="66"/>
      <c r="K204" s="66"/>
      <c r="L204" s="72"/>
    </row>
    <row r="205" spans="2:12">
      <c r="B205" s="55" t="s">
        <v>328</v>
      </c>
      <c r="C205" s="66">
        <v>9.295795</v>
      </c>
      <c r="D205" s="66">
        <v>9.5904170000000004</v>
      </c>
      <c r="E205" s="66">
        <v>1.871332</v>
      </c>
      <c r="F205" s="66">
        <v>3.1818339999999998</v>
      </c>
      <c r="G205" s="66">
        <v>2.5478399999999999</v>
      </c>
      <c r="H205" s="77"/>
      <c r="I205" s="66"/>
      <c r="J205" s="66"/>
      <c r="K205" s="66"/>
      <c r="L205" s="72"/>
    </row>
    <row r="206" spans="2:12">
      <c r="B206" s="55"/>
      <c r="C206" s="64"/>
      <c r="D206" s="64"/>
      <c r="E206" s="64"/>
      <c r="F206" s="64"/>
      <c r="G206" s="65"/>
      <c r="H206" s="76"/>
      <c r="I206" s="64"/>
      <c r="J206" s="64"/>
      <c r="K206" s="64"/>
      <c r="L206" s="71"/>
    </row>
    <row r="207" spans="2:12">
      <c r="B207" s="60" t="s">
        <v>53</v>
      </c>
      <c r="C207" s="64"/>
      <c r="D207" s="64"/>
      <c r="E207" s="64"/>
      <c r="F207" s="64"/>
      <c r="G207" s="65"/>
      <c r="H207" s="76"/>
      <c r="I207" s="64"/>
      <c r="J207" s="64"/>
      <c r="K207" s="64"/>
      <c r="L207" s="71"/>
    </row>
    <row r="208" spans="2:12">
      <c r="B208" s="55" t="s">
        <v>54</v>
      </c>
      <c r="C208" s="64">
        <v>3070.8139999999999</v>
      </c>
      <c r="D208" s="64">
        <v>3016.0279999999998</v>
      </c>
      <c r="E208" s="64">
        <v>2954.8380000000002</v>
      </c>
      <c r="F208" s="64">
        <v>2654.5729999999999</v>
      </c>
      <c r="G208" s="64">
        <v>2666.3339999999998</v>
      </c>
      <c r="H208" s="76"/>
      <c r="I208" s="64"/>
      <c r="J208" s="64"/>
      <c r="K208" s="64"/>
      <c r="L208" s="71"/>
    </row>
    <row r="209" spans="2:12">
      <c r="B209" s="55" t="s">
        <v>28</v>
      </c>
      <c r="C209" s="64">
        <v>2676.36</v>
      </c>
      <c r="D209" s="64">
        <v>2491.1799999999998</v>
      </c>
      <c r="E209" s="64">
        <v>2482.1080000000002</v>
      </c>
      <c r="F209" s="64">
        <v>2357.1790000000001</v>
      </c>
      <c r="G209" s="64">
        <v>2273.194</v>
      </c>
      <c r="H209" s="76"/>
      <c r="I209" s="64"/>
      <c r="J209" s="64"/>
      <c r="K209" s="64"/>
      <c r="L209" s="71"/>
    </row>
    <row r="210" spans="2:12">
      <c r="B210" s="55" t="s">
        <v>55</v>
      </c>
      <c r="C210" s="64">
        <v>438.35500000000002</v>
      </c>
      <c r="D210" s="64">
        <v>433.74599999999998</v>
      </c>
      <c r="E210" s="64">
        <v>420.625</v>
      </c>
      <c r="F210" s="64">
        <v>439.608</v>
      </c>
      <c r="G210" s="64">
        <v>424.81700000000001</v>
      </c>
      <c r="H210" s="76"/>
      <c r="I210" s="64"/>
      <c r="J210" s="64"/>
      <c r="K210" s="64"/>
      <c r="L210" s="71"/>
    </row>
    <row r="211" spans="2:12">
      <c r="B211" s="55" t="s">
        <v>56</v>
      </c>
      <c r="C211" s="64">
        <v>443.28899999999999</v>
      </c>
      <c r="D211" s="64">
        <v>362.82100000000003</v>
      </c>
      <c r="E211" s="64">
        <v>370.12599999999998</v>
      </c>
      <c r="F211" s="64">
        <v>387.58499999999998</v>
      </c>
      <c r="G211" s="64">
        <v>359.07</v>
      </c>
      <c r="H211" s="76"/>
      <c r="I211" s="64"/>
      <c r="J211" s="64"/>
      <c r="K211" s="64"/>
      <c r="L211" s="71"/>
    </row>
    <row r="212" spans="2:12">
      <c r="B212" s="55" t="s">
        <v>57</v>
      </c>
      <c r="C212" s="64">
        <v>6546.4930000000004</v>
      </c>
      <c r="D212" s="64">
        <v>6448.7420000000002</v>
      </c>
      <c r="E212" s="64">
        <v>6425.4539999999997</v>
      </c>
      <c r="F212" s="64">
        <v>6515.2619999999997</v>
      </c>
      <c r="G212" s="64">
        <v>6326.9690000000001</v>
      </c>
      <c r="H212" s="76"/>
      <c r="I212" s="64"/>
      <c r="J212" s="64"/>
      <c r="K212" s="64"/>
      <c r="L212" s="71"/>
    </row>
    <row r="213" spans="2:12" ht="13.5" thickBot="1">
      <c r="B213" s="57" t="s">
        <v>20</v>
      </c>
      <c r="C213" s="68">
        <f>SUM(C208:C212)</f>
        <v>13175.311000000002</v>
      </c>
      <c r="D213" s="68">
        <f t="shared" ref="D213" si="249">SUM(D208:D212)</f>
        <v>12752.517</v>
      </c>
      <c r="E213" s="68">
        <f t="shared" ref="E213" si="250">SUM(E208:E212)</f>
        <v>12653.151</v>
      </c>
      <c r="F213" s="68">
        <f t="shared" ref="F213" si="251">SUM(F208:F212)</f>
        <v>12354.207</v>
      </c>
      <c r="G213" s="69">
        <f t="shared" ref="G213" si="252">SUM(G208:G212)</f>
        <v>12050.384</v>
      </c>
      <c r="H213" s="78">
        <f t="shared" ref="H213" si="253">SUM(H208:H212)</f>
        <v>0</v>
      </c>
      <c r="I213" s="68">
        <f t="shared" ref="I213" si="254">SUM(I208:I212)</f>
        <v>0</v>
      </c>
      <c r="J213" s="68">
        <f t="shared" ref="J213" si="255">SUM(J208:J212)</f>
        <v>0</v>
      </c>
      <c r="K213" s="68">
        <f t="shared" ref="K213" si="256">SUM(K208:K212)</f>
        <v>0</v>
      </c>
      <c r="L213" s="73">
        <f t="shared" ref="L213" si="257">SUM(L208:L212)</f>
        <v>0</v>
      </c>
    </row>
    <row r="214" spans="2:12">
      <c r="B214" s="25" t="s">
        <v>59</v>
      </c>
      <c r="C214" s="25" t="s">
        <v>64</v>
      </c>
      <c r="D214" s="13"/>
      <c r="E214" s="13"/>
      <c r="F214" s="13"/>
      <c r="G214" s="13"/>
      <c r="H214" s="13"/>
      <c r="I214" s="13"/>
      <c r="J214" s="13"/>
      <c r="K214" s="13"/>
      <c r="L214" s="13"/>
    </row>
    <row r="215" spans="2:12">
      <c r="B215" s="25"/>
      <c r="C215" s="37"/>
    </row>
    <row r="216" spans="2:12" ht="13.5" thickBot="1"/>
    <row r="217" spans="2:12" ht="15">
      <c r="B217" s="53" t="str">
        <f>B16</f>
        <v>WPD S West</v>
      </c>
      <c r="C217" s="54" t="str">
        <f>C49</f>
        <v>2005-06</v>
      </c>
      <c r="D217" s="58" t="str">
        <f t="shared" ref="D217:L217" si="258">D49</f>
        <v>2006-07</v>
      </c>
      <c r="E217" s="58" t="str">
        <f t="shared" si="258"/>
        <v>2007-08</v>
      </c>
      <c r="F217" s="58" t="str">
        <f t="shared" si="258"/>
        <v>2008-09</v>
      </c>
      <c r="G217" s="59" t="str">
        <f t="shared" si="258"/>
        <v>2009-10</v>
      </c>
      <c r="H217" s="74" t="str">
        <f t="shared" si="258"/>
        <v>2010-11</v>
      </c>
      <c r="I217" s="54" t="str">
        <f t="shared" si="258"/>
        <v>2011-12</v>
      </c>
      <c r="J217" s="54" t="str">
        <f t="shared" si="258"/>
        <v>2012-13</v>
      </c>
      <c r="K217" s="54" t="str">
        <f t="shared" si="258"/>
        <v>2013-14</v>
      </c>
      <c r="L217" s="59" t="str">
        <f t="shared" si="258"/>
        <v>2014-15</v>
      </c>
    </row>
    <row r="218" spans="2:12">
      <c r="B218" s="60" t="s">
        <v>48</v>
      </c>
      <c r="C218" s="52"/>
      <c r="D218" s="52"/>
      <c r="E218" s="52"/>
      <c r="F218" s="52"/>
      <c r="G218" s="56"/>
      <c r="H218" s="75"/>
      <c r="I218" s="52"/>
      <c r="J218" s="52"/>
      <c r="K218" s="52"/>
      <c r="L218" s="70"/>
    </row>
    <row r="219" spans="2:12">
      <c r="B219" s="55" t="s">
        <v>61</v>
      </c>
      <c r="C219" s="64">
        <v>0</v>
      </c>
      <c r="D219" s="64">
        <v>0</v>
      </c>
      <c r="E219" s="64">
        <v>0</v>
      </c>
      <c r="F219" s="64">
        <v>0</v>
      </c>
      <c r="G219" s="64">
        <v>0</v>
      </c>
      <c r="H219" s="76"/>
      <c r="I219" s="64"/>
      <c r="J219" s="64"/>
      <c r="K219" s="64"/>
      <c r="L219" s="71"/>
    </row>
    <row r="220" spans="2:12">
      <c r="B220" s="55" t="s">
        <v>49</v>
      </c>
      <c r="C220" s="64">
        <v>16934.553</v>
      </c>
      <c r="D220" s="64">
        <v>16286.171</v>
      </c>
      <c r="E220" s="64">
        <v>16239.06</v>
      </c>
      <c r="F220" s="64">
        <v>15925.58</v>
      </c>
      <c r="G220" s="64">
        <v>15586.602999999999</v>
      </c>
      <c r="H220" s="76"/>
      <c r="I220" s="64"/>
      <c r="J220" s="64"/>
      <c r="K220" s="64"/>
      <c r="L220" s="71"/>
    </row>
    <row r="221" spans="2:12">
      <c r="B221" s="55"/>
      <c r="C221" s="64">
        <f>SUM(C219:C220)</f>
        <v>16934.553</v>
      </c>
      <c r="D221" s="64">
        <f t="shared" ref="D221" si="259">SUM(D219:D220)</f>
        <v>16286.171</v>
      </c>
      <c r="E221" s="64">
        <f t="shared" ref="E221" si="260">SUM(E219:E220)</f>
        <v>16239.06</v>
      </c>
      <c r="F221" s="64">
        <f t="shared" ref="F221" si="261">SUM(F219:F220)</f>
        <v>15925.58</v>
      </c>
      <c r="G221" s="65">
        <f t="shared" ref="G221" si="262">SUM(G219:G220)</f>
        <v>15586.602999999999</v>
      </c>
      <c r="H221" s="76">
        <f t="shared" ref="H221" si="263">SUM(H219:H220)</f>
        <v>0</v>
      </c>
      <c r="I221" s="64">
        <f t="shared" ref="I221" si="264">SUM(I219:I220)</f>
        <v>0</v>
      </c>
      <c r="J221" s="64">
        <f t="shared" ref="J221" si="265">SUM(J219:J220)</f>
        <v>0</v>
      </c>
      <c r="K221" s="64">
        <f t="shared" ref="K221" si="266">SUM(K219:K220)</f>
        <v>0</v>
      </c>
      <c r="L221" s="71">
        <f t="shared" ref="L221" si="267">SUM(L219:L220)</f>
        <v>0</v>
      </c>
    </row>
    <row r="222" spans="2:12">
      <c r="B222" s="60" t="s">
        <v>50</v>
      </c>
      <c r="C222" s="64"/>
      <c r="D222" s="64"/>
      <c r="E222" s="64"/>
      <c r="F222" s="64"/>
      <c r="G222" s="65"/>
      <c r="H222" s="76"/>
      <c r="I222" s="64"/>
      <c r="J222" s="64"/>
      <c r="K222" s="64"/>
      <c r="L222" s="71"/>
    </row>
    <row r="223" spans="2:12">
      <c r="B223" s="55" t="s">
        <v>51</v>
      </c>
      <c r="C223" s="64">
        <v>170.327</v>
      </c>
      <c r="D223" s="64">
        <v>180.23599999999999</v>
      </c>
      <c r="E223" s="64">
        <v>186.52600000000001</v>
      </c>
      <c r="F223" s="64">
        <v>178.64</v>
      </c>
      <c r="G223" s="64">
        <v>211.251</v>
      </c>
      <c r="H223" s="76"/>
      <c r="I223" s="64"/>
      <c r="J223" s="64"/>
      <c r="K223" s="64"/>
      <c r="L223" s="71"/>
    </row>
    <row r="224" spans="2:12">
      <c r="B224" s="55" t="s">
        <v>52</v>
      </c>
      <c r="C224" s="64">
        <v>15854.259</v>
      </c>
      <c r="D224" s="64">
        <v>15223.74</v>
      </c>
      <c r="E224" s="64">
        <v>15028.995999999999</v>
      </c>
      <c r="F224" s="64">
        <v>14764.855</v>
      </c>
      <c r="G224" s="64">
        <v>14402.925999999999</v>
      </c>
      <c r="H224" s="76"/>
      <c r="I224" s="64"/>
      <c r="J224" s="64"/>
      <c r="K224" s="64"/>
      <c r="L224" s="71"/>
    </row>
    <row r="225" spans="2:12">
      <c r="B225" s="55" t="s">
        <v>58</v>
      </c>
      <c r="C225" s="64">
        <v>0</v>
      </c>
      <c r="D225" s="64">
        <v>0</v>
      </c>
      <c r="E225" s="64">
        <v>0</v>
      </c>
      <c r="F225" s="64">
        <v>0</v>
      </c>
      <c r="G225" s="64">
        <v>0</v>
      </c>
      <c r="H225" s="76"/>
      <c r="I225" s="64"/>
      <c r="J225" s="64"/>
      <c r="K225" s="64"/>
      <c r="L225" s="71"/>
    </row>
    <row r="226" spans="2:12">
      <c r="B226" s="55"/>
      <c r="C226" s="64">
        <f>SUM(C223:C225)</f>
        <v>16024.585999999999</v>
      </c>
      <c r="D226" s="64">
        <f t="shared" ref="D226" si="268">SUM(D223:D225)</f>
        <v>15403.976000000001</v>
      </c>
      <c r="E226" s="64">
        <f t="shared" ref="E226" si="269">SUM(E223:E225)</f>
        <v>15215.521999999999</v>
      </c>
      <c r="F226" s="64">
        <f t="shared" ref="F226" si="270">SUM(F223:F225)</f>
        <v>14943.494999999999</v>
      </c>
      <c r="G226" s="65">
        <f t="shared" ref="G226" si="271">SUM(G223:G225)</f>
        <v>14614.177</v>
      </c>
      <c r="H226" s="76">
        <f t="shared" ref="H226" si="272">SUM(H223:H225)</f>
        <v>0</v>
      </c>
      <c r="I226" s="64">
        <f t="shared" ref="I226" si="273">SUM(I223:I225)</f>
        <v>0</v>
      </c>
      <c r="J226" s="64">
        <f t="shared" ref="J226" si="274">SUM(J223:J225)</f>
        <v>0</v>
      </c>
      <c r="K226" s="64">
        <f t="shared" ref="K226" si="275">SUM(K223:K225)</f>
        <v>0</v>
      </c>
      <c r="L226" s="71">
        <f t="shared" ref="L226" si="276">SUM(L223:L225)</f>
        <v>0</v>
      </c>
    </row>
    <row r="227" spans="2:12">
      <c r="B227" s="55"/>
      <c r="C227" s="64"/>
      <c r="D227" s="64"/>
      <c r="E227" s="64"/>
      <c r="F227" s="64"/>
      <c r="G227" s="65"/>
      <c r="H227" s="76"/>
      <c r="I227" s="64"/>
      <c r="J227" s="64"/>
      <c r="K227" s="64"/>
      <c r="L227" s="71"/>
    </row>
    <row r="228" spans="2:12">
      <c r="B228" s="61" t="s">
        <v>43</v>
      </c>
      <c r="C228" s="64">
        <f>C221-C226</f>
        <v>909.96700000000055</v>
      </c>
      <c r="D228" s="64">
        <f t="shared" ref="D228:L228" si="277">D221-D226</f>
        <v>882.19499999999971</v>
      </c>
      <c r="E228" s="64">
        <f t="shared" si="277"/>
        <v>1023.5380000000005</v>
      </c>
      <c r="F228" s="64">
        <f t="shared" si="277"/>
        <v>982.08500000000095</v>
      </c>
      <c r="G228" s="65">
        <f t="shared" si="277"/>
        <v>972.42599999999948</v>
      </c>
      <c r="H228" s="76">
        <f t="shared" si="277"/>
        <v>0</v>
      </c>
      <c r="I228" s="64">
        <f t="shared" si="277"/>
        <v>0</v>
      </c>
      <c r="J228" s="64">
        <f t="shared" si="277"/>
        <v>0</v>
      </c>
      <c r="K228" s="64">
        <f t="shared" si="277"/>
        <v>0</v>
      </c>
      <c r="L228" s="71">
        <f t="shared" si="277"/>
        <v>0</v>
      </c>
    </row>
    <row r="229" spans="2:12">
      <c r="B229" s="55" t="s">
        <v>445</v>
      </c>
      <c r="C229" s="62">
        <f>C228/C221</f>
        <v>5.3734338308191576E-2</v>
      </c>
      <c r="D229" s="62">
        <f t="shared" ref="D229" si="278">D228/D221</f>
        <v>5.4168349331466539E-2</v>
      </c>
      <c r="E229" s="62">
        <f t="shared" ref="E229" si="279">E228/E221</f>
        <v>6.3029387168961781E-2</v>
      </c>
      <c r="F229" s="62">
        <f t="shared" ref="F229" si="280">F228/F221</f>
        <v>6.1667141793265989E-2</v>
      </c>
      <c r="G229" s="63">
        <f t="shared" ref="G229" si="281">G228/G221</f>
        <v>6.2388578191155543E-2</v>
      </c>
      <c r="H229" s="77" t="e">
        <f t="shared" ref="H229" si="282">H228/H221</f>
        <v>#DIV/0!</v>
      </c>
      <c r="I229" s="66" t="e">
        <f t="shared" ref="I229" si="283">I228/I221</f>
        <v>#DIV/0!</v>
      </c>
      <c r="J229" s="66" t="e">
        <f t="shared" ref="J229" si="284">J228/J221</f>
        <v>#DIV/0!</v>
      </c>
      <c r="K229" s="66" t="e">
        <f t="shared" ref="K229" si="285">K228/K221</f>
        <v>#DIV/0!</v>
      </c>
      <c r="L229" s="72" t="e">
        <f t="shared" ref="L229" si="286">L228/L221</f>
        <v>#DIV/0!</v>
      </c>
    </row>
    <row r="230" spans="2:12">
      <c r="B230" s="55" t="s">
        <v>446</v>
      </c>
      <c r="C230" s="62">
        <f>C228/C226</f>
        <v>5.6785679205690595E-2</v>
      </c>
      <c r="D230" s="62">
        <f t="shared" ref="D230:L230" si="287">D228/D226</f>
        <v>5.7270603381880086E-2</v>
      </c>
      <c r="E230" s="62">
        <f t="shared" si="287"/>
        <v>6.7269331936163648E-2</v>
      </c>
      <c r="F230" s="62">
        <f t="shared" si="287"/>
        <v>6.5719900197376918E-2</v>
      </c>
      <c r="G230" s="62">
        <f t="shared" si="287"/>
        <v>6.653990847380592E-2</v>
      </c>
      <c r="H230" s="80" t="e">
        <f t="shared" si="287"/>
        <v>#DIV/0!</v>
      </c>
      <c r="I230" s="62" t="e">
        <f t="shared" si="287"/>
        <v>#DIV/0!</v>
      </c>
      <c r="J230" s="62" t="e">
        <f t="shared" si="287"/>
        <v>#DIV/0!</v>
      </c>
      <c r="K230" s="62" t="e">
        <f t="shared" si="287"/>
        <v>#DIV/0!</v>
      </c>
      <c r="L230" s="81" t="e">
        <f t="shared" si="287"/>
        <v>#DIV/0!</v>
      </c>
    </row>
    <row r="231" spans="2:12">
      <c r="B231" s="61"/>
      <c r="C231" s="62"/>
      <c r="D231" s="62"/>
      <c r="E231" s="62"/>
      <c r="F231" s="62"/>
      <c r="G231" s="63"/>
      <c r="H231" s="77"/>
      <c r="I231" s="66"/>
      <c r="J231" s="66"/>
      <c r="K231" s="66"/>
      <c r="L231" s="72"/>
    </row>
    <row r="232" spans="2:12">
      <c r="B232" s="61" t="s">
        <v>329</v>
      </c>
      <c r="C232" s="66">
        <v>0.25574599999999997</v>
      </c>
      <c r="D232" s="66">
        <v>-1.405786</v>
      </c>
      <c r="E232" s="66">
        <v>-2.4219210000000002</v>
      </c>
      <c r="F232" s="66">
        <v>2.637276</v>
      </c>
      <c r="G232" s="66">
        <v>-2.4767570000000001</v>
      </c>
      <c r="H232" s="77"/>
      <c r="I232" s="66"/>
      <c r="J232" s="66"/>
      <c r="K232" s="66"/>
      <c r="L232" s="72"/>
    </row>
    <row r="233" spans="2:12">
      <c r="B233" s="55" t="s">
        <v>328</v>
      </c>
      <c r="C233" s="66">
        <v>-5.9552000000000001E-2</v>
      </c>
      <c r="D233" s="66">
        <v>-1.998974</v>
      </c>
      <c r="E233" s="66">
        <v>-2.572111</v>
      </c>
      <c r="F233" s="66">
        <v>2.637276</v>
      </c>
      <c r="G233" s="66">
        <v>-2.4767570000000001</v>
      </c>
      <c r="H233" s="77"/>
      <c r="I233" s="66"/>
      <c r="J233" s="66"/>
      <c r="K233" s="66"/>
      <c r="L233" s="72"/>
    </row>
    <row r="234" spans="2:12">
      <c r="B234" s="55"/>
      <c r="C234" s="64"/>
      <c r="D234" s="64"/>
      <c r="E234" s="64"/>
      <c r="F234" s="64"/>
      <c r="G234" s="65"/>
      <c r="H234" s="76"/>
      <c r="I234" s="64"/>
      <c r="J234" s="64"/>
      <c r="K234" s="64"/>
      <c r="L234" s="71"/>
    </row>
    <row r="235" spans="2:12">
      <c r="B235" s="60" t="s">
        <v>53</v>
      </c>
      <c r="C235" s="64"/>
      <c r="D235" s="64"/>
      <c r="E235" s="64"/>
      <c r="F235" s="64"/>
      <c r="G235" s="65"/>
      <c r="H235" s="76"/>
      <c r="I235" s="64"/>
      <c r="J235" s="64"/>
      <c r="K235" s="64"/>
      <c r="L235" s="71"/>
    </row>
    <row r="236" spans="2:12">
      <c r="B236" s="55" t="s">
        <v>54</v>
      </c>
      <c r="C236" s="64">
        <v>516.64599999999996</v>
      </c>
      <c r="D236" s="64">
        <v>532.66600000000005</v>
      </c>
      <c r="E236" s="64">
        <v>519.39300000000003</v>
      </c>
      <c r="F236" s="64">
        <v>297.69900000000001</v>
      </c>
      <c r="G236" s="64">
        <v>296.84300000000002</v>
      </c>
      <c r="H236" s="76"/>
      <c r="I236" s="64"/>
      <c r="J236" s="64"/>
      <c r="K236" s="64"/>
      <c r="L236" s="71"/>
    </row>
    <row r="237" spans="2:12">
      <c r="B237" s="55" t="s">
        <v>28</v>
      </c>
      <c r="C237" s="64">
        <v>3766.462</v>
      </c>
      <c r="D237" s="64">
        <v>3654.7330000000002</v>
      </c>
      <c r="E237" s="64">
        <v>3560.431</v>
      </c>
      <c r="F237" s="64">
        <v>3457.183</v>
      </c>
      <c r="G237" s="64">
        <v>3327.27</v>
      </c>
      <c r="H237" s="76"/>
      <c r="I237" s="64"/>
      <c r="J237" s="64"/>
      <c r="K237" s="64"/>
      <c r="L237" s="71"/>
    </row>
    <row r="238" spans="2:12">
      <c r="B238" s="55" t="s">
        <v>55</v>
      </c>
      <c r="C238" s="64">
        <v>1284.489</v>
      </c>
      <c r="D238" s="64">
        <v>1241.3689999999999</v>
      </c>
      <c r="E238" s="64">
        <v>1205.672</v>
      </c>
      <c r="F238" s="64">
        <v>1221.2380000000001</v>
      </c>
      <c r="G238" s="64">
        <v>1207.3489999999999</v>
      </c>
      <c r="H238" s="76"/>
      <c r="I238" s="64"/>
      <c r="J238" s="64"/>
      <c r="K238" s="64"/>
      <c r="L238" s="71"/>
    </row>
    <row r="239" spans="2:12">
      <c r="B239" s="55" t="s">
        <v>56</v>
      </c>
      <c r="C239" s="64">
        <v>1626.84</v>
      </c>
      <c r="D239" s="64">
        <v>1295.1210000000001</v>
      </c>
      <c r="E239" s="64">
        <v>1314.1469999999999</v>
      </c>
      <c r="F239" s="64">
        <v>1352.1120000000001</v>
      </c>
      <c r="G239" s="64">
        <v>1263.941</v>
      </c>
      <c r="H239" s="76"/>
      <c r="I239" s="64"/>
      <c r="J239" s="64"/>
      <c r="K239" s="64"/>
      <c r="L239" s="71"/>
    </row>
    <row r="240" spans="2:12">
      <c r="B240" s="55" t="s">
        <v>57</v>
      </c>
      <c r="C240" s="64">
        <v>8830.1489999999994</v>
      </c>
      <c r="D240" s="64">
        <v>8680.0869999999995</v>
      </c>
      <c r="E240" s="64">
        <v>8615.8790000000008</v>
      </c>
      <c r="F240" s="64">
        <v>8615.2630000000008</v>
      </c>
      <c r="G240" s="64">
        <v>8518.7739999999994</v>
      </c>
      <c r="H240" s="76"/>
      <c r="I240" s="64"/>
      <c r="J240" s="64"/>
      <c r="K240" s="64"/>
      <c r="L240" s="71"/>
    </row>
    <row r="241" spans="2:12" ht="13.5" thickBot="1">
      <c r="B241" s="57" t="s">
        <v>20</v>
      </c>
      <c r="C241" s="68">
        <f>SUM(C236:C240)</f>
        <v>16024.585999999999</v>
      </c>
      <c r="D241" s="68">
        <f t="shared" ref="D241" si="288">SUM(D236:D240)</f>
        <v>15403.975999999999</v>
      </c>
      <c r="E241" s="68">
        <f t="shared" ref="E241" si="289">SUM(E236:E240)</f>
        <v>15215.522000000001</v>
      </c>
      <c r="F241" s="68">
        <f t="shared" ref="F241" si="290">SUM(F236:F240)</f>
        <v>14943.495000000001</v>
      </c>
      <c r="G241" s="69">
        <f t="shared" ref="G241" si="291">SUM(G236:G240)</f>
        <v>14614.177</v>
      </c>
      <c r="H241" s="78">
        <f t="shared" ref="H241" si="292">SUM(H236:H240)</f>
        <v>0</v>
      </c>
      <c r="I241" s="68">
        <f t="shared" ref="I241" si="293">SUM(I236:I240)</f>
        <v>0</v>
      </c>
      <c r="J241" s="68">
        <f t="shared" ref="J241" si="294">SUM(J236:J240)</f>
        <v>0</v>
      </c>
      <c r="K241" s="68">
        <f t="shared" ref="K241" si="295">SUM(K236:K240)</f>
        <v>0</v>
      </c>
      <c r="L241" s="73">
        <f t="shared" ref="L241" si="296">SUM(L236:L240)</f>
        <v>0</v>
      </c>
    </row>
    <row r="242" spans="2:12">
      <c r="B242" s="25" t="s">
        <v>59</v>
      </c>
      <c r="C242" s="25" t="s">
        <v>64</v>
      </c>
      <c r="D242" s="13"/>
      <c r="E242" s="13"/>
      <c r="F242" s="13"/>
      <c r="G242" s="13"/>
      <c r="H242" s="13"/>
      <c r="I242" s="13"/>
      <c r="J242" s="13"/>
      <c r="K242" s="13"/>
      <c r="L242" s="13"/>
    </row>
    <row r="243" spans="2:12">
      <c r="B243" s="25"/>
      <c r="C243" s="37"/>
    </row>
    <row r="244" spans="2:12" ht="13.5" thickBot="1"/>
    <row r="245" spans="2:12" ht="15">
      <c r="B245" s="53" t="str">
        <f>B17</f>
        <v>UKPN LPN</v>
      </c>
      <c r="C245" s="54" t="str">
        <f>C49</f>
        <v>2005-06</v>
      </c>
      <c r="D245" s="58" t="str">
        <f t="shared" ref="D245:L245" si="297">D49</f>
        <v>2006-07</v>
      </c>
      <c r="E245" s="58" t="str">
        <f t="shared" si="297"/>
        <v>2007-08</v>
      </c>
      <c r="F245" s="58" t="str">
        <f t="shared" si="297"/>
        <v>2008-09</v>
      </c>
      <c r="G245" s="59" t="str">
        <f t="shared" si="297"/>
        <v>2009-10</v>
      </c>
      <c r="H245" s="74" t="str">
        <f t="shared" si="297"/>
        <v>2010-11</v>
      </c>
      <c r="I245" s="54" t="str">
        <f t="shared" si="297"/>
        <v>2011-12</v>
      </c>
      <c r="J245" s="54" t="str">
        <f t="shared" si="297"/>
        <v>2012-13</v>
      </c>
      <c r="K245" s="54" t="str">
        <f t="shared" si="297"/>
        <v>2013-14</v>
      </c>
      <c r="L245" s="59" t="str">
        <f t="shared" si="297"/>
        <v>2014-15</v>
      </c>
    </row>
    <row r="246" spans="2:12">
      <c r="B246" s="60" t="s">
        <v>48</v>
      </c>
      <c r="C246" s="52"/>
      <c r="D246" s="52"/>
      <c r="E246" s="52"/>
      <c r="F246" s="52"/>
      <c r="G246" s="56"/>
      <c r="H246" s="75"/>
      <c r="I246" s="52"/>
      <c r="J246" s="52"/>
      <c r="K246" s="52"/>
      <c r="L246" s="70"/>
    </row>
    <row r="247" spans="2:12">
      <c r="B247" s="55" t="s">
        <v>61</v>
      </c>
      <c r="C247" s="64">
        <v>0</v>
      </c>
      <c r="D247" s="64">
        <v>0</v>
      </c>
      <c r="E247" s="64">
        <v>0</v>
      </c>
      <c r="F247" s="64">
        <v>0</v>
      </c>
      <c r="G247" s="64">
        <v>0</v>
      </c>
      <c r="H247" s="76"/>
      <c r="I247" s="64"/>
      <c r="J247" s="64"/>
      <c r="K247" s="64"/>
      <c r="L247" s="71"/>
    </row>
    <row r="248" spans="2:12">
      <c r="B248" s="55" t="s">
        <v>49</v>
      </c>
      <c r="C248" s="64">
        <v>31569.093000000001</v>
      </c>
      <c r="D248" s="64">
        <v>31356.23</v>
      </c>
      <c r="E248" s="64">
        <v>31508.9</v>
      </c>
      <c r="F248" s="64">
        <v>31785.694</v>
      </c>
      <c r="G248" s="64">
        <v>31217.858</v>
      </c>
      <c r="H248" s="76"/>
      <c r="I248" s="64"/>
      <c r="J248" s="64"/>
      <c r="K248" s="64"/>
      <c r="L248" s="71"/>
    </row>
    <row r="249" spans="2:12">
      <c r="B249" s="55"/>
      <c r="C249" s="64">
        <f>SUM(C247:C248)</f>
        <v>31569.093000000001</v>
      </c>
      <c r="D249" s="64">
        <f t="shared" ref="D249" si="298">SUM(D247:D248)</f>
        <v>31356.23</v>
      </c>
      <c r="E249" s="64">
        <f t="shared" ref="E249" si="299">SUM(E247:E248)</f>
        <v>31508.9</v>
      </c>
      <c r="F249" s="64">
        <f t="shared" ref="F249" si="300">SUM(F247:F248)</f>
        <v>31785.694</v>
      </c>
      <c r="G249" s="65">
        <f t="shared" ref="G249" si="301">SUM(G247:G248)</f>
        <v>31217.858</v>
      </c>
      <c r="H249" s="76">
        <f t="shared" ref="H249" si="302">SUM(H247:H248)</f>
        <v>0</v>
      </c>
      <c r="I249" s="64">
        <f t="shared" ref="I249" si="303">SUM(I247:I248)</f>
        <v>0</v>
      </c>
      <c r="J249" s="64">
        <f t="shared" ref="J249" si="304">SUM(J247:J248)</f>
        <v>0</v>
      </c>
      <c r="K249" s="64">
        <f t="shared" ref="K249" si="305">SUM(K247:K248)</f>
        <v>0</v>
      </c>
      <c r="L249" s="71">
        <f t="shared" ref="L249" si="306">SUM(L247:L248)</f>
        <v>0</v>
      </c>
    </row>
    <row r="250" spans="2:12">
      <c r="B250" s="60" t="s">
        <v>50</v>
      </c>
      <c r="C250" s="64"/>
      <c r="D250" s="64"/>
      <c r="E250" s="64"/>
      <c r="F250" s="64"/>
      <c r="G250" s="65"/>
      <c r="H250" s="76"/>
      <c r="I250" s="64"/>
      <c r="J250" s="64"/>
      <c r="K250" s="64"/>
      <c r="L250" s="71"/>
    </row>
    <row r="251" spans="2:12">
      <c r="B251" s="55" t="s">
        <v>51</v>
      </c>
      <c r="C251" s="64">
        <v>0</v>
      </c>
      <c r="D251" s="64">
        <v>0</v>
      </c>
      <c r="E251" s="64">
        <v>0</v>
      </c>
      <c r="F251" s="64">
        <v>0</v>
      </c>
      <c r="G251" s="64">
        <v>0</v>
      </c>
      <c r="H251" s="76"/>
      <c r="I251" s="64"/>
      <c r="J251" s="64"/>
      <c r="K251" s="64"/>
      <c r="L251" s="71"/>
    </row>
    <row r="252" spans="2:12">
      <c r="B252" s="55" t="s">
        <v>52</v>
      </c>
      <c r="C252" s="64">
        <v>29909.528999999999</v>
      </c>
      <c r="D252" s="64">
        <v>29773.955999999998</v>
      </c>
      <c r="E252" s="64">
        <v>29771.732</v>
      </c>
      <c r="F252" s="64">
        <v>30040.212</v>
      </c>
      <c r="G252" s="64">
        <v>29585.353999999999</v>
      </c>
      <c r="H252" s="76"/>
      <c r="I252" s="64"/>
      <c r="J252" s="64"/>
      <c r="K252" s="64"/>
      <c r="L252" s="71"/>
    </row>
    <row r="253" spans="2:12">
      <c r="B253" s="55" t="s">
        <v>58</v>
      </c>
      <c r="C253" s="64">
        <v>0</v>
      </c>
      <c r="D253" s="64">
        <v>0</v>
      </c>
      <c r="E253" s="64">
        <v>0</v>
      </c>
      <c r="F253" s="64">
        <v>0</v>
      </c>
      <c r="G253" s="64">
        <v>0</v>
      </c>
      <c r="H253" s="76"/>
      <c r="I253" s="64"/>
      <c r="J253" s="64"/>
      <c r="K253" s="64"/>
      <c r="L253" s="71"/>
    </row>
    <row r="254" spans="2:12">
      <c r="B254" s="55"/>
      <c r="C254" s="64">
        <f>SUM(C251:C253)</f>
        <v>29909.528999999999</v>
      </c>
      <c r="D254" s="64">
        <f t="shared" ref="D254" si="307">SUM(D251:D253)</f>
        <v>29773.955999999998</v>
      </c>
      <c r="E254" s="64">
        <f t="shared" ref="E254" si="308">SUM(E251:E253)</f>
        <v>29771.732</v>
      </c>
      <c r="F254" s="64">
        <f t="shared" ref="F254" si="309">SUM(F251:F253)</f>
        <v>30040.212</v>
      </c>
      <c r="G254" s="65">
        <f t="shared" ref="G254" si="310">SUM(G251:G253)</f>
        <v>29585.353999999999</v>
      </c>
      <c r="H254" s="76">
        <f t="shared" ref="H254" si="311">SUM(H251:H253)</f>
        <v>0</v>
      </c>
      <c r="I254" s="64">
        <f t="shared" ref="I254" si="312">SUM(I251:I253)</f>
        <v>0</v>
      </c>
      <c r="J254" s="64">
        <f t="shared" ref="J254" si="313">SUM(J251:J253)</f>
        <v>0</v>
      </c>
      <c r="K254" s="64">
        <f t="shared" ref="K254" si="314">SUM(K251:K253)</f>
        <v>0</v>
      </c>
      <c r="L254" s="71">
        <f t="shared" ref="L254" si="315">SUM(L251:L253)</f>
        <v>0</v>
      </c>
    </row>
    <row r="255" spans="2:12">
      <c r="B255" s="55"/>
      <c r="C255" s="64"/>
      <c r="D255" s="64"/>
      <c r="E255" s="64"/>
      <c r="F255" s="64"/>
      <c r="G255" s="65"/>
      <c r="H255" s="76"/>
      <c r="I255" s="64"/>
      <c r="J255" s="64"/>
      <c r="K255" s="64"/>
      <c r="L255" s="71"/>
    </row>
    <row r="256" spans="2:12">
      <c r="B256" s="61" t="s">
        <v>43</v>
      </c>
      <c r="C256" s="64">
        <f>C249-C254</f>
        <v>1659.5640000000021</v>
      </c>
      <c r="D256" s="64">
        <f t="shared" ref="D256:L256" si="316">D249-D254</f>
        <v>1582.2740000000013</v>
      </c>
      <c r="E256" s="64">
        <f t="shared" si="316"/>
        <v>1737.1680000000015</v>
      </c>
      <c r="F256" s="64">
        <f t="shared" si="316"/>
        <v>1745.482</v>
      </c>
      <c r="G256" s="65">
        <f t="shared" si="316"/>
        <v>1632.5040000000008</v>
      </c>
      <c r="H256" s="76">
        <f t="shared" si="316"/>
        <v>0</v>
      </c>
      <c r="I256" s="64">
        <f t="shared" si="316"/>
        <v>0</v>
      </c>
      <c r="J256" s="64">
        <f t="shared" si="316"/>
        <v>0</v>
      </c>
      <c r="K256" s="64">
        <f t="shared" si="316"/>
        <v>0</v>
      </c>
      <c r="L256" s="71">
        <f t="shared" si="316"/>
        <v>0</v>
      </c>
    </row>
    <row r="257" spans="2:12">
      <c r="B257" s="55" t="s">
        <v>445</v>
      </c>
      <c r="C257" s="62">
        <f>C256/C249</f>
        <v>5.2569264501834183E-2</v>
      </c>
      <c r="D257" s="62">
        <f t="shared" ref="D257" si="317">D256/D249</f>
        <v>5.0461232106028091E-2</v>
      </c>
      <c r="E257" s="62">
        <f t="shared" ref="E257" si="318">E256/E249</f>
        <v>5.5132613325124057E-2</v>
      </c>
      <c r="F257" s="62">
        <f t="shared" ref="F257" si="319">F256/F249</f>
        <v>5.4914075495724586E-2</v>
      </c>
      <c r="G257" s="63">
        <f t="shared" ref="G257" si="320">G256/G249</f>
        <v>5.2293914592090235E-2</v>
      </c>
      <c r="H257" s="77" t="e">
        <f t="shared" ref="H257" si="321">H256/H249</f>
        <v>#DIV/0!</v>
      </c>
      <c r="I257" s="66" t="e">
        <f t="shared" ref="I257" si="322">I256/I249</f>
        <v>#DIV/0!</v>
      </c>
      <c r="J257" s="66" t="e">
        <f t="shared" ref="J257" si="323">J256/J249</f>
        <v>#DIV/0!</v>
      </c>
      <c r="K257" s="66" t="e">
        <f t="shared" ref="K257" si="324">K256/K249</f>
        <v>#DIV/0!</v>
      </c>
      <c r="L257" s="72" t="e">
        <f t="shared" ref="L257" si="325">L256/L249</f>
        <v>#DIV/0!</v>
      </c>
    </row>
    <row r="258" spans="2:12">
      <c r="B258" s="55" t="s">
        <v>446</v>
      </c>
      <c r="C258" s="62">
        <f>C256/C254</f>
        <v>5.5486129520795936E-2</v>
      </c>
      <c r="D258" s="62">
        <f t="shared" ref="D258:L258" si="326">D256/D254</f>
        <v>5.3142887696885202E-2</v>
      </c>
      <c r="E258" s="62">
        <f t="shared" si="326"/>
        <v>5.834957804940611E-2</v>
      </c>
      <c r="F258" s="62">
        <f t="shared" si="326"/>
        <v>5.8104849592938955E-2</v>
      </c>
      <c r="G258" s="62">
        <f t="shared" si="326"/>
        <v>5.5179464812217589E-2</v>
      </c>
      <c r="H258" s="80" t="e">
        <f t="shared" si="326"/>
        <v>#DIV/0!</v>
      </c>
      <c r="I258" s="62" t="e">
        <f t="shared" si="326"/>
        <v>#DIV/0!</v>
      </c>
      <c r="J258" s="62" t="e">
        <f t="shared" si="326"/>
        <v>#DIV/0!</v>
      </c>
      <c r="K258" s="62" t="e">
        <f t="shared" si="326"/>
        <v>#DIV/0!</v>
      </c>
      <c r="L258" s="81" t="e">
        <f t="shared" si="326"/>
        <v>#DIV/0!</v>
      </c>
    </row>
    <row r="259" spans="2:12">
      <c r="B259" s="61"/>
      <c r="C259" s="62"/>
      <c r="D259" s="62"/>
      <c r="E259" s="62"/>
      <c r="F259" s="62"/>
      <c r="G259" s="63"/>
      <c r="H259" s="77"/>
      <c r="I259" s="66"/>
      <c r="J259" s="66"/>
      <c r="K259" s="66"/>
      <c r="L259" s="72"/>
    </row>
    <row r="260" spans="2:12">
      <c r="B260" s="61" t="s">
        <v>329</v>
      </c>
      <c r="C260" s="66">
        <v>4.821663</v>
      </c>
      <c r="D260" s="66">
        <v>17.957405000000001</v>
      </c>
      <c r="E260" s="66">
        <v>12.484318</v>
      </c>
      <c r="F260" s="66">
        <v>11.957613</v>
      </c>
      <c r="G260" s="66">
        <v>17.222856</v>
      </c>
      <c r="H260" s="77"/>
      <c r="I260" s="66"/>
      <c r="J260" s="66"/>
      <c r="K260" s="66"/>
      <c r="L260" s="72"/>
    </row>
    <row r="261" spans="2:12">
      <c r="B261" s="55" t="s">
        <v>328</v>
      </c>
      <c r="C261" s="66">
        <v>11.453585</v>
      </c>
      <c r="D261" s="66">
        <v>18.357583000000002</v>
      </c>
      <c r="E261" s="66">
        <v>11.53314</v>
      </c>
      <c r="F261" s="66">
        <v>12.003518</v>
      </c>
      <c r="G261" s="66">
        <v>17.225750999999999</v>
      </c>
      <c r="H261" s="77"/>
      <c r="I261" s="66"/>
      <c r="J261" s="66"/>
      <c r="K261" s="66"/>
      <c r="L261" s="72"/>
    </row>
    <row r="262" spans="2:12">
      <c r="B262" s="55"/>
      <c r="C262" s="64"/>
      <c r="D262" s="64"/>
      <c r="E262" s="64"/>
      <c r="F262" s="64"/>
      <c r="G262" s="65"/>
      <c r="H262" s="76"/>
      <c r="I262" s="64"/>
      <c r="J262" s="64"/>
      <c r="K262" s="64"/>
      <c r="L262" s="71"/>
    </row>
    <row r="263" spans="2:12">
      <c r="B263" s="60" t="s">
        <v>53</v>
      </c>
      <c r="C263" s="64"/>
      <c r="D263" s="64"/>
      <c r="E263" s="64"/>
      <c r="F263" s="64"/>
      <c r="G263" s="65"/>
      <c r="H263" s="76"/>
      <c r="I263" s="64"/>
      <c r="J263" s="64"/>
      <c r="K263" s="64"/>
      <c r="L263" s="71"/>
    </row>
    <row r="264" spans="2:12">
      <c r="B264" s="55" t="s">
        <v>54</v>
      </c>
      <c r="C264" s="64">
        <v>2424.4360000000001</v>
      </c>
      <c r="D264" s="64">
        <v>2365.2449999999999</v>
      </c>
      <c r="E264" s="64">
        <v>2250.5259999999998</v>
      </c>
      <c r="F264" s="64">
        <v>2169.1750000000002</v>
      </c>
      <c r="G264" s="64">
        <v>2206.328</v>
      </c>
      <c r="H264" s="76"/>
      <c r="I264" s="64"/>
      <c r="J264" s="64"/>
      <c r="K264" s="64"/>
      <c r="L264" s="71"/>
    </row>
    <row r="265" spans="2:12">
      <c r="B265" s="55" t="s">
        <v>28</v>
      </c>
      <c r="C265" s="64">
        <v>7464.6139999999996</v>
      </c>
      <c r="D265" s="64">
        <v>7826.0690000000004</v>
      </c>
      <c r="E265" s="64">
        <v>7801.5590000000002</v>
      </c>
      <c r="F265" s="64">
        <v>8033.07</v>
      </c>
      <c r="G265" s="64">
        <v>8022.6750000000002</v>
      </c>
      <c r="H265" s="76"/>
      <c r="I265" s="64"/>
      <c r="J265" s="64"/>
      <c r="K265" s="64"/>
      <c r="L265" s="71"/>
    </row>
    <row r="266" spans="2:12">
      <c r="B266" s="55" t="s">
        <v>55</v>
      </c>
      <c r="C266" s="64">
        <v>853.452</v>
      </c>
      <c r="D266" s="64">
        <v>958.33500000000004</v>
      </c>
      <c r="E266" s="64">
        <v>961.66399999999999</v>
      </c>
      <c r="F266" s="64">
        <v>953.24599999999998</v>
      </c>
      <c r="G266" s="64">
        <v>951.28499999999997</v>
      </c>
      <c r="H266" s="76"/>
      <c r="I266" s="64"/>
      <c r="J266" s="64"/>
      <c r="K266" s="64"/>
      <c r="L266" s="71"/>
    </row>
    <row r="267" spans="2:12">
      <c r="B267" s="55" t="s">
        <v>56</v>
      </c>
      <c r="C267" s="64">
        <v>864.84799999999996</v>
      </c>
      <c r="D267" s="64">
        <v>800.5</v>
      </c>
      <c r="E267" s="64">
        <v>802.97699999999998</v>
      </c>
      <c r="F267" s="64">
        <v>816.7</v>
      </c>
      <c r="G267" s="64">
        <v>795.44100000000003</v>
      </c>
      <c r="H267" s="76"/>
      <c r="I267" s="64"/>
      <c r="J267" s="64"/>
      <c r="K267" s="64"/>
      <c r="L267" s="71"/>
    </row>
    <row r="268" spans="2:12">
      <c r="B268" s="55" t="s">
        <v>57</v>
      </c>
      <c r="C268" s="64">
        <v>18302.179</v>
      </c>
      <c r="D268" s="64">
        <v>17823.807000000001</v>
      </c>
      <c r="E268" s="64">
        <v>17955.006000000001</v>
      </c>
      <c r="F268" s="64">
        <v>18068.021000000001</v>
      </c>
      <c r="G268" s="64">
        <v>17609.624</v>
      </c>
      <c r="H268" s="76"/>
      <c r="I268" s="64"/>
      <c r="J268" s="64"/>
      <c r="K268" s="64"/>
      <c r="L268" s="71"/>
    </row>
    <row r="269" spans="2:12" ht="13.5" thickBot="1">
      <c r="B269" s="57" t="s">
        <v>20</v>
      </c>
      <c r="C269" s="68">
        <f>SUM(C264:C268)</f>
        <v>29909.528999999999</v>
      </c>
      <c r="D269" s="68">
        <f t="shared" ref="D269" si="327">SUM(D264:D268)</f>
        <v>29773.956000000002</v>
      </c>
      <c r="E269" s="68">
        <f t="shared" ref="E269" si="328">SUM(E264:E268)</f>
        <v>29771.732000000004</v>
      </c>
      <c r="F269" s="68">
        <f t="shared" ref="F269" si="329">SUM(F264:F268)</f>
        <v>30040.212</v>
      </c>
      <c r="G269" s="69">
        <f t="shared" ref="G269" si="330">SUM(G264:G268)</f>
        <v>29585.353000000003</v>
      </c>
      <c r="H269" s="78">
        <f t="shared" ref="H269" si="331">SUM(H264:H268)</f>
        <v>0</v>
      </c>
      <c r="I269" s="68">
        <f t="shared" ref="I269" si="332">SUM(I264:I268)</f>
        <v>0</v>
      </c>
      <c r="J269" s="68">
        <f t="shared" ref="J269" si="333">SUM(J264:J268)</f>
        <v>0</v>
      </c>
      <c r="K269" s="68">
        <f t="shared" ref="K269" si="334">SUM(K264:K268)</f>
        <v>0</v>
      </c>
      <c r="L269" s="73">
        <f t="shared" ref="L269" si="335">SUM(L264:L268)</f>
        <v>0</v>
      </c>
    </row>
    <row r="270" spans="2:12">
      <c r="B270" s="25" t="s">
        <v>59</v>
      </c>
      <c r="C270" s="25" t="s">
        <v>64</v>
      </c>
      <c r="D270" s="13"/>
      <c r="E270" s="13"/>
      <c r="F270" s="13"/>
      <c r="G270" s="13"/>
      <c r="H270" s="13"/>
      <c r="I270" s="13"/>
      <c r="J270" s="13"/>
      <c r="K270" s="13"/>
      <c r="L270" s="13"/>
    </row>
    <row r="271" spans="2:12">
      <c r="B271" s="25"/>
      <c r="C271" s="37"/>
    </row>
    <row r="272" spans="2:12" ht="13.5" thickBot="1"/>
    <row r="273" spans="2:12" ht="15">
      <c r="B273" s="53" t="str">
        <f>B18</f>
        <v>UKPN SEPN</v>
      </c>
      <c r="C273" s="54" t="str">
        <f>C49</f>
        <v>2005-06</v>
      </c>
      <c r="D273" s="58" t="str">
        <f t="shared" ref="D273:L273" si="336">D49</f>
        <v>2006-07</v>
      </c>
      <c r="E273" s="58" t="str">
        <f t="shared" si="336"/>
        <v>2007-08</v>
      </c>
      <c r="F273" s="58" t="str">
        <f t="shared" si="336"/>
        <v>2008-09</v>
      </c>
      <c r="G273" s="59" t="str">
        <f t="shared" si="336"/>
        <v>2009-10</v>
      </c>
      <c r="H273" s="74" t="str">
        <f t="shared" si="336"/>
        <v>2010-11</v>
      </c>
      <c r="I273" s="54" t="str">
        <f t="shared" si="336"/>
        <v>2011-12</v>
      </c>
      <c r="J273" s="54" t="str">
        <f t="shared" si="336"/>
        <v>2012-13</v>
      </c>
      <c r="K273" s="54" t="str">
        <f t="shared" si="336"/>
        <v>2013-14</v>
      </c>
      <c r="L273" s="59" t="str">
        <f t="shared" si="336"/>
        <v>2014-15</v>
      </c>
    </row>
    <row r="274" spans="2:12">
      <c r="B274" s="60" t="s">
        <v>48</v>
      </c>
      <c r="C274" s="52"/>
      <c r="D274" s="52"/>
      <c r="E274" s="52"/>
      <c r="F274" s="52"/>
      <c r="G274" s="56"/>
      <c r="H274" s="75"/>
      <c r="I274" s="52"/>
      <c r="J274" s="52"/>
      <c r="K274" s="52"/>
      <c r="L274" s="70"/>
    </row>
    <row r="275" spans="2:12">
      <c r="B275" s="55" t="s">
        <v>61</v>
      </c>
      <c r="C275" s="64">
        <v>0</v>
      </c>
      <c r="D275" s="64">
        <v>0</v>
      </c>
      <c r="E275" s="64">
        <v>0</v>
      </c>
      <c r="F275" s="64">
        <v>0</v>
      </c>
      <c r="G275" s="64">
        <v>0</v>
      </c>
      <c r="H275" s="76"/>
      <c r="I275" s="64"/>
      <c r="J275" s="64"/>
      <c r="K275" s="64"/>
      <c r="L275" s="71"/>
    </row>
    <row r="276" spans="2:12">
      <c r="B276" s="55" t="s">
        <v>49</v>
      </c>
      <c r="C276" s="64">
        <v>24480.307000000001</v>
      </c>
      <c r="D276" s="64">
        <v>24075.732</v>
      </c>
      <c r="E276" s="64">
        <v>24094.553</v>
      </c>
      <c r="F276" s="64">
        <v>23781.68</v>
      </c>
      <c r="G276" s="64">
        <v>23277.226999999999</v>
      </c>
      <c r="H276" s="76"/>
      <c r="I276" s="64"/>
      <c r="J276" s="64"/>
      <c r="K276" s="64"/>
      <c r="L276" s="71"/>
    </row>
    <row r="277" spans="2:12">
      <c r="B277" s="55"/>
      <c r="C277" s="64">
        <f>SUM(C275:C276)</f>
        <v>24480.307000000001</v>
      </c>
      <c r="D277" s="64">
        <f t="shared" ref="D277" si="337">SUM(D275:D276)</f>
        <v>24075.732</v>
      </c>
      <c r="E277" s="64">
        <f t="shared" ref="E277" si="338">SUM(E275:E276)</f>
        <v>24094.553</v>
      </c>
      <c r="F277" s="64">
        <f t="shared" ref="F277" si="339">SUM(F275:F276)</f>
        <v>23781.68</v>
      </c>
      <c r="G277" s="65">
        <f t="shared" ref="G277" si="340">SUM(G275:G276)</f>
        <v>23277.226999999999</v>
      </c>
      <c r="H277" s="76">
        <f t="shared" ref="H277" si="341">SUM(H275:H276)</f>
        <v>0</v>
      </c>
      <c r="I277" s="64">
        <f t="shared" ref="I277" si="342">SUM(I275:I276)</f>
        <v>0</v>
      </c>
      <c r="J277" s="64">
        <f t="shared" ref="J277" si="343">SUM(J275:J276)</f>
        <v>0</v>
      </c>
      <c r="K277" s="64">
        <f t="shared" ref="K277" si="344">SUM(K275:K276)</f>
        <v>0</v>
      </c>
      <c r="L277" s="71">
        <f t="shared" ref="L277" si="345">SUM(L275:L276)</f>
        <v>0</v>
      </c>
    </row>
    <row r="278" spans="2:12">
      <c r="B278" s="60" t="s">
        <v>50</v>
      </c>
      <c r="C278" s="64"/>
      <c r="D278" s="64"/>
      <c r="E278" s="64"/>
      <c r="F278" s="64"/>
      <c r="G278" s="65"/>
      <c r="H278" s="76"/>
      <c r="I278" s="64"/>
      <c r="J278" s="64"/>
      <c r="K278" s="64"/>
      <c r="L278" s="71"/>
    </row>
    <row r="279" spans="2:12">
      <c r="B279" s="55" t="s">
        <v>51</v>
      </c>
      <c r="C279" s="64">
        <v>0</v>
      </c>
      <c r="D279" s="64">
        <v>0</v>
      </c>
      <c r="E279" s="64">
        <v>0</v>
      </c>
      <c r="F279" s="64">
        <v>0</v>
      </c>
      <c r="G279" s="64">
        <v>0</v>
      </c>
      <c r="H279" s="76"/>
      <c r="I279" s="64"/>
      <c r="J279" s="64"/>
      <c r="K279" s="64"/>
      <c r="L279" s="71"/>
    </row>
    <row r="280" spans="2:12">
      <c r="B280" s="55" t="s">
        <v>52</v>
      </c>
      <c r="C280" s="64">
        <v>23121.198</v>
      </c>
      <c r="D280" s="64">
        <v>22803.758000000002</v>
      </c>
      <c r="E280" s="64">
        <v>22750.984</v>
      </c>
      <c r="F280" s="64">
        <v>22442.992999999999</v>
      </c>
      <c r="G280" s="64">
        <v>22134.716</v>
      </c>
      <c r="H280" s="76"/>
      <c r="I280" s="64"/>
      <c r="J280" s="64"/>
      <c r="K280" s="64"/>
      <c r="L280" s="71"/>
    </row>
    <row r="281" spans="2:12">
      <c r="B281" s="55" t="s">
        <v>58</v>
      </c>
      <c r="C281" s="64">
        <v>0</v>
      </c>
      <c r="D281" s="64">
        <v>0</v>
      </c>
      <c r="E281" s="64">
        <v>0</v>
      </c>
      <c r="F281" s="64">
        <v>0</v>
      </c>
      <c r="G281" s="64">
        <v>0</v>
      </c>
      <c r="H281" s="76"/>
      <c r="I281" s="64"/>
      <c r="J281" s="64"/>
      <c r="K281" s="64"/>
      <c r="L281" s="71"/>
    </row>
    <row r="282" spans="2:12">
      <c r="B282" s="55"/>
      <c r="C282" s="64">
        <f>SUM(C279:C281)</f>
        <v>23121.198</v>
      </c>
      <c r="D282" s="64">
        <f t="shared" ref="D282" si="346">SUM(D279:D281)</f>
        <v>22803.758000000002</v>
      </c>
      <c r="E282" s="64">
        <f t="shared" ref="E282" si="347">SUM(E279:E281)</f>
        <v>22750.984</v>
      </c>
      <c r="F282" s="64">
        <f t="shared" ref="F282" si="348">SUM(F279:F281)</f>
        <v>22442.992999999999</v>
      </c>
      <c r="G282" s="65">
        <f t="shared" ref="G282" si="349">SUM(G279:G281)</f>
        <v>22134.716</v>
      </c>
      <c r="H282" s="76">
        <f t="shared" ref="H282" si="350">SUM(H279:H281)</f>
        <v>0</v>
      </c>
      <c r="I282" s="64">
        <f t="shared" ref="I282" si="351">SUM(I279:I281)</f>
        <v>0</v>
      </c>
      <c r="J282" s="64">
        <f t="shared" ref="J282" si="352">SUM(J279:J281)</f>
        <v>0</v>
      </c>
      <c r="K282" s="64">
        <f t="shared" ref="K282" si="353">SUM(K279:K281)</f>
        <v>0</v>
      </c>
      <c r="L282" s="71">
        <f t="shared" ref="L282" si="354">SUM(L279:L281)</f>
        <v>0</v>
      </c>
    </row>
    <row r="283" spans="2:12">
      <c r="B283" s="55"/>
      <c r="C283" s="64"/>
      <c r="D283" s="64"/>
      <c r="E283" s="64"/>
      <c r="F283" s="64"/>
      <c r="G283" s="65"/>
      <c r="H283" s="76"/>
      <c r="I283" s="64"/>
      <c r="J283" s="64"/>
      <c r="K283" s="64"/>
      <c r="L283" s="71"/>
    </row>
    <row r="284" spans="2:12">
      <c r="B284" s="61" t="s">
        <v>43</v>
      </c>
      <c r="C284" s="64">
        <f>C277-C282</f>
        <v>1359.1090000000004</v>
      </c>
      <c r="D284" s="64">
        <f t="shared" ref="D284:L284" si="355">D277-D282</f>
        <v>1271.9739999999983</v>
      </c>
      <c r="E284" s="64">
        <f t="shared" si="355"/>
        <v>1343.5689999999995</v>
      </c>
      <c r="F284" s="64">
        <f t="shared" si="355"/>
        <v>1338.6870000000017</v>
      </c>
      <c r="G284" s="65">
        <f t="shared" si="355"/>
        <v>1142.5109999999986</v>
      </c>
      <c r="H284" s="76">
        <f t="shared" si="355"/>
        <v>0</v>
      </c>
      <c r="I284" s="64">
        <f t="shared" si="355"/>
        <v>0</v>
      </c>
      <c r="J284" s="64">
        <f t="shared" si="355"/>
        <v>0</v>
      </c>
      <c r="K284" s="64">
        <f t="shared" si="355"/>
        <v>0</v>
      </c>
      <c r="L284" s="71">
        <f t="shared" si="355"/>
        <v>0</v>
      </c>
    </row>
    <row r="285" spans="2:12">
      <c r="B285" s="55" t="s">
        <v>445</v>
      </c>
      <c r="C285" s="62">
        <f>C284/C277</f>
        <v>5.5518462248042903E-2</v>
      </c>
      <c r="D285" s="62">
        <f t="shared" ref="D285" si="356">D284/D277</f>
        <v>5.2832204644909585E-2</v>
      </c>
      <c r="E285" s="62">
        <f t="shared" ref="E285" si="357">E284/E277</f>
        <v>5.5762354254922243E-2</v>
      </c>
      <c r="F285" s="62">
        <f t="shared" ref="F285" si="358">F284/F277</f>
        <v>5.6290682575831551E-2</v>
      </c>
      <c r="G285" s="63">
        <f t="shared" ref="G285" si="359">G284/G277</f>
        <v>4.9082779490873148E-2</v>
      </c>
      <c r="H285" s="77" t="e">
        <f t="shared" ref="H285" si="360">H284/H277</f>
        <v>#DIV/0!</v>
      </c>
      <c r="I285" s="66" t="e">
        <f t="shared" ref="I285" si="361">I284/I277</f>
        <v>#DIV/0!</v>
      </c>
      <c r="J285" s="66" t="e">
        <f t="shared" ref="J285" si="362">J284/J277</f>
        <v>#DIV/0!</v>
      </c>
      <c r="K285" s="66" t="e">
        <f t="shared" ref="K285" si="363">K284/K277</f>
        <v>#DIV/0!</v>
      </c>
      <c r="L285" s="72" t="e">
        <f t="shared" ref="L285" si="364">L284/L277</f>
        <v>#DIV/0!</v>
      </c>
    </row>
    <row r="286" spans="2:12">
      <c r="B286" s="55" t="s">
        <v>446</v>
      </c>
      <c r="C286" s="62">
        <f>C284/C282</f>
        <v>5.8781945468396594E-2</v>
      </c>
      <c r="D286" s="62">
        <f t="shared" ref="D286:L286" si="365">D284/D282</f>
        <v>5.5779139561119628E-2</v>
      </c>
      <c r="E286" s="62">
        <f t="shared" si="365"/>
        <v>5.9055423712662251E-2</v>
      </c>
      <c r="F286" s="62">
        <f t="shared" si="365"/>
        <v>5.9648327653980988E-2</v>
      </c>
      <c r="G286" s="62">
        <f t="shared" si="365"/>
        <v>5.1616248430745561E-2</v>
      </c>
      <c r="H286" s="80" t="e">
        <f t="shared" si="365"/>
        <v>#DIV/0!</v>
      </c>
      <c r="I286" s="62" t="e">
        <f t="shared" si="365"/>
        <v>#DIV/0!</v>
      </c>
      <c r="J286" s="62" t="e">
        <f t="shared" si="365"/>
        <v>#DIV/0!</v>
      </c>
      <c r="K286" s="62" t="e">
        <f t="shared" si="365"/>
        <v>#DIV/0!</v>
      </c>
      <c r="L286" s="81" t="e">
        <f t="shared" si="365"/>
        <v>#DIV/0!</v>
      </c>
    </row>
    <row r="287" spans="2:12">
      <c r="B287" s="61"/>
      <c r="C287" s="62"/>
      <c r="D287" s="62"/>
      <c r="E287" s="62"/>
      <c r="F287" s="62"/>
      <c r="G287" s="63"/>
      <c r="H287" s="77"/>
      <c r="I287" s="66"/>
      <c r="J287" s="66"/>
      <c r="K287" s="66"/>
      <c r="L287" s="72"/>
    </row>
    <row r="288" spans="2:12">
      <c r="B288" s="61" t="s">
        <v>329</v>
      </c>
      <c r="C288" s="66">
        <v>-8.2568269999999995</v>
      </c>
      <c r="D288" s="66">
        <v>8.7035540000000005</v>
      </c>
      <c r="E288" s="66">
        <v>8.0724239999999998</v>
      </c>
      <c r="F288" s="66">
        <v>6.7299420000000003</v>
      </c>
      <c r="G288" s="66">
        <v>17.382203000000001</v>
      </c>
      <c r="H288" s="77"/>
      <c r="I288" s="66"/>
      <c r="J288" s="66"/>
      <c r="K288" s="66"/>
      <c r="L288" s="72"/>
    </row>
    <row r="289" spans="2:12">
      <c r="B289" s="55" t="s">
        <v>328</v>
      </c>
      <c r="C289" s="66">
        <v>2.3826200000000002</v>
      </c>
      <c r="D289" s="66">
        <v>10.349159</v>
      </c>
      <c r="E289" s="66">
        <v>7.7627100000000002</v>
      </c>
      <c r="F289" s="66">
        <v>6.9675190000000002</v>
      </c>
      <c r="G289" s="66">
        <v>17.382203000000001</v>
      </c>
      <c r="H289" s="77"/>
      <c r="I289" s="66"/>
      <c r="J289" s="66"/>
      <c r="K289" s="66"/>
      <c r="L289" s="72"/>
    </row>
    <row r="290" spans="2:12">
      <c r="B290" s="55"/>
      <c r="C290" s="64"/>
      <c r="D290" s="64"/>
      <c r="E290" s="64"/>
      <c r="F290" s="64"/>
      <c r="G290" s="65"/>
      <c r="H290" s="76"/>
      <c r="I290" s="64"/>
      <c r="J290" s="64"/>
      <c r="K290" s="64"/>
      <c r="L290" s="71"/>
    </row>
    <row r="291" spans="2:12">
      <c r="B291" s="60" t="s">
        <v>53</v>
      </c>
      <c r="C291" s="64"/>
      <c r="D291" s="64"/>
      <c r="E291" s="64"/>
      <c r="F291" s="64"/>
      <c r="G291" s="65"/>
      <c r="H291" s="76"/>
      <c r="I291" s="64"/>
      <c r="J291" s="64"/>
      <c r="K291" s="64"/>
      <c r="L291" s="71"/>
    </row>
    <row r="292" spans="2:12">
      <c r="B292" s="55" t="s">
        <v>54</v>
      </c>
      <c r="C292" s="64">
        <v>2681.0859999999998</v>
      </c>
      <c r="D292" s="64">
        <v>2952.5540000000001</v>
      </c>
      <c r="E292" s="64">
        <v>2731.8270000000002</v>
      </c>
      <c r="F292" s="64">
        <v>2480.6080000000002</v>
      </c>
      <c r="G292" s="64">
        <v>2399.518</v>
      </c>
      <c r="H292" s="76"/>
      <c r="I292" s="64"/>
      <c r="J292" s="64"/>
      <c r="K292" s="64"/>
      <c r="L292" s="71"/>
    </row>
    <row r="293" spans="2:12">
      <c r="B293" s="55" t="s">
        <v>28</v>
      </c>
      <c r="C293" s="64">
        <v>3172.5390000000002</v>
      </c>
      <c r="D293" s="64">
        <v>3029.5520000000001</v>
      </c>
      <c r="E293" s="64">
        <v>3058.8739999999998</v>
      </c>
      <c r="F293" s="64">
        <v>3126.1439999999998</v>
      </c>
      <c r="G293" s="64">
        <v>3049.8919999999998</v>
      </c>
      <c r="H293" s="76"/>
      <c r="I293" s="64"/>
      <c r="J293" s="64"/>
      <c r="K293" s="64"/>
      <c r="L293" s="71"/>
    </row>
    <row r="294" spans="2:12">
      <c r="B294" s="55" t="s">
        <v>55</v>
      </c>
      <c r="C294" s="64">
        <v>3261.2370000000001</v>
      </c>
      <c r="D294" s="64">
        <v>3208.0839999999998</v>
      </c>
      <c r="E294" s="64">
        <v>3106.1959999999999</v>
      </c>
      <c r="F294" s="64">
        <v>2964.8960000000002</v>
      </c>
      <c r="G294" s="64">
        <v>2964.1030000000001</v>
      </c>
      <c r="H294" s="76"/>
      <c r="I294" s="64"/>
      <c r="J294" s="64"/>
      <c r="K294" s="64"/>
      <c r="L294" s="71"/>
    </row>
    <row r="295" spans="2:12">
      <c r="B295" s="55" t="s">
        <v>56</v>
      </c>
      <c r="C295" s="64">
        <v>1924.682</v>
      </c>
      <c r="D295" s="64">
        <v>1823.154</v>
      </c>
      <c r="E295" s="64">
        <v>1791.6980000000001</v>
      </c>
      <c r="F295" s="64">
        <v>1818.9190000000001</v>
      </c>
      <c r="G295" s="64">
        <v>1789.7349999999999</v>
      </c>
      <c r="H295" s="76"/>
      <c r="I295" s="64"/>
      <c r="J295" s="64"/>
      <c r="K295" s="64"/>
      <c r="L295" s="71"/>
    </row>
    <row r="296" spans="2:12">
      <c r="B296" s="55" t="s">
        <v>57</v>
      </c>
      <c r="C296" s="64">
        <v>12081.653</v>
      </c>
      <c r="D296" s="64">
        <v>11790.413</v>
      </c>
      <c r="E296" s="64">
        <v>12062.388999999999</v>
      </c>
      <c r="F296" s="64">
        <v>12052.425999999999</v>
      </c>
      <c r="G296" s="64">
        <v>11931.468000000001</v>
      </c>
      <c r="H296" s="76"/>
      <c r="I296" s="64"/>
      <c r="J296" s="64"/>
      <c r="K296" s="64"/>
      <c r="L296" s="71"/>
    </row>
    <row r="297" spans="2:12" ht="13.5" thickBot="1">
      <c r="B297" s="57" t="s">
        <v>20</v>
      </c>
      <c r="C297" s="68">
        <f>SUM(C292:C296)</f>
        <v>23121.197</v>
      </c>
      <c r="D297" s="68">
        <f t="shared" ref="D297" si="366">SUM(D292:D296)</f>
        <v>22803.756999999998</v>
      </c>
      <c r="E297" s="68">
        <f t="shared" ref="E297" si="367">SUM(E292:E296)</f>
        <v>22750.984</v>
      </c>
      <c r="F297" s="68">
        <f t="shared" ref="F297" si="368">SUM(F292:F296)</f>
        <v>22442.993000000002</v>
      </c>
      <c r="G297" s="69">
        <f t="shared" ref="G297" si="369">SUM(G292:G296)</f>
        <v>22134.716</v>
      </c>
      <c r="H297" s="78">
        <f t="shared" ref="H297" si="370">SUM(H292:H296)</f>
        <v>0</v>
      </c>
      <c r="I297" s="68">
        <f t="shared" ref="I297" si="371">SUM(I292:I296)</f>
        <v>0</v>
      </c>
      <c r="J297" s="68">
        <f t="shared" ref="J297" si="372">SUM(J292:J296)</f>
        <v>0</v>
      </c>
      <c r="K297" s="68">
        <f t="shared" ref="K297" si="373">SUM(K292:K296)</f>
        <v>0</v>
      </c>
      <c r="L297" s="73">
        <f t="shared" ref="L297" si="374">SUM(L292:L296)</f>
        <v>0</v>
      </c>
    </row>
    <row r="298" spans="2:12">
      <c r="B298" s="25" t="s">
        <v>59</v>
      </c>
      <c r="C298" s="25" t="s">
        <v>64</v>
      </c>
      <c r="D298" s="13"/>
      <c r="E298" s="13"/>
      <c r="F298" s="13"/>
      <c r="G298" s="13"/>
      <c r="H298" s="13"/>
      <c r="I298" s="13"/>
      <c r="J298" s="13"/>
      <c r="K298" s="13"/>
      <c r="L298" s="13"/>
    </row>
    <row r="299" spans="2:12">
      <c r="B299" s="25"/>
      <c r="C299" s="37"/>
    </row>
    <row r="300" spans="2:12" ht="13.5" thickBot="1"/>
    <row r="301" spans="2:12" ht="15">
      <c r="B301" s="53" t="str">
        <f>B19</f>
        <v>UKPN EPN</v>
      </c>
      <c r="C301" s="54" t="str">
        <f>C49</f>
        <v>2005-06</v>
      </c>
      <c r="D301" s="58" t="str">
        <f t="shared" ref="D301:L301" si="375">D49</f>
        <v>2006-07</v>
      </c>
      <c r="E301" s="58" t="str">
        <f t="shared" si="375"/>
        <v>2007-08</v>
      </c>
      <c r="F301" s="58" t="str">
        <f t="shared" si="375"/>
        <v>2008-09</v>
      </c>
      <c r="G301" s="59" t="str">
        <f t="shared" si="375"/>
        <v>2009-10</v>
      </c>
      <c r="H301" s="74" t="str">
        <f t="shared" si="375"/>
        <v>2010-11</v>
      </c>
      <c r="I301" s="54" t="str">
        <f t="shared" si="375"/>
        <v>2011-12</v>
      </c>
      <c r="J301" s="54" t="str">
        <f t="shared" si="375"/>
        <v>2012-13</v>
      </c>
      <c r="K301" s="54" t="str">
        <f t="shared" si="375"/>
        <v>2013-14</v>
      </c>
      <c r="L301" s="59" t="str">
        <f t="shared" si="375"/>
        <v>2014-15</v>
      </c>
    </row>
    <row r="302" spans="2:12">
      <c r="B302" s="60" t="s">
        <v>48</v>
      </c>
      <c r="C302" s="52"/>
      <c r="D302" s="52"/>
      <c r="E302" s="52"/>
      <c r="F302" s="52"/>
      <c r="G302" s="56"/>
      <c r="H302" s="75"/>
      <c r="I302" s="52"/>
      <c r="J302" s="52"/>
      <c r="K302" s="52"/>
      <c r="L302" s="70"/>
    </row>
    <row r="303" spans="2:12">
      <c r="B303" s="55" t="s">
        <v>61</v>
      </c>
      <c r="C303" s="64">
        <v>0</v>
      </c>
      <c r="D303" s="64">
        <v>0</v>
      </c>
      <c r="E303" s="64">
        <v>0</v>
      </c>
      <c r="F303" s="64">
        <v>0</v>
      </c>
      <c r="G303" s="64">
        <v>0</v>
      </c>
      <c r="H303" s="76"/>
      <c r="I303" s="64"/>
      <c r="J303" s="64"/>
      <c r="K303" s="64"/>
      <c r="L303" s="71"/>
    </row>
    <row r="304" spans="2:12">
      <c r="B304" s="55" t="s">
        <v>49</v>
      </c>
      <c r="C304" s="64">
        <v>39234</v>
      </c>
      <c r="D304" s="64">
        <v>38025.269</v>
      </c>
      <c r="E304" s="64">
        <v>38242.14</v>
      </c>
      <c r="F304" s="64">
        <v>37932.964</v>
      </c>
      <c r="G304" s="64">
        <v>36925.341</v>
      </c>
      <c r="H304" s="76"/>
      <c r="I304" s="64"/>
      <c r="J304" s="64"/>
      <c r="K304" s="64"/>
      <c r="L304" s="71"/>
    </row>
    <row r="305" spans="2:12">
      <c r="B305" s="55"/>
      <c r="C305" s="64">
        <f>SUM(C303:C304)</f>
        <v>39234</v>
      </c>
      <c r="D305" s="64">
        <f t="shared" ref="D305" si="376">SUM(D303:D304)</f>
        <v>38025.269</v>
      </c>
      <c r="E305" s="64">
        <f t="shared" ref="E305" si="377">SUM(E303:E304)</f>
        <v>38242.14</v>
      </c>
      <c r="F305" s="64">
        <f t="shared" ref="F305" si="378">SUM(F303:F304)</f>
        <v>37932.964</v>
      </c>
      <c r="G305" s="65">
        <f t="shared" ref="G305" si="379">SUM(G303:G304)</f>
        <v>36925.341</v>
      </c>
      <c r="H305" s="76">
        <f t="shared" ref="H305" si="380">SUM(H303:H304)</f>
        <v>0</v>
      </c>
      <c r="I305" s="64">
        <f t="shared" ref="I305" si="381">SUM(I303:I304)</f>
        <v>0</v>
      </c>
      <c r="J305" s="64">
        <f t="shared" ref="J305" si="382">SUM(J303:J304)</f>
        <v>0</v>
      </c>
      <c r="K305" s="64">
        <f t="shared" ref="K305" si="383">SUM(K303:K304)</f>
        <v>0</v>
      </c>
      <c r="L305" s="71">
        <f t="shared" ref="L305" si="384">SUM(L303:L304)</f>
        <v>0</v>
      </c>
    </row>
    <row r="306" spans="2:12">
      <c r="B306" s="60" t="s">
        <v>50</v>
      </c>
      <c r="C306" s="64"/>
      <c r="D306" s="64"/>
      <c r="E306" s="64"/>
      <c r="F306" s="64"/>
      <c r="G306" s="65"/>
      <c r="H306" s="76"/>
      <c r="I306" s="64"/>
      <c r="J306" s="64"/>
      <c r="K306" s="64"/>
      <c r="L306" s="71"/>
    </row>
    <row r="307" spans="2:12">
      <c r="B307" s="55" t="s">
        <v>51</v>
      </c>
      <c r="C307" s="64">
        <v>0</v>
      </c>
      <c r="D307" s="64">
        <v>0</v>
      </c>
      <c r="E307" s="64">
        <v>0</v>
      </c>
      <c r="F307" s="64">
        <v>0</v>
      </c>
      <c r="G307" s="64">
        <v>0</v>
      </c>
      <c r="H307" s="76"/>
      <c r="I307" s="64"/>
      <c r="J307" s="64"/>
      <c r="K307" s="64"/>
      <c r="L307" s="71"/>
    </row>
    <row r="308" spans="2:12">
      <c r="B308" s="55" t="s">
        <v>52</v>
      </c>
      <c r="C308" s="64">
        <v>37513</v>
      </c>
      <c r="D308" s="64">
        <v>36410.063999999998</v>
      </c>
      <c r="E308" s="64">
        <v>36840.911999999997</v>
      </c>
      <c r="F308" s="64">
        <v>36035.919000000002</v>
      </c>
      <c r="G308" s="64">
        <v>34718.724000000002</v>
      </c>
      <c r="H308" s="76"/>
      <c r="I308" s="64"/>
      <c r="J308" s="64"/>
      <c r="K308" s="64"/>
      <c r="L308" s="71"/>
    </row>
    <row r="309" spans="2:12">
      <c r="B309" s="55" t="s">
        <v>58</v>
      </c>
      <c r="C309" s="64">
        <v>0</v>
      </c>
      <c r="D309" s="64">
        <v>0</v>
      </c>
      <c r="E309" s="64">
        <v>0</v>
      </c>
      <c r="F309" s="64">
        <v>0</v>
      </c>
      <c r="G309" s="64">
        <v>0</v>
      </c>
      <c r="H309" s="76"/>
      <c r="I309" s="64"/>
      <c r="J309" s="64"/>
      <c r="K309" s="64"/>
      <c r="L309" s="71"/>
    </row>
    <row r="310" spans="2:12">
      <c r="B310" s="55"/>
      <c r="C310" s="64">
        <f>SUM(C307:C309)</f>
        <v>37513</v>
      </c>
      <c r="D310" s="64">
        <f t="shared" ref="D310" si="385">SUM(D307:D309)</f>
        <v>36410.063999999998</v>
      </c>
      <c r="E310" s="64">
        <f t="shared" ref="E310" si="386">SUM(E307:E309)</f>
        <v>36840.911999999997</v>
      </c>
      <c r="F310" s="64">
        <f t="shared" ref="F310" si="387">SUM(F307:F309)</f>
        <v>36035.919000000002</v>
      </c>
      <c r="G310" s="65">
        <f t="shared" ref="G310" si="388">SUM(G307:G309)</f>
        <v>34718.724000000002</v>
      </c>
      <c r="H310" s="76">
        <f t="shared" ref="H310" si="389">SUM(H307:H309)</f>
        <v>0</v>
      </c>
      <c r="I310" s="64">
        <f t="shared" ref="I310" si="390">SUM(I307:I309)</f>
        <v>0</v>
      </c>
      <c r="J310" s="64">
        <f t="shared" ref="J310" si="391">SUM(J307:J309)</f>
        <v>0</v>
      </c>
      <c r="K310" s="64">
        <f t="shared" ref="K310" si="392">SUM(K307:K309)</f>
        <v>0</v>
      </c>
      <c r="L310" s="71">
        <f t="shared" ref="L310" si="393">SUM(L307:L309)</f>
        <v>0</v>
      </c>
    </row>
    <row r="311" spans="2:12">
      <c r="B311" s="55"/>
      <c r="C311" s="64"/>
      <c r="D311" s="64"/>
      <c r="E311" s="64"/>
      <c r="F311" s="64"/>
      <c r="G311" s="65"/>
      <c r="H311" s="76"/>
      <c r="I311" s="64"/>
      <c r="J311" s="64"/>
      <c r="K311" s="64"/>
      <c r="L311" s="71"/>
    </row>
    <row r="312" spans="2:12">
      <c r="B312" s="61" t="s">
        <v>43</v>
      </c>
      <c r="C312" s="64">
        <f>C305-C310</f>
        <v>1721</v>
      </c>
      <c r="D312" s="64">
        <f t="shared" ref="D312:L312" si="394">D305-D310</f>
        <v>1615.2050000000017</v>
      </c>
      <c r="E312" s="64">
        <f t="shared" si="394"/>
        <v>1401.2280000000028</v>
      </c>
      <c r="F312" s="64">
        <f t="shared" si="394"/>
        <v>1897.0449999999983</v>
      </c>
      <c r="G312" s="65">
        <f t="shared" si="394"/>
        <v>2206.6169999999984</v>
      </c>
      <c r="H312" s="76">
        <f t="shared" si="394"/>
        <v>0</v>
      </c>
      <c r="I312" s="64">
        <f t="shared" si="394"/>
        <v>0</v>
      </c>
      <c r="J312" s="64">
        <f t="shared" si="394"/>
        <v>0</v>
      </c>
      <c r="K312" s="64">
        <f t="shared" si="394"/>
        <v>0</v>
      </c>
      <c r="L312" s="71">
        <f t="shared" si="394"/>
        <v>0</v>
      </c>
    </row>
    <row r="313" spans="2:12">
      <c r="B313" s="55" t="s">
        <v>445</v>
      </c>
      <c r="C313" s="62">
        <f>C312/C305</f>
        <v>4.3865015037977267E-2</v>
      </c>
      <c r="D313" s="62">
        <f t="shared" ref="D313" si="395">D312/D305</f>
        <v>4.2477148550875518E-2</v>
      </c>
      <c r="E313" s="62">
        <f t="shared" ref="E313" si="396">E312/E305</f>
        <v>3.6640941118880971E-2</v>
      </c>
      <c r="F313" s="62">
        <f t="shared" ref="F313" si="397">F312/F305</f>
        <v>5.0010460558789931E-2</v>
      </c>
      <c r="G313" s="63">
        <f t="shared" ref="G313" si="398">G312/G305</f>
        <v>5.9758879410213121E-2</v>
      </c>
      <c r="H313" s="77" t="e">
        <f t="shared" ref="H313" si="399">H312/H305</f>
        <v>#DIV/0!</v>
      </c>
      <c r="I313" s="66" t="e">
        <f t="shared" ref="I313" si="400">I312/I305</f>
        <v>#DIV/0!</v>
      </c>
      <c r="J313" s="66" t="e">
        <f t="shared" ref="J313" si="401">J312/J305</f>
        <v>#DIV/0!</v>
      </c>
      <c r="K313" s="66" t="e">
        <f t="shared" ref="K313" si="402">K312/K305</f>
        <v>#DIV/0!</v>
      </c>
      <c r="L313" s="72" t="e">
        <f t="shared" ref="L313" si="403">L312/L305</f>
        <v>#DIV/0!</v>
      </c>
    </row>
    <row r="314" spans="2:12">
      <c r="B314" s="55" t="s">
        <v>446</v>
      </c>
      <c r="C314" s="62">
        <f>C312/C310</f>
        <v>4.5877429157891933E-2</v>
      </c>
      <c r="D314" s="62">
        <f t="shared" ref="D314:L314" si="404">D312/D310</f>
        <v>4.436149851315839E-2</v>
      </c>
      <c r="E314" s="62">
        <f t="shared" si="404"/>
        <v>3.8034563313742151E-2</v>
      </c>
      <c r="F314" s="62">
        <f t="shared" si="404"/>
        <v>5.2643169721854413E-2</v>
      </c>
      <c r="G314" s="62">
        <f t="shared" si="404"/>
        <v>6.3556972888750118E-2</v>
      </c>
      <c r="H314" s="80" t="e">
        <f t="shared" si="404"/>
        <v>#DIV/0!</v>
      </c>
      <c r="I314" s="62" t="e">
        <f t="shared" si="404"/>
        <v>#DIV/0!</v>
      </c>
      <c r="J314" s="62" t="e">
        <f t="shared" si="404"/>
        <v>#DIV/0!</v>
      </c>
      <c r="K314" s="62" t="e">
        <f t="shared" si="404"/>
        <v>#DIV/0!</v>
      </c>
      <c r="L314" s="81" t="e">
        <f t="shared" si="404"/>
        <v>#DIV/0!</v>
      </c>
    </row>
    <row r="315" spans="2:12">
      <c r="B315" s="61"/>
      <c r="C315" s="62"/>
      <c r="D315" s="62"/>
      <c r="E315" s="62"/>
      <c r="F315" s="62"/>
      <c r="G315" s="63"/>
      <c r="H315" s="77"/>
      <c r="I315" s="66"/>
      <c r="J315" s="66"/>
      <c r="K315" s="66"/>
      <c r="L315" s="72"/>
    </row>
    <row r="316" spans="2:12">
      <c r="B316" s="61" t="s">
        <v>329</v>
      </c>
      <c r="C316" s="66">
        <v>7.3344440000000004</v>
      </c>
      <c r="D316" s="66">
        <v>21.293026000000001</v>
      </c>
      <c r="E316" s="66">
        <v>51.983736999999998</v>
      </c>
      <c r="F316" s="66">
        <v>20.851177</v>
      </c>
      <c r="G316" s="66">
        <v>-0.75212900000000005</v>
      </c>
      <c r="H316" s="77"/>
      <c r="I316" s="66"/>
      <c r="J316" s="66"/>
      <c r="K316" s="66"/>
      <c r="L316" s="72"/>
    </row>
    <row r="317" spans="2:12">
      <c r="B317" s="55" t="s">
        <v>328</v>
      </c>
      <c r="C317" s="66">
        <v>24.039273999999999</v>
      </c>
      <c r="D317" s="66">
        <v>30.412769000000001</v>
      </c>
      <c r="E317" s="66">
        <v>49.903624000000001</v>
      </c>
      <c r="F317" s="66">
        <v>20.867989000000001</v>
      </c>
      <c r="G317" s="66">
        <v>-0.72120899999999999</v>
      </c>
      <c r="H317" s="77"/>
      <c r="I317" s="66"/>
      <c r="J317" s="66"/>
      <c r="K317" s="66"/>
      <c r="L317" s="72"/>
    </row>
    <row r="318" spans="2:12">
      <c r="B318" s="55"/>
      <c r="C318" s="64"/>
      <c r="D318" s="64"/>
      <c r="E318" s="64"/>
      <c r="F318" s="64"/>
      <c r="G318" s="65"/>
      <c r="H318" s="76"/>
      <c r="I318" s="64"/>
      <c r="J318" s="64"/>
      <c r="K318" s="64"/>
      <c r="L318" s="71"/>
    </row>
    <row r="319" spans="2:12">
      <c r="B319" s="60" t="s">
        <v>53</v>
      </c>
      <c r="C319" s="64"/>
      <c r="D319" s="64"/>
      <c r="E319" s="64"/>
      <c r="F319" s="64"/>
      <c r="G319" s="65"/>
      <c r="H319" s="76"/>
      <c r="I319" s="64"/>
      <c r="J319" s="64"/>
      <c r="K319" s="64"/>
      <c r="L319" s="71"/>
    </row>
    <row r="320" spans="2:12">
      <c r="B320" s="55" t="s">
        <v>54</v>
      </c>
      <c r="C320" s="64">
        <v>1228</v>
      </c>
      <c r="D320" s="64">
        <v>1205.779</v>
      </c>
      <c r="E320" s="64">
        <v>1212.6110000000001</v>
      </c>
      <c r="F320" s="64">
        <v>1277.432</v>
      </c>
      <c r="G320" s="64">
        <v>1401.8920000000001</v>
      </c>
      <c r="H320" s="76"/>
      <c r="I320" s="64"/>
      <c r="J320" s="64"/>
      <c r="K320" s="64"/>
      <c r="L320" s="71"/>
    </row>
    <row r="321" spans="2:12">
      <c r="B321" s="55" t="s">
        <v>28</v>
      </c>
      <c r="C321" s="64">
        <v>8308</v>
      </c>
      <c r="D321" s="64">
        <v>8067.9570000000003</v>
      </c>
      <c r="E321" s="64">
        <v>8023.0469999999996</v>
      </c>
      <c r="F321" s="64">
        <v>7657.1970000000001</v>
      </c>
      <c r="G321" s="64">
        <v>7436.31</v>
      </c>
      <c r="H321" s="76"/>
      <c r="I321" s="64"/>
      <c r="J321" s="64"/>
      <c r="K321" s="64"/>
      <c r="L321" s="71"/>
    </row>
    <row r="322" spans="2:12">
      <c r="B322" s="55" t="s">
        <v>55</v>
      </c>
      <c r="C322" s="64">
        <v>5923</v>
      </c>
      <c r="D322" s="64">
        <v>5623.2619999999997</v>
      </c>
      <c r="E322" s="64">
        <v>5629.7219999999998</v>
      </c>
      <c r="F322" s="64">
        <v>5562.7460000000001</v>
      </c>
      <c r="G322" s="64">
        <v>5257.134</v>
      </c>
      <c r="H322" s="76"/>
      <c r="I322" s="64"/>
      <c r="J322" s="64"/>
      <c r="K322" s="64"/>
      <c r="L322" s="71"/>
    </row>
    <row r="323" spans="2:12">
      <c r="B323" s="55" t="s">
        <v>56</v>
      </c>
      <c r="C323" s="64">
        <v>4022</v>
      </c>
      <c r="D323" s="64">
        <v>3613.4119999999998</v>
      </c>
      <c r="E323" s="64">
        <v>3628.2759999999998</v>
      </c>
      <c r="F323" s="64">
        <v>3592.7660000000001</v>
      </c>
      <c r="G323" s="64">
        <v>3159.4879999999998</v>
      </c>
      <c r="H323" s="76"/>
      <c r="I323" s="64"/>
      <c r="J323" s="64"/>
      <c r="K323" s="64"/>
      <c r="L323" s="71"/>
    </row>
    <row r="324" spans="2:12">
      <c r="B324" s="55" t="s">
        <v>57</v>
      </c>
      <c r="C324" s="64">
        <v>18032</v>
      </c>
      <c r="D324" s="64">
        <v>17899.652999999998</v>
      </c>
      <c r="E324" s="64">
        <v>18347.256000000001</v>
      </c>
      <c r="F324" s="64">
        <v>17945.777999999998</v>
      </c>
      <c r="G324" s="64">
        <v>17463.900000000001</v>
      </c>
      <c r="H324" s="76"/>
      <c r="I324" s="64"/>
      <c r="J324" s="64"/>
      <c r="K324" s="64"/>
      <c r="L324" s="71"/>
    </row>
    <row r="325" spans="2:12" ht="13.5" thickBot="1">
      <c r="B325" s="57" t="s">
        <v>20</v>
      </c>
      <c r="C325" s="68">
        <f>SUM(C320:C324)</f>
        <v>37513</v>
      </c>
      <c r="D325" s="68">
        <f t="shared" ref="D325" si="405">SUM(D320:D324)</f>
        <v>36410.062999999995</v>
      </c>
      <c r="E325" s="68">
        <f t="shared" ref="E325" si="406">SUM(E320:E324)</f>
        <v>36840.911999999997</v>
      </c>
      <c r="F325" s="68">
        <f t="shared" ref="F325" si="407">SUM(F320:F324)</f>
        <v>36035.918999999994</v>
      </c>
      <c r="G325" s="69">
        <f t="shared" ref="G325" si="408">SUM(G320:G324)</f>
        <v>34718.724000000002</v>
      </c>
      <c r="H325" s="78">
        <f t="shared" ref="H325" si="409">SUM(H320:H324)</f>
        <v>0</v>
      </c>
      <c r="I325" s="68">
        <f t="shared" ref="I325" si="410">SUM(I320:I324)</f>
        <v>0</v>
      </c>
      <c r="J325" s="68">
        <f t="shared" ref="J325" si="411">SUM(J320:J324)</f>
        <v>0</v>
      </c>
      <c r="K325" s="68">
        <f t="shared" ref="K325" si="412">SUM(K320:K324)</f>
        <v>0</v>
      </c>
      <c r="L325" s="73">
        <f t="shared" ref="L325" si="413">SUM(L320:L324)</f>
        <v>0</v>
      </c>
    </row>
    <row r="326" spans="2:12">
      <c r="B326" s="25" t="s">
        <v>59</v>
      </c>
      <c r="C326" s="25" t="s">
        <v>64</v>
      </c>
      <c r="D326" s="13"/>
      <c r="E326" s="13"/>
      <c r="F326" s="13"/>
      <c r="G326" s="13"/>
      <c r="H326" s="13"/>
      <c r="I326" s="13"/>
      <c r="J326" s="13"/>
      <c r="K326" s="13"/>
      <c r="L326" s="13"/>
    </row>
    <row r="327" spans="2:12">
      <c r="B327" s="25"/>
      <c r="C327" s="37"/>
    </row>
    <row r="328" spans="2:12" ht="13.5" thickBot="1"/>
    <row r="329" spans="2:12" ht="15">
      <c r="B329" s="53" t="str">
        <f>B20</f>
        <v>SP Distribution</v>
      </c>
      <c r="C329" s="54" t="str">
        <f>C49</f>
        <v>2005-06</v>
      </c>
      <c r="D329" s="58" t="str">
        <f t="shared" ref="D329:L329" si="414">D49</f>
        <v>2006-07</v>
      </c>
      <c r="E329" s="58" t="str">
        <f t="shared" si="414"/>
        <v>2007-08</v>
      </c>
      <c r="F329" s="58" t="str">
        <f t="shared" si="414"/>
        <v>2008-09</v>
      </c>
      <c r="G329" s="59" t="str">
        <f t="shared" si="414"/>
        <v>2009-10</v>
      </c>
      <c r="H329" s="74" t="str">
        <f t="shared" si="414"/>
        <v>2010-11</v>
      </c>
      <c r="I329" s="54" t="str">
        <f t="shared" si="414"/>
        <v>2011-12</v>
      </c>
      <c r="J329" s="54" t="str">
        <f t="shared" si="414"/>
        <v>2012-13</v>
      </c>
      <c r="K329" s="54" t="str">
        <f t="shared" si="414"/>
        <v>2013-14</v>
      </c>
      <c r="L329" s="59" t="str">
        <f t="shared" si="414"/>
        <v>2014-15</v>
      </c>
    </row>
    <row r="330" spans="2:12">
      <c r="B330" s="60" t="s">
        <v>48</v>
      </c>
      <c r="C330" s="52"/>
      <c r="D330" s="52"/>
      <c r="E330" s="52"/>
      <c r="F330" s="52"/>
      <c r="G330" s="56"/>
      <c r="H330" s="75"/>
      <c r="I330" s="52"/>
      <c r="J330" s="52"/>
      <c r="K330" s="52"/>
      <c r="L330" s="70"/>
    </row>
    <row r="331" spans="2:12">
      <c r="B331" s="55" t="s">
        <v>61</v>
      </c>
      <c r="C331" s="64">
        <v>0</v>
      </c>
      <c r="D331" s="64">
        <v>0</v>
      </c>
      <c r="E331" s="64">
        <v>0</v>
      </c>
      <c r="F331" s="64">
        <v>0</v>
      </c>
      <c r="G331" s="64">
        <v>0</v>
      </c>
      <c r="H331" s="76"/>
      <c r="I331" s="64"/>
      <c r="J331" s="64"/>
      <c r="K331" s="64"/>
      <c r="L331" s="71"/>
    </row>
    <row r="332" spans="2:12">
      <c r="B332" s="55" t="s">
        <v>49</v>
      </c>
      <c r="C332" s="64">
        <v>22970.960999999999</v>
      </c>
      <c r="D332" s="64">
        <v>22243.132000000001</v>
      </c>
      <c r="E332" s="64">
        <v>22300.655999999999</v>
      </c>
      <c r="F332" s="64">
        <v>22179.223000000002</v>
      </c>
      <c r="G332" s="64">
        <v>21571.154999999999</v>
      </c>
      <c r="H332" s="76"/>
      <c r="I332" s="64"/>
      <c r="J332" s="64"/>
      <c r="K332" s="64"/>
      <c r="L332" s="71"/>
    </row>
    <row r="333" spans="2:12">
      <c r="B333" s="55"/>
      <c r="C333" s="64">
        <f>SUM(C331:C332)</f>
        <v>22970.960999999999</v>
      </c>
      <c r="D333" s="64">
        <f t="shared" ref="D333" si="415">SUM(D331:D332)</f>
        <v>22243.132000000001</v>
      </c>
      <c r="E333" s="64">
        <f t="shared" ref="E333" si="416">SUM(E331:E332)</f>
        <v>22300.655999999999</v>
      </c>
      <c r="F333" s="64">
        <f t="shared" ref="F333" si="417">SUM(F331:F332)</f>
        <v>22179.223000000002</v>
      </c>
      <c r="G333" s="65">
        <f t="shared" ref="G333" si="418">SUM(G331:G332)</f>
        <v>21571.154999999999</v>
      </c>
      <c r="H333" s="76">
        <f t="shared" ref="H333" si="419">SUM(H331:H332)</f>
        <v>0</v>
      </c>
      <c r="I333" s="64">
        <f t="shared" ref="I333" si="420">SUM(I331:I332)</f>
        <v>0</v>
      </c>
      <c r="J333" s="64">
        <f t="shared" ref="J333" si="421">SUM(J331:J332)</f>
        <v>0</v>
      </c>
      <c r="K333" s="64">
        <f t="shared" ref="K333" si="422">SUM(K331:K332)</f>
        <v>0</v>
      </c>
      <c r="L333" s="71">
        <f t="shared" ref="L333" si="423">SUM(L331:L332)</f>
        <v>0</v>
      </c>
    </row>
    <row r="334" spans="2:12">
      <c r="B334" s="60" t="s">
        <v>50</v>
      </c>
      <c r="C334" s="64"/>
      <c r="D334" s="64"/>
      <c r="E334" s="64"/>
      <c r="F334" s="64"/>
      <c r="G334" s="65"/>
      <c r="H334" s="76"/>
      <c r="I334" s="64"/>
      <c r="J334" s="64"/>
      <c r="K334" s="64"/>
      <c r="L334" s="71"/>
    </row>
    <row r="335" spans="2:12">
      <c r="B335" s="55" t="s">
        <v>51</v>
      </c>
      <c r="C335" s="64">
        <v>363.24099999999999</v>
      </c>
      <c r="D335" s="64">
        <v>342.70100000000002</v>
      </c>
      <c r="E335" s="64">
        <v>371.38900000000001</v>
      </c>
      <c r="F335" s="64">
        <v>371.91899999999998</v>
      </c>
      <c r="G335" s="64">
        <v>386.16300000000001</v>
      </c>
      <c r="H335" s="76"/>
      <c r="I335" s="64"/>
      <c r="J335" s="64"/>
      <c r="K335" s="64"/>
      <c r="L335" s="71"/>
    </row>
    <row r="336" spans="2:12">
      <c r="B336" s="55" t="s">
        <v>52</v>
      </c>
      <c r="C336" s="64">
        <v>21300.973000000002</v>
      </c>
      <c r="D336" s="64">
        <v>20602.830000000002</v>
      </c>
      <c r="E336" s="64">
        <v>20752.11</v>
      </c>
      <c r="F336" s="64">
        <v>20421.32</v>
      </c>
      <c r="G336" s="64">
        <v>19934.718000000001</v>
      </c>
      <c r="H336" s="76"/>
      <c r="I336" s="64"/>
      <c r="J336" s="64"/>
      <c r="K336" s="64"/>
      <c r="L336" s="71"/>
    </row>
    <row r="337" spans="2:12">
      <c r="B337" s="55" t="s">
        <v>58</v>
      </c>
      <c r="C337" s="64">
        <v>0</v>
      </c>
      <c r="D337" s="64">
        <v>0</v>
      </c>
      <c r="E337" s="64">
        <v>0</v>
      </c>
      <c r="F337" s="64">
        <v>0</v>
      </c>
      <c r="G337" s="64">
        <v>0</v>
      </c>
      <c r="H337" s="76"/>
      <c r="I337" s="64"/>
      <c r="J337" s="64"/>
      <c r="K337" s="64"/>
      <c r="L337" s="71"/>
    </row>
    <row r="338" spans="2:12">
      <c r="B338" s="55"/>
      <c r="C338" s="64">
        <f>SUM(C335:C337)</f>
        <v>21664.214</v>
      </c>
      <c r="D338" s="64">
        <f t="shared" ref="D338" si="424">SUM(D335:D337)</f>
        <v>20945.531000000003</v>
      </c>
      <c r="E338" s="64">
        <f t="shared" ref="E338" si="425">SUM(E335:E337)</f>
        <v>21123.499</v>
      </c>
      <c r="F338" s="64">
        <f t="shared" ref="F338" si="426">SUM(F335:F337)</f>
        <v>20793.239000000001</v>
      </c>
      <c r="G338" s="65">
        <f t="shared" ref="G338" si="427">SUM(G335:G337)</f>
        <v>20320.881000000001</v>
      </c>
      <c r="H338" s="76">
        <f t="shared" ref="H338" si="428">SUM(H335:H337)</f>
        <v>0</v>
      </c>
      <c r="I338" s="64">
        <f t="shared" ref="I338" si="429">SUM(I335:I337)</f>
        <v>0</v>
      </c>
      <c r="J338" s="64">
        <f t="shared" ref="J338" si="430">SUM(J335:J337)</f>
        <v>0</v>
      </c>
      <c r="K338" s="64">
        <f t="shared" ref="K338" si="431">SUM(K335:K337)</f>
        <v>0</v>
      </c>
      <c r="L338" s="71">
        <f t="shared" ref="L338" si="432">SUM(L335:L337)</f>
        <v>0</v>
      </c>
    </row>
    <row r="339" spans="2:12">
      <c r="B339" s="55"/>
      <c r="C339" s="64"/>
      <c r="D339" s="64"/>
      <c r="E339" s="64"/>
      <c r="F339" s="64"/>
      <c r="G339" s="65"/>
      <c r="H339" s="76"/>
      <c r="I339" s="64"/>
      <c r="J339" s="64"/>
      <c r="K339" s="64"/>
      <c r="L339" s="71"/>
    </row>
    <row r="340" spans="2:12">
      <c r="B340" s="61" t="s">
        <v>43</v>
      </c>
      <c r="C340" s="64">
        <f>C333-C338</f>
        <v>1306.7469999999994</v>
      </c>
      <c r="D340" s="64">
        <f t="shared" ref="D340:L340" si="433">D333-D338</f>
        <v>1297.6009999999987</v>
      </c>
      <c r="E340" s="64">
        <f t="shared" si="433"/>
        <v>1177.1569999999992</v>
      </c>
      <c r="F340" s="64">
        <f t="shared" si="433"/>
        <v>1385.9840000000004</v>
      </c>
      <c r="G340" s="65">
        <f t="shared" si="433"/>
        <v>1250.2739999999976</v>
      </c>
      <c r="H340" s="76">
        <f t="shared" si="433"/>
        <v>0</v>
      </c>
      <c r="I340" s="64">
        <f t="shared" si="433"/>
        <v>0</v>
      </c>
      <c r="J340" s="64">
        <f t="shared" si="433"/>
        <v>0</v>
      </c>
      <c r="K340" s="64">
        <f t="shared" si="433"/>
        <v>0</v>
      </c>
      <c r="L340" s="71">
        <f t="shared" si="433"/>
        <v>0</v>
      </c>
    </row>
    <row r="341" spans="2:12">
      <c r="B341" s="55" t="s">
        <v>445</v>
      </c>
      <c r="C341" s="62">
        <f>C340/C333</f>
        <v>5.6886910390906126E-2</v>
      </c>
      <c r="D341" s="62">
        <f t="shared" ref="D341" si="434">D340/D333</f>
        <v>5.8337153239031207E-2</v>
      </c>
      <c r="E341" s="62">
        <f t="shared" ref="E341" si="435">E340/E333</f>
        <v>5.2785756616307578E-2</v>
      </c>
      <c r="F341" s="62">
        <f t="shared" ref="F341" si="436">F340/F333</f>
        <v>6.2490196342766396E-2</v>
      </c>
      <c r="G341" s="63">
        <f t="shared" ref="G341" si="437">G340/G333</f>
        <v>5.7960456915728327E-2</v>
      </c>
      <c r="H341" s="77" t="e">
        <f t="shared" ref="H341" si="438">H340/H333</f>
        <v>#DIV/0!</v>
      </c>
      <c r="I341" s="66" t="e">
        <f t="shared" ref="I341" si="439">I340/I333</f>
        <v>#DIV/0!</v>
      </c>
      <c r="J341" s="66" t="e">
        <f t="shared" ref="J341" si="440">J340/J333</f>
        <v>#DIV/0!</v>
      </c>
      <c r="K341" s="66" t="e">
        <f t="shared" ref="K341" si="441">K340/K333</f>
        <v>#DIV/0!</v>
      </c>
      <c r="L341" s="72" t="e">
        <f t="shared" ref="L341" si="442">L340/L333</f>
        <v>#DIV/0!</v>
      </c>
    </row>
    <row r="342" spans="2:12">
      <c r="B342" s="55" t="s">
        <v>446</v>
      </c>
      <c r="C342" s="62">
        <f>C340/C338</f>
        <v>6.0318228023412225E-2</v>
      </c>
      <c r="D342" s="62">
        <f t="shared" ref="D342:L342" si="443">D340/D338</f>
        <v>6.1951210499270638E-2</v>
      </c>
      <c r="E342" s="62">
        <f t="shared" si="443"/>
        <v>5.5727367894873821E-2</v>
      </c>
      <c r="F342" s="62">
        <f t="shared" si="443"/>
        <v>6.66555123999681E-2</v>
      </c>
      <c r="G342" s="62">
        <f t="shared" si="443"/>
        <v>6.1526564719314954E-2</v>
      </c>
      <c r="H342" s="80" t="e">
        <f t="shared" si="443"/>
        <v>#DIV/0!</v>
      </c>
      <c r="I342" s="62" t="e">
        <f t="shared" si="443"/>
        <v>#DIV/0!</v>
      </c>
      <c r="J342" s="62" t="e">
        <f t="shared" si="443"/>
        <v>#DIV/0!</v>
      </c>
      <c r="K342" s="62" t="e">
        <f t="shared" si="443"/>
        <v>#DIV/0!</v>
      </c>
      <c r="L342" s="81" t="e">
        <f t="shared" si="443"/>
        <v>#DIV/0!</v>
      </c>
    </row>
    <row r="343" spans="2:12">
      <c r="B343" s="61"/>
      <c r="C343" s="66"/>
      <c r="D343" s="66"/>
      <c r="E343" s="66"/>
      <c r="F343" s="66"/>
      <c r="G343" s="67"/>
      <c r="H343" s="77"/>
      <c r="I343" s="66"/>
      <c r="J343" s="66"/>
      <c r="K343" s="66"/>
      <c r="L343" s="72"/>
    </row>
    <row r="344" spans="2:12">
      <c r="B344" s="61" t="s">
        <v>329</v>
      </c>
      <c r="C344" s="66">
        <v>-6.6763769999999996</v>
      </c>
      <c r="D344" s="66">
        <v>-11.341867000000001</v>
      </c>
      <c r="E344" s="66">
        <v>-6.4251259999999997</v>
      </c>
      <c r="F344" s="66">
        <v>-17.521404</v>
      </c>
      <c r="G344" s="66">
        <v>-11.631909</v>
      </c>
      <c r="H344" s="77"/>
      <c r="I344" s="66"/>
      <c r="J344" s="66"/>
      <c r="K344" s="66"/>
      <c r="L344" s="72"/>
    </row>
    <row r="345" spans="2:12">
      <c r="B345" s="55" t="s">
        <v>328</v>
      </c>
      <c r="C345" s="66">
        <v>-6.6763769999999996</v>
      </c>
      <c r="D345" s="66">
        <v>-11.341867000000001</v>
      </c>
      <c r="E345" s="66">
        <v>-5.421824</v>
      </c>
      <c r="F345" s="66">
        <v>-17.521404</v>
      </c>
      <c r="G345" s="66">
        <v>-11.771383999999999</v>
      </c>
      <c r="H345" s="77"/>
      <c r="I345" s="66"/>
      <c r="J345" s="66"/>
      <c r="K345" s="66"/>
      <c r="L345" s="72"/>
    </row>
    <row r="346" spans="2:12">
      <c r="B346" s="55"/>
      <c r="C346" s="64"/>
      <c r="D346" s="64"/>
      <c r="E346" s="64"/>
      <c r="F346" s="64"/>
      <c r="G346" s="65"/>
      <c r="H346" s="76"/>
      <c r="I346" s="64"/>
      <c r="J346" s="64"/>
      <c r="K346" s="64"/>
      <c r="L346" s="71"/>
    </row>
    <row r="347" spans="2:12">
      <c r="B347" s="60" t="s">
        <v>53</v>
      </c>
      <c r="C347" s="64"/>
      <c r="D347" s="64"/>
      <c r="E347" s="64"/>
      <c r="F347" s="64"/>
      <c r="G347" s="65"/>
      <c r="H347" s="76"/>
      <c r="I347" s="64"/>
      <c r="J347" s="64"/>
      <c r="K347" s="64"/>
      <c r="L347" s="71"/>
    </row>
    <row r="348" spans="2:12">
      <c r="B348" s="55" t="s">
        <v>54</v>
      </c>
      <c r="C348" s="64">
        <v>659.70399999999995</v>
      </c>
      <c r="D348" s="64">
        <v>625.43700000000001</v>
      </c>
      <c r="E348" s="64">
        <v>600.404</v>
      </c>
      <c r="F348" s="64">
        <v>610.18600000000004</v>
      </c>
      <c r="G348" s="64">
        <v>476.87599999999998</v>
      </c>
      <c r="H348" s="76"/>
      <c r="I348" s="64"/>
      <c r="J348" s="64"/>
      <c r="K348" s="64"/>
      <c r="L348" s="71"/>
    </row>
    <row r="349" spans="2:12">
      <c r="B349" s="55" t="s">
        <v>28</v>
      </c>
      <c r="C349" s="64">
        <v>4971.0929999999998</v>
      </c>
      <c r="D349" s="64">
        <v>4862.9920000000002</v>
      </c>
      <c r="E349" s="64">
        <v>4964.4859999999999</v>
      </c>
      <c r="F349" s="64">
        <v>4839.6809999999996</v>
      </c>
      <c r="G349" s="64">
        <v>4676.1629999999996</v>
      </c>
      <c r="H349" s="76"/>
      <c r="I349" s="64"/>
      <c r="J349" s="64"/>
      <c r="K349" s="64"/>
      <c r="L349" s="71"/>
    </row>
    <row r="350" spans="2:12">
      <c r="B350" s="55" t="s">
        <v>55</v>
      </c>
      <c r="C350" s="64">
        <v>988.63499999999999</v>
      </c>
      <c r="D350" s="64">
        <v>921.19899999999996</v>
      </c>
      <c r="E350" s="64">
        <v>914.029</v>
      </c>
      <c r="F350" s="64">
        <v>892.625</v>
      </c>
      <c r="G350" s="64">
        <v>874.22500000000002</v>
      </c>
      <c r="H350" s="76"/>
      <c r="I350" s="64"/>
      <c r="J350" s="64"/>
      <c r="K350" s="64"/>
      <c r="L350" s="71"/>
    </row>
    <row r="351" spans="2:12">
      <c r="B351" s="55" t="s">
        <v>56</v>
      </c>
      <c r="C351" s="64">
        <v>1958.884</v>
      </c>
      <c r="D351" s="64">
        <v>1701.5229999999999</v>
      </c>
      <c r="E351" s="64">
        <v>1716.655</v>
      </c>
      <c r="F351" s="64">
        <v>1670.02</v>
      </c>
      <c r="G351" s="64">
        <v>1615.463</v>
      </c>
      <c r="H351" s="76"/>
      <c r="I351" s="64"/>
      <c r="J351" s="64"/>
      <c r="K351" s="64"/>
      <c r="L351" s="71"/>
    </row>
    <row r="352" spans="2:12">
      <c r="B352" s="55" t="s">
        <v>57</v>
      </c>
      <c r="C352" s="64">
        <v>13085.897999999999</v>
      </c>
      <c r="D352" s="64">
        <v>12834.38</v>
      </c>
      <c r="E352" s="64">
        <v>12927.924999999999</v>
      </c>
      <c r="F352" s="64">
        <v>12780.727000000001</v>
      </c>
      <c r="G352" s="64">
        <v>12678.154</v>
      </c>
      <c r="H352" s="76"/>
      <c r="I352" s="64"/>
      <c r="J352" s="64"/>
      <c r="K352" s="64"/>
      <c r="L352" s="71"/>
    </row>
    <row r="353" spans="2:12" ht="13.5" thickBot="1">
      <c r="B353" s="57" t="s">
        <v>20</v>
      </c>
      <c r="C353" s="68">
        <f>SUM(C348:C352)</f>
        <v>21664.214</v>
      </c>
      <c r="D353" s="68">
        <f t="shared" ref="D353" si="444">SUM(D348:D352)</f>
        <v>20945.530999999999</v>
      </c>
      <c r="E353" s="68">
        <f t="shared" ref="E353" si="445">SUM(E348:E352)</f>
        <v>21123.499</v>
      </c>
      <c r="F353" s="68">
        <f t="shared" ref="F353" si="446">SUM(F348:F352)</f>
        <v>20793.239000000001</v>
      </c>
      <c r="G353" s="69">
        <f t="shared" ref="G353" si="447">SUM(G348:G352)</f>
        <v>20320.881000000001</v>
      </c>
      <c r="H353" s="78">
        <f t="shared" ref="H353" si="448">SUM(H348:H352)</f>
        <v>0</v>
      </c>
      <c r="I353" s="68">
        <f t="shared" ref="I353" si="449">SUM(I348:I352)</f>
        <v>0</v>
      </c>
      <c r="J353" s="68">
        <f t="shared" ref="J353" si="450">SUM(J348:J352)</f>
        <v>0</v>
      </c>
      <c r="K353" s="68">
        <f t="shared" ref="K353" si="451">SUM(K348:K352)</f>
        <v>0</v>
      </c>
      <c r="L353" s="73">
        <f t="shared" ref="L353" si="452">SUM(L348:L352)</f>
        <v>0</v>
      </c>
    </row>
    <row r="354" spans="2:12">
      <c r="B354" s="25" t="s">
        <v>59</v>
      </c>
      <c r="C354" s="25" t="s">
        <v>64</v>
      </c>
      <c r="D354" s="13"/>
      <c r="E354" s="13"/>
      <c r="F354" s="13"/>
      <c r="G354" s="13"/>
      <c r="H354" s="13"/>
      <c r="I354" s="13"/>
      <c r="J354" s="13"/>
      <c r="K354" s="13"/>
      <c r="L354" s="13"/>
    </row>
    <row r="355" spans="2:12">
      <c r="B355" s="25"/>
      <c r="C355" s="37"/>
    </row>
    <row r="356" spans="2:12" ht="13.5" thickBot="1"/>
    <row r="357" spans="2:12" ht="15">
      <c r="B357" s="53" t="str">
        <f>B21</f>
        <v>SP Manweb</v>
      </c>
      <c r="C357" s="54" t="str">
        <f>C49</f>
        <v>2005-06</v>
      </c>
      <c r="D357" s="58" t="str">
        <f t="shared" ref="D357:L357" si="453">D49</f>
        <v>2006-07</v>
      </c>
      <c r="E357" s="58" t="str">
        <f t="shared" si="453"/>
        <v>2007-08</v>
      </c>
      <c r="F357" s="58" t="str">
        <f t="shared" si="453"/>
        <v>2008-09</v>
      </c>
      <c r="G357" s="59" t="str">
        <f t="shared" si="453"/>
        <v>2009-10</v>
      </c>
      <c r="H357" s="74" t="str">
        <f t="shared" si="453"/>
        <v>2010-11</v>
      </c>
      <c r="I357" s="54" t="str">
        <f t="shared" si="453"/>
        <v>2011-12</v>
      </c>
      <c r="J357" s="54" t="str">
        <f t="shared" si="453"/>
        <v>2012-13</v>
      </c>
      <c r="K357" s="54" t="str">
        <f t="shared" si="453"/>
        <v>2013-14</v>
      </c>
      <c r="L357" s="59" t="str">
        <f t="shared" si="453"/>
        <v>2014-15</v>
      </c>
    </row>
    <row r="358" spans="2:12">
      <c r="B358" s="60" t="s">
        <v>48</v>
      </c>
      <c r="C358" s="52"/>
      <c r="D358" s="52"/>
      <c r="E358" s="52"/>
      <c r="F358" s="52"/>
      <c r="G358" s="56"/>
      <c r="H358" s="75"/>
      <c r="I358" s="52"/>
      <c r="J358" s="52"/>
      <c r="K358" s="52"/>
      <c r="L358" s="70"/>
    </row>
    <row r="359" spans="2:12">
      <c r="B359" s="55" t="s">
        <v>61</v>
      </c>
      <c r="C359" s="64">
        <v>0</v>
      </c>
      <c r="D359" s="64">
        <v>0</v>
      </c>
      <c r="E359" s="64">
        <v>0</v>
      </c>
      <c r="F359" s="64">
        <v>0</v>
      </c>
      <c r="G359" s="64">
        <v>0</v>
      </c>
      <c r="H359" s="76"/>
      <c r="I359" s="64"/>
      <c r="J359" s="64"/>
      <c r="K359" s="64"/>
      <c r="L359" s="71"/>
    </row>
    <row r="360" spans="2:12">
      <c r="B360" s="55" t="s">
        <v>49</v>
      </c>
      <c r="C360" s="64">
        <v>18315.268</v>
      </c>
      <c r="D360" s="64">
        <v>17969.14</v>
      </c>
      <c r="E360" s="64">
        <v>17936.138999999999</v>
      </c>
      <c r="F360" s="64">
        <v>17603.045999999998</v>
      </c>
      <c r="G360" s="64">
        <v>17381.838</v>
      </c>
      <c r="H360" s="76"/>
      <c r="I360" s="64"/>
      <c r="J360" s="64"/>
      <c r="K360" s="64"/>
      <c r="L360" s="71"/>
    </row>
    <row r="361" spans="2:12">
      <c r="B361" s="55"/>
      <c r="C361" s="64">
        <f>SUM(C359:C360)</f>
        <v>18315.268</v>
      </c>
      <c r="D361" s="64">
        <f t="shared" ref="D361" si="454">SUM(D359:D360)</f>
        <v>17969.14</v>
      </c>
      <c r="E361" s="64">
        <f t="shared" ref="E361" si="455">SUM(E359:E360)</f>
        <v>17936.138999999999</v>
      </c>
      <c r="F361" s="64">
        <f t="shared" ref="F361" si="456">SUM(F359:F360)</f>
        <v>17603.045999999998</v>
      </c>
      <c r="G361" s="65">
        <f t="shared" ref="G361" si="457">SUM(G359:G360)</f>
        <v>17381.838</v>
      </c>
      <c r="H361" s="76">
        <f t="shared" ref="H361" si="458">SUM(H359:H360)</f>
        <v>0</v>
      </c>
      <c r="I361" s="64">
        <f t="shared" ref="I361" si="459">SUM(I359:I360)</f>
        <v>0</v>
      </c>
      <c r="J361" s="64">
        <f t="shared" ref="J361" si="460">SUM(J359:J360)</f>
        <v>0</v>
      </c>
      <c r="K361" s="64">
        <f t="shared" ref="K361" si="461">SUM(K359:K360)</f>
        <v>0</v>
      </c>
      <c r="L361" s="71">
        <f t="shared" ref="L361" si="462">SUM(L359:L360)</f>
        <v>0</v>
      </c>
    </row>
    <row r="362" spans="2:12">
      <c r="B362" s="60" t="s">
        <v>50</v>
      </c>
      <c r="C362" s="64"/>
      <c r="D362" s="64"/>
      <c r="E362" s="64"/>
      <c r="F362" s="64"/>
      <c r="G362" s="65"/>
      <c r="H362" s="76"/>
      <c r="I362" s="64"/>
      <c r="J362" s="64"/>
      <c r="K362" s="64"/>
      <c r="L362" s="71"/>
    </row>
    <row r="363" spans="2:12">
      <c r="B363" s="55" t="s">
        <v>51</v>
      </c>
      <c r="C363" s="64">
        <v>205.77500000000001</v>
      </c>
      <c r="D363" s="64">
        <v>215.874</v>
      </c>
      <c r="E363" s="64">
        <v>211.94499999999999</v>
      </c>
      <c r="F363" s="64">
        <v>209.565</v>
      </c>
      <c r="G363" s="64">
        <v>207.11</v>
      </c>
      <c r="H363" s="76"/>
      <c r="I363" s="64"/>
      <c r="J363" s="64"/>
      <c r="K363" s="64"/>
      <c r="L363" s="71"/>
    </row>
    <row r="364" spans="2:12">
      <c r="B364" s="55" t="s">
        <v>52</v>
      </c>
      <c r="C364" s="64">
        <v>17039.712</v>
      </c>
      <c r="D364" s="64">
        <v>16766.781999999999</v>
      </c>
      <c r="E364" s="64">
        <v>16548.699000000001</v>
      </c>
      <c r="F364" s="64">
        <v>16299.852999999999</v>
      </c>
      <c r="G364" s="64">
        <v>16133.421</v>
      </c>
      <c r="H364" s="76"/>
      <c r="I364" s="64"/>
      <c r="J364" s="64"/>
      <c r="K364" s="64"/>
      <c r="L364" s="71"/>
    </row>
    <row r="365" spans="2:12">
      <c r="B365" s="55" t="s">
        <v>58</v>
      </c>
      <c r="C365" s="64">
        <v>0</v>
      </c>
      <c r="D365" s="64">
        <v>0</v>
      </c>
      <c r="E365" s="64">
        <v>0</v>
      </c>
      <c r="F365" s="64">
        <v>0</v>
      </c>
      <c r="G365" s="64">
        <v>0</v>
      </c>
      <c r="H365" s="76"/>
      <c r="I365" s="64"/>
      <c r="J365" s="64"/>
      <c r="K365" s="64"/>
      <c r="L365" s="71"/>
    </row>
    <row r="366" spans="2:12">
      <c r="B366" s="55"/>
      <c r="C366" s="64">
        <f>SUM(C363:C365)</f>
        <v>17245.487000000001</v>
      </c>
      <c r="D366" s="64">
        <f t="shared" ref="D366" si="463">SUM(D363:D365)</f>
        <v>16982.655999999999</v>
      </c>
      <c r="E366" s="64">
        <f t="shared" ref="E366" si="464">SUM(E363:E365)</f>
        <v>16760.644</v>
      </c>
      <c r="F366" s="64">
        <f t="shared" ref="F366" si="465">SUM(F363:F365)</f>
        <v>16509.417999999998</v>
      </c>
      <c r="G366" s="65">
        <f t="shared" ref="G366" si="466">SUM(G363:G365)</f>
        <v>16340.531000000001</v>
      </c>
      <c r="H366" s="76">
        <f t="shared" ref="H366" si="467">SUM(H363:H365)</f>
        <v>0</v>
      </c>
      <c r="I366" s="64">
        <f t="shared" ref="I366" si="468">SUM(I363:I365)</f>
        <v>0</v>
      </c>
      <c r="J366" s="64">
        <f t="shared" ref="J366" si="469">SUM(J363:J365)</f>
        <v>0</v>
      </c>
      <c r="K366" s="64">
        <f t="shared" ref="K366" si="470">SUM(K363:K365)</f>
        <v>0</v>
      </c>
      <c r="L366" s="71">
        <f t="shared" ref="L366" si="471">SUM(L363:L365)</f>
        <v>0</v>
      </c>
    </row>
    <row r="367" spans="2:12">
      <c r="B367" s="55"/>
      <c r="C367" s="64"/>
      <c r="D367" s="64"/>
      <c r="E367" s="64"/>
      <c r="F367" s="64"/>
      <c r="G367" s="65"/>
      <c r="H367" s="76"/>
      <c r="I367" s="64"/>
      <c r="J367" s="64"/>
      <c r="K367" s="64"/>
      <c r="L367" s="71"/>
    </row>
    <row r="368" spans="2:12">
      <c r="B368" s="61" t="s">
        <v>43</v>
      </c>
      <c r="C368" s="64">
        <f>C361-C366</f>
        <v>1069.780999999999</v>
      </c>
      <c r="D368" s="64">
        <f t="shared" ref="D368:L368" si="472">D361-D366</f>
        <v>986.48400000000038</v>
      </c>
      <c r="E368" s="64">
        <f t="shared" si="472"/>
        <v>1175.494999999999</v>
      </c>
      <c r="F368" s="64">
        <f t="shared" si="472"/>
        <v>1093.6280000000006</v>
      </c>
      <c r="G368" s="65">
        <f t="shared" si="472"/>
        <v>1041.3069999999989</v>
      </c>
      <c r="H368" s="76">
        <f t="shared" si="472"/>
        <v>0</v>
      </c>
      <c r="I368" s="64">
        <f t="shared" si="472"/>
        <v>0</v>
      </c>
      <c r="J368" s="64">
        <f t="shared" si="472"/>
        <v>0</v>
      </c>
      <c r="K368" s="64">
        <f t="shared" si="472"/>
        <v>0</v>
      </c>
      <c r="L368" s="71">
        <f t="shared" si="472"/>
        <v>0</v>
      </c>
    </row>
    <row r="369" spans="2:12">
      <c r="B369" s="55" t="s">
        <v>445</v>
      </c>
      <c r="C369" s="62">
        <f>C368/C361</f>
        <v>5.8409246318426734E-2</v>
      </c>
      <c r="D369" s="62">
        <f t="shared" ref="D369" si="473">D368/D361</f>
        <v>5.4898787588053763E-2</v>
      </c>
      <c r="E369" s="62">
        <f t="shared" ref="E369" si="474">E368/E361</f>
        <v>6.5537794951299105E-2</v>
      </c>
      <c r="F369" s="62">
        <f t="shared" ref="F369" si="475">F368/F361</f>
        <v>6.2127202303510466E-2</v>
      </c>
      <c r="G369" s="63">
        <f t="shared" ref="G369" si="476">G368/G361</f>
        <v>5.9907761193033725E-2</v>
      </c>
      <c r="H369" s="77" t="e">
        <f t="shared" ref="H369" si="477">H368/H361</f>
        <v>#DIV/0!</v>
      </c>
      <c r="I369" s="66" t="e">
        <f t="shared" ref="I369" si="478">I368/I361</f>
        <v>#DIV/0!</v>
      </c>
      <c r="J369" s="66" t="e">
        <f t="shared" ref="J369" si="479">J368/J361</f>
        <v>#DIV/0!</v>
      </c>
      <c r="K369" s="66" t="e">
        <f t="shared" ref="K369" si="480">K368/K361</f>
        <v>#DIV/0!</v>
      </c>
      <c r="L369" s="72" t="e">
        <f t="shared" ref="L369" si="481">L368/L361</f>
        <v>#DIV/0!</v>
      </c>
    </row>
    <row r="370" spans="2:12">
      <c r="B370" s="55" t="s">
        <v>446</v>
      </c>
      <c r="C370" s="62">
        <f>C368/C366</f>
        <v>6.2032519000478153E-2</v>
      </c>
      <c r="D370" s="62">
        <f t="shared" ref="D370:L370" si="482">D368/D366</f>
        <v>5.8087733744356621E-2</v>
      </c>
      <c r="E370" s="62">
        <f t="shared" si="482"/>
        <v>7.0134238278672281E-2</v>
      </c>
      <c r="F370" s="62">
        <f t="shared" si="482"/>
        <v>6.6242674332917167E-2</v>
      </c>
      <c r="G370" s="62">
        <f t="shared" si="482"/>
        <v>6.3725407699419243E-2</v>
      </c>
      <c r="H370" s="80" t="e">
        <f t="shared" si="482"/>
        <v>#DIV/0!</v>
      </c>
      <c r="I370" s="62" t="e">
        <f t="shared" si="482"/>
        <v>#DIV/0!</v>
      </c>
      <c r="J370" s="62" t="e">
        <f t="shared" si="482"/>
        <v>#DIV/0!</v>
      </c>
      <c r="K370" s="62" t="e">
        <f t="shared" si="482"/>
        <v>#DIV/0!</v>
      </c>
      <c r="L370" s="81" t="e">
        <f t="shared" si="482"/>
        <v>#DIV/0!</v>
      </c>
    </row>
    <row r="371" spans="2:12">
      <c r="B371" s="61"/>
      <c r="C371" s="66"/>
      <c r="D371" s="66"/>
      <c r="E371" s="66"/>
      <c r="F371" s="66"/>
      <c r="G371" s="67"/>
      <c r="H371" s="77"/>
      <c r="I371" s="66"/>
      <c r="J371" s="66"/>
      <c r="K371" s="66"/>
      <c r="L371" s="72"/>
    </row>
    <row r="372" spans="2:12">
      <c r="B372" s="61" t="s">
        <v>329</v>
      </c>
      <c r="C372" s="66">
        <v>-3.019196</v>
      </c>
      <c r="D372" s="66">
        <v>-4.2199499999999999</v>
      </c>
      <c r="E372" s="66">
        <v>-8.3803450000000002</v>
      </c>
      <c r="F372" s="66">
        <v>-11.816281999999999</v>
      </c>
      <c r="G372" s="66">
        <v>-9.8274430000000006</v>
      </c>
      <c r="H372" s="77"/>
      <c r="I372" s="66"/>
      <c r="J372" s="66"/>
      <c r="K372" s="66"/>
      <c r="L372" s="72"/>
    </row>
    <row r="373" spans="2:12">
      <c r="B373" s="55" t="s">
        <v>328</v>
      </c>
      <c r="C373" s="66">
        <v>-3.019196</v>
      </c>
      <c r="D373" s="66">
        <v>-4.2199499999999999</v>
      </c>
      <c r="E373" s="66">
        <v>-12.803879999999999</v>
      </c>
      <c r="F373" s="66">
        <v>-11.816281999999999</v>
      </c>
      <c r="G373" s="66">
        <v>-9.8081379999999996</v>
      </c>
      <c r="H373" s="77"/>
      <c r="I373" s="66"/>
      <c r="J373" s="66"/>
      <c r="K373" s="66"/>
      <c r="L373" s="72"/>
    </row>
    <row r="374" spans="2:12">
      <c r="B374" s="55"/>
      <c r="C374" s="64"/>
      <c r="D374" s="64"/>
      <c r="E374" s="64"/>
      <c r="F374" s="64"/>
      <c r="G374" s="65"/>
      <c r="H374" s="76"/>
      <c r="I374" s="64"/>
      <c r="J374" s="64"/>
      <c r="K374" s="64"/>
      <c r="L374" s="71"/>
    </row>
    <row r="375" spans="2:12">
      <c r="B375" s="60" t="s">
        <v>53</v>
      </c>
      <c r="C375" s="64"/>
      <c r="D375" s="64"/>
      <c r="E375" s="64"/>
      <c r="F375" s="64"/>
      <c r="G375" s="65"/>
      <c r="H375" s="76"/>
      <c r="I375" s="64"/>
      <c r="J375" s="64"/>
      <c r="K375" s="64"/>
      <c r="L375" s="71"/>
    </row>
    <row r="376" spans="2:12">
      <c r="B376" s="55" t="s">
        <v>54</v>
      </c>
      <c r="C376" s="64">
        <v>1752.837</v>
      </c>
      <c r="D376" s="64">
        <v>1890.9059999999999</v>
      </c>
      <c r="E376" s="64">
        <v>1903.2729999999999</v>
      </c>
      <c r="F376" s="64">
        <v>1844.347</v>
      </c>
      <c r="G376" s="64">
        <v>1938.201</v>
      </c>
      <c r="H376" s="76"/>
      <c r="I376" s="64"/>
      <c r="J376" s="64"/>
      <c r="K376" s="64"/>
      <c r="L376" s="71"/>
    </row>
    <row r="377" spans="2:12">
      <c r="B377" s="55" t="s">
        <v>28</v>
      </c>
      <c r="C377" s="64">
        <v>4360.6059999999998</v>
      </c>
      <c r="D377" s="64">
        <v>4270.57</v>
      </c>
      <c r="E377" s="64">
        <v>4342.393</v>
      </c>
      <c r="F377" s="64">
        <v>3981.4380000000001</v>
      </c>
      <c r="G377" s="64">
        <v>3906.3270000000002</v>
      </c>
      <c r="H377" s="76"/>
      <c r="I377" s="64"/>
      <c r="J377" s="64"/>
      <c r="K377" s="64"/>
      <c r="L377" s="71"/>
    </row>
    <row r="378" spans="2:12">
      <c r="B378" s="55" t="s">
        <v>55</v>
      </c>
      <c r="C378" s="64">
        <v>831.58500000000004</v>
      </c>
      <c r="D378" s="64">
        <v>813.26199999999994</v>
      </c>
      <c r="E378" s="64">
        <v>793.70899999999995</v>
      </c>
      <c r="F378" s="64">
        <v>807.09299999999996</v>
      </c>
      <c r="G378" s="64">
        <v>797.33799999999997</v>
      </c>
      <c r="H378" s="76"/>
      <c r="I378" s="64"/>
      <c r="J378" s="64"/>
      <c r="K378" s="64"/>
      <c r="L378" s="71"/>
    </row>
    <row r="379" spans="2:12">
      <c r="B379" s="55" t="s">
        <v>56</v>
      </c>
      <c r="C379" s="64">
        <v>766.92600000000004</v>
      </c>
      <c r="D379" s="64">
        <v>674.86500000000001</v>
      </c>
      <c r="E379" s="64">
        <v>667.88599999999997</v>
      </c>
      <c r="F379" s="64">
        <v>681.71699999999998</v>
      </c>
      <c r="G379" s="64">
        <v>653.13800000000003</v>
      </c>
      <c r="H379" s="76"/>
      <c r="I379" s="64"/>
      <c r="J379" s="64"/>
      <c r="K379" s="64"/>
      <c r="L379" s="71"/>
    </row>
    <row r="380" spans="2:12">
      <c r="B380" s="55" t="s">
        <v>57</v>
      </c>
      <c r="C380" s="64">
        <v>9533.5329999999994</v>
      </c>
      <c r="D380" s="64">
        <v>9333.0519999999997</v>
      </c>
      <c r="E380" s="64">
        <v>9053.3829999999998</v>
      </c>
      <c r="F380" s="64">
        <v>9194.8230000000003</v>
      </c>
      <c r="G380" s="64">
        <v>9045.527</v>
      </c>
      <c r="H380" s="76"/>
      <c r="I380" s="64"/>
      <c r="J380" s="64"/>
      <c r="K380" s="64"/>
      <c r="L380" s="71"/>
    </row>
    <row r="381" spans="2:12" ht="13.5" thickBot="1">
      <c r="B381" s="57" t="s">
        <v>20</v>
      </c>
      <c r="C381" s="68">
        <f>SUM(C376:C380)</f>
        <v>17245.487000000001</v>
      </c>
      <c r="D381" s="68">
        <f t="shared" ref="D381" si="483">SUM(D376:D380)</f>
        <v>16982.654999999999</v>
      </c>
      <c r="E381" s="68">
        <f t="shared" ref="E381" si="484">SUM(E376:E380)</f>
        <v>16760.644</v>
      </c>
      <c r="F381" s="68">
        <f t="shared" ref="F381" si="485">SUM(F376:F380)</f>
        <v>16509.417999999998</v>
      </c>
      <c r="G381" s="69">
        <f t="shared" ref="G381" si="486">SUM(G376:G380)</f>
        <v>16340.530999999999</v>
      </c>
      <c r="H381" s="78">
        <f t="shared" ref="H381" si="487">SUM(H376:H380)</f>
        <v>0</v>
      </c>
      <c r="I381" s="68">
        <f t="shared" ref="I381" si="488">SUM(I376:I380)</f>
        <v>0</v>
      </c>
      <c r="J381" s="68">
        <f t="shared" ref="J381" si="489">SUM(J376:J380)</f>
        <v>0</v>
      </c>
      <c r="K381" s="68">
        <f t="shared" ref="K381" si="490">SUM(K376:K380)</f>
        <v>0</v>
      </c>
      <c r="L381" s="73">
        <f t="shared" ref="L381" si="491">SUM(L376:L380)</f>
        <v>0</v>
      </c>
    </row>
    <row r="382" spans="2:12">
      <c r="B382" s="25" t="s">
        <v>59</v>
      </c>
      <c r="C382" s="25" t="s">
        <v>64</v>
      </c>
      <c r="D382" s="13"/>
      <c r="E382" s="13"/>
      <c r="F382" s="13"/>
      <c r="G382" s="13"/>
      <c r="H382" s="13"/>
      <c r="I382" s="13"/>
      <c r="J382" s="13"/>
      <c r="K382" s="13"/>
      <c r="L382" s="13"/>
    </row>
    <row r="383" spans="2:12">
      <c r="B383" s="25"/>
      <c r="C383" s="37"/>
    </row>
    <row r="384" spans="2:12" ht="13.5" thickBot="1"/>
    <row r="385" spans="2:12" ht="15">
      <c r="B385" s="53" t="str">
        <f>B22</f>
        <v>SSE Hydro</v>
      </c>
      <c r="C385" s="54" t="str">
        <f>C49</f>
        <v>2005-06</v>
      </c>
      <c r="D385" s="58" t="str">
        <f t="shared" ref="D385:L385" si="492">D49</f>
        <v>2006-07</v>
      </c>
      <c r="E385" s="58" t="str">
        <f t="shared" si="492"/>
        <v>2007-08</v>
      </c>
      <c r="F385" s="58" t="str">
        <f t="shared" si="492"/>
        <v>2008-09</v>
      </c>
      <c r="G385" s="59" t="str">
        <f t="shared" si="492"/>
        <v>2009-10</v>
      </c>
      <c r="H385" s="74" t="str">
        <f t="shared" si="492"/>
        <v>2010-11</v>
      </c>
      <c r="I385" s="54" t="str">
        <f t="shared" si="492"/>
        <v>2011-12</v>
      </c>
      <c r="J385" s="54" t="str">
        <f t="shared" si="492"/>
        <v>2012-13</v>
      </c>
      <c r="K385" s="54" t="str">
        <f t="shared" si="492"/>
        <v>2013-14</v>
      </c>
      <c r="L385" s="59" t="str">
        <f t="shared" si="492"/>
        <v>2014-15</v>
      </c>
    </row>
    <row r="386" spans="2:12">
      <c r="B386" s="60" t="s">
        <v>48</v>
      </c>
      <c r="C386" s="52"/>
      <c r="D386" s="52"/>
      <c r="E386" s="52"/>
      <c r="F386" s="52"/>
      <c r="G386" s="56"/>
      <c r="H386" s="75"/>
      <c r="I386" s="52"/>
      <c r="J386" s="52"/>
      <c r="K386" s="52"/>
      <c r="L386" s="70"/>
    </row>
    <row r="387" spans="2:12">
      <c r="B387" s="55" t="s">
        <v>61</v>
      </c>
      <c r="C387" s="64">
        <v>0</v>
      </c>
      <c r="D387" s="64">
        <v>0</v>
      </c>
      <c r="E387" s="64">
        <v>0</v>
      </c>
      <c r="F387" s="64">
        <v>0</v>
      </c>
      <c r="G387" s="64">
        <v>0</v>
      </c>
      <c r="H387" s="76"/>
      <c r="I387" s="64"/>
      <c r="J387" s="64"/>
      <c r="K387" s="64"/>
      <c r="L387" s="71"/>
    </row>
    <row r="388" spans="2:12">
      <c r="B388" s="55" t="s">
        <v>49</v>
      </c>
      <c r="C388" s="64">
        <v>9556.768</v>
      </c>
      <c r="D388" s="64">
        <v>9237.1869999999999</v>
      </c>
      <c r="E388" s="64">
        <v>9402.3850000000002</v>
      </c>
      <c r="F388" s="64">
        <v>9227.8410000000003</v>
      </c>
      <c r="G388" s="64">
        <v>9087.9529999999995</v>
      </c>
      <c r="H388" s="76"/>
      <c r="I388" s="64"/>
      <c r="J388" s="64"/>
      <c r="K388" s="64"/>
      <c r="L388" s="71"/>
    </row>
    <row r="389" spans="2:12">
      <c r="B389" s="55"/>
      <c r="C389" s="64">
        <f>SUM(C387:C388)</f>
        <v>9556.768</v>
      </c>
      <c r="D389" s="64">
        <f t="shared" ref="D389" si="493">SUM(D387:D388)</f>
        <v>9237.1869999999999</v>
      </c>
      <c r="E389" s="64">
        <f t="shared" ref="E389" si="494">SUM(E387:E388)</f>
        <v>9402.3850000000002</v>
      </c>
      <c r="F389" s="64">
        <f t="shared" ref="F389" si="495">SUM(F387:F388)</f>
        <v>9227.8410000000003</v>
      </c>
      <c r="G389" s="65">
        <f t="shared" ref="G389" si="496">SUM(G387:G388)</f>
        <v>9087.9529999999995</v>
      </c>
      <c r="H389" s="76">
        <f t="shared" ref="H389" si="497">SUM(H387:H388)</f>
        <v>0</v>
      </c>
      <c r="I389" s="64">
        <f t="shared" ref="I389" si="498">SUM(I387:I388)</f>
        <v>0</v>
      </c>
      <c r="J389" s="64">
        <f t="shared" ref="J389" si="499">SUM(J387:J388)</f>
        <v>0</v>
      </c>
      <c r="K389" s="64">
        <f t="shared" ref="K389" si="500">SUM(K387:K388)</f>
        <v>0</v>
      </c>
      <c r="L389" s="71">
        <f t="shared" ref="L389" si="501">SUM(L387:L388)</f>
        <v>0</v>
      </c>
    </row>
    <row r="390" spans="2:12">
      <c r="B390" s="60" t="s">
        <v>50</v>
      </c>
      <c r="C390" s="64"/>
      <c r="D390" s="64"/>
      <c r="E390" s="64"/>
      <c r="F390" s="64"/>
      <c r="G390" s="65"/>
      <c r="H390" s="76"/>
      <c r="I390" s="64"/>
      <c r="J390" s="64"/>
      <c r="K390" s="64"/>
      <c r="L390" s="71"/>
    </row>
    <row r="391" spans="2:12">
      <c r="B391" s="55" t="s">
        <v>51</v>
      </c>
      <c r="C391" s="64">
        <v>121.036</v>
      </c>
      <c r="D391" s="64">
        <v>107.56100000000001</v>
      </c>
      <c r="E391" s="64">
        <v>148.74799999999999</v>
      </c>
      <c r="F391" s="64">
        <v>114.154</v>
      </c>
      <c r="G391" s="64">
        <v>137.845</v>
      </c>
      <c r="H391" s="76"/>
      <c r="I391" s="64"/>
      <c r="J391" s="64"/>
      <c r="K391" s="64"/>
      <c r="L391" s="71"/>
    </row>
    <row r="392" spans="2:12">
      <c r="B392" s="55" t="s">
        <v>52</v>
      </c>
      <c r="C392" s="64">
        <v>8670.0789999999997</v>
      </c>
      <c r="D392" s="64">
        <v>8390.1890000000003</v>
      </c>
      <c r="E392" s="64">
        <v>8500.6569999999992</v>
      </c>
      <c r="F392" s="64">
        <v>8397.93</v>
      </c>
      <c r="G392" s="64">
        <v>8250.0040000000008</v>
      </c>
      <c r="H392" s="76"/>
      <c r="I392" s="64"/>
      <c r="J392" s="64"/>
      <c r="K392" s="64"/>
      <c r="L392" s="71"/>
    </row>
    <row r="393" spans="2:12">
      <c r="B393" s="55" t="s">
        <v>58</v>
      </c>
      <c r="C393" s="64">
        <v>4</v>
      </c>
      <c r="D393" s="64">
        <v>4</v>
      </c>
      <c r="E393" s="64">
        <v>4</v>
      </c>
      <c r="F393" s="64">
        <v>4</v>
      </c>
      <c r="G393" s="64">
        <v>4</v>
      </c>
      <c r="H393" s="76"/>
      <c r="I393" s="64"/>
      <c r="J393" s="64"/>
      <c r="K393" s="64"/>
      <c r="L393" s="71"/>
    </row>
    <row r="394" spans="2:12">
      <c r="B394" s="55"/>
      <c r="C394" s="64">
        <f>SUM(C391:C393)</f>
        <v>8795.1149999999998</v>
      </c>
      <c r="D394" s="64">
        <f t="shared" ref="D394" si="502">SUM(D391:D393)</f>
        <v>8501.75</v>
      </c>
      <c r="E394" s="64">
        <f t="shared" ref="E394" si="503">SUM(E391:E393)</f>
        <v>8653.4049999999988</v>
      </c>
      <c r="F394" s="64">
        <f t="shared" ref="F394" si="504">SUM(F391:F393)</f>
        <v>8516.0840000000007</v>
      </c>
      <c r="G394" s="65">
        <f t="shared" ref="G394" si="505">SUM(G391:G393)</f>
        <v>8391.8490000000002</v>
      </c>
      <c r="H394" s="76">
        <f t="shared" ref="H394" si="506">SUM(H391:H393)</f>
        <v>0</v>
      </c>
      <c r="I394" s="64">
        <f t="shared" ref="I394" si="507">SUM(I391:I393)</f>
        <v>0</v>
      </c>
      <c r="J394" s="64">
        <f t="shared" ref="J394" si="508">SUM(J391:J393)</f>
        <v>0</v>
      </c>
      <c r="K394" s="64">
        <f t="shared" ref="K394" si="509">SUM(K391:K393)</f>
        <v>0</v>
      </c>
      <c r="L394" s="71">
        <f t="shared" ref="L394" si="510">SUM(L391:L393)</f>
        <v>0</v>
      </c>
    </row>
    <row r="395" spans="2:12">
      <c r="B395" s="55"/>
      <c r="C395" s="64"/>
      <c r="D395" s="64"/>
      <c r="E395" s="64"/>
      <c r="F395" s="64"/>
      <c r="G395" s="65"/>
      <c r="H395" s="76"/>
      <c r="I395" s="64"/>
      <c r="J395" s="64"/>
      <c r="K395" s="64"/>
      <c r="L395" s="71"/>
    </row>
    <row r="396" spans="2:12">
      <c r="B396" s="61" t="s">
        <v>43</v>
      </c>
      <c r="C396" s="64">
        <f>C389-C394</f>
        <v>761.65300000000025</v>
      </c>
      <c r="D396" s="64">
        <f t="shared" ref="D396:L396" si="511">D389-D394</f>
        <v>735.4369999999999</v>
      </c>
      <c r="E396" s="64">
        <f t="shared" si="511"/>
        <v>748.98000000000138</v>
      </c>
      <c r="F396" s="64">
        <f t="shared" si="511"/>
        <v>711.75699999999961</v>
      </c>
      <c r="G396" s="65">
        <f t="shared" si="511"/>
        <v>696.10399999999936</v>
      </c>
      <c r="H396" s="76">
        <f t="shared" si="511"/>
        <v>0</v>
      </c>
      <c r="I396" s="64">
        <f t="shared" si="511"/>
        <v>0</v>
      </c>
      <c r="J396" s="64">
        <f t="shared" si="511"/>
        <v>0</v>
      </c>
      <c r="K396" s="64">
        <f t="shared" si="511"/>
        <v>0</v>
      </c>
      <c r="L396" s="71">
        <f t="shared" si="511"/>
        <v>0</v>
      </c>
    </row>
    <row r="397" spans="2:12">
      <c r="B397" s="55" t="s">
        <v>445</v>
      </c>
      <c r="C397" s="62">
        <f>C396/C389</f>
        <v>7.9697759744717073E-2</v>
      </c>
      <c r="D397" s="62">
        <f t="shared" ref="D397" si="512">D396/D389</f>
        <v>7.9616987292776456E-2</v>
      </c>
      <c r="E397" s="62">
        <f t="shared" ref="E397" si="513">E396/E389</f>
        <v>7.9658512175368415E-2</v>
      </c>
      <c r="F397" s="62">
        <f t="shared" ref="F397" si="514">F396/F389</f>
        <v>7.7131476365923463E-2</v>
      </c>
      <c r="G397" s="63">
        <f t="shared" ref="G397" si="515">G396/G389</f>
        <v>7.6596346834099979E-2</v>
      </c>
      <c r="H397" s="77" t="e">
        <f t="shared" ref="H397" si="516">H396/H389</f>
        <v>#DIV/0!</v>
      </c>
      <c r="I397" s="66" t="e">
        <f t="shared" ref="I397" si="517">I396/I389</f>
        <v>#DIV/0!</v>
      </c>
      <c r="J397" s="66" t="e">
        <f t="shared" ref="J397" si="518">J396/J389</f>
        <v>#DIV/0!</v>
      </c>
      <c r="K397" s="66" t="e">
        <f t="shared" ref="K397" si="519">K396/K389</f>
        <v>#DIV/0!</v>
      </c>
      <c r="L397" s="72" t="e">
        <f t="shared" ref="L397" si="520">L396/L389</f>
        <v>#DIV/0!</v>
      </c>
    </row>
    <row r="398" spans="2:12">
      <c r="B398" s="55" t="s">
        <v>446</v>
      </c>
      <c r="C398" s="62">
        <f>C396/C394</f>
        <v>8.6599549863759631E-2</v>
      </c>
      <c r="D398" s="62">
        <f t="shared" ref="D398:L398" si="521">D396/D394</f>
        <v>8.6504190313758916E-2</v>
      </c>
      <c r="E398" s="62">
        <f t="shared" si="521"/>
        <v>8.655321229042226E-2</v>
      </c>
      <c r="F398" s="62">
        <f t="shared" si="521"/>
        <v>8.3577968465318037E-2</v>
      </c>
      <c r="G398" s="62">
        <f t="shared" si="521"/>
        <v>8.2950014949029635E-2</v>
      </c>
      <c r="H398" s="80" t="e">
        <f t="shared" si="521"/>
        <v>#DIV/0!</v>
      </c>
      <c r="I398" s="62" t="e">
        <f t="shared" si="521"/>
        <v>#DIV/0!</v>
      </c>
      <c r="J398" s="62" t="e">
        <f t="shared" si="521"/>
        <v>#DIV/0!</v>
      </c>
      <c r="K398" s="62" t="e">
        <f t="shared" si="521"/>
        <v>#DIV/0!</v>
      </c>
      <c r="L398" s="81" t="e">
        <f t="shared" si="521"/>
        <v>#DIV/0!</v>
      </c>
    </row>
    <row r="399" spans="2:12">
      <c r="B399" s="61"/>
      <c r="C399" s="66"/>
      <c r="D399" s="66"/>
      <c r="E399" s="66"/>
      <c r="F399" s="66"/>
      <c r="G399" s="67"/>
      <c r="H399" s="77"/>
      <c r="I399" s="66"/>
      <c r="J399" s="66"/>
      <c r="K399" s="66"/>
      <c r="L399" s="72"/>
    </row>
    <row r="400" spans="2:12">
      <c r="B400" s="61" t="s">
        <v>329</v>
      </c>
      <c r="C400" s="66">
        <v>-0.125776</v>
      </c>
      <c r="D400" s="66">
        <v>-9.8252000000000006E-2</v>
      </c>
      <c r="E400" s="66">
        <v>-0.117912</v>
      </c>
      <c r="F400" s="66">
        <v>1.262078</v>
      </c>
      <c r="G400" s="66">
        <v>1.5841719999999999</v>
      </c>
      <c r="H400" s="77"/>
      <c r="I400" s="66"/>
      <c r="J400" s="66"/>
      <c r="K400" s="66"/>
      <c r="L400" s="72"/>
    </row>
    <row r="401" spans="2:12">
      <c r="B401" s="55" t="s">
        <v>328</v>
      </c>
      <c r="C401" s="66">
        <v>-0.125776</v>
      </c>
      <c r="D401" s="66">
        <v>-9.8252000000000006E-2</v>
      </c>
      <c r="E401" s="66">
        <v>-0.117912</v>
      </c>
      <c r="F401" s="66">
        <v>1.262078</v>
      </c>
      <c r="G401" s="66">
        <v>1.5841719999999999</v>
      </c>
      <c r="H401" s="77"/>
      <c r="I401" s="66"/>
      <c r="J401" s="66"/>
      <c r="K401" s="66"/>
      <c r="L401" s="72"/>
    </row>
    <row r="402" spans="2:12">
      <c r="B402" s="55"/>
      <c r="C402" s="64"/>
      <c r="D402" s="64"/>
      <c r="E402" s="64"/>
      <c r="F402" s="64"/>
      <c r="G402" s="65"/>
      <c r="H402" s="76"/>
      <c r="I402" s="64"/>
      <c r="J402" s="64"/>
      <c r="K402" s="64"/>
      <c r="L402" s="71"/>
    </row>
    <row r="403" spans="2:12">
      <c r="B403" s="60" t="s">
        <v>53</v>
      </c>
      <c r="C403" s="64"/>
      <c r="D403" s="64"/>
      <c r="E403" s="64"/>
      <c r="F403" s="64"/>
      <c r="G403" s="65"/>
      <c r="H403" s="76"/>
      <c r="I403" s="64"/>
      <c r="J403" s="64"/>
      <c r="K403" s="64"/>
      <c r="L403" s="71"/>
    </row>
    <row r="404" spans="2:12">
      <c r="B404" s="55" t="s">
        <v>54</v>
      </c>
      <c r="C404" s="64">
        <v>310.33100000000002</v>
      </c>
      <c r="D404" s="64">
        <v>251.76499999999999</v>
      </c>
      <c r="E404" s="64">
        <v>281.84100000000001</v>
      </c>
      <c r="F404" s="64">
        <v>232.059</v>
      </c>
      <c r="G404" s="64">
        <v>229.90799999999999</v>
      </c>
      <c r="H404" s="76"/>
      <c r="I404" s="64"/>
      <c r="J404" s="64"/>
      <c r="K404" s="64"/>
      <c r="L404" s="71"/>
    </row>
    <row r="405" spans="2:12">
      <c r="B405" s="55" t="s">
        <v>28</v>
      </c>
      <c r="C405" s="64">
        <v>1319.5709999999999</v>
      </c>
      <c r="D405" s="64">
        <v>1360.278</v>
      </c>
      <c r="E405" s="64">
        <v>1405.2670000000001</v>
      </c>
      <c r="F405" s="64">
        <v>1330.943</v>
      </c>
      <c r="G405" s="64">
        <v>1269.153</v>
      </c>
      <c r="H405" s="76"/>
      <c r="I405" s="64"/>
      <c r="J405" s="64"/>
      <c r="K405" s="64"/>
      <c r="L405" s="71"/>
    </row>
    <row r="406" spans="2:12">
      <c r="B406" s="55" t="s">
        <v>55</v>
      </c>
      <c r="C406" s="64">
        <v>1887.963</v>
      </c>
      <c r="D406" s="64">
        <v>1799.268</v>
      </c>
      <c r="E406" s="64">
        <v>1827.961</v>
      </c>
      <c r="F406" s="64">
        <v>1829.8040000000001</v>
      </c>
      <c r="G406" s="64">
        <v>1857.528</v>
      </c>
      <c r="H406" s="76"/>
      <c r="I406" s="64"/>
      <c r="J406" s="64"/>
      <c r="K406" s="64"/>
      <c r="L406" s="71"/>
    </row>
    <row r="407" spans="2:12">
      <c r="B407" s="55" t="s">
        <v>56</v>
      </c>
      <c r="C407" s="64">
        <v>1928.8820000000001</v>
      </c>
      <c r="D407" s="64">
        <v>1760.471</v>
      </c>
      <c r="E407" s="64">
        <v>1750.0329999999999</v>
      </c>
      <c r="F407" s="64">
        <v>1756.201</v>
      </c>
      <c r="G407" s="64">
        <v>1702.539</v>
      </c>
      <c r="H407" s="76"/>
      <c r="I407" s="64"/>
      <c r="J407" s="64"/>
      <c r="K407" s="64"/>
      <c r="L407" s="71"/>
    </row>
    <row r="408" spans="2:12">
      <c r="B408" s="55" t="s">
        <v>57</v>
      </c>
      <c r="C408" s="64">
        <v>3340.3679999999999</v>
      </c>
      <c r="D408" s="64">
        <v>3321.9679999999998</v>
      </c>
      <c r="E408" s="64">
        <v>3380.3029999999999</v>
      </c>
      <c r="F408" s="64">
        <v>3359.0770000000002</v>
      </c>
      <c r="G408" s="64">
        <v>3324.721</v>
      </c>
      <c r="H408" s="76"/>
      <c r="I408" s="64"/>
      <c r="J408" s="64"/>
      <c r="K408" s="64"/>
      <c r="L408" s="71"/>
    </row>
    <row r="409" spans="2:12" ht="13.5" thickBot="1">
      <c r="B409" s="57" t="s">
        <v>20</v>
      </c>
      <c r="C409" s="68">
        <f>SUM(C404:C408)</f>
        <v>8787.1149999999998</v>
      </c>
      <c r="D409" s="68">
        <f t="shared" ref="D409" si="522">SUM(D404:D408)</f>
        <v>8493.75</v>
      </c>
      <c r="E409" s="68">
        <f t="shared" ref="E409" si="523">SUM(E404:E408)</f>
        <v>8645.4050000000007</v>
      </c>
      <c r="F409" s="68">
        <f t="shared" ref="F409" si="524">SUM(F404:F408)</f>
        <v>8508.0839999999989</v>
      </c>
      <c r="G409" s="69">
        <f t="shared" ref="G409" si="525">SUM(G404:G408)</f>
        <v>8383.8490000000002</v>
      </c>
      <c r="H409" s="78">
        <f t="shared" ref="H409" si="526">SUM(H404:H408)</f>
        <v>0</v>
      </c>
      <c r="I409" s="68">
        <f t="shared" ref="I409" si="527">SUM(I404:I408)</f>
        <v>0</v>
      </c>
      <c r="J409" s="68">
        <f t="shared" ref="J409" si="528">SUM(J404:J408)</f>
        <v>0</v>
      </c>
      <c r="K409" s="68">
        <f t="shared" ref="K409" si="529">SUM(K404:K408)</f>
        <v>0</v>
      </c>
      <c r="L409" s="73">
        <f t="shared" ref="L409" si="530">SUM(L404:L408)</f>
        <v>0</v>
      </c>
    </row>
    <row r="410" spans="2:12">
      <c r="B410" s="25" t="s">
        <v>59</v>
      </c>
      <c r="C410" s="25" t="s">
        <v>64</v>
      </c>
      <c r="D410" s="13"/>
      <c r="E410" s="13"/>
      <c r="F410" s="13"/>
      <c r="G410" s="13"/>
      <c r="H410" s="13"/>
      <c r="I410" s="13"/>
      <c r="J410" s="13"/>
      <c r="K410" s="13"/>
      <c r="L410" s="13"/>
    </row>
    <row r="411" spans="2:12">
      <c r="B411" s="25"/>
      <c r="C411" s="37"/>
    </row>
    <row r="412" spans="2:12" ht="13.5" thickBot="1"/>
    <row r="413" spans="2:12" ht="15">
      <c r="B413" s="53" t="str">
        <f>B23</f>
        <v>SSE Southern</v>
      </c>
      <c r="C413" s="54" t="str">
        <f>C49</f>
        <v>2005-06</v>
      </c>
      <c r="D413" s="58" t="str">
        <f t="shared" ref="D413:L413" si="531">D49</f>
        <v>2006-07</v>
      </c>
      <c r="E413" s="58" t="str">
        <f t="shared" si="531"/>
        <v>2007-08</v>
      </c>
      <c r="F413" s="58" t="str">
        <f t="shared" si="531"/>
        <v>2008-09</v>
      </c>
      <c r="G413" s="59" t="str">
        <f t="shared" si="531"/>
        <v>2009-10</v>
      </c>
      <c r="H413" s="74" t="str">
        <f t="shared" si="531"/>
        <v>2010-11</v>
      </c>
      <c r="I413" s="54" t="str">
        <f t="shared" si="531"/>
        <v>2011-12</v>
      </c>
      <c r="J413" s="54" t="str">
        <f t="shared" si="531"/>
        <v>2012-13</v>
      </c>
      <c r="K413" s="54" t="str">
        <f t="shared" si="531"/>
        <v>2013-14</v>
      </c>
      <c r="L413" s="59" t="str">
        <f t="shared" si="531"/>
        <v>2014-15</v>
      </c>
    </row>
    <row r="414" spans="2:12">
      <c r="B414" s="60" t="s">
        <v>48</v>
      </c>
      <c r="C414" s="52"/>
      <c r="D414" s="52"/>
      <c r="E414" s="52"/>
      <c r="F414" s="52"/>
      <c r="G414" s="56"/>
      <c r="H414" s="75"/>
      <c r="I414" s="52"/>
      <c r="J414" s="52"/>
      <c r="K414" s="52"/>
      <c r="L414" s="70"/>
    </row>
    <row r="415" spans="2:12">
      <c r="B415" s="55" t="s">
        <v>61</v>
      </c>
      <c r="C415" s="64">
        <v>0</v>
      </c>
      <c r="D415" s="64">
        <v>0</v>
      </c>
      <c r="E415" s="64">
        <v>0</v>
      </c>
      <c r="F415" s="64">
        <v>0</v>
      </c>
      <c r="G415" s="64">
        <v>0</v>
      </c>
      <c r="H415" s="76"/>
      <c r="I415" s="64"/>
      <c r="J415" s="64"/>
      <c r="K415" s="64"/>
      <c r="L415" s="71"/>
    </row>
    <row r="416" spans="2:12">
      <c r="B416" s="55" t="s">
        <v>49</v>
      </c>
      <c r="C416" s="64">
        <v>37135.881999999998</v>
      </c>
      <c r="D416" s="64">
        <v>36164.063999999998</v>
      </c>
      <c r="E416" s="64">
        <v>36493.692000000003</v>
      </c>
      <c r="F416" s="64">
        <v>36589.050999999999</v>
      </c>
      <c r="G416" s="64">
        <v>35823.712</v>
      </c>
      <c r="H416" s="76"/>
      <c r="I416" s="64"/>
      <c r="J416" s="64"/>
      <c r="K416" s="64"/>
      <c r="L416" s="71"/>
    </row>
    <row r="417" spans="2:12">
      <c r="B417" s="55"/>
      <c r="C417" s="64">
        <f>SUM(C415:C416)</f>
        <v>37135.881999999998</v>
      </c>
      <c r="D417" s="64">
        <f t="shared" ref="D417" si="532">SUM(D415:D416)</f>
        <v>36164.063999999998</v>
      </c>
      <c r="E417" s="64">
        <f t="shared" ref="E417" si="533">SUM(E415:E416)</f>
        <v>36493.692000000003</v>
      </c>
      <c r="F417" s="64">
        <f t="shared" ref="F417" si="534">SUM(F415:F416)</f>
        <v>36589.050999999999</v>
      </c>
      <c r="G417" s="65">
        <f t="shared" ref="G417" si="535">SUM(G415:G416)</f>
        <v>35823.712</v>
      </c>
      <c r="H417" s="76">
        <f t="shared" ref="H417" si="536">SUM(H415:H416)</f>
        <v>0</v>
      </c>
      <c r="I417" s="64">
        <f t="shared" ref="I417" si="537">SUM(I415:I416)</f>
        <v>0</v>
      </c>
      <c r="J417" s="64">
        <f t="shared" ref="J417" si="538">SUM(J415:J416)</f>
        <v>0</v>
      </c>
      <c r="K417" s="64">
        <f t="shared" ref="K417" si="539">SUM(K415:K416)</f>
        <v>0</v>
      </c>
      <c r="L417" s="71">
        <f t="shared" ref="L417" si="540">SUM(L415:L416)</f>
        <v>0</v>
      </c>
    </row>
    <row r="418" spans="2:12">
      <c r="B418" s="60" t="s">
        <v>50</v>
      </c>
      <c r="C418" s="64"/>
      <c r="D418" s="64"/>
      <c r="E418" s="64"/>
      <c r="F418" s="64"/>
      <c r="G418" s="65"/>
      <c r="H418" s="76"/>
      <c r="I418" s="64"/>
      <c r="J418" s="64"/>
      <c r="K418" s="64"/>
      <c r="L418" s="71"/>
    </row>
    <row r="419" spans="2:12">
      <c r="B419" s="55" t="s">
        <v>51</v>
      </c>
      <c r="C419" s="64">
        <v>71.325999999999993</v>
      </c>
      <c r="D419" s="64">
        <v>78.849999999999994</v>
      </c>
      <c r="E419" s="64">
        <v>79.509</v>
      </c>
      <c r="F419" s="64">
        <v>83.715999999999994</v>
      </c>
      <c r="G419" s="64">
        <v>78.186000000000007</v>
      </c>
      <c r="H419" s="76"/>
      <c r="I419" s="64"/>
      <c r="J419" s="64"/>
      <c r="K419" s="64"/>
      <c r="L419" s="71"/>
    </row>
    <row r="420" spans="2:12">
      <c r="B420" s="55" t="s">
        <v>52</v>
      </c>
      <c r="C420" s="64">
        <v>34783.697</v>
      </c>
      <c r="D420" s="64">
        <v>33859.928</v>
      </c>
      <c r="E420" s="64">
        <v>34169.716</v>
      </c>
      <c r="F420" s="64">
        <v>34288.06</v>
      </c>
      <c r="G420" s="64">
        <v>33643.584999999999</v>
      </c>
      <c r="H420" s="76"/>
      <c r="I420" s="64"/>
      <c r="J420" s="64"/>
      <c r="K420" s="64"/>
      <c r="L420" s="71"/>
    </row>
    <row r="421" spans="2:12">
      <c r="B421" s="55" t="s">
        <v>58</v>
      </c>
      <c r="C421" s="64">
        <v>0</v>
      </c>
      <c r="D421" s="64">
        <v>0</v>
      </c>
      <c r="E421" s="64">
        <v>0</v>
      </c>
      <c r="F421" s="64">
        <v>0</v>
      </c>
      <c r="G421" s="64">
        <v>0</v>
      </c>
      <c r="H421" s="76"/>
      <c r="I421" s="64"/>
      <c r="J421" s="64"/>
      <c r="K421" s="64"/>
      <c r="L421" s="71"/>
    </row>
    <row r="422" spans="2:12">
      <c r="B422" s="55"/>
      <c r="C422" s="64">
        <f>SUM(C419:C421)</f>
        <v>34855.023000000001</v>
      </c>
      <c r="D422" s="64">
        <f t="shared" ref="D422" si="541">SUM(D419:D421)</f>
        <v>33938.777999999998</v>
      </c>
      <c r="E422" s="64">
        <f t="shared" ref="E422" si="542">SUM(E419:E421)</f>
        <v>34249.224999999999</v>
      </c>
      <c r="F422" s="64">
        <f t="shared" ref="F422" si="543">SUM(F419:F421)</f>
        <v>34371.775999999998</v>
      </c>
      <c r="G422" s="65">
        <f t="shared" ref="G422" si="544">SUM(G419:G421)</f>
        <v>33721.771000000001</v>
      </c>
      <c r="H422" s="76">
        <f t="shared" ref="H422" si="545">SUM(H419:H421)</f>
        <v>0</v>
      </c>
      <c r="I422" s="64">
        <f t="shared" ref="I422" si="546">SUM(I419:I421)</f>
        <v>0</v>
      </c>
      <c r="J422" s="64">
        <f t="shared" ref="J422" si="547">SUM(J419:J421)</f>
        <v>0</v>
      </c>
      <c r="K422" s="64">
        <f t="shared" ref="K422" si="548">SUM(K419:K421)</f>
        <v>0</v>
      </c>
      <c r="L422" s="71">
        <f t="shared" ref="L422" si="549">SUM(L419:L421)</f>
        <v>0</v>
      </c>
    </row>
    <row r="423" spans="2:12">
      <c r="B423" s="55"/>
      <c r="C423" s="64"/>
      <c r="D423" s="64"/>
      <c r="E423" s="64"/>
      <c r="F423" s="64"/>
      <c r="G423" s="65"/>
      <c r="H423" s="76"/>
      <c r="I423" s="64"/>
      <c r="J423" s="64"/>
      <c r="K423" s="64"/>
      <c r="L423" s="71"/>
    </row>
    <row r="424" spans="2:12">
      <c r="B424" s="61" t="s">
        <v>43</v>
      </c>
      <c r="C424" s="64">
        <f>C417-C422</f>
        <v>2280.8589999999967</v>
      </c>
      <c r="D424" s="64">
        <f t="shared" ref="D424:L424" si="550">D417-D422</f>
        <v>2225.2860000000001</v>
      </c>
      <c r="E424" s="64">
        <f t="shared" si="550"/>
        <v>2244.4670000000042</v>
      </c>
      <c r="F424" s="64">
        <f t="shared" si="550"/>
        <v>2217.2750000000015</v>
      </c>
      <c r="G424" s="65">
        <f t="shared" si="550"/>
        <v>2101.9409999999989</v>
      </c>
      <c r="H424" s="76">
        <f t="shared" si="550"/>
        <v>0</v>
      </c>
      <c r="I424" s="64">
        <f t="shared" si="550"/>
        <v>0</v>
      </c>
      <c r="J424" s="64">
        <f t="shared" si="550"/>
        <v>0</v>
      </c>
      <c r="K424" s="64">
        <f t="shared" si="550"/>
        <v>0</v>
      </c>
      <c r="L424" s="71">
        <f t="shared" si="550"/>
        <v>0</v>
      </c>
    </row>
    <row r="425" spans="2:12">
      <c r="B425" s="61" t="s">
        <v>47</v>
      </c>
      <c r="C425" s="62">
        <f>C424/C417</f>
        <v>6.1419276375339539E-2</v>
      </c>
      <c r="D425" s="62">
        <f t="shared" ref="D425" si="551">D424/D417</f>
        <v>6.153307327406566E-2</v>
      </c>
      <c r="E425" s="62">
        <f t="shared" ref="E425" si="552">E424/E417</f>
        <v>6.1502875620257989E-2</v>
      </c>
      <c r="F425" s="62">
        <f t="shared" ref="F425" si="553">F424/F417</f>
        <v>6.0599412649428967E-2</v>
      </c>
      <c r="G425" s="63">
        <f t="shared" ref="G425" si="554">G424/G417</f>
        <v>5.8674572863917591E-2</v>
      </c>
      <c r="H425" s="77" t="e">
        <f t="shared" ref="H425" si="555">H424/H417</f>
        <v>#DIV/0!</v>
      </c>
      <c r="I425" s="66" t="e">
        <f t="shared" ref="I425" si="556">I424/I417</f>
        <v>#DIV/0!</v>
      </c>
      <c r="J425" s="66" t="e">
        <f t="shared" ref="J425" si="557">J424/J417</f>
        <v>#DIV/0!</v>
      </c>
      <c r="K425" s="66" t="e">
        <f t="shared" ref="K425" si="558">K424/K417</f>
        <v>#DIV/0!</v>
      </c>
      <c r="L425" s="72" t="e">
        <f t="shared" ref="L425" si="559">L424/L417</f>
        <v>#DIV/0!</v>
      </c>
    </row>
    <row r="426" spans="2:12">
      <c r="B426" s="55" t="s">
        <v>446</v>
      </c>
      <c r="C426" s="62">
        <f>C424/C422</f>
        <v>6.5438459185638662E-2</v>
      </c>
      <c r="D426" s="62">
        <f t="shared" ref="D426:L426" si="560">D424/D422</f>
        <v>6.5567652435806617E-2</v>
      </c>
      <c r="E426" s="62">
        <f t="shared" si="560"/>
        <v>6.5533366083466243E-2</v>
      </c>
      <c r="F426" s="62">
        <f t="shared" si="560"/>
        <v>6.4508595657087997E-2</v>
      </c>
      <c r="G426" s="62">
        <f t="shared" si="560"/>
        <v>6.233186863169194E-2</v>
      </c>
      <c r="H426" s="80" t="e">
        <f t="shared" si="560"/>
        <v>#DIV/0!</v>
      </c>
      <c r="I426" s="62" t="e">
        <f t="shared" si="560"/>
        <v>#DIV/0!</v>
      </c>
      <c r="J426" s="62" t="e">
        <f t="shared" si="560"/>
        <v>#DIV/0!</v>
      </c>
      <c r="K426" s="62" t="e">
        <f t="shared" si="560"/>
        <v>#DIV/0!</v>
      </c>
      <c r="L426" s="81" t="e">
        <f t="shared" si="560"/>
        <v>#DIV/0!</v>
      </c>
    </row>
    <row r="427" spans="2:12">
      <c r="B427" s="61"/>
      <c r="C427" s="66"/>
      <c r="D427" s="66"/>
      <c r="E427" s="66"/>
      <c r="F427" s="66"/>
      <c r="G427" s="67"/>
      <c r="H427" s="77"/>
      <c r="I427" s="66"/>
      <c r="J427" s="66"/>
      <c r="K427" s="66"/>
      <c r="L427" s="72"/>
    </row>
    <row r="428" spans="2:12">
      <c r="B428" s="61" t="s">
        <v>329</v>
      </c>
      <c r="C428" s="66">
        <v>3.388395</v>
      </c>
      <c r="D428" s="66">
        <v>3.161537</v>
      </c>
      <c r="E428" s="66">
        <v>3.3710610000000001</v>
      </c>
      <c r="F428" s="66">
        <v>2.624447</v>
      </c>
      <c r="G428" s="66">
        <v>6.8551130000000002</v>
      </c>
      <c r="H428" s="77"/>
      <c r="I428" s="66"/>
      <c r="J428" s="66"/>
      <c r="K428" s="66"/>
      <c r="L428" s="72"/>
    </row>
    <row r="429" spans="2:12">
      <c r="B429" s="55" t="s">
        <v>328</v>
      </c>
      <c r="C429" s="66">
        <v>3.388395</v>
      </c>
      <c r="D429" s="66">
        <v>3.161537</v>
      </c>
      <c r="E429" s="66">
        <v>3.3710610000000001</v>
      </c>
      <c r="F429" s="66">
        <v>2.624447</v>
      </c>
      <c r="G429" s="66">
        <v>6.8551130000000002</v>
      </c>
      <c r="H429" s="77"/>
      <c r="I429" s="66"/>
      <c r="J429" s="66"/>
      <c r="K429" s="66"/>
      <c r="L429" s="72"/>
    </row>
    <row r="430" spans="2:12">
      <c r="B430" s="55"/>
      <c r="C430" s="64"/>
      <c r="D430" s="64"/>
      <c r="E430" s="64"/>
      <c r="F430" s="64"/>
      <c r="G430" s="65"/>
      <c r="H430" s="76"/>
      <c r="I430" s="64"/>
      <c r="J430" s="64"/>
      <c r="K430" s="64"/>
      <c r="L430" s="71"/>
    </row>
    <row r="431" spans="2:12">
      <c r="B431" s="60" t="s">
        <v>53</v>
      </c>
      <c r="C431" s="64"/>
      <c r="D431" s="64"/>
      <c r="E431" s="64"/>
      <c r="F431" s="64"/>
      <c r="G431" s="65"/>
      <c r="H431" s="76"/>
      <c r="I431" s="64"/>
      <c r="J431" s="64"/>
      <c r="K431" s="64"/>
      <c r="L431" s="71"/>
    </row>
    <row r="432" spans="2:12">
      <c r="B432" s="55" t="s">
        <v>54</v>
      </c>
      <c r="C432" s="64">
        <v>3250.0680000000002</v>
      </c>
      <c r="D432" s="64">
        <v>3289.326</v>
      </c>
      <c r="E432" s="64">
        <v>3263.366</v>
      </c>
      <c r="F432" s="64">
        <v>3403.2840000000001</v>
      </c>
      <c r="G432" s="64">
        <v>3391.2539999999999</v>
      </c>
      <c r="H432" s="76"/>
      <c r="I432" s="64"/>
      <c r="J432" s="64"/>
      <c r="K432" s="64"/>
      <c r="L432" s="71"/>
    </row>
    <row r="433" spans="2:12">
      <c r="B433" s="55" t="s">
        <v>28</v>
      </c>
      <c r="C433" s="64">
        <v>6558.8</v>
      </c>
      <c r="D433" s="64">
        <v>6485.0720000000001</v>
      </c>
      <c r="E433" s="64">
        <v>6510.9780000000001</v>
      </c>
      <c r="F433" s="64">
        <v>6506.5190000000002</v>
      </c>
      <c r="G433" s="64">
        <v>6338.4160000000002</v>
      </c>
      <c r="H433" s="76"/>
      <c r="I433" s="64"/>
      <c r="J433" s="64"/>
      <c r="K433" s="64"/>
      <c r="L433" s="71"/>
    </row>
    <row r="434" spans="2:12">
      <c r="B434" s="55" t="s">
        <v>55</v>
      </c>
      <c r="C434" s="64">
        <v>1692.7919999999999</v>
      </c>
      <c r="D434" s="64">
        <v>1567.654</v>
      </c>
      <c r="E434" s="64">
        <v>1575.24</v>
      </c>
      <c r="F434" s="64">
        <v>1604.384</v>
      </c>
      <c r="G434" s="64">
        <v>1595.529</v>
      </c>
      <c r="H434" s="76"/>
      <c r="I434" s="64"/>
      <c r="J434" s="64"/>
      <c r="K434" s="64"/>
      <c r="L434" s="71"/>
    </row>
    <row r="435" spans="2:12">
      <c r="B435" s="55" t="s">
        <v>56</v>
      </c>
      <c r="C435" s="64">
        <v>2132.84</v>
      </c>
      <c r="D435" s="64">
        <v>1828.9449999999999</v>
      </c>
      <c r="E435" s="64">
        <v>1846.7950000000001</v>
      </c>
      <c r="F435" s="64">
        <v>1882.384</v>
      </c>
      <c r="G435" s="64">
        <v>1726.184</v>
      </c>
      <c r="H435" s="76"/>
      <c r="I435" s="64"/>
      <c r="J435" s="64"/>
      <c r="K435" s="64"/>
      <c r="L435" s="71"/>
    </row>
    <row r="436" spans="2:12">
      <c r="B436" s="55" t="s">
        <v>57</v>
      </c>
      <c r="C436" s="64">
        <v>21220.523000000001</v>
      </c>
      <c r="D436" s="64">
        <v>20767.780999999999</v>
      </c>
      <c r="E436" s="64">
        <v>21052.846000000001</v>
      </c>
      <c r="F436" s="64">
        <v>20975.205000000002</v>
      </c>
      <c r="G436" s="64">
        <v>20670.387999999999</v>
      </c>
      <c r="H436" s="76"/>
      <c r="I436" s="64"/>
      <c r="J436" s="64"/>
      <c r="K436" s="64"/>
      <c r="L436" s="71"/>
    </row>
    <row r="437" spans="2:12" ht="13.5" thickBot="1">
      <c r="B437" s="57" t="s">
        <v>20</v>
      </c>
      <c r="C437" s="68">
        <f>SUM(C432:C436)</f>
        <v>34855.023000000001</v>
      </c>
      <c r="D437" s="68">
        <f t="shared" ref="D437" si="561">SUM(D432:D436)</f>
        <v>33938.777999999998</v>
      </c>
      <c r="E437" s="68">
        <f t="shared" ref="E437" si="562">SUM(E432:E436)</f>
        <v>34249.225000000006</v>
      </c>
      <c r="F437" s="68">
        <f t="shared" ref="F437" si="563">SUM(F432:F436)</f>
        <v>34371.775999999998</v>
      </c>
      <c r="G437" s="69">
        <f t="shared" ref="G437" si="564">SUM(G432:G436)</f>
        <v>33721.771000000001</v>
      </c>
      <c r="H437" s="78">
        <f t="shared" ref="H437" si="565">SUM(H432:H436)</f>
        <v>0</v>
      </c>
      <c r="I437" s="68">
        <f t="shared" ref="I437" si="566">SUM(I432:I436)</f>
        <v>0</v>
      </c>
      <c r="J437" s="68">
        <f t="shared" ref="J437" si="567">SUM(J432:J436)</f>
        <v>0</v>
      </c>
      <c r="K437" s="68">
        <f t="shared" ref="K437" si="568">SUM(K432:K436)</f>
        <v>0</v>
      </c>
      <c r="L437" s="73">
        <f t="shared" ref="L437" si="569">SUM(L432:L436)</f>
        <v>0</v>
      </c>
    </row>
    <row r="438" spans="2:12">
      <c r="B438" s="25" t="s">
        <v>59</v>
      </c>
      <c r="C438" s="25" t="s">
        <v>64</v>
      </c>
      <c r="D438" s="13"/>
      <c r="E438" s="13"/>
      <c r="F438" s="13"/>
      <c r="G438" s="13"/>
      <c r="H438" s="13"/>
      <c r="I438" s="13"/>
      <c r="J438" s="13"/>
      <c r="K438" s="13"/>
      <c r="L438" s="13"/>
    </row>
    <row r="439" spans="2:12">
      <c r="B439" s="25"/>
      <c r="C439" s="37"/>
    </row>
  </sheetData>
  <mergeCells count="14">
    <mergeCell ref="B7:B8"/>
    <mergeCell ref="D7:D9"/>
    <mergeCell ref="F7:F9"/>
    <mergeCell ref="G7:G9"/>
    <mergeCell ref="H7:L8"/>
    <mergeCell ref="C7:C9"/>
    <mergeCell ref="E7:E9"/>
    <mergeCell ref="G28:G30"/>
    <mergeCell ref="H28:L29"/>
    <mergeCell ref="B28:B29"/>
    <mergeCell ref="C28:C30"/>
    <mergeCell ref="D28:D30"/>
    <mergeCell ref="E28:E30"/>
    <mergeCell ref="F28:F30"/>
  </mergeCells>
  <conditionalFormatting sqref="G31:L31">
    <cfRule type="cellIs" dxfId="78" priority="7" operator="lessThan">
      <formula>$C31</formula>
    </cfRule>
    <cfRule type="cellIs" dxfId="77" priority="8" operator="greaterThan">
      <formula>$C31</formula>
    </cfRule>
  </conditionalFormatting>
  <conditionalFormatting sqref="G32:L45">
    <cfRule type="cellIs" dxfId="76" priority="5" operator="lessThan">
      <formula>$C32</formula>
    </cfRule>
    <cfRule type="cellIs" dxfId="75" priority="6" operator="greaterThan">
      <formula>$C32</formula>
    </cfRule>
  </conditionalFormatting>
  <conditionalFormatting sqref="G10:L10">
    <cfRule type="cellIs" dxfId="74" priority="3" operator="lessThan">
      <formula>$C10</formula>
    </cfRule>
    <cfRule type="cellIs" dxfId="73" priority="4" operator="greaterThan">
      <formula>$C10</formula>
    </cfRule>
  </conditionalFormatting>
  <conditionalFormatting sqref="G11:L24">
    <cfRule type="cellIs" dxfId="72" priority="1" operator="lessThan">
      <formula>$C11</formula>
    </cfRule>
    <cfRule type="cellIs" dxfId="71" priority="2" operator="greaterThan">
      <formula>$C11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>
    <tabColor theme="5"/>
  </sheetPr>
  <dimension ref="A1:AL178"/>
  <sheetViews>
    <sheetView zoomScale="75" zoomScaleNormal="75" workbookViewId="0">
      <pane xSplit="2" topLeftCell="C1" activePane="topRight" state="frozen"/>
      <selection pane="topRight" activeCell="A2" sqref="A2"/>
    </sheetView>
  </sheetViews>
  <sheetFormatPr defaultRowHeight="12.75" outlineLevelRow="1"/>
  <cols>
    <col min="1" max="1" width="1.625" customWidth="1"/>
    <col min="2" max="2" width="39" customWidth="1"/>
    <col min="3" max="44" width="12.625" customWidth="1"/>
  </cols>
  <sheetData>
    <row r="1" spans="1:12">
      <c r="A1" s="2" t="s">
        <v>304</v>
      </c>
    </row>
    <row r="2" spans="1:12">
      <c r="A2" s="2"/>
    </row>
    <row r="3" spans="1:12">
      <c r="A3" s="2"/>
    </row>
    <row r="4" spans="1:12">
      <c r="A4" s="2"/>
    </row>
    <row r="5" spans="1:12">
      <c r="A5" s="2"/>
      <c r="B5" s="108" t="s">
        <v>366</v>
      </c>
    </row>
    <row r="6" spans="1:12" outlineLevel="1">
      <c r="A6" s="2"/>
      <c r="B6" s="474" t="s">
        <v>294</v>
      </c>
      <c r="C6" s="452"/>
      <c r="D6" t="s">
        <v>297</v>
      </c>
      <c r="E6" t="str">
        <f t="shared" ref="E6:H6" si="0">CONCATENATE(LEFT(D6, 4)+1 &amp;"-" &amp;IF(D6&gt;"2007-08",,"0") &amp;RIGHT(D6,2)+1)</f>
        <v>2006-07</v>
      </c>
      <c r="F6" t="str">
        <f t="shared" si="0"/>
        <v>2007-08</v>
      </c>
      <c r="G6" t="str">
        <f t="shared" si="0"/>
        <v>2008-09</v>
      </c>
      <c r="H6" t="str">
        <f t="shared" si="0"/>
        <v>2009-10</v>
      </c>
      <c r="I6" t="s">
        <v>376</v>
      </c>
      <c r="K6" s="471" t="str">
        <f>B40</f>
        <v>GB total</v>
      </c>
      <c r="L6" s="472"/>
    </row>
    <row r="7" spans="1:12" outlineLevel="1">
      <c r="A7" s="2"/>
      <c r="B7" s="494" t="s">
        <v>1</v>
      </c>
      <c r="C7" s="449"/>
      <c r="D7" s="453">
        <f>AG87</f>
        <v>42.301870806739643</v>
      </c>
      <c r="E7" s="453">
        <f t="shared" ref="E7:H7" si="1">AH87</f>
        <v>42.771891593481186</v>
      </c>
      <c r="F7" s="453">
        <f t="shared" si="1"/>
        <v>41.831850019998086</v>
      </c>
      <c r="G7" s="453">
        <f t="shared" si="1"/>
        <v>40.774303249829586</v>
      </c>
      <c r="H7" s="453">
        <f t="shared" si="1"/>
        <v>40.069272069717265</v>
      </c>
      <c r="I7" s="595">
        <f t="shared" ref="I7:I21" si="2">SUM(D7:H7)</f>
        <v>207.74918773976577</v>
      </c>
      <c r="J7" s="462"/>
    </row>
    <row r="8" spans="1:12" outlineLevel="1">
      <c r="A8" s="2"/>
      <c r="B8" s="13" t="s">
        <v>2</v>
      </c>
      <c r="C8" s="449"/>
      <c r="D8" s="454">
        <f>AG88</f>
        <v>53.81738008190765</v>
      </c>
      <c r="E8" s="454">
        <f t="shared" ref="E8:H8" si="3">AH88</f>
        <v>55.227442442132308</v>
      </c>
      <c r="F8" s="454">
        <f t="shared" si="3"/>
        <v>53.81738008190765</v>
      </c>
      <c r="G8" s="454">
        <f t="shared" si="3"/>
        <v>52.524822918368379</v>
      </c>
      <c r="H8" s="454">
        <f t="shared" si="3"/>
        <v>52.759833311739158</v>
      </c>
      <c r="I8" s="596">
        <f t="shared" si="2"/>
        <v>268.14685883605512</v>
      </c>
      <c r="J8" s="462"/>
    </row>
    <row r="9" spans="1:12" outlineLevel="1">
      <c r="A9" s="2"/>
      <c r="B9" s="13" t="s">
        <v>3</v>
      </c>
      <c r="C9" s="449"/>
      <c r="D9" s="454">
        <f>AG85</f>
        <v>63.100290620053286</v>
      </c>
      <c r="E9" s="454">
        <f t="shared" ref="E9:H9" si="4">AH85</f>
        <v>60.63268148966015</v>
      </c>
      <c r="F9" s="454">
        <f t="shared" si="4"/>
        <v>60.280165899603986</v>
      </c>
      <c r="G9" s="454">
        <f t="shared" si="4"/>
        <v>58.987608736064708</v>
      </c>
      <c r="H9" s="454">
        <f t="shared" si="4"/>
        <v>58.635093146008558</v>
      </c>
      <c r="I9" s="596">
        <f t="shared" si="2"/>
        <v>301.63583989139067</v>
      </c>
      <c r="J9" s="462"/>
    </row>
    <row r="10" spans="1:12" outlineLevel="1">
      <c r="A10" s="2"/>
      <c r="B10" s="13" t="s">
        <v>4</v>
      </c>
      <c r="C10" s="449"/>
      <c r="D10" s="454">
        <f>AG84</f>
        <v>58.047567162581622</v>
      </c>
      <c r="E10" s="454">
        <f t="shared" ref="E10:H10" si="5">AH84</f>
        <v>56.519999605671565</v>
      </c>
      <c r="F10" s="454">
        <f t="shared" si="5"/>
        <v>57.695051572525443</v>
      </c>
      <c r="G10" s="454">
        <f t="shared" si="5"/>
        <v>56.402494408986179</v>
      </c>
      <c r="H10" s="454">
        <f t="shared" si="5"/>
        <v>56.1674840156154</v>
      </c>
      <c r="I10" s="596">
        <f t="shared" si="2"/>
        <v>284.83259676538023</v>
      </c>
      <c r="J10" s="462"/>
    </row>
    <row r="11" spans="1:12" outlineLevel="1">
      <c r="A11" s="2"/>
      <c r="B11" s="13" t="s">
        <v>5</v>
      </c>
      <c r="C11" s="449"/>
      <c r="D11" s="454">
        <f>AG86</f>
        <v>56.167484015615408</v>
      </c>
      <c r="E11" s="454">
        <f t="shared" ref="E11:H11" si="6">AH86</f>
        <v>54.287400868649208</v>
      </c>
      <c r="F11" s="454">
        <f t="shared" si="6"/>
        <v>55.814968425559243</v>
      </c>
      <c r="G11" s="454">
        <f t="shared" si="6"/>
        <v>54.169895671963815</v>
      </c>
      <c r="H11" s="454">
        <f t="shared" si="6"/>
        <v>51.467276148199886</v>
      </c>
      <c r="I11" s="596">
        <f t="shared" si="2"/>
        <v>271.90702512998757</v>
      </c>
      <c r="J11" s="462"/>
    </row>
    <row r="12" spans="1:12" outlineLevel="1">
      <c r="A12" s="2"/>
      <c r="B12" s="470" t="s">
        <v>78</v>
      </c>
      <c r="C12" s="449"/>
      <c r="D12" s="454">
        <f>AG98</f>
        <v>720.77687646816923</v>
      </c>
      <c r="E12" s="454">
        <f t="shared" ref="E12:H12" si="7">AH98</f>
        <v>708.20382042283291</v>
      </c>
      <c r="F12" s="454">
        <f t="shared" si="7"/>
        <v>705.38369570238353</v>
      </c>
      <c r="G12" s="454">
        <f t="shared" si="7"/>
        <v>699.39093067142858</v>
      </c>
      <c r="H12" s="454">
        <f t="shared" si="7"/>
        <v>707.49878924272048</v>
      </c>
      <c r="I12" s="596">
        <f t="shared" si="2"/>
        <v>3541.254112507535</v>
      </c>
      <c r="J12" s="462"/>
    </row>
    <row r="13" spans="1:12" outlineLevel="1">
      <c r="A13" s="2"/>
      <c r="B13" s="13" t="s">
        <v>8</v>
      </c>
      <c r="D13" s="454">
        <f>AG94</f>
        <v>51.584781344885286</v>
      </c>
      <c r="E13" s="454">
        <f t="shared" ref="E13:H13" si="8">AH94</f>
        <v>50.879750164772958</v>
      </c>
      <c r="F13" s="454">
        <f t="shared" si="8"/>
        <v>50.4097293780314</v>
      </c>
      <c r="G13" s="454">
        <f t="shared" si="8"/>
        <v>49.704698197919072</v>
      </c>
      <c r="H13" s="454">
        <f t="shared" si="8"/>
        <v>49.117172214492129</v>
      </c>
      <c r="I13" s="596">
        <f t="shared" si="2"/>
        <v>251.69613130010083</v>
      </c>
      <c r="J13" s="462"/>
    </row>
    <row r="14" spans="1:12" outlineLevel="1">
      <c r="A14" s="2"/>
      <c r="B14" s="13" t="s">
        <v>9</v>
      </c>
      <c r="C14" s="449"/>
      <c r="D14" s="454">
        <f>AG95</f>
        <v>43.946943560335065</v>
      </c>
      <c r="E14" s="454">
        <f t="shared" ref="E14:H14" si="9">AH95</f>
        <v>43.006901986851965</v>
      </c>
      <c r="F14" s="454">
        <f t="shared" si="9"/>
        <v>45.944531903986658</v>
      </c>
      <c r="G14" s="454">
        <f t="shared" si="9"/>
        <v>44.181953953705843</v>
      </c>
      <c r="H14" s="454">
        <f t="shared" si="9"/>
        <v>45.239500723874329</v>
      </c>
      <c r="I14" s="596">
        <f t="shared" si="2"/>
        <v>222.31983212875386</v>
      </c>
      <c r="J14" s="462"/>
    </row>
    <row r="15" spans="1:12" outlineLevel="1">
      <c r="A15" s="2"/>
      <c r="B15" s="13" t="s">
        <v>6</v>
      </c>
      <c r="D15" s="454">
        <f>AG96</f>
        <v>34.664033022189422</v>
      </c>
      <c r="E15" s="454">
        <f t="shared" ref="E15:H15" si="10">AH96</f>
        <v>33.723991448706322</v>
      </c>
      <c r="F15" s="454">
        <f t="shared" si="10"/>
        <v>32.901455071908607</v>
      </c>
      <c r="G15" s="454">
        <f t="shared" si="10"/>
        <v>33.253970661964772</v>
      </c>
      <c r="H15" s="454">
        <f t="shared" si="10"/>
        <v>36.661621365841015</v>
      </c>
      <c r="I15" s="596">
        <f t="shared" si="2"/>
        <v>171.20507157061013</v>
      </c>
      <c r="J15" s="462"/>
    </row>
    <row r="16" spans="1:12" s="13" customFormat="1" outlineLevel="1">
      <c r="A16" s="451"/>
      <c r="B16" s="13" t="s">
        <v>7</v>
      </c>
      <c r="D16" s="454">
        <f>AG97</f>
        <v>62.982785423367901</v>
      </c>
      <c r="E16" s="454">
        <f t="shared" ref="E16:H16" si="11">AH97</f>
        <v>61.925238653199415</v>
      </c>
      <c r="F16" s="454">
        <f t="shared" si="11"/>
        <v>63.100290620053293</v>
      </c>
      <c r="G16" s="454">
        <f t="shared" si="11"/>
        <v>62.160249046570186</v>
      </c>
      <c r="H16" s="454">
        <f t="shared" si="11"/>
        <v>68.740540060951915</v>
      </c>
      <c r="I16" s="596">
        <f t="shared" si="2"/>
        <v>318.90910380414272</v>
      </c>
      <c r="J16" s="462"/>
    </row>
    <row r="17" spans="1:10" s="13" customFormat="1" outlineLevel="1">
      <c r="A17" s="451"/>
      <c r="B17" s="13" t="s">
        <v>259</v>
      </c>
      <c r="D17" s="454">
        <f>AG93</f>
        <v>75.320831075333629</v>
      </c>
      <c r="E17" s="454">
        <f t="shared" ref="E17:H17" si="12">AH93</f>
        <v>74.498294698535915</v>
      </c>
      <c r="F17" s="454">
        <f t="shared" si="12"/>
        <v>73.440747928367415</v>
      </c>
      <c r="G17" s="454">
        <f t="shared" si="12"/>
        <v>73.440747928367415</v>
      </c>
      <c r="H17" s="454">
        <f t="shared" si="12"/>
        <v>77.670935009041386</v>
      </c>
      <c r="I17" s="596">
        <f t="shared" si="2"/>
        <v>374.37155663964575</v>
      </c>
      <c r="J17" s="462"/>
    </row>
    <row r="18" spans="1:10" outlineLevel="1">
      <c r="A18" s="2"/>
      <c r="B18" s="13" t="s">
        <v>257</v>
      </c>
      <c r="D18" s="454">
        <f>AG91</f>
        <v>48.177130641009029</v>
      </c>
      <c r="E18" s="454">
        <f t="shared" ref="E18:H18" si="13">AH91</f>
        <v>47.4720994608967</v>
      </c>
      <c r="F18" s="454">
        <f t="shared" si="13"/>
        <v>46.767068280784372</v>
      </c>
      <c r="G18" s="454">
        <f t="shared" si="13"/>
        <v>46.06203710067205</v>
      </c>
      <c r="H18" s="454">
        <f t="shared" si="13"/>
        <v>45.357005920559722</v>
      </c>
      <c r="I18" s="596">
        <f t="shared" si="2"/>
        <v>233.83534140392189</v>
      </c>
      <c r="J18" s="462"/>
    </row>
    <row r="19" spans="1:10" outlineLevel="1">
      <c r="A19" s="2"/>
      <c r="B19" s="13" t="s">
        <v>258</v>
      </c>
      <c r="D19" s="454">
        <f>AG92</f>
        <v>51.232265754829115</v>
      </c>
      <c r="E19" s="454">
        <f t="shared" ref="E19:H19" si="14">AH92</f>
        <v>48.059625444323643</v>
      </c>
      <c r="F19" s="454">
        <f t="shared" si="14"/>
        <v>44.886985133818172</v>
      </c>
      <c r="G19" s="454">
        <f t="shared" si="14"/>
        <v>47.00207867415515</v>
      </c>
      <c r="H19" s="454">
        <f t="shared" si="14"/>
        <v>47.472099460896708</v>
      </c>
      <c r="I19" s="596">
        <f t="shared" si="2"/>
        <v>238.65305446802279</v>
      </c>
      <c r="J19" s="462"/>
    </row>
    <row r="20" spans="1:10" outlineLevel="1">
      <c r="A20" s="2"/>
      <c r="B20" s="13" t="s">
        <v>13</v>
      </c>
      <c r="C20" s="449"/>
      <c r="D20" s="454">
        <f>AG89</f>
        <v>36.661621365841015</v>
      </c>
      <c r="E20" s="454">
        <f t="shared" ref="E20:H20" si="15">AH89</f>
        <v>36.30910577578485</v>
      </c>
      <c r="F20" s="454">
        <f t="shared" si="15"/>
        <v>35.956590185728686</v>
      </c>
      <c r="G20" s="454">
        <f t="shared" si="15"/>
        <v>35.134053808930972</v>
      </c>
      <c r="H20" s="454">
        <f t="shared" si="15"/>
        <v>34.664033022189422</v>
      </c>
      <c r="I20" s="596">
        <f t="shared" si="2"/>
        <v>178.72540415847493</v>
      </c>
      <c r="J20" s="462"/>
    </row>
    <row r="21" spans="1:10" outlineLevel="1">
      <c r="A21" s="2"/>
      <c r="B21" s="6" t="s">
        <v>14</v>
      </c>
      <c r="C21" s="485"/>
      <c r="D21" s="455">
        <f>AG90</f>
        <v>42.771891593481186</v>
      </c>
      <c r="E21" s="455">
        <f t="shared" ref="E21:H21" si="16">AH90</f>
        <v>42.889396790166579</v>
      </c>
      <c r="F21" s="455">
        <f t="shared" si="16"/>
        <v>42.536881200110415</v>
      </c>
      <c r="G21" s="455">
        <f t="shared" si="16"/>
        <v>45.592016313930493</v>
      </c>
      <c r="H21" s="455">
        <f t="shared" si="16"/>
        <v>43.476922773593522</v>
      </c>
      <c r="I21" s="597">
        <f t="shared" si="2"/>
        <v>217.26710867128216</v>
      </c>
      <c r="J21" s="462"/>
    </row>
    <row r="22" spans="1:10" outlineLevel="1"/>
    <row r="23" spans="1:10" s="13" customFormat="1" outlineLevel="1">
      <c r="A23" s="451"/>
      <c r="B23" s="562" t="s">
        <v>295</v>
      </c>
      <c r="C23" s="452"/>
    </row>
    <row r="24" spans="1:10" outlineLevel="1">
      <c r="A24" s="2"/>
      <c r="B24" s="13" t="s">
        <v>1</v>
      </c>
      <c r="C24" s="13"/>
      <c r="D24" s="453">
        <f t="shared" ref="D24:H25" si="17">Q106</f>
        <v>38.892304138542833</v>
      </c>
      <c r="E24" s="453">
        <f t="shared" si="17"/>
        <v>41.91700526613316</v>
      </c>
      <c r="F24" s="453">
        <f t="shared" si="17"/>
        <v>40.310062360224663</v>
      </c>
      <c r="G24" s="453">
        <f t="shared" si="17"/>
        <v>43.461844831208197</v>
      </c>
      <c r="H24" s="453">
        <f t="shared" si="17"/>
        <v>36.019538600798974</v>
      </c>
      <c r="I24" s="595">
        <f t="shared" ref="I24:I38" si="18">SUM(D24:H24)</f>
        <v>200.60075519690781</v>
      </c>
      <c r="J24" s="454"/>
    </row>
    <row r="25" spans="1:10" outlineLevel="1">
      <c r="A25" s="2"/>
      <c r="B25" s="13" t="s">
        <v>2</v>
      </c>
      <c r="C25" s="13"/>
      <c r="D25" s="454">
        <f t="shared" si="17"/>
        <v>48.657700397374249</v>
      </c>
      <c r="E25" s="454">
        <f t="shared" si="17"/>
        <v>53.273005648157621</v>
      </c>
      <c r="F25" s="454">
        <f t="shared" si="17"/>
        <v>58.690145507190863</v>
      </c>
      <c r="G25" s="454">
        <f t="shared" si="17"/>
        <v>60.880692863526278</v>
      </c>
      <c r="H25" s="454">
        <f t="shared" si="17"/>
        <v>51.337379282513318</v>
      </c>
      <c r="I25" s="596">
        <f t="shared" si="18"/>
        <v>272.83892369876236</v>
      </c>
    </row>
    <row r="26" spans="1:10" outlineLevel="1">
      <c r="A26" s="2"/>
      <c r="B26" s="13" t="s">
        <v>3</v>
      </c>
      <c r="C26" s="13"/>
      <c r="D26" s="454">
        <f>Q104</f>
        <v>63.603168777545825</v>
      </c>
      <c r="E26" s="454">
        <f>R104</f>
        <v>61.101472849489383</v>
      </c>
      <c r="F26" s="454">
        <f>S104</f>
        <v>61.73479883181566</v>
      </c>
      <c r="G26" s="454">
        <f>T104</f>
        <v>62.275250022666015</v>
      </c>
      <c r="H26" s="454">
        <f>U104</f>
        <v>58.975481024270216</v>
      </c>
      <c r="I26" s="596">
        <f t="shared" si="18"/>
        <v>307.69017150578708</v>
      </c>
    </row>
    <row r="27" spans="1:10" outlineLevel="1">
      <c r="A27" s="2"/>
      <c r="B27" s="13" t="s">
        <v>4</v>
      </c>
      <c r="C27" s="13"/>
      <c r="D27" s="454">
        <f>Q103</f>
        <v>56.947555322032372</v>
      </c>
      <c r="E27" s="454">
        <f>R103</f>
        <v>63.593323647501229</v>
      </c>
      <c r="F27" s="454">
        <f>S103</f>
        <v>66.027124678468667</v>
      </c>
      <c r="G27" s="454">
        <f>T103</f>
        <v>65.57302173088307</v>
      </c>
      <c r="H27" s="454">
        <f>U103</f>
        <v>66.478001668482037</v>
      </c>
      <c r="I27" s="596">
        <f t="shared" si="18"/>
        <v>318.61902704736735</v>
      </c>
    </row>
    <row r="28" spans="1:10" outlineLevel="1">
      <c r="A28" s="2"/>
      <c r="B28" s="13" t="s">
        <v>5</v>
      </c>
      <c r="C28" s="13"/>
      <c r="D28" s="454">
        <f>Q105</f>
        <v>54.013001268386297</v>
      </c>
      <c r="E28" s="454">
        <f>R105</f>
        <v>45.220132955690147</v>
      </c>
      <c r="F28" s="454">
        <f>S105</f>
        <v>45.417429701676916</v>
      </c>
      <c r="G28" s="454">
        <f>T105</f>
        <v>56.31199212208638</v>
      </c>
      <c r="H28" s="454">
        <f>U105</f>
        <v>59.003533938068372</v>
      </c>
      <c r="I28" s="596">
        <f t="shared" si="18"/>
        <v>259.96608998590813</v>
      </c>
    </row>
    <row r="29" spans="1:10" outlineLevel="1">
      <c r="A29" s="2"/>
      <c r="B29" s="449" t="s">
        <v>78</v>
      </c>
      <c r="C29" s="13"/>
      <c r="D29" s="454">
        <f>Q117</f>
        <v>730.39095591025034</v>
      </c>
      <c r="E29" s="454">
        <f>R117</f>
        <v>751.41911067036983</v>
      </c>
      <c r="F29" s="454">
        <f>S117</f>
        <v>768.19705866506661</v>
      </c>
      <c r="G29" s="454">
        <f>T117</f>
        <v>813.79885185218552</v>
      </c>
      <c r="H29" s="454">
        <f>U117</f>
        <v>799.25462191807185</v>
      </c>
      <c r="I29" s="596">
        <f t="shared" si="18"/>
        <v>3863.0605990159438</v>
      </c>
      <c r="J29" s="454"/>
    </row>
    <row r="30" spans="1:10" outlineLevel="1">
      <c r="A30" s="2"/>
      <c r="B30" s="13" t="s">
        <v>8</v>
      </c>
      <c r="C30" s="13"/>
      <c r="D30" s="454">
        <f t="shared" ref="D30:H33" si="19">Q113</f>
        <v>53.576921965549907</v>
      </c>
      <c r="E30" s="454">
        <f t="shared" si="19"/>
        <v>49.334389577091727</v>
      </c>
      <c r="F30" s="454">
        <f t="shared" si="19"/>
        <v>44.817837576766266</v>
      </c>
      <c r="G30" s="454">
        <f t="shared" si="19"/>
        <v>44.05570733272922</v>
      </c>
      <c r="H30" s="454">
        <f t="shared" si="19"/>
        <v>38.509605157755601</v>
      </c>
      <c r="I30" s="596">
        <f t="shared" si="18"/>
        <v>230.29446160989272</v>
      </c>
      <c r="J30" s="454"/>
    </row>
    <row r="31" spans="1:10" outlineLevel="1">
      <c r="A31" s="2"/>
      <c r="B31" s="13" t="s">
        <v>9</v>
      </c>
      <c r="C31" s="13"/>
      <c r="D31" s="454">
        <f t="shared" si="19"/>
        <v>55.582054678591227</v>
      </c>
      <c r="E31" s="454">
        <f t="shared" si="19"/>
        <v>48.845244547296652</v>
      </c>
      <c r="F31" s="454">
        <f t="shared" si="19"/>
        <v>47.056426013306321</v>
      </c>
      <c r="G31" s="454">
        <f t="shared" si="19"/>
        <v>48.254230158887296</v>
      </c>
      <c r="H31" s="454">
        <f t="shared" si="19"/>
        <v>46.118377238797599</v>
      </c>
      <c r="I31" s="596">
        <f t="shared" si="18"/>
        <v>245.8563326368791</v>
      </c>
      <c r="J31" s="454"/>
    </row>
    <row r="32" spans="1:10" outlineLevel="1">
      <c r="A32" s="2"/>
      <c r="B32" s="13" t="s">
        <v>6</v>
      </c>
      <c r="C32" s="13"/>
      <c r="D32" s="454">
        <f t="shared" si="19"/>
        <v>32.344814406555308</v>
      </c>
      <c r="E32" s="454">
        <f t="shared" si="19"/>
        <v>30.57724206800701</v>
      </c>
      <c r="F32" s="454">
        <f t="shared" si="19"/>
        <v>31.797525983426926</v>
      </c>
      <c r="G32" s="454">
        <f t="shared" si="19"/>
        <v>34.481456889600743</v>
      </c>
      <c r="H32" s="454">
        <f t="shared" si="19"/>
        <v>36.19274881712257</v>
      </c>
      <c r="I32" s="596">
        <f t="shared" si="18"/>
        <v>165.39378816471256</v>
      </c>
      <c r="J32" s="454"/>
    </row>
    <row r="33" spans="1:14" outlineLevel="1">
      <c r="A33" s="2"/>
      <c r="B33" s="13" t="s">
        <v>7</v>
      </c>
      <c r="C33" s="13"/>
      <c r="D33" s="454">
        <f t="shared" si="19"/>
        <v>57.645826495746348</v>
      </c>
      <c r="E33" s="454">
        <f t="shared" si="19"/>
        <v>69.68863373560211</v>
      </c>
      <c r="F33" s="454">
        <f t="shared" si="19"/>
        <v>71.722598737022366</v>
      </c>
      <c r="G33" s="454">
        <f t="shared" si="19"/>
        <v>71.185867915771354</v>
      </c>
      <c r="H33" s="454">
        <f t="shared" si="19"/>
        <v>75.995249957090422</v>
      </c>
      <c r="I33" s="596">
        <f t="shared" si="18"/>
        <v>346.23817684123264</v>
      </c>
      <c r="J33" s="454"/>
    </row>
    <row r="34" spans="1:14" outlineLevel="1">
      <c r="A34" s="2"/>
      <c r="B34" s="13" t="s">
        <v>259</v>
      </c>
      <c r="C34" s="13"/>
      <c r="D34" s="454">
        <f>Q112</f>
        <v>83.462125588017386</v>
      </c>
      <c r="E34" s="454">
        <f>R112</f>
        <v>92.826532742524662</v>
      </c>
      <c r="F34" s="454">
        <f>S112</f>
        <v>101.63259873702238</v>
      </c>
      <c r="G34" s="454">
        <f>T112</f>
        <v>108.28466907954896</v>
      </c>
      <c r="H34" s="454">
        <f>U112</f>
        <v>112.57688629628963</v>
      </c>
      <c r="I34" s="596">
        <f t="shared" si="18"/>
        <v>498.78281244340297</v>
      </c>
      <c r="J34" s="454"/>
      <c r="K34" s="454"/>
      <c r="L34" s="454"/>
      <c r="M34" s="454"/>
      <c r="N34" s="454"/>
    </row>
    <row r="35" spans="1:14" outlineLevel="1">
      <c r="A35" s="2"/>
      <c r="B35" s="13" t="s">
        <v>257</v>
      </c>
      <c r="C35" s="13"/>
      <c r="D35" s="454">
        <f t="shared" ref="D35:H36" si="20">Q110</f>
        <v>47.183397403107946</v>
      </c>
      <c r="E35" s="454">
        <f t="shared" si="20"/>
        <v>55.096728897050362</v>
      </c>
      <c r="F35" s="454">
        <f t="shared" si="20"/>
        <v>57.660166293932406</v>
      </c>
      <c r="G35" s="454">
        <f t="shared" si="20"/>
        <v>66.10946039640686</v>
      </c>
      <c r="H35" s="454">
        <f t="shared" si="20"/>
        <v>64.032853381444568</v>
      </c>
      <c r="I35" s="596">
        <f t="shared" si="18"/>
        <v>290.08260637194212</v>
      </c>
      <c r="J35" s="454"/>
      <c r="K35" s="454"/>
      <c r="L35" s="454"/>
      <c r="M35" s="454"/>
      <c r="N35" s="454"/>
    </row>
    <row r="36" spans="1:14" outlineLevel="1">
      <c r="A36" s="2"/>
      <c r="B36" s="13" t="s">
        <v>258</v>
      </c>
      <c r="C36" s="13"/>
      <c r="D36" s="454">
        <f t="shared" si="20"/>
        <v>58.04943682052658</v>
      </c>
      <c r="E36" s="454">
        <f t="shared" si="20"/>
        <v>56.13231259164057</v>
      </c>
      <c r="F36" s="454">
        <f t="shared" si="20"/>
        <v>58.080083146966196</v>
      </c>
      <c r="G36" s="454">
        <f t="shared" si="20"/>
        <v>75.220359276815785</v>
      </c>
      <c r="H36" s="454">
        <f t="shared" si="20"/>
        <v>66.237271382449933</v>
      </c>
      <c r="I36" s="596">
        <f t="shared" si="18"/>
        <v>313.71946321839908</v>
      </c>
      <c r="J36" s="454"/>
      <c r="K36" s="454"/>
      <c r="L36" s="454"/>
      <c r="M36" s="454"/>
      <c r="N36" s="454"/>
    </row>
    <row r="37" spans="1:14" outlineLevel="1">
      <c r="A37" s="2"/>
      <c r="B37" s="13" t="s">
        <v>13</v>
      </c>
      <c r="C37" s="13"/>
      <c r="D37" s="454">
        <f t="shared" ref="D37:H38" si="21">Q108</f>
        <v>34.26067656100831</v>
      </c>
      <c r="E37" s="454">
        <f t="shared" si="21"/>
        <v>32.640564718097565</v>
      </c>
      <c r="F37" s="454">
        <f t="shared" si="21"/>
        <v>32.105010393370783</v>
      </c>
      <c r="G37" s="454">
        <f t="shared" si="21"/>
        <v>32.040919768075419</v>
      </c>
      <c r="H37" s="454">
        <f t="shared" si="21"/>
        <v>35.761124276770701</v>
      </c>
      <c r="I37" s="596">
        <f t="shared" si="18"/>
        <v>166.80829571732278</v>
      </c>
    </row>
    <row r="38" spans="1:14" outlineLevel="1">
      <c r="A38" s="2"/>
      <c r="B38" s="13" t="s">
        <v>14</v>
      </c>
      <c r="C38" s="13"/>
      <c r="D38" s="455">
        <f t="shared" si="21"/>
        <v>46.171972087265786</v>
      </c>
      <c r="E38" s="455">
        <f t="shared" si="21"/>
        <v>51.172521426087627</v>
      </c>
      <c r="F38" s="455">
        <f t="shared" si="21"/>
        <v>51.145250703876243</v>
      </c>
      <c r="G38" s="455">
        <f t="shared" si="21"/>
        <v>45.663379463980043</v>
      </c>
      <c r="H38" s="455">
        <f t="shared" si="21"/>
        <v>52.016570896217786</v>
      </c>
      <c r="I38" s="597">
        <f t="shared" si="18"/>
        <v>246.16969457742749</v>
      </c>
    </row>
    <row r="39" spans="1:14" outlineLevel="1">
      <c r="A39" s="2"/>
      <c r="B39" s="10"/>
      <c r="C39" s="10"/>
      <c r="D39" s="457"/>
      <c r="E39" s="457"/>
      <c r="F39" s="457"/>
      <c r="G39" s="457"/>
      <c r="H39" s="457"/>
    </row>
    <row r="40" spans="1:14" outlineLevel="1">
      <c r="A40" s="2"/>
      <c r="B40" s="764" t="s">
        <v>78</v>
      </c>
      <c r="C40" s="458" t="s">
        <v>408</v>
      </c>
      <c r="D40" s="458">
        <f t="shared" ref="D40:I40" si="22">LOOKUP($B$40,DNO_list_total,D7:D21)</f>
        <v>720.77687646816923</v>
      </c>
      <c r="E40" s="458">
        <f t="shared" si="22"/>
        <v>708.20382042283291</v>
      </c>
      <c r="F40" s="458">
        <f t="shared" si="22"/>
        <v>705.38369570238353</v>
      </c>
      <c r="G40" s="458">
        <f t="shared" si="22"/>
        <v>699.39093067142858</v>
      </c>
      <c r="H40" s="458">
        <f t="shared" si="22"/>
        <v>707.49878924272048</v>
      </c>
      <c r="I40" s="592">
        <f t="shared" si="22"/>
        <v>3541.254112507535</v>
      </c>
      <c r="J40" s="644">
        <f>(I41/I40)-1</f>
        <v>9.087359344583712E-2</v>
      </c>
    </row>
    <row r="41" spans="1:14" outlineLevel="1">
      <c r="A41" s="2"/>
      <c r="B41" s="811"/>
      <c r="C41" s="458" t="s">
        <v>409</v>
      </c>
      <c r="D41" s="458">
        <f t="shared" ref="D41:I41" si="23">LOOKUP($B$40,DNO_list_total,D24:D38)</f>
        <v>730.39095591025034</v>
      </c>
      <c r="E41" s="458">
        <f t="shared" si="23"/>
        <v>751.41911067036983</v>
      </c>
      <c r="F41" s="458">
        <f t="shared" si="23"/>
        <v>768.19705866506661</v>
      </c>
      <c r="G41" s="458">
        <f t="shared" si="23"/>
        <v>813.79885185218552</v>
      </c>
      <c r="H41" s="458">
        <f t="shared" si="23"/>
        <v>799.25462191807185</v>
      </c>
      <c r="I41" s="592">
        <f t="shared" si="23"/>
        <v>3863.0605990159438</v>
      </c>
    </row>
    <row r="42" spans="1:14">
      <c r="A42" s="2"/>
      <c r="B42" s="461"/>
      <c r="C42" s="461"/>
      <c r="D42" s="462"/>
      <c r="E42" s="462"/>
      <c r="F42" s="462"/>
      <c r="G42" s="462"/>
      <c r="H42" s="462"/>
      <c r="I42" s="152"/>
    </row>
    <row r="43" spans="1:14">
      <c r="A43" s="2"/>
      <c r="B43" s="108" t="s">
        <v>367</v>
      </c>
      <c r="C43" s="463"/>
      <c r="D43" s="462"/>
      <c r="E43" s="462"/>
      <c r="F43" s="462"/>
      <c r="G43" s="462"/>
      <c r="H43" s="462"/>
      <c r="I43" s="152"/>
    </row>
    <row r="44" spans="1:14" outlineLevel="1">
      <c r="A44" s="2"/>
      <c r="B44" s="474" t="s">
        <v>292</v>
      </c>
      <c r="C44" s="452"/>
      <c r="D44" s="6" t="s">
        <v>297</v>
      </c>
      <c r="E44" s="6" t="str">
        <f t="shared" ref="E44:H44" si="24">CONCATENATE(LEFT(D44, 4)+1 &amp;"-" &amp;IF(D44&gt;"2007-08",,"0") &amp;RIGHT(D44,2)+1)</f>
        <v>2006-07</v>
      </c>
      <c r="F44" s="6" t="str">
        <f t="shared" si="24"/>
        <v>2007-08</v>
      </c>
      <c r="G44" s="6" t="str">
        <f t="shared" si="24"/>
        <v>2008-09</v>
      </c>
      <c r="H44" s="6" t="str">
        <f t="shared" si="24"/>
        <v>2009-10</v>
      </c>
      <c r="I44" s="152" t="s">
        <v>376</v>
      </c>
      <c r="K44" s="471" t="str">
        <f>B78</f>
        <v>GB total</v>
      </c>
      <c r="L44" s="459"/>
    </row>
    <row r="45" spans="1:14" outlineLevel="1">
      <c r="A45" s="2"/>
      <c r="B45" s="13" t="s">
        <v>1</v>
      </c>
      <c r="C45" s="13"/>
      <c r="D45" s="454">
        <f>AG125</f>
        <v>73.558253125052815</v>
      </c>
      <c r="E45" s="454">
        <f t="shared" ref="E45:H45" si="25">AH125</f>
        <v>73.793263518423586</v>
      </c>
      <c r="F45" s="454">
        <f t="shared" si="25"/>
        <v>73.440747928367429</v>
      </c>
      <c r="G45" s="454">
        <f t="shared" si="25"/>
        <v>73.205737534996658</v>
      </c>
      <c r="H45" s="454">
        <f t="shared" si="25"/>
        <v>75.203325878648243</v>
      </c>
      <c r="I45" s="593">
        <f t="shared" ref="I45:I59" si="26">SUM(D45:H45)</f>
        <v>369.20132798548872</v>
      </c>
    </row>
    <row r="46" spans="1:14" outlineLevel="1">
      <c r="A46" s="2"/>
      <c r="B46" s="13" t="s">
        <v>2</v>
      </c>
      <c r="C46" s="13"/>
      <c r="D46" s="454">
        <f>AG126</f>
        <v>98.234344428984258</v>
      </c>
      <c r="E46" s="454">
        <f t="shared" ref="E46:H46" si="27">AH126</f>
        <v>98.469354822355044</v>
      </c>
      <c r="F46" s="454">
        <f t="shared" si="27"/>
        <v>97.999334035613501</v>
      </c>
      <c r="G46" s="454">
        <f t="shared" si="27"/>
        <v>97.529313248871944</v>
      </c>
      <c r="H46" s="454">
        <f t="shared" si="27"/>
        <v>100.93696395274817</v>
      </c>
      <c r="I46" s="462">
        <f t="shared" si="26"/>
        <v>493.16931048857288</v>
      </c>
    </row>
    <row r="47" spans="1:14" s="13" customFormat="1" outlineLevel="1">
      <c r="A47" s="451"/>
      <c r="B47" s="13" t="s">
        <v>3</v>
      </c>
      <c r="D47" s="454">
        <f>AG123</f>
        <v>129.60823194398282</v>
      </c>
      <c r="E47" s="454">
        <f t="shared" ref="E47:H47" si="28">AH123</f>
        <v>129.25571635392669</v>
      </c>
      <c r="F47" s="454">
        <f t="shared" si="28"/>
        <v>128.78569556718512</v>
      </c>
      <c r="G47" s="454">
        <f t="shared" si="28"/>
        <v>128.55068517381432</v>
      </c>
      <c r="H47" s="454">
        <f t="shared" si="28"/>
        <v>129.25571635392666</v>
      </c>
      <c r="I47" s="462">
        <f t="shared" si="26"/>
        <v>645.45604539283556</v>
      </c>
    </row>
    <row r="48" spans="1:14" s="13" customFormat="1" outlineLevel="1">
      <c r="A48" s="451"/>
      <c r="B48" s="13" t="s">
        <v>4</v>
      </c>
      <c r="D48" s="454">
        <f>AG122</f>
        <v>131.01829430420747</v>
      </c>
      <c r="E48" s="454">
        <f t="shared" ref="E48:H48" si="29">AH122</f>
        <v>130.54827351746593</v>
      </c>
      <c r="F48" s="454">
        <f t="shared" si="29"/>
        <v>130.07825273072439</v>
      </c>
      <c r="G48" s="454">
        <f t="shared" si="29"/>
        <v>130.07825273072439</v>
      </c>
      <c r="H48" s="454">
        <f t="shared" si="29"/>
        <v>131.60582028763443</v>
      </c>
      <c r="I48" s="462">
        <f t="shared" si="26"/>
        <v>653.32889357075658</v>
      </c>
    </row>
    <row r="49" spans="1:9" outlineLevel="1">
      <c r="A49" s="2"/>
      <c r="B49" s="13" t="s">
        <v>5</v>
      </c>
      <c r="C49" s="13"/>
      <c r="D49" s="454">
        <f>AG124</f>
        <v>121.73538376606184</v>
      </c>
      <c r="E49" s="454">
        <f t="shared" ref="E49:H49" si="30">AH124</f>
        <v>121.1478577826349</v>
      </c>
      <c r="F49" s="454">
        <f t="shared" si="30"/>
        <v>126.43559163347736</v>
      </c>
      <c r="G49" s="454">
        <f t="shared" si="30"/>
        <v>128.78569556718512</v>
      </c>
      <c r="H49" s="454">
        <f t="shared" si="30"/>
        <v>126.67060202684813</v>
      </c>
      <c r="I49" s="462">
        <f t="shared" si="26"/>
        <v>624.77513077620733</v>
      </c>
    </row>
    <row r="50" spans="1:9" outlineLevel="1">
      <c r="A50" s="2"/>
      <c r="B50" s="449" t="s">
        <v>78</v>
      </c>
      <c r="C50" s="13"/>
      <c r="D50" s="454">
        <f>AG136</f>
        <v>1516.1695528315599</v>
      </c>
      <c r="E50" s="454">
        <f t="shared" ref="E50:H50" si="31">AH136</f>
        <v>1516.0520476348745</v>
      </c>
      <c r="F50" s="454">
        <f t="shared" si="31"/>
        <v>1521.9273074691439</v>
      </c>
      <c r="G50" s="454">
        <f t="shared" si="31"/>
        <v>1541.0806545288622</v>
      </c>
      <c r="H50" s="454">
        <f t="shared" si="31"/>
        <v>1549.4235234935245</v>
      </c>
      <c r="I50" s="462">
        <f t="shared" si="26"/>
        <v>7644.6530859579652</v>
      </c>
    </row>
    <row r="51" spans="1:9" outlineLevel="1">
      <c r="A51" s="2"/>
      <c r="B51" s="13" t="s">
        <v>8</v>
      </c>
      <c r="C51" s="13"/>
      <c r="D51" s="454">
        <f>AG132</f>
        <v>101.17197434611896</v>
      </c>
      <c r="E51" s="454">
        <f t="shared" ref="E51:H51" si="32">AH132</f>
        <v>101.75950032954592</v>
      </c>
      <c r="F51" s="454">
        <f t="shared" si="32"/>
        <v>101.99451072291667</v>
      </c>
      <c r="G51" s="454">
        <f t="shared" si="32"/>
        <v>102.11201591960207</v>
      </c>
      <c r="H51" s="454">
        <f t="shared" si="32"/>
        <v>102.11201591960207</v>
      </c>
      <c r="I51" s="462">
        <f t="shared" si="26"/>
        <v>509.15001723778568</v>
      </c>
    </row>
    <row r="52" spans="1:9" outlineLevel="1">
      <c r="A52" s="2"/>
      <c r="B52" s="13" t="s">
        <v>9</v>
      </c>
      <c r="C52" s="13"/>
      <c r="D52" s="454">
        <f>AG133</f>
        <v>107.75226536050069</v>
      </c>
      <c r="E52" s="454">
        <f t="shared" ref="E52:H52" si="33">AH133</f>
        <v>109.98486409752306</v>
      </c>
      <c r="F52" s="454">
        <f t="shared" si="33"/>
        <v>114.21505117819702</v>
      </c>
      <c r="G52" s="454">
        <f t="shared" si="33"/>
        <v>118.2102278655002</v>
      </c>
      <c r="H52" s="454">
        <f t="shared" si="33"/>
        <v>119.3852798323541</v>
      </c>
      <c r="I52" s="462">
        <f t="shared" si="26"/>
        <v>569.54768833407502</v>
      </c>
    </row>
    <row r="53" spans="1:9" outlineLevel="1">
      <c r="A53" s="2"/>
      <c r="B53" s="13" t="s">
        <v>6</v>
      </c>
      <c r="C53" s="13"/>
      <c r="D53" s="454">
        <f>AG134</f>
        <v>56.402494408986179</v>
      </c>
      <c r="E53" s="454">
        <f t="shared" ref="E53:H53" si="34">AH134</f>
        <v>56.284989212300793</v>
      </c>
      <c r="F53" s="454">
        <f t="shared" si="34"/>
        <v>56.167484015615415</v>
      </c>
      <c r="G53" s="454">
        <f t="shared" si="34"/>
        <v>56.75500999904235</v>
      </c>
      <c r="H53" s="454">
        <f t="shared" si="34"/>
        <v>56.519999605671572</v>
      </c>
      <c r="I53" s="462">
        <f t="shared" si="26"/>
        <v>282.1299772416163</v>
      </c>
    </row>
    <row r="54" spans="1:9" s="13" customFormat="1" outlineLevel="1">
      <c r="A54" s="451"/>
      <c r="B54" s="13" t="s">
        <v>7</v>
      </c>
      <c r="D54" s="454">
        <f>AG135</f>
        <v>146.76399066004947</v>
      </c>
      <c r="E54" s="454">
        <f t="shared" ref="E54:H54" si="35">AH135</f>
        <v>146.41147506999329</v>
      </c>
      <c r="F54" s="454">
        <f t="shared" si="35"/>
        <v>146.17646467662254</v>
      </c>
      <c r="G54" s="454">
        <f t="shared" si="35"/>
        <v>146.76399066004947</v>
      </c>
      <c r="H54" s="454">
        <f t="shared" si="35"/>
        <v>146.5289802666787</v>
      </c>
      <c r="I54" s="462">
        <f t="shared" si="26"/>
        <v>732.64490133339348</v>
      </c>
    </row>
    <row r="55" spans="1:9" outlineLevel="1">
      <c r="A55" s="2"/>
      <c r="B55" s="13" t="s">
        <v>259</v>
      </c>
      <c r="C55" s="13"/>
      <c r="D55" s="454">
        <f>AG131</f>
        <v>180.95800289549734</v>
      </c>
      <c r="E55" s="454">
        <f t="shared" ref="E55:H55" si="36">AH131</f>
        <v>180.72299250212654</v>
      </c>
      <c r="F55" s="454">
        <f t="shared" si="36"/>
        <v>180.48798210875577</v>
      </c>
      <c r="G55" s="454">
        <f t="shared" si="36"/>
        <v>185.30569517285667</v>
      </c>
      <c r="H55" s="454">
        <f t="shared" si="36"/>
        <v>183.54311722257586</v>
      </c>
      <c r="I55" s="462">
        <f t="shared" si="26"/>
        <v>911.01778990181219</v>
      </c>
    </row>
    <row r="56" spans="1:9" outlineLevel="1">
      <c r="A56" s="2"/>
      <c r="B56" s="13" t="s">
        <v>257</v>
      </c>
      <c r="C56" s="13"/>
      <c r="D56" s="454">
        <f>AG129</f>
        <v>116.56515511190479</v>
      </c>
      <c r="E56" s="454">
        <f t="shared" ref="E56:H56" si="37">AH129</f>
        <v>116.330144718534</v>
      </c>
      <c r="F56" s="454">
        <f t="shared" si="37"/>
        <v>116.09513432516323</v>
      </c>
      <c r="G56" s="454">
        <f t="shared" si="37"/>
        <v>115.86012393179244</v>
      </c>
      <c r="H56" s="454">
        <f t="shared" si="37"/>
        <v>115.74261873510706</v>
      </c>
      <c r="I56" s="462">
        <f t="shared" si="26"/>
        <v>580.5931768225015</v>
      </c>
    </row>
    <row r="57" spans="1:9" outlineLevel="1">
      <c r="A57" s="2"/>
      <c r="B57" s="13" t="s">
        <v>258</v>
      </c>
      <c r="C57" s="13"/>
      <c r="D57" s="454">
        <f>AG130</f>
        <v>125.49555005999426</v>
      </c>
      <c r="E57" s="454">
        <f t="shared" ref="E57:H57" si="38">AH130</f>
        <v>124.55550848651116</v>
      </c>
      <c r="F57" s="454">
        <f t="shared" si="38"/>
        <v>123.61546691302804</v>
      </c>
      <c r="G57" s="454">
        <f t="shared" si="38"/>
        <v>126.0830760434212</v>
      </c>
      <c r="H57" s="454">
        <f t="shared" si="38"/>
        <v>127.0231176169043</v>
      </c>
      <c r="I57" s="462">
        <f t="shared" si="26"/>
        <v>626.77271911985895</v>
      </c>
    </row>
    <row r="58" spans="1:9" s="13" customFormat="1" outlineLevel="1">
      <c r="A58" s="451"/>
      <c r="B58" s="13" t="s">
        <v>13</v>
      </c>
      <c r="D58" s="454">
        <f>AG127</f>
        <v>51.819791738256058</v>
      </c>
      <c r="E58" s="454">
        <f t="shared" ref="E58:H58" si="39">AH127</f>
        <v>51.702286541570665</v>
      </c>
      <c r="F58" s="454">
        <f t="shared" si="39"/>
        <v>51.584781344885279</v>
      </c>
      <c r="G58" s="454">
        <f t="shared" si="39"/>
        <v>52.289812524997608</v>
      </c>
      <c r="H58" s="454">
        <f t="shared" si="39"/>
        <v>52.877338508424543</v>
      </c>
      <c r="I58" s="462">
        <f t="shared" si="26"/>
        <v>260.27401065813416</v>
      </c>
    </row>
    <row r="59" spans="1:9" outlineLevel="1">
      <c r="A59" s="2"/>
      <c r="B59" s="6" t="s">
        <v>14</v>
      </c>
      <c r="C59" s="6"/>
      <c r="D59" s="455">
        <f>AG128</f>
        <v>75.085820681962858</v>
      </c>
      <c r="E59" s="455">
        <f t="shared" ref="E59:H59" si="40">AH128</f>
        <v>75.085820681962858</v>
      </c>
      <c r="F59" s="455">
        <f t="shared" si="40"/>
        <v>74.850810288592086</v>
      </c>
      <c r="G59" s="455">
        <f t="shared" si="40"/>
        <v>79.551018156007601</v>
      </c>
      <c r="H59" s="455">
        <f t="shared" si="40"/>
        <v>82.018627286400744</v>
      </c>
      <c r="I59" s="594">
        <f t="shared" si="26"/>
        <v>386.5920970949262</v>
      </c>
    </row>
    <row r="60" spans="1:9" outlineLevel="1">
      <c r="A60" s="2"/>
      <c r="B60" s="13"/>
      <c r="C60" s="13"/>
    </row>
    <row r="61" spans="1:9" outlineLevel="1">
      <c r="A61" s="2"/>
      <c r="B61" s="562" t="s">
        <v>293</v>
      </c>
      <c r="C61" s="452"/>
    </row>
    <row r="62" spans="1:9" outlineLevel="1">
      <c r="A62" s="2"/>
      <c r="B62" s="13" t="s">
        <v>1</v>
      </c>
      <c r="C62" s="13"/>
      <c r="D62" s="453">
        <f t="shared" ref="D62:H63" si="41">Q144</f>
        <v>65.134846663763298</v>
      </c>
      <c r="E62" s="453">
        <f t="shared" si="41"/>
        <v>68.934694611083358</v>
      </c>
      <c r="F62" s="453">
        <f t="shared" si="41"/>
        <v>79.5</v>
      </c>
      <c r="G62" s="453">
        <f t="shared" si="41"/>
        <v>78.373645390493579</v>
      </c>
      <c r="H62" s="453">
        <f t="shared" si="41"/>
        <v>73.375956610603112</v>
      </c>
      <c r="I62" s="593">
        <f t="shared" ref="I62:I76" si="42">SUM(D62:H62)</f>
        <v>365.31914327594336</v>
      </c>
    </row>
    <row r="63" spans="1:9" outlineLevel="1">
      <c r="A63" s="2"/>
      <c r="B63" s="13" t="s">
        <v>2</v>
      </c>
      <c r="C63" s="13"/>
      <c r="D63" s="454">
        <f t="shared" si="41"/>
        <v>99.484566794902136</v>
      </c>
      <c r="E63" s="454">
        <f t="shared" si="41"/>
        <v>80.493231018681925</v>
      </c>
      <c r="F63" s="454">
        <f t="shared" si="41"/>
        <v>92.2</v>
      </c>
      <c r="G63" s="454">
        <f t="shared" si="41"/>
        <v>101.77890999905486</v>
      </c>
      <c r="H63" s="454">
        <f t="shared" si="41"/>
        <v>110.59564474641627</v>
      </c>
      <c r="I63" s="462">
        <f t="shared" si="42"/>
        <v>484.55235255905518</v>
      </c>
    </row>
    <row r="64" spans="1:9" outlineLevel="1">
      <c r="A64" s="2"/>
      <c r="B64" s="13" t="s">
        <v>3</v>
      </c>
      <c r="C64" s="13"/>
      <c r="D64" s="454">
        <f>Q142</f>
        <v>93.759613439712325</v>
      </c>
      <c r="E64" s="454">
        <f>R142</f>
        <v>118.50103091754208</v>
      </c>
      <c r="F64" s="454">
        <f>S142</f>
        <v>145.5</v>
      </c>
      <c r="G64" s="454">
        <f>T142</f>
        <v>162.18585849086034</v>
      </c>
      <c r="H64" s="454">
        <f>U142</f>
        <v>130.22057121802689</v>
      </c>
      <c r="I64" s="462">
        <f t="shared" si="42"/>
        <v>650.16707406614159</v>
      </c>
    </row>
    <row r="65" spans="1:10" outlineLevel="1">
      <c r="A65" s="2"/>
      <c r="B65" s="13" t="s">
        <v>4</v>
      </c>
      <c r="C65" s="13"/>
      <c r="D65" s="454">
        <f>Q141</f>
        <v>117.84762472664302</v>
      </c>
      <c r="E65" s="454">
        <f>R141</f>
        <v>135.37024621511836</v>
      </c>
      <c r="F65" s="454">
        <f>S141</f>
        <v>138.4</v>
      </c>
      <c r="G65" s="454">
        <f>T141</f>
        <v>151.69719219324782</v>
      </c>
      <c r="H65" s="454">
        <f>U141</f>
        <v>141.72483846000549</v>
      </c>
      <c r="I65" s="462">
        <f t="shared" si="42"/>
        <v>685.03990159501461</v>
      </c>
    </row>
    <row r="66" spans="1:10" outlineLevel="1">
      <c r="A66" s="2"/>
      <c r="B66" s="13" t="s">
        <v>5</v>
      </c>
      <c r="C66" s="13"/>
      <c r="D66" s="454">
        <f>Q143</f>
        <v>92.787451549208399</v>
      </c>
      <c r="E66" s="454">
        <f>R143</f>
        <v>90.593934005502305</v>
      </c>
      <c r="F66" s="454">
        <f>S143</f>
        <v>111.69999999999999</v>
      </c>
      <c r="G66" s="454">
        <f>T143</f>
        <v>116.54073664013916</v>
      </c>
      <c r="H66" s="454">
        <f>U143</f>
        <v>101.02486779720718</v>
      </c>
      <c r="I66" s="462">
        <f t="shared" si="42"/>
        <v>512.646989992057</v>
      </c>
    </row>
    <row r="67" spans="1:10" outlineLevel="1">
      <c r="A67" s="2"/>
      <c r="B67" s="449" t="s">
        <v>78</v>
      </c>
      <c r="C67" s="13"/>
      <c r="D67" s="454">
        <f>Q155</f>
        <v>1202.132186602026</v>
      </c>
      <c r="E67" s="454">
        <f>R155</f>
        <v>1271.9596596289778</v>
      </c>
      <c r="F67" s="454">
        <f>S155</f>
        <v>1472.1</v>
      </c>
      <c r="G67" s="454">
        <f>T155</f>
        <v>1616.9056036013974</v>
      </c>
      <c r="H67" s="454">
        <f>U155</f>
        <v>1567.1905568043305</v>
      </c>
      <c r="I67" s="462">
        <f t="shared" si="42"/>
        <v>7130.2880066367316</v>
      </c>
    </row>
    <row r="68" spans="1:10" outlineLevel="1">
      <c r="A68" s="2"/>
      <c r="B68" s="13" t="s">
        <v>8</v>
      </c>
      <c r="C68" s="13"/>
      <c r="D68" s="454">
        <f t="shared" ref="D68:H71" si="43">Q151</f>
        <v>80.473400936158626</v>
      </c>
      <c r="E68" s="454">
        <f t="shared" si="43"/>
        <v>91.531112633145426</v>
      </c>
      <c r="F68" s="454">
        <f t="shared" si="43"/>
        <v>99.5</v>
      </c>
      <c r="G68" s="454">
        <f t="shared" si="43"/>
        <v>96.825928691848944</v>
      </c>
      <c r="H68" s="454">
        <f t="shared" si="43"/>
        <v>79.756474576742505</v>
      </c>
      <c r="I68" s="462">
        <f t="shared" si="42"/>
        <v>448.0869168378955</v>
      </c>
      <c r="J68" s="13"/>
    </row>
    <row r="69" spans="1:10" outlineLevel="1">
      <c r="A69" s="2"/>
      <c r="B69" s="13" t="s">
        <v>9</v>
      </c>
      <c r="C69" s="13"/>
      <c r="D69" s="454">
        <f t="shared" si="43"/>
        <v>96.027991184221491</v>
      </c>
      <c r="E69" s="454">
        <f t="shared" si="43"/>
        <v>100.69463699232266</v>
      </c>
      <c r="F69" s="454">
        <f t="shared" si="43"/>
        <v>101.79999999999998</v>
      </c>
      <c r="G69" s="454">
        <f t="shared" si="43"/>
        <v>114.79262559053706</v>
      </c>
      <c r="H69" s="454">
        <f t="shared" si="43"/>
        <v>86.910388659989707</v>
      </c>
      <c r="I69" s="462">
        <f t="shared" si="42"/>
        <v>500.22564242707085</v>
      </c>
    </row>
    <row r="70" spans="1:10" outlineLevel="1">
      <c r="A70" s="2"/>
      <c r="B70" s="13" t="s">
        <v>6</v>
      </c>
      <c r="C70" s="13"/>
      <c r="D70" s="454">
        <f t="shared" si="43"/>
        <v>37.806295741819483</v>
      </c>
      <c r="E70" s="454">
        <f t="shared" si="43"/>
        <v>42.797823995702807</v>
      </c>
      <c r="F70" s="454">
        <f t="shared" si="43"/>
        <v>53.099999999999994</v>
      </c>
      <c r="G70" s="454">
        <f t="shared" si="43"/>
        <v>60.01847936967166</v>
      </c>
      <c r="H70" s="454">
        <f t="shared" si="43"/>
        <v>66.51206607127132</v>
      </c>
      <c r="I70" s="462">
        <f t="shared" si="42"/>
        <v>260.23466517846526</v>
      </c>
    </row>
    <row r="71" spans="1:10" s="13" customFormat="1" outlineLevel="1">
      <c r="A71" s="451"/>
      <c r="B71" s="13" t="s">
        <v>7</v>
      </c>
      <c r="D71" s="454">
        <f t="shared" si="43"/>
        <v>94.839793318050042</v>
      </c>
      <c r="E71" s="454">
        <f t="shared" si="43"/>
        <v>99.028541654290422</v>
      </c>
      <c r="F71" s="454">
        <f t="shared" si="43"/>
        <v>123.89999999999999</v>
      </c>
      <c r="G71" s="454">
        <f t="shared" si="43"/>
        <v>153.25106868178301</v>
      </c>
      <c r="H71" s="454">
        <f t="shared" si="43"/>
        <v>160.86639235842367</v>
      </c>
      <c r="I71" s="462">
        <f t="shared" si="42"/>
        <v>631.88579601254708</v>
      </c>
      <c r="J71"/>
    </row>
    <row r="72" spans="1:10" s="13" customFormat="1" outlineLevel="1">
      <c r="A72" s="451"/>
      <c r="B72" s="13" t="s">
        <v>259</v>
      </c>
      <c r="D72" s="454">
        <f>Q150</f>
        <v>116.98348082397285</v>
      </c>
      <c r="E72" s="454">
        <f>R150</f>
        <v>139.95200839470701</v>
      </c>
      <c r="F72" s="454">
        <f>S150</f>
        <v>179.7</v>
      </c>
      <c r="G72" s="454">
        <f>T150</f>
        <v>212.88107892932084</v>
      </c>
      <c r="H72" s="454">
        <f>U150</f>
        <v>229.408623237103</v>
      </c>
      <c r="I72" s="462">
        <f t="shared" si="42"/>
        <v>878.92519138510374</v>
      </c>
    </row>
    <row r="73" spans="1:10" outlineLevel="1">
      <c r="A73" s="2"/>
      <c r="B73" s="13" t="s">
        <v>257</v>
      </c>
      <c r="C73" s="13"/>
      <c r="D73" s="454">
        <f t="shared" ref="D73:H74" si="44">Q148</f>
        <v>90.087001853364143</v>
      </c>
      <c r="E73" s="454">
        <f t="shared" si="44"/>
        <v>103.193779999371</v>
      </c>
      <c r="F73" s="454">
        <f t="shared" si="44"/>
        <v>109.10000000000001</v>
      </c>
      <c r="G73" s="454">
        <f t="shared" si="44"/>
        <v>108.86847147799665</v>
      </c>
      <c r="H73" s="454">
        <f t="shared" si="44"/>
        <v>102.86168357533823</v>
      </c>
      <c r="I73" s="462">
        <f t="shared" si="42"/>
        <v>514.11093690607004</v>
      </c>
    </row>
    <row r="74" spans="1:10" outlineLevel="1">
      <c r="A74" s="2"/>
      <c r="B74" s="13" t="s">
        <v>258</v>
      </c>
      <c r="C74" s="13"/>
      <c r="D74" s="454">
        <f t="shared" si="44"/>
        <v>96.352045147722805</v>
      </c>
      <c r="E74" s="454">
        <f t="shared" si="44"/>
        <v>72.683409121655856</v>
      </c>
      <c r="F74" s="454">
        <f t="shared" si="44"/>
        <v>108.09999999999998</v>
      </c>
      <c r="G74" s="454">
        <f t="shared" si="44"/>
        <v>131.20544600068999</v>
      </c>
      <c r="H74" s="454">
        <f t="shared" si="44"/>
        <v>155.25927050939208</v>
      </c>
      <c r="I74" s="462">
        <f t="shared" si="42"/>
        <v>563.60017077946065</v>
      </c>
    </row>
    <row r="75" spans="1:10" outlineLevel="1">
      <c r="A75" s="2"/>
      <c r="B75" s="13" t="s">
        <v>13</v>
      </c>
      <c r="C75" s="13"/>
      <c r="D75" s="454">
        <f t="shared" ref="D75:H76" si="45">Q146</f>
        <v>47.743950622526327</v>
      </c>
      <c r="E75" s="454">
        <f t="shared" si="45"/>
        <v>51.232431644490958</v>
      </c>
      <c r="F75" s="454">
        <f t="shared" si="45"/>
        <v>53.9</v>
      </c>
      <c r="G75" s="454">
        <f t="shared" si="45"/>
        <v>50.986572280060884</v>
      </c>
      <c r="H75" s="454">
        <f t="shared" si="45"/>
        <v>50.657445670561302</v>
      </c>
      <c r="I75" s="462">
        <f t="shared" si="42"/>
        <v>254.52040021763946</v>
      </c>
    </row>
    <row r="76" spans="1:10" outlineLevel="1">
      <c r="A76" s="2"/>
      <c r="B76" s="6" t="s">
        <v>14</v>
      </c>
      <c r="C76" s="6"/>
      <c r="D76" s="455">
        <f t="shared" si="45"/>
        <v>72.804123799960934</v>
      </c>
      <c r="E76" s="455">
        <f t="shared" si="45"/>
        <v>76.952778425363434</v>
      </c>
      <c r="F76" s="455">
        <f t="shared" si="45"/>
        <v>75.7</v>
      </c>
      <c r="G76" s="455">
        <f t="shared" si="45"/>
        <v>77.499589865692542</v>
      </c>
      <c r="H76" s="455">
        <f t="shared" si="45"/>
        <v>78.016333313249945</v>
      </c>
      <c r="I76" s="594">
        <f t="shared" si="42"/>
        <v>380.97282540426687</v>
      </c>
    </row>
    <row r="77" spans="1:10" outlineLevel="1">
      <c r="A77" s="2"/>
      <c r="B77" s="461"/>
      <c r="C77" s="461"/>
      <c r="D77" s="462"/>
      <c r="E77" s="462"/>
      <c r="F77" s="462"/>
      <c r="G77" s="462"/>
      <c r="H77" s="462"/>
      <c r="I77" s="152"/>
    </row>
    <row r="78" spans="1:10" outlineLevel="1">
      <c r="A78" s="2"/>
      <c r="B78" s="764" t="s">
        <v>78</v>
      </c>
      <c r="C78" s="458" t="s">
        <v>408</v>
      </c>
      <c r="D78" s="458">
        <f>LOOKUP($B$78,$B$45:$B$59,D45:D59)</f>
        <v>1516.1695528315599</v>
      </c>
      <c r="E78" s="458">
        <f t="shared" ref="E78:H78" si="46">LOOKUP($B$78,$B$45:$B$59,E45:E59)</f>
        <v>1516.0520476348745</v>
      </c>
      <c r="F78" s="458">
        <f t="shared" si="46"/>
        <v>1521.9273074691439</v>
      </c>
      <c r="G78" s="458">
        <f t="shared" si="46"/>
        <v>1541.0806545288622</v>
      </c>
      <c r="H78" s="458">
        <f t="shared" si="46"/>
        <v>1549.4235234935245</v>
      </c>
      <c r="I78" s="592">
        <f t="shared" ref="I78" si="47">LOOKUP($B$78,$B$45:$B$59,I45:I59)</f>
        <v>7644.6530859579652</v>
      </c>
      <c r="J78" s="644">
        <f>(I79/I78)-1</f>
        <v>-6.7284293157271247E-2</v>
      </c>
    </row>
    <row r="79" spans="1:10" s="152" customFormat="1" outlineLevel="1">
      <c r="A79" s="460"/>
      <c r="B79" s="811"/>
      <c r="C79" s="458" t="s">
        <v>409</v>
      </c>
      <c r="D79" s="458">
        <f>LOOKUP($B$78,$B62:$B$76,D62:D76)</f>
        <v>1202.132186602026</v>
      </c>
      <c r="E79" s="458">
        <f>LOOKUP($B$78,$B62:$B$76,E62:E76)</f>
        <v>1271.9596596289778</v>
      </c>
      <c r="F79" s="458">
        <f>LOOKUP($B$78,$B62:$B$76,F62:F76)</f>
        <v>1472.1</v>
      </c>
      <c r="G79" s="458">
        <f>LOOKUP($B$78,$B62:$B$76,G62:G76)</f>
        <v>1616.9056036013974</v>
      </c>
      <c r="H79" s="458">
        <f>LOOKUP($B$78,$B62:$B$76,H62:H76)</f>
        <v>1567.1905568043305</v>
      </c>
      <c r="I79" s="592">
        <f>LOOKUP($B$78,$B62:$B$76,I62:I76)</f>
        <v>7130.2880066367316</v>
      </c>
    </row>
    <row r="80" spans="1:10" s="13" customFormat="1">
      <c r="A80" s="451"/>
    </row>
    <row r="81" spans="1:38" s="13" customFormat="1">
      <c r="A81" s="451"/>
      <c r="B81" s="451" t="s">
        <v>377</v>
      </c>
    </row>
    <row r="82" spans="1:38" s="2" customFormat="1" outlineLevel="1">
      <c r="B82" s="2" t="s">
        <v>368</v>
      </c>
      <c r="C82" s="2" t="s">
        <v>464</v>
      </c>
      <c r="J82" s="2" t="s">
        <v>465</v>
      </c>
      <c r="Q82" s="2" t="s">
        <v>369</v>
      </c>
      <c r="X82" s="2" t="s">
        <v>372</v>
      </c>
      <c r="AG82" s="2" t="s">
        <v>466</v>
      </c>
    </row>
    <row r="83" spans="1:38" outlineLevel="1">
      <c r="B83" s="2"/>
      <c r="C83" t="s">
        <v>297</v>
      </c>
      <c r="D83" t="s">
        <v>339</v>
      </c>
      <c r="E83" t="s">
        <v>340</v>
      </c>
      <c r="F83" t="s">
        <v>305</v>
      </c>
      <c r="G83" t="s">
        <v>330</v>
      </c>
      <c r="H83" t="s">
        <v>376</v>
      </c>
      <c r="J83" t="s">
        <v>297</v>
      </c>
      <c r="K83" t="s">
        <v>339</v>
      </c>
      <c r="L83" t="s">
        <v>340</v>
      </c>
      <c r="M83" t="s">
        <v>305</v>
      </c>
      <c r="N83" t="s">
        <v>330</v>
      </c>
      <c r="O83" t="s">
        <v>376</v>
      </c>
      <c r="Q83" t="s">
        <v>297</v>
      </c>
      <c r="R83" t="s">
        <v>339</v>
      </c>
      <c r="S83" t="s">
        <v>340</v>
      </c>
      <c r="T83" t="s">
        <v>305</v>
      </c>
      <c r="U83" t="s">
        <v>330</v>
      </c>
      <c r="V83" t="s">
        <v>376</v>
      </c>
      <c r="X83" t="s">
        <v>297</v>
      </c>
      <c r="Y83" t="s">
        <v>339</v>
      </c>
      <c r="Z83" t="s">
        <v>340</v>
      </c>
      <c r="AA83" t="s">
        <v>305</v>
      </c>
      <c r="AB83" t="s">
        <v>330</v>
      </c>
      <c r="AC83" t="s">
        <v>376</v>
      </c>
      <c r="AG83" t="s">
        <v>297</v>
      </c>
      <c r="AH83" t="s">
        <v>339</v>
      </c>
      <c r="AI83" t="s">
        <v>340</v>
      </c>
      <c r="AJ83" t="s">
        <v>305</v>
      </c>
      <c r="AK83" t="s">
        <v>330</v>
      </c>
      <c r="AL83" t="s">
        <v>376</v>
      </c>
    </row>
    <row r="84" spans="1:38" s="494" customFormat="1" outlineLevel="1">
      <c r="B84" s="494" t="str">
        <f>Inputs!B11</f>
        <v>CN West</v>
      </c>
      <c r="C84" s="494">
        <v>0.2</v>
      </c>
      <c r="D84" s="494">
        <v>0.3</v>
      </c>
      <c r="E84" s="494">
        <v>2.7</v>
      </c>
      <c r="F84" s="494">
        <v>3</v>
      </c>
      <c r="G84" s="494">
        <v>3.4</v>
      </c>
      <c r="H84" s="494">
        <f>SUM(C84:G84)</f>
        <v>9.6</v>
      </c>
      <c r="J84" s="563">
        <f>C84*(Inputs!$H$7/Inputs!$C$7)</f>
        <v>0.23501039337077578</v>
      </c>
      <c r="K84" s="563">
        <f>D84*(Inputs!$H$7/Inputs!$C$7)</f>
        <v>0.35251559005616362</v>
      </c>
      <c r="L84" s="563">
        <f>E84*(Inputs!$H$7/Inputs!$C$7)</f>
        <v>3.1726403105054728</v>
      </c>
      <c r="M84" s="563">
        <f>F84*(Inputs!$H$7/Inputs!$C$7)</f>
        <v>3.5251559005616366</v>
      </c>
      <c r="N84" s="563">
        <f>G84*(Inputs!$H$7/Inputs!$C$7)</f>
        <v>3.995176687303188</v>
      </c>
      <c r="O84" s="563">
        <f>SUM(J84:N84)</f>
        <v>11.280498881797236</v>
      </c>
      <c r="P84" s="563"/>
      <c r="Q84" s="563">
        <v>49.2</v>
      </c>
      <c r="R84" s="563">
        <v>47.8</v>
      </c>
      <c r="S84" s="563">
        <v>46.4</v>
      </c>
      <c r="T84" s="563">
        <v>45</v>
      </c>
      <c r="U84" s="563">
        <v>44.4</v>
      </c>
      <c r="V84" s="563">
        <f t="shared" ref="V84:V97" si="48">SUM(Q84:U84)</f>
        <v>232.8</v>
      </c>
      <c r="X84" s="563">
        <f>Q84*(Inputs!$H$7/Inputs!$C$7)</f>
        <v>57.812556769210843</v>
      </c>
      <c r="Y84" s="563">
        <f>R84*(Inputs!$H$7/Inputs!$C$7)</f>
        <v>56.1674840156154</v>
      </c>
      <c r="Z84" s="563">
        <f>S84*(Inputs!$H$7/Inputs!$C$7)</f>
        <v>54.522411262019972</v>
      </c>
      <c r="AA84" s="563">
        <f>T84*(Inputs!$H$7/Inputs!$C$7)</f>
        <v>52.877338508424543</v>
      </c>
      <c r="AB84" s="563">
        <f>U84*(Inputs!$H$7/Inputs!$C$7)</f>
        <v>52.172307328312215</v>
      </c>
      <c r="AC84" s="563">
        <f>SUM(X84:AB84)</f>
        <v>273.55209788358297</v>
      </c>
      <c r="AG84" s="563">
        <f t="shared" ref="AG84:AG97" si="49">J84+X84</f>
        <v>58.047567162581622</v>
      </c>
      <c r="AH84" s="563">
        <f t="shared" ref="AH84:AH97" si="50">K84+Y84</f>
        <v>56.519999605671565</v>
      </c>
      <c r="AI84" s="563">
        <f t="shared" ref="AI84:AI97" si="51">L84+Z84</f>
        <v>57.695051572525443</v>
      </c>
      <c r="AJ84" s="563">
        <f t="shared" ref="AJ84:AJ97" si="52">M84+AA84</f>
        <v>56.402494408986179</v>
      </c>
      <c r="AK84" s="563">
        <f t="shared" ref="AK84:AK97" si="53">N84+AB84</f>
        <v>56.1674840156154</v>
      </c>
      <c r="AL84" s="563">
        <f>SUM(AG84:AK84)</f>
        <v>284.83259676538023</v>
      </c>
    </row>
    <row r="85" spans="1:38" s="13" customFormat="1" outlineLevel="1">
      <c r="B85" s="13" t="str">
        <f>Inputs!B12</f>
        <v>CN East</v>
      </c>
      <c r="C85" s="13">
        <v>1.4</v>
      </c>
      <c r="D85" s="13">
        <v>0.6</v>
      </c>
      <c r="E85" s="13">
        <v>1.6</v>
      </c>
      <c r="F85" s="13">
        <v>1.8</v>
      </c>
      <c r="G85" s="13">
        <v>2.2000000000000002</v>
      </c>
      <c r="H85" s="13">
        <f t="shared" ref="H85:H97" si="54">SUM(C85:G85)</f>
        <v>7.6000000000000005</v>
      </c>
      <c r="J85" s="565">
        <f>C85*(Inputs!$H$7/Inputs!$C$7)</f>
        <v>1.6450727535954301</v>
      </c>
      <c r="K85" s="565">
        <f>D85*(Inputs!$H$7/Inputs!$C$7)</f>
        <v>0.70503118011232724</v>
      </c>
      <c r="L85" s="565">
        <f>E85*(Inputs!$H$7/Inputs!$C$7)</f>
        <v>1.8800831469662063</v>
      </c>
      <c r="M85" s="565">
        <f>F85*(Inputs!$H$7/Inputs!$C$7)</f>
        <v>2.1150935403369817</v>
      </c>
      <c r="N85" s="565">
        <f>G85*(Inputs!$H$7/Inputs!$C$7)</f>
        <v>2.5851143270785335</v>
      </c>
      <c r="O85" s="565">
        <f t="shared" ref="O85:O98" si="55">SUM(J85:N85)</f>
        <v>8.9303949480894786</v>
      </c>
      <c r="P85" s="565"/>
      <c r="Q85" s="565">
        <v>52.3</v>
      </c>
      <c r="R85" s="565">
        <v>51</v>
      </c>
      <c r="S85" s="565">
        <v>49.7</v>
      </c>
      <c r="T85" s="565">
        <v>48.4</v>
      </c>
      <c r="U85" s="565">
        <v>47.7</v>
      </c>
      <c r="V85" s="565">
        <f t="shared" si="48"/>
        <v>249.10000000000002</v>
      </c>
      <c r="X85" s="565">
        <f>Q85*(Inputs!$H$7/Inputs!$C$7)</f>
        <v>61.455217866457858</v>
      </c>
      <c r="Y85" s="565">
        <f>R85*(Inputs!$H$7/Inputs!$C$7)</f>
        <v>59.927650309547822</v>
      </c>
      <c r="Z85" s="565">
        <f>S85*(Inputs!$H$7/Inputs!$C$7)</f>
        <v>58.400082752637779</v>
      </c>
      <c r="AA85" s="565">
        <f>T85*(Inputs!$H$7/Inputs!$C$7)</f>
        <v>56.872515195727729</v>
      </c>
      <c r="AB85" s="565">
        <f>U85*(Inputs!$H$7/Inputs!$C$7)</f>
        <v>56.049978818930022</v>
      </c>
      <c r="AC85" s="565">
        <f t="shared" ref="AC85:AC98" si="56">SUM(X85:AB85)</f>
        <v>292.70544494330119</v>
      </c>
      <c r="AG85" s="565">
        <f t="shared" si="49"/>
        <v>63.100290620053286</v>
      </c>
      <c r="AH85" s="565">
        <f t="shared" si="50"/>
        <v>60.63268148966015</v>
      </c>
      <c r="AI85" s="565">
        <f t="shared" si="51"/>
        <v>60.280165899603986</v>
      </c>
      <c r="AJ85" s="565">
        <f t="shared" si="52"/>
        <v>58.987608736064708</v>
      </c>
      <c r="AK85" s="565">
        <f t="shared" si="53"/>
        <v>58.635093146008558</v>
      </c>
      <c r="AL85" s="565">
        <f t="shared" ref="AL85:AL97" si="57">SUM(AG85:AK85)</f>
        <v>301.63583989139067</v>
      </c>
    </row>
    <row r="86" spans="1:38" s="13" customFormat="1" outlineLevel="1">
      <c r="B86" s="13" t="str">
        <f>Inputs!B13</f>
        <v>ENWL</v>
      </c>
      <c r="C86" s="13">
        <v>0.1</v>
      </c>
      <c r="D86" s="13">
        <v>0</v>
      </c>
      <c r="E86" s="13">
        <v>1.4</v>
      </c>
      <c r="F86" s="13">
        <v>1.4</v>
      </c>
      <c r="G86" s="13">
        <v>1</v>
      </c>
      <c r="H86" s="13">
        <f t="shared" si="54"/>
        <v>3.9</v>
      </c>
      <c r="J86" s="565">
        <f>C86*(Inputs!$H$7/Inputs!$C$7)</f>
        <v>0.11750519668538789</v>
      </c>
      <c r="K86" s="565">
        <f>D86*(Inputs!$H$7/Inputs!$C$7)</f>
        <v>0</v>
      </c>
      <c r="L86" s="565">
        <f>E86*(Inputs!$H$7/Inputs!$C$7)</f>
        <v>1.6450727535954301</v>
      </c>
      <c r="M86" s="565">
        <f>F86*(Inputs!$H$7/Inputs!$C$7)</f>
        <v>1.6450727535954301</v>
      </c>
      <c r="N86" s="565">
        <f>G86*(Inputs!$H$7/Inputs!$C$7)</f>
        <v>1.1750519668538788</v>
      </c>
      <c r="O86" s="565">
        <f t="shared" si="55"/>
        <v>4.5827026707301268</v>
      </c>
      <c r="P86" s="565"/>
      <c r="Q86" s="565">
        <v>47.7</v>
      </c>
      <c r="R86" s="565">
        <v>46.2</v>
      </c>
      <c r="S86" s="565">
        <v>46.1</v>
      </c>
      <c r="T86" s="565">
        <v>44.7</v>
      </c>
      <c r="U86" s="565">
        <v>42.8</v>
      </c>
      <c r="V86" s="565">
        <f t="shared" si="48"/>
        <v>227.5</v>
      </c>
      <c r="X86" s="565">
        <f>Q86*(Inputs!$H$7/Inputs!$C$7)</f>
        <v>56.049978818930022</v>
      </c>
      <c r="Y86" s="565">
        <f>R86*(Inputs!$H$7/Inputs!$C$7)</f>
        <v>54.287400868649208</v>
      </c>
      <c r="Z86" s="565">
        <f>S86*(Inputs!$H$7/Inputs!$C$7)</f>
        <v>54.169895671963815</v>
      </c>
      <c r="AA86" s="565">
        <f>T86*(Inputs!$H$7/Inputs!$C$7)</f>
        <v>52.524822918368386</v>
      </c>
      <c r="AB86" s="565">
        <f>U86*(Inputs!$H$7/Inputs!$C$7)</f>
        <v>50.292224181346008</v>
      </c>
      <c r="AC86" s="565">
        <f t="shared" si="56"/>
        <v>267.32432245925742</v>
      </c>
      <c r="AG86" s="565">
        <f t="shared" si="49"/>
        <v>56.167484015615408</v>
      </c>
      <c r="AH86" s="565">
        <f t="shared" si="50"/>
        <v>54.287400868649208</v>
      </c>
      <c r="AI86" s="565">
        <f t="shared" si="51"/>
        <v>55.814968425559243</v>
      </c>
      <c r="AJ86" s="565">
        <f t="shared" si="52"/>
        <v>54.169895671963815</v>
      </c>
      <c r="AK86" s="565">
        <f t="shared" si="53"/>
        <v>51.467276148199886</v>
      </c>
      <c r="AL86" s="565">
        <f t="shared" si="57"/>
        <v>271.90702512998757</v>
      </c>
    </row>
    <row r="87" spans="1:38" s="13" customFormat="1" outlineLevel="1">
      <c r="B87" s="13" t="str">
        <f>Inputs!B14</f>
        <v>CE NEDL</v>
      </c>
      <c r="C87" s="13">
        <v>1.3</v>
      </c>
      <c r="D87" s="13">
        <v>1.8</v>
      </c>
      <c r="E87" s="13">
        <v>1.6</v>
      </c>
      <c r="F87" s="13">
        <v>1.4</v>
      </c>
      <c r="G87" s="13">
        <v>1.3</v>
      </c>
      <c r="H87" s="13">
        <f t="shared" si="54"/>
        <v>7.3999999999999995</v>
      </c>
      <c r="J87" s="565">
        <f>C87*(Inputs!$H$7/Inputs!$C$7)</f>
        <v>1.5275675569100424</v>
      </c>
      <c r="K87" s="565">
        <f>D87*(Inputs!$H$7/Inputs!$C$7)</f>
        <v>2.1150935403369817</v>
      </c>
      <c r="L87" s="565">
        <f>E87*(Inputs!$H$7/Inputs!$C$7)</f>
        <v>1.8800831469662063</v>
      </c>
      <c r="M87" s="565">
        <f>F87*(Inputs!$H$7/Inputs!$C$7)</f>
        <v>1.6450727535954301</v>
      </c>
      <c r="N87" s="565">
        <f>G87*(Inputs!$H$7/Inputs!$C$7)</f>
        <v>1.5275675569100424</v>
      </c>
      <c r="O87" s="565">
        <f t="shared" si="55"/>
        <v>8.6953845547187036</v>
      </c>
      <c r="P87" s="565"/>
      <c r="Q87" s="565">
        <v>34.700000000000003</v>
      </c>
      <c r="R87" s="565">
        <v>34.6</v>
      </c>
      <c r="S87" s="565">
        <v>34</v>
      </c>
      <c r="T87" s="565">
        <v>33.299999999999997</v>
      </c>
      <c r="U87" s="565">
        <v>32.799999999999997</v>
      </c>
      <c r="V87" s="565">
        <f t="shared" si="48"/>
        <v>169.40000000000003</v>
      </c>
      <c r="X87" s="565">
        <f>Q87*(Inputs!$H$7/Inputs!$C$7)</f>
        <v>40.7743032498296</v>
      </c>
      <c r="Y87" s="565">
        <f>R87*(Inputs!$H$7/Inputs!$C$7)</f>
        <v>40.656798053144207</v>
      </c>
      <c r="Z87" s="565">
        <f>S87*(Inputs!$H$7/Inputs!$C$7)</f>
        <v>39.951766873031879</v>
      </c>
      <c r="AA87" s="565">
        <f>T87*(Inputs!$H$7/Inputs!$C$7)</f>
        <v>39.129230496234157</v>
      </c>
      <c r="AB87" s="565">
        <f>U87*(Inputs!$H$7/Inputs!$C$7)</f>
        <v>38.541704512807222</v>
      </c>
      <c r="AC87" s="565">
        <f t="shared" si="56"/>
        <v>199.05380318504709</v>
      </c>
      <c r="AG87" s="565">
        <f t="shared" si="49"/>
        <v>42.301870806739643</v>
      </c>
      <c r="AH87" s="565">
        <f t="shared" si="50"/>
        <v>42.771891593481186</v>
      </c>
      <c r="AI87" s="565">
        <f t="shared" si="51"/>
        <v>41.831850019998086</v>
      </c>
      <c r="AJ87" s="565">
        <f t="shared" si="52"/>
        <v>40.774303249829586</v>
      </c>
      <c r="AK87" s="565">
        <f t="shared" si="53"/>
        <v>40.069272069717265</v>
      </c>
      <c r="AL87" s="565">
        <f t="shared" si="57"/>
        <v>207.74918773976577</v>
      </c>
    </row>
    <row r="88" spans="1:38" s="13" customFormat="1" outlineLevel="1">
      <c r="B88" s="13" t="str">
        <f>Inputs!B15</f>
        <v>CE YEDL</v>
      </c>
      <c r="C88" s="13">
        <v>2.9</v>
      </c>
      <c r="D88" s="13">
        <v>3.9</v>
      </c>
      <c r="E88" s="13">
        <v>3.3</v>
      </c>
      <c r="F88" s="13">
        <v>2.7</v>
      </c>
      <c r="G88" s="13">
        <v>3.4</v>
      </c>
      <c r="H88" s="13">
        <f t="shared" si="54"/>
        <v>16.2</v>
      </c>
      <c r="J88" s="565">
        <f>C88*(Inputs!$H$7/Inputs!$C$7)</f>
        <v>3.4076507038762482</v>
      </c>
      <c r="K88" s="565">
        <f>D88*(Inputs!$H$7/Inputs!$C$7)</f>
        <v>4.5827026707301268</v>
      </c>
      <c r="L88" s="565">
        <f>E88*(Inputs!$H$7/Inputs!$C$7)</f>
        <v>3.8776714906178</v>
      </c>
      <c r="M88" s="565">
        <f>F88*(Inputs!$H$7/Inputs!$C$7)</f>
        <v>3.1726403105054728</v>
      </c>
      <c r="N88" s="565">
        <f>G88*(Inputs!$H$7/Inputs!$C$7)</f>
        <v>3.995176687303188</v>
      </c>
      <c r="O88" s="565">
        <f t="shared" si="55"/>
        <v>19.035841863032836</v>
      </c>
      <c r="P88" s="565"/>
      <c r="Q88" s="565">
        <v>42.9</v>
      </c>
      <c r="R88" s="565">
        <v>43.1</v>
      </c>
      <c r="S88" s="565">
        <v>42.5</v>
      </c>
      <c r="T88" s="565">
        <v>42</v>
      </c>
      <c r="U88" s="565">
        <v>41.5</v>
      </c>
      <c r="V88" s="565">
        <f t="shared" si="48"/>
        <v>212</v>
      </c>
      <c r="X88" s="565">
        <f>Q88*(Inputs!$H$7/Inputs!$C$7)</f>
        <v>50.4097293780314</v>
      </c>
      <c r="Y88" s="565">
        <f>R88*(Inputs!$H$7/Inputs!$C$7)</f>
        <v>50.644739771402179</v>
      </c>
      <c r="Z88" s="565">
        <f>S88*(Inputs!$H$7/Inputs!$C$7)</f>
        <v>49.93970859128985</v>
      </c>
      <c r="AA88" s="565">
        <f>T88*(Inputs!$H$7/Inputs!$C$7)</f>
        <v>49.352182607862908</v>
      </c>
      <c r="AB88" s="565">
        <f>U88*(Inputs!$H$7/Inputs!$C$7)</f>
        <v>48.764656624435972</v>
      </c>
      <c r="AC88" s="565">
        <f t="shared" si="56"/>
        <v>249.11101697302229</v>
      </c>
      <c r="AG88" s="565">
        <f t="shared" si="49"/>
        <v>53.81738008190765</v>
      </c>
      <c r="AH88" s="565">
        <f t="shared" si="50"/>
        <v>55.227442442132308</v>
      </c>
      <c r="AI88" s="565">
        <f t="shared" si="51"/>
        <v>53.81738008190765</v>
      </c>
      <c r="AJ88" s="565">
        <f t="shared" si="52"/>
        <v>52.524822918368379</v>
      </c>
      <c r="AK88" s="565">
        <f t="shared" si="53"/>
        <v>52.759833311739158</v>
      </c>
      <c r="AL88" s="565">
        <f t="shared" si="57"/>
        <v>268.14685883605512</v>
      </c>
    </row>
    <row r="89" spans="1:38" s="13" customFormat="1" outlineLevel="1">
      <c r="B89" s="13" t="str">
        <f>Inputs!B16</f>
        <v>WPD S Wales</v>
      </c>
      <c r="C89" s="13">
        <v>0</v>
      </c>
      <c r="D89" s="13">
        <v>0</v>
      </c>
      <c r="E89" s="13">
        <v>0.1</v>
      </c>
      <c r="F89" s="13">
        <v>0</v>
      </c>
      <c r="G89" s="13">
        <v>0</v>
      </c>
      <c r="H89" s="13">
        <f t="shared" si="54"/>
        <v>0.1</v>
      </c>
      <c r="J89" s="565">
        <f>C89*(Inputs!$H$7/Inputs!$C$7)</f>
        <v>0</v>
      </c>
      <c r="K89" s="565">
        <f>D89*(Inputs!$H$7/Inputs!$C$7)</f>
        <v>0</v>
      </c>
      <c r="L89" s="565">
        <f>E89*(Inputs!$H$7/Inputs!$C$7)</f>
        <v>0.11750519668538789</v>
      </c>
      <c r="M89" s="565">
        <f>F89*(Inputs!$H$7/Inputs!$C$7)</f>
        <v>0</v>
      </c>
      <c r="N89" s="565">
        <f>G89*(Inputs!$H$7/Inputs!$C$7)</f>
        <v>0</v>
      </c>
      <c r="O89" s="565">
        <f t="shared" si="55"/>
        <v>0.11750519668538789</v>
      </c>
      <c r="P89" s="565"/>
      <c r="Q89" s="565">
        <v>31.2</v>
      </c>
      <c r="R89" s="565">
        <v>30.9</v>
      </c>
      <c r="S89" s="565">
        <v>30.5</v>
      </c>
      <c r="T89" s="565">
        <v>29.9</v>
      </c>
      <c r="U89" s="565">
        <v>29.5</v>
      </c>
      <c r="V89" s="565">
        <f t="shared" si="48"/>
        <v>152</v>
      </c>
      <c r="X89" s="565">
        <f>Q89*(Inputs!$H$7/Inputs!$C$7)</f>
        <v>36.661621365841015</v>
      </c>
      <c r="Y89" s="565">
        <f>R89*(Inputs!$H$7/Inputs!$C$7)</f>
        <v>36.30910577578485</v>
      </c>
      <c r="Z89" s="565">
        <f>S89*(Inputs!$H$7/Inputs!$C$7)</f>
        <v>35.8390849890433</v>
      </c>
      <c r="AA89" s="565">
        <f>T89*(Inputs!$H$7/Inputs!$C$7)</f>
        <v>35.134053808930972</v>
      </c>
      <c r="AB89" s="565">
        <f>U89*(Inputs!$H$7/Inputs!$C$7)</f>
        <v>34.664033022189422</v>
      </c>
      <c r="AC89" s="565">
        <f t="shared" si="56"/>
        <v>178.60789896178954</v>
      </c>
      <c r="AG89" s="565">
        <f t="shared" si="49"/>
        <v>36.661621365841015</v>
      </c>
      <c r="AH89" s="565">
        <f t="shared" si="50"/>
        <v>36.30910577578485</v>
      </c>
      <c r="AI89" s="565">
        <f t="shared" si="51"/>
        <v>35.956590185728686</v>
      </c>
      <c r="AJ89" s="565">
        <f t="shared" si="52"/>
        <v>35.134053808930972</v>
      </c>
      <c r="AK89" s="565">
        <f t="shared" si="53"/>
        <v>34.664033022189422</v>
      </c>
      <c r="AL89" s="565">
        <f t="shared" si="57"/>
        <v>178.72540415847493</v>
      </c>
    </row>
    <row r="90" spans="1:38" s="13" customFormat="1" outlineLevel="1">
      <c r="B90" s="13" t="str">
        <f>Inputs!B17</f>
        <v>WPD S West</v>
      </c>
      <c r="C90" s="13">
        <v>-0.5</v>
      </c>
      <c r="D90" s="13">
        <v>-0.2</v>
      </c>
      <c r="E90" s="13">
        <v>0.1</v>
      </c>
      <c r="F90" s="13">
        <v>2</v>
      </c>
      <c r="G90" s="13">
        <v>1.9</v>
      </c>
      <c r="H90" s="13">
        <f t="shared" si="54"/>
        <v>3.3</v>
      </c>
      <c r="J90" s="565">
        <f>C90*(Inputs!$H$7/Inputs!$C$7)</f>
        <v>-0.5875259834269394</v>
      </c>
      <c r="K90" s="565">
        <f>D90*(Inputs!$H$7/Inputs!$C$7)</f>
        <v>-0.23501039337077578</v>
      </c>
      <c r="L90" s="565">
        <f>E90*(Inputs!$H$7/Inputs!$C$7)</f>
        <v>0.11750519668538789</v>
      </c>
      <c r="M90" s="565">
        <f>F90*(Inputs!$H$7/Inputs!$C$7)</f>
        <v>2.3501039337077576</v>
      </c>
      <c r="N90" s="565">
        <f>G90*(Inputs!$H$7/Inputs!$C$7)</f>
        <v>2.2325987370223697</v>
      </c>
      <c r="O90" s="565">
        <f t="shared" si="55"/>
        <v>3.8776714906178</v>
      </c>
      <c r="P90" s="565"/>
      <c r="Q90" s="565">
        <v>36.9</v>
      </c>
      <c r="R90" s="565">
        <v>36.700000000000003</v>
      </c>
      <c r="S90" s="565">
        <v>36.1</v>
      </c>
      <c r="T90" s="565">
        <v>36.799999999999997</v>
      </c>
      <c r="U90" s="565">
        <v>35.1</v>
      </c>
      <c r="V90" s="565">
        <f t="shared" si="48"/>
        <v>181.6</v>
      </c>
      <c r="X90" s="565">
        <f>Q90*(Inputs!$H$7/Inputs!$C$7)</f>
        <v>43.359417576908129</v>
      </c>
      <c r="Y90" s="565">
        <f>R90*(Inputs!$H$7/Inputs!$C$7)</f>
        <v>43.124407183537357</v>
      </c>
      <c r="Z90" s="565">
        <f>S90*(Inputs!$H$7/Inputs!$C$7)</f>
        <v>42.419376003425029</v>
      </c>
      <c r="AA90" s="565">
        <f>T90*(Inputs!$H$7/Inputs!$C$7)</f>
        <v>43.241912380222736</v>
      </c>
      <c r="AB90" s="565">
        <f>U90*(Inputs!$H$7/Inputs!$C$7)</f>
        <v>41.24432403657115</v>
      </c>
      <c r="AC90" s="565">
        <f t="shared" si="56"/>
        <v>213.38943718066443</v>
      </c>
      <c r="AG90" s="565">
        <f t="shared" si="49"/>
        <v>42.771891593481186</v>
      </c>
      <c r="AH90" s="565">
        <f t="shared" si="50"/>
        <v>42.889396790166579</v>
      </c>
      <c r="AI90" s="565">
        <f t="shared" si="51"/>
        <v>42.536881200110415</v>
      </c>
      <c r="AJ90" s="565">
        <f t="shared" si="52"/>
        <v>45.592016313930493</v>
      </c>
      <c r="AK90" s="565">
        <f t="shared" si="53"/>
        <v>43.476922773593522</v>
      </c>
      <c r="AL90" s="565">
        <f t="shared" si="57"/>
        <v>217.26710867128216</v>
      </c>
    </row>
    <row r="91" spans="1:38" s="13" customFormat="1" outlineLevel="1">
      <c r="B91" s="13" t="str">
        <f>Inputs!B18</f>
        <v>UKPN LPN</v>
      </c>
      <c r="C91" s="13">
        <v>0</v>
      </c>
      <c r="D91" s="13">
        <v>0</v>
      </c>
      <c r="E91" s="13">
        <v>0</v>
      </c>
      <c r="F91" s="13">
        <v>0</v>
      </c>
      <c r="G91" s="13">
        <v>0</v>
      </c>
      <c r="H91" s="13">
        <f t="shared" si="54"/>
        <v>0</v>
      </c>
      <c r="J91" s="565">
        <f>C91*(Inputs!$H$7/Inputs!$C$7)</f>
        <v>0</v>
      </c>
      <c r="K91" s="565">
        <f>D91*(Inputs!$H$7/Inputs!$C$7)</f>
        <v>0</v>
      </c>
      <c r="L91" s="565">
        <f>E91*(Inputs!$H$7/Inputs!$C$7)</f>
        <v>0</v>
      </c>
      <c r="M91" s="565">
        <f>F91*(Inputs!$H$7/Inputs!$C$7)</f>
        <v>0</v>
      </c>
      <c r="N91" s="565">
        <f>G91*(Inputs!$H$7/Inputs!$C$7)</f>
        <v>0</v>
      </c>
      <c r="O91" s="565">
        <f t="shared" si="55"/>
        <v>0</v>
      </c>
      <c r="P91" s="565"/>
      <c r="Q91" s="565">
        <v>41</v>
      </c>
      <c r="R91" s="565">
        <v>40.4</v>
      </c>
      <c r="S91" s="565">
        <v>39.799999999999997</v>
      </c>
      <c r="T91" s="565">
        <v>39.200000000000003</v>
      </c>
      <c r="U91" s="565">
        <v>38.6</v>
      </c>
      <c r="V91" s="565">
        <f t="shared" si="48"/>
        <v>199</v>
      </c>
      <c r="X91" s="565">
        <f>Q91*(Inputs!$H$7/Inputs!$C$7)</f>
        <v>48.177130641009029</v>
      </c>
      <c r="Y91" s="565">
        <f>R91*(Inputs!$H$7/Inputs!$C$7)</f>
        <v>47.4720994608967</v>
      </c>
      <c r="Z91" s="565">
        <f>S91*(Inputs!$H$7/Inputs!$C$7)</f>
        <v>46.767068280784372</v>
      </c>
      <c r="AA91" s="565">
        <f>T91*(Inputs!$H$7/Inputs!$C$7)</f>
        <v>46.06203710067205</v>
      </c>
      <c r="AB91" s="565">
        <f>U91*(Inputs!$H$7/Inputs!$C$7)</f>
        <v>45.357005920559722</v>
      </c>
      <c r="AC91" s="565">
        <f t="shared" si="56"/>
        <v>233.83534140392189</v>
      </c>
      <c r="AG91" s="565">
        <f t="shared" si="49"/>
        <v>48.177130641009029</v>
      </c>
      <c r="AH91" s="565">
        <f t="shared" si="50"/>
        <v>47.4720994608967</v>
      </c>
      <c r="AI91" s="565">
        <f t="shared" si="51"/>
        <v>46.767068280784372</v>
      </c>
      <c r="AJ91" s="565">
        <f t="shared" si="52"/>
        <v>46.06203710067205</v>
      </c>
      <c r="AK91" s="565">
        <f t="shared" si="53"/>
        <v>45.357005920559722</v>
      </c>
      <c r="AL91" s="565">
        <f t="shared" si="57"/>
        <v>233.83534140392189</v>
      </c>
    </row>
    <row r="92" spans="1:38" s="13" customFormat="1" outlineLevel="1">
      <c r="B92" s="13" t="str">
        <f>Inputs!B19</f>
        <v>UKPN SEPN</v>
      </c>
      <c r="C92" s="13">
        <v>0</v>
      </c>
      <c r="D92" s="13">
        <v>0</v>
      </c>
      <c r="E92" s="13">
        <v>0.1</v>
      </c>
      <c r="F92" s="13">
        <v>2.4</v>
      </c>
      <c r="G92" s="13">
        <v>3.3</v>
      </c>
      <c r="H92" s="13">
        <f t="shared" si="54"/>
        <v>5.8</v>
      </c>
      <c r="J92" s="565">
        <f>C92*(Inputs!$H$7/Inputs!$C$7)</f>
        <v>0</v>
      </c>
      <c r="K92" s="565">
        <f>D92*(Inputs!$H$7/Inputs!$C$7)</f>
        <v>0</v>
      </c>
      <c r="L92" s="565">
        <f>E92*(Inputs!$H$7/Inputs!$C$7)</f>
        <v>0.11750519668538789</v>
      </c>
      <c r="M92" s="565">
        <f>F92*(Inputs!$H$7/Inputs!$C$7)</f>
        <v>2.820124720449309</v>
      </c>
      <c r="N92" s="565">
        <f>G92*(Inputs!$H$7/Inputs!$C$7)</f>
        <v>3.8776714906178</v>
      </c>
      <c r="O92" s="565">
        <f t="shared" si="55"/>
        <v>6.8153014077524965</v>
      </c>
      <c r="P92" s="565"/>
      <c r="Q92" s="565">
        <v>43.6</v>
      </c>
      <c r="R92" s="565">
        <v>40.9</v>
      </c>
      <c r="S92" s="565">
        <v>38.1</v>
      </c>
      <c r="T92" s="565">
        <v>37.6</v>
      </c>
      <c r="U92" s="565">
        <v>37.1</v>
      </c>
      <c r="V92" s="565">
        <f t="shared" si="48"/>
        <v>197.29999999999998</v>
      </c>
      <c r="X92" s="565">
        <f>Q92*(Inputs!$H$7/Inputs!$C$7)</f>
        <v>51.232265754829115</v>
      </c>
      <c r="Y92" s="565">
        <f>R92*(Inputs!$H$7/Inputs!$C$7)</f>
        <v>48.059625444323643</v>
      </c>
      <c r="Z92" s="565">
        <f>S92*(Inputs!$H$7/Inputs!$C$7)</f>
        <v>44.769479937132786</v>
      </c>
      <c r="AA92" s="565">
        <f>T92*(Inputs!$H$7/Inputs!$C$7)</f>
        <v>44.181953953705843</v>
      </c>
      <c r="AB92" s="565">
        <f>U92*(Inputs!$H$7/Inputs!$C$7)</f>
        <v>43.594427970278907</v>
      </c>
      <c r="AC92" s="565">
        <f t="shared" si="56"/>
        <v>231.8377530602703</v>
      </c>
      <c r="AG92" s="565">
        <f t="shared" si="49"/>
        <v>51.232265754829115</v>
      </c>
      <c r="AH92" s="565">
        <f t="shared" si="50"/>
        <v>48.059625444323643</v>
      </c>
      <c r="AI92" s="565">
        <f t="shared" si="51"/>
        <v>44.886985133818172</v>
      </c>
      <c r="AJ92" s="565">
        <f t="shared" si="52"/>
        <v>47.00207867415515</v>
      </c>
      <c r="AK92" s="565">
        <f t="shared" si="53"/>
        <v>47.472099460896708</v>
      </c>
      <c r="AL92" s="565">
        <f t="shared" si="57"/>
        <v>238.65305446802279</v>
      </c>
    </row>
    <row r="93" spans="1:38" s="13" customFormat="1" outlineLevel="1">
      <c r="B93" s="13" t="str">
        <f>Inputs!B20</f>
        <v>UKPN EPN</v>
      </c>
      <c r="C93" s="13">
        <v>0</v>
      </c>
      <c r="D93" s="13">
        <v>0.1</v>
      </c>
      <c r="E93" s="13">
        <v>0.1</v>
      </c>
      <c r="F93" s="13">
        <v>0.9</v>
      </c>
      <c r="G93" s="13">
        <v>5.3</v>
      </c>
      <c r="H93" s="13">
        <f t="shared" si="54"/>
        <v>6.4</v>
      </c>
      <c r="J93" s="565">
        <f>C93*(Inputs!$H$7/Inputs!$C$7)</f>
        <v>0</v>
      </c>
      <c r="K93" s="565">
        <f>D93*(Inputs!$H$7/Inputs!$C$7)</f>
        <v>0.11750519668538789</v>
      </c>
      <c r="L93" s="565">
        <f>E93*(Inputs!$H$7/Inputs!$C$7)</f>
        <v>0.11750519668538789</v>
      </c>
      <c r="M93" s="565">
        <f>F93*(Inputs!$H$7/Inputs!$C$7)</f>
        <v>1.0575467701684909</v>
      </c>
      <c r="N93" s="565">
        <f>G93*(Inputs!$H$7/Inputs!$C$7)</f>
        <v>6.2277754243255572</v>
      </c>
      <c r="O93" s="565">
        <f t="shared" si="55"/>
        <v>7.5203325878648233</v>
      </c>
      <c r="P93" s="565"/>
      <c r="Q93" s="565">
        <v>64.099999999999994</v>
      </c>
      <c r="R93" s="565">
        <v>63.3</v>
      </c>
      <c r="S93" s="565">
        <v>62.4</v>
      </c>
      <c r="T93" s="565">
        <v>61.6</v>
      </c>
      <c r="U93" s="565">
        <v>60.8</v>
      </c>
      <c r="V93" s="565">
        <f t="shared" si="48"/>
        <v>312.2</v>
      </c>
      <c r="X93" s="565">
        <f>Q93*(Inputs!$H$7/Inputs!$C$7)</f>
        <v>75.320831075333629</v>
      </c>
      <c r="Y93" s="565">
        <f>R93*(Inputs!$H$7/Inputs!$C$7)</f>
        <v>74.380789501850529</v>
      </c>
      <c r="Z93" s="565">
        <f>S93*(Inputs!$H$7/Inputs!$C$7)</f>
        <v>73.323242731682029</v>
      </c>
      <c r="AA93" s="565">
        <f>T93*(Inputs!$H$7/Inputs!$C$7)</f>
        <v>72.383201158198929</v>
      </c>
      <c r="AB93" s="565">
        <f>U93*(Inputs!$H$7/Inputs!$C$7)</f>
        <v>71.443159584715829</v>
      </c>
      <c r="AC93" s="565">
        <f t="shared" si="56"/>
        <v>366.85122405178095</v>
      </c>
      <c r="AG93" s="565">
        <f t="shared" si="49"/>
        <v>75.320831075333629</v>
      </c>
      <c r="AH93" s="565">
        <f t="shared" si="50"/>
        <v>74.498294698535915</v>
      </c>
      <c r="AI93" s="565">
        <f t="shared" si="51"/>
        <v>73.440747928367415</v>
      </c>
      <c r="AJ93" s="565">
        <f t="shared" si="52"/>
        <v>73.440747928367415</v>
      </c>
      <c r="AK93" s="565">
        <f t="shared" si="53"/>
        <v>77.670935009041386</v>
      </c>
      <c r="AL93" s="565">
        <f t="shared" si="57"/>
        <v>374.37155663964575</v>
      </c>
    </row>
    <row r="94" spans="1:38" s="13" customFormat="1" outlineLevel="1">
      <c r="B94" s="13" t="str">
        <f>Inputs!B21</f>
        <v>SP Distribution</v>
      </c>
      <c r="C94" s="13">
        <v>0.2</v>
      </c>
      <c r="D94" s="13">
        <v>0.2</v>
      </c>
      <c r="E94" s="13">
        <v>0.4</v>
      </c>
      <c r="F94" s="13">
        <v>0.4</v>
      </c>
      <c r="G94" s="13">
        <v>0.4</v>
      </c>
      <c r="H94" s="13">
        <f t="shared" si="54"/>
        <v>1.6</v>
      </c>
      <c r="J94" s="565">
        <f>C94*(Inputs!$H$7/Inputs!$C$7)</f>
        <v>0.23501039337077578</v>
      </c>
      <c r="K94" s="565">
        <f>D94*(Inputs!$H$7/Inputs!$C$7)</f>
        <v>0.23501039337077578</v>
      </c>
      <c r="L94" s="565">
        <f>E94*(Inputs!$H$7/Inputs!$C$7)</f>
        <v>0.47002078674155157</v>
      </c>
      <c r="M94" s="565">
        <f>F94*(Inputs!$H$7/Inputs!$C$7)</f>
        <v>0.47002078674155157</v>
      </c>
      <c r="N94" s="565">
        <f>G94*(Inputs!$H$7/Inputs!$C$7)</f>
        <v>0.47002078674155157</v>
      </c>
      <c r="O94" s="565">
        <f t="shared" si="55"/>
        <v>1.8800831469662063</v>
      </c>
      <c r="P94" s="565"/>
      <c r="Q94" s="565">
        <v>43.7</v>
      </c>
      <c r="R94" s="565">
        <v>43.1</v>
      </c>
      <c r="S94" s="565">
        <v>42.5</v>
      </c>
      <c r="T94" s="565">
        <v>41.9</v>
      </c>
      <c r="U94" s="565">
        <v>41.4</v>
      </c>
      <c r="V94" s="565">
        <f t="shared" si="48"/>
        <v>212.60000000000002</v>
      </c>
      <c r="X94" s="565">
        <f>Q94*(Inputs!$H$7/Inputs!$C$7)</f>
        <v>51.349770951514508</v>
      </c>
      <c r="Y94" s="565">
        <f>R94*(Inputs!$H$7/Inputs!$C$7)</f>
        <v>50.644739771402179</v>
      </c>
      <c r="Z94" s="565">
        <f>S94*(Inputs!$H$7/Inputs!$C$7)</f>
        <v>49.93970859128985</v>
      </c>
      <c r="AA94" s="565">
        <f>T94*(Inputs!$H$7/Inputs!$C$7)</f>
        <v>49.234677411177522</v>
      </c>
      <c r="AB94" s="565">
        <f>U94*(Inputs!$H$7/Inputs!$C$7)</f>
        <v>48.647151427750579</v>
      </c>
      <c r="AC94" s="565">
        <f t="shared" si="56"/>
        <v>249.81604815313463</v>
      </c>
      <c r="AG94" s="565">
        <f t="shared" si="49"/>
        <v>51.584781344885286</v>
      </c>
      <c r="AH94" s="565">
        <f t="shared" si="50"/>
        <v>50.879750164772958</v>
      </c>
      <c r="AI94" s="565">
        <f t="shared" si="51"/>
        <v>50.4097293780314</v>
      </c>
      <c r="AJ94" s="565">
        <f t="shared" si="52"/>
        <v>49.704698197919072</v>
      </c>
      <c r="AK94" s="565">
        <f t="shared" si="53"/>
        <v>49.117172214492129</v>
      </c>
      <c r="AL94" s="565">
        <f t="shared" si="57"/>
        <v>251.69613130010083</v>
      </c>
    </row>
    <row r="95" spans="1:38" s="13" customFormat="1" outlineLevel="1">
      <c r="B95" s="13" t="str">
        <f>Inputs!B22</f>
        <v>SP Manweb</v>
      </c>
      <c r="C95" s="13">
        <v>1.1000000000000001</v>
      </c>
      <c r="D95" s="13">
        <v>0.7</v>
      </c>
      <c r="E95" s="13">
        <v>3.8</v>
      </c>
      <c r="F95" s="13">
        <v>2.7</v>
      </c>
      <c r="G95" s="13">
        <v>4.0999999999999996</v>
      </c>
      <c r="H95" s="13">
        <f t="shared" si="54"/>
        <v>12.4</v>
      </c>
      <c r="J95" s="565">
        <f>C95*(Inputs!$H$7/Inputs!$C$7)</f>
        <v>1.2925571635392668</v>
      </c>
      <c r="K95" s="565">
        <f>D95*(Inputs!$H$7/Inputs!$C$7)</f>
        <v>0.82253637679771507</v>
      </c>
      <c r="L95" s="565">
        <f>E95*(Inputs!$H$7/Inputs!$C$7)</f>
        <v>4.4651974740447393</v>
      </c>
      <c r="M95" s="565">
        <f>F95*(Inputs!$H$7/Inputs!$C$7)</f>
        <v>3.1726403105054728</v>
      </c>
      <c r="N95" s="565">
        <f>G95*(Inputs!$H$7/Inputs!$C$7)</f>
        <v>4.8177130641009027</v>
      </c>
      <c r="O95" s="565">
        <f t="shared" si="55"/>
        <v>14.570644388988097</v>
      </c>
      <c r="P95" s="565"/>
      <c r="Q95" s="565">
        <v>36.299999999999997</v>
      </c>
      <c r="R95" s="565">
        <v>35.9</v>
      </c>
      <c r="S95" s="565">
        <v>35.299999999999997</v>
      </c>
      <c r="T95" s="565">
        <v>34.9</v>
      </c>
      <c r="U95" s="565">
        <v>34.4</v>
      </c>
      <c r="V95" s="565">
        <f t="shared" si="48"/>
        <v>176.79999999999998</v>
      </c>
      <c r="X95" s="565">
        <f>Q95*(Inputs!$H$7/Inputs!$C$7)</f>
        <v>42.6543863967958</v>
      </c>
      <c r="Y95" s="565">
        <f>R95*(Inputs!$H$7/Inputs!$C$7)</f>
        <v>42.18436561005425</v>
      </c>
      <c r="Z95" s="565">
        <f>S95*(Inputs!$H$7/Inputs!$C$7)</f>
        <v>41.479334429941922</v>
      </c>
      <c r="AA95" s="565">
        <f>T95*(Inputs!$H$7/Inputs!$C$7)</f>
        <v>41.009313643200372</v>
      </c>
      <c r="AB95" s="565">
        <f>U95*(Inputs!$H$7/Inputs!$C$7)</f>
        <v>40.421787659773429</v>
      </c>
      <c r="AC95" s="565">
        <f t="shared" si="56"/>
        <v>207.74918773976577</v>
      </c>
      <c r="AG95" s="565">
        <f t="shared" si="49"/>
        <v>43.946943560335065</v>
      </c>
      <c r="AH95" s="565">
        <f t="shared" si="50"/>
        <v>43.006901986851965</v>
      </c>
      <c r="AI95" s="565">
        <f t="shared" si="51"/>
        <v>45.944531903986658</v>
      </c>
      <c r="AJ95" s="565">
        <f t="shared" si="52"/>
        <v>44.181953953705843</v>
      </c>
      <c r="AK95" s="565">
        <f t="shared" si="53"/>
        <v>45.239500723874329</v>
      </c>
      <c r="AL95" s="565">
        <f t="shared" si="57"/>
        <v>222.31983212875386</v>
      </c>
    </row>
    <row r="96" spans="1:38" s="13" customFormat="1" outlineLevel="1">
      <c r="B96" s="13" t="str">
        <f>Inputs!B23</f>
        <v>SSE Hydro</v>
      </c>
      <c r="C96" s="13">
        <v>-0.7</v>
      </c>
      <c r="D96" s="13">
        <v>-0.6</v>
      </c>
      <c r="E96" s="13">
        <v>-0.8</v>
      </c>
      <c r="F96" s="13">
        <v>-0.1</v>
      </c>
      <c r="G96" s="13">
        <v>3.1</v>
      </c>
      <c r="H96" s="13">
        <f t="shared" si="54"/>
        <v>0.90000000000000036</v>
      </c>
      <c r="J96" s="565">
        <f>C96*(Inputs!$H$7/Inputs!$C$7)</f>
        <v>-0.82253637679771507</v>
      </c>
      <c r="K96" s="565">
        <f>D96*(Inputs!$H$7/Inputs!$C$7)</f>
        <v>-0.70503118011232724</v>
      </c>
      <c r="L96" s="565">
        <f>E96*(Inputs!$H$7/Inputs!$C$7)</f>
        <v>-0.94004157348310313</v>
      </c>
      <c r="M96" s="565">
        <f>F96*(Inputs!$H$7/Inputs!$C$7)</f>
        <v>-0.11750519668538789</v>
      </c>
      <c r="N96" s="565">
        <f>G96*(Inputs!$H$7/Inputs!$C$7)</f>
        <v>3.6426610972470246</v>
      </c>
      <c r="O96" s="565">
        <f t="shared" si="55"/>
        <v>1.0575467701684911</v>
      </c>
      <c r="P96" s="565"/>
      <c r="Q96" s="565">
        <v>30.2</v>
      </c>
      <c r="R96" s="565">
        <v>29.3</v>
      </c>
      <c r="S96" s="565">
        <v>28.8</v>
      </c>
      <c r="T96" s="565">
        <v>28.4</v>
      </c>
      <c r="U96" s="565">
        <v>28.1</v>
      </c>
      <c r="V96" s="565">
        <f t="shared" si="48"/>
        <v>144.79999999999998</v>
      </c>
      <c r="X96" s="565">
        <f>Q96*(Inputs!$H$7/Inputs!$C$7)</f>
        <v>35.486569398987136</v>
      </c>
      <c r="Y96" s="565">
        <f>R96*(Inputs!$H$7/Inputs!$C$7)</f>
        <v>34.42902262881865</v>
      </c>
      <c r="Z96" s="565">
        <f>S96*(Inputs!$H$7/Inputs!$C$7)</f>
        <v>33.841496645391707</v>
      </c>
      <c r="AA96" s="565">
        <f>T96*(Inputs!$H$7/Inputs!$C$7)</f>
        <v>33.371475858650157</v>
      </c>
      <c r="AB96" s="565">
        <f>U96*(Inputs!$H$7/Inputs!$C$7)</f>
        <v>33.018960268593993</v>
      </c>
      <c r="AC96" s="565">
        <f t="shared" si="56"/>
        <v>170.14752480044163</v>
      </c>
      <c r="AG96" s="565">
        <f t="shared" si="49"/>
        <v>34.664033022189422</v>
      </c>
      <c r="AH96" s="565">
        <f t="shared" si="50"/>
        <v>33.723991448706322</v>
      </c>
      <c r="AI96" s="565">
        <f t="shared" si="51"/>
        <v>32.901455071908607</v>
      </c>
      <c r="AJ96" s="565">
        <f t="shared" si="52"/>
        <v>33.253970661964772</v>
      </c>
      <c r="AK96" s="565">
        <f t="shared" si="53"/>
        <v>36.661621365841015</v>
      </c>
      <c r="AL96" s="565">
        <f t="shared" si="57"/>
        <v>171.20507157061013</v>
      </c>
    </row>
    <row r="97" spans="2:38" s="13" customFormat="1" outlineLevel="1">
      <c r="B97" s="13" t="str">
        <f>Inputs!B24</f>
        <v>SSE Southern</v>
      </c>
      <c r="C97" s="13">
        <v>-0.7</v>
      </c>
      <c r="D97" s="13">
        <v>-0.8</v>
      </c>
      <c r="E97" s="13">
        <v>0.9</v>
      </c>
      <c r="F97" s="13">
        <v>0.8</v>
      </c>
      <c r="G97" s="13">
        <v>7.1</v>
      </c>
      <c r="H97" s="13">
        <f t="shared" si="54"/>
        <v>7.3</v>
      </c>
      <c r="J97" s="565">
        <f>C97*(Inputs!$H$7/Inputs!$C$7)</f>
        <v>-0.82253637679771507</v>
      </c>
      <c r="K97" s="565">
        <f>D97*(Inputs!$H$7/Inputs!$C$7)</f>
        <v>-0.94004157348310313</v>
      </c>
      <c r="L97" s="565">
        <f>E97*(Inputs!$H$7/Inputs!$C$7)</f>
        <v>1.0575467701684909</v>
      </c>
      <c r="M97" s="565">
        <f>F97*(Inputs!$H$7/Inputs!$C$7)</f>
        <v>0.94004157348310313</v>
      </c>
      <c r="N97" s="565">
        <f>G97*(Inputs!$H$7/Inputs!$C$7)</f>
        <v>8.3428689646625394</v>
      </c>
      <c r="O97" s="565">
        <f t="shared" si="55"/>
        <v>8.5778793580333144</v>
      </c>
      <c r="P97" s="565"/>
      <c r="Q97" s="565">
        <v>54.3</v>
      </c>
      <c r="R97" s="565">
        <v>53.5</v>
      </c>
      <c r="S97" s="565">
        <v>52.8</v>
      </c>
      <c r="T97" s="565">
        <v>52.1</v>
      </c>
      <c r="U97" s="565">
        <v>51.4</v>
      </c>
      <c r="V97" s="565">
        <f t="shared" si="48"/>
        <v>264.09999999999997</v>
      </c>
      <c r="X97" s="565">
        <f>Q97*(Inputs!$H$7/Inputs!$C$7)</f>
        <v>63.805321800165615</v>
      </c>
      <c r="Y97" s="565">
        <f>R97*(Inputs!$H$7/Inputs!$C$7)</f>
        <v>62.865280226682515</v>
      </c>
      <c r="Z97" s="565">
        <f>S97*(Inputs!$H$7/Inputs!$C$7)</f>
        <v>62.042743849884801</v>
      </c>
      <c r="AA97" s="565">
        <f>T97*(Inputs!$H$7/Inputs!$C$7)</f>
        <v>61.220207473087086</v>
      </c>
      <c r="AB97" s="565">
        <f>U97*(Inputs!$H$7/Inputs!$C$7)</f>
        <v>60.397671096289372</v>
      </c>
      <c r="AC97" s="565">
        <f t="shared" si="56"/>
        <v>310.33122444610945</v>
      </c>
      <c r="AG97" s="565">
        <f t="shared" si="49"/>
        <v>62.982785423367901</v>
      </c>
      <c r="AH97" s="565">
        <f t="shared" si="50"/>
        <v>61.925238653199415</v>
      </c>
      <c r="AI97" s="565">
        <f t="shared" si="51"/>
        <v>63.100290620053293</v>
      </c>
      <c r="AJ97" s="565">
        <f t="shared" si="52"/>
        <v>62.160249046570186</v>
      </c>
      <c r="AK97" s="565">
        <f t="shared" si="53"/>
        <v>68.740540060951915</v>
      </c>
      <c r="AL97" s="565">
        <f t="shared" si="57"/>
        <v>318.90910380414272</v>
      </c>
    </row>
    <row r="98" spans="2:38" s="6" customFormat="1" outlineLevel="1">
      <c r="B98" s="6" t="s">
        <v>78</v>
      </c>
      <c r="C98" s="6">
        <f t="shared" ref="C98:H98" si="58">SUM(C84:C97)</f>
        <v>5.3000000000000007</v>
      </c>
      <c r="D98" s="6">
        <f t="shared" si="58"/>
        <v>6</v>
      </c>
      <c r="E98" s="6">
        <f t="shared" si="58"/>
        <v>15.299999999999999</v>
      </c>
      <c r="F98" s="6">
        <f t="shared" si="58"/>
        <v>19.399999999999999</v>
      </c>
      <c r="G98" s="6">
        <f t="shared" si="58"/>
        <v>36.5</v>
      </c>
      <c r="H98" s="6">
        <f t="shared" si="58"/>
        <v>82.5</v>
      </c>
      <c r="J98" s="567">
        <f>SUM(J84:J97)</f>
        <v>6.2277754243255572</v>
      </c>
      <c r="K98" s="567">
        <f t="shared" ref="K98:N98" si="59">SUM(K84:K97)</f>
        <v>7.0503118011232715</v>
      </c>
      <c r="L98" s="567">
        <f t="shared" si="59"/>
        <v>17.978295092864343</v>
      </c>
      <c r="M98" s="567">
        <f t="shared" si="59"/>
        <v>22.796008156965243</v>
      </c>
      <c r="N98" s="567">
        <f t="shared" si="59"/>
        <v>42.889396790166572</v>
      </c>
      <c r="O98" s="567">
        <f t="shared" si="55"/>
        <v>96.941787265444987</v>
      </c>
      <c r="P98" s="567"/>
      <c r="Q98" s="567">
        <f t="shared" ref="Q98:V98" si="60">SUM(Q84:Q97)</f>
        <v>608.1</v>
      </c>
      <c r="R98" s="567">
        <f t="shared" si="60"/>
        <v>596.69999999999993</v>
      </c>
      <c r="S98" s="567">
        <f t="shared" si="60"/>
        <v>585</v>
      </c>
      <c r="T98" s="567">
        <f t="shared" si="60"/>
        <v>575.80000000000007</v>
      </c>
      <c r="U98" s="567">
        <f t="shared" si="60"/>
        <v>565.6</v>
      </c>
      <c r="V98" s="567">
        <f t="shared" si="60"/>
        <v>2931.2000000000003</v>
      </c>
      <c r="X98" s="567">
        <f>SUM(X84:X97)</f>
        <v>714.54910104384373</v>
      </c>
      <c r="Y98" s="567">
        <f t="shared" ref="Y98:AB98" si="61">SUM(Y84:Y97)</f>
        <v>701.15350862170942</v>
      </c>
      <c r="Z98" s="567">
        <f t="shared" si="61"/>
        <v>687.40540060951912</v>
      </c>
      <c r="AA98" s="567">
        <f t="shared" si="61"/>
        <v>676.59492251446329</v>
      </c>
      <c r="AB98" s="567">
        <f t="shared" si="61"/>
        <v>664.60939245255395</v>
      </c>
      <c r="AC98" s="567">
        <f t="shared" si="56"/>
        <v>3444.3123252420892</v>
      </c>
      <c r="AG98" s="567">
        <f t="shared" ref="AG98:AK98" si="62">SUM(AG84:AG97)</f>
        <v>720.77687646816923</v>
      </c>
      <c r="AH98" s="567">
        <f t="shared" si="62"/>
        <v>708.20382042283291</v>
      </c>
      <c r="AI98" s="567">
        <f t="shared" si="62"/>
        <v>705.38369570238353</v>
      </c>
      <c r="AJ98" s="567">
        <f t="shared" si="62"/>
        <v>699.39093067142858</v>
      </c>
      <c r="AK98" s="567">
        <f t="shared" si="62"/>
        <v>707.49878924272048</v>
      </c>
      <c r="AL98" s="567">
        <f>SUM(AL84:AL97)</f>
        <v>3541.254112507534</v>
      </c>
    </row>
    <row r="99" spans="2:38" outlineLevel="1"/>
    <row r="100" spans="2:38" outlineLevel="1"/>
    <row r="101" spans="2:38" s="2" customFormat="1" outlineLevel="1">
      <c r="B101" s="2" t="s">
        <v>370</v>
      </c>
      <c r="C101" s="2" t="s">
        <v>371</v>
      </c>
      <c r="J101" s="2" t="s">
        <v>369</v>
      </c>
      <c r="Q101" s="2" t="s">
        <v>372</v>
      </c>
    </row>
    <row r="102" spans="2:38" outlineLevel="1">
      <c r="C102" t="s">
        <v>297</v>
      </c>
      <c r="D102" t="s">
        <v>339</v>
      </c>
      <c r="E102" t="s">
        <v>340</v>
      </c>
      <c r="F102" t="s">
        <v>305</v>
      </c>
      <c r="G102" t="s">
        <v>330</v>
      </c>
      <c r="H102" t="s">
        <v>376</v>
      </c>
      <c r="J102" t="s">
        <v>297</v>
      </c>
      <c r="K102" t="s">
        <v>339</v>
      </c>
      <c r="L102" t="s">
        <v>340</v>
      </c>
      <c r="M102" t="s">
        <v>305</v>
      </c>
      <c r="N102" t="s">
        <v>330</v>
      </c>
      <c r="O102" t="s">
        <v>376</v>
      </c>
      <c r="Q102" t="s">
        <v>297</v>
      </c>
      <c r="R102" t="s">
        <v>339</v>
      </c>
      <c r="S102" t="s">
        <v>340</v>
      </c>
      <c r="T102" t="s">
        <v>305</v>
      </c>
      <c r="U102" t="s">
        <v>330</v>
      </c>
      <c r="V102" t="s">
        <v>376</v>
      </c>
      <c r="X102" t="s">
        <v>297</v>
      </c>
      <c r="Y102" t="s">
        <v>339</v>
      </c>
      <c r="Z102" t="s">
        <v>340</v>
      </c>
      <c r="AA102" t="s">
        <v>305</v>
      </c>
      <c r="AB102" t="s">
        <v>330</v>
      </c>
      <c r="AC102" t="s">
        <v>376</v>
      </c>
    </row>
    <row r="103" spans="2:38" s="494" customFormat="1" outlineLevel="1">
      <c r="B103" s="494" t="str">
        <f>B84</f>
        <v>CN West</v>
      </c>
      <c r="C103" s="563">
        <v>52.720437090227577</v>
      </c>
      <c r="D103" s="563">
        <v>61.070525505566174</v>
      </c>
      <c r="E103" s="563">
        <v>66.027124678468667</v>
      </c>
      <c r="F103" s="563">
        <v>67.519417111662534</v>
      </c>
      <c r="G103" s="563">
        <v>68.764763823313018</v>
      </c>
      <c r="H103" s="563">
        <f>SUM(C103:G103)</f>
        <v>316.10226820923799</v>
      </c>
      <c r="J103" s="563">
        <f>C103*(Inputs!$C$7/Inputs!F$7)</f>
        <v>48.463861112888097</v>
      </c>
      <c r="K103" s="563">
        <f>D103*(Inputs!$C$7/Inputs!G$7)</f>
        <v>54.119584019562978</v>
      </c>
      <c r="L103" s="563">
        <f>E103*(Inputs!$C$7/Inputs!H$7)</f>
        <v>56.19081244147165</v>
      </c>
      <c r="M103" s="563">
        <f>F103*(Inputs!$C$7/Inputs!I$7)</f>
        <v>55.804358939503203</v>
      </c>
      <c r="N103" s="563">
        <f>G103*(Inputs!$C$7/Inputs!J$7)</f>
        <v>56.574520569053924</v>
      </c>
      <c r="O103" s="563">
        <f t="shared" ref="O103:O117" si="63">SUM(J103:N103)</f>
        <v>271.15313708247987</v>
      </c>
      <c r="Q103" s="563">
        <f>J103*(Inputs!$H$7/Inputs!$C$7)</f>
        <v>56.947555322032372</v>
      </c>
      <c r="R103" s="563">
        <f>K103*(Inputs!$H$7/Inputs!$C$7)</f>
        <v>63.593323647501229</v>
      </c>
      <c r="S103" s="563">
        <f>L103*(Inputs!$H$7/Inputs!$C$7)</f>
        <v>66.027124678468667</v>
      </c>
      <c r="T103" s="563">
        <f>M103*(Inputs!$H$7/Inputs!$C$7)</f>
        <v>65.57302173088307</v>
      </c>
      <c r="U103" s="563">
        <f>N103*(Inputs!$H$7/Inputs!$C$7)</f>
        <v>66.478001668482037</v>
      </c>
      <c r="V103" s="563">
        <f t="shared" ref="V103:V117" si="64">SUM(Q103:U103)</f>
        <v>318.61902704736735</v>
      </c>
      <c r="X103" s="566">
        <f>(Q103/AG84)-1</f>
        <v>-1.8950179901050745E-2</v>
      </c>
      <c r="Y103" s="566">
        <f t="shared" ref="Y103:AC103" si="65">(R103/AH84)-1</f>
        <v>0.12514727691399141</v>
      </c>
      <c r="Z103" s="566">
        <f t="shared" si="65"/>
        <v>0.14441573200553282</v>
      </c>
      <c r="AA103" s="566">
        <f t="shared" si="65"/>
        <v>0.16259081123965013</v>
      </c>
      <c r="AB103" s="566">
        <f t="shared" si="65"/>
        <v>0.1835673759216303</v>
      </c>
      <c r="AC103" s="566">
        <f t="shared" si="65"/>
        <v>0.11861855232046126</v>
      </c>
    </row>
    <row r="104" spans="2:38" s="13" customFormat="1" outlineLevel="1">
      <c r="B104" s="13" t="str">
        <f t="shared" ref="B104:B117" si="66">B85</f>
        <v>CN East</v>
      </c>
      <c r="C104" s="565">
        <v>58.882015905929876</v>
      </c>
      <c r="D104" s="565">
        <v>58.677528426822875</v>
      </c>
      <c r="E104" s="565">
        <v>61.73479883181566</v>
      </c>
      <c r="F104" s="565">
        <v>64.123758079507866</v>
      </c>
      <c r="G104" s="565">
        <v>61.004165621948104</v>
      </c>
      <c r="H104" s="565">
        <f t="shared" ref="H104:H117" si="67">SUM(C104:G104)</f>
        <v>304.42226686602436</v>
      </c>
      <c r="J104" s="565">
        <f>C104*(Inputs!$C$7/Inputs!F$7)</f>
        <v>54.127962483088261</v>
      </c>
      <c r="K104" s="565">
        <f>D104*(Inputs!$C$7/Inputs!G$7)</f>
        <v>51.998953725497259</v>
      </c>
      <c r="L104" s="565">
        <f>E104*(Inputs!$C$7/Inputs!H$7)</f>
        <v>52.537930724124784</v>
      </c>
      <c r="M104" s="565">
        <f>F104*(Inputs!$C$7/Inputs!I$7)</f>
        <v>52.997868842689343</v>
      </c>
      <c r="N104" s="565">
        <f>G104*(Inputs!$C$7/Inputs!J$7)</f>
        <v>50.189678999621634</v>
      </c>
      <c r="O104" s="565">
        <f t="shared" si="63"/>
        <v>261.85239477502125</v>
      </c>
      <c r="Q104" s="565">
        <f>J104*(Inputs!$H$7/Inputs!$C$7)</f>
        <v>63.603168777545825</v>
      </c>
      <c r="R104" s="565">
        <f>K104*(Inputs!$H$7/Inputs!$C$7)</f>
        <v>61.101472849489383</v>
      </c>
      <c r="S104" s="565">
        <f>L104*(Inputs!$H$7/Inputs!$C$7)</f>
        <v>61.73479883181566</v>
      </c>
      <c r="T104" s="565">
        <f>M104*(Inputs!$H$7/Inputs!$C$7)</f>
        <v>62.275250022666015</v>
      </c>
      <c r="U104" s="565">
        <f>N104*(Inputs!$H$7/Inputs!$C$7)</f>
        <v>58.975481024270216</v>
      </c>
      <c r="V104" s="565">
        <f t="shared" si="64"/>
        <v>307.69017150578708</v>
      </c>
      <c r="X104" s="566">
        <f t="shared" ref="X104:X117" si="68">(Q104/AG85)-1</f>
        <v>7.9695062027609342E-3</v>
      </c>
      <c r="Y104" s="566">
        <f t="shared" ref="Y104:Y117" si="69">(R104/AH85)-1</f>
        <v>7.7316613468461082E-3</v>
      </c>
      <c r="Z104" s="566">
        <f t="shared" ref="Z104:Z117" si="70">(S104/AI85)-1</f>
        <v>2.41312031993135E-2</v>
      </c>
      <c r="AA104" s="566">
        <f t="shared" ref="AA104:AA117" si="71">(T104/AJ85)-1</f>
        <v>5.5734439097397503E-2</v>
      </c>
      <c r="AB104" s="566">
        <f t="shared" ref="AB104:AB117" si="72">(U104/AK85)-1</f>
        <v>5.8051903731788368E-3</v>
      </c>
      <c r="AC104" s="566">
        <f t="shared" ref="AC104:AC117" si="73">(V104/AL85)-1</f>
        <v>2.0071658648310509E-2</v>
      </c>
    </row>
    <row r="105" spans="2:38" s="13" customFormat="1" outlineLevel="1">
      <c r="B105" s="13" t="str">
        <f t="shared" si="66"/>
        <v>ENWL</v>
      </c>
      <c r="C105" s="565">
        <v>50.003709892751836</v>
      </c>
      <c r="D105" s="565">
        <v>43.426214021195939</v>
      </c>
      <c r="E105" s="565">
        <v>45.417429701676916</v>
      </c>
      <c r="F105" s="565">
        <v>57.983493578870664</v>
      </c>
      <c r="G105" s="565">
        <v>61.033183521756612</v>
      </c>
      <c r="H105" s="565">
        <f t="shared" si="67"/>
        <v>257.86403071625193</v>
      </c>
      <c r="J105" s="565">
        <f>C105*(Inputs!$C$7/Inputs!F$7)</f>
        <v>45.966478753277961</v>
      </c>
      <c r="K105" s="565">
        <f>D105*(Inputs!$C$7/Inputs!G$7)</f>
        <v>38.483517522007098</v>
      </c>
      <c r="L105" s="565">
        <f>E105*(Inputs!$C$7/Inputs!H$7)</f>
        <v>38.651422220311645</v>
      </c>
      <c r="M105" s="565">
        <f>F105*(Inputs!$C$7/Inputs!I$7)</f>
        <v>47.922980183470422</v>
      </c>
      <c r="N105" s="565">
        <f>G105*(Inputs!$C$7/Inputs!J$7)</f>
        <v>50.213552764007787</v>
      </c>
      <c r="O105" s="565">
        <f t="shared" si="63"/>
        <v>221.23795144307491</v>
      </c>
      <c r="Q105" s="565">
        <f>J105*(Inputs!$H$7/Inputs!$C$7)</f>
        <v>54.013001268386297</v>
      </c>
      <c r="R105" s="565">
        <f>K105*(Inputs!$H$7/Inputs!$C$7)</f>
        <v>45.220132955690147</v>
      </c>
      <c r="S105" s="565">
        <f>L105*(Inputs!$H$7/Inputs!$C$7)</f>
        <v>45.417429701676916</v>
      </c>
      <c r="T105" s="565">
        <f>M105*(Inputs!$H$7/Inputs!$C$7)</f>
        <v>56.31199212208638</v>
      </c>
      <c r="U105" s="565">
        <f>N105*(Inputs!$H$7/Inputs!$C$7)</f>
        <v>59.003533938068372</v>
      </c>
      <c r="V105" s="565">
        <f t="shared" si="64"/>
        <v>259.96608998590813</v>
      </c>
      <c r="X105" s="566">
        <f t="shared" si="68"/>
        <v>-3.8358185077866924E-2</v>
      </c>
      <c r="Y105" s="566">
        <f t="shared" si="69"/>
        <v>-0.16702343025958677</v>
      </c>
      <c r="Z105" s="566">
        <f t="shared" si="70"/>
        <v>-0.18628584799343906</v>
      </c>
      <c r="AA105" s="566">
        <f t="shared" si="71"/>
        <v>3.9544038686994076E-2</v>
      </c>
      <c r="AB105" s="566">
        <f t="shared" si="72"/>
        <v>0.14642814529698156</v>
      </c>
      <c r="AC105" s="566">
        <f t="shared" si="73"/>
        <v>-4.391550802474109E-2</v>
      </c>
    </row>
    <row r="106" spans="2:38" s="13" customFormat="1" outlineLevel="1">
      <c r="B106" s="13" t="str">
        <f t="shared" si="66"/>
        <v>CE NEDL</v>
      </c>
      <c r="C106" s="565">
        <v>36.005395877577925</v>
      </c>
      <c r="D106" s="565">
        <v>40.254124055724247</v>
      </c>
      <c r="E106" s="565">
        <v>40.310062360224663</v>
      </c>
      <c r="F106" s="565">
        <v>44.751917055831271</v>
      </c>
      <c r="G106" s="565">
        <v>37.258566785152965</v>
      </c>
      <c r="H106" s="565">
        <f t="shared" si="67"/>
        <v>198.58006613451107</v>
      </c>
      <c r="J106" s="565">
        <f>C106*(Inputs!$C$7/Inputs!F$7)</f>
        <v>33.098369464181502</v>
      </c>
      <c r="K106" s="565">
        <f>D106*(Inputs!$C$7/Inputs!G$7)</f>
        <v>35.672469344792532</v>
      </c>
      <c r="L106" s="565">
        <f>E106*(Inputs!$C$7/Inputs!H$7)</f>
        <v>34.304918843846622</v>
      </c>
      <c r="M106" s="565">
        <f>F106*(Inputs!$C$7/Inputs!I$7)</f>
        <v>36.987168276118297</v>
      </c>
      <c r="N106" s="565">
        <f>G106*(Inputs!$C$7/Inputs!J$7)</f>
        <v>30.653570749929319</v>
      </c>
      <c r="O106" s="565">
        <f t="shared" si="63"/>
        <v>170.71649667886828</v>
      </c>
      <c r="Q106" s="565">
        <f>J106*(Inputs!$H$7/Inputs!$C$7)</f>
        <v>38.892304138542833</v>
      </c>
      <c r="R106" s="565">
        <f>K106*(Inputs!$H$7/Inputs!$C$7)</f>
        <v>41.91700526613316</v>
      </c>
      <c r="S106" s="565">
        <f>L106*(Inputs!$H$7/Inputs!$C$7)</f>
        <v>40.310062360224663</v>
      </c>
      <c r="T106" s="565">
        <f>M106*(Inputs!$H$7/Inputs!$C$7)</f>
        <v>43.461844831208197</v>
      </c>
      <c r="U106" s="565">
        <f>N106*(Inputs!$H$7/Inputs!$C$7)</f>
        <v>36.019538600798974</v>
      </c>
      <c r="V106" s="565">
        <f t="shared" si="64"/>
        <v>200.60075519690781</v>
      </c>
      <c r="X106" s="566">
        <f t="shared" si="68"/>
        <v>-8.0600848217180721E-2</v>
      </c>
      <c r="Y106" s="566">
        <f t="shared" si="69"/>
        <v>-1.9987105912293135E-2</v>
      </c>
      <c r="Z106" s="566">
        <f t="shared" si="70"/>
        <v>-3.6378684161611718E-2</v>
      </c>
      <c r="AA106" s="566">
        <f t="shared" si="71"/>
        <v>6.591263043568607E-2</v>
      </c>
      <c r="AB106" s="566">
        <f t="shared" si="72"/>
        <v>-0.10106830645368559</v>
      </c>
      <c r="AC106" s="566">
        <f t="shared" si="73"/>
        <v>-3.4408955436265543E-2</v>
      </c>
    </row>
    <row r="107" spans="2:38" s="13" customFormat="1" outlineLevel="1">
      <c r="B107" s="13" t="str">
        <f t="shared" si="66"/>
        <v>CE YEDL</v>
      </c>
      <c r="C107" s="565">
        <v>45.04592371434849</v>
      </c>
      <c r="D107" s="565">
        <v>51.159622796689874</v>
      </c>
      <c r="E107" s="565">
        <v>58.690145507190863</v>
      </c>
      <c r="F107" s="565">
        <v>62.687806463606293</v>
      </c>
      <c r="G107" s="565">
        <v>53.103322498690261</v>
      </c>
      <c r="H107" s="565">
        <f t="shared" si="67"/>
        <v>270.68682098052579</v>
      </c>
      <c r="J107" s="565">
        <f>C107*(Inputs!$C$7/Inputs!F$7)</f>
        <v>41.408977449441586</v>
      </c>
      <c r="K107" s="565">
        <f>D107*(Inputs!$C$7/Inputs!G$7)</f>
        <v>45.336723098972762</v>
      </c>
      <c r="L107" s="565">
        <f>E107*(Inputs!$C$7/Inputs!H$7)</f>
        <v>49.946851001262274</v>
      </c>
      <c r="M107" s="565">
        <f>F107*(Inputs!$C$7/Inputs!I$7)</f>
        <v>51.81106417491489</v>
      </c>
      <c r="N107" s="565">
        <f>G107*(Inputs!$C$7/Inputs!J$7)</f>
        <v>43.689454365125343</v>
      </c>
      <c r="O107" s="565">
        <f t="shared" si="63"/>
        <v>232.19307008971685</v>
      </c>
      <c r="Q107" s="565">
        <f>J107*(Inputs!$H$7/Inputs!$C$7)</f>
        <v>48.657700397374249</v>
      </c>
      <c r="R107" s="565">
        <f>K107*(Inputs!$H$7/Inputs!$C$7)</f>
        <v>53.273005648157621</v>
      </c>
      <c r="S107" s="565">
        <f>L107*(Inputs!$H$7/Inputs!$C$7)</f>
        <v>58.690145507190863</v>
      </c>
      <c r="T107" s="565">
        <f>M107*(Inputs!$H$7/Inputs!$C$7)</f>
        <v>60.880692863526278</v>
      </c>
      <c r="U107" s="565">
        <f>N107*(Inputs!$H$7/Inputs!$C$7)</f>
        <v>51.337379282513318</v>
      </c>
      <c r="V107" s="565">
        <f t="shared" si="64"/>
        <v>272.83892369876236</v>
      </c>
      <c r="X107" s="566">
        <f t="shared" si="68"/>
        <v>-9.5873854815685888E-2</v>
      </c>
      <c r="Y107" s="566">
        <f t="shared" si="69"/>
        <v>-3.5388870234622227E-2</v>
      </c>
      <c r="Z107" s="566">
        <f t="shared" si="70"/>
        <v>9.0542598280835662E-2</v>
      </c>
      <c r="AA107" s="566">
        <f t="shared" si="71"/>
        <v>0.15908420972963966</v>
      </c>
      <c r="AB107" s="566">
        <f t="shared" si="72"/>
        <v>-2.6960927280059055E-2</v>
      </c>
      <c r="AC107" s="566">
        <f t="shared" si="73"/>
        <v>1.7498116081143378E-2</v>
      </c>
    </row>
    <row r="108" spans="2:38" s="13" customFormat="1" outlineLevel="1">
      <c r="B108" s="13" t="str">
        <f t="shared" si="66"/>
        <v>WPD S Wales</v>
      </c>
      <c r="C108" s="565">
        <v>31.717565979596319</v>
      </c>
      <c r="D108" s="565">
        <v>31.3456873426207</v>
      </c>
      <c r="E108" s="565">
        <v>32.105010393370783</v>
      </c>
      <c r="F108" s="565">
        <v>32.991986175971874</v>
      </c>
      <c r="G108" s="565">
        <v>36.991263323641277</v>
      </c>
      <c r="H108" s="565">
        <f t="shared" si="67"/>
        <v>165.15151321520096</v>
      </c>
      <c r="J108" s="565">
        <f>C108*(Inputs!$C$7/Inputs!F$7)</f>
        <v>29.156733087081186</v>
      </c>
      <c r="K108" s="565">
        <f>D108*(Inputs!$C$7/Inputs!G$7)</f>
        <v>27.777975475834012</v>
      </c>
      <c r="L108" s="565">
        <f>E108*(Inputs!$C$7/Inputs!H$7)</f>
        <v>27.32220471859619</v>
      </c>
      <c r="M108" s="565">
        <f>F108*(Inputs!$C$7/Inputs!I$7)</f>
        <v>27.267661917849288</v>
      </c>
      <c r="N108" s="565">
        <f>G108*(Inputs!$C$7/Inputs!J$7)</f>
        <v>30.433653391959052</v>
      </c>
      <c r="O108" s="565">
        <f t="shared" si="63"/>
        <v>141.95822859131971</v>
      </c>
      <c r="Q108" s="565">
        <f>J108*(Inputs!$H$7/Inputs!$C$7)</f>
        <v>34.26067656100831</v>
      </c>
      <c r="R108" s="565">
        <f>K108*(Inputs!$H$7/Inputs!$C$7)</f>
        <v>32.640564718097565</v>
      </c>
      <c r="S108" s="565">
        <f>L108*(Inputs!$H$7/Inputs!$C$7)</f>
        <v>32.105010393370783</v>
      </c>
      <c r="T108" s="565">
        <f>M108*(Inputs!$H$7/Inputs!$C$7)</f>
        <v>32.040919768075419</v>
      </c>
      <c r="U108" s="565">
        <f>N108*(Inputs!$H$7/Inputs!$C$7)</f>
        <v>35.761124276770701</v>
      </c>
      <c r="V108" s="565">
        <f t="shared" si="64"/>
        <v>166.80829571732278</v>
      </c>
      <c r="X108" s="566">
        <f t="shared" si="68"/>
        <v>-6.5489324132013249E-2</v>
      </c>
      <c r="Y108" s="566">
        <f t="shared" si="69"/>
        <v>-0.10103639236783124</v>
      </c>
      <c r="Z108" s="566">
        <f t="shared" si="70"/>
        <v>-0.10711749285633343</v>
      </c>
      <c r="AA108" s="566">
        <f t="shared" si="71"/>
        <v>-8.803806294818417E-2</v>
      </c>
      <c r="AB108" s="566">
        <f t="shared" si="72"/>
        <v>3.1649267524035629E-2</v>
      </c>
      <c r="AC108" s="566">
        <f t="shared" si="73"/>
        <v>-6.6678313009074563E-2</v>
      </c>
    </row>
    <row r="109" spans="2:38" s="13" customFormat="1" outlineLevel="1">
      <c r="B109" s="13" t="str">
        <f t="shared" si="66"/>
        <v>WPD S West</v>
      </c>
      <c r="C109" s="565">
        <v>42.744706704146658</v>
      </c>
      <c r="D109" s="565">
        <v>49.142466468000244</v>
      </c>
      <c r="E109" s="565">
        <v>51.145250703876243</v>
      </c>
      <c r="F109" s="565">
        <v>47.018799551592252</v>
      </c>
      <c r="G109" s="565">
        <v>53.805877475298502</v>
      </c>
      <c r="H109" s="565">
        <f t="shared" si="67"/>
        <v>243.85710090291388</v>
      </c>
      <c r="J109" s="565">
        <f>C109*(Inputs!$C$7/Inputs!F$7)</f>
        <v>39.293557552937919</v>
      </c>
      <c r="K109" s="565">
        <f>D109*(Inputs!$C$7/Inputs!G$7)</f>
        <v>43.549156011455857</v>
      </c>
      <c r="L109" s="565">
        <f>E109*(Inputs!$C$7/Inputs!H$7)</f>
        <v>43.525947912596706</v>
      </c>
      <c r="M109" s="565">
        <f>F109*(Inputs!$C$7/Inputs!I$7)</f>
        <v>38.860731909790012</v>
      </c>
      <c r="N109" s="565">
        <f>G109*(Inputs!$C$7/Inputs!J$7)</f>
        <v>44.267464217338912</v>
      </c>
      <c r="O109" s="565">
        <f t="shared" si="63"/>
        <v>209.49685760411938</v>
      </c>
      <c r="Q109" s="565">
        <f>J109*(Inputs!$H$7/Inputs!$C$7)</f>
        <v>46.171972087265786</v>
      </c>
      <c r="R109" s="565">
        <f>K109*(Inputs!$H$7/Inputs!$C$7)</f>
        <v>51.172521426087627</v>
      </c>
      <c r="S109" s="565">
        <f>L109*(Inputs!$H$7/Inputs!$C$7)</f>
        <v>51.145250703876243</v>
      </c>
      <c r="T109" s="565">
        <f>M109*(Inputs!$H$7/Inputs!$C$7)</f>
        <v>45.663379463980043</v>
      </c>
      <c r="U109" s="565">
        <f>N109*(Inputs!$H$7/Inputs!$C$7)</f>
        <v>52.016570896217786</v>
      </c>
      <c r="V109" s="565">
        <f t="shared" si="64"/>
        <v>246.16969457742749</v>
      </c>
      <c r="X109" s="566">
        <f t="shared" si="68"/>
        <v>7.949333936642633E-2</v>
      </c>
      <c r="Y109" s="566">
        <f t="shared" si="69"/>
        <v>0.19312756195769465</v>
      </c>
      <c r="Z109" s="566">
        <f t="shared" si="70"/>
        <v>0.20237425172919088</v>
      </c>
      <c r="AA109" s="566">
        <f t="shared" si="71"/>
        <v>1.5652554069591762E-3</v>
      </c>
      <c r="AB109" s="566">
        <f t="shared" si="72"/>
        <v>0.19641795181997046</v>
      </c>
      <c r="AC109" s="566">
        <f t="shared" si="73"/>
        <v>0.13302789401903437</v>
      </c>
    </row>
    <row r="110" spans="2:38" s="13" customFormat="1" outlineLevel="1">
      <c r="B110" s="13" t="str">
        <f t="shared" si="66"/>
        <v>UKPN LPN</v>
      </c>
      <c r="C110" s="565">
        <v>43.681055673541131</v>
      </c>
      <c r="D110" s="565">
        <v>52.91099748193129</v>
      </c>
      <c r="E110" s="565">
        <v>57.660166293932406</v>
      </c>
      <c r="F110" s="565">
        <v>68.071778815550061</v>
      </c>
      <c r="G110" s="565">
        <v>66.235505418260402</v>
      </c>
      <c r="H110" s="565">
        <f t="shared" si="67"/>
        <v>288.55950368321533</v>
      </c>
      <c r="J110" s="565">
        <f>C110*(Inputs!$C$7/Inputs!F$7)</f>
        <v>40.154306987322663</v>
      </c>
      <c r="K110" s="565">
        <f>D110*(Inputs!$C$7/Inputs!G$7)</f>
        <v>46.888759349569945</v>
      </c>
      <c r="L110" s="565">
        <f>E110*(Inputs!$C$7/Inputs!H$7)</f>
        <v>49.070311714224481</v>
      </c>
      <c r="M110" s="565">
        <f>F110*(Inputs!$C$7/Inputs!I$7)</f>
        <v>56.260882293921362</v>
      </c>
      <c r="N110" s="565">
        <f>G110*(Inputs!$C$7/Inputs!J$7)</f>
        <v>54.493635335029602</v>
      </c>
      <c r="O110" s="565">
        <f t="shared" si="63"/>
        <v>246.86789568006805</v>
      </c>
      <c r="Q110" s="565">
        <f>J110*(Inputs!$H$7/Inputs!$C$7)</f>
        <v>47.183397403107946</v>
      </c>
      <c r="R110" s="565">
        <f>K110*(Inputs!$H$7/Inputs!$C$7)</f>
        <v>55.096728897050362</v>
      </c>
      <c r="S110" s="565">
        <f>L110*(Inputs!$H$7/Inputs!$C$7)</f>
        <v>57.660166293932406</v>
      </c>
      <c r="T110" s="565">
        <f>M110*(Inputs!$H$7/Inputs!$C$7)</f>
        <v>66.10946039640686</v>
      </c>
      <c r="U110" s="565">
        <f>N110*(Inputs!$H$7/Inputs!$C$7)</f>
        <v>64.032853381444568</v>
      </c>
      <c r="V110" s="565">
        <f t="shared" si="64"/>
        <v>290.08260637194212</v>
      </c>
      <c r="X110" s="566">
        <f t="shared" si="68"/>
        <v>-2.0626658845788626E-2</v>
      </c>
      <c r="Y110" s="566">
        <f t="shared" si="69"/>
        <v>0.16061285518737489</v>
      </c>
      <c r="Z110" s="566">
        <f t="shared" si="70"/>
        <v>0.23292240488001226</v>
      </c>
      <c r="AA110" s="566">
        <f t="shared" si="71"/>
        <v>0.43522658913064682</v>
      </c>
      <c r="AB110" s="566">
        <f t="shared" si="72"/>
        <v>0.41175221075206236</v>
      </c>
      <c r="AC110" s="566">
        <f t="shared" si="73"/>
        <v>0.24054218934707561</v>
      </c>
    </row>
    <row r="111" spans="2:38" s="13" customFormat="1" outlineLevel="1">
      <c r="B111" s="13" t="str">
        <f t="shared" si="66"/>
        <v>UKPN SEPN</v>
      </c>
      <c r="C111" s="565">
        <v>53.740527836770553</v>
      </c>
      <c r="D111" s="565">
        <v>53.905498740965655</v>
      </c>
      <c r="E111" s="565">
        <v>58.080083146966203</v>
      </c>
      <c r="F111" s="565">
        <v>77.453115309286559</v>
      </c>
      <c r="G111" s="565">
        <v>68.515752709130197</v>
      </c>
      <c r="H111" s="565">
        <f t="shared" si="67"/>
        <v>311.69497774311918</v>
      </c>
      <c r="J111" s="565">
        <f>C111*(Inputs!$C$7/Inputs!F$7)</f>
        <v>49.401591127880046</v>
      </c>
      <c r="K111" s="565">
        <f>D111*(Inputs!$C$7/Inputs!G$7)</f>
        <v>47.77006819701004</v>
      </c>
      <c r="L111" s="565">
        <f>E111*(Inputs!$C$7/Inputs!H$7)</f>
        <v>49.427671954349087</v>
      </c>
      <c r="M111" s="565">
        <f>F111*(Inputs!$C$7/Inputs!I$7)</f>
        <v>64.014495867968421</v>
      </c>
      <c r="N111" s="565">
        <f>G111*(Inputs!$C$7/Inputs!J$7)</f>
        <v>56.369652790587374</v>
      </c>
      <c r="O111" s="565">
        <f t="shared" si="63"/>
        <v>266.98347993779498</v>
      </c>
      <c r="Q111" s="565">
        <f>J111*(Inputs!$H$7/Inputs!$C$7)</f>
        <v>58.04943682052658</v>
      </c>
      <c r="R111" s="565">
        <f>K111*(Inputs!$H$7/Inputs!$C$7)</f>
        <v>56.13231259164057</v>
      </c>
      <c r="S111" s="565">
        <f>L111*(Inputs!$H$7/Inputs!$C$7)</f>
        <v>58.080083146966196</v>
      </c>
      <c r="T111" s="565">
        <f>M111*(Inputs!$H$7/Inputs!$C$7)</f>
        <v>75.220359276815785</v>
      </c>
      <c r="U111" s="565">
        <f>N111*(Inputs!$H$7/Inputs!$C$7)</f>
        <v>66.237271382449933</v>
      </c>
      <c r="V111" s="565">
        <f t="shared" si="64"/>
        <v>313.71946321839908</v>
      </c>
      <c r="X111" s="566">
        <f t="shared" si="68"/>
        <v>0.13306401669449652</v>
      </c>
      <c r="Y111" s="566">
        <f t="shared" si="69"/>
        <v>0.16797232755525759</v>
      </c>
      <c r="Z111" s="566">
        <f t="shared" si="70"/>
        <v>0.29391811398819589</v>
      </c>
      <c r="AA111" s="566">
        <f t="shared" si="71"/>
        <v>0.60036239669921043</v>
      </c>
      <c r="AB111" s="566">
        <f t="shared" si="72"/>
        <v>0.39528843541057856</v>
      </c>
      <c r="AC111" s="566">
        <f t="shared" si="73"/>
        <v>0.31454199870898569</v>
      </c>
    </row>
    <row r="112" spans="2:38" s="13" customFormat="1" outlineLevel="1">
      <c r="B112" s="13" t="str">
        <f t="shared" si="66"/>
        <v>UKPN EPN</v>
      </c>
      <c r="C112" s="565">
        <v>77.266876806165058</v>
      </c>
      <c r="D112" s="565">
        <v>89.144029754896707</v>
      </c>
      <c r="E112" s="565">
        <v>101.63259873702238</v>
      </c>
      <c r="F112" s="565">
        <v>111.49886867173282</v>
      </c>
      <c r="G112" s="565">
        <v>116.44939384209211</v>
      </c>
      <c r="H112" s="565">
        <f t="shared" si="67"/>
        <v>495.99176781190903</v>
      </c>
      <c r="J112" s="565">
        <f>C112*(Inputs!$C$7/Inputs!F$7)</f>
        <v>71.028454861857313</v>
      </c>
      <c r="K112" s="565">
        <f>D112*(Inputs!$C$7/Inputs!G$7)</f>
        <v>78.99781061688816</v>
      </c>
      <c r="L112" s="565">
        <f>E112*(Inputs!$C$7/Inputs!H$7)</f>
        <v>86.492003421037367</v>
      </c>
      <c r="M112" s="565">
        <f>F112*(Inputs!$C$7/Inputs!I$7)</f>
        <v>92.153089509286772</v>
      </c>
      <c r="N112" s="565">
        <f>G112*(Inputs!$C$7/Inputs!J$7)</f>
        <v>95.805878779733064</v>
      </c>
      <c r="O112" s="565">
        <f t="shared" si="63"/>
        <v>424.47723718880269</v>
      </c>
      <c r="Q112" s="565">
        <f>J112*(Inputs!$H$7/Inputs!$C$7)</f>
        <v>83.462125588017386</v>
      </c>
      <c r="R112" s="565">
        <f>K112*(Inputs!$H$7/Inputs!$C$7)</f>
        <v>92.826532742524662</v>
      </c>
      <c r="S112" s="565">
        <f>L112*(Inputs!$H$7/Inputs!$C$7)</f>
        <v>101.63259873702238</v>
      </c>
      <c r="T112" s="565">
        <f>M112*(Inputs!$H$7/Inputs!$C$7)</f>
        <v>108.28466907954896</v>
      </c>
      <c r="U112" s="565">
        <f>N112*(Inputs!$H$7/Inputs!$C$7)</f>
        <v>112.57688629628963</v>
      </c>
      <c r="V112" s="565">
        <f t="shared" si="64"/>
        <v>498.78281244340297</v>
      </c>
      <c r="X112" s="566">
        <f t="shared" si="68"/>
        <v>0.10808821937374913</v>
      </c>
      <c r="Y112" s="566">
        <f t="shared" si="69"/>
        <v>0.24602224947773133</v>
      </c>
      <c r="Z112" s="566">
        <f t="shared" si="70"/>
        <v>0.38387205473659813</v>
      </c>
      <c r="AA112" s="566">
        <f t="shared" si="71"/>
        <v>0.47444943214858859</v>
      </c>
      <c r="AB112" s="566">
        <f t="shared" si="72"/>
        <v>0.44940815097932019</v>
      </c>
      <c r="AC112" s="566">
        <f t="shared" si="73"/>
        <v>0.3323202673848169</v>
      </c>
    </row>
    <row r="113" spans="2:38" s="13" customFormat="1" outlineLevel="1">
      <c r="B113" s="13" t="str">
        <f t="shared" si="66"/>
        <v>SP Distribution</v>
      </c>
      <c r="C113" s="565">
        <v>49.600000000000009</v>
      </c>
      <c r="D113" s="565">
        <v>47.37725478337542</v>
      </c>
      <c r="E113" s="565">
        <v>44.817837576766266</v>
      </c>
      <c r="F113" s="565">
        <v>45.363407099888349</v>
      </c>
      <c r="G113" s="565">
        <v>39.834288593810072</v>
      </c>
      <c r="H113" s="565">
        <f t="shared" si="67"/>
        <v>226.99278805384012</v>
      </c>
      <c r="J113" s="565">
        <f>C113*(Inputs!$C$7/Inputs!F$7)</f>
        <v>45.595363845054827</v>
      </c>
      <c r="K113" s="565">
        <f>D113*(Inputs!$C$7/Inputs!G$7)</f>
        <v>41.984857664790077</v>
      </c>
      <c r="L113" s="565">
        <f>E113*(Inputs!$C$7/Inputs!H$7)</f>
        <v>38.14115361788037</v>
      </c>
      <c r="M113" s="565">
        <f>F113*(Inputs!$C$7/Inputs!I$7)</f>
        <v>37.492560818978383</v>
      </c>
      <c r="N113" s="565">
        <f>G113*(Inputs!$C$7/Inputs!J$7)</f>
        <v>32.772682608125351</v>
      </c>
      <c r="O113" s="565">
        <f t="shared" si="63"/>
        <v>195.98661855482902</v>
      </c>
      <c r="Q113" s="565">
        <f>J113*(Inputs!$H$7/Inputs!$C$7)</f>
        <v>53.576921965549907</v>
      </c>
      <c r="R113" s="565">
        <f>K113*(Inputs!$H$7/Inputs!$C$7)</f>
        <v>49.334389577091727</v>
      </c>
      <c r="S113" s="565">
        <f>L113*(Inputs!$H$7/Inputs!$C$7)</f>
        <v>44.817837576766266</v>
      </c>
      <c r="T113" s="565">
        <f>M113*(Inputs!$H$7/Inputs!$C$7)</f>
        <v>44.05570733272922</v>
      </c>
      <c r="U113" s="565">
        <f>N113*(Inputs!$H$7/Inputs!$C$7)</f>
        <v>38.509605157755601</v>
      </c>
      <c r="V113" s="565">
        <f t="shared" si="64"/>
        <v>230.29446160989272</v>
      </c>
      <c r="X113" s="566">
        <f t="shared" si="68"/>
        <v>3.8618766402159999E-2</v>
      </c>
      <c r="Y113" s="566">
        <f t="shared" si="69"/>
        <v>-3.037280219884364E-2</v>
      </c>
      <c r="Z113" s="566">
        <f t="shared" si="70"/>
        <v>-0.11092882009602867</v>
      </c>
      <c r="AA113" s="566">
        <f t="shared" si="71"/>
        <v>-0.1136510444685962</v>
      </c>
      <c r="AB113" s="566">
        <f t="shared" si="72"/>
        <v>-0.21596453090609202</v>
      </c>
      <c r="AC113" s="566">
        <f t="shared" si="73"/>
        <v>-8.5029791994262305E-2</v>
      </c>
    </row>
    <row r="114" spans="2:38" s="13" customFormat="1" outlineLevel="1">
      <c r="B114" s="13" t="str">
        <f t="shared" si="66"/>
        <v>SP Manweb</v>
      </c>
      <c r="C114" s="565">
        <v>51.456295190507575</v>
      </c>
      <c r="D114" s="565">
        <v>46.907514529137345</v>
      </c>
      <c r="E114" s="565">
        <v>47.056426013306321</v>
      </c>
      <c r="F114" s="565">
        <v>49.686554126963529</v>
      </c>
      <c r="G114" s="565">
        <v>47.704793151806335</v>
      </c>
      <c r="H114" s="565">
        <f t="shared" si="67"/>
        <v>242.81158301172113</v>
      </c>
      <c r="J114" s="565">
        <f>C114*(Inputs!$C$7/Inputs!F$7)</f>
        <v>47.301784301002769</v>
      </c>
      <c r="K114" s="565">
        <f>D114*(Inputs!$C$7/Inputs!G$7)</f>
        <v>41.568582433061621</v>
      </c>
      <c r="L114" s="565">
        <f>E114*(Inputs!$C$7/Inputs!H$7)</f>
        <v>40.046251009048291</v>
      </c>
      <c r="M114" s="565">
        <f>F114*(Inputs!$C$7/Inputs!I$7)</f>
        <v>41.065613709055519</v>
      </c>
      <c r="N114" s="565">
        <f>G114*(Inputs!$C$7/Inputs!J$7)</f>
        <v>39.247946933169601</v>
      </c>
      <c r="O114" s="565">
        <f t="shared" si="63"/>
        <v>209.23017838533781</v>
      </c>
      <c r="Q114" s="565">
        <f>J114*(Inputs!$H$7/Inputs!$C$7)</f>
        <v>55.582054678591227</v>
      </c>
      <c r="R114" s="565">
        <f>K114*(Inputs!$H$7/Inputs!$C$7)</f>
        <v>48.845244547296652</v>
      </c>
      <c r="S114" s="565">
        <f>L114*(Inputs!$H$7/Inputs!$C$7)</f>
        <v>47.056426013306321</v>
      </c>
      <c r="T114" s="565">
        <f>M114*(Inputs!$H$7/Inputs!$C$7)</f>
        <v>48.254230158887296</v>
      </c>
      <c r="U114" s="565">
        <f>N114*(Inputs!$H$7/Inputs!$C$7)</f>
        <v>46.118377238797599</v>
      </c>
      <c r="V114" s="565">
        <f t="shared" si="64"/>
        <v>245.8563326368791</v>
      </c>
      <c r="X114" s="566">
        <f t="shared" si="68"/>
        <v>0.26475359093590289</v>
      </c>
      <c r="Y114" s="566">
        <f t="shared" si="69"/>
        <v>0.13575361838966171</v>
      </c>
      <c r="Z114" s="566">
        <f t="shared" si="70"/>
        <v>2.4200793070288773E-2</v>
      </c>
      <c r="AA114" s="566">
        <f t="shared" si="71"/>
        <v>9.2170577368497764E-2</v>
      </c>
      <c r="AB114" s="566">
        <f t="shared" si="72"/>
        <v>1.9427193069340376E-2</v>
      </c>
      <c r="AC114" s="566">
        <f t="shared" si="73"/>
        <v>0.10586775045104546</v>
      </c>
    </row>
    <row r="115" spans="2:38" s="13" customFormat="1" outlineLevel="1">
      <c r="B115" s="13" t="str">
        <f t="shared" si="66"/>
        <v>SSE Hydro</v>
      </c>
      <c r="C115" s="565">
        <v>29.943914948990805</v>
      </c>
      <c r="D115" s="565">
        <v>29.364218356551767</v>
      </c>
      <c r="E115" s="565">
        <v>31.797525983426929</v>
      </c>
      <c r="F115" s="565">
        <v>35.504965439929698</v>
      </c>
      <c r="G115" s="565">
        <v>37.437735221603191</v>
      </c>
      <c r="H115" s="565">
        <f t="shared" si="67"/>
        <v>164.04835995050237</v>
      </c>
      <c r="J115" s="565">
        <f>C115*(Inputs!$C$7/Inputs!F$7)</f>
        <v>27.52628421460911</v>
      </c>
      <c r="K115" s="565">
        <f>D115*(Inputs!$C$7/Inputs!G$7)</f>
        <v>26.022033859383669</v>
      </c>
      <c r="L115" s="565">
        <f>E115*(Inputs!$C$7/Inputs!H$7)</f>
        <v>27.060527432299548</v>
      </c>
      <c r="M115" s="565">
        <f>F115*(Inputs!$C$7/Inputs!I$7)</f>
        <v>29.344622929250086</v>
      </c>
      <c r="N115" s="565">
        <f>G115*(Inputs!$C$7/Inputs!J$7)</f>
        <v>30.800977180631577</v>
      </c>
      <c r="O115" s="565">
        <f t="shared" si="63"/>
        <v>140.754445616174</v>
      </c>
      <c r="Q115" s="565">
        <f>J115*(Inputs!$H$7/Inputs!$C$7)</f>
        <v>32.344814406555308</v>
      </c>
      <c r="R115" s="565">
        <f>K115*(Inputs!$H$7/Inputs!$C$7)</f>
        <v>30.57724206800701</v>
      </c>
      <c r="S115" s="565">
        <f>L115*(Inputs!$H$7/Inputs!$C$7)</f>
        <v>31.797525983426926</v>
      </c>
      <c r="T115" s="565">
        <f>M115*(Inputs!$H$7/Inputs!$C$7)</f>
        <v>34.481456889600743</v>
      </c>
      <c r="U115" s="565">
        <f>N115*(Inputs!$H$7/Inputs!$C$7)</f>
        <v>36.19274881712257</v>
      </c>
      <c r="V115" s="565">
        <f t="shared" si="64"/>
        <v>165.39378816471256</v>
      </c>
      <c r="X115" s="566">
        <f t="shared" si="68"/>
        <v>-6.6905619843758979E-2</v>
      </c>
      <c r="Y115" s="566">
        <f t="shared" si="69"/>
        <v>-9.3308924760150957E-2</v>
      </c>
      <c r="Z115" s="566">
        <f t="shared" si="70"/>
        <v>-3.3552591703587598E-2</v>
      </c>
      <c r="AA115" s="566">
        <f t="shared" si="71"/>
        <v>3.6912470998236246E-2</v>
      </c>
      <c r="AB115" s="566">
        <f t="shared" si="72"/>
        <v>-1.2789192928475024E-2</v>
      </c>
      <c r="AC115" s="566">
        <f t="shared" si="73"/>
        <v>-3.3943406889677452E-2</v>
      </c>
    </row>
    <row r="116" spans="2:38" s="13" customFormat="1" outlineLevel="1">
      <c r="B116" s="13" t="str">
        <f t="shared" si="66"/>
        <v>SSE Southern</v>
      </c>
      <c r="C116" s="565">
        <v>53.366876806165038</v>
      </c>
      <c r="D116" s="565">
        <v>66.924029754896708</v>
      </c>
      <c r="E116" s="565">
        <v>71.722598737022366</v>
      </c>
      <c r="F116" s="565">
        <v>73.298868671732833</v>
      </c>
      <c r="G116" s="565">
        <v>78.609393842092118</v>
      </c>
      <c r="H116" s="565">
        <f t="shared" si="67"/>
        <v>343.92176781190904</v>
      </c>
      <c r="J116" s="565">
        <f>C116*(Inputs!$C$7/Inputs!F$7)</f>
        <v>49.058108170389353</v>
      </c>
      <c r="K116" s="565">
        <f>D116*(Inputs!$C$7/Inputs!G$7)</f>
        <v>59.306852548988672</v>
      </c>
      <c r="L116" s="565">
        <f>E116*(Inputs!$C$7/Inputs!H$7)</f>
        <v>61.037810037503881</v>
      </c>
      <c r="M116" s="565">
        <f>F116*(Inputs!$C$7/Inputs!I$7)</f>
        <v>60.581038050909903</v>
      </c>
      <c r="N116" s="565">
        <f>G116*(Inputs!$C$7/Inputs!J$7)</f>
        <v>64.673948132321755</v>
      </c>
      <c r="O116" s="565">
        <f t="shared" si="63"/>
        <v>294.65775694011359</v>
      </c>
      <c r="Q116" s="565">
        <f>J116*(Inputs!$H$7/Inputs!$C$7)</f>
        <v>57.645826495746348</v>
      </c>
      <c r="R116" s="565">
        <f>K116*(Inputs!$H$7/Inputs!$C$7)</f>
        <v>69.68863373560211</v>
      </c>
      <c r="S116" s="565">
        <f>L116*(Inputs!$H$7/Inputs!$C$7)</f>
        <v>71.722598737022366</v>
      </c>
      <c r="T116" s="565">
        <f>M116*(Inputs!$H$7/Inputs!$C$7)</f>
        <v>71.185867915771354</v>
      </c>
      <c r="U116" s="565">
        <f>N116*(Inputs!$H$7/Inputs!$C$7)</f>
        <v>75.995249957090422</v>
      </c>
      <c r="V116" s="565">
        <f t="shared" si="64"/>
        <v>346.23817684123264</v>
      </c>
      <c r="X116" s="566">
        <f t="shared" si="68"/>
        <v>-8.4736787865870244E-2</v>
      </c>
      <c r="Y116" s="566">
        <f t="shared" si="69"/>
        <v>0.12536722104342823</v>
      </c>
      <c r="Z116" s="566">
        <f t="shared" si="70"/>
        <v>0.13664450721608712</v>
      </c>
      <c r="AA116" s="566">
        <f t="shared" si="71"/>
        <v>0.14519920701152933</v>
      </c>
      <c r="AB116" s="566">
        <f t="shared" si="72"/>
        <v>0.10553757491148286</v>
      </c>
      <c r="AC116" s="566">
        <f t="shared" si="73"/>
        <v>8.5695493515525412E-2</v>
      </c>
    </row>
    <row r="117" spans="2:38" s="6" customFormat="1" outlineLevel="1">
      <c r="B117" s="6" t="str">
        <f t="shared" si="66"/>
        <v>GB total</v>
      </c>
      <c r="C117" s="567">
        <f>SUM(C103:C116)</f>
        <v>676.17530242671887</v>
      </c>
      <c r="D117" s="567">
        <f t="shared" ref="D117:G117" si="74">SUM(D103:D116)</f>
        <v>721.60971201837492</v>
      </c>
      <c r="E117" s="567">
        <f t="shared" si="74"/>
        <v>768.19705866506661</v>
      </c>
      <c r="F117" s="567">
        <f t="shared" si="74"/>
        <v>837.95473615212666</v>
      </c>
      <c r="G117" s="567">
        <f t="shared" si="74"/>
        <v>826.74800582859518</v>
      </c>
      <c r="H117" s="567">
        <f t="shared" si="67"/>
        <v>3830.6848150908822</v>
      </c>
      <c r="J117" s="567">
        <f>SUM(J103:J116)</f>
        <v>621.58183341101255</v>
      </c>
      <c r="K117" s="567">
        <f>SUM(K103:K116)</f>
        <v>639.47734386781474</v>
      </c>
      <c r="L117" s="567">
        <f>SUM(L103:L116)</f>
        <v>653.7558170485529</v>
      </c>
      <c r="M117" s="567">
        <f>SUM(M103:M116)</f>
        <v>692.56413742370592</v>
      </c>
      <c r="N117" s="567">
        <f>SUM(N103:N116)</f>
        <v>680.18661681663434</v>
      </c>
      <c r="O117" s="567">
        <f t="shared" si="63"/>
        <v>3287.5657485677202</v>
      </c>
      <c r="P117" s="567"/>
      <c r="Q117" s="567">
        <f>SUM(Q103:Q116)</f>
        <v>730.39095591025034</v>
      </c>
      <c r="R117" s="567">
        <f>SUM(R103:R116)</f>
        <v>751.41911067036983</v>
      </c>
      <c r="S117" s="567">
        <f>SUM(S103:S116)</f>
        <v>768.19705866506661</v>
      </c>
      <c r="T117" s="567">
        <f>SUM(T103:T116)</f>
        <v>813.79885185218552</v>
      </c>
      <c r="U117" s="567">
        <f>SUM(U103:U116)</f>
        <v>799.25462191807185</v>
      </c>
      <c r="V117" s="567">
        <f t="shared" si="64"/>
        <v>3863.0605990159438</v>
      </c>
      <c r="X117" s="568">
        <f t="shared" si="68"/>
        <v>1.3338495942309292E-2</v>
      </c>
      <c r="Y117" s="568">
        <f t="shared" si="69"/>
        <v>6.1020978708834495E-2</v>
      </c>
      <c r="Z117" s="568">
        <f t="shared" si="70"/>
        <v>8.9048504162173581E-2</v>
      </c>
      <c r="AA117" s="568">
        <f t="shared" si="71"/>
        <v>0.16358222013391455</v>
      </c>
      <c r="AB117" s="568">
        <f t="shared" si="72"/>
        <v>0.12969044480424241</v>
      </c>
      <c r="AC117" s="568">
        <f t="shared" si="73"/>
        <v>9.0873593445837564E-2</v>
      </c>
    </row>
    <row r="118" spans="2:38">
      <c r="J118" s="450"/>
      <c r="K118" s="450"/>
      <c r="L118" s="450"/>
      <c r="M118" s="450"/>
      <c r="N118" s="450"/>
      <c r="O118" s="450"/>
    </row>
    <row r="119" spans="2:38">
      <c r="B119" s="2" t="s">
        <v>378</v>
      </c>
      <c r="C119" s="2"/>
      <c r="D119" s="2"/>
      <c r="E119" s="2"/>
      <c r="F119" s="2"/>
      <c r="G119" s="2"/>
      <c r="H119" s="2"/>
      <c r="I119" s="2"/>
      <c r="V119" s="450"/>
    </row>
    <row r="120" spans="2:38" outlineLevel="1">
      <c r="B120" s="2" t="s">
        <v>375</v>
      </c>
      <c r="C120" s="2" t="s">
        <v>463</v>
      </c>
      <c r="D120" s="2"/>
      <c r="E120" s="2"/>
      <c r="F120" s="2"/>
      <c r="G120" s="2"/>
      <c r="H120" s="2"/>
      <c r="I120" s="2"/>
      <c r="J120" s="2" t="s">
        <v>467</v>
      </c>
      <c r="K120" s="2"/>
      <c r="L120" s="2"/>
      <c r="M120" s="2"/>
      <c r="N120" s="2"/>
      <c r="O120" s="2"/>
      <c r="Q120" s="2" t="s">
        <v>369</v>
      </c>
      <c r="X120" s="2" t="s">
        <v>372</v>
      </c>
      <c r="AG120" s="2" t="s">
        <v>468</v>
      </c>
      <c r="AH120" s="2"/>
      <c r="AI120" s="2"/>
      <c r="AJ120" s="2"/>
      <c r="AK120" s="2"/>
      <c r="AL120" s="2"/>
    </row>
    <row r="121" spans="2:38" outlineLevel="1">
      <c r="C121" s="6" t="s">
        <v>297</v>
      </c>
      <c r="D121" s="6" t="s">
        <v>339</v>
      </c>
      <c r="E121" s="6" t="s">
        <v>340</v>
      </c>
      <c r="F121" s="6" t="s">
        <v>305</v>
      </c>
      <c r="G121" s="6" t="s">
        <v>330</v>
      </c>
      <c r="H121" s="6" t="s">
        <v>376</v>
      </c>
      <c r="J121" t="s">
        <v>297</v>
      </c>
      <c r="K121" t="s">
        <v>339</v>
      </c>
      <c r="L121" t="s">
        <v>340</v>
      </c>
      <c r="M121" t="s">
        <v>305</v>
      </c>
      <c r="N121" t="s">
        <v>330</v>
      </c>
      <c r="O121" t="s">
        <v>376</v>
      </c>
      <c r="Q121" t="s">
        <v>297</v>
      </c>
      <c r="R121" t="s">
        <v>339</v>
      </c>
      <c r="S121" t="s">
        <v>340</v>
      </c>
      <c r="T121" t="s">
        <v>305</v>
      </c>
      <c r="U121" t="s">
        <v>330</v>
      </c>
      <c r="V121" t="s">
        <v>376</v>
      </c>
      <c r="X121" t="s">
        <v>297</v>
      </c>
      <c r="Y121" t="s">
        <v>339</v>
      </c>
      <c r="Z121" t="s">
        <v>340</v>
      </c>
      <c r="AA121" t="s">
        <v>305</v>
      </c>
      <c r="AB121" t="s">
        <v>330</v>
      </c>
      <c r="AC121" t="s">
        <v>376</v>
      </c>
      <c r="AG121" t="s">
        <v>297</v>
      </c>
      <c r="AH121" t="s">
        <v>339</v>
      </c>
      <c r="AI121" t="s">
        <v>340</v>
      </c>
      <c r="AJ121" t="s">
        <v>305</v>
      </c>
      <c r="AK121" t="s">
        <v>330</v>
      </c>
      <c r="AL121" t="s">
        <v>376</v>
      </c>
    </row>
    <row r="122" spans="2:38" s="494" customFormat="1" outlineLevel="1">
      <c r="B122" s="494" t="str">
        <f t="shared" ref="B122:B136" si="75">B84</f>
        <v>CN West</v>
      </c>
      <c r="C122" s="13">
        <v>0</v>
      </c>
      <c r="D122" s="13">
        <v>0</v>
      </c>
      <c r="E122" s="13">
        <v>0</v>
      </c>
      <c r="F122" s="13">
        <v>0.5</v>
      </c>
      <c r="G122" s="13">
        <v>2</v>
      </c>
      <c r="H122" s="13">
        <f>SUM(C122:G122)</f>
        <v>2.5</v>
      </c>
      <c r="J122" s="563">
        <f>C122*(Inputs!$H$7/Inputs!$C$7)</f>
        <v>0</v>
      </c>
      <c r="K122" s="563">
        <f>D122*(Inputs!$H$7/Inputs!$C$7)</f>
        <v>0</v>
      </c>
      <c r="L122" s="563">
        <f>E122*(Inputs!$H$7/Inputs!$C$7)</f>
        <v>0</v>
      </c>
      <c r="M122" s="563">
        <f>F122*(Inputs!$H$7/Inputs!$C$7)</f>
        <v>0.5875259834269394</v>
      </c>
      <c r="N122" s="563">
        <f>G122*(Inputs!$H$7/Inputs!$C$7)</f>
        <v>2.3501039337077576</v>
      </c>
      <c r="O122" s="563">
        <f>SUM(J122:N122)</f>
        <v>2.9376299171346969</v>
      </c>
      <c r="Q122" s="494">
        <v>111.5</v>
      </c>
      <c r="R122" s="494">
        <v>111.1</v>
      </c>
      <c r="S122" s="494">
        <v>110.7</v>
      </c>
      <c r="T122" s="494">
        <v>110.2</v>
      </c>
      <c r="U122" s="494">
        <v>110</v>
      </c>
      <c r="V122" s="494">
        <f>SUM(Q122:U122)</f>
        <v>553.5</v>
      </c>
      <c r="X122" s="563">
        <f>Q122*(Inputs!$H$7/Inputs!$C$7)</f>
        <v>131.01829430420747</v>
      </c>
      <c r="Y122" s="563">
        <f>R122*(Inputs!$H$7/Inputs!$C$7)</f>
        <v>130.54827351746593</v>
      </c>
      <c r="Z122" s="563">
        <f>S122*(Inputs!$H$7/Inputs!$C$7)</f>
        <v>130.07825273072439</v>
      </c>
      <c r="AA122" s="563">
        <f>T122*(Inputs!$H$7/Inputs!$C$7)</f>
        <v>129.49072674729746</v>
      </c>
      <c r="AB122" s="563">
        <f>U122*(Inputs!$H$7/Inputs!$C$7)</f>
        <v>129.25571635392666</v>
      </c>
      <c r="AC122" s="563">
        <f>SUM(X122:AB122)</f>
        <v>650.39126365362188</v>
      </c>
      <c r="AD122" s="563">
        <f t="shared" ref="AD122:AD136" si="76">V141-AC122</f>
        <v>34.648637941392735</v>
      </c>
      <c r="AE122" s="586">
        <f t="shared" ref="AE122:AE136" si="77">(V141/AC122)-1</f>
        <v>5.3273529147288112E-2</v>
      </c>
      <c r="AG122" s="563">
        <f t="shared" ref="AG122:AG135" si="78">J122+X122</f>
        <v>131.01829430420747</v>
      </c>
      <c r="AH122" s="563">
        <f t="shared" ref="AH122:AH135" si="79">K122+Y122</f>
        <v>130.54827351746593</v>
      </c>
      <c r="AI122" s="563">
        <f t="shared" ref="AI122:AI135" si="80">L122+Z122</f>
        <v>130.07825273072439</v>
      </c>
      <c r="AJ122" s="563">
        <f t="shared" ref="AJ122:AJ135" si="81">M122+AA122</f>
        <v>130.07825273072439</v>
      </c>
      <c r="AK122" s="563">
        <f t="shared" ref="AK122:AK135" si="82">N122+AB122</f>
        <v>131.60582028763443</v>
      </c>
      <c r="AL122" s="563">
        <f>SUM(AG122:AK122)</f>
        <v>653.32889357075658</v>
      </c>
    </row>
    <row r="123" spans="2:38" s="13" customFormat="1" outlineLevel="1">
      <c r="B123" s="13" t="str">
        <f t="shared" si="75"/>
        <v>CN East</v>
      </c>
      <c r="C123" s="13">
        <v>0</v>
      </c>
      <c r="D123" s="13">
        <v>0.1</v>
      </c>
      <c r="E123" s="13">
        <v>0.1</v>
      </c>
      <c r="F123" s="13">
        <v>0.3</v>
      </c>
      <c r="G123" s="13">
        <v>1.2</v>
      </c>
      <c r="H123" s="13">
        <f t="shared" ref="H123:H135" si="83">SUM(C123:G123)</f>
        <v>1.7</v>
      </c>
      <c r="J123" s="565">
        <f>C123*(Inputs!$H$7/Inputs!$C$7)</f>
        <v>0</v>
      </c>
      <c r="K123" s="565">
        <f>D123*(Inputs!$H$7/Inputs!$C$7)</f>
        <v>0.11750519668538789</v>
      </c>
      <c r="L123" s="565">
        <f>E123*(Inputs!$H$7/Inputs!$C$7)</f>
        <v>0.11750519668538789</v>
      </c>
      <c r="M123" s="565">
        <f>F123*(Inputs!$H$7/Inputs!$C$7)</f>
        <v>0.35251559005616362</v>
      </c>
      <c r="N123" s="565">
        <f>G123*(Inputs!$H$7/Inputs!$C$7)</f>
        <v>1.4100623602246545</v>
      </c>
      <c r="O123" s="565">
        <f t="shared" ref="O123:O136" si="84">SUM(J123:N123)</f>
        <v>1.9975883436515938</v>
      </c>
      <c r="Q123" s="13">
        <v>110.3</v>
      </c>
      <c r="R123" s="13">
        <v>109.9</v>
      </c>
      <c r="S123" s="13">
        <v>109.5</v>
      </c>
      <c r="T123" s="13">
        <v>109.1</v>
      </c>
      <c r="U123" s="13">
        <v>108.8</v>
      </c>
      <c r="V123" s="13">
        <f t="shared" ref="V123:V136" si="85">SUM(Q123:U123)</f>
        <v>547.59999999999991</v>
      </c>
      <c r="X123" s="565">
        <f>Q123*(Inputs!$H$7/Inputs!$C$7)</f>
        <v>129.60823194398282</v>
      </c>
      <c r="Y123" s="565">
        <f>R123*(Inputs!$H$7/Inputs!$C$7)</f>
        <v>129.1382111572413</v>
      </c>
      <c r="Z123" s="565">
        <f>S123*(Inputs!$H$7/Inputs!$C$7)</f>
        <v>128.66819037049973</v>
      </c>
      <c r="AA123" s="565">
        <f>T123*(Inputs!$H$7/Inputs!$C$7)</f>
        <v>128.19816958375816</v>
      </c>
      <c r="AB123" s="565">
        <f>U123*(Inputs!$H$7/Inputs!$C$7)</f>
        <v>127.84565399370202</v>
      </c>
      <c r="AC123" s="565">
        <f t="shared" ref="AC123:AC136" si="86">SUM(X123:AB123)</f>
        <v>643.45845704918406</v>
      </c>
      <c r="AD123" s="565">
        <f t="shared" si="76"/>
        <v>6.7086170169575325</v>
      </c>
      <c r="AE123" s="587">
        <f t="shared" si="77"/>
        <v>1.0425874341169372E-2</v>
      </c>
      <c r="AG123" s="565">
        <f t="shared" si="78"/>
        <v>129.60823194398282</v>
      </c>
      <c r="AH123" s="565">
        <f t="shared" si="79"/>
        <v>129.25571635392669</v>
      </c>
      <c r="AI123" s="565">
        <f t="shared" si="80"/>
        <v>128.78569556718512</v>
      </c>
      <c r="AJ123" s="565">
        <f t="shared" si="81"/>
        <v>128.55068517381432</v>
      </c>
      <c r="AK123" s="565">
        <f t="shared" si="82"/>
        <v>129.25571635392666</v>
      </c>
      <c r="AL123" s="565">
        <f t="shared" ref="AL123:AL135" si="87">SUM(AG123:AK123)</f>
        <v>645.45604539283556</v>
      </c>
    </row>
    <row r="124" spans="2:38" s="13" customFormat="1" outlineLevel="1">
      <c r="B124" s="13" t="str">
        <f t="shared" si="75"/>
        <v>ENWL</v>
      </c>
      <c r="C124" s="13">
        <v>0</v>
      </c>
      <c r="D124" s="13">
        <v>0</v>
      </c>
      <c r="E124" s="13">
        <v>1.9</v>
      </c>
      <c r="F124" s="13">
        <v>2.6</v>
      </c>
      <c r="G124" s="13">
        <v>2.7</v>
      </c>
      <c r="H124" s="13">
        <f t="shared" si="83"/>
        <v>7.2</v>
      </c>
      <c r="J124" s="565">
        <f>C124*(Inputs!$H$7/Inputs!$C$7)</f>
        <v>0</v>
      </c>
      <c r="K124" s="565">
        <f>D124*(Inputs!$H$7/Inputs!$C$7)</f>
        <v>0</v>
      </c>
      <c r="L124" s="565">
        <f>E124*(Inputs!$H$7/Inputs!$C$7)</f>
        <v>2.2325987370223697</v>
      </c>
      <c r="M124" s="565">
        <f>F124*(Inputs!$H$7/Inputs!$C$7)</f>
        <v>3.0551351138200848</v>
      </c>
      <c r="N124" s="565">
        <f>G124*(Inputs!$H$7/Inputs!$C$7)</f>
        <v>3.1726403105054728</v>
      </c>
      <c r="O124" s="565">
        <f t="shared" si="84"/>
        <v>8.4603741613479269</v>
      </c>
      <c r="Q124" s="13">
        <v>103.6</v>
      </c>
      <c r="R124" s="13">
        <v>103.1</v>
      </c>
      <c r="S124" s="13">
        <v>105.7</v>
      </c>
      <c r="T124" s="13">
        <v>107</v>
      </c>
      <c r="U124" s="13">
        <v>105.1</v>
      </c>
      <c r="V124" s="13">
        <f t="shared" si="85"/>
        <v>524.5</v>
      </c>
      <c r="X124" s="565">
        <f>Q124*(Inputs!$H$7/Inputs!$C$7)</f>
        <v>121.73538376606184</v>
      </c>
      <c r="Y124" s="565">
        <f>R124*(Inputs!$H$7/Inputs!$C$7)</f>
        <v>121.1478577826349</v>
      </c>
      <c r="Z124" s="565">
        <f>S124*(Inputs!$H$7/Inputs!$C$7)</f>
        <v>124.20299289645499</v>
      </c>
      <c r="AA124" s="565">
        <f>T124*(Inputs!$H$7/Inputs!$C$7)</f>
        <v>125.73056045336503</v>
      </c>
      <c r="AB124" s="565">
        <f>U124*(Inputs!$H$7/Inputs!$C$7)</f>
        <v>123.49796171634266</v>
      </c>
      <c r="AC124" s="565">
        <f t="shared" si="86"/>
        <v>616.31475661485933</v>
      </c>
      <c r="AD124" s="565">
        <f t="shared" si="76"/>
        <v>-103.66776662280233</v>
      </c>
      <c r="AE124" s="587">
        <f t="shared" si="77"/>
        <v>-0.16820588102125433</v>
      </c>
      <c r="AG124" s="565">
        <f t="shared" si="78"/>
        <v>121.73538376606184</v>
      </c>
      <c r="AH124" s="565">
        <f t="shared" si="79"/>
        <v>121.1478577826349</v>
      </c>
      <c r="AI124" s="565">
        <f t="shared" si="80"/>
        <v>126.43559163347736</v>
      </c>
      <c r="AJ124" s="565">
        <f t="shared" si="81"/>
        <v>128.78569556718512</v>
      </c>
      <c r="AK124" s="565">
        <f t="shared" si="82"/>
        <v>126.67060202684813</v>
      </c>
      <c r="AL124" s="565">
        <f t="shared" si="87"/>
        <v>624.77513077620733</v>
      </c>
    </row>
    <row r="125" spans="2:38" s="13" customFormat="1" outlineLevel="1">
      <c r="B125" s="13" t="str">
        <f t="shared" si="75"/>
        <v>CE NEDL</v>
      </c>
      <c r="C125" s="13">
        <v>0</v>
      </c>
      <c r="D125" s="13">
        <v>0</v>
      </c>
      <c r="E125" s="13">
        <v>0</v>
      </c>
      <c r="F125" s="13">
        <v>0.1</v>
      </c>
      <c r="G125" s="13">
        <v>2</v>
      </c>
      <c r="H125" s="13">
        <f t="shared" si="83"/>
        <v>2.1</v>
      </c>
      <c r="J125" s="565">
        <f>C125*(Inputs!$H$7/Inputs!$C$7)</f>
        <v>0</v>
      </c>
      <c r="K125" s="565">
        <f>D125*(Inputs!$H$7/Inputs!$C$7)</f>
        <v>0</v>
      </c>
      <c r="L125" s="565">
        <f>E125*(Inputs!$H$7/Inputs!$C$7)</f>
        <v>0</v>
      </c>
      <c r="M125" s="565">
        <f>F125*(Inputs!$H$7/Inputs!$C$7)</f>
        <v>0.11750519668538789</v>
      </c>
      <c r="N125" s="565">
        <f>G125*(Inputs!$H$7/Inputs!$C$7)</f>
        <v>2.3501039337077576</v>
      </c>
      <c r="O125" s="565">
        <f t="shared" si="84"/>
        <v>2.4676091303931456</v>
      </c>
      <c r="Q125" s="13">
        <v>62.6</v>
      </c>
      <c r="R125" s="13">
        <v>62.8</v>
      </c>
      <c r="S125" s="13">
        <v>62.5</v>
      </c>
      <c r="T125" s="13">
        <v>62.2</v>
      </c>
      <c r="U125" s="13">
        <v>62</v>
      </c>
      <c r="V125" s="13">
        <f t="shared" si="85"/>
        <v>312.10000000000002</v>
      </c>
      <c r="X125" s="565">
        <f>Q125*(Inputs!$H$7/Inputs!$C$7)</f>
        <v>73.558253125052815</v>
      </c>
      <c r="Y125" s="565">
        <f>R125*(Inputs!$H$7/Inputs!$C$7)</f>
        <v>73.793263518423586</v>
      </c>
      <c r="Z125" s="565">
        <f>S125*(Inputs!$H$7/Inputs!$C$7)</f>
        <v>73.440747928367429</v>
      </c>
      <c r="AA125" s="565">
        <f>T125*(Inputs!$H$7/Inputs!$C$7)</f>
        <v>73.088232338311272</v>
      </c>
      <c r="AB125" s="565">
        <f>U125*(Inputs!$H$7/Inputs!$C$7)</f>
        <v>72.853221944940486</v>
      </c>
      <c r="AC125" s="565">
        <f t="shared" si="86"/>
        <v>366.73371885509562</v>
      </c>
      <c r="AD125" s="565">
        <f t="shared" si="76"/>
        <v>-1.4145755791522561</v>
      </c>
      <c r="AE125" s="587">
        <f t="shared" si="77"/>
        <v>-3.8572280279228766E-3</v>
      </c>
      <c r="AG125" s="565">
        <f t="shared" si="78"/>
        <v>73.558253125052815</v>
      </c>
      <c r="AH125" s="565">
        <f t="shared" si="79"/>
        <v>73.793263518423586</v>
      </c>
      <c r="AI125" s="565">
        <f t="shared" si="80"/>
        <v>73.440747928367429</v>
      </c>
      <c r="AJ125" s="565">
        <f t="shared" si="81"/>
        <v>73.205737534996658</v>
      </c>
      <c r="AK125" s="565">
        <f t="shared" si="82"/>
        <v>75.203325878648243</v>
      </c>
      <c r="AL125" s="565">
        <f t="shared" si="87"/>
        <v>369.20132798548872</v>
      </c>
    </row>
    <row r="126" spans="2:38" s="13" customFormat="1" outlineLevel="1">
      <c r="B126" s="13" t="str">
        <f t="shared" si="75"/>
        <v>CE YEDL</v>
      </c>
      <c r="C126" s="13">
        <v>0</v>
      </c>
      <c r="D126" s="13">
        <v>0</v>
      </c>
      <c r="E126" s="13">
        <v>0</v>
      </c>
      <c r="F126" s="13">
        <v>0</v>
      </c>
      <c r="G126" s="13">
        <v>2.8</v>
      </c>
      <c r="H126" s="13">
        <f t="shared" si="83"/>
        <v>2.8</v>
      </c>
      <c r="J126" s="565">
        <f>C126*(Inputs!$H$7/Inputs!$C$7)</f>
        <v>0</v>
      </c>
      <c r="K126" s="565">
        <f>D126*(Inputs!$H$7/Inputs!$C$7)</f>
        <v>0</v>
      </c>
      <c r="L126" s="565">
        <f>E126*(Inputs!$H$7/Inputs!$C$7)</f>
        <v>0</v>
      </c>
      <c r="M126" s="565">
        <f>F126*(Inputs!$H$7/Inputs!$C$7)</f>
        <v>0</v>
      </c>
      <c r="N126" s="565">
        <f>G126*(Inputs!$H$7/Inputs!$C$7)</f>
        <v>3.2901455071908603</v>
      </c>
      <c r="O126" s="565">
        <f t="shared" si="84"/>
        <v>3.2901455071908603</v>
      </c>
      <c r="Q126" s="13">
        <v>83.6</v>
      </c>
      <c r="R126" s="13">
        <v>83.8</v>
      </c>
      <c r="S126" s="13">
        <v>83.4</v>
      </c>
      <c r="T126" s="13">
        <v>83</v>
      </c>
      <c r="U126" s="13">
        <v>83.1</v>
      </c>
      <c r="V126" s="13">
        <f t="shared" si="85"/>
        <v>416.9</v>
      </c>
      <c r="X126" s="565">
        <f>Q126*(Inputs!$H$7/Inputs!$C$7)</f>
        <v>98.234344428984258</v>
      </c>
      <c r="Y126" s="565">
        <f>R126*(Inputs!$H$7/Inputs!$C$7)</f>
        <v>98.469354822355044</v>
      </c>
      <c r="Z126" s="565">
        <f>S126*(Inputs!$H$7/Inputs!$C$7)</f>
        <v>97.999334035613501</v>
      </c>
      <c r="AA126" s="565">
        <f>T126*(Inputs!$H$7/Inputs!$C$7)</f>
        <v>97.529313248871944</v>
      </c>
      <c r="AB126" s="565">
        <f>U126*(Inputs!$H$7/Inputs!$C$7)</f>
        <v>97.646818445557315</v>
      </c>
      <c r="AC126" s="565">
        <f t="shared" si="86"/>
        <v>489.87916498138202</v>
      </c>
      <c r="AD126" s="565">
        <f t="shared" si="76"/>
        <v>-5.3268124223268387</v>
      </c>
      <c r="AE126" s="587">
        <f t="shared" si="77"/>
        <v>-1.0873727243593367E-2</v>
      </c>
      <c r="AG126" s="565">
        <f t="shared" si="78"/>
        <v>98.234344428984258</v>
      </c>
      <c r="AH126" s="565">
        <f t="shared" si="79"/>
        <v>98.469354822355044</v>
      </c>
      <c r="AI126" s="565">
        <f t="shared" si="80"/>
        <v>97.999334035613501</v>
      </c>
      <c r="AJ126" s="565">
        <f t="shared" si="81"/>
        <v>97.529313248871944</v>
      </c>
      <c r="AK126" s="565">
        <f t="shared" si="82"/>
        <v>100.93696395274817</v>
      </c>
      <c r="AL126" s="565">
        <f t="shared" si="87"/>
        <v>493.16931048857288</v>
      </c>
    </row>
    <row r="127" spans="2:38" s="13" customFormat="1" outlineLevel="1">
      <c r="B127" s="13" t="str">
        <f t="shared" si="75"/>
        <v>WPD S Wales</v>
      </c>
      <c r="C127" s="13">
        <v>0</v>
      </c>
      <c r="D127" s="13">
        <v>0</v>
      </c>
      <c r="E127" s="13">
        <v>0</v>
      </c>
      <c r="F127" s="13">
        <v>0.4</v>
      </c>
      <c r="G127" s="13">
        <v>0.7</v>
      </c>
      <c r="H127" s="13">
        <f t="shared" si="83"/>
        <v>1.1000000000000001</v>
      </c>
      <c r="J127" s="565">
        <f>C127*(Inputs!$H$7/Inputs!$C$7)</f>
        <v>0</v>
      </c>
      <c r="K127" s="565">
        <f>D127*(Inputs!$H$7/Inputs!$C$7)</f>
        <v>0</v>
      </c>
      <c r="L127" s="565">
        <f>E127*(Inputs!$H$7/Inputs!$C$7)</f>
        <v>0</v>
      </c>
      <c r="M127" s="565">
        <f>F127*(Inputs!$H$7/Inputs!$C$7)</f>
        <v>0.47002078674155157</v>
      </c>
      <c r="N127" s="565">
        <f>G127*(Inputs!$H$7/Inputs!$C$7)</f>
        <v>0.82253637679771507</v>
      </c>
      <c r="O127" s="565">
        <f t="shared" si="84"/>
        <v>1.2925571635392665</v>
      </c>
      <c r="Q127" s="13">
        <v>44.1</v>
      </c>
      <c r="R127" s="13">
        <v>44</v>
      </c>
      <c r="S127" s="13">
        <v>43.9</v>
      </c>
      <c r="T127" s="13">
        <v>44.1</v>
      </c>
      <c r="U127" s="13">
        <v>44.3</v>
      </c>
      <c r="V127" s="13">
        <f t="shared" si="85"/>
        <v>220.39999999999998</v>
      </c>
      <c r="X127" s="565">
        <f>Q127*(Inputs!$H$7/Inputs!$C$7)</f>
        <v>51.819791738256058</v>
      </c>
      <c r="Y127" s="565">
        <f>R127*(Inputs!$H$7/Inputs!$C$7)</f>
        <v>51.702286541570665</v>
      </c>
      <c r="Z127" s="565">
        <f>S127*(Inputs!$H$7/Inputs!$C$7)</f>
        <v>51.584781344885279</v>
      </c>
      <c r="AA127" s="565">
        <f>T127*(Inputs!$H$7/Inputs!$C$7)</f>
        <v>51.819791738256058</v>
      </c>
      <c r="AB127" s="565">
        <f>U127*(Inputs!$H$7/Inputs!$C$7)</f>
        <v>52.054802131626829</v>
      </c>
      <c r="AC127" s="565">
        <f t="shared" si="86"/>
        <v>258.98145349459492</v>
      </c>
      <c r="AD127" s="565">
        <f t="shared" si="76"/>
        <v>-4.4610532769554538</v>
      </c>
      <c r="AE127" s="587">
        <f t="shared" si="77"/>
        <v>-1.7225377403515707E-2</v>
      </c>
      <c r="AG127" s="565">
        <f t="shared" si="78"/>
        <v>51.819791738256058</v>
      </c>
      <c r="AH127" s="565">
        <f t="shared" si="79"/>
        <v>51.702286541570665</v>
      </c>
      <c r="AI127" s="565">
        <f t="shared" si="80"/>
        <v>51.584781344885279</v>
      </c>
      <c r="AJ127" s="565">
        <f t="shared" si="81"/>
        <v>52.289812524997608</v>
      </c>
      <c r="AK127" s="565">
        <f t="shared" si="82"/>
        <v>52.877338508424543</v>
      </c>
      <c r="AL127" s="565">
        <f t="shared" si="87"/>
        <v>260.27401065813416</v>
      </c>
    </row>
    <row r="128" spans="2:38" s="13" customFormat="1" outlineLevel="1">
      <c r="B128" s="13" t="str">
        <f t="shared" si="75"/>
        <v>WPD S West</v>
      </c>
      <c r="C128" s="13">
        <v>0</v>
      </c>
      <c r="D128" s="13">
        <v>0</v>
      </c>
      <c r="E128" s="13">
        <v>0</v>
      </c>
      <c r="F128" s="13">
        <v>1.7</v>
      </c>
      <c r="G128" s="13">
        <v>2.9</v>
      </c>
      <c r="H128" s="13">
        <f t="shared" si="83"/>
        <v>4.5999999999999996</v>
      </c>
      <c r="J128" s="565">
        <f>C128*(Inputs!$H$7/Inputs!$C$7)</f>
        <v>0</v>
      </c>
      <c r="K128" s="565">
        <f>D128*(Inputs!$H$7/Inputs!$C$7)</f>
        <v>0</v>
      </c>
      <c r="L128" s="565">
        <f>E128*(Inputs!$H$7/Inputs!$C$7)</f>
        <v>0</v>
      </c>
      <c r="M128" s="565">
        <f>F128*(Inputs!$H$7/Inputs!$C$7)</f>
        <v>1.997588343651594</v>
      </c>
      <c r="N128" s="565">
        <f>G128*(Inputs!$H$7/Inputs!$C$7)</f>
        <v>3.4076507038762482</v>
      </c>
      <c r="O128" s="565">
        <f t="shared" si="84"/>
        <v>5.405239047527842</v>
      </c>
      <c r="Q128" s="13">
        <v>63.9</v>
      </c>
      <c r="R128" s="13">
        <v>63.9</v>
      </c>
      <c r="S128" s="13">
        <v>63.7</v>
      </c>
      <c r="T128" s="13">
        <v>66</v>
      </c>
      <c r="U128" s="13">
        <v>66.900000000000006</v>
      </c>
      <c r="V128" s="13">
        <f t="shared" si="85"/>
        <v>324.39999999999998</v>
      </c>
      <c r="X128" s="565">
        <f>Q128*(Inputs!$H$7/Inputs!$C$7)</f>
        <v>75.085820681962858</v>
      </c>
      <c r="Y128" s="565">
        <f>R128*(Inputs!$H$7/Inputs!$C$7)</f>
        <v>75.085820681962858</v>
      </c>
      <c r="Z128" s="565">
        <f>S128*(Inputs!$H$7/Inputs!$C$7)</f>
        <v>74.850810288592086</v>
      </c>
      <c r="AA128" s="565">
        <f>T128*(Inputs!$H$7/Inputs!$C$7)</f>
        <v>77.553429812356001</v>
      </c>
      <c r="AB128" s="565">
        <f>U128*(Inputs!$H$7/Inputs!$C$7)</f>
        <v>78.610976582524501</v>
      </c>
      <c r="AC128" s="565">
        <f t="shared" si="86"/>
        <v>381.18685804739835</v>
      </c>
      <c r="AD128" s="565">
        <f t="shared" si="76"/>
        <v>-0.21403264313147474</v>
      </c>
      <c r="AE128" s="587">
        <f t="shared" si="77"/>
        <v>-5.6149008973671588E-4</v>
      </c>
      <c r="AG128" s="565">
        <f t="shared" si="78"/>
        <v>75.085820681962858</v>
      </c>
      <c r="AH128" s="565">
        <f t="shared" si="79"/>
        <v>75.085820681962858</v>
      </c>
      <c r="AI128" s="565">
        <f t="shared" si="80"/>
        <v>74.850810288592086</v>
      </c>
      <c r="AJ128" s="565">
        <f t="shared" si="81"/>
        <v>79.551018156007601</v>
      </c>
      <c r="AK128" s="565">
        <f t="shared" si="82"/>
        <v>82.018627286400744</v>
      </c>
      <c r="AL128" s="565">
        <f t="shared" si="87"/>
        <v>386.5920970949262</v>
      </c>
    </row>
    <row r="129" spans="2:38" s="13" customFormat="1" outlineLevel="1">
      <c r="B129" s="13" t="str">
        <f t="shared" si="75"/>
        <v>UKPN LPN</v>
      </c>
      <c r="C129" s="13">
        <v>0</v>
      </c>
      <c r="D129" s="13">
        <v>0</v>
      </c>
      <c r="E129" s="13">
        <v>0</v>
      </c>
      <c r="F129" s="13">
        <v>0</v>
      </c>
      <c r="G129" s="13">
        <v>0</v>
      </c>
      <c r="H129" s="13">
        <f t="shared" si="83"/>
        <v>0</v>
      </c>
      <c r="J129" s="565">
        <f>C129*(Inputs!$H$7/Inputs!$C$7)</f>
        <v>0</v>
      </c>
      <c r="K129" s="565">
        <f>D129*(Inputs!$H$7/Inputs!$C$7)</f>
        <v>0</v>
      </c>
      <c r="L129" s="565">
        <f>E129*(Inputs!$H$7/Inputs!$C$7)</f>
        <v>0</v>
      </c>
      <c r="M129" s="565">
        <f>F129*(Inputs!$H$7/Inputs!$C$7)</f>
        <v>0</v>
      </c>
      <c r="N129" s="565">
        <f>G129*(Inputs!$H$7/Inputs!$C$7)</f>
        <v>0</v>
      </c>
      <c r="O129" s="565">
        <f t="shared" si="84"/>
        <v>0</v>
      </c>
      <c r="Q129" s="13">
        <v>99.2</v>
      </c>
      <c r="R129" s="13">
        <v>99</v>
      </c>
      <c r="S129" s="13">
        <v>98.8</v>
      </c>
      <c r="T129" s="13">
        <v>98.6</v>
      </c>
      <c r="U129" s="13">
        <v>98.5</v>
      </c>
      <c r="V129" s="13">
        <f t="shared" si="85"/>
        <v>494.1</v>
      </c>
      <c r="X129" s="565">
        <f>Q129*(Inputs!$H$7/Inputs!$C$7)</f>
        <v>116.56515511190479</v>
      </c>
      <c r="Y129" s="565">
        <f>R129*(Inputs!$H$7/Inputs!$C$7)</f>
        <v>116.330144718534</v>
      </c>
      <c r="Z129" s="565">
        <f>S129*(Inputs!$H$7/Inputs!$C$7)</f>
        <v>116.09513432516323</v>
      </c>
      <c r="AA129" s="565">
        <f>T129*(Inputs!$H$7/Inputs!$C$7)</f>
        <v>115.86012393179244</v>
      </c>
      <c r="AB129" s="565">
        <f>U129*(Inputs!$H$7/Inputs!$C$7)</f>
        <v>115.74261873510706</v>
      </c>
      <c r="AC129" s="565">
        <f t="shared" si="86"/>
        <v>580.5931768225015</v>
      </c>
      <c r="AD129" s="565">
        <f t="shared" si="76"/>
        <v>-66.482239916431467</v>
      </c>
      <c r="AE129" s="587">
        <f t="shared" si="77"/>
        <v>-0.11450744268177371</v>
      </c>
      <c r="AG129" s="565">
        <f t="shared" si="78"/>
        <v>116.56515511190479</v>
      </c>
      <c r="AH129" s="565">
        <f t="shared" si="79"/>
        <v>116.330144718534</v>
      </c>
      <c r="AI129" s="565">
        <f t="shared" si="80"/>
        <v>116.09513432516323</v>
      </c>
      <c r="AJ129" s="565">
        <f t="shared" si="81"/>
        <v>115.86012393179244</v>
      </c>
      <c r="AK129" s="565">
        <f t="shared" si="82"/>
        <v>115.74261873510706</v>
      </c>
      <c r="AL129" s="565">
        <f t="shared" si="87"/>
        <v>580.5931768225015</v>
      </c>
    </row>
    <row r="130" spans="2:38" s="13" customFormat="1" outlineLevel="1">
      <c r="B130" s="13" t="str">
        <f t="shared" si="75"/>
        <v>UKPN SEPN</v>
      </c>
      <c r="C130" s="13">
        <v>0</v>
      </c>
      <c r="D130" s="13">
        <v>0</v>
      </c>
      <c r="E130" s="13">
        <v>0.1</v>
      </c>
      <c r="F130" s="13">
        <v>2.4</v>
      </c>
      <c r="G130" s="13">
        <v>3.3</v>
      </c>
      <c r="H130" s="13">
        <f t="shared" si="83"/>
        <v>5.8</v>
      </c>
      <c r="J130" s="565">
        <f>C130*(Inputs!$H$7/Inputs!$C$7)</f>
        <v>0</v>
      </c>
      <c r="K130" s="565">
        <f>D130*(Inputs!$H$7/Inputs!$C$7)</f>
        <v>0</v>
      </c>
      <c r="L130" s="565">
        <f>E130*(Inputs!$H$7/Inputs!$C$7)</f>
        <v>0.11750519668538789</v>
      </c>
      <c r="M130" s="565">
        <f>F130*(Inputs!$H$7/Inputs!$C$7)</f>
        <v>2.820124720449309</v>
      </c>
      <c r="N130" s="565">
        <f>G130*(Inputs!$H$7/Inputs!$C$7)</f>
        <v>3.8776714906178</v>
      </c>
      <c r="O130" s="565">
        <f t="shared" si="84"/>
        <v>6.8153014077524965</v>
      </c>
      <c r="Q130" s="13">
        <v>106.8</v>
      </c>
      <c r="R130" s="13">
        <v>106</v>
      </c>
      <c r="S130" s="13">
        <v>105.1</v>
      </c>
      <c r="T130" s="13">
        <v>104.9</v>
      </c>
      <c r="U130" s="13">
        <v>104.8</v>
      </c>
      <c r="V130" s="13">
        <f t="shared" si="85"/>
        <v>527.59999999999991</v>
      </c>
      <c r="X130" s="565">
        <f>Q130*(Inputs!$H$7/Inputs!$C$7)</f>
        <v>125.49555005999426</v>
      </c>
      <c r="Y130" s="565">
        <f>R130*(Inputs!$H$7/Inputs!$C$7)</f>
        <v>124.55550848651116</v>
      </c>
      <c r="Z130" s="565">
        <f>S130*(Inputs!$H$7/Inputs!$C$7)</f>
        <v>123.49796171634266</v>
      </c>
      <c r="AA130" s="565">
        <f>T130*(Inputs!$H$7/Inputs!$C$7)</f>
        <v>123.26295132297189</v>
      </c>
      <c r="AB130" s="565">
        <f>U130*(Inputs!$H$7/Inputs!$C$7)</f>
        <v>123.1454461262865</v>
      </c>
      <c r="AC130" s="565">
        <f t="shared" si="86"/>
        <v>619.95741771210646</v>
      </c>
      <c r="AD130" s="565">
        <f t="shared" si="76"/>
        <v>-56.357246932645808</v>
      </c>
      <c r="AE130" s="587">
        <f t="shared" si="77"/>
        <v>-9.0905028833475066E-2</v>
      </c>
      <c r="AG130" s="565">
        <f t="shared" si="78"/>
        <v>125.49555005999426</v>
      </c>
      <c r="AH130" s="565">
        <f t="shared" si="79"/>
        <v>124.55550848651116</v>
      </c>
      <c r="AI130" s="565">
        <f t="shared" si="80"/>
        <v>123.61546691302804</v>
      </c>
      <c r="AJ130" s="565">
        <f t="shared" si="81"/>
        <v>126.0830760434212</v>
      </c>
      <c r="AK130" s="565">
        <f t="shared" si="82"/>
        <v>127.0231176169043</v>
      </c>
      <c r="AL130" s="565">
        <f t="shared" si="87"/>
        <v>626.77271911985895</v>
      </c>
    </row>
    <row r="131" spans="2:38" s="13" customFormat="1" outlineLevel="1">
      <c r="B131" s="13" t="str">
        <f t="shared" si="75"/>
        <v>UKPN EPN</v>
      </c>
      <c r="C131" s="13">
        <v>0</v>
      </c>
      <c r="D131" s="13">
        <v>0.1</v>
      </c>
      <c r="E131" s="13">
        <v>0.1</v>
      </c>
      <c r="F131" s="13">
        <v>4.5</v>
      </c>
      <c r="G131" s="13">
        <v>3.2</v>
      </c>
      <c r="H131" s="13">
        <f t="shared" si="83"/>
        <v>7.9</v>
      </c>
      <c r="J131" s="565">
        <f>C131*(Inputs!$H$7/Inputs!$C$7)</f>
        <v>0</v>
      </c>
      <c r="K131" s="565">
        <f>D131*(Inputs!$H$7/Inputs!$C$7)</f>
        <v>0.11750519668538789</v>
      </c>
      <c r="L131" s="565">
        <f>E131*(Inputs!$H$7/Inputs!$C$7)</f>
        <v>0.11750519668538789</v>
      </c>
      <c r="M131" s="565">
        <f>F131*(Inputs!$H$7/Inputs!$C$7)</f>
        <v>5.2877338508424545</v>
      </c>
      <c r="N131" s="565">
        <f>G131*(Inputs!$H$7/Inputs!$C$7)</f>
        <v>3.7601662939324125</v>
      </c>
      <c r="O131" s="565">
        <f t="shared" si="84"/>
        <v>9.2829105381456429</v>
      </c>
      <c r="Q131" s="13">
        <v>154</v>
      </c>
      <c r="R131" s="13">
        <v>153.69999999999999</v>
      </c>
      <c r="S131" s="13">
        <v>153.5</v>
      </c>
      <c r="T131" s="13">
        <v>153.19999999999999</v>
      </c>
      <c r="U131" s="13">
        <v>153</v>
      </c>
      <c r="V131" s="13">
        <f t="shared" si="85"/>
        <v>767.4</v>
      </c>
      <c r="X131" s="565">
        <f>Q131*(Inputs!$H$7/Inputs!$C$7)</f>
        <v>180.95800289549734</v>
      </c>
      <c r="Y131" s="565">
        <f>R131*(Inputs!$H$7/Inputs!$C$7)</f>
        <v>180.60548730544116</v>
      </c>
      <c r="Z131" s="565">
        <f>S131*(Inputs!$H$7/Inputs!$C$7)</f>
        <v>180.37047691207039</v>
      </c>
      <c r="AA131" s="565">
        <f>T131*(Inputs!$H$7/Inputs!$C$7)</f>
        <v>180.01796132201423</v>
      </c>
      <c r="AB131" s="565">
        <f>U131*(Inputs!$H$7/Inputs!$C$7)</f>
        <v>179.78295092864346</v>
      </c>
      <c r="AC131" s="565">
        <f t="shared" si="86"/>
        <v>901.73487936366666</v>
      </c>
      <c r="AD131" s="565">
        <f t="shared" si="76"/>
        <v>-22.80968797856292</v>
      </c>
      <c r="AE131" s="587">
        <f t="shared" si="77"/>
        <v>-2.5295337355320191E-2</v>
      </c>
      <c r="AG131" s="565">
        <f t="shared" si="78"/>
        <v>180.95800289549734</v>
      </c>
      <c r="AH131" s="565">
        <f t="shared" si="79"/>
        <v>180.72299250212654</v>
      </c>
      <c r="AI131" s="565">
        <f t="shared" si="80"/>
        <v>180.48798210875577</v>
      </c>
      <c r="AJ131" s="565">
        <f t="shared" si="81"/>
        <v>185.30569517285667</v>
      </c>
      <c r="AK131" s="565">
        <f t="shared" si="82"/>
        <v>183.54311722257586</v>
      </c>
      <c r="AL131" s="565">
        <f t="shared" si="87"/>
        <v>911.01778990181219</v>
      </c>
    </row>
    <row r="132" spans="2:38" s="13" customFormat="1" outlineLevel="1">
      <c r="B132" s="13" t="str">
        <f t="shared" si="75"/>
        <v>SP Distribution</v>
      </c>
      <c r="C132" s="13">
        <v>3</v>
      </c>
      <c r="D132" s="13">
        <v>3.7</v>
      </c>
      <c r="E132" s="13">
        <v>4</v>
      </c>
      <c r="F132" s="13">
        <v>4.3</v>
      </c>
      <c r="G132" s="13">
        <v>4.5</v>
      </c>
      <c r="H132" s="13">
        <f t="shared" si="83"/>
        <v>19.5</v>
      </c>
      <c r="J132" s="565">
        <f>C132*(Inputs!$H$7/Inputs!$C$7)</f>
        <v>3.5251559005616366</v>
      </c>
      <c r="K132" s="565">
        <f>D132*(Inputs!$H$7/Inputs!$C$7)</f>
        <v>4.3476922773593518</v>
      </c>
      <c r="L132" s="565">
        <f>E132*(Inputs!$H$7/Inputs!$C$7)</f>
        <v>4.7002078674155152</v>
      </c>
      <c r="M132" s="565">
        <f>F132*(Inputs!$H$7/Inputs!$C$7)</f>
        <v>5.0527234574716786</v>
      </c>
      <c r="N132" s="565">
        <f>G132*(Inputs!$H$7/Inputs!$C$7)</f>
        <v>5.2877338508424545</v>
      </c>
      <c r="O132" s="565">
        <f t="shared" si="84"/>
        <v>22.913513353650636</v>
      </c>
      <c r="Q132" s="13">
        <v>83.1</v>
      </c>
      <c r="R132" s="13">
        <v>82.9</v>
      </c>
      <c r="S132" s="13">
        <v>82.8</v>
      </c>
      <c r="T132" s="13">
        <v>82.6</v>
      </c>
      <c r="U132" s="13">
        <v>82.4</v>
      </c>
      <c r="V132" s="13">
        <f t="shared" si="85"/>
        <v>413.79999999999995</v>
      </c>
      <c r="X132" s="565">
        <f>Q132*(Inputs!$H$7/Inputs!$C$7)</f>
        <v>97.646818445557315</v>
      </c>
      <c r="Y132" s="565">
        <f>R132*(Inputs!$H$7/Inputs!$C$7)</f>
        <v>97.411808052186558</v>
      </c>
      <c r="Z132" s="565">
        <f>S132*(Inputs!$H$7/Inputs!$C$7)</f>
        <v>97.294302855501158</v>
      </c>
      <c r="AA132" s="565">
        <f>T132*(Inputs!$H$7/Inputs!$C$7)</f>
        <v>97.059292462130387</v>
      </c>
      <c r="AB132" s="565">
        <f>U132*(Inputs!$H$7/Inputs!$C$7)</f>
        <v>96.824282068759615</v>
      </c>
      <c r="AC132" s="565">
        <f t="shared" si="86"/>
        <v>486.236503884135</v>
      </c>
      <c r="AD132" s="565">
        <f t="shared" si="76"/>
        <v>-38.149587046239503</v>
      </c>
      <c r="AE132" s="587">
        <f t="shared" si="77"/>
        <v>-7.8458911952299926E-2</v>
      </c>
      <c r="AG132" s="565">
        <f t="shared" si="78"/>
        <v>101.17197434611896</v>
      </c>
      <c r="AH132" s="565">
        <f t="shared" si="79"/>
        <v>101.75950032954592</v>
      </c>
      <c r="AI132" s="565">
        <f t="shared" si="80"/>
        <v>101.99451072291667</v>
      </c>
      <c r="AJ132" s="565">
        <f t="shared" si="81"/>
        <v>102.11201591960207</v>
      </c>
      <c r="AK132" s="565">
        <f t="shared" si="82"/>
        <v>102.11201591960207</v>
      </c>
      <c r="AL132" s="565">
        <f t="shared" si="87"/>
        <v>509.15001723778568</v>
      </c>
    </row>
    <row r="133" spans="2:38" s="13" customFormat="1" outlineLevel="1">
      <c r="B133" s="13" t="str">
        <f t="shared" si="75"/>
        <v>SP Manweb</v>
      </c>
      <c r="C133" s="13">
        <v>2.4</v>
      </c>
      <c r="D133" s="13">
        <v>4.5</v>
      </c>
      <c r="E133" s="13">
        <v>8.1999999999999993</v>
      </c>
      <c r="F133" s="13">
        <v>11.8</v>
      </c>
      <c r="G133" s="13">
        <v>12.9</v>
      </c>
      <c r="H133" s="13">
        <f t="shared" si="83"/>
        <v>39.799999999999997</v>
      </c>
      <c r="J133" s="565">
        <f>C133*(Inputs!$H$7/Inputs!$C$7)</f>
        <v>2.820124720449309</v>
      </c>
      <c r="K133" s="565">
        <f>D133*(Inputs!$H$7/Inputs!$C$7)</f>
        <v>5.2877338508424545</v>
      </c>
      <c r="L133" s="565">
        <f>E133*(Inputs!$H$7/Inputs!$C$7)</f>
        <v>9.6354261282018054</v>
      </c>
      <c r="M133" s="565">
        <f>F133*(Inputs!$H$7/Inputs!$C$7)</f>
        <v>13.865613208875772</v>
      </c>
      <c r="N133" s="565">
        <f>G133*(Inputs!$H$7/Inputs!$C$7)</f>
        <v>15.158170372415038</v>
      </c>
      <c r="O133" s="565">
        <f t="shared" si="84"/>
        <v>46.767068280784379</v>
      </c>
      <c r="Q133" s="13">
        <v>89.3</v>
      </c>
      <c r="R133" s="13">
        <v>89.1</v>
      </c>
      <c r="S133" s="13">
        <v>89</v>
      </c>
      <c r="T133" s="13">
        <v>88.8</v>
      </c>
      <c r="U133" s="13">
        <v>88.7</v>
      </c>
      <c r="V133" s="13">
        <f t="shared" si="85"/>
        <v>444.9</v>
      </c>
      <c r="X133" s="565">
        <f>Q133*(Inputs!$H$7/Inputs!$C$7)</f>
        <v>104.93214064005137</v>
      </c>
      <c r="Y133" s="565">
        <f>R133*(Inputs!$H$7/Inputs!$C$7)</f>
        <v>104.6971302466806</v>
      </c>
      <c r="Z133" s="565">
        <f>S133*(Inputs!$H$7/Inputs!$C$7)</f>
        <v>104.57962504999522</v>
      </c>
      <c r="AA133" s="565">
        <f>T133*(Inputs!$H$7/Inputs!$C$7)</f>
        <v>104.34461465662443</v>
      </c>
      <c r="AB133" s="565">
        <f>U133*(Inputs!$H$7/Inputs!$C$7)</f>
        <v>104.22710945993906</v>
      </c>
      <c r="AC133" s="565">
        <f t="shared" si="86"/>
        <v>522.78062005329059</v>
      </c>
      <c r="AD133" s="565">
        <f t="shared" si="76"/>
        <v>-22.554977626219738</v>
      </c>
      <c r="AE133" s="587">
        <f t="shared" si="77"/>
        <v>-4.3144249731217221E-2</v>
      </c>
      <c r="AG133" s="565">
        <f t="shared" si="78"/>
        <v>107.75226536050069</v>
      </c>
      <c r="AH133" s="565">
        <f t="shared" si="79"/>
        <v>109.98486409752306</v>
      </c>
      <c r="AI133" s="565">
        <f t="shared" si="80"/>
        <v>114.21505117819702</v>
      </c>
      <c r="AJ133" s="565">
        <f t="shared" si="81"/>
        <v>118.2102278655002</v>
      </c>
      <c r="AK133" s="565">
        <f t="shared" si="82"/>
        <v>119.3852798323541</v>
      </c>
      <c r="AL133" s="565">
        <f t="shared" si="87"/>
        <v>569.54768833407502</v>
      </c>
    </row>
    <row r="134" spans="2:38" s="13" customFormat="1" outlineLevel="1">
      <c r="B134" s="13" t="str">
        <f t="shared" si="75"/>
        <v>SSE Hydro</v>
      </c>
      <c r="C134" s="13">
        <v>0.6</v>
      </c>
      <c r="D134" s="13">
        <v>0.6</v>
      </c>
      <c r="E134" s="13">
        <v>0.6</v>
      </c>
      <c r="F134" s="13">
        <v>1.2</v>
      </c>
      <c r="G134" s="13">
        <v>1.2</v>
      </c>
      <c r="H134" s="13">
        <f t="shared" si="83"/>
        <v>4.2</v>
      </c>
      <c r="J134" s="565">
        <f>C134*(Inputs!$H$7/Inputs!$C$7)</f>
        <v>0.70503118011232724</v>
      </c>
      <c r="K134" s="565">
        <f>D134*(Inputs!$H$7/Inputs!$C$7)</f>
        <v>0.70503118011232724</v>
      </c>
      <c r="L134" s="565">
        <f>E134*(Inputs!$H$7/Inputs!$C$7)</f>
        <v>0.70503118011232724</v>
      </c>
      <c r="M134" s="565">
        <f>F134*(Inputs!$H$7/Inputs!$C$7)</f>
        <v>1.4100623602246545</v>
      </c>
      <c r="N134" s="565">
        <f>G134*(Inputs!$H$7/Inputs!$C$7)</f>
        <v>1.4100623602246545</v>
      </c>
      <c r="O134" s="565">
        <f t="shared" si="84"/>
        <v>4.9352182607862911</v>
      </c>
      <c r="Q134" s="13">
        <v>47.4</v>
      </c>
      <c r="R134" s="13">
        <v>47.3</v>
      </c>
      <c r="S134" s="13">
        <v>47.2</v>
      </c>
      <c r="T134" s="13">
        <v>47.1</v>
      </c>
      <c r="U134" s="13">
        <v>46.9</v>
      </c>
      <c r="V134" s="13">
        <f t="shared" si="85"/>
        <v>235.89999999999998</v>
      </c>
      <c r="X134" s="565">
        <f>Q134*(Inputs!$H$7/Inputs!$C$7)</f>
        <v>55.69746322887385</v>
      </c>
      <c r="Y134" s="565">
        <f>R134*(Inputs!$H$7/Inputs!$C$7)</f>
        <v>55.579958032188465</v>
      </c>
      <c r="Z134" s="565">
        <f>S134*(Inputs!$H$7/Inputs!$C$7)</f>
        <v>55.462452835503086</v>
      </c>
      <c r="AA134" s="565">
        <f>T134*(Inputs!$H$7/Inputs!$C$7)</f>
        <v>55.344947638817693</v>
      </c>
      <c r="AB134" s="565">
        <f>U134*(Inputs!$H$7/Inputs!$C$7)</f>
        <v>55.109937245446915</v>
      </c>
      <c r="AC134" s="565">
        <f t="shared" si="86"/>
        <v>277.19475898083004</v>
      </c>
      <c r="AD134" s="565">
        <f t="shared" si="76"/>
        <v>-16.960093802364781</v>
      </c>
      <c r="AE134" s="587">
        <f t="shared" si="77"/>
        <v>-6.1184756395548212E-2</v>
      </c>
      <c r="AG134" s="565">
        <f t="shared" si="78"/>
        <v>56.402494408986179</v>
      </c>
      <c r="AH134" s="565">
        <f t="shared" si="79"/>
        <v>56.284989212300793</v>
      </c>
      <c r="AI134" s="565">
        <f t="shared" si="80"/>
        <v>56.167484015615415</v>
      </c>
      <c r="AJ134" s="565">
        <f t="shared" si="81"/>
        <v>56.75500999904235</v>
      </c>
      <c r="AK134" s="565">
        <f t="shared" si="82"/>
        <v>56.519999605671572</v>
      </c>
      <c r="AL134" s="565">
        <f t="shared" si="87"/>
        <v>282.1299772416163</v>
      </c>
    </row>
    <row r="135" spans="2:38" s="13" customFormat="1" outlineLevel="1">
      <c r="B135" s="13" t="str">
        <f t="shared" si="75"/>
        <v>SSE Southern</v>
      </c>
      <c r="C135" s="13">
        <v>0</v>
      </c>
      <c r="D135" s="13">
        <v>0</v>
      </c>
      <c r="E135" s="13">
        <v>0</v>
      </c>
      <c r="F135" s="13">
        <v>0.7</v>
      </c>
      <c r="G135" s="13">
        <v>0.7</v>
      </c>
      <c r="H135" s="13">
        <f t="shared" si="83"/>
        <v>1.4</v>
      </c>
      <c r="J135" s="565">
        <f>C135*(Inputs!$H$7/Inputs!$C$7)</f>
        <v>0</v>
      </c>
      <c r="K135" s="565">
        <f>D135*(Inputs!$H$7/Inputs!$C$7)</f>
        <v>0</v>
      </c>
      <c r="L135" s="565">
        <f>E135*(Inputs!$H$7/Inputs!$C$7)</f>
        <v>0</v>
      </c>
      <c r="M135" s="565">
        <f>F135*(Inputs!$H$7/Inputs!$C$7)</f>
        <v>0.82253637679771507</v>
      </c>
      <c r="N135" s="565">
        <f>G135*(Inputs!$H$7/Inputs!$C$7)</f>
        <v>0.82253637679771507</v>
      </c>
      <c r="O135" s="565">
        <f t="shared" si="84"/>
        <v>1.6450727535954301</v>
      </c>
      <c r="Q135" s="13">
        <v>124.9</v>
      </c>
      <c r="R135" s="13">
        <v>124.6</v>
      </c>
      <c r="S135" s="13">
        <v>124.4</v>
      </c>
      <c r="T135" s="13">
        <v>124.2</v>
      </c>
      <c r="U135" s="13">
        <v>124</v>
      </c>
      <c r="V135" s="13">
        <f t="shared" si="85"/>
        <v>622.09999999999991</v>
      </c>
      <c r="X135" s="565">
        <f>Q135*(Inputs!$H$7/Inputs!$C$7)</f>
        <v>146.76399066004947</v>
      </c>
      <c r="Y135" s="565">
        <f>R135*(Inputs!$H$7/Inputs!$C$7)</f>
        <v>146.41147506999329</v>
      </c>
      <c r="Z135" s="565">
        <f>S135*(Inputs!$H$7/Inputs!$C$7)</f>
        <v>146.17646467662254</v>
      </c>
      <c r="AA135" s="565">
        <f>T135*(Inputs!$H$7/Inputs!$C$7)</f>
        <v>145.94145428325174</v>
      </c>
      <c r="AB135" s="565">
        <f>U135*(Inputs!$H$7/Inputs!$C$7)</f>
        <v>145.70644388988097</v>
      </c>
      <c r="AC135" s="565">
        <f t="shared" si="86"/>
        <v>730.99982857979808</v>
      </c>
      <c r="AD135" s="565">
        <f t="shared" si="76"/>
        <v>-99.114032567251002</v>
      </c>
      <c r="AE135" s="587">
        <f t="shared" si="77"/>
        <v>-0.13558694365197299</v>
      </c>
      <c r="AG135" s="565">
        <f t="shared" si="78"/>
        <v>146.76399066004947</v>
      </c>
      <c r="AH135" s="565">
        <f t="shared" si="79"/>
        <v>146.41147506999329</v>
      </c>
      <c r="AI135" s="565">
        <f t="shared" si="80"/>
        <v>146.17646467662254</v>
      </c>
      <c r="AJ135" s="565">
        <f t="shared" si="81"/>
        <v>146.76399066004947</v>
      </c>
      <c r="AK135" s="565">
        <f t="shared" si="82"/>
        <v>146.5289802666787</v>
      </c>
      <c r="AL135" s="565">
        <f t="shared" si="87"/>
        <v>732.64490133339348</v>
      </c>
    </row>
    <row r="136" spans="2:38" s="6" customFormat="1" outlineLevel="1">
      <c r="B136" s="6" t="str">
        <f t="shared" si="75"/>
        <v>GB total</v>
      </c>
      <c r="C136" s="6">
        <f t="shared" ref="C136:G136" si="88">SUM(C122:C135)</f>
        <v>6</v>
      </c>
      <c r="D136" s="6">
        <f t="shared" si="88"/>
        <v>9</v>
      </c>
      <c r="E136" s="6">
        <f t="shared" si="88"/>
        <v>14.999999999999998</v>
      </c>
      <c r="F136" s="6">
        <f t="shared" si="88"/>
        <v>30.5</v>
      </c>
      <c r="G136" s="6">
        <f t="shared" si="88"/>
        <v>40.1</v>
      </c>
      <c r="H136" s="6">
        <f>SUM(H122:H135)</f>
        <v>100.60000000000001</v>
      </c>
      <c r="J136" s="567">
        <f>SUM(J122:J135)</f>
        <v>7.0503118011232733</v>
      </c>
      <c r="K136" s="567">
        <f t="shared" ref="K136:N136" si="89">SUM(K122:K135)</f>
        <v>10.575467701684909</v>
      </c>
      <c r="L136" s="567">
        <f t="shared" si="89"/>
        <v>17.625779502808182</v>
      </c>
      <c r="M136" s="567">
        <f t="shared" si="89"/>
        <v>35.839084989043307</v>
      </c>
      <c r="N136" s="567">
        <f t="shared" si="89"/>
        <v>47.119583870840543</v>
      </c>
      <c r="O136" s="567">
        <f t="shared" si="84"/>
        <v>118.21022786550022</v>
      </c>
      <c r="Q136" s="6">
        <f>SUM(Q122:Q135)</f>
        <v>1284.3000000000002</v>
      </c>
      <c r="R136" s="6">
        <f t="shared" ref="R136:T136" si="90">SUM(R122:R135)</f>
        <v>1281.1999999999998</v>
      </c>
      <c r="S136" s="6">
        <f t="shared" si="90"/>
        <v>1280.2</v>
      </c>
      <c r="T136" s="6">
        <f t="shared" si="90"/>
        <v>1281</v>
      </c>
      <c r="U136" s="6">
        <f>SUM(U122:U135)</f>
        <v>1278.5</v>
      </c>
      <c r="V136" s="6">
        <f t="shared" si="85"/>
        <v>6405.2</v>
      </c>
      <c r="X136" s="567">
        <f>SUM(X122:X135)</f>
        <v>1509.1192410304366</v>
      </c>
      <c r="Y136" s="567">
        <f t="shared" ref="Y136:AB136" si="91">SUM(Y122:Y135)</f>
        <v>1505.4765799331897</v>
      </c>
      <c r="Z136" s="567">
        <f t="shared" si="91"/>
        <v>1504.3015279663357</v>
      </c>
      <c r="AA136" s="567">
        <f t="shared" si="91"/>
        <v>1505.2415695398186</v>
      </c>
      <c r="AB136" s="567">
        <f t="shared" si="91"/>
        <v>1502.3039396226841</v>
      </c>
      <c r="AC136" s="567">
        <f t="shared" si="86"/>
        <v>7526.442858092465</v>
      </c>
      <c r="AD136" s="567">
        <f t="shared" si="76"/>
        <v>-396.15485145573348</v>
      </c>
      <c r="AE136" s="588">
        <f t="shared" si="77"/>
        <v>-5.2635070633637482E-2</v>
      </c>
      <c r="AG136" s="567">
        <f t="shared" ref="AG136" si="92">SUM(AG122:AG135)</f>
        <v>1516.1695528315599</v>
      </c>
      <c r="AH136" s="567">
        <f t="shared" ref="AH136" si="93">SUM(AH122:AH135)</f>
        <v>1516.0520476348745</v>
      </c>
      <c r="AI136" s="567">
        <f t="shared" ref="AI136" si="94">SUM(AI122:AI135)</f>
        <v>1521.9273074691439</v>
      </c>
      <c r="AJ136" s="567">
        <f t="shared" ref="AJ136" si="95">SUM(AJ122:AJ135)</f>
        <v>1541.0806545288622</v>
      </c>
      <c r="AK136" s="567">
        <f t="shared" ref="AK136" si="96">SUM(AK122:AK135)</f>
        <v>1549.4235234935245</v>
      </c>
      <c r="AL136" s="567">
        <f>SUM(AL122:AL135)</f>
        <v>7644.6530859579634</v>
      </c>
    </row>
    <row r="137" spans="2:38" outlineLevel="1"/>
    <row r="138" spans="2:38" outlineLevel="1"/>
    <row r="139" spans="2:38" outlineLevel="1">
      <c r="B139" s="2" t="s">
        <v>374</v>
      </c>
      <c r="C139" s="2" t="s">
        <v>373</v>
      </c>
      <c r="J139" s="2" t="s">
        <v>369</v>
      </c>
      <c r="Q139" s="2" t="s">
        <v>372</v>
      </c>
    </row>
    <row r="140" spans="2:38" outlineLevel="1">
      <c r="C140" t="s">
        <v>297</v>
      </c>
      <c r="D140" t="s">
        <v>339</v>
      </c>
      <c r="E140" t="s">
        <v>340</v>
      </c>
      <c r="F140" t="s">
        <v>305</v>
      </c>
      <c r="G140" t="s">
        <v>330</v>
      </c>
      <c r="H140" t="s">
        <v>376</v>
      </c>
      <c r="J140" t="s">
        <v>297</v>
      </c>
      <c r="K140" t="s">
        <v>339</v>
      </c>
      <c r="L140" t="s">
        <v>340</v>
      </c>
      <c r="M140" t="s">
        <v>305</v>
      </c>
      <c r="N140" t="s">
        <v>330</v>
      </c>
      <c r="O140" t="s">
        <v>376</v>
      </c>
      <c r="Q140" t="s">
        <v>297</v>
      </c>
      <c r="R140" t="s">
        <v>339</v>
      </c>
      <c r="S140" t="s">
        <v>340</v>
      </c>
      <c r="T140" t="s">
        <v>305</v>
      </c>
      <c r="U140" t="s">
        <v>330</v>
      </c>
      <c r="V140" t="s">
        <v>376</v>
      </c>
      <c r="X140" t="s">
        <v>297</v>
      </c>
      <c r="Y140" t="s">
        <v>339</v>
      </c>
      <c r="Z140" t="s">
        <v>340</v>
      </c>
      <c r="AA140" t="s">
        <v>305</v>
      </c>
      <c r="AB140" t="s">
        <v>330</v>
      </c>
      <c r="AC140" t="s">
        <v>376</v>
      </c>
    </row>
    <row r="141" spans="2:38" s="494" customFormat="1" outlineLevel="1">
      <c r="B141" s="494" t="str">
        <f>B84</f>
        <v>CN West</v>
      </c>
      <c r="C141" s="629">
        <v>109.1</v>
      </c>
      <c r="D141" s="629">
        <v>130</v>
      </c>
      <c r="E141" s="629">
        <v>138.4</v>
      </c>
      <c r="F141" s="629">
        <v>156.20000000000002</v>
      </c>
      <c r="G141" s="629">
        <v>146.6</v>
      </c>
      <c r="H141" s="563">
        <f>SUM(C141:G141)</f>
        <v>680.30000000000007</v>
      </c>
      <c r="J141" s="563">
        <f>C141*(Inputs!$C$7/Inputs!F$7)</f>
        <v>100.29141523176372</v>
      </c>
      <c r="K141" s="563">
        <f>D141*(Inputs!$C$7/Inputs!G$7)</f>
        <v>115.20362505971794</v>
      </c>
      <c r="L141" s="563">
        <f>E141*(Inputs!$C$7/Inputs!H$7)</f>
        <v>117.78202488401983</v>
      </c>
      <c r="M141" s="563">
        <f>F141*(Inputs!$C$7/Inputs!I$7)</f>
        <v>129.09828371200183</v>
      </c>
      <c r="N141" s="563">
        <f>G141*(Inputs!$C$7/Inputs!J$7)</f>
        <v>120.61154949552063</v>
      </c>
      <c r="O141" s="563">
        <f>SUM(J141:N141)</f>
        <v>582.98689838302391</v>
      </c>
      <c r="Q141" s="563">
        <f>J141*(Inputs!$H$7/Inputs!$C$7)</f>
        <v>117.84762472664302</v>
      </c>
      <c r="R141" s="563">
        <f>K141*(Inputs!$H$7/Inputs!$C$7)</f>
        <v>135.37024621511836</v>
      </c>
      <c r="S141" s="563">
        <f>L141*(Inputs!$H$7/Inputs!$C$7)</f>
        <v>138.4</v>
      </c>
      <c r="T141" s="563">
        <f>M141*(Inputs!$H$7/Inputs!$C$7)</f>
        <v>151.69719219324782</v>
      </c>
      <c r="U141" s="563">
        <f>N141*(Inputs!$H$7/Inputs!$C$7)</f>
        <v>141.72483846000549</v>
      </c>
      <c r="V141" s="563">
        <f t="shared" ref="V141:V155" si="97">SUM(Q141:U141)</f>
        <v>685.03990159501461</v>
      </c>
      <c r="X141" s="564">
        <f>(Q141/AG122)-1</f>
        <v>-0.10052542393037012</v>
      </c>
      <c r="Y141" s="564">
        <f t="shared" ref="Y141:AC141" si="98">(R141/AH122)-1</f>
        <v>3.693631916937834E-2</v>
      </c>
      <c r="Z141" s="564">
        <f t="shared" si="98"/>
        <v>6.3974931201624452E-2</v>
      </c>
      <c r="AA141" s="564">
        <f t="shared" si="98"/>
        <v>0.16619949152666513</v>
      </c>
      <c r="AB141" s="564">
        <f t="shared" si="98"/>
        <v>7.6888834781434268E-2</v>
      </c>
      <c r="AC141" s="564">
        <f t="shared" si="98"/>
        <v>4.8537587019827244E-2</v>
      </c>
    </row>
    <row r="142" spans="2:38" s="13" customFormat="1" outlineLevel="1">
      <c r="B142" s="13" t="str">
        <f t="shared" ref="B142:B155" si="99">B85</f>
        <v>CN East</v>
      </c>
      <c r="C142" s="630">
        <v>86.800000000000011</v>
      </c>
      <c r="D142" s="630">
        <v>113.8</v>
      </c>
      <c r="E142" s="630">
        <v>145.5</v>
      </c>
      <c r="F142" s="630">
        <v>167</v>
      </c>
      <c r="G142" s="630">
        <v>134.70000000000002</v>
      </c>
      <c r="H142" s="565">
        <f t="shared" ref="H142:H155" si="100">SUM(C142:G142)</f>
        <v>647.80000000000007</v>
      </c>
      <c r="J142" s="565">
        <f>C142*(Inputs!$C$7/Inputs!F$7)</f>
        <v>79.791886728845938</v>
      </c>
      <c r="K142" s="565">
        <f>D142*(Inputs!$C$7/Inputs!G$7)</f>
        <v>100.84748101381463</v>
      </c>
      <c r="L142" s="565">
        <f>E142*(Inputs!$C$7/Inputs!H$7)</f>
        <v>123.82431084266535</v>
      </c>
      <c r="M142" s="565">
        <f>F142*(Inputs!$C$7/Inputs!I$7)</f>
        <v>138.02441344368953</v>
      </c>
      <c r="N142" s="565">
        <f>G142*(Inputs!$C$7/Inputs!J$7)</f>
        <v>110.82111676020895</v>
      </c>
      <c r="O142" s="565">
        <f t="shared" ref="O142:O155" si="101">SUM(J142:N142)</f>
        <v>553.30920878922439</v>
      </c>
      <c r="Q142" s="565">
        <f>J142*(Inputs!$H$7/Inputs!$C$7)</f>
        <v>93.759613439712325</v>
      </c>
      <c r="R142" s="565">
        <f>K142*(Inputs!$H$7/Inputs!$C$7)</f>
        <v>118.50103091754208</v>
      </c>
      <c r="S142" s="565">
        <f>L142*(Inputs!$H$7/Inputs!$C$7)</f>
        <v>145.5</v>
      </c>
      <c r="T142" s="565">
        <f>M142*(Inputs!$H$7/Inputs!$C$7)</f>
        <v>162.18585849086034</v>
      </c>
      <c r="U142" s="565">
        <f>N142*(Inputs!$H$7/Inputs!$C$7)</f>
        <v>130.22057121802689</v>
      </c>
      <c r="V142" s="565">
        <f t="shared" si="97"/>
        <v>650.16707406614159</v>
      </c>
      <c r="X142" s="566">
        <f t="shared" ref="X142:X155" si="102">(Q142/AG123)-1</f>
        <v>-0.27659214207755267</v>
      </c>
      <c r="Y142" s="566">
        <f t="shared" ref="Y142:Y155" si="103">(R142/AH123)-1</f>
        <v>-8.3204718056230753E-2</v>
      </c>
      <c r="Z142" s="566">
        <f t="shared" ref="Z142:Z155" si="104">(S142/AI123)-1</f>
        <v>0.129783858053516</v>
      </c>
      <c r="AA142" s="566">
        <f t="shared" ref="AA142:AA155" si="105">(T142/AJ123)-1</f>
        <v>0.26164911740118435</v>
      </c>
      <c r="AB142" s="566">
        <f t="shared" ref="AB142:AB155" si="106">(U142/AK123)-1</f>
        <v>7.4646978200816339E-3</v>
      </c>
      <c r="AC142" s="566">
        <f t="shared" ref="AC142:AC155" si="107">(V142/AL123)-1</f>
        <v>7.298759856589232E-3</v>
      </c>
    </row>
    <row r="143" spans="2:38" s="13" customFormat="1" outlineLevel="1">
      <c r="B143" s="13" t="str">
        <f t="shared" si="99"/>
        <v>ENWL</v>
      </c>
      <c r="C143" s="630">
        <v>85.9</v>
      </c>
      <c r="D143" s="630">
        <v>87</v>
      </c>
      <c r="E143" s="630">
        <v>111.7</v>
      </c>
      <c r="F143" s="630">
        <v>120</v>
      </c>
      <c r="G143" s="630">
        <v>104.5</v>
      </c>
      <c r="H143" s="565">
        <f t="shared" si="100"/>
        <v>509.1</v>
      </c>
      <c r="J143" s="565">
        <f>C143*(Inputs!$C$7/Inputs!F$7)</f>
        <v>78.964551497786474</v>
      </c>
      <c r="K143" s="565">
        <f>D143*(Inputs!$C$7/Inputs!G$7)</f>
        <v>77.097810616888168</v>
      </c>
      <c r="L143" s="565">
        <f>E143*(Inputs!$C$7/Inputs!H$7)</f>
        <v>95.059625574747216</v>
      </c>
      <c r="M143" s="565">
        <f>F143*(Inputs!$C$7/Inputs!I$7)</f>
        <v>99.179219240974504</v>
      </c>
      <c r="N143" s="565">
        <f>G143*(Inputs!$C$7/Inputs!J$7)</f>
        <v>85.974808473955704</v>
      </c>
      <c r="O143" s="565">
        <f t="shared" si="101"/>
        <v>436.27601540435205</v>
      </c>
      <c r="Q143" s="565">
        <f>J143*(Inputs!$H$7/Inputs!$C$7)</f>
        <v>92.787451549208399</v>
      </c>
      <c r="R143" s="565">
        <f>K143*(Inputs!$H$7/Inputs!$C$7)</f>
        <v>90.593934005502305</v>
      </c>
      <c r="S143" s="565">
        <f>L143*(Inputs!$H$7/Inputs!$C$7)</f>
        <v>111.69999999999999</v>
      </c>
      <c r="T143" s="565">
        <f>M143*(Inputs!$H$7/Inputs!$C$7)</f>
        <v>116.54073664013916</v>
      </c>
      <c r="U143" s="565">
        <f>N143*(Inputs!$H$7/Inputs!$C$7)</f>
        <v>101.02486779720718</v>
      </c>
      <c r="V143" s="565">
        <f t="shared" si="97"/>
        <v>512.646989992057</v>
      </c>
      <c r="X143" s="566">
        <f t="shared" si="102"/>
        <v>-0.23779390446152049</v>
      </c>
      <c r="Y143" s="566">
        <f t="shared" si="103"/>
        <v>-0.25220358276539112</v>
      </c>
      <c r="Z143" s="566">
        <f t="shared" si="104"/>
        <v>-0.11654623071796277</v>
      </c>
      <c r="AA143" s="566">
        <f t="shared" si="105"/>
        <v>-9.508011641446612E-2</v>
      </c>
      <c r="AB143" s="566">
        <f t="shared" si="106"/>
        <v>-0.20246003270913071</v>
      </c>
      <c r="AC143" s="566">
        <f t="shared" si="107"/>
        <v>-0.17946959675690788</v>
      </c>
    </row>
    <row r="144" spans="2:38" s="13" customFormat="1" outlineLevel="1">
      <c r="B144" s="13" t="str">
        <f t="shared" si="99"/>
        <v>CE NEDL</v>
      </c>
      <c r="C144" s="630">
        <v>60.300000000000011</v>
      </c>
      <c r="D144" s="630">
        <v>66.2</v>
      </c>
      <c r="E144" s="630">
        <v>79.5</v>
      </c>
      <c r="F144" s="630">
        <v>80.7</v>
      </c>
      <c r="G144" s="630">
        <v>75.900000000000006</v>
      </c>
      <c r="H144" s="565">
        <f t="shared" si="100"/>
        <v>362.6</v>
      </c>
      <c r="J144" s="565">
        <f>C144*(Inputs!$C$7/Inputs!F$7)</f>
        <v>55.431460480983993</v>
      </c>
      <c r="K144" s="565">
        <f>D144*(Inputs!$C$7/Inputs!G$7)</f>
        <v>58.665230607333292</v>
      </c>
      <c r="L144" s="565">
        <f>E144*(Inputs!$C$7/Inputs!H$7)</f>
        <v>67.656582213002721</v>
      </c>
      <c r="M144" s="565">
        <f>F144*(Inputs!$C$7/Inputs!I$7)</f>
        <v>66.698024939555353</v>
      </c>
      <c r="N144" s="565">
        <f>G144*(Inputs!$C$7/Inputs!J$7)</f>
        <v>62.444860891609935</v>
      </c>
      <c r="O144" s="565">
        <f t="shared" si="101"/>
        <v>310.89615913248531</v>
      </c>
      <c r="Q144" s="565">
        <f>J144*(Inputs!$H$7/Inputs!$C$7)</f>
        <v>65.134846663763298</v>
      </c>
      <c r="R144" s="565">
        <f>K144*(Inputs!$H$7/Inputs!$C$7)</f>
        <v>68.934694611083358</v>
      </c>
      <c r="S144" s="565">
        <f>L144*(Inputs!$H$7/Inputs!$C$7)</f>
        <v>79.5</v>
      </c>
      <c r="T144" s="565">
        <f>M144*(Inputs!$H$7/Inputs!$C$7)</f>
        <v>78.373645390493579</v>
      </c>
      <c r="U144" s="565">
        <f>N144*(Inputs!$H$7/Inputs!$C$7)</f>
        <v>73.375956610603112</v>
      </c>
      <c r="V144" s="565">
        <f t="shared" si="97"/>
        <v>365.31914327594336</v>
      </c>
      <c r="X144" s="566">
        <f t="shared" si="102"/>
        <v>-0.11451341084690103</v>
      </c>
      <c r="Y144" s="566">
        <f t="shared" si="103"/>
        <v>-6.5840276953291421E-2</v>
      </c>
      <c r="Z144" s="566">
        <f t="shared" si="104"/>
        <v>8.2505315408043511E-2</v>
      </c>
      <c r="AA144" s="566">
        <f t="shared" si="105"/>
        <v>7.0594300795430831E-2</v>
      </c>
      <c r="AB144" s="566">
        <f t="shared" si="106"/>
        <v>-2.4299048568594772E-2</v>
      </c>
      <c r="AC144" s="566">
        <f t="shared" si="107"/>
        <v>-1.0515088693554109E-2</v>
      </c>
    </row>
    <row r="145" spans="2:29" s="13" customFormat="1" outlineLevel="1">
      <c r="B145" s="13" t="str">
        <f t="shared" si="99"/>
        <v>CE YEDL</v>
      </c>
      <c r="C145" s="630">
        <v>92.100000000000009</v>
      </c>
      <c r="D145" s="630">
        <v>77.3</v>
      </c>
      <c r="E145" s="630">
        <v>92.2</v>
      </c>
      <c r="F145" s="630">
        <v>104.8</v>
      </c>
      <c r="G145" s="630">
        <v>114.39999999999999</v>
      </c>
      <c r="H145" s="565">
        <f t="shared" si="100"/>
        <v>480.8</v>
      </c>
      <c r="J145" s="565">
        <f>C145*(Inputs!$C$7/Inputs!F$7)</f>
        <v>84.663971978418331</v>
      </c>
      <c r="K145" s="565">
        <f>D145*(Inputs!$C$7/Inputs!G$7)</f>
        <v>68.501847823970749</v>
      </c>
      <c r="L145" s="565">
        <f>E145*(Inputs!$C$7/Inputs!H$7)</f>
        <v>78.464614843255987</v>
      </c>
      <c r="M145" s="565">
        <f>F145*(Inputs!$C$7/Inputs!I$7)</f>
        <v>86.616518137117737</v>
      </c>
      <c r="N145" s="565">
        <f>G145*(Inputs!$C$7/Inputs!J$7)</f>
        <v>94.119790329383079</v>
      </c>
      <c r="O145" s="565">
        <f t="shared" si="101"/>
        <v>412.36674311214591</v>
      </c>
      <c r="Q145" s="565">
        <f>J145*(Inputs!$H$7/Inputs!$C$7)</f>
        <v>99.484566794902136</v>
      </c>
      <c r="R145" s="565">
        <f>K145*(Inputs!$H$7/Inputs!$C$7)</f>
        <v>80.493231018681925</v>
      </c>
      <c r="S145" s="565">
        <f>L145*(Inputs!$H$7/Inputs!$C$7)</f>
        <v>92.2</v>
      </c>
      <c r="T145" s="565">
        <f>M145*(Inputs!$H$7/Inputs!$C$7)</f>
        <v>101.77890999905486</v>
      </c>
      <c r="U145" s="565">
        <f>N145*(Inputs!$H$7/Inputs!$C$7)</f>
        <v>110.59564474641627</v>
      </c>
      <c r="V145" s="565">
        <f t="shared" si="97"/>
        <v>484.55235255905518</v>
      </c>
      <c r="X145" s="566">
        <f t="shared" si="102"/>
        <v>1.2726937540889161E-2</v>
      </c>
      <c r="Y145" s="566">
        <f t="shared" si="103"/>
        <v>-0.18255551522707936</v>
      </c>
      <c r="Z145" s="566">
        <f t="shared" si="104"/>
        <v>-5.917728005688272E-2</v>
      </c>
      <c r="AA145" s="566">
        <f t="shared" si="105"/>
        <v>4.3572507676117311E-2</v>
      </c>
      <c r="AB145" s="566">
        <f t="shared" si="106"/>
        <v>9.5690225021922037E-2</v>
      </c>
      <c r="AC145" s="566">
        <f t="shared" si="107"/>
        <v>-1.7472615887191068E-2</v>
      </c>
    </row>
    <row r="146" spans="2:29" s="13" customFormat="1" outlineLevel="1">
      <c r="B146" s="13" t="str">
        <f t="shared" si="99"/>
        <v>WPD S Wales</v>
      </c>
      <c r="C146" s="630">
        <v>44.2</v>
      </c>
      <c r="D146" s="630">
        <v>49.2</v>
      </c>
      <c r="E146" s="630">
        <v>53.9</v>
      </c>
      <c r="F146" s="630">
        <v>52.5</v>
      </c>
      <c r="G146" s="630">
        <v>52.400000000000006</v>
      </c>
      <c r="H146" s="565">
        <f t="shared" si="100"/>
        <v>252.20000000000002</v>
      </c>
      <c r="J146" s="565">
        <f>C146*(Inputs!$C$7/Inputs!F$7)</f>
        <v>40.631352458698046</v>
      </c>
      <c r="K146" s="565">
        <f>D146*(Inputs!$C$7/Inputs!G$7)</f>
        <v>43.600141176447103</v>
      </c>
      <c r="L146" s="565">
        <f>E146*(Inputs!$C$7/Inputs!H$7)</f>
        <v>45.870311714224485</v>
      </c>
      <c r="M146" s="565">
        <f>F146*(Inputs!$C$7/Inputs!I$7)</f>
        <v>43.390908417926347</v>
      </c>
      <c r="N146" s="565">
        <f>G146*(Inputs!$C$7/Inputs!J$7)</f>
        <v>43.110813052969178</v>
      </c>
      <c r="O146" s="565">
        <f t="shared" si="101"/>
        <v>216.60352682026513</v>
      </c>
      <c r="Q146" s="565">
        <f>J146*(Inputs!$H$7/Inputs!$C$7)</f>
        <v>47.743950622526327</v>
      </c>
      <c r="R146" s="565">
        <f>K146*(Inputs!$H$7/Inputs!$C$7)</f>
        <v>51.232431644490958</v>
      </c>
      <c r="S146" s="565">
        <f>L146*(Inputs!$H$7/Inputs!$C$7)</f>
        <v>53.9</v>
      </c>
      <c r="T146" s="565">
        <f>M146*(Inputs!$H$7/Inputs!$C$7)</f>
        <v>50.986572280060884</v>
      </c>
      <c r="U146" s="565">
        <f>N146*(Inputs!$H$7/Inputs!$C$7)</f>
        <v>50.657445670561302</v>
      </c>
      <c r="V146" s="565">
        <f t="shared" si="97"/>
        <v>254.52040021763946</v>
      </c>
      <c r="X146" s="566">
        <f t="shared" si="102"/>
        <v>-7.8654139258547695E-2</v>
      </c>
      <c r="Y146" s="566">
        <f t="shared" si="103"/>
        <v>-9.087700535293064E-3</v>
      </c>
      <c r="Z146" s="566">
        <f t="shared" si="104"/>
        <v>4.4881815813769599E-2</v>
      </c>
      <c r="AA146" s="566">
        <f t="shared" si="105"/>
        <v>-2.4923406338733689E-2</v>
      </c>
      <c r="AB146" s="566">
        <f t="shared" si="106"/>
        <v>-4.1981932156240465E-2</v>
      </c>
      <c r="AC146" s="566">
        <f t="shared" si="107"/>
        <v>-2.2105973723407835E-2</v>
      </c>
    </row>
    <row r="147" spans="2:29" s="13" customFormat="1" outlineLevel="1">
      <c r="B147" s="13" t="str">
        <f t="shared" si="99"/>
        <v>WPD S West</v>
      </c>
      <c r="C147" s="630">
        <v>67.399999999999991</v>
      </c>
      <c r="D147" s="630">
        <v>73.899999999999991</v>
      </c>
      <c r="E147" s="630">
        <v>75.7</v>
      </c>
      <c r="F147" s="630">
        <v>79.800000000000011</v>
      </c>
      <c r="G147" s="630">
        <v>80.7</v>
      </c>
      <c r="H147" s="565">
        <f t="shared" si="100"/>
        <v>377.5</v>
      </c>
      <c r="J147" s="565">
        <f>C147*(Inputs!$C$7/Inputs!F$7)</f>
        <v>61.958216192675287</v>
      </c>
      <c r="K147" s="565">
        <f>D147*(Inputs!$C$7/Inputs!G$7)</f>
        <v>65.488829937793497</v>
      </c>
      <c r="L147" s="565">
        <f>E147*(Inputs!$C$7/Inputs!H$7)</f>
        <v>64.422682685840329</v>
      </c>
      <c r="M147" s="565">
        <f>F147*(Inputs!$C$7/Inputs!I$7)</f>
        <v>65.95418079524805</v>
      </c>
      <c r="N147" s="565">
        <f>G147*(Inputs!$C$7/Inputs!J$7)</f>
        <v>66.393943003332296</v>
      </c>
      <c r="O147" s="565">
        <f t="shared" si="101"/>
        <v>324.21785261488947</v>
      </c>
      <c r="Q147" s="565">
        <f>J147*(Inputs!$H$7/Inputs!$C$7)</f>
        <v>72.804123799960934</v>
      </c>
      <c r="R147" s="565">
        <f>K147*(Inputs!$H$7/Inputs!$C$7)</f>
        <v>76.952778425363434</v>
      </c>
      <c r="S147" s="565">
        <f>L147*(Inputs!$H$7/Inputs!$C$7)</f>
        <v>75.7</v>
      </c>
      <c r="T147" s="565">
        <f>M147*(Inputs!$H$7/Inputs!$C$7)</f>
        <v>77.499589865692542</v>
      </c>
      <c r="U147" s="565">
        <f>N147*(Inputs!$H$7/Inputs!$C$7)</f>
        <v>78.016333313249945</v>
      </c>
      <c r="V147" s="565">
        <f t="shared" si="97"/>
        <v>380.97282540426687</v>
      </c>
      <c r="X147" s="566">
        <f t="shared" si="102"/>
        <v>-3.0387853009776533E-2</v>
      </c>
      <c r="Y147" s="566">
        <f t="shared" si="103"/>
        <v>2.4864318275328534E-2</v>
      </c>
      <c r="Z147" s="566">
        <f t="shared" si="104"/>
        <v>1.1345097108953262E-2</v>
      </c>
      <c r="AA147" s="566">
        <f t="shared" si="105"/>
        <v>-2.5787580572407043E-2</v>
      </c>
      <c r="AB147" s="566">
        <f t="shared" si="106"/>
        <v>-4.8797378175755024E-2</v>
      </c>
      <c r="AC147" s="566">
        <f t="shared" si="107"/>
        <v>-1.4535402386354423E-2</v>
      </c>
    </row>
    <row r="148" spans="2:29" s="13" customFormat="1" outlineLevel="1">
      <c r="B148" s="13" t="str">
        <f t="shared" si="99"/>
        <v>UKPN LPN</v>
      </c>
      <c r="C148" s="630">
        <v>83.4</v>
      </c>
      <c r="D148" s="630">
        <v>99.100000000000009</v>
      </c>
      <c r="E148" s="630">
        <v>109.10000000000001</v>
      </c>
      <c r="F148" s="630">
        <v>112.1</v>
      </c>
      <c r="G148" s="630">
        <v>106.4</v>
      </c>
      <c r="H148" s="565">
        <f t="shared" si="100"/>
        <v>510.1</v>
      </c>
      <c r="J148" s="565">
        <f>C148*(Inputs!$C$7/Inputs!F$7)</f>
        <v>76.666398078176854</v>
      </c>
      <c r="K148" s="565">
        <f>D148*(Inputs!$C$7/Inputs!G$7)</f>
        <v>87.820609564754221</v>
      </c>
      <c r="L148" s="565">
        <f>E148*(Inputs!$C$7/Inputs!H$7)</f>
        <v>92.846957477215057</v>
      </c>
      <c r="M148" s="565">
        <f>F148*(Inputs!$C$7/Inputs!I$7)</f>
        <v>92.649920640943677</v>
      </c>
      <c r="N148" s="565">
        <f>G148*(Inputs!$C$7/Inputs!J$7)</f>
        <v>87.537986809845819</v>
      </c>
      <c r="O148" s="565">
        <f t="shared" si="101"/>
        <v>437.52187257093556</v>
      </c>
      <c r="Q148" s="565">
        <f>J148*(Inputs!$H$7/Inputs!$C$7)</f>
        <v>90.087001853364143</v>
      </c>
      <c r="R148" s="565">
        <f>K148*(Inputs!$H$7/Inputs!$C$7)</f>
        <v>103.193779999371</v>
      </c>
      <c r="S148" s="565">
        <f>L148*(Inputs!$H$7/Inputs!$C$7)</f>
        <v>109.10000000000001</v>
      </c>
      <c r="T148" s="565">
        <f>M148*(Inputs!$H$7/Inputs!$C$7)</f>
        <v>108.86847147799665</v>
      </c>
      <c r="U148" s="565">
        <f>N148*(Inputs!$H$7/Inputs!$C$7)</f>
        <v>102.86168357533823</v>
      </c>
      <c r="V148" s="565">
        <f t="shared" si="97"/>
        <v>514.11093690607004</v>
      </c>
      <c r="X148" s="566">
        <f t="shared" si="102"/>
        <v>-0.22715324517966895</v>
      </c>
      <c r="Y148" s="566">
        <f t="shared" si="103"/>
        <v>-0.11292313570955337</v>
      </c>
      <c r="Z148" s="566">
        <f t="shared" si="104"/>
        <v>-6.0253466829807034E-2</v>
      </c>
      <c r="AA148" s="566">
        <f t="shared" si="105"/>
        <v>-6.0345632444790298E-2</v>
      </c>
      <c r="AB148" s="566">
        <f t="shared" si="106"/>
        <v>-0.11128947401171752</v>
      </c>
      <c r="AC148" s="566">
        <f t="shared" si="107"/>
        <v>-0.11450744268177371</v>
      </c>
    </row>
    <row r="149" spans="2:29" s="13" customFormat="1" outlineLevel="1">
      <c r="B149" s="13" t="str">
        <f t="shared" si="99"/>
        <v>UKPN SEPN</v>
      </c>
      <c r="C149" s="630">
        <v>89.2</v>
      </c>
      <c r="D149" s="630">
        <v>69.8</v>
      </c>
      <c r="E149" s="630">
        <v>108.1</v>
      </c>
      <c r="F149" s="630">
        <v>135.1</v>
      </c>
      <c r="G149" s="630">
        <v>160.6</v>
      </c>
      <c r="H149" s="565">
        <f t="shared" si="100"/>
        <v>562.80000000000007</v>
      </c>
      <c r="J149" s="565">
        <f>C149*(Inputs!$C$7/Inputs!F$7)</f>
        <v>81.998114011671163</v>
      </c>
      <c r="K149" s="565">
        <f>D149*(Inputs!$C$7/Inputs!G$7)</f>
        <v>61.855484839756244</v>
      </c>
      <c r="L149" s="565">
        <f>E149*(Inputs!$C$7/Inputs!H$7)</f>
        <v>91.995931285856514</v>
      </c>
      <c r="M149" s="565">
        <f>F149*(Inputs!$C$7/Inputs!I$7)</f>
        <v>111.65927099546379</v>
      </c>
      <c r="N149" s="565">
        <f>G149*(Inputs!$C$7/Inputs!J$7)</f>
        <v>132.12970565471088</v>
      </c>
      <c r="O149" s="565">
        <f t="shared" si="101"/>
        <v>479.6385067874586</v>
      </c>
      <c r="Q149" s="565">
        <f>J149*(Inputs!$H$7/Inputs!$C$7)</f>
        <v>96.352045147722805</v>
      </c>
      <c r="R149" s="565">
        <f>K149*(Inputs!$H$7/Inputs!$C$7)</f>
        <v>72.683409121655856</v>
      </c>
      <c r="S149" s="565">
        <f>L149*(Inputs!$H$7/Inputs!$C$7)</f>
        <v>108.09999999999998</v>
      </c>
      <c r="T149" s="565">
        <f>M149*(Inputs!$H$7/Inputs!$C$7)</f>
        <v>131.20544600068999</v>
      </c>
      <c r="U149" s="565">
        <f>N149*(Inputs!$H$7/Inputs!$C$7)</f>
        <v>155.25927050939208</v>
      </c>
      <c r="V149" s="565">
        <f t="shared" si="97"/>
        <v>563.60017077946065</v>
      </c>
      <c r="X149" s="566">
        <f t="shared" si="102"/>
        <v>-0.2322273968944647</v>
      </c>
      <c r="Y149" s="566">
        <f t="shared" si="103"/>
        <v>-0.41645769019097889</v>
      </c>
      <c r="Z149" s="566">
        <f t="shared" si="104"/>
        <v>-0.12551396116105973</v>
      </c>
      <c r="AA149" s="566">
        <f t="shared" si="105"/>
        <v>4.0626943107770597E-2</v>
      </c>
      <c r="AB149" s="566">
        <f t="shared" si="106"/>
        <v>0.22229144916476296</v>
      </c>
      <c r="AC149" s="566">
        <f t="shared" si="107"/>
        <v>-0.10079020099839042</v>
      </c>
    </row>
    <row r="150" spans="2:29" s="13" customFormat="1" outlineLevel="1">
      <c r="B150" s="13" t="str">
        <f t="shared" si="99"/>
        <v>UKPN EPN</v>
      </c>
      <c r="C150" s="630">
        <v>108.3</v>
      </c>
      <c r="D150" s="630">
        <v>134.4</v>
      </c>
      <c r="E150" s="630">
        <v>179.7</v>
      </c>
      <c r="F150" s="630">
        <v>219.2</v>
      </c>
      <c r="G150" s="630">
        <v>237.3</v>
      </c>
      <c r="H150" s="565">
        <f t="shared" si="100"/>
        <v>878.89999999999986</v>
      </c>
      <c r="J150" s="565">
        <f>C150*(Inputs!$C$7/Inputs!F$7)</f>
        <v>99.556006137488637</v>
      </c>
      <c r="K150" s="565">
        <f>D150*(Inputs!$C$7/Inputs!G$7)</f>
        <v>119.10282467712379</v>
      </c>
      <c r="L150" s="565">
        <f>E150*(Inputs!$C$7/Inputs!H$7)</f>
        <v>152.92940658712689</v>
      </c>
      <c r="M150" s="565">
        <f>F150*(Inputs!$C$7/Inputs!I$7)</f>
        <v>181.16737381351342</v>
      </c>
      <c r="N150" s="565">
        <f>G150*(Inputs!$C$7/Inputs!J$7)</f>
        <v>195.23274689827454</v>
      </c>
      <c r="O150" s="565">
        <f t="shared" si="101"/>
        <v>747.98835811352728</v>
      </c>
      <c r="Q150" s="565">
        <f>J150*(Inputs!$H$7/Inputs!$C$7)</f>
        <v>116.98348082397285</v>
      </c>
      <c r="R150" s="565">
        <f>K150*(Inputs!$H$7/Inputs!$C$7)</f>
        <v>139.95200839470701</v>
      </c>
      <c r="S150" s="565">
        <f>L150*(Inputs!$H$7/Inputs!$C$7)</f>
        <v>179.7</v>
      </c>
      <c r="T150" s="565">
        <f>M150*(Inputs!$H$7/Inputs!$C$7)</f>
        <v>212.88107892932084</v>
      </c>
      <c r="U150" s="565">
        <f>N150*(Inputs!$H$7/Inputs!$C$7)</f>
        <v>229.408623237103</v>
      </c>
      <c r="V150" s="565">
        <f t="shared" si="97"/>
        <v>878.92519138510374</v>
      </c>
      <c r="X150" s="566">
        <f t="shared" si="102"/>
        <v>-0.35353242767864523</v>
      </c>
      <c r="Y150" s="566">
        <f t="shared" si="103"/>
        <v>-0.22559931939451361</v>
      </c>
      <c r="Z150" s="566">
        <f t="shared" si="104"/>
        <v>-4.3658425317258942E-3</v>
      </c>
      <c r="AA150" s="566">
        <f t="shared" si="105"/>
        <v>0.14881023344016131</v>
      </c>
      <c r="AB150" s="566">
        <f t="shared" si="106"/>
        <v>0.24988954480329406</v>
      </c>
      <c r="AC150" s="566">
        <f t="shared" si="107"/>
        <v>-3.5227191908258293E-2</v>
      </c>
    </row>
    <row r="151" spans="2:29" s="13" customFormat="1" outlineLevel="1">
      <c r="B151" s="13" t="str">
        <f t="shared" si="99"/>
        <v>SP Distribution</v>
      </c>
      <c r="C151" s="630">
        <v>74.5</v>
      </c>
      <c r="D151" s="630">
        <v>87.9</v>
      </c>
      <c r="E151" s="630">
        <v>99.5</v>
      </c>
      <c r="F151" s="630">
        <v>99.7</v>
      </c>
      <c r="G151" s="630">
        <v>82.5</v>
      </c>
      <c r="H151" s="565">
        <f t="shared" si="100"/>
        <v>444.09999999999997</v>
      </c>
      <c r="J151" s="565">
        <f>C151*(Inputs!$C$7/Inputs!F$7)</f>
        <v>68.484971904366617</v>
      </c>
      <c r="K151" s="565">
        <f>D151*(Inputs!$C$7/Inputs!G$7)</f>
        <v>77.895374174993904</v>
      </c>
      <c r="L151" s="565">
        <f>E151*(Inputs!$C$7/Inputs!H$7)</f>
        <v>84.677106040173214</v>
      </c>
      <c r="M151" s="565">
        <f>F151*(Inputs!$C$7/Inputs!I$7)</f>
        <v>82.401401319376319</v>
      </c>
      <c r="N151" s="565">
        <f>G151*(Inputs!$C$7/Inputs!J$7)</f>
        <v>67.874848795228189</v>
      </c>
      <c r="O151" s="565">
        <f t="shared" si="101"/>
        <v>381.33370223413829</v>
      </c>
      <c r="Q151" s="565">
        <f>J151*(Inputs!$H$7/Inputs!$C$7)</f>
        <v>80.473400936158626</v>
      </c>
      <c r="R151" s="565">
        <f>K151*(Inputs!$H$7/Inputs!$C$7)</f>
        <v>91.531112633145426</v>
      </c>
      <c r="S151" s="565">
        <f>L151*(Inputs!$H$7/Inputs!$C$7)</f>
        <v>99.5</v>
      </c>
      <c r="T151" s="565">
        <f>M151*(Inputs!$H$7/Inputs!$C$7)</f>
        <v>96.825928691848944</v>
      </c>
      <c r="U151" s="565">
        <f>N151*(Inputs!$H$7/Inputs!$C$7)</f>
        <v>79.756474576742505</v>
      </c>
      <c r="V151" s="565">
        <f t="shared" si="97"/>
        <v>448.0869168378955</v>
      </c>
      <c r="X151" s="566">
        <f t="shared" si="102"/>
        <v>-0.20458801504800672</v>
      </c>
      <c r="Y151" s="566">
        <f t="shared" si="103"/>
        <v>-0.10051530975757628</v>
      </c>
      <c r="Z151" s="566">
        <f t="shared" si="104"/>
        <v>-2.4457303684640275E-2</v>
      </c>
      <c r="AA151" s="566">
        <f t="shared" si="105"/>
        <v>-5.176753372409304E-2</v>
      </c>
      <c r="AB151" s="566">
        <f t="shared" si="106"/>
        <v>-0.2189315443587091</v>
      </c>
      <c r="AC151" s="566">
        <f t="shared" si="107"/>
        <v>-0.11993145110976633</v>
      </c>
    </row>
    <row r="152" spans="2:29" s="13" customFormat="1" outlineLevel="1">
      <c r="B152" s="13" t="str">
        <f t="shared" si="99"/>
        <v>SP Manweb</v>
      </c>
      <c r="C152" s="630">
        <v>88.899999999999991</v>
      </c>
      <c r="D152" s="630">
        <v>96.7</v>
      </c>
      <c r="E152" s="630">
        <v>101.8</v>
      </c>
      <c r="F152" s="630">
        <v>118.2</v>
      </c>
      <c r="G152" s="630">
        <v>89.899999999999991</v>
      </c>
      <c r="H152" s="565">
        <f t="shared" si="100"/>
        <v>495.49999999999994</v>
      </c>
      <c r="J152" s="565">
        <f>C152*(Inputs!$C$7/Inputs!F$7)</f>
        <v>81.722335601318008</v>
      </c>
      <c r="K152" s="565">
        <f>D152*(Inputs!$C$7/Inputs!G$7)</f>
        <v>85.693773409805573</v>
      </c>
      <c r="L152" s="565">
        <f>E152*(Inputs!$C$7/Inputs!H$7)</f>
        <v>86.634466280297815</v>
      </c>
      <c r="M152" s="565">
        <f>F152*(Inputs!$C$7/Inputs!I$7)</f>
        <v>97.691530952359884</v>
      </c>
      <c r="N152" s="565">
        <f>G152*(Inputs!$C$7/Inputs!J$7)</f>
        <v>73.963017050800161</v>
      </c>
      <c r="O152" s="565">
        <f t="shared" si="101"/>
        <v>425.70512329458143</v>
      </c>
      <c r="Q152" s="565">
        <f>J152*(Inputs!$H$7/Inputs!$C$7)</f>
        <v>96.027991184221491</v>
      </c>
      <c r="R152" s="565">
        <f>K152*(Inputs!$H$7/Inputs!$C$7)</f>
        <v>100.69463699232266</v>
      </c>
      <c r="S152" s="565">
        <f>L152*(Inputs!$H$7/Inputs!$C$7)</f>
        <v>101.79999999999998</v>
      </c>
      <c r="T152" s="565">
        <f>M152*(Inputs!$H$7/Inputs!$C$7)</f>
        <v>114.79262559053706</v>
      </c>
      <c r="U152" s="565">
        <f>N152*(Inputs!$H$7/Inputs!$C$7)</f>
        <v>86.910388659989707</v>
      </c>
      <c r="V152" s="565">
        <f t="shared" si="97"/>
        <v>500.22564242707085</v>
      </c>
      <c r="X152" s="566">
        <f t="shared" si="102"/>
        <v>-0.10880768155596499</v>
      </c>
      <c r="Y152" s="566">
        <f t="shared" si="103"/>
        <v>-8.4468232801222509E-2</v>
      </c>
      <c r="Z152" s="566">
        <f t="shared" si="104"/>
        <v>-0.10869890658129822</v>
      </c>
      <c r="AA152" s="566">
        <f t="shared" si="105"/>
        <v>-2.8911223137575659E-2</v>
      </c>
      <c r="AB152" s="566">
        <f t="shared" si="106"/>
        <v>-0.27201754871259687</v>
      </c>
      <c r="AC152" s="566">
        <f t="shared" si="107"/>
        <v>-0.12171420818118128</v>
      </c>
    </row>
    <row r="153" spans="2:29" s="13" customFormat="1" outlineLevel="1">
      <c r="B153" s="13" t="str">
        <f t="shared" si="99"/>
        <v>SSE Hydro</v>
      </c>
      <c r="C153" s="630">
        <v>35</v>
      </c>
      <c r="D153" s="630">
        <v>41.1</v>
      </c>
      <c r="E153" s="630">
        <v>53.099999999999994</v>
      </c>
      <c r="F153" s="630">
        <v>61.8</v>
      </c>
      <c r="G153" s="630">
        <v>68.8</v>
      </c>
      <c r="H153" s="565">
        <f t="shared" si="100"/>
        <v>259.8</v>
      </c>
      <c r="J153" s="565">
        <f>C153*(Inputs!$C$7/Inputs!F$7)</f>
        <v>32.174147874534647</v>
      </c>
      <c r="K153" s="565">
        <f>D153*(Inputs!$C$7/Inputs!G$7)</f>
        <v>36.422069153495443</v>
      </c>
      <c r="L153" s="565">
        <f>E153*(Inputs!$C$7/Inputs!H$7)</f>
        <v>45.189490761137662</v>
      </c>
      <c r="M153" s="565">
        <f>F153*(Inputs!$C$7/Inputs!I$7)</f>
        <v>51.077297909101866</v>
      </c>
      <c r="N153" s="565">
        <f>G153*(Inputs!$C$7/Inputs!J$7)</f>
        <v>56.603510268020592</v>
      </c>
      <c r="O153" s="565">
        <f t="shared" si="101"/>
        <v>221.46651596629019</v>
      </c>
      <c r="Q153" s="565">
        <f>J153*(Inputs!$H$7/Inputs!$C$7)</f>
        <v>37.806295741819483</v>
      </c>
      <c r="R153" s="565">
        <f>K153*(Inputs!$H$7/Inputs!$C$7)</f>
        <v>42.797823995702807</v>
      </c>
      <c r="S153" s="565">
        <f>L153*(Inputs!$H$7/Inputs!$C$7)</f>
        <v>53.099999999999994</v>
      </c>
      <c r="T153" s="565">
        <f>M153*(Inputs!$H$7/Inputs!$C$7)</f>
        <v>60.01847936967166</v>
      </c>
      <c r="U153" s="565">
        <f>N153*(Inputs!$H$7/Inputs!$C$7)</f>
        <v>66.51206607127132</v>
      </c>
      <c r="V153" s="565">
        <f t="shared" si="97"/>
        <v>260.23466517846526</v>
      </c>
      <c r="X153" s="566">
        <f t="shared" si="102"/>
        <v>-0.32970525261386141</v>
      </c>
      <c r="Y153" s="566">
        <f t="shared" si="103"/>
        <v>-0.23962277341345628</v>
      </c>
      <c r="Z153" s="566">
        <f t="shared" si="104"/>
        <v>-5.4613163992936031E-2</v>
      </c>
      <c r="AA153" s="566">
        <f t="shared" si="105"/>
        <v>5.7500991906870969E-2</v>
      </c>
      <c r="AB153" s="566">
        <f t="shared" si="106"/>
        <v>0.17678815526030323</v>
      </c>
      <c r="AC153" s="566">
        <f t="shared" si="107"/>
        <v>-7.7607180481923388E-2</v>
      </c>
    </row>
    <row r="154" spans="2:29" s="13" customFormat="1" outlineLevel="1">
      <c r="B154" s="13" t="str">
        <f t="shared" si="99"/>
        <v>SSE Southern</v>
      </c>
      <c r="C154" s="630">
        <v>87.800000000000011</v>
      </c>
      <c r="D154" s="630">
        <v>95.1</v>
      </c>
      <c r="E154" s="630">
        <v>123.9</v>
      </c>
      <c r="F154" s="630">
        <v>157.80000000000001</v>
      </c>
      <c r="G154" s="630">
        <v>166.4</v>
      </c>
      <c r="H154" s="565">
        <f t="shared" si="100"/>
        <v>631</v>
      </c>
      <c r="J154" s="565">
        <f>C154*(Inputs!$C$7/Inputs!F$7)</f>
        <v>80.711148096689797</v>
      </c>
      <c r="K154" s="565">
        <f>D154*(Inputs!$C$7/Inputs!G$7)</f>
        <v>84.275882639839807</v>
      </c>
      <c r="L154" s="565">
        <f>E154*(Inputs!$C$7/Inputs!H$7)</f>
        <v>105.44214510932122</v>
      </c>
      <c r="M154" s="565">
        <f>F154*(Inputs!$C$7/Inputs!I$7)</f>
        <v>130.42067330188149</v>
      </c>
      <c r="N154" s="565">
        <f>G154*(Inputs!$C$7/Inputs!J$7)</f>
        <v>136.9015132063754</v>
      </c>
      <c r="O154" s="565">
        <f t="shared" si="101"/>
        <v>537.75136235410775</v>
      </c>
      <c r="Q154" s="565">
        <f>J154*(Inputs!$H$7/Inputs!$C$7)</f>
        <v>94.839793318050042</v>
      </c>
      <c r="R154" s="565">
        <f>K154*(Inputs!$H$7/Inputs!$C$7)</f>
        <v>99.028541654290422</v>
      </c>
      <c r="S154" s="565">
        <f>L154*(Inputs!$H$7/Inputs!$C$7)</f>
        <v>123.89999999999999</v>
      </c>
      <c r="T154" s="565">
        <f>M154*(Inputs!$H$7/Inputs!$C$7)</f>
        <v>153.25106868178301</v>
      </c>
      <c r="U154" s="565">
        <f>N154*(Inputs!$H$7/Inputs!$C$7)</f>
        <v>160.86639235842367</v>
      </c>
      <c r="V154" s="565">
        <f t="shared" si="97"/>
        <v>631.88579601254708</v>
      </c>
      <c r="X154" s="566">
        <f t="shared" si="102"/>
        <v>-0.35379385030672705</v>
      </c>
      <c r="Y154" s="566">
        <f t="shared" si="103"/>
        <v>-0.32362855024205606</v>
      </c>
      <c r="Z154" s="566">
        <f t="shared" si="104"/>
        <v>-0.15239433191863982</v>
      </c>
      <c r="AA154" s="566">
        <f t="shared" si="105"/>
        <v>4.4200747012661967E-2</v>
      </c>
      <c r="AB154" s="566">
        <f t="shared" si="106"/>
        <v>9.784693830293012E-2</v>
      </c>
      <c r="AC154" s="566">
        <f t="shared" si="107"/>
        <v>-0.1375278871626181</v>
      </c>
    </row>
    <row r="155" spans="2:29" s="6" customFormat="1" outlineLevel="1">
      <c r="B155" s="6" t="str">
        <f t="shared" si="99"/>
        <v>GB total</v>
      </c>
      <c r="C155" s="567">
        <f>SUM(C141:C154)</f>
        <v>1112.8999999999999</v>
      </c>
      <c r="D155" s="567">
        <f t="shared" ref="D155:U155" si="108">SUM(D141:D154)</f>
        <v>1221.4999999999998</v>
      </c>
      <c r="E155" s="567">
        <f t="shared" si="108"/>
        <v>1472.1</v>
      </c>
      <c r="F155" s="567">
        <f t="shared" si="108"/>
        <v>1664.9</v>
      </c>
      <c r="G155" s="567">
        <f t="shared" si="108"/>
        <v>1621.1000000000001</v>
      </c>
      <c r="H155" s="567">
        <f t="shared" si="100"/>
        <v>7092.5</v>
      </c>
      <c r="I155" s="567"/>
      <c r="J155" s="567">
        <f t="shared" si="108"/>
        <v>1023.0459762734178</v>
      </c>
      <c r="K155" s="567">
        <f t="shared" si="108"/>
        <v>1082.4709846957344</v>
      </c>
      <c r="L155" s="567">
        <f t="shared" si="108"/>
        <v>1252.7956562988843</v>
      </c>
      <c r="M155" s="567">
        <f t="shared" si="108"/>
        <v>1376.0290176191538</v>
      </c>
      <c r="N155" s="567">
        <f t="shared" si="108"/>
        <v>1333.720210690235</v>
      </c>
      <c r="O155" s="567">
        <f t="shared" si="101"/>
        <v>6068.0618455774256</v>
      </c>
      <c r="P155" s="567"/>
      <c r="Q155" s="567">
        <f t="shared" si="108"/>
        <v>1202.132186602026</v>
      </c>
      <c r="R155" s="567">
        <f t="shared" si="108"/>
        <v>1271.9596596289778</v>
      </c>
      <c r="S155" s="567">
        <f t="shared" si="108"/>
        <v>1472.1</v>
      </c>
      <c r="T155" s="567">
        <f t="shared" si="108"/>
        <v>1616.9056036013974</v>
      </c>
      <c r="U155" s="567">
        <f t="shared" si="108"/>
        <v>1567.1905568043305</v>
      </c>
      <c r="V155" s="567">
        <f t="shared" si="97"/>
        <v>7130.2880066367316</v>
      </c>
      <c r="X155" s="568">
        <f t="shared" si="102"/>
        <v>-0.20712549308423045</v>
      </c>
      <c r="Y155" s="568">
        <f t="shared" si="103"/>
        <v>-0.16100528236263023</v>
      </c>
      <c r="Z155" s="568">
        <f t="shared" si="104"/>
        <v>-3.2739610640144967E-2</v>
      </c>
      <c r="AA155" s="568">
        <f t="shared" si="105"/>
        <v>4.920245338860374E-2</v>
      </c>
      <c r="AB155" s="568">
        <f t="shared" si="106"/>
        <v>1.146686689688714E-2</v>
      </c>
      <c r="AC155" s="568">
        <f t="shared" si="107"/>
        <v>-6.7284293157271025E-2</v>
      </c>
    </row>
    <row r="157" spans="2:29">
      <c r="Q157" s="560"/>
      <c r="R157" s="560"/>
      <c r="S157" s="560"/>
      <c r="T157" s="560"/>
      <c r="U157" s="560"/>
      <c r="V157" s="450"/>
    </row>
    <row r="158" spans="2:29">
      <c r="B158" s="2" t="s">
        <v>390</v>
      </c>
      <c r="Q158" s="560"/>
      <c r="R158" s="560"/>
      <c r="S158" s="560"/>
      <c r="T158" s="560"/>
      <c r="U158" s="560"/>
      <c r="V158" s="450"/>
    </row>
    <row r="159" spans="2:29" ht="89.25">
      <c r="C159" s="355" t="s">
        <v>441</v>
      </c>
      <c r="D159" s="355" t="s">
        <v>442</v>
      </c>
      <c r="E159" s="355" t="s">
        <v>443</v>
      </c>
      <c r="F159" s="355" t="s">
        <v>394</v>
      </c>
      <c r="G159" s="355" t="s">
        <v>395</v>
      </c>
      <c r="H159" s="355" t="s">
        <v>393</v>
      </c>
      <c r="K159" s="355" t="str">
        <f>C159</f>
        <v>DPCR4 RORE allowed</v>
      </c>
      <c r="L159" s="355" t="s">
        <v>442</v>
      </c>
      <c r="M159" s="355" t="s">
        <v>443</v>
      </c>
      <c r="N159" s="355" t="s">
        <v>394</v>
      </c>
      <c r="O159" s="355" t="s">
        <v>395</v>
      </c>
      <c r="P159" s="355" t="s">
        <v>393</v>
      </c>
      <c r="Q159" s="560"/>
      <c r="R159" s="560"/>
      <c r="S159" s="560"/>
      <c r="T159" s="560"/>
      <c r="U159" s="450"/>
    </row>
    <row r="160" spans="2:29">
      <c r="B160" t="str">
        <f>Inputs!B11</f>
        <v>CN West</v>
      </c>
      <c r="C160" s="16">
        <v>7.4999999999999997E-2</v>
      </c>
      <c r="D160" s="16">
        <v>6.0154252965368887E-2</v>
      </c>
      <c r="E160" s="16">
        <v>6.7311385500408827E-2</v>
      </c>
      <c r="F160" s="450">
        <f>AL84+AL122</f>
        <v>938.16149033613681</v>
      </c>
      <c r="G160" s="450">
        <f t="shared" ref="G160:G174" si="109">V103+V141</f>
        <v>1003.658928642382</v>
      </c>
      <c r="H160" s="16">
        <f>(G160/F160)-1</f>
        <v>6.9814673679238215E-2</v>
      </c>
      <c r="J160" t="s">
        <v>5</v>
      </c>
      <c r="K160" s="16">
        <f t="shared" ref="K160:K174" si="110">C160</f>
        <v>7.4999999999999997E-2</v>
      </c>
      <c r="L160" s="16">
        <v>8.4483075505128721E-2</v>
      </c>
      <c r="M160" s="16">
        <v>0.10083254791252363</v>
      </c>
      <c r="N160" s="450">
        <f>AL86+AL124</f>
        <v>896.68215590619491</v>
      </c>
      <c r="O160" s="450">
        <f>V105+V143</f>
        <v>772.61307997796507</v>
      </c>
      <c r="P160" s="16">
        <f>(O160/N160)-1</f>
        <v>-0.13836460903233272</v>
      </c>
      <c r="Q160" s="560"/>
      <c r="R160" s="560"/>
      <c r="S160" s="560"/>
      <c r="T160" s="560"/>
      <c r="U160" s="450"/>
    </row>
    <row r="161" spans="2:21">
      <c r="B161" t="str">
        <f>Inputs!B12</f>
        <v>CN East</v>
      </c>
      <c r="C161" s="16">
        <v>7.4999999999999997E-2</v>
      </c>
      <c r="D161" s="16">
        <v>7.0794147093769799E-2</v>
      </c>
      <c r="E161" s="16">
        <v>0.10039271741140655</v>
      </c>
      <c r="F161" s="450">
        <f t="shared" ref="F161:F174" si="111">AL85+AL123</f>
        <v>947.09188528422624</v>
      </c>
      <c r="G161" s="450">
        <f t="shared" si="109"/>
        <v>957.85724557192862</v>
      </c>
      <c r="H161" s="16">
        <f t="shared" ref="H161:H174" si="112">(G161/F161)-1</f>
        <v>1.1366753801793639E-2</v>
      </c>
      <c r="J161" t="s">
        <v>460</v>
      </c>
      <c r="K161" s="16">
        <f t="shared" si="110"/>
        <v>7.4999999999999997E-2</v>
      </c>
      <c r="L161" s="16">
        <v>7.0794147093769799E-2</v>
      </c>
      <c r="M161" s="16">
        <v>0.10039271741140655</v>
      </c>
      <c r="N161" s="450">
        <f t="shared" ref="N161" si="113">AL85+AL123</f>
        <v>947.09188528422624</v>
      </c>
      <c r="O161" s="450">
        <f t="shared" ref="O161" si="114">V104+V142</f>
        <v>957.85724557192862</v>
      </c>
      <c r="P161" s="16">
        <f t="shared" ref="P161" si="115">(O161/N161)-1</f>
        <v>1.1366753801793639E-2</v>
      </c>
      <c r="Q161" s="560"/>
      <c r="R161" s="560"/>
      <c r="S161" s="560"/>
      <c r="T161" s="560"/>
      <c r="U161" s="450"/>
    </row>
    <row r="162" spans="2:21">
      <c r="B162" t="str">
        <f>Inputs!B13</f>
        <v>ENWL</v>
      </c>
      <c r="C162" s="16">
        <v>7.4999999999999997E-2</v>
      </c>
      <c r="D162" s="16">
        <v>8.4483075505128721E-2</v>
      </c>
      <c r="E162" s="16">
        <v>0.10083254791252363</v>
      </c>
      <c r="F162" s="450">
        <f t="shared" si="111"/>
        <v>896.68215590619491</v>
      </c>
      <c r="G162" s="450">
        <f t="shared" si="109"/>
        <v>772.61307997796507</v>
      </c>
      <c r="H162" s="16">
        <f t="shared" si="112"/>
        <v>-0.13836460903233272</v>
      </c>
      <c r="J162" t="s">
        <v>6</v>
      </c>
      <c r="K162" s="16">
        <f t="shared" si="110"/>
        <v>7.4999999999999997E-2</v>
      </c>
      <c r="L162" s="16">
        <v>7.9507244227542753E-2</v>
      </c>
      <c r="M162" s="16">
        <v>9.4694821484862954E-2</v>
      </c>
      <c r="N162" s="450">
        <f>AL96+AL134</f>
        <v>453.33504881222643</v>
      </c>
      <c r="O162" s="450">
        <f>V115+V153</f>
        <v>425.62845334317785</v>
      </c>
      <c r="P162" s="16">
        <f t="shared" ref="P162:P174" si="116">(O162/N162)-1</f>
        <v>-6.1117258728708546E-2</v>
      </c>
      <c r="Q162" s="560"/>
      <c r="R162" s="560"/>
      <c r="S162" s="560"/>
      <c r="T162" s="560"/>
      <c r="U162" s="450"/>
    </row>
    <row r="163" spans="2:21">
      <c r="B163" t="str">
        <f>Inputs!B14</f>
        <v>CE NEDL</v>
      </c>
      <c r="C163" s="16">
        <v>7.4999999999999997E-2</v>
      </c>
      <c r="D163" s="16">
        <v>7.0366077681058667E-2</v>
      </c>
      <c r="E163" s="16">
        <v>7.9497467994240761E-2</v>
      </c>
      <c r="F163" s="450">
        <f t="shared" si="111"/>
        <v>576.95051572525449</v>
      </c>
      <c r="G163" s="450">
        <f t="shared" si="109"/>
        <v>565.91989847285117</v>
      </c>
      <c r="H163" s="16">
        <f t="shared" si="112"/>
        <v>-1.9118827268118976E-2</v>
      </c>
      <c r="J163" t="s">
        <v>257</v>
      </c>
      <c r="K163" s="16">
        <f t="shared" si="110"/>
        <v>7.4999999999999997E-2</v>
      </c>
      <c r="L163" s="16">
        <v>6.3658017812835421E-2</v>
      </c>
      <c r="M163" s="16">
        <v>8.9502639515358459E-2</v>
      </c>
      <c r="N163" s="450">
        <f>AL91+AL129</f>
        <v>814.42851822642342</v>
      </c>
      <c r="O163" s="450">
        <f>V110+V148</f>
        <v>804.19354327801216</v>
      </c>
      <c r="P163" s="16">
        <f t="shared" si="116"/>
        <v>-1.2567063553594493E-2</v>
      </c>
      <c r="Q163" s="560"/>
      <c r="R163" s="560"/>
      <c r="S163" s="560"/>
      <c r="T163" s="560"/>
      <c r="U163" s="450"/>
    </row>
    <row r="164" spans="2:21">
      <c r="B164" t="str">
        <f>Inputs!B15</f>
        <v>CE YEDL</v>
      </c>
      <c r="C164" s="16">
        <v>7.4999999999999997E-2</v>
      </c>
      <c r="D164" s="16">
        <v>6.1688293210662271E-2</v>
      </c>
      <c r="E164" s="16">
        <v>8.1739509222933507E-2</v>
      </c>
      <c r="F164" s="450">
        <f t="shared" si="111"/>
        <v>761.31616932462794</v>
      </c>
      <c r="G164" s="450">
        <f t="shared" si="109"/>
        <v>757.39127625781748</v>
      </c>
      <c r="H164" s="16">
        <f t="shared" si="112"/>
        <v>-5.155404843551703E-3</v>
      </c>
      <c r="J164" t="s">
        <v>13</v>
      </c>
      <c r="K164" s="16">
        <f t="shared" si="110"/>
        <v>7.4999999999999997E-2</v>
      </c>
      <c r="L164" s="16">
        <v>8.1114602229601804E-2</v>
      </c>
      <c r="M164" s="16">
        <v>8.9493329036251179E-2</v>
      </c>
      <c r="N164" s="450">
        <f>AL89+AL127</f>
        <v>438.99941481660909</v>
      </c>
      <c r="O164" s="450">
        <f>V108+V146</f>
        <v>421.32869593496224</v>
      </c>
      <c r="P164" s="16">
        <f t="shared" si="116"/>
        <v>-4.0252260675629259E-2</v>
      </c>
      <c r="Q164" s="560"/>
      <c r="R164" s="560"/>
      <c r="S164" s="560"/>
      <c r="T164" s="560"/>
      <c r="U164" s="450"/>
    </row>
    <row r="165" spans="2:21">
      <c r="B165" t="str">
        <f>Inputs!B16</f>
        <v>WPD S Wales</v>
      </c>
      <c r="C165" s="16">
        <v>7.4999999999999997E-2</v>
      </c>
      <c r="D165" s="16">
        <v>5.9139585795798574E-2</v>
      </c>
      <c r="E165" s="16">
        <v>7.7126186725284748E-2</v>
      </c>
      <c r="F165" s="450">
        <f t="shared" si="111"/>
        <v>438.99941481660909</v>
      </c>
      <c r="G165" s="450">
        <f t="shared" si="109"/>
        <v>421.32869593496224</v>
      </c>
      <c r="H165" s="16">
        <f t="shared" si="112"/>
        <v>-4.0252260675629259E-2</v>
      </c>
      <c r="J165" t="s">
        <v>7</v>
      </c>
      <c r="K165" s="16">
        <f t="shared" si="110"/>
        <v>7.4999999999999997E-2</v>
      </c>
      <c r="L165" s="16">
        <v>7.5382512484462733E-2</v>
      </c>
      <c r="M165" s="16">
        <v>8.9106767965445449E-2</v>
      </c>
      <c r="N165" s="450">
        <f>AL97+AL135</f>
        <v>1051.5540051375363</v>
      </c>
      <c r="O165" s="450">
        <f>V116+V154</f>
        <v>978.12397285377972</v>
      </c>
      <c r="P165" s="16">
        <f t="shared" si="116"/>
        <v>-6.9830015315430538E-2</v>
      </c>
      <c r="Q165" s="560"/>
      <c r="R165" s="560"/>
      <c r="S165" s="560"/>
      <c r="T165" s="560"/>
      <c r="U165" s="450"/>
    </row>
    <row r="166" spans="2:21">
      <c r="B166" t="str">
        <f>Inputs!B17</f>
        <v>WPD S West</v>
      </c>
      <c r="C166" s="16">
        <v>7.4999999999999997E-2</v>
      </c>
      <c r="D166" s="16">
        <v>8.1114602229601804E-2</v>
      </c>
      <c r="E166" s="16">
        <v>8.9493329036251179E-2</v>
      </c>
      <c r="F166" s="450">
        <f t="shared" si="111"/>
        <v>603.85920576620833</v>
      </c>
      <c r="G166" s="450">
        <f t="shared" si="109"/>
        <v>627.14251998169436</v>
      </c>
      <c r="H166" s="16">
        <f t="shared" si="112"/>
        <v>3.8557521344636747E-2</v>
      </c>
      <c r="J166" t="s">
        <v>259</v>
      </c>
      <c r="K166" s="16">
        <f t="shared" si="110"/>
        <v>7.4999999999999997E-2</v>
      </c>
      <c r="L166" s="16">
        <v>4.852213732903058E-2</v>
      </c>
      <c r="M166" s="16">
        <v>8.6624745779373999E-2</v>
      </c>
      <c r="N166" s="450">
        <f>AL93+AL131</f>
        <v>1285.3893465414581</v>
      </c>
      <c r="O166" s="450">
        <f>V112+V150</f>
        <v>1377.7080038285067</v>
      </c>
      <c r="P166" s="16">
        <f t="shared" si="116"/>
        <v>7.1821551606481293E-2</v>
      </c>
      <c r="Q166" s="560"/>
      <c r="R166" s="560"/>
      <c r="S166" s="560"/>
      <c r="T166" s="560"/>
      <c r="U166" s="450"/>
    </row>
    <row r="167" spans="2:21">
      <c r="B167" t="str">
        <f>Inputs!B18</f>
        <v>UKPN LPN</v>
      </c>
      <c r="C167" s="16">
        <v>7.4999999999999997E-2</v>
      </c>
      <c r="D167" s="16">
        <v>6.3658017812835421E-2</v>
      </c>
      <c r="E167" s="16">
        <v>8.9502639515358459E-2</v>
      </c>
      <c r="F167" s="450">
        <f t="shared" si="111"/>
        <v>814.42851822642342</v>
      </c>
      <c r="G167" s="450">
        <f t="shared" si="109"/>
        <v>804.19354327801216</v>
      </c>
      <c r="H167" s="16">
        <f t="shared" si="112"/>
        <v>-1.2567063553594493E-2</v>
      </c>
      <c r="J167" t="s">
        <v>66</v>
      </c>
      <c r="K167" s="16">
        <f t="shared" si="110"/>
        <v>7.4999999999999997E-2</v>
      </c>
      <c r="L167" s="16">
        <v>6.77078575931572E-2</v>
      </c>
      <c r="M167" s="16">
        <v>8.3146282828022167E-2</v>
      </c>
      <c r="N167" s="450">
        <f>AL98+AL136</f>
        <v>11185.907198465498</v>
      </c>
      <c r="O167" s="450">
        <f>V117+V155</f>
        <v>10993.348605652674</v>
      </c>
      <c r="P167" s="16">
        <f t="shared" si="116"/>
        <v>-1.7214392127197331E-2</v>
      </c>
      <c r="Q167" s="560"/>
      <c r="R167" s="450"/>
      <c r="S167" s="450"/>
      <c r="T167" s="450"/>
      <c r="U167" s="450"/>
    </row>
    <row r="168" spans="2:21">
      <c r="B168" t="str">
        <f>Inputs!B19</f>
        <v>UKPN SEPN</v>
      </c>
      <c r="C168" s="16">
        <v>7.4999999999999997E-2</v>
      </c>
      <c r="D168" s="16">
        <v>5.1432737095413184E-2</v>
      </c>
      <c r="E168" s="16">
        <v>7.4382192572181954E-2</v>
      </c>
      <c r="F168" s="450">
        <f t="shared" si="111"/>
        <v>865.42577358788174</v>
      </c>
      <c r="G168" s="450">
        <f t="shared" si="109"/>
        <v>877.31963399785968</v>
      </c>
      <c r="H168" s="16">
        <f t="shared" si="112"/>
        <v>1.3743362831301287E-2</v>
      </c>
      <c r="J168" t="s">
        <v>2</v>
      </c>
      <c r="K168" s="16">
        <f t="shared" si="110"/>
        <v>7.4999999999999997E-2</v>
      </c>
      <c r="L168" s="16">
        <v>6.1688293210662271E-2</v>
      </c>
      <c r="M168" s="16">
        <v>8.1739509222933507E-2</v>
      </c>
      <c r="N168" s="450">
        <f>AL88+AL126</f>
        <v>761.31616932462794</v>
      </c>
      <c r="O168" s="450">
        <f>V107+V145</f>
        <v>757.39127625781748</v>
      </c>
      <c r="P168" s="16">
        <f t="shared" si="116"/>
        <v>-5.155404843551703E-3</v>
      </c>
      <c r="Q168" s="560"/>
    </row>
    <row r="169" spans="2:21">
      <c r="B169" t="str">
        <f>Inputs!B20</f>
        <v>UKPN EPN</v>
      </c>
      <c r="C169" s="16">
        <v>7.4999999999999997E-2</v>
      </c>
      <c r="D169" s="16">
        <v>4.852213732903058E-2</v>
      </c>
      <c r="E169" s="16">
        <v>8.6624745779373999E-2</v>
      </c>
      <c r="F169" s="450">
        <f t="shared" si="111"/>
        <v>1285.3893465414581</v>
      </c>
      <c r="G169" s="450">
        <f t="shared" si="109"/>
        <v>1377.7080038285067</v>
      </c>
      <c r="H169" s="16">
        <f t="shared" si="112"/>
        <v>7.1821551606481293E-2</v>
      </c>
      <c r="J169" t="s">
        <v>1</v>
      </c>
      <c r="K169" s="16">
        <f t="shared" si="110"/>
        <v>7.4999999999999997E-2</v>
      </c>
      <c r="L169" s="16">
        <v>7.0366077681058667E-2</v>
      </c>
      <c r="M169" s="16">
        <v>7.9497467994240761E-2</v>
      </c>
      <c r="N169" s="450">
        <f>AL87+AL125</f>
        <v>576.95051572525449</v>
      </c>
      <c r="O169" s="450">
        <f>V106+V144</f>
        <v>565.91989847285117</v>
      </c>
      <c r="P169" s="16">
        <f t="shared" si="116"/>
        <v>-1.9118827268118976E-2</v>
      </c>
      <c r="Q169" s="560"/>
    </row>
    <row r="170" spans="2:21">
      <c r="B170" t="str">
        <f>Inputs!B21</f>
        <v>SP Distribution</v>
      </c>
      <c r="C170" s="16">
        <v>7.4999999999999997E-2</v>
      </c>
      <c r="D170" s="16">
        <v>8.1935701271284328E-2</v>
      </c>
      <c r="E170" s="16">
        <v>7.4186631300421663E-2</v>
      </c>
      <c r="F170" s="450">
        <f t="shared" si="111"/>
        <v>760.84614853788651</v>
      </c>
      <c r="G170" s="450">
        <f t="shared" si="109"/>
        <v>678.38137844778817</v>
      </c>
      <c r="H170" s="16">
        <f t="shared" si="112"/>
        <v>-0.10838560495912397</v>
      </c>
      <c r="J170" t="s">
        <v>14</v>
      </c>
      <c r="K170" s="16">
        <f t="shared" si="110"/>
        <v>7.4999999999999997E-2</v>
      </c>
      <c r="L170" s="16">
        <v>5.9139585795798574E-2</v>
      </c>
      <c r="M170" s="16">
        <v>7.7126186725284748E-2</v>
      </c>
      <c r="N170" s="450">
        <f>AL90+AL128</f>
        <v>603.85920576620833</v>
      </c>
      <c r="O170" s="450">
        <f>V109+V147</f>
        <v>627.14251998169436</v>
      </c>
      <c r="P170" s="16">
        <f t="shared" si="116"/>
        <v>3.8557521344636747E-2</v>
      </c>
      <c r="Q170" s="560"/>
    </row>
    <row r="171" spans="2:21">
      <c r="B171" t="str">
        <f>Inputs!B22</f>
        <v>SP Manweb</v>
      </c>
      <c r="C171" s="16">
        <v>7.4999999999999997E-2</v>
      </c>
      <c r="D171" s="16">
        <v>6.2690668760537235E-2</v>
      </c>
      <c r="E171" s="16">
        <v>5.3271681935735241E-2</v>
      </c>
      <c r="F171" s="450">
        <f t="shared" si="111"/>
        <v>791.86752046282891</v>
      </c>
      <c r="G171" s="450">
        <f t="shared" si="109"/>
        <v>746.08197506394993</v>
      </c>
      <c r="H171" s="16">
        <f t="shared" si="112"/>
        <v>-5.7819703695030089E-2</v>
      </c>
      <c r="J171" t="s">
        <v>258</v>
      </c>
      <c r="K171" s="16">
        <f t="shared" si="110"/>
        <v>7.4999999999999997E-2</v>
      </c>
      <c r="L171" s="16">
        <v>5.1432737095413184E-2</v>
      </c>
      <c r="M171" s="16">
        <v>7.4382192572181954E-2</v>
      </c>
      <c r="N171" s="450">
        <f>AL92+AL130</f>
        <v>865.42577358788174</v>
      </c>
      <c r="O171" s="450">
        <f>V111+V149</f>
        <v>877.31963399785968</v>
      </c>
      <c r="P171" s="16">
        <f t="shared" si="116"/>
        <v>1.3743362831301287E-2</v>
      </c>
      <c r="Q171" s="560"/>
    </row>
    <row r="172" spans="2:21">
      <c r="B172" t="str">
        <f>Inputs!B23</f>
        <v>SSE Hydro</v>
      </c>
      <c r="C172" s="16">
        <v>7.4999999999999997E-2</v>
      </c>
      <c r="D172" s="16">
        <v>7.9507244227542753E-2</v>
      </c>
      <c r="E172" s="16">
        <v>9.4694821484862954E-2</v>
      </c>
      <c r="F172" s="450">
        <f t="shared" si="111"/>
        <v>453.33504881222643</v>
      </c>
      <c r="G172" s="450">
        <f t="shared" si="109"/>
        <v>425.62845334317785</v>
      </c>
      <c r="H172" s="16">
        <f t="shared" si="112"/>
        <v>-6.1117258728708546E-2</v>
      </c>
      <c r="J172" t="s">
        <v>8</v>
      </c>
      <c r="K172" s="16">
        <f t="shared" si="110"/>
        <v>7.4999999999999997E-2</v>
      </c>
      <c r="L172" s="16">
        <v>8.1935701271284328E-2</v>
      </c>
      <c r="M172" s="16">
        <v>7.4186631300421663E-2</v>
      </c>
      <c r="N172" s="450">
        <f>AL94+AL132</f>
        <v>760.84614853788651</v>
      </c>
      <c r="O172" s="450">
        <f>V113+V151</f>
        <v>678.38137844778817</v>
      </c>
      <c r="P172" s="16">
        <f t="shared" si="116"/>
        <v>-0.10838560495912397</v>
      </c>
      <c r="Q172" s="560"/>
    </row>
    <row r="173" spans="2:21">
      <c r="B173" t="str">
        <f>Inputs!B24</f>
        <v>SSE Southern</v>
      </c>
      <c r="C173" s="16">
        <v>7.4999999999999997E-2</v>
      </c>
      <c r="D173" s="16">
        <v>7.5382512484462733E-2</v>
      </c>
      <c r="E173" s="16">
        <v>8.9106767965445449E-2</v>
      </c>
      <c r="F173" s="450">
        <f t="shared" si="111"/>
        <v>1051.5540051375363</v>
      </c>
      <c r="G173" s="450">
        <f t="shared" si="109"/>
        <v>978.12397285377972</v>
      </c>
      <c r="H173" s="16">
        <f t="shared" si="112"/>
        <v>-6.9830015315430538E-2</v>
      </c>
      <c r="J173" t="s">
        <v>4</v>
      </c>
      <c r="K173" s="16">
        <f t="shared" si="110"/>
        <v>7.4999999999999997E-2</v>
      </c>
      <c r="L173" s="16">
        <v>6.0154252965368887E-2</v>
      </c>
      <c r="M173" s="16">
        <v>6.7311385500408827E-2</v>
      </c>
      <c r="N173" s="450">
        <f>AL84+AL122</f>
        <v>938.16149033613681</v>
      </c>
      <c r="O173" s="450">
        <f>V103+V141</f>
        <v>1003.658928642382</v>
      </c>
      <c r="P173" s="16">
        <f t="shared" si="116"/>
        <v>6.9814673679238215E-2</v>
      </c>
      <c r="Q173" s="560"/>
    </row>
    <row r="174" spans="2:21">
      <c r="B174" t="s">
        <v>66</v>
      </c>
      <c r="C174" s="16">
        <v>7.4999999999999997E-2</v>
      </c>
      <c r="D174" s="16">
        <v>6.77078575931572E-2</v>
      </c>
      <c r="E174" s="16">
        <v>8.3146282828022167E-2</v>
      </c>
      <c r="F174" s="450">
        <f t="shared" si="111"/>
        <v>11185.907198465498</v>
      </c>
      <c r="G174" s="450">
        <f t="shared" si="109"/>
        <v>10993.348605652674</v>
      </c>
      <c r="H174" s="16">
        <f t="shared" si="112"/>
        <v>-1.7214392127197331E-2</v>
      </c>
      <c r="J174" t="s">
        <v>9</v>
      </c>
      <c r="K174" s="16">
        <f t="shared" si="110"/>
        <v>7.4999999999999997E-2</v>
      </c>
      <c r="L174" s="16">
        <v>6.2690668760537235E-2</v>
      </c>
      <c r="M174" s="16">
        <v>5.3271681935735241E-2</v>
      </c>
      <c r="N174" s="450">
        <f>AL95+AL133</f>
        <v>791.86752046282891</v>
      </c>
      <c r="O174" s="450">
        <f>V114+V152</f>
        <v>746.08197506394993</v>
      </c>
      <c r="P174" s="16">
        <f t="shared" si="116"/>
        <v>-5.7819703695030089E-2</v>
      </c>
      <c r="Q174" s="560"/>
    </row>
    <row r="175" spans="2:21">
      <c r="C175" s="710" t="s">
        <v>462</v>
      </c>
      <c r="J175" s="710" t="s">
        <v>461</v>
      </c>
    </row>
    <row r="176" spans="2:21">
      <c r="C176" s="552" t="s">
        <v>355</v>
      </c>
      <c r="D176" s="552" t="s">
        <v>392</v>
      </c>
      <c r="E176" s="552" t="s">
        <v>391</v>
      </c>
      <c r="K176" t="s">
        <v>355</v>
      </c>
      <c r="L176" s="552" t="s">
        <v>392</v>
      </c>
      <c r="M176" s="552" t="s">
        <v>391</v>
      </c>
    </row>
    <row r="178" spans="3:3">
      <c r="C178" s="37"/>
    </row>
  </sheetData>
  <mergeCells count="2">
    <mergeCell ref="B40:B41"/>
    <mergeCell ref="B78:B79"/>
  </mergeCells>
  <conditionalFormatting sqref="X141:AC155 X103:AC117">
    <cfRule type="cellIs" dxfId="70" priority="16" operator="lessThan">
      <formula>-0.2</formula>
    </cfRule>
    <cfRule type="cellIs" dxfId="69" priority="17" operator="lessThan">
      <formula>-0.1</formula>
    </cfRule>
    <cfRule type="cellIs" dxfId="68" priority="18" operator="greaterThan">
      <formula>0.2</formula>
    </cfRule>
    <cfRule type="cellIs" dxfId="67" priority="19" operator="greaterThan">
      <formula>0.1</formula>
    </cfRule>
    <cfRule type="cellIs" dxfId="66" priority="20" operator="between">
      <formula>-0.1</formula>
      <formula>0.1</formula>
    </cfRule>
  </conditionalFormatting>
  <conditionalFormatting sqref="P160:P174 H160:H174">
    <cfRule type="cellIs" dxfId="65" priority="6" operator="between">
      <formula>-0.1</formula>
      <formula>0.1</formula>
    </cfRule>
    <cfRule type="cellIs" dxfId="64" priority="7" operator="lessThan">
      <formula>-0.1</formula>
    </cfRule>
    <cfRule type="cellIs" dxfId="63" priority="8" operator="greaterThan">
      <formula>0.1</formula>
    </cfRule>
    <cfRule type="cellIs" dxfId="62" priority="9" operator="lessThan">
      <formula>-0.2</formula>
    </cfRule>
    <cfRule type="cellIs" dxfId="61" priority="10" operator="greaterThan">
      <formula>0.2</formula>
    </cfRule>
  </conditionalFormatting>
  <dataValidations disablePrompts="1" count="1">
    <dataValidation type="list" allowBlank="1" showInputMessage="1" showErrorMessage="1" sqref="B78:B79 B40:B41">
      <formula1>DNO_list_total</formula1>
    </dataValidation>
  </dataValidations>
  <pageMargins left="0.7" right="0.7" top="0.75" bottom="0.75" header="0.3" footer="0.3"/>
  <pageSetup orientation="portrait" r:id="rId1"/>
  <ignoredErrors>
    <ignoredError sqref="N169:O16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>
    <tabColor theme="6"/>
  </sheetPr>
  <dimension ref="A1:P82"/>
  <sheetViews>
    <sheetView zoomScale="75" zoomScaleNormal="75" workbookViewId="0">
      <pane ySplit="27" topLeftCell="A28" activePane="bottomLeft" state="frozen"/>
      <selection pane="bottomLeft" activeCell="A2" sqref="A2"/>
    </sheetView>
  </sheetViews>
  <sheetFormatPr defaultRowHeight="12.75"/>
  <cols>
    <col min="1" max="1" width="1.625" customWidth="1"/>
    <col min="2" max="2" width="14.625" customWidth="1"/>
    <col min="3" max="16" width="12.625" customWidth="1"/>
    <col min="17" max="26" width="14.625" customWidth="1"/>
  </cols>
  <sheetData>
    <row r="1" spans="1:10">
      <c r="A1" s="2" t="s">
        <v>440</v>
      </c>
    </row>
    <row r="2" spans="1:10">
      <c r="A2" s="2"/>
    </row>
    <row r="3" spans="1:10">
      <c r="A3" s="2" t="s">
        <v>46</v>
      </c>
    </row>
    <row r="4" spans="1:10">
      <c r="A4" s="2"/>
    </row>
    <row r="5" spans="1:10">
      <c r="A5" s="2"/>
      <c r="B5" s="465" t="s">
        <v>504</v>
      </c>
      <c r="G5" s="465" t="s">
        <v>504</v>
      </c>
    </row>
    <row r="6" spans="1:10">
      <c r="A6" s="2"/>
      <c r="B6" s="465"/>
    </row>
    <row r="7" spans="1:10">
      <c r="A7" s="2"/>
      <c r="B7" s="2" t="s">
        <v>16</v>
      </c>
      <c r="G7" s="2" t="s">
        <v>17</v>
      </c>
    </row>
    <row r="9" spans="1:10" ht="38.25">
      <c r="B9" s="4" t="s">
        <v>15</v>
      </c>
      <c r="C9" s="3" t="s">
        <v>0</v>
      </c>
      <c r="D9" s="4" t="s">
        <v>45</v>
      </c>
      <c r="E9" s="4" t="s">
        <v>18</v>
      </c>
      <c r="G9" s="4" t="s">
        <v>15</v>
      </c>
      <c r="H9" s="3" t="s">
        <v>0</v>
      </c>
      <c r="I9" s="4" t="s">
        <v>21</v>
      </c>
      <c r="J9" s="4" t="s">
        <v>18</v>
      </c>
    </row>
    <row r="10" spans="1:10">
      <c r="B10" s="1" t="str">
        <f>Inputs!B11</f>
        <v>CN West</v>
      </c>
      <c r="C10" s="11">
        <f t="shared" ref="C10:C23" si="0">LOOKUP($B$7,$27:$27,29:29)</f>
        <v>2433482</v>
      </c>
      <c r="D10" s="7">
        <f t="shared" ref="D10:D23" si="1">LOOKUP($B$7,$27:$27,47:47)</f>
        <v>61964</v>
      </c>
      <c r="E10" s="89">
        <f t="shared" ref="E10:E23" si="2">LOOKUP($B$7,$27:$27,65:65)</f>
        <v>26750.612000000001</v>
      </c>
      <c r="G10" s="1" t="s">
        <v>4</v>
      </c>
      <c r="H10" s="7">
        <f t="shared" ref="H10:H23" si="3">LOOKUP($G$7,$27:$27,29:29)</f>
        <v>2435566</v>
      </c>
      <c r="I10" s="7">
        <f t="shared" ref="I10:I23" si="4">LOOKUP($G$7,$27:$27,47:47)</f>
        <v>62139.9</v>
      </c>
      <c r="J10" s="89">
        <f t="shared" ref="J10:J23" si="5">LOOKUP($G$7,$27:$27,65:65)</f>
        <v>25385.293000000001</v>
      </c>
    </row>
    <row r="11" spans="1:10">
      <c r="B11" s="1" t="str">
        <f>Inputs!B12</f>
        <v>CN East</v>
      </c>
      <c r="C11" s="11">
        <f t="shared" si="0"/>
        <v>2576436</v>
      </c>
      <c r="D11" s="7">
        <f t="shared" si="1"/>
        <v>70948</v>
      </c>
      <c r="E11" s="89">
        <f t="shared" si="2"/>
        <v>29665.363000000001</v>
      </c>
      <c r="G11" s="1" t="s">
        <v>3</v>
      </c>
      <c r="H11" s="7">
        <f t="shared" si="3"/>
        <v>2591542</v>
      </c>
      <c r="I11" s="7">
        <f t="shared" si="4"/>
        <v>71387</v>
      </c>
      <c r="J11" s="89">
        <f t="shared" si="5"/>
        <v>29080.85</v>
      </c>
    </row>
    <row r="12" spans="1:10">
      <c r="B12" s="1" t="str">
        <f>Inputs!B13</f>
        <v>ENWL</v>
      </c>
      <c r="C12" s="11">
        <f t="shared" si="0"/>
        <v>2342770</v>
      </c>
      <c r="D12" s="7">
        <f t="shared" si="1"/>
        <v>56519.635000000009</v>
      </c>
      <c r="E12" s="89">
        <f t="shared" si="2"/>
        <v>25601.71</v>
      </c>
      <c r="G12" s="1" t="s">
        <v>5</v>
      </c>
      <c r="H12" s="7">
        <f t="shared" si="3"/>
        <v>2356612</v>
      </c>
      <c r="I12" s="7">
        <f t="shared" si="4"/>
        <v>56832</v>
      </c>
      <c r="J12" s="89">
        <f t="shared" si="5"/>
        <v>25340.11</v>
      </c>
    </row>
    <row r="13" spans="1:10">
      <c r="B13" s="1" t="str">
        <f>Inputs!B14</f>
        <v>CE NEDL</v>
      </c>
      <c r="C13" s="11">
        <f t="shared" si="0"/>
        <v>1558187</v>
      </c>
      <c r="D13" s="7">
        <f t="shared" si="1"/>
        <v>39530.400000000001</v>
      </c>
      <c r="E13" s="89">
        <f t="shared" si="2"/>
        <v>16932.381000000001</v>
      </c>
      <c r="G13" s="1" t="s">
        <v>1</v>
      </c>
      <c r="H13" s="7">
        <f t="shared" si="3"/>
        <v>1568612</v>
      </c>
      <c r="I13" s="7">
        <f t="shared" si="4"/>
        <v>39900.403086638478</v>
      </c>
      <c r="J13" s="89">
        <f t="shared" si="5"/>
        <v>16306.416000000001</v>
      </c>
    </row>
    <row r="14" spans="1:10">
      <c r="B14" s="1" t="str">
        <f>Inputs!B15</f>
        <v>CE YEDL</v>
      </c>
      <c r="C14" s="11">
        <f t="shared" si="0"/>
        <v>2234349</v>
      </c>
      <c r="D14" s="7">
        <f t="shared" si="1"/>
        <v>52140.6</v>
      </c>
      <c r="E14" s="89">
        <f t="shared" si="2"/>
        <v>24137.053</v>
      </c>
      <c r="G14" s="1" t="s">
        <v>2</v>
      </c>
      <c r="H14" s="7">
        <f t="shared" si="3"/>
        <v>2247727</v>
      </c>
      <c r="I14" s="7">
        <f t="shared" si="4"/>
        <v>52549.063190000001</v>
      </c>
      <c r="J14" s="89">
        <f t="shared" si="5"/>
        <v>23823.4</v>
      </c>
    </row>
    <row r="15" spans="1:10">
      <c r="B15" s="1" t="str">
        <f>Inputs!B16</f>
        <v>WPD S Wales</v>
      </c>
      <c r="C15" s="11">
        <f t="shared" si="0"/>
        <v>1079585</v>
      </c>
      <c r="D15" s="7">
        <f t="shared" si="1"/>
        <v>34756.953999999998</v>
      </c>
      <c r="E15" s="89">
        <f t="shared" si="2"/>
        <v>12653.151</v>
      </c>
      <c r="G15" s="1" t="s">
        <v>13</v>
      </c>
      <c r="H15" s="7">
        <f t="shared" si="3"/>
        <v>1088889</v>
      </c>
      <c r="I15" s="7">
        <f t="shared" si="4"/>
        <v>34944.716697975724</v>
      </c>
      <c r="J15" s="89">
        <f t="shared" si="5"/>
        <v>12354.206999999999</v>
      </c>
    </row>
    <row r="16" spans="1:10">
      <c r="B16" s="1" t="str">
        <f>Inputs!B17</f>
        <v>WPD S West</v>
      </c>
      <c r="C16" s="11">
        <f t="shared" si="0"/>
        <v>1504598</v>
      </c>
      <c r="D16" s="7">
        <f t="shared" si="1"/>
        <v>49612.456999999995</v>
      </c>
      <c r="E16" s="89">
        <f t="shared" si="2"/>
        <v>15215.521999999999</v>
      </c>
      <c r="G16" s="1" t="s">
        <v>14</v>
      </c>
      <c r="H16" s="7">
        <f t="shared" si="3"/>
        <v>1520440</v>
      </c>
      <c r="I16" s="7">
        <f t="shared" si="4"/>
        <v>49841.116999999998</v>
      </c>
      <c r="J16" s="89">
        <f t="shared" si="5"/>
        <v>14943.494999999999</v>
      </c>
    </row>
    <row r="17" spans="2:16">
      <c r="B17" s="1" t="str">
        <f>Inputs!B18</f>
        <v>UKPN LPN</v>
      </c>
      <c r="C17" s="11">
        <f t="shared" si="0"/>
        <v>2206090</v>
      </c>
      <c r="D17" s="7">
        <f t="shared" si="1"/>
        <v>35920</v>
      </c>
      <c r="E17" s="89">
        <f t="shared" si="2"/>
        <v>29771.732</v>
      </c>
      <c r="G17" s="1" t="s">
        <v>10</v>
      </c>
      <c r="H17" s="7">
        <f t="shared" si="3"/>
        <v>2223548</v>
      </c>
      <c r="I17" s="7">
        <f t="shared" si="4"/>
        <v>36134</v>
      </c>
      <c r="J17" s="89">
        <f t="shared" si="5"/>
        <v>30040.212</v>
      </c>
    </row>
    <row r="18" spans="2:16">
      <c r="B18" s="1" t="str">
        <f>Inputs!B19</f>
        <v>UKPN SEPN</v>
      </c>
      <c r="C18" s="11">
        <f t="shared" si="0"/>
        <v>2214187</v>
      </c>
      <c r="D18" s="7">
        <f t="shared" si="1"/>
        <v>51815</v>
      </c>
      <c r="E18" s="89">
        <f t="shared" si="2"/>
        <v>22750.984</v>
      </c>
      <c r="G18" s="1" t="s">
        <v>11</v>
      </c>
      <c r="H18" s="7">
        <f t="shared" si="3"/>
        <v>2229279</v>
      </c>
      <c r="I18" s="7">
        <f t="shared" si="4"/>
        <v>51922</v>
      </c>
      <c r="J18" s="89">
        <f t="shared" si="5"/>
        <v>22442.992999999999</v>
      </c>
    </row>
    <row r="19" spans="2:16">
      <c r="B19" s="1" t="str">
        <f>Inputs!B20</f>
        <v>UKPN EPN</v>
      </c>
      <c r="C19" s="11">
        <f t="shared" si="0"/>
        <v>3469255</v>
      </c>
      <c r="D19" s="7">
        <f t="shared" si="1"/>
        <v>94438.8</v>
      </c>
      <c r="E19" s="89">
        <f t="shared" si="2"/>
        <v>36840.911999999997</v>
      </c>
      <c r="G19" s="1" t="s">
        <v>12</v>
      </c>
      <c r="H19" s="7">
        <f t="shared" si="3"/>
        <v>3496181</v>
      </c>
      <c r="I19" s="7">
        <f t="shared" si="4"/>
        <v>95157.4</v>
      </c>
      <c r="J19" s="89">
        <f t="shared" si="5"/>
        <v>36035.919000000002</v>
      </c>
    </row>
    <row r="20" spans="2:16" ht="12.75" customHeight="1">
      <c r="B20" s="1" t="str">
        <f>Inputs!B21</f>
        <v>SP Distribution</v>
      </c>
      <c r="C20" s="11">
        <f t="shared" si="0"/>
        <v>1982108</v>
      </c>
      <c r="D20" s="7">
        <f t="shared" si="1"/>
        <v>62363</v>
      </c>
      <c r="E20" s="89">
        <f t="shared" si="2"/>
        <v>21123.499</v>
      </c>
      <c r="G20" s="1" t="s">
        <v>8</v>
      </c>
      <c r="H20" s="7">
        <f t="shared" si="3"/>
        <v>1991331</v>
      </c>
      <c r="I20" s="7">
        <f t="shared" si="4"/>
        <v>63152</v>
      </c>
      <c r="J20" s="89">
        <f t="shared" si="5"/>
        <v>20793.239000000001</v>
      </c>
    </row>
    <row r="21" spans="2:16">
      <c r="B21" s="1" t="str">
        <f>Inputs!B22</f>
        <v>SP Manweb</v>
      </c>
      <c r="C21" s="11">
        <f t="shared" si="0"/>
        <v>1473411</v>
      </c>
      <c r="D21" s="7">
        <f t="shared" si="1"/>
        <v>48562.286</v>
      </c>
      <c r="E21" s="89">
        <f t="shared" si="2"/>
        <v>16760.644</v>
      </c>
      <c r="G21" s="1" t="s">
        <v>9</v>
      </c>
      <c r="H21" s="7">
        <f t="shared" si="3"/>
        <v>1482550</v>
      </c>
      <c r="I21" s="7">
        <f t="shared" si="4"/>
        <v>49040.286</v>
      </c>
      <c r="J21" s="89">
        <f t="shared" si="5"/>
        <v>16509.417999999998</v>
      </c>
    </row>
    <row r="22" spans="2:16">
      <c r="B22" s="1" t="str">
        <f>Inputs!B23</f>
        <v>SSE Hydro</v>
      </c>
      <c r="C22" s="11">
        <f t="shared" si="0"/>
        <v>721019</v>
      </c>
      <c r="D22" s="7">
        <f t="shared" si="1"/>
        <v>46461</v>
      </c>
      <c r="E22" s="89">
        <f t="shared" si="2"/>
        <v>8653.4049999999988</v>
      </c>
      <c r="G22" s="1" t="s">
        <v>6</v>
      </c>
      <c r="H22" s="7">
        <f t="shared" si="3"/>
        <v>729290</v>
      </c>
      <c r="I22" s="7">
        <f t="shared" si="4"/>
        <v>46615</v>
      </c>
      <c r="J22" s="89">
        <f t="shared" si="5"/>
        <v>8516.0840000000007</v>
      </c>
    </row>
    <row r="23" spans="2:16">
      <c r="B23" s="1" t="str">
        <f>Inputs!B24</f>
        <v>SSE Southern</v>
      </c>
      <c r="C23" s="11">
        <f t="shared" si="0"/>
        <v>2876427</v>
      </c>
      <c r="D23" s="7">
        <f t="shared" si="1"/>
        <v>75450</v>
      </c>
      <c r="E23" s="89">
        <f t="shared" si="2"/>
        <v>34249.224999999999</v>
      </c>
      <c r="G23" s="5" t="s">
        <v>7</v>
      </c>
      <c r="H23" s="7">
        <f t="shared" si="3"/>
        <v>2905434</v>
      </c>
      <c r="I23" s="7">
        <f t="shared" si="4"/>
        <v>75658</v>
      </c>
      <c r="J23" s="89">
        <f t="shared" si="5"/>
        <v>34371.775999999998</v>
      </c>
    </row>
    <row r="24" spans="2:16">
      <c r="B24" s="10" t="s">
        <v>38</v>
      </c>
      <c r="C24" s="12">
        <f>SUM(C10:C23)</f>
        <v>28671904</v>
      </c>
      <c r="D24" s="12">
        <f t="shared" ref="D24" si="6">SUM(D10:D23)</f>
        <v>780482.13199999998</v>
      </c>
      <c r="E24" s="90">
        <f>SUM(E10:E23)</f>
        <v>321106.19299999997</v>
      </c>
      <c r="G24" s="8" t="s">
        <v>20</v>
      </c>
      <c r="H24" s="9">
        <f>SUM(H10:H23)</f>
        <v>28867001</v>
      </c>
      <c r="I24" s="12">
        <f t="shared" ref="I24" si="7">SUM(I10:I23)</f>
        <v>785272.88597461418</v>
      </c>
      <c r="J24" s="90">
        <f t="shared" ref="J24" si="8">SUM(J10:J23)</f>
        <v>315943.41199999995</v>
      </c>
    </row>
    <row r="25" spans="2:16" s="41" customFormat="1">
      <c r="B25" s="42"/>
      <c r="C25" s="50"/>
    </row>
    <row r="27" spans="2:16" s="6" customFormat="1" ht="25.5">
      <c r="B27" s="4" t="s">
        <v>15</v>
      </c>
      <c r="C27" s="6" t="s">
        <v>296</v>
      </c>
      <c r="D27" s="6" t="str">
        <f>CONCATENATE(LEFT(C27, 4)+1 &amp;"-" &amp;IF(C27&gt;"2007-08",,"0") &amp;RIGHT(C27,2)+1)</f>
        <v>2002-03</v>
      </c>
      <c r="E27" s="6" t="str">
        <f t="shared" ref="E27:P27" si="9">CONCATENATE(LEFT(D27, 4)+1 &amp;"-" &amp;IF(D27&gt;"2007-08",,"0") &amp;RIGHT(D27,2)+1)</f>
        <v>2003-04</v>
      </c>
      <c r="F27" s="6" t="str">
        <f t="shared" si="9"/>
        <v>2004-05</v>
      </c>
      <c r="G27" s="6" t="str">
        <f t="shared" si="9"/>
        <v>2005-06</v>
      </c>
      <c r="H27" s="6" t="str">
        <f t="shared" si="9"/>
        <v>2006-07</v>
      </c>
      <c r="I27" s="6" t="str">
        <f t="shared" si="9"/>
        <v>2007-08</v>
      </c>
      <c r="J27" s="6" t="str">
        <f t="shared" si="9"/>
        <v>2008-09</v>
      </c>
      <c r="K27" s="6" t="str">
        <f t="shared" si="9"/>
        <v>2009-10</v>
      </c>
      <c r="L27" s="6" t="str">
        <f t="shared" si="9"/>
        <v>2010-11</v>
      </c>
      <c r="M27" s="6" t="str">
        <f t="shared" si="9"/>
        <v>2011-12</v>
      </c>
      <c r="N27" s="6" t="str">
        <f t="shared" si="9"/>
        <v>2012-13</v>
      </c>
      <c r="O27" s="6" t="str">
        <f t="shared" si="9"/>
        <v>2013-14</v>
      </c>
      <c r="P27" s="6" t="str">
        <f t="shared" si="9"/>
        <v>2014-15</v>
      </c>
    </row>
    <row r="28" spans="2:16" s="10" customFormat="1" ht="25.5">
      <c r="B28" s="94" t="s">
        <v>0</v>
      </c>
      <c r="C28" s="95"/>
    </row>
    <row r="29" spans="2:16">
      <c r="B29" s="208" t="str">
        <f>B10</f>
        <v>CN West</v>
      </c>
      <c r="C29" s="11">
        <f>'Customers|line length'!C194</f>
        <v>2299379</v>
      </c>
      <c r="D29" s="11">
        <f>'Customers|line length'!C171</f>
        <v>2307275</v>
      </c>
      <c r="E29" s="11">
        <f>'Customers|line length'!C148</f>
        <v>2323792</v>
      </c>
      <c r="F29" s="11">
        <f>'Customers|line length'!C125</f>
        <v>2364562</v>
      </c>
      <c r="G29" s="11">
        <f>'Customers|line length'!C102</f>
        <v>2390474</v>
      </c>
      <c r="H29" s="11">
        <f>'Customers|line length'!C79</f>
        <v>2422495</v>
      </c>
      <c r="I29" s="11">
        <f>'Customers|line length'!C56</f>
        <v>2433482</v>
      </c>
      <c r="J29" s="11">
        <f>'Customers|line length'!C33</f>
        <v>2435566</v>
      </c>
      <c r="K29" s="11">
        <f>'Customers|line length'!C10</f>
        <v>2441615</v>
      </c>
    </row>
    <row r="30" spans="2:16">
      <c r="B30" s="91" t="str">
        <f t="shared" ref="B30:B42" si="10">B11</f>
        <v>CN East</v>
      </c>
      <c r="C30" s="11">
        <f>'Customers|line length'!C195</f>
        <v>2421506</v>
      </c>
      <c r="D30" s="11">
        <f>'Customers|line length'!C172</f>
        <v>2445398</v>
      </c>
      <c r="E30" s="11">
        <f>'Customers|line length'!C149</f>
        <v>2471437</v>
      </c>
      <c r="F30" s="11">
        <f>'Customers|line length'!C126</f>
        <v>2502085</v>
      </c>
      <c r="G30" s="11">
        <f>'Customers|line length'!C103</f>
        <v>2519256</v>
      </c>
      <c r="H30" s="11">
        <f>'Customers|line length'!C80</f>
        <v>2551645</v>
      </c>
      <c r="I30" s="11">
        <f>'Customers|line length'!C57</f>
        <v>2576436</v>
      </c>
      <c r="J30" s="11">
        <f>'Customers|line length'!C34</f>
        <v>2591542</v>
      </c>
      <c r="K30" s="11">
        <f>'Customers|line length'!C11</f>
        <v>2597659</v>
      </c>
    </row>
    <row r="31" spans="2:16">
      <c r="B31" s="91" t="str">
        <f t="shared" si="10"/>
        <v>ENWL</v>
      </c>
      <c r="C31" s="11">
        <f>'Customers|line length'!C196</f>
        <v>2269503</v>
      </c>
      <c r="D31" s="11">
        <f>'Customers|line length'!C173</f>
        <v>2281769</v>
      </c>
      <c r="E31" s="11">
        <f>'Customers|line length'!C150</f>
        <v>2279297</v>
      </c>
      <c r="F31" s="11">
        <f>'Customers|line length'!C127</f>
        <v>2297496</v>
      </c>
      <c r="G31" s="11">
        <f>'Customers|line length'!C104</f>
        <v>2306432</v>
      </c>
      <c r="H31" s="11">
        <f>'Customers|line length'!C81</f>
        <v>2326264</v>
      </c>
      <c r="I31" s="11">
        <f>'Customers|line length'!C58</f>
        <v>2342770</v>
      </c>
      <c r="J31" s="11">
        <f>'Customers|line length'!C35</f>
        <v>2356612</v>
      </c>
      <c r="K31" s="11">
        <f>'Customers|line length'!C12</f>
        <v>2357463</v>
      </c>
    </row>
    <row r="32" spans="2:16">
      <c r="B32" s="91" t="str">
        <f t="shared" si="10"/>
        <v>CE NEDL</v>
      </c>
      <c r="C32" s="11">
        <f>'Customers|line length'!C197</f>
        <v>1510799</v>
      </c>
      <c r="D32" s="11">
        <f>'Customers|line length'!C174</f>
        <v>1512029</v>
      </c>
      <c r="E32" s="11">
        <f>'Customers|line length'!C151</f>
        <v>1518745</v>
      </c>
      <c r="F32" s="11">
        <f>'Customers|line length'!C128</f>
        <v>1528624</v>
      </c>
      <c r="G32" s="11">
        <f>'Customers|line length'!C105</f>
        <v>1538904</v>
      </c>
      <c r="H32" s="11">
        <f>'Customers|line length'!C82</f>
        <v>1550686</v>
      </c>
      <c r="I32" s="11">
        <f>'Customers|line length'!C59</f>
        <v>1558187</v>
      </c>
      <c r="J32" s="11">
        <f>'Customers|line length'!C36</f>
        <v>1568612</v>
      </c>
      <c r="K32" s="11">
        <f>'Customers|line length'!C13</f>
        <v>1572232</v>
      </c>
    </row>
    <row r="33" spans="2:11">
      <c r="B33" s="91" t="str">
        <f t="shared" si="10"/>
        <v>CE YEDL</v>
      </c>
      <c r="C33" s="11">
        <f>'Customers|line length'!C198</f>
        <v>2142733</v>
      </c>
      <c r="D33" s="11">
        <f>'Customers|line length'!C175</f>
        <v>2156135</v>
      </c>
      <c r="E33" s="11">
        <f>'Customers|line length'!C152</f>
        <v>2171755</v>
      </c>
      <c r="F33" s="11">
        <f>'Customers|line length'!C129</f>
        <v>2192210</v>
      </c>
      <c r="G33" s="11">
        <f>'Customers|line length'!C106</f>
        <v>2210799</v>
      </c>
      <c r="H33" s="11">
        <f>'Customers|line length'!C83</f>
        <v>2230612</v>
      </c>
      <c r="I33" s="11">
        <f>'Customers|line length'!C60</f>
        <v>2234349</v>
      </c>
      <c r="J33" s="11">
        <f>'Customers|line length'!C37</f>
        <v>2247727</v>
      </c>
      <c r="K33" s="11">
        <f>'Customers|line length'!C14</f>
        <v>2254618</v>
      </c>
    </row>
    <row r="34" spans="2:11">
      <c r="B34" s="91" t="str">
        <f t="shared" si="10"/>
        <v>WPD S Wales</v>
      </c>
      <c r="C34" s="11">
        <f>'Customers|line length'!C199</f>
        <v>1041325</v>
      </c>
      <c r="D34" s="11">
        <f>'Customers|line length'!C176</f>
        <v>1065530</v>
      </c>
      <c r="E34" s="11">
        <f>'Customers|line length'!C153</f>
        <v>1076287</v>
      </c>
      <c r="F34" s="11">
        <f>'Customers|line length'!C130</f>
        <v>1083220</v>
      </c>
      <c r="G34" s="11">
        <f>'Customers|line length'!C107</f>
        <v>1092326</v>
      </c>
      <c r="H34" s="11">
        <f>'Customers|line length'!C84</f>
        <v>1070179</v>
      </c>
      <c r="I34" s="11">
        <f>'Customers|line length'!C61</f>
        <v>1079585</v>
      </c>
      <c r="J34" s="11">
        <f>'Customers|line length'!C38</f>
        <v>1088889</v>
      </c>
      <c r="K34" s="11">
        <f>'Customers|line length'!C15</f>
        <v>1094220</v>
      </c>
    </row>
    <row r="35" spans="2:11">
      <c r="B35" s="91" t="str">
        <f t="shared" si="10"/>
        <v>WPD S West</v>
      </c>
      <c r="C35" s="11">
        <f>'Customers|line length'!C200</f>
        <v>1356895</v>
      </c>
      <c r="D35" s="11">
        <f>'Customers|line length'!C177</f>
        <v>1446280</v>
      </c>
      <c r="E35" s="11">
        <f>'Customers|line length'!C154</f>
        <v>1466838</v>
      </c>
      <c r="F35" s="11">
        <f>'Customers|line length'!C131</f>
        <v>1485141</v>
      </c>
      <c r="G35" s="11">
        <f>'Customers|line length'!C108</f>
        <v>1501406</v>
      </c>
      <c r="H35" s="11">
        <f>'Customers|line length'!C85</f>
        <v>1488592</v>
      </c>
      <c r="I35" s="11">
        <f>'Customers|line length'!C62</f>
        <v>1504598</v>
      </c>
      <c r="J35" s="11">
        <f>'Customers|line length'!C39</f>
        <v>1520440</v>
      </c>
      <c r="K35" s="11">
        <f>'Customers|line length'!C16</f>
        <v>1532913</v>
      </c>
    </row>
    <row r="36" spans="2:11">
      <c r="B36" s="91" t="str">
        <f t="shared" si="10"/>
        <v>UKPN LPN</v>
      </c>
      <c r="C36" s="11">
        <f>'Customers|line length'!C201</f>
        <v>2083617</v>
      </c>
      <c r="D36" s="11">
        <f>'Customers|line length'!C178</f>
        <v>2232604</v>
      </c>
      <c r="E36" s="11">
        <f>'Customers|line length'!C155</f>
        <v>2255232</v>
      </c>
      <c r="F36" s="11">
        <f>'Customers|line length'!C132</f>
        <v>2247653</v>
      </c>
      <c r="G36" s="11">
        <f>'Customers|line length'!C109</f>
        <v>2193057</v>
      </c>
      <c r="H36" s="11">
        <f>'Customers|line length'!C86</f>
        <v>2241291</v>
      </c>
      <c r="I36" s="11">
        <f>'Customers|line length'!C63</f>
        <v>2206090</v>
      </c>
      <c r="J36" s="11">
        <f>'Customers|line length'!C40</f>
        <v>2223548</v>
      </c>
      <c r="K36" s="11">
        <f>'Customers|line length'!C17</f>
        <v>2241478</v>
      </c>
    </row>
    <row r="37" spans="2:11">
      <c r="B37" s="91" t="str">
        <f t="shared" si="10"/>
        <v>UKPN SEPN</v>
      </c>
      <c r="C37" s="11">
        <f>'Customers|line length'!C202</f>
        <v>2112108</v>
      </c>
      <c r="D37" s="11">
        <f>'Customers|line length'!C179</f>
        <v>2145958</v>
      </c>
      <c r="E37" s="11">
        <f>'Customers|line length'!C156</f>
        <v>2168321</v>
      </c>
      <c r="F37" s="11">
        <f>'Customers|line length'!C133</f>
        <v>2187084</v>
      </c>
      <c r="G37" s="11">
        <f>'Customers|line length'!C110</f>
        <v>2209828</v>
      </c>
      <c r="H37" s="11">
        <f>'Customers|line length'!C87</f>
        <v>2230146</v>
      </c>
      <c r="I37" s="11">
        <f>'Customers|line length'!C64</f>
        <v>2214187</v>
      </c>
      <c r="J37" s="11">
        <f>'Customers|line length'!C41</f>
        <v>2229279</v>
      </c>
      <c r="K37" s="11">
        <f>'Customers|line length'!C18</f>
        <v>2242957</v>
      </c>
    </row>
    <row r="38" spans="2:11">
      <c r="B38" s="91" t="str">
        <f t="shared" si="10"/>
        <v>UKPN EPN</v>
      </c>
      <c r="C38" s="11">
        <f>'Customers|line length'!C203</f>
        <v>3381566</v>
      </c>
      <c r="D38" s="11">
        <f>'Customers|line length'!C180</f>
        <v>3386938</v>
      </c>
      <c r="E38" s="11">
        <f>'Customers|line length'!C157</f>
        <v>3415372</v>
      </c>
      <c r="F38" s="11">
        <f>'Customers|line length'!C134</f>
        <v>3464100</v>
      </c>
      <c r="G38" s="11">
        <f>'Customers|line length'!C111</f>
        <v>3437289</v>
      </c>
      <c r="H38" s="11">
        <f>'Customers|line length'!C88</f>
        <v>3466502</v>
      </c>
      <c r="I38" s="11">
        <f>'Customers|line length'!C65</f>
        <v>3469255</v>
      </c>
      <c r="J38" s="11">
        <f>'Customers|line length'!C42</f>
        <v>3496181</v>
      </c>
      <c r="K38" s="11">
        <f>'Customers|line length'!C19</f>
        <v>3507431</v>
      </c>
    </row>
    <row r="39" spans="2:11">
      <c r="B39" s="91" t="str">
        <f t="shared" si="10"/>
        <v>SP Distribution</v>
      </c>
      <c r="C39" s="11">
        <f>'Customers|line length'!C204</f>
        <v>1906498</v>
      </c>
      <c r="D39" s="11">
        <f>'Customers|line length'!C181</f>
        <v>1933862</v>
      </c>
      <c r="E39" s="11">
        <f>'Customers|line length'!C158</f>
        <v>1962975</v>
      </c>
      <c r="F39" s="11">
        <f>'Customers|line length'!C135</f>
        <v>1988756</v>
      </c>
      <c r="G39" s="11">
        <f>'Customers|line length'!C112</f>
        <v>2013009</v>
      </c>
      <c r="H39" s="11">
        <f>'Customers|line length'!C89</f>
        <v>1967920</v>
      </c>
      <c r="I39" s="11">
        <f>'Customers|line length'!C66</f>
        <v>1982108</v>
      </c>
      <c r="J39" s="11">
        <f>'Customers|line length'!C43</f>
        <v>1991331</v>
      </c>
      <c r="K39" s="11">
        <f>'Customers|line length'!C20</f>
        <v>1991924</v>
      </c>
    </row>
    <row r="40" spans="2:11">
      <c r="B40" s="91" t="str">
        <f t="shared" si="10"/>
        <v>SP Manweb</v>
      </c>
      <c r="C40" s="11">
        <f>'Customers|line length'!C205</f>
        <v>1433917</v>
      </c>
      <c r="D40" s="11">
        <f>'Customers|line length'!C182</f>
        <v>1452557</v>
      </c>
      <c r="E40" s="11">
        <f>'Customers|line length'!C159</f>
        <v>1468457</v>
      </c>
      <c r="F40" s="11">
        <f>'Customers|line length'!C136</f>
        <v>1484250</v>
      </c>
      <c r="G40" s="11">
        <f>'Customers|line length'!C113</f>
        <v>1500704</v>
      </c>
      <c r="H40" s="11">
        <f>'Customers|line length'!C90</f>
        <v>1464592</v>
      </c>
      <c r="I40" s="11">
        <f>'Customers|line length'!C67</f>
        <v>1473411</v>
      </c>
      <c r="J40" s="11">
        <f>'Customers|line length'!C44</f>
        <v>1482550</v>
      </c>
      <c r="K40" s="11">
        <f>'Customers|line length'!C21</f>
        <v>1483801</v>
      </c>
    </row>
    <row r="41" spans="2:11">
      <c r="B41" s="91" t="str">
        <f t="shared" si="10"/>
        <v>SSE Hydro</v>
      </c>
      <c r="C41" s="11">
        <f>'Customers|line length'!C206</f>
        <v>673138</v>
      </c>
      <c r="D41" s="11">
        <f>'Customers|line length'!C183</f>
        <v>676005</v>
      </c>
      <c r="E41" s="11">
        <f>'Customers|line length'!C160</f>
        <v>684124</v>
      </c>
      <c r="F41" s="11">
        <f>'Customers|line length'!C137</f>
        <v>692495</v>
      </c>
      <c r="G41" s="11">
        <f>'Customers|line length'!C114</f>
        <v>700930</v>
      </c>
      <c r="H41" s="11">
        <f>'Customers|line length'!C91</f>
        <v>709201</v>
      </c>
      <c r="I41" s="11">
        <f>'Customers|line length'!C68</f>
        <v>721019</v>
      </c>
      <c r="J41" s="11">
        <f>'Customers|line length'!C45</f>
        <v>729290</v>
      </c>
      <c r="K41" s="11">
        <f>'Customers|line length'!C22</f>
        <v>734947</v>
      </c>
    </row>
    <row r="42" spans="2:11">
      <c r="B42" s="91" t="str">
        <f t="shared" si="10"/>
        <v>SSE Southern</v>
      </c>
      <c r="C42" s="11">
        <f>'Customers|line length'!C207</f>
        <v>2706336</v>
      </c>
      <c r="D42" s="11">
        <f>'Customers|line length'!C184</f>
        <v>2725534</v>
      </c>
      <c r="E42" s="11">
        <f>'Customers|line length'!C161</f>
        <v>2760987</v>
      </c>
      <c r="F42" s="11">
        <f>'Customers|line length'!C138</f>
        <v>2785018</v>
      </c>
      <c r="G42" s="11">
        <f>'Customers|line length'!C115</f>
        <v>2812752</v>
      </c>
      <c r="H42" s="11">
        <f>'Customers|line length'!C92</f>
        <v>2842719</v>
      </c>
      <c r="I42" s="11">
        <f>'Customers|line length'!C69</f>
        <v>2876427</v>
      </c>
      <c r="J42" s="11">
        <f>'Customers|line length'!C46</f>
        <v>2905434</v>
      </c>
      <c r="K42" s="11">
        <f>'Customers|line length'!C23</f>
        <v>2919504</v>
      </c>
    </row>
    <row r="43" spans="2:11" s="2" customFormat="1">
      <c r="B43" s="92" t="s">
        <v>38</v>
      </c>
      <c r="C43" s="205">
        <f>SUM(C29:C42)</f>
        <v>27339320</v>
      </c>
      <c r="D43" s="44">
        <f t="shared" ref="D43:K43" si="11">SUM(D29:D42)</f>
        <v>27767874</v>
      </c>
      <c r="E43" s="44">
        <f t="shared" si="11"/>
        <v>28023619</v>
      </c>
      <c r="F43" s="44">
        <f t="shared" si="11"/>
        <v>28302694</v>
      </c>
      <c r="G43" s="44">
        <f t="shared" si="11"/>
        <v>28427166</v>
      </c>
      <c r="H43" s="44">
        <f t="shared" si="11"/>
        <v>28562844</v>
      </c>
      <c r="I43" s="44">
        <f t="shared" si="11"/>
        <v>28671904</v>
      </c>
      <c r="J43" s="44">
        <f t="shared" si="11"/>
        <v>28867001</v>
      </c>
      <c r="K43" s="44">
        <f t="shared" si="11"/>
        <v>28972762</v>
      </c>
    </row>
    <row r="44" spans="2:11" s="41" customFormat="1">
      <c r="B44" s="209" t="s">
        <v>44</v>
      </c>
      <c r="C44" s="206" t="str">
        <f>IF(C43='Customers|line length'!C209,"ok","error")</f>
        <v>ok</v>
      </c>
      <c r="D44" s="41" t="str">
        <f>IF(D43='Customers|line length'!C186,"ok","error")</f>
        <v>ok</v>
      </c>
      <c r="E44" s="41" t="str">
        <f>IF(E43='Customers|line length'!C163,"ok","error")</f>
        <v>ok</v>
      </c>
      <c r="F44" s="41" t="str">
        <f>IF(F43='Customers|line length'!C140,"ok","error")</f>
        <v>ok</v>
      </c>
      <c r="G44" s="41" t="str">
        <f>IF(G43='Customers|line length'!C117,"ok","error")</f>
        <v>ok</v>
      </c>
      <c r="H44" s="41" t="str">
        <f>IF(H43='Customers|line length'!C94,"ok","error")</f>
        <v>ok</v>
      </c>
      <c r="I44" s="41" t="str">
        <f>IF(I43='Customers|line length'!C71,"ok","error")</f>
        <v>ok</v>
      </c>
      <c r="J44" s="41" t="str">
        <f>IF(J43='Customers|line length'!C48,"ok","error")</f>
        <v>ok</v>
      </c>
      <c r="K44" s="41" t="str">
        <f>IF(K43='Customers|line length'!C25,"ok","error")</f>
        <v>ok</v>
      </c>
    </row>
    <row r="45" spans="2:11" s="45" customFormat="1">
      <c r="B45" s="210"/>
      <c r="C45" s="207"/>
    </row>
    <row r="46" spans="2:11" s="6" customFormat="1" ht="25.5">
      <c r="B46" s="96" t="s">
        <v>45</v>
      </c>
      <c r="C46" s="97"/>
    </row>
    <row r="47" spans="2:11">
      <c r="B47" s="1" t="str">
        <f>B10</f>
        <v>CN West</v>
      </c>
      <c r="C47" s="46">
        <f>'Customers|line length'!D194</f>
        <v>60492</v>
      </c>
      <c r="D47" s="14">
        <f>'Customers|line length'!D171</f>
        <v>60250</v>
      </c>
      <c r="E47" s="14">
        <f>'Customers|line length'!D148</f>
        <v>60573.03</v>
      </c>
      <c r="F47" s="14">
        <f>'Customers|line length'!D125</f>
        <v>60953</v>
      </c>
      <c r="G47" s="718">
        <f>'Customers|line length'!D102</f>
        <v>61300.695</v>
      </c>
      <c r="H47" s="14">
        <f>'Customers|line length'!D79</f>
        <v>61671</v>
      </c>
      <c r="I47" s="14">
        <f>'Customers|line length'!D56</f>
        <v>61964</v>
      </c>
      <c r="J47" s="14">
        <f>'Customers|line length'!D33</f>
        <v>62139.9</v>
      </c>
      <c r="K47" s="14">
        <f>'Customers|line length'!D10</f>
        <v>63274</v>
      </c>
    </row>
    <row r="48" spans="2:11">
      <c r="B48" s="1" t="str">
        <f t="shared" ref="B48:B60" si="12">B11</f>
        <v>CN East</v>
      </c>
      <c r="C48" s="46">
        <f>'Customers|line length'!D195</f>
        <v>68002</v>
      </c>
      <c r="D48" s="14">
        <f>'Customers|line length'!D172</f>
        <v>68684</v>
      </c>
      <c r="E48" s="14">
        <f>'Customers|line length'!D149</f>
        <v>68853.83</v>
      </c>
      <c r="F48" s="14">
        <f>'Customers|line length'!D126</f>
        <v>69488</v>
      </c>
      <c r="G48" s="718">
        <f>'Customers|line length'!D103</f>
        <v>69826.908224919011</v>
      </c>
      <c r="H48" s="14">
        <f>'Customers|line length'!D80</f>
        <v>70444</v>
      </c>
      <c r="I48" s="14">
        <f>'Customers|line length'!D57</f>
        <v>70948</v>
      </c>
      <c r="J48" s="14">
        <f>'Customers|line length'!D34</f>
        <v>71387</v>
      </c>
      <c r="K48" s="14">
        <f>'Customers|line length'!D11</f>
        <v>71566</v>
      </c>
    </row>
    <row r="49" spans="2:11">
      <c r="B49" s="1" t="str">
        <f t="shared" si="12"/>
        <v>ENWL</v>
      </c>
      <c r="C49" s="46">
        <f>'Customers|line length'!D196</f>
        <v>58031</v>
      </c>
      <c r="D49" s="14">
        <f>'Customers|line length'!D173</f>
        <v>58310</v>
      </c>
      <c r="E49" s="14">
        <f>'Customers|line length'!D150</f>
        <v>58689</v>
      </c>
      <c r="F49" s="14">
        <f>'Customers|line length'!D127</f>
        <v>58984</v>
      </c>
      <c r="G49" s="718">
        <f>'Customers|line length'!D104</f>
        <v>55933.427000000003</v>
      </c>
      <c r="H49" s="14">
        <f>'Customers|line length'!D81</f>
        <v>56277.4</v>
      </c>
      <c r="I49" s="14">
        <f>'Customers|line length'!D58</f>
        <v>56519.635000000009</v>
      </c>
      <c r="J49" s="14">
        <f>'Customers|line length'!D35</f>
        <v>56832</v>
      </c>
      <c r="K49" s="14">
        <f>'Customers|line length'!D12</f>
        <v>56923</v>
      </c>
    </row>
    <row r="50" spans="2:11">
      <c r="B50" s="1" t="str">
        <f t="shared" si="12"/>
        <v>CE NEDL</v>
      </c>
      <c r="C50" s="46">
        <f>'Customers|line length'!D197</f>
        <v>39610</v>
      </c>
      <c r="D50" s="14">
        <f>'Customers|line length'!D174</f>
        <v>39877</v>
      </c>
      <c r="E50" s="14">
        <f>'Customers|line length'!D151</f>
        <v>40117.072800000344</v>
      </c>
      <c r="F50" s="14">
        <f>'Customers|line length'!D128</f>
        <v>40699.913</v>
      </c>
      <c r="G50" s="718">
        <f>'Customers|line length'!D105</f>
        <v>39429.699999999997</v>
      </c>
      <c r="H50" s="14">
        <f>'Customers|line length'!D82</f>
        <v>39177.909</v>
      </c>
      <c r="I50" s="14">
        <f>'Customers|line length'!D59</f>
        <v>39530.400000000001</v>
      </c>
      <c r="J50" s="14">
        <f>'Customers|line length'!D36</f>
        <v>39900.403086638478</v>
      </c>
      <c r="K50" s="14">
        <f>'Customers|line length'!D13</f>
        <v>39970.426999999989</v>
      </c>
    </row>
    <row r="51" spans="2:11">
      <c r="B51" s="1" t="str">
        <f t="shared" si="12"/>
        <v>CE YEDL</v>
      </c>
      <c r="C51" s="46">
        <f>'Customers|line length'!D198</f>
        <v>56185</v>
      </c>
      <c r="D51" s="14">
        <f>'Customers|line length'!D175</f>
        <v>60219</v>
      </c>
      <c r="E51" s="14">
        <f>'Customers|line length'!D152</f>
        <v>51362</v>
      </c>
      <c r="F51" s="14">
        <f>'Customers|line length'!D129</f>
        <v>51414.567999999999</v>
      </c>
      <c r="G51" s="718">
        <f>'Customers|line length'!D106</f>
        <v>51466.60153333332</v>
      </c>
      <c r="H51" s="14">
        <f>'Customers|line length'!D83</f>
        <v>51832.352479999987</v>
      </c>
      <c r="I51" s="14">
        <f>'Customers|line length'!D60</f>
        <v>52140.6</v>
      </c>
      <c r="J51" s="14">
        <f>'Customers|line length'!D37</f>
        <v>52549.063190000001</v>
      </c>
      <c r="K51" s="14">
        <f>'Customers|line length'!D14</f>
        <v>52778.689155296554</v>
      </c>
    </row>
    <row r="52" spans="2:11">
      <c r="B52" s="1" t="str">
        <f t="shared" si="12"/>
        <v>WPD S Wales</v>
      </c>
      <c r="C52" s="46">
        <f>'Customers|line length'!D199</f>
        <v>33021</v>
      </c>
      <c r="D52" s="14">
        <f>'Customers|line length'!D176</f>
        <v>33546.5</v>
      </c>
      <c r="E52" s="14">
        <f>'Customers|line length'!D153</f>
        <v>33743.1</v>
      </c>
      <c r="F52" s="14">
        <f>'Customers|line length'!D130</f>
        <v>34085.1</v>
      </c>
      <c r="G52" s="718">
        <f>'Customers|line length'!D107</f>
        <v>34468</v>
      </c>
      <c r="H52" s="14">
        <f>'Customers|line length'!D84</f>
        <v>34659.953999999998</v>
      </c>
      <c r="I52" s="14">
        <f>'Customers|line length'!D61</f>
        <v>34756.953999999998</v>
      </c>
      <c r="J52" s="14">
        <f>'Customers|line length'!D38</f>
        <v>34944.716697975724</v>
      </c>
      <c r="K52" s="14">
        <f>'Customers|line length'!D15</f>
        <v>35058.044000000002</v>
      </c>
    </row>
    <row r="53" spans="2:11">
      <c r="B53" s="1" t="str">
        <f t="shared" si="12"/>
        <v>WPD S West</v>
      </c>
      <c r="C53" s="46">
        <f>'Customers|line length'!D200</f>
        <v>48795</v>
      </c>
      <c r="D53" s="14">
        <f>'Customers|line length'!D177</f>
        <v>48065.900000000009</v>
      </c>
      <c r="E53" s="14">
        <f>'Customers|line length'!D154</f>
        <v>48377.3</v>
      </c>
      <c r="F53" s="14">
        <f>'Customers|line length'!D131</f>
        <v>48556.900000000009</v>
      </c>
      <c r="G53" s="718">
        <f>'Customers|line length'!D108</f>
        <v>49115</v>
      </c>
      <c r="H53" s="14">
        <f>'Customers|line length'!D85</f>
        <v>49429.220000000008</v>
      </c>
      <c r="I53" s="14">
        <f>'Customers|line length'!D62</f>
        <v>49612.456999999995</v>
      </c>
      <c r="J53" s="14">
        <f>'Customers|line length'!D39</f>
        <v>49841.116999999998</v>
      </c>
      <c r="K53" s="14">
        <f>'Customers|line length'!D16</f>
        <v>50019.147000000004</v>
      </c>
    </row>
    <row r="54" spans="2:11">
      <c r="B54" s="1" t="str">
        <f t="shared" si="12"/>
        <v>UKPN LPN</v>
      </c>
      <c r="C54" s="46">
        <f>'Customers|line length'!D201</f>
        <v>30438</v>
      </c>
      <c r="D54" s="14">
        <f>'Customers|line length'!D178</f>
        <v>30659</v>
      </c>
      <c r="E54" s="14">
        <f>'Customers|line length'!D155</f>
        <v>31026</v>
      </c>
      <c r="F54" s="14">
        <f>'Customers|line length'!D132</f>
        <v>34598</v>
      </c>
      <c r="G54" s="718">
        <f>'Customers|line length'!D109</f>
        <v>35479</v>
      </c>
      <c r="H54" s="14">
        <f>'Customers|line length'!D86</f>
        <v>35600</v>
      </c>
      <c r="I54" s="14">
        <f>'Customers|line length'!D63</f>
        <v>35920</v>
      </c>
      <c r="J54" s="14">
        <f>'Customers|line length'!D40</f>
        <v>36134</v>
      </c>
      <c r="K54" s="14">
        <f>'Customers|line length'!D17</f>
        <v>36326</v>
      </c>
    </row>
    <row r="55" spans="2:11">
      <c r="B55" s="1" t="str">
        <f t="shared" si="12"/>
        <v>UKPN SEPN</v>
      </c>
      <c r="C55" s="46">
        <f>'Customers|line length'!D202</f>
        <v>45365</v>
      </c>
      <c r="D55" s="14">
        <f>'Customers|line length'!D179</f>
        <v>49394</v>
      </c>
      <c r="E55" s="14">
        <f>'Customers|line length'!D156</f>
        <v>49938</v>
      </c>
      <c r="F55" s="14">
        <f>'Customers|line length'!D133</f>
        <v>50095</v>
      </c>
      <c r="G55" s="718">
        <f>'Customers|line length'!D110</f>
        <v>50305.279999999999</v>
      </c>
      <c r="H55" s="14">
        <f>'Customers|line length'!D87</f>
        <v>51849</v>
      </c>
      <c r="I55" s="14">
        <f>'Customers|line length'!D64</f>
        <v>51815</v>
      </c>
      <c r="J55" s="14">
        <f>'Customers|line length'!D41</f>
        <v>51922</v>
      </c>
      <c r="K55" s="14">
        <f>'Customers|line length'!D18</f>
        <v>52193</v>
      </c>
    </row>
    <row r="56" spans="2:11">
      <c r="B56" s="1" t="str">
        <f t="shared" si="12"/>
        <v>UKPN EPN</v>
      </c>
      <c r="C56" s="46">
        <f>'Customers|line length'!D203</f>
        <v>91292</v>
      </c>
      <c r="D56" s="14">
        <f>'Customers|line length'!D180</f>
        <v>92121</v>
      </c>
      <c r="E56" s="14">
        <f>'Customers|line length'!D157</f>
        <v>91937.33</v>
      </c>
      <c r="F56" s="14">
        <f>'Customers|line length'!D134</f>
        <v>92845</v>
      </c>
      <c r="G56" s="718">
        <f>'Customers|line length'!D111</f>
        <v>93567</v>
      </c>
      <c r="H56" s="14">
        <f>'Customers|line length'!D88</f>
        <v>93946.5</v>
      </c>
      <c r="I56" s="14">
        <f>'Customers|line length'!D65</f>
        <v>94438.8</v>
      </c>
      <c r="J56" s="14">
        <f>'Customers|line length'!D42</f>
        <v>95157.4</v>
      </c>
      <c r="K56" s="14">
        <f>'Customers|line length'!D19</f>
        <v>95816</v>
      </c>
    </row>
    <row r="57" spans="2:11">
      <c r="B57" s="1" t="str">
        <f t="shared" si="12"/>
        <v>SP Distribution</v>
      </c>
      <c r="C57" s="46">
        <f>'Customers|line length'!D204</f>
        <v>65597</v>
      </c>
      <c r="D57" s="14">
        <f>'Customers|line length'!D181</f>
        <v>65597</v>
      </c>
      <c r="E57" s="14">
        <f>'Customers|line length'!D158</f>
        <v>65597</v>
      </c>
      <c r="F57" s="14">
        <f>'Customers|line length'!D135</f>
        <v>59673</v>
      </c>
      <c r="G57" s="718">
        <f>'Customers|line length'!D112</f>
        <v>60886.844000000005</v>
      </c>
      <c r="H57" s="14">
        <f>'Customers|line length'!D89</f>
        <v>61707</v>
      </c>
      <c r="I57" s="14">
        <f>'Customers|line length'!D66</f>
        <v>62363</v>
      </c>
      <c r="J57" s="14">
        <f>'Customers|line length'!D43</f>
        <v>63152</v>
      </c>
      <c r="K57" s="14">
        <f>'Customers|line length'!D20</f>
        <v>63762.100000000006</v>
      </c>
    </row>
    <row r="58" spans="2:11">
      <c r="B58" s="1" t="str">
        <f t="shared" si="12"/>
        <v>SP Manweb</v>
      </c>
      <c r="C58" s="46">
        <f>'Customers|line length'!D205</f>
        <v>45872</v>
      </c>
      <c r="D58" s="14">
        <f>'Customers|line length'!D182</f>
        <v>46986</v>
      </c>
      <c r="E58" s="14">
        <f>'Customers|line length'!D159</f>
        <v>47274</v>
      </c>
      <c r="F58" s="14">
        <f>'Customers|line length'!D136</f>
        <v>47649</v>
      </c>
      <c r="G58" s="718">
        <f>'Customers|line length'!D113</f>
        <v>47743.350000000006</v>
      </c>
      <c r="H58" s="14">
        <f>'Customers|line length'!D90</f>
        <v>48336</v>
      </c>
      <c r="I58" s="14">
        <f>'Customers|line length'!D67</f>
        <v>48562.286</v>
      </c>
      <c r="J58" s="14">
        <f>'Customers|line length'!D44</f>
        <v>49040.286</v>
      </c>
      <c r="K58" s="14">
        <f>'Customers|line length'!D21</f>
        <v>49410.5</v>
      </c>
    </row>
    <row r="59" spans="2:11">
      <c r="B59" s="1" t="str">
        <f t="shared" si="12"/>
        <v>SSE Hydro</v>
      </c>
      <c r="C59" s="46">
        <f>'Customers|line length'!D206</f>
        <v>45004</v>
      </c>
      <c r="D59" s="14">
        <f>'Customers|line length'!D183</f>
        <v>46292.107520000005</v>
      </c>
      <c r="E59" s="14">
        <f>'Customers|line length'!D160</f>
        <v>44437</v>
      </c>
      <c r="F59" s="14">
        <f>'Customers|line length'!D137</f>
        <v>44685</v>
      </c>
      <c r="G59" s="718">
        <f>'Customers|line length'!D114</f>
        <v>45294</v>
      </c>
      <c r="H59" s="14">
        <f>'Customers|line length'!D91</f>
        <v>46221</v>
      </c>
      <c r="I59" s="14">
        <f>'Customers|line length'!D68</f>
        <v>46461</v>
      </c>
      <c r="J59" s="14">
        <f>'Customers|line length'!D45</f>
        <v>46615</v>
      </c>
      <c r="K59" s="14">
        <f>'Customers|line length'!D22</f>
        <v>46750</v>
      </c>
    </row>
    <row r="60" spans="2:11">
      <c r="B60" s="1" t="str">
        <f t="shared" si="12"/>
        <v>SSE Southern</v>
      </c>
      <c r="C60" s="46">
        <f>'Customers|line length'!D207</f>
        <v>73804</v>
      </c>
      <c r="D60" s="14">
        <f>'Customers|line length'!D184</f>
        <v>74780</v>
      </c>
      <c r="E60" s="14">
        <f>'Customers|line length'!D161</f>
        <v>75491</v>
      </c>
      <c r="F60" s="14">
        <f>'Customers|line length'!D138</f>
        <v>76146</v>
      </c>
      <c r="G60" s="718">
        <f>'Customers|line length'!D115</f>
        <v>77179.72</v>
      </c>
      <c r="H60" s="14">
        <f>'Customers|line length'!D92</f>
        <v>74832</v>
      </c>
      <c r="I60" s="14">
        <f>'Customers|line length'!D69</f>
        <v>75450</v>
      </c>
      <c r="J60" s="14">
        <f>'Customers|line length'!D46</f>
        <v>75658</v>
      </c>
      <c r="K60" s="14">
        <f>'Customers|line length'!D23</f>
        <v>75918</v>
      </c>
    </row>
    <row r="61" spans="2:11" s="2" customFormat="1">
      <c r="B61" s="43" t="s">
        <v>38</v>
      </c>
      <c r="C61" s="47">
        <f>SUM(C47:C60)</f>
        <v>761508</v>
      </c>
      <c r="D61" s="44">
        <f t="shared" ref="D61" si="13">SUM(D47:D60)</f>
        <v>774781.50751999998</v>
      </c>
      <c r="E61" s="44">
        <f t="shared" ref="E61" si="14">SUM(E47:E60)</f>
        <v>767415.66280000028</v>
      </c>
      <c r="F61" s="44">
        <f t="shared" ref="F61" si="15">SUM(F47:F60)</f>
        <v>769872.48100000003</v>
      </c>
      <c r="G61" s="719">
        <f t="shared" ref="G61" si="16">SUM(G47:G60)</f>
        <v>771995.52575825225</v>
      </c>
      <c r="H61" s="44">
        <f t="shared" ref="H61" si="17">SUM(H47:H60)</f>
        <v>775983.33548000013</v>
      </c>
      <c r="I61" s="44">
        <f t="shared" ref="I61" si="18">SUM(I47:I60)</f>
        <v>780482.13199999998</v>
      </c>
      <c r="J61" s="44">
        <f t="shared" ref="J61" si="19">SUM(J47:J60)</f>
        <v>785272.88597461418</v>
      </c>
      <c r="K61" s="44">
        <f t="shared" ref="K61" si="20">SUM(K47:K60)</f>
        <v>789764.90715529653</v>
      </c>
    </row>
    <row r="62" spans="2:11" s="41" customFormat="1">
      <c r="B62" s="42" t="s">
        <v>44</v>
      </c>
      <c r="C62" s="48" t="str">
        <f>IF(C61='Customers|line length'!D209,"ok","error")</f>
        <v>ok</v>
      </c>
      <c r="D62" s="41" t="str">
        <f>IF(D61='Customers|line length'!D186,"ok","error")</f>
        <v>ok</v>
      </c>
      <c r="E62" s="41" t="str">
        <f>IF(E61='Customers|line length'!D163,"ok","error")</f>
        <v>ok</v>
      </c>
      <c r="F62" s="41" t="str">
        <f>IF(F61='Customers|line length'!D140,"ok","error")</f>
        <v>ok</v>
      </c>
      <c r="G62" s="41" t="str">
        <f>IF(G61='Customers|line length'!D117,"ok","error")</f>
        <v>ok</v>
      </c>
      <c r="H62" s="41" t="str">
        <f>IF(H61='Customers|line length'!D94,"ok","error")</f>
        <v>ok</v>
      </c>
      <c r="I62" s="41" t="str">
        <f>IF(I61='Customers|line length'!D71,"ok","error")</f>
        <v>ok</v>
      </c>
      <c r="J62" s="41" t="str">
        <f>IF(J61='Customers|line length'!D48,"ok","error")</f>
        <v>ok</v>
      </c>
      <c r="K62" s="41" t="str">
        <f>IF(K61='Customers|line length'!D25,"ok","error")</f>
        <v>ok</v>
      </c>
    </row>
    <row r="63" spans="2:11" s="39" customFormat="1">
      <c r="B63" s="40"/>
      <c r="C63" s="51"/>
    </row>
    <row r="64" spans="2:11" s="6" customFormat="1" ht="36.75" customHeight="1">
      <c r="B64" s="96" t="s">
        <v>18</v>
      </c>
      <c r="C64" s="97"/>
    </row>
    <row r="65" spans="2:16">
      <c r="B65" s="1" t="str">
        <f>B10</f>
        <v>CN West</v>
      </c>
      <c r="C65" s="49"/>
      <c r="G65" s="89">
        <f>'Distribution losses'!C58</f>
        <v>27442.509000000002</v>
      </c>
      <c r="H65" s="89">
        <f>'Distribution losses'!D58</f>
        <v>26786.393</v>
      </c>
      <c r="I65" s="89">
        <f>'Distribution losses'!E58</f>
        <v>26750.612000000001</v>
      </c>
      <c r="J65" s="89">
        <f>'Distribution losses'!F58</f>
        <v>25385.293000000001</v>
      </c>
      <c r="K65" s="89">
        <f>'Distribution losses'!G58</f>
        <v>24706.089</v>
      </c>
      <c r="L65" s="89"/>
      <c r="M65" s="89"/>
      <c r="N65" s="89"/>
      <c r="O65" s="89"/>
      <c r="P65" s="89"/>
    </row>
    <row r="66" spans="2:16">
      <c r="B66" s="1" t="str">
        <f t="shared" ref="B66:B78" si="21">B11</f>
        <v>CN East</v>
      </c>
      <c r="C66" s="49"/>
      <c r="G66" s="89">
        <f>'Distribution losses'!C86</f>
        <v>30104.861000000001</v>
      </c>
      <c r="H66" s="89">
        <f>'Distribution losses'!D86</f>
        <v>29508.947</v>
      </c>
      <c r="I66" s="89">
        <f>'Distribution losses'!E86</f>
        <v>29665.363000000001</v>
      </c>
      <c r="J66" s="89">
        <f>'Distribution losses'!F86</f>
        <v>29080.85</v>
      </c>
      <c r="K66" s="89">
        <f>'Distribution losses'!G86</f>
        <v>28335.668000000001</v>
      </c>
      <c r="L66" s="89"/>
      <c r="M66" s="89"/>
      <c r="N66" s="89"/>
      <c r="O66" s="89"/>
      <c r="P66" s="89"/>
    </row>
    <row r="67" spans="2:16">
      <c r="B67" s="1" t="str">
        <f t="shared" si="21"/>
        <v>ENWL</v>
      </c>
      <c r="C67" s="49"/>
      <c r="G67" s="89">
        <f>'Distribution losses'!C114</f>
        <v>26627</v>
      </c>
      <c r="H67" s="89">
        <f>'Distribution losses'!D114</f>
        <v>25799.579999999998</v>
      </c>
      <c r="I67" s="89">
        <f>'Distribution losses'!E114</f>
        <v>25601.71</v>
      </c>
      <c r="J67" s="89">
        <f>'Distribution losses'!F114</f>
        <v>25340.11</v>
      </c>
      <c r="K67" s="89">
        <f>'Distribution losses'!G114</f>
        <v>24018.021000000001</v>
      </c>
      <c r="L67" s="89"/>
      <c r="M67" s="89"/>
      <c r="N67" s="89"/>
      <c r="O67" s="89"/>
      <c r="P67" s="89"/>
    </row>
    <row r="68" spans="2:16">
      <c r="B68" s="1" t="str">
        <f t="shared" si="21"/>
        <v>CE NEDL</v>
      </c>
      <c r="C68" s="49"/>
      <c r="G68" s="89">
        <f>'Distribution losses'!C142</f>
        <v>17507</v>
      </c>
      <c r="H68" s="89">
        <f>'Distribution losses'!D142</f>
        <v>16982.008000000002</v>
      </c>
      <c r="I68" s="89">
        <f>'Distribution losses'!E142</f>
        <v>16932.381000000001</v>
      </c>
      <c r="J68" s="89">
        <f>'Distribution losses'!F142</f>
        <v>16306.416000000001</v>
      </c>
      <c r="K68" s="89">
        <f>'Distribution losses'!G142</f>
        <v>15540.087</v>
      </c>
      <c r="L68" s="89"/>
      <c r="M68" s="89"/>
      <c r="N68" s="89"/>
      <c r="O68" s="89"/>
      <c r="P68" s="89"/>
    </row>
    <row r="69" spans="2:16">
      <c r="B69" s="1" t="str">
        <f t="shared" si="21"/>
        <v>CE YEDL</v>
      </c>
      <c r="C69" s="49"/>
      <c r="G69" s="89">
        <f>'Distribution losses'!C170</f>
        <v>25507.045999999998</v>
      </c>
      <c r="H69" s="89">
        <f>'Distribution losses'!D170</f>
        <v>24785</v>
      </c>
      <c r="I69" s="89">
        <f>'Distribution losses'!E170</f>
        <v>24137.053</v>
      </c>
      <c r="J69" s="89">
        <f>'Distribution losses'!F170</f>
        <v>23823.4</v>
      </c>
      <c r="K69" s="89">
        <f>'Distribution losses'!G170</f>
        <v>22523.898999999998</v>
      </c>
      <c r="L69" s="89"/>
      <c r="M69" s="89"/>
      <c r="N69" s="89"/>
      <c r="O69" s="89"/>
      <c r="P69" s="89"/>
    </row>
    <row r="70" spans="2:16">
      <c r="B70" s="1" t="str">
        <f t="shared" si="21"/>
        <v>WPD S Wales</v>
      </c>
      <c r="C70" s="49"/>
      <c r="G70" s="89">
        <f>'Distribution losses'!C198</f>
        <v>13163.167000000001</v>
      </c>
      <c r="H70" s="89">
        <f>'Distribution losses'!D198</f>
        <v>12752.517</v>
      </c>
      <c r="I70" s="89">
        <f>'Distribution losses'!E198</f>
        <v>12653.151</v>
      </c>
      <c r="J70" s="89">
        <f>'Distribution losses'!F198</f>
        <v>12354.206999999999</v>
      </c>
      <c r="K70" s="89">
        <f>'Distribution losses'!G198</f>
        <v>12050.384</v>
      </c>
      <c r="L70" s="89"/>
      <c r="M70" s="89"/>
      <c r="N70" s="89"/>
      <c r="O70" s="89"/>
      <c r="P70" s="89"/>
    </row>
    <row r="71" spans="2:16">
      <c r="B71" s="1" t="str">
        <f t="shared" si="21"/>
        <v>WPD S West</v>
      </c>
      <c r="C71" s="49"/>
      <c r="G71" s="89">
        <f>'Distribution losses'!C226</f>
        <v>16024.585999999999</v>
      </c>
      <c r="H71" s="89">
        <f>'Distribution losses'!D226</f>
        <v>15403.976000000001</v>
      </c>
      <c r="I71" s="89">
        <f>'Distribution losses'!E226</f>
        <v>15215.521999999999</v>
      </c>
      <c r="J71" s="89">
        <f>'Distribution losses'!F226</f>
        <v>14943.494999999999</v>
      </c>
      <c r="K71" s="89">
        <f>'Distribution losses'!G226</f>
        <v>14614.177</v>
      </c>
      <c r="L71" s="89"/>
      <c r="M71" s="89"/>
      <c r="N71" s="89"/>
      <c r="O71" s="89"/>
      <c r="P71" s="89"/>
    </row>
    <row r="72" spans="2:16">
      <c r="B72" s="1" t="str">
        <f t="shared" si="21"/>
        <v>UKPN LPN</v>
      </c>
      <c r="C72" s="49"/>
      <c r="G72" s="89">
        <f>'Distribution losses'!C254</f>
        <v>29909.528999999999</v>
      </c>
      <c r="H72" s="89">
        <f>'Distribution losses'!D254</f>
        <v>29773.955999999998</v>
      </c>
      <c r="I72" s="89">
        <f>'Distribution losses'!E254</f>
        <v>29771.732</v>
      </c>
      <c r="J72" s="89">
        <f>'Distribution losses'!F254</f>
        <v>30040.212</v>
      </c>
      <c r="K72" s="89">
        <f>'Distribution losses'!G254</f>
        <v>29585.353999999999</v>
      </c>
      <c r="L72" s="89"/>
      <c r="M72" s="89"/>
      <c r="N72" s="89"/>
      <c r="O72" s="89"/>
      <c r="P72" s="89"/>
    </row>
    <row r="73" spans="2:16">
      <c r="B73" s="1" t="str">
        <f t="shared" si="21"/>
        <v>UKPN SEPN</v>
      </c>
      <c r="C73" s="49"/>
      <c r="G73" s="89">
        <f>'Distribution losses'!C282</f>
        <v>23121.198</v>
      </c>
      <c r="H73" s="89">
        <f>'Distribution losses'!D282</f>
        <v>22803.758000000002</v>
      </c>
      <c r="I73" s="89">
        <f>'Distribution losses'!E282</f>
        <v>22750.984</v>
      </c>
      <c r="J73" s="89">
        <f>'Distribution losses'!F282</f>
        <v>22442.992999999999</v>
      </c>
      <c r="K73" s="89">
        <f>'Distribution losses'!G282</f>
        <v>22134.716</v>
      </c>
      <c r="L73" s="89"/>
      <c r="M73" s="89"/>
      <c r="N73" s="89"/>
      <c r="O73" s="89"/>
      <c r="P73" s="89"/>
    </row>
    <row r="74" spans="2:16">
      <c r="B74" s="1" t="str">
        <f t="shared" si="21"/>
        <v>UKPN EPN</v>
      </c>
      <c r="C74" s="49"/>
      <c r="G74" s="89">
        <f>'Distribution losses'!C310</f>
        <v>37513</v>
      </c>
      <c r="H74" s="89">
        <f>'Distribution losses'!D310</f>
        <v>36410.063999999998</v>
      </c>
      <c r="I74" s="89">
        <f>'Distribution losses'!E310</f>
        <v>36840.911999999997</v>
      </c>
      <c r="J74" s="89">
        <f>'Distribution losses'!F310</f>
        <v>36035.919000000002</v>
      </c>
      <c r="K74" s="89">
        <f>'Distribution losses'!G310</f>
        <v>34718.724000000002</v>
      </c>
      <c r="L74" s="89"/>
      <c r="M74" s="89"/>
      <c r="N74" s="89"/>
      <c r="O74" s="89"/>
      <c r="P74" s="89"/>
    </row>
    <row r="75" spans="2:16">
      <c r="B75" s="1" t="str">
        <f t="shared" si="21"/>
        <v>SP Distribution</v>
      </c>
      <c r="C75" s="49"/>
      <c r="G75" s="89">
        <f>'Distribution losses'!C338</f>
        <v>21664.214</v>
      </c>
      <c r="H75" s="89">
        <f>'Distribution losses'!D338</f>
        <v>20945.531000000003</v>
      </c>
      <c r="I75" s="89">
        <f>'Distribution losses'!E338</f>
        <v>21123.499</v>
      </c>
      <c r="J75" s="89">
        <f>'Distribution losses'!F338</f>
        <v>20793.239000000001</v>
      </c>
      <c r="K75" s="89">
        <f>'Distribution losses'!G338</f>
        <v>20320.881000000001</v>
      </c>
      <c r="L75" s="89"/>
      <c r="M75" s="89"/>
      <c r="N75" s="89"/>
      <c r="O75" s="89"/>
      <c r="P75" s="89"/>
    </row>
    <row r="76" spans="2:16">
      <c r="B76" s="1" t="str">
        <f t="shared" si="21"/>
        <v>SP Manweb</v>
      </c>
      <c r="C76" s="49"/>
      <c r="G76" s="89">
        <f>'Distribution losses'!C366</f>
        <v>17245.487000000001</v>
      </c>
      <c r="H76" s="89">
        <f>'Distribution losses'!D366</f>
        <v>16982.655999999999</v>
      </c>
      <c r="I76" s="89">
        <f>'Distribution losses'!E366</f>
        <v>16760.644</v>
      </c>
      <c r="J76" s="89">
        <f>'Distribution losses'!F366</f>
        <v>16509.417999999998</v>
      </c>
      <c r="K76" s="89">
        <f>'Distribution losses'!G366</f>
        <v>16340.531000000001</v>
      </c>
      <c r="L76" s="89"/>
      <c r="M76" s="89"/>
      <c r="N76" s="89"/>
      <c r="O76" s="89"/>
      <c r="P76" s="89"/>
    </row>
    <row r="77" spans="2:16">
      <c r="B77" s="1" t="str">
        <f t="shared" si="21"/>
        <v>SSE Hydro</v>
      </c>
      <c r="C77" s="49"/>
      <c r="G77" s="89">
        <f>'Distribution losses'!C394</f>
        <v>8795.1149999999998</v>
      </c>
      <c r="H77" s="89">
        <f>'Distribution losses'!D394</f>
        <v>8501.75</v>
      </c>
      <c r="I77" s="89">
        <f>'Distribution losses'!E394</f>
        <v>8653.4049999999988</v>
      </c>
      <c r="J77" s="89">
        <f>'Distribution losses'!F394</f>
        <v>8516.0840000000007</v>
      </c>
      <c r="K77" s="89">
        <f>'Distribution losses'!G394</f>
        <v>8391.8490000000002</v>
      </c>
      <c r="L77" s="89"/>
      <c r="M77" s="89"/>
      <c r="N77" s="89"/>
      <c r="O77" s="89"/>
      <c r="P77" s="89"/>
    </row>
    <row r="78" spans="2:16">
      <c r="B78" s="1" t="str">
        <f t="shared" si="21"/>
        <v>SSE Southern</v>
      </c>
      <c r="C78" s="49"/>
      <c r="G78" s="89">
        <f>'Distribution losses'!C422</f>
        <v>34855.023000000001</v>
      </c>
      <c r="H78" s="89">
        <f>'Distribution losses'!D422</f>
        <v>33938.777999999998</v>
      </c>
      <c r="I78" s="89">
        <f>'Distribution losses'!E422</f>
        <v>34249.224999999999</v>
      </c>
      <c r="J78" s="89">
        <f>'Distribution losses'!F422</f>
        <v>34371.775999999998</v>
      </c>
      <c r="K78" s="89">
        <f>'Distribution losses'!G422</f>
        <v>33721.771000000001</v>
      </c>
      <c r="L78" s="89"/>
      <c r="M78" s="89"/>
      <c r="N78" s="89"/>
      <c r="O78" s="89"/>
      <c r="P78" s="89"/>
    </row>
    <row r="79" spans="2:16" s="2" customFormat="1">
      <c r="B79" s="43" t="s">
        <v>38</v>
      </c>
      <c r="C79" s="47">
        <f>SUM(C65:C78)</f>
        <v>0</v>
      </c>
      <c r="D79" s="44">
        <f t="shared" ref="D79:J79" si="22">SUM(D65:D78)</f>
        <v>0</v>
      </c>
      <c r="E79" s="44">
        <f t="shared" si="22"/>
        <v>0</v>
      </c>
      <c r="F79" s="44">
        <f t="shared" si="22"/>
        <v>0</v>
      </c>
      <c r="G79" s="44">
        <f t="shared" ref="G79:I79" si="23">SUM(G65:G78)</f>
        <v>329479.73499999999</v>
      </c>
      <c r="H79" s="44">
        <f t="shared" si="23"/>
        <v>321374.91400000005</v>
      </c>
      <c r="I79" s="44">
        <f t="shared" si="23"/>
        <v>321106.19299999997</v>
      </c>
      <c r="J79" s="44">
        <f t="shared" si="22"/>
        <v>315943.41199999995</v>
      </c>
      <c r="K79" s="44">
        <f t="shared" ref="K79" si="24">SUM(K65:K78)</f>
        <v>307002.15100000001</v>
      </c>
      <c r="L79" s="44"/>
      <c r="M79" s="44"/>
      <c r="N79" s="44"/>
      <c r="O79" s="44"/>
      <c r="P79" s="44"/>
    </row>
    <row r="80" spans="2:16">
      <c r="B80" s="1"/>
      <c r="C80" s="49"/>
    </row>
    <row r="81" spans="3:3">
      <c r="C81" s="49"/>
    </row>
    <row r="82" spans="3:3">
      <c r="C82" s="49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>
    <tabColor theme="6"/>
    <pageSetUpPr fitToPage="1"/>
  </sheetPr>
  <dimension ref="A1:U79"/>
  <sheetViews>
    <sheetView zoomScale="75" zoomScaleNormal="75" workbookViewId="0">
      <selection activeCell="A2" sqref="A2"/>
    </sheetView>
  </sheetViews>
  <sheetFormatPr defaultRowHeight="12.75"/>
  <cols>
    <col min="1" max="1" width="1.625" customWidth="1"/>
    <col min="2" max="2" width="13" bestFit="1" customWidth="1"/>
    <col min="10" max="10" width="13" bestFit="1" customWidth="1"/>
  </cols>
  <sheetData>
    <row r="1" spans="1:10" ht="12.75" customHeight="1">
      <c r="A1" s="2" t="s">
        <v>440</v>
      </c>
    </row>
    <row r="2" spans="1:10" ht="12.75" customHeight="1">
      <c r="A2" s="2"/>
    </row>
    <row r="3" spans="1:10" ht="12.75" customHeight="1">
      <c r="A3" s="2" t="s">
        <v>99</v>
      </c>
    </row>
    <row r="4" spans="1:10" s="449" customFormat="1" ht="12.75" customHeight="1"/>
    <row r="5" spans="1:10" s="449" customFormat="1" ht="12.75" customHeight="1">
      <c r="B5" s="510" t="s">
        <v>403</v>
      </c>
      <c r="J5" s="510" t="s">
        <v>397</v>
      </c>
    </row>
    <row r="6" spans="1:10" s="449" customFormat="1" ht="12.75" customHeight="1"/>
    <row r="7" spans="1:10" s="449" customFormat="1">
      <c r="B7" s="2" t="s">
        <v>477</v>
      </c>
      <c r="J7" s="2" t="s">
        <v>479</v>
      </c>
    </row>
    <row r="8" spans="1:10" s="449" customFormat="1"/>
    <row r="9" spans="1:10" s="449" customFormat="1">
      <c r="B9" s="548"/>
      <c r="C9" s="549" t="s">
        <v>358</v>
      </c>
      <c r="D9" s="549" t="s">
        <v>359</v>
      </c>
      <c r="E9" s="549" t="s">
        <v>360</v>
      </c>
      <c r="F9" s="549" t="s">
        <v>361</v>
      </c>
      <c r="G9" s="549" t="s">
        <v>362</v>
      </c>
    </row>
    <row r="10" spans="1:10" s="449" customFormat="1">
      <c r="B10" s="548"/>
      <c r="C10" s="549" t="s">
        <v>350</v>
      </c>
      <c r="D10" s="549" t="s">
        <v>351</v>
      </c>
      <c r="E10" s="549" t="s">
        <v>349</v>
      </c>
      <c r="F10" s="549" t="s">
        <v>353</v>
      </c>
      <c r="G10" s="549" t="s">
        <v>352</v>
      </c>
    </row>
    <row r="11" spans="1:10" s="449" customFormat="1">
      <c r="B11" s="548" t="str">
        <f t="shared" ref="B11:B24" si="0">B36</f>
        <v>CN West</v>
      </c>
      <c r="C11" s="550">
        <f>'Quality of service'!Y338</f>
        <v>4.41</v>
      </c>
      <c r="D11" s="551" t="str">
        <f>IF('Quality of service'!Y128&gt;'Quality of service'!X128,"penalty","reward")</f>
        <v>reward</v>
      </c>
      <c r="E11" s="551" t="str">
        <f>IF('Quality of service'!Y149&gt;'Quality of service'!X149,"penalty","reward")</f>
        <v>reward</v>
      </c>
      <c r="F11" s="551" t="str">
        <f>IF(Connections!M165="red","red",IF(Connections!M165="amber","amber","green"))</f>
        <v>red</v>
      </c>
      <c r="G11" s="551" t="str">
        <f>IF('Distribution losses'!K31&gt;'Distribution losses'!C31,"penalty","reward")</f>
        <v>penalty</v>
      </c>
    </row>
    <row r="12" spans="1:10" s="449" customFormat="1">
      <c r="B12" s="548" t="str">
        <f t="shared" si="0"/>
        <v>CN East</v>
      </c>
      <c r="C12" s="550">
        <f>'Quality of service'!Y339</f>
        <v>4.43</v>
      </c>
      <c r="D12" s="551" t="str">
        <f>IF('Quality of service'!Y129&gt;'Quality of service'!X129,"penalty","reward")</f>
        <v>reward</v>
      </c>
      <c r="E12" s="551" t="str">
        <f>IF('Quality of service'!Y150&gt;'Quality of service'!X150,"penalty","reward")</f>
        <v>reward</v>
      </c>
      <c r="F12" s="551" t="str">
        <f>IF(Connections!M166="red","red",IF(Connections!M166="amber","amber","green"))</f>
        <v>red</v>
      </c>
      <c r="G12" s="551" t="str">
        <f>IF('Distribution losses'!K32&gt;'Distribution losses'!C32,"penalty","reward")</f>
        <v>reward</v>
      </c>
    </row>
    <row r="13" spans="1:10" s="449" customFormat="1">
      <c r="B13" s="548" t="str">
        <f t="shared" si="0"/>
        <v>ENWL</v>
      </c>
      <c r="C13" s="550">
        <f>'Quality of service'!Y340</f>
        <v>4.47</v>
      </c>
      <c r="D13" s="551" t="str">
        <f>IF('Quality of service'!Y130&gt;'Quality of service'!X130,"penalty","reward")</f>
        <v>reward</v>
      </c>
      <c r="E13" s="551" t="str">
        <f>IF('Quality of service'!Y151&gt;'Quality of service'!X151,"penalty","reward")</f>
        <v>reward</v>
      </c>
      <c r="F13" s="551" t="str">
        <f>IF(Connections!M167="red","red",IF(Connections!M167="amber","amber","green"))</f>
        <v>red</v>
      </c>
      <c r="G13" s="551" t="str">
        <f>IF('Distribution losses'!K33&gt;'Distribution losses'!C33,"penalty","reward")</f>
        <v>reward</v>
      </c>
    </row>
    <row r="14" spans="1:10" s="449" customFormat="1">
      <c r="B14" s="548" t="str">
        <f t="shared" si="0"/>
        <v>CE NEDL</v>
      </c>
      <c r="C14" s="550">
        <f>'Quality of service'!Y341</f>
        <v>4.46</v>
      </c>
      <c r="D14" s="551" t="str">
        <f>IF('Quality of service'!Y131&gt;'Quality of service'!X131,"penalty","reward")</f>
        <v>reward</v>
      </c>
      <c r="E14" s="551" t="str">
        <f>IF('Quality of service'!Y152&gt;'Quality of service'!X152,"penalty","reward")</f>
        <v>penalty</v>
      </c>
      <c r="F14" s="551" t="str">
        <f>IF(Connections!M168="red","red",IF(Connections!M168="amber","amber","green"))</f>
        <v>amber</v>
      </c>
      <c r="G14" s="551" t="str">
        <f>IF('Distribution losses'!K34&gt;'Distribution losses'!C34,"penalty","reward")</f>
        <v>reward</v>
      </c>
    </row>
    <row r="15" spans="1:10" s="449" customFormat="1">
      <c r="B15" s="548" t="str">
        <f t="shared" si="0"/>
        <v>CE YEDL</v>
      </c>
      <c r="C15" s="550">
        <f>'Quality of service'!Y342</f>
        <v>4.41</v>
      </c>
      <c r="D15" s="551" t="str">
        <f>IF('Quality of service'!Y132&gt;'Quality of service'!X132,"penalty","reward")</f>
        <v>penalty</v>
      </c>
      <c r="E15" s="551" t="str">
        <f>IF('Quality of service'!Y153&gt;'Quality of service'!X153,"penalty","reward")</f>
        <v>penalty</v>
      </c>
      <c r="F15" s="551" t="str">
        <f>IF(Connections!M169="red","red",IF(Connections!M169="amber","amber","green"))</f>
        <v>amber</v>
      </c>
      <c r="G15" s="551" t="str">
        <f>IF('Distribution losses'!K35&gt;'Distribution losses'!C35,"penalty","reward")</f>
        <v>reward</v>
      </c>
    </row>
    <row r="16" spans="1:10" s="449" customFormat="1">
      <c r="B16" s="548" t="str">
        <f t="shared" si="0"/>
        <v>WPD S Wales</v>
      </c>
      <c r="C16" s="550">
        <f>'Quality of service'!Y343</f>
        <v>4.57</v>
      </c>
      <c r="D16" s="551" t="str">
        <f>IF('Quality of service'!Y133&gt;'Quality of service'!X133,"penalty","reward")</f>
        <v>reward</v>
      </c>
      <c r="E16" s="551" t="str">
        <f>IF('Quality of service'!Y154&gt;'Quality of service'!X154,"penalty","reward")</f>
        <v>reward</v>
      </c>
      <c r="F16" s="551" t="str">
        <f>IF(Connections!M170="red","red",IF(Connections!M170="amber","amber","green"))</f>
        <v>amber</v>
      </c>
      <c r="G16" s="551" t="str">
        <f>IF('Distribution losses'!K36&gt;'Distribution losses'!C36,"penalty","reward")</f>
        <v>reward</v>
      </c>
    </row>
    <row r="17" spans="2:10" s="449" customFormat="1">
      <c r="B17" s="548" t="str">
        <f t="shared" si="0"/>
        <v>WPD S West</v>
      </c>
      <c r="C17" s="550">
        <f>'Quality of service'!Y344</f>
        <v>4.51</v>
      </c>
      <c r="D17" s="551" t="str">
        <f>IF('Quality of service'!Y134&gt;'Quality of service'!X134,"penalty","reward")</f>
        <v>reward</v>
      </c>
      <c r="E17" s="551" t="str">
        <f>IF('Quality of service'!Y155&gt;'Quality of service'!X155,"penalty","reward")</f>
        <v>reward</v>
      </c>
      <c r="F17" s="551" t="str">
        <f>IF(Connections!M171="red","red",IF(Connections!M171="amber","amber","green"))</f>
        <v>green</v>
      </c>
      <c r="G17" s="551" t="str">
        <f>IF('Distribution losses'!K37&gt;'Distribution losses'!C37,"penalty","reward")</f>
        <v>reward</v>
      </c>
    </row>
    <row r="18" spans="2:10" s="449" customFormat="1">
      <c r="B18" s="548" t="str">
        <f t="shared" si="0"/>
        <v>UKPN LPN</v>
      </c>
      <c r="C18" s="550">
        <f>'Quality of service'!Y345</f>
        <v>3.98</v>
      </c>
      <c r="D18" s="551" t="str">
        <f>IF('Quality of service'!Y135&gt;'Quality of service'!X135,"penalty","reward")</f>
        <v>reward</v>
      </c>
      <c r="E18" s="551" t="str">
        <f>IF('Quality of service'!Y156&gt;'Quality of service'!X156,"penalty","reward")</f>
        <v>penalty</v>
      </c>
      <c r="F18" s="551" t="str">
        <f>IF(Connections!M172="red","red",IF(Connections!M172="amber","amber","green"))</f>
        <v>red</v>
      </c>
      <c r="G18" s="551" t="str">
        <f>IF('Distribution losses'!K38&gt;'Distribution losses'!C38,"penalty","reward")</f>
        <v>reward</v>
      </c>
    </row>
    <row r="19" spans="2:10" s="449" customFormat="1">
      <c r="B19" s="548" t="str">
        <f t="shared" si="0"/>
        <v>UKPN SEPN</v>
      </c>
      <c r="C19" s="550">
        <f>'Quality of service'!Y346</f>
        <v>4</v>
      </c>
      <c r="D19" s="551" t="str">
        <f>IF('Quality of service'!Y136&gt;'Quality of service'!X136,"penalty","reward")</f>
        <v>reward</v>
      </c>
      <c r="E19" s="551" t="str">
        <f>IF('Quality of service'!Y157&gt;'Quality of service'!X157,"penalty","reward")</f>
        <v>penalty</v>
      </c>
      <c r="F19" s="551" t="str">
        <f>IF(Connections!M173="red","red",IF(Connections!M173="amber","amber","green"))</f>
        <v>red</v>
      </c>
      <c r="G19" s="551" t="str">
        <f>IF('Distribution losses'!K39&gt;'Distribution losses'!C39,"penalty","reward")</f>
        <v>reward</v>
      </c>
    </row>
    <row r="20" spans="2:10" s="449" customFormat="1">
      <c r="B20" s="548" t="str">
        <f t="shared" si="0"/>
        <v>UKPN EPN</v>
      </c>
      <c r="C20" s="550">
        <f>'Quality of service'!Y347</f>
        <v>4.1900000000000004</v>
      </c>
      <c r="D20" s="551" t="str">
        <f>IF('Quality of service'!Y137&gt;'Quality of service'!X137,"penalty","reward")</f>
        <v>reward</v>
      </c>
      <c r="E20" s="551" t="str">
        <f>IF('Quality of service'!Y158&gt;'Quality of service'!X158,"penalty","reward")</f>
        <v>penalty</v>
      </c>
      <c r="F20" s="551" t="str">
        <f>IF(Connections!M174="red","red",IF(Connections!M174="amber","amber","green"))</f>
        <v>red</v>
      </c>
      <c r="G20" s="551" t="str">
        <f>IF('Distribution losses'!K40&gt;'Distribution losses'!C40,"penalty","reward")</f>
        <v>reward</v>
      </c>
    </row>
    <row r="21" spans="2:10" s="449" customFormat="1">
      <c r="B21" s="548" t="str">
        <f t="shared" si="0"/>
        <v>SP Distribution</v>
      </c>
      <c r="C21" s="550">
        <f>'Quality of service'!Y348</f>
        <v>4.26</v>
      </c>
      <c r="D21" s="551" t="str">
        <f>IF('Quality of service'!Y138&gt;'Quality of service'!X138,"penalty","reward")</f>
        <v>reward</v>
      </c>
      <c r="E21" s="551" t="str">
        <f>IF('Quality of service'!Y159&gt;'Quality of service'!X159,"penalty","reward")</f>
        <v>reward</v>
      </c>
      <c r="F21" s="551" t="str">
        <f>IF(Connections!M175="red","red",IF(Connections!M175="amber","amber","green"))</f>
        <v>amber</v>
      </c>
      <c r="G21" s="551" t="str">
        <f>IF('Distribution losses'!K41&gt;'Distribution losses'!C41,"penalty","reward")</f>
        <v>penalty</v>
      </c>
    </row>
    <row r="22" spans="2:10" s="449" customFormat="1">
      <c r="B22" s="548" t="str">
        <f t="shared" si="0"/>
        <v>SP Manweb</v>
      </c>
      <c r="C22" s="550">
        <f>'Quality of service'!Y349</f>
        <v>4.38</v>
      </c>
      <c r="D22" s="551" t="str">
        <f>IF('Quality of service'!Y139&gt;'Quality of service'!X139,"penalty","reward")</f>
        <v>penalty</v>
      </c>
      <c r="E22" s="551" t="str">
        <f>IF('Quality of service'!Y160&gt;'Quality of service'!X160,"penalty","reward")</f>
        <v>penalty</v>
      </c>
      <c r="F22" s="551" t="str">
        <f>IF(Connections!M176="red","red",IF(Connections!M176="amber","amber","green"))</f>
        <v>amber</v>
      </c>
      <c r="G22" s="551" t="str">
        <f>IF('Distribution losses'!K42&gt;'Distribution losses'!C42,"penalty","reward")</f>
        <v>penalty</v>
      </c>
    </row>
    <row r="23" spans="2:10" s="449" customFormat="1">
      <c r="B23" s="548" t="str">
        <f t="shared" si="0"/>
        <v>SSE Hydro</v>
      </c>
      <c r="C23" s="550">
        <f>'Quality of service'!Y350</f>
        <v>4.62</v>
      </c>
      <c r="D23" s="551" t="str">
        <f>IF('Quality of service'!Y140&gt;'Quality of service'!X140,"penalty","reward")</f>
        <v>reward</v>
      </c>
      <c r="E23" s="551" t="str">
        <f>IF('Quality of service'!Y161&gt;'Quality of service'!X161,"penalty","reward")</f>
        <v>reward</v>
      </c>
      <c r="F23" s="551" t="str">
        <f>IF(Connections!M177="red","red",IF(Connections!M177="amber","amber","green"))</f>
        <v>red</v>
      </c>
      <c r="G23" s="551" t="str">
        <f>IF('Distribution losses'!K43&gt;'Distribution losses'!C43,"penalty","reward")</f>
        <v>reward</v>
      </c>
    </row>
    <row r="24" spans="2:10" s="449" customFormat="1">
      <c r="B24" s="548" t="str">
        <f t="shared" si="0"/>
        <v>SSE Southern</v>
      </c>
      <c r="C24" s="550">
        <f>'Quality of service'!Y351</f>
        <v>4.42</v>
      </c>
      <c r="D24" s="551" t="str">
        <f>IF('Quality of service'!Y141&gt;'Quality of service'!X141,"penalty","reward")</f>
        <v>reward</v>
      </c>
      <c r="E24" s="551" t="str">
        <f>IF('Quality of service'!Y162&gt;'Quality of service'!X162,"penalty","reward")</f>
        <v>reward</v>
      </c>
      <c r="F24" s="551" t="str">
        <f>IF(Connections!M178="red","red",IF(Connections!M178="amber","amber","green"))</f>
        <v>amber</v>
      </c>
      <c r="G24" s="551" t="str">
        <f>IF('Distribution losses'!K44&gt;'Distribution losses'!C44,"penalty","reward")</f>
        <v>reward</v>
      </c>
    </row>
    <row r="25" spans="2:10" s="449" customFormat="1">
      <c r="B25" s="52" t="s">
        <v>78</v>
      </c>
      <c r="C25" s="548"/>
      <c r="D25" s="548"/>
      <c r="E25" s="548"/>
      <c r="F25" s="548"/>
      <c r="G25" s="548"/>
    </row>
    <row r="26" spans="2:10" s="449" customFormat="1">
      <c r="B26"/>
      <c r="C26"/>
      <c r="D26"/>
      <c r="E26"/>
      <c r="G26"/>
    </row>
    <row r="27" spans="2:10" s="449" customFormat="1">
      <c r="B27"/>
      <c r="C27"/>
    </row>
    <row r="28" spans="2:10" s="449" customFormat="1">
      <c r="B28"/>
      <c r="C28"/>
    </row>
    <row r="29" spans="2:10" s="449" customFormat="1">
      <c r="B29"/>
      <c r="C29"/>
    </row>
    <row r="30" spans="2:10" s="449" customFormat="1">
      <c r="B30" s="510" t="s">
        <v>404</v>
      </c>
      <c r="C30"/>
    </row>
    <row r="31" spans="2:10" s="449" customFormat="1">
      <c r="J31" s="13"/>
    </row>
    <row r="32" spans="2:10" s="449" customFormat="1">
      <c r="B32" s="2" t="s">
        <v>478</v>
      </c>
      <c r="J32" s="13"/>
    </row>
    <row r="33" spans="2:14" s="449" customFormat="1">
      <c r="C33"/>
      <c r="D33"/>
      <c r="E33"/>
      <c r="F33"/>
      <c r="G33"/>
      <c r="J33" s="13"/>
    </row>
    <row r="34" spans="2:14" s="449" customFormat="1">
      <c r="B34" s="548"/>
      <c r="C34" s="549" t="s">
        <v>358</v>
      </c>
      <c r="D34" s="549" t="s">
        <v>359</v>
      </c>
      <c r="E34" s="549" t="s">
        <v>360</v>
      </c>
      <c r="F34" s="549" t="s">
        <v>361</v>
      </c>
      <c r="G34" s="549" t="s">
        <v>362</v>
      </c>
    </row>
    <row r="35" spans="2:14" s="449" customFormat="1">
      <c r="B35" s="548"/>
      <c r="C35" s="549" t="s">
        <v>350</v>
      </c>
      <c r="D35" s="549" t="s">
        <v>351</v>
      </c>
      <c r="E35" s="549" t="s">
        <v>349</v>
      </c>
      <c r="F35" s="549" t="s">
        <v>353</v>
      </c>
      <c r="G35" s="549" t="s">
        <v>352</v>
      </c>
    </row>
    <row r="36" spans="2:14" s="449" customFormat="1">
      <c r="B36" s="548" t="str">
        <f>Inputs!B11</f>
        <v>CN West</v>
      </c>
      <c r="C36" s="550">
        <f>'Quality of service'!AB338</f>
        <v>4.53</v>
      </c>
      <c r="D36" s="551" t="str">
        <f>IF('Quality of service'!AB128&gt;'Quality of service'!AA128,"penalty","reward")</f>
        <v>penalty</v>
      </c>
      <c r="E36" s="551" t="str">
        <f>IF('Quality of service'!AB149&gt;'Quality of service'!AA149,"penalty","reward")</f>
        <v>reward</v>
      </c>
      <c r="F36" s="551" t="str">
        <f>IF(Connections!M139="red","red",IF(Connections!M139="amber","amber","green"))</f>
        <v>red</v>
      </c>
      <c r="G36" s="551" t="str">
        <f>IF('Distribution losses'!L31&gt;'Distribution losses'!C31,"penalty","reward")</f>
        <v>penalty</v>
      </c>
      <c r="I36" s="13"/>
    </row>
    <row r="37" spans="2:14" s="449" customFormat="1">
      <c r="B37" s="548" t="str">
        <f>Inputs!B12</f>
        <v>CN East</v>
      </c>
      <c r="C37" s="550">
        <f>'Quality of service'!AB339</f>
        <v>4.5599999999999996</v>
      </c>
      <c r="D37" s="551" t="str">
        <f>IF('Quality of service'!AB129&gt;'Quality of service'!AA129,"penalty","reward")</f>
        <v>reward</v>
      </c>
      <c r="E37" s="551" t="str">
        <f>IF('Quality of service'!AB150&gt;'Quality of service'!AA150,"penalty","reward")</f>
        <v>reward</v>
      </c>
      <c r="F37" s="551" t="str">
        <f>IF(Connections!M140="red","red",IF(Connections!M140="amber","amber","green"))</f>
        <v>red</v>
      </c>
      <c r="G37" s="551" t="str">
        <f>IF('Distribution losses'!L32&gt;'Distribution losses'!C32,"penalty","reward")</f>
        <v>reward</v>
      </c>
      <c r="I37" s="13"/>
    </row>
    <row r="38" spans="2:14" s="449" customFormat="1">
      <c r="B38" s="548" t="str">
        <f>Inputs!B13</f>
        <v>ENWL</v>
      </c>
      <c r="C38" s="550">
        <f>'Quality of service'!AB340</f>
        <v>4.53</v>
      </c>
      <c r="D38" s="551" t="str">
        <f>IF('Quality of service'!AB130&gt;'Quality of service'!AA130,"penalty","reward")</f>
        <v>reward</v>
      </c>
      <c r="E38" s="551" t="str">
        <f>IF('Quality of service'!AB151&gt;'Quality of service'!AA151,"penalty","reward")</f>
        <v>reward</v>
      </c>
      <c r="F38" s="551" t="str">
        <f>IF(Connections!M141="red","red",IF(Connections!M141="amber","amber","green"))</f>
        <v>red</v>
      </c>
      <c r="G38" s="551" t="str">
        <f>IF('Distribution losses'!L33&gt;'Distribution losses'!C33,"penalty","reward")</f>
        <v>penalty</v>
      </c>
      <c r="I38" s="13"/>
    </row>
    <row r="39" spans="2:14" s="449" customFormat="1">
      <c r="B39" s="548" t="str">
        <f>Inputs!B14</f>
        <v>CE NEDL</v>
      </c>
      <c r="C39" s="550">
        <f>'Quality of service'!AB341</f>
        <v>4.5599999999999996</v>
      </c>
      <c r="D39" s="551" t="str">
        <f>IF('Quality of service'!AB131&gt;'Quality of service'!AA131,"penalty","reward")</f>
        <v>reward</v>
      </c>
      <c r="E39" s="551" t="str">
        <f>IF('Quality of service'!AB152&gt;'Quality of service'!AA152,"penalty","reward")</f>
        <v>penalty</v>
      </c>
      <c r="F39" s="551" t="str">
        <f>IF(Connections!M142="red","red",IF(Connections!M142="amber","amber","green"))</f>
        <v>amber</v>
      </c>
      <c r="G39" s="551" t="str">
        <f>IF('Distribution losses'!L34&gt;'Distribution losses'!C34,"penalty","reward")</f>
        <v>penalty</v>
      </c>
      <c r="I39" s="13"/>
    </row>
    <row r="40" spans="2:14" s="449" customFormat="1">
      <c r="B40" s="548" t="str">
        <f>Inputs!B15</f>
        <v>CE YEDL</v>
      </c>
      <c r="C40" s="550">
        <f>'Quality of service'!AB342</f>
        <v>4.49</v>
      </c>
      <c r="D40" s="551" t="str">
        <f>IF('Quality of service'!AB132&gt;'Quality of service'!AA132,"penalty","reward")</f>
        <v>penalty</v>
      </c>
      <c r="E40" s="551" t="str">
        <f>IF('Quality of service'!AB153&gt;'Quality of service'!AA153,"penalty","reward")</f>
        <v>penalty</v>
      </c>
      <c r="F40" s="551" t="str">
        <f>IF(Connections!M143="red","red",IF(Connections!M143="amber","amber","green"))</f>
        <v>green</v>
      </c>
      <c r="G40" s="551" t="str">
        <f>IF('Distribution losses'!L35&gt;'Distribution losses'!C35,"penalty","reward")</f>
        <v>penalty</v>
      </c>
      <c r="I40" s="13"/>
    </row>
    <row r="41" spans="2:14" s="449" customFormat="1">
      <c r="B41" s="548" t="str">
        <f>Inputs!B16</f>
        <v>WPD S Wales</v>
      </c>
      <c r="C41" s="550">
        <f>'Quality of service'!AB343</f>
        <v>4.71</v>
      </c>
      <c r="D41" s="551" t="str">
        <f>IF('Quality of service'!AB133&gt;'Quality of service'!AA133,"penalty","reward")</f>
        <v>reward</v>
      </c>
      <c r="E41" s="551" t="str">
        <f>IF('Quality of service'!AB154&gt;'Quality of service'!AA154,"penalty","reward")</f>
        <v>reward</v>
      </c>
      <c r="F41" s="551" t="str">
        <f>IF(Connections!M144="red","red",IF(Connections!M144="amber","amber","green"))</f>
        <v>green</v>
      </c>
      <c r="G41" s="551" t="str">
        <f>IF('Distribution losses'!L36&gt;'Distribution losses'!C36,"penalty","reward")</f>
        <v>penalty</v>
      </c>
      <c r="I41" s="13"/>
    </row>
    <row r="42" spans="2:14" s="449" customFormat="1">
      <c r="B42" s="548" t="str">
        <f>Inputs!B17</f>
        <v>WPD S West</v>
      </c>
      <c r="C42" s="550">
        <f>'Quality of service'!AB344</f>
        <v>4.62</v>
      </c>
      <c r="D42" s="551" t="str">
        <f>IF('Quality of service'!AB134&gt;'Quality of service'!AA134,"penalty","reward")</f>
        <v>reward</v>
      </c>
      <c r="E42" s="551" t="str">
        <f>IF('Quality of service'!AB155&gt;'Quality of service'!AA155,"penalty","reward")</f>
        <v>reward</v>
      </c>
      <c r="F42" s="551" t="str">
        <f>IF(Connections!M145="red","red",IF(Connections!M145="amber","amber","green"))</f>
        <v>amber</v>
      </c>
      <c r="G42" s="551" t="str">
        <f>IF('Distribution losses'!L37&gt;'Distribution losses'!C37,"penalty","reward")</f>
        <v>reward</v>
      </c>
      <c r="I42" s="13"/>
    </row>
    <row r="43" spans="2:14" s="449" customFormat="1">
      <c r="B43" s="548" t="str">
        <f>Inputs!B18</f>
        <v>UKPN LPN</v>
      </c>
      <c r="C43" s="550">
        <f>'Quality of service'!AB345</f>
        <v>4.1100000000000003</v>
      </c>
      <c r="D43" s="551" t="str">
        <f>IF('Quality of service'!AB135&gt;'Quality of service'!AA135,"penalty","reward")</f>
        <v>reward</v>
      </c>
      <c r="E43" s="551" t="str">
        <f>IF('Quality of service'!AB156&gt;'Quality of service'!AA156,"penalty","reward")</f>
        <v>penalty</v>
      </c>
      <c r="F43" s="551" t="str">
        <f>IF(Connections!M146="red","red",IF(Connections!M146="amber","amber","green"))</f>
        <v>amber</v>
      </c>
      <c r="G43" s="551" t="str">
        <f>IF('Distribution losses'!L38&gt;'Distribution losses'!C38,"penalty","reward")</f>
        <v>reward</v>
      </c>
      <c r="I43" s="13"/>
    </row>
    <row r="44" spans="2:14" s="449" customFormat="1">
      <c r="B44" s="548" t="str">
        <f>Inputs!B19</f>
        <v>UKPN SEPN</v>
      </c>
      <c r="C44" s="550">
        <f>'Quality of service'!AB346</f>
        <v>4.18</v>
      </c>
      <c r="D44" s="551" t="str">
        <f>IF('Quality of service'!AB136&gt;'Quality of service'!AA136,"penalty","reward")</f>
        <v>reward</v>
      </c>
      <c r="E44" s="551" t="str">
        <f>IF('Quality of service'!AB157&gt;'Quality of service'!AA157,"penalty","reward")</f>
        <v>penalty</v>
      </c>
      <c r="F44" s="551" t="str">
        <f>IF(Connections!M147="red","red",IF(Connections!M147="amber","amber","green"))</f>
        <v>amber</v>
      </c>
      <c r="G44" s="551" t="str">
        <f>IF('Distribution losses'!L39&gt;'Distribution losses'!C39,"penalty","reward")</f>
        <v>reward</v>
      </c>
      <c r="I44" s="13"/>
    </row>
    <row r="45" spans="2:14" s="449" customFormat="1">
      <c r="B45" s="548" t="str">
        <f>Inputs!B20</f>
        <v>UKPN EPN</v>
      </c>
      <c r="C45" s="550">
        <f>'Quality of service'!AB347</f>
        <v>4.22</v>
      </c>
      <c r="D45" s="551" t="str">
        <f>IF('Quality of service'!AB137&gt;'Quality of service'!AA137,"penalty","reward")</f>
        <v>penalty</v>
      </c>
      <c r="E45" s="551" t="str">
        <f>IF('Quality of service'!AB158&gt;'Quality of service'!AA158,"penalty","reward")</f>
        <v>penalty</v>
      </c>
      <c r="F45" s="551" t="str">
        <f>IF(Connections!M148="red","red",IF(Connections!M148="amber","amber","green"))</f>
        <v>amber</v>
      </c>
      <c r="G45" s="551" t="str">
        <f>IF('Distribution losses'!L40&gt;'Distribution losses'!C40,"penalty","reward")</f>
        <v>penalty</v>
      </c>
    </row>
    <row r="46" spans="2:14" s="449" customFormat="1">
      <c r="B46" s="548" t="str">
        <f>Inputs!B21</f>
        <v>SP Distribution</v>
      </c>
      <c r="C46" s="550">
        <f>'Quality of service'!AB348</f>
        <v>4.33</v>
      </c>
      <c r="D46" s="551" t="str">
        <f>IF('Quality of service'!AB138&gt;'Quality of service'!AA138,"penalty","reward")</f>
        <v>reward</v>
      </c>
      <c r="E46" s="551" t="str">
        <f>IF('Quality of service'!AB159&gt;'Quality of service'!AA159,"penalty","reward")</f>
        <v>penalty</v>
      </c>
      <c r="F46" s="551" t="str">
        <f>IF(Connections!M149="red","red",IF(Connections!M149="amber","amber","green"))</f>
        <v>green</v>
      </c>
      <c r="G46" s="551" t="str">
        <f>IF('Distribution losses'!L41&gt;'Distribution losses'!C41,"penalty","reward")</f>
        <v>penalty</v>
      </c>
    </row>
    <row r="47" spans="2:14" s="449" customFormat="1">
      <c r="B47" s="548" t="str">
        <f>Inputs!B22</f>
        <v>SP Manweb</v>
      </c>
      <c r="C47" s="550">
        <f>'Quality of service'!AB349</f>
        <v>4.47</v>
      </c>
      <c r="D47" s="551" t="str">
        <f>IF('Quality of service'!AB139&gt;'Quality of service'!AA139,"penalty","reward")</f>
        <v>reward</v>
      </c>
      <c r="E47" s="551" t="str">
        <f>IF('Quality of service'!AB160&gt;'Quality of service'!AA160,"penalty","reward")</f>
        <v>penalty</v>
      </c>
      <c r="F47" s="551" t="str">
        <f>IF(Connections!M150="red","red",IF(Connections!M150="amber","amber","green"))</f>
        <v>amber</v>
      </c>
      <c r="G47" s="551" t="str">
        <f>IF('Distribution losses'!L42&gt;'Distribution losses'!C42,"penalty","reward")</f>
        <v>penalty</v>
      </c>
      <c r="N47"/>
    </row>
    <row r="48" spans="2:14" s="449" customFormat="1">
      <c r="B48" s="548" t="str">
        <f>Inputs!B23</f>
        <v>SSE Hydro</v>
      </c>
      <c r="C48" s="550">
        <f>'Quality of service'!AB350</f>
        <v>4.63</v>
      </c>
      <c r="D48" s="551" t="str">
        <f>IF('Quality of service'!AB140&gt;'Quality of service'!AA140,"penalty","reward")</f>
        <v>reward</v>
      </c>
      <c r="E48" s="551" t="str">
        <f>IF('Quality of service'!AB161&gt;'Quality of service'!AA161,"penalty","reward")</f>
        <v>reward</v>
      </c>
      <c r="F48" s="551" t="str">
        <f>IF(Connections!M151="red","red",IF(Connections!M151="amber","amber","green"))</f>
        <v>red</v>
      </c>
      <c r="G48" s="551" t="str">
        <f>IF('Distribution losses'!L43&gt;'Distribution losses'!C43,"penalty","reward")</f>
        <v>reward</v>
      </c>
      <c r="N48"/>
    </row>
    <row r="49" spans="2:21" s="449" customFormat="1">
      <c r="B49" s="548" t="str">
        <f>Inputs!B24</f>
        <v>SSE Southern</v>
      </c>
      <c r="C49" s="550">
        <f>'Quality of service'!AB351</f>
        <v>4.4800000000000004</v>
      </c>
      <c r="D49" s="551" t="str">
        <f>IF('Quality of service'!AB141&gt;'Quality of service'!AA141,"penalty","reward")</f>
        <v>reward</v>
      </c>
      <c r="E49" s="551" t="str">
        <f>IF('Quality of service'!AB162&gt;'Quality of service'!AA162,"penalty","reward")</f>
        <v>reward</v>
      </c>
      <c r="F49" s="551" t="str">
        <f>IF(Connections!M152="red","red",IF(Connections!M152="amber","amber","green"))</f>
        <v>amber</v>
      </c>
      <c r="G49" s="551" t="str">
        <f>IF('Distribution losses'!L44&gt;'Distribution losses'!C44,"penalty","reward")</f>
        <v>reward</v>
      </c>
      <c r="K49"/>
      <c r="N49"/>
    </row>
    <row r="50" spans="2:21" s="449" customFormat="1">
      <c r="B50" s="52" t="s">
        <v>78</v>
      </c>
      <c r="C50" s="548"/>
      <c r="D50" s="548"/>
      <c r="E50" s="548"/>
      <c r="F50" s="548"/>
      <c r="G50" s="548"/>
      <c r="J50"/>
      <c r="K50"/>
      <c r="N50"/>
    </row>
    <row r="51" spans="2:21" s="449" customFormat="1">
      <c r="B51"/>
      <c r="C51"/>
      <c r="D51"/>
      <c r="E51"/>
      <c r="G51"/>
      <c r="K51"/>
      <c r="L51"/>
      <c r="O51"/>
    </row>
    <row r="52" spans="2:21" s="449" customFormat="1">
      <c r="B52"/>
      <c r="C52"/>
      <c r="J52"/>
      <c r="K52" t="s">
        <v>406</v>
      </c>
      <c r="L52"/>
      <c r="O52"/>
    </row>
    <row r="53" spans="2:21" s="449" customFormat="1">
      <c r="B53"/>
      <c r="C53"/>
      <c r="J53"/>
      <c r="K53"/>
      <c r="L53"/>
      <c r="M53"/>
      <c r="N53"/>
      <c r="O53"/>
      <c r="P53"/>
      <c r="Q53"/>
      <c r="R53"/>
      <c r="S53"/>
      <c r="T53"/>
      <c r="U53"/>
    </row>
    <row r="54" spans="2:21" s="449" customFormat="1">
      <c r="J54"/>
      <c r="K54"/>
      <c r="L54"/>
      <c r="M54"/>
      <c r="N54"/>
      <c r="O54"/>
      <c r="P54"/>
      <c r="Q54"/>
      <c r="R54"/>
      <c r="S54"/>
      <c r="T54"/>
      <c r="U54"/>
    </row>
    <row r="55" spans="2:21">
      <c r="B55" s="510" t="s">
        <v>405</v>
      </c>
    </row>
    <row r="57" spans="2:21">
      <c r="B57" s="2" t="s">
        <v>480</v>
      </c>
      <c r="C57" s="449"/>
      <c r="D57" s="449"/>
      <c r="E57" s="449"/>
      <c r="F57" s="449"/>
      <c r="G57" s="449"/>
      <c r="H57" s="449"/>
      <c r="I57" s="449"/>
    </row>
    <row r="58" spans="2:21">
      <c r="B58" s="449"/>
      <c r="C58" s="449"/>
      <c r="D58" s="449"/>
      <c r="E58" s="449"/>
      <c r="F58" s="449"/>
      <c r="G58" s="449"/>
      <c r="H58" s="449"/>
      <c r="I58" s="449"/>
    </row>
    <row r="59" spans="2:21">
      <c r="B59" s="548"/>
      <c r="C59" s="549" t="s">
        <v>358</v>
      </c>
      <c r="D59" s="549" t="s">
        <v>359</v>
      </c>
      <c r="E59" s="549" t="s">
        <v>360</v>
      </c>
      <c r="F59" s="549" t="s">
        <v>361</v>
      </c>
      <c r="G59" s="549" t="s">
        <v>362</v>
      </c>
      <c r="H59" s="449"/>
      <c r="I59" s="449"/>
    </row>
    <row r="60" spans="2:21">
      <c r="B60" s="548"/>
      <c r="C60" s="549" t="s">
        <v>350</v>
      </c>
      <c r="D60" s="549" t="s">
        <v>351</v>
      </c>
      <c r="E60" s="549" t="s">
        <v>349</v>
      </c>
      <c r="F60" s="573" t="s">
        <v>353</v>
      </c>
      <c r="G60" s="549" t="s">
        <v>352</v>
      </c>
      <c r="H60" s="449"/>
    </row>
    <row r="61" spans="2:21">
      <c r="B61" s="548" t="str">
        <f t="shared" ref="B61:B74" si="1">B36</f>
        <v>CN West</v>
      </c>
      <c r="C61" s="553" t="s">
        <v>356</v>
      </c>
      <c r="D61" s="551" t="str">
        <f>'Quality of service'!M27</f>
        <v>red</v>
      </c>
      <c r="E61" s="551" t="str">
        <f>'Quality of service'!M65</f>
        <v>amber</v>
      </c>
      <c r="F61" s="574" t="s">
        <v>354</v>
      </c>
      <c r="G61" s="574" t="s">
        <v>354</v>
      </c>
    </row>
    <row r="62" spans="2:21">
      <c r="B62" s="548" t="str">
        <f t="shared" si="1"/>
        <v>CN East</v>
      </c>
      <c r="C62" s="553" t="s">
        <v>356</v>
      </c>
      <c r="D62" s="551" t="str">
        <f>'Quality of service'!M26</f>
        <v>amber</v>
      </c>
      <c r="E62" s="551" t="str">
        <f>'Quality of service'!M64</f>
        <v>amber</v>
      </c>
      <c r="F62" s="574" t="s">
        <v>354</v>
      </c>
      <c r="G62" s="574" t="s">
        <v>355</v>
      </c>
    </row>
    <row r="63" spans="2:21">
      <c r="B63" s="548" t="str">
        <f t="shared" si="1"/>
        <v>ENWL</v>
      </c>
      <c r="C63" s="553" t="s">
        <v>356</v>
      </c>
      <c r="D63" s="551" t="str">
        <f>'Quality of service'!M28</f>
        <v>green</v>
      </c>
      <c r="E63" s="551" t="str">
        <f>'Quality of service'!M66</f>
        <v>green</v>
      </c>
      <c r="F63" s="574" t="s">
        <v>354</v>
      </c>
      <c r="G63" s="574" t="s">
        <v>356</v>
      </c>
    </row>
    <row r="64" spans="2:21">
      <c r="B64" s="548" t="str">
        <f t="shared" si="1"/>
        <v>CE NEDL</v>
      </c>
      <c r="C64" s="553" t="s">
        <v>356</v>
      </c>
      <c r="D64" s="551" t="str">
        <f>'Quality of service'!M24</f>
        <v>green</v>
      </c>
      <c r="E64" s="551" t="str">
        <f>'Quality of service'!M62</f>
        <v>red</v>
      </c>
      <c r="F64" s="574" t="s">
        <v>356</v>
      </c>
      <c r="G64" s="574" t="s">
        <v>356</v>
      </c>
    </row>
    <row r="65" spans="2:9">
      <c r="B65" s="548" t="str">
        <f t="shared" si="1"/>
        <v>CE YEDL</v>
      </c>
      <c r="C65" s="553" t="s">
        <v>356</v>
      </c>
      <c r="D65" s="551" t="str">
        <f>'Quality of service'!M25</f>
        <v>red</v>
      </c>
      <c r="E65" s="551" t="str">
        <f>'Quality of service'!M63</f>
        <v>red</v>
      </c>
      <c r="F65" s="574" t="s">
        <v>355</v>
      </c>
      <c r="G65" s="574" t="s">
        <v>356</v>
      </c>
    </row>
    <row r="66" spans="2:9">
      <c r="B66" s="548" t="str">
        <f t="shared" si="1"/>
        <v>WPD S Wales</v>
      </c>
      <c r="C66" s="553" t="s">
        <v>355</v>
      </c>
      <c r="D66" s="551" t="str">
        <f>'Quality of service'!M37</f>
        <v>green</v>
      </c>
      <c r="E66" s="551" t="str">
        <f>'Quality of service'!M75</f>
        <v>green</v>
      </c>
      <c r="F66" s="574" t="s">
        <v>355</v>
      </c>
      <c r="G66" s="574" t="s">
        <v>354</v>
      </c>
    </row>
    <row r="67" spans="2:9">
      <c r="B67" s="548" t="str">
        <f t="shared" si="1"/>
        <v>WPD S West</v>
      </c>
      <c r="C67" s="574" t="s">
        <v>355</v>
      </c>
      <c r="D67" s="551" t="str">
        <f>'Quality of service'!M38</f>
        <v>green</v>
      </c>
      <c r="E67" s="551" t="str">
        <f>'Quality of service'!M76</f>
        <v>green</v>
      </c>
      <c r="F67" s="574" t="s">
        <v>355</v>
      </c>
      <c r="G67" s="574" t="s">
        <v>355</v>
      </c>
    </row>
    <row r="68" spans="2:9">
      <c r="B68" s="548" t="str">
        <f t="shared" si="1"/>
        <v>UKPN LPN</v>
      </c>
      <c r="C68" s="553" t="s">
        <v>354</v>
      </c>
      <c r="D68" s="551" t="str">
        <f>'Quality of service'!M35</f>
        <v>amber</v>
      </c>
      <c r="E68" s="551" t="str">
        <f>'Quality of service'!M73</f>
        <v>red</v>
      </c>
      <c r="F68" s="574" t="s">
        <v>354</v>
      </c>
      <c r="G68" s="574" t="s">
        <v>355</v>
      </c>
    </row>
    <row r="69" spans="2:9">
      <c r="B69" s="548" t="str">
        <f t="shared" si="1"/>
        <v>UKPN SEPN</v>
      </c>
      <c r="C69" s="553" t="s">
        <v>354</v>
      </c>
      <c r="D69" s="551" t="str">
        <f>'Quality of service'!M36</f>
        <v>amber</v>
      </c>
      <c r="E69" s="551" t="str">
        <f>'Quality of service'!M74</f>
        <v>red</v>
      </c>
      <c r="F69" s="574" t="s">
        <v>354</v>
      </c>
      <c r="G69" s="574" t="s">
        <v>355</v>
      </c>
    </row>
    <row r="70" spans="2:9">
      <c r="B70" s="548" t="str">
        <f t="shared" si="1"/>
        <v>UKPN EPN</v>
      </c>
      <c r="C70" s="553" t="s">
        <v>356</v>
      </c>
      <c r="D70" s="551" t="str">
        <f>'Quality of service'!M34</f>
        <v>amber</v>
      </c>
      <c r="E70" s="551" t="str">
        <f>'Quality of service'!M72</f>
        <v>amber</v>
      </c>
      <c r="F70" s="574" t="s">
        <v>354</v>
      </c>
      <c r="G70" s="574" t="s">
        <v>356</v>
      </c>
    </row>
    <row r="71" spans="2:9">
      <c r="B71" s="548" t="str">
        <f t="shared" si="1"/>
        <v>SP Distribution</v>
      </c>
      <c r="C71" s="553" t="s">
        <v>354</v>
      </c>
      <c r="D71" s="551" t="str">
        <f>'Quality of service'!M30</f>
        <v>amber</v>
      </c>
      <c r="E71" s="551" t="str">
        <f>'Quality of service'!M68</f>
        <v>red</v>
      </c>
      <c r="F71" s="551" t="str">
        <f>IF(Connections!X149="red","red",IF(Connections!X149="amber","amber","green"))</f>
        <v>green</v>
      </c>
      <c r="G71" s="574" t="s">
        <v>356</v>
      </c>
      <c r="H71" s="449"/>
    </row>
    <row r="72" spans="2:9">
      <c r="B72" s="548" t="str">
        <f t="shared" si="1"/>
        <v>SP Manweb</v>
      </c>
      <c r="C72" s="553" t="s">
        <v>356</v>
      </c>
      <c r="D72" s="551" t="str">
        <f>'Quality of service'!M31</f>
        <v>amber</v>
      </c>
      <c r="E72" s="551" t="str">
        <f>'Quality of service'!M69</f>
        <v>red</v>
      </c>
      <c r="F72" s="574" t="s">
        <v>356</v>
      </c>
      <c r="G72" s="574" t="s">
        <v>355</v>
      </c>
      <c r="H72" s="449"/>
    </row>
    <row r="73" spans="2:9">
      <c r="B73" s="548" t="str">
        <f t="shared" si="1"/>
        <v>SSE Hydro</v>
      </c>
      <c r="C73" s="553" t="s">
        <v>355</v>
      </c>
      <c r="D73" s="551" t="str">
        <f>'Quality of service'!M32</f>
        <v>green</v>
      </c>
      <c r="E73" s="551" t="str">
        <f>'Quality of service'!M70</f>
        <v>green</v>
      </c>
      <c r="F73" s="574" t="s">
        <v>354</v>
      </c>
      <c r="G73" s="574" t="s">
        <v>355</v>
      </c>
    </row>
    <row r="74" spans="2:9">
      <c r="B74" s="548" t="str">
        <f t="shared" si="1"/>
        <v>SSE Southern</v>
      </c>
      <c r="C74" s="553" t="s">
        <v>356</v>
      </c>
      <c r="D74" s="551" t="str">
        <f>'Quality of service'!M33</f>
        <v>green</v>
      </c>
      <c r="E74" s="551" t="str">
        <f>'Quality of service'!M71</f>
        <v>green</v>
      </c>
      <c r="F74" s="574" t="s">
        <v>356</v>
      </c>
      <c r="G74" s="574" t="s">
        <v>355</v>
      </c>
    </row>
    <row r="75" spans="2:9">
      <c r="B75" s="52" t="s">
        <v>78</v>
      </c>
      <c r="C75" s="52"/>
      <c r="D75" s="52"/>
      <c r="E75" s="52"/>
      <c r="F75" s="548"/>
      <c r="G75" s="548"/>
      <c r="H75" s="449"/>
    </row>
    <row r="76" spans="2:9">
      <c r="H76" s="449"/>
      <c r="I76" s="449"/>
    </row>
    <row r="77" spans="2:9">
      <c r="C77" s="449"/>
      <c r="D77" s="449"/>
      <c r="G77" s="449"/>
      <c r="H77" s="449"/>
      <c r="I77" s="449"/>
    </row>
    <row r="78" spans="2:9">
      <c r="C78" s="449"/>
      <c r="D78" s="449"/>
      <c r="G78" s="449"/>
      <c r="H78" s="449"/>
      <c r="I78" s="449"/>
    </row>
    <row r="79" spans="2:9">
      <c r="B79" s="449"/>
      <c r="H79" s="449"/>
      <c r="I79" s="449"/>
    </row>
  </sheetData>
  <conditionalFormatting sqref="C11:C24 C36:C49">
    <cfRule type="cellIs" dxfId="60" priority="95" operator="between">
      <formula>4.1</formula>
      <formula>4.5</formula>
    </cfRule>
    <cfRule type="cellIs" dxfId="59" priority="96" operator="lessThan">
      <formula>4.1</formula>
    </cfRule>
    <cfRule type="cellIs" dxfId="58" priority="97" operator="greaterThan">
      <formula>4.5</formula>
    </cfRule>
  </conditionalFormatting>
  <conditionalFormatting sqref="D11:E24 D36:E49">
    <cfRule type="cellIs" dxfId="57" priority="93" operator="equal">
      <formula>"reward"</formula>
    </cfRule>
    <cfRule type="cellIs" dxfId="56" priority="94" operator="equal">
      <formula>"penalty"</formula>
    </cfRule>
  </conditionalFormatting>
  <conditionalFormatting sqref="F61:G74 F36:G49 F11:G24">
    <cfRule type="cellIs" dxfId="55" priority="91" operator="equal">
      <formula>"penalty"</formula>
    </cfRule>
    <cfRule type="cellIs" dxfId="54" priority="92" operator="equal">
      <formula>"reward"</formula>
    </cfRule>
  </conditionalFormatting>
  <conditionalFormatting sqref="F11:F24">
    <cfRule type="cellIs" dxfId="53" priority="50" operator="equal">
      <formula>"amber"</formula>
    </cfRule>
    <cfRule type="cellIs" dxfId="52" priority="51" operator="equal">
      <formula>"green"</formula>
    </cfRule>
    <cfRule type="cellIs" dxfId="51" priority="52" operator="equal">
      <formula>"red"</formula>
    </cfRule>
    <cfRule type="cellIs" dxfId="50" priority="59" operator="equal">
      <formula>"penalty"</formula>
    </cfRule>
    <cfRule type="cellIs" dxfId="49" priority="60" operator="equal">
      <formula>"reward"</formula>
    </cfRule>
  </conditionalFormatting>
  <conditionalFormatting sqref="F61:G74 F36:F49">
    <cfRule type="cellIs" dxfId="48" priority="53" operator="equal">
      <formula>"green"</formula>
    </cfRule>
    <cfRule type="cellIs" dxfId="47" priority="54" operator="equal">
      <formula>"amber"</formula>
    </cfRule>
    <cfRule type="cellIs" dxfId="46" priority="55" operator="equal">
      <formula>"red"</formula>
    </cfRule>
    <cfRule type="cellIs" dxfId="45" priority="56" operator="equal">
      <formula>"""red"""</formula>
    </cfRule>
  </conditionalFormatting>
  <conditionalFormatting sqref="C61:C74">
    <cfRule type="cellIs" dxfId="44" priority="22" operator="equal">
      <formula>"green"</formula>
    </cfRule>
    <cfRule type="cellIs" dxfId="43" priority="23" operator="equal">
      <formula>"amber"</formula>
    </cfRule>
    <cfRule type="cellIs" dxfId="42" priority="24" operator="equal">
      <formula>"red"</formula>
    </cfRule>
    <cfRule type="cellIs" dxfId="41" priority="25" operator="equal">
      <formula>FALSE</formula>
    </cfRule>
    <cfRule type="cellIs" dxfId="40" priority="26" operator="equal">
      <formula>TRUE</formula>
    </cfRule>
    <cfRule type="cellIs" dxfId="39" priority="47" operator="between">
      <formula>4.1</formula>
      <formula>4.5</formula>
    </cfRule>
    <cfRule type="cellIs" dxfId="38" priority="48" operator="lessThan">
      <formula>4.1</formula>
    </cfRule>
    <cfRule type="cellIs" dxfId="37" priority="49" operator="greaterThan">
      <formula>4.5</formula>
    </cfRule>
  </conditionalFormatting>
  <conditionalFormatting sqref="G61:G74">
    <cfRule type="cellIs" dxfId="36" priority="20" operator="equal">
      <formula>TRUE</formula>
    </cfRule>
    <cfRule type="cellIs" dxfId="35" priority="21" operator="equal">
      <formula>FALSE</formula>
    </cfRule>
  </conditionalFormatting>
  <conditionalFormatting sqref="D61:E74 C67">
    <cfRule type="cellIs" dxfId="34" priority="13" operator="equal">
      <formula>"green"</formula>
    </cfRule>
    <cfRule type="cellIs" dxfId="33" priority="14" operator="equal">
      <formula>"amber"</formula>
    </cfRule>
    <cfRule type="cellIs" dxfId="32" priority="15" operator="equal">
      <formula>"red"</formula>
    </cfRule>
    <cfRule type="cellIs" dxfId="31" priority="16" operator="equal">
      <formula>FALSE</formula>
    </cfRule>
    <cfRule type="cellIs" dxfId="30" priority="17" operator="equal">
      <formula>TRUE</formula>
    </cfRule>
    <cfRule type="cellIs" dxfId="29" priority="18" operator="equal">
      <formula>"reward"</formula>
    </cfRule>
    <cfRule type="cellIs" dxfId="28" priority="19" operator="equal">
      <formula>"penalty"</formula>
    </cfRule>
  </conditionalFormatting>
  <pageMargins left="0.31496062992125984" right="0.31496062992125984" top="0.35433070866141736" bottom="0.35433070866141736" header="0" footer="0"/>
  <pageSetup scale="8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>
    <tabColor theme="6"/>
    <pageSetUpPr fitToPage="1"/>
  </sheetPr>
  <dimension ref="A1:N100"/>
  <sheetViews>
    <sheetView zoomScale="75" zoomScaleNormal="75" workbookViewId="0">
      <selection activeCell="A2" sqref="A2"/>
    </sheetView>
  </sheetViews>
  <sheetFormatPr defaultRowHeight="14.25"/>
  <cols>
    <col min="1" max="1" width="1.625" style="436" customWidth="1"/>
    <col min="2" max="13" width="12.625" style="436" customWidth="1"/>
    <col min="14" max="249" width="9" style="436"/>
    <col min="250" max="250" width="13.125" style="436" customWidth="1"/>
    <col min="251" max="251" width="13.25" style="436" bestFit="1" customWidth="1"/>
    <col min="252" max="252" width="10.625" style="436" bestFit="1" customWidth="1"/>
    <col min="253" max="253" width="10.125" style="436" bestFit="1" customWidth="1"/>
    <col min="254" max="255" width="9" style="436"/>
    <col min="256" max="256" width="12.625" style="436" bestFit="1" customWidth="1"/>
    <col min="257" max="257" width="13.5" style="436" bestFit="1" customWidth="1"/>
    <col min="258" max="258" width="13.125" style="436" bestFit="1" customWidth="1"/>
    <col min="259" max="505" width="9" style="436"/>
    <col min="506" max="506" width="13.125" style="436" customWidth="1"/>
    <col min="507" max="507" width="13.25" style="436" bestFit="1" customWidth="1"/>
    <col min="508" max="508" width="10.625" style="436" bestFit="1" customWidth="1"/>
    <col min="509" max="509" width="10.125" style="436" bestFit="1" customWidth="1"/>
    <col min="510" max="511" width="9" style="436"/>
    <col min="512" max="512" width="12.625" style="436" bestFit="1" customWidth="1"/>
    <col min="513" max="513" width="13.5" style="436" bestFit="1" customWidth="1"/>
    <col min="514" max="514" width="13.125" style="436" bestFit="1" customWidth="1"/>
    <col min="515" max="761" width="9" style="436"/>
    <col min="762" max="762" width="13.125" style="436" customWidth="1"/>
    <col min="763" max="763" width="13.25" style="436" bestFit="1" customWidth="1"/>
    <col min="764" max="764" width="10.625" style="436" bestFit="1" customWidth="1"/>
    <col min="765" max="765" width="10.125" style="436" bestFit="1" customWidth="1"/>
    <col min="766" max="767" width="9" style="436"/>
    <col min="768" max="768" width="12.625" style="436" bestFit="1" customWidth="1"/>
    <col min="769" max="769" width="13.5" style="436" bestFit="1" customWidth="1"/>
    <col min="770" max="770" width="13.125" style="436" bestFit="1" customWidth="1"/>
    <col min="771" max="1017" width="9" style="436"/>
    <col min="1018" max="1018" width="13.125" style="436" customWidth="1"/>
    <col min="1019" max="1019" width="13.25" style="436" bestFit="1" customWidth="1"/>
    <col min="1020" max="1020" width="10.625" style="436" bestFit="1" customWidth="1"/>
    <col min="1021" max="1021" width="10.125" style="436" bestFit="1" customWidth="1"/>
    <col min="1022" max="1023" width="9" style="436"/>
    <col min="1024" max="1024" width="12.625" style="436" bestFit="1" customWidth="1"/>
    <col min="1025" max="1025" width="13.5" style="436" bestFit="1" customWidth="1"/>
    <col min="1026" max="1026" width="13.125" style="436" bestFit="1" customWidth="1"/>
    <col min="1027" max="1273" width="9" style="436"/>
    <col min="1274" max="1274" width="13.125" style="436" customWidth="1"/>
    <col min="1275" max="1275" width="13.25" style="436" bestFit="1" customWidth="1"/>
    <col min="1276" max="1276" width="10.625" style="436" bestFit="1" customWidth="1"/>
    <col min="1277" max="1277" width="10.125" style="436" bestFit="1" customWidth="1"/>
    <col min="1278" max="1279" width="9" style="436"/>
    <col min="1280" max="1280" width="12.625" style="436" bestFit="1" customWidth="1"/>
    <col min="1281" max="1281" width="13.5" style="436" bestFit="1" customWidth="1"/>
    <col min="1282" max="1282" width="13.125" style="436" bestFit="1" customWidth="1"/>
    <col min="1283" max="1529" width="9" style="436"/>
    <col min="1530" max="1530" width="13.125" style="436" customWidth="1"/>
    <col min="1531" max="1531" width="13.25" style="436" bestFit="1" customWidth="1"/>
    <col min="1532" max="1532" width="10.625" style="436" bestFit="1" customWidth="1"/>
    <col min="1533" max="1533" width="10.125" style="436" bestFit="1" customWidth="1"/>
    <col min="1534" max="1535" width="9" style="436"/>
    <col min="1536" max="1536" width="12.625" style="436" bestFit="1" customWidth="1"/>
    <col min="1537" max="1537" width="13.5" style="436" bestFit="1" customWidth="1"/>
    <col min="1538" max="1538" width="13.125" style="436" bestFit="1" customWidth="1"/>
    <col min="1539" max="1785" width="9" style="436"/>
    <col min="1786" max="1786" width="13.125" style="436" customWidth="1"/>
    <col min="1787" max="1787" width="13.25" style="436" bestFit="1" customWidth="1"/>
    <col min="1788" max="1788" width="10.625" style="436" bestFit="1" customWidth="1"/>
    <col min="1789" max="1789" width="10.125" style="436" bestFit="1" customWidth="1"/>
    <col min="1790" max="1791" width="9" style="436"/>
    <col min="1792" max="1792" width="12.625" style="436" bestFit="1" customWidth="1"/>
    <col min="1793" max="1793" width="13.5" style="436" bestFit="1" customWidth="1"/>
    <col min="1794" max="1794" width="13.125" style="436" bestFit="1" customWidth="1"/>
    <col min="1795" max="2041" width="9" style="436"/>
    <col min="2042" max="2042" width="13.125" style="436" customWidth="1"/>
    <col min="2043" max="2043" width="13.25" style="436" bestFit="1" customWidth="1"/>
    <col min="2044" max="2044" width="10.625" style="436" bestFit="1" customWidth="1"/>
    <col min="2045" max="2045" width="10.125" style="436" bestFit="1" customWidth="1"/>
    <col min="2046" max="2047" width="9" style="436"/>
    <col min="2048" max="2048" width="12.625" style="436" bestFit="1" customWidth="1"/>
    <col min="2049" max="2049" width="13.5" style="436" bestFit="1" customWidth="1"/>
    <col min="2050" max="2050" width="13.125" style="436" bestFit="1" customWidth="1"/>
    <col min="2051" max="2297" width="9" style="436"/>
    <col min="2298" max="2298" width="13.125" style="436" customWidth="1"/>
    <col min="2299" max="2299" width="13.25" style="436" bestFit="1" customWidth="1"/>
    <col min="2300" max="2300" width="10.625" style="436" bestFit="1" customWidth="1"/>
    <col min="2301" max="2301" width="10.125" style="436" bestFit="1" customWidth="1"/>
    <col min="2302" max="2303" width="9" style="436"/>
    <col min="2304" max="2304" width="12.625" style="436" bestFit="1" customWidth="1"/>
    <col min="2305" max="2305" width="13.5" style="436" bestFit="1" customWidth="1"/>
    <col min="2306" max="2306" width="13.125" style="436" bestFit="1" customWidth="1"/>
    <col min="2307" max="2553" width="9" style="436"/>
    <col min="2554" max="2554" width="13.125" style="436" customWidth="1"/>
    <col min="2555" max="2555" width="13.25" style="436" bestFit="1" customWidth="1"/>
    <col min="2556" max="2556" width="10.625" style="436" bestFit="1" customWidth="1"/>
    <col min="2557" max="2557" width="10.125" style="436" bestFit="1" customWidth="1"/>
    <col min="2558" max="2559" width="9" style="436"/>
    <col min="2560" max="2560" width="12.625" style="436" bestFit="1" customWidth="1"/>
    <col min="2561" max="2561" width="13.5" style="436" bestFit="1" customWidth="1"/>
    <col min="2562" max="2562" width="13.125" style="436" bestFit="1" customWidth="1"/>
    <col min="2563" max="2809" width="9" style="436"/>
    <col min="2810" max="2810" width="13.125" style="436" customWidth="1"/>
    <col min="2811" max="2811" width="13.25" style="436" bestFit="1" customWidth="1"/>
    <col min="2812" max="2812" width="10.625" style="436" bestFit="1" customWidth="1"/>
    <col min="2813" max="2813" width="10.125" style="436" bestFit="1" customWidth="1"/>
    <col min="2814" max="2815" width="9" style="436"/>
    <col min="2816" max="2816" width="12.625" style="436" bestFit="1" customWidth="1"/>
    <col min="2817" max="2817" width="13.5" style="436" bestFit="1" customWidth="1"/>
    <col min="2818" max="2818" width="13.125" style="436" bestFit="1" customWidth="1"/>
    <col min="2819" max="3065" width="9" style="436"/>
    <col min="3066" max="3066" width="13.125" style="436" customWidth="1"/>
    <col min="3067" max="3067" width="13.25" style="436" bestFit="1" customWidth="1"/>
    <col min="3068" max="3068" width="10.625" style="436" bestFit="1" customWidth="1"/>
    <col min="3069" max="3069" width="10.125" style="436" bestFit="1" customWidth="1"/>
    <col min="3070" max="3071" width="9" style="436"/>
    <col min="3072" max="3072" width="12.625" style="436" bestFit="1" customWidth="1"/>
    <col min="3073" max="3073" width="13.5" style="436" bestFit="1" customWidth="1"/>
    <col min="3074" max="3074" width="13.125" style="436" bestFit="1" customWidth="1"/>
    <col min="3075" max="3321" width="9" style="436"/>
    <col min="3322" max="3322" width="13.125" style="436" customWidth="1"/>
    <col min="3323" max="3323" width="13.25" style="436" bestFit="1" customWidth="1"/>
    <col min="3324" max="3324" width="10.625" style="436" bestFit="1" customWidth="1"/>
    <col min="3325" max="3325" width="10.125" style="436" bestFit="1" customWidth="1"/>
    <col min="3326" max="3327" width="9" style="436"/>
    <col min="3328" max="3328" width="12.625" style="436" bestFit="1" customWidth="1"/>
    <col min="3329" max="3329" width="13.5" style="436" bestFit="1" customWidth="1"/>
    <col min="3330" max="3330" width="13.125" style="436" bestFit="1" customWidth="1"/>
    <col min="3331" max="3577" width="9" style="436"/>
    <col min="3578" max="3578" width="13.125" style="436" customWidth="1"/>
    <col min="3579" max="3579" width="13.25" style="436" bestFit="1" customWidth="1"/>
    <col min="3580" max="3580" width="10.625" style="436" bestFit="1" customWidth="1"/>
    <col min="3581" max="3581" width="10.125" style="436" bestFit="1" customWidth="1"/>
    <col min="3582" max="3583" width="9" style="436"/>
    <col min="3584" max="3584" width="12.625" style="436" bestFit="1" customWidth="1"/>
    <col min="3585" max="3585" width="13.5" style="436" bestFit="1" customWidth="1"/>
    <col min="3586" max="3586" width="13.125" style="436" bestFit="1" customWidth="1"/>
    <col min="3587" max="3833" width="9" style="436"/>
    <col min="3834" max="3834" width="13.125" style="436" customWidth="1"/>
    <col min="3835" max="3835" width="13.25" style="436" bestFit="1" customWidth="1"/>
    <col min="3836" max="3836" width="10.625" style="436" bestFit="1" customWidth="1"/>
    <col min="3837" max="3837" width="10.125" style="436" bestFit="1" customWidth="1"/>
    <col min="3838" max="3839" width="9" style="436"/>
    <col min="3840" max="3840" width="12.625" style="436" bestFit="1" customWidth="1"/>
    <col min="3841" max="3841" width="13.5" style="436" bestFit="1" customWidth="1"/>
    <col min="3842" max="3842" width="13.125" style="436" bestFit="1" customWidth="1"/>
    <col min="3843" max="4089" width="9" style="436"/>
    <col min="4090" max="4090" width="13.125" style="436" customWidth="1"/>
    <col min="4091" max="4091" width="13.25" style="436" bestFit="1" customWidth="1"/>
    <col min="4092" max="4092" width="10.625" style="436" bestFit="1" customWidth="1"/>
    <col min="4093" max="4093" width="10.125" style="436" bestFit="1" customWidth="1"/>
    <col min="4094" max="4095" width="9" style="436"/>
    <col min="4096" max="4096" width="12.625" style="436" bestFit="1" customWidth="1"/>
    <col min="4097" max="4097" width="13.5" style="436" bestFit="1" customWidth="1"/>
    <col min="4098" max="4098" width="13.125" style="436" bestFit="1" customWidth="1"/>
    <col min="4099" max="4345" width="9" style="436"/>
    <col min="4346" max="4346" width="13.125" style="436" customWidth="1"/>
    <col min="4347" max="4347" width="13.25" style="436" bestFit="1" customWidth="1"/>
    <col min="4348" max="4348" width="10.625" style="436" bestFit="1" customWidth="1"/>
    <col min="4349" max="4349" width="10.125" style="436" bestFit="1" customWidth="1"/>
    <col min="4350" max="4351" width="9" style="436"/>
    <col min="4352" max="4352" width="12.625" style="436" bestFit="1" customWidth="1"/>
    <col min="4353" max="4353" width="13.5" style="436" bestFit="1" customWidth="1"/>
    <col min="4354" max="4354" width="13.125" style="436" bestFit="1" customWidth="1"/>
    <col min="4355" max="4601" width="9" style="436"/>
    <col min="4602" max="4602" width="13.125" style="436" customWidth="1"/>
    <col min="4603" max="4603" width="13.25" style="436" bestFit="1" customWidth="1"/>
    <col min="4604" max="4604" width="10.625" style="436" bestFit="1" customWidth="1"/>
    <col min="4605" max="4605" width="10.125" style="436" bestFit="1" customWidth="1"/>
    <col min="4606" max="4607" width="9" style="436"/>
    <col min="4608" max="4608" width="12.625" style="436" bestFit="1" customWidth="1"/>
    <col min="4609" max="4609" width="13.5" style="436" bestFit="1" customWidth="1"/>
    <col min="4610" max="4610" width="13.125" style="436" bestFit="1" customWidth="1"/>
    <col min="4611" max="4857" width="9" style="436"/>
    <col min="4858" max="4858" width="13.125" style="436" customWidth="1"/>
    <col min="4859" max="4859" width="13.25" style="436" bestFit="1" customWidth="1"/>
    <col min="4860" max="4860" width="10.625" style="436" bestFit="1" customWidth="1"/>
    <col min="4861" max="4861" width="10.125" style="436" bestFit="1" customWidth="1"/>
    <col min="4862" max="4863" width="9" style="436"/>
    <col min="4864" max="4864" width="12.625" style="436" bestFit="1" customWidth="1"/>
    <col min="4865" max="4865" width="13.5" style="436" bestFit="1" customWidth="1"/>
    <col min="4866" max="4866" width="13.125" style="436" bestFit="1" customWidth="1"/>
    <col min="4867" max="5113" width="9" style="436"/>
    <col min="5114" max="5114" width="13.125" style="436" customWidth="1"/>
    <col min="5115" max="5115" width="13.25" style="436" bestFit="1" customWidth="1"/>
    <col min="5116" max="5116" width="10.625" style="436" bestFit="1" customWidth="1"/>
    <col min="5117" max="5117" width="10.125" style="436" bestFit="1" customWidth="1"/>
    <col min="5118" max="5119" width="9" style="436"/>
    <col min="5120" max="5120" width="12.625" style="436" bestFit="1" customWidth="1"/>
    <col min="5121" max="5121" width="13.5" style="436" bestFit="1" customWidth="1"/>
    <col min="5122" max="5122" width="13.125" style="436" bestFit="1" customWidth="1"/>
    <col min="5123" max="5369" width="9" style="436"/>
    <col min="5370" max="5370" width="13.125" style="436" customWidth="1"/>
    <col min="5371" max="5371" width="13.25" style="436" bestFit="1" customWidth="1"/>
    <col min="5372" max="5372" width="10.625" style="436" bestFit="1" customWidth="1"/>
    <col min="5373" max="5373" width="10.125" style="436" bestFit="1" customWidth="1"/>
    <col min="5374" max="5375" width="9" style="436"/>
    <col min="5376" max="5376" width="12.625" style="436" bestFit="1" customWidth="1"/>
    <col min="5377" max="5377" width="13.5" style="436" bestFit="1" customWidth="1"/>
    <col min="5378" max="5378" width="13.125" style="436" bestFit="1" customWidth="1"/>
    <col min="5379" max="5625" width="9" style="436"/>
    <col min="5626" max="5626" width="13.125" style="436" customWidth="1"/>
    <col min="5627" max="5627" width="13.25" style="436" bestFit="1" customWidth="1"/>
    <col min="5628" max="5628" width="10.625" style="436" bestFit="1" customWidth="1"/>
    <col min="5629" max="5629" width="10.125" style="436" bestFit="1" customWidth="1"/>
    <col min="5630" max="5631" width="9" style="436"/>
    <col min="5632" max="5632" width="12.625" style="436" bestFit="1" customWidth="1"/>
    <col min="5633" max="5633" width="13.5" style="436" bestFit="1" customWidth="1"/>
    <col min="5634" max="5634" width="13.125" style="436" bestFit="1" customWidth="1"/>
    <col min="5635" max="5881" width="9" style="436"/>
    <col min="5882" max="5882" width="13.125" style="436" customWidth="1"/>
    <col min="5883" max="5883" width="13.25" style="436" bestFit="1" customWidth="1"/>
    <col min="5884" max="5884" width="10.625" style="436" bestFit="1" customWidth="1"/>
    <col min="5885" max="5885" width="10.125" style="436" bestFit="1" customWidth="1"/>
    <col min="5886" max="5887" width="9" style="436"/>
    <col min="5888" max="5888" width="12.625" style="436" bestFit="1" customWidth="1"/>
    <col min="5889" max="5889" width="13.5" style="436" bestFit="1" customWidth="1"/>
    <col min="5890" max="5890" width="13.125" style="436" bestFit="1" customWidth="1"/>
    <col min="5891" max="6137" width="9" style="436"/>
    <col min="6138" max="6138" width="13.125" style="436" customWidth="1"/>
    <col min="6139" max="6139" width="13.25" style="436" bestFit="1" customWidth="1"/>
    <col min="6140" max="6140" width="10.625" style="436" bestFit="1" customWidth="1"/>
    <col min="6141" max="6141" width="10.125" style="436" bestFit="1" customWidth="1"/>
    <col min="6142" max="6143" width="9" style="436"/>
    <col min="6144" max="6144" width="12.625" style="436" bestFit="1" customWidth="1"/>
    <col min="6145" max="6145" width="13.5" style="436" bestFit="1" customWidth="1"/>
    <col min="6146" max="6146" width="13.125" style="436" bestFit="1" customWidth="1"/>
    <col min="6147" max="6393" width="9" style="436"/>
    <col min="6394" max="6394" width="13.125" style="436" customWidth="1"/>
    <col min="6395" max="6395" width="13.25" style="436" bestFit="1" customWidth="1"/>
    <col min="6396" max="6396" width="10.625" style="436" bestFit="1" customWidth="1"/>
    <col min="6397" max="6397" width="10.125" style="436" bestFit="1" customWidth="1"/>
    <col min="6398" max="6399" width="9" style="436"/>
    <col min="6400" max="6400" width="12.625" style="436" bestFit="1" customWidth="1"/>
    <col min="6401" max="6401" width="13.5" style="436" bestFit="1" customWidth="1"/>
    <col min="6402" max="6402" width="13.125" style="436" bestFit="1" customWidth="1"/>
    <col min="6403" max="6649" width="9" style="436"/>
    <col min="6650" max="6650" width="13.125" style="436" customWidth="1"/>
    <col min="6651" max="6651" width="13.25" style="436" bestFit="1" customWidth="1"/>
    <col min="6652" max="6652" width="10.625" style="436" bestFit="1" customWidth="1"/>
    <col min="6653" max="6653" width="10.125" style="436" bestFit="1" customWidth="1"/>
    <col min="6654" max="6655" width="9" style="436"/>
    <col min="6656" max="6656" width="12.625" style="436" bestFit="1" customWidth="1"/>
    <col min="6657" max="6657" width="13.5" style="436" bestFit="1" customWidth="1"/>
    <col min="6658" max="6658" width="13.125" style="436" bestFit="1" customWidth="1"/>
    <col min="6659" max="6905" width="9" style="436"/>
    <col min="6906" max="6906" width="13.125" style="436" customWidth="1"/>
    <col min="6907" max="6907" width="13.25" style="436" bestFit="1" customWidth="1"/>
    <col min="6908" max="6908" width="10.625" style="436" bestFit="1" customWidth="1"/>
    <col min="6909" max="6909" width="10.125" style="436" bestFit="1" customWidth="1"/>
    <col min="6910" max="6911" width="9" style="436"/>
    <col min="6912" max="6912" width="12.625" style="436" bestFit="1" customWidth="1"/>
    <col min="6913" max="6913" width="13.5" style="436" bestFit="1" customWidth="1"/>
    <col min="6914" max="6914" width="13.125" style="436" bestFit="1" customWidth="1"/>
    <col min="6915" max="7161" width="9" style="436"/>
    <col min="7162" max="7162" width="13.125" style="436" customWidth="1"/>
    <col min="7163" max="7163" width="13.25" style="436" bestFit="1" customWidth="1"/>
    <col min="7164" max="7164" width="10.625" style="436" bestFit="1" customWidth="1"/>
    <col min="7165" max="7165" width="10.125" style="436" bestFit="1" customWidth="1"/>
    <col min="7166" max="7167" width="9" style="436"/>
    <col min="7168" max="7168" width="12.625" style="436" bestFit="1" customWidth="1"/>
    <col min="7169" max="7169" width="13.5" style="436" bestFit="1" customWidth="1"/>
    <col min="7170" max="7170" width="13.125" style="436" bestFit="1" customWidth="1"/>
    <col min="7171" max="7417" width="9" style="436"/>
    <col min="7418" max="7418" width="13.125" style="436" customWidth="1"/>
    <col min="7419" max="7419" width="13.25" style="436" bestFit="1" customWidth="1"/>
    <col min="7420" max="7420" width="10.625" style="436" bestFit="1" customWidth="1"/>
    <col min="7421" max="7421" width="10.125" style="436" bestFit="1" customWidth="1"/>
    <col min="7422" max="7423" width="9" style="436"/>
    <col min="7424" max="7424" width="12.625" style="436" bestFit="1" customWidth="1"/>
    <col min="7425" max="7425" width="13.5" style="436" bestFit="1" customWidth="1"/>
    <col min="7426" max="7426" width="13.125" style="436" bestFit="1" customWidth="1"/>
    <col min="7427" max="7673" width="9" style="436"/>
    <col min="7674" max="7674" width="13.125" style="436" customWidth="1"/>
    <col min="7675" max="7675" width="13.25" style="436" bestFit="1" customWidth="1"/>
    <col min="7676" max="7676" width="10.625" style="436" bestFit="1" customWidth="1"/>
    <col min="7677" max="7677" width="10.125" style="436" bestFit="1" customWidth="1"/>
    <col min="7678" max="7679" width="9" style="436"/>
    <col min="7680" max="7680" width="12.625" style="436" bestFit="1" customWidth="1"/>
    <col min="7681" max="7681" width="13.5" style="436" bestFit="1" customWidth="1"/>
    <col min="7682" max="7682" width="13.125" style="436" bestFit="1" customWidth="1"/>
    <col min="7683" max="7929" width="9" style="436"/>
    <col min="7930" max="7930" width="13.125" style="436" customWidth="1"/>
    <col min="7931" max="7931" width="13.25" style="436" bestFit="1" customWidth="1"/>
    <col min="7932" max="7932" width="10.625" style="436" bestFit="1" customWidth="1"/>
    <col min="7933" max="7933" width="10.125" style="436" bestFit="1" customWidth="1"/>
    <col min="7934" max="7935" width="9" style="436"/>
    <col min="7936" max="7936" width="12.625" style="436" bestFit="1" customWidth="1"/>
    <col min="7937" max="7937" width="13.5" style="436" bestFit="1" customWidth="1"/>
    <col min="7938" max="7938" width="13.125" style="436" bestFit="1" customWidth="1"/>
    <col min="7939" max="8185" width="9" style="436"/>
    <col min="8186" max="8186" width="13.125" style="436" customWidth="1"/>
    <col min="8187" max="8187" width="13.25" style="436" bestFit="1" customWidth="1"/>
    <col min="8188" max="8188" width="10.625" style="436" bestFit="1" customWidth="1"/>
    <col min="8189" max="8189" width="10.125" style="436" bestFit="1" customWidth="1"/>
    <col min="8190" max="8191" width="9" style="436"/>
    <col min="8192" max="8192" width="12.625" style="436" bestFit="1" customWidth="1"/>
    <col min="8193" max="8193" width="13.5" style="436" bestFit="1" customWidth="1"/>
    <col min="8194" max="8194" width="13.125" style="436" bestFit="1" customWidth="1"/>
    <col min="8195" max="8441" width="9" style="436"/>
    <col min="8442" max="8442" width="13.125" style="436" customWidth="1"/>
    <col min="8443" max="8443" width="13.25" style="436" bestFit="1" customWidth="1"/>
    <col min="8444" max="8444" width="10.625" style="436" bestFit="1" customWidth="1"/>
    <col min="8445" max="8445" width="10.125" style="436" bestFit="1" customWidth="1"/>
    <col min="8446" max="8447" width="9" style="436"/>
    <col min="8448" max="8448" width="12.625" style="436" bestFit="1" customWidth="1"/>
    <col min="8449" max="8449" width="13.5" style="436" bestFit="1" customWidth="1"/>
    <col min="8450" max="8450" width="13.125" style="436" bestFit="1" customWidth="1"/>
    <col min="8451" max="8697" width="9" style="436"/>
    <col min="8698" max="8698" width="13.125" style="436" customWidth="1"/>
    <col min="8699" max="8699" width="13.25" style="436" bestFit="1" customWidth="1"/>
    <col min="8700" max="8700" width="10.625" style="436" bestFit="1" customWidth="1"/>
    <col min="8701" max="8701" width="10.125" style="436" bestFit="1" customWidth="1"/>
    <col min="8702" max="8703" width="9" style="436"/>
    <col min="8704" max="8704" width="12.625" style="436" bestFit="1" customWidth="1"/>
    <col min="8705" max="8705" width="13.5" style="436" bestFit="1" customWidth="1"/>
    <col min="8706" max="8706" width="13.125" style="436" bestFit="1" customWidth="1"/>
    <col min="8707" max="8953" width="9" style="436"/>
    <col min="8954" max="8954" width="13.125" style="436" customWidth="1"/>
    <col min="8955" max="8955" width="13.25" style="436" bestFit="1" customWidth="1"/>
    <col min="8956" max="8956" width="10.625" style="436" bestFit="1" customWidth="1"/>
    <col min="8957" max="8957" width="10.125" style="436" bestFit="1" customWidth="1"/>
    <col min="8958" max="8959" width="9" style="436"/>
    <col min="8960" max="8960" width="12.625" style="436" bestFit="1" customWidth="1"/>
    <col min="8961" max="8961" width="13.5" style="436" bestFit="1" customWidth="1"/>
    <col min="8962" max="8962" width="13.125" style="436" bestFit="1" customWidth="1"/>
    <col min="8963" max="9209" width="9" style="436"/>
    <col min="9210" max="9210" width="13.125" style="436" customWidth="1"/>
    <col min="9211" max="9211" width="13.25" style="436" bestFit="1" customWidth="1"/>
    <col min="9212" max="9212" width="10.625" style="436" bestFit="1" customWidth="1"/>
    <col min="9213" max="9213" width="10.125" style="436" bestFit="1" customWidth="1"/>
    <col min="9214" max="9215" width="9" style="436"/>
    <col min="9216" max="9216" width="12.625" style="436" bestFit="1" customWidth="1"/>
    <col min="9217" max="9217" width="13.5" style="436" bestFit="1" customWidth="1"/>
    <col min="9218" max="9218" width="13.125" style="436" bestFit="1" customWidth="1"/>
    <col min="9219" max="9465" width="9" style="436"/>
    <col min="9466" max="9466" width="13.125" style="436" customWidth="1"/>
    <col min="9467" max="9467" width="13.25" style="436" bestFit="1" customWidth="1"/>
    <col min="9468" max="9468" width="10.625" style="436" bestFit="1" customWidth="1"/>
    <col min="9469" max="9469" width="10.125" style="436" bestFit="1" customWidth="1"/>
    <col min="9470" max="9471" width="9" style="436"/>
    <col min="9472" max="9472" width="12.625" style="436" bestFit="1" customWidth="1"/>
    <col min="9473" max="9473" width="13.5" style="436" bestFit="1" customWidth="1"/>
    <col min="9474" max="9474" width="13.125" style="436" bestFit="1" customWidth="1"/>
    <col min="9475" max="9721" width="9" style="436"/>
    <col min="9722" max="9722" width="13.125" style="436" customWidth="1"/>
    <col min="9723" max="9723" width="13.25" style="436" bestFit="1" customWidth="1"/>
    <col min="9724" max="9724" width="10.625" style="436" bestFit="1" customWidth="1"/>
    <col min="9725" max="9725" width="10.125" style="436" bestFit="1" customWidth="1"/>
    <col min="9726" max="9727" width="9" style="436"/>
    <col min="9728" max="9728" width="12.625" style="436" bestFit="1" customWidth="1"/>
    <col min="9729" max="9729" width="13.5" style="436" bestFit="1" customWidth="1"/>
    <col min="9730" max="9730" width="13.125" style="436" bestFit="1" customWidth="1"/>
    <col min="9731" max="9977" width="9" style="436"/>
    <col min="9978" max="9978" width="13.125" style="436" customWidth="1"/>
    <col min="9979" max="9979" width="13.25" style="436" bestFit="1" customWidth="1"/>
    <col min="9980" max="9980" width="10.625" style="436" bestFit="1" customWidth="1"/>
    <col min="9981" max="9981" width="10.125" style="436" bestFit="1" customWidth="1"/>
    <col min="9982" max="9983" width="9" style="436"/>
    <col min="9984" max="9984" width="12.625" style="436" bestFit="1" customWidth="1"/>
    <col min="9985" max="9985" width="13.5" style="436" bestFit="1" customWidth="1"/>
    <col min="9986" max="9986" width="13.125" style="436" bestFit="1" customWidth="1"/>
    <col min="9987" max="10233" width="9" style="436"/>
    <col min="10234" max="10234" width="13.125" style="436" customWidth="1"/>
    <col min="10235" max="10235" width="13.25" style="436" bestFit="1" customWidth="1"/>
    <col min="10236" max="10236" width="10.625" style="436" bestFit="1" customWidth="1"/>
    <col min="10237" max="10237" width="10.125" style="436" bestFit="1" customWidth="1"/>
    <col min="10238" max="10239" width="9" style="436"/>
    <col min="10240" max="10240" width="12.625" style="436" bestFit="1" customWidth="1"/>
    <col min="10241" max="10241" width="13.5" style="436" bestFit="1" customWidth="1"/>
    <col min="10242" max="10242" width="13.125" style="436" bestFit="1" customWidth="1"/>
    <col min="10243" max="10489" width="9" style="436"/>
    <col min="10490" max="10490" width="13.125" style="436" customWidth="1"/>
    <col min="10491" max="10491" width="13.25" style="436" bestFit="1" customWidth="1"/>
    <col min="10492" max="10492" width="10.625" style="436" bestFit="1" customWidth="1"/>
    <col min="10493" max="10493" width="10.125" style="436" bestFit="1" customWidth="1"/>
    <col min="10494" max="10495" width="9" style="436"/>
    <col min="10496" max="10496" width="12.625" style="436" bestFit="1" customWidth="1"/>
    <col min="10497" max="10497" width="13.5" style="436" bestFit="1" customWidth="1"/>
    <col min="10498" max="10498" width="13.125" style="436" bestFit="1" customWidth="1"/>
    <col min="10499" max="10745" width="9" style="436"/>
    <col min="10746" max="10746" width="13.125" style="436" customWidth="1"/>
    <col min="10747" max="10747" width="13.25" style="436" bestFit="1" customWidth="1"/>
    <col min="10748" max="10748" width="10.625" style="436" bestFit="1" customWidth="1"/>
    <col min="10749" max="10749" width="10.125" style="436" bestFit="1" customWidth="1"/>
    <col min="10750" max="10751" width="9" style="436"/>
    <col min="10752" max="10752" width="12.625" style="436" bestFit="1" customWidth="1"/>
    <col min="10753" max="10753" width="13.5" style="436" bestFit="1" customWidth="1"/>
    <col min="10754" max="10754" width="13.125" style="436" bestFit="1" customWidth="1"/>
    <col min="10755" max="11001" width="9" style="436"/>
    <col min="11002" max="11002" width="13.125" style="436" customWidth="1"/>
    <col min="11003" max="11003" width="13.25" style="436" bestFit="1" customWidth="1"/>
    <col min="11004" max="11004" width="10.625" style="436" bestFit="1" customWidth="1"/>
    <col min="11005" max="11005" width="10.125" style="436" bestFit="1" customWidth="1"/>
    <col min="11006" max="11007" width="9" style="436"/>
    <col min="11008" max="11008" width="12.625" style="436" bestFit="1" customWidth="1"/>
    <col min="11009" max="11009" width="13.5" style="436" bestFit="1" customWidth="1"/>
    <col min="11010" max="11010" width="13.125" style="436" bestFit="1" customWidth="1"/>
    <col min="11011" max="11257" width="9" style="436"/>
    <col min="11258" max="11258" width="13.125" style="436" customWidth="1"/>
    <col min="11259" max="11259" width="13.25" style="436" bestFit="1" customWidth="1"/>
    <col min="11260" max="11260" width="10.625" style="436" bestFit="1" customWidth="1"/>
    <col min="11261" max="11261" width="10.125" style="436" bestFit="1" customWidth="1"/>
    <col min="11262" max="11263" width="9" style="436"/>
    <col min="11264" max="11264" width="12.625" style="436" bestFit="1" customWidth="1"/>
    <col min="11265" max="11265" width="13.5" style="436" bestFit="1" customWidth="1"/>
    <col min="11266" max="11266" width="13.125" style="436" bestFit="1" customWidth="1"/>
    <col min="11267" max="11513" width="9" style="436"/>
    <col min="11514" max="11514" width="13.125" style="436" customWidth="1"/>
    <col min="11515" max="11515" width="13.25" style="436" bestFit="1" customWidth="1"/>
    <col min="11516" max="11516" width="10.625" style="436" bestFit="1" customWidth="1"/>
    <col min="11517" max="11517" width="10.125" style="436" bestFit="1" customWidth="1"/>
    <col min="11518" max="11519" width="9" style="436"/>
    <col min="11520" max="11520" width="12.625" style="436" bestFit="1" customWidth="1"/>
    <col min="11521" max="11521" width="13.5" style="436" bestFit="1" customWidth="1"/>
    <col min="11522" max="11522" width="13.125" style="436" bestFit="1" customWidth="1"/>
    <col min="11523" max="11769" width="9" style="436"/>
    <col min="11770" max="11770" width="13.125" style="436" customWidth="1"/>
    <col min="11771" max="11771" width="13.25" style="436" bestFit="1" customWidth="1"/>
    <col min="11772" max="11772" width="10.625" style="436" bestFit="1" customWidth="1"/>
    <col min="11773" max="11773" width="10.125" style="436" bestFit="1" customWidth="1"/>
    <col min="11774" max="11775" width="9" style="436"/>
    <col min="11776" max="11776" width="12.625" style="436" bestFit="1" customWidth="1"/>
    <col min="11777" max="11777" width="13.5" style="436" bestFit="1" customWidth="1"/>
    <col min="11778" max="11778" width="13.125" style="436" bestFit="1" customWidth="1"/>
    <col min="11779" max="12025" width="9" style="436"/>
    <col min="12026" max="12026" width="13.125" style="436" customWidth="1"/>
    <col min="12027" max="12027" width="13.25" style="436" bestFit="1" customWidth="1"/>
    <col min="12028" max="12028" width="10.625" style="436" bestFit="1" customWidth="1"/>
    <col min="12029" max="12029" width="10.125" style="436" bestFit="1" customWidth="1"/>
    <col min="12030" max="12031" width="9" style="436"/>
    <col min="12032" max="12032" width="12.625" style="436" bestFit="1" customWidth="1"/>
    <col min="12033" max="12033" width="13.5" style="436" bestFit="1" customWidth="1"/>
    <col min="12034" max="12034" width="13.125" style="436" bestFit="1" customWidth="1"/>
    <col min="12035" max="12281" width="9" style="436"/>
    <col min="12282" max="12282" width="13.125" style="436" customWidth="1"/>
    <col min="12283" max="12283" width="13.25" style="436" bestFit="1" customWidth="1"/>
    <col min="12284" max="12284" width="10.625" style="436" bestFit="1" customWidth="1"/>
    <col min="12285" max="12285" width="10.125" style="436" bestFit="1" customWidth="1"/>
    <col min="12286" max="12287" width="9" style="436"/>
    <col min="12288" max="12288" width="12.625" style="436" bestFit="1" customWidth="1"/>
    <col min="12289" max="12289" width="13.5" style="436" bestFit="1" customWidth="1"/>
    <col min="12290" max="12290" width="13.125" style="436" bestFit="1" customWidth="1"/>
    <col min="12291" max="12537" width="9" style="436"/>
    <col min="12538" max="12538" width="13.125" style="436" customWidth="1"/>
    <col min="12539" max="12539" width="13.25" style="436" bestFit="1" customWidth="1"/>
    <col min="12540" max="12540" width="10.625" style="436" bestFit="1" customWidth="1"/>
    <col min="12541" max="12541" width="10.125" style="436" bestFit="1" customWidth="1"/>
    <col min="12542" max="12543" width="9" style="436"/>
    <col min="12544" max="12544" width="12.625" style="436" bestFit="1" customWidth="1"/>
    <col min="12545" max="12545" width="13.5" style="436" bestFit="1" customWidth="1"/>
    <col min="12546" max="12546" width="13.125" style="436" bestFit="1" customWidth="1"/>
    <col min="12547" max="12793" width="9" style="436"/>
    <col min="12794" max="12794" width="13.125" style="436" customWidth="1"/>
    <col min="12795" max="12795" width="13.25" style="436" bestFit="1" customWidth="1"/>
    <col min="12796" max="12796" width="10.625" style="436" bestFit="1" customWidth="1"/>
    <col min="12797" max="12797" width="10.125" style="436" bestFit="1" customWidth="1"/>
    <col min="12798" max="12799" width="9" style="436"/>
    <col min="12800" max="12800" width="12.625" style="436" bestFit="1" customWidth="1"/>
    <col min="12801" max="12801" width="13.5" style="436" bestFit="1" customWidth="1"/>
    <col min="12802" max="12802" width="13.125" style="436" bestFit="1" customWidth="1"/>
    <col min="12803" max="13049" width="9" style="436"/>
    <col min="13050" max="13050" width="13.125" style="436" customWidth="1"/>
    <col min="13051" max="13051" width="13.25" style="436" bestFit="1" customWidth="1"/>
    <col min="13052" max="13052" width="10.625" style="436" bestFit="1" customWidth="1"/>
    <col min="13053" max="13053" width="10.125" style="436" bestFit="1" customWidth="1"/>
    <col min="13054" max="13055" width="9" style="436"/>
    <col min="13056" max="13056" width="12.625" style="436" bestFit="1" customWidth="1"/>
    <col min="13057" max="13057" width="13.5" style="436" bestFit="1" customWidth="1"/>
    <col min="13058" max="13058" width="13.125" style="436" bestFit="1" customWidth="1"/>
    <col min="13059" max="13305" width="9" style="436"/>
    <col min="13306" max="13306" width="13.125" style="436" customWidth="1"/>
    <col min="13307" max="13307" width="13.25" style="436" bestFit="1" customWidth="1"/>
    <col min="13308" max="13308" width="10.625" style="436" bestFit="1" customWidth="1"/>
    <col min="13309" max="13309" width="10.125" style="436" bestFit="1" customWidth="1"/>
    <col min="13310" max="13311" width="9" style="436"/>
    <col min="13312" max="13312" width="12.625" style="436" bestFit="1" customWidth="1"/>
    <col min="13313" max="13313" width="13.5" style="436" bestFit="1" customWidth="1"/>
    <col min="13314" max="13314" width="13.125" style="436" bestFit="1" customWidth="1"/>
    <col min="13315" max="13561" width="9" style="436"/>
    <col min="13562" max="13562" width="13.125" style="436" customWidth="1"/>
    <col min="13563" max="13563" width="13.25" style="436" bestFit="1" customWidth="1"/>
    <col min="13564" max="13564" width="10.625" style="436" bestFit="1" customWidth="1"/>
    <col min="13565" max="13565" width="10.125" style="436" bestFit="1" customWidth="1"/>
    <col min="13566" max="13567" width="9" style="436"/>
    <col min="13568" max="13568" width="12.625" style="436" bestFit="1" customWidth="1"/>
    <col min="13569" max="13569" width="13.5" style="436" bestFit="1" customWidth="1"/>
    <col min="13570" max="13570" width="13.125" style="436" bestFit="1" customWidth="1"/>
    <col min="13571" max="13817" width="9" style="436"/>
    <col min="13818" max="13818" width="13.125" style="436" customWidth="1"/>
    <col min="13819" max="13819" width="13.25" style="436" bestFit="1" customWidth="1"/>
    <col min="13820" max="13820" width="10.625" style="436" bestFit="1" customWidth="1"/>
    <col min="13821" max="13821" width="10.125" style="436" bestFit="1" customWidth="1"/>
    <col min="13822" max="13823" width="9" style="436"/>
    <col min="13824" max="13824" width="12.625" style="436" bestFit="1" customWidth="1"/>
    <col min="13825" max="13825" width="13.5" style="436" bestFit="1" customWidth="1"/>
    <col min="13826" max="13826" width="13.125" style="436" bestFit="1" customWidth="1"/>
    <col min="13827" max="14073" width="9" style="436"/>
    <col min="14074" max="14074" width="13.125" style="436" customWidth="1"/>
    <col min="14075" max="14075" width="13.25" style="436" bestFit="1" customWidth="1"/>
    <col min="14076" max="14076" width="10.625" style="436" bestFit="1" customWidth="1"/>
    <col min="14077" max="14077" width="10.125" style="436" bestFit="1" customWidth="1"/>
    <col min="14078" max="14079" width="9" style="436"/>
    <col min="14080" max="14080" width="12.625" style="436" bestFit="1" customWidth="1"/>
    <col min="14081" max="14081" width="13.5" style="436" bestFit="1" customWidth="1"/>
    <col min="14082" max="14082" width="13.125" style="436" bestFit="1" customWidth="1"/>
    <col min="14083" max="14329" width="9" style="436"/>
    <col min="14330" max="14330" width="13.125" style="436" customWidth="1"/>
    <col min="14331" max="14331" width="13.25" style="436" bestFit="1" customWidth="1"/>
    <col min="14332" max="14332" width="10.625" style="436" bestFit="1" customWidth="1"/>
    <col min="14333" max="14333" width="10.125" style="436" bestFit="1" customWidth="1"/>
    <col min="14334" max="14335" width="9" style="436"/>
    <col min="14336" max="14336" width="12.625" style="436" bestFit="1" customWidth="1"/>
    <col min="14337" max="14337" width="13.5" style="436" bestFit="1" customWidth="1"/>
    <col min="14338" max="14338" width="13.125" style="436" bestFit="1" customWidth="1"/>
    <col min="14339" max="14585" width="9" style="436"/>
    <col min="14586" max="14586" width="13.125" style="436" customWidth="1"/>
    <col min="14587" max="14587" width="13.25" style="436" bestFit="1" customWidth="1"/>
    <col min="14588" max="14588" width="10.625" style="436" bestFit="1" customWidth="1"/>
    <col min="14589" max="14589" width="10.125" style="436" bestFit="1" customWidth="1"/>
    <col min="14590" max="14591" width="9" style="436"/>
    <col min="14592" max="14592" width="12.625" style="436" bestFit="1" customWidth="1"/>
    <col min="14593" max="14593" width="13.5" style="436" bestFit="1" customWidth="1"/>
    <col min="14594" max="14594" width="13.125" style="436" bestFit="1" customWidth="1"/>
    <col min="14595" max="14841" width="9" style="436"/>
    <col min="14842" max="14842" width="13.125" style="436" customWidth="1"/>
    <col min="14843" max="14843" width="13.25" style="436" bestFit="1" customWidth="1"/>
    <col min="14844" max="14844" width="10.625" style="436" bestFit="1" customWidth="1"/>
    <col min="14845" max="14845" width="10.125" style="436" bestFit="1" customWidth="1"/>
    <col min="14846" max="14847" width="9" style="436"/>
    <col min="14848" max="14848" width="12.625" style="436" bestFit="1" customWidth="1"/>
    <col min="14849" max="14849" width="13.5" style="436" bestFit="1" customWidth="1"/>
    <col min="14850" max="14850" width="13.125" style="436" bestFit="1" customWidth="1"/>
    <col min="14851" max="15097" width="9" style="436"/>
    <col min="15098" max="15098" width="13.125" style="436" customWidth="1"/>
    <col min="15099" max="15099" width="13.25" style="436" bestFit="1" customWidth="1"/>
    <col min="15100" max="15100" width="10.625" style="436" bestFit="1" customWidth="1"/>
    <col min="15101" max="15101" width="10.125" style="436" bestFit="1" customWidth="1"/>
    <col min="15102" max="15103" width="9" style="436"/>
    <col min="15104" max="15104" width="12.625" style="436" bestFit="1" customWidth="1"/>
    <col min="15105" max="15105" width="13.5" style="436" bestFit="1" customWidth="1"/>
    <col min="15106" max="15106" width="13.125" style="436" bestFit="1" customWidth="1"/>
    <col min="15107" max="15353" width="9" style="436"/>
    <col min="15354" max="15354" width="13.125" style="436" customWidth="1"/>
    <col min="15355" max="15355" width="13.25" style="436" bestFit="1" customWidth="1"/>
    <col min="15356" max="15356" width="10.625" style="436" bestFit="1" customWidth="1"/>
    <col min="15357" max="15357" width="10.125" style="436" bestFit="1" customWidth="1"/>
    <col min="15358" max="15359" width="9" style="436"/>
    <col min="15360" max="15360" width="12.625" style="436" bestFit="1" customWidth="1"/>
    <col min="15361" max="15361" width="13.5" style="436" bestFit="1" customWidth="1"/>
    <col min="15362" max="15362" width="13.125" style="436" bestFit="1" customWidth="1"/>
    <col min="15363" max="15609" width="9" style="436"/>
    <col min="15610" max="15610" width="13.125" style="436" customWidth="1"/>
    <col min="15611" max="15611" width="13.25" style="436" bestFit="1" customWidth="1"/>
    <col min="15612" max="15612" width="10.625" style="436" bestFit="1" customWidth="1"/>
    <col min="15613" max="15613" width="10.125" style="436" bestFit="1" customWidth="1"/>
    <col min="15614" max="15615" width="9" style="436"/>
    <col min="15616" max="15616" width="12.625" style="436" bestFit="1" customWidth="1"/>
    <col min="15617" max="15617" width="13.5" style="436" bestFit="1" customWidth="1"/>
    <col min="15618" max="15618" width="13.125" style="436" bestFit="1" customWidth="1"/>
    <col min="15619" max="15865" width="9" style="436"/>
    <col min="15866" max="15866" width="13.125" style="436" customWidth="1"/>
    <col min="15867" max="15867" width="13.25" style="436" bestFit="1" customWidth="1"/>
    <col min="15868" max="15868" width="10.625" style="436" bestFit="1" customWidth="1"/>
    <col min="15869" max="15869" width="10.125" style="436" bestFit="1" customWidth="1"/>
    <col min="15870" max="15871" width="9" style="436"/>
    <col min="15872" max="15872" width="12.625" style="436" bestFit="1" customWidth="1"/>
    <col min="15873" max="15873" width="13.5" style="436" bestFit="1" customWidth="1"/>
    <col min="15874" max="15874" width="13.125" style="436" bestFit="1" customWidth="1"/>
    <col min="15875" max="16121" width="9" style="436"/>
    <col min="16122" max="16122" width="13.125" style="436" customWidth="1"/>
    <col min="16123" max="16123" width="13.25" style="436" bestFit="1" customWidth="1"/>
    <col min="16124" max="16124" width="10.625" style="436" bestFit="1" customWidth="1"/>
    <col min="16125" max="16125" width="10.125" style="436" bestFit="1" customWidth="1"/>
    <col min="16126" max="16127" width="9" style="436"/>
    <col min="16128" max="16128" width="12.625" style="436" bestFit="1" customWidth="1"/>
    <col min="16129" max="16129" width="13.5" style="436" bestFit="1" customWidth="1"/>
    <col min="16130" max="16130" width="13.125" style="436" bestFit="1" customWidth="1"/>
    <col min="16131" max="16384" width="9" style="436"/>
  </cols>
  <sheetData>
    <row r="1" spans="1:12" ht="12.75" customHeight="1">
      <c r="A1" s="2" t="s">
        <v>440</v>
      </c>
    </row>
    <row r="2" spans="1:12" ht="12.75" customHeight="1">
      <c r="A2" s="2"/>
    </row>
    <row r="3" spans="1:12" ht="12.75" customHeight="1">
      <c r="A3" s="2" t="s">
        <v>253</v>
      </c>
    </row>
    <row r="4" spans="1:12" ht="12.75" customHeight="1">
      <c r="A4" s="2"/>
    </row>
    <row r="5" spans="1:12" s="443" customFormat="1" ht="12.75">
      <c r="B5" s="465" t="s">
        <v>314</v>
      </c>
      <c r="D5" s="464"/>
      <c r="H5" s="465" t="s">
        <v>344</v>
      </c>
      <c r="I5" s="464"/>
    </row>
    <row r="6" spans="1:12" ht="12.75" customHeight="1">
      <c r="A6" s="2"/>
    </row>
    <row r="7" spans="1:12" s="442" customFormat="1" ht="38.25">
      <c r="B7" s="447"/>
      <c r="C7" s="448" t="s">
        <v>254</v>
      </c>
      <c r="D7" s="448" t="s">
        <v>263</v>
      </c>
      <c r="E7" s="447" t="s">
        <v>261</v>
      </c>
      <c r="F7" s="448" t="s">
        <v>255</v>
      </c>
      <c r="G7" s="448"/>
      <c r="H7" s="448" t="s">
        <v>254</v>
      </c>
      <c r="I7" s="448" t="s">
        <v>264</v>
      </c>
      <c r="J7" s="447" t="s">
        <v>262</v>
      </c>
      <c r="K7" s="448" t="s">
        <v>255</v>
      </c>
      <c r="L7" s="448"/>
    </row>
    <row r="8" spans="1:12" s="443" customFormat="1" ht="12.75">
      <c r="B8" s="444" t="str">
        <f>Inputs!B11</f>
        <v>CN West</v>
      </c>
      <c r="C8" s="445">
        <f>'Quality of service'!AA128</f>
        <v>103</v>
      </c>
      <c r="D8" s="445">
        <f>'Quality of service'!AB128</f>
        <v>107.2</v>
      </c>
      <c r="E8" s="446">
        <f>(D8/C8)*100</f>
        <v>104.07766990291263</v>
      </c>
      <c r="F8" s="443">
        <v>100</v>
      </c>
      <c r="H8" s="445">
        <f>'Quality of service'!AA149</f>
        <v>87.2</v>
      </c>
      <c r="I8" s="445">
        <f>'Quality of service'!AB149</f>
        <v>79.599999999999994</v>
      </c>
      <c r="J8" s="446">
        <f>(I8/H8)*100</f>
        <v>91.284403669724753</v>
      </c>
      <c r="K8" s="443">
        <v>100</v>
      </c>
    </row>
    <row r="9" spans="1:12" s="443" customFormat="1" ht="12.75">
      <c r="B9" s="444" t="str">
        <f>Inputs!B12</f>
        <v>CN East</v>
      </c>
      <c r="C9" s="445">
        <f>'Quality of service'!AA129</f>
        <v>76.3</v>
      </c>
      <c r="D9" s="445">
        <f>'Quality of service'!AB129</f>
        <v>61.9</v>
      </c>
      <c r="E9" s="446">
        <f t="shared" ref="E9:E21" si="0">(D9/C9)*100</f>
        <v>81.127129750982959</v>
      </c>
      <c r="F9" s="443">
        <v>100</v>
      </c>
      <c r="H9" s="445">
        <f>'Quality of service'!AA150</f>
        <v>66.7</v>
      </c>
      <c r="I9" s="445">
        <f>'Quality of service'!AB150</f>
        <v>53.3</v>
      </c>
      <c r="J9" s="446">
        <f t="shared" ref="J9:J21" si="1">(I9/H9)*100</f>
        <v>79.910044977511234</v>
      </c>
      <c r="K9" s="443">
        <v>100</v>
      </c>
    </row>
    <row r="10" spans="1:12" s="443" customFormat="1" ht="12.75">
      <c r="B10" s="444" t="str">
        <f>Inputs!B13</f>
        <v>ENWL</v>
      </c>
      <c r="C10" s="445">
        <f>'Quality of service'!AA130</f>
        <v>57.1</v>
      </c>
      <c r="D10" s="445">
        <f>'Quality of service'!AB130</f>
        <v>50.6</v>
      </c>
      <c r="E10" s="446">
        <f t="shared" si="0"/>
        <v>88.616462346760073</v>
      </c>
      <c r="F10" s="443">
        <v>100</v>
      </c>
      <c r="H10" s="445">
        <f>'Quality of service'!AA151</f>
        <v>53</v>
      </c>
      <c r="I10" s="445">
        <f>'Quality of service'!AB151</f>
        <v>49.9</v>
      </c>
      <c r="J10" s="446">
        <f t="shared" si="1"/>
        <v>94.15094339622641</v>
      </c>
      <c r="K10" s="443">
        <v>100</v>
      </c>
    </row>
    <row r="11" spans="1:12" s="443" customFormat="1" ht="12.75">
      <c r="B11" s="444" t="str">
        <f>Inputs!B14</f>
        <v>CE NEDL</v>
      </c>
      <c r="C11" s="445">
        <f>'Quality of service'!AA131</f>
        <v>74.5</v>
      </c>
      <c r="D11" s="445">
        <f>'Quality of service'!AB131</f>
        <v>62.3</v>
      </c>
      <c r="E11" s="446">
        <f t="shared" si="0"/>
        <v>83.624161073825505</v>
      </c>
      <c r="F11" s="443">
        <v>100</v>
      </c>
      <c r="H11" s="445">
        <f>'Quality of service'!AA152</f>
        <v>67.400000000000006</v>
      </c>
      <c r="I11" s="445">
        <f>'Quality of service'!AB152</f>
        <v>68.8</v>
      </c>
      <c r="J11" s="446">
        <f t="shared" si="1"/>
        <v>102.07715133531157</v>
      </c>
      <c r="K11" s="443">
        <v>100</v>
      </c>
    </row>
    <row r="12" spans="1:12" s="443" customFormat="1" ht="12.75">
      <c r="B12" s="444" t="str">
        <f>Inputs!B15</f>
        <v>CE YEDL</v>
      </c>
      <c r="C12" s="445">
        <f>'Quality of service'!AA132</f>
        <v>68.400000000000006</v>
      </c>
      <c r="D12" s="445">
        <f>'Quality of service'!AB132</f>
        <v>71.400000000000006</v>
      </c>
      <c r="E12" s="446">
        <f t="shared" si="0"/>
        <v>104.3859649122807</v>
      </c>
      <c r="F12" s="443">
        <v>100</v>
      </c>
      <c r="H12" s="445">
        <f>'Quality of service'!AA153</f>
        <v>61.7</v>
      </c>
      <c r="I12" s="445">
        <f>'Quality of service'!AB153</f>
        <v>63.5</v>
      </c>
      <c r="J12" s="446">
        <f t="shared" si="1"/>
        <v>102.91734197730955</v>
      </c>
      <c r="K12" s="443">
        <v>100</v>
      </c>
    </row>
    <row r="13" spans="1:12" s="443" customFormat="1" ht="12.75">
      <c r="B13" s="444" t="str">
        <f>Inputs!B16</f>
        <v>WPD S Wales</v>
      </c>
      <c r="C13" s="445">
        <f>'Quality of service'!AA133</f>
        <v>93.9</v>
      </c>
      <c r="D13" s="445">
        <f>'Quality of service'!AB133</f>
        <v>55</v>
      </c>
      <c r="E13" s="446">
        <f t="shared" si="0"/>
        <v>58.572949946751862</v>
      </c>
      <c r="F13" s="443">
        <v>100</v>
      </c>
      <c r="H13" s="445">
        <f>'Quality of service'!AA154</f>
        <v>72.2</v>
      </c>
      <c r="I13" s="445">
        <f>'Quality of service'!AB154</f>
        <v>32.799999999999997</v>
      </c>
      <c r="J13" s="446">
        <f t="shared" si="1"/>
        <v>45.429362880886423</v>
      </c>
      <c r="K13" s="443">
        <v>100</v>
      </c>
    </row>
    <row r="14" spans="1:12" s="443" customFormat="1" ht="12.75">
      <c r="B14" s="444" t="str">
        <f>Inputs!B17</f>
        <v>WPD S West</v>
      </c>
      <c r="C14" s="445">
        <f>'Quality of service'!AA134</f>
        <v>84.5</v>
      </c>
      <c r="D14" s="445">
        <f>'Quality of service'!AB134</f>
        <v>49.3</v>
      </c>
      <c r="E14" s="446">
        <f t="shared" si="0"/>
        <v>58.343195266272183</v>
      </c>
      <c r="F14" s="443">
        <v>100</v>
      </c>
      <c r="H14" s="445">
        <f>'Quality of service'!AA155</f>
        <v>62.2</v>
      </c>
      <c r="I14" s="445">
        <f>'Quality of service'!AB155</f>
        <v>37.799999999999997</v>
      </c>
      <c r="J14" s="446">
        <f t="shared" si="1"/>
        <v>60.771704180064305</v>
      </c>
      <c r="K14" s="443">
        <v>100</v>
      </c>
    </row>
    <row r="15" spans="1:12" s="443" customFormat="1" ht="12.75">
      <c r="B15" s="444" t="str">
        <f>Inputs!B18</f>
        <v>UKPN LPN</v>
      </c>
      <c r="C15" s="445">
        <f>'Quality of service'!AA135</f>
        <v>36.200000000000003</v>
      </c>
      <c r="D15" s="445">
        <f>'Quality of service'!AB135</f>
        <v>28.4</v>
      </c>
      <c r="E15" s="446">
        <f t="shared" si="0"/>
        <v>78.453038674033138</v>
      </c>
      <c r="F15" s="443">
        <v>100</v>
      </c>
      <c r="H15" s="445">
        <f>'Quality of service'!AA156</f>
        <v>40</v>
      </c>
      <c r="I15" s="445">
        <f>'Quality of service'!AB156</f>
        <v>47.5</v>
      </c>
      <c r="J15" s="446">
        <f t="shared" si="1"/>
        <v>118.75</v>
      </c>
      <c r="K15" s="443">
        <v>100</v>
      </c>
    </row>
    <row r="16" spans="1:12" s="443" customFormat="1" ht="12.75">
      <c r="B16" s="444" t="str">
        <f>Inputs!B19</f>
        <v>UKPN SEPN</v>
      </c>
      <c r="C16" s="445">
        <f>'Quality of service'!AA136</f>
        <v>82.5</v>
      </c>
      <c r="D16" s="445">
        <f>'Quality of service'!AB136</f>
        <v>80.2</v>
      </c>
      <c r="E16" s="446">
        <f t="shared" si="0"/>
        <v>97.212121212121218</v>
      </c>
      <c r="F16" s="443">
        <v>100</v>
      </c>
      <c r="H16" s="445">
        <f>'Quality of service'!AA157</f>
        <v>63.8</v>
      </c>
      <c r="I16" s="445">
        <f>'Quality of service'!AB157</f>
        <v>91.2</v>
      </c>
      <c r="J16" s="446">
        <f t="shared" si="1"/>
        <v>142.94670846394985</v>
      </c>
      <c r="K16" s="443">
        <v>100</v>
      </c>
    </row>
    <row r="17" spans="2:14" s="443" customFormat="1" ht="12.75">
      <c r="B17" s="444" t="str">
        <f>Inputs!B20</f>
        <v>UKPN EPN</v>
      </c>
      <c r="C17" s="445">
        <f>'Quality of service'!AA137</f>
        <v>84.2</v>
      </c>
      <c r="D17" s="445">
        <f>'Quality of service'!AB137</f>
        <v>87.5</v>
      </c>
      <c r="E17" s="446">
        <f t="shared" si="0"/>
        <v>103.91923990498813</v>
      </c>
      <c r="F17" s="443">
        <v>100</v>
      </c>
      <c r="H17" s="445">
        <f>'Quality of service'!AA158</f>
        <v>67.599999999999994</v>
      </c>
      <c r="I17" s="445">
        <f>'Quality of service'!AB158</f>
        <v>88.2</v>
      </c>
      <c r="J17" s="446">
        <f t="shared" si="1"/>
        <v>130.47337278106511</v>
      </c>
      <c r="K17" s="443">
        <v>100</v>
      </c>
    </row>
    <row r="18" spans="2:14" s="443" customFormat="1" ht="12.75">
      <c r="B18" s="444" t="str">
        <f>Inputs!B21</f>
        <v>SP Distribution</v>
      </c>
      <c r="C18" s="445">
        <f>'Quality of service'!AA138</f>
        <v>60.8</v>
      </c>
      <c r="D18" s="445">
        <f>'Quality of service'!AB138</f>
        <v>51.7</v>
      </c>
      <c r="E18" s="446">
        <f t="shared" si="0"/>
        <v>85.03289473684211</v>
      </c>
      <c r="F18" s="443">
        <v>100</v>
      </c>
      <c r="H18" s="445">
        <f>'Quality of service'!AA159</f>
        <v>50.4</v>
      </c>
      <c r="I18" s="445">
        <f>'Quality of service'!AB159</f>
        <v>51</v>
      </c>
      <c r="J18" s="446">
        <f t="shared" si="1"/>
        <v>101.19047619047619</v>
      </c>
      <c r="K18" s="443">
        <v>100</v>
      </c>
    </row>
    <row r="19" spans="2:14" s="443" customFormat="1" ht="12.75">
      <c r="B19" s="444" t="str">
        <f>Inputs!B22</f>
        <v>SP Manweb</v>
      </c>
      <c r="C19" s="445">
        <f>'Quality of service'!AA139</f>
        <v>46.7</v>
      </c>
      <c r="D19" s="445">
        <f>'Quality of service'!AB139</f>
        <v>38.9</v>
      </c>
      <c r="E19" s="446">
        <f t="shared" si="0"/>
        <v>83.297644539614552</v>
      </c>
      <c r="F19" s="443">
        <v>100</v>
      </c>
      <c r="H19" s="445">
        <f>'Quality of service'!AA160</f>
        <v>44.2</v>
      </c>
      <c r="I19" s="445">
        <f>'Quality of service'!AB160</f>
        <v>44.4</v>
      </c>
      <c r="J19" s="446">
        <f t="shared" si="1"/>
        <v>100.4524886877828</v>
      </c>
      <c r="K19" s="443">
        <v>100</v>
      </c>
    </row>
    <row r="20" spans="2:14" s="443" customFormat="1" ht="12.75">
      <c r="B20" s="444" t="str">
        <f>Inputs!B23</f>
        <v>SSE Hydro</v>
      </c>
      <c r="C20" s="445">
        <f>'Quality of service'!AA140</f>
        <v>94.9</v>
      </c>
      <c r="D20" s="445">
        <f>'Quality of service'!AB140</f>
        <v>77.8</v>
      </c>
      <c r="E20" s="446">
        <f t="shared" si="0"/>
        <v>81.981032665964165</v>
      </c>
      <c r="F20" s="443">
        <v>100</v>
      </c>
      <c r="H20" s="445">
        <f>'Quality of service'!AA161</f>
        <v>92</v>
      </c>
      <c r="I20" s="445">
        <f>'Quality of service'!AB161</f>
        <v>74.3</v>
      </c>
      <c r="J20" s="446">
        <f t="shared" si="1"/>
        <v>80.760869565217391</v>
      </c>
      <c r="K20" s="443">
        <v>100</v>
      </c>
    </row>
    <row r="21" spans="2:14" s="443" customFormat="1" ht="12.75">
      <c r="B21" s="444" t="str">
        <f>Inputs!B24</f>
        <v>SSE Southern</v>
      </c>
      <c r="C21" s="445">
        <f>'Quality of service'!AA141</f>
        <v>87.4</v>
      </c>
      <c r="D21" s="445">
        <f>'Quality of service'!AB141</f>
        <v>61.2</v>
      </c>
      <c r="E21" s="446">
        <f t="shared" si="0"/>
        <v>70.022883295194504</v>
      </c>
      <c r="F21" s="443">
        <v>100</v>
      </c>
      <c r="H21" s="445">
        <f>'Quality of service'!AA162</f>
        <v>75.8</v>
      </c>
      <c r="I21" s="445">
        <f>'Quality of service'!AB162</f>
        <v>64.5</v>
      </c>
      <c r="J21" s="446">
        <f t="shared" si="1"/>
        <v>85.092348284960423</v>
      </c>
      <c r="K21" s="443">
        <v>100</v>
      </c>
    </row>
    <row r="22" spans="2:14" s="443" customFormat="1" ht="12.75">
      <c r="B22" s="444"/>
      <c r="C22" s="445"/>
      <c r="D22" s="445"/>
      <c r="E22" s="446"/>
      <c r="H22" s="445"/>
      <c r="I22" s="445"/>
      <c r="J22" s="446"/>
    </row>
    <row r="23" spans="2:14" s="443" customFormat="1" ht="12.75">
      <c r="D23" s="464" t="s">
        <v>269</v>
      </c>
      <c r="E23" s="443">
        <f>COUNTIF(E8:E21,"&lt;100")</f>
        <v>11</v>
      </c>
      <c r="I23" s="464" t="s">
        <v>269</v>
      </c>
      <c r="J23" s="443">
        <f>COUNTIF(J8:J21,"&lt;100")</f>
        <v>7</v>
      </c>
    </row>
    <row r="24" spans="2:14" s="443" customFormat="1" ht="12.75">
      <c r="D24" s="464" t="s">
        <v>270</v>
      </c>
      <c r="E24" s="443">
        <f>COUNTIF(E8:E21,"&gt;100")</f>
        <v>3</v>
      </c>
      <c r="I24" s="464" t="s">
        <v>270</v>
      </c>
      <c r="J24" s="443">
        <f>COUNTIF(J8:J21,"&gt;100")</f>
        <v>7</v>
      </c>
    </row>
    <row r="25" spans="2:14" s="443" customFormat="1" ht="12.75">
      <c r="D25" s="464"/>
      <c r="I25" s="464"/>
    </row>
    <row r="26" spans="2:14" s="443" customFormat="1">
      <c r="B26" s="708" t="s">
        <v>481</v>
      </c>
      <c r="C26" s="436"/>
      <c r="D26" s="436"/>
      <c r="E26" s="436"/>
      <c r="F26" s="436"/>
      <c r="G26" s="436"/>
      <c r="H26" s="708" t="s">
        <v>482</v>
      </c>
      <c r="I26" s="707"/>
      <c r="J26" s="436"/>
      <c r="K26" s="436"/>
      <c r="L26" s="436"/>
      <c r="M26" s="436"/>
      <c r="N26" s="436"/>
    </row>
    <row r="27" spans="2:14" s="443" customFormat="1">
      <c r="B27" s="436"/>
      <c r="C27" s="436"/>
      <c r="D27" s="436"/>
      <c r="E27" s="436"/>
      <c r="F27" s="436"/>
      <c r="G27" s="436"/>
      <c r="H27" s="436"/>
      <c r="I27" s="436"/>
      <c r="J27" s="436"/>
      <c r="K27" s="436"/>
      <c r="L27" s="436"/>
      <c r="M27" s="436"/>
      <c r="N27" s="436"/>
    </row>
    <row r="28" spans="2:14" s="443" customFormat="1">
      <c r="B28" s="436"/>
      <c r="C28" s="436"/>
      <c r="D28" s="436"/>
      <c r="E28" s="436"/>
      <c r="F28" s="436"/>
      <c r="G28" s="436"/>
      <c r="H28" s="436"/>
      <c r="I28" s="436"/>
      <c r="J28" s="436"/>
      <c r="K28" s="436"/>
      <c r="L28" s="436"/>
      <c r="M28" s="436"/>
      <c r="N28" s="436"/>
    </row>
    <row r="29" spans="2:14" s="443" customFormat="1">
      <c r="B29" s="436"/>
      <c r="C29" s="436"/>
      <c r="D29" s="436"/>
      <c r="E29" s="436"/>
      <c r="F29" s="436"/>
      <c r="G29" s="436"/>
      <c r="H29" s="436"/>
      <c r="I29" s="436"/>
      <c r="J29" s="436"/>
      <c r="K29" s="436"/>
      <c r="L29" s="436"/>
      <c r="M29" s="436"/>
      <c r="N29" s="436"/>
    </row>
    <row r="30" spans="2:14" s="443" customFormat="1">
      <c r="B30" s="436"/>
      <c r="C30" s="706"/>
      <c r="D30" s="706"/>
      <c r="E30" s="706"/>
      <c r="F30" s="706"/>
      <c r="G30" s="706"/>
      <c r="H30" s="706"/>
      <c r="I30" s="706"/>
      <c r="J30" s="706"/>
      <c r="K30" s="706"/>
      <c r="L30" s="436"/>
      <c r="M30" s="436"/>
      <c r="N30" s="436"/>
    </row>
    <row r="31" spans="2:14" s="443" customFormat="1">
      <c r="B31" s="436"/>
      <c r="C31" s="706"/>
      <c r="D31" s="706"/>
      <c r="E31" s="706"/>
      <c r="F31" s="706"/>
      <c r="G31" s="706"/>
      <c r="H31" s="706"/>
      <c r="I31" s="706"/>
      <c r="J31" s="706"/>
      <c r="K31" s="706"/>
      <c r="L31" s="436"/>
      <c r="M31" s="436"/>
      <c r="N31" s="436"/>
    </row>
    <row r="32" spans="2:14" s="443" customFormat="1">
      <c r="C32" s="706"/>
      <c r="D32" s="706"/>
      <c r="E32" s="706"/>
      <c r="F32" s="706"/>
      <c r="G32" s="706"/>
      <c r="H32" s="706"/>
      <c r="I32" s="706"/>
      <c r="J32" s="706"/>
      <c r="K32" s="706"/>
      <c r="L32" s="436"/>
      <c r="M32" s="436"/>
      <c r="N32" s="436"/>
    </row>
    <row r="33" spans="1:14" s="443" customFormat="1">
      <c r="B33" s="436"/>
      <c r="C33" s="706"/>
      <c r="D33" s="706"/>
      <c r="E33" s="706"/>
      <c r="F33" s="706"/>
      <c r="G33" s="706"/>
      <c r="H33" s="706"/>
      <c r="I33" s="706"/>
      <c r="J33" s="706"/>
      <c r="K33" s="706"/>
      <c r="L33" s="436"/>
      <c r="M33" s="436"/>
      <c r="N33" s="436"/>
    </row>
    <row r="34" spans="1:14" s="443" customFormat="1">
      <c r="B34" s="436"/>
      <c r="C34" s="706"/>
      <c r="D34" s="706"/>
      <c r="E34" s="706"/>
      <c r="F34" s="706"/>
      <c r="G34" s="706"/>
      <c r="H34" s="706"/>
      <c r="I34" s="706"/>
      <c r="J34" s="706"/>
      <c r="K34" s="706"/>
      <c r="L34" s="436"/>
      <c r="M34" s="436"/>
      <c r="N34" s="436"/>
    </row>
    <row r="35" spans="1:14" s="443" customFormat="1">
      <c r="B35" s="436"/>
      <c r="C35" s="706"/>
      <c r="D35" s="706"/>
      <c r="E35" s="706"/>
      <c r="F35" s="706"/>
      <c r="G35" s="706"/>
      <c r="H35" s="706"/>
      <c r="I35" s="706"/>
      <c r="J35" s="706"/>
      <c r="K35" s="706"/>
      <c r="L35" s="436"/>
      <c r="M35" s="436"/>
      <c r="N35" s="436"/>
    </row>
    <row r="36" spans="1:14" s="443" customFormat="1">
      <c r="B36" s="436"/>
      <c r="C36" s="706"/>
      <c r="D36" s="706"/>
      <c r="E36" s="706"/>
      <c r="F36" s="706"/>
      <c r="G36" s="706"/>
      <c r="H36" s="706"/>
      <c r="I36" s="706"/>
      <c r="J36" s="706"/>
      <c r="K36" s="706"/>
      <c r="L36" s="436"/>
      <c r="M36" s="436"/>
      <c r="N36" s="436"/>
    </row>
    <row r="37" spans="1:14" s="443" customFormat="1">
      <c r="B37" s="436"/>
      <c r="C37" s="706"/>
      <c r="D37" s="706"/>
      <c r="E37" s="706"/>
      <c r="F37" s="706"/>
      <c r="G37" s="706"/>
      <c r="H37" s="706"/>
      <c r="I37" s="706"/>
      <c r="J37" s="706"/>
      <c r="K37" s="706"/>
      <c r="L37" s="436"/>
      <c r="M37" s="436"/>
      <c r="N37" s="436"/>
    </row>
    <row r="38" spans="1:14" s="443" customFormat="1">
      <c r="B38" s="436"/>
      <c r="C38" s="706"/>
      <c r="D38" s="706"/>
      <c r="E38" s="706"/>
      <c r="F38" s="706"/>
      <c r="G38" s="706"/>
      <c r="H38" s="706"/>
      <c r="I38" s="706"/>
      <c r="J38" s="706"/>
      <c r="K38" s="706"/>
      <c r="L38" s="436"/>
      <c r="M38" s="436"/>
      <c r="N38" s="436"/>
    </row>
    <row r="39" spans="1:14" s="443" customFormat="1">
      <c r="B39" s="436"/>
      <c r="C39" s="706"/>
      <c r="D39" s="706"/>
      <c r="E39" s="706"/>
      <c r="F39" s="706"/>
      <c r="G39" s="706"/>
      <c r="H39" s="706"/>
      <c r="I39" s="706"/>
      <c r="J39" s="706"/>
      <c r="K39" s="706"/>
      <c r="L39" s="436"/>
      <c r="M39" s="436"/>
      <c r="N39" s="436"/>
    </row>
    <row r="40" spans="1:14" s="443" customFormat="1">
      <c r="B40" s="436"/>
      <c r="C40" s="706"/>
      <c r="D40" s="706"/>
      <c r="E40" s="706"/>
      <c r="F40" s="706"/>
      <c r="G40" s="706"/>
      <c r="H40" s="706"/>
      <c r="I40" s="706"/>
      <c r="J40" s="706"/>
      <c r="K40" s="706"/>
      <c r="L40" s="436"/>
      <c r="M40" s="436"/>
      <c r="N40" s="436"/>
    </row>
    <row r="41" spans="1:14" s="443" customFormat="1">
      <c r="B41" s="436"/>
      <c r="C41" s="706"/>
      <c r="D41" s="706"/>
      <c r="E41" s="706"/>
      <c r="F41" s="706"/>
      <c r="G41" s="706"/>
      <c r="H41" s="706"/>
      <c r="I41" s="706"/>
      <c r="J41" s="706"/>
      <c r="K41" s="706"/>
      <c r="L41" s="436"/>
      <c r="M41" s="436"/>
      <c r="N41" s="436"/>
    </row>
    <row r="42" spans="1:14" s="443" customFormat="1">
      <c r="B42" s="436"/>
      <c r="C42" s="706"/>
      <c r="D42" s="706"/>
      <c r="E42" s="706"/>
      <c r="F42" s="706"/>
      <c r="G42" s="706"/>
      <c r="H42" s="706"/>
      <c r="I42" s="706"/>
      <c r="J42" s="706"/>
      <c r="K42" s="706"/>
      <c r="L42" s="436"/>
      <c r="M42" s="436"/>
      <c r="N42" s="436"/>
    </row>
    <row r="43" spans="1:14">
      <c r="A43" s="443"/>
      <c r="B43" s="465" t="s">
        <v>428</v>
      </c>
      <c r="C43" s="443"/>
      <c r="D43" s="464"/>
      <c r="E43" s="443"/>
      <c r="F43" s="443"/>
      <c r="G43" s="443"/>
      <c r="H43" s="465" t="s">
        <v>427</v>
      </c>
      <c r="I43" s="443"/>
      <c r="J43" s="443"/>
      <c r="K43" s="443"/>
      <c r="L43" s="443"/>
    </row>
    <row r="44" spans="1:14">
      <c r="A44" s="443"/>
      <c r="B44" s="465"/>
      <c r="C44" s="443"/>
      <c r="D44" s="464"/>
      <c r="E44" s="443"/>
      <c r="F44" s="443"/>
      <c r="G44" s="443"/>
      <c r="H44" s="465"/>
      <c r="I44" s="443"/>
      <c r="J44" s="443"/>
      <c r="K44" s="443"/>
      <c r="L44" s="443"/>
    </row>
    <row r="45" spans="1:14">
      <c r="A45" s="443"/>
      <c r="B45" s="708" t="s">
        <v>473</v>
      </c>
      <c r="C45" s="708"/>
      <c r="D45" s="708"/>
      <c r="E45" s="708"/>
      <c r="F45" s="708"/>
      <c r="G45" s="708"/>
      <c r="H45" s="708" t="s">
        <v>474</v>
      </c>
      <c r="I45" s="443"/>
      <c r="J45" s="443"/>
      <c r="K45" s="443"/>
      <c r="L45" s="443"/>
    </row>
    <row r="46" spans="1:14">
      <c r="A46" s="443"/>
      <c r="B46" s="443"/>
      <c r="C46" s="443"/>
      <c r="D46" s="464"/>
      <c r="E46" s="443"/>
      <c r="F46" s="443"/>
      <c r="G46" s="443"/>
      <c r="H46" s="443"/>
      <c r="I46" s="443"/>
      <c r="J46" s="443"/>
      <c r="K46" s="443"/>
      <c r="L46" s="443"/>
    </row>
    <row r="47" spans="1:14" ht="14.25" customHeight="1"/>
    <row r="61" spans="2:8">
      <c r="B61" s="465" t="s">
        <v>472</v>
      </c>
      <c r="H61" s="465" t="s">
        <v>472</v>
      </c>
    </row>
    <row r="62" spans="2:8">
      <c r="B62" s="465"/>
      <c r="H62" s="465"/>
    </row>
    <row r="63" spans="2:8">
      <c r="B63" s="708" t="s">
        <v>475</v>
      </c>
      <c r="H63" s="708" t="s">
        <v>476</v>
      </c>
    </row>
    <row r="81" spans="1:1" ht="15">
      <c r="A81" s="28"/>
    </row>
    <row r="100" spans="2:11">
      <c r="B100" s="706"/>
      <c r="C100" s="706"/>
      <c r="D100" s="706"/>
      <c r="E100" s="706"/>
      <c r="F100" s="706"/>
      <c r="G100" s="706"/>
      <c r="H100" s="706"/>
      <c r="I100" s="706"/>
      <c r="J100" s="706"/>
      <c r="K100" s="706"/>
    </row>
  </sheetData>
  <pageMargins left="0.74803149606299213" right="0.74803149606299213" top="0.98425196850393704" bottom="0.98425196850393704" header="0.51181102362204722" footer="0.51181102362204722"/>
  <pageSetup paperSize="9" scale="66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>
    <tabColor theme="6"/>
    <pageSetUpPr fitToPage="1"/>
  </sheetPr>
  <dimension ref="A1:Q66"/>
  <sheetViews>
    <sheetView zoomScale="75" zoomScaleNormal="75" workbookViewId="0">
      <selection activeCell="A2" sqref="A2"/>
    </sheetView>
  </sheetViews>
  <sheetFormatPr defaultRowHeight="14.25"/>
  <cols>
    <col min="1" max="1" width="1.625" style="436" customWidth="1"/>
    <col min="2" max="17" width="12.625" style="436" customWidth="1"/>
    <col min="18" max="245" width="9" style="436"/>
    <col min="246" max="246" width="13.125" style="436" customWidth="1"/>
    <col min="247" max="247" width="13.25" style="436" bestFit="1" customWidth="1"/>
    <col min="248" max="248" width="10.625" style="436" bestFit="1" customWidth="1"/>
    <col min="249" max="249" width="10.125" style="436" bestFit="1" customWidth="1"/>
    <col min="250" max="251" width="9" style="436"/>
    <col min="252" max="252" width="12.625" style="436" bestFit="1" customWidth="1"/>
    <col min="253" max="253" width="13.5" style="436" bestFit="1" customWidth="1"/>
    <col min="254" max="254" width="13.125" style="436" bestFit="1" customWidth="1"/>
    <col min="255" max="501" width="9" style="436"/>
    <col min="502" max="502" width="13.125" style="436" customWidth="1"/>
    <col min="503" max="503" width="13.25" style="436" bestFit="1" customWidth="1"/>
    <col min="504" max="504" width="10.625" style="436" bestFit="1" customWidth="1"/>
    <col min="505" max="505" width="10.125" style="436" bestFit="1" customWidth="1"/>
    <col min="506" max="507" width="9" style="436"/>
    <col min="508" max="508" width="12.625" style="436" bestFit="1" customWidth="1"/>
    <col min="509" max="509" width="13.5" style="436" bestFit="1" customWidth="1"/>
    <col min="510" max="510" width="13.125" style="436" bestFit="1" customWidth="1"/>
    <col min="511" max="757" width="9" style="436"/>
    <col min="758" max="758" width="13.125" style="436" customWidth="1"/>
    <col min="759" max="759" width="13.25" style="436" bestFit="1" customWidth="1"/>
    <col min="760" max="760" width="10.625" style="436" bestFit="1" customWidth="1"/>
    <col min="761" max="761" width="10.125" style="436" bestFit="1" customWidth="1"/>
    <col min="762" max="763" width="9" style="436"/>
    <col min="764" max="764" width="12.625" style="436" bestFit="1" customWidth="1"/>
    <col min="765" max="765" width="13.5" style="436" bestFit="1" customWidth="1"/>
    <col min="766" max="766" width="13.125" style="436" bestFit="1" customWidth="1"/>
    <col min="767" max="1013" width="9" style="436"/>
    <col min="1014" max="1014" width="13.125" style="436" customWidth="1"/>
    <col min="1015" max="1015" width="13.25" style="436" bestFit="1" customWidth="1"/>
    <col min="1016" max="1016" width="10.625" style="436" bestFit="1" customWidth="1"/>
    <col min="1017" max="1017" width="10.125" style="436" bestFit="1" customWidth="1"/>
    <col min="1018" max="1019" width="9" style="436"/>
    <col min="1020" max="1020" width="12.625" style="436" bestFit="1" customWidth="1"/>
    <col min="1021" max="1021" width="13.5" style="436" bestFit="1" customWidth="1"/>
    <col min="1022" max="1022" width="13.125" style="436" bestFit="1" customWidth="1"/>
    <col min="1023" max="1269" width="9" style="436"/>
    <col min="1270" max="1270" width="13.125" style="436" customWidth="1"/>
    <col min="1271" max="1271" width="13.25" style="436" bestFit="1" customWidth="1"/>
    <col min="1272" max="1272" width="10.625" style="436" bestFit="1" customWidth="1"/>
    <col min="1273" max="1273" width="10.125" style="436" bestFit="1" customWidth="1"/>
    <col min="1274" max="1275" width="9" style="436"/>
    <col min="1276" max="1276" width="12.625" style="436" bestFit="1" customWidth="1"/>
    <col min="1277" max="1277" width="13.5" style="436" bestFit="1" customWidth="1"/>
    <col min="1278" max="1278" width="13.125" style="436" bestFit="1" customWidth="1"/>
    <col min="1279" max="1525" width="9" style="436"/>
    <col min="1526" max="1526" width="13.125" style="436" customWidth="1"/>
    <col min="1527" max="1527" width="13.25" style="436" bestFit="1" customWidth="1"/>
    <col min="1528" max="1528" width="10.625" style="436" bestFit="1" customWidth="1"/>
    <col min="1529" max="1529" width="10.125" style="436" bestFit="1" customWidth="1"/>
    <col min="1530" max="1531" width="9" style="436"/>
    <col min="1532" max="1532" width="12.625" style="436" bestFit="1" customWidth="1"/>
    <col min="1533" max="1533" width="13.5" style="436" bestFit="1" customWidth="1"/>
    <col min="1534" max="1534" width="13.125" style="436" bestFit="1" customWidth="1"/>
    <col min="1535" max="1781" width="9" style="436"/>
    <col min="1782" max="1782" width="13.125" style="436" customWidth="1"/>
    <col min="1783" max="1783" width="13.25" style="436" bestFit="1" customWidth="1"/>
    <col min="1784" max="1784" width="10.625" style="436" bestFit="1" customWidth="1"/>
    <col min="1785" max="1785" width="10.125" style="436" bestFit="1" customWidth="1"/>
    <col min="1786" max="1787" width="9" style="436"/>
    <col min="1788" max="1788" width="12.625" style="436" bestFit="1" customWidth="1"/>
    <col min="1789" max="1789" width="13.5" style="436" bestFit="1" customWidth="1"/>
    <col min="1790" max="1790" width="13.125" style="436" bestFit="1" customWidth="1"/>
    <col min="1791" max="2037" width="9" style="436"/>
    <col min="2038" max="2038" width="13.125" style="436" customWidth="1"/>
    <col min="2039" max="2039" width="13.25" style="436" bestFit="1" customWidth="1"/>
    <col min="2040" max="2040" width="10.625" style="436" bestFit="1" customWidth="1"/>
    <col min="2041" max="2041" width="10.125" style="436" bestFit="1" customWidth="1"/>
    <col min="2042" max="2043" width="9" style="436"/>
    <col min="2044" max="2044" width="12.625" style="436" bestFit="1" customWidth="1"/>
    <col min="2045" max="2045" width="13.5" style="436" bestFit="1" customWidth="1"/>
    <col min="2046" max="2046" width="13.125" style="436" bestFit="1" customWidth="1"/>
    <col min="2047" max="2293" width="9" style="436"/>
    <col min="2294" max="2294" width="13.125" style="436" customWidth="1"/>
    <col min="2295" max="2295" width="13.25" style="436" bestFit="1" customWidth="1"/>
    <col min="2296" max="2296" width="10.625" style="436" bestFit="1" customWidth="1"/>
    <col min="2297" max="2297" width="10.125" style="436" bestFit="1" customWidth="1"/>
    <col min="2298" max="2299" width="9" style="436"/>
    <col min="2300" max="2300" width="12.625" style="436" bestFit="1" customWidth="1"/>
    <col min="2301" max="2301" width="13.5" style="436" bestFit="1" customWidth="1"/>
    <col min="2302" max="2302" width="13.125" style="436" bestFit="1" customWidth="1"/>
    <col min="2303" max="2549" width="9" style="436"/>
    <col min="2550" max="2550" width="13.125" style="436" customWidth="1"/>
    <col min="2551" max="2551" width="13.25" style="436" bestFit="1" customWidth="1"/>
    <col min="2552" max="2552" width="10.625" style="436" bestFit="1" customWidth="1"/>
    <col min="2553" max="2553" width="10.125" style="436" bestFit="1" customWidth="1"/>
    <col min="2554" max="2555" width="9" style="436"/>
    <col min="2556" max="2556" width="12.625" style="436" bestFit="1" customWidth="1"/>
    <col min="2557" max="2557" width="13.5" style="436" bestFit="1" customWidth="1"/>
    <col min="2558" max="2558" width="13.125" style="436" bestFit="1" customWidth="1"/>
    <col min="2559" max="2805" width="9" style="436"/>
    <col min="2806" max="2806" width="13.125" style="436" customWidth="1"/>
    <col min="2807" max="2807" width="13.25" style="436" bestFit="1" customWidth="1"/>
    <col min="2808" max="2808" width="10.625" style="436" bestFit="1" customWidth="1"/>
    <col min="2809" max="2809" width="10.125" style="436" bestFit="1" customWidth="1"/>
    <col min="2810" max="2811" width="9" style="436"/>
    <col min="2812" max="2812" width="12.625" style="436" bestFit="1" customWidth="1"/>
    <col min="2813" max="2813" width="13.5" style="436" bestFit="1" customWidth="1"/>
    <col min="2814" max="2814" width="13.125" style="436" bestFit="1" customWidth="1"/>
    <col min="2815" max="3061" width="9" style="436"/>
    <col min="3062" max="3062" width="13.125" style="436" customWidth="1"/>
    <col min="3063" max="3063" width="13.25" style="436" bestFit="1" customWidth="1"/>
    <col min="3064" max="3064" width="10.625" style="436" bestFit="1" customWidth="1"/>
    <col min="3065" max="3065" width="10.125" style="436" bestFit="1" customWidth="1"/>
    <col min="3066" max="3067" width="9" style="436"/>
    <col min="3068" max="3068" width="12.625" style="436" bestFit="1" customWidth="1"/>
    <col min="3069" max="3069" width="13.5" style="436" bestFit="1" customWidth="1"/>
    <col min="3070" max="3070" width="13.125" style="436" bestFit="1" customWidth="1"/>
    <col min="3071" max="3317" width="9" style="436"/>
    <col min="3318" max="3318" width="13.125" style="436" customWidth="1"/>
    <col min="3319" max="3319" width="13.25" style="436" bestFit="1" customWidth="1"/>
    <col min="3320" max="3320" width="10.625" style="436" bestFit="1" customWidth="1"/>
    <col min="3321" max="3321" width="10.125" style="436" bestFit="1" customWidth="1"/>
    <col min="3322" max="3323" width="9" style="436"/>
    <col min="3324" max="3324" width="12.625" style="436" bestFit="1" customWidth="1"/>
    <col min="3325" max="3325" width="13.5" style="436" bestFit="1" customWidth="1"/>
    <col min="3326" max="3326" width="13.125" style="436" bestFit="1" customWidth="1"/>
    <col min="3327" max="3573" width="9" style="436"/>
    <col min="3574" max="3574" width="13.125" style="436" customWidth="1"/>
    <col min="3575" max="3575" width="13.25" style="436" bestFit="1" customWidth="1"/>
    <col min="3576" max="3576" width="10.625" style="436" bestFit="1" customWidth="1"/>
    <col min="3577" max="3577" width="10.125" style="436" bestFit="1" customWidth="1"/>
    <col min="3578" max="3579" width="9" style="436"/>
    <col min="3580" max="3580" width="12.625" style="436" bestFit="1" customWidth="1"/>
    <col min="3581" max="3581" width="13.5" style="436" bestFit="1" customWidth="1"/>
    <col min="3582" max="3582" width="13.125" style="436" bestFit="1" customWidth="1"/>
    <col min="3583" max="3829" width="9" style="436"/>
    <col min="3830" max="3830" width="13.125" style="436" customWidth="1"/>
    <col min="3831" max="3831" width="13.25" style="436" bestFit="1" customWidth="1"/>
    <col min="3832" max="3832" width="10.625" style="436" bestFit="1" customWidth="1"/>
    <col min="3833" max="3833" width="10.125" style="436" bestFit="1" customWidth="1"/>
    <col min="3834" max="3835" width="9" style="436"/>
    <col min="3836" max="3836" width="12.625" style="436" bestFit="1" customWidth="1"/>
    <col min="3837" max="3837" width="13.5" style="436" bestFit="1" customWidth="1"/>
    <col min="3838" max="3838" width="13.125" style="436" bestFit="1" customWidth="1"/>
    <col min="3839" max="4085" width="9" style="436"/>
    <col min="4086" max="4086" width="13.125" style="436" customWidth="1"/>
    <col min="4087" max="4087" width="13.25" style="436" bestFit="1" customWidth="1"/>
    <col min="4088" max="4088" width="10.625" style="436" bestFit="1" customWidth="1"/>
    <col min="4089" max="4089" width="10.125" style="436" bestFit="1" customWidth="1"/>
    <col min="4090" max="4091" width="9" style="436"/>
    <col min="4092" max="4092" width="12.625" style="436" bestFit="1" customWidth="1"/>
    <col min="4093" max="4093" width="13.5" style="436" bestFit="1" customWidth="1"/>
    <col min="4094" max="4094" width="13.125" style="436" bestFit="1" customWidth="1"/>
    <col min="4095" max="4341" width="9" style="436"/>
    <col min="4342" max="4342" width="13.125" style="436" customWidth="1"/>
    <col min="4343" max="4343" width="13.25" style="436" bestFit="1" customWidth="1"/>
    <col min="4344" max="4344" width="10.625" style="436" bestFit="1" customWidth="1"/>
    <col min="4345" max="4345" width="10.125" style="436" bestFit="1" customWidth="1"/>
    <col min="4346" max="4347" width="9" style="436"/>
    <col min="4348" max="4348" width="12.625" style="436" bestFit="1" customWidth="1"/>
    <col min="4349" max="4349" width="13.5" style="436" bestFit="1" customWidth="1"/>
    <col min="4350" max="4350" width="13.125" style="436" bestFit="1" customWidth="1"/>
    <col min="4351" max="4597" width="9" style="436"/>
    <col min="4598" max="4598" width="13.125" style="436" customWidth="1"/>
    <col min="4599" max="4599" width="13.25" style="436" bestFit="1" customWidth="1"/>
    <col min="4600" max="4600" width="10.625" style="436" bestFit="1" customWidth="1"/>
    <col min="4601" max="4601" width="10.125" style="436" bestFit="1" customWidth="1"/>
    <col min="4602" max="4603" width="9" style="436"/>
    <col min="4604" max="4604" width="12.625" style="436" bestFit="1" customWidth="1"/>
    <col min="4605" max="4605" width="13.5" style="436" bestFit="1" customWidth="1"/>
    <col min="4606" max="4606" width="13.125" style="436" bestFit="1" customWidth="1"/>
    <col min="4607" max="4853" width="9" style="436"/>
    <col min="4854" max="4854" width="13.125" style="436" customWidth="1"/>
    <col min="4855" max="4855" width="13.25" style="436" bestFit="1" customWidth="1"/>
    <col min="4856" max="4856" width="10.625" style="436" bestFit="1" customWidth="1"/>
    <col min="4857" max="4857" width="10.125" style="436" bestFit="1" customWidth="1"/>
    <col min="4858" max="4859" width="9" style="436"/>
    <col min="4860" max="4860" width="12.625" style="436" bestFit="1" customWidth="1"/>
    <col min="4861" max="4861" width="13.5" style="436" bestFit="1" customWidth="1"/>
    <col min="4862" max="4862" width="13.125" style="436" bestFit="1" customWidth="1"/>
    <col min="4863" max="5109" width="9" style="436"/>
    <col min="5110" max="5110" width="13.125" style="436" customWidth="1"/>
    <col min="5111" max="5111" width="13.25" style="436" bestFit="1" customWidth="1"/>
    <col min="5112" max="5112" width="10.625" style="436" bestFit="1" customWidth="1"/>
    <col min="5113" max="5113" width="10.125" style="436" bestFit="1" customWidth="1"/>
    <col min="5114" max="5115" width="9" style="436"/>
    <col min="5116" max="5116" width="12.625" style="436" bestFit="1" customWidth="1"/>
    <col min="5117" max="5117" width="13.5" style="436" bestFit="1" customWidth="1"/>
    <col min="5118" max="5118" width="13.125" style="436" bestFit="1" customWidth="1"/>
    <col min="5119" max="5365" width="9" style="436"/>
    <col min="5366" max="5366" width="13.125" style="436" customWidth="1"/>
    <col min="5367" max="5367" width="13.25" style="436" bestFit="1" customWidth="1"/>
    <col min="5368" max="5368" width="10.625" style="436" bestFit="1" customWidth="1"/>
    <col min="5369" max="5369" width="10.125" style="436" bestFit="1" customWidth="1"/>
    <col min="5370" max="5371" width="9" style="436"/>
    <col min="5372" max="5372" width="12.625" style="436" bestFit="1" customWidth="1"/>
    <col min="5373" max="5373" width="13.5" style="436" bestFit="1" customWidth="1"/>
    <col min="5374" max="5374" width="13.125" style="436" bestFit="1" customWidth="1"/>
    <col min="5375" max="5621" width="9" style="436"/>
    <col min="5622" max="5622" width="13.125" style="436" customWidth="1"/>
    <col min="5623" max="5623" width="13.25" style="436" bestFit="1" customWidth="1"/>
    <col min="5624" max="5624" width="10.625" style="436" bestFit="1" customWidth="1"/>
    <col min="5625" max="5625" width="10.125" style="436" bestFit="1" customWidth="1"/>
    <col min="5626" max="5627" width="9" style="436"/>
    <col min="5628" max="5628" width="12.625" style="436" bestFit="1" customWidth="1"/>
    <col min="5629" max="5629" width="13.5" style="436" bestFit="1" customWidth="1"/>
    <col min="5630" max="5630" width="13.125" style="436" bestFit="1" customWidth="1"/>
    <col min="5631" max="5877" width="9" style="436"/>
    <col min="5878" max="5878" width="13.125" style="436" customWidth="1"/>
    <col min="5879" max="5879" width="13.25" style="436" bestFit="1" customWidth="1"/>
    <col min="5880" max="5880" width="10.625" style="436" bestFit="1" customWidth="1"/>
    <col min="5881" max="5881" width="10.125" style="436" bestFit="1" customWidth="1"/>
    <col min="5882" max="5883" width="9" style="436"/>
    <col min="5884" max="5884" width="12.625" style="436" bestFit="1" customWidth="1"/>
    <col min="5885" max="5885" width="13.5" style="436" bestFit="1" customWidth="1"/>
    <col min="5886" max="5886" width="13.125" style="436" bestFit="1" customWidth="1"/>
    <col min="5887" max="6133" width="9" style="436"/>
    <col min="6134" max="6134" width="13.125" style="436" customWidth="1"/>
    <col min="6135" max="6135" width="13.25" style="436" bestFit="1" customWidth="1"/>
    <col min="6136" max="6136" width="10.625" style="436" bestFit="1" customWidth="1"/>
    <col min="6137" max="6137" width="10.125" style="436" bestFit="1" customWidth="1"/>
    <col min="6138" max="6139" width="9" style="436"/>
    <col min="6140" max="6140" width="12.625" style="436" bestFit="1" customWidth="1"/>
    <col min="6141" max="6141" width="13.5" style="436" bestFit="1" customWidth="1"/>
    <col min="6142" max="6142" width="13.125" style="436" bestFit="1" customWidth="1"/>
    <col min="6143" max="6389" width="9" style="436"/>
    <col min="6390" max="6390" width="13.125" style="436" customWidth="1"/>
    <col min="6391" max="6391" width="13.25" style="436" bestFit="1" customWidth="1"/>
    <col min="6392" max="6392" width="10.625" style="436" bestFit="1" customWidth="1"/>
    <col min="6393" max="6393" width="10.125" style="436" bestFit="1" customWidth="1"/>
    <col min="6394" max="6395" width="9" style="436"/>
    <col min="6396" max="6396" width="12.625" style="436" bestFit="1" customWidth="1"/>
    <col min="6397" max="6397" width="13.5" style="436" bestFit="1" customWidth="1"/>
    <col min="6398" max="6398" width="13.125" style="436" bestFit="1" customWidth="1"/>
    <col min="6399" max="6645" width="9" style="436"/>
    <col min="6646" max="6646" width="13.125" style="436" customWidth="1"/>
    <col min="6647" max="6647" width="13.25" style="436" bestFit="1" customWidth="1"/>
    <col min="6648" max="6648" width="10.625" style="436" bestFit="1" customWidth="1"/>
    <col min="6649" max="6649" width="10.125" style="436" bestFit="1" customWidth="1"/>
    <col min="6650" max="6651" width="9" style="436"/>
    <col min="6652" max="6652" width="12.625" style="436" bestFit="1" customWidth="1"/>
    <col min="6653" max="6653" width="13.5" style="436" bestFit="1" customWidth="1"/>
    <col min="6654" max="6654" width="13.125" style="436" bestFit="1" customWidth="1"/>
    <col min="6655" max="6901" width="9" style="436"/>
    <col min="6902" max="6902" width="13.125" style="436" customWidth="1"/>
    <col min="6903" max="6903" width="13.25" style="436" bestFit="1" customWidth="1"/>
    <col min="6904" max="6904" width="10.625" style="436" bestFit="1" customWidth="1"/>
    <col min="6905" max="6905" width="10.125" style="436" bestFit="1" customWidth="1"/>
    <col min="6906" max="6907" width="9" style="436"/>
    <col min="6908" max="6908" width="12.625" style="436" bestFit="1" customWidth="1"/>
    <col min="6909" max="6909" width="13.5" style="436" bestFit="1" customWidth="1"/>
    <col min="6910" max="6910" width="13.125" style="436" bestFit="1" customWidth="1"/>
    <col min="6911" max="7157" width="9" style="436"/>
    <col min="7158" max="7158" width="13.125" style="436" customWidth="1"/>
    <col min="7159" max="7159" width="13.25" style="436" bestFit="1" customWidth="1"/>
    <col min="7160" max="7160" width="10.625" style="436" bestFit="1" customWidth="1"/>
    <col min="7161" max="7161" width="10.125" style="436" bestFit="1" customWidth="1"/>
    <col min="7162" max="7163" width="9" style="436"/>
    <col min="7164" max="7164" width="12.625" style="436" bestFit="1" customWidth="1"/>
    <col min="7165" max="7165" width="13.5" style="436" bestFit="1" customWidth="1"/>
    <col min="7166" max="7166" width="13.125" style="436" bestFit="1" customWidth="1"/>
    <col min="7167" max="7413" width="9" style="436"/>
    <col min="7414" max="7414" width="13.125" style="436" customWidth="1"/>
    <col min="7415" max="7415" width="13.25" style="436" bestFit="1" customWidth="1"/>
    <col min="7416" max="7416" width="10.625" style="436" bestFit="1" customWidth="1"/>
    <col min="7417" max="7417" width="10.125" style="436" bestFit="1" customWidth="1"/>
    <col min="7418" max="7419" width="9" style="436"/>
    <col min="7420" max="7420" width="12.625" style="436" bestFit="1" customWidth="1"/>
    <col min="7421" max="7421" width="13.5" style="436" bestFit="1" customWidth="1"/>
    <col min="7422" max="7422" width="13.125" style="436" bestFit="1" customWidth="1"/>
    <col min="7423" max="7669" width="9" style="436"/>
    <col min="7670" max="7670" width="13.125" style="436" customWidth="1"/>
    <col min="7671" max="7671" width="13.25" style="436" bestFit="1" customWidth="1"/>
    <col min="7672" max="7672" width="10.625" style="436" bestFit="1" customWidth="1"/>
    <col min="7673" max="7673" width="10.125" style="436" bestFit="1" customWidth="1"/>
    <col min="7674" max="7675" width="9" style="436"/>
    <col min="7676" max="7676" width="12.625" style="436" bestFit="1" customWidth="1"/>
    <col min="7677" max="7677" width="13.5" style="436" bestFit="1" customWidth="1"/>
    <col min="7678" max="7678" width="13.125" style="436" bestFit="1" customWidth="1"/>
    <col min="7679" max="7925" width="9" style="436"/>
    <col min="7926" max="7926" width="13.125" style="436" customWidth="1"/>
    <col min="7927" max="7927" width="13.25" style="436" bestFit="1" customWidth="1"/>
    <col min="7928" max="7928" width="10.625" style="436" bestFit="1" customWidth="1"/>
    <col min="7929" max="7929" width="10.125" style="436" bestFit="1" customWidth="1"/>
    <col min="7930" max="7931" width="9" style="436"/>
    <col min="7932" max="7932" width="12.625" style="436" bestFit="1" customWidth="1"/>
    <col min="7933" max="7933" width="13.5" style="436" bestFit="1" customWidth="1"/>
    <col min="7934" max="7934" width="13.125" style="436" bestFit="1" customWidth="1"/>
    <col min="7935" max="8181" width="9" style="436"/>
    <col min="8182" max="8182" width="13.125" style="436" customWidth="1"/>
    <col min="8183" max="8183" width="13.25" style="436" bestFit="1" customWidth="1"/>
    <col min="8184" max="8184" width="10.625" style="436" bestFit="1" customWidth="1"/>
    <col min="8185" max="8185" width="10.125" style="436" bestFit="1" customWidth="1"/>
    <col min="8186" max="8187" width="9" style="436"/>
    <col min="8188" max="8188" width="12.625" style="436" bestFit="1" customWidth="1"/>
    <col min="8189" max="8189" width="13.5" style="436" bestFit="1" customWidth="1"/>
    <col min="8190" max="8190" width="13.125" style="436" bestFit="1" customWidth="1"/>
    <col min="8191" max="8437" width="9" style="436"/>
    <col min="8438" max="8438" width="13.125" style="436" customWidth="1"/>
    <col min="8439" max="8439" width="13.25" style="436" bestFit="1" customWidth="1"/>
    <col min="8440" max="8440" width="10.625" style="436" bestFit="1" customWidth="1"/>
    <col min="8441" max="8441" width="10.125" style="436" bestFit="1" customWidth="1"/>
    <col min="8442" max="8443" width="9" style="436"/>
    <col min="8444" max="8444" width="12.625" style="436" bestFit="1" customWidth="1"/>
    <col min="8445" max="8445" width="13.5" style="436" bestFit="1" customWidth="1"/>
    <col min="8446" max="8446" width="13.125" style="436" bestFit="1" customWidth="1"/>
    <col min="8447" max="8693" width="9" style="436"/>
    <col min="8694" max="8694" width="13.125" style="436" customWidth="1"/>
    <col min="8695" max="8695" width="13.25" style="436" bestFit="1" customWidth="1"/>
    <col min="8696" max="8696" width="10.625" style="436" bestFit="1" customWidth="1"/>
    <col min="8697" max="8697" width="10.125" style="436" bestFit="1" customWidth="1"/>
    <col min="8698" max="8699" width="9" style="436"/>
    <col min="8700" max="8700" width="12.625" style="436" bestFit="1" customWidth="1"/>
    <col min="8701" max="8701" width="13.5" style="436" bestFit="1" customWidth="1"/>
    <col min="8702" max="8702" width="13.125" style="436" bestFit="1" customWidth="1"/>
    <col min="8703" max="8949" width="9" style="436"/>
    <col min="8950" max="8950" width="13.125" style="436" customWidth="1"/>
    <col min="8951" max="8951" width="13.25" style="436" bestFit="1" customWidth="1"/>
    <col min="8952" max="8952" width="10.625" style="436" bestFit="1" customWidth="1"/>
    <col min="8953" max="8953" width="10.125" style="436" bestFit="1" customWidth="1"/>
    <col min="8954" max="8955" width="9" style="436"/>
    <col min="8956" max="8956" width="12.625" style="436" bestFit="1" customWidth="1"/>
    <col min="8957" max="8957" width="13.5" style="436" bestFit="1" customWidth="1"/>
    <col min="8958" max="8958" width="13.125" style="436" bestFit="1" customWidth="1"/>
    <col min="8959" max="9205" width="9" style="436"/>
    <col min="9206" max="9206" width="13.125" style="436" customWidth="1"/>
    <col min="9207" max="9207" width="13.25" style="436" bestFit="1" customWidth="1"/>
    <col min="9208" max="9208" width="10.625" style="436" bestFit="1" customWidth="1"/>
    <col min="9209" max="9209" width="10.125" style="436" bestFit="1" customWidth="1"/>
    <col min="9210" max="9211" width="9" style="436"/>
    <col min="9212" max="9212" width="12.625" style="436" bestFit="1" customWidth="1"/>
    <col min="9213" max="9213" width="13.5" style="436" bestFit="1" customWidth="1"/>
    <col min="9214" max="9214" width="13.125" style="436" bestFit="1" customWidth="1"/>
    <col min="9215" max="9461" width="9" style="436"/>
    <col min="9462" max="9462" width="13.125" style="436" customWidth="1"/>
    <col min="9463" max="9463" width="13.25" style="436" bestFit="1" customWidth="1"/>
    <col min="9464" max="9464" width="10.625" style="436" bestFit="1" customWidth="1"/>
    <col min="9465" max="9465" width="10.125" style="436" bestFit="1" customWidth="1"/>
    <col min="9466" max="9467" width="9" style="436"/>
    <col min="9468" max="9468" width="12.625" style="436" bestFit="1" customWidth="1"/>
    <col min="9469" max="9469" width="13.5" style="436" bestFit="1" customWidth="1"/>
    <col min="9470" max="9470" width="13.125" style="436" bestFit="1" customWidth="1"/>
    <col min="9471" max="9717" width="9" style="436"/>
    <col min="9718" max="9718" width="13.125" style="436" customWidth="1"/>
    <col min="9719" max="9719" width="13.25" style="436" bestFit="1" customWidth="1"/>
    <col min="9720" max="9720" width="10.625" style="436" bestFit="1" customWidth="1"/>
    <col min="9721" max="9721" width="10.125" style="436" bestFit="1" customWidth="1"/>
    <col min="9722" max="9723" width="9" style="436"/>
    <col min="9724" max="9724" width="12.625" style="436" bestFit="1" customWidth="1"/>
    <col min="9725" max="9725" width="13.5" style="436" bestFit="1" customWidth="1"/>
    <col min="9726" max="9726" width="13.125" style="436" bestFit="1" customWidth="1"/>
    <col min="9727" max="9973" width="9" style="436"/>
    <col min="9974" max="9974" width="13.125" style="436" customWidth="1"/>
    <col min="9975" max="9975" width="13.25" style="436" bestFit="1" customWidth="1"/>
    <col min="9976" max="9976" width="10.625" style="436" bestFit="1" customWidth="1"/>
    <col min="9977" max="9977" width="10.125" style="436" bestFit="1" customWidth="1"/>
    <col min="9978" max="9979" width="9" style="436"/>
    <col min="9980" max="9980" width="12.625" style="436" bestFit="1" customWidth="1"/>
    <col min="9981" max="9981" width="13.5" style="436" bestFit="1" customWidth="1"/>
    <col min="9982" max="9982" width="13.125" style="436" bestFit="1" customWidth="1"/>
    <col min="9983" max="10229" width="9" style="436"/>
    <col min="10230" max="10230" width="13.125" style="436" customWidth="1"/>
    <col min="10231" max="10231" width="13.25" style="436" bestFit="1" customWidth="1"/>
    <col min="10232" max="10232" width="10.625" style="436" bestFit="1" customWidth="1"/>
    <col min="10233" max="10233" width="10.125" style="436" bestFit="1" customWidth="1"/>
    <col min="10234" max="10235" width="9" style="436"/>
    <col min="10236" max="10236" width="12.625" style="436" bestFit="1" customWidth="1"/>
    <col min="10237" max="10237" width="13.5" style="436" bestFit="1" customWidth="1"/>
    <col min="10238" max="10238" width="13.125" style="436" bestFit="1" customWidth="1"/>
    <col min="10239" max="10485" width="9" style="436"/>
    <col min="10486" max="10486" width="13.125" style="436" customWidth="1"/>
    <col min="10487" max="10487" width="13.25" style="436" bestFit="1" customWidth="1"/>
    <col min="10488" max="10488" width="10.625" style="436" bestFit="1" customWidth="1"/>
    <col min="10489" max="10489" width="10.125" style="436" bestFit="1" customWidth="1"/>
    <col min="10490" max="10491" width="9" style="436"/>
    <col min="10492" max="10492" width="12.625" style="436" bestFit="1" customWidth="1"/>
    <col min="10493" max="10493" width="13.5" style="436" bestFit="1" customWidth="1"/>
    <col min="10494" max="10494" width="13.125" style="436" bestFit="1" customWidth="1"/>
    <col min="10495" max="10741" width="9" style="436"/>
    <col min="10742" max="10742" width="13.125" style="436" customWidth="1"/>
    <col min="10743" max="10743" width="13.25" style="436" bestFit="1" customWidth="1"/>
    <col min="10744" max="10744" width="10.625" style="436" bestFit="1" customWidth="1"/>
    <col min="10745" max="10745" width="10.125" style="436" bestFit="1" customWidth="1"/>
    <col min="10746" max="10747" width="9" style="436"/>
    <col min="10748" max="10748" width="12.625" style="436" bestFit="1" customWidth="1"/>
    <col min="10749" max="10749" width="13.5" style="436" bestFit="1" customWidth="1"/>
    <col min="10750" max="10750" width="13.125" style="436" bestFit="1" customWidth="1"/>
    <col min="10751" max="10997" width="9" style="436"/>
    <col min="10998" max="10998" width="13.125" style="436" customWidth="1"/>
    <col min="10999" max="10999" width="13.25" style="436" bestFit="1" customWidth="1"/>
    <col min="11000" max="11000" width="10.625" style="436" bestFit="1" customWidth="1"/>
    <col min="11001" max="11001" width="10.125" style="436" bestFit="1" customWidth="1"/>
    <col min="11002" max="11003" width="9" style="436"/>
    <col min="11004" max="11004" width="12.625" style="436" bestFit="1" customWidth="1"/>
    <col min="11005" max="11005" width="13.5" style="436" bestFit="1" customWidth="1"/>
    <col min="11006" max="11006" width="13.125" style="436" bestFit="1" customWidth="1"/>
    <col min="11007" max="11253" width="9" style="436"/>
    <col min="11254" max="11254" width="13.125" style="436" customWidth="1"/>
    <col min="11255" max="11255" width="13.25" style="436" bestFit="1" customWidth="1"/>
    <col min="11256" max="11256" width="10.625" style="436" bestFit="1" customWidth="1"/>
    <col min="11257" max="11257" width="10.125" style="436" bestFit="1" customWidth="1"/>
    <col min="11258" max="11259" width="9" style="436"/>
    <col min="11260" max="11260" width="12.625" style="436" bestFit="1" customWidth="1"/>
    <col min="11261" max="11261" width="13.5" style="436" bestFit="1" customWidth="1"/>
    <col min="11262" max="11262" width="13.125" style="436" bestFit="1" customWidth="1"/>
    <col min="11263" max="11509" width="9" style="436"/>
    <col min="11510" max="11510" width="13.125" style="436" customWidth="1"/>
    <col min="11511" max="11511" width="13.25" style="436" bestFit="1" customWidth="1"/>
    <col min="11512" max="11512" width="10.625" style="436" bestFit="1" customWidth="1"/>
    <col min="11513" max="11513" width="10.125" style="436" bestFit="1" customWidth="1"/>
    <col min="11514" max="11515" width="9" style="436"/>
    <col min="11516" max="11516" width="12.625" style="436" bestFit="1" customWidth="1"/>
    <col min="11517" max="11517" width="13.5" style="436" bestFit="1" customWidth="1"/>
    <col min="11518" max="11518" width="13.125" style="436" bestFit="1" customWidth="1"/>
    <col min="11519" max="11765" width="9" style="436"/>
    <col min="11766" max="11766" width="13.125" style="436" customWidth="1"/>
    <col min="11767" max="11767" width="13.25" style="436" bestFit="1" customWidth="1"/>
    <col min="11768" max="11768" width="10.625" style="436" bestFit="1" customWidth="1"/>
    <col min="11769" max="11769" width="10.125" style="436" bestFit="1" customWidth="1"/>
    <col min="11770" max="11771" width="9" style="436"/>
    <col min="11772" max="11772" width="12.625" style="436" bestFit="1" customWidth="1"/>
    <col min="11773" max="11773" width="13.5" style="436" bestFit="1" customWidth="1"/>
    <col min="11774" max="11774" width="13.125" style="436" bestFit="1" customWidth="1"/>
    <col min="11775" max="12021" width="9" style="436"/>
    <col min="12022" max="12022" width="13.125" style="436" customWidth="1"/>
    <col min="12023" max="12023" width="13.25" style="436" bestFit="1" customWidth="1"/>
    <col min="12024" max="12024" width="10.625" style="436" bestFit="1" customWidth="1"/>
    <col min="12025" max="12025" width="10.125" style="436" bestFit="1" customWidth="1"/>
    <col min="12026" max="12027" width="9" style="436"/>
    <col min="12028" max="12028" width="12.625" style="436" bestFit="1" customWidth="1"/>
    <col min="12029" max="12029" width="13.5" style="436" bestFit="1" customWidth="1"/>
    <col min="12030" max="12030" width="13.125" style="436" bestFit="1" customWidth="1"/>
    <col min="12031" max="12277" width="9" style="436"/>
    <col min="12278" max="12278" width="13.125" style="436" customWidth="1"/>
    <col min="12279" max="12279" width="13.25" style="436" bestFit="1" customWidth="1"/>
    <col min="12280" max="12280" width="10.625" style="436" bestFit="1" customWidth="1"/>
    <col min="12281" max="12281" width="10.125" style="436" bestFit="1" customWidth="1"/>
    <col min="12282" max="12283" width="9" style="436"/>
    <col min="12284" max="12284" width="12.625" style="436" bestFit="1" customWidth="1"/>
    <col min="12285" max="12285" width="13.5" style="436" bestFit="1" customWidth="1"/>
    <col min="12286" max="12286" width="13.125" style="436" bestFit="1" customWidth="1"/>
    <col min="12287" max="12533" width="9" style="436"/>
    <col min="12534" max="12534" width="13.125" style="436" customWidth="1"/>
    <col min="12535" max="12535" width="13.25" style="436" bestFit="1" customWidth="1"/>
    <col min="12536" max="12536" width="10.625" style="436" bestFit="1" customWidth="1"/>
    <col min="12537" max="12537" width="10.125" style="436" bestFit="1" customWidth="1"/>
    <col min="12538" max="12539" width="9" style="436"/>
    <col min="12540" max="12540" width="12.625" style="436" bestFit="1" customWidth="1"/>
    <col min="12541" max="12541" width="13.5" style="436" bestFit="1" customWidth="1"/>
    <col min="12542" max="12542" width="13.125" style="436" bestFit="1" customWidth="1"/>
    <col min="12543" max="12789" width="9" style="436"/>
    <col min="12790" max="12790" width="13.125" style="436" customWidth="1"/>
    <col min="12791" max="12791" width="13.25" style="436" bestFit="1" customWidth="1"/>
    <col min="12792" max="12792" width="10.625" style="436" bestFit="1" customWidth="1"/>
    <col min="12793" max="12793" width="10.125" style="436" bestFit="1" customWidth="1"/>
    <col min="12794" max="12795" width="9" style="436"/>
    <col min="12796" max="12796" width="12.625" style="436" bestFit="1" customWidth="1"/>
    <col min="12797" max="12797" width="13.5" style="436" bestFit="1" customWidth="1"/>
    <col min="12798" max="12798" width="13.125" style="436" bestFit="1" customWidth="1"/>
    <col min="12799" max="13045" width="9" style="436"/>
    <col min="13046" max="13046" width="13.125" style="436" customWidth="1"/>
    <col min="13047" max="13047" width="13.25" style="436" bestFit="1" customWidth="1"/>
    <col min="13048" max="13048" width="10.625" style="436" bestFit="1" customWidth="1"/>
    <col min="13049" max="13049" width="10.125" style="436" bestFit="1" customWidth="1"/>
    <col min="13050" max="13051" width="9" style="436"/>
    <col min="13052" max="13052" width="12.625" style="436" bestFit="1" customWidth="1"/>
    <col min="13053" max="13053" width="13.5" style="436" bestFit="1" customWidth="1"/>
    <col min="13054" max="13054" width="13.125" style="436" bestFit="1" customWidth="1"/>
    <col min="13055" max="13301" width="9" style="436"/>
    <col min="13302" max="13302" width="13.125" style="436" customWidth="1"/>
    <col min="13303" max="13303" width="13.25" style="436" bestFit="1" customWidth="1"/>
    <col min="13304" max="13304" width="10.625" style="436" bestFit="1" customWidth="1"/>
    <col min="13305" max="13305" width="10.125" style="436" bestFit="1" customWidth="1"/>
    <col min="13306" max="13307" width="9" style="436"/>
    <col min="13308" max="13308" width="12.625" style="436" bestFit="1" customWidth="1"/>
    <col min="13309" max="13309" width="13.5" style="436" bestFit="1" customWidth="1"/>
    <col min="13310" max="13310" width="13.125" style="436" bestFit="1" customWidth="1"/>
    <col min="13311" max="13557" width="9" style="436"/>
    <col min="13558" max="13558" width="13.125" style="436" customWidth="1"/>
    <col min="13559" max="13559" width="13.25" style="436" bestFit="1" customWidth="1"/>
    <col min="13560" max="13560" width="10.625" style="436" bestFit="1" customWidth="1"/>
    <col min="13561" max="13561" width="10.125" style="436" bestFit="1" customWidth="1"/>
    <col min="13562" max="13563" width="9" style="436"/>
    <col min="13564" max="13564" width="12.625" style="436" bestFit="1" customWidth="1"/>
    <col min="13565" max="13565" width="13.5" style="436" bestFit="1" customWidth="1"/>
    <col min="13566" max="13566" width="13.125" style="436" bestFit="1" customWidth="1"/>
    <col min="13567" max="13813" width="9" style="436"/>
    <col min="13814" max="13814" width="13.125" style="436" customWidth="1"/>
    <col min="13815" max="13815" width="13.25" style="436" bestFit="1" customWidth="1"/>
    <col min="13816" max="13816" width="10.625" style="436" bestFit="1" customWidth="1"/>
    <col min="13817" max="13817" width="10.125" style="436" bestFit="1" customWidth="1"/>
    <col min="13818" max="13819" width="9" style="436"/>
    <col min="13820" max="13820" width="12.625" style="436" bestFit="1" customWidth="1"/>
    <col min="13821" max="13821" width="13.5" style="436" bestFit="1" customWidth="1"/>
    <col min="13822" max="13822" width="13.125" style="436" bestFit="1" customWidth="1"/>
    <col min="13823" max="14069" width="9" style="436"/>
    <col min="14070" max="14070" width="13.125" style="436" customWidth="1"/>
    <col min="14071" max="14071" width="13.25" style="436" bestFit="1" customWidth="1"/>
    <col min="14072" max="14072" width="10.625" style="436" bestFit="1" customWidth="1"/>
    <col min="14073" max="14073" width="10.125" style="436" bestFit="1" customWidth="1"/>
    <col min="14074" max="14075" width="9" style="436"/>
    <col min="14076" max="14076" width="12.625" style="436" bestFit="1" customWidth="1"/>
    <col min="14077" max="14077" width="13.5" style="436" bestFit="1" customWidth="1"/>
    <col min="14078" max="14078" width="13.125" style="436" bestFit="1" customWidth="1"/>
    <col min="14079" max="14325" width="9" style="436"/>
    <col min="14326" max="14326" width="13.125" style="436" customWidth="1"/>
    <col min="14327" max="14327" width="13.25" style="436" bestFit="1" customWidth="1"/>
    <col min="14328" max="14328" width="10.625" style="436" bestFit="1" customWidth="1"/>
    <col min="14329" max="14329" width="10.125" style="436" bestFit="1" customWidth="1"/>
    <col min="14330" max="14331" width="9" style="436"/>
    <col min="14332" max="14332" width="12.625" style="436" bestFit="1" customWidth="1"/>
    <col min="14333" max="14333" width="13.5" style="436" bestFit="1" customWidth="1"/>
    <col min="14334" max="14334" width="13.125" style="436" bestFit="1" customWidth="1"/>
    <col min="14335" max="14581" width="9" style="436"/>
    <col min="14582" max="14582" width="13.125" style="436" customWidth="1"/>
    <col min="14583" max="14583" width="13.25" style="436" bestFit="1" customWidth="1"/>
    <col min="14584" max="14584" width="10.625" style="436" bestFit="1" customWidth="1"/>
    <col min="14585" max="14585" width="10.125" style="436" bestFit="1" customWidth="1"/>
    <col min="14586" max="14587" width="9" style="436"/>
    <col min="14588" max="14588" width="12.625" style="436" bestFit="1" customWidth="1"/>
    <col min="14589" max="14589" width="13.5" style="436" bestFit="1" customWidth="1"/>
    <col min="14590" max="14590" width="13.125" style="436" bestFit="1" customWidth="1"/>
    <col min="14591" max="14837" width="9" style="436"/>
    <col min="14838" max="14838" width="13.125" style="436" customWidth="1"/>
    <col min="14839" max="14839" width="13.25" style="436" bestFit="1" customWidth="1"/>
    <col min="14840" max="14840" width="10.625" style="436" bestFit="1" customWidth="1"/>
    <col min="14841" max="14841" width="10.125" style="436" bestFit="1" customWidth="1"/>
    <col min="14842" max="14843" width="9" style="436"/>
    <col min="14844" max="14844" width="12.625" style="436" bestFit="1" customWidth="1"/>
    <col min="14845" max="14845" width="13.5" style="436" bestFit="1" customWidth="1"/>
    <col min="14846" max="14846" width="13.125" style="436" bestFit="1" customWidth="1"/>
    <col min="14847" max="15093" width="9" style="436"/>
    <col min="15094" max="15094" width="13.125" style="436" customWidth="1"/>
    <col min="15095" max="15095" width="13.25" style="436" bestFit="1" customWidth="1"/>
    <col min="15096" max="15096" width="10.625" style="436" bestFit="1" customWidth="1"/>
    <col min="15097" max="15097" width="10.125" style="436" bestFit="1" customWidth="1"/>
    <col min="15098" max="15099" width="9" style="436"/>
    <col min="15100" max="15100" width="12.625" style="436" bestFit="1" customWidth="1"/>
    <col min="15101" max="15101" width="13.5" style="436" bestFit="1" customWidth="1"/>
    <col min="15102" max="15102" width="13.125" style="436" bestFit="1" customWidth="1"/>
    <col min="15103" max="15349" width="9" style="436"/>
    <col min="15350" max="15350" width="13.125" style="436" customWidth="1"/>
    <col min="15351" max="15351" width="13.25" style="436" bestFit="1" customWidth="1"/>
    <col min="15352" max="15352" width="10.625" style="436" bestFit="1" customWidth="1"/>
    <col min="15353" max="15353" width="10.125" style="436" bestFit="1" customWidth="1"/>
    <col min="15354" max="15355" width="9" style="436"/>
    <col min="15356" max="15356" width="12.625" style="436" bestFit="1" customWidth="1"/>
    <col min="15357" max="15357" width="13.5" style="436" bestFit="1" customWidth="1"/>
    <col min="15358" max="15358" width="13.125" style="436" bestFit="1" customWidth="1"/>
    <col min="15359" max="15605" width="9" style="436"/>
    <col min="15606" max="15606" width="13.125" style="436" customWidth="1"/>
    <col min="15607" max="15607" width="13.25" style="436" bestFit="1" customWidth="1"/>
    <col min="15608" max="15608" width="10.625" style="436" bestFit="1" customWidth="1"/>
    <col min="15609" max="15609" width="10.125" style="436" bestFit="1" customWidth="1"/>
    <col min="15610" max="15611" width="9" style="436"/>
    <col min="15612" max="15612" width="12.625" style="436" bestFit="1" customWidth="1"/>
    <col min="15613" max="15613" width="13.5" style="436" bestFit="1" customWidth="1"/>
    <col min="15614" max="15614" width="13.125" style="436" bestFit="1" customWidth="1"/>
    <col min="15615" max="15861" width="9" style="436"/>
    <col min="15862" max="15862" width="13.125" style="436" customWidth="1"/>
    <col min="15863" max="15863" width="13.25" style="436" bestFit="1" customWidth="1"/>
    <col min="15864" max="15864" width="10.625" style="436" bestFit="1" customWidth="1"/>
    <col min="15865" max="15865" width="10.125" style="436" bestFit="1" customWidth="1"/>
    <col min="15866" max="15867" width="9" style="436"/>
    <col min="15868" max="15868" width="12.625" style="436" bestFit="1" customWidth="1"/>
    <col min="15869" max="15869" width="13.5" style="436" bestFit="1" customWidth="1"/>
    <col min="15870" max="15870" width="13.125" style="436" bestFit="1" customWidth="1"/>
    <col min="15871" max="16117" width="9" style="436"/>
    <col min="16118" max="16118" width="13.125" style="436" customWidth="1"/>
    <col min="16119" max="16119" width="13.25" style="436" bestFit="1" customWidth="1"/>
    <col min="16120" max="16120" width="10.625" style="436" bestFit="1" customWidth="1"/>
    <col min="16121" max="16121" width="10.125" style="436" bestFit="1" customWidth="1"/>
    <col min="16122" max="16123" width="9" style="436"/>
    <col min="16124" max="16124" width="12.625" style="436" bestFit="1" customWidth="1"/>
    <col min="16125" max="16125" width="13.5" style="436" bestFit="1" customWidth="1"/>
    <col min="16126" max="16126" width="13.125" style="436" bestFit="1" customWidth="1"/>
    <col min="16127" max="16384" width="9" style="436"/>
  </cols>
  <sheetData>
    <row r="1" spans="1:17" ht="12.75" customHeight="1">
      <c r="A1" s="2" t="s">
        <v>440</v>
      </c>
    </row>
    <row r="2" spans="1:17" ht="12.75" customHeight="1">
      <c r="A2" s="2"/>
    </row>
    <row r="3" spans="1:17" ht="12.75" customHeight="1">
      <c r="A3" s="2" t="s">
        <v>252</v>
      </c>
    </row>
    <row r="4" spans="1:17" ht="12.75" customHeight="1"/>
    <row r="5" spans="1:17" ht="12.75" customHeight="1">
      <c r="B5" s="465" t="s">
        <v>345</v>
      </c>
      <c r="C5" s="443"/>
      <c r="D5" s="443"/>
      <c r="E5" s="443"/>
      <c r="H5" s="465" t="s">
        <v>346</v>
      </c>
      <c r="N5" s="465" t="s">
        <v>426</v>
      </c>
    </row>
    <row r="6" spans="1:17" ht="12.75" customHeight="1">
      <c r="B6" s="465"/>
      <c r="C6" s="443"/>
      <c r="D6" s="443"/>
      <c r="E6" s="443"/>
      <c r="H6" s="710" t="s">
        <v>484</v>
      </c>
      <c r="N6" s="465"/>
    </row>
    <row r="7" spans="1:17" ht="12.75" customHeight="1">
      <c r="B7" s="2" t="s">
        <v>483</v>
      </c>
      <c r="C7" s="443"/>
      <c r="D7" s="443"/>
      <c r="E7" s="443"/>
      <c r="H7" s="2" t="s">
        <v>483</v>
      </c>
      <c r="N7" s="2" t="s">
        <v>486</v>
      </c>
    </row>
    <row r="8" spans="1:17" s="442" customFormat="1" ht="38.25">
      <c r="B8" s="447" t="s">
        <v>313</v>
      </c>
      <c r="C8" s="447" t="s">
        <v>288</v>
      </c>
      <c r="D8" s="447" t="s">
        <v>19</v>
      </c>
      <c r="E8" s="447" t="s">
        <v>287</v>
      </c>
      <c r="F8" s="447" t="s">
        <v>396</v>
      </c>
      <c r="H8" s="484" t="str">
        <f t="shared" ref="H8:H13" si="0">D8</f>
        <v>DNO</v>
      </c>
      <c r="I8" s="484" t="s">
        <v>306</v>
      </c>
      <c r="J8" s="484" t="str">
        <f>E8</f>
        <v>2009-10 Scores</v>
      </c>
      <c r="K8" s="484" t="s">
        <v>307</v>
      </c>
      <c r="L8" s="484" t="s">
        <v>308</v>
      </c>
      <c r="M8" s="443"/>
      <c r="N8" s="436"/>
      <c r="O8" s="436"/>
      <c r="P8" s="436"/>
      <c r="Q8" s="436"/>
    </row>
    <row r="9" spans="1:17" s="443" customFormat="1">
      <c r="B9" s="444"/>
      <c r="C9" s="480"/>
      <c r="D9" s="444" t="s">
        <v>323</v>
      </c>
      <c r="E9" s="483">
        <f>'Quality of service'!P353</f>
        <v>4.3451921131921845</v>
      </c>
      <c r="F9" s="481"/>
      <c r="G9" s="436"/>
      <c r="H9" s="466" t="str">
        <f t="shared" si="0"/>
        <v>Ind. Mean 05-06</v>
      </c>
      <c r="I9" s="467">
        <f>ROUND(E9,2)</f>
        <v>4.3499999999999996</v>
      </c>
      <c r="J9" s="467">
        <v>0</v>
      </c>
      <c r="K9" s="467">
        <v>4.5</v>
      </c>
      <c r="L9" s="467">
        <v>4.0999999999999996</v>
      </c>
      <c r="N9" s="436"/>
      <c r="O9" s="436"/>
      <c r="P9" s="436"/>
      <c r="Q9" s="436"/>
    </row>
    <row r="10" spans="1:17" s="443" customFormat="1">
      <c r="B10" s="444"/>
      <c r="C10" s="480"/>
      <c r="D10" s="444" t="s">
        <v>324</v>
      </c>
      <c r="E10" s="482">
        <f>'Quality of service'!S353</f>
        <v>4.3014285714285716</v>
      </c>
      <c r="F10" s="481"/>
      <c r="G10" s="436"/>
      <c r="H10" s="466" t="str">
        <f t="shared" si="0"/>
        <v>Ind. Mean 06-07</v>
      </c>
      <c r="I10" s="467">
        <f>ROUND(E10,2)</f>
        <v>4.3</v>
      </c>
      <c r="J10" s="467">
        <v>0</v>
      </c>
      <c r="K10" s="467">
        <v>4.5</v>
      </c>
      <c r="L10" s="467">
        <v>4.0999999999999996</v>
      </c>
      <c r="N10" s="436"/>
      <c r="O10" s="436"/>
      <c r="P10" s="436"/>
      <c r="Q10" s="436"/>
    </row>
    <row r="11" spans="1:17" s="443" customFormat="1">
      <c r="B11" s="444"/>
      <c r="C11" s="480"/>
      <c r="D11" s="444" t="s">
        <v>325</v>
      </c>
      <c r="E11" s="482">
        <f>'Quality of service'!V353</f>
        <v>4.3271428571428565</v>
      </c>
      <c r="F11" s="481"/>
      <c r="G11" s="436"/>
      <c r="H11" s="466" t="str">
        <f t="shared" si="0"/>
        <v>Ind. Mean 07-08</v>
      </c>
      <c r="I11" s="467">
        <f>ROUND(E11,2)</f>
        <v>4.33</v>
      </c>
      <c r="J11" s="467">
        <v>0</v>
      </c>
      <c r="K11" s="467">
        <v>4.5</v>
      </c>
      <c r="L11" s="467">
        <v>4.0999999999999996</v>
      </c>
      <c r="N11" s="436"/>
      <c r="O11" s="436"/>
      <c r="P11" s="436"/>
      <c r="Q11" s="436"/>
    </row>
    <row r="12" spans="1:17" s="443" customFormat="1">
      <c r="B12" s="444"/>
      <c r="C12" s="480"/>
      <c r="D12" s="444" t="s">
        <v>326</v>
      </c>
      <c r="E12" s="482">
        <f>'Quality of service'!Y353</f>
        <v>4.3649999999999993</v>
      </c>
      <c r="F12" s="481"/>
      <c r="G12" s="22"/>
      <c r="H12" s="466" t="str">
        <f t="shared" si="0"/>
        <v>Ind. Mean 08-09</v>
      </c>
      <c r="I12" s="467">
        <f>ROUND(E12,2)</f>
        <v>4.37</v>
      </c>
      <c r="J12" s="467">
        <v>0</v>
      </c>
      <c r="K12" s="467">
        <v>4.5</v>
      </c>
      <c r="L12" s="467">
        <v>4.0999999999999996</v>
      </c>
      <c r="N12" s="436"/>
      <c r="O12" s="436"/>
      <c r="P12" s="436"/>
      <c r="Q12" s="436"/>
    </row>
    <row r="13" spans="1:17" s="443" customFormat="1">
      <c r="B13" s="444"/>
      <c r="C13" s="480"/>
      <c r="D13" s="444" t="s">
        <v>327</v>
      </c>
      <c r="E13" s="482">
        <f>AVERAGE(E14:E27)</f>
        <v>4.4585714285714282</v>
      </c>
      <c r="F13" s="481"/>
      <c r="G13" s="22"/>
      <c r="H13" s="466" t="str">
        <f t="shared" si="0"/>
        <v>Ind. Mean 09-10</v>
      </c>
      <c r="I13" s="467">
        <f>ROUND(E13,2)</f>
        <v>4.46</v>
      </c>
      <c r="J13" s="467">
        <v>0</v>
      </c>
      <c r="K13" s="467">
        <v>4.5</v>
      </c>
      <c r="L13" s="467">
        <v>4.0999999999999996</v>
      </c>
      <c r="N13" s="436"/>
      <c r="O13" s="436"/>
      <c r="P13" s="436"/>
      <c r="Q13" s="436"/>
    </row>
    <row r="14" spans="1:17" s="443" customFormat="1">
      <c r="B14" s="444">
        <f>'Quality of service'!AA343</f>
        <v>1</v>
      </c>
      <c r="C14" s="480" t="s">
        <v>271</v>
      </c>
      <c r="D14" s="444" t="s">
        <v>13</v>
      </c>
      <c r="E14" s="482">
        <f>'Quality of service'!AB343</f>
        <v>4.71</v>
      </c>
      <c r="F14" s="585">
        <f>'Quality of service'!AC343*(Inputs!$H$7/Inputs!$J$7)</f>
        <v>8.5812421877787842E-2</v>
      </c>
      <c r="G14" s="565"/>
      <c r="H14" s="466" t="str">
        <f>Inputs!B11</f>
        <v>CN West</v>
      </c>
      <c r="I14" s="467">
        <v>0</v>
      </c>
      <c r="J14" s="467">
        <f>'Quality of service'!AB338</f>
        <v>4.53</v>
      </c>
      <c r="K14" s="467">
        <v>4.5</v>
      </c>
      <c r="L14" s="467">
        <v>4.0999999999999996</v>
      </c>
      <c r="N14" s="436"/>
      <c r="O14" s="436"/>
      <c r="P14" s="436"/>
      <c r="Q14" s="436"/>
    </row>
    <row r="15" spans="1:17" s="443" customFormat="1">
      <c r="B15" s="444">
        <f>'Quality of service'!AA350</f>
        <v>2</v>
      </c>
      <c r="C15" s="480" t="s">
        <v>272</v>
      </c>
      <c r="D15" s="444" t="s">
        <v>6</v>
      </c>
      <c r="E15" s="482">
        <f>'Quality of service'!AB350</f>
        <v>4.63</v>
      </c>
      <c r="F15" s="585">
        <f>'Quality of service'!AC350*(Inputs!$H$7/Inputs!$J$7)</f>
        <v>0.10190772363351439</v>
      </c>
      <c r="G15" s="436"/>
      <c r="H15" s="466" t="str">
        <f>Inputs!B12</f>
        <v>CN East</v>
      </c>
      <c r="I15" s="467">
        <v>0</v>
      </c>
      <c r="J15" s="467">
        <f>'Quality of service'!AB339</f>
        <v>4.5599999999999996</v>
      </c>
      <c r="K15" s="467">
        <v>4.5</v>
      </c>
      <c r="L15" s="467">
        <v>4.0999999999999996</v>
      </c>
      <c r="N15" s="436"/>
      <c r="O15" s="436"/>
      <c r="P15" s="436"/>
      <c r="Q15" s="436"/>
    </row>
    <row r="16" spans="1:17" s="443" customFormat="1">
      <c r="B16" s="444">
        <f>'Quality of service'!AA344</f>
        <v>3</v>
      </c>
      <c r="C16" s="480" t="s">
        <v>273</v>
      </c>
      <c r="D16" s="444" t="s">
        <v>14</v>
      </c>
      <c r="E16" s="482">
        <f>'Quality of service'!AB344</f>
        <v>4.62</v>
      </c>
      <c r="F16" s="585">
        <f>'Quality of service'!AC344*(Inputs!$H$7/Inputs!$J$7)</f>
        <v>0.10507111338535806</v>
      </c>
      <c r="G16" s="436"/>
      <c r="H16" s="466" t="str">
        <f>Inputs!B13</f>
        <v>ENWL</v>
      </c>
      <c r="I16" s="467">
        <v>0</v>
      </c>
      <c r="J16" s="467">
        <f>'Quality of service'!AB340</f>
        <v>4.53</v>
      </c>
      <c r="K16" s="467">
        <v>4.5</v>
      </c>
      <c r="L16" s="467">
        <v>4.0999999999999996</v>
      </c>
      <c r="N16" s="436"/>
      <c r="O16" s="436"/>
      <c r="P16" s="436"/>
      <c r="Q16" s="436"/>
    </row>
    <row r="17" spans="1:17" s="443" customFormat="1">
      <c r="B17" s="444">
        <f>'Quality of service'!AA339</f>
        <v>4</v>
      </c>
      <c r="C17" s="480" t="s">
        <v>274</v>
      </c>
      <c r="D17" s="444" t="s">
        <v>3</v>
      </c>
      <c r="E17" s="482">
        <f>'Quality of service'!AB339</f>
        <v>4.5599999999999996</v>
      </c>
      <c r="F17" s="585">
        <f>'Quality of service'!AC339*(Inputs!$H$7/Inputs!$J$7)</f>
        <v>0.14418235489286313</v>
      </c>
      <c r="G17" s="436"/>
      <c r="H17" s="466" t="str">
        <f>Inputs!B14</f>
        <v>CE NEDL</v>
      </c>
      <c r="I17" s="467">
        <v>0</v>
      </c>
      <c r="J17" s="467">
        <f>'Quality of service'!AB341</f>
        <v>4.5599999999999996</v>
      </c>
      <c r="K17" s="467">
        <v>4.5</v>
      </c>
      <c r="L17" s="467">
        <v>4.0999999999999996</v>
      </c>
      <c r="N17" s="436"/>
      <c r="O17" s="436"/>
      <c r="P17" s="436"/>
      <c r="Q17" s="436"/>
    </row>
    <row r="18" spans="1:17" s="443" customFormat="1">
      <c r="B18" s="444">
        <f>'Quality of service'!AA341</f>
        <v>4</v>
      </c>
      <c r="C18" s="480" t="s">
        <v>284</v>
      </c>
      <c r="D18" s="444" t="s">
        <v>1</v>
      </c>
      <c r="E18" s="482">
        <f>'Quality of service'!AB341</f>
        <v>4.5599999999999996</v>
      </c>
      <c r="F18" s="585">
        <f>'Quality of service'!AC341*(Inputs!$H$7/Inputs!$J$7)</f>
        <v>8.9761150432905182E-2</v>
      </c>
      <c r="G18" s="436"/>
      <c r="H18" s="466" t="str">
        <f>Inputs!B15</f>
        <v>CE YEDL</v>
      </c>
      <c r="I18" s="467">
        <v>0</v>
      </c>
      <c r="J18" s="467">
        <f>'Quality of service'!AB342</f>
        <v>4.49</v>
      </c>
      <c r="K18" s="467">
        <v>4.5</v>
      </c>
      <c r="L18" s="467">
        <v>4.0999999999999996</v>
      </c>
      <c r="N18" s="436"/>
      <c r="O18" s="436"/>
      <c r="P18" s="436"/>
      <c r="Q18" s="436"/>
    </row>
    <row r="19" spans="1:17" s="443" customFormat="1">
      <c r="B19" s="444">
        <f>'Quality of service'!AA338</f>
        <v>6</v>
      </c>
      <c r="C19" s="480" t="s">
        <v>275</v>
      </c>
      <c r="D19" s="444" t="s">
        <v>4</v>
      </c>
      <c r="E19" s="482">
        <f>'Quality of service'!AB338</f>
        <v>4.53</v>
      </c>
      <c r="F19" s="585">
        <f>'Quality of service'!AC338*(Inputs!$H$7/Inputs!$J$7)</f>
        <v>0.14134338741073357</v>
      </c>
      <c r="G19" s="436"/>
      <c r="H19" s="466" t="str">
        <f>Inputs!B16</f>
        <v>WPD S Wales</v>
      </c>
      <c r="I19" s="467">
        <v>0</v>
      </c>
      <c r="J19" s="467">
        <f>'Quality of service'!AB343</f>
        <v>4.71</v>
      </c>
      <c r="K19" s="467">
        <v>4.5</v>
      </c>
      <c r="L19" s="467">
        <v>4.0999999999999996</v>
      </c>
      <c r="N19" s="436"/>
      <c r="O19" s="436"/>
      <c r="P19" s="436"/>
      <c r="Q19" s="436"/>
    </row>
    <row r="20" spans="1:17" s="443" customFormat="1">
      <c r="B20" s="444">
        <f>'Quality of service'!AA340</f>
        <v>6</v>
      </c>
      <c r="C20" s="480" t="s">
        <v>283</v>
      </c>
      <c r="D20" s="444" t="s">
        <v>5</v>
      </c>
      <c r="E20" s="482">
        <f>'Quality of service'!AB340</f>
        <v>4.53</v>
      </c>
      <c r="F20" s="585">
        <f>'Quality of service'!AC340*(Inputs!$H$7/Inputs!$J$7)</f>
        <v>0.12954868285791687</v>
      </c>
      <c r="G20" s="436"/>
      <c r="H20" s="466" t="str">
        <f>Inputs!B17</f>
        <v>WPD S West</v>
      </c>
      <c r="I20" s="467">
        <v>0</v>
      </c>
      <c r="J20" s="467">
        <f>'Quality of service'!AB344</f>
        <v>4.62</v>
      </c>
      <c r="K20" s="467">
        <v>4.5</v>
      </c>
      <c r="L20" s="467">
        <v>4.0999999999999996</v>
      </c>
      <c r="N20" s="436"/>
      <c r="O20" s="436"/>
      <c r="P20" s="436"/>
      <c r="Q20" s="436"/>
    </row>
    <row r="21" spans="1:17" s="443" customFormat="1">
      <c r="B21" s="444">
        <f>'Quality of service'!AA342</f>
        <v>8</v>
      </c>
      <c r="C21" s="480" t="s">
        <v>285</v>
      </c>
      <c r="D21" s="444" t="s">
        <v>2</v>
      </c>
      <c r="E21" s="482">
        <f>'Quality of service'!AB342</f>
        <v>4.49</v>
      </c>
      <c r="F21" s="585">
        <f>'Quality of service'!AC342*(Inputs!$H$7/Inputs!$J$7)</f>
        <v>0</v>
      </c>
      <c r="G21" s="436"/>
      <c r="H21" s="466" t="str">
        <f>Inputs!B18</f>
        <v>UKPN LPN</v>
      </c>
      <c r="I21" s="467">
        <v>0</v>
      </c>
      <c r="J21" s="467">
        <f>'Quality of service'!AB345</f>
        <v>4.1100000000000003</v>
      </c>
      <c r="K21" s="467">
        <v>4.5</v>
      </c>
      <c r="L21" s="467">
        <v>4.0999999999999996</v>
      </c>
      <c r="N21" s="436"/>
      <c r="O21" s="436"/>
      <c r="P21" s="436"/>
      <c r="Q21" s="436"/>
    </row>
    <row r="22" spans="1:17" s="443" customFormat="1">
      <c r="B22" s="444">
        <f>'Quality of service'!AA351</f>
        <v>9</v>
      </c>
      <c r="C22" s="480" t="s">
        <v>279</v>
      </c>
      <c r="D22" s="444" t="s">
        <v>7</v>
      </c>
      <c r="E22" s="482">
        <f>'Quality of service'!AB351</f>
        <v>4.4800000000000004</v>
      </c>
      <c r="F22" s="585">
        <f>'Quality of service'!AC351*(Inputs!$H$7/Inputs!$J$7)</f>
        <v>0</v>
      </c>
      <c r="G22" s="436"/>
      <c r="H22" s="466" t="str">
        <f>Inputs!B19</f>
        <v>UKPN SEPN</v>
      </c>
      <c r="I22" s="467">
        <v>0</v>
      </c>
      <c r="J22" s="467">
        <f>'Quality of service'!AB346</f>
        <v>4.18</v>
      </c>
      <c r="K22" s="467">
        <v>4.5</v>
      </c>
      <c r="L22" s="467">
        <v>4.0999999999999996</v>
      </c>
      <c r="N22" s="436"/>
      <c r="O22" s="436"/>
      <c r="P22" s="436"/>
      <c r="Q22" s="436"/>
    </row>
    <row r="23" spans="1:17" s="443" customFormat="1">
      <c r="B23" s="444">
        <f>'Quality of service'!AA349</f>
        <v>10</v>
      </c>
      <c r="C23" s="480" t="s">
        <v>276</v>
      </c>
      <c r="D23" s="444" t="s">
        <v>9</v>
      </c>
      <c r="E23" s="482">
        <f>'Quality of service'!AB349</f>
        <v>4.47</v>
      </c>
      <c r="F23" s="585">
        <f>'Quality of service'!AC349*(Inputs!$H$7/Inputs!$J$7)</f>
        <v>0</v>
      </c>
      <c r="G23" s="436"/>
      <c r="H23" s="466" t="str">
        <f>Inputs!B20</f>
        <v>UKPN EPN</v>
      </c>
      <c r="I23" s="467">
        <v>0</v>
      </c>
      <c r="J23" s="467">
        <f>'Quality of service'!AB347</f>
        <v>4.22</v>
      </c>
      <c r="K23" s="467">
        <v>4.5</v>
      </c>
      <c r="L23" s="467">
        <v>4.0999999999999996</v>
      </c>
      <c r="N23" s="436"/>
      <c r="O23" s="436"/>
      <c r="P23" s="436"/>
      <c r="Q23" s="436"/>
    </row>
    <row r="24" spans="1:17" s="443" customFormat="1">
      <c r="B24" s="444">
        <f>'Quality of service'!AA348</f>
        <v>11</v>
      </c>
      <c r="C24" s="480" t="s">
        <v>277</v>
      </c>
      <c r="D24" s="444" t="s">
        <v>8</v>
      </c>
      <c r="E24" s="482">
        <f>'Quality of service'!AB348</f>
        <v>4.33</v>
      </c>
      <c r="F24" s="585">
        <f>'Quality of service'!AC348*(Inputs!$H$7/Inputs!$J$7)</f>
        <v>0</v>
      </c>
      <c r="G24" s="436"/>
      <c r="H24" s="466" t="str">
        <f>Inputs!B21</f>
        <v>SP Distribution</v>
      </c>
      <c r="I24" s="467">
        <v>0</v>
      </c>
      <c r="J24" s="467">
        <f>'Quality of service'!AB348</f>
        <v>4.33</v>
      </c>
      <c r="K24" s="467">
        <v>4.5</v>
      </c>
      <c r="L24" s="467">
        <v>4.0999999999999996</v>
      </c>
      <c r="N24" s="436"/>
      <c r="O24" s="436"/>
      <c r="P24" s="436"/>
      <c r="Q24" s="436"/>
    </row>
    <row r="25" spans="1:17" s="443" customFormat="1">
      <c r="B25" s="444">
        <f>'Quality of service'!AA347</f>
        <v>12</v>
      </c>
      <c r="C25" s="480" t="s">
        <v>280</v>
      </c>
      <c r="D25" s="444" t="s">
        <v>259</v>
      </c>
      <c r="E25" s="482">
        <f>'Quality of service'!AB347</f>
        <v>4.22</v>
      </c>
      <c r="F25" s="585">
        <f>'Quality of service'!AC347*(Inputs!$H$7/Inputs!$J$7)</f>
        <v>0</v>
      </c>
      <c r="G25" s="436"/>
      <c r="H25" s="466" t="str">
        <f>Inputs!B22</f>
        <v>SP Manweb</v>
      </c>
      <c r="I25" s="467">
        <v>0</v>
      </c>
      <c r="J25" s="467">
        <f>'Quality of service'!AB349</f>
        <v>4.47</v>
      </c>
      <c r="K25" s="467">
        <v>4.5</v>
      </c>
      <c r="L25" s="467">
        <v>4.0999999999999996</v>
      </c>
      <c r="M25" s="436"/>
    </row>
    <row r="26" spans="1:17">
      <c r="A26" s="443"/>
      <c r="B26" s="444">
        <f>'Quality of service'!AA346</f>
        <v>13</v>
      </c>
      <c r="C26" s="480" t="s">
        <v>286</v>
      </c>
      <c r="D26" s="444" t="s">
        <v>258</v>
      </c>
      <c r="E26" s="482">
        <f>'Quality of service'!AB346</f>
        <v>4.18</v>
      </c>
      <c r="F26" s="585">
        <f>'Quality of service'!AC346*(Inputs!$H$7/Inputs!$J$7)</f>
        <v>0</v>
      </c>
      <c r="H26" s="466" t="str">
        <f>Inputs!B23</f>
        <v>SSE Hydro</v>
      </c>
      <c r="I26" s="467">
        <v>0</v>
      </c>
      <c r="J26" s="467">
        <f>'Quality of service'!AB350</f>
        <v>4.63</v>
      </c>
      <c r="K26" s="467">
        <v>4.5</v>
      </c>
      <c r="L26" s="467">
        <v>4.0999999999999996</v>
      </c>
      <c r="M26" s="443"/>
      <c r="P26" s="443"/>
    </row>
    <row r="27" spans="1:17" s="443" customFormat="1">
      <c r="B27" s="731">
        <f>'Quality of service'!AA345</f>
        <v>14</v>
      </c>
      <c r="C27" s="732" t="s">
        <v>278</v>
      </c>
      <c r="D27" s="731" t="s">
        <v>257</v>
      </c>
      <c r="E27" s="733">
        <f>'Quality of service'!AB345</f>
        <v>4.1100000000000003</v>
      </c>
      <c r="F27" s="734">
        <f>'Quality of service'!AC345*(Inputs!$H$7/Inputs!$J$7)</f>
        <v>0</v>
      </c>
      <c r="G27" s="436"/>
      <c r="H27" s="735" t="str">
        <f>Inputs!B24</f>
        <v>SSE Southern</v>
      </c>
      <c r="I27" s="736">
        <v>0</v>
      </c>
      <c r="J27" s="736">
        <f>'Quality of service'!AB351</f>
        <v>4.4800000000000004</v>
      </c>
      <c r="K27" s="736">
        <v>4.5</v>
      </c>
      <c r="L27" s="736">
        <v>4.0999999999999996</v>
      </c>
      <c r="N27" s="436"/>
      <c r="O27" s="436"/>
    </row>
    <row r="28" spans="1:17" s="443" customFormat="1">
      <c r="B28" s="444"/>
      <c r="H28" s="436"/>
      <c r="I28" s="436"/>
      <c r="J28" s="436"/>
      <c r="K28" s="436"/>
      <c r="L28" s="436"/>
      <c r="M28" s="436"/>
      <c r="N28" s="436"/>
      <c r="O28" s="436"/>
      <c r="P28" s="436"/>
    </row>
    <row r="29" spans="1:17">
      <c r="D29" s="469" t="s">
        <v>281</v>
      </c>
      <c r="E29" s="468">
        <f>COUNTIF(E14:E27,"&gt;4.46")</f>
        <v>10</v>
      </c>
    </row>
    <row r="30" spans="1:17">
      <c r="A30" s="443"/>
      <c r="B30" s="443"/>
    </row>
    <row r="31" spans="1:17">
      <c r="A31" s="443"/>
      <c r="B31" s="465" t="s">
        <v>363</v>
      </c>
    </row>
    <row r="32" spans="1:17" ht="14.25" customHeight="1">
      <c r="B32" s="465"/>
    </row>
    <row r="33" spans="2:5">
      <c r="B33" s="2" t="s">
        <v>485</v>
      </c>
    </row>
    <row r="34" spans="2:5">
      <c r="B34" s="465"/>
    </row>
    <row r="35" spans="2:5">
      <c r="B35" s="558" t="s">
        <v>84</v>
      </c>
      <c r="C35" s="558"/>
      <c r="D35" s="728" t="s">
        <v>85</v>
      </c>
      <c r="E35" s="559"/>
    </row>
    <row r="36" spans="2:5">
      <c r="B36" s="443" t="s">
        <v>19</v>
      </c>
      <c r="C36" s="443" t="s">
        <v>365</v>
      </c>
      <c r="D36" s="729" t="s">
        <v>19</v>
      </c>
      <c r="E36" s="443" t="s">
        <v>365</v>
      </c>
    </row>
    <row r="37" spans="2:5">
      <c r="B37" s="443" t="str">
        <f>Inputs!B13</f>
        <v>ENWL</v>
      </c>
      <c r="C37" s="445">
        <f>'Quality of service'!AC361</f>
        <v>2.990881307169293</v>
      </c>
      <c r="D37" s="729" t="str">
        <f>Inputs!B11</f>
        <v>CN West</v>
      </c>
      <c r="E37" s="445">
        <f>'Quality of service'!AC359</f>
        <v>22.508333333333336</v>
      </c>
    </row>
    <row r="38" spans="2:5">
      <c r="B38" s="443" t="str">
        <f>Inputs!B14</f>
        <v>CE NEDL</v>
      </c>
      <c r="C38" s="445">
        <f>'Quality of service'!AC362</f>
        <v>14</v>
      </c>
      <c r="D38" s="729" t="str">
        <f>Inputs!B12</f>
        <v>CN East</v>
      </c>
      <c r="E38" s="445">
        <f>'Quality of service'!AC360</f>
        <v>20.294166666666666</v>
      </c>
    </row>
    <row r="39" spans="2:5">
      <c r="B39" s="443" t="str">
        <f>Inputs!B15</f>
        <v>CE YEDL</v>
      </c>
      <c r="C39" s="445">
        <f>'Quality of service'!AC363</f>
        <v>12.416666666666666</v>
      </c>
      <c r="D39" s="729"/>
      <c r="E39" s="443"/>
    </row>
    <row r="40" spans="2:5">
      <c r="B40" s="443" t="str">
        <f>Inputs!B16</f>
        <v>WPD S Wales</v>
      </c>
      <c r="C40" s="445">
        <f>'Quality of service'!AC364</f>
        <v>1.2908333333333335</v>
      </c>
      <c r="D40" s="729"/>
      <c r="E40" s="443"/>
    </row>
    <row r="41" spans="2:5">
      <c r="B41" s="443" t="str">
        <f>Inputs!B17</f>
        <v>WPD S West</v>
      </c>
      <c r="C41" s="445">
        <f>'Quality of service'!AC365</f>
        <v>1.4175000000000002</v>
      </c>
      <c r="D41" s="729"/>
      <c r="E41" s="443"/>
    </row>
    <row r="42" spans="2:5">
      <c r="B42" s="443" t="str">
        <f>Inputs!B18</f>
        <v>UKPN LPN</v>
      </c>
      <c r="C42" s="445">
        <f>'Quality of service'!AC366</f>
        <v>69.466943872022611</v>
      </c>
      <c r="D42" s="729"/>
      <c r="E42" s="443"/>
    </row>
    <row r="43" spans="2:5">
      <c r="B43" s="443" t="str">
        <f>Inputs!B19</f>
        <v>UKPN SEPN</v>
      </c>
      <c r="C43" s="445">
        <f>'Quality of service'!AC367</f>
        <v>72.279068705604558</v>
      </c>
      <c r="D43" s="729"/>
      <c r="E43" s="443"/>
    </row>
    <row r="44" spans="2:5">
      <c r="B44" s="443" t="str">
        <f>Inputs!B20</f>
        <v>UKPN EPN</v>
      </c>
      <c r="C44" s="445">
        <f>'Quality of service'!AC368</f>
        <v>60.124301689163168</v>
      </c>
      <c r="D44" s="729"/>
      <c r="E44" s="443"/>
    </row>
    <row r="45" spans="2:5">
      <c r="B45" s="443" t="str">
        <f>Inputs!B21</f>
        <v>SP Distribution</v>
      </c>
      <c r="C45" s="445">
        <f>'Quality of service'!AC369</f>
        <v>19.681679673551574</v>
      </c>
      <c r="D45" s="729"/>
      <c r="E45" s="443"/>
    </row>
    <row r="46" spans="2:5">
      <c r="B46" s="443" t="str">
        <f>Inputs!B22</f>
        <v>SP Manweb</v>
      </c>
      <c r="C46" s="445">
        <f>'Quality of service'!AC370</f>
        <v>17.638569240999384</v>
      </c>
      <c r="D46" s="729"/>
      <c r="E46" s="443"/>
    </row>
    <row r="47" spans="2:5">
      <c r="B47" s="443" t="str">
        <f>Inputs!B23</f>
        <v>SSE Hydro</v>
      </c>
      <c r="C47" s="445">
        <f>'Quality of service'!AC371</f>
        <v>22.583333333333332</v>
      </c>
      <c r="D47" s="729"/>
      <c r="E47" s="443"/>
    </row>
    <row r="48" spans="2:5">
      <c r="B48" s="443" t="str">
        <f>Inputs!B24</f>
        <v>SSE Southern</v>
      </c>
      <c r="C48" s="445">
        <f>'Quality of service'!AC372</f>
        <v>20.815122131693862</v>
      </c>
      <c r="D48" s="729"/>
      <c r="E48" s="443"/>
    </row>
    <row r="49" spans="2:5">
      <c r="B49" s="726" t="s">
        <v>364</v>
      </c>
      <c r="C49" s="727">
        <f>AVERAGE(C37:C48)</f>
        <v>26.225408329461477</v>
      </c>
      <c r="D49" s="730"/>
      <c r="E49" s="727">
        <f t="shared" ref="E49" si="1">AVERAGE(E37:E48)</f>
        <v>21.401250000000001</v>
      </c>
    </row>
    <row r="50" spans="2:5">
      <c r="B50" s="443"/>
      <c r="C50" s="445"/>
      <c r="D50" s="443"/>
      <c r="E50" s="443"/>
    </row>
    <row r="51" spans="2:5">
      <c r="B51" s="465" t="s">
        <v>425</v>
      </c>
    </row>
    <row r="52" spans="2:5">
      <c r="B52" s="465"/>
    </row>
    <row r="53" spans="2:5">
      <c r="B53" s="2" t="s">
        <v>487</v>
      </c>
    </row>
    <row r="55" spans="2:5" ht="33.75">
      <c r="B55" s="621"/>
      <c r="C55" s="621" t="s">
        <v>282</v>
      </c>
      <c r="D55" s="621" t="s">
        <v>91</v>
      </c>
      <c r="E55" s="621" t="s">
        <v>92</v>
      </c>
    </row>
    <row r="56" spans="2:5" ht="23.25">
      <c r="B56" s="614" t="s">
        <v>417</v>
      </c>
      <c r="C56" s="615" t="s">
        <v>418</v>
      </c>
      <c r="D56" s="615" t="s">
        <v>418</v>
      </c>
      <c r="E56" s="616">
        <v>175000</v>
      </c>
    </row>
    <row r="57" spans="2:5" ht="23.25">
      <c r="B57" s="614" t="s">
        <v>419</v>
      </c>
      <c r="C57" s="615" t="s">
        <v>418</v>
      </c>
      <c r="D57" s="615" t="s">
        <v>418</v>
      </c>
      <c r="E57" s="615" t="s">
        <v>418</v>
      </c>
    </row>
    <row r="58" spans="2:5">
      <c r="B58" s="614" t="s">
        <v>420</v>
      </c>
      <c r="C58" s="615" t="s">
        <v>418</v>
      </c>
      <c r="D58" s="616">
        <v>100000</v>
      </c>
      <c r="E58" s="615" t="s">
        <v>418</v>
      </c>
    </row>
    <row r="59" spans="2:5" ht="34.5">
      <c r="B59" s="614" t="s">
        <v>421</v>
      </c>
      <c r="C59" s="615" t="s">
        <v>418</v>
      </c>
      <c r="D59" s="615" t="s">
        <v>418</v>
      </c>
      <c r="E59" s="616">
        <v>225000</v>
      </c>
    </row>
    <row r="60" spans="2:5" ht="23.25">
      <c r="B60" s="614" t="s">
        <v>422</v>
      </c>
      <c r="C60" s="615" t="s">
        <v>418</v>
      </c>
      <c r="D60" s="615" t="s">
        <v>418</v>
      </c>
      <c r="E60" s="615" t="s">
        <v>418</v>
      </c>
    </row>
    <row r="61" spans="2:5">
      <c r="B61" s="614" t="s">
        <v>423</v>
      </c>
      <c r="C61" s="615" t="s">
        <v>418</v>
      </c>
      <c r="D61" s="615" t="s">
        <v>418</v>
      </c>
      <c r="E61" s="615" t="s">
        <v>418</v>
      </c>
    </row>
    <row r="62" spans="2:5" ht="34.5">
      <c r="B62" s="614" t="s">
        <v>424</v>
      </c>
      <c r="C62" s="615" t="s">
        <v>418</v>
      </c>
      <c r="D62" s="615" t="s">
        <v>418</v>
      </c>
      <c r="E62" s="616">
        <v>100000</v>
      </c>
    </row>
    <row r="63" spans="2:5">
      <c r="B63" s="622" t="s">
        <v>93</v>
      </c>
      <c r="C63" s="623" t="s">
        <v>418</v>
      </c>
      <c r="D63" s="624">
        <v>100000</v>
      </c>
      <c r="E63" s="624">
        <v>500000</v>
      </c>
    </row>
    <row r="64" spans="2:5">
      <c r="B64" s="618" t="s">
        <v>78</v>
      </c>
      <c r="C64" s="619"/>
      <c r="D64" s="619"/>
      <c r="E64" s="620">
        <v>600000</v>
      </c>
    </row>
    <row r="65" spans="2:5">
      <c r="B65" s="617"/>
      <c r="C65" s="617"/>
      <c r="D65" s="617"/>
      <c r="E65" s="617"/>
    </row>
    <row r="66" spans="2:5">
      <c r="B66" s="617"/>
      <c r="C66" s="617"/>
      <c r="D66" s="617"/>
      <c r="E66" s="617"/>
    </row>
  </sheetData>
  <pageMargins left="0.74803149606299213" right="0.74803149606299213" top="0.98425196850393704" bottom="0.98425196850393704" header="0.51181102362204722" footer="0.51181102362204722"/>
  <pageSetup paperSize="9" scale="32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">
    <tabColor theme="6"/>
  </sheetPr>
  <dimension ref="A1:V47"/>
  <sheetViews>
    <sheetView zoomScale="75" zoomScaleNormal="75" workbookViewId="0">
      <selection activeCell="A2" sqref="A2"/>
    </sheetView>
  </sheetViews>
  <sheetFormatPr defaultRowHeight="12.75"/>
  <cols>
    <col min="1" max="1" width="1.625" customWidth="1"/>
    <col min="2" max="2" width="12.625" customWidth="1"/>
  </cols>
  <sheetData>
    <row r="1" spans="1:22">
      <c r="A1" s="2" t="s">
        <v>440</v>
      </c>
    </row>
    <row r="2" spans="1:22">
      <c r="A2" s="2"/>
    </row>
    <row r="3" spans="1:22">
      <c r="A3" s="2" t="s">
        <v>251</v>
      </c>
    </row>
    <row r="4" spans="1:22">
      <c r="A4" s="2"/>
    </row>
    <row r="5" spans="1:22">
      <c r="A5" s="2"/>
      <c r="B5" s="510" t="s">
        <v>343</v>
      </c>
      <c r="N5" s="510" t="s">
        <v>322</v>
      </c>
      <c r="O5" s="449"/>
      <c r="P5" s="449"/>
      <c r="Q5" s="449"/>
      <c r="R5" s="449"/>
      <c r="S5" s="449"/>
      <c r="T5" s="449"/>
      <c r="U5" s="449"/>
      <c r="V5" s="449"/>
    </row>
    <row r="6" spans="1:22">
      <c r="A6" s="2"/>
      <c r="B6" s="510"/>
      <c r="N6" s="510"/>
      <c r="O6" s="449"/>
      <c r="P6" s="449"/>
      <c r="Q6" s="449"/>
      <c r="R6" s="449"/>
      <c r="S6" s="449"/>
      <c r="T6" s="449"/>
      <c r="U6" s="449"/>
      <c r="V6" s="449"/>
    </row>
    <row r="7" spans="1:22">
      <c r="A7" s="2"/>
      <c r="B7" s="2" t="s">
        <v>488</v>
      </c>
      <c r="N7" s="2" t="s">
        <v>489</v>
      </c>
      <c r="O7" s="449"/>
      <c r="P7" s="449"/>
      <c r="Q7" s="449"/>
      <c r="R7" s="449"/>
      <c r="S7" s="449"/>
      <c r="T7" s="449"/>
      <c r="U7" s="449"/>
      <c r="V7" s="449"/>
    </row>
    <row r="8" spans="1:22">
      <c r="A8" s="2"/>
      <c r="N8" s="449"/>
      <c r="O8" s="449"/>
      <c r="P8" s="449"/>
      <c r="Q8" s="449"/>
      <c r="R8" s="449"/>
      <c r="S8" s="449"/>
      <c r="T8" s="449"/>
      <c r="U8" s="449"/>
      <c r="V8" s="449"/>
    </row>
    <row r="9" spans="1:22" ht="25.5">
      <c r="A9" s="2"/>
      <c r="B9" s="532" t="s">
        <v>505</v>
      </c>
      <c r="C9" s="543" t="s">
        <v>341</v>
      </c>
      <c r="D9" s="543" t="s">
        <v>342</v>
      </c>
      <c r="E9" s="543" t="s">
        <v>509</v>
      </c>
      <c r="F9" s="543" t="s">
        <v>510</v>
      </c>
      <c r="G9" s="543" t="s">
        <v>511</v>
      </c>
      <c r="H9" s="543" t="s">
        <v>512</v>
      </c>
      <c r="I9" s="543" t="s">
        <v>513</v>
      </c>
      <c r="J9" s="543" t="s">
        <v>514</v>
      </c>
      <c r="K9" s="543" t="s">
        <v>515</v>
      </c>
      <c r="L9" s="543" t="s">
        <v>516</v>
      </c>
      <c r="M9" s="2"/>
      <c r="N9" s="449"/>
      <c r="O9" s="449"/>
      <c r="P9" s="449"/>
      <c r="Q9" s="449"/>
      <c r="R9" s="449"/>
      <c r="S9" s="449"/>
      <c r="T9" s="449"/>
      <c r="U9" s="449"/>
      <c r="V9" s="449"/>
    </row>
    <row r="10" spans="1:22">
      <c r="B10" s="544" t="s">
        <v>103</v>
      </c>
      <c r="C10" s="538">
        <v>281473</v>
      </c>
      <c r="D10" s="539">
        <v>0</v>
      </c>
      <c r="E10" s="540">
        <v>280402</v>
      </c>
      <c r="F10" s="540">
        <v>527</v>
      </c>
      <c r="G10" s="540">
        <v>294161</v>
      </c>
      <c r="H10" s="540">
        <v>308</v>
      </c>
      <c r="I10" s="540">
        <v>222693</v>
      </c>
      <c r="J10" s="540">
        <v>0</v>
      </c>
      <c r="K10" s="540">
        <v>159877</v>
      </c>
      <c r="L10" s="540">
        <v>1350</v>
      </c>
      <c r="M10" s="2"/>
    </row>
    <row r="11" spans="1:22">
      <c r="B11" s="545"/>
      <c r="C11" s="541">
        <f>C10/C18</f>
        <v>0.86731436459662159</v>
      </c>
      <c r="D11" s="541">
        <f>D10/C18</f>
        <v>0</v>
      </c>
      <c r="E11" s="541">
        <f>E10/E18</f>
        <v>0.8732979531835906</v>
      </c>
      <c r="F11" s="541">
        <f>F10/E18</f>
        <v>1.6413150452841002E-3</v>
      </c>
      <c r="G11" s="541">
        <f>G10/G18</f>
        <v>0.86967100672887032</v>
      </c>
      <c r="H11" s="541">
        <f>H10/G18</f>
        <v>9.1058525797944683E-4</v>
      </c>
      <c r="I11" s="541">
        <f>I10/I18</f>
        <v>0.85797008761047622</v>
      </c>
      <c r="J11" s="541">
        <f>J10/I18</f>
        <v>0</v>
      </c>
      <c r="K11" s="541">
        <f>K10/K18</f>
        <v>0.84766817950458095</v>
      </c>
      <c r="L11" s="541">
        <f>L10/K18</f>
        <v>7.1577027485578556E-3</v>
      </c>
      <c r="M11" s="2"/>
    </row>
    <row r="12" spans="1:22" ht="38.25">
      <c r="B12" s="544" t="s">
        <v>506</v>
      </c>
      <c r="C12" s="538">
        <v>27989</v>
      </c>
      <c r="D12" s="539">
        <v>1588</v>
      </c>
      <c r="E12" s="540">
        <v>22475</v>
      </c>
      <c r="F12" s="540">
        <v>4082</v>
      </c>
      <c r="G12" s="540">
        <v>19727</v>
      </c>
      <c r="H12" s="540">
        <v>3961</v>
      </c>
      <c r="I12" s="540">
        <v>11143</v>
      </c>
      <c r="J12" s="540">
        <v>12133</v>
      </c>
      <c r="K12" s="540">
        <v>4955</v>
      </c>
      <c r="L12" s="540">
        <v>15284</v>
      </c>
      <c r="M12" s="2"/>
    </row>
    <row r="13" spans="1:22">
      <c r="B13" s="545"/>
      <c r="C13" s="541">
        <f t="shared" ref="C13" si="0">C12/C18</f>
        <v>8.6243660140385911E-2</v>
      </c>
      <c r="D13" s="541">
        <f>D12/C18</f>
        <v>4.893169898993634E-3</v>
      </c>
      <c r="E13" s="541">
        <f>E12/E18</f>
        <v>6.9997259284174856E-2</v>
      </c>
      <c r="F13" s="541">
        <f>F12/E18</f>
        <v>1.2713184088898856E-2</v>
      </c>
      <c r="G13" s="541">
        <f>G12/G18</f>
        <v>5.8321803195326448E-2</v>
      </c>
      <c r="H13" s="541">
        <f>H12/G18</f>
        <v>1.171048119109282E-2</v>
      </c>
      <c r="I13" s="541">
        <f>I12/I18</f>
        <v>4.2930674454264559E-2</v>
      </c>
      <c r="J13" s="541">
        <f>J12/I18</f>
        <v>4.6744850861849763E-2</v>
      </c>
      <c r="K13" s="541">
        <f>K12/K18</f>
        <v>2.6271420088225313E-2</v>
      </c>
      <c r="L13" s="541">
        <f>L12/K18</f>
        <v>8.103579911774686E-2</v>
      </c>
      <c r="M13" s="2"/>
    </row>
    <row r="14" spans="1:22">
      <c r="B14" s="544" t="s">
        <v>507</v>
      </c>
      <c r="C14" s="538">
        <v>13430</v>
      </c>
      <c r="D14" s="539">
        <v>54</v>
      </c>
      <c r="E14" s="540">
        <v>13035</v>
      </c>
      <c r="F14" s="540">
        <v>563</v>
      </c>
      <c r="G14" s="540">
        <v>14108</v>
      </c>
      <c r="H14" s="540">
        <v>5979</v>
      </c>
      <c r="I14" s="540">
        <v>12911</v>
      </c>
      <c r="J14" s="540">
        <v>678</v>
      </c>
      <c r="K14" s="540">
        <v>6025</v>
      </c>
      <c r="L14" s="540">
        <v>1117</v>
      </c>
      <c r="M14" s="2"/>
    </row>
    <row r="15" spans="1:22">
      <c r="B15" s="545"/>
      <c r="C15" s="541">
        <f t="shared" ref="C15" si="1">C14/C18</f>
        <v>4.138241293670309E-2</v>
      </c>
      <c r="D15" s="541">
        <f>D14/C18</f>
        <v>1.6639242729575329E-4</v>
      </c>
      <c r="E15" s="541">
        <f>E14/E18</f>
        <v>4.0596853159920766E-2</v>
      </c>
      <c r="F15" s="541">
        <f>F14/E18</f>
        <v>1.7534352381308319E-3</v>
      </c>
      <c r="G15" s="541">
        <f>G14/G18</f>
        <v>4.170953512848713E-2</v>
      </c>
      <c r="H15" s="541">
        <f>H14/G18</f>
        <v>1.767658849824387E-2</v>
      </c>
      <c r="I15" s="541">
        <f>I14/I18</f>
        <v>4.9742254139729845E-2</v>
      </c>
      <c r="J15" s="541">
        <f>J14/I18</f>
        <v>2.612132933679563E-3</v>
      </c>
      <c r="K15" s="541">
        <f>K14/K18</f>
        <v>3.1944562266711912E-2</v>
      </c>
      <c r="L15" s="541">
        <f>L14/K18</f>
        <v>5.9223362741771292E-3</v>
      </c>
      <c r="M15" s="2"/>
    </row>
    <row r="16" spans="1:22">
      <c r="B16" s="544" t="s">
        <v>20</v>
      </c>
      <c r="C16" s="540">
        <f t="shared" ref="C16:L17" si="2">C10+C12+C14</f>
        <v>322892</v>
      </c>
      <c r="D16" s="540">
        <f t="shared" si="2"/>
        <v>1642</v>
      </c>
      <c r="E16" s="540">
        <f>E10+E12+E14</f>
        <v>315912</v>
      </c>
      <c r="F16" s="540">
        <f t="shared" si="2"/>
        <v>5172</v>
      </c>
      <c r="G16" s="540">
        <f t="shared" si="2"/>
        <v>327996</v>
      </c>
      <c r="H16" s="540">
        <f t="shared" si="2"/>
        <v>10248</v>
      </c>
      <c r="I16" s="540">
        <f t="shared" si="2"/>
        <v>246747</v>
      </c>
      <c r="J16" s="540">
        <f t="shared" si="2"/>
        <v>12811</v>
      </c>
      <c r="K16" s="540">
        <f t="shared" si="2"/>
        <v>170857</v>
      </c>
      <c r="L16" s="540">
        <f t="shared" si="2"/>
        <v>17751</v>
      </c>
      <c r="M16" s="2"/>
    </row>
    <row r="17" spans="2:22">
      <c r="B17" s="545"/>
      <c r="C17" s="542">
        <f>C11+C13+C15</f>
        <v>0.99494043767371054</v>
      </c>
      <c r="D17" s="542">
        <f t="shared" ref="D17" si="3">D11+D13+D15</f>
        <v>5.0595623262893871E-3</v>
      </c>
      <c r="E17" s="542">
        <f>E11+E13+E15</f>
        <v>0.98389206562768627</v>
      </c>
      <c r="F17" s="542">
        <f>F11+F13+F15</f>
        <v>1.6107934372313788E-2</v>
      </c>
      <c r="G17" s="542">
        <f t="shared" si="2"/>
        <v>0.96970234505268382</v>
      </c>
      <c r="H17" s="542">
        <f t="shared" si="2"/>
        <v>3.0297654947316136E-2</v>
      </c>
      <c r="I17" s="542">
        <f t="shared" si="2"/>
        <v>0.95064301620447067</v>
      </c>
      <c r="J17" s="542">
        <f t="shared" si="2"/>
        <v>4.9356983795529323E-2</v>
      </c>
      <c r="K17" s="542">
        <f t="shared" si="2"/>
        <v>0.90588416185951826</v>
      </c>
      <c r="L17" s="542">
        <f>L11+L13+L15</f>
        <v>9.4115838140481842E-2</v>
      </c>
      <c r="M17" s="2"/>
    </row>
    <row r="18" spans="2:22" ht="12.75" customHeight="1">
      <c r="B18" s="546" t="s">
        <v>508</v>
      </c>
      <c r="C18" s="536">
        <f t="shared" ref="C18" si="4">C16+D16</f>
        <v>324534</v>
      </c>
      <c r="D18" s="537"/>
      <c r="E18" s="536">
        <f>E16+F16</f>
        <v>321084</v>
      </c>
      <c r="F18" s="537"/>
      <c r="G18" s="536">
        <f>G16+H16</f>
        <v>338244</v>
      </c>
      <c r="H18" s="537"/>
      <c r="I18" s="536">
        <f>I16+J16</f>
        <v>259558</v>
      </c>
      <c r="J18" s="537"/>
      <c r="K18" s="536">
        <f>K16+L16</f>
        <v>188608</v>
      </c>
      <c r="L18" s="537"/>
      <c r="M18" s="2"/>
    </row>
    <row r="19" spans="2:22">
      <c r="B19" s="2"/>
      <c r="C19" s="2"/>
      <c r="D19" s="2"/>
      <c r="L19" s="2"/>
      <c r="M19" s="2"/>
    </row>
    <row r="20" spans="2:22" s="449" customFormat="1">
      <c r="C20" s="449" t="s">
        <v>297</v>
      </c>
      <c r="D20" t="s">
        <v>339</v>
      </c>
      <c r="E20" t="s">
        <v>340</v>
      </c>
      <c r="F20" t="s">
        <v>305</v>
      </c>
      <c r="G20" t="s">
        <v>330</v>
      </c>
      <c r="N20"/>
      <c r="O20"/>
      <c r="P20"/>
      <c r="Q20"/>
      <c r="R20"/>
      <c r="S20"/>
      <c r="T20"/>
      <c r="U20"/>
      <c r="V20"/>
    </row>
    <row r="21" spans="2:22" s="449" customFormat="1">
      <c r="B21" t="s">
        <v>470</v>
      </c>
      <c r="C21" s="547">
        <f>D17</f>
        <v>5.0595623262893871E-3</v>
      </c>
      <c r="D21" s="547">
        <f>F17</f>
        <v>1.6107934372313788E-2</v>
      </c>
      <c r="E21" s="547">
        <f>H17</f>
        <v>3.0297654947316136E-2</v>
      </c>
      <c r="F21" s="547">
        <f>J17</f>
        <v>4.9356983795529323E-2</v>
      </c>
      <c r="G21" s="547">
        <f>L17</f>
        <v>9.4115838140481842E-2</v>
      </c>
      <c r="N21"/>
      <c r="O21"/>
      <c r="P21"/>
      <c r="Q21"/>
      <c r="R21"/>
      <c r="S21"/>
      <c r="T21"/>
      <c r="U21"/>
      <c r="V21"/>
    </row>
    <row r="22" spans="2:22" s="449" customFormat="1">
      <c r="B22" t="s">
        <v>471</v>
      </c>
      <c r="C22" s="547">
        <f>C21+C15</f>
        <v>4.6441975262992478E-2</v>
      </c>
      <c r="D22" s="547">
        <f>D21+E15</f>
        <v>5.6704787532234555E-2</v>
      </c>
      <c r="E22" s="547">
        <f>E21+G15</f>
        <v>7.2007190075803265E-2</v>
      </c>
      <c r="F22" s="547">
        <f>F21+I15</f>
        <v>9.9099237935259168E-2</v>
      </c>
      <c r="G22" s="547">
        <f>G21+K15</f>
        <v>0.12606040040719374</v>
      </c>
      <c r="N22"/>
      <c r="O22"/>
      <c r="P22"/>
      <c r="Q22"/>
      <c r="R22"/>
      <c r="S22"/>
      <c r="T22"/>
      <c r="U22"/>
      <c r="V22"/>
    </row>
    <row r="23" spans="2:22" s="449" customFormat="1">
      <c r="B23" t="s">
        <v>469</v>
      </c>
      <c r="C23" s="547">
        <f>C11+C13</f>
        <v>0.95355802473700746</v>
      </c>
      <c r="D23" s="547">
        <f>E11+E13</f>
        <v>0.94329521246776549</v>
      </c>
      <c r="E23" s="547">
        <f>G11+G13</f>
        <v>0.92799280992419675</v>
      </c>
      <c r="F23" s="547">
        <f>I11+I13</f>
        <v>0.90090076206474079</v>
      </c>
      <c r="G23" s="547">
        <f>K11+K13</f>
        <v>0.87393959959280632</v>
      </c>
      <c r="H23"/>
      <c r="I23"/>
      <c r="J23"/>
      <c r="K23"/>
      <c r="L23"/>
      <c r="M23"/>
    </row>
    <row r="24" spans="2:22" s="449" customFormat="1">
      <c r="B24" s="709" t="s">
        <v>77</v>
      </c>
      <c r="C24" s="709">
        <f t="shared" ref="C24:F24" si="5">SUM(C22:C23)</f>
        <v>0.99999999999999989</v>
      </c>
      <c r="D24" s="709">
        <f t="shared" si="5"/>
        <v>1</v>
      </c>
      <c r="E24" s="709">
        <f t="shared" si="5"/>
        <v>1</v>
      </c>
      <c r="F24" s="709">
        <f t="shared" si="5"/>
        <v>1</v>
      </c>
      <c r="G24" s="709">
        <f>SUM(G22:G23)</f>
        <v>1</v>
      </c>
      <c r="N24"/>
      <c r="O24"/>
      <c r="P24"/>
      <c r="Q24"/>
      <c r="R24"/>
      <c r="S24"/>
      <c r="T24"/>
      <c r="U24"/>
      <c r="V24"/>
    </row>
    <row r="25" spans="2:22" s="449" customFormat="1">
      <c r="B25" s="510"/>
      <c r="C25" s="547"/>
      <c r="D25" s="547"/>
      <c r="E25" s="547"/>
      <c r="F25" s="547"/>
      <c r="G25" s="547"/>
      <c r="N25"/>
      <c r="O25"/>
      <c r="P25"/>
      <c r="Q25"/>
      <c r="R25"/>
      <c r="S25"/>
      <c r="T25"/>
      <c r="U25"/>
      <c r="V25"/>
    </row>
    <row r="26" spans="2:22" s="449" customFormat="1">
      <c r="B26" s="510" t="s">
        <v>414</v>
      </c>
      <c r="C26" s="547"/>
      <c r="D26" s="547"/>
      <c r="E26" s="547"/>
      <c r="F26" s="547"/>
      <c r="G26" s="547"/>
      <c r="N26"/>
      <c r="O26"/>
      <c r="P26"/>
      <c r="Q26"/>
      <c r="R26"/>
      <c r="S26"/>
      <c r="T26"/>
      <c r="U26"/>
      <c r="V26"/>
    </row>
    <row r="27" spans="2:22" s="449" customFormat="1">
      <c r="B27" s="510"/>
      <c r="C27" s="547"/>
      <c r="D27" s="547"/>
      <c r="E27" s="547"/>
      <c r="F27" s="547"/>
      <c r="G27" s="547"/>
      <c r="N27"/>
      <c r="O27"/>
      <c r="P27"/>
      <c r="Q27"/>
      <c r="R27"/>
      <c r="S27"/>
      <c r="T27"/>
      <c r="U27"/>
      <c r="V27"/>
    </row>
    <row r="28" spans="2:22" s="449" customFormat="1">
      <c r="B28" s="2" t="s">
        <v>490</v>
      </c>
      <c r="C28" s="547"/>
      <c r="D28" s="547"/>
      <c r="E28" s="547"/>
      <c r="F28" s="547"/>
      <c r="G28" s="547"/>
      <c r="N28"/>
      <c r="O28"/>
      <c r="P28"/>
      <c r="Q28"/>
      <c r="R28"/>
      <c r="S28"/>
      <c r="T28"/>
      <c r="U28"/>
      <c r="V28"/>
    </row>
    <row r="29" spans="2:22" s="449" customFormat="1">
      <c r="N29"/>
      <c r="O29"/>
      <c r="P29"/>
      <c r="Q29"/>
      <c r="R29"/>
      <c r="S29"/>
      <c r="T29"/>
      <c r="U29"/>
      <c r="V29"/>
    </row>
    <row r="30" spans="2:22" s="449" customFormat="1">
      <c r="B30" s="611"/>
      <c r="C30" s="812" t="s">
        <v>29</v>
      </c>
      <c r="D30" s="812"/>
      <c r="E30" s="812" t="s">
        <v>28</v>
      </c>
      <c r="F30" s="812"/>
      <c r="G30" s="812" t="s">
        <v>54</v>
      </c>
      <c r="H30" s="812"/>
      <c r="I30" s="812" t="s">
        <v>112</v>
      </c>
      <c r="J30" s="812"/>
    </row>
    <row r="31" spans="2:22" ht="32.25">
      <c r="B31" s="612" t="s">
        <v>415</v>
      </c>
      <c r="C31" s="611" t="s">
        <v>121</v>
      </c>
      <c r="D31" s="611" t="s">
        <v>122</v>
      </c>
      <c r="E31" s="611" t="s">
        <v>121</v>
      </c>
      <c r="F31" s="611" t="s">
        <v>122</v>
      </c>
      <c r="G31" s="611" t="s">
        <v>121</v>
      </c>
      <c r="H31" s="611" t="s">
        <v>122</v>
      </c>
      <c r="I31" s="611" t="s">
        <v>121</v>
      </c>
      <c r="J31" s="611" t="s">
        <v>122</v>
      </c>
    </row>
    <row r="32" spans="2:22">
      <c r="B32" s="613" t="s">
        <v>4</v>
      </c>
      <c r="C32" s="721">
        <v>16</v>
      </c>
      <c r="D32" s="722">
        <v>100</v>
      </c>
      <c r="E32" s="721">
        <v>41</v>
      </c>
      <c r="F32" s="722">
        <v>104</v>
      </c>
      <c r="G32" s="721">
        <v>0</v>
      </c>
      <c r="H32" s="721">
        <v>0</v>
      </c>
      <c r="I32" s="721">
        <v>27</v>
      </c>
      <c r="J32" s="721">
        <v>86</v>
      </c>
    </row>
    <row r="33" spans="2:10">
      <c r="B33" s="613" t="s">
        <v>3</v>
      </c>
      <c r="C33" s="721">
        <v>15</v>
      </c>
      <c r="D33" s="722">
        <v>108</v>
      </c>
      <c r="E33" s="721">
        <v>46</v>
      </c>
      <c r="F33" s="722">
        <v>127</v>
      </c>
      <c r="G33" s="721">
        <v>78</v>
      </c>
      <c r="H33" s="721">
        <v>78</v>
      </c>
      <c r="I33" s="721">
        <v>31</v>
      </c>
      <c r="J33" s="722">
        <v>109</v>
      </c>
    </row>
    <row r="34" spans="2:10">
      <c r="B34" s="613" t="s">
        <v>5</v>
      </c>
      <c r="C34" s="721">
        <v>14</v>
      </c>
      <c r="D34" s="722">
        <v>135</v>
      </c>
      <c r="E34" s="721">
        <v>32</v>
      </c>
      <c r="F34" s="723">
        <v>90</v>
      </c>
      <c r="G34" s="721">
        <v>54</v>
      </c>
      <c r="H34" s="721">
        <v>85</v>
      </c>
      <c r="I34" s="721">
        <v>44</v>
      </c>
      <c r="J34" s="723">
        <v>90</v>
      </c>
    </row>
    <row r="35" spans="2:10">
      <c r="B35" s="613" t="s">
        <v>1</v>
      </c>
      <c r="C35" s="721">
        <v>11</v>
      </c>
      <c r="D35" s="721">
        <v>89</v>
      </c>
      <c r="E35" s="721">
        <v>38</v>
      </c>
      <c r="F35" s="721">
        <v>88</v>
      </c>
      <c r="G35" s="721">
        <v>40</v>
      </c>
      <c r="H35" s="723">
        <v>90</v>
      </c>
      <c r="I35" s="721">
        <v>42</v>
      </c>
      <c r="J35" s="723">
        <v>90</v>
      </c>
    </row>
    <row r="36" spans="2:10">
      <c r="B36" s="613" t="s">
        <v>2</v>
      </c>
      <c r="C36" s="721">
        <v>8</v>
      </c>
      <c r="D36" s="721">
        <v>87</v>
      </c>
      <c r="E36" s="721">
        <v>25</v>
      </c>
      <c r="F36" s="721">
        <v>87</v>
      </c>
      <c r="G36" s="721">
        <v>47</v>
      </c>
      <c r="H36" s="723">
        <v>90</v>
      </c>
      <c r="I36" s="721">
        <v>33</v>
      </c>
      <c r="J36" s="721">
        <v>87</v>
      </c>
    </row>
    <row r="37" spans="2:10">
      <c r="B37" s="613" t="s">
        <v>13</v>
      </c>
      <c r="C37" s="721">
        <v>3</v>
      </c>
      <c r="D37" s="721">
        <v>17</v>
      </c>
      <c r="E37" s="721">
        <v>14</v>
      </c>
      <c r="F37" s="721">
        <v>89</v>
      </c>
      <c r="G37" s="721">
        <v>51</v>
      </c>
      <c r="H37" s="721">
        <v>59</v>
      </c>
      <c r="I37" s="721">
        <v>38</v>
      </c>
      <c r="J37" s="721">
        <v>89</v>
      </c>
    </row>
    <row r="38" spans="2:10">
      <c r="B38" s="613" t="s">
        <v>14</v>
      </c>
      <c r="C38" s="721">
        <v>4</v>
      </c>
      <c r="D38" s="721">
        <v>18</v>
      </c>
      <c r="E38" s="721">
        <v>53</v>
      </c>
      <c r="F38" s="723">
        <v>90</v>
      </c>
      <c r="G38" s="721">
        <v>35</v>
      </c>
      <c r="H38" s="721">
        <v>35</v>
      </c>
      <c r="I38" s="721">
        <v>73</v>
      </c>
      <c r="J38" s="723">
        <v>94</v>
      </c>
    </row>
    <row r="39" spans="2:10">
      <c r="B39" s="613" t="s">
        <v>257</v>
      </c>
      <c r="C39" s="721">
        <v>12</v>
      </c>
      <c r="D39" s="723">
        <v>91</v>
      </c>
      <c r="E39" s="721">
        <v>24</v>
      </c>
      <c r="F39" s="723">
        <v>91</v>
      </c>
      <c r="G39" s="721">
        <v>45</v>
      </c>
      <c r="H39" s="723">
        <v>90</v>
      </c>
      <c r="I39" s="721">
        <v>45</v>
      </c>
      <c r="J39" s="721">
        <v>73</v>
      </c>
    </row>
    <row r="40" spans="2:10">
      <c r="B40" s="613" t="s">
        <v>258</v>
      </c>
      <c r="C40" s="721">
        <v>17</v>
      </c>
      <c r="D40" s="723">
        <v>90</v>
      </c>
      <c r="E40" s="721">
        <v>32</v>
      </c>
      <c r="F40" s="721">
        <v>89</v>
      </c>
      <c r="G40" s="721">
        <v>51</v>
      </c>
      <c r="H40" s="723">
        <v>91</v>
      </c>
      <c r="I40" s="721">
        <v>47</v>
      </c>
      <c r="J40" s="723">
        <v>91</v>
      </c>
    </row>
    <row r="41" spans="2:10">
      <c r="B41" s="613" t="s">
        <v>259</v>
      </c>
      <c r="C41" s="721">
        <v>11</v>
      </c>
      <c r="D41" s="723">
        <v>90</v>
      </c>
      <c r="E41" s="721">
        <v>23</v>
      </c>
      <c r="F41" s="721">
        <v>89</v>
      </c>
      <c r="G41" s="721">
        <v>35</v>
      </c>
      <c r="H41" s="723">
        <v>91</v>
      </c>
      <c r="I41" s="721">
        <v>64</v>
      </c>
      <c r="J41" s="723">
        <v>91</v>
      </c>
    </row>
    <row r="42" spans="2:10">
      <c r="B42" s="613" t="s">
        <v>8</v>
      </c>
      <c r="C42" s="721">
        <v>14</v>
      </c>
      <c r="D42" s="721">
        <v>60</v>
      </c>
      <c r="E42" s="721">
        <v>32</v>
      </c>
      <c r="F42" s="721">
        <v>60</v>
      </c>
      <c r="G42" s="721">
        <v>0</v>
      </c>
      <c r="H42" s="721">
        <v>0</v>
      </c>
      <c r="I42" s="721">
        <v>40</v>
      </c>
      <c r="J42" s="721">
        <v>85</v>
      </c>
    </row>
    <row r="43" spans="2:10">
      <c r="B43" s="613" t="s">
        <v>9</v>
      </c>
      <c r="C43" s="721">
        <v>11</v>
      </c>
      <c r="D43" s="721">
        <v>15</v>
      </c>
      <c r="E43" s="721">
        <v>50</v>
      </c>
      <c r="F43" s="723">
        <v>90</v>
      </c>
      <c r="G43" s="721">
        <v>89</v>
      </c>
      <c r="H43" s="723">
        <v>91</v>
      </c>
      <c r="I43" s="721">
        <v>89</v>
      </c>
      <c r="J43" s="723">
        <v>92</v>
      </c>
    </row>
    <row r="44" spans="2:10">
      <c r="B44" s="613" t="s">
        <v>6</v>
      </c>
      <c r="C44" s="721">
        <v>4</v>
      </c>
      <c r="D44" s="722">
        <v>391</v>
      </c>
      <c r="E44" s="721">
        <v>32</v>
      </c>
      <c r="F44" s="722">
        <v>160</v>
      </c>
      <c r="G44" s="721">
        <v>0</v>
      </c>
      <c r="H44" s="721">
        <v>0</v>
      </c>
      <c r="I44" s="721">
        <v>78</v>
      </c>
      <c r="J44" s="722">
        <v>152</v>
      </c>
    </row>
    <row r="45" spans="2:10">
      <c r="B45" s="613" t="s">
        <v>7</v>
      </c>
      <c r="C45" s="721">
        <v>3</v>
      </c>
      <c r="D45" s="723">
        <v>90</v>
      </c>
      <c r="E45" s="721">
        <v>34</v>
      </c>
      <c r="F45" s="723">
        <v>90</v>
      </c>
      <c r="G45" s="723">
        <v>90</v>
      </c>
      <c r="H45" s="723">
        <v>90</v>
      </c>
      <c r="I45" s="723">
        <v>90</v>
      </c>
      <c r="J45" s="723">
        <v>90</v>
      </c>
    </row>
    <row r="47" spans="2:10">
      <c r="B47" s="510" t="s">
        <v>416</v>
      </c>
    </row>
  </sheetData>
  <mergeCells count="4">
    <mergeCell ref="C30:D30"/>
    <mergeCell ref="E30:F30"/>
    <mergeCell ref="G30:H30"/>
    <mergeCell ref="I30:J30"/>
  </mergeCells>
  <conditionalFormatting sqref="C32:J45">
    <cfRule type="cellIs" dxfId="27" priority="1" operator="greaterThan">
      <formula>94</formula>
    </cfRule>
    <cfRule type="cellIs" dxfId="26" priority="2" operator="lessThan">
      <formula>90</formula>
    </cfRule>
  </conditionalFormatting>
  <pageMargins left="0.7" right="0.7" top="0.75" bottom="0.75" header="0.3" footer="0.3"/>
  <pageSetup orientation="portrait" r:id="rId1"/>
  <ignoredErrors>
    <ignoredError sqref="F11:K11 F13:K13 F15:L15 E11 D11:D13 E13:E15 D15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6">
    <tabColor theme="6"/>
    <pageSetUpPr fitToPage="1"/>
  </sheetPr>
  <dimension ref="A1:R46"/>
  <sheetViews>
    <sheetView zoomScale="75" zoomScaleNormal="75" workbookViewId="0">
      <selection activeCell="A2" sqref="A2"/>
    </sheetView>
  </sheetViews>
  <sheetFormatPr defaultRowHeight="12.75"/>
  <cols>
    <col min="1" max="1" width="1.625" customWidth="1"/>
    <col min="11" max="11" width="13.5" bestFit="1" customWidth="1"/>
    <col min="12" max="18" width="15.625" customWidth="1"/>
  </cols>
  <sheetData>
    <row r="1" spans="1:18">
      <c r="A1" s="2" t="s">
        <v>440</v>
      </c>
    </row>
    <row r="2" spans="1:18">
      <c r="A2" s="2"/>
    </row>
    <row r="3" spans="1:18">
      <c r="A3" s="2" t="s">
        <v>321</v>
      </c>
    </row>
    <row r="5" spans="1:18">
      <c r="B5" s="510" t="s">
        <v>348</v>
      </c>
      <c r="K5" s="510" t="s">
        <v>410</v>
      </c>
    </row>
    <row r="6" spans="1:18">
      <c r="B6" s="510"/>
      <c r="K6" s="510"/>
    </row>
    <row r="7" spans="1:18">
      <c r="B7" s="2" t="s">
        <v>491</v>
      </c>
      <c r="K7" s="2" t="s">
        <v>492</v>
      </c>
    </row>
    <row r="9" spans="1:18" ht="51">
      <c r="K9" s="52"/>
      <c r="L9" s="610" t="s">
        <v>240</v>
      </c>
      <c r="M9" s="610" t="str">
        <f>'Distribution losses'!H9</f>
        <v>2005-06</v>
      </c>
      <c r="N9" s="610" t="str">
        <f>'Distribution losses'!I9</f>
        <v>2006-07</v>
      </c>
      <c r="O9" s="610" t="str">
        <f>'Distribution losses'!J9</f>
        <v>2007-08</v>
      </c>
      <c r="P9" s="610" t="str">
        <f>'Distribution losses'!K9</f>
        <v>2008-09</v>
      </c>
      <c r="Q9" s="610" t="str">
        <f>'Distribution losses'!L9</f>
        <v>2009-10</v>
      </c>
      <c r="R9" s="610" t="s">
        <v>63</v>
      </c>
    </row>
    <row r="10" spans="1:18">
      <c r="K10" s="52" t="str">
        <f>'Distribution losses'!B10</f>
        <v>CN West</v>
      </c>
      <c r="L10" s="62">
        <f>'Distribution losses'!C31</f>
        <v>4.9599999999999998E-2</v>
      </c>
      <c r="M10" s="62">
        <f>'Distribution losses'!H31</f>
        <v>4.9600020173082481E-2</v>
      </c>
      <c r="N10" s="62">
        <f>'Distribution losses'!I31</f>
        <v>3.9452157668260858E-2</v>
      </c>
      <c r="O10" s="62">
        <f>'Distribution losses'!J31</f>
        <v>4.5065211965991551E-2</v>
      </c>
      <c r="P10" s="62">
        <f>'Distribution losses'!K31</f>
        <v>5.430447464206932E-2</v>
      </c>
      <c r="Q10" s="62">
        <f>'Distribution losses'!L31</f>
        <v>5.5224766655701717E-2</v>
      </c>
      <c r="R10" s="62">
        <f>'Distribution losses'!G31</f>
        <v>4.8571995723596738E-2</v>
      </c>
    </row>
    <row r="11" spans="1:18">
      <c r="K11" s="52" t="str">
        <f>'Distribution losses'!B11</f>
        <v>CN East</v>
      </c>
      <c r="L11" s="62">
        <f>'Distribution losses'!C32</f>
        <v>5.6899999999999992E-2</v>
      </c>
      <c r="M11" s="62">
        <f>'Distribution losses'!H32</f>
        <v>4.9353923275048429E-2</v>
      </c>
      <c r="N11" s="62">
        <f>'Distribution losses'!I32</f>
        <v>5.1404240212298946E-2</v>
      </c>
      <c r="O11" s="62">
        <f>'Distribution losses'!J32</f>
        <v>4.1063950574277468E-2</v>
      </c>
      <c r="P11" s="62">
        <f>'Distribution losses'!K32</f>
        <v>3.9777895075281552E-2</v>
      </c>
      <c r="Q11" s="62">
        <f>'Distribution losses'!L32</f>
        <v>4.6428339010747784E-2</v>
      </c>
      <c r="R11" s="62">
        <f>'Distribution losses'!G32</f>
        <v>4.5626480543678377E-2</v>
      </c>
    </row>
    <row r="12" spans="1:18">
      <c r="K12" s="52" t="str">
        <f>'Distribution losses'!B12</f>
        <v>ENWL</v>
      </c>
      <c r="L12" s="62">
        <f>'Distribution losses'!C33</f>
        <v>5.5600000000000004E-2</v>
      </c>
      <c r="M12" s="62">
        <f>'Distribution losses'!H33</f>
        <v>4.6547376722875324E-2</v>
      </c>
      <c r="N12" s="62">
        <f>'Distribution losses'!I33</f>
        <v>4.7238210854595404E-2</v>
      </c>
      <c r="O12" s="62">
        <f>'Distribution losses'!J33</f>
        <v>5.0600955951770464E-2</v>
      </c>
      <c r="P12" s="62">
        <f>'Distribution losses'!K33</f>
        <v>5.0958460717021266E-2</v>
      </c>
      <c r="Q12" s="62">
        <f>'Distribution losses'!L33</f>
        <v>6.9256455392390504E-2</v>
      </c>
      <c r="R12" s="62">
        <f>'Distribution losses'!G33</f>
        <v>5.2661107418976796E-2</v>
      </c>
    </row>
    <row r="13" spans="1:18">
      <c r="K13" s="52" t="str">
        <f>'Distribution losses'!B13</f>
        <v>CE NEDL</v>
      </c>
      <c r="L13" s="62">
        <f>'Distribution losses'!C34</f>
        <v>5.2000000000000005E-2</v>
      </c>
      <c r="M13" s="62">
        <f>'Distribution losses'!H34</f>
        <v>4.7698863311818045E-2</v>
      </c>
      <c r="N13" s="62">
        <f>'Distribution losses'!I34</f>
        <v>4.5284633006885733E-2</v>
      </c>
      <c r="O13" s="62">
        <f>'Distribution losses'!J34</f>
        <v>5.2733398805519326E-2</v>
      </c>
      <c r="P13" s="62">
        <f>'Distribution losses'!K34</f>
        <v>4.9301698178189336E-2</v>
      </c>
      <c r="Q13" s="62">
        <f>'Distribution losses'!L34</f>
        <v>6.6904644742336483E-2</v>
      </c>
      <c r="R13" s="62">
        <f>'Distribution losses'!G34</f>
        <v>5.2128472280768112E-2</v>
      </c>
    </row>
    <row r="14" spans="1:18">
      <c r="K14" s="52" t="str">
        <f>'Distribution losses'!B14</f>
        <v>CE YEDL</v>
      </c>
      <c r="L14" s="62">
        <f>'Distribution losses'!C35</f>
        <v>5.8999999999999997E-2</v>
      </c>
      <c r="M14" s="62">
        <f>'Distribution losses'!H35</f>
        <v>3.6002091343701685E-2</v>
      </c>
      <c r="N14" s="62">
        <f>'Distribution losses'!I35</f>
        <v>3.8248940891668345E-2</v>
      </c>
      <c r="O14" s="62">
        <f>'Distribution losses'!J35</f>
        <v>5.8600070190838995E-2</v>
      </c>
      <c r="P14" s="62">
        <f>'Distribution losses'!K35</f>
        <v>5.2373380793673423E-2</v>
      </c>
      <c r="Q14" s="62">
        <f>'Distribution losses'!L35</f>
        <v>7.5731382031148486E-2</v>
      </c>
      <c r="R14" s="62">
        <f>'Distribution losses'!G35</f>
        <v>5.1617850037223363E-2</v>
      </c>
    </row>
    <row r="15" spans="1:18">
      <c r="K15" s="52" t="str">
        <f>'Distribution losses'!B15</f>
        <v>WPD S Wales</v>
      </c>
      <c r="L15" s="62">
        <f>'Distribution losses'!C36</f>
        <v>4.9399999999999999E-2</v>
      </c>
      <c r="M15" s="62">
        <f>'Distribution losses'!H36</f>
        <v>4.9727546569909672E-2</v>
      </c>
      <c r="N15" s="62">
        <f>'Distribution losses'!I36</f>
        <v>5.2930570490515687E-2</v>
      </c>
      <c r="O15" s="62">
        <f>'Distribution losses'!J36</f>
        <v>5.3365126204532057E-2</v>
      </c>
      <c r="P15" s="62">
        <f>'Distribution losses'!K36</f>
        <v>4.5509922247538956E-2</v>
      </c>
      <c r="Q15" s="62">
        <f>'Distribution losses'!L36</f>
        <v>5.3007605400790601E-2</v>
      </c>
      <c r="R15" s="62">
        <f>'Distribution losses'!G36</f>
        <v>5.0907314459912041E-2</v>
      </c>
    </row>
    <row r="16" spans="1:18">
      <c r="K16" s="52" t="str">
        <f>'Distribution losses'!B16</f>
        <v>WPD S West</v>
      </c>
      <c r="L16" s="62">
        <f>'Distribution losses'!C37</f>
        <v>6.9599999999999995E-2</v>
      </c>
      <c r="M16" s="62">
        <f>'Distribution losses'!H37</f>
        <v>5.6785679205690595E-2</v>
      </c>
      <c r="N16" s="62">
        <f>'Distribution losses'!I37</f>
        <v>5.7270603381880086E-2</v>
      </c>
      <c r="O16" s="62">
        <f>'Distribution losses'!J37</f>
        <v>6.7269331936163648E-2</v>
      </c>
      <c r="P16" s="62">
        <f>'Distribution losses'!K37</f>
        <v>6.5719900197376918E-2</v>
      </c>
      <c r="Q16" s="62">
        <f>'Distribution losses'!L37</f>
        <v>6.653990847380592E-2</v>
      </c>
      <c r="R16" s="62">
        <f>'Distribution losses'!G37</f>
        <v>6.2599751638269349E-2</v>
      </c>
    </row>
    <row r="17" spans="2:18">
      <c r="K17" s="52" t="str">
        <f>'Distribution losses'!B17</f>
        <v>UKPN LPN</v>
      </c>
      <c r="L17" s="62">
        <f>'Distribution losses'!C38</f>
        <v>6.54E-2</v>
      </c>
      <c r="M17" s="62">
        <f>'Distribution losses'!H38</f>
        <v>5.5486129520795936E-2</v>
      </c>
      <c r="N17" s="62">
        <f>'Distribution losses'!I38</f>
        <v>5.3142887696885202E-2</v>
      </c>
      <c r="O17" s="62">
        <f>'Distribution losses'!J38</f>
        <v>5.834957804940611E-2</v>
      </c>
      <c r="P17" s="62">
        <f>'Distribution losses'!K38</f>
        <v>5.8104849592938955E-2</v>
      </c>
      <c r="Q17" s="62">
        <f>'Distribution losses'!L38</f>
        <v>5.5179464812217589E-2</v>
      </c>
      <c r="R17" s="62">
        <f>'Distribution losses'!G38</f>
        <v>5.6056802438447122E-2</v>
      </c>
    </row>
    <row r="18" spans="2:18">
      <c r="K18" s="52" t="str">
        <f>'Distribution losses'!B18</f>
        <v>UKPN SEPN</v>
      </c>
      <c r="L18" s="62">
        <f>'Distribution losses'!C39</f>
        <v>6.54E-2</v>
      </c>
      <c r="M18" s="62">
        <f>'Distribution losses'!H39</f>
        <v>5.8781945468396594E-2</v>
      </c>
      <c r="N18" s="62">
        <f>'Distribution losses'!I39</f>
        <v>5.5779139561119628E-2</v>
      </c>
      <c r="O18" s="62">
        <f>'Distribution losses'!J39</f>
        <v>5.9055423712662251E-2</v>
      </c>
      <c r="P18" s="62">
        <f>'Distribution losses'!K39</f>
        <v>5.9648327653980988E-2</v>
      </c>
      <c r="Q18" s="62">
        <f>'Distribution losses'!L39</f>
        <v>5.1616248430745561E-2</v>
      </c>
      <c r="R18" s="62">
        <f>'Distribution losses'!G39</f>
        <v>5.7003461318937264E-2</v>
      </c>
    </row>
    <row r="19" spans="2:18">
      <c r="K19" s="52" t="str">
        <f>'Distribution losses'!B19</f>
        <v>UKPN EPN</v>
      </c>
      <c r="L19" s="62">
        <f>'Distribution losses'!C40</f>
        <v>6.3200000000000006E-2</v>
      </c>
      <c r="M19" s="62">
        <f>'Distribution losses'!H40</f>
        <v>4.5877429157891933E-2</v>
      </c>
      <c r="N19" s="62">
        <f>'Distribution losses'!I40</f>
        <v>4.436149851315839E-2</v>
      </c>
      <c r="O19" s="62">
        <f>'Distribution losses'!J40</f>
        <v>3.8034563313742151E-2</v>
      </c>
      <c r="P19" s="62">
        <f>'Distribution losses'!K40</f>
        <v>5.2643169721854413E-2</v>
      </c>
      <c r="Q19" s="62">
        <f>'Distribution losses'!L40</f>
        <v>6.3556972888750118E-2</v>
      </c>
      <c r="R19" s="62">
        <f>'Distribution losses'!G40</f>
        <v>4.8706270732480621E-2</v>
      </c>
    </row>
    <row r="20" spans="2:18">
      <c r="K20" s="52" t="str">
        <f>'Distribution losses'!B20</f>
        <v>SP Distribution</v>
      </c>
      <c r="L20" s="62">
        <f>'Distribution losses'!C41</f>
        <v>5.1860000000000003E-2</v>
      </c>
      <c r="M20" s="62">
        <f>'Distribution losses'!H41</f>
        <v>6.0318228023412225E-2</v>
      </c>
      <c r="N20" s="62">
        <f>'Distribution losses'!I41</f>
        <v>6.1951210499270638E-2</v>
      </c>
      <c r="O20" s="62">
        <f>'Distribution losses'!J41</f>
        <v>5.5727367894873821E-2</v>
      </c>
      <c r="P20" s="62">
        <f>'Distribution losses'!K41</f>
        <v>6.66555123999681E-2</v>
      </c>
      <c r="Q20" s="62">
        <f>'Distribution losses'!L41</f>
        <v>6.1526564719314954E-2</v>
      </c>
      <c r="R20" s="62">
        <f>'Distribution losses'!G41</f>
        <v>6.1210532674908218E-2</v>
      </c>
    </row>
    <row r="21" spans="2:18">
      <c r="K21" s="52" t="str">
        <f>'Distribution losses'!B21</f>
        <v>SP Manweb</v>
      </c>
      <c r="L21" s="62">
        <f>'Distribution losses'!C42</f>
        <v>5.4259999999999996E-2</v>
      </c>
      <c r="M21" s="62">
        <f>'Distribution losses'!H42</f>
        <v>6.2032519000478153E-2</v>
      </c>
      <c r="N21" s="62">
        <f>'Distribution losses'!I42</f>
        <v>5.8087733744356621E-2</v>
      </c>
      <c r="O21" s="62">
        <f>'Distribution losses'!J42</f>
        <v>7.0134238278672281E-2</v>
      </c>
      <c r="P21" s="62">
        <f>'Distribution losses'!K42</f>
        <v>6.6242674332917167E-2</v>
      </c>
      <c r="Q21" s="62">
        <f>'Distribution losses'!L42</f>
        <v>6.3725407699419243E-2</v>
      </c>
      <c r="R21" s="62">
        <f>'Distribution losses'!G42</f>
        <v>6.4012117262836579E-2</v>
      </c>
    </row>
    <row r="22" spans="2:18">
      <c r="K22" s="52" t="str">
        <f>'Distribution losses'!B22</f>
        <v>SSE Hydro</v>
      </c>
      <c r="L22" s="62">
        <f>'Distribution losses'!C43</f>
        <v>8.7300000000000003E-2</v>
      </c>
      <c r="M22" s="62">
        <f>'Distribution losses'!H43</f>
        <v>8.6599549863759631E-2</v>
      </c>
      <c r="N22" s="62">
        <f>'Distribution losses'!I43</f>
        <v>8.6504190313758916E-2</v>
      </c>
      <c r="O22" s="62">
        <f>'Distribution losses'!J43</f>
        <v>8.655321229042226E-2</v>
      </c>
      <c r="P22" s="62">
        <f>'Distribution losses'!K43</f>
        <v>8.3577968465318037E-2</v>
      </c>
      <c r="Q22" s="62">
        <f>'Distribution losses'!L43</f>
        <v>8.2950014949029635E-2</v>
      </c>
      <c r="R22" s="62">
        <f>'Distribution losses'!G43</f>
        <v>8.5256281043794582E-2</v>
      </c>
    </row>
    <row r="23" spans="2:18">
      <c r="K23" s="52" t="str">
        <f>'Distribution losses'!B23</f>
        <v>SSE Southern</v>
      </c>
      <c r="L23" s="62">
        <f>'Distribution losses'!C44</f>
        <v>6.6799999999999998E-2</v>
      </c>
      <c r="M23" s="62">
        <f>'Distribution losses'!H44</f>
        <v>6.5438459185638662E-2</v>
      </c>
      <c r="N23" s="62">
        <f>'Distribution losses'!I44</f>
        <v>6.5567652435806617E-2</v>
      </c>
      <c r="O23" s="62">
        <f>'Distribution losses'!J44</f>
        <v>6.5533366083466243E-2</v>
      </c>
      <c r="P23" s="62">
        <f>'Distribution losses'!K44</f>
        <v>6.4508595657087997E-2</v>
      </c>
      <c r="Q23" s="62">
        <f>'Distribution losses'!L44</f>
        <v>6.233186863169194E-2</v>
      </c>
      <c r="R23" s="62">
        <f>'Distribution losses'!G44</f>
        <v>6.4684174784778461E-2</v>
      </c>
    </row>
    <row r="24" spans="2:18">
      <c r="K24" s="52" t="str">
        <f>'Distribution losses'!B24</f>
        <v>GB average</v>
      </c>
      <c r="L24" s="62">
        <f>'Distribution losses'!C45</f>
        <v>6.045142857142858E-2</v>
      </c>
      <c r="M24" s="62">
        <f>'Distribution losses'!H45</f>
        <v>5.5434595434570529E-2</v>
      </c>
      <c r="N24" s="62">
        <f>'Distribution losses'!I45</f>
        <v>5.521319320016925E-2</v>
      </c>
      <c r="O24" s="62">
        <f>'Distribution losses'!J45</f>
        <v>5.8232352560488233E-2</v>
      </c>
      <c r="P24" s="62">
        <f>'Distribution losses'!K45</f>
        <v>5.807864269485747E-2</v>
      </c>
      <c r="Q24" s="62">
        <f>'Distribution losses'!L45</f>
        <v>6.29811443986453E-2</v>
      </c>
      <c r="R24" s="62">
        <f>'Distribution losses'!G45</f>
        <v>5.5477181433728061E-2</v>
      </c>
    </row>
    <row r="27" spans="2:18">
      <c r="B27" s="510" t="s">
        <v>347</v>
      </c>
      <c r="K27" s="510" t="s">
        <v>411</v>
      </c>
    </row>
    <row r="28" spans="2:18">
      <c r="B28" s="510"/>
      <c r="K28" s="510"/>
    </row>
    <row r="29" spans="2:18">
      <c r="B29" s="2" t="s">
        <v>494</v>
      </c>
      <c r="K29" s="2" t="s">
        <v>493</v>
      </c>
    </row>
    <row r="31" spans="2:18" ht="51">
      <c r="K31" s="52" t="str">
        <f>AONB!B6</f>
        <v>DNO</v>
      </c>
      <c r="L31" s="610" t="str">
        <f>AONB!H6</f>
        <v>Max capex over 2009-10 for undergrounding £m (£2007-08)</v>
      </c>
      <c r="M31" s="610" t="s">
        <v>412</v>
      </c>
      <c r="N31" s="610" t="s">
        <v>413</v>
      </c>
    </row>
    <row r="32" spans="2:18">
      <c r="K32" s="52" t="str">
        <f>AONB!B7</f>
        <v>CN West</v>
      </c>
      <c r="L32" s="531">
        <f>AONB!H7</f>
        <v>1.4805654782358872</v>
      </c>
      <c r="M32" s="531">
        <f>AONB!G47</f>
        <v>0.58004708783085457</v>
      </c>
      <c r="N32" s="589">
        <f>IF(L32=0,0,M32/L32)</f>
        <v>0.39177401902007608</v>
      </c>
    </row>
    <row r="33" spans="11:14">
      <c r="K33" s="52" t="str">
        <f>AONB!B8</f>
        <v>CN East</v>
      </c>
      <c r="L33" s="531">
        <f>AONB!H8</f>
        <v>0.47002078674155157</v>
      </c>
      <c r="M33" s="531">
        <f>AONB!G48</f>
        <v>0.29002354391542734</v>
      </c>
      <c r="N33" s="589">
        <f t="shared" ref="N33:N46" si="0">IF(L33=0,0,M33/L33)</f>
        <v>0.61704407995661992</v>
      </c>
    </row>
    <row r="34" spans="11:14" ht="12.75" customHeight="1">
      <c r="K34" s="52" t="str">
        <f>AONB!B9</f>
        <v>ENWL</v>
      </c>
      <c r="L34" s="531">
        <f>AONB!H9</f>
        <v>1.1750519668538788</v>
      </c>
      <c r="M34" s="531">
        <f>AONB!G49</f>
        <v>1.223482486723567</v>
      </c>
      <c r="N34" s="589">
        <f t="shared" si="0"/>
        <v>1.041215640870214</v>
      </c>
    </row>
    <row r="35" spans="11:14">
      <c r="K35" s="52" t="str">
        <f>AONB!B10</f>
        <v>CE NEDL</v>
      </c>
      <c r="L35" s="531">
        <f>AONB!H10</f>
        <v>1.2925571635392668</v>
      </c>
      <c r="M35" s="531">
        <f>AONB!G50</f>
        <v>0.7733961171078062</v>
      </c>
      <c r="N35" s="589">
        <f t="shared" si="0"/>
        <v>0.59834577450338899</v>
      </c>
    </row>
    <row r="36" spans="11:14">
      <c r="K36" s="52" t="str">
        <f>AONB!B11</f>
        <v>CE YEDL</v>
      </c>
      <c r="L36" s="531">
        <f>AONB!H11</f>
        <v>0.25851143270785337</v>
      </c>
      <c r="M36" s="531">
        <f>AONB!G51</f>
        <v>9.6674514638475775E-2</v>
      </c>
      <c r="N36" s="589">
        <f t="shared" si="0"/>
        <v>0.37396610906461808</v>
      </c>
    </row>
    <row r="37" spans="11:14">
      <c r="K37" s="52" t="str">
        <f>AONB!B12</f>
        <v>WPD S Wales</v>
      </c>
      <c r="L37" s="531">
        <f>AONB!H12</f>
        <v>1.1515509275168012</v>
      </c>
      <c r="M37" s="531">
        <f>AONB!G52</f>
        <v>0</v>
      </c>
      <c r="N37" s="589">
        <f t="shared" si="0"/>
        <v>0</v>
      </c>
    </row>
    <row r="38" spans="11:14">
      <c r="K38" s="52" t="str">
        <f>AONB!B13</f>
        <v>WPD S West</v>
      </c>
      <c r="L38" s="531">
        <f>AONB!H13</f>
        <v>3.1961413498425504</v>
      </c>
      <c r="M38" s="531">
        <f>AONB!G53</f>
        <v>0</v>
      </c>
      <c r="N38" s="589">
        <f t="shared" si="0"/>
        <v>0</v>
      </c>
    </row>
    <row r="39" spans="11:14">
      <c r="K39" s="52" t="str">
        <f>AONB!B14</f>
        <v>UKPN LPN</v>
      </c>
      <c r="L39" s="531">
        <f>AONB!H14</f>
        <v>0</v>
      </c>
      <c r="M39" s="531">
        <f>AONB!G54</f>
        <v>0</v>
      </c>
      <c r="N39" s="589">
        <f t="shared" si="0"/>
        <v>0</v>
      </c>
    </row>
    <row r="40" spans="11:14">
      <c r="K40" s="52" t="str">
        <f>AONB!B15</f>
        <v>UKPN SEPN</v>
      </c>
      <c r="L40" s="531">
        <f>AONB!H15</f>
        <v>1.8095800289549735</v>
      </c>
      <c r="M40" s="531">
        <f>AONB!G55</f>
        <v>2.8818672813729624</v>
      </c>
      <c r="N40" s="589">
        <f t="shared" si="0"/>
        <v>1.5925613873166091</v>
      </c>
    </row>
    <row r="41" spans="11:14">
      <c r="K41" s="52" t="str">
        <f>AONB!B16</f>
        <v>UKPN EPN</v>
      </c>
      <c r="L41" s="531">
        <f>AONB!H16</f>
        <v>0.68153014077524965</v>
      </c>
      <c r="M41" s="531">
        <f>AONB!G56</f>
        <v>0.71732489861749016</v>
      </c>
      <c r="N41" s="589">
        <f t="shared" si="0"/>
        <v>1.052521166270832</v>
      </c>
    </row>
    <row r="42" spans="11:14">
      <c r="K42" s="52" t="str">
        <f>AONB!B17</f>
        <v>SP Distribution</v>
      </c>
      <c r="L42" s="531">
        <f>AONB!H17</f>
        <v>0.18800831469662063</v>
      </c>
      <c r="M42" s="531">
        <f>AONB!G57</f>
        <v>0</v>
      </c>
      <c r="N42" s="589">
        <f t="shared" si="0"/>
        <v>0</v>
      </c>
    </row>
    <row r="43" spans="11:14">
      <c r="K43" s="52" t="str">
        <f>AONB!B18</f>
        <v>SP Manweb</v>
      </c>
      <c r="L43" s="531">
        <f>AONB!H18</f>
        <v>1.2690561242021892</v>
      </c>
      <c r="M43" s="531">
        <f>AONB!G58</f>
        <v>0.64878492591195824</v>
      </c>
      <c r="N43" s="589">
        <f t="shared" si="0"/>
        <v>0.51123422639784855</v>
      </c>
    </row>
    <row r="44" spans="11:14">
      <c r="K44" s="52" t="str">
        <f>AONB!B19</f>
        <v>SSE Hydro</v>
      </c>
      <c r="L44" s="531">
        <f>AONB!H19</f>
        <v>1.104548848842646</v>
      </c>
      <c r="M44" s="531">
        <f>AONB!G59</f>
        <v>1.3534432049386607</v>
      </c>
      <c r="N44" s="589">
        <f t="shared" si="0"/>
        <v>1.2253357616159828</v>
      </c>
    </row>
    <row r="45" spans="11:14">
      <c r="K45" s="52" t="str">
        <f>AONB!B20</f>
        <v>SSE Southern</v>
      </c>
      <c r="L45" s="531">
        <f>AONB!H20</f>
        <v>0.9635426128201805</v>
      </c>
      <c r="M45" s="531">
        <f>AONB!G60</f>
        <v>0</v>
      </c>
      <c r="N45" s="589">
        <f t="shared" si="0"/>
        <v>0</v>
      </c>
    </row>
    <row r="46" spans="11:14">
      <c r="K46" s="52" t="str">
        <f>AONB!B21</f>
        <v>GB total</v>
      </c>
      <c r="L46" s="531">
        <f>AONB!H21</f>
        <v>15.040665175729648</v>
      </c>
      <c r="M46" s="531">
        <f>AONB!G61</f>
        <v>8.5650440610572023</v>
      </c>
      <c r="N46" s="589">
        <f t="shared" si="0"/>
        <v>0.56945912703902057</v>
      </c>
    </row>
  </sheetData>
  <conditionalFormatting sqref="M10:R24">
    <cfRule type="cellIs" dxfId="25" priority="25" operator="greaterThan">
      <formula>$L$10</formula>
    </cfRule>
    <cfRule type="cellIs" dxfId="24" priority="26" operator="lessThan">
      <formula>$L$10</formula>
    </cfRule>
  </conditionalFormatting>
  <conditionalFormatting sqref="M10:R24">
    <cfRule type="cellIs" dxfId="23" priority="9" operator="lessThan">
      <formula>$L10</formula>
    </cfRule>
    <cfRule type="cellIs" dxfId="22" priority="10" operator="greaterThan">
      <formula>$L10</formula>
    </cfRule>
    <cfRule type="cellIs" dxfId="21" priority="17" operator="lessThan">
      <formula>L10</formula>
    </cfRule>
    <cfRule type="cellIs" dxfId="20" priority="18" operator="greaterThan">
      <formula>L10</formula>
    </cfRule>
    <cfRule type="cellIs" dxfId="19" priority="23" operator="lessThan">
      <formula>$L$10</formula>
    </cfRule>
    <cfRule type="cellIs" dxfId="18" priority="24" operator="greaterThan">
      <formula>$L$10</formula>
    </cfRule>
  </conditionalFormatting>
  <conditionalFormatting sqref="M11:Q24">
    <cfRule type="cellIs" dxfId="17" priority="21" operator="greaterThan">
      <formula>$L$10</formula>
    </cfRule>
    <cfRule type="cellIs" dxfId="16" priority="22" operator="lessThan">
      <formula>$L$10</formula>
    </cfRule>
  </conditionalFormatting>
  <conditionalFormatting sqref="M11:R24">
    <cfRule type="cellIs" dxfId="15" priority="19" operator="lessThan">
      <formula>$L$10</formula>
    </cfRule>
    <cfRule type="cellIs" dxfId="14" priority="20" operator="greaterThan">
      <formula>$L$10</formula>
    </cfRule>
  </conditionalFormatting>
  <conditionalFormatting sqref="M11:Q24">
    <cfRule type="cellIs" dxfId="13" priority="15" operator="greaterThan">
      <formula>$L$10</formula>
    </cfRule>
    <cfRule type="cellIs" dxfId="12" priority="16" operator="lessThan">
      <formula>$L$10</formula>
    </cfRule>
  </conditionalFormatting>
  <conditionalFormatting sqref="M11:R24">
    <cfRule type="cellIs" dxfId="11" priority="11" operator="lessThan">
      <formula>L11</formula>
    </cfRule>
    <cfRule type="cellIs" dxfId="10" priority="12" operator="greaterThan">
      <formula>L11</formula>
    </cfRule>
    <cfRule type="cellIs" dxfId="9" priority="13" operator="lessThan">
      <formula>$L$10</formula>
    </cfRule>
    <cfRule type="cellIs" dxfId="8" priority="14" operator="greaterThan">
      <formula>$L$10</formula>
    </cfRule>
  </conditionalFormatting>
  <conditionalFormatting sqref="M11:Q24">
    <cfRule type="cellIs" dxfId="7" priority="7" operator="greaterThan">
      <formula>$L$10</formula>
    </cfRule>
    <cfRule type="cellIs" dxfId="6" priority="8" operator="lessThan">
      <formula>$L$10</formula>
    </cfRule>
  </conditionalFormatting>
  <conditionalFormatting sqref="M11:R24">
    <cfRule type="cellIs" dxfId="5" priority="1" operator="lessThan">
      <formula>$L11</formula>
    </cfRule>
    <cfRule type="cellIs" dxfId="4" priority="2" operator="greaterThan">
      <formula>$L11</formula>
    </cfRule>
    <cfRule type="cellIs" dxfId="3" priority="3" operator="lessThan">
      <formula>L11</formula>
    </cfRule>
    <cfRule type="cellIs" dxfId="2" priority="4" operator="greaterThan">
      <formula>L11</formula>
    </cfRule>
    <cfRule type="cellIs" dxfId="1" priority="5" operator="lessThan">
      <formula>$L$10</formula>
    </cfRule>
    <cfRule type="cellIs" dxfId="0" priority="6" operator="greaterThan">
      <formula>$L$10</formula>
    </cfRule>
  </conditionalFormatting>
  <pageMargins left="0.70866141732283472" right="0.70866141732283472" top="0.74803149606299213" bottom="0.74803149606299213" header="0.31496062992125984" footer="0.31496062992125984"/>
  <pageSetup scale="52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0">
    <tabColor theme="6"/>
  </sheetPr>
  <dimension ref="A1:P111"/>
  <sheetViews>
    <sheetView zoomScale="75" zoomScaleNormal="75" workbookViewId="0">
      <selection activeCell="A2" sqref="A2"/>
    </sheetView>
  </sheetViews>
  <sheetFormatPr defaultRowHeight="12.75"/>
  <cols>
    <col min="1" max="1" width="1.625" customWidth="1"/>
  </cols>
  <sheetData>
    <row r="1" spans="1:11">
      <c r="A1" s="2" t="s">
        <v>440</v>
      </c>
    </row>
    <row r="2" spans="1:11">
      <c r="A2" s="2"/>
    </row>
    <row r="3" spans="1:11">
      <c r="A3" s="2" t="s">
        <v>334</v>
      </c>
    </row>
    <row r="4" spans="1:11">
      <c r="B4" s="2"/>
    </row>
    <row r="5" spans="1:11" s="449" customFormat="1">
      <c r="B5" s="510" t="s">
        <v>337</v>
      </c>
      <c r="K5" s="510" t="s">
        <v>338</v>
      </c>
    </row>
    <row r="6" spans="1:11" s="449" customFormat="1">
      <c r="B6" s="510"/>
      <c r="K6" s="510"/>
    </row>
    <row r="7" spans="1:11" s="2" customFormat="1">
      <c r="B7" s="2" t="s">
        <v>495</v>
      </c>
      <c r="C7" s="737"/>
      <c r="K7" s="2" t="s">
        <v>496</v>
      </c>
    </row>
    <row r="27" spans="2:11">
      <c r="B27" s="510" t="s">
        <v>399</v>
      </c>
      <c r="K27" s="510" t="s">
        <v>400</v>
      </c>
    </row>
    <row r="28" spans="2:11">
      <c r="B28" s="510"/>
      <c r="K28" s="510"/>
    </row>
    <row r="29" spans="2:11">
      <c r="B29" s="2" t="s">
        <v>497</v>
      </c>
      <c r="K29" s="2" t="s">
        <v>498</v>
      </c>
    </row>
    <row r="50" spans="2:11">
      <c r="B50" s="510" t="s">
        <v>401</v>
      </c>
      <c r="K50" s="510" t="s">
        <v>402</v>
      </c>
    </row>
    <row r="51" spans="2:11">
      <c r="B51" s="510"/>
      <c r="K51" s="510"/>
    </row>
    <row r="52" spans="2:11">
      <c r="B52" s="2" t="s">
        <v>499</v>
      </c>
      <c r="K52" s="2" t="s">
        <v>500</v>
      </c>
    </row>
    <row r="75" spans="2:16">
      <c r="B75" t="s">
        <v>335</v>
      </c>
      <c r="C75" t="s">
        <v>305</v>
      </c>
      <c r="G75" t="s">
        <v>330</v>
      </c>
      <c r="K75" t="s">
        <v>331</v>
      </c>
      <c r="P75" s="510" t="s">
        <v>407</v>
      </c>
    </row>
    <row r="76" spans="2:16" ht="26.25" thickBot="1">
      <c r="C76" s="106" t="s">
        <v>289</v>
      </c>
      <c r="D76" s="106" t="s">
        <v>290</v>
      </c>
      <c r="E76" s="160" t="s">
        <v>398</v>
      </c>
      <c r="F76" s="160" t="s">
        <v>291</v>
      </c>
      <c r="G76" s="160" t="s">
        <v>289</v>
      </c>
      <c r="H76" s="106" t="s">
        <v>290</v>
      </c>
      <c r="I76" s="160" t="s">
        <v>398</v>
      </c>
      <c r="J76" s="160" t="s">
        <v>291</v>
      </c>
      <c r="K76" s="160" t="s">
        <v>289</v>
      </c>
      <c r="L76" s="106" t="s">
        <v>290</v>
      </c>
      <c r="M76" s="160" t="s">
        <v>398</v>
      </c>
      <c r="N76" s="160" t="s">
        <v>291</v>
      </c>
    </row>
    <row r="77" spans="2:16" ht="13.5" thickTop="1">
      <c r="B77" s="52" t="str">
        <f>Inputs!B11</f>
        <v>CN West</v>
      </c>
      <c r="C77" s="531">
        <f>'Network investment'!AJ122</f>
        <v>130.07825273072439</v>
      </c>
      <c r="D77" s="531">
        <f>'Network investment'!T141</f>
        <v>151.69719219324782</v>
      </c>
      <c r="E77" s="531">
        <f>D77-C77</f>
        <v>21.618939462523429</v>
      </c>
      <c r="F77" s="589">
        <f>(D77/C77)-1</f>
        <v>0.16619949152666513</v>
      </c>
      <c r="G77" s="531">
        <f>'Network investment'!AK122</f>
        <v>131.60582028763443</v>
      </c>
      <c r="H77" s="531">
        <f>'Network investment'!U141</f>
        <v>141.72483846000549</v>
      </c>
      <c r="I77" s="531">
        <f>H77-G77</f>
        <v>10.119018172371057</v>
      </c>
      <c r="J77" s="589">
        <f>(H77/G77)-1</f>
        <v>7.6888834781434268E-2</v>
      </c>
      <c r="K77" s="531">
        <f>'Network investment'!AL122</f>
        <v>653.32889357075658</v>
      </c>
      <c r="L77" s="531">
        <f>'Network investment'!V141</f>
        <v>685.03990159501461</v>
      </c>
      <c r="M77" s="531">
        <f>L77-K77</f>
        <v>31.711008024258035</v>
      </c>
      <c r="N77" s="589">
        <f>(L77/K77)-1</f>
        <v>4.8537587019827244E-2</v>
      </c>
      <c r="P77" s="2" t="s">
        <v>501</v>
      </c>
    </row>
    <row r="78" spans="2:16">
      <c r="B78" s="52" t="str">
        <f>Inputs!B12</f>
        <v>CN East</v>
      </c>
      <c r="C78" s="531">
        <f>'Network investment'!AJ123</f>
        <v>128.55068517381432</v>
      </c>
      <c r="D78" s="531">
        <f>'Network investment'!T142</f>
        <v>162.18585849086034</v>
      </c>
      <c r="E78" s="531">
        <f t="shared" ref="E78:E91" si="0">D78-C78</f>
        <v>33.635173317046025</v>
      </c>
      <c r="F78" s="589">
        <f t="shared" ref="F78:F91" si="1">(D78/C78)-1</f>
        <v>0.26164911740118435</v>
      </c>
      <c r="G78" s="531">
        <f>'Network investment'!AK123</f>
        <v>129.25571635392666</v>
      </c>
      <c r="H78" s="531">
        <f>'Network investment'!U142</f>
        <v>130.22057121802689</v>
      </c>
      <c r="I78" s="531">
        <f t="shared" ref="I78:I91" si="2">H78-G78</f>
        <v>0.96485486410023213</v>
      </c>
      <c r="J78" s="589">
        <f t="shared" ref="J78:J91" si="3">(H78/G78)-1</f>
        <v>7.4646978200816339E-3</v>
      </c>
      <c r="K78" s="531">
        <f>'Network investment'!AL123</f>
        <v>645.45604539283556</v>
      </c>
      <c r="L78" s="531">
        <f>'Network investment'!V142</f>
        <v>650.16707406614159</v>
      </c>
      <c r="M78" s="531">
        <f t="shared" ref="M78:M91" si="4">L78-K78</f>
        <v>4.711028673306032</v>
      </c>
      <c r="N78" s="589">
        <f t="shared" ref="N78:N91" si="5">(L78/K78)-1</f>
        <v>7.298759856589232E-3</v>
      </c>
    </row>
    <row r="79" spans="2:16">
      <c r="B79" s="52" t="str">
        <f>Inputs!B13</f>
        <v>ENWL</v>
      </c>
      <c r="C79" s="531">
        <f>'Network investment'!AJ124</f>
        <v>128.78569556718512</v>
      </c>
      <c r="D79" s="531">
        <f>'Network investment'!T143</f>
        <v>116.54073664013916</v>
      </c>
      <c r="E79" s="531">
        <f t="shared" si="0"/>
        <v>-12.244958927045957</v>
      </c>
      <c r="F79" s="589">
        <f t="shared" si="1"/>
        <v>-9.508011641446612E-2</v>
      </c>
      <c r="G79" s="531">
        <f>'Network investment'!AK124</f>
        <v>126.67060202684813</v>
      </c>
      <c r="H79" s="531">
        <f>'Network investment'!U143</f>
        <v>101.02486779720718</v>
      </c>
      <c r="I79" s="531">
        <f t="shared" si="2"/>
        <v>-25.645734229640951</v>
      </c>
      <c r="J79" s="589">
        <f t="shared" si="3"/>
        <v>-0.20246003270913071</v>
      </c>
      <c r="K79" s="531">
        <f>'Network investment'!AL124</f>
        <v>624.77513077620733</v>
      </c>
      <c r="L79" s="531">
        <f>'Network investment'!V143</f>
        <v>512.646989992057</v>
      </c>
      <c r="M79" s="531">
        <f t="shared" si="4"/>
        <v>-112.12814078415033</v>
      </c>
      <c r="N79" s="589">
        <f t="shared" si="5"/>
        <v>-0.17946959675690788</v>
      </c>
    </row>
    <row r="80" spans="2:16">
      <c r="B80" s="52" t="str">
        <f>Inputs!B14</f>
        <v>CE NEDL</v>
      </c>
      <c r="C80" s="531">
        <f>'Network investment'!AJ125</f>
        <v>73.205737534996658</v>
      </c>
      <c r="D80" s="531">
        <f>'Network investment'!T144</f>
        <v>78.373645390493579</v>
      </c>
      <c r="E80" s="531">
        <f t="shared" si="0"/>
        <v>5.1679078554969209</v>
      </c>
      <c r="F80" s="589">
        <f t="shared" si="1"/>
        <v>7.0594300795430831E-2</v>
      </c>
      <c r="G80" s="531">
        <f>'Network investment'!AK125</f>
        <v>75.203325878648243</v>
      </c>
      <c r="H80" s="531">
        <f>'Network investment'!U144</f>
        <v>73.375956610603112</v>
      </c>
      <c r="I80" s="531">
        <f t="shared" si="2"/>
        <v>-1.8273692680451319</v>
      </c>
      <c r="J80" s="589">
        <f t="shared" si="3"/>
        <v>-2.4299048568594772E-2</v>
      </c>
      <c r="K80" s="531">
        <f>'Network investment'!AL125</f>
        <v>369.20132798548872</v>
      </c>
      <c r="L80" s="531">
        <f>'Network investment'!V144</f>
        <v>365.31914327594336</v>
      </c>
      <c r="M80" s="531">
        <f t="shared" si="4"/>
        <v>-3.8821847095453563</v>
      </c>
      <c r="N80" s="589">
        <f t="shared" si="5"/>
        <v>-1.0515088693554109E-2</v>
      </c>
    </row>
    <row r="81" spans="2:16">
      <c r="B81" s="52" t="str">
        <f>Inputs!B15</f>
        <v>CE YEDL</v>
      </c>
      <c r="C81" s="531">
        <f>'Network investment'!AJ126</f>
        <v>97.529313248871944</v>
      </c>
      <c r="D81" s="531">
        <f>'Network investment'!T145</f>
        <v>101.77890999905486</v>
      </c>
      <c r="E81" s="531">
        <f t="shared" si="0"/>
        <v>4.249596750182917</v>
      </c>
      <c r="F81" s="589">
        <f t="shared" si="1"/>
        <v>4.3572507676117311E-2</v>
      </c>
      <c r="G81" s="531">
        <f>'Network investment'!AK126</f>
        <v>100.93696395274817</v>
      </c>
      <c r="H81" s="531">
        <f>'Network investment'!U145</f>
        <v>110.59564474641627</v>
      </c>
      <c r="I81" s="531">
        <f t="shared" si="2"/>
        <v>9.658680793668097</v>
      </c>
      <c r="J81" s="589">
        <f t="shared" si="3"/>
        <v>9.5690225021922037E-2</v>
      </c>
      <c r="K81" s="531">
        <f>'Network investment'!AL126</f>
        <v>493.16931048857288</v>
      </c>
      <c r="L81" s="531">
        <f>'Network investment'!V145</f>
        <v>484.55235255905518</v>
      </c>
      <c r="M81" s="531">
        <f t="shared" si="4"/>
        <v>-8.6169579295176959</v>
      </c>
      <c r="N81" s="589">
        <f t="shared" si="5"/>
        <v>-1.7472615887191068E-2</v>
      </c>
    </row>
    <row r="82" spans="2:16">
      <c r="B82" s="52" t="str">
        <f>Inputs!B16</f>
        <v>WPD S Wales</v>
      </c>
      <c r="C82" s="531">
        <f>'Network investment'!AJ127</f>
        <v>52.289812524997608</v>
      </c>
      <c r="D82" s="531">
        <f>'Network investment'!T146</f>
        <v>50.986572280060884</v>
      </c>
      <c r="E82" s="531">
        <f t="shared" si="0"/>
        <v>-1.303240244936724</v>
      </c>
      <c r="F82" s="589">
        <f t="shared" si="1"/>
        <v>-2.4923406338733689E-2</v>
      </c>
      <c r="G82" s="531">
        <f>'Network investment'!AK127</f>
        <v>52.877338508424543</v>
      </c>
      <c r="H82" s="531">
        <f>'Network investment'!U146</f>
        <v>50.657445670561302</v>
      </c>
      <c r="I82" s="531">
        <f t="shared" si="2"/>
        <v>-2.2198928378632417</v>
      </c>
      <c r="J82" s="589">
        <f t="shared" si="3"/>
        <v>-4.1981932156240465E-2</v>
      </c>
      <c r="K82" s="531">
        <f>'Network investment'!AL127</f>
        <v>260.27401065813416</v>
      </c>
      <c r="L82" s="531">
        <f>'Network investment'!V146</f>
        <v>254.52040021763946</v>
      </c>
      <c r="M82" s="531">
        <f t="shared" si="4"/>
        <v>-5.7536104404946968</v>
      </c>
      <c r="N82" s="589">
        <f t="shared" si="5"/>
        <v>-2.2105973723407835E-2</v>
      </c>
    </row>
    <row r="83" spans="2:16">
      <c r="B83" s="52" t="str">
        <f>Inputs!B17</f>
        <v>WPD S West</v>
      </c>
      <c r="C83" s="531">
        <f>'Network investment'!AJ128</f>
        <v>79.551018156007601</v>
      </c>
      <c r="D83" s="531">
        <f>'Network investment'!T147</f>
        <v>77.499589865692542</v>
      </c>
      <c r="E83" s="531">
        <f t="shared" si="0"/>
        <v>-2.0514282903150587</v>
      </c>
      <c r="F83" s="589">
        <f t="shared" si="1"/>
        <v>-2.5787580572407043E-2</v>
      </c>
      <c r="G83" s="531">
        <f>'Network investment'!AK128</f>
        <v>82.018627286400744</v>
      </c>
      <c r="H83" s="531">
        <f>'Network investment'!U147</f>
        <v>78.016333313249945</v>
      </c>
      <c r="I83" s="531">
        <f t="shared" si="2"/>
        <v>-4.0022939731507989</v>
      </c>
      <c r="J83" s="589">
        <f t="shared" si="3"/>
        <v>-4.8797378175755024E-2</v>
      </c>
      <c r="K83" s="531">
        <f>'Network investment'!AL128</f>
        <v>386.5920970949262</v>
      </c>
      <c r="L83" s="531">
        <f>'Network investment'!V147</f>
        <v>380.97282540426687</v>
      </c>
      <c r="M83" s="531">
        <f t="shared" si="4"/>
        <v>-5.6192716906593319</v>
      </c>
      <c r="N83" s="589">
        <f t="shared" si="5"/>
        <v>-1.4535402386354423E-2</v>
      </c>
    </row>
    <row r="84" spans="2:16">
      <c r="B84" s="52" t="str">
        <f>Inputs!B18</f>
        <v>UKPN LPN</v>
      </c>
      <c r="C84" s="531">
        <f>'Network investment'!AJ129</f>
        <v>115.86012393179244</v>
      </c>
      <c r="D84" s="531">
        <f>'Network investment'!T148</f>
        <v>108.86847147799665</v>
      </c>
      <c r="E84" s="531">
        <f t="shared" si="0"/>
        <v>-6.991652453795794</v>
      </c>
      <c r="F84" s="589">
        <f t="shared" si="1"/>
        <v>-6.0345632444790298E-2</v>
      </c>
      <c r="G84" s="531">
        <f>'Network investment'!AK129</f>
        <v>115.74261873510706</v>
      </c>
      <c r="H84" s="531">
        <f>'Network investment'!U148</f>
        <v>102.86168357533823</v>
      </c>
      <c r="I84" s="531">
        <f t="shared" si="2"/>
        <v>-12.880935159768825</v>
      </c>
      <c r="J84" s="589">
        <f t="shared" si="3"/>
        <v>-0.11128947401171752</v>
      </c>
      <c r="K84" s="531">
        <f>'Network investment'!AL129</f>
        <v>580.5931768225015</v>
      </c>
      <c r="L84" s="531">
        <f>'Network investment'!V148</f>
        <v>514.11093690607004</v>
      </c>
      <c r="M84" s="531">
        <f t="shared" si="4"/>
        <v>-66.482239916431467</v>
      </c>
      <c r="N84" s="589">
        <f t="shared" si="5"/>
        <v>-0.11450744268177371</v>
      </c>
    </row>
    <row r="85" spans="2:16">
      <c r="B85" s="52" t="str">
        <f>Inputs!B19</f>
        <v>UKPN SEPN</v>
      </c>
      <c r="C85" s="531">
        <f>'Network investment'!AJ130</f>
        <v>126.0830760434212</v>
      </c>
      <c r="D85" s="531">
        <f>'Network investment'!T149</f>
        <v>131.20544600068999</v>
      </c>
      <c r="E85" s="531">
        <f t="shared" si="0"/>
        <v>5.1223699572687877</v>
      </c>
      <c r="F85" s="589">
        <f t="shared" si="1"/>
        <v>4.0626943107770597E-2</v>
      </c>
      <c r="G85" s="531">
        <f>'Network investment'!AK130</f>
        <v>127.0231176169043</v>
      </c>
      <c r="H85" s="531">
        <f>'Network investment'!U149</f>
        <v>155.25927050939208</v>
      </c>
      <c r="I85" s="531">
        <f t="shared" si="2"/>
        <v>28.23615289248778</v>
      </c>
      <c r="J85" s="589">
        <f t="shared" si="3"/>
        <v>0.22229144916476296</v>
      </c>
      <c r="K85" s="531">
        <f>'Network investment'!AL130</f>
        <v>626.77271911985895</v>
      </c>
      <c r="L85" s="531">
        <f>'Network investment'!V149</f>
        <v>563.60017077946065</v>
      </c>
      <c r="M85" s="531">
        <f t="shared" si="4"/>
        <v>-63.172548340398293</v>
      </c>
      <c r="N85" s="589">
        <f t="shared" si="5"/>
        <v>-0.10079020099839042</v>
      </c>
    </row>
    <row r="86" spans="2:16">
      <c r="B86" s="52" t="str">
        <f>Inputs!B20</f>
        <v>UKPN EPN</v>
      </c>
      <c r="C86" s="531">
        <f>'Network investment'!AJ131</f>
        <v>185.30569517285667</v>
      </c>
      <c r="D86" s="531">
        <f>'Network investment'!T150</f>
        <v>212.88107892932084</v>
      </c>
      <c r="E86" s="531">
        <f t="shared" si="0"/>
        <v>27.575383756464163</v>
      </c>
      <c r="F86" s="589">
        <f t="shared" si="1"/>
        <v>0.14881023344016131</v>
      </c>
      <c r="G86" s="531">
        <f>'Network investment'!AK131</f>
        <v>183.54311722257586</v>
      </c>
      <c r="H86" s="531">
        <f>'Network investment'!U150</f>
        <v>229.408623237103</v>
      </c>
      <c r="I86" s="531">
        <f t="shared" si="2"/>
        <v>45.865506014527142</v>
      </c>
      <c r="J86" s="589">
        <f t="shared" si="3"/>
        <v>0.24988954480329406</v>
      </c>
      <c r="K86" s="531">
        <f>'Network investment'!AL131</f>
        <v>911.01778990181219</v>
      </c>
      <c r="L86" s="531">
        <f>'Network investment'!V150</f>
        <v>878.92519138510374</v>
      </c>
      <c r="M86" s="531">
        <f t="shared" si="4"/>
        <v>-32.092598516708449</v>
      </c>
      <c r="N86" s="589">
        <f t="shared" si="5"/>
        <v>-3.5227191908258293E-2</v>
      </c>
    </row>
    <row r="87" spans="2:16">
      <c r="B87" s="52" t="str">
        <f>Inputs!B21</f>
        <v>SP Distribution</v>
      </c>
      <c r="C87" s="531">
        <f>'Network investment'!AJ132</f>
        <v>102.11201591960207</v>
      </c>
      <c r="D87" s="531">
        <f>'Network investment'!T151</f>
        <v>96.825928691848944</v>
      </c>
      <c r="E87" s="531">
        <f t="shared" si="0"/>
        <v>-5.2860872277531286</v>
      </c>
      <c r="F87" s="589">
        <f t="shared" si="1"/>
        <v>-5.176753372409304E-2</v>
      </c>
      <c r="G87" s="531">
        <f>'Network investment'!AK132</f>
        <v>102.11201591960207</v>
      </c>
      <c r="H87" s="531">
        <f>'Network investment'!U151</f>
        <v>79.756474576742505</v>
      </c>
      <c r="I87" s="531">
        <f t="shared" si="2"/>
        <v>-22.355541342859567</v>
      </c>
      <c r="J87" s="589">
        <f t="shared" si="3"/>
        <v>-0.2189315443587091</v>
      </c>
      <c r="K87" s="531">
        <f>'Network investment'!AL132</f>
        <v>509.15001723778568</v>
      </c>
      <c r="L87" s="531">
        <f>'Network investment'!V151</f>
        <v>448.0869168378955</v>
      </c>
      <c r="M87" s="531">
        <f t="shared" si="4"/>
        <v>-61.063100399890175</v>
      </c>
      <c r="N87" s="589">
        <f t="shared" si="5"/>
        <v>-0.11993145110976633</v>
      </c>
    </row>
    <row r="88" spans="2:16">
      <c r="B88" s="52" t="str">
        <f>Inputs!B22</f>
        <v>SP Manweb</v>
      </c>
      <c r="C88" s="531">
        <f>'Network investment'!AJ133</f>
        <v>118.2102278655002</v>
      </c>
      <c r="D88" s="531">
        <f>'Network investment'!T152</f>
        <v>114.79262559053706</v>
      </c>
      <c r="E88" s="531">
        <f t="shared" si="0"/>
        <v>-3.4176022749631443</v>
      </c>
      <c r="F88" s="589">
        <f t="shared" si="1"/>
        <v>-2.8911223137575659E-2</v>
      </c>
      <c r="G88" s="531">
        <f>'Network investment'!AK133</f>
        <v>119.3852798323541</v>
      </c>
      <c r="H88" s="531">
        <f>'Network investment'!U152</f>
        <v>86.910388659989707</v>
      </c>
      <c r="I88" s="531">
        <f t="shared" si="2"/>
        <v>-32.474891172364394</v>
      </c>
      <c r="J88" s="589">
        <f t="shared" si="3"/>
        <v>-0.27201754871259687</v>
      </c>
      <c r="K88" s="531">
        <f>'Network investment'!AL133</f>
        <v>569.54768833407502</v>
      </c>
      <c r="L88" s="531">
        <f>'Network investment'!V152</f>
        <v>500.22564242707085</v>
      </c>
      <c r="M88" s="531">
        <f t="shared" si="4"/>
        <v>-69.322045907004167</v>
      </c>
      <c r="N88" s="589">
        <f t="shared" si="5"/>
        <v>-0.12171420818118128</v>
      </c>
    </row>
    <row r="89" spans="2:16">
      <c r="B89" s="52" t="str">
        <f>Inputs!B23</f>
        <v>SSE Hydro</v>
      </c>
      <c r="C89" s="531">
        <f>'Network investment'!AJ134</f>
        <v>56.75500999904235</v>
      </c>
      <c r="D89" s="531">
        <f>'Network investment'!T153</f>
        <v>60.01847936967166</v>
      </c>
      <c r="E89" s="531">
        <f t="shared" si="0"/>
        <v>3.2634693706293092</v>
      </c>
      <c r="F89" s="589">
        <f t="shared" si="1"/>
        <v>5.7500991906870969E-2</v>
      </c>
      <c r="G89" s="531">
        <f>'Network investment'!AK134</f>
        <v>56.519999605671572</v>
      </c>
      <c r="H89" s="531">
        <f>'Network investment'!U153</f>
        <v>66.51206607127132</v>
      </c>
      <c r="I89" s="531">
        <f t="shared" si="2"/>
        <v>9.9920664655997484</v>
      </c>
      <c r="J89" s="589">
        <f t="shared" si="3"/>
        <v>0.17678815526030323</v>
      </c>
      <c r="K89" s="531">
        <f>'Network investment'!AL134</f>
        <v>282.1299772416163</v>
      </c>
      <c r="L89" s="531">
        <f>'Network investment'!V153</f>
        <v>260.23466517846526</v>
      </c>
      <c r="M89" s="531">
        <f t="shared" si="4"/>
        <v>-21.895312063151039</v>
      </c>
      <c r="N89" s="589">
        <f t="shared" si="5"/>
        <v>-7.7607180481923388E-2</v>
      </c>
    </row>
    <row r="90" spans="2:16">
      <c r="B90" s="52" t="str">
        <f>Inputs!B24</f>
        <v>SSE Southern</v>
      </c>
      <c r="C90" s="531">
        <f>'Network investment'!AJ135</f>
        <v>146.76399066004947</v>
      </c>
      <c r="D90" s="531">
        <f>'Network investment'!T154</f>
        <v>153.25106868178301</v>
      </c>
      <c r="E90" s="531">
        <f t="shared" si="0"/>
        <v>6.487078021733538</v>
      </c>
      <c r="F90" s="589">
        <f t="shared" si="1"/>
        <v>4.4200747012661967E-2</v>
      </c>
      <c r="G90" s="531">
        <f>'Network investment'!AK135</f>
        <v>146.5289802666787</v>
      </c>
      <c r="H90" s="531">
        <f>'Network investment'!U154</f>
        <v>160.86639235842367</v>
      </c>
      <c r="I90" s="531">
        <f t="shared" si="2"/>
        <v>14.337412091744966</v>
      </c>
      <c r="J90" s="589">
        <f t="shared" si="3"/>
        <v>9.784693830293012E-2</v>
      </c>
      <c r="K90" s="531">
        <f>'Network investment'!AL135</f>
        <v>732.64490133339348</v>
      </c>
      <c r="L90" s="531">
        <f>'Network investment'!V154</f>
        <v>631.88579601254708</v>
      </c>
      <c r="M90" s="531">
        <f t="shared" si="4"/>
        <v>-100.7591053208464</v>
      </c>
      <c r="N90" s="589">
        <f t="shared" si="5"/>
        <v>-0.1375278871626181</v>
      </c>
    </row>
    <row r="91" spans="2:16">
      <c r="B91" s="52" t="str">
        <f>Inputs!B25</f>
        <v>Total</v>
      </c>
      <c r="C91" s="531">
        <f>'Network investment'!AJ136</f>
        <v>1541.0806545288622</v>
      </c>
      <c r="D91" s="531">
        <f>'Network investment'!T155</f>
        <v>1616.9056036013974</v>
      </c>
      <c r="E91" s="531">
        <f t="shared" si="0"/>
        <v>75.824949072535219</v>
      </c>
      <c r="F91" s="589">
        <f t="shared" si="1"/>
        <v>4.920245338860374E-2</v>
      </c>
      <c r="G91" s="531">
        <f>'Network investment'!AK136</f>
        <v>1549.4235234935245</v>
      </c>
      <c r="H91" s="531">
        <f>'Network investment'!U155</f>
        <v>1567.1905568043305</v>
      </c>
      <c r="I91" s="531">
        <f t="shared" si="2"/>
        <v>17.767033310806028</v>
      </c>
      <c r="J91" s="589">
        <f t="shared" si="3"/>
        <v>1.146686689688714E-2</v>
      </c>
      <c r="K91" s="531">
        <f>'Network investment'!AL136</f>
        <v>7644.6530859579634</v>
      </c>
      <c r="L91" s="531">
        <f>'Network investment'!V155</f>
        <v>7130.2880066367316</v>
      </c>
      <c r="M91" s="531">
        <f t="shared" si="4"/>
        <v>-514.36507932123186</v>
      </c>
      <c r="N91" s="589">
        <f t="shared" si="5"/>
        <v>-6.7284293157271025E-2</v>
      </c>
    </row>
    <row r="92" spans="2:16">
      <c r="F92" s="711"/>
      <c r="J92" s="711"/>
    </row>
    <row r="93" spans="2:16">
      <c r="F93" s="711"/>
      <c r="J93" s="711"/>
    </row>
    <row r="94" spans="2:16">
      <c r="F94" s="711"/>
      <c r="J94" s="711"/>
      <c r="P94" s="510"/>
    </row>
    <row r="95" spans="2:16">
      <c r="B95" t="s">
        <v>336</v>
      </c>
      <c r="C95" t="s">
        <v>305</v>
      </c>
      <c r="F95" s="711"/>
      <c r="G95" t="s">
        <v>330</v>
      </c>
      <c r="J95" s="711"/>
      <c r="K95" t="s">
        <v>331</v>
      </c>
    </row>
    <row r="96" spans="2:16" ht="26.25" thickBot="1">
      <c r="C96" s="106" t="s">
        <v>289</v>
      </c>
      <c r="D96" s="106" t="s">
        <v>290</v>
      </c>
      <c r="E96" s="160" t="s">
        <v>398</v>
      </c>
      <c r="F96" s="712" t="s">
        <v>291</v>
      </c>
      <c r="G96" s="160" t="s">
        <v>289</v>
      </c>
      <c r="H96" s="106" t="s">
        <v>290</v>
      </c>
      <c r="I96" s="160" t="s">
        <v>398</v>
      </c>
      <c r="J96" s="712" t="s">
        <v>291</v>
      </c>
      <c r="K96" s="106" t="s">
        <v>289</v>
      </c>
      <c r="L96" s="106" t="s">
        <v>290</v>
      </c>
      <c r="M96" s="160" t="s">
        <v>398</v>
      </c>
      <c r="N96" s="160" t="s">
        <v>291</v>
      </c>
    </row>
    <row r="97" spans="2:14" ht="13.5" thickTop="1">
      <c r="B97" s="52" t="str">
        <f t="shared" ref="B97:B111" si="6">B77</f>
        <v>CN West</v>
      </c>
      <c r="C97" s="569">
        <f>'Network investment'!AJ84</f>
        <v>56.402494408986179</v>
      </c>
      <c r="D97" s="569">
        <f>'Network investment'!T103</f>
        <v>65.57302173088307</v>
      </c>
      <c r="E97" s="531">
        <f>D97-C97</f>
        <v>9.1705273218968912</v>
      </c>
      <c r="F97" s="591">
        <f>(D97/C97)-1</f>
        <v>0.16259081123965013</v>
      </c>
      <c r="G97" s="531">
        <f>'Network investment'!AK84</f>
        <v>56.1674840156154</v>
      </c>
      <c r="H97" s="531">
        <f>'Network investment'!U103</f>
        <v>66.478001668482037</v>
      </c>
      <c r="I97" s="531">
        <f>H97-G97</f>
        <v>10.310517652866636</v>
      </c>
      <c r="J97" s="589">
        <f>(H97/G97)-1</f>
        <v>0.1835673759216303</v>
      </c>
      <c r="K97" s="157">
        <f>'Network investment'!AL84</f>
        <v>284.83259676538023</v>
      </c>
      <c r="L97" s="157">
        <f>'Network investment'!V103</f>
        <v>318.61902704736735</v>
      </c>
      <c r="M97" s="590">
        <f>L97-K97</f>
        <v>33.786430281987123</v>
      </c>
      <c r="N97" s="591">
        <f>(L97/K97)-1</f>
        <v>0.11861855232046126</v>
      </c>
    </row>
    <row r="98" spans="2:14">
      <c r="B98" s="52" t="str">
        <f t="shared" si="6"/>
        <v>CN East</v>
      </c>
      <c r="C98" s="569">
        <f>'Network investment'!AJ85</f>
        <v>58.987608736064708</v>
      </c>
      <c r="D98" s="531">
        <f>'Network investment'!T104</f>
        <v>62.275250022666015</v>
      </c>
      <c r="E98" s="531">
        <f t="shared" ref="E98:E111" si="7">D98-C98</f>
        <v>3.2876412866013069</v>
      </c>
      <c r="F98" s="589">
        <f t="shared" ref="F98:F111" si="8">(D98/C98)-1</f>
        <v>5.5734439097397503E-2</v>
      </c>
      <c r="G98" s="531">
        <f>'Network investment'!AK85</f>
        <v>58.635093146008558</v>
      </c>
      <c r="H98" s="531">
        <f>'Network investment'!U104</f>
        <v>58.975481024270216</v>
      </c>
      <c r="I98" s="531">
        <f t="shared" ref="I98:I111" si="9">H98-G98</f>
        <v>0.34038787826165873</v>
      </c>
      <c r="J98" s="589">
        <f t="shared" ref="J98:J111" si="10">(H98/G98)-1</f>
        <v>5.8051903731788368E-3</v>
      </c>
      <c r="K98" s="157">
        <f>'Network investment'!AL85</f>
        <v>301.63583989139067</v>
      </c>
      <c r="L98" s="64">
        <f>'Network investment'!V104</f>
        <v>307.69017150578708</v>
      </c>
      <c r="M98" s="557">
        <f t="shared" ref="M98:M111" si="11">L98-K98</f>
        <v>6.0543316143964034</v>
      </c>
      <c r="N98" s="589">
        <f t="shared" ref="N98:N111" si="12">(L98/K98)-1</f>
        <v>2.0071658648310509E-2</v>
      </c>
    </row>
    <row r="99" spans="2:14">
      <c r="B99" s="52" t="str">
        <f t="shared" si="6"/>
        <v>ENWL</v>
      </c>
      <c r="C99" s="569">
        <f>'Network investment'!AJ86</f>
        <v>54.169895671963815</v>
      </c>
      <c r="D99" s="531">
        <f>'Network investment'!T105</f>
        <v>56.31199212208638</v>
      </c>
      <c r="E99" s="531">
        <f t="shared" si="7"/>
        <v>2.1420964501225654</v>
      </c>
      <c r="F99" s="589">
        <f t="shared" si="8"/>
        <v>3.9544038686994076E-2</v>
      </c>
      <c r="G99" s="531">
        <f>'Network investment'!AK86</f>
        <v>51.467276148199886</v>
      </c>
      <c r="H99" s="531">
        <f>'Network investment'!U105</f>
        <v>59.003533938068372</v>
      </c>
      <c r="I99" s="531">
        <f t="shared" si="9"/>
        <v>7.5362577898684862</v>
      </c>
      <c r="J99" s="589">
        <f t="shared" si="10"/>
        <v>0.14642814529698156</v>
      </c>
      <c r="K99" s="157">
        <f>'Network investment'!AL86</f>
        <v>271.90702512998757</v>
      </c>
      <c r="L99" s="64">
        <f>'Network investment'!V105</f>
        <v>259.96608998590813</v>
      </c>
      <c r="M99" s="557">
        <f t="shared" si="11"/>
        <v>-11.940935144079447</v>
      </c>
      <c r="N99" s="589">
        <f t="shared" si="12"/>
        <v>-4.391550802474109E-2</v>
      </c>
    </row>
    <row r="100" spans="2:14">
      <c r="B100" s="52" t="str">
        <f t="shared" si="6"/>
        <v>CE NEDL</v>
      </c>
      <c r="C100" s="569">
        <f>'Network investment'!AJ87</f>
        <v>40.774303249829586</v>
      </c>
      <c r="D100" s="531">
        <f>'Network investment'!T106</f>
        <v>43.461844831208197</v>
      </c>
      <c r="E100" s="531">
        <f t="shared" si="7"/>
        <v>2.6875415813786105</v>
      </c>
      <c r="F100" s="589">
        <f t="shared" si="8"/>
        <v>6.591263043568607E-2</v>
      </c>
      <c r="G100" s="531">
        <f>'Network investment'!AK87</f>
        <v>40.069272069717265</v>
      </c>
      <c r="H100" s="531">
        <f>'Network investment'!U106</f>
        <v>36.019538600798974</v>
      </c>
      <c r="I100" s="531">
        <f t="shared" si="9"/>
        <v>-4.0497334689182907</v>
      </c>
      <c r="J100" s="589">
        <f t="shared" si="10"/>
        <v>-0.10106830645368559</v>
      </c>
      <c r="K100" s="157">
        <f>'Network investment'!AL87</f>
        <v>207.74918773976577</v>
      </c>
      <c r="L100" s="64">
        <f>'Network investment'!V106</f>
        <v>200.60075519690781</v>
      </c>
      <c r="M100" s="557">
        <f t="shared" si="11"/>
        <v>-7.1484325428579609</v>
      </c>
      <c r="N100" s="589">
        <f t="shared" si="12"/>
        <v>-3.4408955436265543E-2</v>
      </c>
    </row>
    <row r="101" spans="2:14">
      <c r="B101" s="52" t="str">
        <f t="shared" si="6"/>
        <v>CE YEDL</v>
      </c>
      <c r="C101" s="569">
        <f>'Network investment'!AJ88</f>
        <v>52.524822918368379</v>
      </c>
      <c r="D101" s="531">
        <f>'Network investment'!T107</f>
        <v>60.880692863526278</v>
      </c>
      <c r="E101" s="531">
        <f t="shared" si="7"/>
        <v>8.3558699451578988</v>
      </c>
      <c r="F101" s="589">
        <f t="shared" si="8"/>
        <v>0.15908420972963966</v>
      </c>
      <c r="G101" s="531">
        <f>'Network investment'!AK88</f>
        <v>52.759833311739158</v>
      </c>
      <c r="H101" s="531">
        <f>'Network investment'!U107</f>
        <v>51.337379282513318</v>
      </c>
      <c r="I101" s="531">
        <f t="shared" si="9"/>
        <v>-1.4224540292258396</v>
      </c>
      <c r="J101" s="589">
        <f t="shared" si="10"/>
        <v>-2.6960927280059055E-2</v>
      </c>
      <c r="K101" s="157">
        <f>'Network investment'!AL88</f>
        <v>268.14685883605512</v>
      </c>
      <c r="L101" s="64">
        <f>'Network investment'!V107</f>
        <v>272.83892369876236</v>
      </c>
      <c r="M101" s="557">
        <f t="shared" si="11"/>
        <v>4.692064862707241</v>
      </c>
      <c r="N101" s="589">
        <f t="shared" si="12"/>
        <v>1.7498116081143378E-2</v>
      </c>
    </row>
    <row r="102" spans="2:14">
      <c r="B102" s="52" t="str">
        <f t="shared" si="6"/>
        <v>WPD S Wales</v>
      </c>
      <c r="C102" s="569">
        <f>'Network investment'!AJ89</f>
        <v>35.134053808930972</v>
      </c>
      <c r="D102" s="531">
        <f>'Network investment'!T108</f>
        <v>32.040919768075419</v>
      </c>
      <c r="E102" s="531">
        <f t="shared" si="7"/>
        <v>-3.0931340408555528</v>
      </c>
      <c r="F102" s="589">
        <f t="shared" si="8"/>
        <v>-8.803806294818417E-2</v>
      </c>
      <c r="G102" s="531">
        <f>'Network investment'!AK89</f>
        <v>34.664033022189422</v>
      </c>
      <c r="H102" s="531">
        <f>'Network investment'!U108</f>
        <v>35.761124276770701</v>
      </c>
      <c r="I102" s="531">
        <f t="shared" si="9"/>
        <v>1.0970912545812794</v>
      </c>
      <c r="J102" s="589">
        <f t="shared" si="10"/>
        <v>3.1649267524035629E-2</v>
      </c>
      <c r="K102" s="157">
        <f>'Network investment'!AL89</f>
        <v>178.72540415847493</v>
      </c>
      <c r="L102" s="64">
        <f>'Network investment'!V108</f>
        <v>166.80829571732278</v>
      </c>
      <c r="M102" s="557">
        <f t="shared" si="11"/>
        <v>-11.917108441152152</v>
      </c>
      <c r="N102" s="589">
        <f t="shared" si="12"/>
        <v>-6.6678313009074563E-2</v>
      </c>
    </row>
    <row r="103" spans="2:14">
      <c r="B103" s="52" t="str">
        <f t="shared" si="6"/>
        <v>WPD S West</v>
      </c>
      <c r="C103" s="569">
        <f>'Network investment'!AJ90</f>
        <v>45.592016313930493</v>
      </c>
      <c r="D103" s="531">
        <f>'Network investment'!T109</f>
        <v>45.663379463980043</v>
      </c>
      <c r="E103" s="531">
        <f t="shared" si="7"/>
        <v>7.1363150049549517E-2</v>
      </c>
      <c r="F103" s="589">
        <f t="shared" si="8"/>
        <v>1.5652554069591762E-3</v>
      </c>
      <c r="G103" s="531">
        <f>'Network investment'!AK90</f>
        <v>43.476922773593522</v>
      </c>
      <c r="H103" s="531">
        <f>'Network investment'!U109</f>
        <v>52.016570896217786</v>
      </c>
      <c r="I103" s="531">
        <f t="shared" si="9"/>
        <v>8.5396481226242642</v>
      </c>
      <c r="J103" s="589">
        <f t="shared" si="10"/>
        <v>0.19641795181997046</v>
      </c>
      <c r="K103" s="157">
        <f>'Network investment'!AL90</f>
        <v>217.26710867128216</v>
      </c>
      <c r="L103" s="64">
        <f>'Network investment'!V109</f>
        <v>246.16969457742749</v>
      </c>
      <c r="M103" s="557">
        <f t="shared" si="11"/>
        <v>28.902585906145333</v>
      </c>
      <c r="N103" s="589">
        <f t="shared" si="12"/>
        <v>0.13302789401903437</v>
      </c>
    </row>
    <row r="104" spans="2:14">
      <c r="B104" s="52" t="str">
        <f t="shared" si="6"/>
        <v>UKPN LPN</v>
      </c>
      <c r="C104" s="569">
        <f>'Network investment'!AJ91</f>
        <v>46.06203710067205</v>
      </c>
      <c r="D104" s="531">
        <f>'Network investment'!T110</f>
        <v>66.10946039640686</v>
      </c>
      <c r="E104" s="531">
        <f t="shared" si="7"/>
        <v>20.047423295734809</v>
      </c>
      <c r="F104" s="589">
        <f t="shared" si="8"/>
        <v>0.43522658913064682</v>
      </c>
      <c r="G104" s="531">
        <f>'Network investment'!AK91</f>
        <v>45.357005920559722</v>
      </c>
      <c r="H104" s="531">
        <f>'Network investment'!U110</f>
        <v>64.032853381444568</v>
      </c>
      <c r="I104" s="531">
        <f t="shared" si="9"/>
        <v>18.675847460884846</v>
      </c>
      <c r="J104" s="589">
        <f t="shared" si="10"/>
        <v>0.41175221075206236</v>
      </c>
      <c r="K104" s="157">
        <f>'Network investment'!AL91</f>
        <v>233.83534140392189</v>
      </c>
      <c r="L104" s="64">
        <f>'Network investment'!V110</f>
        <v>290.08260637194212</v>
      </c>
      <c r="M104" s="557">
        <f t="shared" si="11"/>
        <v>56.247264968020232</v>
      </c>
      <c r="N104" s="589">
        <f t="shared" si="12"/>
        <v>0.24054218934707561</v>
      </c>
    </row>
    <row r="105" spans="2:14">
      <c r="B105" s="52" t="str">
        <f t="shared" si="6"/>
        <v>UKPN SEPN</v>
      </c>
      <c r="C105" s="569">
        <f>'Network investment'!AJ92</f>
        <v>47.00207867415515</v>
      </c>
      <c r="D105" s="531">
        <f>'Network investment'!T111</f>
        <v>75.220359276815785</v>
      </c>
      <c r="E105" s="531">
        <f t="shared" si="7"/>
        <v>28.218280602660634</v>
      </c>
      <c r="F105" s="589">
        <f t="shared" si="8"/>
        <v>0.60036239669921043</v>
      </c>
      <c r="G105" s="531">
        <f>'Network investment'!AK92</f>
        <v>47.472099460896708</v>
      </c>
      <c r="H105" s="531">
        <f>'Network investment'!U111</f>
        <v>66.237271382449933</v>
      </c>
      <c r="I105" s="531">
        <f t="shared" si="9"/>
        <v>18.765171921553225</v>
      </c>
      <c r="J105" s="589">
        <f t="shared" si="10"/>
        <v>0.39528843541057856</v>
      </c>
      <c r="K105" s="157">
        <f>'Network investment'!AL92</f>
        <v>238.65305446802279</v>
      </c>
      <c r="L105" s="64">
        <f>'Network investment'!V111</f>
        <v>313.71946321839908</v>
      </c>
      <c r="M105" s="557">
        <f t="shared" si="11"/>
        <v>75.066408750376297</v>
      </c>
      <c r="N105" s="589">
        <f t="shared" si="12"/>
        <v>0.31454199870898569</v>
      </c>
    </row>
    <row r="106" spans="2:14">
      <c r="B106" s="52" t="str">
        <f t="shared" si="6"/>
        <v>UKPN EPN</v>
      </c>
      <c r="C106" s="569">
        <f>'Network investment'!AJ93</f>
        <v>73.440747928367415</v>
      </c>
      <c r="D106" s="531">
        <f>'Network investment'!T112</f>
        <v>108.28466907954896</v>
      </c>
      <c r="E106" s="531">
        <f t="shared" si="7"/>
        <v>34.843921151181547</v>
      </c>
      <c r="F106" s="589">
        <f t="shared" si="8"/>
        <v>0.47444943214858859</v>
      </c>
      <c r="G106" s="531">
        <f>'Network investment'!AK93</f>
        <v>77.670935009041386</v>
      </c>
      <c r="H106" s="531">
        <f>'Network investment'!U112</f>
        <v>112.57688629628963</v>
      </c>
      <c r="I106" s="531">
        <f t="shared" si="9"/>
        <v>34.905951287248243</v>
      </c>
      <c r="J106" s="589">
        <f t="shared" si="10"/>
        <v>0.44940815097932019</v>
      </c>
      <c r="K106" s="157">
        <f>'Network investment'!AL93</f>
        <v>374.37155663964575</v>
      </c>
      <c r="L106" s="64">
        <f>'Network investment'!V112</f>
        <v>498.78281244340297</v>
      </c>
      <c r="M106" s="557">
        <f t="shared" si="11"/>
        <v>124.41125580375723</v>
      </c>
      <c r="N106" s="589">
        <f t="shared" si="12"/>
        <v>0.3323202673848169</v>
      </c>
    </row>
    <row r="107" spans="2:14">
      <c r="B107" s="52" t="str">
        <f t="shared" si="6"/>
        <v>SP Distribution</v>
      </c>
      <c r="C107" s="569">
        <f>'Network investment'!AJ94</f>
        <v>49.704698197919072</v>
      </c>
      <c r="D107" s="531">
        <f>'Network investment'!T113</f>
        <v>44.05570733272922</v>
      </c>
      <c r="E107" s="531">
        <f t="shared" si="7"/>
        <v>-5.6489908651898517</v>
      </c>
      <c r="F107" s="589">
        <f t="shared" si="8"/>
        <v>-0.1136510444685962</v>
      </c>
      <c r="G107" s="531">
        <f>'Network investment'!AK94</f>
        <v>49.117172214492129</v>
      </c>
      <c r="H107" s="531">
        <f>'Network investment'!U113</f>
        <v>38.509605157755601</v>
      </c>
      <c r="I107" s="531">
        <f t="shared" si="9"/>
        <v>-10.607567056736528</v>
      </c>
      <c r="J107" s="589">
        <f t="shared" si="10"/>
        <v>-0.21596453090609202</v>
      </c>
      <c r="K107" s="157">
        <f>'Network investment'!AL94</f>
        <v>251.69613130010083</v>
      </c>
      <c r="L107" s="64">
        <f>'Network investment'!V113</f>
        <v>230.29446160989272</v>
      </c>
      <c r="M107" s="557">
        <f t="shared" si="11"/>
        <v>-21.401669690208109</v>
      </c>
      <c r="N107" s="589">
        <f t="shared" si="12"/>
        <v>-8.5029791994262305E-2</v>
      </c>
    </row>
    <row r="108" spans="2:14">
      <c r="B108" s="52" t="str">
        <f t="shared" si="6"/>
        <v>SP Manweb</v>
      </c>
      <c r="C108" s="569">
        <f>'Network investment'!AJ95</f>
        <v>44.181953953705843</v>
      </c>
      <c r="D108" s="531">
        <f>'Network investment'!T114</f>
        <v>48.254230158887296</v>
      </c>
      <c r="E108" s="531">
        <f t="shared" si="7"/>
        <v>4.0722762051814527</v>
      </c>
      <c r="F108" s="589">
        <f t="shared" si="8"/>
        <v>9.2170577368497764E-2</v>
      </c>
      <c r="G108" s="531">
        <f>'Network investment'!AK95</f>
        <v>45.239500723874329</v>
      </c>
      <c r="H108" s="531">
        <f>'Network investment'!U114</f>
        <v>46.118377238797599</v>
      </c>
      <c r="I108" s="531">
        <f t="shared" si="9"/>
        <v>0.87887651492327024</v>
      </c>
      <c r="J108" s="589">
        <f t="shared" si="10"/>
        <v>1.9427193069340376E-2</v>
      </c>
      <c r="K108" s="157">
        <f>'Network investment'!AL95</f>
        <v>222.31983212875386</v>
      </c>
      <c r="L108" s="64">
        <f>'Network investment'!V114</f>
        <v>245.8563326368791</v>
      </c>
      <c r="M108" s="557">
        <f t="shared" si="11"/>
        <v>23.536500508125243</v>
      </c>
      <c r="N108" s="589">
        <f t="shared" si="12"/>
        <v>0.10586775045104546</v>
      </c>
    </row>
    <row r="109" spans="2:14">
      <c r="B109" s="52" t="str">
        <f t="shared" si="6"/>
        <v>SSE Hydro</v>
      </c>
      <c r="C109" s="569">
        <f>'Network investment'!AJ96</f>
        <v>33.253970661964772</v>
      </c>
      <c r="D109" s="531">
        <f>'Network investment'!T115</f>
        <v>34.481456889600743</v>
      </c>
      <c r="E109" s="531">
        <f t="shared" si="7"/>
        <v>1.2274862276359713</v>
      </c>
      <c r="F109" s="589">
        <f t="shared" si="8"/>
        <v>3.6912470998236246E-2</v>
      </c>
      <c r="G109" s="531">
        <f>'Network investment'!AK96</f>
        <v>36.661621365841015</v>
      </c>
      <c r="H109" s="531">
        <f>'Network investment'!U115</f>
        <v>36.19274881712257</v>
      </c>
      <c r="I109" s="531">
        <f t="shared" si="9"/>
        <v>-0.46887254871844419</v>
      </c>
      <c r="J109" s="589">
        <f t="shared" si="10"/>
        <v>-1.2789192928475024E-2</v>
      </c>
      <c r="K109" s="157">
        <f>'Network investment'!AL96</f>
        <v>171.20507157061013</v>
      </c>
      <c r="L109" s="64">
        <f>'Network investment'!V115</f>
        <v>165.39378816471256</v>
      </c>
      <c r="M109" s="557">
        <f t="shared" si="11"/>
        <v>-5.8112834058975693</v>
      </c>
      <c r="N109" s="589">
        <f t="shared" si="12"/>
        <v>-3.3943406889677452E-2</v>
      </c>
    </row>
    <row r="110" spans="2:14">
      <c r="B110" s="52" t="str">
        <f t="shared" si="6"/>
        <v>SSE Southern</v>
      </c>
      <c r="C110" s="569">
        <f>'Network investment'!AJ97</f>
        <v>62.160249046570186</v>
      </c>
      <c r="D110" s="531">
        <f>'Network investment'!T116</f>
        <v>71.185867915771354</v>
      </c>
      <c r="E110" s="531">
        <f t="shared" si="7"/>
        <v>9.0256188692011676</v>
      </c>
      <c r="F110" s="589">
        <f t="shared" si="8"/>
        <v>0.14519920701152933</v>
      </c>
      <c r="G110" s="531">
        <f>'Network investment'!AK97</f>
        <v>68.740540060951915</v>
      </c>
      <c r="H110" s="531">
        <f>'Network investment'!U116</f>
        <v>75.995249957090422</v>
      </c>
      <c r="I110" s="531">
        <f t="shared" si="9"/>
        <v>7.2547098961385075</v>
      </c>
      <c r="J110" s="589">
        <f t="shared" si="10"/>
        <v>0.10553757491148286</v>
      </c>
      <c r="K110" s="157">
        <f>'Network investment'!AL97</f>
        <v>318.90910380414272</v>
      </c>
      <c r="L110" s="64">
        <f>'Network investment'!V116</f>
        <v>346.23817684123264</v>
      </c>
      <c r="M110" s="557">
        <f t="shared" si="11"/>
        <v>27.329073037089927</v>
      </c>
      <c r="N110" s="589">
        <f t="shared" si="12"/>
        <v>8.5695493515525412E-2</v>
      </c>
    </row>
    <row r="111" spans="2:14">
      <c r="B111" s="52" t="str">
        <f t="shared" si="6"/>
        <v>Total</v>
      </c>
      <c r="C111" s="569">
        <f>'Network investment'!AJ98</f>
        <v>699.39093067142858</v>
      </c>
      <c r="D111" s="531">
        <f>'Network investment'!T117</f>
        <v>813.79885185218552</v>
      </c>
      <c r="E111" s="531">
        <f t="shared" si="7"/>
        <v>114.40792118075694</v>
      </c>
      <c r="F111" s="589">
        <f t="shared" si="8"/>
        <v>0.16358222013391455</v>
      </c>
      <c r="G111" s="531">
        <f>'Network investment'!AK98</f>
        <v>707.49878924272048</v>
      </c>
      <c r="H111" s="531">
        <f>'Network investment'!U117</f>
        <v>799.25462191807185</v>
      </c>
      <c r="I111" s="531">
        <f t="shared" si="9"/>
        <v>91.755832675351371</v>
      </c>
      <c r="J111" s="589">
        <f t="shared" si="10"/>
        <v>0.12969044480424241</v>
      </c>
      <c r="K111" s="157">
        <f>'Network investment'!AL98</f>
        <v>3541.254112507534</v>
      </c>
      <c r="L111" s="64">
        <f>'Network investment'!V117</f>
        <v>3863.0605990159438</v>
      </c>
      <c r="M111" s="557">
        <f t="shared" si="11"/>
        <v>321.80648650840976</v>
      </c>
      <c r="N111" s="589">
        <f t="shared" si="12"/>
        <v>9.0873593445837564E-2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Information" ma:contentTypeID="0x010100028D52C9A5433B438C8A1988457E255700D9B395690F174641AF4B34CAE682B659" ma:contentTypeVersion="18" ma:contentTypeDescription="This is for internal and external Ofgem information." ma:contentTypeScope="" ma:versionID="9048e5e0f0a606dbb1e97d0b07a5d3ad">
  <xsd:schema xmlns:xsd="http://www.w3.org/2001/XMLSchema" xmlns:p="http://schemas.microsoft.com/office/2006/metadata/properties" xmlns:ns2="eecedeb9-13b3-4e62-b003-046c92e1668a" xmlns:ns3="http://schemas.microsoft.com/sharepoint/v3/fields" targetNamespace="http://schemas.microsoft.com/office/2006/metadata/properties" ma:root="true" ma:fieldsID="d94588a6a516d9d77722a908f03dd86b" ns2:_="" ns3:_="">
    <xsd:import namespace="eecedeb9-13b3-4e62-b003-046c92e1668a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Organisation" minOccurs="0"/>
                <xsd:element ref="ns2:_x003a_" minOccurs="0"/>
                <xsd:element ref="ns2:_x003a__x003a_" minOccurs="0"/>
                <xsd:element ref="ns3:_Status" minOccurs="0"/>
                <xsd:element ref="ns2:Classification"/>
                <xsd:element ref="ns2:Descripto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eecedeb9-13b3-4e62-b003-046c92e1668a" elementFormDefault="qualified">
    <xsd:import namespace="http://schemas.microsoft.com/office/2006/documentManagement/types"/>
    <xsd:element name="Organisation" ma:index="8" nillable="true" ma:displayName="Organisation" ma:default="Choose an Organisation" ma:description="Choose from the drop-down menu or fill in a value" ma:format="Dropdown" ma:internalName="Organisation">
      <xsd:simpleType>
        <xsd:union memberTypes="dms:Text">
          <xsd:simpleType>
            <xsd:restriction base="dms:Choice">
              <xsd:enumeration value="Choose an Organisation"/>
              <xsd:enumeration value="Assoc Elec Producers"/>
              <xsd:enumeration value="Atomic Energy Auth"/>
              <xsd:enumeration value="BERR"/>
              <xsd:enumeration value="British Energy"/>
              <xsd:enumeration value="Brit Wind Energy Assoc"/>
              <xsd:enumeration value="Building Research Est"/>
              <xsd:enumeration value="Carbon Trust"/>
              <xsd:enumeration value="Cavendish"/>
              <xsd:enumeration value="Centrica"/>
              <xsd:enumeration value="Central Networks"/>
              <xsd:enumeration value="CE"/>
              <xsd:enumeration value="CEER"/>
              <xsd:enumeration value="CHPA"/>
              <xsd:enumeration value="Competition Commission"/>
              <xsd:enumeration value="DCLG"/>
              <xsd:enumeration value="DCUSA Ltd"/>
              <xsd:enumeration value="DECC"/>
              <xsd:enumeration value="DEFRA"/>
              <xsd:enumeration value="DETI (Northern Ireland)"/>
              <xsd:enumeration value="European Commission"/>
              <xsd:enumeration value="EdF"/>
              <xsd:enumeration value="Elec DNO"/>
              <xsd:enumeration value="ELEXON"/>
              <xsd:enumeration value="eon"/>
              <xsd:enumeration value="Electricity North West"/>
              <xsd:enumeration value="Energy Networks Association"/>
              <xsd:enumeration value="Energy Retail Association"/>
              <xsd:enumeration value="Energy Saving Trust"/>
              <xsd:enumeration value="energywatch"/>
              <xsd:enumeration value="ERGEG"/>
              <xsd:enumeration value="Ernst &amp; Young"/>
              <xsd:enumeration value="ESTA"/>
              <xsd:enumeration value="Gas DNs"/>
              <xsd:enumeration value="Gas Forum"/>
              <xsd:enumeration value="Gaz de France"/>
              <xsd:enumeration value="Government"/>
              <xsd:enumeration value="HM Revenue &amp; Customs"/>
              <xsd:enumeration value="HM Treasury"/>
              <xsd:enumeration value="House of Commons"/>
              <xsd:enumeration value="HSE"/>
              <xsd:enumeration value="IDNO"/>
              <xsd:enumeration value="IGT"/>
              <xsd:enumeration value="National Grid Gas"/>
              <xsd:enumeration value="National Grid Elec"/>
              <xsd:enumeration value="nPower"/>
              <xsd:enumeration value="NWOperators"/>
              <xsd:enumeration value="NEDL &amp;  YEDL"/>
              <xsd:enumeration value="Northern Gas Networks"/>
              <xsd:enumeration value="OFGEM"/>
              <xsd:enumeration value="OFREG"/>
              <xsd:enumeration value="OFT"/>
              <xsd:enumeration value="Parity"/>
              <xsd:enumeration value="Parl Renew &amp; Sustain Energy Grp"/>
              <xsd:enumeration value="Renewble Energy Assoc"/>
              <xsd:enumeration value="RWE"/>
              <xsd:enumeration value="Scotia Gas Networks"/>
              <xsd:enumeration value="Scottish and Southern"/>
              <xsd:enumeration value="Scottish Executive"/>
              <xsd:enumeration value="Scottish Power"/>
              <xsd:enumeration value="SmartestEnergy"/>
              <xsd:enumeration value="Suppliers"/>
              <xsd:enumeration value="UK Power Networks"/>
              <xsd:enumeration value="Wales &amp; West Utilities"/>
              <xsd:enumeration value="Welsh Assembly"/>
              <xsd:enumeration value="WPD"/>
              <xsd:enumeration value="Xoserve"/>
              <xsd:enumeration value="-"/>
            </xsd:restriction>
          </xsd:simpleType>
        </xsd:union>
      </xsd:simpleType>
    </xsd:element>
    <xsd:element name="_x003a_" ma:index="9" nillable="true" ma:displayName=":" ma:default="" ma:description="To group documents together eg Responses with a Consultation Doc.  The format is Main Document Publication Date as YYYY/MM/DD - Main Document Title - Ref No &#10;(keep the Title part short and use copy and paste to ensure grouping works - check in Publication view)" ma:internalName="_x003A_">
      <xsd:simpleType>
        <xsd:restriction base="dms:Text">
          <xsd:maxLength value="255"/>
        </xsd:restriction>
      </xsd:simpleType>
    </xsd:element>
    <xsd:element name="_x003a__x003a_" ma:index="10" nillable="true" ma:displayName="::" ma:default="-Main Document" ma:description="Used to place Subsidiary Documents and Responses as 'children' to the Main Document, with Subsidiary Documents first" ma:format="Dropdown" ma:internalName="_x003A__x003A_">
      <xsd:simpleType>
        <xsd:restriction base="dms:Choice">
          <xsd:enumeration value="-Main Document"/>
          <xsd:enumeration value="-Subsidiary Document"/>
          <xsd:enumeration value="Response"/>
        </xsd:restriction>
      </xsd:simpleType>
    </xsd:element>
    <xsd:element name="Classification" ma:index="12" ma:displayName="Classification" ma:default="Unclassified" ma:format="Dropdown" ma:internalName="Classification">
      <xsd:simpleType>
        <xsd:restriction base="dms:Choice">
          <xsd:enumeration value="Unclassified"/>
          <xsd:enumeration value="Protect"/>
          <xsd:enumeration value="Restricted"/>
        </xsd:restriction>
      </xsd:simpleType>
    </xsd:element>
    <xsd:element name="Descriptor" ma:index="13" nillable="true" ma:displayName="Descriptor" ma:format="Dropdown" ma:internalName="Descriptor">
      <xsd:simpleType>
        <xsd:restriction base="dms:Choice">
          <xsd:enumeration value="Commercial"/>
          <xsd:enumeration value="Management"/>
          <xsd:enumeration value="Market Sensitive"/>
          <xsd:enumeration value="Staff"/>
        </xsd:restriction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1" nillable="true" ma:displayName="Status" ma:default="Draft" ma:description="Choose the appropriate status from the drop-down" ma:format="Dropdown" ma:internalName="_Status">
      <xsd:simpleType>
        <xsd:restriction base="dms:Choice">
          <xsd:enumeration value="Draft"/>
          <xsd:enumeration value="For comment"/>
          <xsd:enumeration value="Peer Reviewed"/>
          <xsd:enumeration value="Head of Dept Reviewed"/>
          <xsd:enumeration value="Legally Reviewed"/>
          <xsd:enumeration value="MD Approved"/>
          <xsd:enumeration value="Final not for Registry"/>
          <xsd:enumeration value="Final and Sent to Registry"/>
          <xsd:enumeration value="Published"/>
          <xsd:enumeration value="For deletion review"/>
          <xsd:enumeration value="External Draft"/>
          <xsd:enumeration value="External for comment"/>
          <xsd:enumeration value="External for action"/>
          <xsd:enumeration value="External Final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B9CA1DA3-F09D-4736-B8D2-27A66A3DB9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38DB56-5B72-426A-BD96-63F643CEC2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cedeb9-13b3-4e62-b003-046c92e1668a"/>
    <ds:schemaRef ds:uri="http://schemas.microsoft.com/sharepoint/v3/field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TOC</vt:lpstr>
      <vt:lpstr>Inputs</vt:lpstr>
      <vt:lpstr>Customers|line length</vt:lpstr>
      <vt:lpstr>Quality of service</vt:lpstr>
      <vt:lpstr>Connections</vt:lpstr>
      <vt:lpstr>AONB</vt:lpstr>
      <vt:lpstr>Distribution losses</vt:lpstr>
      <vt:lpstr>Network investment</vt:lpstr>
      <vt:lpstr>Chapter 1</vt:lpstr>
      <vt:lpstr>Chapter 2</vt:lpstr>
      <vt:lpstr>Chapter 3</vt:lpstr>
      <vt:lpstr>Chapter 4</vt:lpstr>
      <vt:lpstr>Chapter 5</vt:lpstr>
      <vt:lpstr>Chapter 6</vt:lpstr>
      <vt:lpstr>Chapter 7</vt:lpstr>
      <vt:lpstr>DNO_list</vt:lpstr>
      <vt:lpstr>DNO_list_average</vt:lpstr>
      <vt:lpstr>DNO_list_total</vt:lpstr>
      <vt:lpstr>'Chapter 2'!Print_Area</vt:lpstr>
      <vt:lpstr>'Chapter 3'!Print_Area</vt:lpstr>
    </vt:vector>
  </TitlesOfParts>
  <Company>Ofgem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</dc:creator>
  <cp:lastModifiedBy>phicks</cp:lastModifiedBy>
  <cp:lastPrinted>2011-03-31T13:32:07Z</cp:lastPrinted>
  <dcterms:created xsi:type="dcterms:W3CDTF">2011-01-19T15:50:46Z</dcterms:created>
  <dcterms:modified xsi:type="dcterms:W3CDTF">2011-04-08T15:00:18Z</dcterms:modified>
  <cp:contentType>Information</cp:contentType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0x010100028D52C9A5433B438C8A1988457E255700D9B395690F174641AF4B34CAE682B659</vt:lpwstr>
  </property>
  <property fmtid="{D5CDD505-2E9C-101B-9397-08002B2CF9AE}" pid="3" name="Classification">
    <vt:lpwstr>Unclassified</vt:lpwstr>
  </property>
  <property fmtid="{D5CDD505-2E9C-101B-9397-08002B2CF9AE}" pid="4" name="Descriptor">
    <vt:lpwstr/>
  </property>
  <property fmtid="{D5CDD505-2E9C-101B-9397-08002B2CF9AE}" pid="5" name="Organisation">
    <vt:lpwstr>Elec DNO</vt:lpwstr>
  </property>
  <property fmtid="{D5CDD505-2E9C-101B-9397-08002B2CF9AE}" pid="6" name="_Status">
    <vt:lpwstr>Draft</vt:lpwstr>
  </property>
  <property fmtid="{D5CDD505-2E9C-101B-9397-08002B2CF9AE}" pid="7" name=":">
    <vt:lpwstr/>
  </property>
  <property fmtid="{D5CDD505-2E9C-101B-9397-08002B2CF9AE}" pid="8" name="::">
    <vt:lpwstr>-Main Document</vt:lpwstr>
  </property>
</Properties>
</file>